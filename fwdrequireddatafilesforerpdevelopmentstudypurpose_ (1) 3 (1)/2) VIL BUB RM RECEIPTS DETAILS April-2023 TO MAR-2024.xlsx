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640" windowHeight="11160" tabRatio="886" firstSheet="5" activeTab="12"/>
  </bookViews>
  <sheets>
    <sheet name="KEC BUB APRIL-23 " sheetId="134" r:id="rId1"/>
    <sheet name="KEC BUB May-23" sheetId="136" r:id="rId2"/>
    <sheet name="KEC BUB JUN-23" sheetId="137" r:id="rId3"/>
    <sheet name="KEC BUB JULY-23  " sheetId="135" r:id="rId4"/>
    <sheet name="KEC BUB AUG-23" sheetId="138" r:id="rId5"/>
    <sheet name="KEC JBP AUG-23" sheetId="139" r:id="rId6"/>
    <sheet name="KEC BUB SEP-23 " sheetId="140" r:id="rId7"/>
    <sheet name="KEC JBP SEP-23 " sheetId="141" r:id="rId8"/>
    <sheet name="KEC BUB OCT-23" sheetId="143" r:id="rId9"/>
    <sheet name="KEC JBP OCT-23" sheetId="142" r:id="rId10"/>
    <sheet name="KEC BUB Nov-23 " sheetId="145" r:id="rId11"/>
    <sheet name="KEC JBP NOV-23 " sheetId="144" r:id="rId12"/>
    <sheet name="KEC BUB DEC-23" sheetId="146" r:id="rId13"/>
    <sheet name="KEC JBP DEC-23" sheetId="147" r:id="rId14"/>
  </sheets>
  <definedNames>
    <definedName name="_xlnm._FilterDatabase" localSheetId="0" hidden="1">'KEC BUB APRIL-23 '!#REF!</definedName>
    <definedName name="_xlnm._FilterDatabase" localSheetId="4" hidden="1">'KEC BUB AUG-23'!$B$2:$AO$120</definedName>
    <definedName name="_xlnm._FilterDatabase" localSheetId="12" hidden="1">'KEC BUB DEC-23'!$A$2:$AO$218</definedName>
    <definedName name="_xlnm._FilterDatabase" localSheetId="3" hidden="1">'KEC BUB JULY-23  '!$E$93:$N$94</definedName>
    <definedName name="_xlnm._FilterDatabase" localSheetId="2" hidden="1">'KEC BUB JUN-23'!$A$16:$AO$90</definedName>
    <definedName name="_xlnm._FilterDatabase" localSheetId="1" hidden="1">'KEC BUB May-23'!$A$17:$AO$51</definedName>
    <definedName name="_xlnm._FilterDatabase" localSheetId="10" hidden="1">'KEC BUB Nov-23 '!$A$2:$AO$134</definedName>
    <definedName name="_xlnm._FilterDatabase" localSheetId="8" hidden="1">'KEC BUB OCT-23'!$A$2:$AO$63</definedName>
    <definedName name="_xlnm._FilterDatabase" localSheetId="6" hidden="1">'KEC BUB SEP-23 '!$B$2:$AO$110</definedName>
    <definedName name="_xlnm._FilterDatabase" localSheetId="5" hidden="1">'KEC JBP AUG-23'!$A$2:$AO$34</definedName>
    <definedName name="_xlnm._FilterDatabase" localSheetId="13" hidden="1">'KEC JBP DEC-23'!$A$2:$AO$76</definedName>
    <definedName name="_xlnm._FilterDatabase" localSheetId="11" hidden="1">'KEC JBP NOV-23 '!$A$2:$AO$102</definedName>
    <definedName name="_xlnm._FilterDatabase" localSheetId="9" hidden="1">'KEC JBP OCT-23'!$A$2:$AO$84</definedName>
    <definedName name="_xlnm._FilterDatabase" localSheetId="7" hidden="1">'KEC JBP SEP-23 '!$A$2:$AO$5</definedName>
    <definedName name="_xlnm.Print_Area" localSheetId="0">'KEC BUB APRIL-23 '!#REF!</definedName>
    <definedName name="_xlnm.Print_Area" localSheetId="4">'KEC BUB AUG-23'!$E$3:$M$120</definedName>
    <definedName name="_xlnm.Print_Area" localSheetId="12">'KEC BUB DEC-23'!$B$99:$N$126</definedName>
    <definedName name="_xlnm.Print_Area" localSheetId="3">'KEC BUB JULY-23  '!$E$93:$N$93</definedName>
    <definedName name="_xlnm.Print_Area" localSheetId="2">'KEC BUB JUN-23'!$B$17:$N$82</definedName>
    <definedName name="_xlnm.Print_Area" localSheetId="1">'KEC BUB May-23'!$E$17:$N$54</definedName>
    <definedName name="_xlnm.Print_Area" localSheetId="10">'KEC BUB Nov-23 '!#REF!</definedName>
    <definedName name="_xlnm.Print_Area" localSheetId="8">'KEC BUB OCT-23'!#REF!</definedName>
    <definedName name="_xlnm.Print_Area" localSheetId="6">'KEC BUB SEP-23 '!$E$3:$M$110</definedName>
    <definedName name="_xlnm.Print_Area" localSheetId="5">'KEC JBP AUG-23'!$E$2:$N$34</definedName>
    <definedName name="_xlnm.Print_Area" localSheetId="13">'KEC JBP DEC-23'!$B$35:$N$75</definedName>
    <definedName name="_xlnm.Print_Area" localSheetId="11">'KEC JBP NOV-23 '!$B$102:$N$102</definedName>
    <definedName name="_xlnm.Print_Area" localSheetId="9">'KEC JBP OCT-23'!#REF!</definedName>
    <definedName name="_xlnm.Print_Area" localSheetId="7">'KEC JBP SEP-23 '!$E$8:$N$8</definedName>
    <definedName name="_xlnm.Print_Titles" localSheetId="0">'KEC BUB APRIL-23 '!$2:$2</definedName>
    <definedName name="_xlnm.Print_Titles" localSheetId="4">'KEC BUB AUG-23'!$2:$2</definedName>
    <definedName name="_xlnm.Print_Titles" localSheetId="12">'KEC BUB DEC-23'!$2:$2</definedName>
    <definedName name="_xlnm.Print_Titles" localSheetId="3">'KEC BUB JULY-23  '!$2:$2</definedName>
    <definedName name="_xlnm.Print_Titles" localSheetId="2">'KEC BUB JUN-23'!$2:$2</definedName>
    <definedName name="_xlnm.Print_Titles" localSheetId="1">'KEC BUB May-23'!$2:$2</definedName>
    <definedName name="_xlnm.Print_Titles" localSheetId="10">'KEC BUB Nov-23 '!$2:$2</definedName>
    <definedName name="_xlnm.Print_Titles" localSheetId="8">'KEC BUB OCT-23'!$2:$2</definedName>
    <definedName name="_xlnm.Print_Titles" localSheetId="6">'KEC BUB SEP-23 '!$2:$2</definedName>
    <definedName name="_xlnm.Print_Titles" localSheetId="5">'KEC JBP AUG-23'!$2:$2</definedName>
    <definedName name="_xlnm.Print_Titles" localSheetId="13">'KEC JBP DEC-23'!$2:$2</definedName>
    <definedName name="_xlnm.Print_Titles" localSheetId="11">'KEC JBP NOV-23 '!$2:$2</definedName>
    <definedName name="_xlnm.Print_Titles" localSheetId="9">'KEC JBP OCT-23'!$2:$2</definedName>
    <definedName name="_xlnm.Print_Titles" localSheetId="7">'KEC JBP SEP-23 '!$2:$2</definedName>
  </definedNames>
  <calcPr calcId="124519"/>
</workbook>
</file>

<file path=xl/calcChain.xml><?xml version="1.0" encoding="utf-8"?>
<calcChain xmlns="http://schemas.openxmlformats.org/spreadsheetml/2006/main">
  <c r="F159" i="146"/>
  <c r="F156"/>
  <c r="F116"/>
  <c r="F40"/>
  <c r="AE218"/>
  <c r="W218"/>
  <c r="V218"/>
  <c r="G218"/>
  <c r="F218"/>
  <c r="AA216"/>
  <c r="AB216" s="1"/>
  <c r="U216"/>
  <c r="V216" s="1"/>
  <c r="Y216" s="1"/>
  <c r="G216"/>
  <c r="AA215"/>
  <c r="AB215" s="1"/>
  <c r="U215"/>
  <c r="V215" s="1"/>
  <c r="Y215" s="1"/>
  <c r="G215"/>
  <c r="AA214"/>
  <c r="AB214" s="1"/>
  <c r="U214"/>
  <c r="V214" s="1"/>
  <c r="Y214" s="1"/>
  <c r="G214"/>
  <c r="AA213"/>
  <c r="AB213" s="1"/>
  <c r="U213"/>
  <c r="V213" s="1"/>
  <c r="Y213" s="1"/>
  <c r="G213"/>
  <c r="AA212"/>
  <c r="AB212" s="1"/>
  <c r="U212"/>
  <c r="V212" s="1"/>
  <c r="Y212" s="1"/>
  <c r="G212"/>
  <c r="AA211"/>
  <c r="AB211" s="1"/>
  <c r="U211"/>
  <c r="V211" s="1"/>
  <c r="Y211" s="1"/>
  <c r="G211"/>
  <c r="AB210"/>
  <c r="AA210"/>
  <c r="V210"/>
  <c r="Y210" s="1"/>
  <c r="U210"/>
  <c r="G210"/>
  <c r="AA209"/>
  <c r="AB209" s="1"/>
  <c r="V209"/>
  <c r="Y209" s="1"/>
  <c r="U209"/>
  <c r="G209"/>
  <c r="AA208"/>
  <c r="AB208" s="1"/>
  <c r="U208"/>
  <c r="V208" s="1"/>
  <c r="Y208" s="1"/>
  <c r="G208"/>
  <c r="AA207"/>
  <c r="AB207" s="1"/>
  <c r="U207"/>
  <c r="V207" s="1"/>
  <c r="Y207" s="1"/>
  <c r="G207"/>
  <c r="AA206"/>
  <c r="AB206" s="1"/>
  <c r="U206"/>
  <c r="V206" s="1"/>
  <c r="Y206" s="1"/>
  <c r="G206"/>
  <c r="AA205"/>
  <c r="AB205" s="1"/>
  <c r="U205"/>
  <c r="V205" s="1"/>
  <c r="Y205" s="1"/>
  <c r="G205"/>
  <c r="AA204"/>
  <c r="AB204" s="1"/>
  <c r="U204"/>
  <c r="V204" s="1"/>
  <c r="Y204" s="1"/>
  <c r="G204"/>
  <c r="AA203"/>
  <c r="AB203" s="1"/>
  <c r="U203"/>
  <c r="V203" s="1"/>
  <c r="Y203" s="1"/>
  <c r="G203"/>
  <c r="AA202"/>
  <c r="AB202" s="1"/>
  <c r="U202"/>
  <c r="V202" s="1"/>
  <c r="Y202" s="1"/>
  <c r="G202"/>
  <c r="AA201"/>
  <c r="AB201" s="1"/>
  <c r="U201"/>
  <c r="V201" s="1"/>
  <c r="Y201" s="1"/>
  <c r="G201"/>
  <c r="AA200"/>
  <c r="AB200" s="1"/>
  <c r="U200"/>
  <c r="V200" s="1"/>
  <c r="Y200" s="1"/>
  <c r="G200"/>
  <c r="AA199"/>
  <c r="AB199" s="1"/>
  <c r="U199"/>
  <c r="V199" s="1"/>
  <c r="Y199" s="1"/>
  <c r="G199"/>
  <c r="AA198"/>
  <c r="AB198" s="1"/>
  <c r="V198"/>
  <c r="Y198" s="1"/>
  <c r="U198"/>
  <c r="G198"/>
  <c r="AA197"/>
  <c r="AB197" s="1"/>
  <c r="V197"/>
  <c r="Y197" s="1"/>
  <c r="U197"/>
  <c r="G197"/>
  <c r="AA196"/>
  <c r="AB196" s="1"/>
  <c r="U196"/>
  <c r="V196" s="1"/>
  <c r="Y196" s="1"/>
  <c r="G196"/>
  <c r="AA195"/>
  <c r="AB195" s="1"/>
  <c r="U195"/>
  <c r="V195" s="1"/>
  <c r="Y195" s="1"/>
  <c r="G195"/>
  <c r="AA194"/>
  <c r="AB194" s="1"/>
  <c r="U194"/>
  <c r="V194" s="1"/>
  <c r="Y194" s="1"/>
  <c r="G194"/>
  <c r="AH192"/>
  <c r="AD192"/>
  <c r="W192"/>
  <c r="H192"/>
  <c r="F192"/>
  <c r="AI192" s="1"/>
  <c r="AA191"/>
  <c r="AB191" s="1"/>
  <c r="U191"/>
  <c r="V191" s="1"/>
  <c r="Y191" s="1"/>
  <c r="G191"/>
  <c r="AB190"/>
  <c r="AA190"/>
  <c r="AA192" s="1"/>
  <c r="AJ192" s="1"/>
  <c r="V190"/>
  <c r="Y190" s="1"/>
  <c r="U190"/>
  <c r="G190"/>
  <c r="G192" s="1"/>
  <c r="AH189"/>
  <c r="AD189"/>
  <c r="W189"/>
  <c r="H189"/>
  <c r="F189"/>
  <c r="AI189" s="1"/>
  <c r="AA188"/>
  <c r="AB188" s="1"/>
  <c r="U188"/>
  <c r="V188" s="1"/>
  <c r="Y188" s="1"/>
  <c r="G188"/>
  <c r="AA187"/>
  <c r="AB187" s="1"/>
  <c r="U187"/>
  <c r="V187" s="1"/>
  <c r="Y187" s="1"/>
  <c r="G187"/>
  <c r="AA186"/>
  <c r="AB186" s="1"/>
  <c r="U186"/>
  <c r="V186" s="1"/>
  <c r="Y186" s="1"/>
  <c r="G186"/>
  <c r="AA185"/>
  <c r="AB185" s="1"/>
  <c r="U185"/>
  <c r="V185" s="1"/>
  <c r="Y185" s="1"/>
  <c r="G185"/>
  <c r="AB184"/>
  <c r="AA184"/>
  <c r="V184"/>
  <c r="Y184" s="1"/>
  <c r="U184"/>
  <c r="G184"/>
  <c r="AA183"/>
  <c r="AB183" s="1"/>
  <c r="U183"/>
  <c r="V183" s="1"/>
  <c r="Y183" s="1"/>
  <c r="G183"/>
  <c r="AB182"/>
  <c r="AA182"/>
  <c r="V182"/>
  <c r="Y182" s="1"/>
  <c r="U182"/>
  <c r="G182"/>
  <c r="AA181"/>
  <c r="AB181" s="1"/>
  <c r="U181"/>
  <c r="V181" s="1"/>
  <c r="Y181" s="1"/>
  <c r="G181"/>
  <c r="AB180"/>
  <c r="AA180"/>
  <c r="V180"/>
  <c r="Y180" s="1"/>
  <c r="U180"/>
  <c r="G180"/>
  <c r="AA179"/>
  <c r="AB179" s="1"/>
  <c r="U179"/>
  <c r="V179" s="1"/>
  <c r="Y179" s="1"/>
  <c r="G179"/>
  <c r="AB178"/>
  <c r="AA178"/>
  <c r="V178"/>
  <c r="Y178" s="1"/>
  <c r="U178"/>
  <c r="G178"/>
  <c r="AA177"/>
  <c r="AB177" s="1"/>
  <c r="U177"/>
  <c r="V177" s="1"/>
  <c r="Y177" s="1"/>
  <c r="G177"/>
  <c r="AB176"/>
  <c r="AA176"/>
  <c r="V176"/>
  <c r="Y176" s="1"/>
  <c r="U176"/>
  <c r="G176"/>
  <c r="AA175"/>
  <c r="AB175" s="1"/>
  <c r="U175"/>
  <c r="V175" s="1"/>
  <c r="Y175" s="1"/>
  <c r="G175"/>
  <c r="AB174"/>
  <c r="AA174"/>
  <c r="V174"/>
  <c r="Y174" s="1"/>
  <c r="U174"/>
  <c r="G174"/>
  <c r="AA173"/>
  <c r="AB173" s="1"/>
  <c r="U173"/>
  <c r="V173" s="1"/>
  <c r="Y173" s="1"/>
  <c r="G173"/>
  <c r="AB172"/>
  <c r="AA172"/>
  <c r="V172"/>
  <c r="Y172" s="1"/>
  <c r="U172"/>
  <c r="G172"/>
  <c r="AA171"/>
  <c r="AB171" s="1"/>
  <c r="U171"/>
  <c r="V171" s="1"/>
  <c r="Y171" s="1"/>
  <c r="G171"/>
  <c r="AB170"/>
  <c r="AA170"/>
  <c r="V170"/>
  <c r="Y170" s="1"/>
  <c r="U170"/>
  <c r="G170"/>
  <c r="AA169"/>
  <c r="AB169" s="1"/>
  <c r="U169"/>
  <c r="V169" s="1"/>
  <c r="Y169" s="1"/>
  <c r="G169"/>
  <c r="AB168"/>
  <c r="AA168"/>
  <c r="V168"/>
  <c r="Y168" s="1"/>
  <c r="U168"/>
  <c r="G168"/>
  <c r="AA167"/>
  <c r="AB167" s="1"/>
  <c r="U167"/>
  <c r="V167" s="1"/>
  <c r="Y167" s="1"/>
  <c r="G167"/>
  <c r="AB166"/>
  <c r="AA166"/>
  <c r="V166"/>
  <c r="Y166" s="1"/>
  <c r="U166"/>
  <c r="G166"/>
  <c r="AA165"/>
  <c r="AA189" s="1"/>
  <c r="AJ189" s="1"/>
  <c r="U165"/>
  <c r="V165" s="1"/>
  <c r="Y165" s="1"/>
  <c r="G165"/>
  <c r="U193"/>
  <c r="U163"/>
  <c r="U162"/>
  <c r="U161"/>
  <c r="U160"/>
  <c r="Y192" l="1"/>
  <c r="AB192"/>
  <c r="X194"/>
  <c r="AE194" s="1"/>
  <c r="X195"/>
  <c r="AE195" s="1"/>
  <c r="X196"/>
  <c r="AE196" s="1"/>
  <c r="X197"/>
  <c r="AE197" s="1"/>
  <c r="X198"/>
  <c r="AE198" s="1"/>
  <c r="X199"/>
  <c r="AE199" s="1"/>
  <c r="X200"/>
  <c r="AE200" s="1"/>
  <c r="X201"/>
  <c r="AE201" s="1"/>
  <c r="X202"/>
  <c r="AE202" s="1"/>
  <c r="X203"/>
  <c r="AE203" s="1"/>
  <c r="X204"/>
  <c r="AE204" s="1"/>
  <c r="X205"/>
  <c r="AE205" s="1"/>
  <c r="X206"/>
  <c r="AE206" s="1"/>
  <c r="X207"/>
  <c r="AE207" s="1"/>
  <c r="X208"/>
  <c r="AE208" s="1"/>
  <c r="X209"/>
  <c r="AE209" s="1"/>
  <c r="X210"/>
  <c r="AE210" s="1"/>
  <c r="X211"/>
  <c r="AE211" s="1"/>
  <c r="X212"/>
  <c r="AE212" s="1"/>
  <c r="X213"/>
  <c r="AE213" s="1"/>
  <c r="X214"/>
  <c r="AE214" s="1"/>
  <c r="X215"/>
  <c r="AE215" s="1"/>
  <c r="X216"/>
  <c r="AE216" s="1"/>
  <c r="X190"/>
  <c r="X191"/>
  <c r="AE191" s="1"/>
  <c r="V192"/>
  <c r="AA193"/>
  <c r="AB193" s="1"/>
  <c r="F217"/>
  <c r="V193"/>
  <c r="X193" s="1"/>
  <c r="G189"/>
  <c r="AB165"/>
  <c r="AB189" s="1"/>
  <c r="Y189"/>
  <c r="X165"/>
  <c r="X166"/>
  <c r="AE166" s="1"/>
  <c r="X167"/>
  <c r="AE167" s="1"/>
  <c r="X168"/>
  <c r="AE168" s="1"/>
  <c r="X169"/>
  <c r="AE169" s="1"/>
  <c r="X170"/>
  <c r="AE170" s="1"/>
  <c r="X171"/>
  <c r="AE171" s="1"/>
  <c r="X172"/>
  <c r="AE172" s="1"/>
  <c r="X173"/>
  <c r="AE173" s="1"/>
  <c r="X174"/>
  <c r="AE174" s="1"/>
  <c r="X175"/>
  <c r="AE175" s="1"/>
  <c r="X176"/>
  <c r="AE176" s="1"/>
  <c r="X177"/>
  <c r="AE177" s="1"/>
  <c r="X178"/>
  <c r="AE178" s="1"/>
  <c r="X179"/>
  <c r="AE179" s="1"/>
  <c r="X180"/>
  <c r="AE180" s="1"/>
  <c r="X181"/>
  <c r="AE181" s="1"/>
  <c r="X182"/>
  <c r="AE182" s="1"/>
  <c r="X183"/>
  <c r="AE183" s="1"/>
  <c r="X184"/>
  <c r="AE184" s="1"/>
  <c r="X185"/>
  <c r="AE185" s="1"/>
  <c r="X186"/>
  <c r="AE186" s="1"/>
  <c r="X187"/>
  <c r="AE187" s="1"/>
  <c r="X188"/>
  <c r="AE188" s="1"/>
  <c r="V189"/>
  <c r="Y193" l="1"/>
  <c r="AE193" s="1"/>
  <c r="X192"/>
  <c r="AE190"/>
  <c r="AE192" s="1"/>
  <c r="AE165"/>
  <c r="X189"/>
  <c r="AE189"/>
  <c r="AH164" l="1"/>
  <c r="AD164"/>
  <c r="W164"/>
  <c r="H164"/>
  <c r="F164"/>
  <c r="AA163"/>
  <c r="AB163" s="1"/>
  <c r="V163"/>
  <c r="Y163" s="1"/>
  <c r="G163"/>
  <c r="AA162"/>
  <c r="AB162" s="1"/>
  <c r="V162"/>
  <c r="X162" s="1"/>
  <c r="G162"/>
  <c r="AA161"/>
  <c r="AB161" s="1"/>
  <c r="V161"/>
  <c r="Y161" s="1"/>
  <c r="G161"/>
  <c r="AA160"/>
  <c r="AB160" s="1"/>
  <c r="V160"/>
  <c r="X160" s="1"/>
  <c r="G160"/>
  <c r="X163" l="1"/>
  <c r="AB164"/>
  <c r="G164"/>
  <c r="X161"/>
  <c r="X164" s="1"/>
  <c r="AI164"/>
  <c r="AE161"/>
  <c r="AE163"/>
  <c r="Y160"/>
  <c r="Y162"/>
  <c r="AE162" s="1"/>
  <c r="V164"/>
  <c r="AA164"/>
  <c r="AJ164" s="1"/>
  <c r="AE160"/>
  <c r="AE164" l="1"/>
  <c r="Y164"/>
  <c r="AH159" l="1"/>
  <c r="AD159"/>
  <c r="W159"/>
  <c r="H159"/>
  <c r="AI159"/>
  <c r="AA158"/>
  <c r="AB158" s="1"/>
  <c r="V158"/>
  <c r="X158" s="1"/>
  <c r="U158"/>
  <c r="G158"/>
  <c r="AA157"/>
  <c r="AA159" s="1"/>
  <c r="AJ159" s="1"/>
  <c r="U157"/>
  <c r="V157" s="1"/>
  <c r="V159" s="1"/>
  <c r="G157"/>
  <c r="AA125"/>
  <c r="AB125" s="1"/>
  <c r="U125"/>
  <c r="V125" s="1"/>
  <c r="X125" s="1"/>
  <c r="U124"/>
  <c r="U121"/>
  <c r="U120"/>
  <c r="AA123"/>
  <c r="AB123" s="1"/>
  <c r="U123"/>
  <c r="V123" s="1"/>
  <c r="AA124"/>
  <c r="AB124" s="1"/>
  <c r="AA122"/>
  <c r="AB122" s="1"/>
  <c r="AA121"/>
  <c r="AB121" s="1"/>
  <c r="AA120"/>
  <c r="AB120" s="1"/>
  <c r="U122"/>
  <c r="AH156"/>
  <c r="AD156"/>
  <c r="W156"/>
  <c r="H156"/>
  <c r="AI156"/>
  <c r="AA155"/>
  <c r="AB155" s="1"/>
  <c r="U155"/>
  <c r="V155" s="1"/>
  <c r="Y155" s="1"/>
  <c r="G155"/>
  <c r="AA154"/>
  <c r="AB154" s="1"/>
  <c r="U154"/>
  <c r="V154" s="1"/>
  <c r="G154"/>
  <c r="AH217"/>
  <c r="AD217"/>
  <c r="W217"/>
  <c r="H217"/>
  <c r="AI217"/>
  <c r="G193"/>
  <c r="AA152"/>
  <c r="AB152" s="1"/>
  <c r="U152"/>
  <c r="V152" s="1"/>
  <c r="X152" s="1"/>
  <c r="G152"/>
  <c r="AA150"/>
  <c r="AB150" s="1"/>
  <c r="U150"/>
  <c r="V150" s="1"/>
  <c r="Y150" s="1"/>
  <c r="G150"/>
  <c r="AA148"/>
  <c r="AB148" s="1"/>
  <c r="U148"/>
  <c r="V148" s="1"/>
  <c r="X148" s="1"/>
  <c r="G148"/>
  <c r="AA146"/>
  <c r="AB146" s="1"/>
  <c r="U146"/>
  <c r="V146" s="1"/>
  <c r="Y146" s="1"/>
  <c r="G146"/>
  <c r="AA144"/>
  <c r="AB144" s="1"/>
  <c r="U144"/>
  <c r="V144" s="1"/>
  <c r="X144" s="1"/>
  <c r="G144"/>
  <c r="AA142"/>
  <c r="AB142" s="1"/>
  <c r="U142"/>
  <c r="V142" s="1"/>
  <c r="Y142" s="1"/>
  <c r="G142"/>
  <c r="AA140"/>
  <c r="AB140" s="1"/>
  <c r="U140"/>
  <c r="V140" s="1"/>
  <c r="X140" s="1"/>
  <c r="G140"/>
  <c r="AA138"/>
  <c r="AB138" s="1"/>
  <c r="U138"/>
  <c r="V138" s="1"/>
  <c r="Y138" s="1"/>
  <c r="G138"/>
  <c r="AA136"/>
  <c r="AB136" s="1"/>
  <c r="U136"/>
  <c r="V136" s="1"/>
  <c r="X136" s="1"/>
  <c r="G136"/>
  <c r="AA134"/>
  <c r="AB134" s="1"/>
  <c r="U134"/>
  <c r="V134" s="1"/>
  <c r="X134" s="1"/>
  <c r="G134"/>
  <c r="AA132"/>
  <c r="AB132" s="1"/>
  <c r="U132"/>
  <c r="V132" s="1"/>
  <c r="X132" s="1"/>
  <c r="G132"/>
  <c r="AA130"/>
  <c r="AB130" s="1"/>
  <c r="U130"/>
  <c r="V130" s="1"/>
  <c r="X130" s="1"/>
  <c r="G130"/>
  <c r="AA128"/>
  <c r="AB128" s="1"/>
  <c r="U128"/>
  <c r="V128" s="1"/>
  <c r="X128" s="1"/>
  <c r="G128"/>
  <c r="AA151"/>
  <c r="AB151" s="1"/>
  <c r="U151"/>
  <c r="V151" s="1"/>
  <c r="Y151" s="1"/>
  <c r="G151"/>
  <c r="AA149"/>
  <c r="AB149" s="1"/>
  <c r="U149"/>
  <c r="V149" s="1"/>
  <c r="Y149" s="1"/>
  <c r="G149"/>
  <c r="AA147"/>
  <c r="AB147" s="1"/>
  <c r="U147"/>
  <c r="V147" s="1"/>
  <c r="Y147" s="1"/>
  <c r="G147"/>
  <c r="AA145"/>
  <c r="AB145" s="1"/>
  <c r="U145"/>
  <c r="V145" s="1"/>
  <c r="Y145" s="1"/>
  <c r="G145"/>
  <c r="AA143"/>
  <c r="AB143" s="1"/>
  <c r="U143"/>
  <c r="V143" s="1"/>
  <c r="AA141"/>
  <c r="AB141" s="1"/>
  <c r="U141"/>
  <c r="V141" s="1"/>
  <c r="X141" s="1"/>
  <c r="AA139"/>
  <c r="AB139" s="1"/>
  <c r="U139"/>
  <c r="V139" s="1"/>
  <c r="AA137"/>
  <c r="AB137" s="1"/>
  <c r="U137"/>
  <c r="V137" s="1"/>
  <c r="X137" s="1"/>
  <c r="AA135"/>
  <c r="AB135" s="1"/>
  <c r="U135"/>
  <c r="V135" s="1"/>
  <c r="AA133"/>
  <c r="AB133" s="1"/>
  <c r="U133"/>
  <c r="V133" s="1"/>
  <c r="X133" s="1"/>
  <c r="AA131"/>
  <c r="AB131" s="1"/>
  <c r="U131"/>
  <c r="V131" s="1"/>
  <c r="AA129"/>
  <c r="AB129" s="1"/>
  <c r="U129"/>
  <c r="V129" s="1"/>
  <c r="X129" s="1"/>
  <c r="AA127"/>
  <c r="AB127" s="1"/>
  <c r="U127"/>
  <c r="G141"/>
  <c r="G139"/>
  <c r="G137"/>
  <c r="G135"/>
  <c r="G133"/>
  <c r="AH126"/>
  <c r="AD126"/>
  <c r="W126"/>
  <c r="H126"/>
  <c r="F126"/>
  <c r="G125"/>
  <c r="V124"/>
  <c r="X124" s="1"/>
  <c r="G124"/>
  <c r="G123"/>
  <c r="V122"/>
  <c r="X122" s="1"/>
  <c r="G122"/>
  <c r="V121"/>
  <c r="Y121" s="1"/>
  <c r="G121"/>
  <c r="V120"/>
  <c r="Y120" s="1"/>
  <c r="G120"/>
  <c r="W41" i="147"/>
  <c r="W40"/>
  <c r="W39"/>
  <c r="W38"/>
  <c r="W37"/>
  <c r="W36"/>
  <c r="U118" i="146"/>
  <c r="V118" s="1"/>
  <c r="F153"/>
  <c r="H153"/>
  <c r="H119"/>
  <c r="H116"/>
  <c r="AH153"/>
  <c r="F119"/>
  <c r="AH116"/>
  <c r="AE116"/>
  <c r="AB116"/>
  <c r="AA116"/>
  <c r="Y116"/>
  <c r="X116"/>
  <c r="V116"/>
  <c r="G116"/>
  <c r="H218" l="1"/>
  <c r="G159"/>
  <c r="AB157"/>
  <c r="G217"/>
  <c r="Y157"/>
  <c r="Y158"/>
  <c r="AE158" s="1"/>
  <c r="AB159"/>
  <c r="X157"/>
  <c r="X159" s="1"/>
  <c r="AA126"/>
  <c r="AJ126" s="1"/>
  <c r="Y125"/>
  <c r="AE125" s="1"/>
  <c r="X123"/>
  <c r="Y123"/>
  <c r="AA217"/>
  <c r="AJ217" s="1"/>
  <c r="G156"/>
  <c r="AB217"/>
  <c r="Y154"/>
  <c r="Y156" s="1"/>
  <c r="V156"/>
  <c r="X154"/>
  <c r="AB156"/>
  <c r="AE154"/>
  <c r="X155"/>
  <c r="AE155" s="1"/>
  <c r="AA156"/>
  <c r="AJ156" s="1"/>
  <c r="Y217"/>
  <c r="V217"/>
  <c r="Y136"/>
  <c r="AE136" s="1"/>
  <c r="Y152"/>
  <c r="AE152" s="1"/>
  <c r="X150"/>
  <c r="AE150" s="1"/>
  <c r="Y148"/>
  <c r="AE148" s="1"/>
  <c r="X146"/>
  <c r="AE146" s="1"/>
  <c r="Y144"/>
  <c r="AE144" s="1"/>
  <c r="X142"/>
  <c r="AE142" s="1"/>
  <c r="Y140"/>
  <c r="AE140" s="1"/>
  <c r="X138"/>
  <c r="AE138" s="1"/>
  <c r="Y134"/>
  <c r="AE134" s="1"/>
  <c r="Y132"/>
  <c r="AE132" s="1"/>
  <c r="Y130"/>
  <c r="AE130" s="1"/>
  <c r="Y128"/>
  <c r="AE128" s="1"/>
  <c r="G126"/>
  <c r="X121"/>
  <c r="AE121" s="1"/>
  <c r="Y118"/>
  <c r="X118"/>
  <c r="AB126"/>
  <c r="AI126"/>
  <c r="X145"/>
  <c r="AE145" s="1"/>
  <c r="X147"/>
  <c r="AE147" s="1"/>
  <c r="X149"/>
  <c r="AE149" s="1"/>
  <c r="X151"/>
  <c r="AE151" s="1"/>
  <c r="Y131"/>
  <c r="X131"/>
  <c r="Y135"/>
  <c r="X135"/>
  <c r="Y139"/>
  <c r="X139"/>
  <c r="Y143"/>
  <c r="X143"/>
  <c r="Y137"/>
  <c r="AE137" s="1"/>
  <c r="Y141"/>
  <c r="AE141" s="1"/>
  <c r="Y129"/>
  <c r="AE129" s="1"/>
  <c r="Y133"/>
  <c r="AE133" s="1"/>
  <c r="Y122"/>
  <c r="AE122" s="1"/>
  <c r="Y124"/>
  <c r="AE124" s="1"/>
  <c r="X120"/>
  <c r="AE120" s="1"/>
  <c r="V126"/>
  <c r="V127"/>
  <c r="G143"/>
  <c r="G131"/>
  <c r="G129"/>
  <c r="G127"/>
  <c r="G118"/>
  <c r="G117"/>
  <c r="G98"/>
  <c r="G97"/>
  <c r="G96"/>
  <c r="G95"/>
  <c r="G94"/>
  <c r="G93"/>
  <c r="G92"/>
  <c r="G91"/>
  <c r="G90"/>
  <c r="G89"/>
  <c r="AE123" l="1"/>
  <c r="AE157"/>
  <c r="AE159" s="1"/>
  <c r="Y159"/>
  <c r="AE156"/>
  <c r="X156"/>
  <c r="AE217"/>
  <c r="X217"/>
  <c r="AE135"/>
  <c r="AE143"/>
  <c r="AE139"/>
  <c r="G119"/>
  <c r="G153"/>
  <c r="X126"/>
  <c r="Y126"/>
  <c r="AE131"/>
  <c r="Y127"/>
  <c r="X127"/>
  <c r="AE126"/>
  <c r="AH119"/>
  <c r="AD119"/>
  <c r="W119"/>
  <c r="AA118"/>
  <c r="AB118" s="1"/>
  <c r="AE118" s="1"/>
  <c r="E118"/>
  <c r="AA117"/>
  <c r="U117"/>
  <c r="V117" s="1"/>
  <c r="V119" l="1"/>
  <c r="X117"/>
  <c r="X119" s="1"/>
  <c r="AB117"/>
  <c r="AB119" s="1"/>
  <c r="AA119"/>
  <c r="AI119"/>
  <c r="Y117"/>
  <c r="Y119" s="1"/>
  <c r="AD116"/>
  <c r="W116"/>
  <c r="AE117" l="1"/>
  <c r="AE119" s="1"/>
  <c r="AJ119"/>
  <c r="AI116"/>
  <c r="AJ116" l="1"/>
  <c r="AB153"/>
  <c r="V153" l="1"/>
  <c r="AE127"/>
  <c r="X153"/>
  <c r="Y153" l="1"/>
  <c r="AH99" l="1"/>
  <c r="AD99"/>
  <c r="W99"/>
  <c r="H99"/>
  <c r="F99"/>
  <c r="AI99" s="1"/>
  <c r="AA98"/>
  <c r="AB98" s="1"/>
  <c r="U98"/>
  <c r="V98" s="1"/>
  <c r="AA97"/>
  <c r="AB97" s="1"/>
  <c r="U97"/>
  <c r="V97" s="1"/>
  <c r="Y97" s="1"/>
  <c r="AA96"/>
  <c r="AB96" s="1"/>
  <c r="U96"/>
  <c r="V96" s="1"/>
  <c r="Y96" s="1"/>
  <c r="AA95"/>
  <c r="AB95" s="1"/>
  <c r="U95"/>
  <c r="V95" s="1"/>
  <c r="Y95" s="1"/>
  <c r="AA94"/>
  <c r="AB94" s="1"/>
  <c r="U94"/>
  <c r="V94" s="1"/>
  <c r="Y94" s="1"/>
  <c r="AA93"/>
  <c r="AB93" s="1"/>
  <c r="U93"/>
  <c r="V93" s="1"/>
  <c r="Y93" s="1"/>
  <c r="AA92"/>
  <c r="AB92" s="1"/>
  <c r="U92"/>
  <c r="V92" s="1"/>
  <c r="Y92" s="1"/>
  <c r="AA91"/>
  <c r="AB91" s="1"/>
  <c r="U91"/>
  <c r="V91" s="1"/>
  <c r="X91" s="1"/>
  <c r="AA90"/>
  <c r="AB90" s="1"/>
  <c r="U90"/>
  <c r="V90" s="1"/>
  <c r="Y90" s="1"/>
  <c r="AA89"/>
  <c r="U89"/>
  <c r="V89" s="1"/>
  <c r="F30" i="145"/>
  <c r="F75" i="147"/>
  <c r="AA74"/>
  <c r="AB74" s="1"/>
  <c r="U74"/>
  <c r="V74" s="1"/>
  <c r="W74" s="1"/>
  <c r="G74"/>
  <c r="AA73"/>
  <c r="AB73" s="1"/>
  <c r="U73"/>
  <c r="V73" s="1"/>
  <c r="W73" s="1"/>
  <c r="G73"/>
  <c r="AA72"/>
  <c r="AB72" s="1"/>
  <c r="U72"/>
  <c r="V72" s="1"/>
  <c r="W72" s="1"/>
  <c r="G72"/>
  <c r="AA71"/>
  <c r="AB71" s="1"/>
  <c r="U71"/>
  <c r="V71" s="1"/>
  <c r="W71" s="1"/>
  <c r="G71"/>
  <c r="AA70"/>
  <c r="AB70" s="1"/>
  <c r="U70"/>
  <c r="V70" s="1"/>
  <c r="W70" s="1"/>
  <c r="G70"/>
  <c r="AA69"/>
  <c r="AB69" s="1"/>
  <c r="U69"/>
  <c r="V69" s="1"/>
  <c r="W69" s="1"/>
  <c r="G69"/>
  <c r="AA68"/>
  <c r="AB68" s="1"/>
  <c r="U68"/>
  <c r="V68" s="1"/>
  <c r="W68" s="1"/>
  <c r="G68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H88" i="146"/>
  <c r="AD88"/>
  <c r="W88"/>
  <c r="H88"/>
  <c r="F88"/>
  <c r="AI88" s="1"/>
  <c r="AA87"/>
  <c r="AB87" s="1"/>
  <c r="U87"/>
  <c r="V87" s="1"/>
  <c r="Y87" s="1"/>
  <c r="G87"/>
  <c r="AA86"/>
  <c r="AB86" s="1"/>
  <c r="U86"/>
  <c r="V86" s="1"/>
  <c r="Y86" s="1"/>
  <c r="G86"/>
  <c r="AA85"/>
  <c r="AB85" s="1"/>
  <c r="U85"/>
  <c r="V85" s="1"/>
  <c r="Y85" s="1"/>
  <c r="G85"/>
  <c r="AA84"/>
  <c r="AB84" s="1"/>
  <c r="U84"/>
  <c r="V84" s="1"/>
  <c r="Y84" s="1"/>
  <c r="G84"/>
  <c r="AA83"/>
  <c r="AB83" s="1"/>
  <c r="U83"/>
  <c r="V83" s="1"/>
  <c r="Y83" s="1"/>
  <c r="G83"/>
  <c r="AA82"/>
  <c r="AB82" s="1"/>
  <c r="U82"/>
  <c r="V82" s="1"/>
  <c r="Y82" s="1"/>
  <c r="G82"/>
  <c r="AA40" i="147"/>
  <c r="AB40" s="1"/>
  <c r="U40"/>
  <c r="V40" s="1"/>
  <c r="G40"/>
  <c r="AA39"/>
  <c r="AB39" s="1"/>
  <c r="U39"/>
  <c r="V39" s="1"/>
  <c r="G39"/>
  <c r="AA38"/>
  <c r="AB38" s="1"/>
  <c r="U38"/>
  <c r="V38" s="1"/>
  <c r="G38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AA42"/>
  <c r="AB42" s="1"/>
  <c r="U42"/>
  <c r="V42" s="1"/>
  <c r="W42" s="1"/>
  <c r="G42"/>
  <c r="AA41"/>
  <c r="AB41" s="1"/>
  <c r="U41"/>
  <c r="V41" s="1"/>
  <c r="G41"/>
  <c r="AA37"/>
  <c r="AB37" s="1"/>
  <c r="U37"/>
  <c r="V37" s="1"/>
  <c r="G37"/>
  <c r="AD34"/>
  <c r="Y34"/>
  <c r="X34"/>
  <c r="H34"/>
  <c r="F34"/>
  <c r="AH33"/>
  <c r="AA33"/>
  <c r="AB33" s="1"/>
  <c r="U33"/>
  <c r="V33" s="1"/>
  <c r="W33" s="1"/>
  <c r="G33"/>
  <c r="AH32"/>
  <c r="AA32"/>
  <c r="AB32" s="1"/>
  <c r="U32"/>
  <c r="V32" s="1"/>
  <c r="W32" s="1"/>
  <c r="G32"/>
  <c r="AH31"/>
  <c r="AA31"/>
  <c r="AB31" s="1"/>
  <c r="U31"/>
  <c r="V31" s="1"/>
  <c r="W31" s="1"/>
  <c r="G31"/>
  <c r="AH30"/>
  <c r="AA30"/>
  <c r="AB30" s="1"/>
  <c r="U30"/>
  <c r="V30" s="1"/>
  <c r="W30" s="1"/>
  <c r="G30"/>
  <c r="AH29"/>
  <c r="AA29"/>
  <c r="AB29" s="1"/>
  <c r="U29"/>
  <c r="V29" s="1"/>
  <c r="W29" s="1"/>
  <c r="G29"/>
  <c r="AH28"/>
  <c r="AA28"/>
  <c r="U28"/>
  <c r="V28" s="1"/>
  <c r="G28"/>
  <c r="Y98" i="146" l="1"/>
  <c r="X98"/>
  <c r="AA99"/>
  <c r="AJ99" s="1"/>
  <c r="G99"/>
  <c r="AB89"/>
  <c r="V99"/>
  <c r="AB99"/>
  <c r="Y89"/>
  <c r="Y91"/>
  <c r="AE91" s="1"/>
  <c r="X89"/>
  <c r="X90"/>
  <c r="AE90" s="1"/>
  <c r="X92"/>
  <c r="AE92" s="1"/>
  <c r="X93"/>
  <c r="AE93" s="1"/>
  <c r="X94"/>
  <c r="AE94" s="1"/>
  <c r="X95"/>
  <c r="AE95" s="1"/>
  <c r="X96"/>
  <c r="AE96" s="1"/>
  <c r="X97"/>
  <c r="AE97" s="1"/>
  <c r="AE98"/>
  <c r="G88"/>
  <c r="G34" i="147"/>
  <c r="AH34"/>
  <c r="AI34" s="1"/>
  <c r="V34"/>
  <c r="AA34"/>
  <c r="AJ34" s="1"/>
  <c r="AE30"/>
  <c r="AE32"/>
  <c r="AE58"/>
  <c r="AE59"/>
  <c r="AE62"/>
  <c r="AE63"/>
  <c r="AE66"/>
  <c r="AE67"/>
  <c r="AE70"/>
  <c r="AE71"/>
  <c r="AE74"/>
  <c r="AE57"/>
  <c r="AE60"/>
  <c r="AE61"/>
  <c r="AE64"/>
  <c r="AE65"/>
  <c r="AE68"/>
  <c r="AE69"/>
  <c r="AE72"/>
  <c r="AE73"/>
  <c r="AE41"/>
  <c r="AE44"/>
  <c r="AE45"/>
  <c r="AE48"/>
  <c r="AE49"/>
  <c r="AE52"/>
  <c r="AE53"/>
  <c r="AE56"/>
  <c r="AB88" i="146"/>
  <c r="AA88"/>
  <c r="AJ88" s="1"/>
  <c r="Y88"/>
  <c r="X82"/>
  <c r="AE82" s="1"/>
  <c r="X83"/>
  <c r="AE83" s="1"/>
  <c r="X84"/>
  <c r="AE84" s="1"/>
  <c r="X85"/>
  <c r="AE85" s="1"/>
  <c r="X86"/>
  <c r="AE86" s="1"/>
  <c r="X87"/>
  <c r="AE87" s="1"/>
  <c r="V88"/>
  <c r="AE40" i="147"/>
  <c r="AE38"/>
  <c r="AE39"/>
  <c r="AE37"/>
  <c r="AE42"/>
  <c r="AE43"/>
  <c r="AE46"/>
  <c r="AE47"/>
  <c r="AE50"/>
  <c r="AE51"/>
  <c r="AE54"/>
  <c r="AE55"/>
  <c r="AE29"/>
  <c r="AE31"/>
  <c r="AE33"/>
  <c r="W28"/>
  <c r="W34" s="1"/>
  <c r="AB28"/>
  <c r="Y99" i="146" l="1"/>
  <c r="X99"/>
  <c r="AE89"/>
  <c r="AE99" s="1"/>
  <c r="AE88"/>
  <c r="X88"/>
  <c r="AB34" i="147"/>
  <c r="AE28"/>
  <c r="AE34" s="1"/>
  <c r="AD81" i="146" l="1"/>
  <c r="W81"/>
  <c r="H81"/>
  <c r="F81"/>
  <c r="E81" s="1"/>
  <c r="AH80"/>
  <c r="AA80"/>
  <c r="AB80" s="1"/>
  <c r="U80"/>
  <c r="V80" s="1"/>
  <c r="X80" s="1"/>
  <c r="G80"/>
  <c r="AH79"/>
  <c r="AA79"/>
  <c r="AB79" s="1"/>
  <c r="U79"/>
  <c r="V79" s="1"/>
  <c r="G79"/>
  <c r="AH78"/>
  <c r="AA78"/>
  <c r="AB78" s="1"/>
  <c r="U78"/>
  <c r="V78" s="1"/>
  <c r="X78" s="1"/>
  <c r="G78"/>
  <c r="AH77"/>
  <c r="AH81" s="1"/>
  <c r="AA77"/>
  <c r="AA81" s="1"/>
  <c r="AJ81" s="1"/>
  <c r="U77"/>
  <c r="V77" s="1"/>
  <c r="G77"/>
  <c r="G81" s="1"/>
  <c r="AI81" l="1"/>
  <c r="V81"/>
  <c r="Y77"/>
  <c r="X77"/>
  <c r="Y79"/>
  <c r="X79"/>
  <c r="Y78"/>
  <c r="AE78" s="1"/>
  <c r="Y80"/>
  <c r="AE80" s="1"/>
  <c r="AB77"/>
  <c r="AE79" l="1"/>
  <c r="AB81"/>
  <c r="AE77"/>
  <c r="AE81" s="1"/>
  <c r="Y81"/>
  <c r="X81"/>
  <c r="AH73"/>
  <c r="AH74"/>
  <c r="AH71"/>
  <c r="AH70"/>
  <c r="AH69"/>
  <c r="AH54" l="1"/>
  <c r="AH42"/>
  <c r="AH41"/>
  <c r="AH39"/>
  <c r="AH71" i="144" l="1"/>
  <c r="AH15" i="147"/>
  <c r="AH20"/>
  <c r="AH24"/>
  <c r="AH25" l="1"/>
  <c r="AH26"/>
  <c r="AH21"/>
  <c r="AH19"/>
  <c r="AH18"/>
  <c r="AH23"/>
  <c r="AH22"/>
  <c r="AH16"/>
  <c r="AH17" s="1"/>
  <c r="AH6"/>
  <c r="AH9"/>
  <c r="AH11"/>
  <c r="AH8"/>
  <c r="AH12"/>
  <c r="AH7"/>
  <c r="AH13"/>
  <c r="AH4"/>
  <c r="AH3" l="1"/>
  <c r="AH5"/>
  <c r="AH76" i="146" l="1"/>
  <c r="AD76"/>
  <c r="W76"/>
  <c r="H76"/>
  <c r="F76"/>
  <c r="E76" s="1"/>
  <c r="AA75"/>
  <c r="AB75" s="1"/>
  <c r="U75"/>
  <c r="V75" s="1"/>
  <c r="G75"/>
  <c r="AA74"/>
  <c r="AB74" s="1"/>
  <c r="U74"/>
  <c r="V74" s="1"/>
  <c r="G74"/>
  <c r="AA73"/>
  <c r="U73"/>
  <c r="V73" s="1"/>
  <c r="G73"/>
  <c r="AH72"/>
  <c r="AD72"/>
  <c r="W72"/>
  <c r="H72"/>
  <c r="F72"/>
  <c r="E72" s="1"/>
  <c r="AA71"/>
  <c r="AB71" s="1"/>
  <c r="U71"/>
  <c r="V71" s="1"/>
  <c r="X71" s="1"/>
  <c r="G71"/>
  <c r="AA70"/>
  <c r="AB70" s="1"/>
  <c r="U70"/>
  <c r="V70" s="1"/>
  <c r="X70" s="1"/>
  <c r="G70"/>
  <c r="AA69"/>
  <c r="AB69" s="1"/>
  <c r="U69"/>
  <c r="V69" s="1"/>
  <c r="X69" s="1"/>
  <c r="G69"/>
  <c r="AH68"/>
  <c r="AD68"/>
  <c r="Y68"/>
  <c r="X68"/>
  <c r="H68"/>
  <c r="F68"/>
  <c r="E68" s="1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G68" l="1"/>
  <c r="G76"/>
  <c r="AA76"/>
  <c r="AJ76" s="1"/>
  <c r="AI76"/>
  <c r="G72"/>
  <c r="AA72"/>
  <c r="AJ72" s="1"/>
  <c r="X73"/>
  <c r="V76"/>
  <c r="Y73"/>
  <c r="X75"/>
  <c r="Y75"/>
  <c r="X74"/>
  <c r="Y74"/>
  <c r="AB73"/>
  <c r="AB72"/>
  <c r="AI72"/>
  <c r="X72"/>
  <c r="Y71"/>
  <c r="AE71" s="1"/>
  <c r="Y69"/>
  <c r="AE69" s="1"/>
  <c r="Y70"/>
  <c r="AE70" s="1"/>
  <c r="V72"/>
  <c r="AE60"/>
  <c r="AE64"/>
  <c r="AE66"/>
  <c r="AI68"/>
  <c r="AE58"/>
  <c r="AE62"/>
  <c r="AB68"/>
  <c r="AE56"/>
  <c r="AE57"/>
  <c r="AE59"/>
  <c r="AE61"/>
  <c r="AE63"/>
  <c r="AE65"/>
  <c r="AE67"/>
  <c r="W68"/>
  <c r="V68"/>
  <c r="AA68"/>
  <c r="AJ68" s="1"/>
  <c r="AE74" l="1"/>
  <c r="AE75"/>
  <c r="AB76"/>
  <c r="AE73"/>
  <c r="Y76"/>
  <c r="X76"/>
  <c r="AE72"/>
  <c r="Y72"/>
  <c r="AE68"/>
  <c r="AE76" l="1"/>
  <c r="AA36" i="147"/>
  <c r="AB36" s="1"/>
  <c r="U36"/>
  <c r="V36" s="1"/>
  <c r="G36"/>
  <c r="AH27"/>
  <c r="AD27"/>
  <c r="Y27"/>
  <c r="X27"/>
  <c r="F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W19" s="1"/>
  <c r="G19"/>
  <c r="AA18"/>
  <c r="AB18" s="1"/>
  <c r="U18"/>
  <c r="V18" s="1"/>
  <c r="W18" s="1"/>
  <c r="H18"/>
  <c r="H27" s="1"/>
  <c r="G18"/>
  <c r="AD17"/>
  <c r="Y17"/>
  <c r="X17"/>
  <c r="H17"/>
  <c r="F17"/>
  <c r="AA16"/>
  <c r="AB16" s="1"/>
  <c r="U16"/>
  <c r="V16" s="1"/>
  <c r="W16" s="1"/>
  <c r="G16"/>
  <c r="AA15"/>
  <c r="AB15" s="1"/>
  <c r="U15"/>
  <c r="V15" s="1"/>
  <c r="G15"/>
  <c r="AH75"/>
  <c r="AD75"/>
  <c r="Y75"/>
  <c r="X75"/>
  <c r="AA35"/>
  <c r="AB35" s="1"/>
  <c r="U35"/>
  <c r="V35" s="1"/>
  <c r="G35"/>
  <c r="AH14"/>
  <c r="AD14"/>
  <c r="Y14"/>
  <c r="X14"/>
  <c r="H14"/>
  <c r="F14"/>
  <c r="AA13"/>
  <c r="AB13" s="1"/>
  <c r="U13"/>
  <c r="V13" s="1"/>
  <c r="W13" s="1"/>
  <c r="G13"/>
  <c r="AA12"/>
  <c r="AB12" s="1"/>
  <c r="U12"/>
  <c r="V12" s="1"/>
  <c r="W12" s="1"/>
  <c r="G12"/>
  <c r="AA11"/>
  <c r="AB11" s="1"/>
  <c r="U11"/>
  <c r="V11" s="1"/>
  <c r="W11" s="1"/>
  <c r="G11"/>
  <c r="AH10"/>
  <c r="AD10"/>
  <c r="Y10"/>
  <c r="X10"/>
  <c r="H10"/>
  <c r="F10"/>
  <c r="F76" s="1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AB3" s="1"/>
  <c r="U3"/>
  <c r="V3" s="1"/>
  <c r="G3"/>
  <c r="AD153" i="146"/>
  <c r="AA153"/>
  <c r="AH55"/>
  <c r="AD55"/>
  <c r="Y55"/>
  <c r="X55"/>
  <c r="U54"/>
  <c r="H54"/>
  <c r="H55" s="1"/>
  <c r="F54"/>
  <c r="AA54" s="1"/>
  <c r="AB54" s="1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U42"/>
  <c r="F42"/>
  <c r="AA42" s="1"/>
  <c r="AB42" s="1"/>
  <c r="U41"/>
  <c r="F41"/>
  <c r="AH40"/>
  <c r="AD40"/>
  <c r="Y40"/>
  <c r="X40"/>
  <c r="H40"/>
  <c r="U39"/>
  <c r="F39"/>
  <c r="AA39" s="1"/>
  <c r="AB39" s="1"/>
  <c r="AA38"/>
  <c r="AB38" s="1"/>
  <c r="U38"/>
  <c r="V38" s="1"/>
  <c r="W38" s="1"/>
  <c r="G38"/>
  <c r="AA37"/>
  <c r="AB37" s="1"/>
  <c r="U37"/>
  <c r="V37" s="1"/>
  <c r="W37" s="1"/>
  <c r="G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W34" s="1"/>
  <c r="G34"/>
  <c r="AA33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30"/>
  <c r="AB30" s="1"/>
  <c r="U30"/>
  <c r="V30" s="1"/>
  <c r="W30" s="1"/>
  <c r="G30"/>
  <c r="AA29"/>
  <c r="AB29" s="1"/>
  <c r="U29"/>
  <c r="V29" s="1"/>
  <c r="W29" s="1"/>
  <c r="G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G19"/>
  <c r="AH18"/>
  <c r="AD18"/>
  <c r="Y18"/>
  <c r="X18"/>
  <c r="H18"/>
  <c r="F18"/>
  <c r="AA17"/>
  <c r="AB17" s="1"/>
  <c r="U17"/>
  <c r="V17" s="1"/>
  <c r="W17" s="1"/>
  <c r="G17"/>
  <c r="AA16"/>
  <c r="AB16" s="1"/>
  <c r="U16"/>
  <c r="V16" s="1"/>
  <c r="W16" s="1"/>
  <c r="G16"/>
  <c r="AA15"/>
  <c r="AB15" s="1"/>
  <c r="U15"/>
  <c r="V15" s="1"/>
  <c r="W15" s="1"/>
  <c r="G15"/>
  <c r="AH14"/>
  <c r="AD14"/>
  <c r="Y14"/>
  <c r="X14"/>
  <c r="H14"/>
  <c r="F14"/>
  <c r="AA13"/>
  <c r="AB13" s="1"/>
  <c r="U13"/>
  <c r="V13" s="1"/>
  <c r="W13" s="1"/>
  <c r="G13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U3"/>
  <c r="V3" s="1"/>
  <c r="G3"/>
  <c r="AJ153" l="1"/>
  <c r="AB17" i="147"/>
  <c r="G14"/>
  <c r="G27"/>
  <c r="G10"/>
  <c r="F55" i="146"/>
  <c r="E55" s="1"/>
  <c r="AI10" i="147"/>
  <c r="G18" i="146"/>
  <c r="AE36" i="147"/>
  <c r="AB75"/>
  <c r="AI17"/>
  <c r="AI27"/>
  <c r="G17"/>
  <c r="AE20"/>
  <c r="AE22"/>
  <c r="AE24"/>
  <c r="AE26"/>
  <c r="V17"/>
  <c r="W15"/>
  <c r="W17" s="1"/>
  <c r="AE19"/>
  <c r="AE25"/>
  <c r="AE16"/>
  <c r="W27"/>
  <c r="AB27"/>
  <c r="AE18"/>
  <c r="AE21"/>
  <c r="AE23"/>
  <c r="AA17"/>
  <c r="AJ17" s="1"/>
  <c r="V27"/>
  <c r="AA27"/>
  <c r="AJ27" s="1"/>
  <c r="H76"/>
  <c r="W14"/>
  <c r="AI14"/>
  <c r="AI75"/>
  <c r="AA10"/>
  <c r="AJ10" s="1"/>
  <c r="G75"/>
  <c r="V10"/>
  <c r="W3"/>
  <c r="W10" s="1"/>
  <c r="AB14"/>
  <c r="AE11"/>
  <c r="V75"/>
  <c r="W35"/>
  <c r="W75" s="1"/>
  <c r="AE4"/>
  <c r="AE5"/>
  <c r="AE6"/>
  <c r="AE7"/>
  <c r="AE8"/>
  <c r="AE9"/>
  <c r="AE12"/>
  <c r="AE13"/>
  <c r="AB10"/>
  <c r="V14"/>
  <c r="AA14"/>
  <c r="AJ14" s="1"/>
  <c r="AA75"/>
  <c r="AJ75" s="1"/>
  <c r="G14" i="146"/>
  <c r="AA14"/>
  <c r="AJ14" s="1"/>
  <c r="AI14"/>
  <c r="AI18"/>
  <c r="G39"/>
  <c r="G40" s="1"/>
  <c r="V39"/>
  <c r="W39" s="1"/>
  <c r="AE39" s="1"/>
  <c r="E40"/>
  <c r="AB3"/>
  <c r="AB14" s="1"/>
  <c r="AA40"/>
  <c r="AJ40" s="1"/>
  <c r="G54"/>
  <c r="AE17"/>
  <c r="AE20"/>
  <c r="AE22"/>
  <c r="AE24"/>
  <c r="AE26"/>
  <c r="AE28"/>
  <c r="AE30"/>
  <c r="AE32"/>
  <c r="AE34"/>
  <c r="AE36"/>
  <c r="AE38"/>
  <c r="W3"/>
  <c r="W14" s="1"/>
  <c r="V14"/>
  <c r="AE4"/>
  <c r="AE5"/>
  <c r="AE6"/>
  <c r="AE7"/>
  <c r="AE8"/>
  <c r="AE9"/>
  <c r="AE10"/>
  <c r="AE11"/>
  <c r="AE12"/>
  <c r="AE13"/>
  <c r="W153"/>
  <c r="W18"/>
  <c r="AE43"/>
  <c r="AE44"/>
  <c r="AE45"/>
  <c r="AE46"/>
  <c r="AE47"/>
  <c r="AE48"/>
  <c r="AE49"/>
  <c r="AE50"/>
  <c r="AE51"/>
  <c r="AE52"/>
  <c r="AE53"/>
  <c r="AB18"/>
  <c r="AE15"/>
  <c r="W19"/>
  <c r="AE16"/>
  <c r="AE21"/>
  <c r="AE23"/>
  <c r="AE25"/>
  <c r="AE27"/>
  <c r="AE29"/>
  <c r="AE31"/>
  <c r="AE33"/>
  <c r="AE35"/>
  <c r="AE37"/>
  <c r="V18"/>
  <c r="AA18"/>
  <c r="AJ18" s="1"/>
  <c r="AB40"/>
  <c r="AI153"/>
  <c r="G41"/>
  <c r="V41"/>
  <c r="AA41"/>
  <c r="G42"/>
  <c r="V42"/>
  <c r="W42" s="1"/>
  <c r="AE42" s="1"/>
  <c r="V54"/>
  <c r="W54" s="1"/>
  <c r="AE54" s="1"/>
  <c r="AI55" l="1"/>
  <c r="F1"/>
  <c r="W40"/>
  <c r="V40"/>
  <c r="AE19"/>
  <c r="AE40" s="1"/>
  <c r="AI40"/>
  <c r="AI218" s="1"/>
  <c r="AE35" i="147"/>
  <c r="AE75" s="1"/>
  <c r="AE3"/>
  <c r="AE10" s="1"/>
  <c r="AE27"/>
  <c r="AE15"/>
  <c r="AE17" s="1"/>
  <c r="G76"/>
  <c r="V76"/>
  <c r="AA76"/>
  <c r="AB76"/>
  <c r="AE14"/>
  <c r="W76"/>
  <c r="G55" i="146"/>
  <c r="V55"/>
  <c r="W41"/>
  <c r="W55" s="1"/>
  <c r="AE18"/>
  <c r="AE3"/>
  <c r="AE14" s="1"/>
  <c r="AA55"/>
  <c r="AJ55" s="1"/>
  <c r="AB41"/>
  <c r="AH133" i="145"/>
  <c r="AH130"/>
  <c r="AH71"/>
  <c r="AH72" s="1"/>
  <c r="AH47"/>
  <c r="AH48" s="1"/>
  <c r="AH30"/>
  <c r="H83" i="142"/>
  <c r="F83"/>
  <c r="F71" i="144"/>
  <c r="AA68"/>
  <c r="AB68" s="1"/>
  <c r="U68"/>
  <c r="V68" s="1"/>
  <c r="W68" s="1"/>
  <c r="G68"/>
  <c r="AA67"/>
  <c r="AB67" s="1"/>
  <c r="U67"/>
  <c r="V67" s="1"/>
  <c r="W67" s="1"/>
  <c r="G67"/>
  <c r="AA69"/>
  <c r="AB69" s="1"/>
  <c r="U69"/>
  <c r="V69" s="1"/>
  <c r="W69" s="1"/>
  <c r="G69"/>
  <c r="AA66"/>
  <c r="AB66" s="1"/>
  <c r="U66"/>
  <c r="V66" s="1"/>
  <c r="W66" s="1"/>
  <c r="G66"/>
  <c r="G50"/>
  <c r="G51"/>
  <c r="G52"/>
  <c r="G53"/>
  <c r="G54"/>
  <c r="G55"/>
  <c r="G56"/>
  <c r="G57"/>
  <c r="G58"/>
  <c r="G59"/>
  <c r="G60"/>
  <c r="G61"/>
  <c r="G62"/>
  <c r="G63"/>
  <c r="G64"/>
  <c r="G65"/>
  <c r="AA55"/>
  <c r="AB55" s="1"/>
  <c r="U55"/>
  <c r="V55" s="1"/>
  <c r="W55" s="1"/>
  <c r="AA54"/>
  <c r="AB54" s="1"/>
  <c r="U54"/>
  <c r="V54" s="1"/>
  <c r="W54" s="1"/>
  <c r="AA53"/>
  <c r="AB53" s="1"/>
  <c r="U53"/>
  <c r="V53" s="1"/>
  <c r="W53" s="1"/>
  <c r="AA52"/>
  <c r="AB52" s="1"/>
  <c r="U52"/>
  <c r="V52" s="1"/>
  <c r="W52" s="1"/>
  <c r="AA51"/>
  <c r="AB51" s="1"/>
  <c r="V51"/>
  <c r="W51" s="1"/>
  <c r="U51"/>
  <c r="H41"/>
  <c r="F41"/>
  <c r="AA61"/>
  <c r="AB61" s="1"/>
  <c r="U61"/>
  <c r="V61" s="1"/>
  <c r="W61" s="1"/>
  <c r="AA60"/>
  <c r="AB60" s="1"/>
  <c r="U60"/>
  <c r="V60" s="1"/>
  <c r="W60" s="1"/>
  <c r="AA59"/>
  <c r="AB59" s="1"/>
  <c r="U59"/>
  <c r="V59" s="1"/>
  <c r="W59" s="1"/>
  <c r="AA58"/>
  <c r="AB58" s="1"/>
  <c r="U58"/>
  <c r="V58" s="1"/>
  <c r="W58" s="1"/>
  <c r="AA57"/>
  <c r="AB57" s="1"/>
  <c r="U57"/>
  <c r="V57" s="1"/>
  <c r="W57" s="1"/>
  <c r="AA56"/>
  <c r="AB56" s="1"/>
  <c r="U56"/>
  <c r="V56" s="1"/>
  <c r="W56" s="1"/>
  <c r="AA50"/>
  <c r="AB50" s="1"/>
  <c r="U50"/>
  <c r="V50" s="1"/>
  <c r="W50" s="1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E153" i="146" l="1"/>
  <c r="AB55"/>
  <c r="AE41"/>
  <c r="AE55" s="1"/>
  <c r="AE67" i="144"/>
  <c r="AE68"/>
  <c r="AE66"/>
  <c r="AE69"/>
  <c r="AE51"/>
  <c r="AE52"/>
  <c r="AE53"/>
  <c r="AE54"/>
  <c r="AE55"/>
  <c r="AE47"/>
  <c r="AE48"/>
  <c r="AE49"/>
  <c r="AE50"/>
  <c r="AE56"/>
  <c r="AE57"/>
  <c r="AE58"/>
  <c r="AE59"/>
  <c r="AE60"/>
  <c r="AE61"/>
  <c r="AE76" i="147" l="1"/>
  <c r="AH101" i="144" l="1"/>
  <c r="AD101"/>
  <c r="Y101"/>
  <c r="X101"/>
  <c r="AA100"/>
  <c r="AB100" s="1"/>
  <c r="U100"/>
  <c r="V100" s="1"/>
  <c r="W100" s="1"/>
  <c r="G100"/>
  <c r="AA99"/>
  <c r="AB99" s="1"/>
  <c r="U99"/>
  <c r="V99" s="1"/>
  <c r="W99" s="1"/>
  <c r="G99"/>
  <c r="AA98"/>
  <c r="AB98" s="1"/>
  <c r="U98"/>
  <c r="V98" s="1"/>
  <c r="W98" s="1"/>
  <c r="G98"/>
  <c r="AA97"/>
  <c r="AB97" s="1"/>
  <c r="U97"/>
  <c r="V97" s="1"/>
  <c r="W97" s="1"/>
  <c r="H97"/>
  <c r="G97"/>
  <c r="AA96"/>
  <c r="AB96" s="1"/>
  <c r="U96"/>
  <c r="V96" s="1"/>
  <c r="W96" s="1"/>
  <c r="G96"/>
  <c r="AA95"/>
  <c r="AB95" s="1"/>
  <c r="U95"/>
  <c r="V95" s="1"/>
  <c r="W95" s="1"/>
  <c r="G95"/>
  <c r="AA94"/>
  <c r="AB94" s="1"/>
  <c r="U94"/>
  <c r="V94" s="1"/>
  <c r="W94" s="1"/>
  <c r="G94"/>
  <c r="AA93"/>
  <c r="AB93" s="1"/>
  <c r="U93"/>
  <c r="V93" s="1"/>
  <c r="W93" s="1"/>
  <c r="G93"/>
  <c r="AA92"/>
  <c r="AB92" s="1"/>
  <c r="U92"/>
  <c r="V92" s="1"/>
  <c r="W92" s="1"/>
  <c r="G92"/>
  <c r="AA91"/>
  <c r="AB91" s="1"/>
  <c r="U91"/>
  <c r="V91" s="1"/>
  <c r="W91" s="1"/>
  <c r="G91"/>
  <c r="AA90"/>
  <c r="AB90" s="1"/>
  <c r="U90"/>
  <c r="V90" s="1"/>
  <c r="W90" s="1"/>
  <c r="G90"/>
  <c r="AA89"/>
  <c r="AB89" s="1"/>
  <c r="U89"/>
  <c r="V89" s="1"/>
  <c r="W89" s="1"/>
  <c r="G89"/>
  <c r="AA88"/>
  <c r="AB88" s="1"/>
  <c r="U88"/>
  <c r="V88" s="1"/>
  <c r="W88" s="1"/>
  <c r="G88"/>
  <c r="AA87"/>
  <c r="AB87" s="1"/>
  <c r="U87"/>
  <c r="V87" s="1"/>
  <c r="W87" s="1"/>
  <c r="G87"/>
  <c r="AA86"/>
  <c r="AB86" s="1"/>
  <c r="U86"/>
  <c r="V86" s="1"/>
  <c r="W86" s="1"/>
  <c r="G86"/>
  <c r="AA85"/>
  <c r="AB85" s="1"/>
  <c r="U85"/>
  <c r="V85" s="1"/>
  <c r="W85" s="1"/>
  <c r="G85"/>
  <c r="U84"/>
  <c r="H84"/>
  <c r="F84"/>
  <c r="F101" s="1"/>
  <c r="E101" s="1"/>
  <c r="AA83"/>
  <c r="AB83" s="1"/>
  <c r="U83"/>
  <c r="V83" s="1"/>
  <c r="W83" s="1"/>
  <c r="G83"/>
  <c r="AA82"/>
  <c r="AB82" s="1"/>
  <c r="U82"/>
  <c r="V82" s="1"/>
  <c r="W82" s="1"/>
  <c r="G82"/>
  <c r="AA81"/>
  <c r="AB81" s="1"/>
  <c r="U81"/>
  <c r="V81" s="1"/>
  <c r="W81" s="1"/>
  <c r="G81"/>
  <c r="AA80"/>
  <c r="AB80" s="1"/>
  <c r="U80"/>
  <c r="V80" s="1"/>
  <c r="W80" s="1"/>
  <c r="G80"/>
  <c r="AA79"/>
  <c r="AB79" s="1"/>
  <c r="U79"/>
  <c r="V79" s="1"/>
  <c r="G79"/>
  <c r="H101" l="1"/>
  <c r="AE89"/>
  <c r="AE86"/>
  <c r="AE88"/>
  <c r="AE90"/>
  <c r="AE92"/>
  <c r="AE94"/>
  <c r="AE96"/>
  <c r="W79"/>
  <c r="AE79" s="1"/>
  <c r="AE85"/>
  <c r="AE87"/>
  <c r="AE91"/>
  <c r="AE93"/>
  <c r="AE95"/>
  <c r="AE80"/>
  <c r="AE81"/>
  <c r="AE82"/>
  <c r="AE83"/>
  <c r="AE97"/>
  <c r="AE98"/>
  <c r="AE99"/>
  <c r="AE100"/>
  <c r="AI101"/>
  <c r="V84"/>
  <c r="W84" s="1"/>
  <c r="AA84"/>
  <c r="AB84" s="1"/>
  <c r="G84"/>
  <c r="G101" s="1"/>
  <c r="V101" l="1"/>
  <c r="AE84"/>
  <c r="AE101" s="1"/>
  <c r="AB101"/>
  <c r="AA101"/>
  <c r="AJ101" s="1"/>
  <c r="W101"/>
  <c r="F77"/>
  <c r="AA77" s="1"/>
  <c r="AB77" s="1"/>
  <c r="AH78"/>
  <c r="AD78"/>
  <c r="Y78"/>
  <c r="X78"/>
  <c r="H78"/>
  <c r="F78"/>
  <c r="E78" s="1"/>
  <c r="U77"/>
  <c r="AA76"/>
  <c r="AB76" s="1"/>
  <c r="U76"/>
  <c r="V76" s="1"/>
  <c r="W76" s="1"/>
  <c r="G76"/>
  <c r="AA75"/>
  <c r="AB75" s="1"/>
  <c r="U75"/>
  <c r="V75" s="1"/>
  <c r="W75" s="1"/>
  <c r="G75"/>
  <c r="AA74"/>
  <c r="AB74" s="1"/>
  <c r="U74"/>
  <c r="V74" s="1"/>
  <c r="W74" s="1"/>
  <c r="G74"/>
  <c r="AA73"/>
  <c r="AB73" s="1"/>
  <c r="U73"/>
  <c r="V73" s="1"/>
  <c r="G73"/>
  <c r="F71" i="142"/>
  <c r="AH40" i="144"/>
  <c r="AH35"/>
  <c r="AH6"/>
  <c r="AH72"/>
  <c r="AD72"/>
  <c r="Y72"/>
  <c r="X72"/>
  <c r="H72"/>
  <c r="F72"/>
  <c r="AA71"/>
  <c r="AB71" s="1"/>
  <c r="U71"/>
  <c r="V71" s="1"/>
  <c r="W71" s="1"/>
  <c r="G71"/>
  <c r="AA70"/>
  <c r="AB70" s="1"/>
  <c r="U70"/>
  <c r="V70" s="1"/>
  <c r="W70" s="1"/>
  <c r="G70"/>
  <c r="AA65"/>
  <c r="AB65" s="1"/>
  <c r="U65"/>
  <c r="V65" s="1"/>
  <c r="W65" s="1"/>
  <c r="AA64"/>
  <c r="AB64" s="1"/>
  <c r="U64"/>
  <c r="V64" s="1"/>
  <c r="W64" s="1"/>
  <c r="AA63"/>
  <c r="AB63" s="1"/>
  <c r="U63"/>
  <c r="V63" s="1"/>
  <c r="W63" s="1"/>
  <c r="AA62"/>
  <c r="AB62" s="1"/>
  <c r="U62"/>
  <c r="V62" s="1"/>
  <c r="W62" s="1"/>
  <c r="AA46"/>
  <c r="AB46" s="1"/>
  <c r="U46"/>
  <c r="V46" s="1"/>
  <c r="W46" s="1"/>
  <c r="G46"/>
  <c r="AA45"/>
  <c r="AB45" s="1"/>
  <c r="U45"/>
  <c r="V45" s="1"/>
  <c r="W45" s="1"/>
  <c r="G45"/>
  <c r="AA44"/>
  <c r="U44"/>
  <c r="V44" s="1"/>
  <c r="G44"/>
  <c r="AH43"/>
  <c r="AD43"/>
  <c r="Y43"/>
  <c r="X43"/>
  <c r="H43"/>
  <c r="F43"/>
  <c r="E43" s="1"/>
  <c r="AA42"/>
  <c r="AB42" s="1"/>
  <c r="U42"/>
  <c r="V42" s="1"/>
  <c r="W42" s="1"/>
  <c r="G42"/>
  <c r="AA41"/>
  <c r="U41"/>
  <c r="V41" s="1"/>
  <c r="G41"/>
  <c r="AD40"/>
  <c r="Y40"/>
  <c r="X40"/>
  <c r="H40"/>
  <c r="F40"/>
  <c r="AA39"/>
  <c r="AB39" s="1"/>
  <c r="U39"/>
  <c r="V39" s="1"/>
  <c r="W39" s="1"/>
  <c r="G39"/>
  <c r="AA38"/>
  <c r="AB38" s="1"/>
  <c r="U38"/>
  <c r="V38" s="1"/>
  <c r="W38" s="1"/>
  <c r="G38"/>
  <c r="AA37"/>
  <c r="AB37" s="1"/>
  <c r="U37"/>
  <c r="V37" s="1"/>
  <c r="W37" s="1"/>
  <c r="G37"/>
  <c r="AA36"/>
  <c r="AB36" s="1"/>
  <c r="U36"/>
  <c r="V36" s="1"/>
  <c r="G36"/>
  <c r="AD133" i="145"/>
  <c r="Y133"/>
  <c r="X133"/>
  <c r="H133"/>
  <c r="F133"/>
  <c r="AA132"/>
  <c r="AB132" s="1"/>
  <c r="U132"/>
  <c r="V132" s="1"/>
  <c r="W132" s="1"/>
  <c r="G132"/>
  <c r="AA131"/>
  <c r="U131"/>
  <c r="V131" s="1"/>
  <c r="G131"/>
  <c r="AA33" i="144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4"/>
  <c r="AB4" s="1"/>
  <c r="U4"/>
  <c r="V4" s="1"/>
  <c r="W4" s="1"/>
  <c r="G4"/>
  <c r="AA28" i="145"/>
  <c r="AB28" s="1"/>
  <c r="U28"/>
  <c r="V28" s="1"/>
  <c r="W28" s="1"/>
  <c r="G28"/>
  <c r="G30" s="1"/>
  <c r="AD30"/>
  <c r="Y30"/>
  <c r="X30"/>
  <c r="H30"/>
  <c r="AD130"/>
  <c r="Y130"/>
  <c r="X130"/>
  <c r="H130"/>
  <c r="F130"/>
  <c r="AA129"/>
  <c r="AB129" s="1"/>
  <c r="U129"/>
  <c r="V129" s="1"/>
  <c r="W129" s="1"/>
  <c r="G129"/>
  <c r="AA128"/>
  <c r="AB128" s="1"/>
  <c r="U128"/>
  <c r="V128" s="1"/>
  <c r="W128" s="1"/>
  <c r="G128"/>
  <c r="AA127"/>
  <c r="AB127" s="1"/>
  <c r="U127"/>
  <c r="V127" s="1"/>
  <c r="W127" s="1"/>
  <c r="G127"/>
  <c r="AA126"/>
  <c r="AB126" s="1"/>
  <c r="U126"/>
  <c r="V126" s="1"/>
  <c r="W126" s="1"/>
  <c r="G126"/>
  <c r="AA125"/>
  <c r="AB125" s="1"/>
  <c r="U125"/>
  <c r="V125" s="1"/>
  <c r="W125" s="1"/>
  <c r="G125"/>
  <c r="AA124"/>
  <c r="AB124" s="1"/>
  <c r="U124"/>
  <c r="V124" s="1"/>
  <c r="W124" s="1"/>
  <c r="G124"/>
  <c r="AA123"/>
  <c r="AB123" s="1"/>
  <c r="U123"/>
  <c r="V123" s="1"/>
  <c r="W123" s="1"/>
  <c r="G123"/>
  <c r="AA122"/>
  <c r="AB122" s="1"/>
  <c r="U122"/>
  <c r="V122" s="1"/>
  <c r="W122" s="1"/>
  <c r="G122"/>
  <c r="AA121"/>
  <c r="AB121" s="1"/>
  <c r="U121"/>
  <c r="V121" s="1"/>
  <c r="W121" s="1"/>
  <c r="G121"/>
  <c r="AA120"/>
  <c r="AB120" s="1"/>
  <c r="U120"/>
  <c r="V120" s="1"/>
  <c r="W120" s="1"/>
  <c r="G120"/>
  <c r="AA119"/>
  <c r="AB119" s="1"/>
  <c r="U119"/>
  <c r="V119" s="1"/>
  <c r="W119" s="1"/>
  <c r="G119"/>
  <c r="AA118"/>
  <c r="AB118" s="1"/>
  <c r="U118"/>
  <c r="V118" s="1"/>
  <c r="W118" s="1"/>
  <c r="G118"/>
  <c r="AA117"/>
  <c r="AB117" s="1"/>
  <c r="U117"/>
  <c r="V117" s="1"/>
  <c r="W117" s="1"/>
  <c r="G117"/>
  <c r="AA116"/>
  <c r="AB116" s="1"/>
  <c r="U116"/>
  <c r="V116" s="1"/>
  <c r="W116" s="1"/>
  <c r="G116"/>
  <c r="AA115"/>
  <c r="AB115" s="1"/>
  <c r="U115"/>
  <c r="V115" s="1"/>
  <c r="W115" s="1"/>
  <c r="G115"/>
  <c r="AA114"/>
  <c r="AB114" s="1"/>
  <c r="U114"/>
  <c r="V114" s="1"/>
  <c r="W114" s="1"/>
  <c r="G114"/>
  <c r="AA113"/>
  <c r="AB113" s="1"/>
  <c r="U113"/>
  <c r="V113" s="1"/>
  <c r="W113" s="1"/>
  <c r="G113"/>
  <c r="AA112"/>
  <c r="AB112" s="1"/>
  <c r="U112"/>
  <c r="V112" s="1"/>
  <c r="W112" s="1"/>
  <c r="G112"/>
  <c r="AA111"/>
  <c r="AB111" s="1"/>
  <c r="U111"/>
  <c r="V111" s="1"/>
  <c r="W111" s="1"/>
  <c r="G111"/>
  <c r="AA110"/>
  <c r="AB110" s="1"/>
  <c r="U110"/>
  <c r="V110" s="1"/>
  <c r="W110" s="1"/>
  <c r="G110"/>
  <c r="AA109"/>
  <c r="AB109" s="1"/>
  <c r="U109"/>
  <c r="V109" s="1"/>
  <c r="W109" s="1"/>
  <c r="G109"/>
  <c r="AA108"/>
  <c r="AB108" s="1"/>
  <c r="U108"/>
  <c r="V108" s="1"/>
  <c r="W108" s="1"/>
  <c r="G108"/>
  <c r="AA107"/>
  <c r="AB107" s="1"/>
  <c r="U107"/>
  <c r="V107" s="1"/>
  <c r="W107" s="1"/>
  <c r="G107"/>
  <c r="AA106"/>
  <c r="AB106" s="1"/>
  <c r="U106"/>
  <c r="V106" s="1"/>
  <c r="W106" s="1"/>
  <c r="G106"/>
  <c r="AA105"/>
  <c r="AB105" s="1"/>
  <c r="U105"/>
  <c r="V105" s="1"/>
  <c r="W105" s="1"/>
  <c r="G105"/>
  <c r="AA104"/>
  <c r="AB104" s="1"/>
  <c r="U104"/>
  <c r="V104" s="1"/>
  <c r="W104" s="1"/>
  <c r="G104"/>
  <c r="AA103"/>
  <c r="AB103" s="1"/>
  <c r="U103"/>
  <c r="V103" s="1"/>
  <c r="W103" s="1"/>
  <c r="G103"/>
  <c r="AA102"/>
  <c r="AB102" s="1"/>
  <c r="U102"/>
  <c r="V102" s="1"/>
  <c r="W102" s="1"/>
  <c r="G102"/>
  <c r="AA101"/>
  <c r="AB101" s="1"/>
  <c r="U101"/>
  <c r="V101" s="1"/>
  <c r="W101" s="1"/>
  <c r="G101"/>
  <c r="AA100"/>
  <c r="AB100" s="1"/>
  <c r="U100"/>
  <c r="V100" s="1"/>
  <c r="W100" s="1"/>
  <c r="G100"/>
  <c r="AA99"/>
  <c r="AB99" s="1"/>
  <c r="U99"/>
  <c r="V99" s="1"/>
  <c r="W99" s="1"/>
  <c r="G99"/>
  <c r="AA98"/>
  <c r="AB98" s="1"/>
  <c r="U98"/>
  <c r="V98" s="1"/>
  <c r="W98" s="1"/>
  <c r="G98"/>
  <c r="AA97"/>
  <c r="AB97" s="1"/>
  <c r="U97"/>
  <c r="V97" s="1"/>
  <c r="W97" s="1"/>
  <c r="G97"/>
  <c r="AA96"/>
  <c r="AB96" s="1"/>
  <c r="U96"/>
  <c r="V96" s="1"/>
  <c r="W96" s="1"/>
  <c r="G96"/>
  <c r="AA95"/>
  <c r="AB95" s="1"/>
  <c r="U95"/>
  <c r="V95" s="1"/>
  <c r="W95" s="1"/>
  <c r="G95"/>
  <c r="AA94"/>
  <c r="AB94" s="1"/>
  <c r="U94"/>
  <c r="V94" s="1"/>
  <c r="W94" s="1"/>
  <c r="G94"/>
  <c r="AA93"/>
  <c r="AB93" s="1"/>
  <c r="U93"/>
  <c r="V93" s="1"/>
  <c r="W93" s="1"/>
  <c r="G93"/>
  <c r="AA92"/>
  <c r="AB92" s="1"/>
  <c r="U92"/>
  <c r="V92" s="1"/>
  <c r="W92" s="1"/>
  <c r="G92"/>
  <c r="AA91"/>
  <c r="AB91" s="1"/>
  <c r="U91"/>
  <c r="V91" s="1"/>
  <c r="W91" s="1"/>
  <c r="G91"/>
  <c r="AA90"/>
  <c r="AB90" s="1"/>
  <c r="U90"/>
  <c r="V90" s="1"/>
  <c r="W90" s="1"/>
  <c r="G90"/>
  <c r="AA89"/>
  <c r="AB89" s="1"/>
  <c r="U89"/>
  <c r="V89" s="1"/>
  <c r="W89" s="1"/>
  <c r="G89"/>
  <c r="AA88"/>
  <c r="AB88" s="1"/>
  <c r="U88"/>
  <c r="V88" s="1"/>
  <c r="W88" s="1"/>
  <c r="G88"/>
  <c r="AA87"/>
  <c r="AB87" s="1"/>
  <c r="U87"/>
  <c r="V87" s="1"/>
  <c r="W87" s="1"/>
  <c r="G87"/>
  <c r="AA86"/>
  <c r="AB86" s="1"/>
  <c r="U86"/>
  <c r="V86" s="1"/>
  <c r="W86" s="1"/>
  <c r="G86"/>
  <c r="AA85"/>
  <c r="AB85" s="1"/>
  <c r="U85"/>
  <c r="V85" s="1"/>
  <c r="W85" s="1"/>
  <c r="G85"/>
  <c r="AA84"/>
  <c r="AB84" s="1"/>
  <c r="U84"/>
  <c r="V84" s="1"/>
  <c r="W84" s="1"/>
  <c r="G84"/>
  <c r="AA83"/>
  <c r="AB83" s="1"/>
  <c r="U83"/>
  <c r="V83" s="1"/>
  <c r="W83" s="1"/>
  <c r="G83"/>
  <c r="AA82"/>
  <c r="AB82" s="1"/>
  <c r="U82"/>
  <c r="V82" s="1"/>
  <c r="W82" s="1"/>
  <c r="G82"/>
  <c r="AA81"/>
  <c r="AB81" s="1"/>
  <c r="U81"/>
  <c r="V81" s="1"/>
  <c r="W81" s="1"/>
  <c r="G81"/>
  <c r="AA80"/>
  <c r="AB80" s="1"/>
  <c r="U80"/>
  <c r="V80" s="1"/>
  <c r="W80" s="1"/>
  <c r="G80"/>
  <c r="AA79"/>
  <c r="AB79" s="1"/>
  <c r="U79"/>
  <c r="V79" s="1"/>
  <c r="W79" s="1"/>
  <c r="G79"/>
  <c r="AA78"/>
  <c r="AB78" s="1"/>
  <c r="U78"/>
  <c r="V78" s="1"/>
  <c r="W78" s="1"/>
  <c r="G78"/>
  <c r="AA77"/>
  <c r="AB77" s="1"/>
  <c r="U77"/>
  <c r="V77" s="1"/>
  <c r="W77" s="1"/>
  <c r="G77"/>
  <c r="AA76"/>
  <c r="AB76" s="1"/>
  <c r="U76"/>
  <c r="V76" s="1"/>
  <c r="W76" s="1"/>
  <c r="G76"/>
  <c r="AA75"/>
  <c r="AB75" s="1"/>
  <c r="U75"/>
  <c r="V75" s="1"/>
  <c r="W75" s="1"/>
  <c r="G75"/>
  <c r="AA74"/>
  <c r="AB74" s="1"/>
  <c r="U74"/>
  <c r="V74" s="1"/>
  <c r="W74" s="1"/>
  <c r="G74"/>
  <c r="AA73"/>
  <c r="U73"/>
  <c r="V73" s="1"/>
  <c r="G73"/>
  <c r="AD72"/>
  <c r="Y72"/>
  <c r="X72"/>
  <c r="H72"/>
  <c r="U71"/>
  <c r="F71"/>
  <c r="F72" s="1"/>
  <c r="AI72" s="1"/>
  <c r="AA70"/>
  <c r="AB70" s="1"/>
  <c r="U70"/>
  <c r="V70" s="1"/>
  <c r="W70" s="1"/>
  <c r="G70"/>
  <c r="AA69"/>
  <c r="AB69" s="1"/>
  <c r="U69"/>
  <c r="V69" s="1"/>
  <c r="W69" s="1"/>
  <c r="G69"/>
  <c r="AA68"/>
  <c r="AB68" s="1"/>
  <c r="U68"/>
  <c r="V68" s="1"/>
  <c r="W68" s="1"/>
  <c r="G68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G49"/>
  <c r="AD48"/>
  <c r="Y48"/>
  <c r="X48"/>
  <c r="H48"/>
  <c r="U47"/>
  <c r="F47"/>
  <c r="F48" s="1"/>
  <c r="C48" s="1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AA42"/>
  <c r="AB42" s="1"/>
  <c r="U42"/>
  <c r="V42" s="1"/>
  <c r="W42" s="1"/>
  <c r="G42"/>
  <c r="AA41"/>
  <c r="AB41" s="1"/>
  <c r="U41"/>
  <c r="V41" s="1"/>
  <c r="W41" s="1"/>
  <c r="G41"/>
  <c r="AA40"/>
  <c r="AB40" s="1"/>
  <c r="U40"/>
  <c r="V40" s="1"/>
  <c r="W40" s="1"/>
  <c r="G40"/>
  <c r="AA39"/>
  <c r="AB39" s="1"/>
  <c r="U39"/>
  <c r="V39" s="1"/>
  <c r="W39" s="1"/>
  <c r="G39"/>
  <c r="AA38"/>
  <c r="AB38" s="1"/>
  <c r="U38"/>
  <c r="V38" s="1"/>
  <c r="W38" s="1"/>
  <c r="G38"/>
  <c r="AA37"/>
  <c r="AB37" s="1"/>
  <c r="U37"/>
  <c r="V37" s="1"/>
  <c r="W37" s="1"/>
  <c r="G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W34" s="1"/>
  <c r="G34"/>
  <c r="AA33"/>
  <c r="AB33" s="1"/>
  <c r="U33"/>
  <c r="V33" s="1"/>
  <c r="W33" s="1"/>
  <c r="G33"/>
  <c r="AA32"/>
  <c r="AB32" s="1"/>
  <c r="U32"/>
  <c r="V32" s="1"/>
  <c r="W32" s="1"/>
  <c r="G32"/>
  <c r="AA31"/>
  <c r="U31"/>
  <c r="V31" s="1"/>
  <c r="G31"/>
  <c r="AH27"/>
  <c r="AD27"/>
  <c r="Y27"/>
  <c r="X27"/>
  <c r="H27"/>
  <c r="F27"/>
  <c r="AA26"/>
  <c r="AB26" s="1"/>
  <c r="U26"/>
  <c r="V26" s="1"/>
  <c r="W26" s="1"/>
  <c r="G26"/>
  <c r="AA25"/>
  <c r="U25"/>
  <c r="V25" s="1"/>
  <c r="G25"/>
  <c r="AH24"/>
  <c r="AD24"/>
  <c r="Y24"/>
  <c r="X24"/>
  <c r="H24"/>
  <c r="AA23"/>
  <c r="AB23" s="1"/>
  <c r="U23"/>
  <c r="V23" s="1"/>
  <c r="W23" s="1"/>
  <c r="G23"/>
  <c r="AA22"/>
  <c r="AB22" s="1"/>
  <c r="U22"/>
  <c r="V22" s="1"/>
  <c r="W22" s="1"/>
  <c r="G22"/>
  <c r="U21"/>
  <c r="F21"/>
  <c r="AA21" s="1"/>
  <c r="AB21" s="1"/>
  <c r="AA20"/>
  <c r="U20"/>
  <c r="V20" s="1"/>
  <c r="G20"/>
  <c r="AH19"/>
  <c r="AD19"/>
  <c r="Y19"/>
  <c r="X19"/>
  <c r="H19"/>
  <c r="AA18"/>
  <c r="AB18" s="1"/>
  <c r="U18"/>
  <c r="V18" s="1"/>
  <c r="W18" s="1"/>
  <c r="G18"/>
  <c r="AA17"/>
  <c r="AB17" s="1"/>
  <c r="U17"/>
  <c r="V17" s="1"/>
  <c r="W17" s="1"/>
  <c r="G17"/>
  <c r="AA16"/>
  <c r="AB16" s="1"/>
  <c r="U16"/>
  <c r="V16" s="1"/>
  <c r="W16" s="1"/>
  <c r="G16"/>
  <c r="U15"/>
  <c r="F15"/>
  <c r="F19" s="1"/>
  <c r="C19" s="1"/>
  <c r="AH14"/>
  <c r="AD14"/>
  <c r="Y14"/>
  <c r="X14"/>
  <c r="H14"/>
  <c r="U13"/>
  <c r="F13"/>
  <c r="F14" s="1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AB3" s="1"/>
  <c r="U3"/>
  <c r="V3" s="1"/>
  <c r="G3"/>
  <c r="E72" i="144" l="1"/>
  <c r="V77"/>
  <c r="W77" s="1"/>
  <c r="AB78"/>
  <c r="G72"/>
  <c r="AA72"/>
  <c r="AJ72" s="1"/>
  <c r="G77"/>
  <c r="G78" s="1"/>
  <c r="AI78"/>
  <c r="W73"/>
  <c r="AE74"/>
  <c r="AE75"/>
  <c r="AE76"/>
  <c r="AE77"/>
  <c r="AA78"/>
  <c r="AJ78" s="1"/>
  <c r="AE73"/>
  <c r="H134" i="145"/>
  <c r="AI43" i="144"/>
  <c r="AI72"/>
  <c r="V133" i="145"/>
  <c r="AB44" i="144"/>
  <c r="AB72" s="1"/>
  <c r="G133" i="145"/>
  <c r="AA133"/>
  <c r="AJ133" s="1"/>
  <c r="W44" i="144"/>
  <c r="W72" s="1"/>
  <c r="V72"/>
  <c r="AE45"/>
  <c r="AE46"/>
  <c r="AE62"/>
  <c r="AE63"/>
  <c r="AE64"/>
  <c r="AE65"/>
  <c r="AE70"/>
  <c r="AE71"/>
  <c r="G43"/>
  <c r="V43"/>
  <c r="AA43"/>
  <c r="AJ43" s="1"/>
  <c r="AE42"/>
  <c r="W41"/>
  <c r="W43" s="1"/>
  <c r="AB41"/>
  <c r="AB40"/>
  <c r="AE31"/>
  <c r="AI40"/>
  <c r="G40"/>
  <c r="V40"/>
  <c r="W36"/>
  <c r="W40" s="1"/>
  <c r="AE37"/>
  <c r="AE38"/>
  <c r="AE39"/>
  <c r="AA40"/>
  <c r="AJ40" s="1"/>
  <c r="AE23" i="145"/>
  <c r="AI133"/>
  <c r="AE132"/>
  <c r="W131"/>
  <c r="W133" s="1"/>
  <c r="AB131"/>
  <c r="V130"/>
  <c r="G21"/>
  <c r="G24" s="1"/>
  <c r="V21"/>
  <c r="W21" s="1"/>
  <c r="AE21" s="1"/>
  <c r="F24"/>
  <c r="C24" s="1"/>
  <c r="G27"/>
  <c r="AI27"/>
  <c r="G130"/>
  <c r="AA130"/>
  <c r="AJ130" s="1"/>
  <c r="AE33" i="144"/>
  <c r="AE32"/>
  <c r="AE4"/>
  <c r="AI30" i="145"/>
  <c r="W30"/>
  <c r="AE28"/>
  <c r="AB30"/>
  <c r="V30"/>
  <c r="AA30"/>
  <c r="AJ30" s="1"/>
  <c r="G13"/>
  <c r="V13"/>
  <c r="W13" s="1"/>
  <c r="AE16"/>
  <c r="AE33"/>
  <c r="AE37"/>
  <c r="AE41"/>
  <c r="AA71"/>
  <c r="AB71" s="1"/>
  <c r="AI130"/>
  <c r="AA13"/>
  <c r="AB13" s="1"/>
  <c r="AE18"/>
  <c r="AE35"/>
  <c r="AE39"/>
  <c r="AB72"/>
  <c r="AE50"/>
  <c r="AE52"/>
  <c r="AE54"/>
  <c r="AE56"/>
  <c r="AE58"/>
  <c r="AE60"/>
  <c r="AE62"/>
  <c r="AE64"/>
  <c r="AE66"/>
  <c r="AE68"/>
  <c r="AE70"/>
  <c r="G71"/>
  <c r="G72" s="1"/>
  <c r="V71"/>
  <c r="W71" s="1"/>
  <c r="V14"/>
  <c r="W3"/>
  <c r="AE3" s="1"/>
  <c r="AE4"/>
  <c r="AE5"/>
  <c r="AE6"/>
  <c r="AE7"/>
  <c r="AE8"/>
  <c r="AE9"/>
  <c r="AE10"/>
  <c r="AE11"/>
  <c r="AE12"/>
  <c r="C14"/>
  <c r="AI14"/>
  <c r="AA15"/>
  <c r="V15"/>
  <c r="G15"/>
  <c r="G19" s="1"/>
  <c r="AA24"/>
  <c r="AJ24" s="1"/>
  <c r="AB20"/>
  <c r="V27"/>
  <c r="W25"/>
  <c r="W27" s="1"/>
  <c r="W31"/>
  <c r="G14"/>
  <c r="AI19"/>
  <c r="AE22"/>
  <c r="AE42"/>
  <c r="AE43"/>
  <c r="AE44"/>
  <c r="AE45"/>
  <c r="AE46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V24"/>
  <c r="W20"/>
  <c r="W24" s="1"/>
  <c r="AA27"/>
  <c r="AJ27" s="1"/>
  <c r="AB25"/>
  <c r="AB31"/>
  <c r="W49"/>
  <c r="V72"/>
  <c r="AE17"/>
  <c r="AE26"/>
  <c r="AE32"/>
  <c r="AE34"/>
  <c r="AE36"/>
  <c r="AE38"/>
  <c r="AE40"/>
  <c r="AI48"/>
  <c r="AE51"/>
  <c r="AE53"/>
  <c r="AE55"/>
  <c r="AE57"/>
  <c r="AE59"/>
  <c r="AE61"/>
  <c r="AE63"/>
  <c r="AE65"/>
  <c r="AE67"/>
  <c r="AE69"/>
  <c r="G47"/>
  <c r="G48" s="1"/>
  <c r="V47"/>
  <c r="W47" s="1"/>
  <c r="AA47"/>
  <c r="AB47" s="1"/>
  <c r="C72"/>
  <c r="W73"/>
  <c r="W130" s="1"/>
  <c r="AB73"/>
  <c r="AE13" l="1"/>
  <c r="W78" i="144"/>
  <c r="W72" i="145"/>
  <c r="V78" i="144"/>
  <c r="AE78"/>
  <c r="AE44"/>
  <c r="AE72" s="1"/>
  <c r="G134" i="145"/>
  <c r="AB43" i="144"/>
  <c r="AE41"/>
  <c r="AE43" s="1"/>
  <c r="AE36"/>
  <c r="AE40" s="1"/>
  <c r="AA14" i="145"/>
  <c r="AJ14" s="1"/>
  <c r="AI24"/>
  <c r="AI134" s="1"/>
  <c r="F134"/>
  <c r="F1" s="1"/>
  <c r="AB133"/>
  <c r="AE131"/>
  <c r="AE133" s="1"/>
  <c r="AE71"/>
  <c r="AE30"/>
  <c r="AE47"/>
  <c r="AE14"/>
  <c r="AB14"/>
  <c r="W14"/>
  <c r="AA72"/>
  <c r="AJ72" s="1"/>
  <c r="V48"/>
  <c r="AE73"/>
  <c r="AE130" s="1"/>
  <c r="AB130"/>
  <c r="AB48"/>
  <c r="AE31"/>
  <c r="AB27"/>
  <c r="AE25"/>
  <c r="AE27" s="1"/>
  <c r="AB24"/>
  <c r="AE20"/>
  <c r="AE24" s="1"/>
  <c r="AA19"/>
  <c r="AJ19" s="1"/>
  <c r="AB15"/>
  <c r="AE49"/>
  <c r="W48"/>
  <c r="V19"/>
  <c r="W15"/>
  <c r="W19" s="1"/>
  <c r="AA48"/>
  <c r="AJ48" s="1"/>
  <c r="V134" l="1"/>
  <c r="AE48"/>
  <c r="W134"/>
  <c r="AE72"/>
  <c r="AE15"/>
  <c r="AE19" s="1"/>
  <c r="AB19"/>
  <c r="AE134" l="1"/>
  <c r="AD35" i="144"/>
  <c r="Y35"/>
  <c r="X35"/>
  <c r="H35"/>
  <c r="F35"/>
  <c r="AA34"/>
  <c r="AB34" s="1"/>
  <c r="U34"/>
  <c r="V34" s="1"/>
  <c r="W34" s="1"/>
  <c r="G34"/>
  <c r="AA30"/>
  <c r="AB30" s="1"/>
  <c r="U30"/>
  <c r="V30" s="1"/>
  <c r="W30" s="1"/>
  <c r="G30"/>
  <c r="AA29"/>
  <c r="AB29" s="1"/>
  <c r="U29"/>
  <c r="V29" s="1"/>
  <c r="W29" s="1"/>
  <c r="G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W19" s="1"/>
  <c r="G19"/>
  <c r="AA18"/>
  <c r="AB18" s="1"/>
  <c r="U18"/>
  <c r="V18" s="1"/>
  <c r="W18" s="1"/>
  <c r="G18"/>
  <c r="AA17"/>
  <c r="AB17" s="1"/>
  <c r="U17"/>
  <c r="V17" s="1"/>
  <c r="W17" s="1"/>
  <c r="G17"/>
  <c r="AA16"/>
  <c r="AB16" s="1"/>
  <c r="U16"/>
  <c r="V16" s="1"/>
  <c r="W16" s="1"/>
  <c r="G16"/>
  <c r="AA15"/>
  <c r="AB15" s="1"/>
  <c r="U15"/>
  <c r="V15" s="1"/>
  <c r="W15" s="1"/>
  <c r="G15"/>
  <c r="AA14"/>
  <c r="AB14" s="1"/>
  <c r="U14"/>
  <c r="V14" s="1"/>
  <c r="W14" s="1"/>
  <c r="G14"/>
  <c r="AA13"/>
  <c r="AB13" s="1"/>
  <c r="U13"/>
  <c r="V13" s="1"/>
  <c r="W13" s="1"/>
  <c r="G13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U7"/>
  <c r="V7" s="1"/>
  <c r="G7"/>
  <c r="AD6"/>
  <c r="Y6"/>
  <c r="X6"/>
  <c r="H6"/>
  <c r="F6"/>
  <c r="F102" s="1"/>
  <c r="AA5"/>
  <c r="AB5" s="1"/>
  <c r="U5"/>
  <c r="V5" s="1"/>
  <c r="W5" s="1"/>
  <c r="AA3"/>
  <c r="AA6" s="1"/>
  <c r="U3"/>
  <c r="V3" s="1"/>
  <c r="G3"/>
  <c r="G6" s="1"/>
  <c r="AH71" i="142"/>
  <c r="AI6" i="144" l="1"/>
  <c r="G35"/>
  <c r="H102"/>
  <c r="V35"/>
  <c r="AJ6"/>
  <c r="AB3"/>
  <c r="AB6" s="1"/>
  <c r="AA35"/>
  <c r="AJ35" s="1"/>
  <c r="AI35"/>
  <c r="W3"/>
  <c r="W6" s="1"/>
  <c r="V6"/>
  <c r="AE5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4"/>
  <c r="W7"/>
  <c r="W35" s="1"/>
  <c r="AB7"/>
  <c r="AE3" l="1"/>
  <c r="AE6" s="1"/>
  <c r="G102"/>
  <c r="AE7"/>
  <c r="AE35" s="1"/>
  <c r="AB35"/>
  <c r="W102"/>
  <c r="V102"/>
  <c r="AA102"/>
  <c r="AB102" l="1"/>
  <c r="AE102"/>
  <c r="AH83" i="142" l="1"/>
  <c r="AD83"/>
  <c r="Y83"/>
  <c r="X83"/>
  <c r="C83"/>
  <c r="AA82"/>
  <c r="AB82" s="1"/>
  <c r="U82"/>
  <c r="V82" s="1"/>
  <c r="W82" s="1"/>
  <c r="G82"/>
  <c r="AA81"/>
  <c r="AB81" s="1"/>
  <c r="U81"/>
  <c r="V81" s="1"/>
  <c r="W81" s="1"/>
  <c r="G81"/>
  <c r="AA80"/>
  <c r="AB80" s="1"/>
  <c r="U80"/>
  <c r="V80" s="1"/>
  <c r="W80" s="1"/>
  <c r="G80"/>
  <c r="AA79"/>
  <c r="AB79" s="1"/>
  <c r="U79"/>
  <c r="V79" s="1"/>
  <c r="W79" s="1"/>
  <c r="G79"/>
  <c r="AA78"/>
  <c r="AB78" s="1"/>
  <c r="U78"/>
  <c r="V78" s="1"/>
  <c r="W78" s="1"/>
  <c r="G78"/>
  <c r="AA77"/>
  <c r="AB77" s="1"/>
  <c r="U77"/>
  <c r="V77" s="1"/>
  <c r="W77" s="1"/>
  <c r="G77"/>
  <c r="AA76"/>
  <c r="AB76" s="1"/>
  <c r="U76"/>
  <c r="V76" s="1"/>
  <c r="W76" s="1"/>
  <c r="G76"/>
  <c r="AA75"/>
  <c r="AB75" s="1"/>
  <c r="U75"/>
  <c r="V75" s="1"/>
  <c r="W75" s="1"/>
  <c r="G75"/>
  <c r="AA74"/>
  <c r="AB74" s="1"/>
  <c r="U74"/>
  <c r="V74" s="1"/>
  <c r="W74" s="1"/>
  <c r="G74"/>
  <c r="AA73"/>
  <c r="AB73" s="1"/>
  <c r="U73"/>
  <c r="V73" s="1"/>
  <c r="G73"/>
  <c r="G83" l="1"/>
  <c r="AI83"/>
  <c r="AE76"/>
  <c r="AE78"/>
  <c r="AE80"/>
  <c r="AE74"/>
  <c r="AE82"/>
  <c r="AA83"/>
  <c r="AJ83" s="1"/>
  <c r="V83"/>
  <c r="W73"/>
  <c r="W83" s="1"/>
  <c r="AE75"/>
  <c r="AE77"/>
  <c r="AE79"/>
  <c r="AE81"/>
  <c r="AB83"/>
  <c r="AE73" l="1"/>
  <c r="AE83" s="1"/>
  <c r="F61" i="143" l="1"/>
  <c r="F62" s="1"/>
  <c r="AH62"/>
  <c r="AD62"/>
  <c r="Y62"/>
  <c r="X62"/>
  <c r="H62"/>
  <c r="U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AA42"/>
  <c r="AB42" s="1"/>
  <c r="U42"/>
  <c r="V42" s="1"/>
  <c r="W42" s="1"/>
  <c r="G42"/>
  <c r="AA41"/>
  <c r="AB41" s="1"/>
  <c r="U41"/>
  <c r="V41" s="1"/>
  <c r="W41" s="1"/>
  <c r="G41"/>
  <c r="AA40"/>
  <c r="AB40" s="1"/>
  <c r="U40"/>
  <c r="V40" s="1"/>
  <c r="W40" s="1"/>
  <c r="G40"/>
  <c r="AA39"/>
  <c r="AB39" s="1"/>
  <c r="U39"/>
  <c r="V39" s="1"/>
  <c r="W39" s="1"/>
  <c r="G39"/>
  <c r="AA38"/>
  <c r="U38"/>
  <c r="V38" s="1"/>
  <c r="G38"/>
  <c r="AH29" i="142"/>
  <c r="AD29"/>
  <c r="Y29"/>
  <c r="X29"/>
  <c r="H29"/>
  <c r="F29"/>
  <c r="AA28"/>
  <c r="AB28" s="1"/>
  <c r="U28"/>
  <c r="V28" s="1"/>
  <c r="W28" s="1"/>
  <c r="G28"/>
  <c r="AA27"/>
  <c r="U27"/>
  <c r="V27" s="1"/>
  <c r="G27"/>
  <c r="AH37" i="143"/>
  <c r="AD37"/>
  <c r="Y37"/>
  <c r="X37"/>
  <c r="H37"/>
  <c r="F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G34"/>
  <c r="F72" i="142"/>
  <c r="G61" i="143" l="1"/>
  <c r="G62" s="1"/>
  <c r="AA61"/>
  <c r="AB61" s="1"/>
  <c r="V61"/>
  <c r="W61" s="1"/>
  <c r="AI62"/>
  <c r="V29" i="142"/>
  <c r="AE39" i="143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W38"/>
  <c r="W62" s="1"/>
  <c r="AB38"/>
  <c r="C62"/>
  <c r="G29" i="142"/>
  <c r="AA29"/>
  <c r="AJ29" s="1"/>
  <c r="AI29"/>
  <c r="AE28"/>
  <c r="W27"/>
  <c r="W29" s="1"/>
  <c r="AB27"/>
  <c r="G37" i="143"/>
  <c r="AB37"/>
  <c r="AA37"/>
  <c r="AJ37" s="1"/>
  <c r="AI37"/>
  <c r="W34"/>
  <c r="W37" s="1"/>
  <c r="V37"/>
  <c r="AE35"/>
  <c r="AE36"/>
  <c r="AE34"/>
  <c r="C37"/>
  <c r="AE61" l="1"/>
  <c r="AA62"/>
  <c r="AJ62" s="1"/>
  <c r="V62"/>
  <c r="AB62"/>
  <c r="AE38"/>
  <c r="AE62" s="1"/>
  <c r="AB29" i="142"/>
  <c r="AE27"/>
  <c r="AE29" s="1"/>
  <c r="AE37" i="143"/>
  <c r="AH33" l="1"/>
  <c r="AD33"/>
  <c r="Y33"/>
  <c r="X33"/>
  <c r="H33"/>
  <c r="F33"/>
  <c r="AI33" s="1"/>
  <c r="AA32"/>
  <c r="AB32" s="1"/>
  <c r="U32"/>
  <c r="V32" s="1"/>
  <c r="W32" s="1"/>
  <c r="G32"/>
  <c r="AA31"/>
  <c r="AB31" s="1"/>
  <c r="U31"/>
  <c r="V31" s="1"/>
  <c r="W31" s="1"/>
  <c r="G31"/>
  <c r="AA30"/>
  <c r="AB30" s="1"/>
  <c r="U30"/>
  <c r="V30" s="1"/>
  <c r="W30" s="1"/>
  <c r="G30"/>
  <c r="AA29"/>
  <c r="AB29" s="1"/>
  <c r="U29"/>
  <c r="V29" s="1"/>
  <c r="W29" s="1"/>
  <c r="G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W19" s="1"/>
  <c r="G19"/>
  <c r="AA18"/>
  <c r="U18"/>
  <c r="V18" s="1"/>
  <c r="G18"/>
  <c r="G33" l="1"/>
  <c r="AA33"/>
  <c r="AJ33" s="1"/>
  <c r="V33"/>
  <c r="AE19"/>
  <c r="AE20"/>
  <c r="AE21"/>
  <c r="AE22"/>
  <c r="AE23"/>
  <c r="AE24"/>
  <c r="AE25"/>
  <c r="AE26"/>
  <c r="AE27"/>
  <c r="AE28"/>
  <c r="AE29"/>
  <c r="AE30"/>
  <c r="AE31"/>
  <c r="AE32"/>
  <c r="W18"/>
  <c r="W33" s="1"/>
  <c r="AB18"/>
  <c r="C33"/>
  <c r="AH72" i="142"/>
  <c r="AD72"/>
  <c r="Y72"/>
  <c r="X72"/>
  <c r="H72"/>
  <c r="AA71"/>
  <c r="AB71" s="1"/>
  <c r="U71"/>
  <c r="V71" s="1"/>
  <c r="W71" s="1"/>
  <c r="G71"/>
  <c r="AA70"/>
  <c r="AB70" s="1"/>
  <c r="U70"/>
  <c r="V70" s="1"/>
  <c r="W70" s="1"/>
  <c r="G70"/>
  <c r="AA69"/>
  <c r="AB69" s="1"/>
  <c r="U69"/>
  <c r="V69" s="1"/>
  <c r="W69" s="1"/>
  <c r="G69"/>
  <c r="AA68"/>
  <c r="AB68" s="1"/>
  <c r="U68"/>
  <c r="V68" s="1"/>
  <c r="W68" s="1"/>
  <c r="G68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AA42"/>
  <c r="AB42" s="1"/>
  <c r="U42"/>
  <c r="V42" s="1"/>
  <c r="W42" s="1"/>
  <c r="G42"/>
  <c r="AA41"/>
  <c r="AB41" s="1"/>
  <c r="U41"/>
  <c r="V41" s="1"/>
  <c r="W41" s="1"/>
  <c r="G41"/>
  <c r="AA40"/>
  <c r="AB40" s="1"/>
  <c r="U40"/>
  <c r="V40" s="1"/>
  <c r="W40" s="1"/>
  <c r="G40"/>
  <c r="AA39"/>
  <c r="AB39" s="1"/>
  <c r="U39"/>
  <c r="V39" s="1"/>
  <c r="W39" s="1"/>
  <c r="G39"/>
  <c r="G72" l="1"/>
  <c r="C72"/>
  <c r="AB33" i="143"/>
  <c r="AE18"/>
  <c r="AE33" s="1"/>
  <c r="AI72" i="142"/>
  <c r="AE41"/>
  <c r="AE43"/>
  <c r="AE45"/>
  <c r="AE47"/>
  <c r="AE49"/>
  <c r="AE51"/>
  <c r="AE53"/>
  <c r="AE55"/>
  <c r="AE57"/>
  <c r="AE59"/>
  <c r="AE61"/>
  <c r="AE63"/>
  <c r="AE65"/>
  <c r="AE67"/>
  <c r="AE69"/>
  <c r="AE71"/>
  <c r="AE42"/>
  <c r="AE46"/>
  <c r="W72"/>
  <c r="AB72"/>
  <c r="AE39"/>
  <c r="AE40"/>
  <c r="AE44"/>
  <c r="AE48"/>
  <c r="AE50"/>
  <c r="AE52"/>
  <c r="AE54"/>
  <c r="AE56"/>
  <c r="AE58"/>
  <c r="AE60"/>
  <c r="AE62"/>
  <c r="AE64"/>
  <c r="AE66"/>
  <c r="AE68"/>
  <c r="AE70"/>
  <c r="V72"/>
  <c r="AA72"/>
  <c r="AJ72" s="1"/>
  <c r="AE72" l="1"/>
  <c r="F17" i="143" l="1"/>
  <c r="F63" s="1"/>
  <c r="AA16"/>
  <c r="AB16" s="1"/>
  <c r="U16"/>
  <c r="V16" s="1"/>
  <c r="W16" s="1"/>
  <c r="G16"/>
  <c r="AH38" i="142"/>
  <c r="AD38"/>
  <c r="Y38"/>
  <c r="X38"/>
  <c r="H38"/>
  <c r="F38"/>
  <c r="AA37"/>
  <c r="AB37" s="1"/>
  <c r="U37"/>
  <c r="V37" s="1"/>
  <c r="W37" s="1"/>
  <c r="G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W34" s="1"/>
  <c r="G34"/>
  <c r="AA33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30"/>
  <c r="AB30" s="1"/>
  <c r="U30"/>
  <c r="V30" s="1"/>
  <c r="G30"/>
  <c r="F26"/>
  <c r="F21"/>
  <c r="F12"/>
  <c r="F9"/>
  <c r="F84" l="1"/>
  <c r="G38"/>
  <c r="AB38"/>
  <c r="AE16" i="143"/>
  <c r="AI38" i="142"/>
  <c r="V38"/>
  <c r="W30"/>
  <c r="AE30" s="1"/>
  <c r="AE31"/>
  <c r="AE32"/>
  <c r="AE33"/>
  <c r="AE34"/>
  <c r="AE35"/>
  <c r="AE36"/>
  <c r="AE37"/>
  <c r="AA38"/>
  <c r="AJ38" l="1"/>
  <c r="AE38"/>
  <c r="W38"/>
  <c r="AA15" i="143"/>
  <c r="AB15" s="1"/>
  <c r="U15"/>
  <c r="V15" s="1"/>
  <c r="W15" s="1"/>
  <c r="G15"/>
  <c r="AA14"/>
  <c r="AB14" s="1"/>
  <c r="U14"/>
  <c r="V14" s="1"/>
  <c r="W14" s="1"/>
  <c r="G14"/>
  <c r="AA13"/>
  <c r="AB13" s="1"/>
  <c r="U13"/>
  <c r="V13" s="1"/>
  <c r="W13" s="1"/>
  <c r="G13"/>
  <c r="AA12"/>
  <c r="AB12" s="1"/>
  <c r="U12"/>
  <c r="V12" s="1"/>
  <c r="W12" s="1"/>
  <c r="G12"/>
  <c r="AH21" i="142"/>
  <c r="AD21"/>
  <c r="Y21"/>
  <c r="X21"/>
  <c r="H21"/>
  <c r="AA20"/>
  <c r="AB20" s="1"/>
  <c r="U20"/>
  <c r="V20" s="1"/>
  <c r="W20" s="1"/>
  <c r="G20"/>
  <c r="AA19"/>
  <c r="AB19" s="1"/>
  <c r="U19"/>
  <c r="V19" s="1"/>
  <c r="W19" s="1"/>
  <c r="G19"/>
  <c r="AA18"/>
  <c r="AB18" s="1"/>
  <c r="U18"/>
  <c r="V18" s="1"/>
  <c r="W18" s="1"/>
  <c r="G18"/>
  <c r="AA17"/>
  <c r="AB17" s="1"/>
  <c r="U17"/>
  <c r="V17" s="1"/>
  <c r="W17" s="1"/>
  <c r="G17"/>
  <c r="AA16"/>
  <c r="AB16" s="1"/>
  <c r="U16"/>
  <c r="V16" s="1"/>
  <c r="W16" s="1"/>
  <c r="G16"/>
  <c r="AA15"/>
  <c r="AB15" s="1"/>
  <c r="U15"/>
  <c r="V15" s="1"/>
  <c r="W15" s="1"/>
  <c r="G15"/>
  <c r="AA14"/>
  <c r="AB14" s="1"/>
  <c r="U14"/>
  <c r="V14" s="1"/>
  <c r="W14" s="1"/>
  <c r="G14"/>
  <c r="AA13"/>
  <c r="AB13" s="1"/>
  <c r="U13"/>
  <c r="V13" s="1"/>
  <c r="G13"/>
  <c r="AH63" i="143"/>
  <c r="AA63"/>
  <c r="AH17"/>
  <c r="AD17"/>
  <c r="Y17"/>
  <c r="X17"/>
  <c r="H17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U3"/>
  <c r="V3" s="1"/>
  <c r="G3"/>
  <c r="AH26" i="142"/>
  <c r="AD26"/>
  <c r="Y26"/>
  <c r="X26"/>
  <c r="H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G22"/>
  <c r="AH12"/>
  <c r="AD12"/>
  <c r="Y12"/>
  <c r="X12"/>
  <c r="H12"/>
  <c r="AA11"/>
  <c r="AB11" s="1"/>
  <c r="U11"/>
  <c r="V11" s="1"/>
  <c r="W11" s="1"/>
  <c r="G11"/>
  <c r="AA10"/>
  <c r="AB10" s="1"/>
  <c r="U10"/>
  <c r="V10" s="1"/>
  <c r="G10"/>
  <c r="AH9"/>
  <c r="AD9"/>
  <c r="Y9"/>
  <c r="X9"/>
  <c r="H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AB3" s="1"/>
  <c r="U3"/>
  <c r="V3" s="1"/>
  <c r="G3"/>
  <c r="AB12" l="1"/>
  <c r="H63" i="143"/>
  <c r="H84" i="142"/>
  <c r="AE13" i="143"/>
  <c r="AE15"/>
  <c r="AE12"/>
  <c r="AE14"/>
  <c r="AI17"/>
  <c r="AA17"/>
  <c r="AJ17" s="1"/>
  <c r="AE5"/>
  <c r="AE7"/>
  <c r="AE9"/>
  <c r="AE11"/>
  <c r="AB21" i="142"/>
  <c r="AI21"/>
  <c r="G21"/>
  <c r="V21"/>
  <c r="W13"/>
  <c r="W21" s="1"/>
  <c r="AE14"/>
  <c r="AE15"/>
  <c r="AE16"/>
  <c r="AE17"/>
  <c r="AE18"/>
  <c r="AE19"/>
  <c r="AE20"/>
  <c r="AA21"/>
  <c r="AJ21" s="1"/>
  <c r="AB9"/>
  <c r="AB26"/>
  <c r="AI9"/>
  <c r="AI12"/>
  <c r="AI26"/>
  <c r="G9"/>
  <c r="G12"/>
  <c r="G26"/>
  <c r="AE4" i="143"/>
  <c r="AE6"/>
  <c r="AE8"/>
  <c r="AE10"/>
  <c r="W3"/>
  <c r="AB3"/>
  <c r="G17"/>
  <c r="V17"/>
  <c r="F1"/>
  <c r="V9" i="142"/>
  <c r="W3"/>
  <c r="W9" s="1"/>
  <c r="V12"/>
  <c r="W10"/>
  <c r="W12" s="1"/>
  <c r="V26"/>
  <c r="W22"/>
  <c r="W26" s="1"/>
  <c r="AE4"/>
  <c r="AE5"/>
  <c r="AE6"/>
  <c r="AE7"/>
  <c r="AE8"/>
  <c r="AE11"/>
  <c r="AE23"/>
  <c r="AE24"/>
  <c r="AE25"/>
  <c r="AA26"/>
  <c r="AJ26" s="1"/>
  <c r="AA9"/>
  <c r="AJ9" s="1"/>
  <c r="AA12"/>
  <c r="AJ12" s="1"/>
  <c r="G84" l="1"/>
  <c r="AI63" i="143"/>
  <c r="AB84" i="142"/>
  <c r="V84"/>
  <c r="AA84"/>
  <c r="W84"/>
  <c r="AE3"/>
  <c r="AE9" s="1"/>
  <c r="G63" i="143"/>
  <c r="AE22" i="142"/>
  <c r="AE26" s="1"/>
  <c r="AE10"/>
  <c r="AE12" s="1"/>
  <c r="AE13"/>
  <c r="AE21" s="1"/>
  <c r="W17" i="143"/>
  <c r="V63"/>
  <c r="AB17"/>
  <c r="AE3"/>
  <c r="AE84" i="142" l="1"/>
  <c r="W63" i="143"/>
  <c r="AE17"/>
  <c r="AE63" l="1"/>
  <c r="AH8" i="141" l="1"/>
  <c r="AH9" s="1"/>
  <c r="AD8"/>
  <c r="Y8"/>
  <c r="X8"/>
  <c r="H8"/>
  <c r="H9" s="1"/>
  <c r="F8"/>
  <c r="F9" s="1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U3"/>
  <c r="V3" s="1"/>
  <c r="G3"/>
  <c r="G8" l="1"/>
  <c r="V8"/>
  <c r="G9"/>
  <c r="V9"/>
  <c r="AA8"/>
  <c r="AJ8" s="1"/>
  <c r="AE4"/>
  <c r="AE5"/>
  <c r="AE6"/>
  <c r="AE7"/>
  <c r="W3"/>
  <c r="W8" s="1"/>
  <c r="AB3"/>
  <c r="AI8"/>
  <c r="AI9"/>
  <c r="W9" l="1"/>
  <c r="AA9"/>
  <c r="AE3"/>
  <c r="AE8" s="1"/>
  <c r="AB8"/>
  <c r="AB9" s="1"/>
  <c r="AE9" l="1"/>
  <c r="AD109" i="140"/>
  <c r="Y109"/>
  <c r="X109"/>
  <c r="AH108"/>
  <c r="AH109" s="1"/>
  <c r="U108"/>
  <c r="H108"/>
  <c r="H109" s="1"/>
  <c r="F108"/>
  <c r="G108" s="1"/>
  <c r="AA107"/>
  <c r="AB107" s="1"/>
  <c r="U107"/>
  <c r="V107" s="1"/>
  <c r="W107" s="1"/>
  <c r="G107"/>
  <c r="AA106"/>
  <c r="AB106" s="1"/>
  <c r="U106"/>
  <c r="V106" s="1"/>
  <c r="W106" s="1"/>
  <c r="G106"/>
  <c r="AA105"/>
  <c r="AB105" s="1"/>
  <c r="U105"/>
  <c r="V105" s="1"/>
  <c r="W105" s="1"/>
  <c r="G105"/>
  <c r="AA104"/>
  <c r="AB104" s="1"/>
  <c r="U104"/>
  <c r="V104" s="1"/>
  <c r="W104" s="1"/>
  <c r="G104"/>
  <c r="AA103"/>
  <c r="AB103" s="1"/>
  <c r="U103"/>
  <c r="V103" s="1"/>
  <c r="W103" s="1"/>
  <c r="G103"/>
  <c r="AA102"/>
  <c r="AB102" s="1"/>
  <c r="U102"/>
  <c r="V102" s="1"/>
  <c r="W102" s="1"/>
  <c r="G102"/>
  <c r="AA101"/>
  <c r="AB101" s="1"/>
  <c r="U101"/>
  <c r="V101" s="1"/>
  <c r="W101" s="1"/>
  <c r="G101"/>
  <c r="AA100"/>
  <c r="AB100" s="1"/>
  <c r="U100"/>
  <c r="V100" s="1"/>
  <c r="W100" s="1"/>
  <c r="G100"/>
  <c r="AA99"/>
  <c r="AB99" s="1"/>
  <c r="U99"/>
  <c r="V99" s="1"/>
  <c r="W99" s="1"/>
  <c r="G99"/>
  <c r="AA98"/>
  <c r="AB98" s="1"/>
  <c r="U98"/>
  <c r="V98" s="1"/>
  <c r="W98" s="1"/>
  <c r="G98"/>
  <c r="AA97"/>
  <c r="AB97" s="1"/>
  <c r="U97"/>
  <c r="V97" s="1"/>
  <c r="W97" s="1"/>
  <c r="G97"/>
  <c r="AA96"/>
  <c r="AB96" s="1"/>
  <c r="U96"/>
  <c r="V96" s="1"/>
  <c r="W96" s="1"/>
  <c r="G96"/>
  <c r="AA95"/>
  <c r="AB95" s="1"/>
  <c r="U95"/>
  <c r="V95" s="1"/>
  <c r="G95"/>
  <c r="AH94"/>
  <c r="AD94"/>
  <c r="Y94"/>
  <c r="X94"/>
  <c r="H94"/>
  <c r="F94"/>
  <c r="AA93"/>
  <c r="AB93" s="1"/>
  <c r="U93"/>
  <c r="V93" s="1"/>
  <c r="W93" s="1"/>
  <c r="G93"/>
  <c r="AA92"/>
  <c r="AB92" s="1"/>
  <c r="U92"/>
  <c r="V92" s="1"/>
  <c r="W92" s="1"/>
  <c r="G92"/>
  <c r="AA91"/>
  <c r="AB91" s="1"/>
  <c r="U91"/>
  <c r="V91" s="1"/>
  <c r="W91" s="1"/>
  <c r="G91"/>
  <c r="AA90"/>
  <c r="AB90" s="1"/>
  <c r="U90"/>
  <c r="V90" s="1"/>
  <c r="W90" s="1"/>
  <c r="G90"/>
  <c r="AA89"/>
  <c r="AB89" s="1"/>
  <c r="U89"/>
  <c r="V89" s="1"/>
  <c r="W89" s="1"/>
  <c r="G89"/>
  <c r="AA88"/>
  <c r="AB88" s="1"/>
  <c r="U88"/>
  <c r="V88" s="1"/>
  <c r="W88" s="1"/>
  <c r="G88"/>
  <c r="AA87"/>
  <c r="AB87" s="1"/>
  <c r="U87"/>
  <c r="V87" s="1"/>
  <c r="W87" s="1"/>
  <c r="G87"/>
  <c r="AA86"/>
  <c r="AB86" s="1"/>
  <c r="U86"/>
  <c r="V86" s="1"/>
  <c r="W86" s="1"/>
  <c r="G86"/>
  <c r="AA85"/>
  <c r="AB85" s="1"/>
  <c r="U85"/>
  <c r="V85" s="1"/>
  <c r="W85" s="1"/>
  <c r="G85"/>
  <c r="AA84"/>
  <c r="AB84" s="1"/>
  <c r="U84"/>
  <c r="V84" s="1"/>
  <c r="W84" s="1"/>
  <c r="G84"/>
  <c r="AA83"/>
  <c r="AB83" s="1"/>
  <c r="U83"/>
  <c r="V83" s="1"/>
  <c r="W83" s="1"/>
  <c r="G83"/>
  <c r="AA82"/>
  <c r="AB82" s="1"/>
  <c r="U82"/>
  <c r="V82" s="1"/>
  <c r="W82" s="1"/>
  <c r="G82"/>
  <c r="AA81"/>
  <c r="AB81" s="1"/>
  <c r="U81"/>
  <c r="V81" s="1"/>
  <c r="W81" s="1"/>
  <c r="G81"/>
  <c r="AA80"/>
  <c r="AB80" s="1"/>
  <c r="U80"/>
  <c r="V80" s="1"/>
  <c r="W80" s="1"/>
  <c r="G80"/>
  <c r="AA79"/>
  <c r="AB79" s="1"/>
  <c r="U79"/>
  <c r="V79" s="1"/>
  <c r="W79" s="1"/>
  <c r="G79"/>
  <c r="AA78"/>
  <c r="AB78" s="1"/>
  <c r="U78"/>
  <c r="V78" s="1"/>
  <c r="W78" s="1"/>
  <c r="G78"/>
  <c r="AA77"/>
  <c r="U77"/>
  <c r="V77" s="1"/>
  <c r="G77"/>
  <c r="AH76"/>
  <c r="AD76"/>
  <c r="Y76"/>
  <c r="X76"/>
  <c r="H76"/>
  <c r="F76"/>
  <c r="AA75"/>
  <c r="AB75" s="1"/>
  <c r="U75"/>
  <c r="V75" s="1"/>
  <c r="W75" s="1"/>
  <c r="G75"/>
  <c r="AA74"/>
  <c r="AB74" s="1"/>
  <c r="U74"/>
  <c r="V74" s="1"/>
  <c r="W74" s="1"/>
  <c r="G74"/>
  <c r="AA73"/>
  <c r="AB73" s="1"/>
  <c r="U73"/>
  <c r="V73" s="1"/>
  <c r="W73" s="1"/>
  <c r="G73"/>
  <c r="AA72"/>
  <c r="AB72" s="1"/>
  <c r="U72"/>
  <c r="V72" s="1"/>
  <c r="W72" s="1"/>
  <c r="G72"/>
  <c r="AA71"/>
  <c r="AB71" s="1"/>
  <c r="U71"/>
  <c r="V71" s="1"/>
  <c r="W71" s="1"/>
  <c r="G71"/>
  <c r="AA70"/>
  <c r="AB70" s="1"/>
  <c r="U70"/>
  <c r="V70" s="1"/>
  <c r="W70" s="1"/>
  <c r="G70"/>
  <c r="AA69"/>
  <c r="AB69" s="1"/>
  <c r="U69"/>
  <c r="V69" s="1"/>
  <c r="W69" s="1"/>
  <c r="G69"/>
  <c r="AA68"/>
  <c r="AB68" s="1"/>
  <c r="U68"/>
  <c r="V68" s="1"/>
  <c r="W68" s="1"/>
  <c r="G68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V44" s="1"/>
  <c r="W44" s="1"/>
  <c r="G44"/>
  <c r="AA43"/>
  <c r="AB43" s="1"/>
  <c r="U43"/>
  <c r="V43" s="1"/>
  <c r="W43" s="1"/>
  <c r="G43"/>
  <c r="AA42"/>
  <c r="AB42" s="1"/>
  <c r="U42"/>
  <c r="V42" s="1"/>
  <c r="W42" s="1"/>
  <c r="G42"/>
  <c r="AA41"/>
  <c r="AB41" s="1"/>
  <c r="U41"/>
  <c r="V41" s="1"/>
  <c r="W41" s="1"/>
  <c r="G41"/>
  <c r="AA40"/>
  <c r="AB40" s="1"/>
  <c r="U40"/>
  <c r="V40" s="1"/>
  <c r="W40" s="1"/>
  <c r="G40"/>
  <c r="AA39"/>
  <c r="AB39" s="1"/>
  <c r="U39"/>
  <c r="V39" s="1"/>
  <c r="W39" s="1"/>
  <c r="G39"/>
  <c r="AA38"/>
  <c r="AB38" s="1"/>
  <c r="U38"/>
  <c r="V38" s="1"/>
  <c r="W38" s="1"/>
  <c r="G38"/>
  <c r="AA37"/>
  <c r="AB37" s="1"/>
  <c r="U37"/>
  <c r="V37" s="1"/>
  <c r="W37" s="1"/>
  <c r="G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W34" s="1"/>
  <c r="G34"/>
  <c r="AA33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30"/>
  <c r="U30"/>
  <c r="V30" s="1"/>
  <c r="G30"/>
  <c r="AH29"/>
  <c r="AD29"/>
  <c r="Y29"/>
  <c r="X29"/>
  <c r="H29"/>
  <c r="F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W19" s="1"/>
  <c r="G19"/>
  <c r="AA18"/>
  <c r="AB18" s="1"/>
  <c r="U18"/>
  <c r="V18" s="1"/>
  <c r="W18" s="1"/>
  <c r="G18"/>
  <c r="AA17"/>
  <c r="AB17" s="1"/>
  <c r="U17"/>
  <c r="V17" s="1"/>
  <c r="W17" s="1"/>
  <c r="G17"/>
  <c r="AA16"/>
  <c r="AB16" s="1"/>
  <c r="U16"/>
  <c r="V16" s="1"/>
  <c r="W16" s="1"/>
  <c r="G16"/>
  <c r="AA15"/>
  <c r="AB15" s="1"/>
  <c r="U15"/>
  <c r="V15" s="1"/>
  <c r="W15" s="1"/>
  <c r="G15"/>
  <c r="AA14"/>
  <c r="AB14" s="1"/>
  <c r="U14"/>
  <c r="V14" s="1"/>
  <c r="G14"/>
  <c r="AH13"/>
  <c r="AD13"/>
  <c r="Y13"/>
  <c r="X13"/>
  <c r="H13"/>
  <c r="F13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AB3" s="1"/>
  <c r="U3"/>
  <c r="V3" s="1"/>
  <c r="W3" s="1"/>
  <c r="G3"/>
  <c r="G118" i="138"/>
  <c r="G117"/>
  <c r="F116"/>
  <c r="G116" s="1"/>
  <c r="F115"/>
  <c r="G115" s="1"/>
  <c r="F114"/>
  <c r="G114" s="1"/>
  <c r="G113"/>
  <c r="G112"/>
  <c r="G111"/>
  <c r="G110"/>
  <c r="G109"/>
  <c r="G108"/>
  <c r="G107"/>
  <c r="G106"/>
  <c r="F105"/>
  <c r="G104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H29"/>
  <c r="F29"/>
  <c r="G29" s="1"/>
  <c r="H28"/>
  <c r="F28"/>
  <c r="G28" s="1"/>
  <c r="F27"/>
  <c r="G27" s="1"/>
  <c r="F26"/>
  <c r="G26" s="1"/>
  <c r="G25"/>
  <c r="G24"/>
  <c r="F23"/>
  <c r="G23" s="1"/>
  <c r="F22"/>
  <c r="G22" s="1"/>
  <c r="F21"/>
  <c r="G21" s="1"/>
  <c r="G20"/>
  <c r="G19"/>
  <c r="G18"/>
  <c r="F17"/>
  <c r="G17" s="1"/>
  <c r="G15"/>
  <c r="F14"/>
  <c r="G14" s="1"/>
  <c r="G13"/>
  <c r="G12"/>
  <c r="G11"/>
  <c r="G10"/>
  <c r="F9"/>
  <c r="G9" s="1"/>
  <c r="G8"/>
  <c r="G7"/>
  <c r="G6"/>
  <c r="H5"/>
  <c r="F5"/>
  <c r="G5" s="1"/>
  <c r="F4"/>
  <c r="G4" s="1"/>
  <c r="G3"/>
  <c r="F67"/>
  <c r="G67" s="1"/>
  <c r="G66"/>
  <c r="G65"/>
  <c r="G64"/>
  <c r="G63"/>
  <c r="H62"/>
  <c r="F62"/>
  <c r="G62" s="1"/>
  <c r="G61"/>
  <c r="G60"/>
  <c r="G59"/>
  <c r="G58"/>
  <c r="F57"/>
  <c r="G57" s="1"/>
  <c r="G56"/>
  <c r="G55"/>
  <c r="G54"/>
  <c r="G53"/>
  <c r="G52"/>
  <c r="G51"/>
  <c r="G50"/>
  <c r="G49"/>
  <c r="G48"/>
  <c r="G47"/>
  <c r="G46"/>
  <c r="G45"/>
  <c r="G44"/>
  <c r="G43"/>
  <c r="G42"/>
  <c r="F41"/>
  <c r="G41" s="1"/>
  <c r="F40"/>
  <c r="G40" s="1"/>
  <c r="G39"/>
  <c r="G38"/>
  <c r="G37"/>
  <c r="G36"/>
  <c r="G35"/>
  <c r="G34"/>
  <c r="G33"/>
  <c r="G32"/>
  <c r="G31"/>
  <c r="AI29" i="140" l="1"/>
  <c r="G105" i="138"/>
  <c r="F119"/>
  <c r="AI76" i="140"/>
  <c r="G109"/>
  <c r="AI13"/>
  <c r="G76"/>
  <c r="G94"/>
  <c r="AI94"/>
  <c r="AE4"/>
  <c r="AE12"/>
  <c r="V29"/>
  <c r="AE32"/>
  <c r="AE36"/>
  <c r="AE40"/>
  <c r="V13"/>
  <c r="G13"/>
  <c r="AE6"/>
  <c r="AE10"/>
  <c r="G29"/>
  <c r="W14"/>
  <c r="W29" s="1"/>
  <c r="AE15"/>
  <c r="AE19"/>
  <c r="AE23"/>
  <c r="AE27"/>
  <c r="AE34"/>
  <c r="AE38"/>
  <c r="AE42"/>
  <c r="AE46"/>
  <c r="AE50"/>
  <c r="AE54"/>
  <c r="AE58"/>
  <c r="AE62"/>
  <c r="AE66"/>
  <c r="AE70"/>
  <c r="AE74"/>
  <c r="W13"/>
  <c r="AE8"/>
  <c r="AE17"/>
  <c r="AE21"/>
  <c r="AE25"/>
  <c r="AE44"/>
  <c r="AE48"/>
  <c r="AE52"/>
  <c r="AE56"/>
  <c r="AE60"/>
  <c r="AE64"/>
  <c r="AE68"/>
  <c r="AE72"/>
  <c r="AE79"/>
  <c r="AE81"/>
  <c r="AE83"/>
  <c r="AE85"/>
  <c r="AE87"/>
  <c r="AE89"/>
  <c r="AE91"/>
  <c r="AE93"/>
  <c r="AE96"/>
  <c r="AE98"/>
  <c r="AE100"/>
  <c r="AE102"/>
  <c r="AE104"/>
  <c r="AE106"/>
  <c r="AH110"/>
  <c r="H110"/>
  <c r="V76"/>
  <c r="W30"/>
  <c r="W76" s="1"/>
  <c r="W77"/>
  <c r="W94" s="1"/>
  <c r="V94"/>
  <c r="AA29"/>
  <c r="AJ29" s="1"/>
  <c r="AB13"/>
  <c r="AE3"/>
  <c r="AA76"/>
  <c r="AJ76" s="1"/>
  <c r="AB30"/>
  <c r="AB77"/>
  <c r="AA94"/>
  <c r="AJ94" s="1"/>
  <c r="W95"/>
  <c r="AE5"/>
  <c r="AE7"/>
  <c r="AE9"/>
  <c r="AE11"/>
  <c r="AA13"/>
  <c r="AJ13" s="1"/>
  <c r="AE14"/>
  <c r="AE16"/>
  <c r="AE18"/>
  <c r="AE20"/>
  <c r="AE22"/>
  <c r="AE24"/>
  <c r="AE26"/>
  <c r="AE28"/>
  <c r="AB29"/>
  <c r="AE31"/>
  <c r="AE33"/>
  <c r="AE35"/>
  <c r="AE37"/>
  <c r="AE39"/>
  <c r="AE41"/>
  <c r="AE43"/>
  <c r="AE45"/>
  <c r="AE47"/>
  <c r="AE49"/>
  <c r="AE51"/>
  <c r="AE53"/>
  <c r="AE55"/>
  <c r="AE57"/>
  <c r="AE59"/>
  <c r="AE61"/>
  <c r="AE63"/>
  <c r="AE65"/>
  <c r="AE67"/>
  <c r="AE69"/>
  <c r="AE71"/>
  <c r="AE73"/>
  <c r="AE75"/>
  <c r="AE78"/>
  <c r="AE80"/>
  <c r="AE82"/>
  <c r="AE84"/>
  <c r="AE86"/>
  <c r="AE88"/>
  <c r="AE90"/>
  <c r="AE92"/>
  <c r="AE97"/>
  <c r="AE99"/>
  <c r="AE101"/>
  <c r="AE103"/>
  <c r="AE105"/>
  <c r="AE107"/>
  <c r="V108"/>
  <c r="W108" s="1"/>
  <c r="AA108"/>
  <c r="AB108" s="1"/>
  <c r="F109"/>
  <c r="F110" s="1"/>
  <c r="F1" s="1"/>
  <c r="AB109"/>
  <c r="AH115" i="138"/>
  <c r="AH105"/>
  <c r="AH103"/>
  <c r="AH65"/>
  <c r="AH62"/>
  <c r="AH40"/>
  <c r="AH29"/>
  <c r="AH28"/>
  <c r="AH27"/>
  <c r="AH26"/>
  <c r="AH9"/>
  <c r="AH5"/>
  <c r="AH4"/>
  <c r="F34" i="139"/>
  <c r="AH16" i="138" l="1"/>
  <c r="AH30"/>
  <c r="AH68"/>
  <c r="AH119"/>
  <c r="AE108" i="140"/>
  <c r="AI109"/>
  <c r="AI110" s="1"/>
  <c r="W109"/>
  <c r="W110" s="1"/>
  <c r="G110"/>
  <c r="AB94"/>
  <c r="AE77"/>
  <c r="AE94" s="1"/>
  <c r="AE95"/>
  <c r="AE109" s="1"/>
  <c r="AE29"/>
  <c r="V109"/>
  <c r="AA110"/>
  <c r="AB76"/>
  <c r="AE30"/>
  <c r="AE76" s="1"/>
  <c r="AE13"/>
  <c r="AA109"/>
  <c r="AJ109" s="1"/>
  <c r="V110"/>
  <c r="F35" i="139"/>
  <c r="AE110" i="140" l="1"/>
  <c r="AA33" i="139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30"/>
  <c r="AB30" s="1"/>
  <c r="U30"/>
  <c r="V30" s="1"/>
  <c r="W30" s="1"/>
  <c r="G30"/>
  <c r="AA29"/>
  <c r="AB29" s="1"/>
  <c r="U29"/>
  <c r="V29" s="1"/>
  <c r="W29" s="1"/>
  <c r="G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E24" l="1"/>
  <c r="AE25"/>
  <c r="AE26"/>
  <c r="AE27"/>
  <c r="AE28"/>
  <c r="AE29"/>
  <c r="AE30"/>
  <c r="AE31"/>
  <c r="AE32"/>
  <c r="AE33"/>
  <c r="AA23" l="1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E20" l="1"/>
  <c r="AE21"/>
  <c r="AE22"/>
  <c r="AE23"/>
  <c r="AA66" i="138" l="1"/>
  <c r="AB66" s="1"/>
  <c r="U66"/>
  <c r="V66" s="1"/>
  <c r="W66" s="1"/>
  <c r="AA65"/>
  <c r="AB65" s="1"/>
  <c r="U65"/>
  <c r="AA64"/>
  <c r="AB64" s="1"/>
  <c r="U64"/>
  <c r="V64" s="1"/>
  <c r="W64" s="1"/>
  <c r="AA63"/>
  <c r="AB63" s="1"/>
  <c r="U63"/>
  <c r="V63" s="1"/>
  <c r="W63" s="1"/>
  <c r="AA62"/>
  <c r="AB62" s="1"/>
  <c r="U62"/>
  <c r="AA102"/>
  <c r="AB102" s="1"/>
  <c r="U102"/>
  <c r="V102" s="1"/>
  <c r="W102" s="1"/>
  <c r="AA100"/>
  <c r="AB100" s="1"/>
  <c r="U100"/>
  <c r="V100" s="1"/>
  <c r="W100" s="1"/>
  <c r="AA99"/>
  <c r="AB99" s="1"/>
  <c r="U99"/>
  <c r="V99" s="1"/>
  <c r="W99" s="1"/>
  <c r="AA98"/>
  <c r="AB98" s="1"/>
  <c r="U98"/>
  <c r="V98" s="1"/>
  <c r="W98" s="1"/>
  <c r="H16" l="1"/>
  <c r="F30"/>
  <c r="V65"/>
  <c r="W65" s="1"/>
  <c r="AE64"/>
  <c r="AE65"/>
  <c r="AE66"/>
  <c r="V62"/>
  <c r="W62" s="1"/>
  <c r="AE62" s="1"/>
  <c r="AE63"/>
  <c r="AE98"/>
  <c r="AE100"/>
  <c r="AE102"/>
  <c r="AE99"/>
  <c r="AA11" l="1"/>
  <c r="AB11" s="1"/>
  <c r="U11"/>
  <c r="V11" s="1"/>
  <c r="W11" s="1"/>
  <c r="AA61"/>
  <c r="AB61" s="1"/>
  <c r="U61"/>
  <c r="V61" s="1"/>
  <c r="W61" s="1"/>
  <c r="AA60"/>
  <c r="AB60" s="1"/>
  <c r="U60"/>
  <c r="V60" s="1"/>
  <c r="W60" s="1"/>
  <c r="AA59"/>
  <c r="AB59" s="1"/>
  <c r="U59"/>
  <c r="V59" s="1"/>
  <c r="W59" s="1"/>
  <c r="AA58"/>
  <c r="AB58" s="1"/>
  <c r="U58"/>
  <c r="V58" s="1"/>
  <c r="W58" s="1"/>
  <c r="AA57"/>
  <c r="AB57" s="1"/>
  <c r="U57"/>
  <c r="V57" s="1"/>
  <c r="W57" s="1"/>
  <c r="AA97"/>
  <c r="AB97" s="1"/>
  <c r="U97"/>
  <c r="V97" s="1"/>
  <c r="W97" s="1"/>
  <c r="AA96"/>
  <c r="AB96" s="1"/>
  <c r="U96"/>
  <c r="V96" s="1"/>
  <c r="W96" s="1"/>
  <c r="AA95"/>
  <c r="AB95" s="1"/>
  <c r="U95"/>
  <c r="V95" s="1"/>
  <c r="W95" s="1"/>
  <c r="AA94"/>
  <c r="AB94" s="1"/>
  <c r="U94"/>
  <c r="V94" s="1"/>
  <c r="W94" s="1"/>
  <c r="AA93"/>
  <c r="AB93" s="1"/>
  <c r="U93"/>
  <c r="V93" s="1"/>
  <c r="W93" s="1"/>
  <c r="AA92"/>
  <c r="AB92" s="1"/>
  <c r="U92"/>
  <c r="V92" s="1"/>
  <c r="W92" s="1"/>
  <c r="AA90"/>
  <c r="AB90" s="1"/>
  <c r="U90"/>
  <c r="V90" s="1"/>
  <c r="W90" s="1"/>
  <c r="AA89"/>
  <c r="AB89" s="1"/>
  <c r="U89"/>
  <c r="V89" s="1"/>
  <c r="W89" s="1"/>
  <c r="AA88"/>
  <c r="AB88" s="1"/>
  <c r="U88"/>
  <c r="V88" s="1"/>
  <c r="W88" s="1"/>
  <c r="AA87"/>
  <c r="AB87" s="1"/>
  <c r="U87"/>
  <c r="V87" s="1"/>
  <c r="W87" s="1"/>
  <c r="AA86"/>
  <c r="AB86" s="1"/>
  <c r="U86"/>
  <c r="V86" s="1"/>
  <c r="W86" s="1"/>
  <c r="AA55"/>
  <c r="AB55" s="1"/>
  <c r="U55"/>
  <c r="V55" s="1"/>
  <c r="W55" s="1"/>
  <c r="AA54"/>
  <c r="AB54" s="1"/>
  <c r="U54"/>
  <c r="V54" s="1"/>
  <c r="W54" s="1"/>
  <c r="AA53"/>
  <c r="AB53" s="1"/>
  <c r="U53"/>
  <c r="V53" s="1"/>
  <c r="W53" s="1"/>
  <c r="AA52"/>
  <c r="AB52" s="1"/>
  <c r="U52"/>
  <c r="V52" s="1"/>
  <c r="W52" s="1"/>
  <c r="AA51"/>
  <c r="AB51" s="1"/>
  <c r="U51"/>
  <c r="V51" s="1"/>
  <c r="W51" s="1"/>
  <c r="AE11" l="1"/>
  <c r="AE57"/>
  <c r="AE58"/>
  <c r="AE59"/>
  <c r="AE60"/>
  <c r="AE61"/>
  <c r="AE92"/>
  <c r="AE93"/>
  <c r="AE94"/>
  <c r="AE95"/>
  <c r="AE96"/>
  <c r="AE97"/>
  <c r="AE86"/>
  <c r="AE87"/>
  <c r="AE88"/>
  <c r="AE89"/>
  <c r="AE90"/>
  <c r="AE51"/>
  <c r="AE52"/>
  <c r="AE53"/>
  <c r="AE54"/>
  <c r="AE55"/>
  <c r="AD103" l="1"/>
  <c r="Y103"/>
  <c r="X103"/>
  <c r="H103"/>
  <c r="F103"/>
  <c r="AA101"/>
  <c r="AB101" s="1"/>
  <c r="U101"/>
  <c r="V101" s="1"/>
  <c r="W101" s="1"/>
  <c r="AA91"/>
  <c r="AB91" s="1"/>
  <c r="U91"/>
  <c r="V91" s="1"/>
  <c r="W91" s="1"/>
  <c r="AA85"/>
  <c r="AB85" s="1"/>
  <c r="U85"/>
  <c r="V85" s="1"/>
  <c r="W85" s="1"/>
  <c r="AA84"/>
  <c r="AB84" s="1"/>
  <c r="U84"/>
  <c r="V84" s="1"/>
  <c r="W84" s="1"/>
  <c r="AA83"/>
  <c r="AB83" s="1"/>
  <c r="U83"/>
  <c r="V83" s="1"/>
  <c r="W83" s="1"/>
  <c r="AA82"/>
  <c r="AB82" s="1"/>
  <c r="U82"/>
  <c r="V82" s="1"/>
  <c r="W82" s="1"/>
  <c r="AA81"/>
  <c r="AB81" s="1"/>
  <c r="U81"/>
  <c r="V81" s="1"/>
  <c r="W81" s="1"/>
  <c r="AA80"/>
  <c r="AB80" s="1"/>
  <c r="U80"/>
  <c r="V80" s="1"/>
  <c r="W80" s="1"/>
  <c r="AA79"/>
  <c r="AB79" s="1"/>
  <c r="U79"/>
  <c r="V79" s="1"/>
  <c r="W79" s="1"/>
  <c r="AA78"/>
  <c r="AB78" s="1"/>
  <c r="U78"/>
  <c r="V78" s="1"/>
  <c r="W78" s="1"/>
  <c r="AA77"/>
  <c r="AB77" s="1"/>
  <c r="U77"/>
  <c r="V77" s="1"/>
  <c r="W77" s="1"/>
  <c r="AA76"/>
  <c r="AB76" s="1"/>
  <c r="U76"/>
  <c r="V76" s="1"/>
  <c r="W76" s="1"/>
  <c r="AA75"/>
  <c r="AB75" s="1"/>
  <c r="U75"/>
  <c r="V75" s="1"/>
  <c r="W75" s="1"/>
  <c r="AA74"/>
  <c r="AB74" s="1"/>
  <c r="U74"/>
  <c r="V74" s="1"/>
  <c r="W74" s="1"/>
  <c r="AA73"/>
  <c r="AB73" s="1"/>
  <c r="U73"/>
  <c r="V73" s="1"/>
  <c r="W73" s="1"/>
  <c r="AA72"/>
  <c r="AB72" s="1"/>
  <c r="U72"/>
  <c r="V72" s="1"/>
  <c r="W72" s="1"/>
  <c r="AA71"/>
  <c r="AB71" s="1"/>
  <c r="U71"/>
  <c r="V71" s="1"/>
  <c r="W71" s="1"/>
  <c r="AA70"/>
  <c r="AB70" s="1"/>
  <c r="U70"/>
  <c r="V70" s="1"/>
  <c r="W70" s="1"/>
  <c r="AA69"/>
  <c r="U69"/>
  <c r="V69" s="1"/>
  <c r="G103" l="1"/>
  <c r="V103"/>
  <c r="AI103"/>
  <c r="AA103"/>
  <c r="AJ103" s="1"/>
  <c r="AE70"/>
  <c r="AE71"/>
  <c r="AE72"/>
  <c r="AE73"/>
  <c r="AE74"/>
  <c r="AE75"/>
  <c r="AE76"/>
  <c r="AE77"/>
  <c r="AE78"/>
  <c r="AE79"/>
  <c r="AE80"/>
  <c r="AE81"/>
  <c r="AE82"/>
  <c r="AE83"/>
  <c r="AE84"/>
  <c r="AE85"/>
  <c r="AE91"/>
  <c r="AE101"/>
  <c r="W69"/>
  <c r="W103" s="1"/>
  <c r="AB69"/>
  <c r="AD119"/>
  <c r="Y119"/>
  <c r="X119"/>
  <c r="H119"/>
  <c r="AA118"/>
  <c r="AB118" s="1"/>
  <c r="U118"/>
  <c r="V118" s="1"/>
  <c r="W118" s="1"/>
  <c r="AA117"/>
  <c r="AB117" s="1"/>
  <c r="U117"/>
  <c r="V117" s="1"/>
  <c r="W117" s="1"/>
  <c r="AA116"/>
  <c r="AB116" s="1"/>
  <c r="U116"/>
  <c r="V116" s="1"/>
  <c r="W116" s="1"/>
  <c r="AA115"/>
  <c r="AB115" s="1"/>
  <c r="U115"/>
  <c r="V115" s="1"/>
  <c r="W115" s="1"/>
  <c r="AA114"/>
  <c r="AB114" s="1"/>
  <c r="U114"/>
  <c r="V114" s="1"/>
  <c r="W114" s="1"/>
  <c r="AA113"/>
  <c r="AB113" s="1"/>
  <c r="U113"/>
  <c r="V113" s="1"/>
  <c r="W113" s="1"/>
  <c r="AA112"/>
  <c r="AB112" s="1"/>
  <c r="U112"/>
  <c r="V112" s="1"/>
  <c r="W112" s="1"/>
  <c r="AA111"/>
  <c r="AB111" s="1"/>
  <c r="U111"/>
  <c r="V111" s="1"/>
  <c r="W111" s="1"/>
  <c r="AA110"/>
  <c r="AB110" s="1"/>
  <c r="U110"/>
  <c r="V110" s="1"/>
  <c r="W110" s="1"/>
  <c r="AA109"/>
  <c r="AB109" s="1"/>
  <c r="U109"/>
  <c r="V109" s="1"/>
  <c r="W109" s="1"/>
  <c r="AA108"/>
  <c r="AB108" s="1"/>
  <c r="U108"/>
  <c r="V108" s="1"/>
  <c r="W108" s="1"/>
  <c r="AA107"/>
  <c r="AB107" s="1"/>
  <c r="U107"/>
  <c r="V107" s="1"/>
  <c r="W107" s="1"/>
  <c r="AA106"/>
  <c r="AB106" s="1"/>
  <c r="U106"/>
  <c r="V106" s="1"/>
  <c r="W106" s="1"/>
  <c r="AA105"/>
  <c r="AB105" s="1"/>
  <c r="U105"/>
  <c r="V105" s="1"/>
  <c r="W105" s="1"/>
  <c r="AA104"/>
  <c r="U104"/>
  <c r="V104" s="1"/>
  <c r="AD30"/>
  <c r="Y30"/>
  <c r="X30"/>
  <c r="H30"/>
  <c r="AA29"/>
  <c r="AB29" s="1"/>
  <c r="U29"/>
  <c r="V29" s="1"/>
  <c r="W29" s="1"/>
  <c r="AA28"/>
  <c r="AB28" s="1"/>
  <c r="U28"/>
  <c r="V28" s="1"/>
  <c r="W28" s="1"/>
  <c r="AA27"/>
  <c r="AB27" s="1"/>
  <c r="U27"/>
  <c r="V27" s="1"/>
  <c r="W27" s="1"/>
  <c r="AA26"/>
  <c r="AB26" s="1"/>
  <c r="U26"/>
  <c r="V26" s="1"/>
  <c r="W26" s="1"/>
  <c r="AA25"/>
  <c r="AB25" s="1"/>
  <c r="U25"/>
  <c r="V25" s="1"/>
  <c r="W25" s="1"/>
  <c r="AA24"/>
  <c r="AB24" s="1"/>
  <c r="U24"/>
  <c r="V24" s="1"/>
  <c r="W24" s="1"/>
  <c r="AA23"/>
  <c r="AB23" s="1"/>
  <c r="U23"/>
  <c r="V23" s="1"/>
  <c r="W23" s="1"/>
  <c r="AA22"/>
  <c r="AB22" s="1"/>
  <c r="U22"/>
  <c r="V22" s="1"/>
  <c r="W22" s="1"/>
  <c r="AA21"/>
  <c r="AB21" s="1"/>
  <c r="U21"/>
  <c r="V21" s="1"/>
  <c r="W21" s="1"/>
  <c r="AA20"/>
  <c r="AB20" s="1"/>
  <c r="U20"/>
  <c r="V20" s="1"/>
  <c r="W20" s="1"/>
  <c r="AA19"/>
  <c r="AB19" s="1"/>
  <c r="U19"/>
  <c r="V19" s="1"/>
  <c r="W19" s="1"/>
  <c r="AA18"/>
  <c r="AB18" s="1"/>
  <c r="U18"/>
  <c r="V18" s="1"/>
  <c r="W18" s="1"/>
  <c r="AA17"/>
  <c r="U17"/>
  <c r="V17" s="1"/>
  <c r="G3" i="135"/>
  <c r="U3"/>
  <c r="V3" s="1"/>
  <c r="AA3"/>
  <c r="AB3" s="1"/>
  <c r="G4"/>
  <c r="U4"/>
  <c r="V4" s="1"/>
  <c r="W4" s="1"/>
  <c r="AA4"/>
  <c r="AB4" s="1"/>
  <c r="G5"/>
  <c r="U5"/>
  <c r="V5" s="1"/>
  <c r="W5" s="1"/>
  <c r="AA5"/>
  <c r="AB5" s="1"/>
  <c r="G6"/>
  <c r="U6"/>
  <c r="V6" s="1"/>
  <c r="W6" s="1"/>
  <c r="AA6"/>
  <c r="AB6" s="1"/>
  <c r="G7"/>
  <c r="U7"/>
  <c r="V7" s="1"/>
  <c r="W7" s="1"/>
  <c r="AA7"/>
  <c r="AB7" s="1"/>
  <c r="G8"/>
  <c r="U8"/>
  <c r="V8" s="1"/>
  <c r="W8" s="1"/>
  <c r="AA8"/>
  <c r="AB8" s="1"/>
  <c r="G9"/>
  <c r="U9"/>
  <c r="V9" s="1"/>
  <c r="W9" s="1"/>
  <c r="AA9"/>
  <c r="AB9"/>
  <c r="AE9" s="1"/>
  <c r="G10"/>
  <c r="U10"/>
  <c r="V10" s="1"/>
  <c r="W10" s="1"/>
  <c r="AA10"/>
  <c r="AB10" s="1"/>
  <c r="G11"/>
  <c r="U11"/>
  <c r="V11" s="1"/>
  <c r="W11" s="1"/>
  <c r="AA11"/>
  <c r="AB11" s="1"/>
  <c r="AE11" s="1"/>
  <c r="F12"/>
  <c r="H12"/>
  <c r="X12"/>
  <c r="Y12"/>
  <c r="AD12"/>
  <c r="AH12"/>
  <c r="G13"/>
  <c r="U13"/>
  <c r="V13" s="1"/>
  <c r="W13" s="1"/>
  <c r="AA13"/>
  <c r="AB13" s="1"/>
  <c r="G14"/>
  <c r="U14"/>
  <c r="V14" s="1"/>
  <c r="AA14"/>
  <c r="AB14" s="1"/>
  <c r="G15"/>
  <c r="U15"/>
  <c r="V15" s="1"/>
  <c r="W15" s="1"/>
  <c r="AA15"/>
  <c r="AB15" s="1"/>
  <c r="G16"/>
  <c r="U16"/>
  <c r="V16" s="1"/>
  <c r="W16" s="1"/>
  <c r="AA16"/>
  <c r="AB16" s="1"/>
  <c r="G17"/>
  <c r="U17"/>
  <c r="V17" s="1"/>
  <c r="W17" s="1"/>
  <c r="AA17"/>
  <c r="AB17" s="1"/>
  <c r="G18"/>
  <c r="U18"/>
  <c r="V18" s="1"/>
  <c r="W18" s="1"/>
  <c r="AA18"/>
  <c r="AB18" s="1"/>
  <c r="G19"/>
  <c r="U19"/>
  <c r="V19" s="1"/>
  <c r="W19" s="1"/>
  <c r="AA19"/>
  <c r="AB19" s="1"/>
  <c r="G20"/>
  <c r="U20"/>
  <c r="V20" s="1"/>
  <c r="W20" s="1"/>
  <c r="AA20"/>
  <c r="AB20" s="1"/>
  <c r="G21"/>
  <c r="U21"/>
  <c r="V21" s="1"/>
  <c r="W21" s="1"/>
  <c r="AA21"/>
  <c r="AB21" s="1"/>
  <c r="G22"/>
  <c r="U22"/>
  <c r="V22" s="1"/>
  <c r="W22" s="1"/>
  <c r="AA22"/>
  <c r="AB22" s="1"/>
  <c r="G23"/>
  <c r="U23"/>
  <c r="V23" s="1"/>
  <c r="W23" s="1"/>
  <c r="AA23"/>
  <c r="AB23" s="1"/>
  <c r="G24"/>
  <c r="U24"/>
  <c r="V24" s="1"/>
  <c r="W24" s="1"/>
  <c r="AA24"/>
  <c r="AB24" s="1"/>
  <c r="F25"/>
  <c r="G25" s="1"/>
  <c r="U25"/>
  <c r="AH25"/>
  <c r="AH29" s="1"/>
  <c r="G26"/>
  <c r="U26"/>
  <c r="V26" s="1"/>
  <c r="W26" s="1"/>
  <c r="AA26"/>
  <c r="AB26" s="1"/>
  <c r="G27"/>
  <c r="U27"/>
  <c r="V27" s="1"/>
  <c r="W27" s="1"/>
  <c r="AA27"/>
  <c r="AB27" s="1"/>
  <c r="G28"/>
  <c r="U28"/>
  <c r="V28" s="1"/>
  <c r="W28" s="1"/>
  <c r="AA28"/>
  <c r="AB28" s="1"/>
  <c r="H29"/>
  <c r="X29"/>
  <c r="Y29"/>
  <c r="AD29"/>
  <c r="G30"/>
  <c r="U30"/>
  <c r="V30" s="1"/>
  <c r="W30" s="1"/>
  <c r="AA30"/>
  <c r="AB30" s="1"/>
  <c r="G31"/>
  <c r="U31"/>
  <c r="V31" s="1"/>
  <c r="AA31"/>
  <c r="AB31" s="1"/>
  <c r="G32"/>
  <c r="U32"/>
  <c r="V32" s="1"/>
  <c r="W32" s="1"/>
  <c r="AA32"/>
  <c r="AB32" s="1"/>
  <c r="G33"/>
  <c r="U33"/>
  <c r="V33" s="1"/>
  <c r="W33" s="1"/>
  <c r="AA33"/>
  <c r="AB33" s="1"/>
  <c r="G34"/>
  <c r="U34"/>
  <c r="V34" s="1"/>
  <c r="W34" s="1"/>
  <c r="AA34"/>
  <c r="AB34" s="1"/>
  <c r="G35"/>
  <c r="U35"/>
  <c r="V35" s="1"/>
  <c r="W35" s="1"/>
  <c r="AA35"/>
  <c r="AB35" s="1"/>
  <c r="G36"/>
  <c r="U36"/>
  <c r="V36" s="1"/>
  <c r="W36" s="1"/>
  <c r="AA36"/>
  <c r="AB36" s="1"/>
  <c r="G37"/>
  <c r="U37"/>
  <c r="V37" s="1"/>
  <c r="W37" s="1"/>
  <c r="AA37"/>
  <c r="AB37" s="1"/>
  <c r="G38"/>
  <c r="U38"/>
  <c r="V38" s="1"/>
  <c r="W38" s="1"/>
  <c r="AA38"/>
  <c r="AB38" s="1"/>
  <c r="G39"/>
  <c r="U39"/>
  <c r="V39" s="1"/>
  <c r="W39" s="1"/>
  <c r="AA39"/>
  <c r="AB39" s="1"/>
  <c r="G40"/>
  <c r="U40"/>
  <c r="V40" s="1"/>
  <c r="W40" s="1"/>
  <c r="AA40"/>
  <c r="AB40" s="1"/>
  <c r="G41"/>
  <c r="U41"/>
  <c r="V41" s="1"/>
  <c r="W41" s="1"/>
  <c r="AA41"/>
  <c r="AB41" s="1"/>
  <c r="G42"/>
  <c r="U42"/>
  <c r="V42" s="1"/>
  <c r="W42" s="1"/>
  <c r="AA42"/>
  <c r="AB42" s="1"/>
  <c r="G43"/>
  <c r="U43"/>
  <c r="V43" s="1"/>
  <c r="W43" s="1"/>
  <c r="AA43"/>
  <c r="AB43" s="1"/>
  <c r="G44"/>
  <c r="U44"/>
  <c r="V44" s="1"/>
  <c r="W44" s="1"/>
  <c r="AA44"/>
  <c r="AB44" s="1"/>
  <c r="G45"/>
  <c r="U45"/>
  <c r="V45" s="1"/>
  <c r="W45" s="1"/>
  <c r="AA45"/>
  <c r="AB45" s="1"/>
  <c r="G46"/>
  <c r="U46"/>
  <c r="V46" s="1"/>
  <c r="W46" s="1"/>
  <c r="AA46"/>
  <c r="AB46" s="1"/>
  <c r="G47"/>
  <c r="U47"/>
  <c r="V47" s="1"/>
  <c r="W47" s="1"/>
  <c r="AA47"/>
  <c r="AB47" s="1"/>
  <c r="G48"/>
  <c r="U48"/>
  <c r="V48" s="1"/>
  <c r="W48" s="1"/>
  <c r="AA48"/>
  <c r="AB48" s="1"/>
  <c r="G49"/>
  <c r="U49"/>
  <c r="V49" s="1"/>
  <c r="W49" s="1"/>
  <c r="AA49"/>
  <c r="AB49" s="1"/>
  <c r="G50"/>
  <c r="U50"/>
  <c r="V50" s="1"/>
  <c r="W50" s="1"/>
  <c r="AA50"/>
  <c r="AB50" s="1"/>
  <c r="G51"/>
  <c r="U51"/>
  <c r="V51" s="1"/>
  <c r="W51" s="1"/>
  <c r="AA51"/>
  <c r="AB51" s="1"/>
  <c r="F52"/>
  <c r="H52"/>
  <c r="X52"/>
  <c r="Y52"/>
  <c r="AD52"/>
  <c r="AH52"/>
  <c r="G53"/>
  <c r="U53"/>
  <c r="V53" s="1"/>
  <c r="W53" s="1"/>
  <c r="AA53"/>
  <c r="AB53" s="1"/>
  <c r="G54"/>
  <c r="U54"/>
  <c r="V54" s="1"/>
  <c r="AA54"/>
  <c r="AB54" s="1"/>
  <c r="G55"/>
  <c r="U55"/>
  <c r="V55" s="1"/>
  <c r="W55" s="1"/>
  <c r="AA55"/>
  <c r="AB55" s="1"/>
  <c r="G56"/>
  <c r="U56"/>
  <c r="V56" s="1"/>
  <c r="W56" s="1"/>
  <c r="AA56"/>
  <c r="AB56" s="1"/>
  <c r="G57"/>
  <c r="U57"/>
  <c r="V57" s="1"/>
  <c r="W57" s="1"/>
  <c r="AA57"/>
  <c r="AB57" s="1"/>
  <c r="G58"/>
  <c r="U58"/>
  <c r="V58" s="1"/>
  <c r="W58" s="1"/>
  <c r="AA58"/>
  <c r="AB58" s="1"/>
  <c r="G59"/>
  <c r="U59"/>
  <c r="V59" s="1"/>
  <c r="W59" s="1"/>
  <c r="AA59"/>
  <c r="AB59" s="1"/>
  <c r="G60"/>
  <c r="U60"/>
  <c r="V60" s="1"/>
  <c r="W60" s="1"/>
  <c r="AA60"/>
  <c r="AB60" s="1"/>
  <c r="G61"/>
  <c r="U61"/>
  <c r="V61" s="1"/>
  <c r="W61" s="1"/>
  <c r="AA61"/>
  <c r="AB61" s="1"/>
  <c r="G62"/>
  <c r="U62"/>
  <c r="V62" s="1"/>
  <c r="W62" s="1"/>
  <c r="AA62"/>
  <c r="AB62" s="1"/>
  <c r="G63"/>
  <c r="U63"/>
  <c r="V63" s="1"/>
  <c r="W63" s="1"/>
  <c r="AA63"/>
  <c r="AB63" s="1"/>
  <c r="G64"/>
  <c r="U64"/>
  <c r="V64" s="1"/>
  <c r="W64" s="1"/>
  <c r="AA64"/>
  <c r="AB64" s="1"/>
  <c r="G65"/>
  <c r="U65"/>
  <c r="V65" s="1"/>
  <c r="W65" s="1"/>
  <c r="AA65"/>
  <c r="AB65" s="1"/>
  <c r="G66"/>
  <c r="U66"/>
  <c r="V66" s="1"/>
  <c r="W66" s="1"/>
  <c r="AA66"/>
  <c r="AB66" s="1"/>
  <c r="G67"/>
  <c r="U67"/>
  <c r="V67" s="1"/>
  <c r="W67" s="1"/>
  <c r="AA67"/>
  <c r="AB67" s="1"/>
  <c r="G68"/>
  <c r="U68"/>
  <c r="V68" s="1"/>
  <c r="W68" s="1"/>
  <c r="AA68"/>
  <c r="AB68" s="1"/>
  <c r="G69"/>
  <c r="U69"/>
  <c r="V69" s="1"/>
  <c r="W69" s="1"/>
  <c r="AA69"/>
  <c r="AB69" s="1"/>
  <c r="G70"/>
  <c r="U70"/>
  <c r="V70" s="1"/>
  <c r="W70" s="1"/>
  <c r="AA70"/>
  <c r="AB70" s="1"/>
  <c r="G71"/>
  <c r="U71"/>
  <c r="V71" s="1"/>
  <c r="W71" s="1"/>
  <c r="AA71"/>
  <c r="AB71" s="1"/>
  <c r="G72"/>
  <c r="U72"/>
  <c r="V72" s="1"/>
  <c r="W72" s="1"/>
  <c r="AA72"/>
  <c r="AB72" s="1"/>
  <c r="G73"/>
  <c r="U73"/>
  <c r="V73" s="1"/>
  <c r="W73" s="1"/>
  <c r="AA73"/>
  <c r="AB73" s="1"/>
  <c r="G74"/>
  <c r="U74"/>
  <c r="V74" s="1"/>
  <c r="W74" s="1"/>
  <c r="AA74"/>
  <c r="AB74" s="1"/>
  <c r="AE74" s="1"/>
  <c r="G75"/>
  <c r="U75"/>
  <c r="V75" s="1"/>
  <c r="W75" s="1"/>
  <c r="AA75"/>
  <c r="AB75" s="1"/>
  <c r="G76"/>
  <c r="U76"/>
  <c r="V76" s="1"/>
  <c r="W76" s="1"/>
  <c r="AA76"/>
  <c r="AB76" s="1"/>
  <c r="AE76" s="1"/>
  <c r="G77"/>
  <c r="U77"/>
  <c r="V77" s="1"/>
  <c r="W77" s="1"/>
  <c r="AA77"/>
  <c r="AB77" s="1"/>
  <c r="G78"/>
  <c r="U78"/>
  <c r="V78" s="1"/>
  <c r="W78" s="1"/>
  <c r="AA78"/>
  <c r="AB78" s="1"/>
  <c r="AE78" s="1"/>
  <c r="G79"/>
  <c r="U79"/>
  <c r="V79" s="1"/>
  <c r="W79" s="1"/>
  <c r="AA79"/>
  <c r="AB79" s="1"/>
  <c r="G80"/>
  <c r="U80"/>
  <c r="V80" s="1"/>
  <c r="W80" s="1"/>
  <c r="AA80"/>
  <c r="AB80" s="1"/>
  <c r="G81"/>
  <c r="U81"/>
  <c r="V81" s="1"/>
  <c r="W81" s="1"/>
  <c r="AA81"/>
  <c r="AB81" s="1"/>
  <c r="G82"/>
  <c r="U82"/>
  <c r="V82" s="1"/>
  <c r="W82" s="1"/>
  <c r="AA82"/>
  <c r="AB82" s="1"/>
  <c r="AE82" s="1"/>
  <c r="G83"/>
  <c r="U83"/>
  <c r="V83" s="1"/>
  <c r="W83" s="1"/>
  <c r="AA83"/>
  <c r="AB83" s="1"/>
  <c r="F84"/>
  <c r="H84"/>
  <c r="X84"/>
  <c r="Y84"/>
  <c r="AD84"/>
  <c r="AH84"/>
  <c r="G85"/>
  <c r="U85"/>
  <c r="V85" s="1"/>
  <c r="AA85"/>
  <c r="AB85" s="1"/>
  <c r="G86"/>
  <c r="U86"/>
  <c r="V86" s="1"/>
  <c r="W86" s="1"/>
  <c r="AA86"/>
  <c r="AB86" s="1"/>
  <c r="G87"/>
  <c r="U87"/>
  <c r="V87" s="1"/>
  <c r="W87" s="1"/>
  <c r="AA87"/>
  <c r="AB87" s="1"/>
  <c r="G88"/>
  <c r="U88"/>
  <c r="V88" s="1"/>
  <c r="W88" s="1"/>
  <c r="AA88"/>
  <c r="AB88" s="1"/>
  <c r="G89"/>
  <c r="U89"/>
  <c r="V89" s="1"/>
  <c r="W89" s="1"/>
  <c r="AA89"/>
  <c r="AB89" s="1"/>
  <c r="G90"/>
  <c r="U90"/>
  <c r="V90" s="1"/>
  <c r="W90" s="1"/>
  <c r="AA90"/>
  <c r="AB90" s="1"/>
  <c r="G91"/>
  <c r="U91"/>
  <c r="V91" s="1"/>
  <c r="W91" s="1"/>
  <c r="AA91"/>
  <c r="AB91" s="1"/>
  <c r="G92"/>
  <c r="U92"/>
  <c r="V92" s="1"/>
  <c r="W92" s="1"/>
  <c r="AA92"/>
  <c r="AB92" s="1"/>
  <c r="F93"/>
  <c r="H93"/>
  <c r="X93"/>
  <c r="Y93"/>
  <c r="AD93"/>
  <c r="AH93"/>
  <c r="AH34" i="139"/>
  <c r="AH35" s="1"/>
  <c r="AD34"/>
  <c r="Y34"/>
  <c r="X34"/>
  <c r="H34"/>
  <c r="H35" s="1"/>
  <c r="AA19"/>
  <c r="AB19" s="1"/>
  <c r="U19"/>
  <c r="V19" s="1"/>
  <c r="W19" s="1"/>
  <c r="G19"/>
  <c r="AA18"/>
  <c r="AB18" s="1"/>
  <c r="U18"/>
  <c r="V18" s="1"/>
  <c r="W18" s="1"/>
  <c r="G18"/>
  <c r="AA17"/>
  <c r="AB17" s="1"/>
  <c r="U17"/>
  <c r="V17" s="1"/>
  <c r="W17" s="1"/>
  <c r="G17"/>
  <c r="AA16"/>
  <c r="AB16" s="1"/>
  <c r="U16"/>
  <c r="V16" s="1"/>
  <c r="W16" s="1"/>
  <c r="G16"/>
  <c r="AA15"/>
  <c r="AB15" s="1"/>
  <c r="U15"/>
  <c r="V15" s="1"/>
  <c r="W15" s="1"/>
  <c r="G15"/>
  <c r="AA14"/>
  <c r="AB14" s="1"/>
  <c r="U14"/>
  <c r="V14" s="1"/>
  <c r="W14" s="1"/>
  <c r="G14"/>
  <c r="AA13"/>
  <c r="AB13" s="1"/>
  <c r="U13"/>
  <c r="V13" s="1"/>
  <c r="W13" s="1"/>
  <c r="G13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B8" s="1"/>
  <c r="U8"/>
  <c r="V8" s="1"/>
  <c r="W8" s="1"/>
  <c r="G8"/>
  <c r="AA7"/>
  <c r="AB7" s="1"/>
  <c r="U7"/>
  <c r="V7" s="1"/>
  <c r="W7" s="1"/>
  <c r="G7"/>
  <c r="AA6"/>
  <c r="AB6" s="1"/>
  <c r="U6"/>
  <c r="V6" s="1"/>
  <c r="W6" s="1"/>
  <c r="G6"/>
  <c r="AA5"/>
  <c r="AB5" s="1"/>
  <c r="U5"/>
  <c r="V5" s="1"/>
  <c r="W5" s="1"/>
  <c r="G5"/>
  <c r="AA4"/>
  <c r="AB4" s="1"/>
  <c r="U4"/>
  <c r="V4" s="1"/>
  <c r="W4" s="1"/>
  <c r="G4"/>
  <c r="AA3"/>
  <c r="U3"/>
  <c r="V3" s="1"/>
  <c r="G3"/>
  <c r="AD68" i="138"/>
  <c r="Y68"/>
  <c r="X68"/>
  <c r="H68"/>
  <c r="F68"/>
  <c r="AA67"/>
  <c r="AB67" s="1"/>
  <c r="U67"/>
  <c r="V67" s="1"/>
  <c r="W67" s="1"/>
  <c r="AA56"/>
  <c r="AB56" s="1"/>
  <c r="U56"/>
  <c r="V56" s="1"/>
  <c r="W56" s="1"/>
  <c r="AA50"/>
  <c r="AB50" s="1"/>
  <c r="U50"/>
  <c r="V50" s="1"/>
  <c r="W50" s="1"/>
  <c r="AA49"/>
  <c r="AB49" s="1"/>
  <c r="U49"/>
  <c r="V49" s="1"/>
  <c r="W49" s="1"/>
  <c r="AA48"/>
  <c r="AB48" s="1"/>
  <c r="U48"/>
  <c r="V48" s="1"/>
  <c r="W48" s="1"/>
  <c r="AA47"/>
  <c r="AB47" s="1"/>
  <c r="U47"/>
  <c r="V47" s="1"/>
  <c r="W47" s="1"/>
  <c r="AA46"/>
  <c r="AB46" s="1"/>
  <c r="U46"/>
  <c r="V46" s="1"/>
  <c r="W46" s="1"/>
  <c r="AA45"/>
  <c r="AB45" s="1"/>
  <c r="U45"/>
  <c r="V45" s="1"/>
  <c r="W45" s="1"/>
  <c r="AA44"/>
  <c r="AB44" s="1"/>
  <c r="U44"/>
  <c r="V44" s="1"/>
  <c r="W44" s="1"/>
  <c r="AA43"/>
  <c r="AB43" s="1"/>
  <c r="U43"/>
  <c r="V43" s="1"/>
  <c r="W43" s="1"/>
  <c r="AA42"/>
  <c r="AB42" s="1"/>
  <c r="U42"/>
  <c r="V42" s="1"/>
  <c r="W42" s="1"/>
  <c r="AA41"/>
  <c r="AB41" s="1"/>
  <c r="U41"/>
  <c r="V41" s="1"/>
  <c r="W41" s="1"/>
  <c r="AA40"/>
  <c r="AB40" s="1"/>
  <c r="U40"/>
  <c r="V40" s="1"/>
  <c r="W40" s="1"/>
  <c r="AA39"/>
  <c r="AB39" s="1"/>
  <c r="U39"/>
  <c r="V39" s="1"/>
  <c r="W39" s="1"/>
  <c r="AA38"/>
  <c r="AB38" s="1"/>
  <c r="U38"/>
  <c r="V38" s="1"/>
  <c r="W38" s="1"/>
  <c r="AA37"/>
  <c r="AB37" s="1"/>
  <c r="U37"/>
  <c r="V37" s="1"/>
  <c r="W37" s="1"/>
  <c r="AA36"/>
  <c r="AB36" s="1"/>
  <c r="U36"/>
  <c r="V36" s="1"/>
  <c r="W36" s="1"/>
  <c r="AA35"/>
  <c r="AB35" s="1"/>
  <c r="U35"/>
  <c r="V35" s="1"/>
  <c r="W35" s="1"/>
  <c r="AA34"/>
  <c r="AB34" s="1"/>
  <c r="U34"/>
  <c r="V34" s="1"/>
  <c r="W34" s="1"/>
  <c r="AA33"/>
  <c r="AB33" s="1"/>
  <c r="U33"/>
  <c r="V33" s="1"/>
  <c r="W33" s="1"/>
  <c r="AA32"/>
  <c r="AB32" s="1"/>
  <c r="U32"/>
  <c r="V32" s="1"/>
  <c r="W32" s="1"/>
  <c r="AA31"/>
  <c r="U31"/>
  <c r="V31" s="1"/>
  <c r="AD16"/>
  <c r="Y16"/>
  <c r="X16"/>
  <c r="AA15"/>
  <c r="AB15" s="1"/>
  <c r="U15"/>
  <c r="V15" s="1"/>
  <c r="W15" s="1"/>
  <c r="AA14"/>
  <c r="AB14" s="1"/>
  <c r="U14"/>
  <c r="V14" s="1"/>
  <c r="W14" s="1"/>
  <c r="AA13"/>
  <c r="AB13" s="1"/>
  <c r="U13"/>
  <c r="V13" s="1"/>
  <c r="W13" s="1"/>
  <c r="AA12"/>
  <c r="AB12" s="1"/>
  <c r="U12"/>
  <c r="V12" s="1"/>
  <c r="W12" s="1"/>
  <c r="AA10"/>
  <c r="AB10" s="1"/>
  <c r="U10"/>
  <c r="V10" s="1"/>
  <c r="W10" s="1"/>
  <c r="AA9"/>
  <c r="AB9" s="1"/>
  <c r="U9"/>
  <c r="V9" s="1"/>
  <c r="W9" s="1"/>
  <c r="AA8"/>
  <c r="AB8" s="1"/>
  <c r="U8"/>
  <c r="V8" s="1"/>
  <c r="W8" s="1"/>
  <c r="AA7"/>
  <c r="AB7" s="1"/>
  <c r="U7"/>
  <c r="V7" s="1"/>
  <c r="W7" s="1"/>
  <c r="AA6"/>
  <c r="AB6" s="1"/>
  <c r="U6"/>
  <c r="V6" s="1"/>
  <c r="W6" s="1"/>
  <c r="AA5"/>
  <c r="AB5" s="1"/>
  <c r="U5"/>
  <c r="V5" s="1"/>
  <c r="W5" s="1"/>
  <c r="U4"/>
  <c r="V4" s="1"/>
  <c r="W4" s="1"/>
  <c r="AA3"/>
  <c r="U3"/>
  <c r="V3" s="1"/>
  <c r="AE26" i="135" l="1"/>
  <c r="AE58"/>
  <c r="AE43"/>
  <c r="AE66"/>
  <c r="AE62"/>
  <c r="AE60"/>
  <c r="AE28"/>
  <c r="H94"/>
  <c r="AE70"/>
  <c r="AE68"/>
  <c r="AI52"/>
  <c r="AE51"/>
  <c r="AE35"/>
  <c r="AE18"/>
  <c r="AE5"/>
  <c r="G34" i="139"/>
  <c r="G35" s="1"/>
  <c r="AE89" i="135"/>
  <c r="AE80"/>
  <c r="AE72"/>
  <c r="AE64"/>
  <c r="AE56"/>
  <c r="G84"/>
  <c r="AE47"/>
  <c r="AE39"/>
  <c r="AE22"/>
  <c r="AE7"/>
  <c r="H120" i="138"/>
  <c r="AE91" i="135"/>
  <c r="AE87"/>
  <c r="AI84"/>
  <c r="AA84"/>
  <c r="AJ84" s="1"/>
  <c r="AE49"/>
  <c r="AE45"/>
  <c r="AE41"/>
  <c r="AE37"/>
  <c r="AE33"/>
  <c r="AE24"/>
  <c r="AE20"/>
  <c r="AE16"/>
  <c r="AI12"/>
  <c r="F16" i="138"/>
  <c r="G93" i="135"/>
  <c r="AA34" i="139"/>
  <c r="AJ34" s="1"/>
  <c r="AA4" i="138"/>
  <c r="AB4" s="1"/>
  <c r="AE4" s="1"/>
  <c r="G16"/>
  <c r="AA30"/>
  <c r="AJ30" s="1"/>
  <c r="G68"/>
  <c r="AB103"/>
  <c r="AE69"/>
  <c r="AE103" s="1"/>
  <c r="G30"/>
  <c r="AI30"/>
  <c r="AE106"/>
  <c r="AE108"/>
  <c r="AE110"/>
  <c r="AE112"/>
  <c r="AE114"/>
  <c r="AE116"/>
  <c r="AE118"/>
  <c r="AA68"/>
  <c r="AB17"/>
  <c r="AB30" s="1"/>
  <c r="G119"/>
  <c r="AA119"/>
  <c r="AJ119" s="1"/>
  <c r="AB104"/>
  <c r="AB119" s="1"/>
  <c r="AE105"/>
  <c r="AI119"/>
  <c r="V119"/>
  <c r="W104"/>
  <c r="W119" s="1"/>
  <c r="AE107"/>
  <c r="AE109"/>
  <c r="AE111"/>
  <c r="AE113"/>
  <c r="AE115"/>
  <c r="AE117"/>
  <c r="AE47"/>
  <c r="AE49"/>
  <c r="AE56"/>
  <c r="V30"/>
  <c r="W17"/>
  <c r="W30" s="1"/>
  <c r="AE18"/>
  <c r="AE19"/>
  <c r="AE20"/>
  <c r="AE21"/>
  <c r="AE22"/>
  <c r="AE23"/>
  <c r="AE24"/>
  <c r="AE25"/>
  <c r="AE26"/>
  <c r="AE27"/>
  <c r="AE28"/>
  <c r="AE29"/>
  <c r="V34" i="139"/>
  <c r="V35" s="1"/>
  <c r="AI34"/>
  <c r="AI93" i="135"/>
  <c r="AA93"/>
  <c r="AJ93" s="1"/>
  <c r="F29"/>
  <c r="F94" s="1"/>
  <c r="G12"/>
  <c r="AE83"/>
  <c r="AE81"/>
  <c r="AE79"/>
  <c r="AE77"/>
  <c r="AE75"/>
  <c r="AE73"/>
  <c r="AE71"/>
  <c r="AE69"/>
  <c r="AE67"/>
  <c r="AE65"/>
  <c r="AE63"/>
  <c r="AE61"/>
  <c r="AE59"/>
  <c r="AE57"/>
  <c r="AE55"/>
  <c r="G52"/>
  <c r="AE27"/>
  <c r="AI29"/>
  <c r="AE10"/>
  <c r="AE8"/>
  <c r="AE6"/>
  <c r="W85"/>
  <c r="W93" s="1"/>
  <c r="V93"/>
  <c r="W31"/>
  <c r="AE31" s="1"/>
  <c r="V52"/>
  <c r="AE30"/>
  <c r="AB52"/>
  <c r="W14"/>
  <c r="AE14" s="1"/>
  <c r="AE13"/>
  <c r="AE92"/>
  <c r="AE90"/>
  <c r="AE88"/>
  <c r="AE86"/>
  <c r="AE85"/>
  <c r="AE50"/>
  <c r="AE48"/>
  <c r="AE46"/>
  <c r="AE44"/>
  <c r="AE42"/>
  <c r="AE40"/>
  <c r="AE38"/>
  <c r="AE36"/>
  <c r="AE34"/>
  <c r="AE32"/>
  <c r="AE23"/>
  <c r="AE21"/>
  <c r="AE19"/>
  <c r="AE17"/>
  <c r="AE15"/>
  <c r="W54"/>
  <c r="W84" s="1"/>
  <c r="V84"/>
  <c r="AE53"/>
  <c r="AB84"/>
  <c r="AE4"/>
  <c r="AB12"/>
  <c r="W3"/>
  <c r="W12" s="1"/>
  <c r="V12"/>
  <c r="AE54"/>
  <c r="G29"/>
  <c r="AB93"/>
  <c r="AA52"/>
  <c r="AJ52" s="1"/>
  <c r="AA25"/>
  <c r="AB25" s="1"/>
  <c r="V25"/>
  <c r="W25" s="1"/>
  <c r="AA12"/>
  <c r="AJ12" s="1"/>
  <c r="AI35" i="139"/>
  <c r="AE4"/>
  <c r="AE5"/>
  <c r="AE6"/>
  <c r="AE7"/>
  <c r="AE8"/>
  <c r="AE9"/>
  <c r="AE10"/>
  <c r="AE11"/>
  <c r="AE12"/>
  <c r="AE13"/>
  <c r="AE14"/>
  <c r="AE15"/>
  <c r="AE16"/>
  <c r="AE17"/>
  <c r="AE18"/>
  <c r="AE19"/>
  <c r="W3"/>
  <c r="AB3"/>
  <c r="AB3" i="138"/>
  <c r="AB31"/>
  <c r="AB68" s="1"/>
  <c r="AI68"/>
  <c r="V16"/>
  <c r="W3"/>
  <c r="V68"/>
  <c r="W31"/>
  <c r="AE5"/>
  <c r="AE6"/>
  <c r="AE7"/>
  <c r="AE8"/>
  <c r="AE9"/>
  <c r="AE10"/>
  <c r="AE12"/>
  <c r="AE13"/>
  <c r="AE14"/>
  <c r="AE15"/>
  <c r="AE32"/>
  <c r="AE33"/>
  <c r="AE34"/>
  <c r="AE35"/>
  <c r="AE36"/>
  <c r="AE37"/>
  <c r="AE38"/>
  <c r="AE39"/>
  <c r="AE40"/>
  <c r="AE41"/>
  <c r="AE42"/>
  <c r="AE43"/>
  <c r="AE44"/>
  <c r="AE45"/>
  <c r="AE46"/>
  <c r="AE48"/>
  <c r="AE50"/>
  <c r="AE67"/>
  <c r="AH120"/>
  <c r="W29" i="135" l="1"/>
  <c r="W52"/>
  <c r="G94"/>
  <c r="AI16" i="138"/>
  <c r="F120"/>
  <c r="W34" i="139"/>
  <c r="W35" s="1"/>
  <c r="AA35"/>
  <c r="AA16" i="138"/>
  <c r="AJ16" s="1"/>
  <c r="V120"/>
  <c r="AI120"/>
  <c r="G120"/>
  <c r="AB16"/>
  <c r="F1"/>
  <c r="AE17"/>
  <c r="AE30" s="1"/>
  <c r="W16"/>
  <c r="AE104"/>
  <c r="AE119" s="1"/>
  <c r="W68"/>
  <c r="AE31"/>
  <c r="AE68" s="1"/>
  <c r="AA29" i="135"/>
  <c r="AJ29" s="1"/>
  <c r="AE3"/>
  <c r="AE12" s="1"/>
  <c r="AE25"/>
  <c r="AE29" s="1"/>
  <c r="AE93"/>
  <c r="AE52"/>
  <c r="AE84"/>
  <c r="AB29"/>
  <c r="V29"/>
  <c r="AB34" i="139"/>
  <c r="AE3"/>
  <c r="AE3" i="138"/>
  <c r="AA120"/>
  <c r="AE34" i="139" l="1"/>
  <c r="AE35" s="1"/>
  <c r="W120" i="138"/>
  <c r="AE16"/>
  <c r="AE120" s="1"/>
  <c r="F7" i="137"/>
  <c r="F83"/>
  <c r="F90" i="136"/>
  <c r="F43" i="137"/>
  <c r="AH83"/>
  <c r="AI83" s="1"/>
  <c r="AD83"/>
  <c r="Y83"/>
  <c r="X83"/>
  <c r="H83"/>
  <c r="AA82"/>
  <c r="AB82" s="1"/>
  <c r="U82"/>
  <c r="V82" s="1"/>
  <c r="W82" s="1"/>
  <c r="G82"/>
  <c r="AA81"/>
  <c r="AB81" s="1"/>
  <c r="U81"/>
  <c r="V81" s="1"/>
  <c r="W81" s="1"/>
  <c r="G81"/>
  <c r="AA80"/>
  <c r="AB80" s="1"/>
  <c r="U80"/>
  <c r="V80" s="1"/>
  <c r="W80" s="1"/>
  <c r="G80"/>
  <c r="AA79"/>
  <c r="AB79" s="1"/>
  <c r="U79"/>
  <c r="V79" s="1"/>
  <c r="W79" s="1"/>
  <c r="G79"/>
  <c r="AA78"/>
  <c r="AB78" s="1"/>
  <c r="U78"/>
  <c r="V78" s="1"/>
  <c r="W78" s="1"/>
  <c r="G78"/>
  <c r="AA77"/>
  <c r="AB77" s="1"/>
  <c r="U77"/>
  <c r="V77" s="1"/>
  <c r="W77" s="1"/>
  <c r="G77"/>
  <c r="AA76"/>
  <c r="AB76" s="1"/>
  <c r="U76"/>
  <c r="V76" s="1"/>
  <c r="W76" s="1"/>
  <c r="G76"/>
  <c r="AA75"/>
  <c r="AB75" s="1"/>
  <c r="U75"/>
  <c r="V75" s="1"/>
  <c r="W75" s="1"/>
  <c r="G75"/>
  <c r="AA74"/>
  <c r="AB74" s="1"/>
  <c r="U74"/>
  <c r="V74" s="1"/>
  <c r="W74" s="1"/>
  <c r="G74"/>
  <c r="AA73"/>
  <c r="AB73" s="1"/>
  <c r="U73"/>
  <c r="V73" s="1"/>
  <c r="W73" s="1"/>
  <c r="G73"/>
  <c r="AA72"/>
  <c r="AB72" s="1"/>
  <c r="U72"/>
  <c r="V72" s="1"/>
  <c r="W72" s="1"/>
  <c r="G72"/>
  <c r="AA71"/>
  <c r="AB71" s="1"/>
  <c r="U71"/>
  <c r="V71" s="1"/>
  <c r="W71" s="1"/>
  <c r="G71"/>
  <c r="AA70"/>
  <c r="AB70" s="1"/>
  <c r="U70"/>
  <c r="V70" s="1"/>
  <c r="W70" s="1"/>
  <c r="G70"/>
  <c r="AA69"/>
  <c r="AB69" s="1"/>
  <c r="U69"/>
  <c r="V69" s="1"/>
  <c r="W69" s="1"/>
  <c r="G69"/>
  <c r="AA68"/>
  <c r="AB68" s="1"/>
  <c r="U68"/>
  <c r="V68" s="1"/>
  <c r="W68" s="1"/>
  <c r="G68"/>
  <c r="AA67"/>
  <c r="AB67" s="1"/>
  <c r="U67"/>
  <c r="V67" s="1"/>
  <c r="W67" s="1"/>
  <c r="G67"/>
  <c r="AA66"/>
  <c r="AB66" s="1"/>
  <c r="U66"/>
  <c r="V66" s="1"/>
  <c r="W66" s="1"/>
  <c r="G66"/>
  <c r="AA65"/>
  <c r="AB65" s="1"/>
  <c r="U65"/>
  <c r="V65" s="1"/>
  <c r="W65" s="1"/>
  <c r="G65"/>
  <c r="AA64"/>
  <c r="AB64" s="1"/>
  <c r="U64"/>
  <c r="V64" s="1"/>
  <c r="W64" s="1"/>
  <c r="G64"/>
  <c r="AA63"/>
  <c r="AB63" s="1"/>
  <c r="U63"/>
  <c r="V63" s="1"/>
  <c r="W63" s="1"/>
  <c r="G63"/>
  <c r="AA62"/>
  <c r="AB62" s="1"/>
  <c r="U62"/>
  <c r="V62" s="1"/>
  <c r="W62" s="1"/>
  <c r="G62"/>
  <c r="AA61"/>
  <c r="AB61" s="1"/>
  <c r="U61"/>
  <c r="V61" s="1"/>
  <c r="W61" s="1"/>
  <c r="G61"/>
  <c r="AA60"/>
  <c r="AB60" s="1"/>
  <c r="U60"/>
  <c r="V60" s="1"/>
  <c r="W60" s="1"/>
  <c r="G60"/>
  <c r="AA59"/>
  <c r="AB59" s="1"/>
  <c r="U59"/>
  <c r="V59" s="1"/>
  <c r="W59" s="1"/>
  <c r="G59"/>
  <c r="AA58"/>
  <c r="AB58" s="1"/>
  <c r="U58"/>
  <c r="V58" s="1"/>
  <c r="W58" s="1"/>
  <c r="G58"/>
  <c r="AA57"/>
  <c r="AB57" s="1"/>
  <c r="U57"/>
  <c r="V57" s="1"/>
  <c r="W57" s="1"/>
  <c r="G57"/>
  <c r="AA56"/>
  <c r="AB56" s="1"/>
  <c r="U56"/>
  <c r="V56" s="1"/>
  <c r="W56" s="1"/>
  <c r="G56"/>
  <c r="AA55"/>
  <c r="AB55" s="1"/>
  <c r="U55"/>
  <c r="V55" s="1"/>
  <c r="W55" s="1"/>
  <c r="G55"/>
  <c r="AA54"/>
  <c r="AB54" s="1"/>
  <c r="U54"/>
  <c r="V54" s="1"/>
  <c r="W54" s="1"/>
  <c r="G54"/>
  <c r="AA53"/>
  <c r="AB53" s="1"/>
  <c r="U53"/>
  <c r="V53" s="1"/>
  <c r="W53" s="1"/>
  <c r="G53"/>
  <c r="AA52"/>
  <c r="AB52" s="1"/>
  <c r="U52"/>
  <c r="V52" s="1"/>
  <c r="W52" s="1"/>
  <c r="G52"/>
  <c r="AA51"/>
  <c r="AB51" s="1"/>
  <c r="U51"/>
  <c r="V51" s="1"/>
  <c r="W51" s="1"/>
  <c r="G51"/>
  <c r="AA50"/>
  <c r="AB50" s="1"/>
  <c r="U50"/>
  <c r="V50" s="1"/>
  <c r="W50" s="1"/>
  <c r="G50"/>
  <c r="AA49"/>
  <c r="AB49" s="1"/>
  <c r="U49"/>
  <c r="V49" s="1"/>
  <c r="W49" s="1"/>
  <c r="G49"/>
  <c r="AA48"/>
  <c r="AB48" s="1"/>
  <c r="U48"/>
  <c r="V48" s="1"/>
  <c r="W48" s="1"/>
  <c r="G48"/>
  <c r="AA47"/>
  <c r="AB47" s="1"/>
  <c r="U47"/>
  <c r="V47" s="1"/>
  <c r="W47" s="1"/>
  <c r="G47"/>
  <c r="AA46"/>
  <c r="AB46" s="1"/>
  <c r="U46"/>
  <c r="V46" s="1"/>
  <c r="W46" s="1"/>
  <c r="G46"/>
  <c r="AA45"/>
  <c r="AB45" s="1"/>
  <c r="U45"/>
  <c r="V45" s="1"/>
  <c r="W45" s="1"/>
  <c r="G45"/>
  <c r="AA44"/>
  <c r="AB44" s="1"/>
  <c r="U44"/>
  <c r="G44"/>
  <c r="AH43"/>
  <c r="AD43"/>
  <c r="Y43"/>
  <c r="X43"/>
  <c r="H43"/>
  <c r="AA42"/>
  <c r="AB42" s="1"/>
  <c r="U42"/>
  <c r="V42" s="1"/>
  <c r="W42" s="1"/>
  <c r="G42"/>
  <c r="AA41"/>
  <c r="AB41" s="1"/>
  <c r="U41"/>
  <c r="V41" s="1"/>
  <c r="W41" s="1"/>
  <c r="G41"/>
  <c r="AA40"/>
  <c r="AB40" s="1"/>
  <c r="U40"/>
  <c r="V40" s="1"/>
  <c r="W40" s="1"/>
  <c r="G40"/>
  <c r="AA39"/>
  <c r="AB39" s="1"/>
  <c r="U39"/>
  <c r="V39" s="1"/>
  <c r="W39" s="1"/>
  <c r="G39"/>
  <c r="AA38"/>
  <c r="AB38" s="1"/>
  <c r="U38"/>
  <c r="V38" s="1"/>
  <c r="W38" s="1"/>
  <c r="G38"/>
  <c r="AA37"/>
  <c r="AB37" s="1"/>
  <c r="U37"/>
  <c r="V37" s="1"/>
  <c r="W37" s="1"/>
  <c r="G37"/>
  <c r="AA36"/>
  <c r="AB36" s="1"/>
  <c r="U36"/>
  <c r="V36" s="1"/>
  <c r="W36" s="1"/>
  <c r="G36"/>
  <c r="AA35"/>
  <c r="AB35" s="1"/>
  <c r="U35"/>
  <c r="V35" s="1"/>
  <c r="W35" s="1"/>
  <c r="G35"/>
  <c r="AA34"/>
  <c r="AB34" s="1"/>
  <c r="U34"/>
  <c r="V34" s="1"/>
  <c r="W34" s="1"/>
  <c r="G34"/>
  <c r="AA33"/>
  <c r="AB33" s="1"/>
  <c r="U33"/>
  <c r="V33" s="1"/>
  <c r="W33" s="1"/>
  <c r="G33"/>
  <c r="AA32"/>
  <c r="AB32" s="1"/>
  <c r="U32"/>
  <c r="V32" s="1"/>
  <c r="W32" s="1"/>
  <c r="G32"/>
  <c r="AA31"/>
  <c r="AB31" s="1"/>
  <c r="U31"/>
  <c r="V31" s="1"/>
  <c r="W31" s="1"/>
  <c r="G31"/>
  <c r="AA30"/>
  <c r="AB30" s="1"/>
  <c r="U30"/>
  <c r="V30" s="1"/>
  <c r="W30" s="1"/>
  <c r="G30"/>
  <c r="AA29"/>
  <c r="AB29" s="1"/>
  <c r="U29"/>
  <c r="V29" s="1"/>
  <c r="W29" s="1"/>
  <c r="G29"/>
  <c r="AA28"/>
  <c r="AB28" s="1"/>
  <c r="U28"/>
  <c r="V28" s="1"/>
  <c r="W28" s="1"/>
  <c r="G28"/>
  <c r="AA27"/>
  <c r="AB27" s="1"/>
  <c r="U27"/>
  <c r="V27" s="1"/>
  <c r="W27" s="1"/>
  <c r="G27"/>
  <c r="AA26"/>
  <c r="AB26" s="1"/>
  <c r="U26"/>
  <c r="V26" s="1"/>
  <c r="W26" s="1"/>
  <c r="G26"/>
  <c r="AA25"/>
  <c r="AB25" s="1"/>
  <c r="U25"/>
  <c r="V25" s="1"/>
  <c r="W25" s="1"/>
  <c r="G25"/>
  <c r="AA24"/>
  <c r="AB24" s="1"/>
  <c r="U24"/>
  <c r="V24" s="1"/>
  <c r="W24" s="1"/>
  <c r="G24"/>
  <c r="AA23"/>
  <c r="AB23" s="1"/>
  <c r="U23"/>
  <c r="V23" s="1"/>
  <c r="W23" s="1"/>
  <c r="G23"/>
  <c r="AA22"/>
  <c r="AB22" s="1"/>
  <c r="U22"/>
  <c r="V22" s="1"/>
  <c r="W22" s="1"/>
  <c r="G22"/>
  <c r="AA21"/>
  <c r="AB21" s="1"/>
  <c r="U21"/>
  <c r="V21" s="1"/>
  <c r="W21" s="1"/>
  <c r="G21"/>
  <c r="AA20"/>
  <c r="AB20" s="1"/>
  <c r="U20"/>
  <c r="V20" s="1"/>
  <c r="W20" s="1"/>
  <c r="G20"/>
  <c r="AA19"/>
  <c r="AB19" s="1"/>
  <c r="U19"/>
  <c r="V19" s="1"/>
  <c r="W19" s="1"/>
  <c r="G19"/>
  <c r="AA18"/>
  <c r="AB18" s="1"/>
  <c r="U18"/>
  <c r="V18" s="1"/>
  <c r="W18" s="1"/>
  <c r="G18"/>
  <c r="AA17"/>
  <c r="U17"/>
  <c r="V17" s="1"/>
  <c r="G17"/>
  <c r="AH16"/>
  <c r="AD16"/>
  <c r="Y16"/>
  <c r="X16"/>
  <c r="H16"/>
  <c r="F16"/>
  <c r="AA15"/>
  <c r="AB15" s="1"/>
  <c r="U15"/>
  <c r="V15" s="1"/>
  <c r="W15" s="1"/>
  <c r="G15"/>
  <c r="AA14"/>
  <c r="AB14" s="1"/>
  <c r="U14"/>
  <c r="V14" s="1"/>
  <c r="W14" s="1"/>
  <c r="G14"/>
  <c r="AA13"/>
  <c r="AB13" s="1"/>
  <c r="U13"/>
  <c r="V13" s="1"/>
  <c r="W13" s="1"/>
  <c r="G13"/>
  <c r="AA12"/>
  <c r="AB12" s="1"/>
  <c r="U12"/>
  <c r="V12" s="1"/>
  <c r="W12" s="1"/>
  <c r="G12"/>
  <c r="AA11"/>
  <c r="AB11" s="1"/>
  <c r="U11"/>
  <c r="V11" s="1"/>
  <c r="W11" s="1"/>
  <c r="G11"/>
  <c r="AA10"/>
  <c r="AB10" s="1"/>
  <c r="U10"/>
  <c r="V10" s="1"/>
  <c r="W10" s="1"/>
  <c r="G10"/>
  <c r="AA9"/>
  <c r="AB9" s="1"/>
  <c r="U9"/>
  <c r="V9" s="1"/>
  <c r="W9" s="1"/>
  <c r="G9"/>
  <c r="AA8"/>
  <c r="AA16" s="1"/>
  <c r="AJ16" s="1"/>
  <c r="U8"/>
  <c r="V8" s="1"/>
  <c r="G8"/>
  <c r="G16" s="1"/>
  <c r="AH7"/>
  <c r="H7"/>
  <c r="AA6"/>
  <c r="U6"/>
  <c r="V6" s="1"/>
  <c r="W6" s="1"/>
  <c r="G6"/>
  <c r="AA5"/>
  <c r="U5"/>
  <c r="V5" s="1"/>
  <c r="W5" s="1"/>
  <c r="G5"/>
  <c r="AA4"/>
  <c r="U4"/>
  <c r="V4" s="1"/>
  <c r="W4" s="1"/>
  <c r="G4"/>
  <c r="AA3"/>
  <c r="U3"/>
  <c r="V3" s="1"/>
  <c r="G3"/>
  <c r="G7" s="1"/>
  <c r="AI16" l="1"/>
  <c r="G43"/>
  <c r="G83"/>
  <c r="AE10"/>
  <c r="AE12"/>
  <c r="AE14"/>
  <c r="V44"/>
  <c r="W44" s="1"/>
  <c r="AH84"/>
  <c r="AA43"/>
  <c r="AJ43" s="1"/>
  <c r="AI43"/>
  <c r="AB83"/>
  <c r="AE9"/>
  <c r="AE11"/>
  <c r="AE13"/>
  <c r="AE15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4"/>
  <c r="AE5"/>
  <c r="AE6"/>
  <c r="V16"/>
  <c r="V43"/>
  <c r="V83"/>
  <c r="AA83"/>
  <c r="AJ83" s="1"/>
  <c r="G84"/>
  <c r="W3"/>
  <c r="AE3"/>
  <c r="V7"/>
  <c r="AA7"/>
  <c r="W8"/>
  <c r="W16" s="1"/>
  <c r="AB8"/>
  <c r="W17"/>
  <c r="W43" s="1"/>
  <c r="AB17"/>
  <c r="W83" l="1"/>
  <c r="AE44"/>
  <c r="AE83" s="1"/>
  <c r="V84"/>
  <c r="AB16"/>
  <c r="AE8"/>
  <c r="AE16" s="1"/>
  <c r="AE7"/>
  <c r="AE17"/>
  <c r="AE43" s="1"/>
  <c r="AB43"/>
  <c r="W7"/>
  <c r="W84" s="1"/>
  <c r="AA84"/>
  <c r="AE84" l="1"/>
  <c r="AH94" i="135"/>
  <c r="F109" i="136"/>
  <c r="AH109"/>
  <c r="AD109"/>
  <c r="AC109"/>
  <c r="AB109"/>
  <c r="Z109"/>
  <c r="Y109"/>
  <c r="X109"/>
  <c r="H109"/>
  <c r="AA108"/>
  <c r="U108"/>
  <c r="V108" s="1"/>
  <c r="W108" s="1"/>
  <c r="G108"/>
  <c r="AA107"/>
  <c r="U107"/>
  <c r="V107" s="1"/>
  <c r="W107" s="1"/>
  <c r="G107"/>
  <c r="AA106"/>
  <c r="U106"/>
  <c r="V106" s="1"/>
  <c r="W106" s="1"/>
  <c r="G106"/>
  <c r="AA105"/>
  <c r="U105"/>
  <c r="V105" s="1"/>
  <c r="W105" s="1"/>
  <c r="G105"/>
  <c r="AA104"/>
  <c r="U104"/>
  <c r="V104" s="1"/>
  <c r="G104"/>
  <c r="AH103"/>
  <c r="AD103"/>
  <c r="AC103"/>
  <c r="AB103"/>
  <c r="Z103"/>
  <c r="Y103"/>
  <c r="X103"/>
  <c r="H103"/>
  <c r="F103"/>
  <c r="AA102"/>
  <c r="U102"/>
  <c r="V102" s="1"/>
  <c r="W102" s="1"/>
  <c r="G102"/>
  <c r="AA101"/>
  <c r="U101"/>
  <c r="V101" s="1"/>
  <c r="W101" s="1"/>
  <c r="G101"/>
  <c r="AA100"/>
  <c r="U100"/>
  <c r="V100" s="1"/>
  <c r="W100" s="1"/>
  <c r="G100"/>
  <c r="AA99"/>
  <c r="U99"/>
  <c r="V99" s="1"/>
  <c r="W99" s="1"/>
  <c r="G99"/>
  <c r="AA98"/>
  <c r="U98"/>
  <c r="V98" s="1"/>
  <c r="W98" s="1"/>
  <c r="G98"/>
  <c r="AA97"/>
  <c r="U97"/>
  <c r="V97" s="1"/>
  <c r="W97" s="1"/>
  <c r="G97"/>
  <c r="AA96"/>
  <c r="U96"/>
  <c r="V96" s="1"/>
  <c r="W96" s="1"/>
  <c r="G96"/>
  <c r="AA95"/>
  <c r="U95"/>
  <c r="V95" s="1"/>
  <c r="W95" s="1"/>
  <c r="G95"/>
  <c r="AA94"/>
  <c r="U94"/>
  <c r="V94" s="1"/>
  <c r="W94" s="1"/>
  <c r="G94"/>
  <c r="AA93"/>
  <c r="U93"/>
  <c r="V93" s="1"/>
  <c r="W93" s="1"/>
  <c r="G93"/>
  <c r="AA92"/>
  <c r="U92"/>
  <c r="V92" s="1"/>
  <c r="W92" s="1"/>
  <c r="G92"/>
  <c r="AA91"/>
  <c r="U91"/>
  <c r="V91" s="1"/>
  <c r="G91"/>
  <c r="AH90"/>
  <c r="AD90"/>
  <c r="AC90"/>
  <c r="AB90"/>
  <c r="Z90"/>
  <c r="Y90"/>
  <c r="X90"/>
  <c r="H90"/>
  <c r="AA89"/>
  <c r="U89"/>
  <c r="V89" s="1"/>
  <c r="W89" s="1"/>
  <c r="G89"/>
  <c r="AA88"/>
  <c r="U88"/>
  <c r="V88" s="1"/>
  <c r="W88" s="1"/>
  <c r="G88"/>
  <c r="AA87"/>
  <c r="U87"/>
  <c r="V87" s="1"/>
  <c r="W87" s="1"/>
  <c r="G87"/>
  <c r="AA86"/>
  <c r="U86"/>
  <c r="V86" s="1"/>
  <c r="W86" s="1"/>
  <c r="G86"/>
  <c r="AA85"/>
  <c r="U85"/>
  <c r="V85" s="1"/>
  <c r="W85" s="1"/>
  <c r="G85"/>
  <c r="AA84"/>
  <c r="U84"/>
  <c r="V84" s="1"/>
  <c r="W84" s="1"/>
  <c r="G84"/>
  <c r="AA83"/>
  <c r="U83"/>
  <c r="V83" s="1"/>
  <c r="W83" s="1"/>
  <c r="G83"/>
  <c r="AA82"/>
  <c r="U82"/>
  <c r="V82" s="1"/>
  <c r="W82" s="1"/>
  <c r="G82"/>
  <c r="AA81"/>
  <c r="U81"/>
  <c r="V81" s="1"/>
  <c r="W81" s="1"/>
  <c r="G81"/>
  <c r="AA80"/>
  <c r="U80"/>
  <c r="V80" s="1"/>
  <c r="W80" s="1"/>
  <c r="G80"/>
  <c r="AA79"/>
  <c r="U79"/>
  <c r="V79" s="1"/>
  <c r="W79" s="1"/>
  <c r="G79"/>
  <c r="AA78"/>
  <c r="U78"/>
  <c r="V78" s="1"/>
  <c r="W78" s="1"/>
  <c r="G78"/>
  <c r="AA77"/>
  <c r="U77"/>
  <c r="V77" s="1"/>
  <c r="W77" s="1"/>
  <c r="G77"/>
  <c r="AA76"/>
  <c r="U76"/>
  <c r="V76" s="1"/>
  <c r="W76" s="1"/>
  <c r="G76"/>
  <c r="AA75"/>
  <c r="U75"/>
  <c r="V75" s="1"/>
  <c r="W75" s="1"/>
  <c r="G75"/>
  <c r="AA74"/>
  <c r="U74"/>
  <c r="V74" s="1"/>
  <c r="W74" s="1"/>
  <c r="G74"/>
  <c r="AA73"/>
  <c r="U73"/>
  <c r="V73" s="1"/>
  <c r="W73" s="1"/>
  <c r="G73"/>
  <c r="AA72"/>
  <c r="U72"/>
  <c r="V72" s="1"/>
  <c r="W72" s="1"/>
  <c r="G72"/>
  <c r="AA71"/>
  <c r="U71"/>
  <c r="V71" s="1"/>
  <c r="G71"/>
  <c r="AH70"/>
  <c r="AD70"/>
  <c r="AC70"/>
  <c r="AB70"/>
  <c r="Z70"/>
  <c r="Y70"/>
  <c r="X70"/>
  <c r="H70"/>
  <c r="U69"/>
  <c r="F69"/>
  <c r="F70" s="1"/>
  <c r="AA68"/>
  <c r="U68"/>
  <c r="V68" s="1"/>
  <c r="W68" s="1"/>
  <c r="G68"/>
  <c r="AA67"/>
  <c r="U67"/>
  <c r="V67" s="1"/>
  <c r="W67" s="1"/>
  <c r="G67"/>
  <c r="AA66"/>
  <c r="U66"/>
  <c r="V66" s="1"/>
  <c r="W66" s="1"/>
  <c r="G66"/>
  <c r="AA65"/>
  <c r="U65"/>
  <c r="V65" s="1"/>
  <c r="W65" s="1"/>
  <c r="G65"/>
  <c r="AA64"/>
  <c r="U64"/>
  <c r="V64" s="1"/>
  <c r="W64" s="1"/>
  <c r="G64"/>
  <c r="AA63"/>
  <c r="U63"/>
  <c r="V63" s="1"/>
  <c r="W63" s="1"/>
  <c r="G63"/>
  <c r="AA62"/>
  <c r="U62"/>
  <c r="V62" s="1"/>
  <c r="W62" s="1"/>
  <c r="G62"/>
  <c r="AA61"/>
  <c r="U61"/>
  <c r="V61" s="1"/>
  <c r="W61" s="1"/>
  <c r="G61"/>
  <c r="AA60"/>
  <c r="U60"/>
  <c r="V60" s="1"/>
  <c r="W60" s="1"/>
  <c r="G60"/>
  <c r="AA59"/>
  <c r="U59"/>
  <c r="V59" s="1"/>
  <c r="W59" s="1"/>
  <c r="G59"/>
  <c r="AA58"/>
  <c r="U58"/>
  <c r="V58" s="1"/>
  <c r="W58" s="1"/>
  <c r="G58"/>
  <c r="AA57"/>
  <c r="U57"/>
  <c r="V57" s="1"/>
  <c r="W57" s="1"/>
  <c r="G57"/>
  <c r="AA56"/>
  <c r="U56"/>
  <c r="V56" s="1"/>
  <c r="W56" s="1"/>
  <c r="G56"/>
  <c r="AA55"/>
  <c r="U55"/>
  <c r="V55" s="1"/>
  <c r="G55"/>
  <c r="AH54"/>
  <c r="AD54"/>
  <c r="AC54"/>
  <c r="AB54"/>
  <c r="Z54"/>
  <c r="Y54"/>
  <c r="X54"/>
  <c r="F54"/>
  <c r="AA53"/>
  <c r="U53"/>
  <c r="V53" s="1"/>
  <c r="W53" s="1"/>
  <c r="G53"/>
  <c r="AA52"/>
  <c r="U52"/>
  <c r="V52" s="1"/>
  <c r="W52" s="1"/>
  <c r="G52"/>
  <c r="AA51"/>
  <c r="U51"/>
  <c r="V51" s="1"/>
  <c r="W51" s="1"/>
  <c r="G51"/>
  <c r="AA50"/>
  <c r="U50"/>
  <c r="V50" s="1"/>
  <c r="W50" s="1"/>
  <c r="G50"/>
  <c r="AA49"/>
  <c r="U49"/>
  <c r="V49" s="1"/>
  <c r="W49" s="1"/>
  <c r="G49"/>
  <c r="AA48"/>
  <c r="U48"/>
  <c r="V48" s="1"/>
  <c r="W48" s="1"/>
  <c r="G48"/>
  <c r="AA47"/>
  <c r="U47"/>
  <c r="V47" s="1"/>
  <c r="W47" s="1"/>
  <c r="G47"/>
  <c r="AA46"/>
  <c r="U46"/>
  <c r="V46" s="1"/>
  <c r="W46" s="1"/>
  <c r="G46"/>
  <c r="AA45"/>
  <c r="U45"/>
  <c r="V45" s="1"/>
  <c r="W45" s="1"/>
  <c r="G45"/>
  <c r="AA44"/>
  <c r="U44"/>
  <c r="V44" s="1"/>
  <c r="W44" s="1"/>
  <c r="G44"/>
  <c r="AA43"/>
  <c r="U43"/>
  <c r="V43" s="1"/>
  <c r="W43" s="1"/>
  <c r="G43"/>
  <c r="AA42"/>
  <c r="U42"/>
  <c r="V42" s="1"/>
  <c r="W42" s="1"/>
  <c r="G42"/>
  <c r="AA41"/>
  <c r="U41"/>
  <c r="V41" s="1"/>
  <c r="W41" s="1"/>
  <c r="G41"/>
  <c r="AA40"/>
  <c r="U40"/>
  <c r="V40" s="1"/>
  <c r="W40" s="1"/>
  <c r="G40"/>
  <c r="AA39"/>
  <c r="U39"/>
  <c r="V39" s="1"/>
  <c r="W39" s="1"/>
  <c r="G39"/>
  <c r="AA38"/>
  <c r="U38"/>
  <c r="V38" s="1"/>
  <c r="W38" s="1"/>
  <c r="G38"/>
  <c r="AA37"/>
  <c r="U37"/>
  <c r="V37" s="1"/>
  <c r="W37" s="1"/>
  <c r="G37"/>
  <c r="AA36"/>
  <c r="U36"/>
  <c r="V36" s="1"/>
  <c r="W36" s="1"/>
  <c r="G36"/>
  <c r="AA35"/>
  <c r="U35"/>
  <c r="V35" s="1"/>
  <c r="W35" s="1"/>
  <c r="G35"/>
  <c r="AA34"/>
  <c r="U34"/>
  <c r="V34" s="1"/>
  <c r="W34" s="1"/>
  <c r="G34"/>
  <c r="AA33"/>
  <c r="U33"/>
  <c r="V33" s="1"/>
  <c r="W33" s="1"/>
  <c r="G33"/>
  <c r="AA32"/>
  <c r="U32"/>
  <c r="V32" s="1"/>
  <c r="W32" s="1"/>
  <c r="G32"/>
  <c r="AA31"/>
  <c r="U31"/>
  <c r="V31" s="1"/>
  <c r="W31" s="1"/>
  <c r="G31"/>
  <c r="AA30"/>
  <c r="U30"/>
  <c r="V30" s="1"/>
  <c r="W30" s="1"/>
  <c r="G30"/>
  <c r="AA29"/>
  <c r="U29"/>
  <c r="V29" s="1"/>
  <c r="W29" s="1"/>
  <c r="G29"/>
  <c r="AA28"/>
  <c r="U28"/>
  <c r="V28" s="1"/>
  <c r="W28" s="1"/>
  <c r="G28"/>
  <c r="AA27"/>
  <c r="U27"/>
  <c r="V27" s="1"/>
  <c r="W27" s="1"/>
  <c r="G27"/>
  <c r="AA26"/>
  <c r="U26"/>
  <c r="V26" s="1"/>
  <c r="W26" s="1"/>
  <c r="G26"/>
  <c r="AA25"/>
  <c r="U25"/>
  <c r="V25" s="1"/>
  <c r="W25" s="1"/>
  <c r="G25"/>
  <c r="AA24"/>
  <c r="U24"/>
  <c r="V24" s="1"/>
  <c r="W24" s="1"/>
  <c r="G24"/>
  <c r="AA23"/>
  <c r="U23"/>
  <c r="V23" s="1"/>
  <c r="W23" s="1"/>
  <c r="G23"/>
  <c r="AA22"/>
  <c r="U22"/>
  <c r="V22" s="1"/>
  <c r="W22" s="1"/>
  <c r="G22"/>
  <c r="AA21"/>
  <c r="U21"/>
  <c r="V21" s="1"/>
  <c r="W21" s="1"/>
  <c r="G21"/>
  <c r="AA20"/>
  <c r="U20"/>
  <c r="V20" s="1"/>
  <c r="W20" s="1"/>
  <c r="G20"/>
  <c r="AA19"/>
  <c r="U19"/>
  <c r="V19" s="1"/>
  <c r="W19" s="1"/>
  <c r="G19"/>
  <c r="AA18"/>
  <c r="U18"/>
  <c r="V18" s="1"/>
  <c r="W18" s="1"/>
  <c r="G18"/>
  <c r="AA17"/>
  <c r="U17"/>
  <c r="V17" s="1"/>
  <c r="G17"/>
  <c r="AH15"/>
  <c r="AD15"/>
  <c r="AC15"/>
  <c r="AB15"/>
  <c r="Z15"/>
  <c r="Y15"/>
  <c r="X15"/>
  <c r="F15"/>
  <c r="AA14"/>
  <c r="U14"/>
  <c r="V14" s="1"/>
  <c r="W14" s="1"/>
  <c r="G14"/>
  <c r="AA13"/>
  <c r="U13"/>
  <c r="V13" s="1"/>
  <c r="W13" s="1"/>
  <c r="G13"/>
  <c r="AA12"/>
  <c r="U12"/>
  <c r="V12" s="1"/>
  <c r="W12" s="1"/>
  <c r="G12"/>
  <c r="AA11"/>
  <c r="U11"/>
  <c r="V11" s="1"/>
  <c r="W11" s="1"/>
  <c r="G11"/>
  <c r="AA10"/>
  <c r="U10"/>
  <c r="V10" s="1"/>
  <c r="G10"/>
  <c r="AH9"/>
  <c r="AD9"/>
  <c r="AC9"/>
  <c r="AB9"/>
  <c r="Z9"/>
  <c r="Y9"/>
  <c r="X9"/>
  <c r="AA8"/>
  <c r="U8"/>
  <c r="V8" s="1"/>
  <c r="W8" s="1"/>
  <c r="G8"/>
  <c r="AA7"/>
  <c r="U7"/>
  <c r="V7" s="1"/>
  <c r="W7" s="1"/>
  <c r="G7"/>
  <c r="AA6"/>
  <c r="U6"/>
  <c r="V6" s="1"/>
  <c r="W6" s="1"/>
  <c r="G6"/>
  <c r="AA5"/>
  <c r="U5"/>
  <c r="V5" s="1"/>
  <c r="W5" s="1"/>
  <c r="G5"/>
  <c r="U4"/>
  <c r="F4"/>
  <c r="U3"/>
  <c r="V3" s="1"/>
  <c r="G3"/>
  <c r="F1"/>
  <c r="F1" i="135"/>
  <c r="G15" i="136" l="1"/>
  <c r="AH111"/>
  <c r="G103"/>
  <c r="AA103"/>
  <c r="AJ103" s="1"/>
  <c r="AE92"/>
  <c r="AE94"/>
  <c r="AE96"/>
  <c r="AE98"/>
  <c r="AE100"/>
  <c r="AE102"/>
  <c r="AA15"/>
  <c r="G90"/>
  <c r="V94" i="135"/>
  <c r="AI94"/>
  <c r="AA94"/>
  <c r="V15" i="136"/>
  <c r="AE5"/>
  <c r="AE7"/>
  <c r="AE52"/>
  <c r="AE73"/>
  <c r="AE75"/>
  <c r="AE77"/>
  <c r="AE79"/>
  <c r="AE81"/>
  <c r="AE83"/>
  <c r="AE85"/>
  <c r="AE87"/>
  <c r="AE89"/>
  <c r="G109"/>
  <c r="AA109"/>
  <c r="AJ109" s="1"/>
  <c r="AE105"/>
  <c r="AE107"/>
  <c r="AI109"/>
  <c r="G54"/>
  <c r="AA54"/>
  <c r="AJ54" s="1"/>
  <c r="AE18"/>
  <c r="AE20"/>
  <c r="AE22"/>
  <c r="AE24"/>
  <c r="AE26"/>
  <c r="AE28"/>
  <c r="AE30"/>
  <c r="AE32"/>
  <c r="AE34"/>
  <c r="AE36"/>
  <c r="AE38"/>
  <c r="AE40"/>
  <c r="AE42"/>
  <c r="AE44"/>
  <c r="AE46"/>
  <c r="AE48"/>
  <c r="AE50"/>
  <c r="W94" i="135"/>
  <c r="AI54" i="136"/>
  <c r="AE6"/>
  <c r="AE8"/>
  <c r="AJ15"/>
  <c r="AE11"/>
  <c r="AE12"/>
  <c r="AE13"/>
  <c r="AE14"/>
  <c r="AI15"/>
  <c r="AE19"/>
  <c r="AE21"/>
  <c r="AE23"/>
  <c r="AE25"/>
  <c r="AE27"/>
  <c r="AE29"/>
  <c r="AE31"/>
  <c r="AE33"/>
  <c r="AE35"/>
  <c r="AE37"/>
  <c r="AE39"/>
  <c r="AE41"/>
  <c r="AE43"/>
  <c r="AE45"/>
  <c r="AE47"/>
  <c r="AE49"/>
  <c r="AE51"/>
  <c r="AE53"/>
  <c r="AE56"/>
  <c r="AE57"/>
  <c r="AE58"/>
  <c r="AE59"/>
  <c r="AE60"/>
  <c r="AE61"/>
  <c r="AE62"/>
  <c r="AE63"/>
  <c r="AE64"/>
  <c r="AE65"/>
  <c r="AE66"/>
  <c r="AE67"/>
  <c r="AE68"/>
  <c r="AA90"/>
  <c r="AJ90" s="1"/>
  <c r="AE72"/>
  <c r="AE74"/>
  <c r="AE76"/>
  <c r="AE78"/>
  <c r="AE80"/>
  <c r="AE82"/>
  <c r="AE84"/>
  <c r="AE86"/>
  <c r="AE88"/>
  <c r="AI90"/>
  <c r="AE93"/>
  <c r="AE95"/>
  <c r="AE97"/>
  <c r="AE99"/>
  <c r="AE101"/>
  <c r="AI103"/>
  <c r="AE106"/>
  <c r="AE108"/>
  <c r="V109"/>
  <c r="W104"/>
  <c r="W17"/>
  <c r="V54"/>
  <c r="V103"/>
  <c r="W91"/>
  <c r="W3"/>
  <c r="V90"/>
  <c r="W71"/>
  <c r="AI70"/>
  <c r="G4"/>
  <c r="G9" s="1"/>
  <c r="V4"/>
  <c r="W4" s="1"/>
  <c r="AA4"/>
  <c r="F9"/>
  <c r="AI9" s="1"/>
  <c r="W10"/>
  <c r="W15" s="1"/>
  <c r="W55"/>
  <c r="G69"/>
  <c r="G70" s="1"/>
  <c r="V69"/>
  <c r="W69" s="1"/>
  <c r="AA69"/>
  <c r="F114" l="1"/>
  <c r="F111"/>
  <c r="G111"/>
  <c r="AE94" i="135"/>
  <c r="W70" i="136"/>
  <c r="AE69"/>
  <c r="V70"/>
  <c r="AA9"/>
  <c r="AJ9" s="1"/>
  <c r="AE4"/>
  <c r="AE104"/>
  <c r="AE109" s="1"/>
  <c r="W109"/>
  <c r="AE71"/>
  <c r="AE90" s="1"/>
  <c r="W90"/>
  <c r="W9"/>
  <c r="AE3"/>
  <c r="W54"/>
  <c r="AE17"/>
  <c r="AE54" s="1"/>
  <c r="AB111"/>
  <c r="AE55"/>
  <c r="AE10"/>
  <c r="AE15" s="1"/>
  <c r="AA70"/>
  <c r="AJ70" s="1"/>
  <c r="V9"/>
  <c r="AE91"/>
  <c r="AE103" s="1"/>
  <c r="W103"/>
  <c r="AE70" l="1"/>
  <c r="V111"/>
  <c r="W111"/>
  <c r="AI111"/>
  <c r="AE9"/>
  <c r="AE111" s="1"/>
  <c r="AA111"/>
  <c r="F50" i="134" l="1"/>
  <c r="H50"/>
  <c r="F51"/>
  <c r="U49"/>
  <c r="AA49"/>
  <c r="G49" l="1"/>
  <c r="V49"/>
  <c r="W49" s="1"/>
  <c r="AE49" s="1"/>
  <c r="AH63" l="1"/>
  <c r="AD63"/>
  <c r="AC63"/>
  <c r="AB63"/>
  <c r="Z63"/>
  <c r="Y63"/>
  <c r="X63"/>
  <c r="F63"/>
  <c r="AA62"/>
  <c r="AA63" s="1"/>
  <c r="V62"/>
  <c r="W62" s="1"/>
  <c r="G62"/>
  <c r="U60"/>
  <c r="V60" s="1"/>
  <c r="G60"/>
  <c r="G63" s="1"/>
  <c r="AH59"/>
  <c r="AD59"/>
  <c r="AC59"/>
  <c r="AB59"/>
  <c r="Z59"/>
  <c r="Y59"/>
  <c r="X59"/>
  <c r="F59"/>
  <c r="AA58"/>
  <c r="AA59" s="1"/>
  <c r="G58"/>
  <c r="U56"/>
  <c r="V56" s="1"/>
  <c r="W56" s="1"/>
  <c r="G56"/>
  <c r="AH55"/>
  <c r="F55"/>
  <c r="AA54"/>
  <c r="U54"/>
  <c r="V54" s="1"/>
  <c r="W54" s="1"/>
  <c r="G54"/>
  <c r="AA53"/>
  <c r="U53"/>
  <c r="V53" s="1"/>
  <c r="W53" s="1"/>
  <c r="G53"/>
  <c r="AA52"/>
  <c r="U52"/>
  <c r="V52" s="1"/>
  <c r="G52"/>
  <c r="AH51"/>
  <c r="AD51"/>
  <c r="AC51"/>
  <c r="AB51"/>
  <c r="Z51"/>
  <c r="Y51"/>
  <c r="X51"/>
  <c r="U50"/>
  <c r="AA48"/>
  <c r="U48"/>
  <c r="V48" s="1"/>
  <c r="W48" s="1"/>
  <c r="G48"/>
  <c r="AA47"/>
  <c r="U47"/>
  <c r="V47" s="1"/>
  <c r="W47" s="1"/>
  <c r="G47"/>
  <c r="AA46"/>
  <c r="U46"/>
  <c r="V46" s="1"/>
  <c r="W46" s="1"/>
  <c r="G46"/>
  <c r="AA45"/>
  <c r="U45"/>
  <c r="V45" s="1"/>
  <c r="W45" s="1"/>
  <c r="G45"/>
  <c r="AA44"/>
  <c r="U44"/>
  <c r="V44" s="1"/>
  <c r="W44" s="1"/>
  <c r="G44"/>
  <c r="AA43"/>
  <c r="U43"/>
  <c r="V43" s="1"/>
  <c r="W43" s="1"/>
  <c r="G43"/>
  <c r="AA42"/>
  <c r="U42"/>
  <c r="V42" s="1"/>
  <c r="W42" s="1"/>
  <c r="G42"/>
  <c r="AA41"/>
  <c r="U41"/>
  <c r="V41" s="1"/>
  <c r="W41" s="1"/>
  <c r="G41"/>
  <c r="AA40"/>
  <c r="U40"/>
  <c r="V40" s="1"/>
  <c r="W40" s="1"/>
  <c r="G40"/>
  <c r="AA39"/>
  <c r="U39"/>
  <c r="V39" s="1"/>
  <c r="W39" s="1"/>
  <c r="G39"/>
  <c r="AA38"/>
  <c r="U38"/>
  <c r="V38" s="1"/>
  <c r="W38" s="1"/>
  <c r="G38"/>
  <c r="AA37"/>
  <c r="U37"/>
  <c r="V37" s="1"/>
  <c r="W37" s="1"/>
  <c r="G37"/>
  <c r="AA36"/>
  <c r="U36"/>
  <c r="V36" s="1"/>
  <c r="W36" s="1"/>
  <c r="G36"/>
  <c r="AA35"/>
  <c r="U35"/>
  <c r="V35" s="1"/>
  <c r="W35" s="1"/>
  <c r="G35"/>
  <c r="AA34"/>
  <c r="U34"/>
  <c r="V34" s="1"/>
  <c r="W34" s="1"/>
  <c r="G34"/>
  <c r="AA33"/>
  <c r="U33"/>
  <c r="V33" s="1"/>
  <c r="W33" s="1"/>
  <c r="G33"/>
  <c r="AA32"/>
  <c r="U32"/>
  <c r="V32" s="1"/>
  <c r="W32" s="1"/>
  <c r="G32"/>
  <c r="AA31"/>
  <c r="U31"/>
  <c r="V31" s="1"/>
  <c r="W31" s="1"/>
  <c r="G31"/>
  <c r="AA30"/>
  <c r="U30"/>
  <c r="V30" s="1"/>
  <c r="W30" s="1"/>
  <c r="G30"/>
  <c r="AA29"/>
  <c r="U29"/>
  <c r="V29" s="1"/>
  <c r="W29" s="1"/>
  <c r="G29"/>
  <c r="AA28"/>
  <c r="U28"/>
  <c r="V28" s="1"/>
  <c r="W28" s="1"/>
  <c r="G28"/>
  <c r="AA27"/>
  <c r="U27"/>
  <c r="V27" s="1"/>
  <c r="W27" s="1"/>
  <c r="G27"/>
  <c r="AA26"/>
  <c r="U26"/>
  <c r="V26" s="1"/>
  <c r="W26" s="1"/>
  <c r="G26"/>
  <c r="AA25"/>
  <c r="U25"/>
  <c r="V25" s="1"/>
  <c r="W25" s="1"/>
  <c r="G25"/>
  <c r="AA24"/>
  <c r="U24"/>
  <c r="V24" s="1"/>
  <c r="W24" s="1"/>
  <c r="G24"/>
  <c r="AA23"/>
  <c r="U23"/>
  <c r="V23" s="1"/>
  <c r="W23" s="1"/>
  <c r="G23"/>
  <c r="AA22"/>
  <c r="U22"/>
  <c r="V22" s="1"/>
  <c r="W22" s="1"/>
  <c r="G22"/>
  <c r="AA21"/>
  <c r="U21"/>
  <c r="V21" s="1"/>
  <c r="W21" s="1"/>
  <c r="G21"/>
  <c r="AA20"/>
  <c r="U20"/>
  <c r="V20" s="1"/>
  <c r="W20" s="1"/>
  <c r="G20"/>
  <c r="AA19"/>
  <c r="U19"/>
  <c r="V19" s="1"/>
  <c r="W19" s="1"/>
  <c r="G19"/>
  <c r="AA18"/>
  <c r="U18"/>
  <c r="V18" s="1"/>
  <c r="W18" s="1"/>
  <c r="G18"/>
  <c r="AA17"/>
  <c r="U17"/>
  <c r="V17" s="1"/>
  <c r="W17" s="1"/>
  <c r="G17"/>
  <c r="AA16"/>
  <c r="U16"/>
  <c r="V16" s="1"/>
  <c r="W16" s="1"/>
  <c r="G16"/>
  <c r="AA15"/>
  <c r="U15"/>
  <c r="V15" s="1"/>
  <c r="W15" s="1"/>
  <c r="G15"/>
  <c r="AA14"/>
  <c r="U14"/>
  <c r="V14" s="1"/>
  <c r="W14" s="1"/>
  <c r="G14"/>
  <c r="AA13"/>
  <c r="U13"/>
  <c r="V13" s="1"/>
  <c r="W13" s="1"/>
  <c r="G13"/>
  <c r="AA12"/>
  <c r="U12"/>
  <c r="V12" s="1"/>
  <c r="W12" s="1"/>
  <c r="G12"/>
  <c r="AA11"/>
  <c r="U11"/>
  <c r="V11" s="1"/>
  <c r="W11" s="1"/>
  <c r="G11"/>
  <c r="AA10"/>
  <c r="U10"/>
  <c r="V10" s="1"/>
  <c r="W10" s="1"/>
  <c r="G10"/>
  <c r="AA9"/>
  <c r="U9"/>
  <c r="V9" s="1"/>
  <c r="W9" s="1"/>
  <c r="G9"/>
  <c r="AA8"/>
  <c r="U8"/>
  <c r="V8" s="1"/>
  <c r="W8" s="1"/>
  <c r="G8"/>
  <c r="AA7"/>
  <c r="U7"/>
  <c r="V7" s="1"/>
  <c r="W7" s="1"/>
  <c r="G7"/>
  <c r="AA6"/>
  <c r="U6"/>
  <c r="V6" s="1"/>
  <c r="W6" s="1"/>
  <c r="G6"/>
  <c r="AA5"/>
  <c r="U5"/>
  <c r="V5" s="1"/>
  <c r="W5" s="1"/>
  <c r="G5"/>
  <c r="AA4"/>
  <c r="U4"/>
  <c r="V4" s="1"/>
  <c r="W4" s="1"/>
  <c r="G4"/>
  <c r="AA3"/>
  <c r="U3"/>
  <c r="V3" s="1"/>
  <c r="G3"/>
  <c r="AA50" l="1"/>
  <c r="AE5"/>
  <c r="AE7"/>
  <c r="AE9"/>
  <c r="AE11"/>
  <c r="AE13"/>
  <c r="AE15"/>
  <c r="AE17"/>
  <c r="AE19"/>
  <c r="AE21"/>
  <c r="AE23"/>
  <c r="AE25"/>
  <c r="AE27"/>
  <c r="AE29"/>
  <c r="AE31"/>
  <c r="AE33"/>
  <c r="AE35"/>
  <c r="AE37"/>
  <c r="AE39"/>
  <c r="AE41"/>
  <c r="AE43"/>
  <c r="AE45"/>
  <c r="AE47"/>
  <c r="G50"/>
  <c r="G51" s="1"/>
  <c r="V50"/>
  <c r="W50" s="1"/>
  <c r="AJ63"/>
  <c r="AI63"/>
  <c r="AH64"/>
  <c r="F1"/>
  <c r="G55"/>
  <c r="AE53"/>
  <c r="G59"/>
  <c r="AJ59"/>
  <c r="AI59"/>
  <c r="AA51"/>
  <c r="AE4"/>
  <c r="AE6"/>
  <c r="AE8"/>
  <c r="AE10"/>
  <c r="AE12"/>
  <c r="AE14"/>
  <c r="AE16"/>
  <c r="AE18"/>
  <c r="AE20"/>
  <c r="AE22"/>
  <c r="AE24"/>
  <c r="AE26"/>
  <c r="AE28"/>
  <c r="AE30"/>
  <c r="AE32"/>
  <c r="AE34"/>
  <c r="AE36"/>
  <c r="AE38"/>
  <c r="AE40"/>
  <c r="AE42"/>
  <c r="AE44"/>
  <c r="AE46"/>
  <c r="AE48"/>
  <c r="AE54"/>
  <c r="V51"/>
  <c r="W3"/>
  <c r="W59"/>
  <c r="AE56"/>
  <c r="V63"/>
  <c r="W60"/>
  <c r="V55"/>
  <c r="W52"/>
  <c r="AE50"/>
  <c r="V59"/>
  <c r="AE58"/>
  <c r="AE62"/>
  <c r="G64" l="1"/>
  <c r="F64"/>
  <c r="AI51"/>
  <c r="AJ51"/>
  <c r="V64"/>
  <c r="W55"/>
  <c r="AE52"/>
  <c r="AE55" s="1"/>
  <c r="W63"/>
  <c r="AE60"/>
  <c r="AE63" s="1"/>
  <c r="W51"/>
  <c r="W64" s="1"/>
  <c r="AE3"/>
  <c r="AE51" s="1"/>
  <c r="AE59"/>
  <c r="AI64" l="1"/>
  <c r="AE64"/>
  <c r="AJ7" i="137" l="1"/>
  <c r="AI7"/>
  <c r="F84"/>
  <c r="AI84" s="1"/>
  <c r="F1" l="1"/>
</calcChain>
</file>

<file path=xl/sharedStrings.xml><?xml version="1.0" encoding="utf-8"?>
<sst xmlns="http://schemas.openxmlformats.org/spreadsheetml/2006/main" count="8525" uniqueCount="2502">
  <si>
    <t>Supplier</t>
  </si>
  <si>
    <t>PO / DO No.</t>
  </si>
  <si>
    <t>Size</t>
  </si>
  <si>
    <t>Qty (MT)</t>
  </si>
  <si>
    <t>Inv No</t>
  </si>
  <si>
    <t>Inv Date</t>
  </si>
  <si>
    <t>Recd Date</t>
  </si>
  <si>
    <t>Basic</t>
  </si>
  <si>
    <t>Quality</t>
  </si>
  <si>
    <t>TDC</t>
  </si>
  <si>
    <t>Rebate</t>
  </si>
  <si>
    <t>Actual rate</t>
  </si>
  <si>
    <t>Ass. Value</t>
  </si>
  <si>
    <t>Total Amount</t>
  </si>
  <si>
    <t>JOB WORK CHALLAN</t>
  </si>
  <si>
    <t>CHALLAN NO.</t>
  </si>
  <si>
    <t>TOTAL</t>
  </si>
  <si>
    <t>SGST 9%</t>
  </si>
  <si>
    <t>CGST 9%</t>
  </si>
  <si>
    <t>IGST 18%</t>
  </si>
  <si>
    <t>Freight/MT</t>
  </si>
  <si>
    <t>Freight Charges</t>
  </si>
  <si>
    <t>Freight  GST 18 %</t>
  </si>
  <si>
    <t>JOB QTY.</t>
  </si>
  <si>
    <t>DIFF WT &amp; WAGON / INVOICE NO.</t>
  </si>
  <si>
    <t>LR NO</t>
  </si>
  <si>
    <t>Keep blank</t>
  </si>
  <si>
    <t>SAP PO No</t>
  </si>
  <si>
    <t>Qty (KG)</t>
  </si>
  <si>
    <t>ME No</t>
  </si>
  <si>
    <t>Document No</t>
  </si>
  <si>
    <t>Discount</t>
  </si>
  <si>
    <t>Transporter Code</t>
  </si>
  <si>
    <t>TCS-.075%</t>
  </si>
  <si>
    <t xml:space="preserve">DATE </t>
  </si>
  <si>
    <t>HT-150X150</t>
  </si>
  <si>
    <t>KEC</t>
  </si>
  <si>
    <t>Vehicle / Wagon No.</t>
  </si>
  <si>
    <t>MH40Y2644</t>
  </si>
  <si>
    <t>Odisha</t>
  </si>
  <si>
    <t>MH40AK3375</t>
  </si>
  <si>
    <t>MH40AK2495</t>
  </si>
  <si>
    <t>MH40AK2395</t>
  </si>
  <si>
    <t>MH40AK0421</t>
  </si>
  <si>
    <t>MH40AK0795</t>
  </si>
  <si>
    <t>MH40AK2295</t>
  </si>
  <si>
    <t>NL01AA6710</t>
  </si>
  <si>
    <t>MH40Y1155</t>
  </si>
  <si>
    <t>MH40Y1255</t>
  </si>
  <si>
    <t>MH40BG4091</t>
  </si>
  <si>
    <t>MH40Y2839</t>
  </si>
  <si>
    <t>MH40Y9955</t>
  </si>
  <si>
    <t>MH40Y1455</t>
  </si>
  <si>
    <t>MH40AK9455</t>
  </si>
  <si>
    <t>MH40AK9855</t>
  </si>
  <si>
    <t>C18HMNHT (NB)</t>
  </si>
  <si>
    <t>MH36F1147</t>
  </si>
  <si>
    <t>MH40AK0195</t>
  </si>
  <si>
    <t>NL02Q8700</t>
  </si>
  <si>
    <t>NL01AA6709</t>
  </si>
  <si>
    <t>Pcs</t>
  </si>
  <si>
    <t>MH40BG2947</t>
  </si>
  <si>
    <t>MH40N6533</t>
  </si>
  <si>
    <t>MH40AK0470</t>
  </si>
  <si>
    <t>RV6000075909</t>
  </si>
  <si>
    <t>10.01.2023</t>
  </si>
  <si>
    <t>D222123-003</t>
  </si>
  <si>
    <t>23.01.23</t>
  </si>
  <si>
    <t>02.02.23</t>
  </si>
  <si>
    <t>BTB-238</t>
  </si>
  <si>
    <t>JSPL, Angul</t>
  </si>
  <si>
    <t>1629-LOI-1629</t>
  </si>
  <si>
    <t>28.01.23</t>
  </si>
  <si>
    <t>04.02.23</t>
  </si>
  <si>
    <t>DT.11.01.23</t>
  </si>
  <si>
    <t>RAILWAY</t>
  </si>
  <si>
    <t>Disp Qty = MT</t>
  </si>
  <si>
    <t>D-222203-011</t>
  </si>
  <si>
    <t>MH40BG2928</t>
  </si>
  <si>
    <t>06.02.23</t>
  </si>
  <si>
    <t>RV600082508</t>
  </si>
  <si>
    <t>D-222204-009</t>
  </si>
  <si>
    <t>D-222203-008</t>
  </si>
  <si>
    <t>Order Qty = 1480.310 MT</t>
  </si>
  <si>
    <t>D-222203-009</t>
  </si>
  <si>
    <t>05.02.23</t>
  </si>
  <si>
    <t>D-222205-028</t>
  </si>
  <si>
    <t>MH40AK2195</t>
  </si>
  <si>
    <t>REF-620705730</t>
  </si>
  <si>
    <t>D-222205-029</t>
  </si>
  <si>
    <t>D-222205-030</t>
  </si>
  <si>
    <t>1507 LOI-1507</t>
  </si>
  <si>
    <t>10.01.23</t>
  </si>
  <si>
    <t>D-222203-023</t>
  </si>
  <si>
    <t>DT.10.01.23</t>
  </si>
  <si>
    <t>Order Qty = 34.327 MT</t>
  </si>
  <si>
    <t>RV600075908</t>
  </si>
  <si>
    <t>DT.16.12.22</t>
  </si>
  <si>
    <t>Order Qty = 12.093 MT</t>
  </si>
  <si>
    <t>D-222204-012</t>
  </si>
  <si>
    <t>NLQ8700</t>
  </si>
  <si>
    <t>D-222204-011</t>
  </si>
  <si>
    <t>D-222204-010</t>
  </si>
  <si>
    <t>D-222205-031</t>
  </si>
  <si>
    <t>MH40BG0544</t>
  </si>
  <si>
    <t>07.02.23</t>
  </si>
  <si>
    <t>D-222207-001</t>
  </si>
  <si>
    <t>JSPL, Angul, Odisha</t>
  </si>
  <si>
    <t>BY ROAD</t>
  </si>
  <si>
    <t>RV600084331</t>
  </si>
  <si>
    <t>03.02.23</t>
  </si>
  <si>
    <t>JSPL/ANG/KM/22-23/062663</t>
  </si>
  <si>
    <t>GJ12BX4724</t>
  </si>
  <si>
    <t>D-222207-003</t>
  </si>
  <si>
    <t>D-222207-034</t>
  </si>
  <si>
    <t>08.02.23</t>
  </si>
  <si>
    <t>M40BG2947</t>
  </si>
  <si>
    <t>D-222207-014</t>
  </si>
  <si>
    <t>D-222207-030</t>
  </si>
  <si>
    <t>D-222207-012</t>
  </si>
  <si>
    <t>D-222207-029</t>
  </si>
  <si>
    <t>D-222207-013</t>
  </si>
  <si>
    <t>D-222207-026</t>
  </si>
  <si>
    <t>D-222208-001</t>
  </si>
  <si>
    <t>MH40N1986</t>
  </si>
  <si>
    <t>D-222208-020</t>
  </si>
  <si>
    <t>09.02.23</t>
  </si>
  <si>
    <t>D-222208-026</t>
  </si>
  <si>
    <t>D-222208-010</t>
  </si>
  <si>
    <t>D-222208-021</t>
  </si>
  <si>
    <t>D-222208-042</t>
  </si>
  <si>
    <t>D-222208-025</t>
  </si>
  <si>
    <t>D-222208-017</t>
  </si>
  <si>
    <t>MH6AF0719</t>
  </si>
  <si>
    <t>D-222208-023</t>
  </si>
  <si>
    <t>D-222208-031</t>
  </si>
  <si>
    <t>MH46-0568</t>
  </si>
  <si>
    <t>D-222208-022</t>
  </si>
  <si>
    <t>D-222208-007</t>
  </si>
  <si>
    <t>D-222208-029</t>
  </si>
  <si>
    <t>D-222208-016</t>
  </si>
  <si>
    <t>D-222208-018</t>
  </si>
  <si>
    <t>D-222208-032</t>
  </si>
  <si>
    <t>D-222207-033</t>
  </si>
  <si>
    <t>D-222208-041</t>
  </si>
  <si>
    <t>D-222209-014</t>
  </si>
  <si>
    <t>10.02.23</t>
  </si>
  <si>
    <t>D-222209-011</t>
  </si>
  <si>
    <t>D-222209-017</t>
  </si>
  <si>
    <t>D-222209-021</t>
  </si>
  <si>
    <t>D-222208-040</t>
  </si>
  <si>
    <t>D-222209-019</t>
  </si>
  <si>
    <t>Order Qty = 54.957 MT</t>
  </si>
  <si>
    <t>RV600082509</t>
  </si>
  <si>
    <t>Inv. No. - RV600082508</t>
  </si>
  <si>
    <t>Inv. No. - RV600082509</t>
  </si>
  <si>
    <t>D-222209-016</t>
  </si>
  <si>
    <t>MH40AK0395</t>
  </si>
  <si>
    <t>D-222209-008</t>
  </si>
  <si>
    <t>MH40N4090</t>
  </si>
  <si>
    <t>Total = 1535.267 MT</t>
  </si>
  <si>
    <t>23.02.23</t>
  </si>
  <si>
    <t>ASTM GR 60</t>
  </si>
  <si>
    <t>BTB-289</t>
  </si>
  <si>
    <t>BTB-290</t>
  </si>
  <si>
    <t>BTB-291</t>
  </si>
  <si>
    <t>BTB-292</t>
  </si>
  <si>
    <t>BTB-293</t>
  </si>
  <si>
    <t>BTB-294</t>
  </si>
  <si>
    <t>BTB-295</t>
  </si>
  <si>
    <t>BTB-296</t>
  </si>
  <si>
    <t>BTB-297</t>
  </si>
  <si>
    <t>BTB-298</t>
  </si>
  <si>
    <t>BTB-299</t>
  </si>
  <si>
    <t>BTB-300</t>
  </si>
  <si>
    <t>BTB-301</t>
  </si>
  <si>
    <t>BTB-302</t>
  </si>
  <si>
    <t>BTB-303</t>
  </si>
  <si>
    <t>BTB-304</t>
  </si>
  <si>
    <t>BTB-305</t>
  </si>
  <si>
    <t>BTB-306</t>
  </si>
  <si>
    <t>BTB-307</t>
  </si>
  <si>
    <t>BTB-308</t>
  </si>
  <si>
    <t>BTB-309</t>
  </si>
  <si>
    <t>BTB-310</t>
  </si>
  <si>
    <t>BTB-311</t>
  </si>
  <si>
    <t>BTB-312</t>
  </si>
  <si>
    <t>BTB-313</t>
  </si>
  <si>
    <t>BTB-314</t>
  </si>
  <si>
    <t>BTB-315</t>
  </si>
  <si>
    <t>BTB-316</t>
  </si>
  <si>
    <t>BTB-317</t>
  </si>
  <si>
    <t>BTB-318</t>
  </si>
  <si>
    <t>BTB-319</t>
  </si>
  <si>
    <t>BTB-320</t>
  </si>
  <si>
    <t>BTB-321</t>
  </si>
  <si>
    <t>BTB-322</t>
  </si>
  <si>
    <t>BTB-323</t>
  </si>
  <si>
    <t>BTB-324</t>
  </si>
  <si>
    <t>BTB-325</t>
  </si>
  <si>
    <t>BTB-326</t>
  </si>
  <si>
    <t>BTB-327</t>
  </si>
  <si>
    <t>BTB-328</t>
  </si>
  <si>
    <t>BTB-329</t>
  </si>
  <si>
    <t>BTB-330</t>
  </si>
  <si>
    <t>BTB-331</t>
  </si>
  <si>
    <t>BTB-332</t>
  </si>
  <si>
    <t>BTB-333</t>
  </si>
  <si>
    <t>BTB-334</t>
  </si>
  <si>
    <t>BTB-335</t>
  </si>
  <si>
    <t>BTB-336</t>
  </si>
  <si>
    <t>BTB-337</t>
  </si>
  <si>
    <t>BTB-338</t>
  </si>
  <si>
    <t>1629 LOI-1629</t>
  </si>
  <si>
    <t>RV6000082509</t>
  </si>
  <si>
    <t>D222318-013</t>
  </si>
  <si>
    <t>RV6000082511</t>
  </si>
  <si>
    <t>19.03.23</t>
  </si>
  <si>
    <t>BTB-384</t>
  </si>
  <si>
    <t>21.03.23</t>
  </si>
  <si>
    <t xml:space="preserve">VEHICLE </t>
  </si>
  <si>
    <t>RV6000000160</t>
  </si>
  <si>
    <t>01.04.23</t>
  </si>
  <si>
    <t>03.04.23</t>
  </si>
  <si>
    <t>RJ20GB9002</t>
  </si>
  <si>
    <t>1946-LOI-1946</t>
  </si>
  <si>
    <t>DT.16.03.23</t>
  </si>
  <si>
    <t>RV6000102231</t>
  </si>
  <si>
    <t>31.03.23</t>
  </si>
  <si>
    <t>CG04JC5911</t>
  </si>
  <si>
    <t>RV6000102229</t>
  </si>
  <si>
    <t>CG04PA3857</t>
  </si>
  <si>
    <t>RV6000000077</t>
  </si>
  <si>
    <t>MH40AK9451</t>
  </si>
  <si>
    <t>RV6000102234</t>
  </si>
  <si>
    <t>GJ12BV6495</t>
  </si>
  <si>
    <t>RV6000000099</t>
  </si>
  <si>
    <t>GJ12BZ6654</t>
  </si>
  <si>
    <t>RV6000000132</t>
  </si>
  <si>
    <t>CG07CA8852</t>
  </si>
  <si>
    <t>RV6000000131</t>
  </si>
  <si>
    <t>CG07AA8059</t>
  </si>
  <si>
    <t>RV6000000078</t>
  </si>
  <si>
    <t>GJ12BW4379</t>
  </si>
  <si>
    <t>RV6000000139</t>
  </si>
  <si>
    <t>UP72AT3104</t>
  </si>
  <si>
    <t>RV6000000097</t>
  </si>
  <si>
    <t>GJ12BW2030</t>
  </si>
  <si>
    <t>RV6000000188</t>
  </si>
  <si>
    <t>RJ09GD5815</t>
  </si>
  <si>
    <t>RV6000000005</t>
  </si>
  <si>
    <t>PB06BD3762</t>
  </si>
  <si>
    <t>RV6000000159</t>
  </si>
  <si>
    <t>MH20EL0290</t>
  </si>
  <si>
    <t>RV6000000133</t>
  </si>
  <si>
    <t>MH40BL3439</t>
  </si>
  <si>
    <t>MH40AK4751</t>
  </si>
  <si>
    <t>RV6000000278</t>
  </si>
  <si>
    <t>02.04.23</t>
  </si>
  <si>
    <t>04.04.23</t>
  </si>
  <si>
    <t>NL01AG2584</t>
  </si>
  <si>
    <t>RV6000000142</t>
  </si>
  <si>
    <t>MH43BX9371</t>
  </si>
  <si>
    <t>RV6000000137</t>
  </si>
  <si>
    <t>GJ06AX9951</t>
  </si>
  <si>
    <t>RV6000000004</t>
  </si>
  <si>
    <t>GJ12BY6854</t>
  </si>
  <si>
    <t>RV6000000006</t>
  </si>
  <si>
    <t>GJ12BZ1343</t>
  </si>
  <si>
    <t>RV6000000098</t>
  </si>
  <si>
    <t>GJ12AT5883</t>
  </si>
  <si>
    <t>RV6000000138</t>
  </si>
  <si>
    <t>MH40AK4145</t>
  </si>
  <si>
    <t>RV6000000102</t>
  </si>
  <si>
    <t>RJ01GC3308</t>
  </si>
  <si>
    <t>RV6000000100</t>
  </si>
  <si>
    <t>MH46BB9798</t>
  </si>
  <si>
    <t>RV6000000101</t>
  </si>
  <si>
    <t>MH46BU0938</t>
  </si>
  <si>
    <t>RV6000000134</t>
  </si>
  <si>
    <t>RV6000000327</t>
  </si>
  <si>
    <t>05.04.23</t>
  </si>
  <si>
    <t>CG04LV9927</t>
  </si>
  <si>
    <t>RV6000000326</t>
  </si>
  <si>
    <t>RV6000000350</t>
  </si>
  <si>
    <t>CG04JD9529</t>
  </si>
  <si>
    <t>RV6000000187</t>
  </si>
  <si>
    <t>NL01N4809</t>
  </si>
  <si>
    <t>RV6000000895</t>
  </si>
  <si>
    <t>06.04.23</t>
  </si>
  <si>
    <t>RJ17GA3332</t>
  </si>
  <si>
    <t>RV6000000279</t>
  </si>
  <si>
    <t>RV6000000161</t>
  </si>
  <si>
    <t>07.04.23</t>
  </si>
  <si>
    <t>CG07NA9859</t>
  </si>
  <si>
    <t>RV6000102322</t>
  </si>
  <si>
    <t>31.04.23</t>
  </si>
  <si>
    <t>GJ01FT1852</t>
  </si>
  <si>
    <t>RV6000001391</t>
  </si>
  <si>
    <t>08.04.23</t>
  </si>
  <si>
    <t>MH43BX9367</t>
  </si>
  <si>
    <t>RV6000102138</t>
  </si>
  <si>
    <t>RV6000102138=570.580 MT PCS.270</t>
  </si>
  <si>
    <t>D223407-005</t>
  </si>
  <si>
    <t>CG04JD1997</t>
  </si>
  <si>
    <t>D223407-007</t>
  </si>
  <si>
    <t>D223407-003</t>
  </si>
  <si>
    <t>MH40N5299</t>
  </si>
  <si>
    <t>09.04.23</t>
  </si>
  <si>
    <t>D223408-026</t>
  </si>
  <si>
    <t>D223408-023</t>
  </si>
  <si>
    <t>D223408-020</t>
  </si>
  <si>
    <t>D223408-021</t>
  </si>
  <si>
    <t>D223409-037</t>
  </si>
  <si>
    <t>10.04.23</t>
  </si>
  <si>
    <t>D223410-022</t>
  </si>
  <si>
    <t>11.04.23</t>
  </si>
  <si>
    <t>MH40Y2549</t>
  </si>
  <si>
    <t>D223410-023</t>
  </si>
  <si>
    <t>12.04.23</t>
  </si>
  <si>
    <t>MH4AK0795</t>
  </si>
  <si>
    <t>D223411-004</t>
  </si>
  <si>
    <t>D223411-001</t>
  </si>
  <si>
    <t>D223412-011</t>
  </si>
  <si>
    <t>13.04.23</t>
  </si>
  <si>
    <t>D223412-023</t>
  </si>
  <si>
    <t>MH40BG0446</t>
  </si>
  <si>
    <t>D223412-018</t>
  </si>
  <si>
    <t xml:space="preserve">1 pcs short </t>
  </si>
  <si>
    <t xml:space="preserve">1 pcs &amp; 2.125 qty short received </t>
  </si>
  <si>
    <t>BTB-35</t>
  </si>
  <si>
    <t>17.04.23</t>
  </si>
  <si>
    <t>BTB-34</t>
  </si>
  <si>
    <t>BTB-1</t>
  </si>
  <si>
    <t>BTB-2</t>
  </si>
  <si>
    <t>BTB-3</t>
  </si>
  <si>
    <t>BTB-4</t>
  </si>
  <si>
    <t>BTB-5</t>
  </si>
  <si>
    <t>BTB-6</t>
  </si>
  <si>
    <t>BTB-7</t>
  </si>
  <si>
    <t>BTB-8</t>
  </si>
  <si>
    <t>BTB-9</t>
  </si>
  <si>
    <t>BTB-10</t>
  </si>
  <si>
    <t>BTB-11</t>
  </si>
  <si>
    <t>BTB-12</t>
  </si>
  <si>
    <t>BTB-13</t>
  </si>
  <si>
    <t>BTB-14</t>
  </si>
  <si>
    <t>BTB-15</t>
  </si>
  <si>
    <t>BTB-16</t>
  </si>
  <si>
    <t>BTB-17</t>
  </si>
  <si>
    <t>BTB-18</t>
  </si>
  <si>
    <t>BTB-19</t>
  </si>
  <si>
    <t>BTB-20</t>
  </si>
  <si>
    <t>BTB-21</t>
  </si>
  <si>
    <t>BTB-22</t>
  </si>
  <si>
    <t>BTB-23</t>
  </si>
  <si>
    <t>BTB-24</t>
  </si>
  <si>
    <t>BTB-25</t>
  </si>
  <si>
    <t>BTB-26</t>
  </si>
  <si>
    <t>BTB-27</t>
  </si>
  <si>
    <t>BTB-28</t>
  </si>
  <si>
    <t>BTB-29</t>
  </si>
  <si>
    <t>BTB-30</t>
  </si>
  <si>
    <t>BTB-31</t>
  </si>
  <si>
    <t>BTB-32</t>
  </si>
  <si>
    <t>BTB-33</t>
  </si>
  <si>
    <t>BTB-50</t>
  </si>
  <si>
    <t>26.04.23</t>
  </si>
  <si>
    <t>BTB-49</t>
  </si>
  <si>
    <t>BTB-48</t>
  </si>
  <si>
    <t>BTB-47</t>
  </si>
  <si>
    <t>BTB-46</t>
  </si>
  <si>
    <t>BTB-45</t>
  </si>
  <si>
    <t>BTB-44</t>
  </si>
  <si>
    <t>BTB-43</t>
  </si>
  <si>
    <t>BTB-42</t>
  </si>
  <si>
    <t>BTB-41</t>
  </si>
  <si>
    <t>BTB-40</t>
  </si>
  <si>
    <t>BTB-39</t>
  </si>
  <si>
    <t>BTB-38</t>
  </si>
  <si>
    <t>BTB-37</t>
  </si>
  <si>
    <t>BTB-36</t>
  </si>
  <si>
    <t>RINL, Visakhapatnam</t>
  </si>
  <si>
    <t>DT. 06.05.2023</t>
  </si>
  <si>
    <t>SO-4992300745</t>
  </si>
  <si>
    <t>AL-KIL</t>
  </si>
  <si>
    <t>ER21021810355</t>
  </si>
  <si>
    <t>10.05.23</t>
  </si>
  <si>
    <t>NR21031810864</t>
  </si>
  <si>
    <t>NR21031810970</t>
  </si>
  <si>
    <t>SECR19140317190</t>
  </si>
  <si>
    <t>SECR21140914019</t>
  </si>
  <si>
    <t>MS-150X150</t>
  </si>
  <si>
    <t>SO-4992300746</t>
  </si>
  <si>
    <t>ECOR21120890425</t>
  </si>
  <si>
    <t>ECOR21120943268</t>
  </si>
  <si>
    <t>ECOR21120958996</t>
  </si>
  <si>
    <t>NFR21050700443</t>
  </si>
  <si>
    <t>NWR21110651906</t>
  </si>
  <si>
    <t>SECR19140317022</t>
  </si>
  <si>
    <t>SECR21140872999</t>
  </si>
  <si>
    <t>SECR21141069541</t>
  </si>
  <si>
    <t>SECR21141075177</t>
  </si>
  <si>
    <t>SECR21141130142</t>
  </si>
  <si>
    <t>SWR21150645293</t>
  </si>
  <si>
    <t>WR21081910507</t>
  </si>
  <si>
    <t>ECOR21120958156</t>
  </si>
  <si>
    <t>ECOR21120959009</t>
  </si>
  <si>
    <t>SECR21141126473</t>
  </si>
  <si>
    <t>SER21071157325</t>
  </si>
  <si>
    <t>ER21021810423</t>
  </si>
  <si>
    <t xml:space="preserve">Normal </t>
  </si>
  <si>
    <t>SECR21140926890</t>
  </si>
  <si>
    <t>SECR21141016064</t>
  </si>
  <si>
    <t>SECR21141125094</t>
  </si>
  <si>
    <t>SR21061910374</t>
  </si>
  <si>
    <t>SWR21150645699</t>
  </si>
  <si>
    <t>NR21031811007</t>
  </si>
  <si>
    <t>SECR21140925992</t>
  </si>
  <si>
    <t>SECR21141232938</t>
  </si>
  <si>
    <t>SECR23141610655</t>
  </si>
  <si>
    <t>SR21061811145</t>
  </si>
  <si>
    <t>NWR21110651470</t>
  </si>
  <si>
    <t>SECR21140912169</t>
  </si>
  <si>
    <t>SECR21140926548</t>
  </si>
  <si>
    <t>SWR21150641042</t>
  </si>
  <si>
    <t>4873, 4882</t>
  </si>
  <si>
    <t>18.05.23</t>
  </si>
  <si>
    <t>4885,4887,</t>
  </si>
  <si>
    <t>4883, 4884</t>
  </si>
  <si>
    <t>1028, 1029</t>
  </si>
  <si>
    <t>20.05.23</t>
  </si>
  <si>
    <t>1013, 1014</t>
  </si>
  <si>
    <t>19.05.23</t>
  </si>
  <si>
    <t>1022, 1023</t>
  </si>
  <si>
    <t>1034, 1035</t>
  </si>
  <si>
    <t>1025, 1027</t>
  </si>
  <si>
    <t>4872, 4874</t>
  </si>
  <si>
    <t>4897, 4898</t>
  </si>
  <si>
    <t>1036, 1037</t>
  </si>
  <si>
    <t>4891, 4892</t>
  </si>
  <si>
    <t>1042, 1043</t>
  </si>
  <si>
    <t>1040, 1041</t>
  </si>
  <si>
    <t>4889, 4890</t>
  </si>
  <si>
    <t>1004, 1017</t>
  </si>
  <si>
    <t>1030, 1031</t>
  </si>
  <si>
    <t>1002, 1003</t>
  </si>
  <si>
    <t>1032, 1033</t>
  </si>
  <si>
    <t>4900, 1001</t>
  </si>
  <si>
    <t>1011, 1012</t>
  </si>
  <si>
    <t>1020, 1021</t>
  </si>
  <si>
    <t>1005, 1007</t>
  </si>
  <si>
    <t>4893, 4894</t>
  </si>
  <si>
    <t>1009, 1010</t>
  </si>
  <si>
    <t>1038, 1039</t>
  </si>
  <si>
    <t>4875, 1016</t>
  </si>
  <si>
    <t>18,19.05.23</t>
  </si>
  <si>
    <t>4899, 1015</t>
  </si>
  <si>
    <t>4886, 4888</t>
  </si>
  <si>
    <t>4876, 4881</t>
  </si>
  <si>
    <t>1044, 1045</t>
  </si>
  <si>
    <t>1024, 1026</t>
  </si>
  <si>
    <t>1018, 1019</t>
  </si>
  <si>
    <t>4895, 4896</t>
  </si>
  <si>
    <t>1046, 1047</t>
  </si>
  <si>
    <t>1006, 1008</t>
  </si>
  <si>
    <t>BTB-51 BTB-57</t>
  </si>
  <si>
    <t>BTB-60 BTB-62</t>
  </si>
  <si>
    <t>BTB-58 BTB-59</t>
  </si>
  <si>
    <t>BTB-103 BTB-104</t>
  </si>
  <si>
    <t>BTB-88 BTB-89</t>
  </si>
  <si>
    <t>BTB-109 BTB-110</t>
  </si>
  <si>
    <t>BTB-100 BTB-102</t>
  </si>
  <si>
    <t>BTB-52 BTB-53</t>
  </si>
  <si>
    <t>BTB-72 BTB-73</t>
  </si>
  <si>
    <t>BTB-111 BTB-112</t>
  </si>
  <si>
    <t>BTB-66 BTB-67</t>
  </si>
  <si>
    <t>BTB-117 BTB-118</t>
  </si>
  <si>
    <t>BTB-115 BTB-116</t>
  </si>
  <si>
    <t>BTB-64 BTB-65</t>
  </si>
  <si>
    <t>BTB-79 BTB-92</t>
  </si>
  <si>
    <t>BTB-105 BTB-106</t>
  </si>
  <si>
    <t>BTB-77 BTB-78</t>
  </si>
  <si>
    <t>BTB-107 BTB-108</t>
  </si>
  <si>
    <t>BTB-75 BTB-76</t>
  </si>
  <si>
    <t>BTB-86 BTB-87</t>
  </si>
  <si>
    <t>BTB-95 BTB-96</t>
  </si>
  <si>
    <t>BTB-80 BTB-82</t>
  </si>
  <si>
    <t>BTB-68 BTB-69</t>
  </si>
  <si>
    <t>BTB-84 BTB-85</t>
  </si>
  <si>
    <t>BTB-113 BTB-114</t>
  </si>
  <si>
    <t>BTB-54 BTB-91</t>
  </si>
  <si>
    <t>BTB-74 BTB-90</t>
  </si>
  <si>
    <t>BTB-61 BTB-63</t>
  </si>
  <si>
    <t>BTB-55 BTB-56</t>
  </si>
  <si>
    <t>BTB-119 BTB-120</t>
  </si>
  <si>
    <t>BTB-99 BTB-101</t>
  </si>
  <si>
    <t>BTB-93 BTB-94</t>
  </si>
  <si>
    <t>BTB-70 BTB-71</t>
  </si>
  <si>
    <t>BTB-121 BTB-122</t>
  </si>
  <si>
    <t>BTB-81 BTB-83</t>
  </si>
  <si>
    <t>BTB-97 BTB-98</t>
  </si>
  <si>
    <t xml:space="preserve">SAIL DSP </t>
  </si>
  <si>
    <t>RR.23051915750</t>
  </si>
  <si>
    <t>DT. 22.05.2023</t>
  </si>
  <si>
    <t>MS-125X125</t>
  </si>
  <si>
    <t>OS0022000458</t>
  </si>
  <si>
    <t>24.05.23</t>
  </si>
  <si>
    <t>ECO-21121080511</t>
  </si>
  <si>
    <t>OS0022000459</t>
  </si>
  <si>
    <t>NC-21131124410</t>
  </si>
  <si>
    <t>OS0022000460</t>
  </si>
  <si>
    <t>NE-21040710193</t>
  </si>
  <si>
    <t>OS0022000461</t>
  </si>
  <si>
    <t>ECO-21120956299</t>
  </si>
  <si>
    <t>OS0022000462</t>
  </si>
  <si>
    <t>NC-21131226565</t>
  </si>
  <si>
    <t>OS0022000463</t>
  </si>
  <si>
    <t>ECO-21120944388</t>
  </si>
  <si>
    <t>OS0022000464</t>
  </si>
  <si>
    <t>NC-21131125660</t>
  </si>
  <si>
    <t>OS0022000465</t>
  </si>
  <si>
    <t>NW-21110651753</t>
  </si>
  <si>
    <t>4792, 4793</t>
  </si>
  <si>
    <t>1050, 4786</t>
  </si>
  <si>
    <t>4787, 4788</t>
  </si>
  <si>
    <t>4789, 4790</t>
  </si>
  <si>
    <t>4791, 4794</t>
  </si>
  <si>
    <t>4795, 4796</t>
  </si>
  <si>
    <t>4797, 4798</t>
  </si>
  <si>
    <t>1048, 1049</t>
  </si>
  <si>
    <t>30.05.23</t>
  </si>
  <si>
    <t>31.05.23</t>
  </si>
  <si>
    <t>BTB-132, 133</t>
  </si>
  <si>
    <t>BTB-125, 126</t>
  </si>
  <si>
    <t>BTB-131, 134</t>
  </si>
  <si>
    <t>BTB-135, 136</t>
  </si>
  <si>
    <t>BTB-137, 138</t>
  </si>
  <si>
    <t>BTB-127, 128</t>
  </si>
  <si>
    <t>BTB-129, 130</t>
  </si>
  <si>
    <t>BTB-123, 124</t>
  </si>
  <si>
    <t>BHUSHAN ODISHA</t>
  </si>
  <si>
    <t>LOI-190 DT.17.05.23</t>
  </si>
  <si>
    <t>713619542-01.06.23</t>
  </si>
  <si>
    <t>BY ROAD  -GR 60</t>
  </si>
  <si>
    <t>HT-160X160</t>
  </si>
  <si>
    <t>23OD2191134313</t>
  </si>
  <si>
    <t>01.06.23</t>
  </si>
  <si>
    <t>MD239100739</t>
  </si>
  <si>
    <t>02.06.23</t>
  </si>
  <si>
    <t>CG04NY1489</t>
  </si>
  <si>
    <t>23OD2191134310</t>
  </si>
  <si>
    <t>MD239100742</t>
  </si>
  <si>
    <t>03.06.23</t>
  </si>
  <si>
    <t>23OD2191134319</t>
  </si>
  <si>
    <t>GJ12BZ5868</t>
  </si>
  <si>
    <t>23OD2191134318</t>
  </si>
  <si>
    <t>MD239100745</t>
  </si>
  <si>
    <t>HT-180X180</t>
  </si>
  <si>
    <t>23OD2191134382</t>
  </si>
  <si>
    <t>23OD2191134316</t>
  </si>
  <si>
    <t>MD239100740</t>
  </si>
  <si>
    <t>CG04PA3687</t>
  </si>
  <si>
    <t>23OD2191134317</t>
  </si>
  <si>
    <t>23OD2191134315</t>
  </si>
  <si>
    <t>MD239100741</t>
  </si>
  <si>
    <t>OD19U6101</t>
  </si>
  <si>
    <t>23OD2191134540</t>
  </si>
  <si>
    <t>MD239100747</t>
  </si>
  <si>
    <t>MH40BL5411</t>
  </si>
  <si>
    <t>23OD2191134368</t>
  </si>
  <si>
    <t>MD239100744</t>
  </si>
  <si>
    <t>04.06.23</t>
  </si>
  <si>
    <t>OD19U9118</t>
  </si>
  <si>
    <t>23OD2191134366</t>
  </si>
  <si>
    <t>23OD2191134371</t>
  </si>
  <si>
    <t>23OD2191134370</t>
  </si>
  <si>
    <t>23OD2191134418</t>
  </si>
  <si>
    <t>MD239100746</t>
  </si>
  <si>
    <t>OD19U9109</t>
  </si>
  <si>
    <t>23OD2191134419</t>
  </si>
  <si>
    <t>23OD2191134877</t>
  </si>
  <si>
    <t>MD239100753</t>
  </si>
  <si>
    <t>05.06.23</t>
  </si>
  <si>
    <t>RJ37GA2739</t>
  </si>
  <si>
    <t>23OD2191135507</t>
  </si>
  <si>
    <t>MD239100765</t>
  </si>
  <si>
    <t>06.06.23</t>
  </si>
  <si>
    <t>CG04PA3688</t>
  </si>
  <si>
    <t>23OD2191135508</t>
  </si>
  <si>
    <t>23OD2191135989</t>
  </si>
  <si>
    <t>MD239100771</t>
  </si>
  <si>
    <t>OD19U6105</t>
  </si>
  <si>
    <t>23OD2191135988</t>
  </si>
  <si>
    <t>23OD2191136002</t>
  </si>
  <si>
    <t>MD239100773</t>
  </si>
  <si>
    <t>OD19U9254</t>
  </si>
  <si>
    <t>23OD2191136003</t>
  </si>
  <si>
    <t>23OD2191136001</t>
  </si>
  <si>
    <t>23OD2191136802</t>
  </si>
  <si>
    <t>MD239100789</t>
  </si>
  <si>
    <t>07.06.23</t>
  </si>
  <si>
    <t>MH40BG0328</t>
  </si>
  <si>
    <t>230D2191136803</t>
  </si>
  <si>
    <t>MD239100790</t>
  </si>
  <si>
    <t>08.06.23</t>
  </si>
  <si>
    <t>CG04NZ1495</t>
  </si>
  <si>
    <t>230D2191136804</t>
  </si>
  <si>
    <t>230D2191136393</t>
  </si>
  <si>
    <t>MD239100783</t>
  </si>
  <si>
    <t>OD19U9225</t>
  </si>
  <si>
    <t>230D2191136394</t>
  </si>
  <si>
    <t>230D2191136395</t>
  </si>
  <si>
    <t>230D2191136396</t>
  </si>
  <si>
    <t>230D2191136764</t>
  </si>
  <si>
    <t>MD239100788</t>
  </si>
  <si>
    <t>CG04JC9711</t>
  </si>
  <si>
    <t>230D2191136985</t>
  </si>
  <si>
    <t>MD239100795</t>
  </si>
  <si>
    <t>NL01AE1463</t>
  </si>
  <si>
    <t>230D2191136981</t>
  </si>
  <si>
    <t>MD239100794</t>
  </si>
  <si>
    <t>MH40CM7611</t>
  </si>
  <si>
    <t>23OD2191136979</t>
  </si>
  <si>
    <t>MD239100793</t>
  </si>
  <si>
    <t>09.06.23</t>
  </si>
  <si>
    <t>MH40BG5089</t>
  </si>
  <si>
    <t>230D2191138038</t>
  </si>
  <si>
    <t>MD239100834</t>
  </si>
  <si>
    <t>11.06.23</t>
  </si>
  <si>
    <t>CG04PA3684</t>
  </si>
  <si>
    <t>23OD2191138039</t>
  </si>
  <si>
    <t>OD19U5633</t>
  </si>
  <si>
    <t>230D2191138025</t>
  </si>
  <si>
    <t>MD239100831</t>
  </si>
  <si>
    <t>CG04NZ1497</t>
  </si>
  <si>
    <t>23OD2191138026</t>
  </si>
  <si>
    <t>23OD2191138144</t>
  </si>
  <si>
    <t>MD239100845</t>
  </si>
  <si>
    <t>12.06.23</t>
  </si>
  <si>
    <t>CG04PA3690</t>
  </si>
  <si>
    <t>23OD2191138145</t>
  </si>
  <si>
    <t>23OD2191138035</t>
  </si>
  <si>
    <t>MD239100833</t>
  </si>
  <si>
    <t>OD19U6155</t>
  </si>
  <si>
    <t>23OD2191138032</t>
  </si>
  <si>
    <t>23OD2191138034</t>
  </si>
  <si>
    <t>23OD2191138150</t>
  </si>
  <si>
    <t>MD239100847</t>
  </si>
  <si>
    <t>OD19U5643</t>
  </si>
  <si>
    <t>23OD2191138149</t>
  </si>
  <si>
    <t>23OD2191138151</t>
  </si>
  <si>
    <t>MD239100848</t>
  </si>
  <si>
    <t>CG04NY1482</t>
  </si>
  <si>
    <t>23OD2191138153</t>
  </si>
  <si>
    <t>23OD2191138152</t>
  </si>
  <si>
    <t>23OD2191138148</t>
  </si>
  <si>
    <t>MD239100846</t>
  </si>
  <si>
    <t>CG04NY1481</t>
  </si>
  <si>
    <t>23OD2191138146</t>
  </si>
  <si>
    <t>23OD2191138147</t>
  </si>
  <si>
    <t>23OD2191138666</t>
  </si>
  <si>
    <t>MD239100862</t>
  </si>
  <si>
    <t>RJ14GK3703</t>
  </si>
  <si>
    <t>10.06.23</t>
  </si>
  <si>
    <t>23OD2191138033</t>
  </si>
  <si>
    <t xml:space="preserve">1 pcs &amp; 2.125 qty  received </t>
  </si>
  <si>
    <t>23OD2191143648</t>
  </si>
  <si>
    <t>19.06.23</t>
  </si>
  <si>
    <t>MD239101006</t>
  </si>
  <si>
    <t>24.06.23</t>
  </si>
  <si>
    <t>OD19U6176</t>
  </si>
  <si>
    <t>23OD2191143654</t>
  </si>
  <si>
    <t>23OD2191143646</t>
  </si>
  <si>
    <t>23OD2191143650</t>
  </si>
  <si>
    <t>23OD2191143652</t>
  </si>
  <si>
    <t>23OD2191143669</t>
  </si>
  <si>
    <t>MD239101010</t>
  </si>
  <si>
    <t>CG04NY1487</t>
  </si>
  <si>
    <t>23OD2191143671</t>
  </si>
  <si>
    <t>23OD2191143665</t>
  </si>
  <si>
    <t>23OD2191143626</t>
  </si>
  <si>
    <t>MD239101004</t>
  </si>
  <si>
    <t>23OD2191143627</t>
  </si>
  <si>
    <t>23OD2191143624</t>
  </si>
  <si>
    <t>23OD2191143623</t>
  </si>
  <si>
    <t>JSPL ANGUL</t>
  </si>
  <si>
    <t>LOI-382 DT.24.06.23</t>
  </si>
  <si>
    <t>607753091/62316976</t>
  </si>
  <si>
    <t>RV6000031234</t>
  </si>
  <si>
    <t>01.07.23</t>
  </si>
  <si>
    <t>MD/23-24/60302</t>
  </si>
  <si>
    <t>MH04JK1552</t>
  </si>
  <si>
    <t>RV6000031232</t>
  </si>
  <si>
    <t>RR/23-24/60138</t>
  </si>
  <si>
    <t>03.07.23</t>
  </si>
  <si>
    <t>MH14HU2788</t>
  </si>
  <si>
    <t>NB</t>
  </si>
  <si>
    <t>LOI-381 DT.24.06.23</t>
  </si>
  <si>
    <t>107827289/47497671</t>
  </si>
  <si>
    <t>HT-200X200</t>
  </si>
  <si>
    <t>02.07.23</t>
  </si>
  <si>
    <t>JSPL  RAIGARH</t>
  </si>
  <si>
    <t>ZLSP/23-24/10269</t>
  </si>
  <si>
    <t>NL01AE2688</t>
  </si>
  <si>
    <t>RV6000031235</t>
  </si>
  <si>
    <t>GFC/23-24/31235</t>
  </si>
  <si>
    <t>CG07BA5595</t>
  </si>
  <si>
    <t>607753090/62316868</t>
  </si>
  <si>
    <t>RV6000031230</t>
  </si>
  <si>
    <t>RR/23-24/60137</t>
  </si>
  <si>
    <t>NL01/AC6300</t>
  </si>
  <si>
    <t>RV6000031320</t>
  </si>
  <si>
    <t>MD/23-24/60305</t>
  </si>
  <si>
    <t>MH40BG6629</t>
  </si>
  <si>
    <t>ZLSP/23-24/10268</t>
  </si>
  <si>
    <t>NL01AG5745</t>
  </si>
  <si>
    <t>ZLSP/23-24/10271</t>
  </si>
  <si>
    <t>04.07.23</t>
  </si>
  <si>
    <t>NL01AG4270</t>
  </si>
  <si>
    <t>RV6000031747</t>
  </si>
  <si>
    <t>MD/23-24/60317</t>
  </si>
  <si>
    <t>MH40CM5331</t>
  </si>
  <si>
    <t>RV6000031745</t>
  </si>
  <si>
    <t>MD/23-24/60316</t>
  </si>
  <si>
    <t>CG07CM7597</t>
  </si>
  <si>
    <t>RV6000031603</t>
  </si>
  <si>
    <t>GJ12BV9611</t>
  </si>
  <si>
    <t>RJ01GA6041</t>
  </si>
  <si>
    <t>GJ18AZ4523</t>
  </si>
  <si>
    <t>30.06.23</t>
  </si>
  <si>
    <t>MH04BG5377</t>
  </si>
  <si>
    <t>MH40BL5181</t>
  </si>
  <si>
    <t>RV6000031050</t>
  </si>
  <si>
    <t>RV6000031604</t>
  </si>
  <si>
    <t>RV6000031516</t>
  </si>
  <si>
    <t>RV6000031515</t>
  </si>
  <si>
    <t>RV6000031228</t>
  </si>
  <si>
    <t>MH49AT1039</t>
  </si>
  <si>
    <t>RV6000031237</t>
  </si>
  <si>
    <t>MH40BL6777</t>
  </si>
  <si>
    <t>RV6000031699</t>
  </si>
  <si>
    <t>RJ47GA3328</t>
  </si>
  <si>
    <t>CG04HY9274</t>
  </si>
  <si>
    <t>RV6000031834</t>
  </si>
  <si>
    <t>05.07.23</t>
  </si>
  <si>
    <t>MH40CM6331</t>
  </si>
  <si>
    <t>RV6000031628</t>
  </si>
  <si>
    <t>CG07BM9184</t>
  </si>
  <si>
    <t>RV6000031792</t>
  </si>
  <si>
    <t>GJ12BZ9528</t>
  </si>
  <si>
    <t>RV6000031791</t>
  </si>
  <si>
    <t>MH40BG5145</t>
  </si>
  <si>
    <t>06.07.23</t>
  </si>
  <si>
    <t>CG07CL6508</t>
  </si>
  <si>
    <t>CG07CL6501</t>
  </si>
  <si>
    <t>MH40CD7484</t>
  </si>
  <si>
    <t>RV6000031629</t>
  </si>
  <si>
    <t>MH43E9985</t>
  </si>
  <si>
    <t>RV6000031630</t>
  </si>
  <si>
    <t>CG07CA8136</t>
  </si>
  <si>
    <t>RV6000031825</t>
  </si>
  <si>
    <t>CG22J7303</t>
  </si>
  <si>
    <t>RV6000031827</t>
  </si>
  <si>
    <t>JSPL  ANGUL</t>
  </si>
  <si>
    <t>607753090/62316778</t>
  </si>
  <si>
    <t xml:space="preserve">NB </t>
  </si>
  <si>
    <t>BY RAILWAY</t>
  </si>
  <si>
    <t>QTY 1015.310 -PCS-480</t>
  </si>
  <si>
    <t>RV6000030917</t>
  </si>
  <si>
    <t>D223706-011</t>
  </si>
  <si>
    <t>D223706-015</t>
  </si>
  <si>
    <t>D223706-029</t>
  </si>
  <si>
    <t>07.07.23</t>
  </si>
  <si>
    <t>MH40Y1355</t>
  </si>
  <si>
    <t>D223706-028</t>
  </si>
  <si>
    <t>D223706-032</t>
  </si>
  <si>
    <t>MH40CM7909</t>
  </si>
  <si>
    <t>D223706-027</t>
  </si>
  <si>
    <t>MH40CD6526</t>
  </si>
  <si>
    <t>D223706-017</t>
  </si>
  <si>
    <t>MH40N7373</t>
  </si>
  <si>
    <t>D223706-033</t>
  </si>
  <si>
    <t>CG04LU2909</t>
  </si>
  <si>
    <t>NL01AG2583</t>
  </si>
  <si>
    <t>RV6000031711</t>
  </si>
  <si>
    <t>RJ47GA1940</t>
  </si>
  <si>
    <t>D223707-07</t>
  </si>
  <si>
    <t>MH40N6443</t>
  </si>
  <si>
    <t>D223706-030</t>
  </si>
  <si>
    <t>MH40AK6909</t>
  </si>
  <si>
    <t>D223707-08</t>
  </si>
  <si>
    <t>RJ09GC4998</t>
  </si>
  <si>
    <t>08.07.23</t>
  </si>
  <si>
    <t>MH46AR2137</t>
  </si>
  <si>
    <t>RJ01GC1801</t>
  </si>
  <si>
    <t>NL01AG5744</t>
  </si>
  <si>
    <t>NL01AF3023</t>
  </si>
  <si>
    <t>RJ06GB9327</t>
  </si>
  <si>
    <t>NL01AF9602</t>
  </si>
  <si>
    <t>NL01AF9605</t>
  </si>
  <si>
    <t>BTB-139</t>
  </si>
  <si>
    <t>23.06.23</t>
  </si>
  <si>
    <t>BTB-140</t>
  </si>
  <si>
    <t>BTB-141</t>
  </si>
  <si>
    <t>BTB-142</t>
  </si>
  <si>
    <t>BTB-143</t>
  </si>
  <si>
    <t>BTB-144</t>
  </si>
  <si>
    <t>BTB-145</t>
  </si>
  <si>
    <t>BTB-146</t>
  </si>
  <si>
    <t>BTB-147</t>
  </si>
  <si>
    <t>BTB-148</t>
  </si>
  <si>
    <t>BTB-149</t>
  </si>
  <si>
    <t>BTB-150</t>
  </si>
  <si>
    <t>BTB-151</t>
  </si>
  <si>
    <t>BTB-152</t>
  </si>
  <si>
    <t>BTB-153</t>
  </si>
  <si>
    <t>BTB-154</t>
  </si>
  <si>
    <t>BTB-155</t>
  </si>
  <si>
    <t>BTB-156</t>
  </si>
  <si>
    <t>BTB-157</t>
  </si>
  <si>
    <t>BTB-158</t>
  </si>
  <si>
    <t>BTB-159</t>
  </si>
  <si>
    <t>BTB-160</t>
  </si>
  <si>
    <t>BTB-161</t>
  </si>
  <si>
    <t>BTB-162</t>
  </si>
  <si>
    <t>BTB-163</t>
  </si>
  <si>
    <t>BTB-164</t>
  </si>
  <si>
    <t>BTB-165</t>
  </si>
  <si>
    <t>BTB-167</t>
  </si>
  <si>
    <t>BTB-166</t>
  </si>
  <si>
    <t>BTB-168</t>
  </si>
  <si>
    <t>BTB-169</t>
  </si>
  <si>
    <t>BTB-170</t>
  </si>
  <si>
    <t>BTB-171</t>
  </si>
  <si>
    <t>BTB-172</t>
  </si>
  <si>
    <t>BTB-173</t>
  </si>
  <si>
    <t>BTB-174</t>
  </si>
  <si>
    <t>BTB-175</t>
  </si>
  <si>
    <t>BTB-176</t>
  </si>
  <si>
    <t>BTB-177</t>
  </si>
  <si>
    <t>BTB-178</t>
  </si>
  <si>
    <t>BTB-179</t>
  </si>
  <si>
    <t>BTB-180</t>
  </si>
  <si>
    <t>BTB-181</t>
  </si>
  <si>
    <t>BTB-182</t>
  </si>
  <si>
    <t>BTB-183</t>
  </si>
  <si>
    <t>BTB-184</t>
  </si>
  <si>
    <t>BTB-185</t>
  </si>
  <si>
    <t>BTB-186</t>
  </si>
  <si>
    <t>BTB-187</t>
  </si>
  <si>
    <t>BTB-188</t>
  </si>
  <si>
    <t>BTB-189</t>
  </si>
  <si>
    <t>BTB-190</t>
  </si>
  <si>
    <t>BTB-191</t>
  </si>
  <si>
    <t>BTB-192</t>
  </si>
  <si>
    <t>BTB-193</t>
  </si>
  <si>
    <t>BTB-194</t>
  </si>
  <si>
    <t>BTB-195</t>
  </si>
  <si>
    <t>BTB-196</t>
  </si>
  <si>
    <t>BTB-197</t>
  </si>
  <si>
    <t>BTB-198</t>
  </si>
  <si>
    <t>BTB-199</t>
  </si>
  <si>
    <t>BTB-200</t>
  </si>
  <si>
    <t>BTB-201</t>
  </si>
  <si>
    <t>BTB-202</t>
  </si>
  <si>
    <t>BTB-203</t>
  </si>
  <si>
    <t>BTB-204</t>
  </si>
  <si>
    <t>D223706-018</t>
  </si>
  <si>
    <t>MH40BG6927</t>
  </si>
  <si>
    <t>D223707-21</t>
  </si>
  <si>
    <t>D223707-22</t>
  </si>
  <si>
    <t>D223707-29</t>
  </si>
  <si>
    <t>D223707-20</t>
  </si>
  <si>
    <t>D223708-14</t>
  </si>
  <si>
    <t>MH40BG9981</t>
  </si>
  <si>
    <t>D223708-15</t>
  </si>
  <si>
    <t>NL02Q5059</t>
  </si>
  <si>
    <t>D223708-02</t>
  </si>
  <si>
    <t>D223708-10</t>
  </si>
  <si>
    <t>D223708-16</t>
  </si>
  <si>
    <t>MH40BG5777</t>
  </si>
  <si>
    <t>D223708-11</t>
  </si>
  <si>
    <t>QTY 247.860 -PCS-116</t>
  </si>
  <si>
    <t>607753091/62316783</t>
  </si>
  <si>
    <t>RV6000030918</t>
  </si>
  <si>
    <t>D-223708-048</t>
  </si>
  <si>
    <t>MH40BG7877</t>
  </si>
  <si>
    <t>D223708-27</t>
  </si>
  <si>
    <t>09.07.23</t>
  </si>
  <si>
    <t>D223708-003</t>
  </si>
  <si>
    <t>MH40AK2844</t>
  </si>
  <si>
    <t>D223708-009</t>
  </si>
  <si>
    <t>MH40BG1844</t>
  </si>
  <si>
    <t>D223708-020</t>
  </si>
  <si>
    <t>MH40Y3144</t>
  </si>
  <si>
    <t>D223708-022</t>
  </si>
  <si>
    <t>MH40Y5844</t>
  </si>
  <si>
    <t>D-223708-043</t>
  </si>
  <si>
    <t>10.07.23</t>
  </si>
  <si>
    <t>D-223708-046</t>
  </si>
  <si>
    <t>D-223708-041</t>
  </si>
  <si>
    <t>MH46H5257</t>
  </si>
  <si>
    <t>D-223708-040</t>
  </si>
  <si>
    <t>D-223709-009</t>
  </si>
  <si>
    <t>D-223709-004</t>
  </si>
  <si>
    <t>D-223709-005</t>
  </si>
  <si>
    <t>D-223708-024</t>
  </si>
  <si>
    <t>MH40BL7760</t>
  </si>
  <si>
    <t>D-223709-047</t>
  </si>
  <si>
    <t>MH4BG9989</t>
  </si>
  <si>
    <t>MH40AK6667</t>
  </si>
  <si>
    <t>CG07BF5599</t>
  </si>
  <si>
    <t>NL01G7901</t>
  </si>
  <si>
    <t>D-223708-013</t>
  </si>
  <si>
    <t>RV6000031832</t>
  </si>
  <si>
    <t>MH04CM6331</t>
  </si>
  <si>
    <t>D223708-019</t>
  </si>
  <si>
    <t>BY Road</t>
  </si>
  <si>
    <t>LOI-516 DT.06.07.23</t>
  </si>
  <si>
    <t>RV1000036999</t>
  </si>
  <si>
    <t>RV1000036998</t>
  </si>
  <si>
    <t>RV1000037326</t>
  </si>
  <si>
    <t>RV1000037137</t>
  </si>
  <si>
    <t>RV1000036997</t>
  </si>
  <si>
    <t>RV1000036993</t>
  </si>
  <si>
    <t>RV1000037679</t>
  </si>
  <si>
    <t>RV1000037686</t>
  </si>
  <si>
    <t>RV1000037698</t>
  </si>
  <si>
    <t>RV1000037640</t>
  </si>
  <si>
    <t>RV1000038340</t>
  </si>
  <si>
    <t>RV1000038332</t>
  </si>
  <si>
    <t>RV1000038365</t>
  </si>
  <si>
    <t>RV1000038550</t>
  </si>
  <si>
    <t>RV1000038329</t>
  </si>
  <si>
    <t>RV1000038551</t>
  </si>
  <si>
    <t>RV1000038481</t>
  </si>
  <si>
    <t>RV1000038596</t>
  </si>
  <si>
    <t>RV1000038597</t>
  </si>
  <si>
    <t>RV1000039362</t>
  </si>
  <si>
    <t>RV1000039809</t>
  </si>
  <si>
    <t>RV1000039017</t>
  </si>
  <si>
    <t>RV1000044394</t>
  </si>
  <si>
    <t>21.07.23</t>
  </si>
  <si>
    <t>23.07.23</t>
  </si>
  <si>
    <t>CG04LM9811</t>
  </si>
  <si>
    <t>107828167/47502767</t>
  </si>
  <si>
    <t>107828167/47502831</t>
  </si>
  <si>
    <t>RV1000044538</t>
  </si>
  <si>
    <t>TS07UM5109</t>
  </si>
  <si>
    <t>RV1000044184</t>
  </si>
  <si>
    <t>RV1000044268</t>
  </si>
  <si>
    <t>MH40CD8022</t>
  </si>
  <si>
    <t>RV1000044211</t>
  </si>
  <si>
    <t>20.07.23</t>
  </si>
  <si>
    <t>MH40Y8824</t>
  </si>
  <si>
    <t>RV1000044403</t>
  </si>
  <si>
    <t>MH46BB1125</t>
  </si>
  <si>
    <t>RV1000044432</t>
  </si>
  <si>
    <t>PB05AQ9925</t>
  </si>
  <si>
    <t>RV1000044214</t>
  </si>
  <si>
    <t>MH40CD9399</t>
  </si>
  <si>
    <t>RV1000044786</t>
  </si>
  <si>
    <t>22.07.23</t>
  </si>
  <si>
    <t>RV1000044842</t>
  </si>
  <si>
    <t>RJ09GD7141</t>
  </si>
  <si>
    <t>RV1000044372</t>
  </si>
  <si>
    <t>RV1000044939</t>
  </si>
  <si>
    <t>24.07.23</t>
  </si>
  <si>
    <t>TN28BD3397</t>
  </si>
  <si>
    <t>RV1000044430</t>
  </si>
  <si>
    <t>TN47AF9025</t>
  </si>
  <si>
    <t>RV1000044402</t>
  </si>
  <si>
    <t>MH40BG3754</t>
  </si>
  <si>
    <t>MH40BG04525</t>
  </si>
  <si>
    <t>RV1000045079</t>
  </si>
  <si>
    <t>MH40CM3879</t>
  </si>
  <si>
    <t>RV1000045021</t>
  </si>
  <si>
    <t>MH40BG4446</t>
  </si>
  <si>
    <t>RV1000044470</t>
  </si>
  <si>
    <t>RV1000044209</t>
  </si>
  <si>
    <t>CG04HT9537</t>
  </si>
  <si>
    <t>PB06BB8429</t>
  </si>
  <si>
    <t>RV1000044992</t>
  </si>
  <si>
    <t>RV1000044990</t>
  </si>
  <si>
    <t>MH46BU7700</t>
  </si>
  <si>
    <t>RV1000044858</t>
  </si>
  <si>
    <t>RJ01GB5050</t>
  </si>
  <si>
    <t>RV1000044386</t>
  </si>
  <si>
    <t>MH40AK7729</t>
  </si>
  <si>
    <t>RV1000045283</t>
  </si>
  <si>
    <t>25.07.23</t>
  </si>
  <si>
    <t>GJ12BZ9559</t>
  </si>
  <si>
    <t>RV1000045181</t>
  </si>
  <si>
    <t>NL01AG4220</t>
  </si>
  <si>
    <t>RV1000045183</t>
  </si>
  <si>
    <t>MH40BG9422</t>
  </si>
  <si>
    <t>RV1000044966</t>
  </si>
  <si>
    <t>NL01K6913</t>
  </si>
  <si>
    <t>RV1000045047</t>
  </si>
  <si>
    <t>MH40BF6655</t>
  </si>
  <si>
    <t>RV1000045193</t>
  </si>
  <si>
    <t>RV1000045254</t>
  </si>
  <si>
    <t>PB06BC5485</t>
  </si>
  <si>
    <t>RJ01GC0328</t>
  </si>
  <si>
    <t>RV1000045265</t>
  </si>
  <si>
    <t>RJ09GB7583</t>
  </si>
  <si>
    <t>RV1000044951</t>
  </si>
  <si>
    <t>MH40CM0774</t>
  </si>
  <si>
    <t>RV1000044799</t>
  </si>
  <si>
    <t>MH40CM0702</t>
  </si>
  <si>
    <t>RV1000045451</t>
  </si>
  <si>
    <t>NL01AG7721</t>
  </si>
  <si>
    <t>RV1000044822</t>
  </si>
  <si>
    <t>MH40CM0902</t>
  </si>
  <si>
    <t>RV1000045383</t>
  </si>
  <si>
    <t>26.07.23</t>
  </si>
  <si>
    <t>RV1000045303</t>
  </si>
  <si>
    <t>MH40BG4293</t>
  </si>
  <si>
    <t>RV1000045589</t>
  </si>
  <si>
    <t>RJ01GC0587</t>
  </si>
  <si>
    <t>RV1000045743</t>
  </si>
  <si>
    <t>RJ42GA1753</t>
  </si>
  <si>
    <t>107828167/47503797</t>
  </si>
  <si>
    <t>RV1000045255</t>
  </si>
  <si>
    <t>27.07.23</t>
  </si>
  <si>
    <t>PB06AK6629</t>
  </si>
  <si>
    <t>RV1000046022</t>
  </si>
  <si>
    <t>GJ12BW6564</t>
  </si>
  <si>
    <t>RV1000046021</t>
  </si>
  <si>
    <t>RJ01GB7392</t>
  </si>
  <si>
    <t>RV1000045973</t>
  </si>
  <si>
    <t>RJ48GA2356</t>
  </si>
  <si>
    <t>MH40BL6031</t>
  </si>
  <si>
    <t>RV1000045966</t>
  </si>
  <si>
    <t>RV1000046445</t>
  </si>
  <si>
    <t>MH40CD9792</t>
  </si>
  <si>
    <t>107828167/47504517</t>
  </si>
  <si>
    <t>RV1000046163</t>
  </si>
  <si>
    <t>28.07.23</t>
  </si>
  <si>
    <t>GJ12BZ8478</t>
  </si>
  <si>
    <t>RV1000046164</t>
  </si>
  <si>
    <t>RJ01GB8943</t>
  </si>
  <si>
    <t>RV1000046567</t>
  </si>
  <si>
    <t>CZ07AZ5155</t>
  </si>
  <si>
    <t>CG07AZ5155</t>
  </si>
  <si>
    <t>RV1000046398</t>
  </si>
  <si>
    <t>MH40CD9492</t>
  </si>
  <si>
    <t>RV1000046397</t>
  </si>
  <si>
    <t>RV1000046381</t>
  </si>
  <si>
    <t>PB06BD7357</t>
  </si>
  <si>
    <t>BTB-205</t>
  </si>
  <si>
    <t>BTB-206</t>
  </si>
  <si>
    <t>BTB-207</t>
  </si>
  <si>
    <t>BTB-208</t>
  </si>
  <si>
    <t>BTB-209</t>
  </si>
  <si>
    <t>BTB-210</t>
  </si>
  <si>
    <t>BTB-211</t>
  </si>
  <si>
    <t>BTB-212</t>
  </si>
  <si>
    <t>BTB-213</t>
  </si>
  <si>
    <t>BTB-214</t>
  </si>
  <si>
    <t>BTB-215</t>
  </si>
  <si>
    <t>BTB-216</t>
  </si>
  <si>
    <t>BTB-217</t>
  </si>
  <si>
    <t>BTB-218</t>
  </si>
  <si>
    <t>BTB-219</t>
  </si>
  <si>
    <t>BTB-220</t>
  </si>
  <si>
    <t>BTB-221</t>
  </si>
  <si>
    <t>BTB-222</t>
  </si>
  <si>
    <t>BTB-223</t>
  </si>
  <si>
    <t>BTB-224</t>
  </si>
  <si>
    <t>BTB-225</t>
  </si>
  <si>
    <t>BTB-226</t>
  </si>
  <si>
    <t>BTB-227</t>
  </si>
  <si>
    <t>BTB-228</t>
  </si>
  <si>
    <t>BTB-229</t>
  </si>
  <si>
    <t>BTB-230</t>
  </si>
  <si>
    <t>BTB-231</t>
  </si>
  <si>
    <t>BTB-232</t>
  </si>
  <si>
    <t>BTB-233</t>
  </si>
  <si>
    <t>BTB-234</t>
  </si>
  <si>
    <t>BTB-235</t>
  </si>
  <si>
    <t>BTB-236</t>
  </si>
  <si>
    <t>BTB-237</t>
  </si>
  <si>
    <t>BTB-239</t>
  </si>
  <si>
    <t>BTB-240</t>
  </si>
  <si>
    <t>BTB-241</t>
  </si>
  <si>
    <t>BTB-242</t>
  </si>
  <si>
    <t>BTB-243</t>
  </si>
  <si>
    <t>BTB-244</t>
  </si>
  <si>
    <t>BTB-245</t>
  </si>
  <si>
    <t>BTB-246</t>
  </si>
  <si>
    <t>BTB-247</t>
  </si>
  <si>
    <t>BTB-248</t>
  </si>
  <si>
    <t>BTB-249</t>
  </si>
  <si>
    <t>BTB-250</t>
  </si>
  <si>
    <t>BTB-251</t>
  </si>
  <si>
    <t>BTB-252</t>
  </si>
  <si>
    <t>BTB-253</t>
  </si>
  <si>
    <t>BTB-254</t>
  </si>
  <si>
    <t>BTB-255</t>
  </si>
  <si>
    <t>BTB-256</t>
  </si>
  <si>
    <t>BTB-257</t>
  </si>
  <si>
    <t>BTB-258</t>
  </si>
  <si>
    <t>BTB-259</t>
  </si>
  <si>
    <t>BTB-260</t>
  </si>
  <si>
    <t>BTB-261</t>
  </si>
  <si>
    <t>BTB-262</t>
  </si>
  <si>
    <t>BTB-263</t>
  </si>
  <si>
    <t>BTB-264</t>
  </si>
  <si>
    <t>BTB-265</t>
  </si>
  <si>
    <t>BTB-266</t>
  </si>
  <si>
    <t>BTB-267</t>
  </si>
  <si>
    <t>BTB-268</t>
  </si>
  <si>
    <t>BTB-269</t>
  </si>
  <si>
    <t>BTB-270</t>
  </si>
  <si>
    <t>BTB-271</t>
  </si>
  <si>
    <t>BTB-272</t>
  </si>
  <si>
    <t>BTB-273</t>
  </si>
  <si>
    <t>BTB-274</t>
  </si>
  <si>
    <t>BTB-275</t>
  </si>
  <si>
    <t>BTB-276</t>
  </si>
  <si>
    <t>BTB-277</t>
  </si>
  <si>
    <t>BTB-278</t>
  </si>
  <si>
    <t>BTB-279</t>
  </si>
  <si>
    <t>BTB-280</t>
  </si>
  <si>
    <t>BTB-281</t>
  </si>
  <si>
    <t>BTB-282</t>
  </si>
  <si>
    <t>BTB-283</t>
  </si>
  <si>
    <t>BTB-284</t>
  </si>
  <si>
    <t>BTB-285</t>
  </si>
  <si>
    <t>BTB-286</t>
  </si>
  <si>
    <t>BTB-287</t>
  </si>
  <si>
    <t>BTB-288</t>
  </si>
  <si>
    <t>RV1000046990</t>
  </si>
  <si>
    <t>29.07.23</t>
  </si>
  <si>
    <t>NL01AF4353</t>
  </si>
  <si>
    <t>RV1000045907</t>
  </si>
  <si>
    <t>PB02EM4126</t>
  </si>
  <si>
    <t>RV1000046874</t>
  </si>
  <si>
    <t>MH49AT4144</t>
  </si>
  <si>
    <t>RV1000046855</t>
  </si>
  <si>
    <t>MH49AT3863</t>
  </si>
  <si>
    <t>RV1000047237</t>
  </si>
  <si>
    <t>30.07.23</t>
  </si>
  <si>
    <t>NL01AG8623</t>
  </si>
  <si>
    <t>RV1000046799</t>
  </si>
  <si>
    <t>CG08AL1401</t>
  </si>
  <si>
    <t>RV1000046807</t>
  </si>
  <si>
    <t>CG08AL1399</t>
  </si>
  <si>
    <t>RV1000046883</t>
  </si>
  <si>
    <t>CG08AL1400</t>
  </si>
  <si>
    <t>RV1000046882</t>
  </si>
  <si>
    <t>CG08AL1397</t>
  </si>
  <si>
    <t>RV1000047352</t>
  </si>
  <si>
    <t>31.07.23</t>
  </si>
  <si>
    <t>MH40BG4443</t>
  </si>
  <si>
    <t>LOI-559 DT.22.07.23</t>
  </si>
  <si>
    <t>107829410/47505641</t>
  </si>
  <si>
    <t>HT-130X130</t>
  </si>
  <si>
    <t>RV1000047804</t>
  </si>
  <si>
    <t>MH40CM9794</t>
  </si>
  <si>
    <t>RV1000046853</t>
  </si>
  <si>
    <t>CG07BH2578</t>
  </si>
  <si>
    <t>RV1000046798</t>
  </si>
  <si>
    <t>MH40Y9074</t>
  </si>
  <si>
    <t>RV1000047116</t>
  </si>
  <si>
    <t>MH40CD9576</t>
  </si>
  <si>
    <t>RV1000047103</t>
  </si>
  <si>
    <t>MH40CM6909</t>
  </si>
  <si>
    <t xml:space="preserve"> AL
(High Silicon)</t>
  </si>
  <si>
    <t>RV1000047597</t>
  </si>
  <si>
    <t>CG04MQ1735</t>
  </si>
  <si>
    <t>RV1000046926</t>
  </si>
  <si>
    <t>CG07CM7497</t>
  </si>
  <si>
    <t>RV1000047392</t>
  </si>
  <si>
    <t>MH40CD7546</t>
  </si>
  <si>
    <t>BHUSHAN POWER (JSW)</t>
  </si>
  <si>
    <t>LOI-549 DT.14/25.07.23</t>
  </si>
  <si>
    <t>GR 60</t>
  </si>
  <si>
    <t>230D2191164840</t>
  </si>
  <si>
    <t>MH40BL1855</t>
  </si>
  <si>
    <t>230D2191164863</t>
  </si>
  <si>
    <t>230D2191164865</t>
  </si>
  <si>
    <t>230D2191164841</t>
  </si>
  <si>
    <t>MS-160X160</t>
  </si>
  <si>
    <t>230D2191164478</t>
  </si>
  <si>
    <t>MH36F1139</t>
  </si>
  <si>
    <t>230D2191164856</t>
  </si>
  <si>
    <t>MH40Y8279</t>
  </si>
  <si>
    <t>230D2191164849</t>
  </si>
  <si>
    <t>230D2191164479</t>
  </si>
  <si>
    <t>HT-180X180 GR60</t>
  </si>
  <si>
    <t>HT-160X160 GR 60</t>
  </si>
  <si>
    <t>713960140/24.07.23</t>
  </si>
  <si>
    <t>230D2191164474</t>
  </si>
  <si>
    <t>230D2191164824</t>
  </si>
  <si>
    <t xml:space="preserve">HT-160X160 </t>
  </si>
  <si>
    <t>230D2191164505</t>
  </si>
  <si>
    <t>230D2191164834</t>
  </si>
  <si>
    <t>MH40BG6501</t>
  </si>
  <si>
    <t>230D2191164845</t>
  </si>
  <si>
    <t>230D2191164821</t>
  </si>
  <si>
    <t>230D2191164513</t>
  </si>
  <si>
    <t>MH36F1132</t>
  </si>
  <si>
    <t>MH40BG9989</t>
  </si>
  <si>
    <t>230D2191164514</t>
  </si>
  <si>
    <t>MH40BG9809</t>
  </si>
  <si>
    <t>230D2191164469</t>
  </si>
  <si>
    <t>MH40BL9681</t>
  </si>
  <si>
    <t>230D2191164476</t>
  </si>
  <si>
    <t>230D2191164477</t>
  </si>
  <si>
    <t>230D2191164470</t>
  </si>
  <si>
    <t>MH46BF9805</t>
  </si>
  <si>
    <t>MH46BF9802</t>
  </si>
  <si>
    <t>230D2191164471</t>
  </si>
  <si>
    <t>230D2191164475</t>
  </si>
  <si>
    <t>MH18M7779</t>
  </si>
  <si>
    <t>MH04FJ9453</t>
  </si>
  <si>
    <t>230D2191164508</t>
  </si>
  <si>
    <t>MH40AK9501</t>
  </si>
  <si>
    <t>230D2191164509</t>
  </si>
  <si>
    <t>MH40N6013</t>
  </si>
  <si>
    <t>230D2191164451</t>
  </si>
  <si>
    <t>230D2191164452</t>
  </si>
  <si>
    <t>230D2191164512</t>
  </si>
  <si>
    <t>230D2191164460</t>
  </si>
  <si>
    <t>MH34AB8613</t>
  </si>
  <si>
    <t>230D2191164461</t>
  </si>
  <si>
    <t>230D2191164515</t>
  </si>
  <si>
    <t>230D2191164516</t>
  </si>
  <si>
    <t>230D2191164511</t>
  </si>
  <si>
    <t>230D2191164825</t>
  </si>
  <si>
    <t>230D2191164822</t>
  </si>
  <si>
    <t>230D2191164453</t>
  </si>
  <si>
    <t>230D2191164833</t>
  </si>
  <si>
    <t>MH40AK9944</t>
  </si>
  <si>
    <t>230D2191164456</t>
  </si>
  <si>
    <t>NL02Q5058</t>
  </si>
  <si>
    <t>230D2191164944</t>
  </si>
  <si>
    <t>MH40CM6195</t>
  </si>
  <si>
    <t>230D2191164457</t>
  </si>
  <si>
    <t>230D2191164458</t>
  </si>
  <si>
    <t>230D2191164459</t>
  </si>
  <si>
    <t>230D2191164454</t>
  </si>
  <si>
    <t>CG04LU5909</t>
  </si>
  <si>
    <t>230D2191164449</t>
  </si>
  <si>
    <t>MH40BG9939</t>
  </si>
  <si>
    <t>230D2191164450</t>
  </si>
  <si>
    <t>230D2191164462</t>
  </si>
  <si>
    <t>230D2191164463</t>
  </si>
  <si>
    <t>MH40AK2944</t>
  </si>
  <si>
    <t>230D2191164503</t>
  </si>
  <si>
    <t>230D2191164504</t>
  </si>
  <si>
    <t>MH40Y8280</t>
  </si>
  <si>
    <t>230D2191164501</t>
  </si>
  <si>
    <t>230D2191164502</t>
  </si>
  <si>
    <t>MH40AK0446</t>
  </si>
  <si>
    <t>230D2191164839</t>
  </si>
  <si>
    <t>230D2191164836</t>
  </si>
  <si>
    <t>MH40DC8075</t>
  </si>
  <si>
    <t>230D2191164835</t>
  </si>
  <si>
    <t>MH46BF9940</t>
  </si>
  <si>
    <t>230D2191164837</t>
  </si>
  <si>
    <t>230D2191164838</t>
  </si>
  <si>
    <t>230D2191164506</t>
  </si>
  <si>
    <t>MH40BG6677</t>
  </si>
  <si>
    <t>MH31CQ9689</t>
  </si>
  <si>
    <t>230D2191164510</t>
  </si>
  <si>
    <t>MH31CQ3416</t>
  </si>
  <si>
    <t>230D2191164507</t>
  </si>
  <si>
    <t>MH36F1126</t>
  </si>
  <si>
    <t>230D2191164473</t>
  </si>
  <si>
    <t>01.08.23</t>
  </si>
  <si>
    <t>MH43E8574</t>
  </si>
  <si>
    <t>MH06AC4105</t>
  </si>
  <si>
    <t>230D2191164464</t>
  </si>
  <si>
    <t>230D2191164465</t>
  </si>
  <si>
    <t>230D2191164480</t>
  </si>
  <si>
    <t>230D2191164472</t>
  </si>
  <si>
    <t>230D2191164447</t>
  </si>
  <si>
    <t>230D2191164448</t>
  </si>
  <si>
    <t>230D2191164481</t>
  </si>
  <si>
    <t>230D2191164943</t>
  </si>
  <si>
    <t>RV1000047860</t>
  </si>
  <si>
    <t>MH40CM0776</t>
  </si>
  <si>
    <t>RV1000047938</t>
  </si>
  <si>
    <t>MH40BL6232</t>
  </si>
  <si>
    <t>RV1000047942</t>
  </si>
  <si>
    <t>CG04LG2910</t>
  </si>
  <si>
    <t>RV1000047954</t>
  </si>
  <si>
    <t>MH40BL5131</t>
  </si>
  <si>
    <t>RV1000047953</t>
  </si>
  <si>
    <t>RV1000048051</t>
  </si>
  <si>
    <t>RV1000048020</t>
  </si>
  <si>
    <t>PB02DT8113</t>
  </si>
  <si>
    <t>RV1000047864</t>
  </si>
  <si>
    <t>02.08.23</t>
  </si>
  <si>
    <t>CG04PG9912</t>
  </si>
  <si>
    <t>RV1000047861</t>
  </si>
  <si>
    <t>CG04HT9912</t>
  </si>
  <si>
    <t>RV1000048343</t>
  </si>
  <si>
    <t>RV1000048496</t>
  </si>
  <si>
    <t>03.08.23</t>
  </si>
  <si>
    <t>RV1000048497</t>
  </si>
  <si>
    <t>NL01AG8624</t>
  </si>
  <si>
    <t>RV1000048201</t>
  </si>
  <si>
    <t>MH40BG8232</t>
  </si>
  <si>
    <t>RV1000048412</t>
  </si>
  <si>
    <t>GJ12BZ8237</t>
  </si>
  <si>
    <t>RV1000048487</t>
  </si>
  <si>
    <t>RJ42GA1201</t>
  </si>
  <si>
    <t>RV1000048585</t>
  </si>
  <si>
    <t>NL01AG1995</t>
  </si>
  <si>
    <t>RV1000048488</t>
  </si>
  <si>
    <t>RV1000048320</t>
  </si>
  <si>
    <t>RV1000048910</t>
  </si>
  <si>
    <t>04.08.23</t>
  </si>
  <si>
    <t>RJ42GA1423</t>
  </si>
  <si>
    <t>RJ42GA3154</t>
  </si>
  <si>
    <t>RV1000048633</t>
  </si>
  <si>
    <t>RV1000048695</t>
  </si>
  <si>
    <t>RJ01GB3988</t>
  </si>
  <si>
    <t>RV1000046850</t>
  </si>
  <si>
    <t>CG07CA2644</t>
  </si>
  <si>
    <t>RV1000048842</t>
  </si>
  <si>
    <t>CG04LQ2826</t>
  </si>
  <si>
    <t>RV1000049012</t>
  </si>
  <si>
    <t>RJ01GB5888</t>
  </si>
  <si>
    <t>RV1000049013</t>
  </si>
  <si>
    <t>RJ09GB6590</t>
  </si>
  <si>
    <t>RV1000049050</t>
  </si>
  <si>
    <t>05.08.23</t>
  </si>
  <si>
    <t>RJ48GA9707</t>
  </si>
  <si>
    <t>RV1000049014</t>
  </si>
  <si>
    <t>RJ01GB9918</t>
  </si>
  <si>
    <t>RV1000048836</t>
  </si>
  <si>
    <t>DD01H9841</t>
  </si>
  <si>
    <t>RV1000049166</t>
  </si>
  <si>
    <t>RJ17GA8080</t>
  </si>
  <si>
    <t>RV1000049159</t>
  </si>
  <si>
    <t>GJ12BY6794</t>
  </si>
  <si>
    <t>RV1000048299</t>
  </si>
  <si>
    <t>MH40BG4959</t>
  </si>
  <si>
    <t>MH40BG4440</t>
  </si>
  <si>
    <t>MH40CM7634</t>
  </si>
  <si>
    <t>RV1000049302</t>
  </si>
  <si>
    <t>RJ09GC4948</t>
  </si>
  <si>
    <t>RV1000049300</t>
  </si>
  <si>
    <t>GJ12BW2365</t>
  </si>
  <si>
    <t>RV1000049048</t>
  </si>
  <si>
    <t>CG04MN9424</t>
  </si>
  <si>
    <t>RV1000048874</t>
  </si>
  <si>
    <t>MH40BL5931</t>
  </si>
  <si>
    <t>RV1000049051</t>
  </si>
  <si>
    <t>MH40BL1611</t>
  </si>
  <si>
    <t>RV1000049093</t>
  </si>
  <si>
    <t>06.08.23</t>
  </si>
  <si>
    <t>CG04HV6080</t>
  </si>
  <si>
    <t>RV1000049131</t>
  </si>
  <si>
    <t>CG07CA2624</t>
  </si>
  <si>
    <t>RV1000050056</t>
  </si>
  <si>
    <t>PB05AQ9605</t>
  </si>
  <si>
    <t>RV1000050055</t>
  </si>
  <si>
    <t>RV1000050053</t>
  </si>
  <si>
    <t>RV1000050050</t>
  </si>
  <si>
    <t>08.08.23</t>
  </si>
  <si>
    <t>PB05AP9805</t>
  </si>
  <si>
    <t>LOI-562 DT.01.08.23</t>
  </si>
  <si>
    <t>107829792/47509202</t>
  </si>
  <si>
    <t>MS-130X130</t>
  </si>
  <si>
    <t>11.08.23</t>
  </si>
  <si>
    <t>13.08.23</t>
  </si>
  <si>
    <t>RJ01GC4670</t>
  </si>
  <si>
    <t>RV1000052361</t>
  </si>
  <si>
    <t>12.08.23</t>
  </si>
  <si>
    <t>NL01AG4269</t>
  </si>
  <si>
    <t>RV1000052358</t>
  </si>
  <si>
    <t>RV1000052192</t>
  </si>
  <si>
    <t>14.08.23</t>
  </si>
  <si>
    <t>CG04JD9274</t>
  </si>
  <si>
    <t>RV1000052363</t>
  </si>
  <si>
    <t>16.08.23</t>
  </si>
  <si>
    <t>CG04LT9927</t>
  </si>
  <si>
    <t>RV1000053330</t>
  </si>
  <si>
    <t>17.08.23</t>
  </si>
  <si>
    <t>CG04LQ1450</t>
  </si>
  <si>
    <t>RV1000052355</t>
  </si>
  <si>
    <t>MH14KQ3487</t>
  </si>
  <si>
    <t>CG04LT9912</t>
  </si>
  <si>
    <t xml:space="preserve">22.08.23 </t>
  </si>
  <si>
    <t>22.08.23</t>
  </si>
  <si>
    <t>24.08.23</t>
  </si>
  <si>
    <t>MH40Y1255,CG04LU5909</t>
  </si>
  <si>
    <t>1559,1542, 1605</t>
  </si>
  <si>
    <t>MH40Y1455 MH40AK0421,</t>
  </si>
  <si>
    <t>HT-160X230</t>
  </si>
  <si>
    <t>OS0020002595</t>
  </si>
  <si>
    <t>20.09.23</t>
  </si>
  <si>
    <t>SAIL YARD BUTIBORI(DSP)</t>
  </si>
  <si>
    <t>SO,NO-3660917 DT18.09.23</t>
  </si>
  <si>
    <t>MH04FU1725</t>
  </si>
  <si>
    <t>OS0020002598</t>
  </si>
  <si>
    <t>MH04FU1432</t>
  </si>
  <si>
    <t>Dist. Charges</t>
  </si>
  <si>
    <t>OS0020002597</t>
  </si>
  <si>
    <t>MH04FU3203</t>
  </si>
  <si>
    <t>OS0020002602</t>
  </si>
  <si>
    <t>MH04FU1156</t>
  </si>
  <si>
    <t>OS0020002599</t>
  </si>
  <si>
    <t>MH04FU3206</t>
  </si>
  <si>
    <t>( AL)</t>
  </si>
  <si>
    <t>OS0020002608</t>
  </si>
  <si>
    <t>21.09.23</t>
  </si>
  <si>
    <t>MH46AF2493</t>
  </si>
  <si>
    <t>OS0020002605</t>
  </si>
  <si>
    <t>MH04FU1722</t>
  </si>
  <si>
    <t>OS0020002609</t>
  </si>
  <si>
    <t>MH04FU1726</t>
  </si>
  <si>
    <t>SO,NO-3665050 DT22.09.23</t>
  </si>
  <si>
    <t>22.09.23</t>
  </si>
  <si>
    <t>(WITH VANADIUM)</t>
  </si>
  <si>
    <t>OS0020002749</t>
  </si>
  <si>
    <t>24.09.23</t>
  </si>
  <si>
    <t>OS0020002747</t>
  </si>
  <si>
    <t>OS0020002746</t>
  </si>
  <si>
    <t>OS0020002748</t>
  </si>
  <si>
    <t>OS0020002745</t>
  </si>
  <si>
    <t>OS0020002822</t>
  </si>
  <si>
    <t>28.09.23</t>
  </si>
  <si>
    <t>HT-125X125</t>
  </si>
  <si>
    <t>OS0020002903</t>
  </si>
  <si>
    <t>30.09.23</t>
  </si>
  <si>
    <t>OS0020002881</t>
  </si>
  <si>
    <t>29.09.23</t>
  </si>
  <si>
    <t>OS0020002875</t>
  </si>
  <si>
    <t>MH04FU3205</t>
  </si>
  <si>
    <t>OS0020002902</t>
  </si>
  <si>
    <t>OS0020002908</t>
  </si>
  <si>
    <t>OS0020002906</t>
  </si>
  <si>
    <t>LOI-797 DT.07.09.23</t>
  </si>
  <si>
    <t>607755774/62365770</t>
  </si>
  <si>
    <t>RV6000064121</t>
  </si>
  <si>
    <t>27.09.23</t>
  </si>
  <si>
    <t>MH46BF2277</t>
  </si>
  <si>
    <t>RV6000064134</t>
  </si>
  <si>
    <t>MH31CQ7299</t>
  </si>
  <si>
    <t>MH46BU3377</t>
  </si>
  <si>
    <t>6077555952/62366040</t>
  </si>
  <si>
    <t>RV6000064266</t>
  </si>
  <si>
    <t>GJ06VV7294</t>
  </si>
  <si>
    <t>RV6000064684</t>
  </si>
  <si>
    <t>RV6000064832</t>
  </si>
  <si>
    <t>01.10.23</t>
  </si>
  <si>
    <t>MH40CM1331</t>
  </si>
  <si>
    <t>RV6000064873</t>
  </si>
  <si>
    <t>MH40BL6131</t>
  </si>
  <si>
    <t>RV6000064874</t>
  </si>
  <si>
    <t>MH40CD9022</t>
  </si>
  <si>
    <t>RV6000064880</t>
  </si>
  <si>
    <t>MH40BF6331</t>
  </si>
  <si>
    <t>RV6000064879</t>
  </si>
  <si>
    <t>RV6000064819</t>
  </si>
  <si>
    <t>RJ06GD1200</t>
  </si>
  <si>
    <t>RV6000064959</t>
  </si>
  <si>
    <t>02.10.23</t>
  </si>
  <si>
    <t>RV6000064820</t>
  </si>
  <si>
    <t>NL02Q9676</t>
  </si>
  <si>
    <t>LOI-739 DT.24.08.23</t>
  </si>
  <si>
    <t>607755316/62364894</t>
  </si>
  <si>
    <t>RV6000063350</t>
  </si>
  <si>
    <t>25.09.23</t>
  </si>
  <si>
    <t>RV6000065358</t>
  </si>
  <si>
    <t>MH40BG9011</t>
  </si>
  <si>
    <t>607755772/62364620</t>
  </si>
  <si>
    <t>RV6000063351</t>
  </si>
  <si>
    <t>RV6000065553</t>
  </si>
  <si>
    <t>RV6000065022</t>
  </si>
  <si>
    <t>03.10.23</t>
  </si>
  <si>
    <t>MH40BL5051</t>
  </si>
  <si>
    <t>RV6000065763</t>
  </si>
  <si>
    <t>RJ01GB8222</t>
  </si>
  <si>
    <t>RV6000065950</t>
  </si>
  <si>
    <t>RJ09GB4495</t>
  </si>
  <si>
    <t>D223O02-014</t>
  </si>
  <si>
    <t>D223O02-015</t>
  </si>
  <si>
    <t>D223O02-013</t>
  </si>
  <si>
    <t>D223O02-018</t>
  </si>
  <si>
    <t>D223O02-025</t>
  </si>
  <si>
    <t>D223O02-026</t>
  </si>
  <si>
    <t>D223O02-012</t>
  </si>
  <si>
    <t>D223O02-011</t>
  </si>
  <si>
    <t>D223O02-019</t>
  </si>
  <si>
    <t>D223O02-022</t>
  </si>
  <si>
    <t>D223O02-023</t>
  </si>
  <si>
    <t>D223O02-021</t>
  </si>
  <si>
    <t>MH40BL2575</t>
  </si>
  <si>
    <t>MH46AF0719</t>
  </si>
  <si>
    <t>MH04FD0626</t>
  </si>
  <si>
    <t>MH40BG8501</t>
  </si>
  <si>
    <t>MH490471</t>
  </si>
  <si>
    <t>MH40N9686</t>
  </si>
  <si>
    <t>MH40BG7977</t>
  </si>
  <si>
    <t>MH40CD8075</t>
  </si>
  <si>
    <t>CG04LV7597</t>
  </si>
  <si>
    <t>MH40CM9909</t>
  </si>
  <si>
    <t>MH40BG9979</t>
  </si>
  <si>
    <t>MH40CD8909</t>
  </si>
  <si>
    <t>GJ03BW3917</t>
  </si>
  <si>
    <t>MH40Y4226</t>
  </si>
  <si>
    <t>MH46AF7233</t>
  </si>
  <si>
    <t>MH40AK2909</t>
  </si>
  <si>
    <t>D223O01-014</t>
  </si>
  <si>
    <t>D223O01-013</t>
  </si>
  <si>
    <t>D223O01-024</t>
  </si>
  <si>
    <t>D223O01-025</t>
  </si>
  <si>
    <t>D223O01-010</t>
  </si>
  <si>
    <t>D223O01-022</t>
  </si>
  <si>
    <t>D223O01-019</t>
  </si>
  <si>
    <t>D223O01-020</t>
  </si>
  <si>
    <t>D223O01-018</t>
  </si>
  <si>
    <t>D223O01-030</t>
  </si>
  <si>
    <t>D223O01-027</t>
  </si>
  <si>
    <t>D223O01-021</t>
  </si>
  <si>
    <t>D223O01-008</t>
  </si>
  <si>
    <t>D223O01-007</t>
  </si>
  <si>
    <t>MH40CD7098</t>
  </si>
  <si>
    <t>RV6000065984</t>
  </si>
  <si>
    <t>04.10.23</t>
  </si>
  <si>
    <t>GJ05CU6056</t>
  </si>
  <si>
    <t>RV6000065983</t>
  </si>
  <si>
    <t>RV6000064876</t>
  </si>
  <si>
    <t>MH40BL3013</t>
  </si>
  <si>
    <t>RV6000065947</t>
  </si>
  <si>
    <t>GJ05AV1083</t>
  </si>
  <si>
    <t>RV6000065945</t>
  </si>
  <si>
    <t>GJ05CW0139</t>
  </si>
  <si>
    <t>D223O03-024</t>
  </si>
  <si>
    <t>D223O03-011</t>
  </si>
  <si>
    <t>D223O03-010</t>
  </si>
  <si>
    <t>D223O03-012</t>
  </si>
  <si>
    <t>D223O03-016</t>
  </si>
  <si>
    <t>D223O04-028</t>
  </si>
  <si>
    <t>D223O04-023</t>
  </si>
  <si>
    <t>D223O03-025</t>
  </si>
  <si>
    <t>D223O04-029</t>
  </si>
  <si>
    <t>D223O04-020</t>
  </si>
  <si>
    <t>D223O04-026</t>
  </si>
  <si>
    <t>D223O04-025</t>
  </si>
  <si>
    <t>MH40N2675</t>
  </si>
  <si>
    <t>MH40AK7577</t>
  </si>
  <si>
    <t>MH40CD6909</t>
  </si>
  <si>
    <t>MH46BF3803</t>
  </si>
  <si>
    <t>MH360877</t>
  </si>
  <si>
    <t>MH46BF3804</t>
  </si>
  <si>
    <t>05.10.23</t>
  </si>
  <si>
    <t>D223O03-008</t>
  </si>
  <si>
    <t>D223O03-009</t>
  </si>
  <si>
    <t>D223O04-022</t>
  </si>
  <si>
    <t>CG04LL5909</t>
  </si>
  <si>
    <t>D223O03-027</t>
  </si>
  <si>
    <t>D223O03-015</t>
  </si>
  <si>
    <t>Invoice qty -1262.949</t>
  </si>
  <si>
    <t>Invoice pcs -598</t>
  </si>
  <si>
    <t>Invoice qty -500.031</t>
  </si>
  <si>
    <t>Invoice pcs -237</t>
  </si>
  <si>
    <t>LOI-797 DT. 07.09.23</t>
  </si>
  <si>
    <t>607755952/62366939</t>
  </si>
  <si>
    <t>Invoice qty -250.471</t>
  </si>
  <si>
    <t>Invoice pcs -118</t>
  </si>
  <si>
    <t>RV6000064954</t>
  </si>
  <si>
    <t>Invoice qty -786.240</t>
  </si>
  <si>
    <t>Invoice pcs -372</t>
  </si>
  <si>
    <t>RV6000065038</t>
  </si>
  <si>
    <t>607755774/62366945</t>
  </si>
  <si>
    <t>RV6000064953</t>
  </si>
  <si>
    <t>08.10.23</t>
  </si>
  <si>
    <t>10.10.23</t>
  </si>
  <si>
    <t>MH40BL7469</t>
  </si>
  <si>
    <t>MH40BL8023</t>
  </si>
  <si>
    <t>MH40CD8259</t>
  </si>
  <si>
    <t>D223O07-009</t>
  </si>
  <si>
    <t>D223O07-024</t>
  </si>
  <si>
    <t>D223O07-023</t>
  </si>
  <si>
    <t>D223O07-021</t>
  </si>
  <si>
    <t>D223O09-020</t>
  </si>
  <si>
    <t>12.10.23</t>
  </si>
  <si>
    <t>D223O11-011</t>
  </si>
  <si>
    <t>Invoice qty -13.329    Pcs -6</t>
  </si>
  <si>
    <t>D223O09-022</t>
  </si>
  <si>
    <t>D223O09-024</t>
  </si>
  <si>
    <t>D223O09-023</t>
  </si>
  <si>
    <t>D223O11-010</t>
  </si>
  <si>
    <t>D223O11-012</t>
  </si>
  <si>
    <t>D223O11-014</t>
  </si>
  <si>
    <t>D223O11-013</t>
  </si>
  <si>
    <t>11.10.23</t>
  </si>
  <si>
    <t>MH04EY0966</t>
  </si>
  <si>
    <t>MH40Y0781</t>
  </si>
  <si>
    <t>MH40N2676</t>
  </si>
  <si>
    <t>MH40AK7501</t>
  </si>
  <si>
    <t>MH40AK5501</t>
  </si>
  <si>
    <t>MH40Y9844</t>
  </si>
  <si>
    <t>MH40Y5644</t>
  </si>
  <si>
    <t>MH40Y4944</t>
  </si>
  <si>
    <t>MH40BL7470</t>
  </si>
  <si>
    <t>MH40BL7481</t>
  </si>
  <si>
    <t>MH40BL7425</t>
  </si>
  <si>
    <t>MH40BL9691</t>
  </si>
  <si>
    <t>MH40CM0984</t>
  </si>
  <si>
    <t>MH40HD2031</t>
  </si>
  <si>
    <t>MH40AK9077</t>
  </si>
  <si>
    <t>D223O10-008</t>
  </si>
  <si>
    <t>D223O10-010</t>
  </si>
  <si>
    <t>D223O10-011</t>
  </si>
  <si>
    <t>D223O10-019</t>
  </si>
  <si>
    <t>D223O10-017</t>
  </si>
  <si>
    <t>D223O10-015</t>
  </si>
  <si>
    <t>D223O10-032</t>
  </si>
  <si>
    <t>D223O10-023</t>
  </si>
  <si>
    <t>D223O10-030</t>
  </si>
  <si>
    <t>D223O10-035</t>
  </si>
  <si>
    <t>D223O10-040</t>
  </si>
  <si>
    <t>D223O10-038</t>
  </si>
  <si>
    <t>D223O10-039</t>
  </si>
  <si>
    <t>D223O10-013</t>
  </si>
  <si>
    <t>D223O10-020</t>
  </si>
  <si>
    <t>D223O10-033</t>
  </si>
  <si>
    <t>D223O10-041</t>
  </si>
  <si>
    <t>D223O11-027</t>
  </si>
  <si>
    <t>D223O11-026</t>
  </si>
  <si>
    <t>D223O11-025</t>
  </si>
  <si>
    <t>D223O11-008</t>
  </si>
  <si>
    <t>D223O11-009</t>
  </si>
  <si>
    <t>09.10.23</t>
  </si>
  <si>
    <t>MH40BL4128</t>
  </si>
  <si>
    <t>MH40BL9620</t>
  </si>
  <si>
    <t>SO,NO-3683928 DT 11.10.23</t>
  </si>
  <si>
    <t>OS0020003091</t>
  </si>
  <si>
    <t>OS0020003089</t>
  </si>
  <si>
    <t>MH36F0882</t>
  </si>
  <si>
    <t>D223O11-023</t>
  </si>
  <si>
    <t>13.10.23</t>
  </si>
  <si>
    <t>Invoice qty -378.280</t>
  </si>
  <si>
    <t>Invoice pcs -240</t>
  </si>
  <si>
    <t>LOI-896 DT.28.09.23</t>
  </si>
  <si>
    <t>107833793/47527658</t>
  </si>
  <si>
    <t>RV1000077670</t>
  </si>
  <si>
    <t>14.10.23</t>
  </si>
  <si>
    <t>HT-210X160</t>
  </si>
  <si>
    <t>CG04JC6501</t>
  </si>
  <si>
    <t>MH40AK0420</t>
  </si>
  <si>
    <t>D223013-027</t>
  </si>
  <si>
    <t>D223013-016</t>
  </si>
  <si>
    <t>D223013-015</t>
  </si>
  <si>
    <t>D223013-010</t>
  </si>
  <si>
    <t>D223013-009</t>
  </si>
  <si>
    <t>D223013-020</t>
  </si>
  <si>
    <t>D223013-017</t>
  </si>
  <si>
    <t>D223013-024</t>
  </si>
  <si>
    <t>D223014-002</t>
  </si>
  <si>
    <t>D223014-001</t>
  </si>
  <si>
    <t>LOI-896 DT. 28.09.23</t>
  </si>
  <si>
    <t>107833793/47527722</t>
  </si>
  <si>
    <t>Invoice pcs -19</t>
  </si>
  <si>
    <t>Invoice qty -28.540</t>
  </si>
  <si>
    <t>RV1000077792</t>
  </si>
  <si>
    <t>D223015-014</t>
  </si>
  <si>
    <t>16.10.23</t>
  </si>
  <si>
    <t>MH46BB9785</t>
  </si>
  <si>
    <t>D223014-028</t>
  </si>
  <si>
    <t>MH40BG9682</t>
  </si>
  <si>
    <t>D223015-015</t>
  </si>
  <si>
    <t>D223015-016</t>
  </si>
  <si>
    <t>Invoice qty -62.920</t>
  </si>
  <si>
    <t>Invoice pcs -40</t>
  </si>
  <si>
    <t>107833793/42527661</t>
  </si>
  <si>
    <t>D223015-002</t>
  </si>
  <si>
    <t>D223015-003</t>
  </si>
  <si>
    <t>RV1000077672</t>
  </si>
  <si>
    <t>107833793/4759688</t>
  </si>
  <si>
    <t>RV100081193</t>
  </si>
  <si>
    <t>18.10.23</t>
  </si>
  <si>
    <t>20.10.23</t>
  </si>
  <si>
    <t>MH40AK6852</t>
  </si>
  <si>
    <t>BHUSHAN POWER &amp; STEEL ODISHA</t>
  </si>
  <si>
    <t>LOI-950 DT. 07.10.23</t>
  </si>
  <si>
    <t>714483441/17.10.23</t>
  </si>
  <si>
    <t>23OD2191512954</t>
  </si>
  <si>
    <t>17.10.23</t>
  </si>
  <si>
    <t>MD239102616</t>
  </si>
  <si>
    <t>23OD2191512953</t>
  </si>
  <si>
    <t>23OD2191512942</t>
  </si>
  <si>
    <t>CG04NY1478</t>
  </si>
  <si>
    <t>MD239102615</t>
  </si>
  <si>
    <t>23OD2191512943</t>
  </si>
  <si>
    <t>23OD2191512941</t>
  </si>
  <si>
    <t>23OD2191512950</t>
  </si>
  <si>
    <t>MD239102614</t>
  </si>
  <si>
    <t>CG04NY1480</t>
  </si>
  <si>
    <t>23OD2191512949</t>
  </si>
  <si>
    <t>23OD2191512890</t>
  </si>
  <si>
    <t>MD239102612</t>
  </si>
  <si>
    <t>23OD2191512889</t>
  </si>
  <si>
    <t>23OD2191513391</t>
  </si>
  <si>
    <t>MD239102619</t>
  </si>
  <si>
    <t>KA36C4104</t>
  </si>
  <si>
    <t>23OD2191513943</t>
  </si>
  <si>
    <t>19.10.23</t>
  </si>
  <si>
    <t>MD239102641</t>
  </si>
  <si>
    <t>21.10.23</t>
  </si>
  <si>
    <t>23OD2191513970</t>
  </si>
  <si>
    <t>MD239102642</t>
  </si>
  <si>
    <t>MH40CM7311</t>
  </si>
  <si>
    <t>23OD2191513573</t>
  </si>
  <si>
    <t>MD239102626</t>
  </si>
  <si>
    <t>MH40AK6957</t>
  </si>
  <si>
    <t>MD239102627</t>
  </si>
  <si>
    <t>MH40BG7911</t>
  </si>
  <si>
    <t>23OD2191513574</t>
  </si>
  <si>
    <t>23OD2191513575</t>
  </si>
  <si>
    <t>23OD2191514568</t>
  </si>
  <si>
    <t>MD239102653</t>
  </si>
  <si>
    <t>25.10.23</t>
  </si>
  <si>
    <t>22.10.23</t>
  </si>
  <si>
    <t>CG07CN5999</t>
  </si>
  <si>
    <t>23.10.23</t>
  </si>
  <si>
    <t>MD239102663</t>
  </si>
  <si>
    <t>MH06BW3284</t>
  </si>
  <si>
    <t>23OD2191514854</t>
  </si>
  <si>
    <t>23OD2191514853</t>
  </si>
  <si>
    <t>MD239102674</t>
  </si>
  <si>
    <t>MH40CM3711</t>
  </si>
  <si>
    <t>23OD2191515363</t>
  </si>
  <si>
    <t>23OD2191515364</t>
  </si>
  <si>
    <t>23OD2191516103</t>
  </si>
  <si>
    <t>MD239102710</t>
  </si>
  <si>
    <t>23OD2191516104</t>
  </si>
  <si>
    <t>23OD2191516105</t>
  </si>
  <si>
    <t>MD239102696</t>
  </si>
  <si>
    <t>NL01AG8625</t>
  </si>
  <si>
    <t>23OD2191515877</t>
  </si>
  <si>
    <t>23OD2191515876</t>
  </si>
  <si>
    <t>23OD2191515875</t>
  </si>
  <si>
    <t>23OD2191515878</t>
  </si>
  <si>
    <t>MD239102697</t>
  </si>
  <si>
    <t>NL01AG4217</t>
  </si>
  <si>
    <t>23OD2191515880</t>
  </si>
  <si>
    <t>23OD2191515881</t>
  </si>
  <si>
    <t>23OD2191515879</t>
  </si>
  <si>
    <t>MD239102688</t>
  </si>
  <si>
    <t>MH40BL9331</t>
  </si>
  <si>
    <t>23OD2191515696</t>
  </si>
  <si>
    <t>23OD2191515697</t>
  </si>
  <si>
    <t>MD239102687</t>
  </si>
  <si>
    <t>MH40BL5331</t>
  </si>
  <si>
    <t>23OD2191515693</t>
  </si>
  <si>
    <t>23OD2191515694</t>
  </si>
  <si>
    <t>23OD2191515695</t>
  </si>
  <si>
    <t>MD239102707</t>
  </si>
  <si>
    <t>NL01AG7911</t>
  </si>
  <si>
    <t>23OD2191516078</t>
  </si>
  <si>
    <t>23OD2191516077</t>
  </si>
  <si>
    <t>23OD2191516144</t>
  </si>
  <si>
    <t>MD239102712</t>
  </si>
  <si>
    <t>CG013AB8652</t>
  </si>
  <si>
    <t>23OD2191516143</t>
  </si>
  <si>
    <t>23OD2191516091</t>
  </si>
  <si>
    <t>MD239102708</t>
  </si>
  <si>
    <t>NL01AF9604</t>
  </si>
  <si>
    <t>23OD2191516092</t>
  </si>
  <si>
    <t>23OD2191516089</t>
  </si>
  <si>
    <t>23OD2191516378</t>
  </si>
  <si>
    <t>MD239102716</t>
  </si>
  <si>
    <t>CG04LC5508</t>
  </si>
  <si>
    <t>23OD2191516377</t>
  </si>
  <si>
    <t>23OD2191517011</t>
  </si>
  <si>
    <t>24.10.23</t>
  </si>
  <si>
    <t>MD239102732</t>
  </si>
  <si>
    <t>26.10.23</t>
  </si>
  <si>
    <t>CG08AM8677</t>
  </si>
  <si>
    <t>23OD2191517012</t>
  </si>
  <si>
    <t>23OD2191517010</t>
  </si>
  <si>
    <t>MD239102613</t>
  </si>
  <si>
    <t>NL01AF3582</t>
  </si>
  <si>
    <t>23OD2191512940</t>
  </si>
  <si>
    <t>23OD2191512939</t>
  </si>
  <si>
    <t>23OD2191515870</t>
  </si>
  <si>
    <t>MD239102695</t>
  </si>
  <si>
    <t>CG07CN5799</t>
  </si>
  <si>
    <t>23OD2191515872</t>
  </si>
  <si>
    <t>23OD2191515873</t>
  </si>
  <si>
    <t>23OD2191515871</t>
  </si>
  <si>
    <t>23OD2191515874</t>
  </si>
  <si>
    <t>23OD2191514483</t>
  </si>
  <si>
    <t>URL239101811</t>
  </si>
  <si>
    <t>CG07CL0232</t>
  </si>
  <si>
    <t>LOI-797 DT. 07.9.23</t>
  </si>
  <si>
    <t>607755774/62376191</t>
  </si>
  <si>
    <t>Invoice pcs -137</t>
  </si>
  <si>
    <t>MH40AK7977</t>
  </si>
  <si>
    <t>MH06AC7562</t>
  </si>
  <si>
    <t>MH46H1575</t>
  </si>
  <si>
    <t>MH31CQ5551</t>
  </si>
  <si>
    <t>MH40CM6579</t>
  </si>
  <si>
    <t>MH40BG5297</t>
  </si>
  <si>
    <t>Invoice qty -513.413</t>
  </si>
  <si>
    <t>RV600071655</t>
  </si>
  <si>
    <t>15.10.23</t>
  </si>
  <si>
    <t>D223022-011</t>
  </si>
  <si>
    <t>D223022-009</t>
  </si>
  <si>
    <t>D223022-012</t>
  </si>
  <si>
    <t>D223022-007</t>
  </si>
  <si>
    <t>D223022-022</t>
  </si>
  <si>
    <t>D223022-024</t>
  </si>
  <si>
    <t>D223022-021</t>
  </si>
  <si>
    <t>D223022-017</t>
  </si>
  <si>
    <t>D223022-014</t>
  </si>
  <si>
    <t>D223022-019</t>
  </si>
  <si>
    <t>D223022-016</t>
  </si>
  <si>
    <t>LOI-947 DT. 07.10.23</t>
  </si>
  <si>
    <t>607756797/62381675</t>
  </si>
  <si>
    <t>RV6000075842</t>
  </si>
  <si>
    <t>27.10.23</t>
  </si>
  <si>
    <t>RJ09GC3540</t>
  </si>
  <si>
    <t>RV6000075820</t>
  </si>
  <si>
    <t>RJ48GA2244</t>
  </si>
  <si>
    <t>RV6000075819</t>
  </si>
  <si>
    <t>RJ51GA7851</t>
  </si>
  <si>
    <t>RV6000075914</t>
  </si>
  <si>
    <t>MH40BL9511</t>
  </si>
  <si>
    <t>RV6000075899</t>
  </si>
  <si>
    <t>RJ36GA7988</t>
  </si>
  <si>
    <t>RV6000075818</t>
  </si>
  <si>
    <t>RJ48GB1129</t>
  </si>
  <si>
    <t>MD239102733</t>
  </si>
  <si>
    <t>OD19U9178</t>
  </si>
  <si>
    <t>23OD2191517014</t>
  </si>
  <si>
    <t>23OD2191517013</t>
  </si>
  <si>
    <t>RV6000076147</t>
  </si>
  <si>
    <t>28.10.23</t>
  </si>
  <si>
    <t>Invoice qty -780.607</t>
  </si>
  <si>
    <t>Invoice pcs -207</t>
  </si>
  <si>
    <t>LOI-946 DT. 04.10.23</t>
  </si>
  <si>
    <t>607756679/62376195</t>
  </si>
  <si>
    <t>RV6000076103</t>
  </si>
  <si>
    <t>RJ28GA5685</t>
  </si>
  <si>
    <t>RV6000075841</t>
  </si>
  <si>
    <t>CG07CM3195</t>
  </si>
  <si>
    <t>RV6000075903</t>
  </si>
  <si>
    <t>CG07AV4395</t>
  </si>
  <si>
    <t>RV6000075900</t>
  </si>
  <si>
    <t>CG07AW7577</t>
  </si>
  <si>
    <t>RV6000075904</t>
  </si>
  <si>
    <t>GJ05BV4811</t>
  </si>
  <si>
    <t>RV6000075967</t>
  </si>
  <si>
    <t>CG04DU7905</t>
  </si>
  <si>
    <t>607756677/62382197</t>
  </si>
  <si>
    <t>RV6000075927</t>
  </si>
  <si>
    <t>CG04JC8554</t>
  </si>
  <si>
    <t>RV6000076120</t>
  </si>
  <si>
    <t>RJ48GA0882</t>
  </si>
  <si>
    <t>RV6000076157</t>
  </si>
  <si>
    <t>MH46H6722</t>
  </si>
  <si>
    <t>RV6000075938</t>
  </si>
  <si>
    <t>GJ05AU8553</t>
  </si>
  <si>
    <t>RV6000075958</t>
  </si>
  <si>
    <t>RJ14GC5886</t>
  </si>
  <si>
    <t>RV6000076318</t>
  </si>
  <si>
    <t>29.10.23</t>
  </si>
  <si>
    <t>MH46BU0836</t>
  </si>
  <si>
    <t>RV6000076108</t>
  </si>
  <si>
    <t>GJ06BT4804</t>
  </si>
  <si>
    <t>RV6000076691</t>
  </si>
  <si>
    <t>CG04MR2658</t>
  </si>
  <si>
    <t>RV6000076516</t>
  </si>
  <si>
    <t>MH48T7292</t>
  </si>
  <si>
    <t>RV6000076068</t>
  </si>
  <si>
    <t>RV6000076717</t>
  </si>
  <si>
    <t>MH40BL6565</t>
  </si>
  <si>
    <t>RV6000076692</t>
  </si>
  <si>
    <t>CG04LF8711</t>
  </si>
  <si>
    <t>RV6000076148</t>
  </si>
  <si>
    <t>NL01AH0166</t>
  </si>
  <si>
    <t>RV6000076146</t>
  </si>
  <si>
    <t>MH12NX9539</t>
  </si>
  <si>
    <t>RV6000076104</t>
  </si>
  <si>
    <t>MH46BB7620</t>
  </si>
  <si>
    <t>RV6000076247</t>
  </si>
  <si>
    <t>MH04JK0317</t>
  </si>
  <si>
    <t>MH40AK3044</t>
  </si>
  <si>
    <t>MH40Y9744</t>
  </si>
  <si>
    <t>MH04GF3311</t>
  </si>
  <si>
    <t>D222026-040</t>
  </si>
  <si>
    <t>D222026-042</t>
  </si>
  <si>
    <t>D222026-038</t>
  </si>
  <si>
    <t>D222027-007</t>
  </si>
  <si>
    <t>D222027-031</t>
  </si>
  <si>
    <t>D222027-037</t>
  </si>
  <si>
    <t>CG07MB5501</t>
  </si>
  <si>
    <t>CG04JC8501</t>
  </si>
  <si>
    <t>MH43Y0168</t>
  </si>
  <si>
    <t>RV600071656</t>
  </si>
  <si>
    <t>D222027-029</t>
  </si>
  <si>
    <t>D222027-025</t>
  </si>
  <si>
    <t>D222027-054</t>
  </si>
  <si>
    <t>D222027-027</t>
  </si>
  <si>
    <t>D222027-024</t>
  </si>
  <si>
    <t>D222027-052</t>
  </si>
  <si>
    <t>D222027-053</t>
  </si>
  <si>
    <t>D222027-051</t>
  </si>
  <si>
    <t>D222028-073</t>
  </si>
  <si>
    <t>D222028-065</t>
  </si>
  <si>
    <t>D222028-070</t>
  </si>
  <si>
    <t>RV6000077135</t>
  </si>
  <si>
    <t>30.10.23</t>
  </si>
  <si>
    <t>MH46BB8409</t>
  </si>
  <si>
    <t>RV6000077134</t>
  </si>
  <si>
    <t>607756796/62383601</t>
  </si>
  <si>
    <t>RV6000077136</t>
  </si>
  <si>
    <t>MH46CL4141</t>
  </si>
  <si>
    <t>MH40CM9003</t>
  </si>
  <si>
    <t>MH04EB6156</t>
  </si>
  <si>
    <t>CG04JC9488</t>
  </si>
  <si>
    <t>D222028-075</t>
  </si>
  <si>
    <t>D222029-008</t>
  </si>
  <si>
    <t>D222029-058</t>
  </si>
  <si>
    <t>D222029-052</t>
  </si>
  <si>
    <t>D222029-051</t>
  </si>
  <si>
    <t>D222029-057</t>
  </si>
  <si>
    <t>RV6000075878</t>
  </si>
  <si>
    <t>31.10.23</t>
  </si>
  <si>
    <t>RJ51GA2223</t>
  </si>
  <si>
    <t>RV6000075901</t>
  </si>
  <si>
    <t>RJ48GB0023</t>
  </si>
  <si>
    <t>RV6000077408</t>
  </si>
  <si>
    <t>CG04MP7501</t>
  </si>
  <si>
    <t>607755952/62384152</t>
  </si>
  <si>
    <t>RV6000077409</t>
  </si>
  <si>
    <t>RV6000076287</t>
  </si>
  <si>
    <t>RJ51GB2223</t>
  </si>
  <si>
    <t>RV6000077401</t>
  </si>
  <si>
    <t>MH23AU1667</t>
  </si>
  <si>
    <t>RV6000077400</t>
  </si>
  <si>
    <t>RV6000077402</t>
  </si>
  <si>
    <t>MH23AU1574</t>
  </si>
  <si>
    <t>RV6000076765</t>
  </si>
  <si>
    <t>MH46BU0839</t>
  </si>
  <si>
    <t>RV6000076763</t>
  </si>
  <si>
    <t>RV6000076764</t>
  </si>
  <si>
    <t>D222029-062</t>
  </si>
  <si>
    <t>D222030-007</t>
  </si>
  <si>
    <t>D222029-060</t>
  </si>
  <si>
    <t>D222030-008</t>
  </si>
  <si>
    <t>MH46AC7562</t>
  </si>
  <si>
    <t>607755772/62384053</t>
  </si>
  <si>
    <t>607756679/62386243</t>
  </si>
  <si>
    <t>RV6000078932</t>
  </si>
  <si>
    <t>01.11.23</t>
  </si>
  <si>
    <t>03.11.23</t>
  </si>
  <si>
    <t>RJ48GA1895</t>
  </si>
  <si>
    <t>RV6000078931</t>
  </si>
  <si>
    <t>RV6000078930</t>
  </si>
  <si>
    <t>RV6000078899</t>
  </si>
  <si>
    <t>RJ48GB5257</t>
  </si>
  <si>
    <t>607756680/62385463</t>
  </si>
  <si>
    <t>BY Road      GR 60</t>
  </si>
  <si>
    <t>RV6000078897</t>
  </si>
  <si>
    <t>607756797/62381799</t>
  </si>
  <si>
    <t>RV6000075822</t>
  </si>
  <si>
    <r>
      <t xml:space="preserve">JSPL  ANGUL </t>
    </r>
    <r>
      <rPr>
        <b/>
        <sz val="10"/>
        <color rgb="FFFF0000"/>
        <rFont val="Calibri"/>
        <family val="2"/>
        <scheme val="minor"/>
      </rPr>
      <t>BY RAILWAY</t>
    </r>
  </si>
  <si>
    <t>Invoice qty -964.199</t>
  </si>
  <si>
    <t>Invoice pcs -454</t>
  </si>
  <si>
    <t>RV6000075823</t>
  </si>
  <si>
    <t>607756797/62381775</t>
  </si>
  <si>
    <t>607756679/62381780</t>
  </si>
  <si>
    <t>Invoice qty -743.326</t>
  </si>
  <si>
    <t>Invoice pcs -350</t>
  </si>
  <si>
    <t>RV6000075824</t>
  </si>
  <si>
    <t>Invoice qty -454.490</t>
  </si>
  <si>
    <t>Invoice pcs -214</t>
  </si>
  <si>
    <t>607756677/62381772</t>
  </si>
  <si>
    <t>RV6000075826</t>
  </si>
  <si>
    <t>Invoice qty -692.355</t>
  </si>
  <si>
    <t>Invoice pcs -326</t>
  </si>
  <si>
    <t>607756796/62381767</t>
  </si>
  <si>
    <t>RV6000075825</t>
  </si>
  <si>
    <t>D223N03-019</t>
  </si>
  <si>
    <t>D223N03-022</t>
  </si>
  <si>
    <t>D223N03-026</t>
  </si>
  <si>
    <t>D223N03-031</t>
  </si>
  <si>
    <t>D223N03-032</t>
  </si>
  <si>
    <t>D223N03-016</t>
  </si>
  <si>
    <t>D223N03-055</t>
  </si>
  <si>
    <t>D223N03-024</t>
  </si>
  <si>
    <t>D223N03-013</t>
  </si>
  <si>
    <t>D223N03-029</t>
  </si>
  <si>
    <t>D223N03-054</t>
  </si>
  <si>
    <t>D223N03-018</t>
  </si>
  <si>
    <t>04.11.23</t>
  </si>
  <si>
    <t>06.11.23</t>
  </si>
  <si>
    <t>MH361069</t>
  </si>
  <si>
    <t>MH40AK9685</t>
  </si>
  <si>
    <t>MH40AK4909</t>
  </si>
  <si>
    <t>MH31CQ9688</t>
  </si>
  <si>
    <t>D223N05-030</t>
  </si>
  <si>
    <t>D223N05-035</t>
  </si>
  <si>
    <t>D223N05-029</t>
  </si>
  <si>
    <t>D223N05-038</t>
  </si>
  <si>
    <t>D223N05-034</t>
  </si>
  <si>
    <t>D223N05-036</t>
  </si>
  <si>
    <t>607756680/62385173</t>
  </si>
  <si>
    <t>Invoice qty -382.956</t>
  </si>
  <si>
    <t>Invoice pcs -181</t>
  </si>
  <si>
    <t xml:space="preserve">  GR 60</t>
  </si>
  <si>
    <t>BY RAILWAY  GR 60</t>
  </si>
  <si>
    <t>RV6000078271</t>
  </si>
  <si>
    <t>07.11.23</t>
  </si>
  <si>
    <t>08.11.23</t>
  </si>
  <si>
    <t>MH40B6677</t>
  </si>
  <si>
    <t>MH40AK6501</t>
  </si>
  <si>
    <t>MH40BG4244</t>
  </si>
  <si>
    <t>CG04JC3501</t>
  </si>
  <si>
    <t>D223N07-004</t>
  </si>
  <si>
    <t>D223N07-019</t>
  </si>
  <si>
    <t>D223N07-042</t>
  </si>
  <si>
    <t>D223N07-047</t>
  </si>
  <si>
    <t>D223N07-016</t>
  </si>
  <si>
    <t>D223N07-007</t>
  </si>
  <si>
    <t>D223N07-029</t>
  </si>
  <si>
    <t>D223N07-039</t>
  </si>
  <si>
    <t>D223N07-043</t>
  </si>
  <si>
    <t>D223N07-045</t>
  </si>
  <si>
    <t>D223N07-046</t>
  </si>
  <si>
    <t>MH31Q1700</t>
  </si>
  <si>
    <t>MH40N2574</t>
  </si>
  <si>
    <t>MH40BG0450</t>
  </si>
  <si>
    <t>MH40AK5044</t>
  </si>
  <si>
    <t>MH40CD9075</t>
  </si>
  <si>
    <t>MH40BL6975</t>
  </si>
  <si>
    <t>D223N08-061</t>
  </si>
  <si>
    <t>D223N08-046</t>
  </si>
  <si>
    <t>D223N08-039</t>
  </si>
  <si>
    <t>D223N08-050</t>
  </si>
  <si>
    <t>D223N08-067</t>
  </si>
  <si>
    <t>D223N08-065</t>
  </si>
  <si>
    <t>D223N08-066</t>
  </si>
  <si>
    <t>D223N08-063</t>
  </si>
  <si>
    <t>D223N08-048</t>
  </si>
  <si>
    <t>D223N08-042</t>
  </si>
  <si>
    <t>D223N08-044</t>
  </si>
  <si>
    <t>D223N08-053</t>
  </si>
  <si>
    <t>D223N08-051</t>
  </si>
  <si>
    <t>09.11.23</t>
  </si>
  <si>
    <t>MH31CQ4803</t>
  </si>
  <si>
    <t>D223N09-007</t>
  </si>
  <si>
    <t>RV6000082037</t>
  </si>
  <si>
    <t>10.11.23</t>
  </si>
  <si>
    <t>RJ14GP4616</t>
  </si>
  <si>
    <t>RV6000082038</t>
  </si>
  <si>
    <t>11.11.23</t>
  </si>
  <si>
    <t>NL01AG9045</t>
  </si>
  <si>
    <t>D223N10-028</t>
  </si>
  <si>
    <t>Invoice qty -188.304</t>
  </si>
  <si>
    <t>Invoice pcs -89</t>
  </si>
  <si>
    <t>607756798/62385176</t>
  </si>
  <si>
    <t>RV6000078272</t>
  </si>
  <si>
    <t>D223N10-031</t>
  </si>
  <si>
    <t>D223N11-004</t>
  </si>
  <si>
    <t>D223N11-002</t>
  </si>
  <si>
    <t>D223N11-001</t>
  </si>
  <si>
    <t>D223N10-027</t>
  </si>
  <si>
    <t>MH31CB7539</t>
  </si>
  <si>
    <t>MH40N6318</t>
  </si>
  <si>
    <t>D223016-018</t>
  </si>
  <si>
    <t>17.11.23</t>
  </si>
  <si>
    <t>MH40AK9684</t>
  </si>
  <si>
    <t>D223N16-017</t>
  </si>
  <si>
    <t>D223N16-009</t>
  </si>
  <si>
    <t>D223N16-011</t>
  </si>
  <si>
    <t>D223N16-027</t>
  </si>
  <si>
    <t>D223N16-020</t>
  </si>
  <si>
    <t>D223N16-012</t>
  </si>
  <si>
    <t>D223N16-023</t>
  </si>
  <si>
    <t>D223N16-025</t>
  </si>
  <si>
    <t>D223N16-010</t>
  </si>
  <si>
    <t>D223N16-008</t>
  </si>
  <si>
    <t>D223N16-004</t>
  </si>
  <si>
    <t>D223N16-005</t>
  </si>
  <si>
    <t>D223N16-007</t>
  </si>
  <si>
    <r>
      <t xml:space="preserve">SAIL DSP  </t>
    </r>
    <r>
      <rPr>
        <b/>
        <sz val="10"/>
        <color rgb="FFFF0000"/>
        <rFont val="Calibri"/>
        <family val="2"/>
        <scheme val="minor"/>
      </rPr>
      <t>BY RAILWAY</t>
    </r>
  </si>
  <si>
    <t>RR NO.23111012319</t>
  </si>
  <si>
    <t>DT.13.11.23</t>
  </si>
  <si>
    <t>LOI-SAIL/NGP/158</t>
  </si>
  <si>
    <t>OS0022002630</t>
  </si>
  <si>
    <t>16.11.23</t>
  </si>
  <si>
    <t>OS0022002631</t>
  </si>
  <si>
    <t>EC-21100856212</t>
  </si>
  <si>
    <t>SEC-21141067332</t>
  </si>
  <si>
    <t>OS0022002632</t>
  </si>
  <si>
    <t>OS0022002633</t>
  </si>
  <si>
    <t>OS0022002634</t>
  </si>
  <si>
    <t>OS0022002635</t>
  </si>
  <si>
    <t>OS0022002636</t>
  </si>
  <si>
    <t>SEC-21140945945</t>
  </si>
  <si>
    <t>SEC-21141126213</t>
  </si>
  <si>
    <t>NC-21131126384</t>
  </si>
  <si>
    <t>EC-211100973209</t>
  </si>
  <si>
    <t>SE-23071860002</t>
  </si>
  <si>
    <t>OS0022002637</t>
  </si>
  <si>
    <t>OS0022002638</t>
  </si>
  <si>
    <t>OS0022002639</t>
  </si>
  <si>
    <t>SEC-2113180565</t>
  </si>
  <si>
    <t>SE-23071462591</t>
  </si>
  <si>
    <t>SE-23071463161</t>
  </si>
  <si>
    <t xml:space="preserve">6 pcs 12.5MT RECEIVED </t>
  </si>
  <si>
    <t>19.11.23</t>
  </si>
  <si>
    <t>MH31AB3221</t>
  </si>
  <si>
    <t>D223N18-006</t>
  </si>
  <si>
    <t>D223N18-009</t>
  </si>
  <si>
    <t>D223N18-013</t>
  </si>
  <si>
    <t>D223N18-016</t>
  </si>
  <si>
    <t>MH40AK0277</t>
  </si>
  <si>
    <t>D223N18-020</t>
  </si>
  <si>
    <t>D223N18-035</t>
  </si>
  <si>
    <t>D223N18-019</t>
  </si>
  <si>
    <t>D223N18-036</t>
  </si>
  <si>
    <t>21.11.23</t>
  </si>
  <si>
    <t>D223N20-021</t>
  </si>
  <si>
    <t>Invoice qty -11.150  Invoice pcs -6</t>
  </si>
  <si>
    <t>20.11.23</t>
  </si>
  <si>
    <t>D223N19-019</t>
  </si>
  <si>
    <t>D223N20-038</t>
  </si>
  <si>
    <t>D223N20-036</t>
  </si>
  <si>
    <t>D223N20-037</t>
  </si>
  <si>
    <t>D223N20-030</t>
  </si>
  <si>
    <t>D223N20-032</t>
  </si>
  <si>
    <t>D223N20-023</t>
  </si>
  <si>
    <t>D223N20-031</t>
  </si>
  <si>
    <t>D223N20-041</t>
  </si>
  <si>
    <t>D223N20-014</t>
  </si>
  <si>
    <t>D223N20-035</t>
  </si>
  <si>
    <t>D223N20-017</t>
  </si>
  <si>
    <t>D223N20-018</t>
  </si>
  <si>
    <t>D223N20-039</t>
  </si>
  <si>
    <t>D223N20-040</t>
  </si>
  <si>
    <t>D223N18-018</t>
  </si>
  <si>
    <t>MH40BL9690</t>
  </si>
  <si>
    <t>MH46AF8466</t>
  </si>
  <si>
    <t>MH40BL9680</t>
  </si>
  <si>
    <t>MH49AT7575</t>
  </si>
  <si>
    <t>D223N20-008</t>
  </si>
  <si>
    <t>D223N19-016</t>
  </si>
  <si>
    <t>D223N20-006</t>
  </si>
  <si>
    <t>D223N20-009</t>
  </si>
  <si>
    <t>D223N20-010</t>
  </si>
  <si>
    <t>D223N20-013</t>
  </si>
  <si>
    <t>D223N20-042</t>
  </si>
  <si>
    <t>CG04DN9113</t>
  </si>
  <si>
    <t>MH04D2031</t>
  </si>
  <si>
    <t>MH32Q1700</t>
  </si>
  <si>
    <t>22.11.23</t>
  </si>
  <si>
    <t>D223N21-025</t>
  </si>
  <si>
    <t>D223N21-007</t>
  </si>
  <si>
    <t>D223N21-006</t>
  </si>
  <si>
    <t>D223N21-005</t>
  </si>
  <si>
    <t>D223N21-004</t>
  </si>
  <si>
    <t>1pcs 02.5MT  RECV</t>
  </si>
  <si>
    <t>1103, 1106</t>
  </si>
  <si>
    <t>1107, 1108</t>
  </si>
  <si>
    <t>19/20.11.23</t>
  </si>
  <si>
    <t>1104, 1105</t>
  </si>
  <si>
    <t>1121, 1122</t>
  </si>
  <si>
    <t>1113, 1114</t>
  </si>
  <si>
    <t>1115, 1116</t>
  </si>
  <si>
    <t>1119, 1120</t>
  </si>
  <si>
    <t>1117, 1118</t>
  </si>
  <si>
    <t>1111, 1112</t>
  </si>
  <si>
    <t>1110, 1109</t>
  </si>
  <si>
    <t>OS0022002716</t>
  </si>
  <si>
    <t>CR21011810331</t>
  </si>
  <si>
    <t>NC21130863808</t>
  </si>
  <si>
    <t>RR NO.2311175747</t>
  </si>
  <si>
    <t>OS0022002685</t>
  </si>
  <si>
    <t>SEC-21141070943</t>
  </si>
  <si>
    <t>OS0022002684</t>
  </si>
  <si>
    <t>CR-21011810013</t>
  </si>
  <si>
    <t>OS0022002683</t>
  </si>
  <si>
    <t>OS0022002682</t>
  </si>
  <si>
    <t>OS0022002681</t>
  </si>
  <si>
    <t>OS0022002680</t>
  </si>
  <si>
    <t>OS0022002679</t>
  </si>
  <si>
    <t>OS0022002678</t>
  </si>
  <si>
    <t>OS0022002677</t>
  </si>
  <si>
    <t>SW-21071810027</t>
  </si>
  <si>
    <t>SE-23071463192</t>
  </si>
  <si>
    <t>NC-21131123346</t>
  </si>
  <si>
    <t>CR-21011910447</t>
  </si>
  <si>
    <t>SEC-21141076211</t>
  </si>
  <si>
    <t>SEC-21141129528</t>
  </si>
  <si>
    <t>SEC-21141072770</t>
  </si>
  <si>
    <t>1177, 1178</t>
  </si>
  <si>
    <t>24.11.23</t>
  </si>
  <si>
    <t>1189, 1190</t>
  </si>
  <si>
    <t>26.11.23</t>
  </si>
  <si>
    <t>1170, 1171</t>
  </si>
  <si>
    <t>1172, 1172</t>
  </si>
  <si>
    <t>1187, 1188</t>
  </si>
  <si>
    <t>25.11.23</t>
  </si>
  <si>
    <t>1174, 1175</t>
  </si>
  <si>
    <t>1180, 1179</t>
  </si>
  <si>
    <t>1161, 1169</t>
  </si>
  <si>
    <t>1185, 1186</t>
  </si>
  <si>
    <t>1182, 1176</t>
  </si>
  <si>
    <t>1184,  1183</t>
  </si>
  <si>
    <t>OS0022002717</t>
  </si>
  <si>
    <t>RR.NO.23111810793</t>
  </si>
  <si>
    <t>OS0022002789</t>
  </si>
  <si>
    <t>OS0022002790</t>
  </si>
  <si>
    <t>OS0022002791</t>
  </si>
  <si>
    <t>OS0022002792</t>
  </si>
  <si>
    <t>OS0022002793</t>
  </si>
  <si>
    <t>OS0022002794</t>
  </si>
  <si>
    <t>WR-21081910613</t>
  </si>
  <si>
    <t>NR-23031525496</t>
  </si>
  <si>
    <t>NC-21131118457</t>
  </si>
  <si>
    <t>CR-21011500037</t>
  </si>
  <si>
    <t>SC-21091910016</t>
  </si>
  <si>
    <t>SEC-19140326598</t>
  </si>
  <si>
    <t>LOI-1104 DT. 04.10.23</t>
  </si>
  <si>
    <t>RR.NO.23112209295</t>
  </si>
  <si>
    <t>HT-230X160</t>
  </si>
  <si>
    <t>OS0022002819</t>
  </si>
  <si>
    <t>28.11.23</t>
  </si>
  <si>
    <t>SEC19140319422</t>
  </si>
  <si>
    <t>OS0022002820</t>
  </si>
  <si>
    <t>OS0022002821</t>
  </si>
  <si>
    <t>WC-211600754497</t>
  </si>
  <si>
    <t>SEC-21141129641</t>
  </si>
  <si>
    <t>OS0022002854</t>
  </si>
  <si>
    <t>SEC-21140660404</t>
  </si>
  <si>
    <t>RR.NO.23112417733</t>
  </si>
  <si>
    <t>OS0022002855</t>
  </si>
  <si>
    <t>SEC-21140660350</t>
  </si>
  <si>
    <r>
      <t xml:space="preserve">SAIL IISCO  </t>
    </r>
    <r>
      <rPr>
        <b/>
        <sz val="10"/>
        <color rgb="FFFF0000"/>
        <rFont val="Calibri"/>
        <family val="2"/>
        <scheme val="minor"/>
      </rPr>
      <t>BY RAILWAY</t>
    </r>
  </si>
  <si>
    <t>RR.NO.262035146</t>
  </si>
  <si>
    <t>OS0022002836</t>
  </si>
  <si>
    <t>OS0022002837</t>
  </si>
  <si>
    <t>OS0022002838</t>
  </si>
  <si>
    <t>OS0022002839</t>
  </si>
  <si>
    <t>SR-21061516552</t>
  </si>
  <si>
    <t>ECR-21100856663</t>
  </si>
  <si>
    <t>SECR-21141075665</t>
  </si>
  <si>
    <t>SECR-19140452174</t>
  </si>
  <si>
    <t>1252, 1253</t>
  </si>
  <si>
    <t>03.12.23</t>
  </si>
  <si>
    <t>1198, 1197</t>
  </si>
  <si>
    <t>1251, 1254</t>
  </si>
  <si>
    <t>1255, 1256</t>
  </si>
  <si>
    <t>04.12.23</t>
  </si>
  <si>
    <t>1200, 1199</t>
  </si>
  <si>
    <t>1258, 1257</t>
  </si>
  <si>
    <t>07.12.23</t>
  </si>
  <si>
    <t>1265, 1266</t>
  </si>
  <si>
    <t>05.12.23</t>
  </si>
  <si>
    <t>1263, 1264</t>
  </si>
  <si>
    <t>1261, 1262</t>
  </si>
  <si>
    <t>1267, 1268</t>
  </si>
  <si>
    <t>1196, 1195</t>
  </si>
  <si>
    <t>1194, 1193</t>
  </si>
  <si>
    <t>01.12.23</t>
  </si>
  <si>
    <t>1192, 1191</t>
  </si>
  <si>
    <t>1260, 1259</t>
  </si>
  <si>
    <t>1269, 1270</t>
  </si>
  <si>
    <t>325, 326</t>
  </si>
  <si>
    <t>324, 327</t>
  </si>
  <si>
    <t>328, 329</t>
  </si>
  <si>
    <t>330, 331</t>
  </si>
  <si>
    <t>333, 334</t>
  </si>
  <si>
    <t>335, 336</t>
  </si>
  <si>
    <t>337, 338</t>
  </si>
  <si>
    <t>339, 340</t>
  </si>
  <si>
    <t>343, 344</t>
  </si>
  <si>
    <t>345, 346</t>
  </si>
  <si>
    <t>347, 348</t>
  </si>
  <si>
    <t>349, 350</t>
  </si>
  <si>
    <t>351, 353</t>
  </si>
  <si>
    <t>354, 355</t>
  </si>
  <si>
    <t>356, 357</t>
  </si>
  <si>
    <t>358, 359</t>
  </si>
  <si>
    <t>360, 361</t>
  </si>
  <si>
    <t>362, 363</t>
  </si>
  <si>
    <t>365, 366</t>
  </si>
  <si>
    <t>364, 367</t>
  </si>
  <si>
    <t>368, 369</t>
  </si>
  <si>
    <t>386, 387</t>
  </si>
  <si>
    <t>385, 384</t>
  </si>
  <si>
    <t>382, 381</t>
  </si>
  <si>
    <t>380, 379</t>
  </si>
  <si>
    <t>383, 378</t>
  </si>
  <si>
    <t>376, 377</t>
  </si>
  <si>
    <t>693, 694</t>
  </si>
  <si>
    <t>695, 696</t>
  </si>
  <si>
    <t>691, 692</t>
  </si>
  <si>
    <t>708, 707</t>
  </si>
  <si>
    <t>705, 706</t>
  </si>
  <si>
    <t>702, 701</t>
  </si>
  <si>
    <t>697, 698</t>
  </si>
  <si>
    <t>699, 700</t>
  </si>
  <si>
    <t>704, 703</t>
  </si>
  <si>
    <t>RR.NO.262035208</t>
  </si>
  <si>
    <t>OS0022002910</t>
  </si>
  <si>
    <t>OS0022002909</t>
  </si>
  <si>
    <t>OS0022002908</t>
  </si>
  <si>
    <t>OS0022002907</t>
  </si>
  <si>
    <t>OS0022002906</t>
  </si>
  <si>
    <t>OS0022002905</t>
  </si>
  <si>
    <t>OS0022002901</t>
  </si>
  <si>
    <t>OS0022002900</t>
  </si>
  <si>
    <t>30.11.23</t>
  </si>
  <si>
    <t>08.12.23</t>
  </si>
  <si>
    <t>09.12.23</t>
  </si>
  <si>
    <t>10.12.23</t>
  </si>
  <si>
    <t>11.12.23</t>
  </si>
  <si>
    <t>SECR-21141091795</t>
  </si>
  <si>
    <t>SR-21061810315</t>
  </si>
  <si>
    <t>SR-21061811442</t>
  </si>
  <si>
    <t>WCR-21161910014</t>
  </si>
  <si>
    <t>SECR-21141077140</t>
  </si>
  <si>
    <t>SWR-21151166902</t>
  </si>
  <si>
    <t>SECR-19140317312</t>
  </si>
  <si>
    <t>WR-21081910927</t>
  </si>
  <si>
    <t>LOI-1103 DT. 04.10.23</t>
  </si>
  <si>
    <t>12.12.23</t>
  </si>
  <si>
    <t>OS0022002904</t>
  </si>
  <si>
    <t>OS0022002903</t>
  </si>
  <si>
    <t>OS0022002902</t>
  </si>
  <si>
    <t>OS0022002899</t>
  </si>
  <si>
    <t>OS0022002898</t>
  </si>
  <si>
    <t>OS0022002897</t>
  </si>
  <si>
    <t>OS0022002896</t>
  </si>
  <si>
    <t>OS0022002895</t>
  </si>
  <si>
    <t>OS0022002894</t>
  </si>
  <si>
    <t>OS0022002893</t>
  </si>
  <si>
    <t>OS0022002892</t>
  </si>
  <si>
    <t>OS0022002891</t>
  </si>
  <si>
    <t>OS0022002890</t>
  </si>
  <si>
    <t>OS0022002889</t>
  </si>
  <si>
    <t>OS0022002888</t>
  </si>
  <si>
    <t>OS0022002887</t>
  </si>
  <si>
    <t>OS0022002886</t>
  </si>
  <si>
    <t>OS0022002885</t>
  </si>
  <si>
    <t>OS0022002884</t>
  </si>
  <si>
    <t>OS0022002883</t>
  </si>
  <si>
    <t>SECR-23141610044</t>
  </si>
  <si>
    <t>SECR-21141164703</t>
  </si>
  <si>
    <t>WCR-21160868194</t>
  </si>
  <si>
    <t>SECR-21141162341</t>
  </si>
  <si>
    <t>WCR-23161121063</t>
  </si>
  <si>
    <t>SECR-21141011748</t>
  </si>
  <si>
    <t>SECR-19140318685</t>
  </si>
  <si>
    <t>SECR-21141264304</t>
  </si>
  <si>
    <t>SECR-21140660770</t>
  </si>
  <si>
    <t>SECR-21141128323</t>
  </si>
  <si>
    <t>SCR-21091910085</t>
  </si>
  <si>
    <t>SECR-21141089105</t>
  </si>
  <si>
    <t>SCR-21091910450</t>
  </si>
  <si>
    <t>NWR-21110754140</t>
  </si>
  <si>
    <t>SECR-19140316636</t>
  </si>
  <si>
    <t>NWR-21110976153</t>
  </si>
  <si>
    <t>SECR-19140326215</t>
  </si>
  <si>
    <t>WCR-19160425158</t>
  </si>
  <si>
    <t>SECR-23071610466</t>
  </si>
  <si>
    <t>SECR-2114014664</t>
  </si>
  <si>
    <t>19.12.23</t>
  </si>
  <si>
    <t>OS0022003040</t>
  </si>
  <si>
    <t>OS0022003044</t>
  </si>
  <si>
    <t>OS0022003039</t>
  </si>
  <si>
    <t>OS0022003043</t>
  </si>
  <si>
    <t>OS0022003045</t>
  </si>
  <si>
    <t>OS0022003041</t>
  </si>
  <si>
    <t>OS0022003042</t>
  </si>
  <si>
    <t>OS0022003046</t>
  </si>
  <si>
    <t>OS0022003038</t>
  </si>
  <si>
    <t>SE21071810534</t>
  </si>
  <si>
    <t>SC-21101016189</t>
  </si>
  <si>
    <t>SEC-23141610082</t>
  </si>
  <si>
    <t>EC-21100856182</t>
  </si>
  <si>
    <t>NC2113118808</t>
  </si>
  <si>
    <t>SW-21150854015</t>
  </si>
  <si>
    <t>WC19160426636</t>
  </si>
  <si>
    <t>CR21011811812</t>
  </si>
  <si>
    <t>SEC21140660206</t>
  </si>
  <si>
    <t>16.12.23</t>
  </si>
  <si>
    <t>LOI-1290 DT. 13.12.23</t>
  </si>
  <si>
    <t>RR.NO.262050695 dt.17.12.23</t>
  </si>
  <si>
    <t>RR.NO.262050732 DT.19.12.23</t>
  </si>
  <si>
    <t>23.12.23</t>
  </si>
  <si>
    <t>22.12.23</t>
  </si>
  <si>
    <t>24.12.23</t>
  </si>
  <si>
    <t>NC21131123758</t>
  </si>
  <si>
    <t>SW21151166575</t>
  </si>
  <si>
    <t>SEC21141265431</t>
  </si>
  <si>
    <t>RR.NO.262035495 DT.21.12.23</t>
  </si>
  <si>
    <t>OS0022003144</t>
  </si>
  <si>
    <t>OS0022003145</t>
  </si>
  <si>
    <t>SECR21141233683</t>
  </si>
  <si>
    <t>SECR21141067714</t>
  </si>
  <si>
    <t>OS0022003146</t>
  </si>
  <si>
    <t>SECR21140945792</t>
  </si>
  <si>
    <t>OS0022003147</t>
  </si>
  <si>
    <t>SECR21140927774</t>
  </si>
  <si>
    <t>OS0022003148</t>
  </si>
  <si>
    <t>SWR21140660411</t>
  </si>
  <si>
    <t>OS0022003149</t>
  </si>
  <si>
    <t>ECOR21120890579</t>
  </si>
  <si>
    <t>OS0022003150</t>
  </si>
  <si>
    <t>ER21021811055</t>
  </si>
  <si>
    <t>OS0022003151</t>
  </si>
  <si>
    <t>NER21040710193</t>
  </si>
  <si>
    <t>OS0022003152</t>
  </si>
  <si>
    <t>SECR19140319286</t>
  </si>
  <si>
    <t>OS0022003153</t>
  </si>
  <si>
    <t>SECR19140451627</t>
  </si>
  <si>
    <t>OS0022003154</t>
  </si>
  <si>
    <t>NCR21131126421</t>
  </si>
  <si>
    <t>OS0022003155</t>
  </si>
  <si>
    <t>ECR21101073977</t>
  </si>
  <si>
    <t>OS0022003156</t>
  </si>
  <si>
    <t>ECOR23121563773</t>
  </si>
  <si>
    <t>RR.NO.262035469 DT.19.12.23</t>
  </si>
  <si>
    <t>OS0022003100</t>
  </si>
  <si>
    <t>20.12.23</t>
  </si>
  <si>
    <t>SECR2114099722</t>
  </si>
  <si>
    <t>OS0022003195</t>
  </si>
  <si>
    <t>26.12.23</t>
  </si>
  <si>
    <t>SWR21150641660</t>
  </si>
  <si>
    <t>OS0022003097</t>
  </si>
  <si>
    <t>OS0022003099</t>
  </si>
  <si>
    <t>OS0022003098</t>
  </si>
  <si>
    <t>RR.NO.262050783 DT.23.12.23</t>
  </si>
  <si>
    <t>OS0022003213</t>
  </si>
  <si>
    <t>OS0022003214</t>
  </si>
  <si>
    <t>NF21051810745</t>
  </si>
  <si>
    <t>SC21001810743</t>
  </si>
  <si>
    <t>OS0022003201</t>
  </si>
  <si>
    <t>OS0022003202</t>
  </si>
  <si>
    <t>OS0022003203</t>
  </si>
  <si>
    <t>OS0022003204</t>
  </si>
  <si>
    <t>OS0022003205</t>
  </si>
  <si>
    <t>OS0022003206</t>
  </si>
  <si>
    <t>OS0022003207</t>
  </si>
  <si>
    <t>OS0022003208</t>
  </si>
  <si>
    <t>OS0022003209</t>
  </si>
  <si>
    <t>OS0022003210</t>
  </si>
  <si>
    <t>OS0022003211</t>
  </si>
  <si>
    <t>OS0022003212</t>
  </si>
  <si>
    <t>SEC19140326352</t>
  </si>
  <si>
    <t>SC21091580868</t>
  </si>
  <si>
    <t>SEC19140318388</t>
  </si>
  <si>
    <t>ER21021810380</t>
  </si>
  <si>
    <t>SEC21141014954</t>
  </si>
  <si>
    <t>WR21081911122</t>
  </si>
  <si>
    <t>SEC21141128712</t>
  </si>
  <si>
    <t>NC21130967636</t>
  </si>
  <si>
    <t>SEC19140316728</t>
  </si>
  <si>
    <t>ECO21120941035</t>
  </si>
  <si>
    <t>NF21051811155</t>
  </si>
  <si>
    <t>CR210111810655</t>
  </si>
  <si>
    <t>RR.NO.262050679 DT.16.12.23</t>
  </si>
  <si>
    <t>OS0022003008</t>
  </si>
  <si>
    <t>SW21150645699</t>
  </si>
  <si>
    <t>LOI-1126 DT. 13.12.23</t>
  </si>
  <si>
    <t>RR.NO.262050609 DT.27.12.23</t>
  </si>
  <si>
    <t>OS0022003229</t>
  </si>
  <si>
    <t>OS0022003230</t>
  </si>
  <si>
    <t>OS0022003231</t>
  </si>
  <si>
    <t>OS0022003232</t>
  </si>
  <si>
    <t>OS0022003233</t>
  </si>
  <si>
    <t>OS0022003234</t>
  </si>
  <si>
    <t>OS0022003235</t>
  </si>
  <si>
    <t>OS0022003236</t>
  </si>
  <si>
    <t>OS0022003237</t>
  </si>
  <si>
    <t>OS0022003238</t>
  </si>
  <si>
    <t>OS0022003239</t>
  </si>
  <si>
    <t>OS0022003240</t>
  </si>
  <si>
    <t>ECR211100974817</t>
  </si>
  <si>
    <t>ECR21061516255</t>
  </si>
  <si>
    <t>SECR-21141069190</t>
  </si>
  <si>
    <t>WCR21160767893</t>
  </si>
  <si>
    <t>SER21071910586</t>
  </si>
  <si>
    <t>NCR21130864379</t>
  </si>
  <si>
    <t>SECR21141071100</t>
  </si>
  <si>
    <t>ECOR21121080726</t>
  </si>
  <si>
    <t>SECR19140326666</t>
  </si>
  <si>
    <t>SECR211141067837</t>
  </si>
  <si>
    <t>SECR19140316353</t>
  </si>
  <si>
    <t>ECOR21120957326</t>
  </si>
  <si>
    <t>31.12.23</t>
  </si>
  <si>
    <t>30.12.23</t>
  </si>
  <si>
    <t>29.12.23</t>
  </si>
  <si>
    <t>18.12.23</t>
  </si>
</sst>
</file>

<file path=xl/styles.xml><?xml version="1.0" encoding="utf-8"?>
<styleSheet xmlns="http://schemas.openxmlformats.org/spreadsheetml/2006/main">
  <numFmts count="4">
    <numFmt numFmtId="164" formatCode="[$-409]d\-mmm\-yy;@"/>
    <numFmt numFmtId="165" formatCode="0.000"/>
    <numFmt numFmtId="166" formatCode="mm/dd/yy;@"/>
    <numFmt numFmtId="167" formatCode="0_);[Red]\(0\)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Rockwell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1" fillId="0" borderId="0"/>
  </cellStyleXfs>
  <cellXfs count="195">
    <xf numFmtId="0" fontId="0" fillId="0" borderId="0" xfId="0"/>
    <xf numFmtId="0" fontId="4" fillId="0" borderId="1" xfId="0" applyFont="1" applyFill="1" applyBorder="1"/>
    <xf numFmtId="1" fontId="4" fillId="3" borderId="1" xfId="0" applyNumberFormat="1" applyFont="1" applyFill="1" applyBorder="1" applyAlignment="1">
      <alignment horizontal="left"/>
    </xf>
    <xf numFmtId="166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166" fontId="4" fillId="3" borderId="1" xfId="0" applyNumberFormat="1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1" fontId="4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/>
    <xf numFmtId="1" fontId="4" fillId="2" borderId="1" xfId="0" applyNumberFormat="1" applyFont="1" applyFill="1" applyBorder="1"/>
    <xf numFmtId="0" fontId="4" fillId="4" borderId="1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/>
    <xf numFmtId="165" fontId="2" fillId="3" borderId="1" xfId="0" applyNumberFormat="1" applyFont="1" applyFill="1" applyBorder="1"/>
    <xf numFmtId="1" fontId="2" fillId="3" borderId="1" xfId="0" applyNumberFormat="1" applyFont="1" applyFill="1" applyBorder="1"/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/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5" fontId="0" fillId="2" borderId="0" xfId="0" applyNumberFormat="1" applyFont="1" applyFill="1"/>
    <xf numFmtId="0" fontId="0" fillId="2" borderId="0" xfId="0" applyFont="1" applyFill="1"/>
    <xf numFmtId="1" fontId="7" fillId="3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/>
    <xf numFmtId="165" fontId="4" fillId="3" borderId="1" xfId="0" applyNumberFormat="1" applyFont="1" applyFill="1" applyBorder="1"/>
    <xf numFmtId="1" fontId="4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4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165" fontId="0" fillId="0" borderId="0" xfId="0" applyNumberFormat="1" applyFont="1" applyFill="1"/>
    <xf numFmtId="0" fontId="0" fillId="0" borderId="0" xfId="0" applyFont="1" applyFill="1"/>
    <xf numFmtId="165" fontId="7" fillId="0" borderId="0" xfId="0" applyNumberFormat="1" applyFont="1"/>
    <xf numFmtId="1" fontId="4" fillId="0" borderId="1" xfId="0" applyNumberFormat="1" applyFont="1" applyFill="1" applyBorder="1"/>
    <xf numFmtId="166" fontId="4" fillId="0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9" fillId="0" borderId="1" xfId="0" applyFont="1" applyFill="1" applyBorder="1"/>
    <xf numFmtId="0" fontId="4" fillId="2" borderId="1" xfId="0" applyFont="1" applyFill="1" applyBorder="1" applyAlignment="1">
      <alignment vertical="center"/>
    </xf>
    <xf numFmtId="166" fontId="4" fillId="2" borderId="1" xfId="0" applyNumberFormat="1" applyFont="1" applyFill="1" applyBorder="1" applyAlignment="1">
      <alignment vertical="center"/>
    </xf>
    <xf numFmtId="1" fontId="2" fillId="3" borderId="4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" fontId="4" fillId="8" borderId="1" xfId="0" applyNumberFormat="1" applyFont="1" applyFill="1" applyBorder="1" applyAlignment="1">
      <alignment horizontal="left"/>
    </xf>
    <xf numFmtId="2" fontId="2" fillId="3" borderId="1" xfId="0" applyNumberFormat="1" applyFont="1" applyFill="1" applyBorder="1"/>
    <xf numFmtId="0" fontId="2" fillId="6" borderId="1" xfId="0" applyFont="1" applyFill="1" applyBorder="1" applyAlignment="1">
      <alignment vertical="center" wrapText="1"/>
    </xf>
    <xf numFmtId="0" fontId="4" fillId="9" borderId="1" xfId="0" applyFont="1" applyFill="1" applyBorder="1"/>
    <xf numFmtId="165" fontId="2" fillId="10" borderId="1" xfId="0" applyNumberFormat="1" applyFont="1" applyFill="1" applyBorder="1"/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left"/>
    </xf>
    <xf numFmtId="0" fontId="1" fillId="0" borderId="1" xfId="0" applyFont="1" applyFill="1" applyBorder="1"/>
    <xf numFmtId="0" fontId="1" fillId="2" borderId="1" xfId="0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165" fontId="0" fillId="0" borderId="0" xfId="0" applyNumberFormat="1" applyFont="1"/>
    <xf numFmtId="165" fontId="1" fillId="2" borderId="1" xfId="0" applyNumberFormat="1" applyFont="1" applyFill="1" applyBorder="1" applyAlignment="1">
      <alignment horizontal="left"/>
    </xf>
    <xf numFmtId="0" fontId="10" fillId="3" borderId="1" xfId="0" applyFont="1" applyFill="1" applyBorder="1"/>
    <xf numFmtId="1" fontId="1" fillId="8" borderId="1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165" fontId="2" fillId="11" borderId="1" xfId="0" applyNumberFormat="1" applyFont="1" applyFill="1" applyBorder="1"/>
    <xf numFmtId="3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165" fontId="1" fillId="2" borderId="1" xfId="0" applyNumberFormat="1" applyFont="1" applyFill="1" applyBorder="1"/>
    <xf numFmtId="0" fontId="2" fillId="0" borderId="1" xfId="0" applyFont="1" applyFill="1" applyBorder="1"/>
    <xf numFmtId="1" fontId="9" fillId="2" borderId="1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165" fontId="10" fillId="2" borderId="1" xfId="0" applyNumberFormat="1" applyFont="1" applyFill="1" applyBorder="1"/>
    <xf numFmtId="0" fontId="10" fillId="2" borderId="1" xfId="0" applyFont="1" applyFill="1" applyBorder="1"/>
    <xf numFmtId="0" fontId="9" fillId="3" borderId="1" xfId="0" applyFont="1" applyFill="1" applyBorder="1"/>
    <xf numFmtId="2" fontId="2" fillId="4" borderId="1" xfId="0" applyNumberFormat="1" applyFont="1" applyFill="1" applyBorder="1" applyAlignment="1">
      <alignment horizontal="right" vertical="center"/>
    </xf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6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/>
    </xf>
    <xf numFmtId="1" fontId="1" fillId="3" borderId="1" xfId="0" applyNumberFormat="1" applyFont="1" applyFill="1" applyBorder="1"/>
    <xf numFmtId="165" fontId="1" fillId="12" borderId="1" xfId="0" applyNumberFormat="1" applyFont="1" applyFill="1" applyBorder="1"/>
    <xf numFmtId="165" fontId="10" fillId="12" borderId="1" xfId="0" applyNumberFormat="1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 wrapText="1"/>
    </xf>
    <xf numFmtId="1" fontId="9" fillId="2" borderId="1" xfId="0" applyNumberFormat="1" applyFont="1" applyFill="1" applyBorder="1" applyAlignment="1">
      <alignment horizontal="left" wrapText="1"/>
    </xf>
    <xf numFmtId="165" fontId="4" fillId="2" borderId="1" xfId="0" applyNumberFormat="1" applyFont="1" applyFill="1" applyBorder="1" applyAlignment="1">
      <alignment wrapText="1"/>
    </xf>
    <xf numFmtId="0" fontId="0" fillId="2" borderId="0" xfId="0" applyFont="1" applyFill="1" applyBorder="1" applyAlignment="1">
      <alignment horizontal="center"/>
    </xf>
    <xf numFmtId="0" fontId="1" fillId="2" borderId="1" xfId="6" applyFont="1" applyFill="1" applyBorder="1"/>
    <xf numFmtId="165" fontId="4" fillId="10" borderId="1" xfId="0" applyNumberFormat="1" applyFont="1" applyFill="1" applyBorder="1"/>
    <xf numFmtId="165" fontId="1" fillId="3" borderId="1" xfId="0" applyNumberFormat="1" applyFont="1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9" fillId="2" borderId="1" xfId="0" applyFont="1" applyFill="1" applyBorder="1"/>
    <xf numFmtId="1" fontId="1" fillId="11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165" fontId="1" fillId="10" borderId="1" xfId="0" applyNumberFormat="1" applyFont="1" applyFill="1" applyBorder="1"/>
    <xf numFmtId="1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/>
    <xf numFmtId="1" fontId="4" fillId="10" borderId="1" xfId="0" applyNumberFormat="1" applyFont="1" applyFill="1" applyBorder="1" applyAlignment="1">
      <alignment horizontal="center"/>
    </xf>
    <xf numFmtId="0" fontId="10" fillId="10" borderId="1" xfId="6" applyFont="1" applyFill="1" applyBorder="1"/>
    <xf numFmtId="1" fontId="1" fillId="10" borderId="1" xfId="0" applyNumberFormat="1" applyFont="1" applyFill="1" applyBorder="1" applyAlignment="1">
      <alignment horizontal="left"/>
    </xf>
    <xf numFmtId="0" fontId="1" fillId="11" borderId="1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165" fontId="1" fillId="11" borderId="1" xfId="0" applyNumberFormat="1" applyFont="1" applyFill="1" applyBorder="1"/>
    <xf numFmtId="0" fontId="12" fillId="0" borderId="1" xfId="0" applyFont="1" applyBorder="1" applyAlignment="1">
      <alignment horizontal="center" vertical="center"/>
    </xf>
    <xf numFmtId="165" fontId="0" fillId="0" borderId="1" xfId="7" applyNumberFormat="1" applyFont="1" applyBorder="1" applyAlignment="1">
      <alignment horizontal="center" vertical="center"/>
    </xf>
    <xf numFmtId="165" fontId="1" fillId="13" borderId="1" xfId="0" applyNumberFormat="1" applyFont="1" applyFill="1" applyBorder="1"/>
    <xf numFmtId="165" fontId="1" fillId="14" borderId="1" xfId="0" applyNumberFormat="1" applyFont="1" applyFill="1" applyBorder="1"/>
    <xf numFmtId="165" fontId="2" fillId="15" borderId="1" xfId="0" applyNumberFormat="1" applyFont="1" applyFill="1" applyBorder="1"/>
    <xf numFmtId="0" fontId="1" fillId="3" borderId="1" xfId="0" applyFont="1" applyFill="1" applyBorder="1"/>
    <xf numFmtId="166" fontId="1" fillId="3" borderId="1" xfId="0" applyNumberFormat="1" applyFont="1" applyFill="1" applyBorder="1" applyAlignment="1">
      <alignment horizontal="left"/>
    </xf>
    <xf numFmtId="0" fontId="1" fillId="3" borderId="1" xfId="6" applyFont="1" applyFill="1" applyBorder="1"/>
    <xf numFmtId="1" fontId="1" fillId="3" borderId="1" xfId="0" applyNumberFormat="1" applyFont="1" applyFill="1" applyBorder="1" applyAlignment="1">
      <alignment horizontal="center" vertical="center"/>
    </xf>
    <xf numFmtId="3" fontId="1" fillId="2" borderId="1" xfId="6" applyNumberFormat="1" applyFont="1" applyFill="1" applyBorder="1"/>
    <xf numFmtId="0" fontId="0" fillId="2" borderId="0" xfId="0" applyFont="1" applyFill="1" applyBorder="1" applyAlignment="1">
      <alignment horizontal="center"/>
    </xf>
    <xf numFmtId="165" fontId="9" fillId="10" borderId="1" xfId="0" applyNumberFormat="1" applyFont="1" applyFill="1" applyBorder="1"/>
    <xf numFmtId="1" fontId="13" fillId="2" borderId="1" xfId="0" applyNumberFormat="1" applyFont="1" applyFill="1" applyBorder="1" applyAlignment="1">
      <alignment horizontal="left"/>
    </xf>
    <xf numFmtId="0" fontId="13" fillId="0" borderId="1" xfId="0" applyFont="1" applyFill="1" applyBorder="1"/>
    <xf numFmtId="0" fontId="13" fillId="2" borderId="1" xfId="0" applyFont="1" applyFill="1" applyBorder="1"/>
    <xf numFmtId="0" fontId="14" fillId="0" borderId="1" xfId="0" applyFont="1" applyFill="1" applyBorder="1"/>
    <xf numFmtId="0" fontId="14" fillId="2" borderId="1" xfId="0" applyFont="1" applyFill="1" applyBorder="1"/>
    <xf numFmtId="1" fontId="14" fillId="2" borderId="1" xfId="0" applyNumberFormat="1" applyFont="1" applyFill="1" applyBorder="1" applyAlignment="1">
      <alignment horizontal="left"/>
    </xf>
    <xf numFmtId="0" fontId="15" fillId="0" borderId="1" xfId="0" applyFont="1" applyFill="1" applyBorder="1"/>
    <xf numFmtId="0" fontId="15" fillId="2" borderId="1" xfId="0" applyFont="1" applyFill="1" applyBorder="1"/>
    <xf numFmtId="1" fontId="1" fillId="2" borderId="1" xfId="0" applyNumberFormat="1" applyFont="1" applyFill="1" applyBorder="1"/>
    <xf numFmtId="166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6" fillId="0" borderId="1" xfId="0" applyNumberFormat="1" applyFont="1" applyFill="1" applyBorder="1" applyAlignment="1">
      <alignment horizontal="right"/>
    </xf>
    <xf numFmtId="165" fontId="14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165" fontId="15" fillId="0" borderId="1" xfId="0" applyNumberFormat="1" applyFont="1" applyFill="1" applyBorder="1"/>
    <xf numFmtId="165" fontId="13" fillId="2" borderId="1" xfId="0" applyNumberFormat="1" applyFont="1" applyFill="1" applyBorder="1"/>
    <xf numFmtId="165" fontId="15" fillId="0" borderId="1" xfId="0" applyNumberFormat="1" applyFont="1" applyFill="1" applyBorder="1" applyAlignment="1">
      <alignment horizontal="right"/>
    </xf>
    <xf numFmtId="165" fontId="13" fillId="2" borderId="1" xfId="0" applyNumberFormat="1" applyFont="1" applyFill="1" applyBorder="1" applyAlignment="1">
      <alignment horizontal="right"/>
    </xf>
    <xf numFmtId="0" fontId="13" fillId="2" borderId="1" xfId="0" applyFont="1" applyFill="1" applyBorder="1" applyAlignment="1">
      <alignment horizontal="left"/>
    </xf>
    <xf numFmtId="165" fontId="15" fillId="0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0" fontId="13" fillId="2" borderId="1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</cellXfs>
  <cellStyles count="8">
    <cellStyle name="Normal" xfId="0" builtinId="0"/>
    <cellStyle name="Normal 12" xfId="1"/>
    <cellStyle name="Normal 13" xfId="2"/>
    <cellStyle name="Normal 15" xfId="3"/>
    <cellStyle name="Normal 17" xfId="4"/>
    <cellStyle name="Normal 2 2" xfId="6"/>
    <cellStyle name="Normal 20" xfId="7"/>
    <cellStyle name="Normal 3" xfId="5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67"/>
  <sheetViews>
    <sheetView showZeros="0" zoomScale="85" zoomScaleNormal="85" workbookViewId="0">
      <pane xSplit="14" ySplit="2" topLeftCell="O36" activePane="bottomRight" state="frozen"/>
      <selection pane="topRight" activeCell="O1" sqref="O1"/>
      <selection pane="bottomLeft" activeCell="A3" sqref="A3"/>
      <selection pane="bottomRight" activeCell="Q3" sqref="Q3"/>
    </sheetView>
  </sheetViews>
  <sheetFormatPr defaultRowHeight="15"/>
  <cols>
    <col min="1" max="1" width="2" style="38" customWidth="1"/>
    <col min="2" max="2" width="28.85546875" style="38" bestFit="1" customWidth="1"/>
    <col min="3" max="3" width="16.5703125" style="38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8.140625" style="62" customWidth="1"/>
    <col min="9" max="9" width="13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3.57031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 t="e">
        <f>#REF!</f>
        <v>#REF!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84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86" t="s">
        <v>70</v>
      </c>
      <c r="C3" s="1" t="s">
        <v>71</v>
      </c>
      <c r="D3" s="4"/>
      <c r="E3" s="1" t="s">
        <v>35</v>
      </c>
      <c r="F3" s="13">
        <v>34.1</v>
      </c>
      <c r="G3" s="14">
        <f t="shared" ref="G3:G54" si="0">+F3*1000</f>
        <v>34100</v>
      </c>
      <c r="H3" s="49">
        <v>16</v>
      </c>
      <c r="I3" s="12" t="s">
        <v>80</v>
      </c>
      <c r="J3" s="3" t="s">
        <v>72</v>
      </c>
      <c r="K3" s="4" t="s">
        <v>81</v>
      </c>
      <c r="L3" s="4"/>
      <c r="M3" s="3" t="s">
        <v>73</v>
      </c>
      <c r="N3" s="4" t="s">
        <v>40</v>
      </c>
      <c r="O3" s="4"/>
      <c r="P3" s="4"/>
      <c r="Q3" s="5">
        <v>54610</v>
      </c>
      <c r="R3" s="36"/>
      <c r="S3" s="36"/>
      <c r="T3" s="37"/>
      <c r="U3" s="5">
        <f t="shared" ref="U3:U50" si="1">S3+R3+Q3-T3</f>
        <v>54610</v>
      </c>
      <c r="V3" s="5">
        <f t="shared" ref="V3:V50" si="2">F3*U3</f>
        <v>1862201</v>
      </c>
      <c r="W3" s="5">
        <f>V3*18%</f>
        <v>335196.18</v>
      </c>
      <c r="X3" s="5"/>
      <c r="Y3" s="5"/>
      <c r="Z3" s="43"/>
      <c r="AA3" s="23">
        <f t="shared" ref="AA3:AA50" si="3">F3*Z3</f>
        <v>0</v>
      </c>
      <c r="AB3" s="43"/>
      <c r="AC3" s="43"/>
      <c r="AD3" s="46"/>
      <c r="AE3" s="5">
        <f t="shared" ref="AE3:AE50" si="4">+AB3+AA3+Y3+X3+W3+V3-AC3+AD3</f>
        <v>2197397.1800000002</v>
      </c>
      <c r="AF3" s="47" t="s">
        <v>166</v>
      </c>
      <c r="AG3" s="44" t="s">
        <v>161</v>
      </c>
      <c r="AH3" s="13">
        <v>34.1</v>
      </c>
      <c r="AI3" s="12"/>
      <c r="AJ3" s="40"/>
      <c r="AK3" s="40"/>
    </row>
    <row r="4" spans="2:41" s="41" customFormat="1" ht="16.149999999999999" customHeight="1">
      <c r="B4" s="1" t="s">
        <v>39</v>
      </c>
      <c r="C4" s="4" t="s">
        <v>74</v>
      </c>
      <c r="D4" s="4"/>
      <c r="E4" s="1" t="s">
        <v>35</v>
      </c>
      <c r="F4" s="13">
        <v>14.86</v>
      </c>
      <c r="G4" s="14">
        <f t="shared" si="0"/>
        <v>14860</v>
      </c>
      <c r="H4" s="49">
        <v>7</v>
      </c>
      <c r="I4" s="12" t="s">
        <v>80</v>
      </c>
      <c r="J4" s="3" t="s">
        <v>72</v>
      </c>
      <c r="K4" s="4" t="s">
        <v>77</v>
      </c>
      <c r="L4" s="4"/>
      <c r="M4" s="3" t="s">
        <v>73</v>
      </c>
      <c r="N4" s="4" t="s">
        <v>78</v>
      </c>
      <c r="O4" s="4"/>
      <c r="P4" s="4"/>
      <c r="Q4" s="5">
        <v>54610</v>
      </c>
      <c r="R4" s="36"/>
      <c r="S4" s="36"/>
      <c r="T4" s="37"/>
      <c r="U4" s="5">
        <f t="shared" si="1"/>
        <v>54610</v>
      </c>
      <c r="V4" s="5">
        <f t="shared" si="2"/>
        <v>811504.6</v>
      </c>
      <c r="W4" s="5">
        <f>V4*18%</f>
        <v>146070.82799999998</v>
      </c>
      <c r="X4" s="5"/>
      <c r="Y4" s="5"/>
      <c r="Z4" s="43"/>
      <c r="AA4" s="23">
        <f t="shared" si="3"/>
        <v>0</v>
      </c>
      <c r="AB4" s="43"/>
      <c r="AC4" s="43"/>
      <c r="AD4" s="46"/>
      <c r="AE4" s="5">
        <f t="shared" si="4"/>
        <v>957575.42799999996</v>
      </c>
      <c r="AF4" s="47" t="s">
        <v>167</v>
      </c>
      <c r="AG4" s="44" t="s">
        <v>161</v>
      </c>
      <c r="AH4" s="13">
        <v>14.86</v>
      </c>
      <c r="AI4" s="12"/>
      <c r="AJ4" s="40"/>
      <c r="AK4" s="40"/>
    </row>
    <row r="5" spans="2:41" s="41" customFormat="1" ht="16.149999999999999" customHeight="1">
      <c r="B5" s="70" t="s">
        <v>75</v>
      </c>
      <c r="C5" s="70" t="s">
        <v>55</v>
      </c>
      <c r="D5" s="4"/>
      <c r="E5" s="1" t="s">
        <v>35</v>
      </c>
      <c r="F5" s="13">
        <v>31.93</v>
      </c>
      <c r="G5" s="14">
        <f t="shared" si="0"/>
        <v>31930</v>
      </c>
      <c r="H5" s="49">
        <v>15</v>
      </c>
      <c r="I5" s="12" t="s">
        <v>80</v>
      </c>
      <c r="J5" s="3" t="s">
        <v>72</v>
      </c>
      <c r="K5" s="4" t="s">
        <v>82</v>
      </c>
      <c r="L5" s="4"/>
      <c r="M5" s="3" t="s">
        <v>73</v>
      </c>
      <c r="N5" s="4" t="s">
        <v>63</v>
      </c>
      <c r="O5" s="4"/>
      <c r="P5" s="4"/>
      <c r="Q5" s="5">
        <v>54610</v>
      </c>
      <c r="R5" s="36"/>
      <c r="S5" s="36"/>
      <c r="T5" s="37"/>
      <c r="U5" s="5">
        <f t="shared" si="1"/>
        <v>54610</v>
      </c>
      <c r="V5" s="5">
        <f t="shared" si="2"/>
        <v>1743697.3</v>
      </c>
      <c r="W5" s="5">
        <f t="shared" ref="W5:W50" si="5">V5*18%</f>
        <v>313865.51400000002</v>
      </c>
      <c r="X5" s="5"/>
      <c r="Y5" s="5"/>
      <c r="Z5" s="43"/>
      <c r="AA5" s="23">
        <f t="shared" si="3"/>
        <v>0</v>
      </c>
      <c r="AB5" s="43"/>
      <c r="AC5" s="43"/>
      <c r="AD5" s="46"/>
      <c r="AE5" s="5">
        <f t="shared" si="4"/>
        <v>2057562.814</v>
      </c>
      <c r="AF5" s="47" t="s">
        <v>168</v>
      </c>
      <c r="AG5" s="44" t="s">
        <v>161</v>
      </c>
      <c r="AH5" s="13">
        <v>31.93</v>
      </c>
      <c r="AI5" s="12"/>
      <c r="AJ5" s="40"/>
      <c r="AK5" s="40"/>
    </row>
    <row r="6" spans="2:41" s="41" customFormat="1" ht="16.149999999999999" customHeight="1">
      <c r="B6" s="12" t="s">
        <v>154</v>
      </c>
      <c r="C6" s="1"/>
      <c r="D6" s="4"/>
      <c r="E6" s="1" t="s">
        <v>35</v>
      </c>
      <c r="F6" s="13">
        <v>31.75</v>
      </c>
      <c r="G6" s="14">
        <f t="shared" si="0"/>
        <v>31750</v>
      </c>
      <c r="H6" s="49">
        <v>15</v>
      </c>
      <c r="I6" s="12" t="s">
        <v>80</v>
      </c>
      <c r="J6" s="3" t="s">
        <v>72</v>
      </c>
      <c r="K6" s="4" t="s">
        <v>84</v>
      </c>
      <c r="L6" s="4"/>
      <c r="M6" s="3" t="s">
        <v>73</v>
      </c>
      <c r="N6" s="4" t="s">
        <v>41</v>
      </c>
      <c r="O6" s="4"/>
      <c r="P6" s="4"/>
      <c r="Q6" s="5">
        <v>54610</v>
      </c>
      <c r="R6" s="36"/>
      <c r="S6" s="36"/>
      <c r="T6" s="37"/>
      <c r="U6" s="5">
        <f t="shared" si="1"/>
        <v>54610</v>
      </c>
      <c r="V6" s="5">
        <f t="shared" si="2"/>
        <v>1733867.5</v>
      </c>
      <c r="W6" s="5">
        <f t="shared" si="5"/>
        <v>312096.14999999997</v>
      </c>
      <c r="X6" s="5"/>
      <c r="Y6" s="5"/>
      <c r="Z6" s="43"/>
      <c r="AA6" s="23">
        <f t="shared" si="3"/>
        <v>0</v>
      </c>
      <c r="AB6" s="43"/>
      <c r="AC6" s="43"/>
      <c r="AD6" s="46"/>
      <c r="AE6" s="5">
        <f t="shared" si="4"/>
        <v>2045963.65</v>
      </c>
      <c r="AF6" s="47" t="s">
        <v>169</v>
      </c>
      <c r="AG6" s="44" t="s">
        <v>161</v>
      </c>
      <c r="AH6" s="13">
        <v>31.75</v>
      </c>
      <c r="AI6" s="12"/>
      <c r="AJ6" s="40"/>
      <c r="AK6" s="40"/>
    </row>
    <row r="7" spans="2:41" s="41" customFormat="1" ht="16.149999999999999" customHeight="1">
      <c r="B7" s="6" t="s">
        <v>83</v>
      </c>
      <c r="C7" s="1"/>
      <c r="D7" s="4"/>
      <c r="E7" s="1" t="s">
        <v>35</v>
      </c>
      <c r="F7" s="13">
        <v>31.97</v>
      </c>
      <c r="G7" s="14">
        <f t="shared" si="0"/>
        <v>31970</v>
      </c>
      <c r="H7" s="49">
        <v>15</v>
      </c>
      <c r="I7" s="12" t="s">
        <v>80</v>
      </c>
      <c r="J7" s="3" t="s">
        <v>72</v>
      </c>
      <c r="K7" s="4" t="s">
        <v>99</v>
      </c>
      <c r="L7" s="4"/>
      <c r="M7" s="3" t="s">
        <v>85</v>
      </c>
      <c r="N7" s="4" t="s">
        <v>100</v>
      </c>
      <c r="O7" s="4"/>
      <c r="P7" s="4"/>
      <c r="Q7" s="5">
        <v>54610</v>
      </c>
      <c r="R7" s="36"/>
      <c r="S7" s="36"/>
      <c r="T7" s="37"/>
      <c r="U7" s="5">
        <f t="shared" si="1"/>
        <v>54610</v>
      </c>
      <c r="V7" s="5">
        <f t="shared" si="2"/>
        <v>1745881.7</v>
      </c>
      <c r="W7" s="5">
        <f t="shared" si="5"/>
        <v>314258.70600000001</v>
      </c>
      <c r="X7" s="5"/>
      <c r="Y7" s="5"/>
      <c r="Z7" s="43"/>
      <c r="AA7" s="23">
        <f t="shared" si="3"/>
        <v>0</v>
      </c>
      <c r="AB7" s="43"/>
      <c r="AC7" s="43"/>
      <c r="AD7" s="46"/>
      <c r="AE7" s="5">
        <f t="shared" si="4"/>
        <v>2060140.406</v>
      </c>
      <c r="AF7" s="47" t="s">
        <v>170</v>
      </c>
      <c r="AG7" s="44" t="s">
        <v>161</v>
      </c>
      <c r="AH7" s="13">
        <v>31.97</v>
      </c>
      <c r="AI7" s="12"/>
      <c r="AJ7" s="40"/>
      <c r="AK7" s="40"/>
    </row>
    <row r="8" spans="2:41" s="41" customFormat="1" ht="16.149999999999999" customHeight="1">
      <c r="B8" s="1" t="s">
        <v>76</v>
      </c>
      <c r="C8" s="1"/>
      <c r="D8" s="4"/>
      <c r="E8" s="1" t="s">
        <v>35</v>
      </c>
      <c r="F8" s="13">
        <v>31.72</v>
      </c>
      <c r="G8" s="14">
        <f t="shared" si="0"/>
        <v>31720</v>
      </c>
      <c r="H8" s="49">
        <v>15</v>
      </c>
      <c r="I8" s="12" t="s">
        <v>80</v>
      </c>
      <c r="J8" s="3" t="s">
        <v>72</v>
      </c>
      <c r="K8" s="4" t="s">
        <v>101</v>
      </c>
      <c r="L8" s="4"/>
      <c r="M8" s="3" t="s">
        <v>85</v>
      </c>
      <c r="N8" s="71" t="s">
        <v>61</v>
      </c>
      <c r="O8" s="4"/>
      <c r="P8" s="4"/>
      <c r="Q8" s="5">
        <v>54610</v>
      </c>
      <c r="R8" s="36"/>
      <c r="S8" s="36"/>
      <c r="T8" s="37"/>
      <c r="U8" s="5">
        <f t="shared" si="1"/>
        <v>54610</v>
      </c>
      <c r="V8" s="5">
        <f t="shared" si="2"/>
        <v>1732229.2</v>
      </c>
      <c r="W8" s="5">
        <f t="shared" si="5"/>
        <v>311801.25599999999</v>
      </c>
      <c r="X8" s="5"/>
      <c r="Y8" s="5"/>
      <c r="Z8" s="43"/>
      <c r="AA8" s="23">
        <f t="shared" si="3"/>
        <v>0</v>
      </c>
      <c r="AB8" s="43"/>
      <c r="AC8" s="43"/>
      <c r="AD8" s="46"/>
      <c r="AE8" s="5">
        <f t="shared" si="4"/>
        <v>2044030.456</v>
      </c>
      <c r="AF8" s="47" t="s">
        <v>171</v>
      </c>
      <c r="AG8" s="44" t="s">
        <v>161</v>
      </c>
      <c r="AH8" s="76">
        <v>31.72</v>
      </c>
      <c r="AI8" s="12"/>
      <c r="AJ8" s="40"/>
      <c r="AK8" s="40"/>
    </row>
    <row r="9" spans="2:41" s="41" customFormat="1" ht="16.149999999999999" customHeight="1">
      <c r="B9" s="1" t="s">
        <v>88</v>
      </c>
      <c r="C9" s="1"/>
      <c r="D9" s="4"/>
      <c r="E9" s="1" t="s">
        <v>35</v>
      </c>
      <c r="F9" s="13">
        <v>34.07</v>
      </c>
      <c r="G9" s="14">
        <f t="shared" si="0"/>
        <v>34070</v>
      </c>
      <c r="H9" s="49">
        <v>16</v>
      </c>
      <c r="I9" s="12" t="s">
        <v>80</v>
      </c>
      <c r="J9" s="3" t="s">
        <v>72</v>
      </c>
      <c r="K9" s="4" t="s">
        <v>102</v>
      </c>
      <c r="L9" s="4"/>
      <c r="M9" s="3" t="s">
        <v>85</v>
      </c>
      <c r="N9" s="71" t="s">
        <v>42</v>
      </c>
      <c r="O9" s="4"/>
      <c r="P9" s="4"/>
      <c r="Q9" s="5">
        <v>54610</v>
      </c>
      <c r="R9" s="36"/>
      <c r="S9" s="36"/>
      <c r="T9" s="37"/>
      <c r="U9" s="5">
        <f t="shared" si="1"/>
        <v>54610</v>
      </c>
      <c r="V9" s="5">
        <f t="shared" si="2"/>
        <v>1860562.7</v>
      </c>
      <c r="W9" s="5">
        <f t="shared" si="5"/>
        <v>334901.28599999996</v>
      </c>
      <c r="X9" s="5"/>
      <c r="Y9" s="5"/>
      <c r="Z9" s="43"/>
      <c r="AA9" s="23">
        <f t="shared" si="3"/>
        <v>0</v>
      </c>
      <c r="AB9" s="43"/>
      <c r="AC9" s="43"/>
      <c r="AD9" s="46"/>
      <c r="AE9" s="5">
        <f t="shared" si="4"/>
        <v>2195463.986</v>
      </c>
      <c r="AF9" s="47" t="s">
        <v>172</v>
      </c>
      <c r="AG9" s="44" t="s">
        <v>161</v>
      </c>
      <c r="AH9" s="76">
        <v>34.07</v>
      </c>
      <c r="AI9" s="12"/>
      <c r="AJ9" s="40"/>
      <c r="AK9" s="40"/>
    </row>
    <row r="10" spans="2:41" s="41" customFormat="1" ht="16.149999999999999" customHeight="1">
      <c r="B10" s="1"/>
      <c r="C10" s="1"/>
      <c r="D10" s="4"/>
      <c r="E10" s="1" t="s">
        <v>35</v>
      </c>
      <c r="F10" s="13">
        <v>34.049999999999997</v>
      </c>
      <c r="G10" s="14">
        <f t="shared" si="0"/>
        <v>34050</v>
      </c>
      <c r="H10" s="49">
        <v>16</v>
      </c>
      <c r="I10" s="12" t="s">
        <v>80</v>
      </c>
      <c r="J10" s="3" t="s">
        <v>72</v>
      </c>
      <c r="K10" s="4" t="s">
        <v>86</v>
      </c>
      <c r="L10" s="4"/>
      <c r="M10" s="3" t="s">
        <v>79</v>
      </c>
      <c r="N10" s="4" t="s">
        <v>87</v>
      </c>
      <c r="O10" s="4"/>
      <c r="P10" s="4"/>
      <c r="Q10" s="5">
        <v>54610</v>
      </c>
      <c r="R10" s="36"/>
      <c r="S10" s="36"/>
      <c r="T10" s="37"/>
      <c r="U10" s="5">
        <f t="shared" si="1"/>
        <v>54610</v>
      </c>
      <c r="V10" s="5">
        <f t="shared" si="2"/>
        <v>1859470.4999999998</v>
      </c>
      <c r="W10" s="5">
        <f t="shared" si="5"/>
        <v>334704.68999999994</v>
      </c>
      <c r="X10" s="5"/>
      <c r="Y10" s="5"/>
      <c r="Z10" s="43"/>
      <c r="AA10" s="23">
        <f t="shared" si="3"/>
        <v>0</v>
      </c>
      <c r="AB10" s="43"/>
      <c r="AC10" s="43"/>
      <c r="AD10" s="46"/>
      <c r="AE10" s="5">
        <f t="shared" si="4"/>
        <v>2194175.1899999995</v>
      </c>
      <c r="AF10" s="47" t="s">
        <v>173</v>
      </c>
      <c r="AG10" s="44" t="s">
        <v>161</v>
      </c>
      <c r="AH10" s="13">
        <v>34.049999999999997</v>
      </c>
      <c r="AI10" s="12"/>
      <c r="AJ10" s="40"/>
      <c r="AK10" s="40"/>
    </row>
    <row r="11" spans="2:41" s="41" customFormat="1" ht="16.149999999999999" customHeight="1">
      <c r="B11" s="1"/>
      <c r="C11" s="1"/>
      <c r="D11" s="4"/>
      <c r="E11" s="1" t="s">
        <v>35</v>
      </c>
      <c r="F11" s="13">
        <v>31.94</v>
      </c>
      <c r="G11" s="14">
        <f t="shared" si="0"/>
        <v>31940</v>
      </c>
      <c r="H11" s="49">
        <v>15</v>
      </c>
      <c r="I11" s="12" t="s">
        <v>80</v>
      </c>
      <c r="J11" s="3" t="s">
        <v>72</v>
      </c>
      <c r="K11" s="4" t="s">
        <v>89</v>
      </c>
      <c r="L11" s="4"/>
      <c r="M11" s="3" t="s">
        <v>79</v>
      </c>
      <c r="N11" s="4" t="s">
        <v>47</v>
      </c>
      <c r="O11" s="4"/>
      <c r="P11" s="4"/>
      <c r="Q11" s="5">
        <v>54610</v>
      </c>
      <c r="R11" s="36"/>
      <c r="S11" s="36"/>
      <c r="T11" s="37"/>
      <c r="U11" s="5">
        <f t="shared" si="1"/>
        <v>54610</v>
      </c>
      <c r="V11" s="5">
        <f t="shared" si="2"/>
        <v>1744243.4000000001</v>
      </c>
      <c r="W11" s="5">
        <f t="shared" si="5"/>
        <v>313963.81200000003</v>
      </c>
      <c r="X11" s="5"/>
      <c r="Y11" s="5"/>
      <c r="Z11" s="43"/>
      <c r="AA11" s="23">
        <f t="shared" si="3"/>
        <v>0</v>
      </c>
      <c r="AB11" s="43"/>
      <c r="AC11" s="43"/>
      <c r="AD11" s="46"/>
      <c r="AE11" s="5">
        <f t="shared" si="4"/>
        <v>2058207.2120000003</v>
      </c>
      <c r="AF11" s="47" t="s">
        <v>174</v>
      </c>
      <c r="AG11" s="44" t="s">
        <v>161</v>
      </c>
      <c r="AH11" s="13">
        <v>31.94</v>
      </c>
      <c r="AI11" s="12"/>
      <c r="AJ11" s="40"/>
      <c r="AK11" s="40"/>
    </row>
    <row r="12" spans="2:41" s="41" customFormat="1" ht="16.149999999999999" customHeight="1">
      <c r="B12" s="77" t="s">
        <v>155</v>
      </c>
      <c r="C12" s="1"/>
      <c r="D12" s="4"/>
      <c r="E12" s="1" t="s">
        <v>35</v>
      </c>
      <c r="F12" s="13">
        <v>33.9</v>
      </c>
      <c r="G12" s="14">
        <f t="shared" si="0"/>
        <v>33900</v>
      </c>
      <c r="H12" s="49">
        <v>16</v>
      </c>
      <c r="I12" s="12" t="s">
        <v>80</v>
      </c>
      <c r="J12" s="3" t="s">
        <v>72</v>
      </c>
      <c r="K12" s="4" t="s">
        <v>90</v>
      </c>
      <c r="L12" s="4"/>
      <c r="M12" s="3" t="s">
        <v>79</v>
      </c>
      <c r="N12" s="4" t="s">
        <v>40</v>
      </c>
      <c r="O12" s="4"/>
      <c r="P12" s="4"/>
      <c r="Q12" s="5">
        <v>54610</v>
      </c>
      <c r="R12" s="36"/>
      <c r="S12" s="36"/>
      <c r="T12" s="37"/>
      <c r="U12" s="5">
        <f t="shared" si="1"/>
        <v>54610</v>
      </c>
      <c r="V12" s="5">
        <f t="shared" si="2"/>
        <v>1851279</v>
      </c>
      <c r="W12" s="5">
        <f t="shared" si="5"/>
        <v>333230.21999999997</v>
      </c>
      <c r="X12" s="5"/>
      <c r="Y12" s="5"/>
      <c r="Z12" s="43"/>
      <c r="AA12" s="23">
        <f t="shared" si="3"/>
        <v>0</v>
      </c>
      <c r="AB12" s="43"/>
      <c r="AC12" s="43"/>
      <c r="AD12" s="46"/>
      <c r="AE12" s="5">
        <f t="shared" si="4"/>
        <v>2184509.2199999997</v>
      </c>
      <c r="AF12" s="47" t="s">
        <v>175</v>
      </c>
      <c r="AG12" s="44" t="s">
        <v>161</v>
      </c>
      <c r="AH12" s="13">
        <v>33.9</v>
      </c>
      <c r="AI12" s="12"/>
      <c r="AJ12" s="40"/>
      <c r="AK12" s="40"/>
    </row>
    <row r="13" spans="2:41" s="41" customFormat="1" ht="16.149999999999999" customHeight="1">
      <c r="B13" s="6" t="s">
        <v>152</v>
      </c>
      <c r="C13" s="1"/>
      <c r="D13" s="4"/>
      <c r="E13" s="1" t="s">
        <v>35</v>
      </c>
      <c r="F13" s="13">
        <v>31.93</v>
      </c>
      <c r="G13" s="14">
        <f t="shared" si="0"/>
        <v>31930</v>
      </c>
      <c r="H13" s="49">
        <v>15</v>
      </c>
      <c r="I13" s="12" t="s">
        <v>80</v>
      </c>
      <c r="J13" s="3" t="s">
        <v>72</v>
      </c>
      <c r="K13" s="4" t="s">
        <v>103</v>
      </c>
      <c r="L13" s="4"/>
      <c r="M13" s="3" t="s">
        <v>79</v>
      </c>
      <c r="N13" s="4" t="s">
        <v>104</v>
      </c>
      <c r="O13" s="4"/>
      <c r="P13" s="4"/>
      <c r="Q13" s="5">
        <v>54610</v>
      </c>
      <c r="R13" s="36"/>
      <c r="S13" s="36"/>
      <c r="T13" s="37"/>
      <c r="U13" s="5">
        <f t="shared" si="1"/>
        <v>54610</v>
      </c>
      <c r="V13" s="5">
        <f t="shared" si="2"/>
        <v>1743697.3</v>
      </c>
      <c r="W13" s="5">
        <f t="shared" si="5"/>
        <v>313865.51400000002</v>
      </c>
      <c r="X13" s="5"/>
      <c r="Y13" s="5"/>
      <c r="Z13" s="43"/>
      <c r="AA13" s="23">
        <f t="shared" si="3"/>
        <v>0</v>
      </c>
      <c r="AB13" s="43"/>
      <c r="AC13" s="43"/>
      <c r="AD13" s="46"/>
      <c r="AE13" s="5">
        <f t="shared" si="4"/>
        <v>2057562.814</v>
      </c>
      <c r="AF13" s="47" t="s">
        <v>176</v>
      </c>
      <c r="AG13" s="44" t="s">
        <v>161</v>
      </c>
      <c r="AH13" s="13">
        <v>31.93</v>
      </c>
      <c r="AI13" s="12"/>
      <c r="AJ13" s="40"/>
      <c r="AK13" s="40"/>
    </row>
    <row r="14" spans="2:41" s="41" customFormat="1" ht="16.149999999999999" customHeight="1">
      <c r="B14" s="1" t="s">
        <v>76</v>
      </c>
      <c r="C14" s="1"/>
      <c r="D14" s="4"/>
      <c r="E14" s="1" t="s">
        <v>35</v>
      </c>
      <c r="F14" s="13">
        <v>31.8</v>
      </c>
      <c r="G14" s="14">
        <f t="shared" si="0"/>
        <v>31800</v>
      </c>
      <c r="H14" s="49">
        <v>15</v>
      </c>
      <c r="I14" s="12" t="s">
        <v>80</v>
      </c>
      <c r="J14" s="3" t="s">
        <v>72</v>
      </c>
      <c r="K14" s="4" t="s">
        <v>106</v>
      </c>
      <c r="L14" s="4"/>
      <c r="M14" s="72" t="s">
        <v>105</v>
      </c>
      <c r="N14" s="71" t="s">
        <v>38</v>
      </c>
      <c r="O14" s="4"/>
      <c r="P14" s="4"/>
      <c r="Q14" s="5">
        <v>54610</v>
      </c>
      <c r="R14" s="36"/>
      <c r="S14" s="36"/>
      <c r="T14" s="37"/>
      <c r="U14" s="5">
        <f t="shared" si="1"/>
        <v>54610</v>
      </c>
      <c r="V14" s="5">
        <f t="shared" si="2"/>
        <v>1736598</v>
      </c>
      <c r="W14" s="5">
        <f t="shared" si="5"/>
        <v>312587.64</v>
      </c>
      <c r="X14" s="5"/>
      <c r="Y14" s="5"/>
      <c r="Z14" s="43"/>
      <c r="AA14" s="23">
        <f t="shared" si="3"/>
        <v>0</v>
      </c>
      <c r="AB14" s="43"/>
      <c r="AC14" s="43"/>
      <c r="AD14" s="46"/>
      <c r="AE14" s="5">
        <f t="shared" si="4"/>
        <v>2049185.6400000001</v>
      </c>
      <c r="AF14" s="47" t="s">
        <v>177</v>
      </c>
      <c r="AG14" s="44" t="s">
        <v>161</v>
      </c>
      <c r="AH14" s="76">
        <v>31.8</v>
      </c>
      <c r="AI14" s="12"/>
      <c r="AJ14" s="40"/>
      <c r="AK14" s="40"/>
    </row>
    <row r="15" spans="2:41" s="41" customFormat="1" ht="16.149999999999999" customHeight="1">
      <c r="B15" s="1"/>
      <c r="C15" s="1"/>
      <c r="D15" s="4"/>
      <c r="E15" s="1" t="s">
        <v>35</v>
      </c>
      <c r="F15" s="13">
        <v>33.880000000000003</v>
      </c>
      <c r="G15" s="14">
        <f t="shared" si="0"/>
        <v>33880</v>
      </c>
      <c r="H15" s="49">
        <v>16</v>
      </c>
      <c r="I15" s="12" t="s">
        <v>80</v>
      </c>
      <c r="J15" s="3" t="s">
        <v>72</v>
      </c>
      <c r="K15" s="4" t="s">
        <v>113</v>
      </c>
      <c r="L15" s="4"/>
      <c r="M15" s="72" t="s">
        <v>105</v>
      </c>
      <c r="N15" s="71" t="s">
        <v>57</v>
      </c>
      <c r="O15" s="4"/>
      <c r="P15" s="4"/>
      <c r="Q15" s="5">
        <v>54610</v>
      </c>
      <c r="R15" s="36"/>
      <c r="S15" s="36"/>
      <c r="T15" s="37"/>
      <c r="U15" s="5">
        <f t="shared" si="1"/>
        <v>54610</v>
      </c>
      <c r="V15" s="5">
        <f t="shared" si="2"/>
        <v>1850186.8</v>
      </c>
      <c r="W15" s="5">
        <f t="shared" si="5"/>
        <v>333033.62400000001</v>
      </c>
      <c r="X15" s="5"/>
      <c r="Y15" s="5"/>
      <c r="Z15" s="43"/>
      <c r="AA15" s="23">
        <f t="shared" si="3"/>
        <v>0</v>
      </c>
      <c r="AB15" s="43"/>
      <c r="AC15" s="43"/>
      <c r="AD15" s="46"/>
      <c r="AE15" s="5">
        <f t="shared" si="4"/>
        <v>2183220.4240000001</v>
      </c>
      <c r="AF15" s="47" t="s">
        <v>178</v>
      </c>
      <c r="AG15" s="44" t="s">
        <v>161</v>
      </c>
      <c r="AH15" s="76">
        <v>33.880000000000003</v>
      </c>
      <c r="AI15" s="12"/>
      <c r="AJ15" s="40"/>
      <c r="AK15" s="40"/>
    </row>
    <row r="16" spans="2:41" s="41" customFormat="1" ht="16.149999999999999" customHeight="1">
      <c r="B16" s="1"/>
      <c r="C16" s="1"/>
      <c r="D16" s="4"/>
      <c r="E16" s="1" t="s">
        <v>35</v>
      </c>
      <c r="F16" s="13">
        <v>31.91</v>
      </c>
      <c r="G16" s="14">
        <f t="shared" si="0"/>
        <v>31910</v>
      </c>
      <c r="H16" s="49">
        <v>15</v>
      </c>
      <c r="I16" s="12" t="s">
        <v>80</v>
      </c>
      <c r="J16" s="3" t="s">
        <v>72</v>
      </c>
      <c r="K16" s="4" t="s">
        <v>114</v>
      </c>
      <c r="L16" s="4"/>
      <c r="M16" s="3" t="s">
        <v>115</v>
      </c>
      <c r="N16" s="4" t="s">
        <v>116</v>
      </c>
      <c r="O16" s="4"/>
      <c r="P16" s="4"/>
      <c r="Q16" s="5">
        <v>54610</v>
      </c>
      <c r="R16" s="36"/>
      <c r="S16" s="36"/>
      <c r="T16" s="37"/>
      <c r="U16" s="5">
        <f t="shared" si="1"/>
        <v>54610</v>
      </c>
      <c r="V16" s="5">
        <f t="shared" si="2"/>
        <v>1742605.1</v>
      </c>
      <c r="W16" s="5">
        <f t="shared" si="5"/>
        <v>313668.91800000001</v>
      </c>
      <c r="X16" s="5"/>
      <c r="Y16" s="5"/>
      <c r="Z16" s="43"/>
      <c r="AA16" s="23">
        <f t="shared" si="3"/>
        <v>0</v>
      </c>
      <c r="AB16" s="43"/>
      <c r="AC16" s="43"/>
      <c r="AD16" s="46"/>
      <c r="AE16" s="5">
        <f t="shared" si="4"/>
        <v>2056274.0180000002</v>
      </c>
      <c r="AF16" s="47" t="s">
        <v>179</v>
      </c>
      <c r="AG16" s="44" t="s">
        <v>161</v>
      </c>
      <c r="AH16" s="13">
        <v>31.91</v>
      </c>
      <c r="AI16" s="12"/>
      <c r="AJ16" s="40"/>
      <c r="AK16" s="40"/>
    </row>
    <row r="17" spans="2:37" s="41" customFormat="1" ht="16.149999999999999" customHeight="1">
      <c r="B17" s="1"/>
      <c r="C17" s="1"/>
      <c r="D17" s="4"/>
      <c r="E17" s="1" t="s">
        <v>35</v>
      </c>
      <c r="F17" s="13">
        <v>33.83</v>
      </c>
      <c r="G17" s="14">
        <f t="shared" si="0"/>
        <v>33830</v>
      </c>
      <c r="H17" s="49">
        <v>16</v>
      </c>
      <c r="I17" s="12" t="s">
        <v>80</v>
      </c>
      <c r="J17" s="3" t="s">
        <v>72</v>
      </c>
      <c r="K17" s="4" t="s">
        <v>117</v>
      </c>
      <c r="L17" s="4"/>
      <c r="M17" s="3" t="s">
        <v>115</v>
      </c>
      <c r="N17" s="4" t="s">
        <v>44</v>
      </c>
      <c r="O17" s="4"/>
      <c r="P17" s="4"/>
      <c r="Q17" s="5">
        <v>54610</v>
      </c>
      <c r="R17" s="36"/>
      <c r="S17" s="36"/>
      <c r="T17" s="37"/>
      <c r="U17" s="5">
        <f t="shared" si="1"/>
        <v>54610</v>
      </c>
      <c r="V17" s="5">
        <f t="shared" si="2"/>
        <v>1847456.2999999998</v>
      </c>
      <c r="W17" s="5">
        <f t="shared" si="5"/>
        <v>332542.13399999996</v>
      </c>
      <c r="X17" s="5"/>
      <c r="Y17" s="5"/>
      <c r="Z17" s="43"/>
      <c r="AA17" s="23">
        <f t="shared" si="3"/>
        <v>0</v>
      </c>
      <c r="AB17" s="43"/>
      <c r="AC17" s="43"/>
      <c r="AD17" s="46"/>
      <c r="AE17" s="5">
        <f t="shared" si="4"/>
        <v>2179998.4339999999</v>
      </c>
      <c r="AF17" s="47" t="s">
        <v>180</v>
      </c>
      <c r="AG17" s="44" t="s">
        <v>161</v>
      </c>
      <c r="AH17" s="13">
        <v>33.83</v>
      </c>
      <c r="AI17" s="12"/>
      <c r="AJ17" s="40"/>
      <c r="AK17" s="40"/>
    </row>
    <row r="18" spans="2:37" s="41" customFormat="1" ht="16.149999999999999" customHeight="1">
      <c r="B18" s="6" t="s">
        <v>160</v>
      </c>
      <c r="C18" s="1"/>
      <c r="D18" s="4"/>
      <c r="E18" s="1" t="s">
        <v>35</v>
      </c>
      <c r="F18" s="13">
        <v>31.74</v>
      </c>
      <c r="G18" s="14">
        <f t="shared" si="0"/>
        <v>31740</v>
      </c>
      <c r="H18" s="49">
        <v>15</v>
      </c>
      <c r="I18" s="12" t="s">
        <v>80</v>
      </c>
      <c r="J18" s="3" t="s">
        <v>72</v>
      </c>
      <c r="K18" s="4" t="s">
        <v>118</v>
      </c>
      <c r="L18" s="4"/>
      <c r="M18" s="3" t="s">
        <v>115</v>
      </c>
      <c r="N18" s="4" t="s">
        <v>58</v>
      </c>
      <c r="O18" s="4"/>
      <c r="P18" s="4"/>
      <c r="Q18" s="5">
        <v>54610</v>
      </c>
      <c r="R18" s="36"/>
      <c r="S18" s="36"/>
      <c r="T18" s="37"/>
      <c r="U18" s="5">
        <f t="shared" si="1"/>
        <v>54610</v>
      </c>
      <c r="V18" s="5">
        <f t="shared" si="2"/>
        <v>1733321.4</v>
      </c>
      <c r="W18" s="5">
        <f t="shared" si="5"/>
        <v>311997.85199999996</v>
      </c>
      <c r="X18" s="5"/>
      <c r="Y18" s="5"/>
      <c r="Z18" s="43"/>
      <c r="AA18" s="23">
        <f t="shared" si="3"/>
        <v>0</v>
      </c>
      <c r="AB18" s="43"/>
      <c r="AC18" s="43"/>
      <c r="AD18" s="46"/>
      <c r="AE18" s="5">
        <f t="shared" si="4"/>
        <v>2045319.2519999999</v>
      </c>
      <c r="AF18" s="47" t="s">
        <v>181</v>
      </c>
      <c r="AG18" s="44" t="s">
        <v>161</v>
      </c>
      <c r="AH18" s="13">
        <v>31.74</v>
      </c>
      <c r="AI18" s="12"/>
      <c r="AJ18" s="40"/>
      <c r="AK18" s="40"/>
    </row>
    <row r="19" spans="2:37" s="41" customFormat="1" ht="16.149999999999999" customHeight="1">
      <c r="B19" s="1"/>
      <c r="C19" s="1"/>
      <c r="D19" s="4"/>
      <c r="E19" s="1" t="s">
        <v>35</v>
      </c>
      <c r="F19" s="13">
        <v>33.880000000000003</v>
      </c>
      <c r="G19" s="14">
        <f t="shared" si="0"/>
        <v>33880</v>
      </c>
      <c r="H19" s="49">
        <v>16</v>
      </c>
      <c r="I19" s="12" t="s">
        <v>80</v>
      </c>
      <c r="J19" s="3" t="s">
        <v>72</v>
      </c>
      <c r="K19" s="4" t="s">
        <v>119</v>
      </c>
      <c r="L19" s="4"/>
      <c r="M19" s="3" t="s">
        <v>115</v>
      </c>
      <c r="N19" s="4" t="s">
        <v>59</v>
      </c>
      <c r="O19" s="4"/>
      <c r="P19" s="4"/>
      <c r="Q19" s="5">
        <v>54610</v>
      </c>
      <c r="R19" s="36"/>
      <c r="S19" s="36"/>
      <c r="T19" s="37"/>
      <c r="U19" s="5">
        <f t="shared" si="1"/>
        <v>54610</v>
      </c>
      <c r="V19" s="5">
        <f t="shared" si="2"/>
        <v>1850186.8</v>
      </c>
      <c r="W19" s="5">
        <f t="shared" si="5"/>
        <v>333033.62400000001</v>
      </c>
      <c r="X19" s="5"/>
      <c r="Y19" s="5"/>
      <c r="Z19" s="43"/>
      <c r="AA19" s="23">
        <f t="shared" si="3"/>
        <v>0</v>
      </c>
      <c r="AB19" s="43"/>
      <c r="AC19" s="43"/>
      <c r="AD19" s="46"/>
      <c r="AE19" s="5">
        <f t="shared" si="4"/>
        <v>2183220.4240000001</v>
      </c>
      <c r="AF19" s="47" t="s">
        <v>182</v>
      </c>
      <c r="AG19" s="44" t="s">
        <v>161</v>
      </c>
      <c r="AH19" s="13">
        <v>33.880000000000003</v>
      </c>
      <c r="AI19" s="12"/>
      <c r="AJ19" s="40"/>
      <c r="AK19" s="40"/>
    </row>
    <row r="20" spans="2:37" s="41" customFormat="1" ht="16.149999999999999" customHeight="1">
      <c r="B20" s="1"/>
      <c r="C20" s="1"/>
      <c r="D20" s="4"/>
      <c r="E20" s="1" t="s">
        <v>35</v>
      </c>
      <c r="F20" s="13">
        <v>31.97</v>
      </c>
      <c r="G20" s="14">
        <f t="shared" si="0"/>
        <v>31970</v>
      </c>
      <c r="H20" s="49">
        <v>15</v>
      </c>
      <c r="I20" s="12" t="s">
        <v>80</v>
      </c>
      <c r="J20" s="3" t="s">
        <v>72</v>
      </c>
      <c r="K20" s="4" t="s">
        <v>120</v>
      </c>
      <c r="L20" s="4"/>
      <c r="M20" s="3" t="s">
        <v>115</v>
      </c>
      <c r="N20" s="4" t="s">
        <v>53</v>
      </c>
      <c r="O20" s="4"/>
      <c r="P20" s="4"/>
      <c r="Q20" s="5">
        <v>54610</v>
      </c>
      <c r="R20" s="36"/>
      <c r="S20" s="36"/>
      <c r="T20" s="37"/>
      <c r="U20" s="5">
        <f t="shared" si="1"/>
        <v>54610</v>
      </c>
      <c r="V20" s="5">
        <f t="shared" si="2"/>
        <v>1745881.7</v>
      </c>
      <c r="W20" s="5">
        <f t="shared" si="5"/>
        <v>314258.70600000001</v>
      </c>
      <c r="X20" s="5"/>
      <c r="Y20" s="5"/>
      <c r="Z20" s="43"/>
      <c r="AA20" s="23">
        <f t="shared" si="3"/>
        <v>0</v>
      </c>
      <c r="AB20" s="43"/>
      <c r="AC20" s="43"/>
      <c r="AD20" s="46"/>
      <c r="AE20" s="5">
        <f t="shared" si="4"/>
        <v>2060140.406</v>
      </c>
      <c r="AF20" s="47" t="s">
        <v>183</v>
      </c>
      <c r="AG20" s="44" t="s">
        <v>161</v>
      </c>
      <c r="AH20" s="13">
        <v>31.97</v>
      </c>
      <c r="AI20" s="12"/>
      <c r="AJ20" s="40"/>
      <c r="AK20" s="40"/>
    </row>
    <row r="21" spans="2:37" s="41" customFormat="1" ht="16.149999999999999" customHeight="1">
      <c r="B21" s="1"/>
      <c r="C21" s="1"/>
      <c r="D21" s="4"/>
      <c r="E21" s="1" t="s">
        <v>35</v>
      </c>
      <c r="F21" s="13">
        <v>33.880000000000003</v>
      </c>
      <c r="G21" s="14">
        <f t="shared" si="0"/>
        <v>33880</v>
      </c>
      <c r="H21" s="49">
        <v>16</v>
      </c>
      <c r="I21" s="12" t="s">
        <v>80</v>
      </c>
      <c r="J21" s="3" t="s">
        <v>72</v>
      </c>
      <c r="K21" s="4" t="s">
        <v>121</v>
      </c>
      <c r="L21" s="4"/>
      <c r="M21" s="3" t="s">
        <v>115</v>
      </c>
      <c r="N21" s="4" t="s">
        <v>45</v>
      </c>
      <c r="O21" s="4"/>
      <c r="P21" s="4"/>
      <c r="Q21" s="5">
        <v>54610</v>
      </c>
      <c r="R21" s="36"/>
      <c r="S21" s="36"/>
      <c r="T21" s="37"/>
      <c r="U21" s="5">
        <f t="shared" si="1"/>
        <v>54610</v>
      </c>
      <c r="V21" s="5">
        <f t="shared" si="2"/>
        <v>1850186.8</v>
      </c>
      <c r="W21" s="5">
        <f t="shared" si="5"/>
        <v>333033.62400000001</v>
      </c>
      <c r="X21" s="5"/>
      <c r="Y21" s="5"/>
      <c r="Z21" s="43"/>
      <c r="AA21" s="23">
        <f t="shared" si="3"/>
        <v>0</v>
      </c>
      <c r="AB21" s="43"/>
      <c r="AC21" s="43"/>
      <c r="AD21" s="46"/>
      <c r="AE21" s="5">
        <f t="shared" si="4"/>
        <v>2183220.4240000001</v>
      </c>
      <c r="AF21" s="47" t="s">
        <v>184</v>
      </c>
      <c r="AG21" s="44" t="s">
        <v>161</v>
      </c>
      <c r="AH21" s="13">
        <v>33.880000000000003</v>
      </c>
      <c r="AI21" s="12"/>
      <c r="AJ21" s="40"/>
      <c r="AK21" s="40"/>
    </row>
    <row r="22" spans="2:37" s="41" customFormat="1" ht="16.149999999999999" customHeight="1">
      <c r="B22" s="1"/>
      <c r="C22" s="1"/>
      <c r="D22" s="4"/>
      <c r="E22" s="1" t="s">
        <v>35</v>
      </c>
      <c r="F22" s="13">
        <v>31.75</v>
      </c>
      <c r="G22" s="14">
        <f t="shared" si="0"/>
        <v>31750</v>
      </c>
      <c r="H22" s="49">
        <v>15</v>
      </c>
      <c r="I22" s="12" t="s">
        <v>80</v>
      </c>
      <c r="J22" s="3" t="s">
        <v>72</v>
      </c>
      <c r="K22" s="4" t="s">
        <v>122</v>
      </c>
      <c r="L22" s="4"/>
      <c r="M22" s="3" t="s">
        <v>115</v>
      </c>
      <c r="N22" s="4" t="s">
        <v>50</v>
      </c>
      <c r="O22" s="4"/>
      <c r="P22" s="4"/>
      <c r="Q22" s="5">
        <v>54610</v>
      </c>
      <c r="R22" s="36"/>
      <c r="S22" s="36"/>
      <c r="T22" s="37"/>
      <c r="U22" s="5">
        <f t="shared" si="1"/>
        <v>54610</v>
      </c>
      <c r="V22" s="5">
        <f t="shared" si="2"/>
        <v>1733867.5</v>
      </c>
      <c r="W22" s="5">
        <f t="shared" si="5"/>
        <v>312096.14999999997</v>
      </c>
      <c r="X22" s="5"/>
      <c r="Y22" s="5"/>
      <c r="Z22" s="43"/>
      <c r="AA22" s="23">
        <f t="shared" si="3"/>
        <v>0</v>
      </c>
      <c r="AB22" s="43"/>
      <c r="AC22" s="43"/>
      <c r="AD22" s="46"/>
      <c r="AE22" s="5">
        <f t="shared" si="4"/>
        <v>2045963.65</v>
      </c>
      <c r="AF22" s="47" t="s">
        <v>185</v>
      </c>
      <c r="AG22" s="44" t="s">
        <v>161</v>
      </c>
      <c r="AH22" s="13">
        <v>31.75</v>
      </c>
      <c r="AI22" s="12"/>
      <c r="AJ22" s="40"/>
      <c r="AK22" s="40"/>
    </row>
    <row r="23" spans="2:37" s="41" customFormat="1" ht="16.149999999999999" customHeight="1">
      <c r="B23" s="1"/>
      <c r="C23" s="1"/>
      <c r="D23" s="4"/>
      <c r="E23" s="1" t="s">
        <v>35</v>
      </c>
      <c r="F23" s="13">
        <v>42.56</v>
      </c>
      <c r="G23" s="14">
        <f t="shared" si="0"/>
        <v>42560</v>
      </c>
      <c r="H23" s="49">
        <v>20</v>
      </c>
      <c r="I23" s="12" t="s">
        <v>80</v>
      </c>
      <c r="J23" s="3" t="s">
        <v>72</v>
      </c>
      <c r="K23" s="4" t="s">
        <v>123</v>
      </c>
      <c r="L23" s="4"/>
      <c r="M23" s="3" t="s">
        <v>115</v>
      </c>
      <c r="N23" s="4" t="s">
        <v>124</v>
      </c>
      <c r="O23" s="4"/>
      <c r="P23" s="4"/>
      <c r="Q23" s="5">
        <v>54610</v>
      </c>
      <c r="R23" s="36"/>
      <c r="S23" s="36"/>
      <c r="T23" s="37"/>
      <c r="U23" s="5">
        <f t="shared" si="1"/>
        <v>54610</v>
      </c>
      <c r="V23" s="5">
        <f t="shared" si="2"/>
        <v>2324201.6</v>
      </c>
      <c r="W23" s="5">
        <f t="shared" si="5"/>
        <v>418356.288</v>
      </c>
      <c r="X23" s="5"/>
      <c r="Y23" s="5"/>
      <c r="Z23" s="43"/>
      <c r="AA23" s="23">
        <f t="shared" si="3"/>
        <v>0</v>
      </c>
      <c r="AB23" s="43"/>
      <c r="AC23" s="43"/>
      <c r="AD23" s="46"/>
      <c r="AE23" s="5">
        <f t="shared" si="4"/>
        <v>2742557.8880000003</v>
      </c>
      <c r="AF23" s="47" t="s">
        <v>186</v>
      </c>
      <c r="AG23" s="44" t="s">
        <v>161</v>
      </c>
      <c r="AH23" s="13">
        <v>42.56</v>
      </c>
      <c r="AI23" s="12"/>
      <c r="AJ23" s="40"/>
      <c r="AK23" s="40"/>
    </row>
    <row r="24" spans="2:37" s="41" customFormat="1" ht="16.149999999999999" customHeight="1">
      <c r="B24" s="1"/>
      <c r="C24" s="1"/>
      <c r="D24" s="4"/>
      <c r="E24" s="1" t="s">
        <v>35</v>
      </c>
      <c r="F24" s="13">
        <v>31.86</v>
      </c>
      <c r="G24" s="14">
        <f t="shared" si="0"/>
        <v>31860</v>
      </c>
      <c r="H24" s="49">
        <v>15</v>
      </c>
      <c r="I24" s="12" t="s">
        <v>80</v>
      </c>
      <c r="J24" s="3" t="s">
        <v>72</v>
      </c>
      <c r="K24" s="4" t="s">
        <v>125</v>
      </c>
      <c r="L24" s="4"/>
      <c r="M24" s="3" t="s">
        <v>126</v>
      </c>
      <c r="N24" s="4" t="s">
        <v>49</v>
      </c>
      <c r="O24" s="4"/>
      <c r="P24" s="4"/>
      <c r="Q24" s="5">
        <v>54610</v>
      </c>
      <c r="R24" s="36"/>
      <c r="S24" s="36"/>
      <c r="T24" s="37"/>
      <c r="U24" s="5">
        <f t="shared" si="1"/>
        <v>54610</v>
      </c>
      <c r="V24" s="5">
        <f t="shared" si="2"/>
        <v>1739874.5999999999</v>
      </c>
      <c r="W24" s="5">
        <f t="shared" si="5"/>
        <v>313177.42799999996</v>
      </c>
      <c r="X24" s="5"/>
      <c r="Y24" s="5"/>
      <c r="Z24" s="43"/>
      <c r="AA24" s="23">
        <f t="shared" si="3"/>
        <v>0</v>
      </c>
      <c r="AB24" s="43"/>
      <c r="AC24" s="43"/>
      <c r="AD24" s="46"/>
      <c r="AE24" s="5">
        <f t="shared" si="4"/>
        <v>2053052.0279999999</v>
      </c>
      <c r="AF24" s="47" t="s">
        <v>187</v>
      </c>
      <c r="AG24" s="44" t="s">
        <v>161</v>
      </c>
      <c r="AH24" s="13">
        <v>31.86</v>
      </c>
      <c r="AI24" s="12"/>
      <c r="AJ24" s="40"/>
      <c r="AK24" s="40"/>
    </row>
    <row r="25" spans="2:37" s="41" customFormat="1" ht="16.149999999999999" customHeight="1">
      <c r="B25" s="1"/>
      <c r="C25" s="1"/>
      <c r="D25" s="4"/>
      <c r="E25" s="1" t="s">
        <v>35</v>
      </c>
      <c r="F25" s="13">
        <v>40.24</v>
      </c>
      <c r="G25" s="14">
        <f t="shared" si="0"/>
        <v>40240</v>
      </c>
      <c r="H25" s="49">
        <v>19</v>
      </c>
      <c r="I25" s="12" t="s">
        <v>80</v>
      </c>
      <c r="J25" s="3" t="s">
        <v>72</v>
      </c>
      <c r="K25" s="4" t="s">
        <v>127</v>
      </c>
      <c r="L25" s="4"/>
      <c r="M25" s="3" t="s">
        <v>126</v>
      </c>
      <c r="N25" s="4" t="s">
        <v>62</v>
      </c>
      <c r="O25" s="4"/>
      <c r="P25" s="4"/>
      <c r="Q25" s="5">
        <v>54610</v>
      </c>
      <c r="R25" s="36"/>
      <c r="S25" s="36"/>
      <c r="T25" s="37"/>
      <c r="U25" s="5">
        <f t="shared" si="1"/>
        <v>54610</v>
      </c>
      <c r="V25" s="5">
        <f t="shared" si="2"/>
        <v>2197506.4</v>
      </c>
      <c r="W25" s="5">
        <f t="shared" si="5"/>
        <v>395551.15199999994</v>
      </c>
      <c r="X25" s="5"/>
      <c r="Y25" s="5"/>
      <c r="Z25" s="43"/>
      <c r="AA25" s="23">
        <f t="shared" si="3"/>
        <v>0</v>
      </c>
      <c r="AB25" s="43"/>
      <c r="AC25" s="43"/>
      <c r="AD25" s="46"/>
      <c r="AE25" s="5">
        <f t="shared" si="4"/>
        <v>2593057.5519999997</v>
      </c>
      <c r="AF25" s="47" t="s">
        <v>188</v>
      </c>
      <c r="AG25" s="44" t="s">
        <v>161</v>
      </c>
      <c r="AH25" s="13">
        <v>40.24</v>
      </c>
      <c r="AI25" s="12"/>
      <c r="AJ25" s="40"/>
      <c r="AK25" s="40"/>
    </row>
    <row r="26" spans="2:37" s="41" customFormat="1" ht="16.149999999999999" customHeight="1">
      <c r="B26" s="1"/>
      <c r="C26" s="1"/>
      <c r="D26" s="4"/>
      <c r="E26" s="1" t="s">
        <v>35</v>
      </c>
      <c r="F26" s="13">
        <v>31.92</v>
      </c>
      <c r="G26" s="14">
        <f t="shared" si="0"/>
        <v>31920</v>
      </c>
      <c r="H26" s="49">
        <v>15</v>
      </c>
      <c r="I26" s="12" t="s">
        <v>80</v>
      </c>
      <c r="J26" s="3" t="s">
        <v>72</v>
      </c>
      <c r="K26" s="4" t="s">
        <v>128</v>
      </c>
      <c r="L26" s="4"/>
      <c r="M26" s="3" t="s">
        <v>126</v>
      </c>
      <c r="N26" s="4" t="s">
        <v>61</v>
      </c>
      <c r="O26" s="4"/>
      <c r="P26" s="4"/>
      <c r="Q26" s="5">
        <v>54610</v>
      </c>
      <c r="R26" s="36"/>
      <c r="S26" s="36"/>
      <c r="T26" s="37"/>
      <c r="U26" s="5">
        <f t="shared" si="1"/>
        <v>54610</v>
      </c>
      <c r="V26" s="5">
        <f t="shared" si="2"/>
        <v>1743151.2000000002</v>
      </c>
      <c r="W26" s="5">
        <f t="shared" si="5"/>
        <v>313767.21600000001</v>
      </c>
      <c r="X26" s="5"/>
      <c r="Y26" s="5"/>
      <c r="Z26" s="43"/>
      <c r="AA26" s="23">
        <f t="shared" si="3"/>
        <v>0</v>
      </c>
      <c r="AB26" s="43"/>
      <c r="AC26" s="43"/>
      <c r="AD26" s="46"/>
      <c r="AE26" s="5">
        <f t="shared" si="4"/>
        <v>2056918.4160000002</v>
      </c>
      <c r="AF26" s="47" t="s">
        <v>189</v>
      </c>
      <c r="AG26" s="44" t="s">
        <v>161</v>
      </c>
      <c r="AH26" s="13">
        <v>31.92</v>
      </c>
      <c r="AI26" s="12"/>
      <c r="AJ26" s="40"/>
      <c r="AK26" s="40"/>
    </row>
    <row r="27" spans="2:37" s="41" customFormat="1" ht="16.149999999999999" customHeight="1">
      <c r="B27" s="1"/>
      <c r="C27" s="1"/>
      <c r="D27" s="4"/>
      <c r="E27" s="1" t="s">
        <v>35</v>
      </c>
      <c r="F27" s="13">
        <v>31.22</v>
      </c>
      <c r="G27" s="14">
        <f t="shared" si="0"/>
        <v>31220</v>
      </c>
      <c r="H27" s="49">
        <v>15</v>
      </c>
      <c r="I27" s="12" t="s">
        <v>80</v>
      </c>
      <c r="J27" s="3" t="s">
        <v>72</v>
      </c>
      <c r="K27" s="4" t="s">
        <v>129</v>
      </c>
      <c r="L27" s="4"/>
      <c r="M27" s="3" t="s">
        <v>126</v>
      </c>
      <c r="N27" s="4" t="s">
        <v>58</v>
      </c>
      <c r="O27" s="4"/>
      <c r="P27" s="4"/>
      <c r="Q27" s="5">
        <v>54610</v>
      </c>
      <c r="R27" s="36"/>
      <c r="S27" s="36"/>
      <c r="T27" s="37"/>
      <c r="U27" s="5">
        <f t="shared" si="1"/>
        <v>54610</v>
      </c>
      <c r="V27" s="5">
        <f t="shared" si="2"/>
        <v>1704924.2</v>
      </c>
      <c r="W27" s="5">
        <f t="shared" si="5"/>
        <v>306886.35599999997</v>
      </c>
      <c r="X27" s="5"/>
      <c r="Y27" s="5"/>
      <c r="Z27" s="43"/>
      <c r="AA27" s="23">
        <f t="shared" si="3"/>
        <v>0</v>
      </c>
      <c r="AB27" s="43"/>
      <c r="AC27" s="43"/>
      <c r="AD27" s="46"/>
      <c r="AE27" s="5">
        <f t="shared" si="4"/>
        <v>2011810.5559999999</v>
      </c>
      <c r="AF27" s="47" t="s">
        <v>190</v>
      </c>
      <c r="AG27" s="44" t="s">
        <v>161</v>
      </c>
      <c r="AH27" s="13">
        <v>31.22</v>
      </c>
      <c r="AI27" s="12"/>
      <c r="AJ27" s="40"/>
      <c r="AK27" s="40"/>
    </row>
    <row r="28" spans="2:37" s="41" customFormat="1" ht="16.149999999999999" customHeight="1">
      <c r="B28" s="1"/>
      <c r="C28" s="1"/>
      <c r="D28" s="4"/>
      <c r="E28" s="1" t="s">
        <v>35</v>
      </c>
      <c r="F28" s="13">
        <v>32.04</v>
      </c>
      <c r="G28" s="14">
        <f t="shared" si="0"/>
        <v>32040</v>
      </c>
      <c r="H28" s="49">
        <v>16</v>
      </c>
      <c r="I28" s="12" t="s">
        <v>80</v>
      </c>
      <c r="J28" s="3" t="s">
        <v>72</v>
      </c>
      <c r="K28" s="4" t="s">
        <v>130</v>
      </c>
      <c r="L28" s="4"/>
      <c r="M28" s="3" t="s">
        <v>126</v>
      </c>
      <c r="N28" s="4" t="s">
        <v>59</v>
      </c>
      <c r="O28" s="4"/>
      <c r="P28" s="4"/>
      <c r="Q28" s="5">
        <v>54610</v>
      </c>
      <c r="R28" s="36"/>
      <c r="S28" s="36"/>
      <c r="T28" s="37"/>
      <c r="U28" s="5">
        <f t="shared" si="1"/>
        <v>54610</v>
      </c>
      <c r="V28" s="5">
        <f t="shared" si="2"/>
        <v>1749704.4</v>
      </c>
      <c r="W28" s="5">
        <f t="shared" si="5"/>
        <v>314946.79199999996</v>
      </c>
      <c r="X28" s="5"/>
      <c r="Y28" s="5"/>
      <c r="Z28" s="43"/>
      <c r="AA28" s="23">
        <f t="shared" si="3"/>
        <v>0</v>
      </c>
      <c r="AB28" s="43"/>
      <c r="AC28" s="43"/>
      <c r="AD28" s="46"/>
      <c r="AE28" s="5">
        <f t="shared" si="4"/>
        <v>2064651.1919999998</v>
      </c>
      <c r="AF28" s="47" t="s">
        <v>191</v>
      </c>
      <c r="AG28" s="44" t="s">
        <v>161</v>
      </c>
      <c r="AH28" s="13">
        <v>32.04</v>
      </c>
      <c r="AI28" s="12"/>
      <c r="AJ28" s="40"/>
      <c r="AK28" s="40"/>
    </row>
    <row r="29" spans="2:37" s="41" customFormat="1" ht="16.149999999999999" customHeight="1">
      <c r="B29" s="1"/>
      <c r="C29" s="4"/>
      <c r="D29" s="4"/>
      <c r="E29" s="1" t="s">
        <v>35</v>
      </c>
      <c r="F29" s="13">
        <v>34.06</v>
      </c>
      <c r="G29" s="14">
        <f t="shared" si="0"/>
        <v>34060</v>
      </c>
      <c r="H29" s="49">
        <v>16</v>
      </c>
      <c r="I29" s="12" t="s">
        <v>80</v>
      </c>
      <c r="J29" s="3" t="s">
        <v>72</v>
      </c>
      <c r="K29" s="4" t="s">
        <v>131</v>
      </c>
      <c r="L29" s="4"/>
      <c r="M29" s="3" t="s">
        <v>126</v>
      </c>
      <c r="N29" s="4" t="s">
        <v>45</v>
      </c>
      <c r="O29" s="4"/>
      <c r="P29" s="4"/>
      <c r="Q29" s="5">
        <v>54610</v>
      </c>
      <c r="R29" s="36"/>
      <c r="S29" s="36"/>
      <c r="T29" s="37"/>
      <c r="U29" s="5">
        <f t="shared" si="1"/>
        <v>54610</v>
      </c>
      <c r="V29" s="5">
        <f t="shared" si="2"/>
        <v>1860016.6</v>
      </c>
      <c r="W29" s="5">
        <f t="shared" si="5"/>
        <v>334802.98800000001</v>
      </c>
      <c r="X29" s="5"/>
      <c r="Y29" s="5"/>
      <c r="Z29" s="43"/>
      <c r="AA29" s="23">
        <f t="shared" si="3"/>
        <v>0</v>
      </c>
      <c r="AB29" s="43"/>
      <c r="AC29" s="43"/>
      <c r="AD29" s="46"/>
      <c r="AE29" s="5">
        <f t="shared" si="4"/>
        <v>2194819.588</v>
      </c>
      <c r="AF29" s="47" t="s">
        <v>192</v>
      </c>
      <c r="AG29" s="44" t="s">
        <v>161</v>
      </c>
      <c r="AH29" s="13">
        <v>34.06</v>
      </c>
      <c r="AI29" s="12"/>
      <c r="AJ29" s="40"/>
      <c r="AK29" s="40"/>
    </row>
    <row r="30" spans="2:37" s="41" customFormat="1" ht="16.149999999999999" customHeight="1">
      <c r="B30" s="1"/>
      <c r="C30" s="70"/>
      <c r="D30" s="4"/>
      <c r="E30" s="1" t="s">
        <v>35</v>
      </c>
      <c r="F30" s="13">
        <v>31.79</v>
      </c>
      <c r="G30" s="14">
        <f t="shared" si="0"/>
        <v>31790</v>
      </c>
      <c r="H30" s="49">
        <v>15</v>
      </c>
      <c r="I30" s="12" t="s">
        <v>80</v>
      </c>
      <c r="J30" s="3" t="s">
        <v>72</v>
      </c>
      <c r="K30" s="4" t="s">
        <v>132</v>
      </c>
      <c r="L30" s="4"/>
      <c r="M30" s="3" t="s">
        <v>126</v>
      </c>
      <c r="N30" s="4" t="s">
        <v>133</v>
      </c>
      <c r="O30" s="4"/>
      <c r="P30" s="4"/>
      <c r="Q30" s="5">
        <v>54610</v>
      </c>
      <c r="R30" s="36"/>
      <c r="S30" s="36"/>
      <c r="T30" s="37"/>
      <c r="U30" s="5">
        <f t="shared" si="1"/>
        <v>54610</v>
      </c>
      <c r="V30" s="5">
        <f t="shared" si="2"/>
        <v>1736051.9</v>
      </c>
      <c r="W30" s="5">
        <f t="shared" si="5"/>
        <v>312489.34199999995</v>
      </c>
      <c r="X30" s="5"/>
      <c r="Y30" s="5"/>
      <c r="Z30" s="43"/>
      <c r="AA30" s="23">
        <f t="shared" si="3"/>
        <v>0</v>
      </c>
      <c r="AB30" s="43"/>
      <c r="AC30" s="43"/>
      <c r="AD30" s="46"/>
      <c r="AE30" s="5">
        <f t="shared" si="4"/>
        <v>2048541.2419999999</v>
      </c>
      <c r="AF30" s="47" t="s">
        <v>193</v>
      </c>
      <c r="AG30" s="44" t="s">
        <v>161</v>
      </c>
      <c r="AH30" s="13">
        <v>31.79</v>
      </c>
      <c r="AI30" s="12"/>
      <c r="AJ30" s="40"/>
      <c r="AK30" s="40"/>
    </row>
    <row r="31" spans="2:37" s="41" customFormat="1" ht="16.149999999999999" customHeight="1">
      <c r="B31" s="1"/>
      <c r="C31" s="1"/>
      <c r="D31" s="4"/>
      <c r="E31" s="1" t="s">
        <v>35</v>
      </c>
      <c r="F31" s="13">
        <v>31.77</v>
      </c>
      <c r="G31" s="14">
        <f t="shared" si="0"/>
        <v>31770</v>
      </c>
      <c r="H31" s="49">
        <v>15</v>
      </c>
      <c r="I31" s="12" t="s">
        <v>80</v>
      </c>
      <c r="J31" s="3" t="s">
        <v>72</v>
      </c>
      <c r="K31" s="4" t="s">
        <v>134</v>
      </c>
      <c r="L31" s="4"/>
      <c r="M31" s="3" t="s">
        <v>126</v>
      </c>
      <c r="N31" s="4" t="s">
        <v>44</v>
      </c>
      <c r="O31" s="4"/>
      <c r="P31" s="4"/>
      <c r="Q31" s="5">
        <v>54610</v>
      </c>
      <c r="R31" s="36"/>
      <c r="S31" s="36"/>
      <c r="T31" s="37"/>
      <c r="U31" s="5">
        <f t="shared" si="1"/>
        <v>54610</v>
      </c>
      <c r="V31" s="5">
        <f t="shared" si="2"/>
        <v>1734959.7</v>
      </c>
      <c r="W31" s="5">
        <f t="shared" si="5"/>
        <v>312292.74599999998</v>
      </c>
      <c r="X31" s="5"/>
      <c r="Y31" s="5"/>
      <c r="Z31" s="43"/>
      <c r="AA31" s="23">
        <f t="shared" si="3"/>
        <v>0</v>
      </c>
      <c r="AB31" s="43"/>
      <c r="AC31" s="43"/>
      <c r="AD31" s="46"/>
      <c r="AE31" s="5">
        <f t="shared" si="4"/>
        <v>2047252.446</v>
      </c>
      <c r="AF31" s="47" t="s">
        <v>194</v>
      </c>
      <c r="AG31" s="44" t="s">
        <v>161</v>
      </c>
      <c r="AH31" s="13">
        <v>31.77</v>
      </c>
      <c r="AI31" s="12"/>
      <c r="AJ31" s="40"/>
      <c r="AK31" s="40"/>
    </row>
    <row r="32" spans="2:37" s="41" customFormat="1" ht="16.149999999999999" customHeight="1">
      <c r="B32" s="1"/>
      <c r="C32" s="1"/>
      <c r="D32" s="4"/>
      <c r="E32" s="1" t="s">
        <v>35</v>
      </c>
      <c r="F32" s="13">
        <v>31.75</v>
      </c>
      <c r="G32" s="14">
        <f t="shared" si="0"/>
        <v>31750</v>
      </c>
      <c r="H32" s="49">
        <v>15</v>
      </c>
      <c r="I32" s="12" t="s">
        <v>80</v>
      </c>
      <c r="J32" s="3" t="s">
        <v>72</v>
      </c>
      <c r="K32" s="4" t="s">
        <v>135</v>
      </c>
      <c r="L32" s="4"/>
      <c r="M32" s="3" t="s">
        <v>126</v>
      </c>
      <c r="N32" s="4" t="s">
        <v>136</v>
      </c>
      <c r="O32" s="4"/>
      <c r="P32" s="4"/>
      <c r="Q32" s="5">
        <v>54610</v>
      </c>
      <c r="R32" s="36"/>
      <c r="S32" s="36"/>
      <c r="T32" s="37"/>
      <c r="U32" s="5">
        <f t="shared" si="1"/>
        <v>54610</v>
      </c>
      <c r="V32" s="5">
        <f t="shared" si="2"/>
        <v>1733867.5</v>
      </c>
      <c r="W32" s="5">
        <f t="shared" si="5"/>
        <v>312096.14999999997</v>
      </c>
      <c r="X32" s="5"/>
      <c r="Y32" s="5"/>
      <c r="Z32" s="43"/>
      <c r="AA32" s="23">
        <f t="shared" si="3"/>
        <v>0</v>
      </c>
      <c r="AB32" s="43"/>
      <c r="AC32" s="43"/>
      <c r="AD32" s="46"/>
      <c r="AE32" s="5">
        <f t="shared" si="4"/>
        <v>2045963.65</v>
      </c>
      <c r="AF32" s="47" t="s">
        <v>195</v>
      </c>
      <c r="AG32" s="44" t="s">
        <v>161</v>
      </c>
      <c r="AH32" s="13">
        <v>31.75</v>
      </c>
      <c r="AI32" s="12"/>
      <c r="AJ32" s="40"/>
      <c r="AK32" s="40"/>
    </row>
    <row r="33" spans="2:37" s="41" customFormat="1" ht="16.149999999999999" customHeight="1">
      <c r="B33" s="1"/>
      <c r="C33" s="1"/>
      <c r="D33" s="4"/>
      <c r="E33" s="1" t="s">
        <v>35</v>
      </c>
      <c r="F33" s="13">
        <v>31.73</v>
      </c>
      <c r="G33" s="14">
        <f t="shared" si="0"/>
        <v>31730</v>
      </c>
      <c r="H33" s="49">
        <v>15</v>
      </c>
      <c r="I33" s="12" t="s">
        <v>80</v>
      </c>
      <c r="J33" s="3" t="s">
        <v>72</v>
      </c>
      <c r="K33" s="4" t="s">
        <v>137</v>
      </c>
      <c r="L33" s="4"/>
      <c r="M33" s="3" t="s">
        <v>126</v>
      </c>
      <c r="N33" s="4" t="s">
        <v>53</v>
      </c>
      <c r="O33" s="4"/>
      <c r="P33" s="4"/>
      <c r="Q33" s="5">
        <v>54610</v>
      </c>
      <c r="R33" s="36"/>
      <c r="S33" s="36"/>
      <c r="T33" s="37"/>
      <c r="U33" s="5">
        <f t="shared" si="1"/>
        <v>54610</v>
      </c>
      <c r="V33" s="5">
        <f t="shared" si="2"/>
        <v>1732775.3</v>
      </c>
      <c r="W33" s="5">
        <f t="shared" si="5"/>
        <v>311899.554</v>
      </c>
      <c r="X33" s="5"/>
      <c r="Y33" s="5"/>
      <c r="Z33" s="43"/>
      <c r="AA33" s="23">
        <f t="shared" si="3"/>
        <v>0</v>
      </c>
      <c r="AB33" s="43"/>
      <c r="AC33" s="43"/>
      <c r="AD33" s="46"/>
      <c r="AE33" s="5">
        <f t="shared" si="4"/>
        <v>2044674.8540000001</v>
      </c>
      <c r="AF33" s="47" t="s">
        <v>196</v>
      </c>
      <c r="AG33" s="44" t="s">
        <v>161</v>
      </c>
      <c r="AH33" s="13">
        <v>31.73</v>
      </c>
      <c r="AI33" s="12"/>
      <c r="AJ33" s="40"/>
      <c r="AK33" s="40"/>
    </row>
    <row r="34" spans="2:37" s="41" customFormat="1" ht="16.149999999999999" customHeight="1">
      <c r="B34" s="1"/>
      <c r="C34" s="1"/>
      <c r="D34" s="4"/>
      <c r="E34" s="1" t="s">
        <v>35</v>
      </c>
      <c r="F34" s="13">
        <v>32.01</v>
      </c>
      <c r="G34" s="14">
        <f t="shared" si="0"/>
        <v>32009.999999999996</v>
      </c>
      <c r="H34" s="49">
        <v>15</v>
      </c>
      <c r="I34" s="12" t="s">
        <v>80</v>
      </c>
      <c r="J34" s="3" t="s">
        <v>72</v>
      </c>
      <c r="K34" s="4" t="s">
        <v>137</v>
      </c>
      <c r="L34" s="4"/>
      <c r="M34" s="3" t="s">
        <v>126</v>
      </c>
      <c r="N34" s="4" t="s">
        <v>48</v>
      </c>
      <c r="O34" s="4"/>
      <c r="P34" s="4"/>
      <c r="Q34" s="5">
        <v>54610</v>
      </c>
      <c r="R34" s="36"/>
      <c r="S34" s="36"/>
      <c r="T34" s="37"/>
      <c r="U34" s="5">
        <f t="shared" si="1"/>
        <v>54610</v>
      </c>
      <c r="V34" s="5">
        <f t="shared" si="2"/>
        <v>1748066.0999999999</v>
      </c>
      <c r="W34" s="5">
        <f t="shared" si="5"/>
        <v>314651.89799999999</v>
      </c>
      <c r="X34" s="5"/>
      <c r="Y34" s="5"/>
      <c r="Z34" s="43"/>
      <c r="AA34" s="23">
        <f t="shared" si="3"/>
        <v>0</v>
      </c>
      <c r="AB34" s="43"/>
      <c r="AC34" s="43"/>
      <c r="AD34" s="46"/>
      <c r="AE34" s="5">
        <f t="shared" si="4"/>
        <v>2062717.9979999999</v>
      </c>
      <c r="AF34" s="47" t="s">
        <v>197</v>
      </c>
      <c r="AG34" s="44" t="s">
        <v>161</v>
      </c>
      <c r="AH34" s="13">
        <v>32.01</v>
      </c>
      <c r="AI34" s="12"/>
      <c r="AJ34" s="40"/>
      <c r="AK34" s="40"/>
    </row>
    <row r="35" spans="2:37" s="41" customFormat="1" ht="16.149999999999999" customHeight="1">
      <c r="B35" s="1"/>
      <c r="C35" s="1"/>
      <c r="D35" s="4"/>
      <c r="E35" s="1" t="s">
        <v>35</v>
      </c>
      <c r="F35" s="13">
        <v>31.87</v>
      </c>
      <c r="G35" s="14">
        <f t="shared" si="0"/>
        <v>31870</v>
      </c>
      <c r="H35" s="49">
        <v>15</v>
      </c>
      <c r="I35" s="12" t="s">
        <v>80</v>
      </c>
      <c r="J35" s="3" t="s">
        <v>72</v>
      </c>
      <c r="K35" s="4" t="s">
        <v>138</v>
      </c>
      <c r="L35" s="4"/>
      <c r="M35" s="3" t="s">
        <v>126</v>
      </c>
      <c r="N35" s="4" t="s">
        <v>47</v>
      </c>
      <c r="O35" s="4"/>
      <c r="P35" s="4"/>
      <c r="Q35" s="5">
        <v>54610</v>
      </c>
      <c r="R35" s="36"/>
      <c r="S35" s="36"/>
      <c r="T35" s="37"/>
      <c r="U35" s="5">
        <f t="shared" si="1"/>
        <v>54610</v>
      </c>
      <c r="V35" s="5">
        <f t="shared" si="2"/>
        <v>1740420.7</v>
      </c>
      <c r="W35" s="5">
        <f t="shared" si="5"/>
        <v>313275.72599999997</v>
      </c>
      <c r="X35" s="5"/>
      <c r="Y35" s="5"/>
      <c r="Z35" s="43"/>
      <c r="AA35" s="23">
        <f t="shared" si="3"/>
        <v>0</v>
      </c>
      <c r="AB35" s="43"/>
      <c r="AC35" s="43"/>
      <c r="AD35" s="46"/>
      <c r="AE35" s="5">
        <f t="shared" si="4"/>
        <v>2053696.426</v>
      </c>
      <c r="AF35" s="47" t="s">
        <v>198</v>
      </c>
      <c r="AG35" s="44" t="s">
        <v>161</v>
      </c>
      <c r="AH35" s="13">
        <v>31.87</v>
      </c>
      <c r="AI35" s="12"/>
      <c r="AJ35" s="40"/>
      <c r="AK35" s="40"/>
    </row>
    <row r="36" spans="2:37" s="41" customFormat="1" ht="16.149999999999999" customHeight="1">
      <c r="B36" s="1"/>
      <c r="C36" s="1"/>
      <c r="D36" s="4"/>
      <c r="E36" s="1" t="s">
        <v>35</v>
      </c>
      <c r="F36" s="13">
        <v>31.83</v>
      </c>
      <c r="G36" s="14">
        <f t="shared" si="0"/>
        <v>31830</v>
      </c>
      <c r="H36" s="49">
        <v>15</v>
      </c>
      <c r="I36" s="12" t="s">
        <v>80</v>
      </c>
      <c r="J36" s="3" t="s">
        <v>72</v>
      </c>
      <c r="K36" s="4" t="s">
        <v>139</v>
      </c>
      <c r="L36" s="4"/>
      <c r="M36" s="3" t="s">
        <v>126</v>
      </c>
      <c r="N36" s="4" t="s">
        <v>54</v>
      </c>
      <c r="O36" s="4"/>
      <c r="P36" s="4"/>
      <c r="Q36" s="5">
        <v>54610</v>
      </c>
      <c r="R36" s="36"/>
      <c r="S36" s="36"/>
      <c r="T36" s="37"/>
      <c r="U36" s="5">
        <f t="shared" si="1"/>
        <v>54610</v>
      </c>
      <c r="V36" s="5">
        <f t="shared" si="2"/>
        <v>1738236.2999999998</v>
      </c>
      <c r="W36" s="5">
        <f t="shared" si="5"/>
        <v>312882.53399999993</v>
      </c>
      <c r="X36" s="5"/>
      <c r="Y36" s="5"/>
      <c r="Z36" s="43"/>
      <c r="AA36" s="23">
        <f t="shared" si="3"/>
        <v>0</v>
      </c>
      <c r="AB36" s="43"/>
      <c r="AC36" s="43"/>
      <c r="AD36" s="46"/>
      <c r="AE36" s="5">
        <f t="shared" si="4"/>
        <v>2051118.8339999998</v>
      </c>
      <c r="AF36" s="47" t="s">
        <v>199</v>
      </c>
      <c r="AG36" s="44" t="s">
        <v>161</v>
      </c>
      <c r="AH36" s="13">
        <v>31.83</v>
      </c>
      <c r="AI36" s="12"/>
      <c r="AJ36" s="40"/>
      <c r="AK36" s="40"/>
    </row>
    <row r="37" spans="2:37" s="41" customFormat="1" ht="16.149999999999999" customHeight="1">
      <c r="B37" s="1"/>
      <c r="C37" s="1"/>
      <c r="D37" s="4"/>
      <c r="E37" s="1" t="s">
        <v>35</v>
      </c>
      <c r="F37" s="13">
        <v>31.9</v>
      </c>
      <c r="G37" s="14">
        <f t="shared" si="0"/>
        <v>31900</v>
      </c>
      <c r="H37" s="49">
        <v>15</v>
      </c>
      <c r="I37" s="12" t="s">
        <v>80</v>
      </c>
      <c r="J37" s="3" t="s">
        <v>72</v>
      </c>
      <c r="K37" s="4" t="s">
        <v>140</v>
      </c>
      <c r="L37" s="4"/>
      <c r="M37" s="3" t="s">
        <v>126</v>
      </c>
      <c r="N37" s="4" t="s">
        <v>50</v>
      </c>
      <c r="O37" s="4"/>
      <c r="P37" s="4"/>
      <c r="Q37" s="5">
        <v>54610</v>
      </c>
      <c r="R37" s="36"/>
      <c r="S37" s="36"/>
      <c r="T37" s="37"/>
      <c r="U37" s="5">
        <f t="shared" si="1"/>
        <v>54610</v>
      </c>
      <c r="V37" s="5">
        <f t="shared" si="2"/>
        <v>1742059</v>
      </c>
      <c r="W37" s="5">
        <f t="shared" si="5"/>
        <v>313570.62</v>
      </c>
      <c r="X37" s="5"/>
      <c r="Y37" s="5"/>
      <c r="Z37" s="43"/>
      <c r="AA37" s="23">
        <f t="shared" si="3"/>
        <v>0</v>
      </c>
      <c r="AB37" s="43"/>
      <c r="AC37" s="43"/>
      <c r="AD37" s="46"/>
      <c r="AE37" s="5">
        <f t="shared" si="4"/>
        <v>2055629.62</v>
      </c>
      <c r="AF37" s="47" t="s">
        <v>200</v>
      </c>
      <c r="AG37" s="44" t="s">
        <v>161</v>
      </c>
      <c r="AH37" s="13">
        <v>31.9</v>
      </c>
      <c r="AI37" s="12"/>
      <c r="AJ37" s="40"/>
      <c r="AK37" s="40"/>
    </row>
    <row r="38" spans="2:37" s="41" customFormat="1" ht="16.149999999999999" customHeight="1">
      <c r="B38" s="1"/>
      <c r="C38" s="1"/>
      <c r="D38" s="4"/>
      <c r="E38" s="1" t="s">
        <v>35</v>
      </c>
      <c r="F38" s="13">
        <v>31.9</v>
      </c>
      <c r="G38" s="14">
        <f t="shared" si="0"/>
        <v>31900</v>
      </c>
      <c r="H38" s="49">
        <v>15</v>
      </c>
      <c r="I38" s="12" t="s">
        <v>80</v>
      </c>
      <c r="J38" s="3" t="s">
        <v>72</v>
      </c>
      <c r="K38" s="4" t="s">
        <v>141</v>
      </c>
      <c r="L38" s="4"/>
      <c r="M38" s="3" t="s">
        <v>126</v>
      </c>
      <c r="N38" s="4" t="s">
        <v>43</v>
      </c>
      <c r="O38" s="4"/>
      <c r="P38" s="4"/>
      <c r="Q38" s="5">
        <v>54610</v>
      </c>
      <c r="R38" s="36"/>
      <c r="S38" s="36"/>
      <c r="T38" s="37"/>
      <c r="U38" s="5">
        <f t="shared" si="1"/>
        <v>54610</v>
      </c>
      <c r="V38" s="5">
        <f t="shared" si="2"/>
        <v>1742059</v>
      </c>
      <c r="W38" s="5">
        <f t="shared" si="5"/>
        <v>313570.62</v>
      </c>
      <c r="X38" s="5"/>
      <c r="Y38" s="5"/>
      <c r="Z38" s="43"/>
      <c r="AA38" s="23">
        <f t="shared" si="3"/>
        <v>0</v>
      </c>
      <c r="AB38" s="43"/>
      <c r="AC38" s="43"/>
      <c r="AD38" s="46"/>
      <c r="AE38" s="5">
        <f t="shared" si="4"/>
        <v>2055629.62</v>
      </c>
      <c r="AF38" s="47" t="s">
        <v>201</v>
      </c>
      <c r="AG38" s="44" t="s">
        <v>161</v>
      </c>
      <c r="AH38" s="13">
        <v>31.9</v>
      </c>
      <c r="AI38" s="12"/>
      <c r="AJ38" s="40"/>
      <c r="AK38" s="40"/>
    </row>
    <row r="39" spans="2:37" s="41" customFormat="1" ht="16.149999999999999" customHeight="1">
      <c r="B39" s="1"/>
      <c r="C39" s="1"/>
      <c r="D39" s="4"/>
      <c r="E39" s="1" t="s">
        <v>35</v>
      </c>
      <c r="F39" s="13">
        <v>31.85</v>
      </c>
      <c r="G39" s="14">
        <f t="shared" si="0"/>
        <v>31850</v>
      </c>
      <c r="H39" s="49">
        <v>16</v>
      </c>
      <c r="I39" s="12" t="s">
        <v>80</v>
      </c>
      <c r="J39" s="3" t="s">
        <v>72</v>
      </c>
      <c r="K39" s="4" t="s">
        <v>142</v>
      </c>
      <c r="L39" s="4"/>
      <c r="M39" s="3" t="s">
        <v>126</v>
      </c>
      <c r="N39" s="4" t="s">
        <v>46</v>
      </c>
      <c r="O39" s="4"/>
      <c r="P39" s="4"/>
      <c r="Q39" s="5">
        <v>54610</v>
      </c>
      <c r="R39" s="36"/>
      <c r="S39" s="36"/>
      <c r="T39" s="37"/>
      <c r="U39" s="5">
        <f t="shared" si="1"/>
        <v>54610</v>
      </c>
      <c r="V39" s="5">
        <f t="shared" si="2"/>
        <v>1739328.5</v>
      </c>
      <c r="W39" s="5">
        <f t="shared" si="5"/>
        <v>313079.13</v>
      </c>
      <c r="X39" s="5"/>
      <c r="Y39" s="5"/>
      <c r="Z39" s="43"/>
      <c r="AA39" s="23">
        <f t="shared" si="3"/>
        <v>0</v>
      </c>
      <c r="AB39" s="43"/>
      <c r="AC39" s="43"/>
      <c r="AD39" s="46"/>
      <c r="AE39" s="5">
        <f t="shared" si="4"/>
        <v>2052407.63</v>
      </c>
      <c r="AF39" s="47" t="s">
        <v>202</v>
      </c>
      <c r="AG39" s="44" t="s">
        <v>161</v>
      </c>
      <c r="AH39" s="13">
        <v>31.85</v>
      </c>
      <c r="AI39" s="12"/>
      <c r="AJ39" s="40"/>
      <c r="AK39" s="40"/>
    </row>
    <row r="40" spans="2:37" s="41" customFormat="1" ht="16.149999999999999" customHeight="1">
      <c r="B40" s="1"/>
      <c r="C40" s="1"/>
      <c r="D40" s="4"/>
      <c r="E40" s="1" t="s">
        <v>35</v>
      </c>
      <c r="F40" s="13">
        <v>31.96</v>
      </c>
      <c r="G40" s="14">
        <f t="shared" si="0"/>
        <v>31960</v>
      </c>
      <c r="H40" s="49">
        <v>15</v>
      </c>
      <c r="I40" s="12" t="s">
        <v>80</v>
      </c>
      <c r="J40" s="3" t="s">
        <v>72</v>
      </c>
      <c r="K40" s="4" t="s">
        <v>143</v>
      </c>
      <c r="L40" s="4"/>
      <c r="M40" s="3" t="s">
        <v>126</v>
      </c>
      <c r="N40" s="4" t="s">
        <v>38</v>
      </c>
      <c r="O40" s="4"/>
      <c r="P40" s="4"/>
      <c r="Q40" s="5">
        <v>54610</v>
      </c>
      <c r="R40" s="36"/>
      <c r="S40" s="36"/>
      <c r="T40" s="37"/>
      <c r="U40" s="5">
        <f t="shared" si="1"/>
        <v>54610</v>
      </c>
      <c r="V40" s="5">
        <f t="shared" si="2"/>
        <v>1745335.6</v>
      </c>
      <c r="W40" s="5">
        <f t="shared" si="5"/>
        <v>314160.408</v>
      </c>
      <c r="X40" s="5"/>
      <c r="Y40" s="5"/>
      <c r="Z40" s="43"/>
      <c r="AA40" s="23">
        <f t="shared" si="3"/>
        <v>0</v>
      </c>
      <c r="AB40" s="43"/>
      <c r="AC40" s="43"/>
      <c r="AD40" s="46"/>
      <c r="AE40" s="5">
        <f t="shared" si="4"/>
        <v>2059496.0080000001</v>
      </c>
      <c r="AF40" s="47" t="s">
        <v>203</v>
      </c>
      <c r="AG40" s="44" t="s">
        <v>161</v>
      </c>
      <c r="AH40" s="13">
        <v>31.96</v>
      </c>
      <c r="AI40" s="12"/>
      <c r="AJ40" s="40"/>
      <c r="AK40" s="40"/>
    </row>
    <row r="41" spans="2:37" s="41" customFormat="1" ht="16.149999999999999" customHeight="1">
      <c r="B41" s="1"/>
      <c r="C41" s="1"/>
      <c r="D41" s="4"/>
      <c r="E41" s="1" t="s">
        <v>35</v>
      </c>
      <c r="F41" s="13">
        <v>41.4</v>
      </c>
      <c r="G41" s="14">
        <f t="shared" si="0"/>
        <v>41400</v>
      </c>
      <c r="H41" s="49">
        <v>20</v>
      </c>
      <c r="I41" s="12" t="s">
        <v>80</v>
      </c>
      <c r="J41" s="3" t="s">
        <v>72</v>
      </c>
      <c r="K41" s="4" t="s">
        <v>144</v>
      </c>
      <c r="L41" s="4"/>
      <c r="M41" s="3" t="s">
        <v>126</v>
      </c>
      <c r="N41" s="4" t="s">
        <v>56</v>
      </c>
      <c r="O41" s="4"/>
      <c r="P41" s="4"/>
      <c r="Q41" s="5">
        <v>54610</v>
      </c>
      <c r="R41" s="36"/>
      <c r="S41" s="36"/>
      <c r="T41" s="37"/>
      <c r="U41" s="5">
        <f t="shared" si="1"/>
        <v>54610</v>
      </c>
      <c r="V41" s="5">
        <f t="shared" si="2"/>
        <v>2260854</v>
      </c>
      <c r="W41" s="5">
        <f t="shared" si="5"/>
        <v>406953.72</v>
      </c>
      <c r="X41" s="5"/>
      <c r="Y41" s="5"/>
      <c r="Z41" s="43"/>
      <c r="AA41" s="23">
        <f t="shared" si="3"/>
        <v>0</v>
      </c>
      <c r="AB41" s="43"/>
      <c r="AC41" s="43"/>
      <c r="AD41" s="46"/>
      <c r="AE41" s="5">
        <f t="shared" si="4"/>
        <v>2667807.7199999997</v>
      </c>
      <c r="AF41" s="47" t="s">
        <v>204</v>
      </c>
      <c r="AG41" s="44" t="s">
        <v>161</v>
      </c>
      <c r="AH41" s="13">
        <v>41.4</v>
      </c>
      <c r="AI41" s="12"/>
      <c r="AJ41" s="40"/>
      <c r="AK41" s="40"/>
    </row>
    <row r="42" spans="2:37" s="41" customFormat="1" ht="16.149999999999999" customHeight="1">
      <c r="B42" s="1"/>
      <c r="C42" s="1"/>
      <c r="D42" s="4"/>
      <c r="E42" s="1" t="s">
        <v>35</v>
      </c>
      <c r="F42" s="13">
        <v>33.99</v>
      </c>
      <c r="G42" s="14">
        <f t="shared" si="0"/>
        <v>33990</v>
      </c>
      <c r="H42" s="49">
        <v>16</v>
      </c>
      <c r="I42" s="12" t="s">
        <v>80</v>
      </c>
      <c r="J42" s="3" t="s">
        <v>72</v>
      </c>
      <c r="K42" s="4" t="s">
        <v>145</v>
      </c>
      <c r="L42" s="4"/>
      <c r="M42" s="3" t="s">
        <v>146</v>
      </c>
      <c r="N42" s="4" t="s">
        <v>87</v>
      </c>
      <c r="O42" s="4"/>
      <c r="P42" s="4"/>
      <c r="Q42" s="5">
        <v>54610</v>
      </c>
      <c r="R42" s="36"/>
      <c r="S42" s="36"/>
      <c r="T42" s="37"/>
      <c r="U42" s="5">
        <f t="shared" si="1"/>
        <v>54610</v>
      </c>
      <c r="V42" s="5">
        <f t="shared" si="2"/>
        <v>1856193.9000000001</v>
      </c>
      <c r="W42" s="5">
        <f t="shared" si="5"/>
        <v>334114.902</v>
      </c>
      <c r="X42" s="5"/>
      <c r="Y42" s="5"/>
      <c r="Z42" s="43"/>
      <c r="AA42" s="23">
        <f t="shared" si="3"/>
        <v>0</v>
      </c>
      <c r="AB42" s="43"/>
      <c r="AC42" s="43"/>
      <c r="AD42" s="46"/>
      <c r="AE42" s="5">
        <f t="shared" si="4"/>
        <v>2190308.8020000001</v>
      </c>
      <c r="AF42" s="47" t="s">
        <v>205</v>
      </c>
      <c r="AG42" s="44" t="s">
        <v>161</v>
      </c>
      <c r="AH42" s="13">
        <v>33.99</v>
      </c>
      <c r="AI42" s="12"/>
      <c r="AJ42" s="40"/>
      <c r="AK42" s="40"/>
    </row>
    <row r="43" spans="2:37" s="41" customFormat="1" ht="16.149999999999999" customHeight="1">
      <c r="B43" s="1"/>
      <c r="C43" s="1"/>
      <c r="D43" s="4"/>
      <c r="E43" s="1" t="s">
        <v>35</v>
      </c>
      <c r="F43" s="13">
        <v>34.03</v>
      </c>
      <c r="G43" s="14">
        <f t="shared" si="0"/>
        <v>34030</v>
      </c>
      <c r="H43" s="49">
        <v>16</v>
      </c>
      <c r="I43" s="12" t="s">
        <v>80</v>
      </c>
      <c r="J43" s="3" t="s">
        <v>72</v>
      </c>
      <c r="K43" s="4" t="s">
        <v>147</v>
      </c>
      <c r="L43" s="4"/>
      <c r="M43" s="3" t="s">
        <v>146</v>
      </c>
      <c r="N43" s="4" t="s">
        <v>40</v>
      </c>
      <c r="O43" s="4"/>
      <c r="P43" s="4"/>
      <c r="Q43" s="5">
        <v>54610</v>
      </c>
      <c r="R43" s="36"/>
      <c r="S43" s="36"/>
      <c r="T43" s="37"/>
      <c r="U43" s="5">
        <f t="shared" si="1"/>
        <v>54610</v>
      </c>
      <c r="V43" s="5">
        <f t="shared" si="2"/>
        <v>1858378.3</v>
      </c>
      <c r="W43" s="5">
        <f t="shared" si="5"/>
        <v>334508.09399999998</v>
      </c>
      <c r="X43" s="5"/>
      <c r="Y43" s="5"/>
      <c r="Z43" s="43"/>
      <c r="AA43" s="23">
        <f t="shared" si="3"/>
        <v>0</v>
      </c>
      <c r="AB43" s="43"/>
      <c r="AC43" s="43"/>
      <c r="AD43" s="46"/>
      <c r="AE43" s="5">
        <f t="shared" si="4"/>
        <v>2192886.3939999999</v>
      </c>
      <c r="AF43" s="47" t="s">
        <v>206</v>
      </c>
      <c r="AG43" s="44" t="s">
        <v>161</v>
      </c>
      <c r="AH43" s="13">
        <v>34.03</v>
      </c>
      <c r="AI43" s="12"/>
      <c r="AJ43" s="40"/>
      <c r="AK43" s="40"/>
    </row>
    <row r="44" spans="2:37" s="41" customFormat="1" ht="16.149999999999999" customHeight="1">
      <c r="B44" s="1"/>
      <c r="C44" s="1"/>
      <c r="D44" s="4"/>
      <c r="E44" s="1" t="s">
        <v>35</v>
      </c>
      <c r="F44" s="13">
        <v>31.93</v>
      </c>
      <c r="G44" s="14">
        <f t="shared" si="0"/>
        <v>31930</v>
      </c>
      <c r="H44" s="49">
        <v>15</v>
      </c>
      <c r="I44" s="12" t="s">
        <v>80</v>
      </c>
      <c r="J44" s="3" t="s">
        <v>72</v>
      </c>
      <c r="K44" s="4" t="s">
        <v>148</v>
      </c>
      <c r="L44" s="4"/>
      <c r="M44" s="3" t="s">
        <v>146</v>
      </c>
      <c r="N44" s="4" t="s">
        <v>78</v>
      </c>
      <c r="O44" s="4"/>
      <c r="P44" s="4"/>
      <c r="Q44" s="5">
        <v>54610</v>
      </c>
      <c r="R44" s="36"/>
      <c r="S44" s="36"/>
      <c r="T44" s="37"/>
      <c r="U44" s="5">
        <f t="shared" si="1"/>
        <v>54610</v>
      </c>
      <c r="V44" s="5">
        <f t="shared" si="2"/>
        <v>1743697.3</v>
      </c>
      <c r="W44" s="5">
        <f t="shared" si="5"/>
        <v>313865.51400000002</v>
      </c>
      <c r="X44" s="5"/>
      <c r="Y44" s="5"/>
      <c r="Z44" s="43"/>
      <c r="AA44" s="23">
        <f t="shared" si="3"/>
        <v>0</v>
      </c>
      <c r="AB44" s="43"/>
      <c r="AC44" s="43"/>
      <c r="AD44" s="46"/>
      <c r="AE44" s="5">
        <f t="shared" si="4"/>
        <v>2057562.814</v>
      </c>
      <c r="AF44" s="47" t="s">
        <v>207</v>
      </c>
      <c r="AG44" s="44" t="s">
        <v>161</v>
      </c>
      <c r="AH44" s="13">
        <v>31.93</v>
      </c>
      <c r="AI44" s="12"/>
      <c r="AJ44" s="40"/>
      <c r="AK44" s="40"/>
    </row>
    <row r="45" spans="2:37" s="41" customFormat="1" ht="16.149999999999999" customHeight="1">
      <c r="B45" s="1"/>
      <c r="C45" s="1"/>
      <c r="D45" s="4"/>
      <c r="E45" s="1" t="s">
        <v>35</v>
      </c>
      <c r="F45" s="13">
        <v>31.84</v>
      </c>
      <c r="G45" s="14">
        <f t="shared" si="0"/>
        <v>31840</v>
      </c>
      <c r="H45" s="49">
        <v>15</v>
      </c>
      <c r="I45" s="83" t="s">
        <v>80</v>
      </c>
      <c r="J45" s="3" t="s">
        <v>72</v>
      </c>
      <c r="K45" s="4" t="s">
        <v>149</v>
      </c>
      <c r="L45" s="4"/>
      <c r="M45" s="3" t="s">
        <v>146</v>
      </c>
      <c r="N45" s="4" t="s">
        <v>63</v>
      </c>
      <c r="O45" s="4"/>
      <c r="P45" s="4"/>
      <c r="Q45" s="5">
        <v>54610</v>
      </c>
      <c r="R45" s="36"/>
      <c r="S45" s="36"/>
      <c r="T45" s="37"/>
      <c r="U45" s="5">
        <f t="shared" si="1"/>
        <v>54610</v>
      </c>
      <c r="V45" s="5">
        <f t="shared" si="2"/>
        <v>1738782.4</v>
      </c>
      <c r="W45" s="5">
        <f t="shared" si="5"/>
        <v>312980.83199999999</v>
      </c>
      <c r="X45" s="5"/>
      <c r="Y45" s="5"/>
      <c r="Z45" s="43"/>
      <c r="AA45" s="23">
        <f t="shared" si="3"/>
        <v>0</v>
      </c>
      <c r="AB45" s="43"/>
      <c r="AC45" s="43"/>
      <c r="AD45" s="46"/>
      <c r="AE45" s="5">
        <f t="shared" si="4"/>
        <v>2051763.2319999998</v>
      </c>
      <c r="AF45" s="47" t="s">
        <v>208</v>
      </c>
      <c r="AG45" s="44" t="s">
        <v>161</v>
      </c>
      <c r="AH45" s="13">
        <v>31.84</v>
      </c>
      <c r="AI45" s="12"/>
      <c r="AJ45" s="40"/>
      <c r="AK45" s="40"/>
    </row>
    <row r="46" spans="2:37" s="41" customFormat="1" ht="16.149999999999999" customHeight="1">
      <c r="B46" s="1"/>
      <c r="C46" s="1"/>
      <c r="D46" s="4"/>
      <c r="E46" s="1" t="s">
        <v>35</v>
      </c>
      <c r="F46" s="13">
        <v>31.74</v>
      </c>
      <c r="G46" s="14">
        <f t="shared" si="0"/>
        <v>31740</v>
      </c>
      <c r="H46" s="49">
        <v>15</v>
      </c>
      <c r="I46" s="12" t="s">
        <v>80</v>
      </c>
      <c r="J46" s="3" t="s">
        <v>72</v>
      </c>
      <c r="K46" s="4" t="s">
        <v>150</v>
      </c>
      <c r="L46" s="4"/>
      <c r="M46" s="3" t="s">
        <v>146</v>
      </c>
      <c r="N46" s="4" t="s">
        <v>51</v>
      </c>
      <c r="O46" s="4"/>
      <c r="P46" s="4"/>
      <c r="Q46" s="5">
        <v>54610</v>
      </c>
      <c r="R46" s="36"/>
      <c r="S46" s="36"/>
      <c r="T46" s="37"/>
      <c r="U46" s="5">
        <f t="shared" si="1"/>
        <v>54610</v>
      </c>
      <c r="V46" s="5">
        <f t="shared" si="2"/>
        <v>1733321.4</v>
      </c>
      <c r="W46" s="5">
        <f t="shared" si="5"/>
        <v>311997.85199999996</v>
      </c>
      <c r="X46" s="5"/>
      <c r="Y46" s="5"/>
      <c r="Z46" s="43"/>
      <c r="AA46" s="23">
        <f t="shared" si="3"/>
        <v>0</v>
      </c>
      <c r="AB46" s="43"/>
      <c r="AC46" s="43"/>
      <c r="AD46" s="46"/>
      <c r="AE46" s="5">
        <f t="shared" si="4"/>
        <v>2045319.2519999999</v>
      </c>
      <c r="AF46" s="47" t="s">
        <v>209</v>
      </c>
      <c r="AG46" s="44" t="s">
        <v>161</v>
      </c>
      <c r="AH46" s="13">
        <v>31.74</v>
      </c>
      <c r="AI46" s="12"/>
      <c r="AJ46" s="40"/>
      <c r="AK46" s="40"/>
    </row>
    <row r="47" spans="2:37" s="41" customFormat="1" ht="16.149999999999999" customHeight="1">
      <c r="B47" s="1"/>
      <c r="C47" s="1"/>
      <c r="D47" s="4"/>
      <c r="E47" s="1" t="s">
        <v>35</v>
      </c>
      <c r="F47" s="13">
        <v>34.08</v>
      </c>
      <c r="G47" s="14">
        <f t="shared" si="0"/>
        <v>34080</v>
      </c>
      <c r="H47" s="49">
        <v>16</v>
      </c>
      <c r="I47" s="12" t="s">
        <v>80</v>
      </c>
      <c r="J47" s="3" t="s">
        <v>72</v>
      </c>
      <c r="K47" s="4" t="s">
        <v>151</v>
      </c>
      <c r="L47" s="4"/>
      <c r="M47" s="3" t="s">
        <v>146</v>
      </c>
      <c r="N47" s="4" t="s">
        <v>45</v>
      </c>
      <c r="O47" s="4"/>
      <c r="P47" s="4"/>
      <c r="Q47" s="5">
        <v>54610</v>
      </c>
      <c r="R47" s="36"/>
      <c r="S47" s="36"/>
      <c r="T47" s="37"/>
      <c r="U47" s="5">
        <f t="shared" si="1"/>
        <v>54610</v>
      </c>
      <c r="V47" s="5">
        <f t="shared" si="2"/>
        <v>1861108.7999999998</v>
      </c>
      <c r="W47" s="5">
        <f t="shared" si="5"/>
        <v>334999.58399999997</v>
      </c>
      <c r="X47" s="5"/>
      <c r="Y47" s="5"/>
      <c r="Z47" s="43"/>
      <c r="AA47" s="23">
        <f t="shared" si="3"/>
        <v>0</v>
      </c>
      <c r="AB47" s="43"/>
      <c r="AC47" s="43"/>
      <c r="AD47" s="46"/>
      <c r="AE47" s="5">
        <f t="shared" si="4"/>
        <v>2196108.3839999996</v>
      </c>
      <c r="AF47" s="47" t="s">
        <v>210</v>
      </c>
      <c r="AG47" s="44" t="s">
        <v>161</v>
      </c>
      <c r="AH47" s="13">
        <v>34.08</v>
      </c>
      <c r="AI47" s="12"/>
      <c r="AJ47" s="40"/>
      <c r="AK47" s="40"/>
    </row>
    <row r="48" spans="2:37" s="41" customFormat="1" ht="16.149999999999999" customHeight="1">
      <c r="B48" s="1"/>
      <c r="C48" s="1"/>
      <c r="D48" s="4"/>
      <c r="E48" s="1" t="s">
        <v>35</v>
      </c>
      <c r="F48" s="13">
        <v>34.119999999999997</v>
      </c>
      <c r="G48" s="14">
        <f t="shared" si="0"/>
        <v>34120</v>
      </c>
      <c r="H48" s="49">
        <v>16</v>
      </c>
      <c r="I48" s="93" t="s">
        <v>153</v>
      </c>
      <c r="J48" s="3" t="s">
        <v>72</v>
      </c>
      <c r="K48" s="4" t="s">
        <v>156</v>
      </c>
      <c r="L48" s="4"/>
      <c r="M48" s="3" t="s">
        <v>146</v>
      </c>
      <c r="N48" s="4" t="s">
        <v>157</v>
      </c>
      <c r="O48" s="4"/>
      <c r="P48" s="4"/>
      <c r="Q48" s="5">
        <v>54610</v>
      </c>
      <c r="R48" s="36"/>
      <c r="S48" s="36"/>
      <c r="T48" s="37"/>
      <c r="U48" s="5">
        <f t="shared" si="1"/>
        <v>54610</v>
      </c>
      <c r="V48" s="5">
        <f t="shared" si="2"/>
        <v>1863293.2</v>
      </c>
      <c r="W48" s="5">
        <f t="shared" si="5"/>
        <v>335392.77599999995</v>
      </c>
      <c r="X48" s="5"/>
      <c r="Y48" s="5"/>
      <c r="Z48" s="43"/>
      <c r="AA48" s="23">
        <f t="shared" si="3"/>
        <v>0</v>
      </c>
      <c r="AB48" s="43"/>
      <c r="AC48" s="43"/>
      <c r="AD48" s="46"/>
      <c r="AE48" s="5">
        <f t="shared" si="4"/>
        <v>2198685.9759999998</v>
      </c>
      <c r="AF48" s="47" t="s">
        <v>211</v>
      </c>
      <c r="AG48" s="44" t="s">
        <v>161</v>
      </c>
      <c r="AH48" s="13">
        <v>34.119999999999997</v>
      </c>
      <c r="AI48" s="12"/>
      <c r="AJ48" s="40"/>
      <c r="AK48" s="40"/>
    </row>
    <row r="49" spans="2:37" s="41" customFormat="1" ht="16.149999999999999" customHeight="1">
      <c r="B49" s="1"/>
      <c r="C49" s="1"/>
      <c r="D49" s="4"/>
      <c r="E49" s="1" t="s">
        <v>35</v>
      </c>
      <c r="F49" s="13">
        <v>20.837</v>
      </c>
      <c r="G49" s="14">
        <f t="shared" ref="G49" si="6">+F49*1000</f>
        <v>20837</v>
      </c>
      <c r="H49" s="49">
        <v>10</v>
      </c>
      <c r="I49" s="77" t="s">
        <v>153</v>
      </c>
      <c r="J49" s="3" t="s">
        <v>72</v>
      </c>
      <c r="K49" s="4" t="s">
        <v>158</v>
      </c>
      <c r="L49" s="4"/>
      <c r="M49" s="3" t="s">
        <v>146</v>
      </c>
      <c r="N49" s="4" t="s">
        <v>159</v>
      </c>
      <c r="O49" s="4"/>
      <c r="P49" s="4"/>
      <c r="Q49" s="5">
        <v>54610</v>
      </c>
      <c r="R49" s="36"/>
      <c r="S49" s="36"/>
      <c r="T49" s="37"/>
      <c r="U49" s="5">
        <f t="shared" ref="U49" si="7">S49+R49+Q49-T49</f>
        <v>54610</v>
      </c>
      <c r="V49" s="5">
        <f t="shared" ref="V49" si="8">F49*U49</f>
        <v>1137908.57</v>
      </c>
      <c r="W49" s="5">
        <f t="shared" ref="W49" si="9">V49*18%</f>
        <v>204823.54260000002</v>
      </c>
      <c r="X49" s="5"/>
      <c r="Y49" s="5"/>
      <c r="Z49" s="43"/>
      <c r="AA49" s="23">
        <f t="shared" ref="AA49" si="10">F49*Z49</f>
        <v>0</v>
      </c>
      <c r="AB49" s="43"/>
      <c r="AC49" s="43"/>
      <c r="AD49" s="46"/>
      <c r="AE49" s="5">
        <f t="shared" ref="AE49" si="11">+AB49+AA49+Y49+X49+W49+V49-AC49+AD49</f>
        <v>1342732.1126000001</v>
      </c>
      <c r="AF49" s="47" t="s">
        <v>212</v>
      </c>
      <c r="AG49" s="44" t="s">
        <v>161</v>
      </c>
      <c r="AH49" s="13">
        <v>31.016999999999999</v>
      </c>
      <c r="AI49" s="12"/>
      <c r="AJ49" s="40"/>
      <c r="AK49" s="40"/>
    </row>
    <row r="50" spans="2:37" s="41" customFormat="1" ht="16.149999999999999" customHeight="1">
      <c r="B50" s="1"/>
      <c r="C50" s="1"/>
      <c r="D50" s="4"/>
      <c r="E50" s="1" t="s">
        <v>35</v>
      </c>
      <c r="F50" s="13">
        <f>31.017+0.413-20.837</f>
        <v>10.593</v>
      </c>
      <c r="G50" s="14">
        <f t="shared" si="0"/>
        <v>10593</v>
      </c>
      <c r="H50" s="49">
        <f>15-5</f>
        <v>10</v>
      </c>
      <c r="I50" s="12" t="s">
        <v>80</v>
      </c>
      <c r="J50" s="3" t="s">
        <v>72</v>
      </c>
      <c r="K50" s="4" t="s">
        <v>158</v>
      </c>
      <c r="L50" s="4"/>
      <c r="M50" s="3" t="s">
        <v>146</v>
      </c>
      <c r="N50" s="4" t="s">
        <v>159</v>
      </c>
      <c r="O50" s="4"/>
      <c r="P50" s="4"/>
      <c r="Q50" s="5">
        <v>54610</v>
      </c>
      <c r="R50" s="36"/>
      <c r="S50" s="36"/>
      <c r="T50" s="37"/>
      <c r="U50" s="5">
        <f t="shared" si="1"/>
        <v>54610</v>
      </c>
      <c r="V50" s="5">
        <f t="shared" si="2"/>
        <v>578483.73</v>
      </c>
      <c r="W50" s="5">
        <f t="shared" si="5"/>
        <v>104127.07139999999</v>
      </c>
      <c r="X50" s="5"/>
      <c r="Y50" s="5"/>
      <c r="Z50" s="43"/>
      <c r="AA50" s="23">
        <f t="shared" si="3"/>
        <v>0</v>
      </c>
      <c r="AB50" s="43"/>
      <c r="AC50" s="43"/>
      <c r="AD50" s="46"/>
      <c r="AE50" s="5">
        <f t="shared" si="4"/>
        <v>682610.8014</v>
      </c>
      <c r="AF50" s="47" t="s">
        <v>212</v>
      </c>
      <c r="AG50" s="44" t="s">
        <v>161</v>
      </c>
      <c r="AH50" s="13">
        <v>31.016999999999999</v>
      </c>
      <c r="AI50" s="12"/>
      <c r="AJ50" s="40"/>
      <c r="AK50" s="40"/>
    </row>
    <row r="51" spans="2:37" s="41" customFormat="1">
      <c r="B51" s="6"/>
      <c r="C51" s="48"/>
      <c r="D51" s="6"/>
      <c r="E51" s="6"/>
      <c r="F51" s="158">
        <f>SUM(F3:F50)</f>
        <v>1535.6799999999998</v>
      </c>
      <c r="G51" s="20">
        <f>SUM(G3:G50)</f>
        <v>1535680</v>
      </c>
      <c r="H51" s="63"/>
      <c r="I51" s="2"/>
      <c r="J51" s="7"/>
      <c r="K51" s="7"/>
      <c r="L51" s="7"/>
      <c r="M51" s="2"/>
      <c r="N51" s="6"/>
      <c r="O51" s="6"/>
      <c r="P51" s="6"/>
      <c r="Q51" s="19"/>
      <c r="R51" s="9"/>
      <c r="S51" s="9"/>
      <c r="T51" s="10"/>
      <c r="U51" s="8"/>
      <c r="V51" s="21">
        <f>SUM(V3:V50)</f>
        <v>83863484.800000012</v>
      </c>
      <c r="W51" s="21">
        <f>SUM(W3:W48)</f>
        <v>14786476.650000002</v>
      </c>
      <c r="X51" s="21">
        <f>SUM(X3:X12)</f>
        <v>0</v>
      </c>
      <c r="Y51" s="21">
        <f>SUM(Y3:Y12)</f>
        <v>0</v>
      </c>
      <c r="Z51" s="21">
        <f>SUM(Z3:Z12)</f>
        <v>0</v>
      </c>
      <c r="AA51" s="21">
        <f>SUM(AA3:AA18)</f>
        <v>0</v>
      </c>
      <c r="AB51" s="21">
        <f>SUM(AB3:AB12)</f>
        <v>0</v>
      </c>
      <c r="AC51" s="21">
        <f>SUM(AC3:AC12)</f>
        <v>0</v>
      </c>
      <c r="AD51" s="21">
        <f>SUM(AD3:AD12)</f>
        <v>0</v>
      </c>
      <c r="AE51" s="21">
        <f>SUM(AE3:AE48)</f>
        <v>96933569.150000021</v>
      </c>
      <c r="AF51" s="21"/>
      <c r="AG51" s="42"/>
      <c r="AH51" s="27">
        <f>SUM(AH3:AH50)</f>
        <v>1566.2839999999999</v>
      </c>
      <c r="AI51" s="26">
        <f>AH51-F51</f>
        <v>30.604000000000042</v>
      </c>
      <c r="AJ51" s="41">
        <f>AA51/F51</f>
        <v>0</v>
      </c>
      <c r="AK51" s="40"/>
    </row>
    <row r="52" spans="2:37" s="58" customFormat="1">
      <c r="B52" s="1" t="s">
        <v>107</v>
      </c>
      <c r="C52" s="1" t="s">
        <v>71</v>
      </c>
      <c r="D52" s="1"/>
      <c r="E52" s="1" t="s">
        <v>35</v>
      </c>
      <c r="F52" s="51">
        <v>23</v>
      </c>
      <c r="G52" s="14">
        <f t="shared" si="0"/>
        <v>23000</v>
      </c>
      <c r="H52" s="64">
        <v>11</v>
      </c>
      <c r="I52" s="12" t="s">
        <v>109</v>
      </c>
      <c r="J52" s="3" t="s">
        <v>110</v>
      </c>
      <c r="K52" s="61" t="s">
        <v>111</v>
      </c>
      <c r="L52" s="61"/>
      <c r="M52" s="52" t="s">
        <v>105</v>
      </c>
      <c r="N52" s="80" t="s">
        <v>112</v>
      </c>
      <c r="O52" s="1"/>
      <c r="P52" s="1"/>
      <c r="Q52" s="5">
        <v>54610</v>
      </c>
      <c r="R52" s="36"/>
      <c r="S52" s="36"/>
      <c r="T52" s="37"/>
      <c r="U52" s="5">
        <f t="shared" ref="U52:U54" si="12">S52+R52+Q52-T52</f>
        <v>54610</v>
      </c>
      <c r="V52" s="5">
        <f t="shared" ref="V52:V54" si="13">F52*U52</f>
        <v>1256030</v>
      </c>
      <c r="W52" s="5">
        <f t="shared" ref="W52:W54" si="14">V52*18%</f>
        <v>226085.4</v>
      </c>
      <c r="X52" s="5"/>
      <c r="Y52" s="5"/>
      <c r="Z52" s="43"/>
      <c r="AA52" s="23">
        <f t="shared" ref="AA52:AA54" si="15">F52*Z52</f>
        <v>0</v>
      </c>
      <c r="AB52" s="43"/>
      <c r="AC52" s="43"/>
      <c r="AD52" s="46"/>
      <c r="AE52" s="5">
        <f t="shared" ref="AE52:AE54" si="16">+AB52+AA52+Y52+X52+W52+V52-AC52+AD52</f>
        <v>1482115.4</v>
      </c>
      <c r="AF52" s="47" t="s">
        <v>163</v>
      </c>
      <c r="AG52" s="44" t="s">
        <v>161</v>
      </c>
      <c r="AH52" s="13">
        <v>23</v>
      </c>
      <c r="AI52" s="12"/>
      <c r="AK52" s="57"/>
    </row>
    <row r="53" spans="2:37" s="58" customFormat="1">
      <c r="B53" s="70" t="s">
        <v>108</v>
      </c>
      <c r="C53" s="4" t="s">
        <v>74</v>
      </c>
      <c r="D53" s="1"/>
      <c r="E53" s="1"/>
      <c r="F53" s="51"/>
      <c r="G53" s="14">
        <f t="shared" si="0"/>
        <v>0</v>
      </c>
      <c r="H53" s="64"/>
      <c r="I53" s="52"/>
      <c r="J53" s="61"/>
      <c r="K53" s="61"/>
      <c r="L53" s="61"/>
      <c r="M53" s="52"/>
      <c r="N53" s="1"/>
      <c r="O53" s="1"/>
      <c r="P53" s="1"/>
      <c r="Q53" s="51"/>
      <c r="R53" s="36"/>
      <c r="S53" s="36"/>
      <c r="T53" s="37"/>
      <c r="U53" s="5">
        <f t="shared" si="12"/>
        <v>0</v>
      </c>
      <c r="V53" s="5">
        <f t="shared" si="13"/>
        <v>0</v>
      </c>
      <c r="W53" s="5">
        <f t="shared" si="14"/>
        <v>0</v>
      </c>
      <c r="X53" s="5"/>
      <c r="Y53" s="5"/>
      <c r="Z53" s="43"/>
      <c r="AA53" s="23">
        <f t="shared" si="15"/>
        <v>0</v>
      </c>
      <c r="AB53" s="43"/>
      <c r="AC53" s="43"/>
      <c r="AD53" s="46"/>
      <c r="AE53" s="5">
        <f t="shared" si="16"/>
        <v>0</v>
      </c>
      <c r="AF53" s="74"/>
      <c r="AG53" s="75"/>
      <c r="AH53" s="76"/>
      <c r="AI53" s="12"/>
      <c r="AK53" s="57"/>
    </row>
    <row r="54" spans="2:37" s="58" customFormat="1">
      <c r="B54" s="1"/>
      <c r="C54" s="70" t="s">
        <v>55</v>
      </c>
      <c r="D54" s="1"/>
      <c r="E54" s="1"/>
      <c r="F54" s="51"/>
      <c r="G54" s="14">
        <f t="shared" si="0"/>
        <v>0</v>
      </c>
      <c r="H54" s="64"/>
      <c r="I54" s="52"/>
      <c r="J54" s="61"/>
      <c r="K54" s="61"/>
      <c r="L54" s="61"/>
      <c r="M54" s="52"/>
      <c r="N54" s="1"/>
      <c r="O54" s="1"/>
      <c r="P54" s="1"/>
      <c r="Q54" s="51"/>
      <c r="R54" s="36"/>
      <c r="S54" s="36"/>
      <c r="T54" s="37"/>
      <c r="U54" s="5">
        <f t="shared" si="12"/>
        <v>0</v>
      </c>
      <c r="V54" s="5">
        <f t="shared" si="13"/>
        <v>0</v>
      </c>
      <c r="W54" s="5">
        <f t="shared" si="14"/>
        <v>0</v>
      </c>
      <c r="X54" s="5"/>
      <c r="Y54" s="5"/>
      <c r="Z54" s="43"/>
      <c r="AA54" s="23">
        <f t="shared" si="15"/>
        <v>0</v>
      </c>
      <c r="AB54" s="43"/>
      <c r="AC54" s="43"/>
      <c r="AD54" s="46"/>
      <c r="AE54" s="5">
        <f t="shared" si="16"/>
        <v>0</v>
      </c>
      <c r="AF54" s="74"/>
      <c r="AG54" s="75"/>
      <c r="AH54" s="76"/>
      <c r="AI54" s="12"/>
      <c r="AK54" s="57"/>
    </row>
    <row r="55" spans="2:37" s="41" customFormat="1">
      <c r="B55" s="6"/>
      <c r="C55" s="48"/>
      <c r="D55" s="6"/>
      <c r="E55" s="6"/>
      <c r="F55" s="95">
        <f>SUM(F52:F54)</f>
        <v>23</v>
      </c>
      <c r="G55" s="20">
        <f>SUM(G52:G54)</f>
        <v>23000</v>
      </c>
      <c r="H55" s="63"/>
      <c r="I55" s="2"/>
      <c r="J55" s="7"/>
      <c r="K55" s="7"/>
      <c r="L55" s="7"/>
      <c r="M55" s="2"/>
      <c r="N55" s="6"/>
      <c r="O55" s="6"/>
      <c r="P55" s="6"/>
      <c r="Q55" s="19"/>
      <c r="R55" s="9"/>
      <c r="S55" s="9"/>
      <c r="T55" s="10"/>
      <c r="U55" s="8"/>
      <c r="V55" s="20">
        <f>SUM(V52:V54)</f>
        <v>1256030</v>
      </c>
      <c r="W55" s="20">
        <f>SUM(W52:W54)</f>
        <v>226085.4</v>
      </c>
      <c r="X55" s="21"/>
      <c r="Y55" s="21"/>
      <c r="Z55" s="21"/>
      <c r="AA55" s="21"/>
      <c r="AB55" s="21"/>
      <c r="AC55" s="21"/>
      <c r="AD55" s="73"/>
      <c r="AE55" s="20">
        <f>SUM(AE52:AE54)</f>
        <v>1482115.4</v>
      </c>
      <c r="AF55" s="21"/>
      <c r="AG55" s="42"/>
      <c r="AH55" s="78">
        <f>SUM(AH52:AH54)</f>
        <v>23</v>
      </c>
      <c r="AI55" s="26"/>
      <c r="AK55" s="40"/>
    </row>
    <row r="56" spans="2:37" s="58" customFormat="1">
      <c r="B56" s="1" t="s">
        <v>70</v>
      </c>
      <c r="C56" s="1" t="s">
        <v>213</v>
      </c>
      <c r="D56" s="1"/>
      <c r="E56" s="1" t="s">
        <v>35</v>
      </c>
      <c r="F56" s="13">
        <v>7.98</v>
      </c>
      <c r="G56" s="60">
        <f t="shared" ref="G56:G58" si="17">+F56*1000</f>
        <v>7980</v>
      </c>
      <c r="H56" s="68">
        <v>4</v>
      </c>
      <c r="I56" s="12" t="s">
        <v>214</v>
      </c>
      <c r="J56" s="3" t="s">
        <v>72</v>
      </c>
      <c r="K56" s="4" t="s">
        <v>215</v>
      </c>
      <c r="L56" s="67"/>
      <c r="M56" s="50" t="s">
        <v>217</v>
      </c>
      <c r="N56" s="4" t="s">
        <v>87</v>
      </c>
      <c r="O56" s="67"/>
      <c r="P56" s="67"/>
      <c r="Q56" s="67">
        <v>54610</v>
      </c>
      <c r="R56" s="67"/>
      <c r="S56" s="67"/>
      <c r="T56" s="67"/>
      <c r="U56" s="5">
        <f t="shared" ref="U56" si="18">S56+R56+Q56-T56</f>
        <v>54610</v>
      </c>
      <c r="V56" s="5">
        <f t="shared" ref="V56" si="19">F56*U56</f>
        <v>435787.80000000005</v>
      </c>
      <c r="W56" s="5">
        <f t="shared" ref="W56" si="20">V56*18%</f>
        <v>78441.804000000004</v>
      </c>
      <c r="X56" s="69"/>
      <c r="Y56" s="69"/>
      <c r="Z56" s="69"/>
      <c r="AA56" s="69"/>
      <c r="AB56" s="69"/>
      <c r="AC56" s="69"/>
      <c r="AD56" s="69"/>
      <c r="AE56" s="5">
        <f t="shared" ref="AE56:AE58" si="21">+AB56+AA56+Y56+X56+W56+V56-AC56+AD56</f>
        <v>514229.60400000005</v>
      </c>
      <c r="AF56" s="47" t="s">
        <v>218</v>
      </c>
      <c r="AG56" s="44" t="s">
        <v>219</v>
      </c>
      <c r="AH56" s="67">
        <v>7.98</v>
      </c>
      <c r="AI56" s="67"/>
      <c r="AK56" s="57"/>
    </row>
    <row r="57" spans="2:37" s="41" customFormat="1" ht="16.149999999999999" customHeight="1">
      <c r="B57" s="1" t="s">
        <v>39</v>
      </c>
      <c r="C57" s="4" t="s">
        <v>74</v>
      </c>
      <c r="D57" s="4"/>
      <c r="E57" s="1"/>
      <c r="F57" s="13"/>
      <c r="G57" s="14"/>
      <c r="H57" s="49"/>
      <c r="I57" s="12"/>
      <c r="J57" s="3"/>
      <c r="K57" s="4"/>
      <c r="L57" s="4"/>
      <c r="M57" s="3"/>
      <c r="N57" s="4"/>
      <c r="O57" s="4"/>
      <c r="P57" s="4"/>
      <c r="Q57" s="5"/>
      <c r="R57" s="36"/>
      <c r="S57" s="36"/>
      <c r="T57" s="37"/>
      <c r="U57" s="5"/>
      <c r="V57" s="5"/>
      <c r="W57" s="5"/>
      <c r="X57" s="5"/>
      <c r="Y57" s="5"/>
      <c r="Z57" s="43"/>
      <c r="AA57" s="23"/>
      <c r="AB57" s="43"/>
      <c r="AC57" s="43"/>
      <c r="AD57" s="46"/>
      <c r="AE57" s="5"/>
      <c r="AF57" s="47"/>
      <c r="AG57" s="44"/>
      <c r="AH57" s="13"/>
      <c r="AI57" s="12"/>
      <c r="AJ57" s="40"/>
      <c r="AK57" s="40"/>
    </row>
    <row r="58" spans="2:37" s="41" customFormat="1" ht="16.149999999999999" customHeight="1">
      <c r="B58" s="70" t="s">
        <v>75</v>
      </c>
      <c r="C58" s="70" t="s">
        <v>55</v>
      </c>
      <c r="D58" s="4"/>
      <c r="E58" s="1"/>
      <c r="F58" s="13"/>
      <c r="G58" s="14">
        <f t="shared" si="17"/>
        <v>0</v>
      </c>
      <c r="H58" s="49"/>
      <c r="I58" s="12"/>
      <c r="J58" s="3"/>
      <c r="K58" s="4"/>
      <c r="L58" s="4"/>
      <c r="M58" s="3"/>
      <c r="N58" s="4"/>
      <c r="O58" s="4"/>
      <c r="P58" s="4"/>
      <c r="Q58" s="5"/>
      <c r="R58" s="36"/>
      <c r="S58" s="36"/>
      <c r="T58" s="37"/>
      <c r="U58" s="5"/>
      <c r="V58" s="5"/>
      <c r="W58" s="5"/>
      <c r="X58" s="5"/>
      <c r="Y58" s="5"/>
      <c r="Z58" s="43"/>
      <c r="AA58" s="23">
        <f t="shared" ref="AA58" si="22">F58*Z58</f>
        <v>0</v>
      </c>
      <c r="AB58" s="43"/>
      <c r="AC58" s="43"/>
      <c r="AD58" s="46"/>
      <c r="AE58" s="5">
        <f t="shared" si="21"/>
        <v>0</v>
      </c>
      <c r="AF58" s="47"/>
      <c r="AG58" s="44"/>
      <c r="AH58" s="13"/>
      <c r="AI58" s="12"/>
      <c r="AJ58" s="40"/>
      <c r="AK58" s="40"/>
    </row>
    <row r="59" spans="2:37" s="41" customFormat="1">
      <c r="B59" s="6"/>
      <c r="C59" s="48"/>
      <c r="D59" s="6"/>
      <c r="E59" s="6"/>
      <c r="F59" s="95">
        <f>SUM(F56:F58)</f>
        <v>7.98</v>
      </c>
      <c r="G59" s="20">
        <f>SUM(G56:G58)</f>
        <v>7980</v>
      </c>
      <c r="H59" s="63"/>
      <c r="I59" s="2"/>
      <c r="J59" s="7"/>
      <c r="K59" s="7"/>
      <c r="L59" s="7"/>
      <c r="M59" s="2"/>
      <c r="N59" s="6"/>
      <c r="O59" s="6"/>
      <c r="P59" s="6"/>
      <c r="Q59" s="19"/>
      <c r="R59" s="9"/>
      <c r="S59" s="9"/>
      <c r="T59" s="10"/>
      <c r="U59" s="8"/>
      <c r="V59" s="21">
        <f>SUM(V56:V58)</f>
        <v>435787.80000000005</v>
      </c>
      <c r="W59" s="21">
        <f>SUM(W56:W58)</f>
        <v>78441.804000000004</v>
      </c>
      <c r="X59" s="21">
        <f t="shared" ref="X59:AD59" si="23">SUM(X57:X58)</f>
        <v>0</v>
      </c>
      <c r="Y59" s="21">
        <f t="shared" si="23"/>
        <v>0</v>
      </c>
      <c r="Z59" s="21">
        <f t="shared" si="23"/>
        <v>0</v>
      </c>
      <c r="AA59" s="21">
        <f t="shared" si="23"/>
        <v>0</v>
      </c>
      <c r="AB59" s="21">
        <f t="shared" si="23"/>
        <v>0</v>
      </c>
      <c r="AC59" s="21">
        <f t="shared" si="23"/>
        <v>0</v>
      </c>
      <c r="AD59" s="21">
        <f t="shared" si="23"/>
        <v>0</v>
      </c>
      <c r="AE59" s="21">
        <f>SUM(AE56:AE58)</f>
        <v>514229.60400000005</v>
      </c>
      <c r="AF59" s="21"/>
      <c r="AG59" s="42"/>
      <c r="AH59" s="27">
        <f>SUM(AH56:AH58)</f>
        <v>7.98</v>
      </c>
      <c r="AI59" s="26">
        <f>AH59-F59</f>
        <v>0</v>
      </c>
      <c r="AJ59" s="41">
        <f>AA59/F59</f>
        <v>0</v>
      </c>
      <c r="AK59" s="40"/>
    </row>
    <row r="60" spans="2:37" s="58" customFormat="1">
      <c r="B60" s="1" t="s">
        <v>70</v>
      </c>
      <c r="C60" s="1" t="s">
        <v>213</v>
      </c>
      <c r="D60" s="1"/>
      <c r="E60" s="1" t="s">
        <v>35</v>
      </c>
      <c r="F60" s="13">
        <v>11.97</v>
      </c>
      <c r="G60" s="60">
        <f t="shared" ref="G60:G62" si="24">+F60*1000</f>
        <v>11970</v>
      </c>
      <c r="H60" s="68">
        <v>6</v>
      </c>
      <c r="I60" s="12" t="s">
        <v>216</v>
      </c>
      <c r="J60" s="3" t="s">
        <v>72</v>
      </c>
      <c r="K60" s="4" t="s">
        <v>215</v>
      </c>
      <c r="L60" s="67"/>
      <c r="M60" s="50" t="s">
        <v>217</v>
      </c>
      <c r="N60" s="4" t="s">
        <v>87</v>
      </c>
      <c r="O60" s="67"/>
      <c r="P60" s="67"/>
      <c r="Q60" s="67">
        <v>55190</v>
      </c>
      <c r="R60" s="67"/>
      <c r="S60" s="67"/>
      <c r="T60" s="67"/>
      <c r="U60" s="5">
        <f t="shared" ref="U60" si="25">S60+R60+Q60-T60</f>
        <v>55190</v>
      </c>
      <c r="V60" s="5">
        <f t="shared" ref="V60:V62" si="26">F60*U60</f>
        <v>660624.30000000005</v>
      </c>
      <c r="W60" s="5">
        <f t="shared" ref="W60" si="27">V60*18%</f>
        <v>118912.37400000001</v>
      </c>
      <c r="X60" s="69"/>
      <c r="Y60" s="69"/>
      <c r="Z60" s="69"/>
      <c r="AA60" s="69"/>
      <c r="AB60" s="69"/>
      <c r="AC60" s="69"/>
      <c r="AD60" s="69"/>
      <c r="AE60" s="5">
        <f t="shared" ref="AE60:AE62" si="28">+AB60+AA60+Y60+X60+W60+V60-AC60+AD60</f>
        <v>779536.67400000012</v>
      </c>
      <c r="AF60" s="47" t="s">
        <v>218</v>
      </c>
      <c r="AG60" s="44" t="s">
        <v>219</v>
      </c>
      <c r="AH60" s="67">
        <v>11.97</v>
      </c>
      <c r="AI60" s="67"/>
      <c r="AK60" s="57"/>
    </row>
    <row r="61" spans="2:37" s="41" customFormat="1" ht="16.149999999999999" customHeight="1">
      <c r="B61" s="1" t="s">
        <v>39</v>
      </c>
      <c r="C61" s="4" t="s">
        <v>74</v>
      </c>
      <c r="D61" s="4"/>
      <c r="E61" s="1"/>
      <c r="F61" s="13"/>
      <c r="G61" s="14"/>
      <c r="H61" s="49"/>
      <c r="I61" s="12"/>
      <c r="J61" s="3"/>
      <c r="K61" s="4"/>
      <c r="L61" s="4"/>
      <c r="M61" s="3"/>
      <c r="N61" s="4"/>
      <c r="O61" s="4"/>
      <c r="P61" s="4"/>
      <c r="Q61" s="5"/>
      <c r="R61" s="36"/>
      <c r="S61" s="36"/>
      <c r="T61" s="37"/>
      <c r="U61" s="5"/>
      <c r="V61" s="5"/>
      <c r="W61" s="5"/>
      <c r="X61" s="5"/>
      <c r="Y61" s="5"/>
      <c r="Z61" s="43"/>
      <c r="AA61" s="23"/>
      <c r="AB61" s="43"/>
      <c r="AC61" s="43"/>
      <c r="AD61" s="46"/>
      <c r="AE61" s="5"/>
      <c r="AF61" s="47"/>
      <c r="AG61" s="44"/>
      <c r="AH61" s="13"/>
      <c r="AI61" s="12"/>
      <c r="AJ61" s="40"/>
      <c r="AK61" s="40"/>
    </row>
    <row r="62" spans="2:37" s="41" customFormat="1" ht="16.149999999999999" customHeight="1">
      <c r="B62" s="70" t="s">
        <v>75</v>
      </c>
      <c r="C62" s="70" t="s">
        <v>162</v>
      </c>
      <c r="D62" s="4"/>
      <c r="E62" s="1"/>
      <c r="F62" s="13"/>
      <c r="G62" s="14">
        <f t="shared" si="24"/>
        <v>0</v>
      </c>
      <c r="H62" s="49"/>
      <c r="I62" s="12"/>
      <c r="J62" s="3"/>
      <c r="K62" s="4"/>
      <c r="L62" s="4"/>
      <c r="M62" s="3"/>
      <c r="N62" s="4"/>
      <c r="O62" s="4"/>
      <c r="P62" s="4"/>
      <c r="Q62" s="5"/>
      <c r="R62" s="36"/>
      <c r="S62" s="36"/>
      <c r="T62" s="37"/>
      <c r="U62" s="5"/>
      <c r="V62" s="5">
        <f t="shared" si="26"/>
        <v>0</v>
      </c>
      <c r="W62" s="5">
        <f>V62*18%</f>
        <v>0</v>
      </c>
      <c r="X62" s="5"/>
      <c r="Y62" s="5"/>
      <c r="Z62" s="43"/>
      <c r="AA62" s="23">
        <f t="shared" ref="AA62" si="29">F62*Z62</f>
        <v>0</v>
      </c>
      <c r="AB62" s="43"/>
      <c r="AC62" s="43"/>
      <c r="AD62" s="46"/>
      <c r="AE62" s="5">
        <f t="shared" si="28"/>
        <v>0</v>
      </c>
      <c r="AF62" s="47"/>
      <c r="AG62" s="44"/>
      <c r="AH62" s="13"/>
      <c r="AI62" s="12"/>
      <c r="AJ62" s="40"/>
      <c r="AK62" s="40"/>
    </row>
    <row r="63" spans="2:37" s="41" customFormat="1">
      <c r="B63" s="6"/>
      <c r="C63" s="48"/>
      <c r="D63" s="6"/>
      <c r="E63" s="6"/>
      <c r="F63" s="95">
        <f>SUM(F60:F62)</f>
        <v>11.97</v>
      </c>
      <c r="G63" s="20">
        <f>SUM(G60:G62)</f>
        <v>11970</v>
      </c>
      <c r="H63" s="63"/>
      <c r="I63" s="2"/>
      <c r="J63" s="7"/>
      <c r="K63" s="7"/>
      <c r="L63" s="7"/>
      <c r="M63" s="2"/>
      <c r="N63" s="6"/>
      <c r="O63" s="6"/>
      <c r="P63" s="6"/>
      <c r="Q63" s="19"/>
      <c r="R63" s="9"/>
      <c r="S63" s="9"/>
      <c r="T63" s="10"/>
      <c r="U63" s="8"/>
      <c r="V63" s="21">
        <f>SUM(V60:V62)</f>
        <v>660624.30000000005</v>
      </c>
      <c r="W63" s="21">
        <f>SUM(W60:W62)</f>
        <v>118912.37400000001</v>
      </c>
      <c r="X63" s="21">
        <f t="shared" ref="X63:AD63" si="30">SUM(X61:X62)</f>
        <v>0</v>
      </c>
      <c r="Y63" s="21">
        <f t="shared" si="30"/>
        <v>0</v>
      </c>
      <c r="Z63" s="21">
        <f t="shared" si="30"/>
        <v>0</v>
      </c>
      <c r="AA63" s="21">
        <f t="shared" si="30"/>
        <v>0</v>
      </c>
      <c r="AB63" s="21">
        <f t="shared" si="30"/>
        <v>0</v>
      </c>
      <c r="AC63" s="21">
        <f t="shared" si="30"/>
        <v>0</v>
      </c>
      <c r="AD63" s="21">
        <f t="shared" si="30"/>
        <v>0</v>
      </c>
      <c r="AE63" s="21">
        <f>SUM(AE60:AE62)</f>
        <v>779536.67400000012</v>
      </c>
      <c r="AF63" s="21"/>
      <c r="AG63" s="42"/>
      <c r="AH63" s="27">
        <f>SUM(AH60:AH62)</f>
        <v>11.97</v>
      </c>
      <c r="AI63" s="26">
        <f>AH63-F63</f>
        <v>0</v>
      </c>
      <c r="AJ63" s="41">
        <f>AA63/F63</f>
        <v>0</v>
      </c>
      <c r="AK63" s="40"/>
    </row>
    <row r="64" spans="2:37">
      <c r="B64" s="15"/>
      <c r="C64" s="18"/>
      <c r="D64" s="11"/>
      <c r="E64" s="18" t="s">
        <v>16</v>
      </c>
      <c r="F64" s="16">
        <f>SUM(F3:F63)/2</f>
        <v>1578.6299999999997</v>
      </c>
      <c r="G64" s="17">
        <f>SUM(G3:G63)/2</f>
        <v>1578630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17"/>
      <c r="V64" s="17">
        <f>SUM(V3:V63)/2</f>
        <v>86215926.900000036</v>
      </c>
      <c r="W64" s="17">
        <f>SUM(W3:W63)/2</f>
        <v>15364391.535000004</v>
      </c>
      <c r="X64" s="17"/>
      <c r="Y64" s="22"/>
      <c r="Z64" s="17"/>
      <c r="AA64" s="17"/>
      <c r="AB64" s="17"/>
      <c r="AC64" s="22"/>
      <c r="AD64" s="17"/>
      <c r="AE64" s="17">
        <f>SUM(AE3:AE63)/2</f>
        <v>100722122.28500003</v>
      </c>
      <c r="AF64" s="17"/>
      <c r="AG64" s="16"/>
      <c r="AH64" s="17">
        <f>SUM(AH3:AH63)/2</f>
        <v>1609.2339999999997</v>
      </c>
      <c r="AI64" s="26">
        <f>AH64-F64</f>
        <v>30.604000000000042</v>
      </c>
    </row>
    <row r="67" spans="6:6">
      <c r="F67" s="90"/>
    </row>
  </sheetData>
  <mergeCells count="1">
    <mergeCell ref="AF1:AG1"/>
  </mergeCells>
  <pageMargins left="0.33" right="0.196850393700787" top="0.2" bottom="0.26" header="0.2" footer="0.31496062992126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119"/>
  <sheetViews>
    <sheetView showZeros="0" zoomScale="85" zoomScaleNormal="85" workbookViewId="0">
      <pane xSplit="14" ySplit="2" topLeftCell="O93" activePane="bottomRight" state="frozen"/>
      <selection pane="topRight" activeCell="O1" sqref="O1"/>
      <selection pane="bottomLeft" activeCell="A3" sqref="A3"/>
      <selection pane="bottomRight" activeCell="J60" sqref="J60"/>
    </sheetView>
  </sheetViews>
  <sheetFormatPr defaultRowHeight="15"/>
  <cols>
    <col min="1" max="1" width="2" style="38" customWidth="1"/>
    <col min="2" max="2" width="28.85546875" style="38" bestFit="1" customWidth="1"/>
    <col min="3" max="3" width="16.5703125" style="38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8.140625" style="62" customWidth="1"/>
    <col min="9" max="9" width="13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6.42578125" style="38" bestFit="1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F16</f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00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58" customFormat="1">
      <c r="B3" s="1"/>
      <c r="C3" s="51"/>
      <c r="D3" s="1"/>
      <c r="E3" s="1" t="s">
        <v>35</v>
      </c>
      <c r="F3" s="13">
        <v>29.3</v>
      </c>
      <c r="G3" s="60">
        <f t="shared" ref="G3:G8" si="0">+F3*1000</f>
        <v>29300</v>
      </c>
      <c r="H3" s="68">
        <v>14</v>
      </c>
      <c r="I3" s="12" t="s">
        <v>64</v>
      </c>
      <c r="J3" s="3" t="s">
        <v>65</v>
      </c>
      <c r="K3" s="4" t="s">
        <v>66</v>
      </c>
      <c r="L3" s="67"/>
      <c r="M3" s="50" t="s">
        <v>67</v>
      </c>
      <c r="N3" s="66" t="s">
        <v>62</v>
      </c>
      <c r="O3" s="67"/>
      <c r="P3" s="67"/>
      <c r="Q3" s="67">
        <v>50750</v>
      </c>
      <c r="R3" s="67"/>
      <c r="S3" s="67"/>
      <c r="T3" s="67"/>
      <c r="U3" s="5">
        <f t="shared" ref="U3:U8" si="1">S3+R3+Q3-T3</f>
        <v>50750</v>
      </c>
      <c r="V3" s="5">
        <f t="shared" ref="V3:V8" si="2">F3*U3</f>
        <v>1486975</v>
      </c>
      <c r="W3" s="5">
        <f t="shared" ref="W3" si="3">V3*18%</f>
        <v>267655.5</v>
      </c>
      <c r="X3" s="69"/>
      <c r="Y3" s="69"/>
      <c r="Z3" s="69"/>
      <c r="AA3" s="69"/>
      <c r="AB3" s="69"/>
      <c r="AC3" s="69"/>
      <c r="AD3" s="69"/>
      <c r="AE3" s="5">
        <f t="shared" ref="AE3:AE8" si="4">+AB3+AA3+Y3+X3+W3+V3-AC3+AD3</f>
        <v>1754630.5</v>
      </c>
      <c r="AF3" s="47" t="s">
        <v>69</v>
      </c>
      <c r="AG3" s="50" t="s">
        <v>68</v>
      </c>
      <c r="AH3" s="67">
        <v>29.3</v>
      </c>
      <c r="AI3" s="67"/>
      <c r="AK3" s="57"/>
    </row>
    <row r="4" spans="2:41" s="41" customFormat="1" ht="16.149999999999999" customHeight="1">
      <c r="B4" s="1" t="s">
        <v>70</v>
      </c>
      <c r="C4" s="1" t="s">
        <v>91</v>
      </c>
      <c r="D4" s="4"/>
      <c r="E4" s="1" t="s">
        <v>35</v>
      </c>
      <c r="F4" s="13">
        <f>4.847+0.18</f>
        <v>5.0270000000000001</v>
      </c>
      <c r="G4" s="14">
        <f t="shared" si="0"/>
        <v>5027</v>
      </c>
      <c r="H4" s="49">
        <v>2</v>
      </c>
      <c r="I4" s="12" t="s">
        <v>64</v>
      </c>
      <c r="J4" s="3" t="s">
        <v>92</v>
      </c>
      <c r="K4" s="4" t="s">
        <v>93</v>
      </c>
      <c r="L4" s="4"/>
      <c r="M4" s="3" t="s">
        <v>73</v>
      </c>
      <c r="N4" s="4" t="s">
        <v>52</v>
      </c>
      <c r="O4" s="4"/>
      <c r="P4" s="4"/>
      <c r="Q4" s="5">
        <v>50750</v>
      </c>
      <c r="R4" s="36"/>
      <c r="S4" s="36"/>
      <c r="T4" s="37"/>
      <c r="U4" s="5">
        <f t="shared" si="1"/>
        <v>50750</v>
      </c>
      <c r="V4" s="5">
        <f t="shared" si="2"/>
        <v>255120.25</v>
      </c>
      <c r="W4" s="5">
        <f>V4*18%</f>
        <v>45921.644999999997</v>
      </c>
      <c r="X4" s="5"/>
      <c r="Y4" s="5"/>
      <c r="Z4" s="43"/>
      <c r="AA4" s="23">
        <f t="shared" ref="AA4:AA8" si="5">F4*Z4</f>
        <v>0</v>
      </c>
      <c r="AB4" s="43"/>
      <c r="AC4" s="43"/>
      <c r="AD4" s="46"/>
      <c r="AE4" s="5">
        <f t="shared" si="4"/>
        <v>301041.89500000002</v>
      </c>
      <c r="AF4" s="47" t="s">
        <v>164</v>
      </c>
      <c r="AG4" s="44" t="s">
        <v>161</v>
      </c>
      <c r="AH4" s="13">
        <v>4.8470000000000004</v>
      </c>
      <c r="AI4" s="12"/>
      <c r="AJ4" s="40"/>
      <c r="AK4" s="40"/>
    </row>
    <row r="5" spans="2:41" s="41" customFormat="1" ht="16.149999999999999" customHeight="1">
      <c r="B5" s="1" t="s">
        <v>39</v>
      </c>
      <c r="C5" s="4" t="s">
        <v>94</v>
      </c>
      <c r="D5" s="4"/>
      <c r="E5" s="1" t="s">
        <v>35</v>
      </c>
      <c r="F5" s="13"/>
      <c r="G5" s="14">
        <f t="shared" si="0"/>
        <v>0</v>
      </c>
      <c r="H5" s="49"/>
      <c r="I5" s="12"/>
      <c r="J5" s="3"/>
      <c r="K5" s="4"/>
      <c r="L5" s="4"/>
      <c r="M5" s="3"/>
      <c r="N5" s="4"/>
      <c r="O5" s="4"/>
      <c r="P5" s="4"/>
      <c r="Q5" s="5">
        <v>50750</v>
      </c>
      <c r="R5" s="36"/>
      <c r="S5" s="36"/>
      <c r="T5" s="37"/>
      <c r="U5" s="5">
        <f t="shared" si="1"/>
        <v>50750</v>
      </c>
      <c r="V5" s="5">
        <f t="shared" si="2"/>
        <v>0</v>
      </c>
      <c r="W5" s="5">
        <f>V5*18%</f>
        <v>0</v>
      </c>
      <c r="X5" s="5"/>
      <c r="Y5" s="5"/>
      <c r="Z5" s="43"/>
      <c r="AA5" s="23">
        <f t="shared" si="5"/>
        <v>0</v>
      </c>
      <c r="AB5" s="43"/>
      <c r="AC5" s="43"/>
      <c r="AD5" s="46"/>
      <c r="AE5" s="5">
        <f t="shared" si="4"/>
        <v>0</v>
      </c>
      <c r="AF5" s="47"/>
      <c r="AG5" s="44"/>
      <c r="AH5" s="13"/>
      <c r="AI5" s="12"/>
      <c r="AJ5" s="40"/>
      <c r="AK5" s="40"/>
    </row>
    <row r="6" spans="2:41" s="41" customFormat="1" ht="16.149999999999999" customHeight="1">
      <c r="B6" s="70" t="s">
        <v>75</v>
      </c>
      <c r="C6" s="70" t="s">
        <v>55</v>
      </c>
      <c r="D6" s="4"/>
      <c r="E6" s="1" t="s">
        <v>35</v>
      </c>
      <c r="F6" s="13"/>
      <c r="G6" s="14">
        <f t="shared" si="0"/>
        <v>0</v>
      </c>
      <c r="H6" s="49"/>
      <c r="I6" s="12"/>
      <c r="J6" s="3"/>
      <c r="K6" s="4"/>
      <c r="L6" s="4"/>
      <c r="M6" s="3"/>
      <c r="N6" s="4"/>
      <c r="O6" s="4"/>
      <c r="P6" s="4"/>
      <c r="Q6" s="5">
        <v>50750</v>
      </c>
      <c r="R6" s="36"/>
      <c r="S6" s="36"/>
      <c r="T6" s="37"/>
      <c r="U6" s="5">
        <f t="shared" si="1"/>
        <v>50750</v>
      </c>
      <c r="V6" s="5">
        <f t="shared" si="2"/>
        <v>0</v>
      </c>
      <c r="W6" s="5">
        <f t="shared" ref="W6:W8" si="6">V6*18%</f>
        <v>0</v>
      </c>
      <c r="X6" s="5"/>
      <c r="Y6" s="5"/>
      <c r="Z6" s="43"/>
      <c r="AA6" s="23">
        <f t="shared" si="5"/>
        <v>0</v>
      </c>
      <c r="AB6" s="43"/>
      <c r="AC6" s="43"/>
      <c r="AD6" s="46"/>
      <c r="AE6" s="5">
        <f t="shared" si="4"/>
        <v>0</v>
      </c>
      <c r="AF6" s="47"/>
      <c r="AG6" s="44"/>
      <c r="AH6" s="13"/>
      <c r="AI6" s="12"/>
      <c r="AJ6" s="40"/>
      <c r="AK6" s="40"/>
    </row>
    <row r="7" spans="2:41" s="41" customFormat="1" ht="16.149999999999999" customHeight="1">
      <c r="B7" s="1" t="s">
        <v>95</v>
      </c>
      <c r="C7" s="1"/>
      <c r="D7" s="4"/>
      <c r="E7" s="1" t="s">
        <v>35</v>
      </c>
      <c r="F7" s="13"/>
      <c r="G7" s="14">
        <f t="shared" si="0"/>
        <v>0</v>
      </c>
      <c r="H7" s="49"/>
      <c r="I7" s="12"/>
      <c r="J7" s="3"/>
      <c r="K7" s="4"/>
      <c r="L7" s="4"/>
      <c r="M7" s="3"/>
      <c r="N7" s="4"/>
      <c r="O7" s="4"/>
      <c r="P7" s="4"/>
      <c r="Q7" s="5">
        <v>50750</v>
      </c>
      <c r="R7" s="36"/>
      <c r="S7" s="36"/>
      <c r="T7" s="37"/>
      <c r="U7" s="5">
        <f t="shared" si="1"/>
        <v>50750</v>
      </c>
      <c r="V7" s="5">
        <f t="shared" si="2"/>
        <v>0</v>
      </c>
      <c r="W7" s="5">
        <f t="shared" si="6"/>
        <v>0</v>
      </c>
      <c r="X7" s="5"/>
      <c r="Y7" s="5"/>
      <c r="Z7" s="43"/>
      <c r="AA7" s="23">
        <f t="shared" si="5"/>
        <v>0</v>
      </c>
      <c r="AB7" s="43"/>
      <c r="AC7" s="43"/>
      <c r="AD7" s="46"/>
      <c r="AE7" s="5">
        <f t="shared" si="4"/>
        <v>0</v>
      </c>
      <c r="AF7" s="47"/>
      <c r="AG7" s="44"/>
      <c r="AH7" s="13"/>
      <c r="AI7" s="12"/>
      <c r="AJ7" s="40"/>
      <c r="AK7" s="40"/>
    </row>
    <row r="8" spans="2:41" s="41" customFormat="1" ht="16.149999999999999" customHeight="1">
      <c r="B8" s="1" t="s">
        <v>76</v>
      </c>
      <c r="C8" s="1"/>
      <c r="D8" s="4"/>
      <c r="E8" s="1" t="s">
        <v>35</v>
      </c>
      <c r="F8" s="13"/>
      <c r="G8" s="14">
        <f t="shared" si="0"/>
        <v>0</v>
      </c>
      <c r="H8" s="49"/>
      <c r="I8" s="12"/>
      <c r="J8" s="3"/>
      <c r="K8" s="4"/>
      <c r="L8" s="4"/>
      <c r="M8" s="3"/>
      <c r="N8" s="4"/>
      <c r="O8" s="4"/>
      <c r="P8" s="4"/>
      <c r="Q8" s="5"/>
      <c r="R8" s="36"/>
      <c r="S8" s="36"/>
      <c r="T8" s="37"/>
      <c r="U8" s="5">
        <f t="shared" si="1"/>
        <v>0</v>
      </c>
      <c r="V8" s="5">
        <f t="shared" si="2"/>
        <v>0</v>
      </c>
      <c r="W8" s="5">
        <f t="shared" si="6"/>
        <v>0</v>
      </c>
      <c r="X8" s="5"/>
      <c r="Y8" s="5"/>
      <c r="Z8" s="43"/>
      <c r="AA8" s="23">
        <f t="shared" si="5"/>
        <v>0</v>
      </c>
      <c r="AB8" s="43"/>
      <c r="AC8" s="43"/>
      <c r="AD8" s="46"/>
      <c r="AE8" s="5">
        <f t="shared" si="4"/>
        <v>0</v>
      </c>
      <c r="AF8" s="47"/>
      <c r="AG8" s="44"/>
      <c r="AH8" s="13"/>
      <c r="AI8" s="12"/>
      <c r="AJ8" s="40"/>
      <c r="AK8" s="40"/>
    </row>
    <row r="9" spans="2:41" s="41" customFormat="1">
      <c r="B9" s="6"/>
      <c r="C9" s="48"/>
      <c r="D9" s="6"/>
      <c r="E9" s="6"/>
      <c r="F9" s="81">
        <f>SUM(F3:F8)</f>
        <v>34.326999999999998</v>
      </c>
      <c r="G9" s="20">
        <f>SUM(G3:G8)</f>
        <v>34327</v>
      </c>
      <c r="H9" s="63"/>
      <c r="I9" s="2"/>
      <c r="J9" s="7"/>
      <c r="K9" s="7"/>
      <c r="L9" s="7"/>
      <c r="M9" s="2"/>
      <c r="N9" s="6"/>
      <c r="O9" s="6"/>
      <c r="P9" s="6"/>
      <c r="Q9" s="19"/>
      <c r="R9" s="9"/>
      <c r="S9" s="9"/>
      <c r="T9" s="10"/>
      <c r="U9" s="8"/>
      <c r="V9" s="21">
        <f>SUM(V3:V8)</f>
        <v>1742095.25</v>
      </c>
      <c r="W9" s="21">
        <f>SUM(W3:W8)</f>
        <v>313577.14500000002</v>
      </c>
      <c r="X9" s="21">
        <f t="shared" ref="X9:AD9" si="7">SUM(X4:X8)</f>
        <v>0</v>
      </c>
      <c r="Y9" s="21">
        <f t="shared" si="7"/>
        <v>0</v>
      </c>
      <c r="Z9" s="21">
        <f t="shared" si="7"/>
        <v>0</v>
      </c>
      <c r="AA9" s="21">
        <f t="shared" si="7"/>
        <v>0</v>
      </c>
      <c r="AB9" s="21">
        <f t="shared" si="7"/>
        <v>0</v>
      </c>
      <c r="AC9" s="21">
        <f t="shared" si="7"/>
        <v>0</v>
      </c>
      <c r="AD9" s="21">
        <f t="shared" si="7"/>
        <v>0</v>
      </c>
      <c r="AE9" s="21">
        <f>SUM(AE3:AE8)</f>
        <v>2055672.395</v>
      </c>
      <c r="AF9" s="21"/>
      <c r="AG9" s="42"/>
      <c r="AH9" s="27">
        <f>SUM(AH3:AH8)</f>
        <v>34.146999999999998</v>
      </c>
      <c r="AI9" s="26">
        <f>AH9-F9</f>
        <v>-0.17999999999999972</v>
      </c>
      <c r="AJ9" s="41">
        <f>AA9/F9</f>
        <v>0</v>
      </c>
      <c r="AK9" s="40"/>
    </row>
    <row r="10" spans="2:41" s="41" customFormat="1" ht="16.149999999999999" customHeight="1">
      <c r="B10" s="1" t="s">
        <v>70</v>
      </c>
      <c r="C10" s="1" t="s">
        <v>91</v>
      </c>
      <c r="D10" s="4"/>
      <c r="E10" s="1" t="s">
        <v>35</v>
      </c>
      <c r="F10" s="13">
        <v>12.093</v>
      </c>
      <c r="G10" s="14">
        <f t="shared" ref="G10:G14" si="8">+F10*1000</f>
        <v>12093</v>
      </c>
      <c r="H10" s="49">
        <v>6</v>
      </c>
      <c r="I10" s="83" t="s">
        <v>96</v>
      </c>
      <c r="J10" s="3" t="s">
        <v>92</v>
      </c>
      <c r="K10" s="4" t="s">
        <v>93</v>
      </c>
      <c r="L10" s="4"/>
      <c r="M10" s="3" t="s">
        <v>73</v>
      </c>
      <c r="N10" s="82" t="s">
        <v>52</v>
      </c>
      <c r="O10" s="4"/>
      <c r="P10" s="4"/>
      <c r="Q10" s="5">
        <v>50750</v>
      </c>
      <c r="R10" s="36"/>
      <c r="S10" s="36"/>
      <c r="T10" s="37"/>
      <c r="U10" s="5">
        <f t="shared" ref="U10:U14" si="9">S10+R10+Q10-T10</f>
        <v>50750</v>
      </c>
      <c r="V10" s="5">
        <f t="shared" ref="V10:V14" si="10">F10*U10</f>
        <v>613719.75</v>
      </c>
      <c r="W10" s="5">
        <f>V10*18%</f>
        <v>110469.55499999999</v>
      </c>
      <c r="X10" s="5"/>
      <c r="Y10" s="5"/>
      <c r="Z10" s="43"/>
      <c r="AA10" s="23">
        <f t="shared" ref="AA10:AA14" si="11">F10*Z10</f>
        <v>0</v>
      </c>
      <c r="AB10" s="43"/>
      <c r="AC10" s="43"/>
      <c r="AD10" s="46"/>
      <c r="AE10" s="5">
        <f t="shared" ref="AE10:AE14" si="12">+AB10+AA10+Y10+X10+W10+V10-AC10+AD10</f>
        <v>724189.30499999993</v>
      </c>
      <c r="AF10" s="47" t="s">
        <v>165</v>
      </c>
      <c r="AG10" s="44" t="s">
        <v>161</v>
      </c>
      <c r="AH10" s="13">
        <v>12.093</v>
      </c>
      <c r="AI10" s="12"/>
      <c r="AJ10" s="40"/>
      <c r="AK10" s="40"/>
    </row>
    <row r="11" spans="2:41" s="41" customFormat="1" ht="16.149999999999999" customHeight="1">
      <c r="B11" s="1" t="s">
        <v>39</v>
      </c>
      <c r="C11" s="4" t="s">
        <v>97</v>
      </c>
      <c r="D11" s="4"/>
      <c r="E11" s="1" t="s">
        <v>35</v>
      </c>
      <c r="F11" s="13"/>
      <c r="G11" s="14">
        <f t="shared" si="8"/>
        <v>0</v>
      </c>
      <c r="H11" s="49"/>
      <c r="I11" s="12"/>
      <c r="J11" s="3"/>
      <c r="K11" s="4"/>
      <c r="L11" s="4"/>
      <c r="M11" s="3"/>
      <c r="N11" s="4"/>
      <c r="O11" s="4"/>
      <c r="P11" s="4"/>
      <c r="Q11" s="5">
        <v>50750</v>
      </c>
      <c r="R11" s="36"/>
      <c r="S11" s="36"/>
      <c r="T11" s="37"/>
      <c r="U11" s="5">
        <f t="shared" si="9"/>
        <v>50750</v>
      </c>
      <c r="V11" s="5">
        <f t="shared" si="10"/>
        <v>0</v>
      </c>
      <c r="W11" s="5">
        <f>V11*18%</f>
        <v>0</v>
      </c>
      <c r="X11" s="5"/>
      <c r="Y11" s="5"/>
      <c r="Z11" s="43"/>
      <c r="AA11" s="23">
        <f t="shared" si="11"/>
        <v>0</v>
      </c>
      <c r="AB11" s="43"/>
      <c r="AC11" s="43"/>
      <c r="AD11" s="46"/>
      <c r="AE11" s="5">
        <f t="shared" si="12"/>
        <v>0</v>
      </c>
      <c r="AF11" s="47"/>
      <c r="AG11" s="44"/>
      <c r="AH11" s="13"/>
      <c r="AI11" s="12"/>
      <c r="AJ11" s="40"/>
      <c r="AK11" s="40"/>
    </row>
    <row r="12" spans="2:41" s="41" customFormat="1" ht="16.149999999999999" customHeight="1">
      <c r="B12" s="70" t="s">
        <v>75</v>
      </c>
      <c r="C12" s="70" t="s">
        <v>55</v>
      </c>
      <c r="D12" s="4"/>
      <c r="E12" s="1" t="s">
        <v>35</v>
      </c>
      <c r="F12" s="13"/>
      <c r="G12" s="14">
        <f t="shared" si="8"/>
        <v>0</v>
      </c>
      <c r="H12" s="49"/>
      <c r="I12" s="12"/>
      <c r="J12" s="3"/>
      <c r="K12" s="4"/>
      <c r="L12" s="4"/>
      <c r="M12" s="3"/>
      <c r="N12" s="4"/>
      <c r="O12" s="4"/>
      <c r="P12" s="4"/>
      <c r="Q12" s="5">
        <v>50750</v>
      </c>
      <c r="R12" s="36"/>
      <c r="S12" s="36"/>
      <c r="T12" s="37"/>
      <c r="U12" s="5">
        <f t="shared" si="9"/>
        <v>50750</v>
      </c>
      <c r="V12" s="5">
        <f t="shared" si="10"/>
        <v>0</v>
      </c>
      <c r="W12" s="5">
        <f t="shared" ref="W12:W14" si="13">V12*18%</f>
        <v>0</v>
      </c>
      <c r="X12" s="5"/>
      <c r="Y12" s="5"/>
      <c r="Z12" s="43"/>
      <c r="AA12" s="23">
        <f t="shared" si="11"/>
        <v>0</v>
      </c>
      <c r="AB12" s="43"/>
      <c r="AC12" s="43"/>
      <c r="AD12" s="46"/>
      <c r="AE12" s="5">
        <f t="shared" si="12"/>
        <v>0</v>
      </c>
      <c r="AF12" s="47"/>
      <c r="AG12" s="44"/>
      <c r="AH12" s="13"/>
      <c r="AI12" s="12"/>
      <c r="AJ12" s="40"/>
      <c r="AK12" s="40"/>
    </row>
    <row r="13" spans="2:41" s="41" customFormat="1" ht="16.149999999999999" customHeight="1">
      <c r="B13" s="1" t="s">
        <v>98</v>
      </c>
      <c r="C13" s="1"/>
      <c r="D13" s="4"/>
      <c r="E13" s="1" t="s">
        <v>35</v>
      </c>
      <c r="F13" s="13"/>
      <c r="G13" s="14">
        <f t="shared" si="8"/>
        <v>0</v>
      </c>
      <c r="H13" s="49"/>
      <c r="I13" s="12"/>
      <c r="J13" s="3"/>
      <c r="K13" s="4"/>
      <c r="L13" s="4"/>
      <c r="M13" s="3"/>
      <c r="N13" s="4"/>
      <c r="O13" s="4"/>
      <c r="P13" s="4"/>
      <c r="Q13" s="5"/>
      <c r="R13" s="36"/>
      <c r="S13" s="36"/>
      <c r="T13" s="37"/>
      <c r="U13" s="5">
        <f t="shared" si="9"/>
        <v>0</v>
      </c>
      <c r="V13" s="5">
        <f t="shared" si="10"/>
        <v>0</v>
      </c>
      <c r="W13" s="5">
        <f t="shared" si="13"/>
        <v>0</v>
      </c>
      <c r="X13" s="5"/>
      <c r="Y13" s="5"/>
      <c r="Z13" s="43"/>
      <c r="AA13" s="23">
        <f t="shared" si="11"/>
        <v>0</v>
      </c>
      <c r="AB13" s="43"/>
      <c r="AC13" s="43"/>
      <c r="AD13" s="46"/>
      <c r="AE13" s="5">
        <f t="shared" si="12"/>
        <v>0</v>
      </c>
      <c r="AF13" s="47"/>
      <c r="AG13" s="44"/>
      <c r="AH13" s="13"/>
      <c r="AI13" s="12"/>
      <c r="AJ13" s="40"/>
      <c r="AK13" s="40"/>
    </row>
    <row r="14" spans="2:41" s="41" customFormat="1" ht="16.149999999999999" customHeight="1">
      <c r="B14" s="1" t="s">
        <v>76</v>
      </c>
      <c r="C14" s="1"/>
      <c r="D14" s="4"/>
      <c r="E14" s="1" t="s">
        <v>35</v>
      </c>
      <c r="F14" s="13"/>
      <c r="G14" s="14">
        <f t="shared" si="8"/>
        <v>0</v>
      </c>
      <c r="H14" s="49"/>
      <c r="I14" s="12"/>
      <c r="J14" s="3"/>
      <c r="K14" s="4"/>
      <c r="L14" s="4"/>
      <c r="M14" s="3"/>
      <c r="N14" s="4"/>
      <c r="O14" s="4"/>
      <c r="P14" s="4"/>
      <c r="Q14" s="5"/>
      <c r="R14" s="36"/>
      <c r="S14" s="36"/>
      <c r="T14" s="37"/>
      <c r="U14" s="5">
        <f t="shared" si="9"/>
        <v>0</v>
      </c>
      <c r="V14" s="5">
        <f t="shared" si="10"/>
        <v>0</v>
      </c>
      <c r="W14" s="5">
        <f t="shared" si="13"/>
        <v>0</v>
      </c>
      <c r="X14" s="5"/>
      <c r="Y14" s="5"/>
      <c r="Z14" s="43"/>
      <c r="AA14" s="23">
        <f t="shared" si="11"/>
        <v>0</v>
      </c>
      <c r="AB14" s="43"/>
      <c r="AC14" s="43"/>
      <c r="AD14" s="46"/>
      <c r="AE14" s="5">
        <f t="shared" si="12"/>
        <v>0</v>
      </c>
      <c r="AF14" s="47"/>
      <c r="AG14" s="44"/>
      <c r="AH14" s="13"/>
      <c r="AI14" s="12"/>
      <c r="AJ14" s="40"/>
      <c r="AK14" s="40"/>
    </row>
    <row r="15" spans="2:41" s="41" customFormat="1">
      <c r="B15" s="6"/>
      <c r="C15" s="48"/>
      <c r="D15" s="6"/>
      <c r="E15" s="6"/>
      <c r="F15" s="19">
        <f>SUM(F10:F14)</f>
        <v>12.093</v>
      </c>
      <c r="G15" s="20">
        <f>SUM(G10:G14)</f>
        <v>12093</v>
      </c>
      <c r="H15" s="63"/>
      <c r="I15" s="2"/>
      <c r="J15" s="7"/>
      <c r="K15" s="7"/>
      <c r="L15" s="7"/>
      <c r="M15" s="2"/>
      <c r="N15" s="6"/>
      <c r="O15" s="6"/>
      <c r="P15" s="6"/>
      <c r="Q15" s="19"/>
      <c r="R15" s="9"/>
      <c r="S15" s="9"/>
      <c r="T15" s="10"/>
      <c r="U15" s="8"/>
      <c r="V15" s="21">
        <f t="shared" ref="V15:AE15" si="14">SUM(V10:V14)</f>
        <v>613719.75</v>
      </c>
      <c r="W15" s="21">
        <f t="shared" si="14"/>
        <v>110469.55499999999</v>
      </c>
      <c r="X15" s="21">
        <f t="shared" si="14"/>
        <v>0</v>
      </c>
      <c r="Y15" s="21">
        <f t="shared" si="14"/>
        <v>0</v>
      </c>
      <c r="Z15" s="21">
        <f t="shared" si="14"/>
        <v>0</v>
      </c>
      <c r="AA15" s="21">
        <f t="shared" si="14"/>
        <v>0</v>
      </c>
      <c r="AB15" s="21">
        <f t="shared" si="14"/>
        <v>0</v>
      </c>
      <c r="AC15" s="21">
        <f t="shared" si="14"/>
        <v>0</v>
      </c>
      <c r="AD15" s="21">
        <f t="shared" si="14"/>
        <v>0</v>
      </c>
      <c r="AE15" s="21">
        <f t="shared" si="14"/>
        <v>724189.30499999993</v>
      </c>
      <c r="AF15" s="21"/>
      <c r="AG15" s="42"/>
      <c r="AH15" s="20">
        <f>SUM(AH10:AH14)</f>
        <v>12.093</v>
      </c>
      <c r="AI15" s="26">
        <f>AH15-F15</f>
        <v>0</v>
      </c>
      <c r="AJ15" s="41">
        <f>AA15/F15</f>
        <v>0</v>
      </c>
      <c r="AK15" s="40"/>
    </row>
    <row r="16" spans="2:41">
      <c r="B16" s="15"/>
      <c r="C16" s="18"/>
      <c r="D16" s="11"/>
      <c r="E16" s="18"/>
      <c r="F16" s="16"/>
      <c r="G16" s="1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17"/>
      <c r="V16" s="17"/>
      <c r="W16" s="17"/>
      <c r="X16" s="17"/>
      <c r="Y16" s="22"/>
      <c r="Z16" s="17"/>
      <c r="AA16" s="17"/>
      <c r="AB16" s="17"/>
      <c r="AC16" s="22"/>
      <c r="AD16" s="17"/>
      <c r="AE16" s="17"/>
      <c r="AF16" s="17"/>
      <c r="AG16" s="16"/>
      <c r="AH16" s="17"/>
      <c r="AI16" s="26"/>
    </row>
    <row r="17" spans="2:37" s="41" customFormat="1" ht="16.149999999999999" customHeight="1">
      <c r="B17" s="1" t="s">
        <v>70</v>
      </c>
      <c r="C17" s="86" t="s">
        <v>225</v>
      </c>
      <c r="D17" s="4"/>
      <c r="E17" s="1" t="s">
        <v>35</v>
      </c>
      <c r="F17" s="13">
        <v>40.46</v>
      </c>
      <c r="G17" s="14">
        <f t="shared" ref="G17:G53" si="15">+F17*1000</f>
        <v>40460</v>
      </c>
      <c r="H17" s="49">
        <v>19</v>
      </c>
      <c r="I17" s="88" t="s">
        <v>221</v>
      </c>
      <c r="J17" s="85" t="s">
        <v>222</v>
      </c>
      <c r="K17" s="4">
        <v>60009</v>
      </c>
      <c r="L17" s="4"/>
      <c r="M17" s="85" t="s">
        <v>223</v>
      </c>
      <c r="N17" s="82" t="s">
        <v>224</v>
      </c>
      <c r="O17" s="4"/>
      <c r="P17" s="4"/>
      <c r="Q17" s="5">
        <v>57280</v>
      </c>
      <c r="R17" s="36"/>
      <c r="S17" s="36"/>
      <c r="T17" s="37"/>
      <c r="U17" s="5">
        <f t="shared" ref="U17:U53" si="16">S17+R17+Q17-T17</f>
        <v>57280</v>
      </c>
      <c r="V17" s="5">
        <f t="shared" ref="V17:V53" si="17">F17*U17</f>
        <v>2317548.8000000003</v>
      </c>
      <c r="W17" s="5">
        <f>V17*18%</f>
        <v>417158.78400000004</v>
      </c>
      <c r="X17" s="5"/>
      <c r="Y17" s="5"/>
      <c r="Z17" s="43"/>
      <c r="AA17" s="23">
        <f t="shared" ref="AA17:AA53" si="18">F17*Z17</f>
        <v>0</v>
      </c>
      <c r="AB17" s="43"/>
      <c r="AC17" s="43"/>
      <c r="AD17" s="46"/>
      <c r="AE17" s="5">
        <f t="shared" ref="AE17:AE53" si="19">+AB17+AA17+Y17+X17+W17+V17-AC17+AD17</f>
        <v>2734707.5840000003</v>
      </c>
      <c r="AF17" s="47" t="s">
        <v>333</v>
      </c>
      <c r="AG17" s="44" t="s">
        <v>331</v>
      </c>
      <c r="AH17" s="13">
        <v>40.46</v>
      </c>
      <c r="AI17" s="12"/>
      <c r="AJ17" s="40"/>
      <c r="AK17" s="40"/>
    </row>
    <row r="18" spans="2:37" s="41" customFormat="1" ht="16.149999999999999" customHeight="1">
      <c r="B18" s="1" t="s">
        <v>39</v>
      </c>
      <c r="C18" s="82" t="s">
        <v>226</v>
      </c>
      <c r="D18" s="4"/>
      <c r="E18" s="1" t="s">
        <v>35</v>
      </c>
      <c r="F18" s="13">
        <v>27.6</v>
      </c>
      <c r="G18" s="14">
        <f t="shared" si="15"/>
        <v>27600</v>
      </c>
      <c r="H18" s="49">
        <v>13</v>
      </c>
      <c r="I18" s="88" t="s">
        <v>227</v>
      </c>
      <c r="J18" s="85" t="s">
        <v>228</v>
      </c>
      <c r="K18" s="4">
        <v>61657</v>
      </c>
      <c r="L18" s="4"/>
      <c r="M18" s="85" t="s">
        <v>223</v>
      </c>
      <c r="N18" s="82" t="s">
        <v>229</v>
      </c>
      <c r="O18" s="4"/>
      <c r="P18" s="4"/>
      <c r="Q18" s="5">
        <v>57280</v>
      </c>
      <c r="R18" s="36"/>
      <c r="S18" s="36"/>
      <c r="T18" s="37"/>
      <c r="U18" s="5">
        <f t="shared" si="16"/>
        <v>57280</v>
      </c>
      <c r="V18" s="5">
        <f t="shared" si="17"/>
        <v>1580928</v>
      </c>
      <c r="W18" s="5">
        <f>V18*18%</f>
        <v>284567.03999999998</v>
      </c>
      <c r="X18" s="5"/>
      <c r="Y18" s="5"/>
      <c r="Z18" s="43"/>
      <c r="AA18" s="23">
        <f t="shared" si="18"/>
        <v>0</v>
      </c>
      <c r="AB18" s="43"/>
      <c r="AC18" s="43"/>
      <c r="AD18" s="46"/>
      <c r="AE18" s="5">
        <f t="shared" si="19"/>
        <v>1865495.04</v>
      </c>
      <c r="AF18" s="47" t="s">
        <v>334</v>
      </c>
      <c r="AG18" s="44" t="s">
        <v>331</v>
      </c>
      <c r="AH18" s="13">
        <v>27.6</v>
      </c>
      <c r="AI18" s="12"/>
      <c r="AJ18" s="40"/>
      <c r="AK18" s="40"/>
    </row>
    <row r="19" spans="2:37" s="41" customFormat="1" ht="16.149999999999999" customHeight="1">
      <c r="B19" s="70" t="s">
        <v>220</v>
      </c>
      <c r="C19" s="70" t="s">
        <v>162</v>
      </c>
      <c r="D19" s="4"/>
      <c r="E19" s="1" t="s">
        <v>35</v>
      </c>
      <c r="F19" s="13">
        <v>31.82</v>
      </c>
      <c r="G19" s="14">
        <f t="shared" si="15"/>
        <v>31820</v>
      </c>
      <c r="H19" s="49">
        <v>15</v>
      </c>
      <c r="I19" s="88" t="s">
        <v>230</v>
      </c>
      <c r="J19" s="85" t="s">
        <v>228</v>
      </c>
      <c r="K19" s="4">
        <v>61656</v>
      </c>
      <c r="L19" s="4"/>
      <c r="M19" s="85" t="s">
        <v>223</v>
      </c>
      <c r="N19" s="82" t="s">
        <v>231</v>
      </c>
      <c r="O19" s="4"/>
      <c r="P19" s="4"/>
      <c r="Q19" s="5">
        <v>57280</v>
      </c>
      <c r="R19" s="36"/>
      <c r="S19" s="36"/>
      <c r="T19" s="37"/>
      <c r="U19" s="5">
        <f t="shared" si="16"/>
        <v>57280</v>
      </c>
      <c r="V19" s="5">
        <f t="shared" si="17"/>
        <v>1822649.6</v>
      </c>
      <c r="W19" s="5">
        <f t="shared" ref="W19:W53" si="20">V19*18%</f>
        <v>328076.92800000001</v>
      </c>
      <c r="X19" s="5"/>
      <c r="Y19" s="5"/>
      <c r="Z19" s="43"/>
      <c r="AA19" s="23">
        <f t="shared" si="18"/>
        <v>0</v>
      </c>
      <c r="AB19" s="43"/>
      <c r="AC19" s="43"/>
      <c r="AD19" s="46"/>
      <c r="AE19" s="5">
        <f t="shared" si="19"/>
        <v>2150726.5279999999</v>
      </c>
      <c r="AF19" s="47" t="s">
        <v>335</v>
      </c>
      <c r="AG19" s="44" t="s">
        <v>331</v>
      </c>
      <c r="AH19" s="13">
        <v>31.82</v>
      </c>
      <c r="AI19" s="12"/>
      <c r="AJ19" s="40"/>
      <c r="AK19" s="40"/>
    </row>
    <row r="20" spans="2:37" s="41" customFormat="1" ht="16.149999999999999" customHeight="1">
      <c r="B20" s="12"/>
      <c r="C20" s="1"/>
      <c r="D20" s="4"/>
      <c r="E20" s="1" t="s">
        <v>35</v>
      </c>
      <c r="F20" s="13">
        <v>27.44</v>
      </c>
      <c r="G20" s="14">
        <f t="shared" si="15"/>
        <v>27440</v>
      </c>
      <c r="H20" s="49">
        <v>13</v>
      </c>
      <c r="I20" s="88" t="s">
        <v>232</v>
      </c>
      <c r="J20" s="85" t="s">
        <v>222</v>
      </c>
      <c r="K20" s="4">
        <v>60004</v>
      </c>
      <c r="L20" s="4"/>
      <c r="M20" s="85" t="s">
        <v>223</v>
      </c>
      <c r="N20" s="82" t="s">
        <v>233</v>
      </c>
      <c r="O20" s="4"/>
      <c r="P20" s="4"/>
      <c r="Q20" s="5">
        <v>57280</v>
      </c>
      <c r="R20" s="36"/>
      <c r="S20" s="36"/>
      <c r="T20" s="37"/>
      <c r="U20" s="5">
        <f t="shared" si="16"/>
        <v>57280</v>
      </c>
      <c r="V20" s="5">
        <f t="shared" si="17"/>
        <v>1571763.2000000002</v>
      </c>
      <c r="W20" s="5">
        <f t="shared" si="20"/>
        <v>282917.37600000005</v>
      </c>
      <c r="X20" s="5"/>
      <c r="Y20" s="5"/>
      <c r="Z20" s="43"/>
      <c r="AA20" s="23">
        <f t="shared" si="18"/>
        <v>0</v>
      </c>
      <c r="AB20" s="43"/>
      <c r="AC20" s="43"/>
      <c r="AD20" s="46"/>
      <c r="AE20" s="5">
        <f t="shared" si="19"/>
        <v>1854680.5760000004</v>
      </c>
      <c r="AF20" s="47" t="s">
        <v>336</v>
      </c>
      <c r="AG20" s="44" t="s">
        <v>331</v>
      </c>
      <c r="AH20" s="13">
        <v>27.44</v>
      </c>
      <c r="AI20" s="12"/>
      <c r="AJ20" s="40"/>
      <c r="AK20" s="40"/>
    </row>
    <row r="21" spans="2:37" s="41" customFormat="1" ht="16.149999999999999" customHeight="1">
      <c r="B21" s="12"/>
      <c r="C21" s="1"/>
      <c r="D21" s="4"/>
      <c r="E21" s="1" t="s">
        <v>35</v>
      </c>
      <c r="F21" s="13">
        <v>31.86</v>
      </c>
      <c r="G21" s="14">
        <f t="shared" si="15"/>
        <v>31860</v>
      </c>
      <c r="H21" s="49">
        <v>15</v>
      </c>
      <c r="I21" s="88" t="s">
        <v>234</v>
      </c>
      <c r="J21" s="85" t="s">
        <v>228</v>
      </c>
      <c r="K21" s="4">
        <v>61658</v>
      </c>
      <c r="L21" s="4"/>
      <c r="M21" s="85" t="s">
        <v>223</v>
      </c>
      <c r="N21" s="82" t="s">
        <v>235</v>
      </c>
      <c r="O21" s="4"/>
      <c r="P21" s="4"/>
      <c r="Q21" s="5">
        <v>57280</v>
      </c>
      <c r="R21" s="36"/>
      <c r="S21" s="36"/>
      <c r="T21" s="37"/>
      <c r="U21" s="5">
        <f t="shared" si="16"/>
        <v>57280</v>
      </c>
      <c r="V21" s="5">
        <f t="shared" si="17"/>
        <v>1824940.8</v>
      </c>
      <c r="W21" s="5">
        <f t="shared" si="20"/>
        <v>328489.34399999998</v>
      </c>
      <c r="X21" s="5"/>
      <c r="Y21" s="5"/>
      <c r="Z21" s="43"/>
      <c r="AA21" s="23">
        <f t="shared" si="18"/>
        <v>0</v>
      </c>
      <c r="AB21" s="43"/>
      <c r="AC21" s="43"/>
      <c r="AD21" s="46"/>
      <c r="AE21" s="5">
        <f t="shared" si="19"/>
        <v>2153430.1439999999</v>
      </c>
      <c r="AF21" s="47" t="s">
        <v>337</v>
      </c>
      <c r="AG21" s="44" t="s">
        <v>331</v>
      </c>
      <c r="AH21" s="13">
        <v>31.86</v>
      </c>
      <c r="AI21" s="12"/>
      <c r="AJ21" s="40"/>
      <c r="AK21" s="40"/>
    </row>
    <row r="22" spans="2:37" s="41" customFormat="1" ht="16.149999999999999" customHeight="1">
      <c r="B22" s="12"/>
      <c r="C22" s="1"/>
      <c r="D22" s="4"/>
      <c r="E22" s="1" t="s">
        <v>35</v>
      </c>
      <c r="F22" s="13">
        <v>42.12</v>
      </c>
      <c r="G22" s="14">
        <f t="shared" si="15"/>
        <v>42120</v>
      </c>
      <c r="H22" s="49">
        <v>21</v>
      </c>
      <c r="I22" s="88" t="s">
        <v>236</v>
      </c>
      <c r="J22" s="85" t="s">
        <v>222</v>
      </c>
      <c r="K22" s="4">
        <v>60005</v>
      </c>
      <c r="L22" s="4"/>
      <c r="M22" s="85" t="s">
        <v>223</v>
      </c>
      <c r="N22" s="87" t="s">
        <v>237</v>
      </c>
      <c r="O22" s="4"/>
      <c r="P22" s="4"/>
      <c r="Q22" s="5">
        <v>57280</v>
      </c>
      <c r="R22" s="36"/>
      <c r="S22" s="36"/>
      <c r="T22" s="37"/>
      <c r="U22" s="5">
        <f t="shared" si="16"/>
        <v>57280</v>
      </c>
      <c r="V22" s="5">
        <f t="shared" si="17"/>
        <v>2412633.5999999996</v>
      </c>
      <c r="W22" s="5">
        <f t="shared" si="20"/>
        <v>434274.04799999989</v>
      </c>
      <c r="X22" s="5"/>
      <c r="Y22" s="5"/>
      <c r="Z22" s="43"/>
      <c r="AA22" s="23">
        <f t="shared" si="18"/>
        <v>0</v>
      </c>
      <c r="AB22" s="43"/>
      <c r="AC22" s="43"/>
      <c r="AD22" s="46"/>
      <c r="AE22" s="5">
        <f t="shared" si="19"/>
        <v>2846907.6479999996</v>
      </c>
      <c r="AF22" s="47" t="s">
        <v>338</v>
      </c>
      <c r="AG22" s="44" t="s">
        <v>331</v>
      </c>
      <c r="AH22" s="13">
        <v>42.12</v>
      </c>
      <c r="AI22" s="12"/>
      <c r="AJ22" s="40"/>
      <c r="AK22" s="40"/>
    </row>
    <row r="23" spans="2:37" s="41" customFormat="1" ht="16.149999999999999" customHeight="1">
      <c r="B23" s="12"/>
      <c r="C23" s="1"/>
      <c r="D23" s="4"/>
      <c r="E23" s="1" t="s">
        <v>35</v>
      </c>
      <c r="F23" s="13">
        <v>27.56</v>
      </c>
      <c r="G23" s="14">
        <f t="shared" si="15"/>
        <v>27560</v>
      </c>
      <c r="H23" s="49">
        <v>13</v>
      </c>
      <c r="I23" s="88" t="s">
        <v>238</v>
      </c>
      <c r="J23" s="85" t="s">
        <v>222</v>
      </c>
      <c r="K23" s="4">
        <v>60004</v>
      </c>
      <c r="L23" s="4"/>
      <c r="M23" s="85" t="s">
        <v>223</v>
      </c>
      <c r="N23" s="87" t="s">
        <v>239</v>
      </c>
      <c r="O23" s="4"/>
      <c r="P23" s="4"/>
      <c r="Q23" s="5">
        <v>57280</v>
      </c>
      <c r="R23" s="36"/>
      <c r="S23" s="36"/>
      <c r="T23" s="37"/>
      <c r="U23" s="5">
        <f t="shared" si="16"/>
        <v>57280</v>
      </c>
      <c r="V23" s="5">
        <f>F23*U23</f>
        <v>1578636.7999999998</v>
      </c>
      <c r="W23" s="5">
        <f>V23*18%</f>
        <v>284154.62399999995</v>
      </c>
      <c r="X23" s="5"/>
      <c r="Y23" s="5"/>
      <c r="Z23" s="43"/>
      <c r="AA23" s="23">
        <f t="shared" si="18"/>
        <v>0</v>
      </c>
      <c r="AB23" s="43"/>
      <c r="AC23" s="43"/>
      <c r="AD23" s="46"/>
      <c r="AE23" s="5">
        <f>+AB23+AA23+Y23+X23+W23+V23-AC23+AD23</f>
        <v>1862791.4239999996</v>
      </c>
      <c r="AF23" s="47" t="s">
        <v>339</v>
      </c>
      <c r="AG23" s="44" t="s">
        <v>331</v>
      </c>
      <c r="AH23" s="13">
        <v>27.56</v>
      </c>
      <c r="AI23" s="12"/>
      <c r="AJ23" s="40"/>
      <c r="AK23" s="40"/>
    </row>
    <row r="24" spans="2:37" s="41" customFormat="1" ht="16.149999999999999" customHeight="1">
      <c r="B24" s="12"/>
      <c r="C24" s="1"/>
      <c r="D24" s="4"/>
      <c r="E24" s="1" t="s">
        <v>35</v>
      </c>
      <c r="F24" s="13">
        <v>27.64</v>
      </c>
      <c r="G24" s="14">
        <f t="shared" si="15"/>
        <v>27640</v>
      </c>
      <c r="H24" s="49">
        <v>13</v>
      </c>
      <c r="I24" s="88" t="s">
        <v>240</v>
      </c>
      <c r="J24" s="85" t="s">
        <v>222</v>
      </c>
      <c r="K24" s="4">
        <v>60003</v>
      </c>
      <c r="L24" s="4"/>
      <c r="M24" s="85" t="s">
        <v>223</v>
      </c>
      <c r="N24" s="82" t="s">
        <v>241</v>
      </c>
      <c r="O24" s="4"/>
      <c r="P24" s="4"/>
      <c r="Q24" s="5">
        <v>57280</v>
      </c>
      <c r="R24" s="36"/>
      <c r="S24" s="36"/>
      <c r="T24" s="37"/>
      <c r="U24" s="5">
        <f t="shared" si="16"/>
        <v>57280</v>
      </c>
      <c r="V24" s="5">
        <f t="shared" si="17"/>
        <v>1583219.2</v>
      </c>
      <c r="W24" s="5">
        <f t="shared" si="20"/>
        <v>284979.45600000001</v>
      </c>
      <c r="X24" s="5"/>
      <c r="Y24" s="5"/>
      <c r="Z24" s="43"/>
      <c r="AA24" s="23">
        <f t="shared" si="18"/>
        <v>0</v>
      </c>
      <c r="AB24" s="43"/>
      <c r="AC24" s="43"/>
      <c r="AD24" s="46"/>
      <c r="AE24" s="5">
        <f t="shared" si="19"/>
        <v>1868198.656</v>
      </c>
      <c r="AF24" s="47" t="s">
        <v>340</v>
      </c>
      <c r="AG24" s="44" t="s">
        <v>331</v>
      </c>
      <c r="AH24" s="13">
        <v>27.64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1" t="s">
        <v>35</v>
      </c>
      <c r="F25" s="13">
        <v>31.86</v>
      </c>
      <c r="G25" s="14">
        <f t="shared" si="15"/>
        <v>31860</v>
      </c>
      <c r="H25" s="49">
        <v>15</v>
      </c>
      <c r="I25" s="88" t="s">
        <v>242</v>
      </c>
      <c r="J25" s="85" t="s">
        <v>222</v>
      </c>
      <c r="K25" s="4">
        <v>10002</v>
      </c>
      <c r="L25" s="4"/>
      <c r="M25" s="85" t="s">
        <v>223</v>
      </c>
      <c r="N25" s="82" t="s">
        <v>243</v>
      </c>
      <c r="O25" s="4"/>
      <c r="P25" s="4"/>
      <c r="Q25" s="5">
        <v>57280</v>
      </c>
      <c r="R25" s="36"/>
      <c r="S25" s="36"/>
      <c r="T25" s="37"/>
      <c r="U25" s="5">
        <f t="shared" si="16"/>
        <v>57280</v>
      </c>
      <c r="V25" s="5">
        <f t="shared" si="17"/>
        <v>1824940.8</v>
      </c>
      <c r="W25" s="5">
        <f t="shared" si="20"/>
        <v>328489.34399999998</v>
      </c>
      <c r="X25" s="5"/>
      <c r="Y25" s="5"/>
      <c r="Z25" s="43"/>
      <c r="AA25" s="23">
        <f t="shared" si="18"/>
        <v>0</v>
      </c>
      <c r="AB25" s="43"/>
      <c r="AC25" s="43"/>
      <c r="AD25" s="46"/>
      <c r="AE25" s="5">
        <f t="shared" si="19"/>
        <v>2153430.1439999999</v>
      </c>
      <c r="AF25" s="47" t="s">
        <v>341</v>
      </c>
      <c r="AG25" s="44" t="s">
        <v>331</v>
      </c>
      <c r="AH25" s="13">
        <v>31.86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1" t="s">
        <v>35</v>
      </c>
      <c r="F26" s="13">
        <v>31.94</v>
      </c>
      <c r="G26" s="14">
        <f t="shared" si="15"/>
        <v>31940</v>
      </c>
      <c r="H26" s="49">
        <v>15</v>
      </c>
      <c r="I26" s="88" t="s">
        <v>244</v>
      </c>
      <c r="J26" s="85" t="s">
        <v>222</v>
      </c>
      <c r="K26" s="4">
        <v>60008</v>
      </c>
      <c r="L26" s="4"/>
      <c r="M26" s="85" t="s">
        <v>223</v>
      </c>
      <c r="N26" s="82" t="s">
        <v>245</v>
      </c>
      <c r="O26" s="4"/>
      <c r="P26" s="4"/>
      <c r="Q26" s="5">
        <v>57280</v>
      </c>
      <c r="R26" s="36"/>
      <c r="S26" s="36"/>
      <c r="T26" s="37"/>
      <c r="U26" s="5">
        <f t="shared" si="16"/>
        <v>57280</v>
      </c>
      <c r="V26" s="5">
        <f t="shared" si="17"/>
        <v>1829523.2000000002</v>
      </c>
      <c r="W26" s="5">
        <f t="shared" si="20"/>
        <v>329314.17600000004</v>
      </c>
      <c r="X26" s="5"/>
      <c r="Y26" s="5"/>
      <c r="Z26" s="43"/>
      <c r="AA26" s="23">
        <f t="shared" si="18"/>
        <v>0</v>
      </c>
      <c r="AB26" s="43"/>
      <c r="AC26" s="43"/>
      <c r="AD26" s="46"/>
      <c r="AE26" s="5">
        <f t="shared" si="19"/>
        <v>2158837.3760000002</v>
      </c>
      <c r="AF26" s="47" t="s">
        <v>342</v>
      </c>
      <c r="AG26" s="44" t="s">
        <v>331</v>
      </c>
      <c r="AH26" s="13">
        <v>31.94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1" t="s">
        <v>35</v>
      </c>
      <c r="F27" s="13">
        <v>31.76</v>
      </c>
      <c r="G27" s="14">
        <f t="shared" si="15"/>
        <v>31760</v>
      </c>
      <c r="H27" s="49">
        <v>15</v>
      </c>
      <c r="I27" s="88" t="s">
        <v>246</v>
      </c>
      <c r="J27" s="85" t="s">
        <v>222</v>
      </c>
      <c r="K27" s="82">
        <v>10003</v>
      </c>
      <c r="L27" s="4"/>
      <c r="M27" s="85" t="s">
        <v>223</v>
      </c>
      <c r="N27" s="82" t="s">
        <v>247</v>
      </c>
      <c r="O27" s="4"/>
      <c r="P27" s="4"/>
      <c r="Q27" s="5">
        <v>57280</v>
      </c>
      <c r="R27" s="36"/>
      <c r="S27" s="36"/>
      <c r="T27" s="37"/>
      <c r="U27" s="5">
        <f t="shared" si="16"/>
        <v>57280</v>
      </c>
      <c r="V27" s="5">
        <f t="shared" si="17"/>
        <v>1819212.8</v>
      </c>
      <c r="W27" s="5">
        <f t="shared" si="20"/>
        <v>327458.304</v>
      </c>
      <c r="X27" s="5"/>
      <c r="Y27" s="5"/>
      <c r="Z27" s="43"/>
      <c r="AA27" s="23">
        <f t="shared" si="18"/>
        <v>0</v>
      </c>
      <c r="AB27" s="43"/>
      <c r="AC27" s="43"/>
      <c r="AD27" s="46"/>
      <c r="AE27" s="5">
        <f t="shared" si="19"/>
        <v>2146671.1040000003</v>
      </c>
      <c r="AF27" s="47" t="s">
        <v>343</v>
      </c>
      <c r="AG27" s="44" t="s">
        <v>331</v>
      </c>
      <c r="AH27" s="13">
        <v>31.76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1" t="s">
        <v>35</v>
      </c>
      <c r="F28" s="13">
        <v>42.5</v>
      </c>
      <c r="G28" s="14">
        <f t="shared" si="15"/>
        <v>42500</v>
      </c>
      <c r="H28" s="49">
        <v>20</v>
      </c>
      <c r="I28" s="88" t="s">
        <v>248</v>
      </c>
      <c r="J28" s="85" t="s">
        <v>222</v>
      </c>
      <c r="K28" s="4">
        <v>60006</v>
      </c>
      <c r="L28" s="4"/>
      <c r="M28" s="85" t="s">
        <v>223</v>
      </c>
      <c r="N28" s="87" t="s">
        <v>249</v>
      </c>
      <c r="O28" s="4"/>
      <c r="P28" s="4"/>
      <c r="Q28" s="5">
        <v>57280</v>
      </c>
      <c r="R28" s="36"/>
      <c r="S28" s="36"/>
      <c r="T28" s="37"/>
      <c r="U28" s="5">
        <f t="shared" si="16"/>
        <v>57280</v>
      </c>
      <c r="V28" s="5">
        <f t="shared" si="17"/>
        <v>2434400</v>
      </c>
      <c r="W28" s="5">
        <f t="shared" si="20"/>
        <v>438192</v>
      </c>
      <c r="X28" s="5"/>
      <c r="Y28" s="5"/>
      <c r="Z28" s="43"/>
      <c r="AA28" s="23">
        <f t="shared" si="18"/>
        <v>0</v>
      </c>
      <c r="AB28" s="43"/>
      <c r="AC28" s="43"/>
      <c r="AD28" s="46"/>
      <c r="AE28" s="5">
        <f t="shared" si="19"/>
        <v>2872592</v>
      </c>
      <c r="AF28" s="47" t="s">
        <v>344</v>
      </c>
      <c r="AG28" s="44" t="s">
        <v>331</v>
      </c>
      <c r="AH28" s="13">
        <v>42.5</v>
      </c>
      <c r="AI28" s="12"/>
      <c r="AJ28" s="40"/>
      <c r="AK28" s="40"/>
    </row>
    <row r="29" spans="2:37" s="41" customFormat="1" ht="16.149999999999999" customHeight="1">
      <c r="B29" s="12"/>
      <c r="C29" s="1"/>
      <c r="D29" s="4"/>
      <c r="E29" s="1" t="s">
        <v>35</v>
      </c>
      <c r="F29" s="13">
        <v>42.32</v>
      </c>
      <c r="G29" s="14">
        <f t="shared" si="15"/>
        <v>42320</v>
      </c>
      <c r="H29" s="49">
        <v>20</v>
      </c>
      <c r="I29" s="88" t="s">
        <v>250</v>
      </c>
      <c r="J29" s="85" t="s">
        <v>222</v>
      </c>
      <c r="K29" s="4">
        <v>10001</v>
      </c>
      <c r="L29" s="4"/>
      <c r="M29" s="85" t="s">
        <v>223</v>
      </c>
      <c r="N29" s="87" t="s">
        <v>251</v>
      </c>
      <c r="O29" s="4"/>
      <c r="P29" s="4"/>
      <c r="Q29" s="5">
        <v>57280</v>
      </c>
      <c r="R29" s="36"/>
      <c r="S29" s="36"/>
      <c r="T29" s="37"/>
      <c r="U29" s="5">
        <f t="shared" si="16"/>
        <v>57280</v>
      </c>
      <c r="V29" s="5">
        <f t="shared" si="17"/>
        <v>2424089.6000000001</v>
      </c>
      <c r="W29" s="5">
        <f t="shared" si="20"/>
        <v>436336.12800000003</v>
      </c>
      <c r="X29" s="5"/>
      <c r="Y29" s="5"/>
      <c r="Z29" s="43"/>
      <c r="AA29" s="23">
        <f t="shared" si="18"/>
        <v>0</v>
      </c>
      <c r="AB29" s="43"/>
      <c r="AC29" s="43"/>
      <c r="AD29" s="46"/>
      <c r="AE29" s="5">
        <f t="shared" si="19"/>
        <v>2860425.7280000001</v>
      </c>
      <c r="AF29" s="47" t="s">
        <v>345</v>
      </c>
      <c r="AG29" s="44" t="s">
        <v>331</v>
      </c>
      <c r="AH29" s="13">
        <v>42.32</v>
      </c>
      <c r="AI29" s="12"/>
      <c r="AJ29" s="40"/>
      <c r="AK29" s="40"/>
    </row>
    <row r="30" spans="2:37" s="41" customFormat="1" ht="16.149999999999999" customHeight="1">
      <c r="B30" s="12"/>
      <c r="C30" s="1"/>
      <c r="D30" s="4"/>
      <c r="E30" s="1" t="s">
        <v>35</v>
      </c>
      <c r="F30" s="13">
        <v>23.48</v>
      </c>
      <c r="G30" s="14">
        <f t="shared" si="15"/>
        <v>23480</v>
      </c>
      <c r="H30" s="49">
        <v>11</v>
      </c>
      <c r="I30" s="88" t="s">
        <v>252</v>
      </c>
      <c r="J30" s="85" t="s">
        <v>222</v>
      </c>
      <c r="K30" s="4">
        <v>60010</v>
      </c>
      <c r="L30" s="4"/>
      <c r="M30" s="85" t="s">
        <v>223</v>
      </c>
      <c r="N30" s="82" t="s">
        <v>253</v>
      </c>
      <c r="O30" s="4"/>
      <c r="P30" s="4"/>
      <c r="Q30" s="5">
        <v>57280</v>
      </c>
      <c r="R30" s="36"/>
      <c r="S30" s="36"/>
      <c r="T30" s="37"/>
      <c r="U30" s="5">
        <f t="shared" si="16"/>
        <v>57280</v>
      </c>
      <c r="V30" s="5">
        <f t="shared" si="17"/>
        <v>1344934.4000000001</v>
      </c>
      <c r="W30" s="5">
        <f t="shared" si="20"/>
        <v>242088.19200000001</v>
      </c>
      <c r="X30" s="5"/>
      <c r="Y30" s="5"/>
      <c r="Z30" s="43"/>
      <c r="AA30" s="23">
        <f t="shared" si="18"/>
        <v>0</v>
      </c>
      <c r="AB30" s="43"/>
      <c r="AC30" s="43"/>
      <c r="AD30" s="46"/>
      <c r="AE30" s="5">
        <f t="shared" si="19"/>
        <v>1587022.5920000002</v>
      </c>
      <c r="AF30" s="47" t="s">
        <v>346</v>
      </c>
      <c r="AG30" s="44" t="s">
        <v>331</v>
      </c>
      <c r="AH30" s="13">
        <v>23.48</v>
      </c>
      <c r="AI30" s="12"/>
      <c r="AJ30" s="40"/>
      <c r="AK30" s="40"/>
    </row>
    <row r="31" spans="2:37" s="41" customFormat="1" ht="16.149999999999999" customHeight="1">
      <c r="B31" s="12"/>
      <c r="C31" s="1"/>
      <c r="D31" s="4"/>
      <c r="E31" s="1" t="s">
        <v>35</v>
      </c>
      <c r="F31" s="13">
        <v>31.82</v>
      </c>
      <c r="G31" s="14">
        <f t="shared" si="15"/>
        <v>31820</v>
      </c>
      <c r="H31" s="49">
        <v>15</v>
      </c>
      <c r="I31" s="88" t="s">
        <v>254</v>
      </c>
      <c r="J31" s="85" t="s">
        <v>222</v>
      </c>
      <c r="K31" s="4">
        <v>60006</v>
      </c>
      <c r="L31" s="4"/>
      <c r="M31" s="85" t="s">
        <v>223</v>
      </c>
      <c r="N31" s="82" t="s">
        <v>255</v>
      </c>
      <c r="O31" s="4"/>
      <c r="P31" s="4"/>
      <c r="Q31" s="5">
        <v>57280</v>
      </c>
      <c r="R31" s="36"/>
      <c r="S31" s="36"/>
      <c r="T31" s="37"/>
      <c r="U31" s="5">
        <f t="shared" si="16"/>
        <v>57280</v>
      </c>
      <c r="V31" s="5">
        <f t="shared" si="17"/>
        <v>1822649.6</v>
      </c>
      <c r="W31" s="5">
        <f t="shared" si="20"/>
        <v>328076.92800000001</v>
      </c>
      <c r="X31" s="5"/>
      <c r="Y31" s="5"/>
      <c r="Z31" s="43"/>
      <c r="AA31" s="23">
        <f t="shared" si="18"/>
        <v>0</v>
      </c>
      <c r="AB31" s="43"/>
      <c r="AC31" s="43"/>
      <c r="AD31" s="46"/>
      <c r="AE31" s="5">
        <f t="shared" si="19"/>
        <v>2150726.5279999999</v>
      </c>
      <c r="AF31" s="47" t="s">
        <v>347</v>
      </c>
      <c r="AG31" s="44" t="s">
        <v>331</v>
      </c>
      <c r="AH31" s="13">
        <v>31.82</v>
      </c>
      <c r="AI31" s="12"/>
      <c r="AJ31" s="40"/>
      <c r="AK31" s="40"/>
    </row>
    <row r="32" spans="2:37" s="41" customFormat="1" ht="16.149999999999999" customHeight="1">
      <c r="B32" s="12"/>
      <c r="C32" s="1"/>
      <c r="D32" s="4"/>
      <c r="E32" s="1" t="s">
        <v>35</v>
      </c>
      <c r="F32" s="13">
        <v>31.74</v>
      </c>
      <c r="G32" s="14">
        <f t="shared" si="15"/>
        <v>31740</v>
      </c>
      <c r="H32" s="49">
        <v>15</v>
      </c>
      <c r="I32" s="88" t="s">
        <v>279</v>
      </c>
      <c r="J32" s="85" t="s">
        <v>222</v>
      </c>
      <c r="K32" s="4">
        <v>60007</v>
      </c>
      <c r="L32" s="4"/>
      <c r="M32" s="85" t="s">
        <v>223</v>
      </c>
      <c r="N32" s="82" t="s">
        <v>256</v>
      </c>
      <c r="O32" s="4"/>
      <c r="P32" s="4"/>
      <c r="Q32" s="5">
        <v>57280</v>
      </c>
      <c r="R32" s="36"/>
      <c r="S32" s="36"/>
      <c r="T32" s="37"/>
      <c r="U32" s="5">
        <f t="shared" si="16"/>
        <v>57280</v>
      </c>
      <c r="V32" s="5">
        <f t="shared" si="17"/>
        <v>1818067.2</v>
      </c>
      <c r="W32" s="5">
        <f t="shared" si="20"/>
        <v>327252.09599999996</v>
      </c>
      <c r="X32" s="5"/>
      <c r="Y32" s="5"/>
      <c r="Z32" s="43"/>
      <c r="AA32" s="23">
        <f t="shared" si="18"/>
        <v>0</v>
      </c>
      <c r="AB32" s="43"/>
      <c r="AC32" s="43"/>
      <c r="AD32" s="46"/>
      <c r="AE32" s="5">
        <f t="shared" si="19"/>
        <v>2145319.2960000001</v>
      </c>
      <c r="AF32" s="47" t="s">
        <v>348</v>
      </c>
      <c r="AG32" s="44" t="s">
        <v>331</v>
      </c>
      <c r="AH32" s="13">
        <v>31.74</v>
      </c>
      <c r="AI32" s="12"/>
      <c r="AJ32" s="40"/>
      <c r="AK32" s="40"/>
    </row>
    <row r="33" spans="2:37" s="41" customFormat="1" ht="16.149999999999999" customHeight="1">
      <c r="B33" s="12"/>
      <c r="C33" s="1"/>
      <c r="D33" s="4"/>
      <c r="E33" s="1" t="s">
        <v>35</v>
      </c>
      <c r="F33" s="13">
        <v>25.376999999999999</v>
      </c>
      <c r="G33" s="14">
        <f t="shared" si="15"/>
        <v>25377</v>
      </c>
      <c r="H33" s="49">
        <v>12</v>
      </c>
      <c r="I33" s="88" t="s">
        <v>257</v>
      </c>
      <c r="J33" s="85" t="s">
        <v>258</v>
      </c>
      <c r="K33" s="82">
        <v>60042</v>
      </c>
      <c r="L33" s="4"/>
      <c r="M33" s="85" t="s">
        <v>259</v>
      </c>
      <c r="N33" s="82" t="s">
        <v>260</v>
      </c>
      <c r="O33" s="4"/>
      <c r="P33" s="4"/>
      <c r="Q33" s="5">
        <v>57280</v>
      </c>
      <c r="R33" s="36"/>
      <c r="S33" s="36"/>
      <c r="T33" s="37"/>
      <c r="U33" s="5">
        <f t="shared" si="16"/>
        <v>57280</v>
      </c>
      <c r="V33" s="5">
        <f t="shared" si="17"/>
        <v>1453594.5599999998</v>
      </c>
      <c r="W33" s="5">
        <f t="shared" si="20"/>
        <v>261647.02079999997</v>
      </c>
      <c r="X33" s="5"/>
      <c r="Y33" s="5"/>
      <c r="Z33" s="43"/>
      <c r="AA33" s="23">
        <f t="shared" si="18"/>
        <v>0</v>
      </c>
      <c r="AB33" s="43"/>
      <c r="AC33" s="43"/>
      <c r="AD33" s="46"/>
      <c r="AE33" s="5">
        <f t="shared" si="19"/>
        <v>1715241.5807999999</v>
      </c>
      <c r="AF33" s="47" t="s">
        <v>349</v>
      </c>
      <c r="AG33" s="44" t="s">
        <v>331</v>
      </c>
      <c r="AH33" s="13">
        <v>25.376999999999999</v>
      </c>
      <c r="AI33" s="12"/>
      <c r="AJ33" s="40"/>
      <c r="AK33" s="40"/>
    </row>
    <row r="34" spans="2:37" s="41" customFormat="1" ht="16.149999999999999" customHeight="1">
      <c r="B34" s="12"/>
      <c r="C34" s="1"/>
      <c r="D34" s="4"/>
      <c r="E34" s="1" t="s">
        <v>35</v>
      </c>
      <c r="F34" s="13">
        <v>14.803000000000001</v>
      </c>
      <c r="G34" s="14">
        <f t="shared" si="15"/>
        <v>14803</v>
      </c>
      <c r="H34" s="49">
        <v>12</v>
      </c>
      <c r="I34" s="88" t="s">
        <v>291</v>
      </c>
      <c r="J34" s="85" t="s">
        <v>258</v>
      </c>
      <c r="K34" s="82">
        <v>60043</v>
      </c>
      <c r="L34" s="4"/>
      <c r="M34" s="85" t="s">
        <v>259</v>
      </c>
      <c r="N34" s="82" t="s">
        <v>260</v>
      </c>
      <c r="O34" s="4"/>
      <c r="P34" s="4"/>
      <c r="Q34" s="5">
        <v>57280</v>
      </c>
      <c r="R34" s="36"/>
      <c r="S34" s="36"/>
      <c r="T34" s="37"/>
      <c r="U34" s="5">
        <f t="shared" si="16"/>
        <v>57280</v>
      </c>
      <c r="V34" s="5">
        <f t="shared" si="17"/>
        <v>847915.84000000008</v>
      </c>
      <c r="W34" s="5">
        <f t="shared" si="20"/>
        <v>152624.8512</v>
      </c>
      <c r="X34" s="5"/>
      <c r="Y34" s="5"/>
      <c r="Z34" s="43"/>
      <c r="AA34" s="23">
        <f t="shared" si="18"/>
        <v>0</v>
      </c>
      <c r="AB34" s="43"/>
      <c r="AC34" s="43"/>
      <c r="AD34" s="46"/>
      <c r="AE34" s="5">
        <f t="shared" si="19"/>
        <v>1000540.6912000001</v>
      </c>
      <c r="AF34" s="47" t="s">
        <v>350</v>
      </c>
      <c r="AG34" s="44" t="s">
        <v>331</v>
      </c>
      <c r="AH34" s="13">
        <v>14.803000000000001</v>
      </c>
      <c r="AI34" s="12"/>
      <c r="AJ34" s="40"/>
      <c r="AK34" s="40"/>
    </row>
    <row r="35" spans="2:37" s="41" customFormat="1" ht="16.149999999999999" customHeight="1">
      <c r="B35" s="12"/>
      <c r="C35" s="1"/>
      <c r="D35" s="4"/>
      <c r="E35" s="1" t="s">
        <v>35</v>
      </c>
      <c r="F35" s="13">
        <v>40.299999999999997</v>
      </c>
      <c r="G35" s="14">
        <f t="shared" si="15"/>
        <v>40300</v>
      </c>
      <c r="H35" s="49">
        <v>19</v>
      </c>
      <c r="I35" s="88" t="s">
        <v>261</v>
      </c>
      <c r="J35" s="85" t="s">
        <v>222</v>
      </c>
      <c r="K35" s="4">
        <v>60008</v>
      </c>
      <c r="L35" s="4"/>
      <c r="M35" s="85" t="s">
        <v>259</v>
      </c>
      <c r="N35" s="82" t="s">
        <v>262</v>
      </c>
      <c r="O35" s="4"/>
      <c r="P35" s="4"/>
      <c r="Q35" s="5">
        <v>57280</v>
      </c>
      <c r="R35" s="36"/>
      <c r="S35" s="36"/>
      <c r="T35" s="37"/>
      <c r="U35" s="5">
        <f t="shared" si="16"/>
        <v>57280</v>
      </c>
      <c r="V35" s="5">
        <f t="shared" si="17"/>
        <v>2308384</v>
      </c>
      <c r="W35" s="5">
        <f t="shared" si="20"/>
        <v>415509.12</v>
      </c>
      <c r="X35" s="5"/>
      <c r="Y35" s="5"/>
      <c r="Z35" s="43"/>
      <c r="AA35" s="23">
        <f t="shared" si="18"/>
        <v>0</v>
      </c>
      <c r="AB35" s="43"/>
      <c r="AC35" s="43"/>
      <c r="AD35" s="46"/>
      <c r="AE35" s="5">
        <f t="shared" si="19"/>
        <v>2723893.12</v>
      </c>
      <c r="AF35" s="47" t="s">
        <v>351</v>
      </c>
      <c r="AG35" s="44" t="s">
        <v>331</v>
      </c>
      <c r="AH35" s="13">
        <v>40.299999999999997</v>
      </c>
      <c r="AI35" s="12"/>
      <c r="AJ35" s="40"/>
      <c r="AK35" s="40"/>
    </row>
    <row r="36" spans="2:37" s="41" customFormat="1" ht="16.149999999999999" customHeight="1">
      <c r="B36" s="12"/>
      <c r="C36" s="1"/>
      <c r="D36" s="4"/>
      <c r="E36" s="1" t="s">
        <v>35</v>
      </c>
      <c r="F36" s="13">
        <v>27.62</v>
      </c>
      <c r="G36" s="14">
        <f t="shared" si="15"/>
        <v>27620</v>
      </c>
      <c r="H36" s="49">
        <v>13</v>
      </c>
      <c r="I36" s="88" t="s">
        <v>263</v>
      </c>
      <c r="J36" s="85" t="s">
        <v>222</v>
      </c>
      <c r="K36" s="4">
        <v>60006</v>
      </c>
      <c r="L36" s="4"/>
      <c r="M36" s="85" t="s">
        <v>259</v>
      </c>
      <c r="N36" s="82" t="s">
        <v>264</v>
      </c>
      <c r="O36" s="4"/>
      <c r="P36" s="4"/>
      <c r="Q36" s="5">
        <v>57280</v>
      </c>
      <c r="R36" s="36"/>
      <c r="S36" s="36"/>
      <c r="T36" s="37"/>
      <c r="U36" s="5">
        <f t="shared" si="16"/>
        <v>57280</v>
      </c>
      <c r="V36" s="5">
        <f t="shared" si="17"/>
        <v>1582073.6</v>
      </c>
      <c r="W36" s="5">
        <f t="shared" si="20"/>
        <v>284773.24800000002</v>
      </c>
      <c r="X36" s="5"/>
      <c r="Y36" s="5"/>
      <c r="Z36" s="43"/>
      <c r="AA36" s="23">
        <f t="shared" si="18"/>
        <v>0</v>
      </c>
      <c r="AB36" s="43"/>
      <c r="AC36" s="43"/>
      <c r="AD36" s="46"/>
      <c r="AE36" s="5">
        <f t="shared" si="19"/>
        <v>1866846.8480000002</v>
      </c>
      <c r="AF36" s="47" t="s">
        <v>352</v>
      </c>
      <c r="AG36" s="44" t="s">
        <v>331</v>
      </c>
      <c r="AH36" s="13">
        <v>27.62</v>
      </c>
      <c r="AI36" s="12"/>
      <c r="AJ36" s="40"/>
      <c r="AK36" s="40"/>
    </row>
    <row r="37" spans="2:37" s="41" customFormat="1" ht="16.149999999999999" customHeight="1">
      <c r="B37" s="12"/>
      <c r="C37" s="1"/>
      <c r="D37" s="4"/>
      <c r="E37" s="1" t="s">
        <v>35</v>
      </c>
      <c r="F37" s="13">
        <v>31.74</v>
      </c>
      <c r="G37" s="14">
        <f t="shared" si="15"/>
        <v>31740</v>
      </c>
      <c r="H37" s="49">
        <v>15</v>
      </c>
      <c r="I37" s="88" t="s">
        <v>265</v>
      </c>
      <c r="J37" s="85" t="s">
        <v>222</v>
      </c>
      <c r="K37" s="4">
        <v>60001</v>
      </c>
      <c r="L37" s="4"/>
      <c r="M37" s="85" t="s">
        <v>259</v>
      </c>
      <c r="N37" s="82" t="s">
        <v>266</v>
      </c>
      <c r="O37" s="4"/>
      <c r="P37" s="4"/>
      <c r="Q37" s="5">
        <v>57280</v>
      </c>
      <c r="R37" s="36"/>
      <c r="S37" s="36"/>
      <c r="T37" s="37"/>
      <c r="U37" s="5">
        <f t="shared" si="16"/>
        <v>57280</v>
      </c>
      <c r="V37" s="5">
        <f t="shared" si="17"/>
        <v>1818067.2</v>
      </c>
      <c r="W37" s="5">
        <f t="shared" si="20"/>
        <v>327252.09599999996</v>
      </c>
      <c r="X37" s="5"/>
      <c r="Y37" s="5"/>
      <c r="Z37" s="43"/>
      <c r="AA37" s="23">
        <f t="shared" si="18"/>
        <v>0</v>
      </c>
      <c r="AB37" s="43"/>
      <c r="AC37" s="43"/>
      <c r="AD37" s="46"/>
      <c r="AE37" s="5">
        <f t="shared" si="19"/>
        <v>2145319.2960000001</v>
      </c>
      <c r="AF37" s="47" t="s">
        <v>353</v>
      </c>
      <c r="AG37" s="44" t="s">
        <v>331</v>
      </c>
      <c r="AH37" s="13">
        <v>31.74</v>
      </c>
      <c r="AI37" s="12"/>
      <c r="AJ37" s="40"/>
      <c r="AK37" s="40"/>
    </row>
    <row r="38" spans="2:37" s="41" customFormat="1" ht="16.149999999999999" customHeight="1">
      <c r="B38" s="12"/>
      <c r="C38" s="1"/>
      <c r="D38" s="4"/>
      <c r="E38" s="1" t="s">
        <v>35</v>
      </c>
      <c r="F38" s="13">
        <v>31.72</v>
      </c>
      <c r="G38" s="14">
        <f t="shared" si="15"/>
        <v>31720</v>
      </c>
      <c r="H38" s="49">
        <v>15</v>
      </c>
      <c r="I38" s="88" t="s">
        <v>267</v>
      </c>
      <c r="J38" s="85" t="s">
        <v>222</v>
      </c>
      <c r="K38" s="4">
        <v>60002</v>
      </c>
      <c r="L38" s="4"/>
      <c r="M38" s="85" t="s">
        <v>259</v>
      </c>
      <c r="N38" s="82" t="s">
        <v>268</v>
      </c>
      <c r="O38" s="4"/>
      <c r="P38" s="4"/>
      <c r="Q38" s="5">
        <v>57280</v>
      </c>
      <c r="R38" s="36"/>
      <c r="S38" s="36"/>
      <c r="T38" s="37"/>
      <c r="U38" s="5">
        <f t="shared" si="16"/>
        <v>57280</v>
      </c>
      <c r="V38" s="5">
        <f t="shared" si="17"/>
        <v>1816921.5999999999</v>
      </c>
      <c r="W38" s="5">
        <f t="shared" si="20"/>
        <v>327045.88799999998</v>
      </c>
      <c r="X38" s="5"/>
      <c r="Y38" s="5"/>
      <c r="Z38" s="43"/>
      <c r="AA38" s="23">
        <f t="shared" si="18"/>
        <v>0</v>
      </c>
      <c r="AB38" s="43"/>
      <c r="AC38" s="43"/>
      <c r="AD38" s="46"/>
      <c r="AE38" s="5">
        <f t="shared" si="19"/>
        <v>2143967.4879999999</v>
      </c>
      <c r="AF38" s="47" t="s">
        <v>354</v>
      </c>
      <c r="AG38" s="44" t="s">
        <v>331</v>
      </c>
      <c r="AH38" s="13">
        <v>31.72</v>
      </c>
      <c r="AI38" s="12"/>
      <c r="AJ38" s="40"/>
      <c r="AK38" s="40"/>
    </row>
    <row r="39" spans="2:37" s="41" customFormat="1" ht="16.149999999999999" customHeight="1">
      <c r="B39" s="12"/>
      <c r="C39" s="1"/>
      <c r="D39" s="4"/>
      <c r="E39" s="1" t="s">
        <v>35</v>
      </c>
      <c r="F39" s="13">
        <v>31.86</v>
      </c>
      <c r="G39" s="14">
        <f t="shared" si="15"/>
        <v>31860</v>
      </c>
      <c r="H39" s="49">
        <v>15</v>
      </c>
      <c r="I39" s="88" t="s">
        <v>269</v>
      </c>
      <c r="J39" s="85" t="s">
        <v>222</v>
      </c>
      <c r="K39" s="4">
        <v>60001</v>
      </c>
      <c r="L39" s="4"/>
      <c r="M39" s="85" t="s">
        <v>259</v>
      </c>
      <c r="N39" s="82" t="s">
        <v>270</v>
      </c>
      <c r="O39" s="4"/>
      <c r="P39" s="4"/>
      <c r="Q39" s="5">
        <v>57280</v>
      </c>
      <c r="R39" s="36"/>
      <c r="S39" s="36"/>
      <c r="T39" s="37"/>
      <c r="U39" s="5">
        <f t="shared" si="16"/>
        <v>57280</v>
      </c>
      <c r="V39" s="5">
        <f t="shared" si="17"/>
        <v>1824940.8</v>
      </c>
      <c r="W39" s="5">
        <f t="shared" si="20"/>
        <v>328489.34399999998</v>
      </c>
      <c r="X39" s="5"/>
      <c r="Y39" s="5"/>
      <c r="Z39" s="43"/>
      <c r="AA39" s="23">
        <f t="shared" si="18"/>
        <v>0</v>
      </c>
      <c r="AB39" s="43"/>
      <c r="AC39" s="43"/>
      <c r="AD39" s="46"/>
      <c r="AE39" s="5">
        <f t="shared" si="19"/>
        <v>2153430.1439999999</v>
      </c>
      <c r="AF39" s="47" t="s">
        <v>355</v>
      </c>
      <c r="AG39" s="44" t="s">
        <v>331</v>
      </c>
      <c r="AH39" s="13">
        <v>31.86</v>
      </c>
      <c r="AI39" s="12"/>
      <c r="AJ39" s="40"/>
      <c r="AK39" s="40"/>
    </row>
    <row r="40" spans="2:37" s="41" customFormat="1" ht="16.149999999999999" customHeight="1">
      <c r="B40" s="12"/>
      <c r="C40" s="1"/>
      <c r="D40" s="4"/>
      <c r="E40" s="1" t="s">
        <v>35</v>
      </c>
      <c r="F40" s="13">
        <v>31.8</v>
      </c>
      <c r="G40" s="14">
        <f t="shared" si="15"/>
        <v>31800</v>
      </c>
      <c r="H40" s="49">
        <v>15</v>
      </c>
      <c r="I40" s="88" t="s">
        <v>271</v>
      </c>
      <c r="J40" s="85" t="s">
        <v>222</v>
      </c>
      <c r="K40" s="4">
        <v>10005</v>
      </c>
      <c r="L40" s="4"/>
      <c r="M40" s="85" t="s">
        <v>259</v>
      </c>
      <c r="N40" s="82" t="s">
        <v>272</v>
      </c>
      <c r="O40" s="4"/>
      <c r="P40" s="4"/>
      <c r="Q40" s="5">
        <v>57280</v>
      </c>
      <c r="R40" s="36"/>
      <c r="S40" s="36"/>
      <c r="T40" s="37"/>
      <c r="U40" s="5">
        <f t="shared" si="16"/>
        <v>57280</v>
      </c>
      <c r="V40" s="5">
        <f t="shared" si="17"/>
        <v>1821504</v>
      </c>
      <c r="W40" s="5">
        <f t="shared" si="20"/>
        <v>327870.71999999997</v>
      </c>
      <c r="X40" s="5"/>
      <c r="Y40" s="5"/>
      <c r="Z40" s="43"/>
      <c r="AA40" s="23">
        <f t="shared" si="18"/>
        <v>0</v>
      </c>
      <c r="AB40" s="43"/>
      <c r="AC40" s="43"/>
      <c r="AD40" s="46"/>
      <c r="AE40" s="5">
        <f t="shared" si="19"/>
        <v>2149374.7199999997</v>
      </c>
      <c r="AF40" s="47" t="s">
        <v>356</v>
      </c>
      <c r="AG40" s="44" t="s">
        <v>331</v>
      </c>
      <c r="AH40" s="13">
        <v>31.8</v>
      </c>
      <c r="AI40" s="12"/>
      <c r="AJ40" s="40"/>
      <c r="AK40" s="40"/>
    </row>
    <row r="41" spans="2:37" s="41" customFormat="1" ht="16.149999999999999" customHeight="1">
      <c r="B41" s="12"/>
      <c r="C41" s="1"/>
      <c r="D41" s="4"/>
      <c r="E41" s="1" t="s">
        <v>35</v>
      </c>
      <c r="F41" s="13">
        <v>40.22</v>
      </c>
      <c r="G41" s="14">
        <f t="shared" si="15"/>
        <v>40220</v>
      </c>
      <c r="H41" s="49">
        <v>10</v>
      </c>
      <c r="I41" s="88" t="s">
        <v>273</v>
      </c>
      <c r="J41" s="85" t="s">
        <v>222</v>
      </c>
      <c r="K41" s="4">
        <v>10004</v>
      </c>
      <c r="L41" s="4"/>
      <c r="M41" s="85" t="s">
        <v>259</v>
      </c>
      <c r="N41" s="82" t="s">
        <v>274</v>
      </c>
      <c r="O41" s="4"/>
      <c r="P41" s="4"/>
      <c r="Q41" s="5">
        <v>57280</v>
      </c>
      <c r="R41" s="36"/>
      <c r="S41" s="36"/>
      <c r="T41" s="37"/>
      <c r="U41" s="5">
        <f t="shared" si="16"/>
        <v>57280</v>
      </c>
      <c r="V41" s="5">
        <f t="shared" si="17"/>
        <v>2303801.6</v>
      </c>
      <c r="W41" s="5">
        <f t="shared" si="20"/>
        <v>414684.288</v>
      </c>
      <c r="X41" s="5"/>
      <c r="Y41" s="5"/>
      <c r="Z41" s="43"/>
      <c r="AA41" s="23">
        <f t="shared" si="18"/>
        <v>0</v>
      </c>
      <c r="AB41" s="43"/>
      <c r="AC41" s="43"/>
      <c r="AD41" s="46"/>
      <c r="AE41" s="5">
        <f t="shared" si="19"/>
        <v>2718485.8880000003</v>
      </c>
      <c r="AF41" s="47" t="s">
        <v>357</v>
      </c>
      <c r="AG41" s="44" t="s">
        <v>331</v>
      </c>
      <c r="AH41" s="13">
        <v>40.22</v>
      </c>
      <c r="AI41" s="12"/>
      <c r="AJ41" s="40"/>
      <c r="AK41" s="40"/>
    </row>
    <row r="42" spans="2:37" s="41" customFormat="1" ht="16.149999999999999" customHeight="1">
      <c r="B42" s="12"/>
      <c r="C42" s="1"/>
      <c r="D42" s="4"/>
      <c r="E42" s="1" t="s">
        <v>35</v>
      </c>
      <c r="F42" s="13">
        <v>25.48</v>
      </c>
      <c r="G42" s="14">
        <f t="shared" si="15"/>
        <v>25480</v>
      </c>
      <c r="H42" s="49">
        <v>12</v>
      </c>
      <c r="I42" s="88" t="s">
        <v>275</v>
      </c>
      <c r="J42" s="85" t="s">
        <v>222</v>
      </c>
      <c r="K42" s="82">
        <v>60001</v>
      </c>
      <c r="L42" s="4"/>
      <c r="M42" s="85" t="s">
        <v>259</v>
      </c>
      <c r="N42" s="82" t="s">
        <v>276</v>
      </c>
      <c r="O42" s="4"/>
      <c r="P42" s="4"/>
      <c r="Q42" s="5">
        <v>57280</v>
      </c>
      <c r="R42" s="36"/>
      <c r="S42" s="36"/>
      <c r="T42" s="37"/>
      <c r="U42" s="5">
        <f t="shared" si="16"/>
        <v>57280</v>
      </c>
      <c r="V42" s="5">
        <f t="shared" si="17"/>
        <v>1459494.4000000001</v>
      </c>
      <c r="W42" s="5">
        <f t="shared" si="20"/>
        <v>262708.99200000003</v>
      </c>
      <c r="X42" s="5"/>
      <c r="Y42" s="5"/>
      <c r="Z42" s="43"/>
      <c r="AA42" s="23">
        <f t="shared" si="18"/>
        <v>0</v>
      </c>
      <c r="AB42" s="43"/>
      <c r="AC42" s="43"/>
      <c r="AD42" s="46"/>
      <c r="AE42" s="5">
        <f t="shared" si="19"/>
        <v>1722203.3920000002</v>
      </c>
      <c r="AF42" s="47" t="s">
        <v>358</v>
      </c>
      <c r="AG42" s="44" t="s">
        <v>331</v>
      </c>
      <c r="AH42" s="13">
        <v>25.48</v>
      </c>
      <c r="AI42" s="12"/>
      <c r="AJ42" s="40"/>
      <c r="AK42" s="40"/>
    </row>
    <row r="43" spans="2:37" s="41" customFormat="1" ht="16.149999999999999" customHeight="1">
      <c r="B43" s="12"/>
      <c r="C43" s="1"/>
      <c r="D43" s="4"/>
      <c r="E43" s="1" t="s">
        <v>35</v>
      </c>
      <c r="F43" s="13">
        <v>31.8</v>
      </c>
      <c r="G43" s="14">
        <f t="shared" si="15"/>
        <v>31800</v>
      </c>
      <c r="H43" s="49">
        <v>15</v>
      </c>
      <c r="I43" s="88" t="s">
        <v>277</v>
      </c>
      <c r="J43" s="85" t="s">
        <v>222</v>
      </c>
      <c r="K43" s="82">
        <v>60002</v>
      </c>
      <c r="L43" s="4"/>
      <c r="M43" s="85" t="s">
        <v>259</v>
      </c>
      <c r="N43" s="82" t="s">
        <v>278</v>
      </c>
      <c r="O43" s="4"/>
      <c r="P43" s="4"/>
      <c r="Q43" s="5">
        <v>57280</v>
      </c>
      <c r="R43" s="36"/>
      <c r="S43" s="36"/>
      <c r="T43" s="37"/>
      <c r="U43" s="5">
        <f t="shared" si="16"/>
        <v>57280</v>
      </c>
      <c r="V43" s="5">
        <f t="shared" si="17"/>
        <v>1821504</v>
      </c>
      <c r="W43" s="5">
        <f t="shared" si="20"/>
        <v>327870.71999999997</v>
      </c>
      <c r="X43" s="5"/>
      <c r="Y43" s="5"/>
      <c r="Z43" s="43"/>
      <c r="AA43" s="23">
        <f t="shared" si="18"/>
        <v>0</v>
      </c>
      <c r="AB43" s="43"/>
      <c r="AC43" s="43"/>
      <c r="AD43" s="46"/>
      <c r="AE43" s="5">
        <f t="shared" si="19"/>
        <v>2149374.7199999997</v>
      </c>
      <c r="AF43" s="47" t="s">
        <v>359</v>
      </c>
      <c r="AG43" s="44" t="s">
        <v>331</v>
      </c>
      <c r="AH43" s="13">
        <v>31.8</v>
      </c>
      <c r="AI43" s="12"/>
      <c r="AJ43" s="40"/>
      <c r="AK43" s="40"/>
    </row>
    <row r="44" spans="2:37" s="41" customFormat="1" ht="16.149999999999999" customHeight="1">
      <c r="B44" s="12"/>
      <c r="C44" s="4"/>
      <c r="D44" s="4"/>
      <c r="E44" s="1" t="s">
        <v>35</v>
      </c>
      <c r="F44" s="13">
        <v>9.2260000000000009</v>
      </c>
      <c r="G44" s="14">
        <f t="shared" si="15"/>
        <v>9226</v>
      </c>
      <c r="H44" s="49">
        <v>5</v>
      </c>
      <c r="I44" s="88" t="s">
        <v>280</v>
      </c>
      <c r="J44" s="85" t="s">
        <v>258</v>
      </c>
      <c r="K44" s="4">
        <v>60006</v>
      </c>
      <c r="L44" s="4"/>
      <c r="M44" s="85" t="s">
        <v>281</v>
      </c>
      <c r="N44" s="82" t="s">
        <v>282</v>
      </c>
      <c r="O44" s="4"/>
      <c r="P44" s="4"/>
      <c r="Q44" s="5">
        <v>57280</v>
      </c>
      <c r="R44" s="36"/>
      <c r="S44" s="36"/>
      <c r="T44" s="37"/>
      <c r="U44" s="5">
        <f t="shared" si="16"/>
        <v>57280</v>
      </c>
      <c r="V44" s="5">
        <f t="shared" si="17"/>
        <v>528465.28</v>
      </c>
      <c r="W44" s="5">
        <f t="shared" si="20"/>
        <v>95123.750400000004</v>
      </c>
      <c r="X44" s="5"/>
      <c r="Y44" s="5"/>
      <c r="Z44" s="43"/>
      <c r="AA44" s="23">
        <f t="shared" si="18"/>
        <v>0</v>
      </c>
      <c r="AB44" s="43"/>
      <c r="AC44" s="43"/>
      <c r="AD44" s="46"/>
      <c r="AE44" s="5">
        <f t="shared" si="19"/>
        <v>623589.03040000005</v>
      </c>
      <c r="AF44" s="47" t="s">
        <v>360</v>
      </c>
      <c r="AG44" s="44" t="s">
        <v>331</v>
      </c>
      <c r="AH44" s="13">
        <v>9.2260000000000009</v>
      </c>
      <c r="AI44" s="12"/>
      <c r="AJ44" s="40"/>
      <c r="AK44" s="40"/>
    </row>
    <row r="45" spans="2:37" s="41" customFormat="1" ht="16.149999999999999" customHeight="1">
      <c r="B45" s="12"/>
      <c r="C45" s="70"/>
      <c r="D45" s="4"/>
      <c r="E45" s="1" t="s">
        <v>35</v>
      </c>
      <c r="F45" s="13">
        <v>23.193999999999999</v>
      </c>
      <c r="G45" s="14">
        <f t="shared" si="15"/>
        <v>23194</v>
      </c>
      <c r="H45" s="49">
        <v>11</v>
      </c>
      <c r="I45" s="88" t="s">
        <v>283</v>
      </c>
      <c r="J45" s="85" t="s">
        <v>258</v>
      </c>
      <c r="K45" s="4">
        <v>60005</v>
      </c>
      <c r="L45" s="4"/>
      <c r="M45" s="85" t="s">
        <v>281</v>
      </c>
      <c r="N45" s="82" t="s">
        <v>282</v>
      </c>
      <c r="O45" s="4"/>
      <c r="P45" s="4"/>
      <c r="Q45" s="5">
        <v>57280</v>
      </c>
      <c r="R45" s="36"/>
      <c r="S45" s="36"/>
      <c r="T45" s="37"/>
      <c r="U45" s="5">
        <f t="shared" si="16"/>
        <v>57280</v>
      </c>
      <c r="V45" s="5">
        <f t="shared" si="17"/>
        <v>1328552.3199999998</v>
      </c>
      <c r="W45" s="5">
        <f t="shared" si="20"/>
        <v>239139.41759999996</v>
      </c>
      <c r="X45" s="5"/>
      <c r="Y45" s="5"/>
      <c r="Z45" s="43"/>
      <c r="AA45" s="23">
        <f t="shared" si="18"/>
        <v>0</v>
      </c>
      <c r="AB45" s="43"/>
      <c r="AC45" s="43"/>
      <c r="AD45" s="46"/>
      <c r="AE45" s="5">
        <f t="shared" si="19"/>
        <v>1567691.7375999999</v>
      </c>
      <c r="AF45" s="47" t="s">
        <v>361</v>
      </c>
      <c r="AG45" s="44" t="s">
        <v>331</v>
      </c>
      <c r="AH45" s="13">
        <v>23.193999999999999</v>
      </c>
      <c r="AI45" s="12"/>
      <c r="AJ45" s="40"/>
      <c r="AK45" s="40"/>
    </row>
    <row r="46" spans="2:37" s="41" customFormat="1" ht="16.149999999999999" customHeight="1">
      <c r="B46" s="12"/>
      <c r="C46" s="1"/>
      <c r="D46" s="4"/>
      <c r="E46" s="1" t="s">
        <v>35</v>
      </c>
      <c r="F46" s="13">
        <v>27.54</v>
      </c>
      <c r="G46" s="14">
        <f t="shared" si="15"/>
        <v>27540</v>
      </c>
      <c r="H46" s="49">
        <v>13</v>
      </c>
      <c r="I46" s="88" t="s">
        <v>284</v>
      </c>
      <c r="J46" s="85" t="s">
        <v>258</v>
      </c>
      <c r="K46" s="4">
        <v>60012</v>
      </c>
      <c r="L46" s="4"/>
      <c r="M46" s="85" t="s">
        <v>281</v>
      </c>
      <c r="N46" s="82" t="s">
        <v>285</v>
      </c>
      <c r="O46" s="4"/>
      <c r="P46" s="4"/>
      <c r="Q46" s="5">
        <v>57280</v>
      </c>
      <c r="R46" s="36"/>
      <c r="S46" s="36"/>
      <c r="T46" s="37"/>
      <c r="U46" s="5">
        <f t="shared" si="16"/>
        <v>57280</v>
      </c>
      <c r="V46" s="5">
        <f t="shared" si="17"/>
        <v>1577491.2</v>
      </c>
      <c r="W46" s="5">
        <f t="shared" si="20"/>
        <v>283948.41599999997</v>
      </c>
      <c r="X46" s="5"/>
      <c r="Y46" s="5"/>
      <c r="Z46" s="43"/>
      <c r="AA46" s="23">
        <f t="shared" si="18"/>
        <v>0</v>
      </c>
      <c r="AB46" s="43"/>
      <c r="AC46" s="43"/>
      <c r="AD46" s="46"/>
      <c r="AE46" s="5">
        <f t="shared" si="19"/>
        <v>1861439.6159999999</v>
      </c>
      <c r="AF46" s="47" t="s">
        <v>362</v>
      </c>
      <c r="AG46" s="44" t="s">
        <v>331</v>
      </c>
      <c r="AH46" s="13">
        <v>27.54</v>
      </c>
      <c r="AI46" s="12"/>
      <c r="AJ46" s="40"/>
      <c r="AK46" s="40"/>
    </row>
    <row r="47" spans="2:37" s="41" customFormat="1" ht="16.149999999999999" customHeight="1">
      <c r="B47" s="12"/>
      <c r="C47" s="1"/>
      <c r="D47" s="4"/>
      <c r="E47" s="1" t="s">
        <v>35</v>
      </c>
      <c r="F47" s="13">
        <v>27.64</v>
      </c>
      <c r="G47" s="14">
        <f t="shared" si="15"/>
        <v>27640</v>
      </c>
      <c r="H47" s="49">
        <v>13</v>
      </c>
      <c r="I47" s="88" t="s">
        <v>286</v>
      </c>
      <c r="J47" s="85" t="s">
        <v>222</v>
      </c>
      <c r="K47" s="4">
        <v>60002</v>
      </c>
      <c r="L47" s="4"/>
      <c r="M47" s="85" t="s">
        <v>281</v>
      </c>
      <c r="N47" s="82" t="s">
        <v>287</v>
      </c>
      <c r="O47" s="4"/>
      <c r="P47" s="4"/>
      <c r="Q47" s="5">
        <v>57280</v>
      </c>
      <c r="R47" s="36"/>
      <c r="S47" s="36"/>
      <c r="T47" s="37"/>
      <c r="U47" s="5">
        <f t="shared" si="16"/>
        <v>57280</v>
      </c>
      <c r="V47" s="5">
        <f t="shared" si="17"/>
        <v>1583219.2</v>
      </c>
      <c r="W47" s="5">
        <f t="shared" si="20"/>
        <v>284979.45600000001</v>
      </c>
      <c r="X47" s="5"/>
      <c r="Y47" s="5"/>
      <c r="Z47" s="43"/>
      <c r="AA47" s="23">
        <f t="shared" si="18"/>
        <v>0</v>
      </c>
      <c r="AB47" s="43"/>
      <c r="AC47" s="43"/>
      <c r="AD47" s="46"/>
      <c r="AE47" s="5">
        <f t="shared" si="19"/>
        <v>1868198.656</v>
      </c>
      <c r="AF47" s="47" t="s">
        <v>363</v>
      </c>
      <c r="AG47" s="44" t="s">
        <v>331</v>
      </c>
      <c r="AH47" s="13">
        <v>27.64</v>
      </c>
      <c r="AI47" s="12"/>
      <c r="AJ47" s="40"/>
      <c r="AK47" s="40"/>
    </row>
    <row r="48" spans="2:37" s="41" customFormat="1" ht="16.149999999999999" customHeight="1">
      <c r="B48" s="12"/>
      <c r="C48" s="1"/>
      <c r="D48" s="4"/>
      <c r="E48" s="1" t="s">
        <v>35</v>
      </c>
      <c r="F48" s="13">
        <v>40.36</v>
      </c>
      <c r="G48" s="14">
        <f t="shared" si="15"/>
        <v>40360</v>
      </c>
      <c r="H48" s="49">
        <v>19</v>
      </c>
      <c r="I48" s="88" t="s">
        <v>288</v>
      </c>
      <c r="J48" s="85" t="s">
        <v>259</v>
      </c>
      <c r="K48" s="4">
        <v>60034</v>
      </c>
      <c r="L48" s="4"/>
      <c r="M48" s="85" t="s">
        <v>289</v>
      </c>
      <c r="N48" s="82" t="s">
        <v>290</v>
      </c>
      <c r="O48" s="4"/>
      <c r="P48" s="4"/>
      <c r="Q48" s="5">
        <v>57280</v>
      </c>
      <c r="R48" s="36"/>
      <c r="S48" s="36"/>
      <c r="T48" s="37"/>
      <c r="U48" s="5">
        <f t="shared" si="16"/>
        <v>57280</v>
      </c>
      <c r="V48" s="5">
        <f t="shared" si="17"/>
        <v>2311820.7999999998</v>
      </c>
      <c r="W48" s="5">
        <f t="shared" si="20"/>
        <v>416127.74399999995</v>
      </c>
      <c r="X48" s="5"/>
      <c r="Y48" s="5"/>
      <c r="Z48" s="43"/>
      <c r="AA48" s="23">
        <f t="shared" si="18"/>
        <v>0</v>
      </c>
      <c r="AB48" s="43"/>
      <c r="AC48" s="43"/>
      <c r="AD48" s="46"/>
      <c r="AE48" s="5">
        <f t="shared" si="19"/>
        <v>2727948.5439999998</v>
      </c>
      <c r="AF48" s="47" t="s">
        <v>364</v>
      </c>
      <c r="AG48" s="44" t="s">
        <v>331</v>
      </c>
      <c r="AH48" s="13">
        <v>40.36</v>
      </c>
      <c r="AI48" s="12"/>
      <c r="AJ48" s="40"/>
      <c r="AK48" s="40"/>
    </row>
    <row r="49" spans="2:37" s="41" customFormat="1" ht="16.149999999999999" customHeight="1">
      <c r="B49" s="12"/>
      <c r="C49" s="1"/>
      <c r="D49" s="4"/>
      <c r="E49" s="1" t="s">
        <v>35</v>
      </c>
      <c r="F49" s="13">
        <v>31.84</v>
      </c>
      <c r="G49" s="14">
        <f t="shared" si="15"/>
        <v>31840</v>
      </c>
      <c r="H49" s="49">
        <v>15</v>
      </c>
      <c r="I49" s="88" t="s">
        <v>292</v>
      </c>
      <c r="J49" s="85" t="s">
        <v>222</v>
      </c>
      <c r="K49" s="4">
        <v>60011</v>
      </c>
      <c r="L49" s="4"/>
      <c r="M49" s="85" t="s">
        <v>293</v>
      </c>
      <c r="N49" s="82" t="s">
        <v>294</v>
      </c>
      <c r="O49" s="4"/>
      <c r="P49" s="4"/>
      <c r="Q49" s="5">
        <v>57280</v>
      </c>
      <c r="R49" s="36"/>
      <c r="S49" s="36"/>
      <c r="T49" s="37"/>
      <c r="U49" s="5">
        <f t="shared" si="16"/>
        <v>57280</v>
      </c>
      <c r="V49" s="5">
        <f t="shared" si="17"/>
        <v>1823795.2</v>
      </c>
      <c r="W49" s="5">
        <f t="shared" si="20"/>
        <v>328283.136</v>
      </c>
      <c r="X49" s="5"/>
      <c r="Y49" s="5"/>
      <c r="Z49" s="43"/>
      <c r="AA49" s="23">
        <f t="shared" si="18"/>
        <v>0</v>
      </c>
      <c r="AB49" s="43"/>
      <c r="AC49" s="43"/>
      <c r="AD49" s="46"/>
      <c r="AE49" s="5">
        <f t="shared" si="19"/>
        <v>2152078.3360000001</v>
      </c>
      <c r="AF49" s="47" t="s">
        <v>365</v>
      </c>
      <c r="AG49" s="44" t="s">
        <v>331</v>
      </c>
      <c r="AH49" s="13">
        <v>31.84</v>
      </c>
      <c r="AI49" s="12"/>
      <c r="AJ49" s="40"/>
      <c r="AK49" s="40"/>
    </row>
    <row r="50" spans="2:37" s="41" customFormat="1" ht="16.149999999999999" customHeight="1">
      <c r="B50" s="12"/>
      <c r="C50" s="1"/>
      <c r="D50" s="4"/>
      <c r="E50" s="1" t="s">
        <v>35</v>
      </c>
      <c r="F50" s="13">
        <v>31.64</v>
      </c>
      <c r="G50" s="14">
        <f t="shared" si="15"/>
        <v>31640</v>
      </c>
      <c r="H50" s="49">
        <v>15</v>
      </c>
      <c r="I50" s="88" t="s">
        <v>295</v>
      </c>
      <c r="J50" s="85" t="s">
        <v>296</v>
      </c>
      <c r="K50" s="4">
        <v>10475</v>
      </c>
      <c r="L50" s="4"/>
      <c r="M50" s="85" t="s">
        <v>293</v>
      </c>
      <c r="N50" s="82" t="s">
        <v>297</v>
      </c>
      <c r="O50" s="4"/>
      <c r="P50" s="4"/>
      <c r="Q50" s="5">
        <v>57280</v>
      </c>
      <c r="R50" s="36"/>
      <c r="S50" s="36"/>
      <c r="T50" s="37"/>
      <c r="U50" s="5">
        <f t="shared" si="16"/>
        <v>57280</v>
      </c>
      <c r="V50" s="5">
        <f t="shared" si="17"/>
        <v>1812339.2</v>
      </c>
      <c r="W50" s="5">
        <f t="shared" si="20"/>
        <v>326221.05599999998</v>
      </c>
      <c r="X50" s="5"/>
      <c r="Y50" s="5"/>
      <c r="Z50" s="43"/>
      <c r="AA50" s="23">
        <f t="shared" si="18"/>
        <v>0</v>
      </c>
      <c r="AB50" s="43"/>
      <c r="AC50" s="43"/>
      <c r="AD50" s="46"/>
      <c r="AE50" s="5">
        <f t="shared" si="19"/>
        <v>2138560.2560000001</v>
      </c>
      <c r="AF50" s="47" t="s">
        <v>332</v>
      </c>
      <c r="AG50" s="44" t="s">
        <v>331</v>
      </c>
      <c r="AH50" s="13">
        <v>31.64</v>
      </c>
      <c r="AI50" s="12"/>
      <c r="AJ50" s="40"/>
      <c r="AK50" s="40"/>
    </row>
    <row r="51" spans="2:37" s="41" customFormat="1" ht="16.149999999999999" customHeight="1">
      <c r="B51" s="12"/>
      <c r="C51" s="1"/>
      <c r="D51" s="4"/>
      <c r="E51" s="1" t="s">
        <v>35</v>
      </c>
      <c r="F51" s="13">
        <v>41.94</v>
      </c>
      <c r="G51" s="14">
        <f t="shared" si="15"/>
        <v>41940</v>
      </c>
      <c r="H51" s="49">
        <v>20</v>
      </c>
      <c r="I51" s="88" t="s">
        <v>298</v>
      </c>
      <c r="J51" s="85" t="s">
        <v>281</v>
      </c>
      <c r="K51" s="4">
        <v>60037</v>
      </c>
      <c r="L51" s="4"/>
      <c r="M51" s="85" t="s">
        <v>299</v>
      </c>
      <c r="N51" s="82" t="s">
        <v>300</v>
      </c>
      <c r="O51" s="4"/>
      <c r="P51" s="4"/>
      <c r="Q51" s="5">
        <v>57280</v>
      </c>
      <c r="R51" s="36"/>
      <c r="S51" s="36"/>
      <c r="T51" s="37"/>
      <c r="U51" s="5">
        <f t="shared" si="16"/>
        <v>57280</v>
      </c>
      <c r="V51" s="5">
        <f t="shared" si="17"/>
        <v>2402323.1999999997</v>
      </c>
      <c r="W51" s="5">
        <f t="shared" si="20"/>
        <v>432418.17599999992</v>
      </c>
      <c r="X51" s="5"/>
      <c r="Y51" s="5"/>
      <c r="Z51" s="43"/>
      <c r="AA51" s="23">
        <f t="shared" si="18"/>
        <v>0</v>
      </c>
      <c r="AB51" s="43"/>
      <c r="AC51" s="43"/>
      <c r="AD51" s="46"/>
      <c r="AE51" s="5">
        <f t="shared" si="19"/>
        <v>2834741.3759999997</v>
      </c>
      <c r="AF51" s="47" t="s">
        <v>330</v>
      </c>
      <c r="AG51" s="44" t="s">
        <v>331</v>
      </c>
      <c r="AH51" s="13">
        <v>41.94</v>
      </c>
      <c r="AI51" s="12"/>
      <c r="AJ51" s="40"/>
      <c r="AK51" s="40"/>
    </row>
    <row r="52" spans="2:37" s="41" customFormat="1" ht="16.149999999999999" customHeight="1">
      <c r="B52" s="12"/>
      <c r="C52" s="1"/>
      <c r="D52" s="4"/>
      <c r="E52" s="1" t="s">
        <v>35</v>
      </c>
      <c r="F52" s="13"/>
      <c r="G52" s="14">
        <f t="shared" si="15"/>
        <v>0</v>
      </c>
      <c r="H52" s="49"/>
      <c r="I52" s="83"/>
      <c r="J52" s="85"/>
      <c r="K52" s="4"/>
      <c r="L52" s="4"/>
      <c r="M52" s="85"/>
      <c r="N52" s="82"/>
      <c r="O52" s="4"/>
      <c r="P52" s="4"/>
      <c r="Q52" s="5">
        <v>57280</v>
      </c>
      <c r="R52" s="36"/>
      <c r="S52" s="36"/>
      <c r="T52" s="37"/>
      <c r="U52" s="5">
        <f t="shared" si="16"/>
        <v>57280</v>
      </c>
      <c r="V52" s="5">
        <f t="shared" si="17"/>
        <v>0</v>
      </c>
      <c r="W52" s="5">
        <f t="shared" si="20"/>
        <v>0</v>
      </c>
      <c r="X52" s="5"/>
      <c r="Y52" s="5"/>
      <c r="Z52" s="43"/>
      <c r="AA52" s="23">
        <f t="shared" si="18"/>
        <v>0</v>
      </c>
      <c r="AB52" s="43"/>
      <c r="AC52" s="43"/>
      <c r="AD52" s="46"/>
      <c r="AE52" s="5">
        <f t="shared" si="19"/>
        <v>0</v>
      </c>
      <c r="AF52" s="47"/>
      <c r="AG52" s="44"/>
      <c r="AH52" s="13"/>
      <c r="AI52" s="12"/>
      <c r="AJ52" s="40"/>
      <c r="AK52" s="40"/>
    </row>
    <row r="53" spans="2:37" s="41" customFormat="1" ht="16.149999999999999" customHeight="1">
      <c r="B53" s="12"/>
      <c r="C53" s="1"/>
      <c r="D53" s="4"/>
      <c r="E53" s="1" t="s">
        <v>35</v>
      </c>
      <c r="F53" s="13"/>
      <c r="G53" s="14">
        <f t="shared" si="15"/>
        <v>0</v>
      </c>
      <c r="H53" s="49"/>
      <c r="I53" s="83"/>
      <c r="J53" s="85"/>
      <c r="K53" s="4"/>
      <c r="L53" s="4"/>
      <c r="M53" s="85"/>
      <c r="N53" s="82"/>
      <c r="O53" s="4"/>
      <c r="P53" s="4"/>
      <c r="Q53" s="5">
        <v>57280</v>
      </c>
      <c r="R53" s="36"/>
      <c r="S53" s="36"/>
      <c r="T53" s="37"/>
      <c r="U53" s="5">
        <f t="shared" si="16"/>
        <v>57280</v>
      </c>
      <c r="V53" s="5">
        <f t="shared" si="17"/>
        <v>0</v>
      </c>
      <c r="W53" s="5">
        <f t="shared" si="20"/>
        <v>0</v>
      </c>
      <c r="X53" s="5"/>
      <c r="Y53" s="5"/>
      <c r="Z53" s="43"/>
      <c r="AA53" s="23">
        <f t="shared" si="18"/>
        <v>0</v>
      </c>
      <c r="AB53" s="43"/>
      <c r="AC53" s="43"/>
      <c r="AD53" s="46"/>
      <c r="AE53" s="5">
        <f t="shared" si="19"/>
        <v>0</v>
      </c>
      <c r="AF53" s="47"/>
      <c r="AG53" s="44"/>
      <c r="AH53" s="13"/>
      <c r="AI53" s="12"/>
      <c r="AJ53" s="40"/>
      <c r="AK53" s="40"/>
    </row>
    <row r="54" spans="2:37" s="41" customFormat="1">
      <c r="B54" s="6"/>
      <c r="C54" s="48"/>
      <c r="D54" s="6"/>
      <c r="E54" s="6"/>
      <c r="F54" s="81">
        <f>SUM(F17:F53)</f>
        <v>1090.02</v>
      </c>
      <c r="G54" s="20">
        <f>SUM(G17:G53)</f>
        <v>1090020</v>
      </c>
      <c r="H54" s="63"/>
      <c r="I54" s="2"/>
      <c r="J54" s="7"/>
      <c r="K54" s="7"/>
      <c r="L54" s="7"/>
      <c r="M54" s="2"/>
      <c r="N54" s="6"/>
      <c r="O54" s="6"/>
      <c r="P54" s="6"/>
      <c r="Q54" s="19"/>
      <c r="R54" s="9"/>
      <c r="S54" s="9"/>
      <c r="T54" s="10"/>
      <c r="U54" s="8"/>
      <c r="V54" s="21">
        <f>SUM(V17:V53)</f>
        <v>62436345.600000016</v>
      </c>
      <c r="W54" s="21">
        <f>SUM(W17:W53)</f>
        <v>11238542.207999999</v>
      </c>
      <c r="X54" s="21">
        <f>SUM(X17:X26)</f>
        <v>0</v>
      </c>
      <c r="Y54" s="21">
        <f>SUM(Y17:Y26)</f>
        <v>0</v>
      </c>
      <c r="Z54" s="21">
        <f>SUM(Z17:Z26)</f>
        <v>0</v>
      </c>
      <c r="AA54" s="21">
        <f>SUM(AA17:AA32)</f>
        <v>0</v>
      </c>
      <c r="AB54" s="21">
        <f>SUM(AB17:AB26)</f>
        <v>0</v>
      </c>
      <c r="AC54" s="21">
        <f>SUM(AC17:AC26)</f>
        <v>0</v>
      </c>
      <c r="AD54" s="21">
        <f>SUM(AD17:AD26)</f>
        <v>0</v>
      </c>
      <c r="AE54" s="21">
        <f>SUM(AE17:AE53)</f>
        <v>73674887.807999983</v>
      </c>
      <c r="AF54" s="21"/>
      <c r="AG54" s="42"/>
      <c r="AH54" s="27">
        <f>SUM(AH17:AH53)</f>
        <v>1090.02</v>
      </c>
      <c r="AI54" s="26">
        <f>AH54-F54</f>
        <v>0</v>
      </c>
      <c r="AJ54" s="41">
        <f>AA54/F54</f>
        <v>0</v>
      </c>
      <c r="AK54" s="40"/>
    </row>
    <row r="55" spans="2:37" s="41" customFormat="1" ht="16.149999999999999" customHeight="1">
      <c r="B55" s="1" t="s">
        <v>70</v>
      </c>
      <c r="C55" s="86" t="s">
        <v>225</v>
      </c>
      <c r="D55" s="4"/>
      <c r="E55" s="1" t="s">
        <v>35</v>
      </c>
      <c r="F55" s="13">
        <v>31.91</v>
      </c>
      <c r="G55" s="14">
        <f t="shared" ref="G55:G69" si="21">+F55*1000</f>
        <v>31910</v>
      </c>
      <c r="H55" s="49">
        <v>15</v>
      </c>
      <c r="I55" s="83" t="s">
        <v>301</v>
      </c>
      <c r="J55" s="85" t="s">
        <v>228</v>
      </c>
      <c r="K55" s="82" t="s">
        <v>306</v>
      </c>
      <c r="L55" s="4"/>
      <c r="M55" s="85" t="s">
        <v>293</v>
      </c>
      <c r="N55" s="82" t="s">
        <v>307</v>
      </c>
      <c r="O55" s="4"/>
      <c r="P55" s="4"/>
      <c r="Q55" s="5">
        <v>57280</v>
      </c>
      <c r="R55" s="36"/>
      <c r="S55" s="36"/>
      <c r="T55" s="37"/>
      <c r="U55" s="5">
        <f t="shared" ref="U55:U69" si="22">S55+R55+Q55-T55</f>
        <v>57280</v>
      </c>
      <c r="V55" s="5">
        <f t="shared" ref="V55:V69" si="23">F55*U55</f>
        <v>1827804.8</v>
      </c>
      <c r="W55" s="5">
        <f>V55*18%</f>
        <v>329004.864</v>
      </c>
      <c r="X55" s="5"/>
      <c r="Y55" s="5"/>
      <c r="Z55" s="43"/>
      <c r="AA55" s="23">
        <f t="shared" ref="AA55:AA69" si="24">F55*Z55</f>
        <v>0</v>
      </c>
      <c r="AB55" s="43"/>
      <c r="AC55" s="43"/>
      <c r="AD55" s="46"/>
      <c r="AE55" s="5">
        <f t="shared" ref="AE55:AE69" si="25">+AB55+AA55+Y55+X55+W55+V55-AC55+AD55</f>
        <v>2156809.6639999999</v>
      </c>
      <c r="AF55" s="47" t="s">
        <v>381</v>
      </c>
      <c r="AG55" s="44" t="s">
        <v>367</v>
      </c>
      <c r="AH55" s="13">
        <v>31.91</v>
      </c>
      <c r="AI55" s="12"/>
      <c r="AJ55" s="40"/>
      <c r="AK55" s="40"/>
    </row>
    <row r="56" spans="2:37" s="41" customFormat="1" ht="16.149999999999999" customHeight="1">
      <c r="B56" s="1" t="s">
        <v>39</v>
      </c>
      <c r="C56" s="82" t="s">
        <v>226</v>
      </c>
      <c r="D56" s="4"/>
      <c r="E56" s="1" t="s">
        <v>35</v>
      </c>
      <c r="F56" s="13">
        <v>40.47</v>
      </c>
      <c r="G56" s="14">
        <f t="shared" si="21"/>
        <v>40470</v>
      </c>
      <c r="H56" s="49">
        <v>19</v>
      </c>
      <c r="I56" s="83" t="s">
        <v>301</v>
      </c>
      <c r="J56" s="85" t="s">
        <v>228</v>
      </c>
      <c r="K56" s="82" t="s">
        <v>303</v>
      </c>
      <c r="L56" s="4"/>
      <c r="M56" s="85" t="s">
        <v>293</v>
      </c>
      <c r="N56" s="82" t="s">
        <v>304</v>
      </c>
      <c r="O56" s="4"/>
      <c r="P56" s="4"/>
      <c r="Q56" s="5">
        <v>57280</v>
      </c>
      <c r="R56" s="36"/>
      <c r="S56" s="36"/>
      <c r="T56" s="37"/>
      <c r="U56" s="5">
        <f t="shared" si="22"/>
        <v>57280</v>
      </c>
      <c r="V56" s="5">
        <f t="shared" si="23"/>
        <v>2318121.6</v>
      </c>
      <c r="W56" s="5">
        <f>V56*18%</f>
        <v>417261.88799999998</v>
      </c>
      <c r="X56" s="5"/>
      <c r="Y56" s="5"/>
      <c r="Z56" s="43"/>
      <c r="AA56" s="23">
        <f t="shared" si="24"/>
        <v>0</v>
      </c>
      <c r="AB56" s="43"/>
      <c r="AC56" s="43"/>
      <c r="AD56" s="46"/>
      <c r="AE56" s="5">
        <f t="shared" si="25"/>
        <v>2735383.4879999999</v>
      </c>
      <c r="AF56" s="47" t="s">
        <v>380</v>
      </c>
      <c r="AG56" s="44" t="s">
        <v>367</v>
      </c>
      <c r="AH56" s="13">
        <v>40.47</v>
      </c>
      <c r="AI56" s="12"/>
      <c r="AJ56" s="40"/>
      <c r="AK56" s="40"/>
    </row>
    <row r="57" spans="2:37" s="41" customFormat="1" ht="16.149999999999999" customHeight="1">
      <c r="B57" s="70" t="s">
        <v>75</v>
      </c>
      <c r="C57" s="70" t="s">
        <v>162</v>
      </c>
      <c r="D57" s="4"/>
      <c r="E57" s="1" t="s">
        <v>35</v>
      </c>
      <c r="F57" s="13">
        <v>31.85</v>
      </c>
      <c r="G57" s="14">
        <f t="shared" si="21"/>
        <v>31850</v>
      </c>
      <c r="H57" s="49">
        <v>15</v>
      </c>
      <c r="I57" s="83" t="s">
        <v>301</v>
      </c>
      <c r="J57" s="85" t="s">
        <v>228</v>
      </c>
      <c r="K57" s="82" t="s">
        <v>305</v>
      </c>
      <c r="L57" s="4"/>
      <c r="M57" s="85" t="s">
        <v>299</v>
      </c>
      <c r="N57" s="82" t="s">
        <v>41</v>
      </c>
      <c r="O57" s="4"/>
      <c r="P57" s="4"/>
      <c r="Q57" s="5">
        <v>57280</v>
      </c>
      <c r="R57" s="36"/>
      <c r="S57" s="36"/>
      <c r="T57" s="37"/>
      <c r="U57" s="5">
        <f t="shared" si="22"/>
        <v>57280</v>
      </c>
      <c r="V57" s="5">
        <f t="shared" si="23"/>
        <v>1824368</v>
      </c>
      <c r="W57" s="5">
        <f t="shared" ref="W57:W69" si="26">V57*18%</f>
        <v>328386.24</v>
      </c>
      <c r="X57" s="5"/>
      <c r="Y57" s="5"/>
      <c r="Z57" s="43"/>
      <c r="AA57" s="23">
        <f t="shared" si="24"/>
        <v>0</v>
      </c>
      <c r="AB57" s="43"/>
      <c r="AC57" s="43"/>
      <c r="AD57" s="46"/>
      <c r="AE57" s="5">
        <f t="shared" si="25"/>
        <v>2152754.2400000002</v>
      </c>
      <c r="AF57" s="47" t="s">
        <v>379</v>
      </c>
      <c r="AG57" s="44" t="s">
        <v>367</v>
      </c>
      <c r="AH57" s="13">
        <v>31.85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1" t="s">
        <v>35</v>
      </c>
      <c r="F58" s="13">
        <v>33.979999999999997</v>
      </c>
      <c r="G58" s="14">
        <f t="shared" si="21"/>
        <v>33980</v>
      </c>
      <c r="H58" s="49">
        <v>16</v>
      </c>
      <c r="I58" s="83" t="s">
        <v>301</v>
      </c>
      <c r="J58" s="85" t="s">
        <v>228</v>
      </c>
      <c r="K58" s="82" t="s">
        <v>309</v>
      </c>
      <c r="L58" s="4"/>
      <c r="M58" s="85" t="s">
        <v>308</v>
      </c>
      <c r="N58" s="82" t="s">
        <v>42</v>
      </c>
      <c r="O58" s="4"/>
      <c r="P58" s="4"/>
      <c r="Q58" s="5">
        <v>57280</v>
      </c>
      <c r="R58" s="36"/>
      <c r="S58" s="36"/>
      <c r="T58" s="37"/>
      <c r="U58" s="5">
        <f t="shared" si="22"/>
        <v>57280</v>
      </c>
      <c r="V58" s="5">
        <f t="shared" si="23"/>
        <v>1946374.4</v>
      </c>
      <c r="W58" s="5">
        <f t="shared" si="26"/>
        <v>350347.39199999999</v>
      </c>
      <c r="X58" s="5"/>
      <c r="Y58" s="5"/>
      <c r="Z58" s="43"/>
      <c r="AA58" s="23">
        <f t="shared" si="24"/>
        <v>0</v>
      </c>
      <c r="AB58" s="43"/>
      <c r="AC58" s="43"/>
      <c r="AD58" s="46"/>
      <c r="AE58" s="5">
        <f t="shared" si="25"/>
        <v>2296721.7919999999</v>
      </c>
      <c r="AF58" s="47" t="s">
        <v>378</v>
      </c>
      <c r="AG58" s="44" t="s">
        <v>367</v>
      </c>
      <c r="AH58" s="13">
        <v>33.979999999999997</v>
      </c>
      <c r="AI58" s="12"/>
      <c r="AJ58" s="40"/>
      <c r="AK58" s="40"/>
    </row>
    <row r="59" spans="2:37" s="41" customFormat="1" ht="16.149999999999999" customHeight="1">
      <c r="B59" s="89" t="s">
        <v>302</v>
      </c>
      <c r="C59" s="1"/>
      <c r="D59" s="4"/>
      <c r="E59" s="1" t="s">
        <v>35</v>
      </c>
      <c r="F59" s="13">
        <v>34.01</v>
      </c>
      <c r="G59" s="14">
        <f t="shared" si="21"/>
        <v>34010</v>
      </c>
      <c r="H59" s="49">
        <v>16</v>
      </c>
      <c r="I59" s="83" t="s">
        <v>301</v>
      </c>
      <c r="J59" s="85" t="s">
        <v>228</v>
      </c>
      <c r="K59" s="82" t="s">
        <v>310</v>
      </c>
      <c r="L59" s="4"/>
      <c r="M59" s="85" t="s">
        <v>308</v>
      </c>
      <c r="N59" s="82" t="s">
        <v>57</v>
      </c>
      <c r="O59" s="4"/>
      <c r="P59" s="4"/>
      <c r="Q59" s="5">
        <v>57280</v>
      </c>
      <c r="R59" s="36"/>
      <c r="S59" s="36"/>
      <c r="T59" s="37"/>
      <c r="U59" s="5">
        <f t="shared" si="22"/>
        <v>57280</v>
      </c>
      <c r="V59" s="5">
        <f t="shared" si="23"/>
        <v>1948092.7999999998</v>
      </c>
      <c r="W59" s="5">
        <f t="shared" si="26"/>
        <v>350656.70399999997</v>
      </c>
      <c r="X59" s="5"/>
      <c r="Y59" s="5"/>
      <c r="Z59" s="43"/>
      <c r="AA59" s="23">
        <f t="shared" si="24"/>
        <v>0</v>
      </c>
      <c r="AB59" s="43"/>
      <c r="AC59" s="43"/>
      <c r="AD59" s="46"/>
      <c r="AE59" s="5">
        <f t="shared" si="25"/>
        <v>2298749.5039999997</v>
      </c>
      <c r="AF59" s="47" t="s">
        <v>377</v>
      </c>
      <c r="AG59" s="44" t="s">
        <v>367</v>
      </c>
      <c r="AH59" s="13">
        <v>34.01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1" t="s">
        <v>35</v>
      </c>
      <c r="F60" s="13">
        <v>31.92</v>
      </c>
      <c r="G60" s="14">
        <f t="shared" si="21"/>
        <v>31920</v>
      </c>
      <c r="H60" s="49">
        <v>15</v>
      </c>
      <c r="I60" s="83" t="s">
        <v>301</v>
      </c>
      <c r="J60" s="85" t="s">
        <v>228</v>
      </c>
      <c r="K60" s="82" t="s">
        <v>311</v>
      </c>
      <c r="L60" s="4"/>
      <c r="M60" s="85" t="s">
        <v>308</v>
      </c>
      <c r="N60" s="87" t="s">
        <v>40</v>
      </c>
      <c r="O60" s="4"/>
      <c r="P60" s="4"/>
      <c r="Q60" s="5">
        <v>57280</v>
      </c>
      <c r="R60" s="36"/>
      <c r="S60" s="36"/>
      <c r="T60" s="37"/>
      <c r="U60" s="5">
        <f t="shared" si="22"/>
        <v>57280</v>
      </c>
      <c r="V60" s="5">
        <f t="shared" si="23"/>
        <v>1828377.6000000001</v>
      </c>
      <c r="W60" s="5">
        <f t="shared" si="26"/>
        <v>329107.96799999999</v>
      </c>
      <c r="X60" s="5"/>
      <c r="Y60" s="5"/>
      <c r="Z60" s="43"/>
      <c r="AA60" s="23">
        <f t="shared" si="24"/>
        <v>0</v>
      </c>
      <c r="AB60" s="43"/>
      <c r="AC60" s="43"/>
      <c r="AD60" s="46"/>
      <c r="AE60" s="5">
        <f t="shared" si="25"/>
        <v>2157485.568</v>
      </c>
      <c r="AF60" s="47" t="s">
        <v>376</v>
      </c>
      <c r="AG60" s="44" t="s">
        <v>367</v>
      </c>
      <c r="AH60" s="13">
        <v>31.92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1" t="s">
        <v>35</v>
      </c>
      <c r="F61" s="13">
        <v>34.06</v>
      </c>
      <c r="G61" s="14">
        <f t="shared" si="21"/>
        <v>34060</v>
      </c>
      <c r="H61" s="49">
        <v>16</v>
      </c>
      <c r="I61" s="83" t="s">
        <v>301</v>
      </c>
      <c r="J61" s="85" t="s">
        <v>228</v>
      </c>
      <c r="K61" s="82" t="s">
        <v>312</v>
      </c>
      <c r="L61" s="4"/>
      <c r="M61" s="85" t="s">
        <v>308</v>
      </c>
      <c r="N61" s="87" t="s">
        <v>45</v>
      </c>
      <c r="O61" s="4"/>
      <c r="P61" s="4"/>
      <c r="Q61" s="5">
        <v>57280</v>
      </c>
      <c r="R61" s="36"/>
      <c r="S61" s="36"/>
      <c r="T61" s="37"/>
      <c r="U61" s="5">
        <f t="shared" si="22"/>
        <v>57280</v>
      </c>
      <c r="V61" s="5">
        <f t="shared" si="23"/>
        <v>1950956.8</v>
      </c>
      <c r="W61" s="5">
        <f t="shared" si="26"/>
        <v>351172.22399999999</v>
      </c>
      <c r="X61" s="5"/>
      <c r="Y61" s="5"/>
      <c r="Z61" s="43"/>
      <c r="AA61" s="23">
        <f t="shared" si="24"/>
        <v>0</v>
      </c>
      <c r="AB61" s="43"/>
      <c r="AC61" s="43"/>
      <c r="AD61" s="46"/>
      <c r="AE61" s="5">
        <f t="shared" si="25"/>
        <v>2302129.0240000002</v>
      </c>
      <c r="AF61" s="47" t="s">
        <v>375</v>
      </c>
      <c r="AG61" s="44" t="s">
        <v>367</v>
      </c>
      <c r="AH61" s="13">
        <v>34.06</v>
      </c>
      <c r="AI61" s="12"/>
      <c r="AJ61" s="40"/>
      <c r="AK61" s="40"/>
    </row>
    <row r="62" spans="2:37" s="41" customFormat="1" ht="16.149999999999999" customHeight="1">
      <c r="B62" s="12"/>
      <c r="C62" s="1"/>
      <c r="D62" s="4"/>
      <c r="E62" s="1" t="s">
        <v>35</v>
      </c>
      <c r="F62" s="13">
        <v>34.049999999999997</v>
      </c>
      <c r="G62" s="14">
        <f t="shared" si="21"/>
        <v>34050</v>
      </c>
      <c r="H62" s="49">
        <v>16</v>
      </c>
      <c r="I62" s="83" t="s">
        <v>301</v>
      </c>
      <c r="J62" s="85" t="s">
        <v>228</v>
      </c>
      <c r="K62" s="82" t="s">
        <v>313</v>
      </c>
      <c r="L62" s="4"/>
      <c r="M62" s="85" t="s">
        <v>314</v>
      </c>
      <c r="N62" s="82" t="s">
        <v>45</v>
      </c>
      <c r="O62" s="4"/>
      <c r="P62" s="4"/>
      <c r="Q62" s="5">
        <v>57280</v>
      </c>
      <c r="R62" s="36"/>
      <c r="S62" s="36"/>
      <c r="T62" s="37"/>
      <c r="U62" s="5">
        <f t="shared" si="22"/>
        <v>57280</v>
      </c>
      <c r="V62" s="5">
        <f t="shared" si="23"/>
        <v>1950383.9999999998</v>
      </c>
      <c r="W62" s="5">
        <f t="shared" si="26"/>
        <v>351069.11999999994</v>
      </c>
      <c r="X62" s="5"/>
      <c r="Y62" s="5"/>
      <c r="Z62" s="43"/>
      <c r="AA62" s="23">
        <f t="shared" si="24"/>
        <v>0</v>
      </c>
      <c r="AB62" s="43"/>
      <c r="AC62" s="43"/>
      <c r="AD62" s="46"/>
      <c r="AE62" s="5">
        <f t="shared" si="25"/>
        <v>2301453.1199999996</v>
      </c>
      <c r="AF62" s="47" t="s">
        <v>374</v>
      </c>
      <c r="AG62" s="44" t="s">
        <v>367</v>
      </c>
      <c r="AH62" s="13">
        <v>34.049999999999997</v>
      </c>
      <c r="AI62" s="12"/>
      <c r="AJ62" s="40"/>
      <c r="AK62" s="40"/>
    </row>
    <row r="63" spans="2:37" s="41" customFormat="1" ht="16.149999999999999" customHeight="1">
      <c r="B63" s="12"/>
      <c r="C63" s="1"/>
      <c r="D63" s="4"/>
      <c r="E63" s="1" t="s">
        <v>35</v>
      </c>
      <c r="F63" s="13">
        <v>40.29</v>
      </c>
      <c r="G63" s="14">
        <f t="shared" si="21"/>
        <v>40290</v>
      </c>
      <c r="H63" s="49">
        <v>19</v>
      </c>
      <c r="I63" s="83" t="s">
        <v>301</v>
      </c>
      <c r="J63" s="85" t="s">
        <v>228</v>
      </c>
      <c r="K63" s="82" t="s">
        <v>315</v>
      </c>
      <c r="L63" s="4"/>
      <c r="M63" s="85" t="s">
        <v>316</v>
      </c>
      <c r="N63" s="82" t="s">
        <v>317</v>
      </c>
      <c r="O63" s="4"/>
      <c r="P63" s="4"/>
      <c r="Q63" s="5">
        <v>57280</v>
      </c>
      <c r="R63" s="36"/>
      <c r="S63" s="36"/>
      <c r="T63" s="37"/>
      <c r="U63" s="5">
        <f t="shared" si="22"/>
        <v>57280</v>
      </c>
      <c r="V63" s="5">
        <f t="shared" si="23"/>
        <v>2307811.1999999997</v>
      </c>
      <c r="W63" s="5">
        <f t="shared" si="26"/>
        <v>415406.01599999995</v>
      </c>
      <c r="X63" s="5"/>
      <c r="Y63" s="5"/>
      <c r="Z63" s="43"/>
      <c r="AA63" s="23">
        <f t="shared" si="24"/>
        <v>0</v>
      </c>
      <c r="AB63" s="43"/>
      <c r="AC63" s="43"/>
      <c r="AD63" s="46"/>
      <c r="AE63" s="5">
        <f t="shared" si="25"/>
        <v>2723217.2159999995</v>
      </c>
      <c r="AF63" s="47" t="s">
        <v>373</v>
      </c>
      <c r="AG63" s="44" t="s">
        <v>367</v>
      </c>
      <c r="AH63" s="13">
        <v>40.29</v>
      </c>
      <c r="AI63" s="12"/>
      <c r="AJ63" s="40"/>
      <c r="AK63" s="40"/>
    </row>
    <row r="64" spans="2:37" s="41" customFormat="1" ht="16.149999999999999" customHeight="1">
      <c r="B64" s="91" t="s">
        <v>328</v>
      </c>
      <c r="C64" s="1"/>
      <c r="D64" s="4"/>
      <c r="E64" s="1" t="s">
        <v>35</v>
      </c>
      <c r="F64" s="13">
        <v>34.090000000000003</v>
      </c>
      <c r="G64" s="14">
        <f t="shared" si="21"/>
        <v>34090</v>
      </c>
      <c r="H64" s="49">
        <v>16</v>
      </c>
      <c r="I64" s="83" t="s">
        <v>301</v>
      </c>
      <c r="J64" s="85" t="s">
        <v>228</v>
      </c>
      <c r="K64" s="82" t="s">
        <v>318</v>
      </c>
      <c r="L64" s="4"/>
      <c r="M64" s="85" t="s">
        <v>319</v>
      </c>
      <c r="N64" s="82" t="s">
        <v>320</v>
      </c>
      <c r="O64" s="4"/>
      <c r="P64" s="4"/>
      <c r="Q64" s="5">
        <v>57280</v>
      </c>
      <c r="R64" s="36"/>
      <c r="S64" s="36"/>
      <c r="T64" s="37"/>
      <c r="U64" s="5">
        <f t="shared" si="22"/>
        <v>57280</v>
      </c>
      <c r="V64" s="5">
        <f t="shared" si="23"/>
        <v>1952675.2000000002</v>
      </c>
      <c r="W64" s="5">
        <f t="shared" si="26"/>
        <v>351481.53600000002</v>
      </c>
      <c r="X64" s="5"/>
      <c r="Y64" s="5"/>
      <c r="Z64" s="43"/>
      <c r="AA64" s="23">
        <f t="shared" si="24"/>
        <v>0</v>
      </c>
      <c r="AB64" s="43"/>
      <c r="AC64" s="43"/>
      <c r="AD64" s="46"/>
      <c r="AE64" s="5">
        <f t="shared" si="25"/>
        <v>2304156.736</v>
      </c>
      <c r="AF64" s="47" t="s">
        <v>372</v>
      </c>
      <c r="AG64" s="44" t="s">
        <v>367</v>
      </c>
      <c r="AH64" s="13">
        <v>34.090000000000003</v>
      </c>
      <c r="AI64" s="12"/>
      <c r="AJ64" s="40"/>
      <c r="AK64" s="40"/>
    </row>
    <row r="65" spans="2:37" s="41" customFormat="1" ht="16.149999999999999" customHeight="1">
      <c r="B65" s="12"/>
      <c r="C65" s="1"/>
      <c r="D65" s="4"/>
      <c r="E65" s="1" t="s">
        <v>35</v>
      </c>
      <c r="F65" s="13">
        <v>33.99</v>
      </c>
      <c r="G65" s="14">
        <f t="shared" si="21"/>
        <v>33990</v>
      </c>
      <c r="H65" s="49">
        <v>16</v>
      </c>
      <c r="I65" s="83" t="s">
        <v>301</v>
      </c>
      <c r="J65" s="85" t="s">
        <v>228</v>
      </c>
      <c r="K65" s="82" t="s">
        <v>321</v>
      </c>
      <c r="L65" s="4"/>
      <c r="M65" s="85" t="s">
        <v>319</v>
      </c>
      <c r="N65" s="82" t="s">
        <v>87</v>
      </c>
      <c r="O65" s="4"/>
      <c r="P65" s="4"/>
      <c r="Q65" s="5">
        <v>57280</v>
      </c>
      <c r="R65" s="36"/>
      <c r="S65" s="36"/>
      <c r="T65" s="37"/>
      <c r="U65" s="5">
        <f t="shared" si="22"/>
        <v>57280</v>
      </c>
      <c r="V65" s="5">
        <f t="shared" si="23"/>
        <v>1946947.2000000002</v>
      </c>
      <c r="W65" s="5">
        <f t="shared" si="26"/>
        <v>350450.49600000004</v>
      </c>
      <c r="X65" s="5"/>
      <c r="Y65" s="5"/>
      <c r="Z65" s="43"/>
      <c r="AA65" s="23">
        <f t="shared" si="24"/>
        <v>0</v>
      </c>
      <c r="AB65" s="43"/>
      <c r="AC65" s="43"/>
      <c r="AD65" s="46"/>
      <c r="AE65" s="5">
        <f t="shared" si="25"/>
        <v>2297397.6960000005</v>
      </c>
      <c r="AF65" s="47" t="s">
        <v>371</v>
      </c>
      <c r="AG65" s="44" t="s">
        <v>367</v>
      </c>
      <c r="AH65" s="13">
        <v>33.99</v>
      </c>
      <c r="AI65" s="12"/>
      <c r="AJ65" s="40"/>
      <c r="AK65" s="40"/>
    </row>
    <row r="66" spans="2:37" s="41" customFormat="1" ht="16.149999999999999" customHeight="1">
      <c r="B66" s="12"/>
      <c r="C66" s="1"/>
      <c r="D66" s="4"/>
      <c r="E66" s="1" t="s">
        <v>35</v>
      </c>
      <c r="F66" s="13">
        <v>33.723999999999997</v>
      </c>
      <c r="G66" s="14">
        <f t="shared" si="21"/>
        <v>33724</v>
      </c>
      <c r="H66" s="49">
        <v>16</v>
      </c>
      <c r="I66" s="83" t="s">
        <v>301</v>
      </c>
      <c r="J66" s="85" t="s">
        <v>228</v>
      </c>
      <c r="K66" s="82" t="s">
        <v>322</v>
      </c>
      <c r="L66" s="4"/>
      <c r="M66" s="85" t="s">
        <v>319</v>
      </c>
      <c r="N66" s="87" t="s">
        <v>157</v>
      </c>
      <c r="O66" s="4"/>
      <c r="P66" s="4"/>
      <c r="Q66" s="5">
        <v>57280</v>
      </c>
      <c r="R66" s="36"/>
      <c r="S66" s="36"/>
      <c r="T66" s="37"/>
      <c r="U66" s="5">
        <f t="shared" si="22"/>
        <v>57280</v>
      </c>
      <c r="V66" s="5">
        <f t="shared" si="23"/>
        <v>1931710.7199999997</v>
      </c>
      <c r="W66" s="5">
        <f t="shared" si="26"/>
        <v>347707.92959999992</v>
      </c>
      <c r="X66" s="5"/>
      <c r="Y66" s="5"/>
      <c r="Z66" s="43"/>
      <c r="AA66" s="23">
        <f t="shared" si="24"/>
        <v>0</v>
      </c>
      <c r="AB66" s="43"/>
      <c r="AC66" s="43"/>
      <c r="AD66" s="46"/>
      <c r="AE66" s="5">
        <f t="shared" si="25"/>
        <v>2279418.6495999997</v>
      </c>
      <c r="AF66" s="47" t="s">
        <v>370</v>
      </c>
      <c r="AG66" s="44" t="s">
        <v>367</v>
      </c>
      <c r="AH66" s="13">
        <v>33.723999999999997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1" t="s">
        <v>35</v>
      </c>
      <c r="F67" s="13">
        <v>50.601999999999997</v>
      </c>
      <c r="G67" s="14">
        <f t="shared" si="21"/>
        <v>50602</v>
      </c>
      <c r="H67" s="49">
        <v>24</v>
      </c>
      <c r="I67" s="83" t="s">
        <v>301</v>
      </c>
      <c r="J67" s="85" t="s">
        <v>228</v>
      </c>
      <c r="K67" s="82" t="s">
        <v>323</v>
      </c>
      <c r="L67" s="4"/>
      <c r="M67" s="85" t="s">
        <v>324</v>
      </c>
      <c r="N67" s="87" t="s">
        <v>62</v>
      </c>
      <c r="O67" s="4"/>
      <c r="P67" s="4"/>
      <c r="Q67" s="5">
        <v>57280</v>
      </c>
      <c r="R67" s="36"/>
      <c r="S67" s="36"/>
      <c r="T67" s="37"/>
      <c r="U67" s="5">
        <f t="shared" si="22"/>
        <v>57280</v>
      </c>
      <c r="V67" s="5">
        <f t="shared" si="23"/>
        <v>2898482.5599999996</v>
      </c>
      <c r="W67" s="5">
        <f t="shared" si="26"/>
        <v>521726.86079999991</v>
      </c>
      <c r="X67" s="5"/>
      <c r="Y67" s="5"/>
      <c r="Z67" s="43"/>
      <c r="AA67" s="23">
        <f t="shared" si="24"/>
        <v>0</v>
      </c>
      <c r="AB67" s="43"/>
      <c r="AC67" s="43"/>
      <c r="AD67" s="46"/>
      <c r="AE67" s="5">
        <f t="shared" si="25"/>
        <v>3420209.4207999995</v>
      </c>
      <c r="AF67" s="47" t="s">
        <v>369</v>
      </c>
      <c r="AG67" s="44" t="s">
        <v>367</v>
      </c>
      <c r="AH67" s="13">
        <v>50.601999999999997</v>
      </c>
      <c r="AI67" s="12"/>
      <c r="AJ67" s="40"/>
      <c r="AK67" s="40"/>
    </row>
    <row r="68" spans="2:37" s="41" customFormat="1" ht="16.149999999999999" customHeight="1">
      <c r="B68" s="12"/>
      <c r="C68" s="1"/>
      <c r="D68" s="4"/>
      <c r="E68" s="1" t="s">
        <v>35</v>
      </c>
      <c r="F68" s="13">
        <v>54.976999999999997</v>
      </c>
      <c r="G68" s="14">
        <f t="shared" si="21"/>
        <v>54977</v>
      </c>
      <c r="H68" s="49">
        <v>27</v>
      </c>
      <c r="I68" s="83" t="s">
        <v>301</v>
      </c>
      <c r="J68" s="85" t="s">
        <v>228</v>
      </c>
      <c r="K68" s="82" t="s">
        <v>325</v>
      </c>
      <c r="L68" s="4"/>
      <c r="M68" s="85" t="s">
        <v>324</v>
      </c>
      <c r="N68" s="82" t="s">
        <v>326</v>
      </c>
      <c r="O68" s="4"/>
      <c r="P68" s="4"/>
      <c r="Q68" s="5">
        <v>57280</v>
      </c>
      <c r="R68" s="36"/>
      <c r="S68" s="36"/>
      <c r="T68" s="37"/>
      <c r="U68" s="5">
        <f t="shared" si="22"/>
        <v>57280</v>
      </c>
      <c r="V68" s="5">
        <f t="shared" si="23"/>
        <v>3149082.5599999996</v>
      </c>
      <c r="W68" s="5">
        <f t="shared" si="26"/>
        <v>566834.86079999991</v>
      </c>
      <c r="X68" s="5"/>
      <c r="Y68" s="5"/>
      <c r="Z68" s="43"/>
      <c r="AA68" s="23">
        <f t="shared" si="24"/>
        <v>0</v>
      </c>
      <c r="AB68" s="43"/>
      <c r="AC68" s="43"/>
      <c r="AD68" s="46"/>
      <c r="AE68" s="5">
        <f t="shared" si="25"/>
        <v>3715917.4207999995</v>
      </c>
      <c r="AF68" s="47" t="s">
        <v>368</v>
      </c>
      <c r="AG68" s="44" t="s">
        <v>367</v>
      </c>
      <c r="AH68" s="13">
        <v>54.976999999999997</v>
      </c>
      <c r="AI68" s="12"/>
      <c r="AJ68" s="40"/>
      <c r="AK68" s="40"/>
    </row>
    <row r="69" spans="2:37" s="41" customFormat="1" ht="16.149999999999999" customHeight="1">
      <c r="B69" s="12"/>
      <c r="C69" s="1"/>
      <c r="D69" s="4"/>
      <c r="E69" s="1" t="s">
        <v>35</v>
      </c>
      <c r="F69" s="13">
        <f>48.532</f>
        <v>48.531999999999996</v>
      </c>
      <c r="G69" s="14">
        <f t="shared" si="21"/>
        <v>48532</v>
      </c>
      <c r="H69" s="49">
        <v>23</v>
      </c>
      <c r="I69" s="83" t="s">
        <v>301</v>
      </c>
      <c r="J69" s="85" t="s">
        <v>228</v>
      </c>
      <c r="K69" s="82" t="s">
        <v>327</v>
      </c>
      <c r="L69" s="4"/>
      <c r="M69" s="85" t="s">
        <v>324</v>
      </c>
      <c r="N69" s="82" t="s">
        <v>317</v>
      </c>
      <c r="O69" s="4"/>
      <c r="P69" s="4"/>
      <c r="Q69" s="5">
        <v>57280</v>
      </c>
      <c r="R69" s="36"/>
      <c r="S69" s="36"/>
      <c r="T69" s="37"/>
      <c r="U69" s="5">
        <f t="shared" si="22"/>
        <v>57280</v>
      </c>
      <c r="V69" s="5">
        <f t="shared" si="23"/>
        <v>2779912.96</v>
      </c>
      <c r="W69" s="5">
        <f t="shared" si="26"/>
        <v>500384.33279999997</v>
      </c>
      <c r="X69" s="5"/>
      <c r="Y69" s="5"/>
      <c r="Z69" s="43"/>
      <c r="AA69" s="23">
        <f t="shared" si="24"/>
        <v>0</v>
      </c>
      <c r="AB69" s="43"/>
      <c r="AC69" s="43"/>
      <c r="AD69" s="46"/>
      <c r="AE69" s="5">
        <f t="shared" si="25"/>
        <v>3280297.2927999999</v>
      </c>
      <c r="AF69" s="47" t="s">
        <v>366</v>
      </c>
      <c r="AG69" s="44" t="s">
        <v>367</v>
      </c>
      <c r="AH69" s="13">
        <v>48.531999999999996</v>
      </c>
      <c r="AI69" s="12"/>
      <c r="AJ69" s="40"/>
      <c r="AK69" s="40"/>
    </row>
    <row r="70" spans="2:37" s="41" customFormat="1">
      <c r="B70" s="92" t="s">
        <v>329</v>
      </c>
      <c r="C70" s="48"/>
      <c r="D70" s="6"/>
      <c r="E70" s="6"/>
      <c r="F70" s="81">
        <f>SUM(F55:F69)</f>
        <v>568.45500000000004</v>
      </c>
      <c r="G70" s="20">
        <f>SUM(G55:G69)</f>
        <v>568455</v>
      </c>
      <c r="H70" s="78">
        <f>SUM(H55:H69)</f>
        <v>269</v>
      </c>
      <c r="I70" s="2"/>
      <c r="J70" s="7"/>
      <c r="K70" s="7"/>
      <c r="L70" s="7"/>
      <c r="M70" s="2"/>
      <c r="N70" s="6"/>
      <c r="O70" s="6"/>
      <c r="P70" s="6"/>
      <c r="Q70" s="19"/>
      <c r="R70" s="9"/>
      <c r="S70" s="9"/>
      <c r="T70" s="10"/>
      <c r="U70" s="8"/>
      <c r="V70" s="21">
        <f>SUM(V55:V69)</f>
        <v>32561102.399999999</v>
      </c>
      <c r="W70" s="21">
        <f>SUM(W55:W69)</f>
        <v>5860998.4319999991</v>
      </c>
      <c r="X70" s="21">
        <f>SUM(X55:X64)</f>
        <v>0</v>
      </c>
      <c r="Y70" s="21">
        <f>SUM(Y55:Y64)</f>
        <v>0</v>
      </c>
      <c r="Z70" s="21">
        <f>SUM(Z55:Z64)</f>
        <v>0</v>
      </c>
      <c r="AA70" s="21">
        <f>SUM(AA55:AA69)</f>
        <v>0</v>
      </c>
      <c r="AB70" s="21">
        <f>SUM(AB55:AB64)</f>
        <v>0</v>
      </c>
      <c r="AC70" s="21">
        <f>SUM(AC55:AC64)</f>
        <v>0</v>
      </c>
      <c r="AD70" s="21">
        <f>SUM(AD55:AD64)</f>
        <v>0</v>
      </c>
      <c r="AE70" s="21">
        <f>SUM(AE55:AE69)</f>
        <v>38422100.832000002</v>
      </c>
      <c r="AF70" s="21"/>
      <c r="AG70" s="42"/>
      <c r="AH70" s="27">
        <f>SUM(AH55:AH69)</f>
        <v>568.45500000000004</v>
      </c>
      <c r="AI70" s="26">
        <f>AH70-F70</f>
        <v>0</v>
      </c>
      <c r="AJ70" s="41">
        <f>AA70/F70</f>
        <v>0</v>
      </c>
      <c r="AK70" s="40"/>
    </row>
    <row r="71" spans="2:37" s="41" customFormat="1" ht="16.149999999999999" customHeight="1">
      <c r="B71" s="86" t="s">
        <v>382</v>
      </c>
      <c r="C71" s="86" t="s">
        <v>384</v>
      </c>
      <c r="D71" s="4"/>
      <c r="E71" s="1" t="s">
        <v>35</v>
      </c>
      <c r="F71" s="13">
        <v>63.02</v>
      </c>
      <c r="G71" s="14">
        <f t="shared" ref="G71:G89" si="27">+F71*1000</f>
        <v>63020</v>
      </c>
      <c r="H71" s="49">
        <v>30</v>
      </c>
      <c r="I71" s="83">
        <v>231401300720</v>
      </c>
      <c r="J71" s="85" t="s">
        <v>387</v>
      </c>
      <c r="K71" s="82" t="s">
        <v>426</v>
      </c>
      <c r="L71" s="4"/>
      <c r="M71" s="85" t="s">
        <v>427</v>
      </c>
      <c r="N71" s="82" t="s">
        <v>386</v>
      </c>
      <c r="O71" s="4"/>
      <c r="P71" s="4"/>
      <c r="Q71" s="5">
        <v>49200</v>
      </c>
      <c r="R71" s="36"/>
      <c r="S71" s="36"/>
      <c r="T71" s="37"/>
      <c r="U71" s="5">
        <f t="shared" ref="U71:U89" si="28">S71+R71+Q71-T71</f>
        <v>49200</v>
      </c>
      <c r="V71" s="5">
        <f t="shared" ref="V71:V89" si="29">F71*U71</f>
        <v>3100584</v>
      </c>
      <c r="W71" s="5">
        <f>V71*18%</f>
        <v>558105.12</v>
      </c>
      <c r="X71" s="5"/>
      <c r="Y71" s="5"/>
      <c r="Z71" s="43"/>
      <c r="AA71" s="23">
        <f t="shared" ref="AA71:AA89" si="30">F71*Z71</f>
        <v>0</v>
      </c>
      <c r="AB71" s="43"/>
      <c r="AC71" s="43"/>
      <c r="AD71" s="46"/>
      <c r="AE71" s="5">
        <f t="shared" ref="AE71:AE89" si="31">+AB71+AA71+Y71+X71+W71+V71-AC71+AD71</f>
        <v>3658689.12</v>
      </c>
      <c r="AF71" s="47" t="s">
        <v>466</v>
      </c>
      <c r="AG71" s="44"/>
      <c r="AH71" s="13">
        <v>63.02</v>
      </c>
      <c r="AI71" s="12"/>
      <c r="AJ71" s="40"/>
      <c r="AK71" s="40"/>
    </row>
    <row r="72" spans="2:37" s="41" customFormat="1" ht="16.149999999999999" customHeight="1">
      <c r="B72" s="70" t="s">
        <v>75</v>
      </c>
      <c r="C72" s="82" t="s">
        <v>383</v>
      </c>
      <c r="D72" s="4"/>
      <c r="E72" s="1" t="s">
        <v>35</v>
      </c>
      <c r="F72" s="13">
        <v>62.46</v>
      </c>
      <c r="G72" s="14">
        <f t="shared" si="27"/>
        <v>62460</v>
      </c>
      <c r="H72" s="49">
        <v>30</v>
      </c>
      <c r="I72" s="83">
        <v>231401300721</v>
      </c>
      <c r="J72" s="85" t="s">
        <v>387</v>
      </c>
      <c r="K72" s="82" t="s">
        <v>428</v>
      </c>
      <c r="L72" s="4"/>
      <c r="M72" s="85" t="s">
        <v>427</v>
      </c>
      <c r="N72" s="82" t="s">
        <v>388</v>
      </c>
      <c r="O72" s="4"/>
      <c r="P72" s="4"/>
      <c r="Q72" s="5">
        <v>49200</v>
      </c>
      <c r="R72" s="36"/>
      <c r="S72" s="36"/>
      <c r="T72" s="37"/>
      <c r="U72" s="5">
        <f t="shared" si="28"/>
        <v>49200</v>
      </c>
      <c r="V72" s="5">
        <f t="shared" si="29"/>
        <v>3073032</v>
      </c>
      <c r="W72" s="5">
        <f>V72*18%</f>
        <v>553145.76</v>
      </c>
      <c r="X72" s="5"/>
      <c r="Y72" s="5"/>
      <c r="Z72" s="43"/>
      <c r="AA72" s="23">
        <f t="shared" si="30"/>
        <v>0</v>
      </c>
      <c r="AB72" s="43"/>
      <c r="AC72" s="43"/>
      <c r="AD72" s="46"/>
      <c r="AE72" s="5">
        <f t="shared" si="31"/>
        <v>3626177.76</v>
      </c>
      <c r="AF72" s="47" t="s">
        <v>467</v>
      </c>
      <c r="AG72" s="44"/>
      <c r="AH72" s="13">
        <v>62.46</v>
      </c>
      <c r="AI72" s="12"/>
      <c r="AJ72" s="40"/>
      <c r="AK72" s="40"/>
    </row>
    <row r="73" spans="2:37" s="41" customFormat="1" ht="16.149999999999999" customHeight="1">
      <c r="B73" s="70"/>
      <c r="C73" s="70" t="s">
        <v>385</v>
      </c>
      <c r="D73" s="4"/>
      <c r="E73" s="1" t="s">
        <v>35</v>
      </c>
      <c r="F73" s="13">
        <v>62.96</v>
      </c>
      <c r="G73" s="14">
        <f t="shared" si="27"/>
        <v>62960</v>
      </c>
      <c r="H73" s="49">
        <v>30</v>
      </c>
      <c r="I73" s="83">
        <v>231401300722</v>
      </c>
      <c r="J73" s="85" t="s">
        <v>387</v>
      </c>
      <c r="K73" s="82" t="s">
        <v>429</v>
      </c>
      <c r="L73" s="4"/>
      <c r="M73" s="85" t="s">
        <v>427</v>
      </c>
      <c r="N73" s="82" t="s">
        <v>389</v>
      </c>
      <c r="O73" s="4"/>
      <c r="P73" s="4"/>
      <c r="Q73" s="5">
        <v>49200</v>
      </c>
      <c r="R73" s="36"/>
      <c r="S73" s="36"/>
      <c r="T73" s="37"/>
      <c r="U73" s="5">
        <f t="shared" si="28"/>
        <v>49200</v>
      </c>
      <c r="V73" s="5">
        <f t="shared" si="29"/>
        <v>3097632</v>
      </c>
      <c r="W73" s="5">
        <f t="shared" ref="W73:W89" si="32">V73*18%</f>
        <v>557573.76</v>
      </c>
      <c r="X73" s="5"/>
      <c r="Y73" s="5"/>
      <c r="Z73" s="43"/>
      <c r="AA73" s="23">
        <f t="shared" si="30"/>
        <v>0</v>
      </c>
      <c r="AB73" s="43"/>
      <c r="AC73" s="43"/>
      <c r="AD73" s="46"/>
      <c r="AE73" s="5">
        <f t="shared" si="31"/>
        <v>3655205.76</v>
      </c>
      <c r="AF73" s="47" t="s">
        <v>468</v>
      </c>
      <c r="AG73" s="44"/>
      <c r="AH73" s="13">
        <v>62.96</v>
      </c>
      <c r="AI73" s="12"/>
      <c r="AJ73" s="40"/>
      <c r="AK73" s="40"/>
    </row>
    <row r="74" spans="2:37" s="41" customFormat="1" ht="16.149999999999999" customHeight="1">
      <c r="B74" s="12"/>
      <c r="C74" s="86"/>
      <c r="D74" s="4"/>
      <c r="E74" s="1" t="s">
        <v>35</v>
      </c>
      <c r="F74" s="13">
        <v>62.92</v>
      </c>
      <c r="G74" s="14">
        <f t="shared" si="27"/>
        <v>62920</v>
      </c>
      <c r="H74" s="49">
        <v>30</v>
      </c>
      <c r="I74" s="83">
        <v>231401300723</v>
      </c>
      <c r="J74" s="85" t="s">
        <v>387</v>
      </c>
      <c r="K74" s="82" t="s">
        <v>430</v>
      </c>
      <c r="L74" s="4"/>
      <c r="M74" s="85" t="s">
        <v>431</v>
      </c>
      <c r="N74" s="82" t="s">
        <v>390</v>
      </c>
      <c r="O74" s="4"/>
      <c r="P74" s="4"/>
      <c r="Q74" s="5">
        <v>49200</v>
      </c>
      <c r="R74" s="36"/>
      <c r="S74" s="36"/>
      <c r="T74" s="37"/>
      <c r="U74" s="5">
        <f t="shared" si="28"/>
        <v>49200</v>
      </c>
      <c r="V74" s="5">
        <f t="shared" si="29"/>
        <v>3095664</v>
      </c>
      <c r="W74" s="5">
        <f t="shared" si="32"/>
        <v>557219.52</v>
      </c>
      <c r="X74" s="5"/>
      <c r="Y74" s="5"/>
      <c r="Z74" s="43"/>
      <c r="AA74" s="23">
        <f t="shared" si="30"/>
        <v>0</v>
      </c>
      <c r="AB74" s="43"/>
      <c r="AC74" s="43"/>
      <c r="AD74" s="46"/>
      <c r="AE74" s="5">
        <f t="shared" si="31"/>
        <v>3652883.52</v>
      </c>
      <c r="AF74" s="47" t="s">
        <v>469</v>
      </c>
      <c r="AG74" s="44"/>
      <c r="AH74" s="13">
        <v>62.92</v>
      </c>
      <c r="AI74" s="12"/>
      <c r="AJ74" s="40"/>
      <c r="AK74" s="40"/>
    </row>
    <row r="75" spans="2:37" s="41" customFormat="1" ht="16.149999999999999" customHeight="1">
      <c r="B75" s="89"/>
      <c r="C75" s="86"/>
      <c r="D75" s="4"/>
      <c r="E75" s="1" t="s">
        <v>35</v>
      </c>
      <c r="F75" s="13">
        <v>63.08</v>
      </c>
      <c r="G75" s="14">
        <f t="shared" si="27"/>
        <v>63080</v>
      </c>
      <c r="H75" s="49">
        <v>30</v>
      </c>
      <c r="I75" s="83">
        <v>231401300724</v>
      </c>
      <c r="J75" s="85" t="s">
        <v>387</v>
      </c>
      <c r="K75" s="82" t="s">
        <v>432</v>
      </c>
      <c r="L75" s="4"/>
      <c r="M75" s="85" t="s">
        <v>433</v>
      </c>
      <c r="N75" s="82" t="s">
        <v>391</v>
      </c>
      <c r="O75" s="4"/>
      <c r="P75" s="4"/>
      <c r="Q75" s="5">
        <v>49200</v>
      </c>
      <c r="R75" s="36"/>
      <c r="S75" s="36"/>
      <c r="T75" s="37"/>
      <c r="U75" s="5">
        <f t="shared" si="28"/>
        <v>49200</v>
      </c>
      <c r="V75" s="5">
        <f t="shared" si="29"/>
        <v>3103536</v>
      </c>
      <c r="W75" s="5">
        <f t="shared" si="32"/>
        <v>558636.48</v>
      </c>
      <c r="X75" s="5"/>
      <c r="Y75" s="5"/>
      <c r="Z75" s="43"/>
      <c r="AA75" s="23">
        <f t="shared" si="30"/>
        <v>0</v>
      </c>
      <c r="AB75" s="43"/>
      <c r="AC75" s="43"/>
      <c r="AD75" s="46"/>
      <c r="AE75" s="5">
        <f t="shared" si="31"/>
        <v>3662172.48</v>
      </c>
      <c r="AF75" s="47" t="s">
        <v>470</v>
      </c>
      <c r="AG75" s="44"/>
      <c r="AH75" s="13">
        <v>63.08</v>
      </c>
      <c r="AI75" s="12"/>
      <c r="AJ75" s="40"/>
      <c r="AK75" s="40"/>
    </row>
    <row r="76" spans="2:37" s="41" customFormat="1" ht="16.149999999999999" customHeight="1">
      <c r="B76" s="12"/>
      <c r="C76" s="1"/>
      <c r="D76" s="4"/>
      <c r="E76" s="1" t="s">
        <v>35</v>
      </c>
      <c r="F76" s="13">
        <v>63.16</v>
      </c>
      <c r="G76" s="14">
        <f t="shared" si="27"/>
        <v>63160</v>
      </c>
      <c r="H76" s="49">
        <v>30</v>
      </c>
      <c r="I76" s="83">
        <v>231401300741</v>
      </c>
      <c r="J76" s="85" t="s">
        <v>387</v>
      </c>
      <c r="K76" s="96" t="s">
        <v>434</v>
      </c>
      <c r="L76" s="4"/>
      <c r="M76" s="85" t="s">
        <v>433</v>
      </c>
      <c r="N76" s="87" t="s">
        <v>410</v>
      </c>
      <c r="O76" s="4"/>
      <c r="P76" s="4"/>
      <c r="Q76" s="5">
        <v>49200</v>
      </c>
      <c r="R76" s="36"/>
      <c r="S76" s="36"/>
      <c r="T76" s="37"/>
      <c r="U76" s="5">
        <f t="shared" si="28"/>
        <v>49200</v>
      </c>
      <c r="V76" s="5">
        <f t="shared" si="29"/>
        <v>3107472</v>
      </c>
      <c r="W76" s="5">
        <f t="shared" si="32"/>
        <v>559344.96</v>
      </c>
      <c r="X76" s="5"/>
      <c r="Y76" s="5"/>
      <c r="Z76" s="43"/>
      <c r="AA76" s="23">
        <f t="shared" si="30"/>
        <v>0</v>
      </c>
      <c r="AB76" s="43"/>
      <c r="AC76" s="43"/>
      <c r="AD76" s="46"/>
      <c r="AE76" s="5">
        <f t="shared" si="31"/>
        <v>3666816.96</v>
      </c>
      <c r="AF76" s="47" t="s">
        <v>501</v>
      </c>
      <c r="AG76" s="44"/>
      <c r="AH76" s="13">
        <v>63.16</v>
      </c>
      <c r="AI76" s="12"/>
      <c r="AJ76" s="40"/>
      <c r="AK76" s="40"/>
    </row>
    <row r="77" spans="2:37" s="41" customFormat="1" ht="16.149999999999999" customHeight="1">
      <c r="B77" s="12"/>
      <c r="C77" s="1"/>
      <c r="D77" s="4"/>
      <c r="E77" s="1" t="s">
        <v>35</v>
      </c>
      <c r="F77" s="13">
        <v>63.04</v>
      </c>
      <c r="G77" s="14">
        <f t="shared" si="27"/>
        <v>63040</v>
      </c>
      <c r="H77" s="49">
        <v>30</v>
      </c>
      <c r="I77" s="83">
        <v>231401300742</v>
      </c>
      <c r="J77" s="85" t="s">
        <v>387</v>
      </c>
      <c r="K77" s="82" t="s">
        <v>435</v>
      </c>
      <c r="L77" s="4"/>
      <c r="M77" s="85" t="s">
        <v>431</v>
      </c>
      <c r="N77" s="87" t="s">
        <v>412</v>
      </c>
      <c r="O77" s="4"/>
      <c r="P77" s="4"/>
      <c r="Q77" s="5">
        <v>49200</v>
      </c>
      <c r="R77" s="36"/>
      <c r="S77" s="36"/>
      <c r="T77" s="37"/>
      <c r="U77" s="5">
        <f t="shared" si="28"/>
        <v>49200</v>
      </c>
      <c r="V77" s="5">
        <f t="shared" si="29"/>
        <v>3101568</v>
      </c>
      <c r="W77" s="5">
        <f t="shared" si="32"/>
        <v>558282.23999999999</v>
      </c>
      <c r="X77" s="5"/>
      <c r="Y77" s="5"/>
      <c r="Z77" s="43"/>
      <c r="AA77" s="23">
        <f t="shared" si="30"/>
        <v>0</v>
      </c>
      <c r="AB77" s="43"/>
      <c r="AC77" s="43"/>
      <c r="AD77" s="46"/>
      <c r="AE77" s="5">
        <f t="shared" si="31"/>
        <v>3659850.24</v>
      </c>
      <c r="AF77" s="47" t="s">
        <v>471</v>
      </c>
      <c r="AG77" s="44"/>
      <c r="AH77" s="13">
        <v>63.04</v>
      </c>
      <c r="AI77" s="12"/>
      <c r="AJ77" s="40"/>
      <c r="AK77" s="40"/>
    </row>
    <row r="78" spans="2:37" s="41" customFormat="1" ht="16.149999999999999" customHeight="1">
      <c r="B78" s="12"/>
      <c r="C78" s="1"/>
      <c r="D78" s="4"/>
      <c r="E78" s="1" t="s">
        <v>35</v>
      </c>
      <c r="F78" s="13">
        <v>63.1</v>
      </c>
      <c r="G78" s="14">
        <f t="shared" si="27"/>
        <v>63100</v>
      </c>
      <c r="H78" s="49">
        <v>30</v>
      </c>
      <c r="I78" s="83">
        <v>231401300743</v>
      </c>
      <c r="J78" s="85" t="s">
        <v>387</v>
      </c>
      <c r="K78" s="82" t="s">
        <v>436</v>
      </c>
      <c r="L78" s="4"/>
      <c r="M78" s="85" t="s">
        <v>433</v>
      </c>
      <c r="N78" s="82" t="s">
        <v>413</v>
      </c>
      <c r="O78" s="4"/>
      <c r="P78" s="4"/>
      <c r="Q78" s="5">
        <v>49200</v>
      </c>
      <c r="R78" s="36"/>
      <c r="S78" s="36"/>
      <c r="T78" s="37"/>
      <c r="U78" s="5">
        <f t="shared" si="28"/>
        <v>49200</v>
      </c>
      <c r="V78" s="5">
        <f t="shared" si="29"/>
        <v>3104520</v>
      </c>
      <c r="W78" s="5">
        <f t="shared" si="32"/>
        <v>558813.6</v>
      </c>
      <c r="X78" s="5"/>
      <c r="Y78" s="5"/>
      <c r="Z78" s="43"/>
      <c r="AA78" s="23">
        <f t="shared" si="30"/>
        <v>0</v>
      </c>
      <c r="AB78" s="43"/>
      <c r="AC78" s="43"/>
      <c r="AD78" s="46"/>
      <c r="AE78" s="5">
        <f t="shared" si="31"/>
        <v>3663333.6</v>
      </c>
      <c r="AF78" s="47" t="s">
        <v>472</v>
      </c>
      <c r="AG78" s="44"/>
      <c r="AH78" s="13">
        <v>63.1</v>
      </c>
      <c r="AI78" s="12"/>
      <c r="AJ78" s="40"/>
      <c r="AK78" s="40"/>
    </row>
    <row r="79" spans="2:37" s="41" customFormat="1" ht="16.149999999999999" customHeight="1">
      <c r="B79" s="12"/>
      <c r="C79" s="1"/>
      <c r="D79" s="4"/>
      <c r="E79" s="1" t="s">
        <v>35</v>
      </c>
      <c r="F79" s="13">
        <v>63.08</v>
      </c>
      <c r="G79" s="14">
        <f t="shared" si="27"/>
        <v>63080</v>
      </c>
      <c r="H79" s="49">
        <v>30</v>
      </c>
      <c r="I79" s="83">
        <v>231401300744</v>
      </c>
      <c r="J79" s="85" t="s">
        <v>387</v>
      </c>
      <c r="K79" s="82" t="s">
        <v>437</v>
      </c>
      <c r="L79" s="4"/>
      <c r="M79" s="85" t="s">
        <v>427</v>
      </c>
      <c r="N79" s="82" t="s">
        <v>414</v>
      </c>
      <c r="O79" s="4"/>
      <c r="P79" s="4"/>
      <c r="Q79" s="5">
        <v>49200</v>
      </c>
      <c r="R79" s="36"/>
      <c r="S79" s="36"/>
      <c r="T79" s="37"/>
      <c r="U79" s="5">
        <f t="shared" si="28"/>
        <v>49200</v>
      </c>
      <c r="V79" s="5">
        <f t="shared" si="29"/>
        <v>3103536</v>
      </c>
      <c r="W79" s="5">
        <f t="shared" si="32"/>
        <v>558636.48</v>
      </c>
      <c r="X79" s="5"/>
      <c r="Y79" s="5"/>
      <c r="Z79" s="43"/>
      <c r="AA79" s="23">
        <f t="shared" si="30"/>
        <v>0</v>
      </c>
      <c r="AB79" s="43"/>
      <c r="AC79" s="43"/>
      <c r="AD79" s="46"/>
      <c r="AE79" s="5">
        <f t="shared" si="31"/>
        <v>3662172.48</v>
      </c>
      <c r="AF79" s="47" t="s">
        <v>473</v>
      </c>
      <c r="AG79" s="44"/>
      <c r="AH79" s="13">
        <v>63.08</v>
      </c>
      <c r="AI79" s="12"/>
      <c r="AJ79" s="40"/>
      <c r="AK79" s="40"/>
    </row>
    <row r="80" spans="2:37" s="41" customFormat="1" ht="16.149999999999999" customHeight="1">
      <c r="B80" s="91"/>
      <c r="C80" s="1"/>
      <c r="D80" s="4"/>
      <c r="E80" s="1" t="s">
        <v>35</v>
      </c>
      <c r="F80" s="13">
        <v>63.24</v>
      </c>
      <c r="G80" s="14">
        <f t="shared" si="27"/>
        <v>63240</v>
      </c>
      <c r="H80" s="49">
        <v>30</v>
      </c>
      <c r="I80" s="83">
        <v>231401300745</v>
      </c>
      <c r="J80" s="85" t="s">
        <v>387</v>
      </c>
      <c r="K80" s="82" t="s">
        <v>438</v>
      </c>
      <c r="L80" s="4"/>
      <c r="M80" s="85" t="s">
        <v>427</v>
      </c>
      <c r="N80" s="82" t="s">
        <v>415</v>
      </c>
      <c r="O80" s="4"/>
      <c r="P80" s="4"/>
      <c r="Q80" s="5">
        <v>49200</v>
      </c>
      <c r="R80" s="36"/>
      <c r="S80" s="36"/>
      <c r="T80" s="37"/>
      <c r="U80" s="5">
        <f t="shared" si="28"/>
        <v>49200</v>
      </c>
      <c r="V80" s="5">
        <f t="shared" si="29"/>
        <v>3111408</v>
      </c>
      <c r="W80" s="5">
        <f t="shared" si="32"/>
        <v>560053.43999999994</v>
      </c>
      <c r="X80" s="5"/>
      <c r="Y80" s="5"/>
      <c r="Z80" s="43"/>
      <c r="AA80" s="23">
        <f t="shared" si="30"/>
        <v>0</v>
      </c>
      <c r="AB80" s="43"/>
      <c r="AC80" s="43"/>
      <c r="AD80" s="46"/>
      <c r="AE80" s="5">
        <f t="shared" si="31"/>
        <v>3671461.44</v>
      </c>
      <c r="AF80" s="47" t="s">
        <v>474</v>
      </c>
      <c r="AG80" s="44"/>
      <c r="AH80" s="13">
        <v>63.24</v>
      </c>
      <c r="AI80" s="12"/>
      <c r="AJ80" s="40"/>
      <c r="AK80" s="40"/>
    </row>
    <row r="81" spans="2:37" s="41" customFormat="1" ht="16.149999999999999" customHeight="1">
      <c r="B81" s="12"/>
      <c r="C81" s="1"/>
      <c r="D81" s="4"/>
      <c r="E81" s="1" t="s">
        <v>35</v>
      </c>
      <c r="F81" s="13">
        <v>63.12</v>
      </c>
      <c r="G81" s="14">
        <f t="shared" si="27"/>
        <v>63120</v>
      </c>
      <c r="H81" s="49">
        <v>30</v>
      </c>
      <c r="I81" s="83">
        <v>231401300747</v>
      </c>
      <c r="J81" s="85" t="s">
        <v>387</v>
      </c>
      <c r="K81" s="82" t="s">
        <v>439</v>
      </c>
      <c r="L81" s="4"/>
      <c r="M81" s="85" t="s">
        <v>431</v>
      </c>
      <c r="N81" s="82" t="s">
        <v>417</v>
      </c>
      <c r="O81" s="4"/>
      <c r="P81" s="4"/>
      <c r="Q81" s="5">
        <v>49200</v>
      </c>
      <c r="R81" s="36"/>
      <c r="S81" s="36"/>
      <c r="T81" s="37"/>
      <c r="U81" s="5">
        <f t="shared" si="28"/>
        <v>49200</v>
      </c>
      <c r="V81" s="5">
        <f t="shared" si="29"/>
        <v>3105504</v>
      </c>
      <c r="W81" s="5">
        <f t="shared" si="32"/>
        <v>558990.72</v>
      </c>
      <c r="X81" s="5"/>
      <c r="Y81" s="5"/>
      <c r="Z81" s="43"/>
      <c r="AA81" s="23">
        <f t="shared" si="30"/>
        <v>0</v>
      </c>
      <c r="AB81" s="43"/>
      <c r="AC81" s="43"/>
      <c r="AD81" s="46"/>
      <c r="AE81" s="5">
        <f t="shared" si="31"/>
        <v>3664494.7199999997</v>
      </c>
      <c r="AF81" s="47" t="s">
        <v>475</v>
      </c>
      <c r="AG81" s="44"/>
      <c r="AH81" s="13">
        <v>63.12</v>
      </c>
      <c r="AI81" s="12"/>
      <c r="AJ81" s="40"/>
      <c r="AK81" s="40"/>
    </row>
    <row r="82" spans="2:37" s="41" customFormat="1" ht="16.149999999999999" customHeight="1">
      <c r="B82" s="12"/>
      <c r="C82" s="1"/>
      <c r="D82" s="4"/>
      <c r="E82" s="1" t="s">
        <v>35</v>
      </c>
      <c r="F82" s="13">
        <v>63.06</v>
      </c>
      <c r="G82" s="14">
        <f t="shared" si="27"/>
        <v>63060</v>
      </c>
      <c r="H82" s="49">
        <v>30</v>
      </c>
      <c r="I82" s="83">
        <v>231401300748</v>
      </c>
      <c r="J82" s="85" t="s">
        <v>387</v>
      </c>
      <c r="K82" s="82" t="s">
        <v>440</v>
      </c>
      <c r="L82" s="4"/>
      <c r="M82" s="85" t="s">
        <v>427</v>
      </c>
      <c r="N82" s="87" t="s">
        <v>418</v>
      </c>
      <c r="O82" s="4"/>
      <c r="P82" s="4"/>
      <c r="Q82" s="5">
        <v>49200</v>
      </c>
      <c r="R82" s="36"/>
      <c r="S82" s="36"/>
      <c r="T82" s="37"/>
      <c r="U82" s="5">
        <f t="shared" si="28"/>
        <v>49200</v>
      </c>
      <c r="V82" s="5">
        <f t="shared" si="29"/>
        <v>3102552</v>
      </c>
      <c r="W82" s="5">
        <f t="shared" si="32"/>
        <v>558459.36</v>
      </c>
      <c r="X82" s="5"/>
      <c r="Y82" s="5"/>
      <c r="Z82" s="43"/>
      <c r="AA82" s="23">
        <f t="shared" si="30"/>
        <v>0</v>
      </c>
      <c r="AB82" s="43"/>
      <c r="AC82" s="43"/>
      <c r="AD82" s="46"/>
      <c r="AE82" s="5">
        <f t="shared" si="31"/>
        <v>3661011.36</v>
      </c>
      <c r="AF82" s="47" t="s">
        <v>476</v>
      </c>
      <c r="AG82" s="44"/>
      <c r="AH82" s="13">
        <v>63.06</v>
      </c>
      <c r="AI82" s="12"/>
      <c r="AJ82" s="40"/>
      <c r="AK82" s="40"/>
    </row>
    <row r="83" spans="2:37" s="41" customFormat="1" ht="16.149999999999999" customHeight="1">
      <c r="B83" s="12"/>
      <c r="C83" s="1"/>
      <c r="D83" s="4"/>
      <c r="E83" s="1" t="s">
        <v>35</v>
      </c>
      <c r="F83" s="13">
        <v>63.22</v>
      </c>
      <c r="G83" s="14">
        <f t="shared" si="27"/>
        <v>63220</v>
      </c>
      <c r="H83" s="49">
        <v>30</v>
      </c>
      <c r="I83" s="83">
        <v>231401300749</v>
      </c>
      <c r="J83" s="85" t="s">
        <v>387</v>
      </c>
      <c r="K83" s="82" t="s">
        <v>441</v>
      </c>
      <c r="L83" s="4"/>
      <c r="M83" s="85" t="s">
        <v>431</v>
      </c>
      <c r="N83" s="87" t="s">
        <v>419</v>
      </c>
      <c r="O83" s="4"/>
      <c r="P83" s="4"/>
      <c r="Q83" s="5">
        <v>49200</v>
      </c>
      <c r="R83" s="36"/>
      <c r="S83" s="36"/>
      <c r="T83" s="37"/>
      <c r="U83" s="5">
        <f t="shared" si="28"/>
        <v>49200</v>
      </c>
      <c r="V83" s="5">
        <f t="shared" si="29"/>
        <v>3110424</v>
      </c>
      <c r="W83" s="5">
        <f t="shared" si="32"/>
        <v>559876.31999999995</v>
      </c>
      <c r="X83" s="5"/>
      <c r="Y83" s="5"/>
      <c r="Z83" s="43"/>
      <c r="AA83" s="23">
        <f t="shared" si="30"/>
        <v>0</v>
      </c>
      <c r="AB83" s="43"/>
      <c r="AC83" s="43"/>
      <c r="AD83" s="46"/>
      <c r="AE83" s="5">
        <f t="shared" si="31"/>
        <v>3670300.32</v>
      </c>
      <c r="AF83" s="47" t="s">
        <v>477</v>
      </c>
      <c r="AG83" s="44"/>
      <c r="AH83" s="13">
        <v>63.22</v>
      </c>
      <c r="AI83" s="12"/>
      <c r="AJ83" s="40"/>
      <c r="AK83" s="40"/>
    </row>
    <row r="84" spans="2:37" s="41" customFormat="1" ht="16.149999999999999" customHeight="1">
      <c r="B84" s="12"/>
      <c r="C84" s="1"/>
      <c r="D84" s="4"/>
      <c r="E84" s="1" t="s">
        <v>35</v>
      </c>
      <c r="F84" s="13">
        <v>63.12</v>
      </c>
      <c r="G84" s="14">
        <f t="shared" si="27"/>
        <v>63120</v>
      </c>
      <c r="H84" s="49">
        <v>30</v>
      </c>
      <c r="I84" s="83">
        <v>231401300750</v>
      </c>
      <c r="J84" s="85" t="s">
        <v>387</v>
      </c>
      <c r="K84" s="82" t="s">
        <v>442</v>
      </c>
      <c r="L84" s="4"/>
      <c r="M84" s="85" t="s">
        <v>431</v>
      </c>
      <c r="N84" s="82" t="s">
        <v>420</v>
      </c>
      <c r="O84" s="4"/>
      <c r="P84" s="4"/>
      <c r="Q84" s="5">
        <v>49200</v>
      </c>
      <c r="R84" s="36"/>
      <c r="S84" s="36"/>
      <c r="T84" s="37"/>
      <c r="U84" s="5">
        <f t="shared" si="28"/>
        <v>49200</v>
      </c>
      <c r="V84" s="5">
        <f t="shared" si="29"/>
        <v>3105504</v>
      </c>
      <c r="W84" s="5">
        <f t="shared" si="32"/>
        <v>558990.72</v>
      </c>
      <c r="X84" s="5"/>
      <c r="Y84" s="5"/>
      <c r="Z84" s="43"/>
      <c r="AA84" s="23">
        <f t="shared" si="30"/>
        <v>0</v>
      </c>
      <c r="AB84" s="43"/>
      <c r="AC84" s="43"/>
      <c r="AD84" s="46"/>
      <c r="AE84" s="5">
        <f t="shared" si="31"/>
        <v>3664494.7199999997</v>
      </c>
      <c r="AF84" s="47" t="s">
        <v>478</v>
      </c>
      <c r="AG84" s="44"/>
      <c r="AH84" s="13">
        <v>63.12</v>
      </c>
      <c r="AI84" s="12"/>
      <c r="AJ84" s="40"/>
      <c r="AK84" s="40"/>
    </row>
    <row r="85" spans="2:37" s="41" customFormat="1" ht="16.149999999999999" customHeight="1">
      <c r="B85" s="12"/>
      <c r="C85" s="1"/>
      <c r="D85" s="4"/>
      <c r="E85" s="1" t="s">
        <v>35</v>
      </c>
      <c r="F85" s="13">
        <v>63.54</v>
      </c>
      <c r="G85" s="14">
        <f t="shared" si="27"/>
        <v>63540</v>
      </c>
      <c r="H85" s="49">
        <v>30</v>
      </c>
      <c r="I85" s="83">
        <v>231401300751</v>
      </c>
      <c r="J85" s="85" t="s">
        <v>387</v>
      </c>
      <c r="K85" s="82" t="s">
        <v>443</v>
      </c>
      <c r="L85" s="4"/>
      <c r="M85" s="85" t="s">
        <v>427</v>
      </c>
      <c r="N85" s="82" t="s">
        <v>421</v>
      </c>
      <c r="O85" s="4"/>
      <c r="P85" s="4"/>
      <c r="Q85" s="5">
        <v>49200</v>
      </c>
      <c r="R85" s="36"/>
      <c r="S85" s="36"/>
      <c r="T85" s="37"/>
      <c r="U85" s="5">
        <f t="shared" si="28"/>
        <v>49200</v>
      </c>
      <c r="V85" s="5">
        <f t="shared" si="29"/>
        <v>3126168</v>
      </c>
      <c r="W85" s="5">
        <f t="shared" si="32"/>
        <v>562710.24</v>
      </c>
      <c r="X85" s="5"/>
      <c r="Y85" s="5"/>
      <c r="Z85" s="43"/>
      <c r="AA85" s="23">
        <f t="shared" si="30"/>
        <v>0</v>
      </c>
      <c r="AB85" s="43"/>
      <c r="AC85" s="43"/>
      <c r="AD85" s="46"/>
      <c r="AE85" s="5">
        <f t="shared" si="31"/>
        <v>3688878.24</v>
      </c>
      <c r="AF85" s="47" t="s">
        <v>479</v>
      </c>
      <c r="AG85" s="44"/>
      <c r="AH85" s="13">
        <v>63.54</v>
      </c>
      <c r="AI85" s="12"/>
      <c r="AJ85" s="40"/>
      <c r="AK85" s="40"/>
    </row>
    <row r="86" spans="2:37" s="41" customFormat="1" ht="16.149999999999999" customHeight="1">
      <c r="B86" s="12"/>
      <c r="C86" s="1"/>
      <c r="D86" s="4"/>
      <c r="E86" s="1" t="s">
        <v>35</v>
      </c>
      <c r="F86" s="13">
        <v>63.12</v>
      </c>
      <c r="G86" s="14">
        <f t="shared" si="27"/>
        <v>63120</v>
      </c>
      <c r="H86" s="49">
        <v>30</v>
      </c>
      <c r="I86" s="101">
        <v>231401300764</v>
      </c>
      <c r="J86" s="85" t="s">
        <v>387</v>
      </c>
      <c r="K86" s="82" t="s">
        <v>444</v>
      </c>
      <c r="L86" s="4"/>
      <c r="M86" s="85" t="s">
        <v>433</v>
      </c>
      <c r="N86" s="82" t="s">
        <v>422</v>
      </c>
      <c r="O86" s="4"/>
      <c r="P86" s="4"/>
      <c r="Q86" s="5">
        <v>49200</v>
      </c>
      <c r="R86" s="36"/>
      <c r="S86" s="36"/>
      <c r="T86" s="37"/>
      <c r="U86" s="5">
        <f t="shared" si="28"/>
        <v>49200</v>
      </c>
      <c r="V86" s="5">
        <f t="shared" si="29"/>
        <v>3105504</v>
      </c>
      <c r="W86" s="5">
        <f t="shared" si="32"/>
        <v>558990.72</v>
      </c>
      <c r="X86" s="5"/>
      <c r="Y86" s="5"/>
      <c r="Z86" s="43"/>
      <c r="AA86" s="23">
        <f t="shared" si="30"/>
        <v>0</v>
      </c>
      <c r="AB86" s="43"/>
      <c r="AC86" s="43"/>
      <c r="AD86" s="46"/>
      <c r="AE86" s="5">
        <f t="shared" si="31"/>
        <v>3664494.7199999997</v>
      </c>
      <c r="AF86" s="47" t="s">
        <v>480</v>
      </c>
      <c r="AG86" s="44"/>
      <c r="AH86" s="13">
        <v>63.12</v>
      </c>
      <c r="AI86" s="12"/>
      <c r="AJ86" s="40"/>
      <c r="AK86" s="40"/>
    </row>
    <row r="87" spans="2:37" s="41" customFormat="1" ht="16.149999999999999" customHeight="1">
      <c r="B87" s="12"/>
      <c r="C87" s="1"/>
      <c r="D87" s="4"/>
      <c r="E87" s="1" t="s">
        <v>35</v>
      </c>
      <c r="F87" s="13">
        <v>63.14</v>
      </c>
      <c r="G87" s="14">
        <f t="shared" si="27"/>
        <v>63140</v>
      </c>
      <c r="H87" s="49">
        <v>30</v>
      </c>
      <c r="I87" s="83">
        <v>231401300765</v>
      </c>
      <c r="J87" s="85" t="s">
        <v>387</v>
      </c>
      <c r="K87" s="82" t="s">
        <v>445</v>
      </c>
      <c r="L87" s="4"/>
      <c r="M87" s="85" t="s">
        <v>431</v>
      </c>
      <c r="N87" s="82" t="s">
        <v>423</v>
      </c>
      <c r="O87" s="4"/>
      <c r="P87" s="4"/>
      <c r="Q87" s="5">
        <v>49200</v>
      </c>
      <c r="R87" s="36"/>
      <c r="S87" s="36"/>
      <c r="T87" s="37"/>
      <c r="U87" s="5">
        <f t="shared" si="28"/>
        <v>49200</v>
      </c>
      <c r="V87" s="5">
        <f t="shared" si="29"/>
        <v>3106488</v>
      </c>
      <c r="W87" s="5">
        <f t="shared" si="32"/>
        <v>559167.84</v>
      </c>
      <c r="X87" s="5"/>
      <c r="Y87" s="5"/>
      <c r="Z87" s="43"/>
      <c r="AA87" s="23">
        <f t="shared" si="30"/>
        <v>0</v>
      </c>
      <c r="AB87" s="43"/>
      <c r="AC87" s="43"/>
      <c r="AD87" s="46"/>
      <c r="AE87" s="5">
        <f t="shared" si="31"/>
        <v>3665655.84</v>
      </c>
      <c r="AF87" s="47" t="s">
        <v>481</v>
      </c>
      <c r="AG87" s="44"/>
      <c r="AH87" s="13">
        <v>63.14</v>
      </c>
      <c r="AI87" s="12"/>
      <c r="AJ87" s="40"/>
      <c r="AK87" s="40"/>
    </row>
    <row r="88" spans="2:37" s="41" customFormat="1" ht="16.149999999999999" customHeight="1">
      <c r="B88" s="12"/>
      <c r="C88" s="1"/>
      <c r="D88" s="4"/>
      <c r="E88" s="1" t="s">
        <v>35</v>
      </c>
      <c r="F88" s="13">
        <v>63.28</v>
      </c>
      <c r="G88" s="14">
        <f t="shared" si="27"/>
        <v>63280</v>
      </c>
      <c r="H88" s="49">
        <v>30</v>
      </c>
      <c r="I88" s="83">
        <v>231401300766</v>
      </c>
      <c r="J88" s="85" t="s">
        <v>387</v>
      </c>
      <c r="K88" s="82" t="s">
        <v>446</v>
      </c>
      <c r="L88" s="4"/>
      <c r="M88" s="85" t="s">
        <v>433</v>
      </c>
      <c r="N88" s="82" t="s">
        <v>424</v>
      </c>
      <c r="O88" s="4"/>
      <c r="P88" s="4"/>
      <c r="Q88" s="5">
        <v>49200</v>
      </c>
      <c r="R88" s="36"/>
      <c r="S88" s="36"/>
      <c r="T88" s="37"/>
      <c r="U88" s="5">
        <f t="shared" si="28"/>
        <v>49200</v>
      </c>
      <c r="V88" s="5">
        <f t="shared" si="29"/>
        <v>3113376</v>
      </c>
      <c r="W88" s="5">
        <f t="shared" si="32"/>
        <v>560407.67999999993</v>
      </c>
      <c r="X88" s="5"/>
      <c r="Y88" s="5"/>
      <c r="Z88" s="43"/>
      <c r="AA88" s="23">
        <f t="shared" si="30"/>
        <v>0</v>
      </c>
      <c r="AB88" s="43"/>
      <c r="AC88" s="43"/>
      <c r="AD88" s="46"/>
      <c r="AE88" s="5">
        <f t="shared" si="31"/>
        <v>3673783.6799999997</v>
      </c>
      <c r="AF88" s="47" t="s">
        <v>482</v>
      </c>
      <c r="AG88" s="44"/>
      <c r="AH88" s="13">
        <v>63.28</v>
      </c>
      <c r="AI88" s="12"/>
      <c r="AJ88" s="40"/>
      <c r="AK88" s="40"/>
    </row>
    <row r="89" spans="2:37" s="41" customFormat="1" ht="16.149999999999999" customHeight="1">
      <c r="B89" s="12"/>
      <c r="C89" s="1"/>
      <c r="D89" s="4"/>
      <c r="E89" s="1" t="s">
        <v>35</v>
      </c>
      <c r="F89" s="13">
        <v>63.02</v>
      </c>
      <c r="G89" s="14">
        <f t="shared" si="27"/>
        <v>63020</v>
      </c>
      <c r="H89" s="49">
        <v>30</v>
      </c>
      <c r="I89" s="83">
        <v>231401300767</v>
      </c>
      <c r="J89" s="85" t="s">
        <v>387</v>
      </c>
      <c r="K89" s="82" t="s">
        <v>447</v>
      </c>
      <c r="L89" s="4"/>
      <c r="M89" s="85" t="s">
        <v>431</v>
      </c>
      <c r="N89" s="82" t="s">
        <v>425</v>
      </c>
      <c r="O89" s="4"/>
      <c r="P89" s="4"/>
      <c r="Q89" s="5">
        <v>49200</v>
      </c>
      <c r="R89" s="36"/>
      <c r="S89" s="36"/>
      <c r="T89" s="37"/>
      <c r="U89" s="5">
        <f t="shared" si="28"/>
        <v>49200</v>
      </c>
      <c r="V89" s="5">
        <f t="shared" si="29"/>
        <v>3100584</v>
      </c>
      <c r="W89" s="5">
        <f t="shared" si="32"/>
        <v>558105.12</v>
      </c>
      <c r="X89" s="5"/>
      <c r="Y89" s="5"/>
      <c r="Z89" s="43"/>
      <c r="AA89" s="23">
        <f t="shared" si="30"/>
        <v>0</v>
      </c>
      <c r="AB89" s="43"/>
      <c r="AC89" s="43"/>
      <c r="AD89" s="46"/>
      <c r="AE89" s="5">
        <f t="shared" si="31"/>
        <v>3658689.12</v>
      </c>
      <c r="AF89" s="47" t="s">
        <v>483</v>
      </c>
      <c r="AG89" s="44"/>
      <c r="AH89" s="13">
        <v>63.02</v>
      </c>
      <c r="AI89" s="12"/>
      <c r="AJ89" s="40"/>
      <c r="AK89" s="40"/>
    </row>
    <row r="90" spans="2:37" s="41" customFormat="1">
      <c r="B90" s="92"/>
      <c r="C90" s="48"/>
      <c r="D90" s="6"/>
      <c r="E90" s="6"/>
      <c r="F90" s="81">
        <f>SUM(F71:F89)</f>
        <v>1198.68</v>
      </c>
      <c r="G90" s="20">
        <f>SUM(G71:G89)</f>
        <v>1198680</v>
      </c>
      <c r="H90" s="78">
        <f>SUM(H71:H89)</f>
        <v>570</v>
      </c>
      <c r="I90" s="2"/>
      <c r="J90" s="7"/>
      <c r="K90" s="7"/>
      <c r="L90" s="7"/>
      <c r="M90" s="2"/>
      <c r="N90" s="6"/>
      <c r="O90" s="6"/>
      <c r="P90" s="6"/>
      <c r="Q90" s="19"/>
      <c r="R90" s="9"/>
      <c r="S90" s="9"/>
      <c r="T90" s="10"/>
      <c r="U90" s="8"/>
      <c r="V90" s="21">
        <f>SUM(V71:V89)</f>
        <v>58975056</v>
      </c>
      <c r="W90" s="21">
        <f>SUM(W71:W89)</f>
        <v>10615510.079999998</v>
      </c>
      <c r="X90" s="21">
        <f>SUM(X71:X80)</f>
        <v>0</v>
      </c>
      <c r="Y90" s="21">
        <f>SUM(Y71:Y80)</f>
        <v>0</v>
      </c>
      <c r="Z90" s="21">
        <f>SUM(Z71:Z80)</f>
        <v>0</v>
      </c>
      <c r="AA90" s="21">
        <f>SUM(AA71:AA86)</f>
        <v>0</v>
      </c>
      <c r="AB90" s="21">
        <f>SUM(AB71:AB80)</f>
        <v>0</v>
      </c>
      <c r="AC90" s="21">
        <f>SUM(AC71:AC80)</f>
        <v>0</v>
      </c>
      <c r="AD90" s="21">
        <f>SUM(AD71:AD80)</f>
        <v>0</v>
      </c>
      <c r="AE90" s="21">
        <f>SUM(AE71:AE89)</f>
        <v>69590566.079999998</v>
      </c>
      <c r="AF90" s="21"/>
      <c r="AG90" s="42"/>
      <c r="AH90" s="81">
        <f>SUM(AH71:AH89)</f>
        <v>1198.68</v>
      </c>
      <c r="AI90" s="26">
        <f>AH90-F90</f>
        <v>0</v>
      </c>
      <c r="AJ90" s="41">
        <f>AA90/F90</f>
        <v>0</v>
      </c>
      <c r="AK90" s="40"/>
    </row>
    <row r="91" spans="2:37" s="41" customFormat="1" ht="16.149999999999999" customHeight="1">
      <c r="B91" s="86" t="s">
        <v>382</v>
      </c>
      <c r="C91" s="86" t="s">
        <v>393</v>
      </c>
      <c r="D91" s="4"/>
      <c r="E91" s="86" t="s">
        <v>392</v>
      </c>
      <c r="F91" s="13">
        <v>64.02</v>
      </c>
      <c r="G91" s="14">
        <f t="shared" ref="G91:G102" si="33">+F91*1000</f>
        <v>64019.999999999993</v>
      </c>
      <c r="H91" s="49">
        <v>30</v>
      </c>
      <c r="I91" s="83">
        <v>231401300725</v>
      </c>
      <c r="J91" s="85" t="s">
        <v>387</v>
      </c>
      <c r="K91" s="82" t="s">
        <v>448</v>
      </c>
      <c r="L91" s="4"/>
      <c r="M91" s="85" t="s">
        <v>433</v>
      </c>
      <c r="N91" s="82" t="s">
        <v>394</v>
      </c>
      <c r="O91" s="4"/>
      <c r="P91" s="4"/>
      <c r="Q91" s="5">
        <v>47000</v>
      </c>
      <c r="R91" s="36"/>
      <c r="S91" s="36"/>
      <c r="T91" s="37"/>
      <c r="U91" s="5">
        <f t="shared" ref="U91:U102" si="34">S91+R91+Q91-T91</f>
        <v>47000</v>
      </c>
      <c r="V91" s="5">
        <f t="shared" ref="V91:V102" si="35">F91*U91</f>
        <v>3008940</v>
      </c>
      <c r="W91" s="5">
        <f>V91*18%</f>
        <v>541609.19999999995</v>
      </c>
      <c r="X91" s="5"/>
      <c r="Y91" s="5"/>
      <c r="Z91" s="43"/>
      <c r="AA91" s="23">
        <f t="shared" ref="AA91:AA102" si="36">F91*Z91</f>
        <v>0</v>
      </c>
      <c r="AB91" s="43"/>
      <c r="AC91" s="43"/>
      <c r="AD91" s="46"/>
      <c r="AE91" s="5">
        <f t="shared" ref="AE91:AE102" si="37">+AB91+AA91+Y91+X91+W91+V91-AC91+AD91</f>
        <v>3550549.2</v>
      </c>
      <c r="AF91" s="47" t="s">
        <v>484</v>
      </c>
      <c r="AG91" s="44"/>
      <c r="AH91" s="13">
        <v>64.02</v>
      </c>
      <c r="AI91" s="12"/>
      <c r="AJ91" s="40"/>
      <c r="AK91" s="40"/>
    </row>
    <row r="92" spans="2:37" s="41" customFormat="1" ht="16.149999999999999" customHeight="1">
      <c r="B92" s="70" t="s">
        <v>75</v>
      </c>
      <c r="C92" s="82" t="s">
        <v>383</v>
      </c>
      <c r="D92" s="4"/>
      <c r="E92" s="86" t="s">
        <v>392</v>
      </c>
      <c r="F92" s="13">
        <v>63.98</v>
      </c>
      <c r="G92" s="14">
        <f t="shared" si="33"/>
        <v>63980</v>
      </c>
      <c r="H92" s="49">
        <v>30</v>
      </c>
      <c r="I92" s="83">
        <v>231401300726</v>
      </c>
      <c r="J92" s="85" t="s">
        <v>387</v>
      </c>
      <c r="K92" s="82" t="s">
        <v>449</v>
      </c>
      <c r="L92" s="4"/>
      <c r="M92" s="85" t="s">
        <v>433</v>
      </c>
      <c r="N92" s="82" t="s">
        <v>395</v>
      </c>
      <c r="O92" s="4"/>
      <c r="P92" s="4"/>
      <c r="Q92" s="5">
        <v>47000</v>
      </c>
      <c r="R92" s="36"/>
      <c r="S92" s="36"/>
      <c r="T92" s="37"/>
      <c r="U92" s="5">
        <f t="shared" si="34"/>
        <v>47000</v>
      </c>
      <c r="V92" s="5">
        <f t="shared" si="35"/>
        <v>3007060</v>
      </c>
      <c r="W92" s="5">
        <f>V92*18%</f>
        <v>541270.79999999993</v>
      </c>
      <c r="X92" s="5"/>
      <c r="Y92" s="5"/>
      <c r="Z92" s="43"/>
      <c r="AA92" s="23">
        <f t="shared" si="36"/>
        <v>0</v>
      </c>
      <c r="AB92" s="43"/>
      <c r="AC92" s="43"/>
      <c r="AD92" s="46"/>
      <c r="AE92" s="5">
        <f t="shared" si="37"/>
        <v>3548330.8</v>
      </c>
      <c r="AF92" s="47" t="s">
        <v>485</v>
      </c>
      <c r="AG92" s="44"/>
      <c r="AH92" s="13">
        <v>63.98</v>
      </c>
      <c r="AI92" s="12"/>
      <c r="AJ92" s="40"/>
      <c r="AK92" s="40"/>
    </row>
    <row r="93" spans="2:37" s="41" customFormat="1" ht="16.149999999999999" customHeight="1">
      <c r="B93" s="70"/>
      <c r="C93" s="70"/>
      <c r="D93" s="4"/>
      <c r="E93" s="86" t="s">
        <v>392</v>
      </c>
      <c r="F93" s="13">
        <v>63.88</v>
      </c>
      <c r="G93" s="14">
        <f t="shared" si="33"/>
        <v>63880</v>
      </c>
      <c r="H93" s="49">
        <v>30</v>
      </c>
      <c r="I93" s="83">
        <v>231401300727</v>
      </c>
      <c r="J93" s="85" t="s">
        <v>387</v>
      </c>
      <c r="K93" s="82" t="s">
        <v>450</v>
      </c>
      <c r="L93" s="4"/>
      <c r="M93" s="85" t="s">
        <v>433</v>
      </c>
      <c r="N93" s="82" t="s">
        <v>396</v>
      </c>
      <c r="O93" s="4"/>
      <c r="P93" s="4"/>
      <c r="Q93" s="5">
        <v>47000</v>
      </c>
      <c r="R93" s="36"/>
      <c r="S93" s="36"/>
      <c r="T93" s="37"/>
      <c r="U93" s="5">
        <f t="shared" si="34"/>
        <v>47000</v>
      </c>
      <c r="V93" s="5">
        <f t="shared" si="35"/>
        <v>3002360</v>
      </c>
      <c r="W93" s="5">
        <f t="shared" ref="W93:W102" si="38">V93*18%</f>
        <v>540424.79999999993</v>
      </c>
      <c r="X93" s="5"/>
      <c r="Y93" s="5"/>
      <c r="Z93" s="43"/>
      <c r="AA93" s="23">
        <f t="shared" si="36"/>
        <v>0</v>
      </c>
      <c r="AB93" s="43"/>
      <c r="AC93" s="43"/>
      <c r="AD93" s="46"/>
      <c r="AE93" s="5">
        <f t="shared" si="37"/>
        <v>3542784.8</v>
      </c>
      <c r="AF93" s="47" t="s">
        <v>486</v>
      </c>
      <c r="AG93" s="44"/>
      <c r="AH93" s="13">
        <v>63.88</v>
      </c>
      <c r="AI93" s="12"/>
      <c r="AJ93" s="40"/>
      <c r="AK93" s="40"/>
    </row>
    <row r="94" spans="2:37" s="41" customFormat="1" ht="16.149999999999999" customHeight="1">
      <c r="B94" s="12"/>
      <c r="C94" s="1"/>
      <c r="D94" s="4"/>
      <c r="E94" s="86" t="s">
        <v>392</v>
      </c>
      <c r="F94" s="13">
        <v>63.86</v>
      </c>
      <c r="G94" s="14">
        <f t="shared" si="33"/>
        <v>63860</v>
      </c>
      <c r="H94" s="49">
        <v>30</v>
      </c>
      <c r="I94" s="83">
        <v>231401300728</v>
      </c>
      <c r="J94" s="85" t="s">
        <v>387</v>
      </c>
      <c r="K94" s="82" t="s">
        <v>451</v>
      </c>
      <c r="L94" s="4"/>
      <c r="M94" s="85" t="s">
        <v>433</v>
      </c>
      <c r="N94" s="82" t="s">
        <v>397</v>
      </c>
      <c r="O94" s="4"/>
      <c r="P94" s="4"/>
      <c r="Q94" s="5">
        <v>47000</v>
      </c>
      <c r="R94" s="36"/>
      <c r="S94" s="36"/>
      <c r="T94" s="37"/>
      <c r="U94" s="5">
        <f t="shared" si="34"/>
        <v>47000</v>
      </c>
      <c r="V94" s="5">
        <f t="shared" si="35"/>
        <v>3001420</v>
      </c>
      <c r="W94" s="5">
        <f t="shared" si="38"/>
        <v>540255.6</v>
      </c>
      <c r="X94" s="5"/>
      <c r="Y94" s="5"/>
      <c r="Z94" s="43"/>
      <c r="AA94" s="23">
        <f t="shared" si="36"/>
        <v>0</v>
      </c>
      <c r="AB94" s="43"/>
      <c r="AC94" s="43"/>
      <c r="AD94" s="46"/>
      <c r="AE94" s="5">
        <f t="shared" si="37"/>
        <v>3541675.6</v>
      </c>
      <c r="AF94" s="47" t="s">
        <v>487</v>
      </c>
      <c r="AG94" s="44"/>
      <c r="AH94" s="13">
        <v>63.86</v>
      </c>
      <c r="AI94" s="12"/>
      <c r="AJ94" s="40"/>
      <c r="AK94" s="40"/>
    </row>
    <row r="95" spans="2:37" s="41" customFormat="1" ht="16.149999999999999" customHeight="1">
      <c r="B95" s="89"/>
      <c r="C95" s="1"/>
      <c r="D95" s="4"/>
      <c r="E95" s="86" t="s">
        <v>392</v>
      </c>
      <c r="F95" s="13">
        <v>63.98</v>
      </c>
      <c r="G95" s="14">
        <f t="shared" si="33"/>
        <v>63980</v>
      </c>
      <c r="H95" s="49">
        <v>30</v>
      </c>
      <c r="I95" s="83">
        <v>231401300729</v>
      </c>
      <c r="J95" s="85" t="s">
        <v>387</v>
      </c>
      <c r="K95" s="82" t="s">
        <v>452</v>
      </c>
      <c r="L95" s="4"/>
      <c r="M95" s="85" t="s">
        <v>427</v>
      </c>
      <c r="N95" s="82" t="s">
        <v>398</v>
      </c>
      <c r="O95" s="4"/>
      <c r="P95" s="4"/>
      <c r="Q95" s="5">
        <v>47000</v>
      </c>
      <c r="R95" s="36"/>
      <c r="S95" s="36"/>
      <c r="T95" s="37"/>
      <c r="U95" s="5">
        <f t="shared" si="34"/>
        <v>47000</v>
      </c>
      <c r="V95" s="5">
        <f t="shared" si="35"/>
        <v>3007060</v>
      </c>
      <c r="W95" s="5">
        <f t="shared" si="38"/>
        <v>541270.79999999993</v>
      </c>
      <c r="X95" s="5"/>
      <c r="Y95" s="5"/>
      <c r="Z95" s="43"/>
      <c r="AA95" s="23">
        <f t="shared" si="36"/>
        <v>0</v>
      </c>
      <c r="AB95" s="43"/>
      <c r="AC95" s="43"/>
      <c r="AD95" s="46"/>
      <c r="AE95" s="5">
        <f t="shared" si="37"/>
        <v>3548330.8</v>
      </c>
      <c r="AF95" s="47" t="s">
        <v>488</v>
      </c>
      <c r="AG95" s="44"/>
      <c r="AH95" s="13">
        <v>63.98</v>
      </c>
      <c r="AI95" s="12"/>
      <c r="AJ95" s="40"/>
      <c r="AK95" s="40"/>
    </row>
    <row r="96" spans="2:37" s="41" customFormat="1" ht="16.149999999999999" customHeight="1">
      <c r="B96" s="12"/>
      <c r="C96" s="1"/>
      <c r="D96" s="4"/>
      <c r="E96" s="86" t="s">
        <v>392</v>
      </c>
      <c r="F96" s="13">
        <v>64.08</v>
      </c>
      <c r="G96" s="14">
        <f t="shared" si="33"/>
        <v>64080</v>
      </c>
      <c r="H96" s="49">
        <v>30</v>
      </c>
      <c r="I96" s="83">
        <v>231401300730</v>
      </c>
      <c r="J96" s="85" t="s">
        <v>387</v>
      </c>
      <c r="K96" s="82" t="s">
        <v>453</v>
      </c>
      <c r="L96" s="4"/>
      <c r="M96" s="85" t="s">
        <v>433</v>
      </c>
      <c r="N96" s="87" t="s">
        <v>399</v>
      </c>
      <c r="O96" s="4"/>
      <c r="P96" s="4"/>
      <c r="Q96" s="5">
        <v>47000</v>
      </c>
      <c r="R96" s="36"/>
      <c r="S96" s="36"/>
      <c r="T96" s="37"/>
      <c r="U96" s="5">
        <f t="shared" si="34"/>
        <v>47000</v>
      </c>
      <c r="V96" s="5">
        <f t="shared" si="35"/>
        <v>3011760</v>
      </c>
      <c r="W96" s="5">
        <f t="shared" si="38"/>
        <v>542116.79999999993</v>
      </c>
      <c r="X96" s="5"/>
      <c r="Y96" s="5"/>
      <c r="Z96" s="43"/>
      <c r="AA96" s="23">
        <f t="shared" si="36"/>
        <v>0</v>
      </c>
      <c r="AB96" s="43"/>
      <c r="AC96" s="43"/>
      <c r="AD96" s="46"/>
      <c r="AE96" s="5">
        <f t="shared" si="37"/>
        <v>3553876.8</v>
      </c>
      <c r="AF96" s="47" t="s">
        <v>489</v>
      </c>
      <c r="AG96" s="44"/>
      <c r="AH96" s="13">
        <v>64.08</v>
      </c>
      <c r="AI96" s="12"/>
      <c r="AJ96" s="40"/>
      <c r="AK96" s="40"/>
    </row>
    <row r="97" spans="2:37" s="41" customFormat="1" ht="16.149999999999999" customHeight="1">
      <c r="B97" s="12"/>
      <c r="C97" s="1"/>
      <c r="D97" s="4"/>
      <c r="E97" s="86" t="s">
        <v>392</v>
      </c>
      <c r="F97" s="13">
        <v>63.94</v>
      </c>
      <c r="G97" s="14">
        <f t="shared" si="33"/>
        <v>63940</v>
      </c>
      <c r="H97" s="49">
        <v>30</v>
      </c>
      <c r="I97" s="83">
        <v>231401300731</v>
      </c>
      <c r="J97" s="85" t="s">
        <v>387</v>
      </c>
      <c r="K97" s="82" t="s">
        <v>454</v>
      </c>
      <c r="L97" s="4"/>
      <c r="M97" s="85" t="s">
        <v>431</v>
      </c>
      <c r="N97" s="87" t="s">
        <v>400</v>
      </c>
      <c r="O97" s="4"/>
      <c r="P97" s="4"/>
      <c r="Q97" s="5">
        <v>47000</v>
      </c>
      <c r="R97" s="36"/>
      <c r="S97" s="36"/>
      <c r="T97" s="37"/>
      <c r="U97" s="5">
        <f t="shared" si="34"/>
        <v>47000</v>
      </c>
      <c r="V97" s="5">
        <f t="shared" si="35"/>
        <v>3005180</v>
      </c>
      <c r="W97" s="5">
        <f t="shared" si="38"/>
        <v>540932.4</v>
      </c>
      <c r="X97" s="5"/>
      <c r="Y97" s="5"/>
      <c r="Z97" s="43"/>
      <c r="AA97" s="23">
        <f t="shared" si="36"/>
        <v>0</v>
      </c>
      <c r="AB97" s="43"/>
      <c r="AC97" s="43"/>
      <c r="AD97" s="46"/>
      <c r="AE97" s="5">
        <f t="shared" si="37"/>
        <v>3546112.4</v>
      </c>
      <c r="AF97" s="47" t="s">
        <v>490</v>
      </c>
      <c r="AG97" s="44"/>
      <c r="AH97" s="13">
        <v>63.94</v>
      </c>
      <c r="AI97" s="12"/>
      <c r="AJ97" s="40"/>
      <c r="AK97" s="40"/>
    </row>
    <row r="98" spans="2:37" s="41" customFormat="1" ht="16.149999999999999" customHeight="1">
      <c r="B98" s="12"/>
      <c r="C98" s="1"/>
      <c r="D98" s="4"/>
      <c r="E98" s="86" t="s">
        <v>392</v>
      </c>
      <c r="F98" s="13">
        <v>63.72</v>
      </c>
      <c r="G98" s="14">
        <f t="shared" si="33"/>
        <v>63720</v>
      </c>
      <c r="H98" s="49">
        <v>30</v>
      </c>
      <c r="I98" s="83">
        <v>231401300732</v>
      </c>
      <c r="J98" s="85" t="s">
        <v>387</v>
      </c>
      <c r="K98" s="82" t="s">
        <v>455</v>
      </c>
      <c r="L98" s="4"/>
      <c r="M98" s="85" t="s">
        <v>456</v>
      </c>
      <c r="N98" s="82" t="s">
        <v>401</v>
      </c>
      <c r="O98" s="4"/>
      <c r="P98" s="4"/>
      <c r="Q98" s="5">
        <v>47000</v>
      </c>
      <c r="R98" s="36"/>
      <c r="S98" s="36"/>
      <c r="T98" s="37"/>
      <c r="U98" s="5">
        <f t="shared" si="34"/>
        <v>47000</v>
      </c>
      <c r="V98" s="5">
        <f t="shared" si="35"/>
        <v>2994840</v>
      </c>
      <c r="W98" s="5">
        <f t="shared" si="38"/>
        <v>539071.19999999995</v>
      </c>
      <c r="X98" s="5"/>
      <c r="Y98" s="5"/>
      <c r="Z98" s="43"/>
      <c r="AA98" s="23">
        <f t="shared" si="36"/>
        <v>0</v>
      </c>
      <c r="AB98" s="43"/>
      <c r="AC98" s="43"/>
      <c r="AD98" s="46"/>
      <c r="AE98" s="5">
        <f t="shared" si="37"/>
        <v>3533911.2</v>
      </c>
      <c r="AF98" s="47" t="s">
        <v>491</v>
      </c>
      <c r="AG98" s="44"/>
      <c r="AH98" s="13">
        <v>63.72</v>
      </c>
      <c r="AI98" s="12"/>
      <c r="AJ98" s="40"/>
      <c r="AK98" s="40"/>
    </row>
    <row r="99" spans="2:37" s="41" customFormat="1" ht="16.149999999999999" customHeight="1">
      <c r="B99" s="12"/>
      <c r="C99" s="1"/>
      <c r="D99" s="4"/>
      <c r="E99" s="86" t="s">
        <v>392</v>
      </c>
      <c r="F99" s="13">
        <v>63.96</v>
      </c>
      <c r="G99" s="14">
        <f t="shared" si="33"/>
        <v>63960</v>
      </c>
      <c r="H99" s="49">
        <v>30</v>
      </c>
      <c r="I99" s="83">
        <v>231401300733</v>
      </c>
      <c r="J99" s="85" t="s">
        <v>387</v>
      </c>
      <c r="K99" s="82" t="s">
        <v>457</v>
      </c>
      <c r="L99" s="4"/>
      <c r="M99" s="85" t="s">
        <v>456</v>
      </c>
      <c r="N99" s="83" t="s">
        <v>402</v>
      </c>
      <c r="O99" s="4"/>
      <c r="P99" s="4"/>
      <c r="Q99" s="5">
        <v>47000</v>
      </c>
      <c r="R99" s="36"/>
      <c r="S99" s="36"/>
      <c r="T99" s="37"/>
      <c r="U99" s="5">
        <f t="shared" si="34"/>
        <v>47000</v>
      </c>
      <c r="V99" s="5">
        <f t="shared" si="35"/>
        <v>3006120</v>
      </c>
      <c r="W99" s="5">
        <f t="shared" si="38"/>
        <v>541101.6</v>
      </c>
      <c r="X99" s="5"/>
      <c r="Y99" s="5"/>
      <c r="Z99" s="43"/>
      <c r="AA99" s="23">
        <f t="shared" si="36"/>
        <v>0</v>
      </c>
      <c r="AB99" s="43"/>
      <c r="AC99" s="43"/>
      <c r="AD99" s="46"/>
      <c r="AE99" s="5">
        <f t="shared" si="37"/>
        <v>3547221.6</v>
      </c>
      <c r="AF99" s="47" t="s">
        <v>492</v>
      </c>
      <c r="AG99" s="44"/>
      <c r="AH99" s="13">
        <v>63.96</v>
      </c>
      <c r="AI99" s="12"/>
      <c r="AJ99" s="40"/>
      <c r="AK99" s="40"/>
    </row>
    <row r="100" spans="2:37" s="41" customFormat="1" ht="16.149999999999999" customHeight="1">
      <c r="B100" s="91"/>
      <c r="C100" s="1"/>
      <c r="D100" s="4"/>
      <c r="E100" s="86" t="s">
        <v>392</v>
      </c>
      <c r="F100" s="13">
        <v>63.98</v>
      </c>
      <c r="G100" s="14">
        <f t="shared" si="33"/>
        <v>63980</v>
      </c>
      <c r="H100" s="49">
        <v>30</v>
      </c>
      <c r="I100" s="83">
        <v>231401300734</v>
      </c>
      <c r="J100" s="85" t="s">
        <v>387</v>
      </c>
      <c r="K100" s="82" t="s">
        <v>458</v>
      </c>
      <c r="L100" s="4"/>
      <c r="M100" s="85" t="s">
        <v>427</v>
      </c>
      <c r="N100" s="82" t="s">
        <v>403</v>
      </c>
      <c r="O100" s="4"/>
      <c r="P100" s="4"/>
      <c r="Q100" s="5">
        <v>47000</v>
      </c>
      <c r="R100" s="36"/>
      <c r="S100" s="36"/>
      <c r="T100" s="37"/>
      <c r="U100" s="5">
        <f t="shared" si="34"/>
        <v>47000</v>
      </c>
      <c r="V100" s="5">
        <f t="shared" si="35"/>
        <v>3007060</v>
      </c>
      <c r="W100" s="5">
        <f t="shared" si="38"/>
        <v>541270.79999999993</v>
      </c>
      <c r="X100" s="5"/>
      <c r="Y100" s="5"/>
      <c r="Z100" s="43"/>
      <c r="AA100" s="23">
        <f t="shared" si="36"/>
        <v>0</v>
      </c>
      <c r="AB100" s="43"/>
      <c r="AC100" s="43"/>
      <c r="AD100" s="46"/>
      <c r="AE100" s="5">
        <f t="shared" si="37"/>
        <v>3548330.8</v>
      </c>
      <c r="AF100" s="47" t="s">
        <v>493</v>
      </c>
      <c r="AG100" s="44"/>
      <c r="AH100" s="13">
        <v>63.98</v>
      </c>
      <c r="AI100" s="12"/>
      <c r="AJ100" s="40"/>
      <c r="AK100" s="40"/>
    </row>
    <row r="101" spans="2:37" s="41" customFormat="1" ht="16.149999999999999" customHeight="1">
      <c r="B101" s="12"/>
      <c r="C101" s="1"/>
      <c r="D101" s="4"/>
      <c r="E101" s="86" t="s">
        <v>392</v>
      </c>
      <c r="F101" s="13">
        <v>63.92</v>
      </c>
      <c r="G101" s="14">
        <f t="shared" si="33"/>
        <v>63920</v>
      </c>
      <c r="H101" s="49">
        <v>30</v>
      </c>
      <c r="I101" s="83">
        <v>231401300735</v>
      </c>
      <c r="J101" s="85" t="s">
        <v>387</v>
      </c>
      <c r="K101" s="82" t="s">
        <v>459</v>
      </c>
      <c r="L101" s="4"/>
      <c r="M101" s="85" t="s">
        <v>427</v>
      </c>
      <c r="N101" s="82" t="s">
        <v>404</v>
      </c>
      <c r="O101" s="4"/>
      <c r="P101" s="4"/>
      <c r="Q101" s="5">
        <v>47000</v>
      </c>
      <c r="R101" s="36"/>
      <c r="S101" s="36"/>
      <c r="T101" s="37"/>
      <c r="U101" s="5">
        <f t="shared" si="34"/>
        <v>47000</v>
      </c>
      <c r="V101" s="5">
        <f t="shared" si="35"/>
        <v>3004240</v>
      </c>
      <c r="W101" s="5">
        <f t="shared" si="38"/>
        <v>540763.19999999995</v>
      </c>
      <c r="X101" s="5"/>
      <c r="Y101" s="5"/>
      <c r="Z101" s="43"/>
      <c r="AA101" s="23">
        <f t="shared" si="36"/>
        <v>0</v>
      </c>
      <c r="AB101" s="43"/>
      <c r="AC101" s="43"/>
      <c r="AD101" s="46"/>
      <c r="AE101" s="5">
        <f t="shared" si="37"/>
        <v>3545003.2</v>
      </c>
      <c r="AF101" s="47" t="s">
        <v>494</v>
      </c>
      <c r="AG101" s="44"/>
      <c r="AH101" s="13">
        <v>63.92</v>
      </c>
      <c r="AI101" s="12"/>
      <c r="AJ101" s="40"/>
      <c r="AK101" s="40"/>
    </row>
    <row r="102" spans="2:37" s="41" customFormat="1" ht="16.149999999999999" customHeight="1">
      <c r="B102" s="12"/>
      <c r="C102" s="1"/>
      <c r="D102" s="4"/>
      <c r="E102" s="86" t="s">
        <v>392</v>
      </c>
      <c r="F102" s="13">
        <v>63.78</v>
      </c>
      <c r="G102" s="14">
        <f t="shared" si="33"/>
        <v>63780</v>
      </c>
      <c r="H102" s="49">
        <v>30</v>
      </c>
      <c r="I102" s="83">
        <v>231401300736</v>
      </c>
      <c r="J102" s="85" t="s">
        <v>387</v>
      </c>
      <c r="K102" s="82" t="s">
        <v>460</v>
      </c>
      <c r="L102" s="4"/>
      <c r="M102" s="85" t="s">
        <v>431</v>
      </c>
      <c r="N102" s="87" t="s">
        <v>405</v>
      </c>
      <c r="O102" s="4"/>
      <c r="P102" s="4"/>
      <c r="Q102" s="5">
        <v>47000</v>
      </c>
      <c r="R102" s="36"/>
      <c r="S102" s="36"/>
      <c r="T102" s="37"/>
      <c r="U102" s="5">
        <f t="shared" si="34"/>
        <v>47000</v>
      </c>
      <c r="V102" s="5">
        <f t="shared" si="35"/>
        <v>2997660</v>
      </c>
      <c r="W102" s="5">
        <f t="shared" si="38"/>
        <v>539578.79999999993</v>
      </c>
      <c r="X102" s="5"/>
      <c r="Y102" s="5"/>
      <c r="Z102" s="43"/>
      <c r="AA102" s="23">
        <f t="shared" si="36"/>
        <v>0</v>
      </c>
      <c r="AB102" s="43"/>
      <c r="AC102" s="43"/>
      <c r="AD102" s="46"/>
      <c r="AE102" s="5">
        <f t="shared" si="37"/>
        <v>3537238.8</v>
      </c>
      <c r="AF102" s="47" t="s">
        <v>495</v>
      </c>
      <c r="AG102" s="44"/>
      <c r="AH102" s="13">
        <v>63.78</v>
      </c>
      <c r="AI102" s="12"/>
      <c r="AJ102" s="40"/>
      <c r="AK102" s="40"/>
    </row>
    <row r="103" spans="2:37" s="41" customFormat="1">
      <c r="B103" s="92"/>
      <c r="C103" s="48"/>
      <c r="D103" s="6"/>
      <c r="E103" s="6"/>
      <c r="F103" s="81">
        <f>SUM(F91:F102)</f>
        <v>767.1</v>
      </c>
      <c r="G103" s="20">
        <f>SUM(G91:G102)</f>
        <v>767100</v>
      </c>
      <c r="H103" s="78">
        <f>SUM(H91:H102)</f>
        <v>360</v>
      </c>
      <c r="I103" s="2"/>
      <c r="J103" s="7"/>
      <c r="K103" s="7"/>
      <c r="L103" s="7"/>
      <c r="M103" s="2"/>
      <c r="N103" s="6"/>
      <c r="O103" s="6"/>
      <c r="P103" s="6"/>
      <c r="Q103" s="19"/>
      <c r="R103" s="9"/>
      <c r="S103" s="9"/>
      <c r="T103" s="10"/>
      <c r="U103" s="8"/>
      <c r="V103" s="21">
        <f>SUM(V91:V102)</f>
        <v>36053700</v>
      </c>
      <c r="W103" s="21">
        <f>SUM(W91:W102)</f>
        <v>6489665.9999999991</v>
      </c>
      <c r="X103" s="21">
        <f>SUM(X91:X100)</f>
        <v>0</v>
      </c>
      <c r="Y103" s="21">
        <f>SUM(Y91:Y100)</f>
        <v>0</v>
      </c>
      <c r="Z103" s="21">
        <f>SUM(Z91:Z100)</f>
        <v>0</v>
      </c>
      <c r="AA103" s="21">
        <f>SUM(AA91:AA102)</f>
        <v>0</v>
      </c>
      <c r="AB103" s="21">
        <f>SUM(AB91:AB100)</f>
        <v>0</v>
      </c>
      <c r="AC103" s="21">
        <f>SUM(AC91:AC100)</f>
        <v>0</v>
      </c>
      <c r="AD103" s="21">
        <f>SUM(AD91:AD100)</f>
        <v>0</v>
      </c>
      <c r="AE103" s="21">
        <f>SUM(AE91:AE102)</f>
        <v>42543366</v>
      </c>
      <c r="AF103" s="21"/>
      <c r="AG103" s="42"/>
      <c r="AH103" s="81">
        <f>SUM(AH91:AH102)</f>
        <v>767.1</v>
      </c>
      <c r="AI103" s="26">
        <f>AH103-F103</f>
        <v>0</v>
      </c>
      <c r="AJ103" s="41">
        <f>AA103/F103</f>
        <v>0</v>
      </c>
      <c r="AK103" s="40"/>
    </row>
    <row r="104" spans="2:37" s="41" customFormat="1" ht="16.149999999999999" customHeight="1">
      <c r="B104" s="86" t="s">
        <v>382</v>
      </c>
      <c r="C104" s="86" t="s">
        <v>393</v>
      </c>
      <c r="D104" s="4"/>
      <c r="E104" s="1" t="s">
        <v>35</v>
      </c>
      <c r="F104" s="13">
        <v>63.08</v>
      </c>
      <c r="G104" s="14">
        <f t="shared" ref="G104:G108" si="39">+F104*1000</f>
        <v>63080</v>
      </c>
      <c r="H104" s="49">
        <v>30</v>
      </c>
      <c r="I104" s="83">
        <v>231401300737</v>
      </c>
      <c r="J104" s="85" t="s">
        <v>387</v>
      </c>
      <c r="K104" s="82" t="s">
        <v>461</v>
      </c>
      <c r="L104" s="4"/>
      <c r="M104" s="85" t="s">
        <v>433</v>
      </c>
      <c r="N104" s="87" t="s">
        <v>406</v>
      </c>
      <c r="O104" s="4"/>
      <c r="P104" s="4"/>
      <c r="Q104" s="5">
        <v>49000</v>
      </c>
      <c r="R104" s="36"/>
      <c r="S104" s="36"/>
      <c r="T104" s="37"/>
      <c r="U104" s="5">
        <f t="shared" ref="U104:U108" si="40">S104+R104+Q104-T104</f>
        <v>49000</v>
      </c>
      <c r="V104" s="5">
        <f t="shared" ref="V104:V108" si="41">F104*U104</f>
        <v>3090920</v>
      </c>
      <c r="W104" s="5">
        <f>V104*18%</f>
        <v>556365.6</v>
      </c>
      <c r="X104" s="5"/>
      <c r="Y104" s="5"/>
      <c r="Z104" s="43"/>
      <c r="AA104" s="23">
        <f t="shared" ref="AA104:AA108" si="42">F104*Z104</f>
        <v>0</v>
      </c>
      <c r="AB104" s="43"/>
      <c r="AC104" s="43"/>
      <c r="AD104" s="46"/>
      <c r="AE104" s="5">
        <f t="shared" ref="AE104:AE108" si="43">+AB104+AA104+Y104+X104+W104+V104-AC104+AD104</f>
        <v>3647285.6</v>
      </c>
      <c r="AF104" s="47" t="s">
        <v>496</v>
      </c>
      <c r="AG104" s="44"/>
      <c r="AH104" s="13">
        <v>63.08</v>
      </c>
      <c r="AI104" s="12"/>
      <c r="AJ104" s="40"/>
      <c r="AK104" s="40"/>
    </row>
    <row r="105" spans="2:37" s="41" customFormat="1" ht="16.149999999999999" customHeight="1">
      <c r="B105" s="70" t="s">
        <v>75</v>
      </c>
      <c r="C105" s="82" t="s">
        <v>383</v>
      </c>
      <c r="D105" s="4"/>
      <c r="E105" s="1" t="s">
        <v>35</v>
      </c>
      <c r="F105" s="13">
        <v>63.08</v>
      </c>
      <c r="G105" s="14">
        <f t="shared" si="39"/>
        <v>63080</v>
      </c>
      <c r="H105" s="49">
        <v>30</v>
      </c>
      <c r="I105" s="83">
        <v>231401300738</v>
      </c>
      <c r="J105" s="85" t="s">
        <v>387</v>
      </c>
      <c r="K105" s="82" t="s">
        <v>462</v>
      </c>
      <c r="L105" s="4"/>
      <c r="M105" s="85" t="s">
        <v>433</v>
      </c>
      <c r="N105" s="82" t="s">
        <v>407</v>
      </c>
      <c r="O105" s="4"/>
      <c r="P105" s="4"/>
      <c r="Q105" s="5">
        <v>49000</v>
      </c>
      <c r="R105" s="36"/>
      <c r="S105" s="36"/>
      <c r="T105" s="37"/>
      <c r="U105" s="5">
        <f t="shared" si="40"/>
        <v>49000</v>
      </c>
      <c r="V105" s="5">
        <f t="shared" si="41"/>
        <v>3090920</v>
      </c>
      <c r="W105" s="5">
        <f>V105*18%</f>
        <v>556365.6</v>
      </c>
      <c r="X105" s="5"/>
      <c r="Y105" s="5"/>
      <c r="Z105" s="43"/>
      <c r="AA105" s="23">
        <f t="shared" si="42"/>
        <v>0</v>
      </c>
      <c r="AB105" s="43"/>
      <c r="AC105" s="43"/>
      <c r="AD105" s="46"/>
      <c r="AE105" s="5">
        <f t="shared" si="43"/>
        <v>3647285.6</v>
      </c>
      <c r="AF105" s="47" t="s">
        <v>497</v>
      </c>
      <c r="AG105" s="44"/>
      <c r="AH105" s="13">
        <v>63.08</v>
      </c>
      <c r="AI105" s="12"/>
      <c r="AJ105" s="40"/>
      <c r="AK105" s="40"/>
    </row>
    <row r="106" spans="2:37" s="41" customFormat="1" ht="16.149999999999999" customHeight="1">
      <c r="B106" s="70"/>
      <c r="C106" s="70" t="s">
        <v>411</v>
      </c>
      <c r="D106" s="4"/>
      <c r="E106" s="1" t="s">
        <v>35</v>
      </c>
      <c r="F106" s="13">
        <v>63.18</v>
      </c>
      <c r="G106" s="14">
        <f t="shared" si="39"/>
        <v>63180</v>
      </c>
      <c r="H106" s="49">
        <v>30</v>
      </c>
      <c r="I106" s="83">
        <v>231401300739</v>
      </c>
      <c r="J106" s="85" t="s">
        <v>387</v>
      </c>
      <c r="K106" s="82" t="s">
        <v>463</v>
      </c>
      <c r="L106" s="4"/>
      <c r="M106" s="85" t="s">
        <v>427</v>
      </c>
      <c r="N106" s="82" t="s">
        <v>408</v>
      </c>
      <c r="O106" s="4"/>
      <c r="P106" s="4"/>
      <c r="Q106" s="5">
        <v>49000</v>
      </c>
      <c r="R106" s="36"/>
      <c r="S106" s="36"/>
      <c r="T106" s="37"/>
      <c r="U106" s="5">
        <f t="shared" si="40"/>
        <v>49000</v>
      </c>
      <c r="V106" s="5">
        <f t="shared" si="41"/>
        <v>3095820</v>
      </c>
      <c r="W106" s="5">
        <f t="shared" ref="W106:W108" si="44">V106*18%</f>
        <v>557247.6</v>
      </c>
      <c r="X106" s="5"/>
      <c r="Y106" s="5"/>
      <c r="Z106" s="43"/>
      <c r="AA106" s="23">
        <f t="shared" si="42"/>
        <v>0</v>
      </c>
      <c r="AB106" s="43"/>
      <c r="AC106" s="43"/>
      <c r="AD106" s="46"/>
      <c r="AE106" s="5">
        <f t="shared" si="43"/>
        <v>3653067.6</v>
      </c>
      <c r="AF106" s="47" t="s">
        <v>498</v>
      </c>
      <c r="AG106" s="44"/>
      <c r="AH106" s="13">
        <v>63.18</v>
      </c>
      <c r="AI106" s="12"/>
      <c r="AJ106" s="40"/>
      <c r="AK106" s="40"/>
    </row>
    <row r="107" spans="2:37" s="41" customFormat="1" ht="16.149999999999999" customHeight="1">
      <c r="B107" s="12"/>
      <c r="C107" s="1"/>
      <c r="D107" s="4"/>
      <c r="E107" s="1" t="s">
        <v>35</v>
      </c>
      <c r="F107" s="13">
        <v>63.18</v>
      </c>
      <c r="G107" s="14">
        <f t="shared" si="39"/>
        <v>63180</v>
      </c>
      <c r="H107" s="49">
        <v>30</v>
      </c>
      <c r="I107" s="83">
        <v>231401300740</v>
      </c>
      <c r="J107" s="85" t="s">
        <v>387</v>
      </c>
      <c r="K107" s="82" t="s">
        <v>464</v>
      </c>
      <c r="L107" s="4"/>
      <c r="M107" s="85" t="s">
        <v>431</v>
      </c>
      <c r="N107" s="82" t="s">
        <v>409</v>
      </c>
      <c r="O107" s="4"/>
      <c r="P107" s="4"/>
      <c r="Q107" s="5">
        <v>49000</v>
      </c>
      <c r="R107" s="36"/>
      <c r="S107" s="36"/>
      <c r="T107" s="37"/>
      <c r="U107" s="5">
        <f t="shared" si="40"/>
        <v>49000</v>
      </c>
      <c r="V107" s="5">
        <f t="shared" si="41"/>
        <v>3095820</v>
      </c>
      <c r="W107" s="5">
        <f t="shared" si="44"/>
        <v>557247.6</v>
      </c>
      <c r="X107" s="5"/>
      <c r="Y107" s="5"/>
      <c r="Z107" s="43"/>
      <c r="AA107" s="23">
        <f t="shared" si="42"/>
        <v>0</v>
      </c>
      <c r="AB107" s="43"/>
      <c r="AC107" s="43"/>
      <c r="AD107" s="46"/>
      <c r="AE107" s="5">
        <f t="shared" si="43"/>
        <v>3653067.6</v>
      </c>
      <c r="AF107" s="47" t="s">
        <v>499</v>
      </c>
      <c r="AG107" s="44"/>
      <c r="AH107" s="13">
        <v>63.18</v>
      </c>
      <c r="AI107" s="12"/>
      <c r="AJ107" s="40"/>
      <c r="AK107" s="40"/>
    </row>
    <row r="108" spans="2:37" s="41" customFormat="1" ht="16.149999999999999" customHeight="1">
      <c r="B108" s="89"/>
      <c r="C108" s="1"/>
      <c r="D108" s="4"/>
      <c r="E108" s="1" t="s">
        <v>35</v>
      </c>
      <c r="F108" s="13">
        <v>63.14</v>
      </c>
      <c r="G108" s="14">
        <f t="shared" si="39"/>
        <v>63140</v>
      </c>
      <c r="H108" s="49">
        <v>30</v>
      </c>
      <c r="I108" s="83">
        <v>231401300746</v>
      </c>
      <c r="J108" s="85" t="s">
        <v>387</v>
      </c>
      <c r="K108" s="82" t="s">
        <v>465</v>
      </c>
      <c r="L108" s="4"/>
      <c r="M108" s="85" t="s">
        <v>433</v>
      </c>
      <c r="N108" s="82" t="s">
        <v>416</v>
      </c>
      <c r="O108" s="4"/>
      <c r="P108" s="4"/>
      <c r="Q108" s="5">
        <v>49000</v>
      </c>
      <c r="R108" s="36"/>
      <c r="S108" s="36"/>
      <c r="T108" s="37"/>
      <c r="U108" s="5">
        <f t="shared" si="40"/>
        <v>49000</v>
      </c>
      <c r="V108" s="5">
        <f t="shared" si="41"/>
        <v>3093860</v>
      </c>
      <c r="W108" s="5">
        <f t="shared" si="44"/>
        <v>556894.79999999993</v>
      </c>
      <c r="X108" s="5"/>
      <c r="Y108" s="5"/>
      <c r="Z108" s="43"/>
      <c r="AA108" s="23">
        <f t="shared" si="42"/>
        <v>0</v>
      </c>
      <c r="AB108" s="43"/>
      <c r="AC108" s="43"/>
      <c r="AD108" s="46"/>
      <c r="AE108" s="5">
        <f t="shared" si="43"/>
        <v>3650754.8</v>
      </c>
      <c r="AF108" s="47" t="s">
        <v>500</v>
      </c>
      <c r="AG108" s="44"/>
      <c r="AH108" s="13">
        <v>63.14</v>
      </c>
      <c r="AI108" s="12"/>
      <c r="AJ108" s="40"/>
      <c r="AK108" s="40"/>
    </row>
    <row r="109" spans="2:37" s="41" customFormat="1">
      <c r="B109" s="92"/>
      <c r="C109" s="48"/>
      <c r="D109" s="6"/>
      <c r="E109" s="6"/>
      <c r="F109" s="81">
        <f>SUM(F104:F108)</f>
        <v>315.66000000000003</v>
      </c>
      <c r="G109" s="20">
        <f>SUM(G104:G108)</f>
        <v>315660</v>
      </c>
      <c r="H109" s="78">
        <f>SUM(H104:H108)</f>
        <v>150</v>
      </c>
      <c r="I109" s="2"/>
      <c r="J109" s="7"/>
      <c r="K109" s="7"/>
      <c r="L109" s="7"/>
      <c r="M109" s="2"/>
      <c r="N109" s="6"/>
      <c r="O109" s="6"/>
      <c r="P109" s="6"/>
      <c r="Q109" s="19"/>
      <c r="R109" s="9"/>
      <c r="S109" s="9"/>
      <c r="T109" s="10"/>
      <c r="U109" s="8"/>
      <c r="V109" s="21">
        <f t="shared" ref="V109:AE109" si="45">SUM(V104:V108)</f>
        <v>15467340</v>
      </c>
      <c r="W109" s="21">
        <f t="shared" si="45"/>
        <v>2784121.1999999997</v>
      </c>
      <c r="X109" s="21">
        <f t="shared" si="45"/>
        <v>0</v>
      </c>
      <c r="Y109" s="21">
        <f t="shared" si="45"/>
        <v>0</v>
      </c>
      <c r="Z109" s="21">
        <f t="shared" si="45"/>
        <v>0</v>
      </c>
      <c r="AA109" s="21">
        <f t="shared" si="45"/>
        <v>0</v>
      </c>
      <c r="AB109" s="21">
        <f t="shared" si="45"/>
        <v>0</v>
      </c>
      <c r="AC109" s="21">
        <f t="shared" si="45"/>
        <v>0</v>
      </c>
      <c r="AD109" s="21">
        <f t="shared" si="45"/>
        <v>0</v>
      </c>
      <c r="AE109" s="21">
        <f t="shared" si="45"/>
        <v>18251461.199999999</v>
      </c>
      <c r="AF109" s="21"/>
      <c r="AG109" s="42"/>
      <c r="AH109" s="27">
        <f>SUM(AH104:AH108)</f>
        <v>315.66000000000003</v>
      </c>
      <c r="AI109" s="26">
        <f>AH109-F109</f>
        <v>0</v>
      </c>
      <c r="AJ109" s="41">
        <f>AA109/F109</f>
        <v>0</v>
      </c>
      <c r="AK109" s="40"/>
    </row>
    <row r="110" spans="2:37" s="41" customFormat="1">
      <c r="B110" s="92"/>
      <c r="C110" s="48"/>
      <c r="D110" s="6"/>
      <c r="E110" s="6"/>
      <c r="F110" s="81"/>
      <c r="G110" s="20"/>
      <c r="H110" s="78"/>
      <c r="I110" s="2"/>
      <c r="J110" s="7"/>
      <c r="K110" s="7"/>
      <c r="L110" s="7"/>
      <c r="M110" s="2"/>
      <c r="N110" s="6"/>
      <c r="O110" s="6"/>
      <c r="P110" s="6"/>
      <c r="Q110" s="19"/>
      <c r="R110" s="9"/>
      <c r="S110" s="9"/>
      <c r="T110" s="10"/>
      <c r="U110" s="8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42"/>
      <c r="AH110" s="27"/>
      <c r="AI110" s="26"/>
      <c r="AK110" s="40"/>
    </row>
    <row r="111" spans="2:37">
      <c r="B111" s="15"/>
      <c r="C111" s="18"/>
      <c r="D111" s="11"/>
      <c r="E111" s="18" t="s">
        <v>16</v>
      </c>
      <c r="F111" s="16">
        <f>SUM(F3:F109)/2</f>
        <v>3986.335</v>
      </c>
      <c r="G111" s="17">
        <f>SUM(G3:G109)/2</f>
        <v>3986335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7"/>
      <c r="V111" s="17">
        <f>SUM(V3:V109)/2</f>
        <v>207849359</v>
      </c>
      <c r="W111" s="17">
        <f>SUM(W3:W109)/2</f>
        <v>37412884.619999975</v>
      </c>
      <c r="X111" s="17"/>
      <c r="Y111" s="22"/>
      <c r="Z111" s="17"/>
      <c r="AA111" s="17">
        <f>SUM(AA3:AA109)/2</f>
        <v>0</v>
      </c>
      <c r="AB111" s="17">
        <f>SUM(AB3:AB109)/2</f>
        <v>0</v>
      </c>
      <c r="AC111" s="22"/>
      <c r="AD111" s="17"/>
      <c r="AE111" s="17">
        <f>SUM(AE3:AE109)/2</f>
        <v>245262243.62000009</v>
      </c>
      <c r="AF111" s="17"/>
      <c r="AG111" s="16"/>
      <c r="AH111" s="17">
        <f>SUM(AH3:AH109)/2</f>
        <v>3986.1550000000002</v>
      </c>
      <c r="AI111" s="26">
        <f>AH111-F111</f>
        <v>-0.17999999999983629</v>
      </c>
    </row>
    <row r="114" spans="6:6">
      <c r="F114" s="59">
        <f>+F109+F103+F90+F70+F54+F15+F9</f>
        <v>3986.335</v>
      </c>
    </row>
    <row r="119" spans="6:6">
      <c r="F119" s="90"/>
    </row>
  </sheetData>
  <mergeCells count="1">
    <mergeCell ref="AF1:AG1"/>
  </mergeCells>
  <pageMargins left="0.33" right="0.196850393700787" top="0.2" bottom="0.26" header="0.2" footer="0.31496062992126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92"/>
  <sheetViews>
    <sheetView showZeros="0" zoomScale="85" zoomScaleNormal="85" workbookViewId="0">
      <pane xSplit="14" ySplit="2" topLeftCell="AH12" activePane="bottomRight" state="frozen"/>
      <selection pane="topRight" activeCell="O1" sqref="O1"/>
      <selection pane="bottomLeft" activeCell="A3" sqref="A3"/>
      <selection pane="bottomRight" activeCell="K93" sqref="K93"/>
    </sheetView>
  </sheetViews>
  <sheetFormatPr defaultRowHeight="15"/>
  <cols>
    <col min="1" max="1" width="2" style="38" customWidth="1"/>
    <col min="2" max="2" width="28.85546875" style="38" bestFit="1" customWidth="1"/>
    <col min="3" max="3" width="16.5703125" style="38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6.42578125" style="38" bestFit="1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+F84</f>
        <v>1586.9059999999993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02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" t="s">
        <v>70</v>
      </c>
      <c r="C3" s="86" t="s">
        <v>225</v>
      </c>
      <c r="D3" s="4"/>
      <c r="E3" s="1" t="s">
        <v>35</v>
      </c>
      <c r="F3" s="13">
        <v>2.125</v>
      </c>
      <c r="G3" s="14">
        <f t="shared" ref="G3:G6" si="0">+F3*1000</f>
        <v>2125</v>
      </c>
      <c r="H3" s="49">
        <v>1</v>
      </c>
      <c r="I3" s="83" t="s">
        <v>301</v>
      </c>
      <c r="J3" s="85" t="s">
        <v>228</v>
      </c>
      <c r="K3" s="82" t="s">
        <v>327</v>
      </c>
      <c r="L3" s="4"/>
      <c r="M3" s="85" t="s">
        <v>324</v>
      </c>
      <c r="N3" s="82" t="s">
        <v>317</v>
      </c>
      <c r="O3" s="4"/>
      <c r="P3" s="4"/>
      <c r="Q3" s="5">
        <v>57280</v>
      </c>
      <c r="R3" s="36"/>
      <c r="S3" s="36"/>
      <c r="T3" s="37"/>
      <c r="U3" s="5">
        <f t="shared" ref="U3:U6" si="1">S3+R3+Q3-T3</f>
        <v>57280</v>
      </c>
      <c r="V3" s="5">
        <f t="shared" ref="V3:V6" si="2">F3*U3</f>
        <v>121720</v>
      </c>
      <c r="W3" s="5">
        <f t="shared" ref="W3:W6" si="3">V3*18%</f>
        <v>21909.599999999999</v>
      </c>
      <c r="X3" s="5"/>
      <c r="Y3" s="5"/>
      <c r="Z3" s="43"/>
      <c r="AA3" s="23">
        <f t="shared" ref="AA3:AA6" si="4">F3*Z3</f>
        <v>0</v>
      </c>
      <c r="AB3" s="43"/>
      <c r="AC3" s="43"/>
      <c r="AD3" s="46"/>
      <c r="AE3" s="5">
        <f t="shared" ref="AE3:AE6" si="5">+AB3+AA3+Y3+X3+W3+V3-AC3+AD3</f>
        <v>143629.6</v>
      </c>
      <c r="AF3" s="47" t="s">
        <v>855</v>
      </c>
      <c r="AG3" s="44" t="s">
        <v>802</v>
      </c>
      <c r="AH3" s="13">
        <v>2.125</v>
      </c>
      <c r="AI3" s="12"/>
      <c r="AJ3" s="40"/>
      <c r="AK3" s="40"/>
    </row>
    <row r="4" spans="2:41" s="41" customFormat="1" ht="16.149999999999999" customHeight="1">
      <c r="B4" s="1" t="s">
        <v>39</v>
      </c>
      <c r="C4" s="82" t="s">
        <v>226</v>
      </c>
      <c r="D4" s="4"/>
      <c r="E4" s="1"/>
      <c r="F4" s="13"/>
      <c r="G4" s="14">
        <f t="shared" si="0"/>
        <v>0</v>
      </c>
      <c r="H4" s="49"/>
      <c r="I4" s="83"/>
      <c r="J4" s="85"/>
      <c r="K4" s="4"/>
      <c r="L4" s="4"/>
      <c r="M4" s="85"/>
      <c r="N4" s="82"/>
      <c r="O4" s="4"/>
      <c r="P4" s="4"/>
      <c r="Q4" s="5"/>
      <c r="R4" s="36"/>
      <c r="S4" s="36"/>
      <c r="T4" s="37"/>
      <c r="U4" s="5">
        <f t="shared" si="1"/>
        <v>0</v>
      </c>
      <c r="V4" s="5">
        <f t="shared" si="2"/>
        <v>0</v>
      </c>
      <c r="W4" s="5">
        <f t="shared" si="3"/>
        <v>0</v>
      </c>
      <c r="X4" s="5"/>
      <c r="Y4" s="5"/>
      <c r="Z4" s="43"/>
      <c r="AA4" s="23">
        <f t="shared" si="4"/>
        <v>0</v>
      </c>
      <c r="AB4" s="43"/>
      <c r="AC4" s="43"/>
      <c r="AD4" s="46"/>
      <c r="AE4" s="5">
        <f t="shared" si="5"/>
        <v>0</v>
      </c>
      <c r="AF4" s="47"/>
      <c r="AG4" s="44"/>
      <c r="AH4" s="13"/>
      <c r="AI4" s="12"/>
      <c r="AJ4" s="40"/>
      <c r="AK4" s="40"/>
    </row>
    <row r="5" spans="2:41" s="41" customFormat="1" ht="16.149999999999999" customHeight="1">
      <c r="B5" s="70" t="s">
        <v>75</v>
      </c>
      <c r="C5" s="70" t="s">
        <v>162</v>
      </c>
      <c r="D5" s="4"/>
      <c r="E5" s="1"/>
      <c r="F5" s="13"/>
      <c r="G5" s="14">
        <f t="shared" si="0"/>
        <v>0</v>
      </c>
      <c r="H5" s="49"/>
      <c r="I5" s="83"/>
      <c r="J5" s="85"/>
      <c r="K5" s="82"/>
      <c r="L5" s="4"/>
      <c r="M5" s="85"/>
      <c r="N5" s="82"/>
      <c r="O5" s="4"/>
      <c r="P5" s="4"/>
      <c r="Q5" s="5"/>
      <c r="R5" s="36"/>
      <c r="S5" s="36"/>
      <c r="T5" s="37"/>
      <c r="U5" s="5">
        <f t="shared" si="1"/>
        <v>0</v>
      </c>
      <c r="V5" s="5">
        <f t="shared" si="2"/>
        <v>0</v>
      </c>
      <c r="W5" s="5">
        <f t="shared" si="3"/>
        <v>0</v>
      </c>
      <c r="X5" s="5"/>
      <c r="Y5" s="5"/>
      <c r="Z5" s="43"/>
      <c r="AA5" s="23">
        <f t="shared" si="4"/>
        <v>0</v>
      </c>
      <c r="AB5" s="43"/>
      <c r="AC5" s="43"/>
      <c r="AD5" s="46"/>
      <c r="AE5" s="5">
        <f t="shared" si="5"/>
        <v>0</v>
      </c>
      <c r="AF5" s="47"/>
      <c r="AG5" s="44"/>
      <c r="AH5" s="13"/>
      <c r="AI5" s="12"/>
      <c r="AJ5" s="40"/>
      <c r="AK5" s="40"/>
    </row>
    <row r="6" spans="2:41" s="41" customFormat="1" ht="16.149999999999999" customHeight="1">
      <c r="B6" s="89" t="s">
        <v>302</v>
      </c>
      <c r="C6" s="1"/>
      <c r="D6" s="4"/>
      <c r="E6" s="1"/>
      <c r="F6" s="13"/>
      <c r="G6" s="14">
        <f t="shared" si="0"/>
        <v>0</v>
      </c>
      <c r="H6" s="49"/>
      <c r="I6" s="83"/>
      <c r="J6" s="85"/>
      <c r="K6" s="82"/>
      <c r="L6" s="4"/>
      <c r="M6" s="85"/>
      <c r="N6" s="82"/>
      <c r="O6" s="4"/>
      <c r="P6" s="4"/>
      <c r="Q6" s="5"/>
      <c r="R6" s="36"/>
      <c r="S6" s="36"/>
      <c r="T6" s="37"/>
      <c r="U6" s="5">
        <f t="shared" si="1"/>
        <v>0</v>
      </c>
      <c r="V6" s="5">
        <f t="shared" si="2"/>
        <v>0</v>
      </c>
      <c r="W6" s="5">
        <f t="shared" si="3"/>
        <v>0</v>
      </c>
      <c r="X6" s="5"/>
      <c r="Y6" s="5"/>
      <c r="Z6" s="43"/>
      <c r="AA6" s="23">
        <f t="shared" si="4"/>
        <v>0</v>
      </c>
      <c r="AB6" s="43"/>
      <c r="AC6" s="43"/>
      <c r="AD6" s="46"/>
      <c r="AE6" s="5">
        <f t="shared" si="5"/>
        <v>0</v>
      </c>
      <c r="AF6" s="47"/>
      <c r="AG6" s="44"/>
      <c r="AH6" s="13"/>
      <c r="AI6" s="12"/>
      <c r="AJ6" s="40"/>
      <c r="AK6" s="40"/>
    </row>
    <row r="7" spans="2:41" s="41" customFormat="1">
      <c r="B7" s="92" t="s">
        <v>666</v>
      </c>
      <c r="C7" s="48"/>
      <c r="D7" s="6"/>
      <c r="E7" s="6"/>
      <c r="F7" s="81">
        <f>SUM(F3:F6)</f>
        <v>2.125</v>
      </c>
      <c r="G7" s="20">
        <f>SUM(G3:G6)</f>
        <v>2125</v>
      </c>
      <c r="H7" s="78">
        <f>SUM(H3:H6)</f>
        <v>1</v>
      </c>
      <c r="I7" s="2"/>
      <c r="J7" s="7"/>
      <c r="K7" s="7"/>
      <c r="L7" s="7"/>
      <c r="M7" s="2"/>
      <c r="N7" s="6"/>
      <c r="O7" s="6"/>
      <c r="P7" s="6"/>
      <c r="Q7" s="19"/>
      <c r="R7" s="9"/>
      <c r="S7" s="9"/>
      <c r="T7" s="10"/>
      <c r="U7" s="8"/>
      <c r="V7" s="21">
        <f>SUM(V3:V6)</f>
        <v>121720</v>
      </c>
      <c r="W7" s="21">
        <f>SUM(W3:W6)</f>
        <v>21909.599999999999</v>
      </c>
      <c r="X7" s="21"/>
      <c r="Y7" s="21"/>
      <c r="Z7" s="21"/>
      <c r="AA7" s="21">
        <f>SUM(AA3:AA4)</f>
        <v>0</v>
      </c>
      <c r="AB7" s="21"/>
      <c r="AC7" s="21"/>
      <c r="AD7" s="21"/>
      <c r="AE7" s="21">
        <f>SUM(AE3:AE6)</f>
        <v>143629.6</v>
      </c>
      <c r="AF7" s="21"/>
      <c r="AG7" s="42"/>
      <c r="AH7" s="27">
        <f>SUM(AH3:AH6)</f>
        <v>2.125</v>
      </c>
      <c r="AI7" s="26">
        <f>AH7-F7</f>
        <v>0</v>
      </c>
      <c r="AJ7" s="41">
        <f>AA7/F7</f>
        <v>0</v>
      </c>
      <c r="AK7" s="40"/>
    </row>
    <row r="8" spans="2:41" s="41" customFormat="1" ht="16.149999999999999" customHeight="1">
      <c r="B8" s="86" t="s">
        <v>502</v>
      </c>
      <c r="C8" s="86" t="s">
        <v>503</v>
      </c>
      <c r="D8" s="4"/>
      <c r="E8" s="86" t="s">
        <v>505</v>
      </c>
      <c r="F8" s="13">
        <v>65.8</v>
      </c>
      <c r="G8" s="14">
        <f t="shared" ref="G8:G15" si="6">+F8*1000</f>
        <v>65800</v>
      </c>
      <c r="H8" s="49">
        <v>60</v>
      </c>
      <c r="I8" s="83" t="s">
        <v>506</v>
      </c>
      <c r="J8" s="85" t="s">
        <v>507</v>
      </c>
      <c r="K8" s="82" t="s">
        <v>523</v>
      </c>
      <c r="L8" s="4"/>
      <c r="M8" s="85" t="s">
        <v>532</v>
      </c>
      <c r="N8" s="87" t="s">
        <v>508</v>
      </c>
      <c r="O8" s="4"/>
      <c r="P8" s="4"/>
      <c r="Q8" s="5">
        <v>56500</v>
      </c>
      <c r="R8" s="36">
        <v>2500</v>
      </c>
      <c r="S8" s="36"/>
      <c r="T8" s="37">
        <v>12500</v>
      </c>
      <c r="U8" s="5">
        <f t="shared" ref="U8:U15" si="7">S8+R8+Q8-T8</f>
        <v>46500</v>
      </c>
      <c r="V8" s="5">
        <f t="shared" ref="V8:V15" si="8">F8*U8</f>
        <v>3059700</v>
      </c>
      <c r="W8" s="5">
        <f>V8*18%</f>
        <v>550746</v>
      </c>
      <c r="X8" s="5"/>
      <c r="Y8" s="5"/>
      <c r="Z8" s="98">
        <v>2450.11</v>
      </c>
      <c r="AA8" s="23">
        <f t="shared" ref="AA8:AA15" si="9">F8*Z8</f>
        <v>161217.23800000001</v>
      </c>
      <c r="AB8" s="97">
        <f t="shared" ref="AB8:AB15" si="10">AA8*18%</f>
        <v>29019.10284</v>
      </c>
      <c r="AC8" s="43"/>
      <c r="AD8" s="46"/>
      <c r="AE8" s="5">
        <f t="shared" ref="AE8:AE15" si="11">+AB8+AA8+Y8+X8+W8+V8-AC8+AD8</f>
        <v>3800682.3408399997</v>
      </c>
      <c r="AF8" s="47" t="s">
        <v>533</v>
      </c>
      <c r="AG8" s="44" t="s">
        <v>532</v>
      </c>
      <c r="AH8" s="13">
        <v>65.8</v>
      </c>
      <c r="AI8" s="12"/>
      <c r="AJ8" s="40"/>
      <c r="AK8" s="40"/>
    </row>
    <row r="9" spans="2:41" s="41" customFormat="1" ht="16.149999999999999" customHeight="1">
      <c r="B9" s="70" t="s">
        <v>75</v>
      </c>
      <c r="C9" s="82" t="s">
        <v>504</v>
      </c>
      <c r="D9" s="4"/>
      <c r="E9" s="86" t="s">
        <v>505</v>
      </c>
      <c r="F9" s="13">
        <v>64.900000000000006</v>
      </c>
      <c r="G9" s="14">
        <f t="shared" si="6"/>
        <v>64900.000000000007</v>
      </c>
      <c r="H9" s="49">
        <v>60</v>
      </c>
      <c r="I9" s="83" t="s">
        <v>509</v>
      </c>
      <c r="J9" s="85" t="s">
        <v>507</v>
      </c>
      <c r="K9" s="82" t="s">
        <v>524</v>
      </c>
      <c r="L9" s="4"/>
      <c r="M9" s="85" t="s">
        <v>532</v>
      </c>
      <c r="N9" s="82" t="s">
        <v>510</v>
      </c>
      <c r="O9" s="4"/>
      <c r="P9" s="4"/>
      <c r="Q9" s="5">
        <v>56500</v>
      </c>
      <c r="R9" s="36">
        <v>2500</v>
      </c>
      <c r="S9" s="36"/>
      <c r="T9" s="37">
        <v>12500</v>
      </c>
      <c r="U9" s="5">
        <f t="shared" si="7"/>
        <v>46500</v>
      </c>
      <c r="V9" s="5">
        <f t="shared" si="8"/>
        <v>3017850.0000000005</v>
      </c>
      <c r="W9" s="5">
        <f>V9*18%</f>
        <v>543213.00000000012</v>
      </c>
      <c r="X9" s="5"/>
      <c r="Y9" s="5"/>
      <c r="Z9" s="98">
        <v>2453.88</v>
      </c>
      <c r="AA9" s="23">
        <f t="shared" si="9"/>
        <v>159256.81200000003</v>
      </c>
      <c r="AB9" s="97">
        <f t="shared" si="10"/>
        <v>28666.226160000006</v>
      </c>
      <c r="AC9" s="43"/>
      <c r="AD9" s="46"/>
      <c r="AE9" s="5">
        <f t="shared" si="11"/>
        <v>3748986.0381600009</v>
      </c>
      <c r="AF9" s="47" t="s">
        <v>534</v>
      </c>
      <c r="AG9" s="44" t="s">
        <v>532</v>
      </c>
      <c r="AH9" s="13">
        <v>64.900000000000006</v>
      </c>
      <c r="AI9" s="12"/>
      <c r="AJ9" s="40"/>
      <c r="AK9" s="40"/>
    </row>
    <row r="10" spans="2:41" s="41" customFormat="1" ht="16.149999999999999" customHeight="1">
      <c r="B10" s="70"/>
      <c r="C10" s="70"/>
      <c r="D10" s="4"/>
      <c r="E10" s="86" t="s">
        <v>505</v>
      </c>
      <c r="F10" s="13">
        <v>63.4</v>
      </c>
      <c r="G10" s="14">
        <f t="shared" si="6"/>
        <v>63400</v>
      </c>
      <c r="H10" s="49">
        <v>60</v>
      </c>
      <c r="I10" s="83" t="s">
        <v>511</v>
      </c>
      <c r="J10" s="85" t="s">
        <v>507</v>
      </c>
      <c r="K10" s="82" t="s">
        <v>527</v>
      </c>
      <c r="L10" s="4"/>
      <c r="M10" s="85" t="s">
        <v>532</v>
      </c>
      <c r="N10" s="82" t="s">
        <v>512</v>
      </c>
      <c r="O10" s="4"/>
      <c r="P10" s="4"/>
      <c r="Q10" s="5">
        <v>56500</v>
      </c>
      <c r="R10" s="36">
        <v>2500</v>
      </c>
      <c r="S10" s="36"/>
      <c r="T10" s="37">
        <v>12500</v>
      </c>
      <c r="U10" s="5">
        <f t="shared" si="7"/>
        <v>46500</v>
      </c>
      <c r="V10" s="5">
        <f t="shared" si="8"/>
        <v>2948100</v>
      </c>
      <c r="W10" s="5">
        <f t="shared" ref="W10:W15" si="12">V10*18%</f>
        <v>530658</v>
      </c>
      <c r="X10" s="5"/>
      <c r="Y10" s="5"/>
      <c r="Z10" s="98">
        <v>2511.9299999999998</v>
      </c>
      <c r="AA10" s="23">
        <f t="shared" si="9"/>
        <v>159256.36199999999</v>
      </c>
      <c r="AB10" s="97">
        <f t="shared" si="10"/>
        <v>28666.145159999996</v>
      </c>
      <c r="AC10" s="43"/>
      <c r="AD10" s="46"/>
      <c r="AE10" s="5">
        <f t="shared" si="11"/>
        <v>3666680.50716</v>
      </c>
      <c r="AF10" s="47" t="s">
        <v>535</v>
      </c>
      <c r="AG10" s="44" t="s">
        <v>532</v>
      </c>
      <c r="AH10" s="13">
        <v>63.4</v>
      </c>
      <c r="AI10" s="12"/>
      <c r="AJ10" s="40"/>
      <c r="AK10" s="40"/>
    </row>
    <row r="11" spans="2:41" s="41" customFormat="1" ht="16.149999999999999" customHeight="1">
      <c r="B11" s="12"/>
      <c r="C11" s="1"/>
      <c r="D11" s="4"/>
      <c r="E11" s="86" t="s">
        <v>505</v>
      </c>
      <c r="F11" s="13">
        <v>63.4</v>
      </c>
      <c r="G11" s="14">
        <f t="shared" si="6"/>
        <v>63400</v>
      </c>
      <c r="H11" s="49">
        <v>60</v>
      </c>
      <c r="I11" s="83" t="s">
        <v>513</v>
      </c>
      <c r="J11" s="85" t="s">
        <v>507</v>
      </c>
      <c r="K11" s="82" t="s">
        <v>528</v>
      </c>
      <c r="L11" s="4"/>
      <c r="M11" s="85" t="s">
        <v>532</v>
      </c>
      <c r="N11" s="82" t="s">
        <v>514</v>
      </c>
      <c r="O11" s="4"/>
      <c r="P11" s="4"/>
      <c r="Q11" s="5">
        <v>56500</v>
      </c>
      <c r="R11" s="36">
        <v>2500</v>
      </c>
      <c r="S11" s="36"/>
      <c r="T11" s="37">
        <v>12500</v>
      </c>
      <c r="U11" s="5">
        <f t="shared" si="7"/>
        <v>46500</v>
      </c>
      <c r="V11" s="5">
        <f t="shared" si="8"/>
        <v>2948100</v>
      </c>
      <c r="W11" s="5">
        <f t="shared" si="12"/>
        <v>530658</v>
      </c>
      <c r="X11" s="5"/>
      <c r="Y11" s="5"/>
      <c r="Z11" s="98">
        <v>2511.9299999999998</v>
      </c>
      <c r="AA11" s="23">
        <f t="shared" si="9"/>
        <v>159256.36199999999</v>
      </c>
      <c r="AB11" s="97">
        <f t="shared" si="10"/>
        <v>28666.145159999996</v>
      </c>
      <c r="AC11" s="43"/>
      <c r="AD11" s="46"/>
      <c r="AE11" s="5">
        <f t="shared" si="11"/>
        <v>3666680.50716</v>
      </c>
      <c r="AF11" s="47" t="s">
        <v>536</v>
      </c>
      <c r="AG11" s="44" t="s">
        <v>532</v>
      </c>
      <c r="AH11" s="13">
        <v>63.4</v>
      </c>
      <c r="AI11" s="12"/>
      <c r="AJ11" s="40"/>
      <c r="AK11" s="40"/>
    </row>
    <row r="12" spans="2:41" s="41" customFormat="1" ht="16.149999999999999" customHeight="1">
      <c r="B12" s="12"/>
      <c r="C12" s="1"/>
      <c r="D12" s="4"/>
      <c r="E12" s="86" t="s">
        <v>505</v>
      </c>
      <c r="F12" s="13">
        <v>63.1</v>
      </c>
      <c r="G12" s="14">
        <f t="shared" si="6"/>
        <v>63100</v>
      </c>
      <c r="H12" s="49">
        <v>59</v>
      </c>
      <c r="I12" s="83" t="s">
        <v>515</v>
      </c>
      <c r="J12" s="85" t="s">
        <v>507</v>
      </c>
      <c r="K12" s="82" t="s">
        <v>529</v>
      </c>
      <c r="L12" s="4"/>
      <c r="M12" s="85" t="s">
        <v>532</v>
      </c>
      <c r="N12" s="82" t="s">
        <v>516</v>
      </c>
      <c r="O12" s="4"/>
      <c r="P12" s="4"/>
      <c r="Q12" s="5">
        <v>56500</v>
      </c>
      <c r="R12" s="36">
        <v>2500</v>
      </c>
      <c r="S12" s="36"/>
      <c r="T12" s="37">
        <v>12500</v>
      </c>
      <c r="U12" s="5">
        <f t="shared" si="7"/>
        <v>46500</v>
      </c>
      <c r="V12" s="5">
        <f t="shared" si="8"/>
        <v>2934150</v>
      </c>
      <c r="W12" s="5">
        <f t="shared" si="12"/>
        <v>528147</v>
      </c>
      <c r="X12" s="5"/>
      <c r="Y12" s="5"/>
      <c r="Z12" s="98">
        <v>2523.88</v>
      </c>
      <c r="AA12" s="23">
        <f t="shared" si="9"/>
        <v>159256.82800000001</v>
      </c>
      <c r="AB12" s="97">
        <f t="shared" si="10"/>
        <v>28666.229040000002</v>
      </c>
      <c r="AC12" s="43"/>
      <c r="AD12" s="46"/>
      <c r="AE12" s="5">
        <f t="shared" si="11"/>
        <v>3650220.0570399999</v>
      </c>
      <c r="AF12" s="47" t="s">
        <v>537</v>
      </c>
      <c r="AG12" s="44" t="s">
        <v>532</v>
      </c>
      <c r="AH12" s="13">
        <v>63.1</v>
      </c>
      <c r="AI12" s="12"/>
      <c r="AJ12" s="40"/>
      <c r="AK12" s="40"/>
    </row>
    <row r="13" spans="2:41" s="41" customFormat="1" ht="16.149999999999999" customHeight="1">
      <c r="B13" s="12"/>
      <c r="C13" s="1"/>
      <c r="D13" s="4"/>
      <c r="E13" s="86" t="s">
        <v>505</v>
      </c>
      <c r="F13" s="13">
        <v>64.2</v>
      </c>
      <c r="G13" s="14">
        <f t="shared" si="6"/>
        <v>64200</v>
      </c>
      <c r="H13" s="49">
        <v>60</v>
      </c>
      <c r="I13" s="83" t="s">
        <v>517</v>
      </c>
      <c r="J13" s="85" t="s">
        <v>507</v>
      </c>
      <c r="K13" s="82" t="s">
        <v>525</v>
      </c>
      <c r="L13" s="4"/>
      <c r="M13" s="85" t="s">
        <v>532</v>
      </c>
      <c r="N13" s="82" t="s">
        <v>518</v>
      </c>
      <c r="O13" s="4"/>
      <c r="P13" s="4"/>
      <c r="Q13" s="5">
        <v>56500</v>
      </c>
      <c r="R13" s="36">
        <v>2500</v>
      </c>
      <c r="S13" s="36"/>
      <c r="T13" s="37">
        <v>12500</v>
      </c>
      <c r="U13" s="5">
        <f t="shared" si="7"/>
        <v>46500</v>
      </c>
      <c r="V13" s="5">
        <f t="shared" si="8"/>
        <v>2985300</v>
      </c>
      <c r="W13" s="5">
        <f t="shared" si="12"/>
        <v>537354</v>
      </c>
      <c r="X13" s="5"/>
      <c r="Y13" s="5"/>
      <c r="Z13" s="98">
        <v>2480.63</v>
      </c>
      <c r="AA13" s="23">
        <f t="shared" si="9"/>
        <v>159256.44600000003</v>
      </c>
      <c r="AB13" s="97">
        <f t="shared" si="10"/>
        <v>28666.160280000004</v>
      </c>
      <c r="AC13" s="43"/>
      <c r="AD13" s="46"/>
      <c r="AE13" s="5">
        <f t="shared" si="11"/>
        <v>3710576.6062799999</v>
      </c>
      <c r="AF13" s="47" t="s">
        <v>538</v>
      </c>
      <c r="AG13" s="44" t="s">
        <v>532</v>
      </c>
      <c r="AH13" s="13">
        <v>64.2</v>
      </c>
      <c r="AI13" s="12"/>
      <c r="AJ13" s="40"/>
      <c r="AK13" s="40"/>
    </row>
    <row r="14" spans="2:41" s="41" customFormat="1" ht="16.149999999999999" customHeight="1">
      <c r="B14" s="12"/>
      <c r="C14" s="1"/>
      <c r="D14" s="4"/>
      <c r="E14" s="86" t="s">
        <v>505</v>
      </c>
      <c r="F14" s="13">
        <v>64.2</v>
      </c>
      <c r="G14" s="14">
        <f t="shared" si="6"/>
        <v>64200</v>
      </c>
      <c r="H14" s="49">
        <v>60</v>
      </c>
      <c r="I14" s="83" t="s">
        <v>519</v>
      </c>
      <c r="J14" s="85" t="s">
        <v>507</v>
      </c>
      <c r="K14" s="82" t="s">
        <v>526</v>
      </c>
      <c r="L14" s="4"/>
      <c r="M14" s="85" t="s">
        <v>532</v>
      </c>
      <c r="N14" s="82" t="s">
        <v>520</v>
      </c>
      <c r="O14" s="4"/>
      <c r="P14" s="4"/>
      <c r="Q14" s="5">
        <v>56500</v>
      </c>
      <c r="R14" s="36">
        <v>2500</v>
      </c>
      <c r="S14" s="36"/>
      <c r="T14" s="37">
        <v>12500</v>
      </c>
      <c r="U14" s="5">
        <f t="shared" si="7"/>
        <v>46500</v>
      </c>
      <c r="V14" s="5">
        <f t="shared" si="8"/>
        <v>2985300</v>
      </c>
      <c r="W14" s="5">
        <f t="shared" si="12"/>
        <v>537354</v>
      </c>
      <c r="X14" s="5"/>
      <c r="Y14" s="5"/>
      <c r="Z14" s="98">
        <v>2480.63</v>
      </c>
      <c r="AA14" s="23">
        <f t="shared" si="9"/>
        <v>159256.44600000003</v>
      </c>
      <c r="AB14" s="97">
        <f t="shared" si="10"/>
        <v>28666.160280000004</v>
      </c>
      <c r="AC14" s="43"/>
      <c r="AD14" s="46"/>
      <c r="AE14" s="5">
        <f t="shared" si="11"/>
        <v>3710576.6062799999</v>
      </c>
      <c r="AF14" s="47" t="s">
        <v>539</v>
      </c>
      <c r="AG14" s="44" t="s">
        <v>532</v>
      </c>
      <c r="AH14" s="13">
        <v>64.2</v>
      </c>
      <c r="AI14" s="12"/>
      <c r="AJ14" s="40"/>
      <c r="AK14" s="40"/>
    </row>
    <row r="15" spans="2:41" s="41" customFormat="1" ht="16.149999999999999" customHeight="1">
      <c r="B15" s="89"/>
      <c r="C15" s="1"/>
      <c r="D15" s="4"/>
      <c r="E15" s="86" t="s">
        <v>505</v>
      </c>
      <c r="F15" s="13">
        <v>63.5</v>
      </c>
      <c r="G15" s="14">
        <f t="shared" si="6"/>
        <v>63500</v>
      </c>
      <c r="H15" s="49">
        <v>60</v>
      </c>
      <c r="I15" s="83" t="s">
        <v>521</v>
      </c>
      <c r="J15" s="85" t="s">
        <v>507</v>
      </c>
      <c r="K15" s="82" t="s">
        <v>530</v>
      </c>
      <c r="L15" s="4"/>
      <c r="M15" s="85" t="s">
        <v>531</v>
      </c>
      <c r="N15" s="82" t="s">
        <v>522</v>
      </c>
      <c r="O15" s="4"/>
      <c r="P15" s="4"/>
      <c r="Q15" s="5">
        <v>56500</v>
      </c>
      <c r="R15" s="36">
        <v>2500</v>
      </c>
      <c r="S15" s="36"/>
      <c r="T15" s="37">
        <v>12500</v>
      </c>
      <c r="U15" s="5">
        <f t="shared" si="7"/>
        <v>46500</v>
      </c>
      <c r="V15" s="5">
        <f t="shared" si="8"/>
        <v>2952750</v>
      </c>
      <c r="W15" s="5">
        <f t="shared" si="12"/>
        <v>531495</v>
      </c>
      <c r="X15" s="5"/>
      <c r="Y15" s="5"/>
      <c r="Z15" s="98">
        <v>2507.98</v>
      </c>
      <c r="AA15" s="23">
        <f t="shared" si="9"/>
        <v>159256.73000000001</v>
      </c>
      <c r="AB15" s="97">
        <f t="shared" si="10"/>
        <v>28666.2114</v>
      </c>
      <c r="AC15" s="43"/>
      <c r="AD15" s="46"/>
      <c r="AE15" s="5">
        <f t="shared" si="11"/>
        <v>3672167.9413999999</v>
      </c>
      <c r="AF15" s="47" t="s">
        <v>540</v>
      </c>
      <c r="AG15" s="44" t="s">
        <v>531</v>
      </c>
      <c r="AH15" s="13">
        <v>63.5</v>
      </c>
      <c r="AI15" s="12"/>
      <c r="AJ15" s="40"/>
      <c r="AK15" s="40"/>
    </row>
    <row r="16" spans="2:41" s="41" customFormat="1">
      <c r="B16" s="92"/>
      <c r="C16" s="48"/>
      <c r="D16" s="6"/>
      <c r="E16" s="6"/>
      <c r="F16" s="81">
        <f>SUM(F8:F15)</f>
        <v>512.5</v>
      </c>
      <c r="G16" s="20">
        <f>SUM(G8:G15)</f>
        <v>512500</v>
      </c>
      <c r="H16" s="21">
        <f>SUM(H8:H15)</f>
        <v>479</v>
      </c>
      <c r="I16" s="2"/>
      <c r="J16" s="7"/>
      <c r="K16" s="7"/>
      <c r="L16" s="7"/>
      <c r="M16" s="2"/>
      <c r="N16" s="6"/>
      <c r="O16" s="6"/>
      <c r="P16" s="6"/>
      <c r="Q16" s="19"/>
      <c r="R16" s="9"/>
      <c r="S16" s="9"/>
      <c r="T16" s="10"/>
      <c r="U16" s="8"/>
      <c r="V16" s="21">
        <f t="shared" ref="V16:AE16" si="13">SUM(V8:V15)</f>
        <v>23831250</v>
      </c>
      <c r="W16" s="21">
        <f t="shared" si="13"/>
        <v>4289625</v>
      </c>
      <c r="X16" s="21">
        <f t="shared" si="13"/>
        <v>0</v>
      </c>
      <c r="Y16" s="21">
        <f t="shared" si="13"/>
        <v>0</v>
      </c>
      <c r="Z16" s="99"/>
      <c r="AA16" s="21">
        <f t="shared" si="13"/>
        <v>1276013.2239999999</v>
      </c>
      <c r="AB16" s="21">
        <f t="shared" si="13"/>
        <v>229682.38032000003</v>
      </c>
      <c r="AC16" s="21"/>
      <c r="AD16" s="21">
        <f t="shared" si="13"/>
        <v>0</v>
      </c>
      <c r="AE16" s="21">
        <f t="shared" si="13"/>
        <v>29626570.604319997</v>
      </c>
      <c r="AF16" s="21"/>
      <c r="AG16" s="42"/>
      <c r="AH16" s="27">
        <f>SUM(AH8:AH15)</f>
        <v>512.5</v>
      </c>
      <c r="AI16" s="26">
        <f>AH16-F16</f>
        <v>0</v>
      </c>
      <c r="AJ16" s="41">
        <f>AA16/F16</f>
        <v>2489.7819004878047</v>
      </c>
      <c r="AK16" s="40"/>
    </row>
    <row r="17" spans="2:37" s="41" customFormat="1" ht="16.149999999999999" customHeight="1">
      <c r="B17" s="86" t="s">
        <v>541</v>
      </c>
      <c r="C17" s="86" t="s">
        <v>542</v>
      </c>
      <c r="D17" s="4"/>
      <c r="E17" s="86" t="s">
        <v>545</v>
      </c>
      <c r="F17" s="13">
        <v>25.126999999999999</v>
      </c>
      <c r="G17" s="14">
        <f t="shared" ref="G17:G42" si="14">+F17*1000</f>
        <v>25127</v>
      </c>
      <c r="H17" s="49">
        <v>14</v>
      </c>
      <c r="I17" s="83" t="s">
        <v>546</v>
      </c>
      <c r="J17" s="85" t="s">
        <v>547</v>
      </c>
      <c r="K17" s="82" t="s">
        <v>548</v>
      </c>
      <c r="L17" s="4"/>
      <c r="M17" s="85" t="s">
        <v>549</v>
      </c>
      <c r="N17" s="87" t="s">
        <v>550</v>
      </c>
      <c r="O17" s="4"/>
      <c r="P17" s="4"/>
      <c r="Q17" s="5">
        <v>52550</v>
      </c>
      <c r="R17" s="36"/>
      <c r="S17" s="36"/>
      <c r="T17" s="37"/>
      <c r="U17" s="5">
        <f t="shared" ref="U17:U42" si="15">S17+R17+Q17-T17</f>
        <v>52550</v>
      </c>
      <c r="V17" s="5">
        <f t="shared" ref="V17:V42" si="16">F17*U17</f>
        <v>1320423.8499999999</v>
      </c>
      <c r="W17" s="5">
        <f>V17*18%</f>
        <v>237676.29299999998</v>
      </c>
      <c r="X17" s="5"/>
      <c r="Y17" s="5"/>
      <c r="Z17" s="98"/>
      <c r="AA17" s="23">
        <f t="shared" ref="AA17:AA42" si="17">F17*Z17</f>
        <v>0</v>
      </c>
      <c r="AB17" s="97">
        <f t="shared" ref="AB17:AB42" si="18">AA17*18%</f>
        <v>0</v>
      </c>
      <c r="AC17" s="43"/>
      <c r="AD17" s="46"/>
      <c r="AE17" s="5">
        <f t="shared" ref="AE17:AE42" si="19">+AB17+AA17+Y17+X17+W17+V17-AC17+AD17</f>
        <v>1558100.1429999999</v>
      </c>
      <c r="AF17" s="47" t="s">
        <v>801</v>
      </c>
      <c r="AG17" s="44" t="s">
        <v>802</v>
      </c>
      <c r="AH17" s="13">
        <v>25.126999999999999</v>
      </c>
      <c r="AI17" s="12"/>
      <c r="AJ17" s="40"/>
      <c r="AK17" s="40"/>
    </row>
    <row r="18" spans="2:37" s="41" customFormat="1" ht="16.149999999999999" customHeight="1">
      <c r="B18" s="70" t="s">
        <v>544</v>
      </c>
      <c r="C18" s="82" t="s">
        <v>543</v>
      </c>
      <c r="D18" s="4"/>
      <c r="E18" s="86" t="s">
        <v>545</v>
      </c>
      <c r="F18" s="13">
        <v>14.472</v>
      </c>
      <c r="G18" s="14">
        <f t="shared" si="14"/>
        <v>14472</v>
      </c>
      <c r="H18" s="49">
        <v>8</v>
      </c>
      <c r="I18" s="83" t="s">
        <v>551</v>
      </c>
      <c r="J18" s="85" t="s">
        <v>547</v>
      </c>
      <c r="K18" s="82" t="s">
        <v>548</v>
      </c>
      <c r="L18" s="4"/>
      <c r="M18" s="85" t="s">
        <v>549</v>
      </c>
      <c r="N18" s="87" t="s">
        <v>550</v>
      </c>
      <c r="O18" s="4"/>
      <c r="P18" s="4"/>
      <c r="Q18" s="5">
        <v>52550</v>
      </c>
      <c r="R18" s="36"/>
      <c r="S18" s="36"/>
      <c r="T18" s="37"/>
      <c r="U18" s="5">
        <f t="shared" si="15"/>
        <v>52550</v>
      </c>
      <c r="V18" s="5">
        <f t="shared" si="16"/>
        <v>760503.6</v>
      </c>
      <c r="W18" s="5">
        <f>V18*18%</f>
        <v>136890.64799999999</v>
      </c>
      <c r="X18" s="5"/>
      <c r="Y18" s="5"/>
      <c r="Z18" s="98"/>
      <c r="AA18" s="23">
        <f t="shared" si="17"/>
        <v>0</v>
      </c>
      <c r="AB18" s="97">
        <f t="shared" si="18"/>
        <v>0</v>
      </c>
      <c r="AC18" s="43"/>
      <c r="AD18" s="46"/>
      <c r="AE18" s="5">
        <f t="shared" si="19"/>
        <v>897394.24799999991</v>
      </c>
      <c r="AF18" s="47" t="s">
        <v>803</v>
      </c>
      <c r="AG18" s="44" t="s">
        <v>802</v>
      </c>
      <c r="AH18" s="13">
        <v>14.472</v>
      </c>
      <c r="AI18" s="12"/>
      <c r="AJ18" s="40"/>
      <c r="AK18" s="40"/>
    </row>
    <row r="19" spans="2:37" s="41" customFormat="1" ht="16.149999999999999" customHeight="1">
      <c r="B19" s="70"/>
      <c r="C19" s="70"/>
      <c r="D19" s="4"/>
      <c r="E19" s="86" t="s">
        <v>545</v>
      </c>
      <c r="F19" s="13">
        <v>14.472</v>
      </c>
      <c r="G19" s="14">
        <f t="shared" si="14"/>
        <v>14472</v>
      </c>
      <c r="H19" s="49">
        <v>8</v>
      </c>
      <c r="I19" s="83" t="s">
        <v>554</v>
      </c>
      <c r="J19" s="85" t="s">
        <v>547</v>
      </c>
      <c r="K19" s="82" t="s">
        <v>552</v>
      </c>
      <c r="L19" s="4"/>
      <c r="M19" s="85" t="s">
        <v>553</v>
      </c>
      <c r="N19" s="82" t="s">
        <v>555</v>
      </c>
      <c r="O19" s="4"/>
      <c r="P19" s="4"/>
      <c r="Q19" s="5">
        <v>52550</v>
      </c>
      <c r="R19" s="36"/>
      <c r="S19" s="36"/>
      <c r="T19" s="37"/>
      <c r="U19" s="5">
        <f t="shared" si="15"/>
        <v>52550</v>
      </c>
      <c r="V19" s="5">
        <f t="shared" si="16"/>
        <v>760503.6</v>
      </c>
      <c r="W19" s="5">
        <f t="shared" ref="W19:W42" si="20">V19*18%</f>
        <v>136890.64799999999</v>
      </c>
      <c r="X19" s="5"/>
      <c r="Y19" s="5"/>
      <c r="Z19" s="98"/>
      <c r="AA19" s="23">
        <f t="shared" si="17"/>
        <v>0</v>
      </c>
      <c r="AB19" s="97">
        <f t="shared" si="18"/>
        <v>0</v>
      </c>
      <c r="AC19" s="43"/>
      <c r="AD19" s="46"/>
      <c r="AE19" s="5">
        <f t="shared" si="19"/>
        <v>897394.24799999991</v>
      </c>
      <c r="AF19" s="47" t="s">
        <v>804</v>
      </c>
      <c r="AG19" s="44" t="s">
        <v>802</v>
      </c>
      <c r="AH19" s="13">
        <v>14.472</v>
      </c>
      <c r="AI19" s="12"/>
      <c r="AJ19" s="40"/>
      <c r="AK19" s="40"/>
    </row>
    <row r="20" spans="2:37" s="41" customFormat="1" ht="16.149999999999999" customHeight="1">
      <c r="B20" s="12"/>
      <c r="C20" s="1"/>
      <c r="D20" s="4"/>
      <c r="E20" s="86" t="s">
        <v>545</v>
      </c>
      <c r="F20" s="13">
        <v>25.100999999999999</v>
      </c>
      <c r="G20" s="14">
        <f t="shared" si="14"/>
        <v>25101</v>
      </c>
      <c r="H20" s="49">
        <v>14</v>
      </c>
      <c r="I20" s="83" t="s">
        <v>556</v>
      </c>
      <c r="J20" s="85" t="s">
        <v>547</v>
      </c>
      <c r="K20" s="82" t="s">
        <v>552</v>
      </c>
      <c r="L20" s="4"/>
      <c r="M20" s="85" t="s">
        <v>553</v>
      </c>
      <c r="N20" s="82" t="s">
        <v>555</v>
      </c>
      <c r="O20" s="4"/>
      <c r="P20" s="4"/>
      <c r="Q20" s="5">
        <v>52550</v>
      </c>
      <c r="R20" s="36"/>
      <c r="S20" s="36"/>
      <c r="T20" s="37"/>
      <c r="U20" s="5">
        <f t="shared" si="15"/>
        <v>52550</v>
      </c>
      <c r="V20" s="5">
        <f t="shared" si="16"/>
        <v>1319057.55</v>
      </c>
      <c r="W20" s="5">
        <f t="shared" si="20"/>
        <v>237430.359</v>
      </c>
      <c r="X20" s="5"/>
      <c r="Y20" s="5"/>
      <c r="Z20" s="98"/>
      <c r="AA20" s="23">
        <f t="shared" si="17"/>
        <v>0</v>
      </c>
      <c r="AB20" s="97">
        <f t="shared" si="18"/>
        <v>0</v>
      </c>
      <c r="AC20" s="43"/>
      <c r="AD20" s="46"/>
      <c r="AE20" s="5">
        <f t="shared" si="19"/>
        <v>1556487.909</v>
      </c>
      <c r="AF20" s="47" t="s">
        <v>805</v>
      </c>
      <c r="AG20" s="44" t="s">
        <v>802</v>
      </c>
      <c r="AH20" s="13">
        <v>25.100999999999999</v>
      </c>
      <c r="AI20" s="12"/>
      <c r="AJ20" s="40"/>
      <c r="AK20" s="40"/>
    </row>
    <row r="21" spans="2:37" s="41" customFormat="1" ht="16.149999999999999" customHeight="1">
      <c r="B21" s="12"/>
      <c r="C21" s="1"/>
      <c r="D21" s="4"/>
      <c r="E21" s="86" t="s">
        <v>545</v>
      </c>
      <c r="F21" s="13">
        <v>14.472</v>
      </c>
      <c r="G21" s="14">
        <f t="shared" si="14"/>
        <v>14472</v>
      </c>
      <c r="H21" s="49">
        <v>8</v>
      </c>
      <c r="I21" s="83" t="s">
        <v>560</v>
      </c>
      <c r="J21" s="85" t="s">
        <v>547</v>
      </c>
      <c r="K21" s="82" t="s">
        <v>561</v>
      </c>
      <c r="L21" s="4"/>
      <c r="M21" s="85" t="s">
        <v>553</v>
      </c>
      <c r="N21" s="82" t="s">
        <v>562</v>
      </c>
      <c r="O21" s="4"/>
      <c r="P21" s="4"/>
      <c r="Q21" s="5">
        <v>52550</v>
      </c>
      <c r="R21" s="36"/>
      <c r="S21" s="36"/>
      <c r="T21" s="37"/>
      <c r="U21" s="5">
        <f t="shared" si="15"/>
        <v>52550</v>
      </c>
      <c r="V21" s="5">
        <f t="shared" si="16"/>
        <v>760503.6</v>
      </c>
      <c r="W21" s="5">
        <f t="shared" si="20"/>
        <v>136890.64799999999</v>
      </c>
      <c r="X21" s="5"/>
      <c r="Y21" s="5"/>
      <c r="Z21" s="98"/>
      <c r="AA21" s="23">
        <f t="shared" si="17"/>
        <v>0</v>
      </c>
      <c r="AB21" s="97">
        <f t="shared" si="18"/>
        <v>0</v>
      </c>
      <c r="AC21" s="43"/>
      <c r="AD21" s="46"/>
      <c r="AE21" s="5">
        <f t="shared" si="19"/>
        <v>897394.24799999991</v>
      </c>
      <c r="AF21" s="47" t="s">
        <v>806</v>
      </c>
      <c r="AG21" s="44" t="s">
        <v>802</v>
      </c>
      <c r="AH21" s="13">
        <v>14.472</v>
      </c>
      <c r="AI21" s="12"/>
      <c r="AJ21" s="40"/>
      <c r="AK21" s="40"/>
    </row>
    <row r="22" spans="2:37" s="41" customFormat="1" ht="16.149999999999999" customHeight="1">
      <c r="B22" s="12"/>
      <c r="C22" s="1"/>
      <c r="D22" s="4"/>
      <c r="E22" s="86" t="s">
        <v>545</v>
      </c>
      <c r="F22" s="13">
        <v>25.146000000000001</v>
      </c>
      <c r="G22" s="14">
        <f t="shared" si="14"/>
        <v>25146</v>
      </c>
      <c r="H22" s="49">
        <v>14</v>
      </c>
      <c r="I22" s="83" t="s">
        <v>563</v>
      </c>
      <c r="J22" s="85" t="s">
        <v>547</v>
      </c>
      <c r="K22" s="82" t="s">
        <v>561</v>
      </c>
      <c r="L22" s="4"/>
      <c r="M22" s="85" t="s">
        <v>553</v>
      </c>
      <c r="N22" s="82" t="s">
        <v>562</v>
      </c>
      <c r="O22" s="4"/>
      <c r="P22" s="4"/>
      <c r="Q22" s="5">
        <v>52550</v>
      </c>
      <c r="R22" s="36"/>
      <c r="S22" s="36"/>
      <c r="T22" s="37"/>
      <c r="U22" s="5">
        <f t="shared" si="15"/>
        <v>52550</v>
      </c>
      <c r="V22" s="5">
        <f t="shared" si="16"/>
        <v>1321422.3</v>
      </c>
      <c r="W22" s="5">
        <f t="shared" si="20"/>
        <v>237856.014</v>
      </c>
      <c r="X22" s="5"/>
      <c r="Y22" s="5"/>
      <c r="Z22" s="98"/>
      <c r="AA22" s="23">
        <f t="shared" si="17"/>
        <v>0</v>
      </c>
      <c r="AB22" s="97">
        <f t="shared" si="18"/>
        <v>0</v>
      </c>
      <c r="AC22" s="43"/>
      <c r="AD22" s="46"/>
      <c r="AE22" s="5">
        <f t="shared" si="19"/>
        <v>1559278.314</v>
      </c>
      <c r="AF22" s="47" t="s">
        <v>807</v>
      </c>
      <c r="AG22" s="44" t="s">
        <v>802</v>
      </c>
      <c r="AH22" s="13">
        <v>25.146000000000001</v>
      </c>
      <c r="AI22" s="12"/>
      <c r="AJ22" s="40"/>
      <c r="AK22" s="40"/>
    </row>
    <row r="23" spans="2:37" s="41" customFormat="1" ht="16.149999999999999" customHeight="1">
      <c r="B23" s="12"/>
      <c r="C23" s="1"/>
      <c r="D23" s="4"/>
      <c r="E23" s="86" t="s">
        <v>545</v>
      </c>
      <c r="F23" s="13">
        <v>39.57</v>
      </c>
      <c r="G23" s="14">
        <f t="shared" si="14"/>
        <v>39570</v>
      </c>
      <c r="H23" s="49">
        <v>22</v>
      </c>
      <c r="I23" s="83" t="s">
        <v>564</v>
      </c>
      <c r="J23" s="85" t="s">
        <v>547</v>
      </c>
      <c r="K23" s="82" t="s">
        <v>565</v>
      </c>
      <c r="L23" s="4"/>
      <c r="M23" s="85" t="s">
        <v>553</v>
      </c>
      <c r="N23" s="82" t="s">
        <v>566</v>
      </c>
      <c r="O23" s="4"/>
      <c r="P23" s="4"/>
      <c r="Q23" s="5">
        <v>52550</v>
      </c>
      <c r="R23" s="36"/>
      <c r="S23" s="36"/>
      <c r="T23" s="37"/>
      <c r="U23" s="5">
        <f t="shared" si="15"/>
        <v>52550</v>
      </c>
      <c r="V23" s="5">
        <f t="shared" si="16"/>
        <v>2079403.5</v>
      </c>
      <c r="W23" s="5">
        <f t="shared" si="20"/>
        <v>374292.63</v>
      </c>
      <c r="X23" s="5"/>
      <c r="Y23" s="5"/>
      <c r="Z23" s="98"/>
      <c r="AA23" s="23">
        <f t="shared" si="17"/>
        <v>0</v>
      </c>
      <c r="AB23" s="97">
        <f t="shared" si="18"/>
        <v>0</v>
      </c>
      <c r="AC23" s="43"/>
      <c r="AD23" s="46"/>
      <c r="AE23" s="5">
        <f t="shared" si="19"/>
        <v>2453696.13</v>
      </c>
      <c r="AF23" s="47" t="s">
        <v>808</v>
      </c>
      <c r="AG23" s="44" t="s">
        <v>802</v>
      </c>
      <c r="AH23" s="13">
        <v>39.57</v>
      </c>
      <c r="AI23" s="12"/>
      <c r="AJ23" s="40"/>
      <c r="AK23" s="40"/>
    </row>
    <row r="24" spans="2:37" s="41" customFormat="1" ht="16.149999999999999" customHeight="1">
      <c r="B24" s="12"/>
      <c r="C24" s="1"/>
      <c r="D24" s="4"/>
      <c r="E24" s="86" t="s">
        <v>545</v>
      </c>
      <c r="F24" s="13">
        <v>26.84</v>
      </c>
      <c r="G24" s="14">
        <f t="shared" si="14"/>
        <v>26840</v>
      </c>
      <c r="H24" s="49">
        <v>15</v>
      </c>
      <c r="I24" s="83" t="s">
        <v>567</v>
      </c>
      <c r="J24" s="85" t="s">
        <v>547</v>
      </c>
      <c r="K24" s="82" t="s">
        <v>568</v>
      </c>
      <c r="L24" s="4"/>
      <c r="M24" s="85" t="s">
        <v>553</v>
      </c>
      <c r="N24" s="82" t="s">
        <v>569</v>
      </c>
      <c r="O24" s="4"/>
      <c r="P24" s="4"/>
      <c r="Q24" s="5">
        <v>52550</v>
      </c>
      <c r="R24" s="36"/>
      <c r="S24" s="36"/>
      <c r="T24" s="37"/>
      <c r="U24" s="5">
        <f t="shared" si="15"/>
        <v>52550</v>
      </c>
      <c r="V24" s="5">
        <f t="shared" si="16"/>
        <v>1410442</v>
      </c>
      <c r="W24" s="5">
        <f t="shared" si="20"/>
        <v>253879.56</v>
      </c>
      <c r="X24" s="5"/>
      <c r="Y24" s="5"/>
      <c r="Z24" s="98"/>
      <c r="AA24" s="23">
        <f t="shared" si="17"/>
        <v>0</v>
      </c>
      <c r="AB24" s="97">
        <f t="shared" si="18"/>
        <v>0</v>
      </c>
      <c r="AC24" s="43"/>
      <c r="AD24" s="46"/>
      <c r="AE24" s="5">
        <f t="shared" si="19"/>
        <v>1664321.56</v>
      </c>
      <c r="AF24" s="47" t="s">
        <v>809</v>
      </c>
      <c r="AG24" s="44" t="s">
        <v>802</v>
      </c>
      <c r="AH24" s="13">
        <v>26.84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86" t="s">
        <v>545</v>
      </c>
      <c r="F25" s="13">
        <v>12.663</v>
      </c>
      <c r="G25" s="14">
        <f t="shared" si="14"/>
        <v>12663</v>
      </c>
      <c r="H25" s="49">
        <v>7</v>
      </c>
      <c r="I25" s="83" t="s">
        <v>570</v>
      </c>
      <c r="J25" s="85" t="s">
        <v>547</v>
      </c>
      <c r="K25" s="82" t="s">
        <v>571</v>
      </c>
      <c r="L25" s="4"/>
      <c r="M25" s="85" t="s">
        <v>572</v>
      </c>
      <c r="N25" s="82" t="s">
        <v>573</v>
      </c>
      <c r="O25" s="4"/>
      <c r="P25" s="4"/>
      <c r="Q25" s="5">
        <v>52550</v>
      </c>
      <c r="R25" s="36"/>
      <c r="S25" s="36"/>
      <c r="T25" s="37"/>
      <c r="U25" s="5">
        <f t="shared" si="15"/>
        <v>52550</v>
      </c>
      <c r="V25" s="5">
        <f t="shared" si="16"/>
        <v>665440.65</v>
      </c>
      <c r="W25" s="5">
        <f t="shared" si="20"/>
        <v>119779.317</v>
      </c>
      <c r="X25" s="5"/>
      <c r="Y25" s="5"/>
      <c r="Z25" s="98"/>
      <c r="AA25" s="23">
        <f t="shared" si="17"/>
        <v>0</v>
      </c>
      <c r="AB25" s="97">
        <f t="shared" si="18"/>
        <v>0</v>
      </c>
      <c r="AC25" s="43"/>
      <c r="AD25" s="46"/>
      <c r="AE25" s="5">
        <f t="shared" si="19"/>
        <v>785219.96700000006</v>
      </c>
      <c r="AF25" s="47" t="s">
        <v>810</v>
      </c>
      <c r="AG25" s="44" t="s">
        <v>802</v>
      </c>
      <c r="AH25" s="13">
        <v>12.663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86" t="s">
        <v>545</v>
      </c>
      <c r="F26" s="13">
        <v>17.841999999999999</v>
      </c>
      <c r="G26" s="14">
        <f t="shared" si="14"/>
        <v>17842</v>
      </c>
      <c r="H26" s="49">
        <v>10</v>
      </c>
      <c r="I26" s="83" t="s">
        <v>574</v>
      </c>
      <c r="J26" s="82" t="s">
        <v>547</v>
      </c>
      <c r="K26" s="82" t="s">
        <v>571</v>
      </c>
      <c r="L26" s="4"/>
      <c r="M26" s="85" t="s">
        <v>572</v>
      </c>
      <c r="N26" s="82" t="s">
        <v>573</v>
      </c>
      <c r="O26" s="4"/>
      <c r="P26" s="4"/>
      <c r="Q26" s="5">
        <v>52550</v>
      </c>
      <c r="R26" s="36"/>
      <c r="S26" s="36"/>
      <c r="T26" s="37"/>
      <c r="U26" s="5">
        <f t="shared" si="15"/>
        <v>52550</v>
      </c>
      <c r="V26" s="5">
        <f t="shared" si="16"/>
        <v>937597.1</v>
      </c>
      <c r="W26" s="5">
        <f t="shared" si="20"/>
        <v>168767.478</v>
      </c>
      <c r="X26" s="5"/>
      <c r="Y26" s="5"/>
      <c r="Z26" s="98"/>
      <c r="AA26" s="23">
        <f t="shared" si="17"/>
        <v>0</v>
      </c>
      <c r="AB26" s="97">
        <f t="shared" si="18"/>
        <v>0</v>
      </c>
      <c r="AC26" s="43"/>
      <c r="AD26" s="46"/>
      <c r="AE26" s="5">
        <f t="shared" si="19"/>
        <v>1106364.578</v>
      </c>
      <c r="AF26" s="47" t="s">
        <v>811</v>
      </c>
      <c r="AG26" s="44" t="s">
        <v>802</v>
      </c>
      <c r="AH26" s="13">
        <v>17.841999999999999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86" t="s">
        <v>545</v>
      </c>
      <c r="F27" s="13">
        <v>1.8089999999999999</v>
      </c>
      <c r="G27" s="14">
        <f t="shared" si="14"/>
        <v>1809</v>
      </c>
      <c r="H27" s="49">
        <v>1</v>
      </c>
      <c r="I27" s="83" t="s">
        <v>575</v>
      </c>
      <c r="J27" s="85" t="s">
        <v>547</v>
      </c>
      <c r="K27" s="82" t="s">
        <v>571</v>
      </c>
      <c r="L27" s="4"/>
      <c r="M27" s="85" t="s">
        <v>572</v>
      </c>
      <c r="N27" s="82" t="s">
        <v>573</v>
      </c>
      <c r="O27" s="4"/>
      <c r="P27" s="4"/>
      <c r="Q27" s="5">
        <v>52550</v>
      </c>
      <c r="R27" s="36"/>
      <c r="S27" s="36"/>
      <c r="T27" s="37"/>
      <c r="U27" s="5">
        <f t="shared" si="15"/>
        <v>52550</v>
      </c>
      <c r="V27" s="5">
        <f t="shared" si="16"/>
        <v>95062.95</v>
      </c>
      <c r="W27" s="5">
        <f t="shared" si="20"/>
        <v>17111.330999999998</v>
      </c>
      <c r="X27" s="5"/>
      <c r="Y27" s="5"/>
      <c r="Z27" s="98"/>
      <c r="AA27" s="23">
        <f t="shared" si="17"/>
        <v>0</v>
      </c>
      <c r="AB27" s="97">
        <f t="shared" si="18"/>
        <v>0</v>
      </c>
      <c r="AC27" s="43"/>
      <c r="AD27" s="46"/>
      <c r="AE27" s="5">
        <f t="shared" si="19"/>
        <v>112174.28099999999</v>
      </c>
      <c r="AF27" s="47" t="s">
        <v>812</v>
      </c>
      <c r="AG27" s="44" t="s">
        <v>802</v>
      </c>
      <c r="AH27" s="13">
        <v>1.8089999999999999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86" t="s">
        <v>545</v>
      </c>
      <c r="F28" s="13">
        <v>7.2359999999999998</v>
      </c>
      <c r="G28" s="14">
        <f t="shared" si="14"/>
        <v>7236</v>
      </c>
      <c r="H28" s="49">
        <v>4</v>
      </c>
      <c r="I28" s="83" t="s">
        <v>576</v>
      </c>
      <c r="J28" s="85" t="s">
        <v>547</v>
      </c>
      <c r="K28" s="82" t="s">
        <v>571</v>
      </c>
      <c r="L28" s="4"/>
      <c r="M28" s="85" t="s">
        <v>572</v>
      </c>
      <c r="N28" s="82" t="s">
        <v>573</v>
      </c>
      <c r="O28" s="4"/>
      <c r="P28" s="4"/>
      <c r="Q28" s="5">
        <v>52550</v>
      </c>
      <c r="R28" s="36"/>
      <c r="S28" s="36"/>
      <c r="T28" s="37"/>
      <c r="U28" s="5">
        <f t="shared" si="15"/>
        <v>52550</v>
      </c>
      <c r="V28" s="5">
        <f t="shared" si="16"/>
        <v>380251.8</v>
      </c>
      <c r="W28" s="5">
        <f t="shared" si="20"/>
        <v>68445.323999999993</v>
      </c>
      <c r="X28" s="5"/>
      <c r="Y28" s="5"/>
      <c r="Z28" s="98"/>
      <c r="AA28" s="23">
        <f t="shared" si="17"/>
        <v>0</v>
      </c>
      <c r="AB28" s="97">
        <f t="shared" si="18"/>
        <v>0</v>
      </c>
      <c r="AC28" s="43"/>
      <c r="AD28" s="46"/>
      <c r="AE28" s="5">
        <f t="shared" si="19"/>
        <v>448697.12399999995</v>
      </c>
      <c r="AF28" s="47" t="s">
        <v>813</v>
      </c>
      <c r="AG28" s="44" t="s">
        <v>802</v>
      </c>
      <c r="AH28" s="13">
        <v>7.2359999999999998</v>
      </c>
      <c r="AI28" s="12"/>
      <c r="AJ28" s="40"/>
      <c r="AK28" s="40"/>
    </row>
    <row r="29" spans="2:37" s="41" customFormat="1" ht="16.149999999999999" customHeight="1">
      <c r="B29" s="12"/>
      <c r="C29" s="1"/>
      <c r="D29" s="4"/>
      <c r="E29" s="86" t="s">
        <v>545</v>
      </c>
      <c r="F29" s="13">
        <v>25.001000000000001</v>
      </c>
      <c r="G29" s="14">
        <f t="shared" si="14"/>
        <v>25001</v>
      </c>
      <c r="H29" s="49">
        <v>14</v>
      </c>
      <c r="I29" s="83" t="s">
        <v>577</v>
      </c>
      <c r="J29" s="85" t="s">
        <v>547</v>
      </c>
      <c r="K29" s="82" t="s">
        <v>578</v>
      </c>
      <c r="L29" s="4"/>
      <c r="M29" s="85" t="s">
        <v>572</v>
      </c>
      <c r="N29" s="82" t="s">
        <v>579</v>
      </c>
      <c r="O29" s="4"/>
      <c r="P29" s="4"/>
      <c r="Q29" s="5">
        <v>52550</v>
      </c>
      <c r="R29" s="36"/>
      <c r="S29" s="36"/>
      <c r="T29" s="37"/>
      <c r="U29" s="5">
        <f t="shared" si="15"/>
        <v>52550</v>
      </c>
      <c r="V29" s="5">
        <f t="shared" si="16"/>
        <v>1313802.55</v>
      </c>
      <c r="W29" s="5">
        <f t="shared" si="20"/>
        <v>236484.459</v>
      </c>
      <c r="X29" s="5"/>
      <c r="Y29" s="5"/>
      <c r="Z29" s="98"/>
      <c r="AA29" s="23">
        <f t="shared" si="17"/>
        <v>0</v>
      </c>
      <c r="AB29" s="97">
        <f t="shared" si="18"/>
        <v>0</v>
      </c>
      <c r="AC29" s="43"/>
      <c r="AD29" s="46"/>
      <c r="AE29" s="5">
        <f t="shared" si="19"/>
        <v>1550287.0090000001</v>
      </c>
      <c r="AF29" s="47" t="s">
        <v>814</v>
      </c>
      <c r="AG29" s="44" t="s">
        <v>802</v>
      </c>
      <c r="AH29" s="13">
        <v>25.001000000000001</v>
      </c>
      <c r="AI29" s="12"/>
      <c r="AJ29" s="40"/>
      <c r="AK29" s="40"/>
    </row>
    <row r="30" spans="2:37" s="41" customFormat="1" ht="16.149999999999999" customHeight="1">
      <c r="B30" s="12"/>
      <c r="C30" s="1"/>
      <c r="D30" s="4"/>
      <c r="E30" s="86" t="s">
        <v>545</v>
      </c>
      <c r="F30" s="13">
        <v>14.472</v>
      </c>
      <c r="G30" s="14">
        <f t="shared" si="14"/>
        <v>14472</v>
      </c>
      <c r="H30" s="49">
        <v>8</v>
      </c>
      <c r="I30" s="83" t="s">
        <v>580</v>
      </c>
      <c r="J30" s="85" t="s">
        <v>547</v>
      </c>
      <c r="K30" s="82" t="s">
        <v>578</v>
      </c>
      <c r="L30" s="4"/>
      <c r="M30" s="85" t="s">
        <v>572</v>
      </c>
      <c r="N30" s="82" t="s">
        <v>579</v>
      </c>
      <c r="O30" s="4"/>
      <c r="P30" s="4"/>
      <c r="Q30" s="5">
        <v>52550</v>
      </c>
      <c r="R30" s="36"/>
      <c r="S30" s="36"/>
      <c r="T30" s="37"/>
      <c r="U30" s="5">
        <f t="shared" si="15"/>
        <v>52550</v>
      </c>
      <c r="V30" s="5">
        <f t="shared" si="16"/>
        <v>760503.6</v>
      </c>
      <c r="W30" s="5">
        <f t="shared" si="20"/>
        <v>136890.64799999999</v>
      </c>
      <c r="X30" s="5"/>
      <c r="Y30" s="5"/>
      <c r="Z30" s="98"/>
      <c r="AA30" s="23">
        <f t="shared" si="17"/>
        <v>0</v>
      </c>
      <c r="AB30" s="97">
        <f t="shared" si="18"/>
        <v>0</v>
      </c>
      <c r="AC30" s="43"/>
      <c r="AD30" s="46"/>
      <c r="AE30" s="5">
        <f t="shared" si="19"/>
        <v>897394.24799999991</v>
      </c>
      <c r="AF30" s="47" t="s">
        <v>815</v>
      </c>
      <c r="AG30" s="44" t="s">
        <v>802</v>
      </c>
      <c r="AH30" s="13">
        <v>14.472</v>
      </c>
      <c r="AI30" s="12"/>
      <c r="AJ30" s="40"/>
      <c r="AK30" s="40"/>
    </row>
    <row r="31" spans="2:37" s="41" customFormat="1" ht="16.149999999999999" customHeight="1">
      <c r="B31" s="12"/>
      <c r="C31" s="1"/>
      <c r="D31" s="4"/>
      <c r="E31" s="86" t="s">
        <v>545</v>
      </c>
      <c r="F31" s="13">
        <v>32.380000000000003</v>
      </c>
      <c r="G31" s="14">
        <f t="shared" si="14"/>
        <v>32380.000000000004</v>
      </c>
      <c r="H31" s="49">
        <v>18</v>
      </c>
      <c r="I31" s="83" t="s">
        <v>599</v>
      </c>
      <c r="J31" s="85" t="s">
        <v>587</v>
      </c>
      <c r="K31" s="82" t="s">
        <v>600</v>
      </c>
      <c r="L31" s="4"/>
      <c r="M31" s="85" t="s">
        <v>601</v>
      </c>
      <c r="N31" s="82" t="s">
        <v>602</v>
      </c>
      <c r="O31" s="4"/>
      <c r="P31" s="4"/>
      <c r="Q31" s="5">
        <v>52550</v>
      </c>
      <c r="R31" s="36"/>
      <c r="S31" s="36"/>
      <c r="T31" s="37"/>
      <c r="U31" s="5">
        <f t="shared" si="15"/>
        <v>52550</v>
      </c>
      <c r="V31" s="5">
        <f t="shared" si="16"/>
        <v>1701569.0000000002</v>
      </c>
      <c r="W31" s="5">
        <f t="shared" si="20"/>
        <v>306282.42000000004</v>
      </c>
      <c r="X31" s="5"/>
      <c r="Y31" s="5"/>
      <c r="Z31" s="98"/>
      <c r="AA31" s="23">
        <f t="shared" si="17"/>
        <v>0</v>
      </c>
      <c r="AB31" s="97">
        <f t="shared" si="18"/>
        <v>0</v>
      </c>
      <c r="AC31" s="43"/>
      <c r="AD31" s="46"/>
      <c r="AE31" s="5">
        <f t="shared" si="19"/>
        <v>2007851.4200000004</v>
      </c>
      <c r="AF31" s="47" t="s">
        <v>816</v>
      </c>
      <c r="AG31" s="44" t="s">
        <v>802</v>
      </c>
      <c r="AH31" s="13">
        <v>32.380000000000003</v>
      </c>
      <c r="AI31" s="12"/>
      <c r="AJ31" s="40"/>
      <c r="AK31" s="40"/>
    </row>
    <row r="32" spans="2:37" s="41" customFormat="1" ht="16.149999999999999" customHeight="1">
      <c r="B32" s="12"/>
      <c r="C32" s="1"/>
      <c r="D32" s="4"/>
      <c r="E32" s="86" t="s">
        <v>545</v>
      </c>
      <c r="F32" s="13">
        <v>8.77</v>
      </c>
      <c r="G32" s="14">
        <f t="shared" si="14"/>
        <v>8770</v>
      </c>
      <c r="H32" s="49">
        <v>5</v>
      </c>
      <c r="I32" s="83" t="s">
        <v>603</v>
      </c>
      <c r="J32" s="85" t="s">
        <v>587</v>
      </c>
      <c r="K32" s="82" t="s">
        <v>604</v>
      </c>
      <c r="L32" s="4"/>
      <c r="M32" s="85" t="s">
        <v>605</v>
      </c>
      <c r="N32" s="82" t="s">
        <v>606</v>
      </c>
      <c r="O32" s="4"/>
      <c r="P32" s="4"/>
      <c r="Q32" s="5">
        <v>52550</v>
      </c>
      <c r="R32" s="36"/>
      <c r="S32" s="36"/>
      <c r="T32" s="37"/>
      <c r="U32" s="5">
        <f t="shared" si="15"/>
        <v>52550</v>
      </c>
      <c r="V32" s="5">
        <f t="shared" si="16"/>
        <v>460863.5</v>
      </c>
      <c r="W32" s="5">
        <f t="shared" si="20"/>
        <v>82955.429999999993</v>
      </c>
      <c r="X32" s="5"/>
      <c r="Y32" s="5"/>
      <c r="Z32" s="98"/>
      <c r="AA32" s="23">
        <f t="shared" si="17"/>
        <v>0</v>
      </c>
      <c r="AB32" s="97">
        <f t="shared" si="18"/>
        <v>0</v>
      </c>
      <c r="AC32" s="43"/>
      <c r="AD32" s="46"/>
      <c r="AE32" s="5">
        <f t="shared" si="19"/>
        <v>543818.92999999993</v>
      </c>
      <c r="AF32" s="47" t="s">
        <v>817</v>
      </c>
      <c r="AG32" s="44" t="s">
        <v>802</v>
      </c>
      <c r="AH32" s="13">
        <v>8.77</v>
      </c>
      <c r="AI32" s="12"/>
      <c r="AJ32" s="40"/>
      <c r="AK32" s="40"/>
    </row>
    <row r="33" spans="2:37" s="41" customFormat="1" ht="16.149999999999999" customHeight="1">
      <c r="B33" s="12"/>
      <c r="C33" s="1"/>
      <c r="D33" s="4"/>
      <c r="E33" s="86" t="s">
        <v>545</v>
      </c>
      <c r="F33" s="13">
        <v>32.020000000000003</v>
      </c>
      <c r="G33" s="14">
        <f t="shared" si="14"/>
        <v>32020.000000000004</v>
      </c>
      <c r="H33" s="49">
        <v>18</v>
      </c>
      <c r="I33" s="83" t="s">
        <v>607</v>
      </c>
      <c r="J33" s="85" t="s">
        <v>587</v>
      </c>
      <c r="K33" s="82" t="s">
        <v>604</v>
      </c>
      <c r="L33" s="4"/>
      <c r="M33" s="85" t="s">
        <v>605</v>
      </c>
      <c r="N33" s="82" t="s">
        <v>606</v>
      </c>
      <c r="O33" s="4"/>
      <c r="P33" s="4"/>
      <c r="Q33" s="5">
        <v>52550</v>
      </c>
      <c r="R33" s="36"/>
      <c r="S33" s="36"/>
      <c r="T33" s="37"/>
      <c r="U33" s="5">
        <f t="shared" si="15"/>
        <v>52550</v>
      </c>
      <c r="V33" s="5">
        <f t="shared" si="16"/>
        <v>1682651.0000000002</v>
      </c>
      <c r="W33" s="5">
        <f t="shared" si="20"/>
        <v>302877.18000000005</v>
      </c>
      <c r="X33" s="5"/>
      <c r="Y33" s="5"/>
      <c r="Z33" s="98"/>
      <c r="AA33" s="23">
        <f t="shared" si="17"/>
        <v>0</v>
      </c>
      <c r="AB33" s="97">
        <f t="shared" si="18"/>
        <v>0</v>
      </c>
      <c r="AC33" s="43"/>
      <c r="AD33" s="46"/>
      <c r="AE33" s="5">
        <f t="shared" si="19"/>
        <v>1985528.1800000002</v>
      </c>
      <c r="AF33" s="47" t="s">
        <v>818</v>
      </c>
      <c r="AG33" s="44" t="s">
        <v>802</v>
      </c>
      <c r="AH33" s="13">
        <v>32.020000000000003</v>
      </c>
      <c r="AI33" s="12"/>
      <c r="AJ33" s="40"/>
      <c r="AK33" s="40"/>
    </row>
    <row r="34" spans="2:37" s="41" customFormat="1" ht="16.149999999999999" customHeight="1">
      <c r="B34" s="12"/>
      <c r="C34" s="1"/>
      <c r="D34" s="4"/>
      <c r="E34" s="86" t="s">
        <v>545</v>
      </c>
      <c r="F34" s="13">
        <v>1.8089999999999999</v>
      </c>
      <c r="G34" s="14">
        <f t="shared" si="14"/>
        <v>1809</v>
      </c>
      <c r="H34" s="49">
        <v>1</v>
      </c>
      <c r="I34" s="83" t="s">
        <v>608</v>
      </c>
      <c r="J34" s="85" t="s">
        <v>583</v>
      </c>
      <c r="K34" s="82" t="s">
        <v>609</v>
      </c>
      <c r="L34" s="4"/>
      <c r="M34" s="85" t="s">
        <v>605</v>
      </c>
      <c r="N34" s="82" t="s">
        <v>610</v>
      </c>
      <c r="O34" s="4"/>
      <c r="P34" s="4"/>
      <c r="Q34" s="5">
        <v>52550</v>
      </c>
      <c r="R34" s="36"/>
      <c r="S34" s="36"/>
      <c r="T34" s="37"/>
      <c r="U34" s="5">
        <f t="shared" si="15"/>
        <v>52550</v>
      </c>
      <c r="V34" s="5">
        <f t="shared" si="16"/>
        <v>95062.95</v>
      </c>
      <c r="W34" s="5">
        <f t="shared" si="20"/>
        <v>17111.330999999998</v>
      </c>
      <c r="X34" s="5"/>
      <c r="Y34" s="5"/>
      <c r="Z34" s="98"/>
      <c r="AA34" s="23">
        <f t="shared" si="17"/>
        <v>0</v>
      </c>
      <c r="AB34" s="97">
        <f t="shared" si="18"/>
        <v>0</v>
      </c>
      <c r="AC34" s="43"/>
      <c r="AD34" s="46"/>
      <c r="AE34" s="5">
        <f t="shared" si="19"/>
        <v>112174.28099999999</v>
      </c>
      <c r="AF34" s="47" t="s">
        <v>819</v>
      </c>
      <c r="AG34" s="44" t="s">
        <v>802</v>
      </c>
      <c r="AH34" s="13">
        <v>1.8089999999999999</v>
      </c>
      <c r="AI34" s="12"/>
      <c r="AJ34" s="40"/>
      <c r="AK34" s="40"/>
    </row>
    <row r="35" spans="2:37" s="41" customFormat="1" ht="16.149999999999999" customHeight="1">
      <c r="B35" s="12"/>
      <c r="C35" s="1"/>
      <c r="D35" s="4"/>
      <c r="E35" s="86" t="s">
        <v>545</v>
      </c>
      <c r="F35" s="13">
        <v>1.8089999999999999</v>
      </c>
      <c r="G35" s="14">
        <f t="shared" si="14"/>
        <v>1809</v>
      </c>
      <c r="H35" s="49">
        <v>1</v>
      </c>
      <c r="I35" s="83" t="s">
        <v>611</v>
      </c>
      <c r="J35" s="85" t="s">
        <v>583</v>
      </c>
      <c r="K35" s="82" t="s">
        <v>609</v>
      </c>
      <c r="L35" s="4"/>
      <c r="M35" s="85" t="s">
        <v>605</v>
      </c>
      <c r="N35" s="82" t="s">
        <v>610</v>
      </c>
      <c r="O35" s="4"/>
      <c r="P35" s="4"/>
      <c r="Q35" s="5">
        <v>52550</v>
      </c>
      <c r="R35" s="36"/>
      <c r="S35" s="36"/>
      <c r="T35" s="37"/>
      <c r="U35" s="5">
        <f t="shared" si="15"/>
        <v>52550</v>
      </c>
      <c r="V35" s="5">
        <f t="shared" si="16"/>
        <v>95062.95</v>
      </c>
      <c r="W35" s="5">
        <f t="shared" si="20"/>
        <v>17111.330999999998</v>
      </c>
      <c r="X35" s="5"/>
      <c r="Y35" s="5"/>
      <c r="Z35" s="98"/>
      <c r="AA35" s="23">
        <f t="shared" si="17"/>
        <v>0</v>
      </c>
      <c r="AB35" s="97">
        <f t="shared" si="18"/>
        <v>0</v>
      </c>
      <c r="AC35" s="43"/>
      <c r="AD35" s="46"/>
      <c r="AE35" s="5">
        <f t="shared" si="19"/>
        <v>112174.28099999999</v>
      </c>
      <c r="AF35" s="47" t="s">
        <v>820</v>
      </c>
      <c r="AG35" s="44" t="s">
        <v>802</v>
      </c>
      <c r="AH35" s="13">
        <v>1.8089999999999999</v>
      </c>
      <c r="AI35" s="12"/>
      <c r="AJ35" s="40"/>
      <c r="AK35" s="40"/>
    </row>
    <row r="36" spans="2:37" s="41" customFormat="1" ht="16.149999999999999" customHeight="1">
      <c r="B36" s="12"/>
      <c r="C36" s="1"/>
      <c r="D36" s="4"/>
      <c r="E36" s="86" t="s">
        <v>545</v>
      </c>
      <c r="F36" s="13">
        <v>28.943999999999999</v>
      </c>
      <c r="G36" s="14">
        <f t="shared" si="14"/>
        <v>28944</v>
      </c>
      <c r="H36" s="49">
        <v>16</v>
      </c>
      <c r="I36" s="83" t="s">
        <v>612</v>
      </c>
      <c r="J36" s="85" t="s">
        <v>583</v>
      </c>
      <c r="K36" s="82" t="s">
        <v>609</v>
      </c>
      <c r="L36" s="4"/>
      <c r="M36" s="85" t="s">
        <v>605</v>
      </c>
      <c r="N36" s="82" t="s">
        <v>610</v>
      </c>
      <c r="O36" s="4"/>
      <c r="P36" s="4"/>
      <c r="Q36" s="5">
        <v>52550</v>
      </c>
      <c r="R36" s="36"/>
      <c r="S36" s="36"/>
      <c r="T36" s="37"/>
      <c r="U36" s="5">
        <f t="shared" si="15"/>
        <v>52550</v>
      </c>
      <c r="V36" s="5">
        <f t="shared" si="16"/>
        <v>1521007.2</v>
      </c>
      <c r="W36" s="5">
        <f t="shared" si="20"/>
        <v>273781.29599999997</v>
      </c>
      <c r="X36" s="5"/>
      <c r="Y36" s="5"/>
      <c r="Z36" s="98"/>
      <c r="AA36" s="23">
        <f t="shared" si="17"/>
        <v>0</v>
      </c>
      <c r="AB36" s="97">
        <f t="shared" si="18"/>
        <v>0</v>
      </c>
      <c r="AC36" s="43"/>
      <c r="AD36" s="46"/>
      <c r="AE36" s="5">
        <f t="shared" si="19"/>
        <v>1794788.4959999998</v>
      </c>
      <c r="AF36" s="47" t="s">
        <v>821</v>
      </c>
      <c r="AG36" s="44" t="s">
        <v>802</v>
      </c>
      <c r="AH36" s="13">
        <v>28.943999999999999</v>
      </c>
      <c r="AI36" s="12"/>
      <c r="AJ36" s="40"/>
      <c r="AK36" s="40"/>
    </row>
    <row r="37" spans="2:37" s="41" customFormat="1" ht="16.149999999999999" customHeight="1">
      <c r="B37" s="12"/>
      <c r="C37" s="1"/>
      <c r="D37" s="4"/>
      <c r="E37" s="86" t="s">
        <v>545</v>
      </c>
      <c r="F37" s="13">
        <v>7.0279999999999996</v>
      </c>
      <c r="G37" s="14">
        <f t="shared" si="14"/>
        <v>7028</v>
      </c>
      <c r="H37" s="49">
        <v>4</v>
      </c>
      <c r="I37" s="83" t="s">
        <v>613</v>
      </c>
      <c r="J37" s="85" t="s">
        <v>583</v>
      </c>
      <c r="K37" s="82" t="s">
        <v>609</v>
      </c>
      <c r="L37" s="4"/>
      <c r="M37" s="85" t="s">
        <v>605</v>
      </c>
      <c r="N37" s="82" t="s">
        <v>610</v>
      </c>
      <c r="O37" s="4"/>
      <c r="P37" s="4"/>
      <c r="Q37" s="5">
        <v>52550</v>
      </c>
      <c r="R37" s="36"/>
      <c r="S37" s="36"/>
      <c r="T37" s="37"/>
      <c r="U37" s="5">
        <f t="shared" si="15"/>
        <v>52550</v>
      </c>
      <c r="V37" s="5">
        <f t="shared" si="16"/>
        <v>369321.39999999997</v>
      </c>
      <c r="W37" s="5">
        <f t="shared" si="20"/>
        <v>66477.851999999984</v>
      </c>
      <c r="X37" s="5"/>
      <c r="Y37" s="5"/>
      <c r="Z37" s="98"/>
      <c r="AA37" s="23">
        <f t="shared" si="17"/>
        <v>0</v>
      </c>
      <c r="AB37" s="97">
        <f t="shared" si="18"/>
        <v>0</v>
      </c>
      <c r="AC37" s="43"/>
      <c r="AD37" s="46"/>
      <c r="AE37" s="5">
        <f t="shared" si="19"/>
        <v>435799.25199999998</v>
      </c>
      <c r="AF37" s="47" t="s">
        <v>822</v>
      </c>
      <c r="AG37" s="44" t="s">
        <v>802</v>
      </c>
      <c r="AH37" s="13">
        <v>7.0279999999999996</v>
      </c>
      <c r="AI37" s="12"/>
      <c r="AJ37" s="40"/>
      <c r="AK37" s="40"/>
    </row>
    <row r="38" spans="2:37" s="41" customFormat="1" ht="16.149999999999999" customHeight="1">
      <c r="B38" s="12"/>
      <c r="C38" s="1"/>
      <c r="D38" s="4"/>
      <c r="E38" s="86" t="s">
        <v>545</v>
      </c>
      <c r="F38" s="13">
        <v>26.93</v>
      </c>
      <c r="G38" s="14">
        <f t="shared" si="14"/>
        <v>26930</v>
      </c>
      <c r="H38" s="49">
        <v>15</v>
      </c>
      <c r="I38" s="83" t="s">
        <v>614</v>
      </c>
      <c r="J38" s="85" t="s">
        <v>583</v>
      </c>
      <c r="K38" s="82" t="s">
        <v>615</v>
      </c>
      <c r="L38" s="4"/>
      <c r="M38" s="85" t="s">
        <v>605</v>
      </c>
      <c r="N38" s="82" t="s">
        <v>616</v>
      </c>
      <c r="O38" s="4"/>
      <c r="P38" s="4"/>
      <c r="Q38" s="5">
        <v>52550</v>
      </c>
      <c r="R38" s="36"/>
      <c r="S38" s="36"/>
      <c r="T38" s="37"/>
      <c r="U38" s="5">
        <f t="shared" si="15"/>
        <v>52550</v>
      </c>
      <c r="V38" s="5">
        <f t="shared" si="16"/>
        <v>1415171.5</v>
      </c>
      <c r="W38" s="5">
        <f t="shared" si="20"/>
        <v>254730.87</v>
      </c>
      <c r="X38" s="5"/>
      <c r="Y38" s="5"/>
      <c r="Z38" s="98"/>
      <c r="AA38" s="23">
        <f t="shared" si="17"/>
        <v>0</v>
      </c>
      <c r="AB38" s="97">
        <f t="shared" si="18"/>
        <v>0</v>
      </c>
      <c r="AC38" s="43"/>
      <c r="AD38" s="46"/>
      <c r="AE38" s="5">
        <f t="shared" si="19"/>
        <v>1669902.37</v>
      </c>
      <c r="AF38" s="47" t="s">
        <v>823</v>
      </c>
      <c r="AG38" s="44" t="s">
        <v>802</v>
      </c>
      <c r="AH38" s="13">
        <v>26.93</v>
      </c>
      <c r="AI38" s="12"/>
      <c r="AJ38" s="40"/>
      <c r="AK38" s="40"/>
    </row>
    <row r="39" spans="2:37" s="41" customFormat="1" ht="16.149999999999999" customHeight="1">
      <c r="B39" s="12"/>
      <c r="C39" s="1"/>
      <c r="D39" s="4"/>
      <c r="E39" s="86" t="s">
        <v>545</v>
      </c>
      <c r="F39" s="13">
        <v>27.863</v>
      </c>
      <c r="G39" s="14">
        <f t="shared" si="14"/>
        <v>27863</v>
      </c>
      <c r="H39" s="49">
        <v>16</v>
      </c>
      <c r="I39" s="83" t="s">
        <v>617</v>
      </c>
      <c r="J39" s="85" t="s">
        <v>587</v>
      </c>
      <c r="K39" s="82" t="s">
        <v>618</v>
      </c>
      <c r="L39" s="4"/>
      <c r="M39" s="85" t="s">
        <v>605</v>
      </c>
      <c r="N39" s="82" t="s">
        <v>619</v>
      </c>
      <c r="O39" s="4"/>
      <c r="P39" s="4"/>
      <c r="Q39" s="5">
        <v>52550</v>
      </c>
      <c r="R39" s="36"/>
      <c r="S39" s="36"/>
      <c r="T39" s="37"/>
      <c r="U39" s="5">
        <f t="shared" si="15"/>
        <v>52550</v>
      </c>
      <c r="V39" s="5">
        <f t="shared" si="16"/>
        <v>1464200.65</v>
      </c>
      <c r="W39" s="5">
        <f t="shared" si="20"/>
        <v>263556.11699999997</v>
      </c>
      <c r="X39" s="5"/>
      <c r="Y39" s="5"/>
      <c r="Z39" s="98"/>
      <c r="AA39" s="23">
        <f t="shared" si="17"/>
        <v>0</v>
      </c>
      <c r="AB39" s="97">
        <f t="shared" si="18"/>
        <v>0</v>
      </c>
      <c r="AC39" s="43"/>
      <c r="AD39" s="46"/>
      <c r="AE39" s="5">
        <f t="shared" si="19"/>
        <v>1727756.767</v>
      </c>
      <c r="AF39" s="47" t="s">
        <v>824</v>
      </c>
      <c r="AG39" s="44" t="s">
        <v>802</v>
      </c>
      <c r="AH39" s="13">
        <v>27.863</v>
      </c>
      <c r="AI39" s="12"/>
      <c r="AJ39" s="40"/>
      <c r="AK39" s="40"/>
    </row>
    <row r="40" spans="2:37" s="41" customFormat="1" ht="16.149999999999999" customHeight="1">
      <c r="B40" s="12"/>
      <c r="C40" s="1"/>
      <c r="D40" s="4"/>
      <c r="E40" s="86" t="s">
        <v>545</v>
      </c>
      <c r="F40" s="13">
        <v>30.53</v>
      </c>
      <c r="G40" s="14">
        <f t="shared" si="14"/>
        <v>30530</v>
      </c>
      <c r="H40" s="49">
        <v>17</v>
      </c>
      <c r="I40" s="83" t="s">
        <v>620</v>
      </c>
      <c r="J40" s="85" t="s">
        <v>587</v>
      </c>
      <c r="K40" s="82" t="s">
        <v>621</v>
      </c>
      <c r="L40" s="4"/>
      <c r="M40" s="85" t="s">
        <v>605</v>
      </c>
      <c r="N40" s="82" t="s">
        <v>622</v>
      </c>
      <c r="O40" s="4"/>
      <c r="P40" s="4"/>
      <c r="Q40" s="5">
        <v>52550</v>
      </c>
      <c r="R40" s="36"/>
      <c r="S40" s="36"/>
      <c r="T40" s="37"/>
      <c r="U40" s="5">
        <f t="shared" si="15"/>
        <v>52550</v>
      </c>
      <c r="V40" s="5">
        <f t="shared" si="16"/>
        <v>1604351.5</v>
      </c>
      <c r="W40" s="5">
        <f t="shared" si="20"/>
        <v>288783.26999999996</v>
      </c>
      <c r="X40" s="5"/>
      <c r="Y40" s="5"/>
      <c r="Z40" s="98"/>
      <c r="AA40" s="23">
        <f t="shared" si="17"/>
        <v>0</v>
      </c>
      <c r="AB40" s="97">
        <f t="shared" si="18"/>
        <v>0</v>
      </c>
      <c r="AC40" s="43"/>
      <c r="AD40" s="46"/>
      <c r="AE40" s="5">
        <f t="shared" si="19"/>
        <v>1893134.77</v>
      </c>
      <c r="AF40" s="47" t="s">
        <v>825</v>
      </c>
      <c r="AG40" s="44" t="s">
        <v>802</v>
      </c>
      <c r="AH40" s="13">
        <v>30.53</v>
      </c>
      <c r="AI40" s="12"/>
      <c r="AJ40" s="40"/>
      <c r="AK40" s="40"/>
    </row>
    <row r="41" spans="2:37" s="41" customFormat="1" ht="16.149999999999999" customHeight="1">
      <c r="B41" s="12"/>
      <c r="C41" s="1"/>
      <c r="D41" s="4"/>
      <c r="E41" s="86" t="s">
        <v>545</v>
      </c>
      <c r="F41" s="13">
        <v>37.814</v>
      </c>
      <c r="G41" s="14">
        <f t="shared" si="14"/>
        <v>37814</v>
      </c>
      <c r="H41" s="49">
        <v>21</v>
      </c>
      <c r="I41" s="83" t="s">
        <v>627</v>
      </c>
      <c r="J41" s="85" t="s">
        <v>625</v>
      </c>
      <c r="K41" s="82" t="s">
        <v>628</v>
      </c>
      <c r="L41" s="4"/>
      <c r="M41" s="85" t="s">
        <v>629</v>
      </c>
      <c r="N41" s="82" t="s">
        <v>630</v>
      </c>
      <c r="O41" s="4"/>
      <c r="P41" s="4"/>
      <c r="Q41" s="5">
        <v>52550</v>
      </c>
      <c r="R41" s="36"/>
      <c r="S41" s="36"/>
      <c r="T41" s="37"/>
      <c r="U41" s="5">
        <f t="shared" si="15"/>
        <v>52550</v>
      </c>
      <c r="V41" s="5">
        <f t="shared" si="16"/>
        <v>1987125.7</v>
      </c>
      <c r="W41" s="5">
        <f t="shared" si="20"/>
        <v>357682.62599999999</v>
      </c>
      <c r="X41" s="5"/>
      <c r="Y41" s="5"/>
      <c r="Z41" s="98"/>
      <c r="AA41" s="23">
        <f t="shared" si="17"/>
        <v>0</v>
      </c>
      <c r="AB41" s="97">
        <f t="shared" si="18"/>
        <v>0</v>
      </c>
      <c r="AC41" s="43"/>
      <c r="AD41" s="46"/>
      <c r="AE41" s="5">
        <f t="shared" si="19"/>
        <v>2344808.3259999999</v>
      </c>
      <c r="AF41" s="47" t="s">
        <v>826</v>
      </c>
      <c r="AG41" s="44" t="s">
        <v>802</v>
      </c>
      <c r="AH41" s="13">
        <v>37.814</v>
      </c>
      <c r="AI41" s="12"/>
      <c r="AJ41" s="40"/>
      <c r="AK41" s="40"/>
    </row>
    <row r="42" spans="2:37" s="41" customFormat="1" ht="16.149999999999999" customHeight="1">
      <c r="B42" s="12"/>
      <c r="C42" s="1"/>
      <c r="D42" s="4"/>
      <c r="E42" s="86" t="s">
        <v>545</v>
      </c>
      <c r="F42" s="13">
        <v>28.719000000000001</v>
      </c>
      <c r="G42" s="14">
        <f t="shared" si="14"/>
        <v>28719</v>
      </c>
      <c r="H42" s="49">
        <v>16</v>
      </c>
      <c r="I42" s="83" t="s">
        <v>633</v>
      </c>
      <c r="J42" s="85" t="s">
        <v>625</v>
      </c>
      <c r="K42" s="82" t="s">
        <v>634</v>
      </c>
      <c r="L42" s="4"/>
      <c r="M42" s="85" t="s">
        <v>629</v>
      </c>
      <c r="N42" s="82" t="s">
        <v>635</v>
      </c>
      <c r="O42" s="4"/>
      <c r="P42" s="4"/>
      <c r="Q42" s="5">
        <v>52550</v>
      </c>
      <c r="R42" s="36"/>
      <c r="S42" s="36"/>
      <c r="T42" s="37"/>
      <c r="U42" s="5">
        <f t="shared" si="15"/>
        <v>52550</v>
      </c>
      <c r="V42" s="5">
        <f t="shared" si="16"/>
        <v>1509183.45</v>
      </c>
      <c r="W42" s="5">
        <f t="shared" si="20"/>
        <v>271653.02100000001</v>
      </c>
      <c r="X42" s="5"/>
      <c r="Y42" s="5"/>
      <c r="Z42" s="98"/>
      <c r="AA42" s="23">
        <f t="shared" si="17"/>
        <v>0</v>
      </c>
      <c r="AB42" s="97">
        <f t="shared" si="18"/>
        <v>0</v>
      </c>
      <c r="AC42" s="43"/>
      <c r="AD42" s="46"/>
      <c r="AE42" s="5">
        <f t="shared" si="19"/>
        <v>1780836.4709999999</v>
      </c>
      <c r="AF42" s="47" t="s">
        <v>827</v>
      </c>
      <c r="AG42" s="44" t="s">
        <v>802</v>
      </c>
      <c r="AH42" s="13">
        <v>28.719000000000001</v>
      </c>
      <c r="AI42" s="12"/>
      <c r="AJ42" s="40"/>
      <c r="AK42" s="40"/>
    </row>
    <row r="43" spans="2:37" s="41" customFormat="1">
      <c r="B43" s="92"/>
      <c r="C43" s="48"/>
      <c r="D43" s="6"/>
      <c r="E43" s="6"/>
      <c r="F43" s="81">
        <f>SUM(F17:F42)</f>
        <v>528.83900000000006</v>
      </c>
      <c r="G43" s="20">
        <f>SUM(G17:G42)</f>
        <v>528839</v>
      </c>
      <c r="H43" s="21">
        <f>SUM(H17:H42)</f>
        <v>295</v>
      </c>
      <c r="I43" s="2"/>
      <c r="J43" s="7"/>
      <c r="K43" s="7"/>
      <c r="L43" s="7"/>
      <c r="M43" s="2"/>
      <c r="N43" s="6"/>
      <c r="O43" s="6"/>
      <c r="P43" s="6"/>
      <c r="Q43" s="19"/>
      <c r="R43" s="9"/>
      <c r="S43" s="9"/>
      <c r="T43" s="10"/>
      <c r="U43" s="8"/>
      <c r="V43" s="21">
        <f>SUM(V17:V42)</f>
        <v>27790489.449999996</v>
      </c>
      <c r="W43" s="21">
        <f>SUM(W17:W42)</f>
        <v>5002288.1009999989</v>
      </c>
      <c r="X43" s="21">
        <f>SUM(X17:X42)</f>
        <v>0</v>
      </c>
      <c r="Y43" s="21">
        <f>SUM(Y17:Y42)</f>
        <v>0</v>
      </c>
      <c r="Z43" s="99"/>
      <c r="AA43" s="21">
        <f>SUM(AA17:AA42)</f>
        <v>0</v>
      </c>
      <c r="AB43" s="21">
        <f>SUM(AB17:AB42)</f>
        <v>0</v>
      </c>
      <c r="AC43" s="21"/>
      <c r="AD43" s="21">
        <f>SUM(AD17:AD42)</f>
        <v>0</v>
      </c>
      <c r="AE43" s="21">
        <f>SUM(AE17:AE42)</f>
        <v>32792777.550999999</v>
      </c>
      <c r="AF43" s="21"/>
      <c r="AG43" s="42"/>
      <c r="AH43" s="27">
        <f>SUM(AH17:AH42)</f>
        <v>528.83900000000006</v>
      </c>
      <c r="AI43" s="26">
        <f>AH43-F43</f>
        <v>0</v>
      </c>
      <c r="AJ43" s="41">
        <f>AA43/F43</f>
        <v>0</v>
      </c>
      <c r="AK43" s="40"/>
    </row>
    <row r="44" spans="2:37" s="41" customFormat="1" ht="16.149999999999999" customHeight="1">
      <c r="B44" s="86" t="s">
        <v>541</v>
      </c>
      <c r="C44" s="86" t="s">
        <v>542</v>
      </c>
      <c r="D44" s="4"/>
      <c r="E44" s="86" t="s">
        <v>558</v>
      </c>
      <c r="F44" s="13">
        <v>32.06</v>
      </c>
      <c r="G44" s="14">
        <f t="shared" ref="G44:G82" si="21">+F44*1000</f>
        <v>32060.000000000004</v>
      </c>
      <c r="H44" s="49">
        <v>14</v>
      </c>
      <c r="I44" s="83" t="s">
        <v>559</v>
      </c>
      <c r="J44" s="85" t="s">
        <v>547</v>
      </c>
      <c r="K44" s="82" t="s">
        <v>557</v>
      </c>
      <c r="L44" s="4"/>
      <c r="M44" s="85" t="s">
        <v>553</v>
      </c>
      <c r="N44" s="82" t="s">
        <v>626</v>
      </c>
      <c r="O44" s="4"/>
      <c r="P44" s="4"/>
      <c r="Q44" s="5">
        <v>52550</v>
      </c>
      <c r="R44" s="36"/>
      <c r="S44" s="36"/>
      <c r="T44" s="37"/>
      <c r="U44" s="5">
        <f t="shared" ref="U44:U82" si="22">S44+R44+Q44-T44</f>
        <v>52550</v>
      </c>
      <c r="V44" s="5">
        <f>F44*U44</f>
        <v>1684753.0000000002</v>
      </c>
      <c r="W44" s="5">
        <f>V44*18%</f>
        <v>303255.54000000004</v>
      </c>
      <c r="X44" s="5"/>
      <c r="Y44" s="5"/>
      <c r="Z44" s="98"/>
      <c r="AA44" s="23">
        <f t="shared" ref="AA44:AA82" si="23">F44*Z44</f>
        <v>0</v>
      </c>
      <c r="AB44" s="97">
        <f t="shared" ref="AB44:AB82" si="24">AA44*18%</f>
        <v>0</v>
      </c>
      <c r="AC44" s="43"/>
      <c r="AD44" s="46"/>
      <c r="AE44" s="5">
        <f t="shared" ref="AE44:AE82" si="25">+AB44+AA44+Y44+X44+W44+V44-AC44+AD44</f>
        <v>1988008.5400000003</v>
      </c>
      <c r="AF44" s="47" t="s">
        <v>828</v>
      </c>
      <c r="AG44" s="44" t="s">
        <v>802</v>
      </c>
      <c r="AH44" s="13">
        <v>32.06</v>
      </c>
      <c r="AI44" s="12"/>
      <c r="AJ44" s="40"/>
      <c r="AK44" s="40"/>
    </row>
    <row r="45" spans="2:37" s="41" customFormat="1" ht="16.149999999999999" customHeight="1">
      <c r="B45" s="70" t="s">
        <v>544</v>
      </c>
      <c r="C45" s="82" t="s">
        <v>543</v>
      </c>
      <c r="D45" s="4"/>
      <c r="E45" s="86" t="s">
        <v>558</v>
      </c>
      <c r="F45" s="13">
        <v>34.363999999999997</v>
      </c>
      <c r="G45" s="14">
        <f t="shared" si="21"/>
        <v>34364</v>
      </c>
      <c r="H45" s="49">
        <v>15</v>
      </c>
      <c r="I45" s="83" t="s">
        <v>581</v>
      </c>
      <c r="J45" s="85" t="s">
        <v>549</v>
      </c>
      <c r="K45" s="82" t="s">
        <v>582</v>
      </c>
      <c r="L45" s="4"/>
      <c r="M45" s="85" t="s">
        <v>583</v>
      </c>
      <c r="N45" s="82" t="s">
        <v>584</v>
      </c>
      <c r="O45" s="4"/>
      <c r="P45" s="4"/>
      <c r="Q45" s="5">
        <v>52550</v>
      </c>
      <c r="R45" s="36"/>
      <c r="S45" s="36"/>
      <c r="T45" s="37"/>
      <c r="U45" s="5">
        <f t="shared" si="22"/>
        <v>52550</v>
      </c>
      <c r="V45" s="5">
        <f t="shared" ref="V45:V82" si="26">F45*U45</f>
        <v>1805828.2</v>
      </c>
      <c r="W45" s="5">
        <f>V45*18%</f>
        <v>325049.076</v>
      </c>
      <c r="X45" s="5"/>
      <c r="Y45" s="5"/>
      <c r="Z45" s="98"/>
      <c r="AA45" s="23">
        <f t="shared" si="23"/>
        <v>0</v>
      </c>
      <c r="AB45" s="97">
        <f t="shared" si="24"/>
        <v>0</v>
      </c>
      <c r="AC45" s="43"/>
      <c r="AD45" s="46"/>
      <c r="AE45" s="5">
        <f t="shared" si="25"/>
        <v>2130877.2760000001</v>
      </c>
      <c r="AF45" s="47" t="s">
        <v>830</v>
      </c>
      <c r="AG45" s="44" t="s">
        <v>802</v>
      </c>
      <c r="AH45" s="13">
        <v>34.363999999999997</v>
      </c>
      <c r="AI45" s="12"/>
      <c r="AJ45" s="40"/>
      <c r="AK45" s="40"/>
    </row>
    <row r="46" spans="2:37" s="41" customFormat="1" ht="16.149999999999999" customHeight="1">
      <c r="B46" s="70"/>
      <c r="C46" s="70"/>
      <c r="D46" s="4"/>
      <c r="E46" s="86" t="s">
        <v>558</v>
      </c>
      <c r="F46" s="13">
        <v>9.16</v>
      </c>
      <c r="G46" s="14">
        <f t="shared" si="21"/>
        <v>9160</v>
      </c>
      <c r="H46" s="49">
        <v>4</v>
      </c>
      <c r="I46" s="83" t="s">
        <v>585</v>
      </c>
      <c r="J46" s="85" t="s">
        <v>553</v>
      </c>
      <c r="K46" s="82" t="s">
        <v>586</v>
      </c>
      <c r="L46" s="4"/>
      <c r="M46" s="85" t="s">
        <v>587</v>
      </c>
      <c r="N46" s="82" t="s">
        <v>588</v>
      </c>
      <c r="O46" s="4"/>
      <c r="P46" s="4"/>
      <c r="Q46" s="5">
        <v>52550</v>
      </c>
      <c r="R46" s="36"/>
      <c r="S46" s="36"/>
      <c r="T46" s="37"/>
      <c r="U46" s="5">
        <f t="shared" si="22"/>
        <v>52550</v>
      </c>
      <c r="V46" s="5">
        <f t="shared" si="26"/>
        <v>481358</v>
      </c>
      <c r="W46" s="5">
        <f t="shared" ref="W46:W82" si="27">V46*18%</f>
        <v>86644.44</v>
      </c>
      <c r="X46" s="5"/>
      <c r="Y46" s="5"/>
      <c r="Z46" s="98"/>
      <c r="AA46" s="23">
        <f t="shared" si="23"/>
        <v>0</v>
      </c>
      <c r="AB46" s="97">
        <f t="shared" si="24"/>
        <v>0</v>
      </c>
      <c r="AC46" s="43"/>
      <c r="AD46" s="46"/>
      <c r="AE46" s="5">
        <f t="shared" si="25"/>
        <v>568002.43999999994</v>
      </c>
      <c r="AF46" s="47" t="s">
        <v>829</v>
      </c>
      <c r="AG46" s="44" t="s">
        <v>802</v>
      </c>
      <c r="AH46" s="13">
        <v>9.16</v>
      </c>
      <c r="AI46" s="12"/>
      <c r="AJ46" s="40"/>
      <c r="AK46" s="40"/>
    </row>
    <row r="47" spans="2:37" s="41" customFormat="1" ht="16.149999999999999" customHeight="1">
      <c r="B47" s="12"/>
      <c r="C47" s="1"/>
      <c r="D47" s="4"/>
      <c r="E47" s="86" t="s">
        <v>558</v>
      </c>
      <c r="F47" s="13">
        <v>32.06</v>
      </c>
      <c r="G47" s="14">
        <f t="shared" si="21"/>
        <v>32060.000000000004</v>
      </c>
      <c r="H47" s="49">
        <v>14</v>
      </c>
      <c r="I47" s="83" t="s">
        <v>589</v>
      </c>
      <c r="J47" s="85" t="s">
        <v>553</v>
      </c>
      <c r="K47" s="82" t="s">
        <v>586</v>
      </c>
      <c r="L47" s="4"/>
      <c r="M47" s="85" t="s">
        <v>587</v>
      </c>
      <c r="N47" s="82" t="s">
        <v>588</v>
      </c>
      <c r="O47" s="4"/>
      <c r="P47" s="4"/>
      <c r="Q47" s="5">
        <v>52550</v>
      </c>
      <c r="R47" s="36"/>
      <c r="S47" s="36"/>
      <c r="T47" s="37"/>
      <c r="U47" s="5">
        <f t="shared" si="22"/>
        <v>52550</v>
      </c>
      <c r="V47" s="5">
        <f t="shared" si="26"/>
        <v>1684753.0000000002</v>
      </c>
      <c r="W47" s="5">
        <f t="shared" si="27"/>
        <v>303255.54000000004</v>
      </c>
      <c r="X47" s="5"/>
      <c r="Y47" s="5"/>
      <c r="Z47" s="98"/>
      <c r="AA47" s="23">
        <f t="shared" si="23"/>
        <v>0</v>
      </c>
      <c r="AB47" s="97">
        <f t="shared" si="24"/>
        <v>0</v>
      </c>
      <c r="AC47" s="43"/>
      <c r="AD47" s="46"/>
      <c r="AE47" s="5">
        <f t="shared" si="25"/>
        <v>1988008.5400000003</v>
      </c>
      <c r="AF47" s="47" t="s">
        <v>831</v>
      </c>
      <c r="AG47" s="44" t="s">
        <v>802</v>
      </c>
      <c r="AH47" s="13">
        <v>32.06</v>
      </c>
      <c r="AI47" s="12"/>
      <c r="AJ47" s="40"/>
      <c r="AK47" s="40"/>
    </row>
    <row r="48" spans="2:37" s="41" customFormat="1" ht="16.149999999999999" customHeight="1">
      <c r="B48" s="12"/>
      <c r="C48" s="1"/>
      <c r="D48" s="4"/>
      <c r="E48" s="86" t="s">
        <v>558</v>
      </c>
      <c r="F48" s="13">
        <v>18.14</v>
      </c>
      <c r="G48" s="14">
        <f t="shared" si="21"/>
        <v>18140</v>
      </c>
      <c r="H48" s="49">
        <v>8</v>
      </c>
      <c r="I48" s="83" t="s">
        <v>590</v>
      </c>
      <c r="J48" s="85" t="s">
        <v>572</v>
      </c>
      <c r="K48" s="82" t="s">
        <v>591</v>
      </c>
      <c r="L48" s="4"/>
      <c r="M48" s="85" t="s">
        <v>587</v>
      </c>
      <c r="N48" s="82" t="s">
        <v>592</v>
      </c>
      <c r="O48" s="4"/>
      <c r="P48" s="4"/>
      <c r="Q48" s="5">
        <v>52550</v>
      </c>
      <c r="R48" s="36"/>
      <c r="S48" s="36"/>
      <c r="T48" s="37"/>
      <c r="U48" s="5">
        <f t="shared" si="22"/>
        <v>52550</v>
      </c>
      <c r="V48" s="5">
        <f t="shared" si="26"/>
        <v>953257</v>
      </c>
      <c r="W48" s="5">
        <f t="shared" si="27"/>
        <v>171586.25999999998</v>
      </c>
      <c r="X48" s="5"/>
      <c r="Y48" s="5"/>
      <c r="Z48" s="98"/>
      <c r="AA48" s="23">
        <f t="shared" si="23"/>
        <v>0</v>
      </c>
      <c r="AB48" s="97">
        <f t="shared" si="24"/>
        <v>0</v>
      </c>
      <c r="AC48" s="43"/>
      <c r="AD48" s="46"/>
      <c r="AE48" s="5">
        <f t="shared" si="25"/>
        <v>1124843.26</v>
      </c>
      <c r="AF48" s="47" t="s">
        <v>832</v>
      </c>
      <c r="AG48" s="44" t="s">
        <v>802</v>
      </c>
      <c r="AH48" s="13">
        <v>18.14</v>
      </c>
      <c r="AI48" s="12"/>
      <c r="AJ48" s="40"/>
      <c r="AK48" s="40"/>
    </row>
    <row r="49" spans="2:37" s="41" customFormat="1" ht="16.149999999999999" customHeight="1">
      <c r="B49" s="12"/>
      <c r="C49" s="1"/>
      <c r="D49" s="4"/>
      <c r="E49" s="86" t="s">
        <v>558</v>
      </c>
      <c r="F49" s="13">
        <v>22.9</v>
      </c>
      <c r="G49" s="14">
        <f t="shared" si="21"/>
        <v>22900</v>
      </c>
      <c r="H49" s="49">
        <v>10</v>
      </c>
      <c r="I49" s="83" t="s">
        <v>593</v>
      </c>
      <c r="J49" s="85" t="s">
        <v>572</v>
      </c>
      <c r="K49" s="82" t="s">
        <v>591</v>
      </c>
      <c r="L49" s="4"/>
      <c r="M49" s="85" t="s">
        <v>587</v>
      </c>
      <c r="N49" s="82" t="s">
        <v>592</v>
      </c>
      <c r="O49" s="4"/>
      <c r="P49" s="4"/>
      <c r="Q49" s="5">
        <v>52550</v>
      </c>
      <c r="R49" s="36"/>
      <c r="S49" s="36"/>
      <c r="T49" s="37"/>
      <c r="U49" s="5">
        <f t="shared" si="22"/>
        <v>52550</v>
      </c>
      <c r="V49" s="5">
        <f t="shared" si="26"/>
        <v>1203395</v>
      </c>
      <c r="W49" s="5">
        <f t="shared" si="27"/>
        <v>216611.1</v>
      </c>
      <c r="X49" s="5"/>
      <c r="Y49" s="5"/>
      <c r="Z49" s="98"/>
      <c r="AA49" s="23">
        <f t="shared" si="23"/>
        <v>0</v>
      </c>
      <c r="AB49" s="97">
        <f t="shared" si="24"/>
        <v>0</v>
      </c>
      <c r="AC49" s="43"/>
      <c r="AD49" s="46"/>
      <c r="AE49" s="5">
        <f t="shared" si="25"/>
        <v>1420006.1</v>
      </c>
      <c r="AF49" s="47" t="s">
        <v>833</v>
      </c>
      <c r="AG49" s="44" t="s">
        <v>802</v>
      </c>
      <c r="AH49" s="13">
        <v>22.9</v>
      </c>
      <c r="AI49" s="12"/>
      <c r="AJ49" s="40"/>
      <c r="AK49" s="40"/>
    </row>
    <row r="50" spans="2:37" s="41" customFormat="1" ht="16.149999999999999" customHeight="1">
      <c r="B50" s="12"/>
      <c r="C50" s="1"/>
      <c r="D50" s="4"/>
      <c r="E50" s="86" t="s">
        <v>558</v>
      </c>
      <c r="F50" s="13">
        <v>9.16</v>
      </c>
      <c r="G50" s="14">
        <f t="shared" si="21"/>
        <v>9160</v>
      </c>
      <c r="H50" s="49">
        <v>4</v>
      </c>
      <c r="I50" s="83" t="s">
        <v>594</v>
      </c>
      <c r="J50" s="85" t="s">
        <v>572</v>
      </c>
      <c r="K50" s="82" t="s">
        <v>595</v>
      </c>
      <c r="L50" s="4"/>
      <c r="M50" s="85" t="s">
        <v>587</v>
      </c>
      <c r="N50" s="82" t="s">
        <v>596</v>
      </c>
      <c r="O50" s="4"/>
      <c r="P50" s="4"/>
      <c r="Q50" s="5">
        <v>52550</v>
      </c>
      <c r="R50" s="36"/>
      <c r="S50" s="36"/>
      <c r="T50" s="37"/>
      <c r="U50" s="5">
        <f t="shared" si="22"/>
        <v>52550</v>
      </c>
      <c r="V50" s="5">
        <f t="shared" si="26"/>
        <v>481358</v>
      </c>
      <c r="W50" s="5">
        <f t="shared" si="27"/>
        <v>86644.44</v>
      </c>
      <c r="X50" s="5"/>
      <c r="Y50" s="5"/>
      <c r="Z50" s="98"/>
      <c r="AA50" s="23">
        <f t="shared" si="23"/>
        <v>0</v>
      </c>
      <c r="AB50" s="97">
        <f t="shared" si="24"/>
        <v>0</v>
      </c>
      <c r="AC50" s="43"/>
      <c r="AD50" s="46"/>
      <c r="AE50" s="5">
        <f t="shared" si="25"/>
        <v>568002.43999999994</v>
      </c>
      <c r="AF50" s="47" t="s">
        <v>834</v>
      </c>
      <c r="AG50" s="44" t="s">
        <v>802</v>
      </c>
      <c r="AH50" s="13">
        <v>9.16</v>
      </c>
      <c r="AI50" s="12"/>
      <c r="AJ50" s="40"/>
      <c r="AK50" s="40"/>
    </row>
    <row r="51" spans="2:37" s="41" customFormat="1" ht="16.149999999999999" customHeight="1">
      <c r="B51" s="12"/>
      <c r="C51" s="1"/>
      <c r="D51" s="4"/>
      <c r="E51" s="86" t="s">
        <v>558</v>
      </c>
      <c r="F51" s="13">
        <v>18.334</v>
      </c>
      <c r="G51" s="14">
        <f t="shared" si="21"/>
        <v>18334</v>
      </c>
      <c r="H51" s="49">
        <v>8</v>
      </c>
      <c r="I51" s="83" t="s">
        <v>597</v>
      </c>
      <c r="J51" s="85" t="s">
        <v>572</v>
      </c>
      <c r="K51" s="82" t="s">
        <v>595</v>
      </c>
      <c r="L51" s="4"/>
      <c r="M51" s="85" t="s">
        <v>587</v>
      </c>
      <c r="N51" s="82" t="s">
        <v>596</v>
      </c>
      <c r="O51" s="4"/>
      <c r="P51" s="4"/>
      <c r="Q51" s="5">
        <v>52550</v>
      </c>
      <c r="R51" s="36"/>
      <c r="S51" s="36"/>
      <c r="T51" s="37"/>
      <c r="U51" s="5">
        <f t="shared" si="22"/>
        <v>52550</v>
      </c>
      <c r="V51" s="5">
        <f t="shared" si="26"/>
        <v>963451.7</v>
      </c>
      <c r="W51" s="5">
        <f t="shared" si="27"/>
        <v>173421.30599999998</v>
      </c>
      <c r="X51" s="5"/>
      <c r="Y51" s="5"/>
      <c r="Z51" s="98"/>
      <c r="AA51" s="23">
        <f t="shared" si="23"/>
        <v>0</v>
      </c>
      <c r="AB51" s="97">
        <f t="shared" si="24"/>
        <v>0</v>
      </c>
      <c r="AC51" s="43"/>
      <c r="AD51" s="46"/>
      <c r="AE51" s="5">
        <f t="shared" si="25"/>
        <v>1136873.0060000001</v>
      </c>
      <c r="AF51" s="47" t="s">
        <v>835</v>
      </c>
      <c r="AG51" s="44" t="s">
        <v>802</v>
      </c>
      <c r="AH51" s="13">
        <v>18.334</v>
      </c>
      <c r="AI51" s="12"/>
      <c r="AJ51" s="40"/>
      <c r="AK51" s="40"/>
    </row>
    <row r="52" spans="2:37" s="41" customFormat="1" ht="16.149999999999999" customHeight="1">
      <c r="B52" s="12"/>
      <c r="C52" s="1"/>
      <c r="D52" s="4"/>
      <c r="E52" s="86" t="s">
        <v>558</v>
      </c>
      <c r="F52" s="13">
        <v>13.74</v>
      </c>
      <c r="G52" s="14">
        <f t="shared" si="21"/>
        <v>13740</v>
      </c>
      <c r="H52" s="49">
        <v>6</v>
      </c>
      <c r="I52" s="83" t="s">
        <v>598</v>
      </c>
      <c r="J52" s="85" t="s">
        <v>572</v>
      </c>
      <c r="K52" s="82" t="s">
        <v>595</v>
      </c>
      <c r="L52" s="4"/>
      <c r="M52" s="85" t="s">
        <v>587</v>
      </c>
      <c r="N52" s="82" t="s">
        <v>596</v>
      </c>
      <c r="O52" s="4"/>
      <c r="P52" s="4"/>
      <c r="Q52" s="5">
        <v>52550</v>
      </c>
      <c r="R52" s="36"/>
      <c r="S52" s="36"/>
      <c r="T52" s="37"/>
      <c r="U52" s="5">
        <f t="shared" si="22"/>
        <v>52550</v>
      </c>
      <c r="V52" s="5">
        <f t="shared" si="26"/>
        <v>722037</v>
      </c>
      <c r="W52" s="5">
        <f t="shared" si="27"/>
        <v>129966.65999999999</v>
      </c>
      <c r="X52" s="5"/>
      <c r="Y52" s="5"/>
      <c r="Z52" s="98"/>
      <c r="AA52" s="23">
        <f t="shared" si="23"/>
        <v>0</v>
      </c>
      <c r="AB52" s="97">
        <f t="shared" si="24"/>
        <v>0</v>
      </c>
      <c r="AC52" s="43"/>
      <c r="AD52" s="46"/>
      <c r="AE52" s="5">
        <f t="shared" si="25"/>
        <v>852003.66</v>
      </c>
      <c r="AF52" s="47" t="s">
        <v>836</v>
      </c>
      <c r="AG52" s="44" t="s">
        <v>802</v>
      </c>
      <c r="AH52" s="13">
        <v>13.74</v>
      </c>
      <c r="AI52" s="12"/>
      <c r="AJ52" s="40"/>
      <c r="AK52" s="40"/>
    </row>
    <row r="53" spans="2:37" s="41" customFormat="1" ht="16.149999999999999" customHeight="1">
      <c r="B53" s="12"/>
      <c r="C53" s="1"/>
      <c r="D53" s="4"/>
      <c r="E53" s="86" t="s">
        <v>558</v>
      </c>
      <c r="F53" s="13">
        <v>40.83</v>
      </c>
      <c r="G53" s="14">
        <f t="shared" si="21"/>
        <v>40830</v>
      </c>
      <c r="H53" s="49">
        <v>18</v>
      </c>
      <c r="I53" s="83" t="s">
        <v>623</v>
      </c>
      <c r="J53" s="85" t="s">
        <v>587</v>
      </c>
      <c r="K53" s="82" t="s">
        <v>624</v>
      </c>
      <c r="L53" s="4"/>
      <c r="M53" s="85" t="s">
        <v>625</v>
      </c>
      <c r="N53" s="82" t="s">
        <v>632</v>
      </c>
      <c r="O53" s="4"/>
      <c r="P53" s="4"/>
      <c r="Q53" s="5">
        <v>52550</v>
      </c>
      <c r="R53" s="36"/>
      <c r="S53" s="36"/>
      <c r="T53" s="37"/>
      <c r="U53" s="5">
        <f t="shared" si="22"/>
        <v>52550</v>
      </c>
      <c r="V53" s="5">
        <f t="shared" si="26"/>
        <v>2145616.5</v>
      </c>
      <c r="W53" s="5">
        <f t="shared" si="27"/>
        <v>386210.97</v>
      </c>
      <c r="X53" s="5"/>
      <c r="Y53" s="5"/>
      <c r="Z53" s="98"/>
      <c r="AA53" s="23">
        <f t="shared" si="23"/>
        <v>0</v>
      </c>
      <c r="AB53" s="97">
        <f t="shared" si="24"/>
        <v>0</v>
      </c>
      <c r="AC53" s="43"/>
      <c r="AD53" s="46"/>
      <c r="AE53" s="5">
        <f t="shared" si="25"/>
        <v>2531827.4699999997</v>
      </c>
      <c r="AF53" s="47" t="s">
        <v>837</v>
      </c>
      <c r="AG53" s="44" t="s">
        <v>802</v>
      </c>
      <c r="AH53" s="13">
        <v>40.83</v>
      </c>
      <c r="AI53" s="12"/>
      <c r="AJ53" s="40"/>
      <c r="AK53" s="40"/>
    </row>
    <row r="54" spans="2:37" s="41" customFormat="1" ht="16.149999999999999" customHeight="1">
      <c r="B54" s="12"/>
      <c r="C54" s="1"/>
      <c r="D54" s="4"/>
      <c r="E54" s="86" t="s">
        <v>558</v>
      </c>
      <c r="F54" s="13">
        <v>2.29</v>
      </c>
      <c r="G54" s="14">
        <f t="shared" si="21"/>
        <v>2290</v>
      </c>
      <c r="H54" s="49">
        <v>1</v>
      </c>
      <c r="I54" s="83" t="s">
        <v>631</v>
      </c>
      <c r="J54" s="85" t="s">
        <v>625</v>
      </c>
      <c r="K54" s="82" t="s">
        <v>628</v>
      </c>
      <c r="L54" s="4"/>
      <c r="M54" s="85" t="s">
        <v>629</v>
      </c>
      <c r="N54" s="82" t="s">
        <v>630</v>
      </c>
      <c r="O54" s="4"/>
      <c r="P54" s="4"/>
      <c r="Q54" s="5">
        <v>52550</v>
      </c>
      <c r="R54" s="36"/>
      <c r="S54" s="36"/>
      <c r="T54" s="37"/>
      <c r="U54" s="5">
        <f t="shared" si="22"/>
        <v>52550</v>
      </c>
      <c r="V54" s="5">
        <f t="shared" si="26"/>
        <v>120339.5</v>
      </c>
      <c r="W54" s="5">
        <f t="shared" si="27"/>
        <v>21661.11</v>
      </c>
      <c r="X54" s="5"/>
      <c r="Y54" s="5"/>
      <c r="Z54" s="98"/>
      <c r="AA54" s="23">
        <f t="shared" si="23"/>
        <v>0</v>
      </c>
      <c r="AB54" s="97">
        <f t="shared" si="24"/>
        <v>0</v>
      </c>
      <c r="AC54" s="43"/>
      <c r="AD54" s="46"/>
      <c r="AE54" s="5">
        <f t="shared" si="25"/>
        <v>142000.60999999999</v>
      </c>
      <c r="AF54" s="47" t="s">
        <v>838</v>
      </c>
      <c r="AG54" s="44" t="s">
        <v>802</v>
      </c>
      <c r="AH54" s="13">
        <v>2.29</v>
      </c>
      <c r="AI54" s="12"/>
      <c r="AJ54" s="40"/>
      <c r="AK54" s="40"/>
    </row>
    <row r="55" spans="2:37" s="41" customFormat="1" ht="16.149999999999999" customHeight="1">
      <c r="B55" s="12"/>
      <c r="C55" s="1"/>
      <c r="D55" s="4"/>
      <c r="E55" s="86" t="s">
        <v>558</v>
      </c>
      <c r="F55" s="13">
        <v>11.45</v>
      </c>
      <c r="G55" s="14">
        <f t="shared" si="21"/>
        <v>11450</v>
      </c>
      <c r="H55" s="49">
        <v>5</v>
      </c>
      <c r="I55" s="83" t="s">
        <v>636</v>
      </c>
      <c r="J55" s="85" t="s">
        <v>625</v>
      </c>
      <c r="K55" s="82" t="s">
        <v>634</v>
      </c>
      <c r="L55" s="4"/>
      <c r="M55" s="85" t="s">
        <v>629</v>
      </c>
      <c r="N55" s="82" t="s">
        <v>635</v>
      </c>
      <c r="O55" s="4"/>
      <c r="P55" s="4"/>
      <c r="Q55" s="5">
        <v>52550</v>
      </c>
      <c r="R55" s="36"/>
      <c r="S55" s="36"/>
      <c r="T55" s="37"/>
      <c r="U55" s="5">
        <f t="shared" si="22"/>
        <v>52550</v>
      </c>
      <c r="V55" s="5">
        <f t="shared" si="26"/>
        <v>601697.5</v>
      </c>
      <c r="W55" s="5">
        <f t="shared" si="27"/>
        <v>108305.55</v>
      </c>
      <c r="X55" s="5"/>
      <c r="Y55" s="5"/>
      <c r="Z55" s="98"/>
      <c r="AA55" s="23">
        <f t="shared" si="23"/>
        <v>0</v>
      </c>
      <c r="AB55" s="97">
        <f t="shared" si="24"/>
        <v>0</v>
      </c>
      <c r="AC55" s="43"/>
      <c r="AD55" s="46"/>
      <c r="AE55" s="5">
        <f t="shared" si="25"/>
        <v>710003.05</v>
      </c>
      <c r="AF55" s="47" t="s">
        <v>839</v>
      </c>
      <c r="AG55" s="44" t="s">
        <v>802</v>
      </c>
      <c r="AH55" s="13">
        <v>11.45</v>
      </c>
      <c r="AI55" s="12"/>
      <c r="AJ55" s="40"/>
      <c r="AK55" s="40"/>
    </row>
    <row r="56" spans="2:37" s="41" customFormat="1" ht="16.149999999999999" customHeight="1">
      <c r="B56" s="12"/>
      <c r="C56" s="1"/>
      <c r="D56" s="4"/>
      <c r="E56" s="86" t="s">
        <v>558</v>
      </c>
      <c r="F56" s="13">
        <v>13.74</v>
      </c>
      <c r="G56" s="14">
        <f t="shared" si="21"/>
        <v>13740</v>
      </c>
      <c r="H56" s="49">
        <v>6</v>
      </c>
      <c r="I56" s="83" t="s">
        <v>637</v>
      </c>
      <c r="J56" s="85" t="s">
        <v>625</v>
      </c>
      <c r="K56" s="82" t="s">
        <v>638</v>
      </c>
      <c r="L56" s="4"/>
      <c r="M56" s="85" t="s">
        <v>639</v>
      </c>
      <c r="N56" s="82" t="s">
        <v>640</v>
      </c>
      <c r="O56" s="4"/>
      <c r="P56" s="4"/>
      <c r="Q56" s="5">
        <v>52550</v>
      </c>
      <c r="R56" s="36"/>
      <c r="S56" s="36"/>
      <c r="T56" s="37"/>
      <c r="U56" s="5">
        <f t="shared" si="22"/>
        <v>52550</v>
      </c>
      <c r="V56" s="5">
        <f t="shared" si="26"/>
        <v>722037</v>
      </c>
      <c r="W56" s="5">
        <f t="shared" si="27"/>
        <v>129966.65999999999</v>
      </c>
      <c r="X56" s="5"/>
      <c r="Y56" s="5"/>
      <c r="Z56" s="98"/>
      <c r="AA56" s="23">
        <f t="shared" si="23"/>
        <v>0</v>
      </c>
      <c r="AB56" s="97">
        <f t="shared" si="24"/>
        <v>0</v>
      </c>
      <c r="AC56" s="43"/>
      <c r="AD56" s="46"/>
      <c r="AE56" s="5">
        <f t="shared" si="25"/>
        <v>852003.66</v>
      </c>
      <c r="AF56" s="47" t="s">
        <v>840</v>
      </c>
      <c r="AG56" s="44" t="s">
        <v>802</v>
      </c>
      <c r="AH56" s="13">
        <v>13.74</v>
      </c>
      <c r="AI56" s="12"/>
      <c r="AJ56" s="40"/>
      <c r="AK56" s="40"/>
    </row>
    <row r="57" spans="2:37" s="41" customFormat="1" ht="16.149999999999999" customHeight="1">
      <c r="B57" s="12"/>
      <c r="C57" s="1"/>
      <c r="D57" s="4"/>
      <c r="E57" s="86" t="s">
        <v>558</v>
      </c>
      <c r="F57" s="13">
        <v>26.97</v>
      </c>
      <c r="G57" s="14">
        <f t="shared" si="21"/>
        <v>26970</v>
      </c>
      <c r="H57" s="49">
        <v>12</v>
      </c>
      <c r="I57" s="83" t="s">
        <v>641</v>
      </c>
      <c r="J57" s="85" t="s">
        <v>625</v>
      </c>
      <c r="K57" s="82" t="s">
        <v>638</v>
      </c>
      <c r="L57" s="4"/>
      <c r="M57" s="85" t="s">
        <v>639</v>
      </c>
      <c r="N57" s="82" t="s">
        <v>640</v>
      </c>
      <c r="O57" s="4"/>
      <c r="P57" s="4"/>
      <c r="Q57" s="5">
        <v>52550</v>
      </c>
      <c r="R57" s="36"/>
      <c r="S57" s="36"/>
      <c r="T57" s="37"/>
      <c r="U57" s="5">
        <f t="shared" si="22"/>
        <v>52550</v>
      </c>
      <c r="V57" s="5">
        <f t="shared" si="26"/>
        <v>1417273.5</v>
      </c>
      <c r="W57" s="5">
        <f t="shared" si="27"/>
        <v>255109.22999999998</v>
      </c>
      <c r="X57" s="5"/>
      <c r="Y57" s="5"/>
      <c r="Z57" s="98"/>
      <c r="AA57" s="23">
        <f t="shared" si="23"/>
        <v>0</v>
      </c>
      <c r="AB57" s="97">
        <f t="shared" si="24"/>
        <v>0</v>
      </c>
      <c r="AC57" s="43"/>
      <c r="AD57" s="46"/>
      <c r="AE57" s="5">
        <f t="shared" si="25"/>
        <v>1672382.73</v>
      </c>
      <c r="AF57" s="47" t="s">
        <v>841</v>
      </c>
      <c r="AG57" s="44" t="s">
        <v>802</v>
      </c>
      <c r="AH57" s="13">
        <v>26.97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86" t="s">
        <v>558</v>
      </c>
      <c r="F58" s="13">
        <v>13.385999999999999</v>
      </c>
      <c r="G58" s="14">
        <f t="shared" si="21"/>
        <v>13386</v>
      </c>
      <c r="H58" s="49">
        <v>6</v>
      </c>
      <c r="I58" s="83" t="s">
        <v>642</v>
      </c>
      <c r="J58" s="85" t="s">
        <v>625</v>
      </c>
      <c r="K58" s="82" t="s">
        <v>643</v>
      </c>
      <c r="L58" s="4"/>
      <c r="M58" s="85" t="s">
        <v>639</v>
      </c>
      <c r="N58" s="82" t="s">
        <v>644</v>
      </c>
      <c r="O58" s="4"/>
      <c r="P58" s="4"/>
      <c r="Q58" s="5">
        <v>52550</v>
      </c>
      <c r="R58" s="36"/>
      <c r="S58" s="36"/>
      <c r="T58" s="37"/>
      <c r="U58" s="5">
        <f t="shared" si="22"/>
        <v>52550</v>
      </c>
      <c r="V58" s="5">
        <f t="shared" si="26"/>
        <v>703434.29999999993</v>
      </c>
      <c r="W58" s="5">
        <f t="shared" si="27"/>
        <v>126618.17399999998</v>
      </c>
      <c r="X58" s="5"/>
      <c r="Y58" s="5"/>
      <c r="Z58" s="98"/>
      <c r="AA58" s="23">
        <f t="shared" si="23"/>
        <v>0</v>
      </c>
      <c r="AB58" s="97">
        <f t="shared" si="24"/>
        <v>0</v>
      </c>
      <c r="AC58" s="43"/>
      <c r="AD58" s="46"/>
      <c r="AE58" s="5">
        <f t="shared" si="25"/>
        <v>830052.47399999993</v>
      </c>
      <c r="AF58" s="47" t="s">
        <v>842</v>
      </c>
      <c r="AG58" s="44" t="s">
        <v>802</v>
      </c>
      <c r="AH58" s="13">
        <v>13.385999999999999</v>
      </c>
      <c r="AI58" s="12"/>
      <c r="AJ58" s="40"/>
      <c r="AK58" s="40"/>
    </row>
    <row r="59" spans="2:37" s="41" customFormat="1" ht="16.149999999999999" customHeight="1">
      <c r="B59" s="12"/>
      <c r="C59" s="1"/>
      <c r="D59" s="4"/>
      <c r="E59" s="86" t="s">
        <v>558</v>
      </c>
      <c r="F59" s="13">
        <v>13.74</v>
      </c>
      <c r="G59" s="14">
        <f t="shared" si="21"/>
        <v>13740</v>
      </c>
      <c r="H59" s="49">
        <v>6</v>
      </c>
      <c r="I59" s="83" t="s">
        <v>645</v>
      </c>
      <c r="J59" s="85" t="s">
        <v>625</v>
      </c>
      <c r="K59" s="82" t="s">
        <v>643</v>
      </c>
      <c r="L59" s="4"/>
      <c r="M59" s="85" t="s">
        <v>639</v>
      </c>
      <c r="N59" s="82" t="s">
        <v>644</v>
      </c>
      <c r="O59" s="4"/>
      <c r="P59" s="4"/>
      <c r="Q59" s="5">
        <v>52550</v>
      </c>
      <c r="R59" s="36"/>
      <c r="S59" s="36"/>
      <c r="T59" s="37"/>
      <c r="U59" s="5">
        <f t="shared" si="22"/>
        <v>52550</v>
      </c>
      <c r="V59" s="5">
        <f t="shared" si="26"/>
        <v>722037</v>
      </c>
      <c r="W59" s="5">
        <f t="shared" si="27"/>
        <v>129966.65999999999</v>
      </c>
      <c r="X59" s="5"/>
      <c r="Y59" s="5"/>
      <c r="Z59" s="98"/>
      <c r="AA59" s="23">
        <f t="shared" si="23"/>
        <v>0</v>
      </c>
      <c r="AB59" s="97">
        <f t="shared" si="24"/>
        <v>0</v>
      </c>
      <c r="AC59" s="43"/>
      <c r="AD59" s="46"/>
      <c r="AE59" s="5">
        <f t="shared" si="25"/>
        <v>852003.66</v>
      </c>
      <c r="AF59" s="47" t="s">
        <v>843</v>
      </c>
      <c r="AG59" s="44" t="s">
        <v>802</v>
      </c>
      <c r="AH59" s="13">
        <v>13.74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86" t="s">
        <v>558</v>
      </c>
      <c r="F60" s="13">
        <v>11.45</v>
      </c>
      <c r="G60" s="14">
        <f t="shared" si="21"/>
        <v>11450</v>
      </c>
      <c r="H60" s="49">
        <v>5</v>
      </c>
      <c r="I60" s="83" t="s">
        <v>646</v>
      </c>
      <c r="J60" s="85" t="s">
        <v>625</v>
      </c>
      <c r="K60" s="82" t="s">
        <v>643</v>
      </c>
      <c r="L60" s="4"/>
      <c r="M60" s="85" t="s">
        <v>639</v>
      </c>
      <c r="N60" s="82" t="s">
        <v>644</v>
      </c>
      <c r="O60" s="4"/>
      <c r="P60" s="4"/>
      <c r="Q60" s="5">
        <v>52550</v>
      </c>
      <c r="R60" s="36"/>
      <c r="S60" s="36"/>
      <c r="T60" s="37"/>
      <c r="U60" s="5">
        <f t="shared" si="22"/>
        <v>52550</v>
      </c>
      <c r="V60" s="5">
        <f t="shared" si="26"/>
        <v>601697.5</v>
      </c>
      <c r="W60" s="5">
        <f t="shared" si="27"/>
        <v>108305.55</v>
      </c>
      <c r="X60" s="5"/>
      <c r="Y60" s="5"/>
      <c r="Z60" s="98"/>
      <c r="AA60" s="23">
        <f t="shared" si="23"/>
        <v>0</v>
      </c>
      <c r="AB60" s="97">
        <f t="shared" si="24"/>
        <v>0</v>
      </c>
      <c r="AC60" s="43"/>
      <c r="AD60" s="46"/>
      <c r="AE60" s="5">
        <f t="shared" si="25"/>
        <v>710003.05</v>
      </c>
      <c r="AF60" s="47" t="s">
        <v>844</v>
      </c>
      <c r="AG60" s="44" t="s">
        <v>802</v>
      </c>
      <c r="AH60" s="13">
        <v>11.45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86" t="s">
        <v>558</v>
      </c>
      <c r="F61" s="13">
        <v>2.29</v>
      </c>
      <c r="G61" s="14">
        <f t="shared" si="21"/>
        <v>2290</v>
      </c>
      <c r="H61" s="49">
        <v>1</v>
      </c>
      <c r="I61" s="83" t="s">
        <v>665</v>
      </c>
      <c r="J61" s="85" t="s">
        <v>625</v>
      </c>
      <c r="K61" s="82" t="s">
        <v>643</v>
      </c>
      <c r="L61" s="4"/>
      <c r="M61" s="85" t="s">
        <v>639</v>
      </c>
      <c r="N61" s="82" t="s">
        <v>644</v>
      </c>
      <c r="O61" s="4"/>
      <c r="P61" s="4"/>
      <c r="Q61" s="5">
        <v>52550</v>
      </c>
      <c r="R61" s="36"/>
      <c r="S61" s="36"/>
      <c r="T61" s="37"/>
      <c r="U61" s="5">
        <f t="shared" si="22"/>
        <v>52550</v>
      </c>
      <c r="V61" s="5">
        <f t="shared" si="26"/>
        <v>120339.5</v>
      </c>
      <c r="W61" s="5">
        <f t="shared" si="27"/>
        <v>21661.11</v>
      </c>
      <c r="X61" s="5"/>
      <c r="Y61" s="5"/>
      <c r="Z61" s="98"/>
      <c r="AA61" s="23">
        <f t="shared" si="23"/>
        <v>0</v>
      </c>
      <c r="AB61" s="97">
        <f t="shared" si="24"/>
        <v>0</v>
      </c>
      <c r="AC61" s="43"/>
      <c r="AD61" s="46"/>
      <c r="AE61" s="5">
        <f t="shared" si="25"/>
        <v>142000.60999999999</v>
      </c>
      <c r="AF61" s="47" t="s">
        <v>845</v>
      </c>
      <c r="AG61" s="44" t="s">
        <v>802</v>
      </c>
      <c r="AH61" s="13">
        <v>2.29</v>
      </c>
      <c r="AI61" s="12"/>
      <c r="AJ61" s="40"/>
      <c r="AK61" s="40"/>
    </row>
    <row r="62" spans="2:37" s="41" customFormat="1" ht="16.149999999999999" customHeight="1">
      <c r="B62" s="12"/>
      <c r="C62" s="1"/>
      <c r="D62" s="4"/>
      <c r="E62" s="86" t="s">
        <v>558</v>
      </c>
      <c r="F62" s="13">
        <v>13.74</v>
      </c>
      <c r="G62" s="14">
        <f t="shared" si="21"/>
        <v>13740</v>
      </c>
      <c r="H62" s="49">
        <v>6</v>
      </c>
      <c r="I62" s="83" t="s">
        <v>647</v>
      </c>
      <c r="J62" s="85" t="s">
        <v>625</v>
      </c>
      <c r="K62" s="82" t="s">
        <v>648</v>
      </c>
      <c r="L62" s="4"/>
      <c r="M62" s="85" t="s">
        <v>639</v>
      </c>
      <c r="N62" s="82" t="s">
        <v>649</v>
      </c>
      <c r="O62" s="4"/>
      <c r="P62" s="4"/>
      <c r="Q62" s="5">
        <v>52550</v>
      </c>
      <c r="R62" s="36"/>
      <c r="S62" s="36"/>
      <c r="T62" s="37"/>
      <c r="U62" s="5">
        <f t="shared" si="22"/>
        <v>52550</v>
      </c>
      <c r="V62" s="5">
        <f t="shared" si="26"/>
        <v>722037</v>
      </c>
      <c r="W62" s="5">
        <f t="shared" si="27"/>
        <v>129966.65999999999</v>
      </c>
      <c r="X62" s="5"/>
      <c r="Y62" s="5"/>
      <c r="Z62" s="98"/>
      <c r="AA62" s="23">
        <f t="shared" si="23"/>
        <v>0</v>
      </c>
      <c r="AB62" s="97">
        <f t="shared" si="24"/>
        <v>0</v>
      </c>
      <c r="AC62" s="43"/>
      <c r="AD62" s="46"/>
      <c r="AE62" s="5">
        <f t="shared" si="25"/>
        <v>852003.66</v>
      </c>
      <c r="AF62" s="47" t="s">
        <v>846</v>
      </c>
      <c r="AG62" s="44" t="s">
        <v>802</v>
      </c>
      <c r="AH62" s="13">
        <v>13.74</v>
      </c>
      <c r="AI62" s="12"/>
      <c r="AJ62" s="40"/>
      <c r="AK62" s="40"/>
    </row>
    <row r="63" spans="2:37" s="41" customFormat="1" ht="16.149999999999999" customHeight="1">
      <c r="B63" s="12"/>
      <c r="C63" s="1"/>
      <c r="D63" s="4"/>
      <c r="E63" s="86" t="s">
        <v>558</v>
      </c>
      <c r="F63" s="13">
        <v>27.03</v>
      </c>
      <c r="G63" s="14">
        <f t="shared" si="21"/>
        <v>27030</v>
      </c>
      <c r="H63" s="49">
        <v>12</v>
      </c>
      <c r="I63" s="83" t="s">
        <v>650</v>
      </c>
      <c r="J63" s="85" t="s">
        <v>625</v>
      </c>
      <c r="K63" s="82" t="s">
        <v>648</v>
      </c>
      <c r="L63" s="4"/>
      <c r="M63" s="85" t="s">
        <v>639</v>
      </c>
      <c r="N63" s="82" t="s">
        <v>649</v>
      </c>
      <c r="O63" s="4"/>
      <c r="P63" s="4"/>
      <c r="Q63" s="5">
        <v>52550</v>
      </c>
      <c r="R63" s="36"/>
      <c r="S63" s="36"/>
      <c r="T63" s="37"/>
      <c r="U63" s="5">
        <f t="shared" si="22"/>
        <v>52550</v>
      </c>
      <c r="V63" s="5">
        <f t="shared" si="26"/>
        <v>1420426.5</v>
      </c>
      <c r="W63" s="5">
        <f t="shared" si="27"/>
        <v>255676.77</v>
      </c>
      <c r="X63" s="5"/>
      <c r="Y63" s="5"/>
      <c r="Z63" s="98"/>
      <c r="AA63" s="23">
        <f t="shared" si="23"/>
        <v>0</v>
      </c>
      <c r="AB63" s="97">
        <f t="shared" si="24"/>
        <v>0</v>
      </c>
      <c r="AC63" s="43"/>
      <c r="AD63" s="46"/>
      <c r="AE63" s="5">
        <f t="shared" si="25"/>
        <v>1676103.27</v>
      </c>
      <c r="AF63" s="47" t="s">
        <v>847</v>
      </c>
      <c r="AG63" s="44" t="s">
        <v>802</v>
      </c>
      <c r="AH63" s="13">
        <v>27.03</v>
      </c>
      <c r="AI63" s="12"/>
      <c r="AJ63" s="40"/>
      <c r="AK63" s="40"/>
    </row>
    <row r="64" spans="2:37" s="41" customFormat="1" ht="16.149999999999999" customHeight="1">
      <c r="B64" s="12"/>
      <c r="C64" s="1"/>
      <c r="D64" s="4"/>
      <c r="E64" s="86" t="s">
        <v>558</v>
      </c>
      <c r="F64" s="13">
        <v>6.87</v>
      </c>
      <c r="G64" s="14">
        <f t="shared" si="21"/>
        <v>6870</v>
      </c>
      <c r="H64" s="49">
        <v>3</v>
      </c>
      <c r="I64" s="83" t="s">
        <v>651</v>
      </c>
      <c r="J64" s="85" t="s">
        <v>625</v>
      </c>
      <c r="K64" s="82" t="s">
        <v>652</v>
      </c>
      <c r="L64" s="4"/>
      <c r="M64" s="85" t="s">
        <v>639</v>
      </c>
      <c r="N64" s="82" t="s">
        <v>653</v>
      </c>
      <c r="O64" s="4"/>
      <c r="P64" s="4"/>
      <c r="Q64" s="5">
        <v>52550</v>
      </c>
      <c r="R64" s="36"/>
      <c r="S64" s="36"/>
      <c r="T64" s="37"/>
      <c r="U64" s="5">
        <f t="shared" si="22"/>
        <v>52550</v>
      </c>
      <c r="V64" s="5">
        <f t="shared" si="26"/>
        <v>361018.5</v>
      </c>
      <c r="W64" s="5">
        <f t="shared" si="27"/>
        <v>64983.329999999994</v>
      </c>
      <c r="X64" s="5"/>
      <c r="Y64" s="5"/>
      <c r="Z64" s="98"/>
      <c r="AA64" s="23">
        <f t="shared" si="23"/>
        <v>0</v>
      </c>
      <c r="AB64" s="97">
        <f t="shared" si="24"/>
        <v>0</v>
      </c>
      <c r="AC64" s="43"/>
      <c r="AD64" s="46"/>
      <c r="AE64" s="5">
        <f t="shared" si="25"/>
        <v>426001.83</v>
      </c>
      <c r="AF64" s="47" t="s">
        <v>848</v>
      </c>
      <c r="AG64" s="44" t="s">
        <v>802</v>
      </c>
      <c r="AH64" s="13">
        <v>6.87</v>
      </c>
      <c r="AI64" s="12"/>
      <c r="AJ64" s="40"/>
      <c r="AK64" s="40"/>
    </row>
    <row r="65" spans="2:37" s="41" customFormat="1" ht="16.149999999999999" customHeight="1">
      <c r="B65" s="12"/>
      <c r="C65" s="1"/>
      <c r="D65" s="4"/>
      <c r="E65" s="86" t="s">
        <v>558</v>
      </c>
      <c r="F65" s="13">
        <v>20.25</v>
      </c>
      <c r="G65" s="14">
        <f t="shared" si="21"/>
        <v>20250</v>
      </c>
      <c r="H65" s="49">
        <v>9</v>
      </c>
      <c r="I65" s="83" t="s">
        <v>654</v>
      </c>
      <c r="J65" s="85" t="s">
        <v>625</v>
      </c>
      <c r="K65" s="82" t="s">
        <v>652</v>
      </c>
      <c r="L65" s="4"/>
      <c r="M65" s="85" t="s">
        <v>639</v>
      </c>
      <c r="N65" s="82" t="s">
        <v>653</v>
      </c>
      <c r="O65" s="4"/>
      <c r="P65" s="4"/>
      <c r="Q65" s="5">
        <v>52550</v>
      </c>
      <c r="R65" s="36"/>
      <c r="S65" s="36"/>
      <c r="T65" s="37"/>
      <c r="U65" s="5">
        <f t="shared" si="22"/>
        <v>52550</v>
      </c>
      <c r="V65" s="5">
        <f t="shared" si="26"/>
        <v>1064137.5</v>
      </c>
      <c r="W65" s="5">
        <f t="shared" si="27"/>
        <v>191544.75</v>
      </c>
      <c r="X65" s="5"/>
      <c r="Y65" s="5"/>
      <c r="Z65" s="98"/>
      <c r="AA65" s="23">
        <f t="shared" si="23"/>
        <v>0</v>
      </c>
      <c r="AB65" s="97">
        <f t="shared" si="24"/>
        <v>0</v>
      </c>
      <c r="AC65" s="43"/>
      <c r="AD65" s="46"/>
      <c r="AE65" s="5">
        <f t="shared" si="25"/>
        <v>1255682.25</v>
      </c>
      <c r="AF65" s="47" t="s">
        <v>849</v>
      </c>
      <c r="AG65" s="44" t="s">
        <v>802</v>
      </c>
      <c r="AH65" s="13">
        <v>20.25</v>
      </c>
      <c r="AI65" s="12"/>
      <c r="AJ65" s="40"/>
      <c r="AK65" s="40"/>
    </row>
    <row r="66" spans="2:37" s="41" customFormat="1" ht="16.149999999999999" customHeight="1">
      <c r="B66" s="12"/>
      <c r="C66" s="1"/>
      <c r="D66" s="4"/>
      <c r="E66" s="86" t="s">
        <v>558</v>
      </c>
      <c r="F66" s="13">
        <v>13.74</v>
      </c>
      <c r="G66" s="14">
        <f t="shared" si="21"/>
        <v>13740</v>
      </c>
      <c r="H66" s="49">
        <v>6</v>
      </c>
      <c r="I66" s="83" t="s">
        <v>655</v>
      </c>
      <c r="J66" s="85" t="s">
        <v>625</v>
      </c>
      <c r="K66" s="82" t="s">
        <v>652</v>
      </c>
      <c r="L66" s="4"/>
      <c r="M66" s="85" t="s">
        <v>639</v>
      </c>
      <c r="N66" s="82" t="s">
        <v>653</v>
      </c>
      <c r="O66" s="4"/>
      <c r="P66" s="4"/>
      <c r="Q66" s="5">
        <v>52550</v>
      </c>
      <c r="R66" s="36"/>
      <c r="S66" s="36"/>
      <c r="T66" s="37"/>
      <c r="U66" s="5">
        <f t="shared" si="22"/>
        <v>52550</v>
      </c>
      <c r="V66" s="5">
        <f t="shared" si="26"/>
        <v>722037</v>
      </c>
      <c r="W66" s="5">
        <f t="shared" si="27"/>
        <v>129966.65999999999</v>
      </c>
      <c r="X66" s="5"/>
      <c r="Y66" s="5"/>
      <c r="Z66" s="98"/>
      <c r="AA66" s="23">
        <f t="shared" si="23"/>
        <v>0</v>
      </c>
      <c r="AB66" s="97">
        <f t="shared" si="24"/>
        <v>0</v>
      </c>
      <c r="AC66" s="43"/>
      <c r="AD66" s="46"/>
      <c r="AE66" s="5">
        <f t="shared" si="25"/>
        <v>852003.66</v>
      </c>
      <c r="AF66" s="47" t="s">
        <v>850</v>
      </c>
      <c r="AG66" s="44" t="s">
        <v>802</v>
      </c>
      <c r="AH66" s="13">
        <v>13.74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86" t="s">
        <v>558</v>
      </c>
      <c r="F67" s="13">
        <v>13.754</v>
      </c>
      <c r="G67" s="14">
        <f t="shared" si="21"/>
        <v>13754</v>
      </c>
      <c r="H67" s="49">
        <v>6</v>
      </c>
      <c r="I67" s="83" t="s">
        <v>656</v>
      </c>
      <c r="J67" s="85" t="s">
        <v>625</v>
      </c>
      <c r="K67" s="82" t="s">
        <v>657</v>
      </c>
      <c r="L67" s="4"/>
      <c r="M67" s="85" t="s">
        <v>639</v>
      </c>
      <c r="N67" s="82" t="s">
        <v>658</v>
      </c>
      <c r="O67" s="4"/>
      <c r="P67" s="4"/>
      <c r="Q67" s="5">
        <v>52550</v>
      </c>
      <c r="R67" s="36"/>
      <c r="S67" s="36"/>
      <c r="T67" s="37"/>
      <c r="U67" s="5">
        <f t="shared" si="22"/>
        <v>52550</v>
      </c>
      <c r="V67" s="5">
        <f t="shared" si="26"/>
        <v>722772.7</v>
      </c>
      <c r="W67" s="5">
        <f t="shared" si="27"/>
        <v>130099.08599999998</v>
      </c>
      <c r="X67" s="5"/>
      <c r="Y67" s="5"/>
      <c r="Z67" s="98"/>
      <c r="AA67" s="23">
        <f t="shared" si="23"/>
        <v>0</v>
      </c>
      <c r="AB67" s="97">
        <f t="shared" si="24"/>
        <v>0</v>
      </c>
      <c r="AC67" s="43"/>
      <c r="AD67" s="46"/>
      <c r="AE67" s="5">
        <f t="shared" si="25"/>
        <v>852871.78599999996</v>
      </c>
      <c r="AF67" s="47" t="s">
        <v>851</v>
      </c>
      <c r="AG67" s="44" t="s">
        <v>802</v>
      </c>
      <c r="AH67" s="13">
        <v>13.754</v>
      </c>
      <c r="AI67" s="12"/>
      <c r="AJ67" s="40"/>
      <c r="AK67" s="40"/>
    </row>
    <row r="68" spans="2:37" s="41" customFormat="1" ht="16.149999999999999" customHeight="1">
      <c r="B68" s="12"/>
      <c r="C68" s="1"/>
      <c r="D68" s="4"/>
      <c r="E68" s="86" t="s">
        <v>558</v>
      </c>
      <c r="F68" s="13">
        <v>13.28</v>
      </c>
      <c r="G68" s="14">
        <f t="shared" si="21"/>
        <v>13280</v>
      </c>
      <c r="H68" s="49">
        <v>6</v>
      </c>
      <c r="I68" s="83" t="s">
        <v>659</v>
      </c>
      <c r="J68" s="85" t="s">
        <v>625</v>
      </c>
      <c r="K68" s="82" t="s">
        <v>657</v>
      </c>
      <c r="L68" s="4"/>
      <c r="M68" s="85" t="s">
        <v>639</v>
      </c>
      <c r="N68" s="82" t="s">
        <v>658</v>
      </c>
      <c r="O68" s="4"/>
      <c r="P68" s="4"/>
      <c r="Q68" s="5">
        <v>52550</v>
      </c>
      <c r="R68" s="36"/>
      <c r="S68" s="36"/>
      <c r="T68" s="37"/>
      <c r="U68" s="5">
        <f t="shared" si="22"/>
        <v>52550</v>
      </c>
      <c r="V68" s="5">
        <f t="shared" si="26"/>
        <v>697864</v>
      </c>
      <c r="W68" s="5">
        <f t="shared" si="27"/>
        <v>125615.51999999999</v>
      </c>
      <c r="X68" s="5"/>
      <c r="Y68" s="5"/>
      <c r="Z68" s="98"/>
      <c r="AA68" s="23">
        <f t="shared" si="23"/>
        <v>0</v>
      </c>
      <c r="AB68" s="97">
        <f t="shared" si="24"/>
        <v>0</v>
      </c>
      <c r="AC68" s="43"/>
      <c r="AD68" s="46"/>
      <c r="AE68" s="5">
        <f t="shared" si="25"/>
        <v>823479.52</v>
      </c>
      <c r="AF68" s="47" t="s">
        <v>852</v>
      </c>
      <c r="AG68" s="44" t="s">
        <v>802</v>
      </c>
      <c r="AH68" s="13">
        <v>13.28</v>
      </c>
      <c r="AI68" s="12"/>
      <c r="AJ68" s="40"/>
      <c r="AK68" s="40"/>
    </row>
    <row r="69" spans="2:37" s="41" customFormat="1" ht="16.149999999999999" customHeight="1">
      <c r="B69" s="12"/>
      <c r="C69" s="1"/>
      <c r="D69" s="4"/>
      <c r="E69" s="86" t="s">
        <v>558</v>
      </c>
      <c r="F69" s="13">
        <v>13.726000000000001</v>
      </c>
      <c r="G69" s="14">
        <f t="shared" si="21"/>
        <v>13726</v>
      </c>
      <c r="H69" s="49">
        <v>6</v>
      </c>
      <c r="I69" s="83" t="s">
        <v>660</v>
      </c>
      <c r="J69" s="85" t="s">
        <v>625</v>
      </c>
      <c r="K69" s="82" t="s">
        <v>657</v>
      </c>
      <c r="L69" s="4"/>
      <c r="M69" s="85" t="s">
        <v>639</v>
      </c>
      <c r="N69" s="82" t="s">
        <v>658</v>
      </c>
      <c r="O69" s="4"/>
      <c r="P69" s="4"/>
      <c r="Q69" s="5">
        <v>52550</v>
      </c>
      <c r="R69" s="36"/>
      <c r="S69" s="36"/>
      <c r="T69" s="37"/>
      <c r="U69" s="5">
        <f t="shared" si="22"/>
        <v>52550</v>
      </c>
      <c r="V69" s="5">
        <f t="shared" si="26"/>
        <v>721301.3</v>
      </c>
      <c r="W69" s="5">
        <f t="shared" si="27"/>
        <v>129834.234</v>
      </c>
      <c r="X69" s="5"/>
      <c r="Y69" s="5"/>
      <c r="Z69" s="98"/>
      <c r="AA69" s="23">
        <f t="shared" si="23"/>
        <v>0</v>
      </c>
      <c r="AB69" s="97">
        <f t="shared" si="24"/>
        <v>0</v>
      </c>
      <c r="AC69" s="43"/>
      <c r="AD69" s="46"/>
      <c r="AE69" s="5">
        <f t="shared" si="25"/>
        <v>851135.53399999999</v>
      </c>
      <c r="AF69" s="47" t="s">
        <v>853</v>
      </c>
      <c r="AG69" s="44" t="s">
        <v>802</v>
      </c>
      <c r="AH69" s="13">
        <v>13.726000000000001</v>
      </c>
      <c r="AI69" s="12"/>
      <c r="AJ69" s="40"/>
      <c r="AK69" s="40"/>
    </row>
    <row r="70" spans="2:37" s="41" customFormat="1" ht="16.149999999999999" customHeight="1">
      <c r="B70" s="12"/>
      <c r="C70" s="1"/>
      <c r="D70" s="4"/>
      <c r="E70" s="86" t="s">
        <v>558</v>
      </c>
      <c r="F70" s="13">
        <v>40.597000000000001</v>
      </c>
      <c r="G70" s="14">
        <f t="shared" si="21"/>
        <v>40597</v>
      </c>
      <c r="H70" s="49">
        <v>18</v>
      </c>
      <c r="I70" s="83" t="s">
        <v>661</v>
      </c>
      <c r="J70" s="85" t="s">
        <v>664</v>
      </c>
      <c r="K70" s="82" t="s">
        <v>662</v>
      </c>
      <c r="L70" s="4"/>
      <c r="M70" s="85" t="s">
        <v>639</v>
      </c>
      <c r="N70" s="82" t="s">
        <v>663</v>
      </c>
      <c r="O70" s="4"/>
      <c r="P70" s="4"/>
      <c r="Q70" s="5">
        <v>52550</v>
      </c>
      <c r="R70" s="36"/>
      <c r="S70" s="36"/>
      <c r="T70" s="37"/>
      <c r="U70" s="5">
        <f t="shared" si="22"/>
        <v>52550</v>
      </c>
      <c r="V70" s="5">
        <f t="shared" si="26"/>
        <v>2133372.35</v>
      </c>
      <c r="W70" s="5">
        <f t="shared" si="27"/>
        <v>384007.02299999999</v>
      </c>
      <c r="X70" s="5"/>
      <c r="Y70" s="5"/>
      <c r="Z70" s="98"/>
      <c r="AA70" s="23">
        <f t="shared" si="23"/>
        <v>0</v>
      </c>
      <c r="AB70" s="97">
        <f t="shared" si="24"/>
        <v>0</v>
      </c>
      <c r="AC70" s="43"/>
      <c r="AD70" s="46"/>
      <c r="AE70" s="5">
        <f t="shared" si="25"/>
        <v>2517379.3730000001</v>
      </c>
      <c r="AF70" s="47" t="s">
        <v>854</v>
      </c>
      <c r="AG70" s="44" t="s">
        <v>802</v>
      </c>
      <c r="AH70" s="13">
        <v>40.597000000000001</v>
      </c>
      <c r="AI70" s="12"/>
      <c r="AJ70" s="40"/>
      <c r="AK70" s="40"/>
    </row>
    <row r="71" spans="2:37" s="41" customFormat="1" ht="16.149999999999999" customHeight="1">
      <c r="B71" s="12"/>
      <c r="C71" s="1"/>
      <c r="D71" s="4"/>
      <c r="E71" s="86" t="s">
        <v>558</v>
      </c>
      <c r="F71" s="13">
        <v>4.58</v>
      </c>
      <c r="G71" s="14">
        <f t="shared" si="21"/>
        <v>4580</v>
      </c>
      <c r="H71" s="49">
        <v>2</v>
      </c>
      <c r="I71" s="83" t="s">
        <v>667</v>
      </c>
      <c r="J71" s="85" t="s">
        <v>668</v>
      </c>
      <c r="K71" s="82" t="s">
        <v>669</v>
      </c>
      <c r="L71" s="4"/>
      <c r="M71" s="85" t="s">
        <v>670</v>
      </c>
      <c r="N71" s="82" t="s">
        <v>671</v>
      </c>
      <c r="O71" s="4"/>
      <c r="P71" s="4"/>
      <c r="Q71" s="5">
        <v>52550</v>
      </c>
      <c r="R71" s="36"/>
      <c r="S71" s="36"/>
      <c r="T71" s="37"/>
      <c r="U71" s="5">
        <f t="shared" si="22"/>
        <v>52550</v>
      </c>
      <c r="V71" s="5">
        <f t="shared" si="26"/>
        <v>240679</v>
      </c>
      <c r="W71" s="5">
        <f t="shared" si="27"/>
        <v>43322.22</v>
      </c>
      <c r="X71" s="5"/>
      <c r="Y71" s="5"/>
      <c r="Z71" s="98"/>
      <c r="AA71" s="23">
        <f t="shared" si="23"/>
        <v>0</v>
      </c>
      <c r="AB71" s="97">
        <f t="shared" si="24"/>
        <v>0</v>
      </c>
      <c r="AC71" s="43"/>
      <c r="AD71" s="46"/>
      <c r="AE71" s="5">
        <f t="shared" si="25"/>
        <v>284001.21999999997</v>
      </c>
      <c r="AF71" s="47" t="s">
        <v>856</v>
      </c>
      <c r="AG71" s="44" t="s">
        <v>690</v>
      </c>
      <c r="AH71" s="13">
        <v>4.58</v>
      </c>
      <c r="AI71" s="12"/>
      <c r="AJ71" s="40"/>
      <c r="AK71" s="40"/>
    </row>
    <row r="72" spans="2:37" s="41" customFormat="1" ht="16.149999999999999" customHeight="1">
      <c r="B72" s="12"/>
      <c r="C72" s="1"/>
      <c r="D72" s="4"/>
      <c r="E72" s="86" t="s">
        <v>558</v>
      </c>
      <c r="F72" s="13">
        <v>6.6280000000000001</v>
      </c>
      <c r="G72" s="14">
        <f t="shared" si="21"/>
        <v>6628</v>
      </c>
      <c r="H72" s="49">
        <v>3</v>
      </c>
      <c r="I72" s="83" t="s">
        <v>672</v>
      </c>
      <c r="J72" s="85" t="s">
        <v>668</v>
      </c>
      <c r="K72" s="82" t="s">
        <v>669</v>
      </c>
      <c r="L72" s="4"/>
      <c r="M72" s="85" t="s">
        <v>670</v>
      </c>
      <c r="N72" s="82" t="s">
        <v>671</v>
      </c>
      <c r="O72" s="4"/>
      <c r="P72" s="4"/>
      <c r="Q72" s="5">
        <v>52550</v>
      </c>
      <c r="R72" s="36"/>
      <c r="S72" s="36"/>
      <c r="T72" s="37"/>
      <c r="U72" s="5">
        <f t="shared" si="22"/>
        <v>52550</v>
      </c>
      <c r="V72" s="5">
        <f t="shared" si="26"/>
        <v>348301.4</v>
      </c>
      <c r="W72" s="5">
        <f t="shared" si="27"/>
        <v>62694.252</v>
      </c>
      <c r="X72" s="5"/>
      <c r="Y72" s="5"/>
      <c r="Z72" s="98"/>
      <c r="AA72" s="23">
        <f t="shared" si="23"/>
        <v>0</v>
      </c>
      <c r="AB72" s="97">
        <f t="shared" si="24"/>
        <v>0</v>
      </c>
      <c r="AC72" s="43"/>
      <c r="AD72" s="46"/>
      <c r="AE72" s="5">
        <f t="shared" si="25"/>
        <v>410995.652</v>
      </c>
      <c r="AF72" s="47" t="s">
        <v>857</v>
      </c>
      <c r="AG72" s="44" t="s">
        <v>690</v>
      </c>
      <c r="AH72" s="13">
        <v>6.6280000000000001</v>
      </c>
      <c r="AI72" s="12"/>
      <c r="AJ72" s="40"/>
      <c r="AK72" s="40"/>
    </row>
    <row r="73" spans="2:37" s="41" customFormat="1" ht="16.149999999999999" customHeight="1">
      <c r="B73" s="12"/>
      <c r="C73" s="1"/>
      <c r="D73" s="4"/>
      <c r="E73" s="86" t="s">
        <v>558</v>
      </c>
      <c r="F73" s="13">
        <v>2.29</v>
      </c>
      <c r="G73" s="14">
        <f t="shared" si="21"/>
        <v>2290</v>
      </c>
      <c r="H73" s="49">
        <v>1</v>
      </c>
      <c r="I73" s="83" t="s">
        <v>673</v>
      </c>
      <c r="J73" s="85" t="s">
        <v>668</v>
      </c>
      <c r="K73" s="82" t="s">
        <v>669</v>
      </c>
      <c r="L73" s="4"/>
      <c r="M73" s="85" t="s">
        <v>670</v>
      </c>
      <c r="N73" s="82" t="s">
        <v>671</v>
      </c>
      <c r="O73" s="4"/>
      <c r="P73" s="4"/>
      <c r="Q73" s="5">
        <v>52550</v>
      </c>
      <c r="R73" s="36"/>
      <c r="S73" s="36"/>
      <c r="T73" s="37"/>
      <c r="U73" s="5">
        <f t="shared" si="22"/>
        <v>52550</v>
      </c>
      <c r="V73" s="5">
        <f t="shared" si="26"/>
        <v>120339.5</v>
      </c>
      <c r="W73" s="5">
        <f t="shared" si="27"/>
        <v>21661.11</v>
      </c>
      <c r="X73" s="5"/>
      <c r="Y73" s="5"/>
      <c r="Z73" s="98"/>
      <c r="AA73" s="23">
        <f t="shared" si="23"/>
        <v>0</v>
      </c>
      <c r="AB73" s="97">
        <f t="shared" si="24"/>
        <v>0</v>
      </c>
      <c r="AC73" s="43"/>
      <c r="AD73" s="46"/>
      <c r="AE73" s="5">
        <f t="shared" si="25"/>
        <v>142000.60999999999</v>
      </c>
      <c r="AF73" s="47" t="s">
        <v>858</v>
      </c>
      <c r="AG73" s="44" t="s">
        <v>690</v>
      </c>
      <c r="AH73" s="13">
        <v>2.29</v>
      </c>
      <c r="AI73" s="12"/>
      <c r="AJ73" s="40"/>
      <c r="AK73" s="40"/>
    </row>
    <row r="74" spans="2:37" s="41" customFormat="1" ht="16.149999999999999" customHeight="1">
      <c r="B74" s="12"/>
      <c r="C74" s="1"/>
      <c r="D74" s="4"/>
      <c r="E74" s="86" t="s">
        <v>558</v>
      </c>
      <c r="F74" s="13">
        <v>2.3039999999999998</v>
      </c>
      <c r="G74" s="14">
        <f t="shared" si="21"/>
        <v>2304</v>
      </c>
      <c r="H74" s="49">
        <v>1</v>
      </c>
      <c r="I74" s="83" t="s">
        <v>674</v>
      </c>
      <c r="J74" s="85" t="s">
        <v>668</v>
      </c>
      <c r="K74" s="82" t="s">
        <v>669</v>
      </c>
      <c r="L74" s="4"/>
      <c r="M74" s="85" t="s">
        <v>670</v>
      </c>
      <c r="N74" s="82" t="s">
        <v>671</v>
      </c>
      <c r="O74" s="4"/>
      <c r="P74" s="4"/>
      <c r="Q74" s="5">
        <v>52550</v>
      </c>
      <c r="R74" s="36"/>
      <c r="S74" s="36"/>
      <c r="T74" s="37"/>
      <c r="U74" s="5">
        <f t="shared" si="22"/>
        <v>52550</v>
      </c>
      <c r="V74" s="5">
        <f t="shared" si="26"/>
        <v>121075.2</v>
      </c>
      <c r="W74" s="5">
        <f t="shared" si="27"/>
        <v>21793.536</v>
      </c>
      <c r="X74" s="5"/>
      <c r="Y74" s="5"/>
      <c r="Z74" s="98"/>
      <c r="AA74" s="23">
        <f t="shared" si="23"/>
        <v>0</v>
      </c>
      <c r="AB74" s="97">
        <f t="shared" si="24"/>
        <v>0</v>
      </c>
      <c r="AC74" s="43"/>
      <c r="AD74" s="46"/>
      <c r="AE74" s="5">
        <f t="shared" si="25"/>
        <v>142868.736</v>
      </c>
      <c r="AF74" s="47" t="s">
        <v>859</v>
      </c>
      <c r="AG74" s="44" t="s">
        <v>690</v>
      </c>
      <c r="AH74" s="13">
        <v>2.3039999999999998</v>
      </c>
      <c r="AI74" s="12"/>
      <c r="AJ74" s="40"/>
      <c r="AK74" s="40"/>
    </row>
    <row r="75" spans="2:37" s="41" customFormat="1" ht="16.149999999999999" customHeight="1">
      <c r="B75" s="12"/>
      <c r="C75" s="1"/>
      <c r="D75" s="4"/>
      <c r="E75" s="86" t="s">
        <v>558</v>
      </c>
      <c r="F75" s="13">
        <v>2.33</v>
      </c>
      <c r="G75" s="14">
        <f t="shared" si="21"/>
        <v>2330</v>
      </c>
      <c r="H75" s="49">
        <v>1</v>
      </c>
      <c r="I75" s="83" t="s">
        <v>675</v>
      </c>
      <c r="J75" s="85" t="s">
        <v>668</v>
      </c>
      <c r="K75" s="82" t="s">
        <v>669</v>
      </c>
      <c r="L75" s="4"/>
      <c r="M75" s="85" t="s">
        <v>670</v>
      </c>
      <c r="N75" s="82" t="s">
        <v>671</v>
      </c>
      <c r="O75" s="4"/>
      <c r="P75" s="4"/>
      <c r="Q75" s="5">
        <v>52550</v>
      </c>
      <c r="R75" s="36"/>
      <c r="S75" s="36"/>
      <c r="T75" s="37"/>
      <c r="U75" s="5">
        <f t="shared" si="22"/>
        <v>52550</v>
      </c>
      <c r="V75" s="5">
        <f t="shared" si="26"/>
        <v>122441.5</v>
      </c>
      <c r="W75" s="5">
        <f t="shared" si="27"/>
        <v>22039.469999999998</v>
      </c>
      <c r="X75" s="5"/>
      <c r="Y75" s="5"/>
      <c r="Z75" s="98"/>
      <c r="AA75" s="23">
        <f t="shared" si="23"/>
        <v>0</v>
      </c>
      <c r="AB75" s="97">
        <f t="shared" si="24"/>
        <v>0</v>
      </c>
      <c r="AC75" s="43"/>
      <c r="AD75" s="46"/>
      <c r="AE75" s="5">
        <f t="shared" si="25"/>
        <v>144480.97</v>
      </c>
      <c r="AF75" s="47" t="s">
        <v>860</v>
      </c>
      <c r="AG75" s="44" t="s">
        <v>690</v>
      </c>
      <c r="AH75" s="13">
        <v>2.33</v>
      </c>
      <c r="AI75" s="12"/>
      <c r="AJ75" s="40"/>
      <c r="AK75" s="40"/>
    </row>
    <row r="76" spans="2:37" s="41" customFormat="1" ht="16.149999999999999" customHeight="1">
      <c r="B76" s="12"/>
      <c r="C76" s="1"/>
      <c r="D76" s="4"/>
      <c r="E76" s="86" t="s">
        <v>558</v>
      </c>
      <c r="F76" s="13">
        <v>4.58</v>
      </c>
      <c r="G76" s="14">
        <f t="shared" si="21"/>
        <v>4580</v>
      </c>
      <c r="H76" s="49">
        <v>2</v>
      </c>
      <c r="I76" s="83" t="s">
        <v>676</v>
      </c>
      <c r="J76" s="85" t="s">
        <v>668</v>
      </c>
      <c r="K76" s="82" t="s">
        <v>677</v>
      </c>
      <c r="L76" s="4"/>
      <c r="M76" s="85" t="s">
        <v>670</v>
      </c>
      <c r="N76" s="82" t="s">
        <v>678</v>
      </c>
      <c r="O76" s="4"/>
      <c r="P76" s="4"/>
      <c r="Q76" s="5">
        <v>52550</v>
      </c>
      <c r="R76" s="36"/>
      <c r="S76" s="36"/>
      <c r="T76" s="37"/>
      <c r="U76" s="5">
        <f t="shared" si="22"/>
        <v>52550</v>
      </c>
      <c r="V76" s="5">
        <f t="shared" si="26"/>
        <v>240679</v>
      </c>
      <c r="W76" s="5">
        <f t="shared" si="27"/>
        <v>43322.22</v>
      </c>
      <c r="X76" s="5"/>
      <c r="Y76" s="5"/>
      <c r="Z76" s="98"/>
      <c r="AA76" s="23">
        <f t="shared" si="23"/>
        <v>0</v>
      </c>
      <c r="AB76" s="97">
        <f t="shared" si="24"/>
        <v>0</v>
      </c>
      <c r="AC76" s="43"/>
      <c r="AD76" s="46"/>
      <c r="AE76" s="5">
        <f t="shared" si="25"/>
        <v>284001.21999999997</v>
      </c>
      <c r="AF76" s="47" t="s">
        <v>861</v>
      </c>
      <c r="AG76" s="44" t="s">
        <v>690</v>
      </c>
      <c r="AH76" s="13">
        <v>4.58</v>
      </c>
      <c r="AI76" s="12"/>
      <c r="AJ76" s="40"/>
      <c r="AK76" s="40"/>
    </row>
    <row r="77" spans="2:37" s="41" customFormat="1" ht="16.149999999999999" customHeight="1">
      <c r="B77" s="12"/>
      <c r="C77" s="1"/>
      <c r="D77" s="4"/>
      <c r="E77" s="86" t="s">
        <v>558</v>
      </c>
      <c r="F77" s="13">
        <v>6.78</v>
      </c>
      <c r="G77" s="14">
        <f t="shared" si="21"/>
        <v>6780</v>
      </c>
      <c r="H77" s="49">
        <v>3</v>
      </c>
      <c r="I77" s="83" t="s">
        <v>679</v>
      </c>
      <c r="J77" s="85" t="s">
        <v>668</v>
      </c>
      <c r="K77" s="82" t="s">
        <v>677</v>
      </c>
      <c r="L77" s="4"/>
      <c r="M77" s="85" t="s">
        <v>670</v>
      </c>
      <c r="N77" s="82" t="s">
        <v>678</v>
      </c>
      <c r="O77" s="4"/>
      <c r="P77" s="4"/>
      <c r="Q77" s="5">
        <v>52550</v>
      </c>
      <c r="R77" s="36"/>
      <c r="S77" s="36"/>
      <c r="T77" s="37"/>
      <c r="U77" s="5">
        <f t="shared" si="22"/>
        <v>52550</v>
      </c>
      <c r="V77" s="5">
        <f t="shared" si="26"/>
        <v>356289</v>
      </c>
      <c r="W77" s="5">
        <f t="shared" si="27"/>
        <v>64132.02</v>
      </c>
      <c r="X77" s="5"/>
      <c r="Y77" s="5"/>
      <c r="Z77" s="98"/>
      <c r="AA77" s="23">
        <f t="shared" si="23"/>
        <v>0</v>
      </c>
      <c r="AB77" s="97">
        <f t="shared" si="24"/>
        <v>0</v>
      </c>
      <c r="AC77" s="43"/>
      <c r="AD77" s="46"/>
      <c r="AE77" s="5">
        <f t="shared" si="25"/>
        <v>420421.02</v>
      </c>
      <c r="AF77" s="47" t="s">
        <v>862</v>
      </c>
      <c r="AG77" s="44" t="s">
        <v>690</v>
      </c>
      <c r="AH77" s="13">
        <v>6.78</v>
      </c>
      <c r="AI77" s="12"/>
      <c r="AJ77" s="40"/>
      <c r="AK77" s="40"/>
    </row>
    <row r="78" spans="2:37" s="41" customFormat="1" ht="16.149999999999999" customHeight="1">
      <c r="B78" s="12"/>
      <c r="C78" s="1"/>
      <c r="D78" s="4"/>
      <c r="E78" s="86" t="s">
        <v>558</v>
      </c>
      <c r="F78" s="13">
        <v>6.7649999999999997</v>
      </c>
      <c r="G78" s="14">
        <f t="shared" si="21"/>
        <v>6765</v>
      </c>
      <c r="H78" s="49">
        <v>3</v>
      </c>
      <c r="I78" s="83" t="s">
        <v>680</v>
      </c>
      <c r="J78" s="85" t="s">
        <v>668</v>
      </c>
      <c r="K78" s="82" t="s">
        <v>677</v>
      </c>
      <c r="L78" s="4"/>
      <c r="M78" s="85" t="s">
        <v>670</v>
      </c>
      <c r="N78" s="82" t="s">
        <v>678</v>
      </c>
      <c r="O78" s="4"/>
      <c r="P78" s="4"/>
      <c r="Q78" s="5">
        <v>52550</v>
      </c>
      <c r="R78" s="36"/>
      <c r="S78" s="36"/>
      <c r="T78" s="37"/>
      <c r="U78" s="5">
        <f t="shared" si="22"/>
        <v>52550</v>
      </c>
      <c r="V78" s="5">
        <f t="shared" si="26"/>
        <v>355500.75</v>
      </c>
      <c r="W78" s="5">
        <f t="shared" si="27"/>
        <v>63990.134999999995</v>
      </c>
      <c r="X78" s="5"/>
      <c r="Y78" s="5"/>
      <c r="Z78" s="98"/>
      <c r="AA78" s="23">
        <f t="shared" si="23"/>
        <v>0</v>
      </c>
      <c r="AB78" s="97">
        <f t="shared" si="24"/>
        <v>0</v>
      </c>
      <c r="AC78" s="43"/>
      <c r="AD78" s="46"/>
      <c r="AE78" s="5">
        <f t="shared" si="25"/>
        <v>419490.88500000001</v>
      </c>
      <c r="AF78" s="47" t="s">
        <v>863</v>
      </c>
      <c r="AG78" s="44" t="s">
        <v>690</v>
      </c>
      <c r="AH78" s="13">
        <v>6.7649999999999997</v>
      </c>
      <c r="AI78" s="12"/>
      <c r="AJ78" s="40"/>
      <c r="AK78" s="40"/>
    </row>
    <row r="79" spans="2:37" s="41" customFormat="1" ht="16.149999999999999" customHeight="1">
      <c r="B79" s="12"/>
      <c r="C79" s="1"/>
      <c r="D79" s="4"/>
      <c r="E79" s="86" t="s">
        <v>558</v>
      </c>
      <c r="F79" s="13">
        <v>4.58</v>
      </c>
      <c r="G79" s="14">
        <f t="shared" si="21"/>
        <v>4580</v>
      </c>
      <c r="H79" s="49">
        <v>2</v>
      </c>
      <c r="I79" s="83" t="s">
        <v>681</v>
      </c>
      <c r="J79" s="85" t="s">
        <v>668</v>
      </c>
      <c r="K79" s="82" t="s">
        <v>682</v>
      </c>
      <c r="L79" s="4"/>
      <c r="M79" s="85" t="s">
        <v>670</v>
      </c>
      <c r="N79" s="82" t="s">
        <v>610</v>
      </c>
      <c r="O79" s="4"/>
      <c r="P79" s="4"/>
      <c r="Q79" s="5">
        <v>52550</v>
      </c>
      <c r="R79" s="36"/>
      <c r="S79" s="36"/>
      <c r="T79" s="37"/>
      <c r="U79" s="5">
        <f t="shared" si="22"/>
        <v>52550</v>
      </c>
      <c r="V79" s="5">
        <f t="shared" si="26"/>
        <v>240679</v>
      </c>
      <c r="W79" s="5">
        <f t="shared" si="27"/>
        <v>43322.22</v>
      </c>
      <c r="X79" s="5"/>
      <c r="Y79" s="5"/>
      <c r="Z79" s="98"/>
      <c r="AA79" s="23">
        <f t="shared" si="23"/>
        <v>0</v>
      </c>
      <c r="AB79" s="97">
        <f t="shared" si="24"/>
        <v>0</v>
      </c>
      <c r="AC79" s="43"/>
      <c r="AD79" s="46"/>
      <c r="AE79" s="5">
        <f t="shared" si="25"/>
        <v>284001.21999999997</v>
      </c>
      <c r="AF79" s="47" t="s">
        <v>864</v>
      </c>
      <c r="AG79" s="44" t="s">
        <v>690</v>
      </c>
      <c r="AH79" s="13">
        <v>4.58</v>
      </c>
      <c r="AI79" s="12"/>
      <c r="AJ79" s="40"/>
      <c r="AK79" s="40"/>
    </row>
    <row r="80" spans="2:37" s="41" customFormat="1" ht="16.149999999999999" customHeight="1">
      <c r="B80" s="12"/>
      <c r="C80" s="1"/>
      <c r="D80" s="4"/>
      <c r="E80" s="86" t="s">
        <v>558</v>
      </c>
      <c r="F80" s="13">
        <v>2.29</v>
      </c>
      <c r="G80" s="14">
        <f t="shared" si="21"/>
        <v>2290</v>
      </c>
      <c r="H80" s="49">
        <v>1</v>
      </c>
      <c r="I80" s="83" t="s">
        <v>683</v>
      </c>
      <c r="J80" s="85" t="s">
        <v>668</v>
      </c>
      <c r="K80" s="82" t="s">
        <v>682</v>
      </c>
      <c r="L80" s="4"/>
      <c r="M80" s="85" t="s">
        <v>670</v>
      </c>
      <c r="N80" s="82" t="s">
        <v>610</v>
      </c>
      <c r="O80" s="4"/>
      <c r="P80" s="4"/>
      <c r="Q80" s="5">
        <v>52550</v>
      </c>
      <c r="R80" s="36"/>
      <c r="S80" s="36"/>
      <c r="T80" s="37"/>
      <c r="U80" s="5">
        <f t="shared" si="22"/>
        <v>52550</v>
      </c>
      <c r="V80" s="5">
        <f t="shared" si="26"/>
        <v>120339.5</v>
      </c>
      <c r="W80" s="5">
        <f t="shared" si="27"/>
        <v>21661.11</v>
      </c>
      <c r="X80" s="5"/>
      <c r="Y80" s="5"/>
      <c r="Z80" s="98"/>
      <c r="AA80" s="23">
        <f t="shared" si="23"/>
        <v>0</v>
      </c>
      <c r="AB80" s="97">
        <f t="shared" si="24"/>
        <v>0</v>
      </c>
      <c r="AC80" s="43"/>
      <c r="AD80" s="46"/>
      <c r="AE80" s="5">
        <f t="shared" si="25"/>
        <v>142000.60999999999</v>
      </c>
      <c r="AF80" s="47" t="s">
        <v>865</v>
      </c>
      <c r="AG80" s="44" t="s">
        <v>690</v>
      </c>
      <c r="AH80" s="13">
        <v>2.29</v>
      </c>
      <c r="AI80" s="12"/>
      <c r="AJ80" s="40"/>
      <c r="AK80" s="40"/>
    </row>
    <row r="81" spans="2:37" s="41" customFormat="1" ht="16.149999999999999" customHeight="1">
      <c r="B81" s="12"/>
      <c r="C81" s="1"/>
      <c r="D81" s="4"/>
      <c r="E81" s="86" t="s">
        <v>558</v>
      </c>
      <c r="F81" s="13">
        <v>2.3039999999999998</v>
      </c>
      <c r="G81" s="14">
        <f t="shared" si="21"/>
        <v>2304</v>
      </c>
      <c r="H81" s="49">
        <v>1</v>
      </c>
      <c r="I81" s="83" t="s">
        <v>684</v>
      </c>
      <c r="J81" s="85" t="s">
        <v>668</v>
      </c>
      <c r="K81" s="82" t="s">
        <v>682</v>
      </c>
      <c r="L81" s="4"/>
      <c r="M81" s="85" t="s">
        <v>670</v>
      </c>
      <c r="N81" s="82" t="s">
        <v>610</v>
      </c>
      <c r="O81" s="4"/>
      <c r="P81" s="4"/>
      <c r="Q81" s="5">
        <v>52550</v>
      </c>
      <c r="R81" s="36"/>
      <c r="S81" s="36"/>
      <c r="T81" s="37"/>
      <c r="U81" s="5">
        <f t="shared" si="22"/>
        <v>52550</v>
      </c>
      <c r="V81" s="5">
        <f t="shared" si="26"/>
        <v>121075.2</v>
      </c>
      <c r="W81" s="5">
        <f t="shared" si="27"/>
        <v>21793.536</v>
      </c>
      <c r="X81" s="5"/>
      <c r="Y81" s="5"/>
      <c r="Z81" s="98"/>
      <c r="AA81" s="23">
        <f t="shared" si="23"/>
        <v>0</v>
      </c>
      <c r="AB81" s="97">
        <f t="shared" si="24"/>
        <v>0</v>
      </c>
      <c r="AC81" s="43"/>
      <c r="AD81" s="46"/>
      <c r="AE81" s="5">
        <f t="shared" si="25"/>
        <v>142868.736</v>
      </c>
      <c r="AF81" s="47" t="s">
        <v>866</v>
      </c>
      <c r="AG81" s="44" t="s">
        <v>690</v>
      </c>
      <c r="AH81" s="13">
        <v>2.3039999999999998</v>
      </c>
      <c r="AI81" s="12"/>
      <c r="AJ81" s="40"/>
      <c r="AK81" s="40"/>
    </row>
    <row r="82" spans="2:37" s="41" customFormat="1" ht="16.149999999999999" customHeight="1">
      <c r="B82" s="12"/>
      <c r="C82" s="1"/>
      <c r="D82" s="4"/>
      <c r="E82" s="86" t="s">
        <v>558</v>
      </c>
      <c r="F82" s="13">
        <v>8.9600000000000009</v>
      </c>
      <c r="G82" s="14">
        <f t="shared" si="21"/>
        <v>8960</v>
      </c>
      <c r="H82" s="49">
        <v>4</v>
      </c>
      <c r="I82" s="83" t="s">
        <v>685</v>
      </c>
      <c r="J82" s="85" t="s">
        <v>668</v>
      </c>
      <c r="K82" s="82" t="s">
        <v>682</v>
      </c>
      <c r="L82" s="4"/>
      <c r="M82" s="85" t="s">
        <v>670</v>
      </c>
      <c r="N82" s="82" t="s">
        <v>610</v>
      </c>
      <c r="O82" s="4"/>
      <c r="P82" s="4"/>
      <c r="Q82" s="5">
        <v>52550</v>
      </c>
      <c r="R82" s="36"/>
      <c r="S82" s="36"/>
      <c r="T82" s="37"/>
      <c r="U82" s="5">
        <f t="shared" si="22"/>
        <v>52550</v>
      </c>
      <c r="V82" s="5">
        <f t="shared" si="26"/>
        <v>470848.00000000006</v>
      </c>
      <c r="W82" s="5">
        <f t="shared" si="27"/>
        <v>84752.640000000014</v>
      </c>
      <c r="X82" s="5"/>
      <c r="Y82" s="5"/>
      <c r="Z82" s="98"/>
      <c r="AA82" s="23">
        <f t="shared" si="23"/>
        <v>0</v>
      </c>
      <c r="AB82" s="97">
        <f t="shared" si="24"/>
        <v>0</v>
      </c>
      <c r="AC82" s="43"/>
      <c r="AD82" s="46"/>
      <c r="AE82" s="5">
        <f t="shared" si="25"/>
        <v>555600.64000000013</v>
      </c>
      <c r="AF82" s="47" t="s">
        <v>867</v>
      </c>
      <c r="AG82" s="44" t="s">
        <v>690</v>
      </c>
      <c r="AH82" s="13">
        <v>8.9600000000000009</v>
      </c>
      <c r="AI82" s="12"/>
      <c r="AJ82" s="40"/>
      <c r="AK82" s="40"/>
    </row>
    <row r="83" spans="2:37" s="41" customFormat="1">
      <c r="B83" s="92"/>
      <c r="C83" s="48"/>
      <c r="D83" s="6"/>
      <c r="E83" s="6"/>
      <c r="F83" s="81">
        <f>SUM(F44:F82)</f>
        <v>543.44200000000001</v>
      </c>
      <c r="G83" s="20">
        <f>SUM(G44:G82)</f>
        <v>543442</v>
      </c>
      <c r="H83" s="21">
        <f>SUM(H44:H82)</f>
        <v>239</v>
      </c>
      <c r="I83" s="2"/>
      <c r="J83" s="7"/>
      <c r="K83" s="7"/>
      <c r="L83" s="7"/>
      <c r="M83" s="2"/>
      <c r="N83" s="6"/>
      <c r="O83" s="6"/>
      <c r="P83" s="6"/>
      <c r="Q83" s="19"/>
      <c r="R83" s="9"/>
      <c r="S83" s="9"/>
      <c r="T83" s="10"/>
      <c r="U83" s="8"/>
      <c r="V83" s="21">
        <f>SUM(V44:V82)</f>
        <v>28557877.100000001</v>
      </c>
      <c r="W83" s="21">
        <f>SUM(W44:W82)</f>
        <v>5140417.8779999996</v>
      </c>
      <c r="X83" s="21">
        <f>SUM(X44:X82)</f>
        <v>0</v>
      </c>
      <c r="Y83" s="21">
        <f>SUM(Y44:Y82)</f>
        <v>0</v>
      </c>
      <c r="Z83" s="99"/>
      <c r="AA83" s="21">
        <f>SUM(AA44:AA82)</f>
        <v>0</v>
      </c>
      <c r="AB83" s="21">
        <f>SUM(AB44:AB82)</f>
        <v>0</v>
      </c>
      <c r="AC83" s="21"/>
      <c r="AD83" s="21">
        <f>SUM(AD44:AD82)</f>
        <v>0</v>
      </c>
      <c r="AE83" s="21">
        <f>SUM(AE44:AE82)</f>
        <v>33698294.977999993</v>
      </c>
      <c r="AF83" s="21"/>
      <c r="AG83" s="42"/>
      <c r="AH83" s="27">
        <f>SUM(AH44:AH82)</f>
        <v>543.44200000000001</v>
      </c>
      <c r="AI83" s="26">
        <f>AH83-F83</f>
        <v>0</v>
      </c>
      <c r="AJ83" s="41">
        <f>AA83/F83</f>
        <v>0</v>
      </c>
      <c r="AK83" s="40"/>
    </row>
    <row r="84" spans="2:37">
      <c r="B84" s="15"/>
      <c r="C84" s="18"/>
      <c r="D84" s="11"/>
      <c r="E84" s="18" t="s">
        <v>16</v>
      </c>
      <c r="F84" s="16">
        <f>SUM(F3:F83)/2</f>
        <v>1586.9059999999993</v>
      </c>
      <c r="G84" s="17">
        <f>SUM(G3:G83)/2</f>
        <v>1586906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17"/>
      <c r="V84" s="17">
        <f>SUM(V3:V83)/2</f>
        <v>80301336.550000012</v>
      </c>
      <c r="W84" s="17">
        <f>SUM(W3:W83)/2</f>
        <v>14454240.578999996</v>
      </c>
      <c r="X84" s="17"/>
      <c r="Y84" s="22"/>
      <c r="Z84" s="17"/>
      <c r="AA84" s="17">
        <f>SUM(AA3:AA83)/2</f>
        <v>1276013.2239999999</v>
      </c>
      <c r="AB84" s="17"/>
      <c r="AC84" s="22"/>
      <c r="AD84" s="17"/>
      <c r="AE84" s="17">
        <f>SUM(AE3:AE83)/2</f>
        <v>96261272.733320072</v>
      </c>
      <c r="AF84" s="17"/>
      <c r="AG84" s="16"/>
      <c r="AH84" s="17">
        <f>SUM(AH3:AH83)/2</f>
        <v>1586.9059999999993</v>
      </c>
      <c r="AI84" s="26">
        <f>AH84-F84</f>
        <v>0</v>
      </c>
    </row>
    <row r="87" spans="2:37">
      <c r="F87" s="90"/>
    </row>
    <row r="92" spans="2:37">
      <c r="F92" s="90"/>
    </row>
  </sheetData>
  <mergeCells count="1">
    <mergeCell ref="AF1:AG1"/>
  </mergeCells>
  <pageMargins left="0.33" right="0.196850393700787" top="0.2" bottom="0.26" header="0.2" footer="0.31496062992126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AO102"/>
  <sheetViews>
    <sheetView showZeros="0" zoomScale="85" zoomScaleNormal="85" workbookViewId="0">
      <pane xSplit="14" ySplit="2" topLeftCell="O72" activePane="bottomRight" state="frozen"/>
      <selection pane="topRight" activeCell="O1" sqref="O1"/>
      <selection pane="bottomLeft" activeCell="A3" sqref="A3"/>
      <selection pane="bottomRight" activeCell="F84" sqref="F84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+F94</f>
        <v>2724.3699999999994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94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86" t="s">
        <v>686</v>
      </c>
      <c r="C3" s="86" t="s">
        <v>687</v>
      </c>
      <c r="D3" s="4"/>
      <c r="E3" s="86" t="s">
        <v>392</v>
      </c>
      <c r="F3" s="13">
        <v>27.74</v>
      </c>
      <c r="G3" s="14">
        <f t="shared" ref="G3:G5" si="0">+F3*1000</f>
        <v>27740</v>
      </c>
      <c r="H3" s="49">
        <v>13</v>
      </c>
      <c r="I3" s="83" t="s">
        <v>689</v>
      </c>
      <c r="J3" s="85" t="s">
        <v>690</v>
      </c>
      <c r="K3" s="82" t="s">
        <v>691</v>
      </c>
      <c r="L3" s="4"/>
      <c r="M3" s="85" t="s">
        <v>695</v>
      </c>
      <c r="N3" s="87" t="s">
        <v>692</v>
      </c>
      <c r="O3" s="4"/>
      <c r="P3" s="4"/>
      <c r="Q3" s="5">
        <v>49440</v>
      </c>
      <c r="R3" s="36"/>
      <c r="S3" s="36"/>
      <c r="T3" s="37"/>
      <c r="U3" s="5">
        <f t="shared" ref="U3:U5" si="1">S3+R3+Q3-T3</f>
        <v>49440</v>
      </c>
      <c r="V3" s="5">
        <f t="shared" ref="V3:V5" si="2">F3*U3</f>
        <v>1371465.5999999999</v>
      </c>
      <c r="W3" s="5">
        <f>V3*18%</f>
        <v>246863.80799999996</v>
      </c>
      <c r="X3" s="5"/>
      <c r="Y3" s="5"/>
      <c r="Z3" s="98"/>
      <c r="AA3" s="23">
        <f t="shared" ref="AA3:AA5" si="3">F3*Z3</f>
        <v>0</v>
      </c>
      <c r="AB3" s="97">
        <f t="shared" ref="AB3:AB5" si="4">AA3*18%</f>
        <v>0</v>
      </c>
      <c r="AC3" s="43"/>
      <c r="AD3" s="46"/>
      <c r="AE3" s="5">
        <f t="shared" ref="AE3:AE5" si="5">+AB3+AA3+Y3+X3+W3+V3-AC3+AD3</f>
        <v>1618329.4079999998</v>
      </c>
      <c r="AF3" s="47" t="s">
        <v>1051</v>
      </c>
      <c r="AG3" s="44" t="s">
        <v>954</v>
      </c>
      <c r="AH3" s="13">
        <v>27.74</v>
      </c>
      <c r="AI3" s="12"/>
      <c r="AJ3" s="40"/>
      <c r="AK3" s="40"/>
    </row>
    <row r="4" spans="2:41" s="41" customFormat="1" ht="16.149999999999999" customHeight="1">
      <c r="B4" s="70" t="s">
        <v>108</v>
      </c>
      <c r="C4" s="82" t="s">
        <v>688</v>
      </c>
      <c r="D4" s="4"/>
      <c r="E4" s="86" t="s">
        <v>392</v>
      </c>
      <c r="F4" s="13">
        <v>27.74</v>
      </c>
      <c r="G4" s="14">
        <f t="shared" si="0"/>
        <v>27740</v>
      </c>
      <c r="H4" s="49">
        <v>13</v>
      </c>
      <c r="I4" s="83" t="s">
        <v>693</v>
      </c>
      <c r="J4" s="85" t="s">
        <v>690</v>
      </c>
      <c r="K4" s="82" t="s">
        <v>694</v>
      </c>
      <c r="L4" s="4"/>
      <c r="M4" s="85" t="s">
        <v>695</v>
      </c>
      <c r="N4" s="87" t="s">
        <v>696</v>
      </c>
      <c r="O4" s="4"/>
      <c r="P4" s="4"/>
      <c r="Q4" s="5">
        <v>49440</v>
      </c>
      <c r="R4" s="36"/>
      <c r="S4" s="36"/>
      <c r="T4" s="37"/>
      <c r="U4" s="5">
        <f t="shared" si="1"/>
        <v>49440</v>
      </c>
      <c r="V4" s="5">
        <f t="shared" si="2"/>
        <v>1371465.5999999999</v>
      </c>
      <c r="W4" s="5">
        <f>V4*18%</f>
        <v>246863.80799999996</v>
      </c>
      <c r="X4" s="5"/>
      <c r="Y4" s="5"/>
      <c r="Z4" s="98"/>
      <c r="AA4" s="23">
        <f t="shared" si="3"/>
        <v>0</v>
      </c>
      <c r="AB4" s="97">
        <f t="shared" si="4"/>
        <v>0</v>
      </c>
      <c r="AC4" s="43"/>
      <c r="AD4" s="46"/>
      <c r="AE4" s="5">
        <f t="shared" si="5"/>
        <v>1618329.4079999998</v>
      </c>
      <c r="AF4" s="47" t="s">
        <v>1052</v>
      </c>
      <c r="AG4" s="44" t="s">
        <v>954</v>
      </c>
      <c r="AH4" s="13">
        <v>27.74</v>
      </c>
      <c r="AI4" s="12"/>
      <c r="AJ4" s="40"/>
      <c r="AK4" s="40"/>
    </row>
    <row r="5" spans="2:41" s="41" customFormat="1" ht="16.149999999999999" customHeight="1">
      <c r="B5" s="70"/>
      <c r="C5" s="70"/>
      <c r="D5" s="4"/>
      <c r="E5" s="86" t="s">
        <v>392</v>
      </c>
      <c r="F5" s="13">
        <v>27.8</v>
      </c>
      <c r="G5" s="14">
        <f t="shared" si="0"/>
        <v>27800</v>
      </c>
      <c r="H5" s="49">
        <v>13</v>
      </c>
      <c r="I5" s="83" t="s">
        <v>705</v>
      </c>
      <c r="J5" s="85" t="s">
        <v>690</v>
      </c>
      <c r="K5" s="82" t="s">
        <v>706</v>
      </c>
      <c r="L5" s="4"/>
      <c r="M5" s="85" t="s">
        <v>695</v>
      </c>
      <c r="N5" s="82" t="s">
        <v>707</v>
      </c>
      <c r="O5" s="4"/>
      <c r="P5" s="4"/>
      <c r="Q5" s="5">
        <v>49440</v>
      </c>
      <c r="R5" s="36"/>
      <c r="S5" s="36"/>
      <c r="T5" s="37"/>
      <c r="U5" s="5">
        <f t="shared" si="1"/>
        <v>49440</v>
      </c>
      <c r="V5" s="5">
        <f t="shared" si="2"/>
        <v>1374432</v>
      </c>
      <c r="W5" s="5">
        <f t="shared" ref="W5" si="6">V5*18%</f>
        <v>247397.75999999998</v>
      </c>
      <c r="X5" s="5"/>
      <c r="Y5" s="5"/>
      <c r="Z5" s="98"/>
      <c r="AA5" s="23">
        <f t="shared" si="3"/>
        <v>0</v>
      </c>
      <c r="AB5" s="97">
        <f t="shared" si="4"/>
        <v>0</v>
      </c>
      <c r="AC5" s="43"/>
      <c r="AD5" s="46"/>
      <c r="AE5" s="5">
        <f t="shared" si="5"/>
        <v>1621829.76</v>
      </c>
      <c r="AF5" s="47" t="s">
        <v>1053</v>
      </c>
      <c r="AG5" s="44" t="s">
        <v>954</v>
      </c>
      <c r="AH5" s="13">
        <v>27.8</v>
      </c>
      <c r="AI5" s="12"/>
      <c r="AJ5" s="40"/>
      <c r="AK5" s="40"/>
    </row>
    <row r="6" spans="2:41" s="41" customFormat="1" ht="16.149999999999999" customHeight="1">
      <c r="B6" s="12"/>
      <c r="C6" s="1"/>
      <c r="D6" s="4"/>
      <c r="E6" s="86" t="s">
        <v>392</v>
      </c>
      <c r="F6" s="13">
        <v>32</v>
      </c>
      <c r="G6" s="14">
        <f t="shared" ref="G6:G11" si="7">+F6*1000</f>
        <v>32000</v>
      </c>
      <c r="H6" s="49">
        <v>15</v>
      </c>
      <c r="I6" s="83" t="s">
        <v>733</v>
      </c>
      <c r="J6" s="85" t="s">
        <v>730</v>
      </c>
      <c r="K6" s="82">
        <v>60300</v>
      </c>
      <c r="L6" s="4"/>
      <c r="M6" s="85" t="s">
        <v>718</v>
      </c>
      <c r="N6" s="82" t="s">
        <v>731</v>
      </c>
      <c r="O6" s="4"/>
      <c r="P6" s="4"/>
      <c r="Q6" s="5">
        <v>49440</v>
      </c>
      <c r="R6" s="36"/>
      <c r="S6" s="36"/>
      <c r="T6" s="37"/>
      <c r="U6" s="5">
        <f t="shared" ref="U6:U11" si="8">S6+R6+Q6-T6</f>
        <v>49440</v>
      </c>
      <c r="V6" s="5">
        <f t="shared" ref="V6:V11" si="9">F6*U6</f>
        <v>1582080</v>
      </c>
      <c r="W6" s="5">
        <f t="shared" ref="W6:W11" si="10">V6*18%</f>
        <v>284774.39999999997</v>
      </c>
      <c r="X6" s="5"/>
      <c r="Y6" s="5"/>
      <c r="Z6" s="98"/>
      <c r="AA6" s="23">
        <f t="shared" ref="AA6:AA11" si="11">F6*Z6</f>
        <v>0</v>
      </c>
      <c r="AB6" s="97">
        <f t="shared" ref="AB6:AB11" si="12">AA6*18%</f>
        <v>0</v>
      </c>
      <c r="AC6" s="43"/>
      <c r="AD6" s="46"/>
      <c r="AE6" s="5">
        <f t="shared" ref="AE6:AE11" si="13">+AB6+AA6+Y6+X6+W6+V6-AC6+AD6</f>
        <v>1866854.3999999999</v>
      </c>
      <c r="AF6" s="47" t="s">
        <v>1054</v>
      </c>
      <c r="AG6" s="44" t="s">
        <v>954</v>
      </c>
      <c r="AH6" s="13">
        <v>32</v>
      </c>
      <c r="AI6" s="12"/>
      <c r="AJ6" s="40"/>
      <c r="AK6" s="40"/>
    </row>
    <row r="7" spans="2:41" s="41" customFormat="1" ht="16.149999999999999" customHeight="1">
      <c r="B7" s="12"/>
      <c r="C7" s="1"/>
      <c r="D7" s="4"/>
      <c r="E7" s="86" t="s">
        <v>392</v>
      </c>
      <c r="F7" s="13">
        <v>21.276</v>
      </c>
      <c r="G7" s="14">
        <f t="shared" si="7"/>
        <v>21276</v>
      </c>
      <c r="H7" s="49">
        <v>10</v>
      </c>
      <c r="I7" s="83" t="s">
        <v>736</v>
      </c>
      <c r="J7" s="85" t="s">
        <v>690</v>
      </c>
      <c r="K7" s="82">
        <v>60307</v>
      </c>
      <c r="L7" s="4"/>
      <c r="M7" s="85" t="s">
        <v>718</v>
      </c>
      <c r="N7" s="82" t="s">
        <v>732</v>
      </c>
      <c r="O7" s="4"/>
      <c r="P7" s="4"/>
      <c r="Q7" s="5">
        <v>49440</v>
      </c>
      <c r="R7" s="36"/>
      <c r="S7" s="36"/>
      <c r="T7" s="37"/>
      <c r="U7" s="5">
        <f t="shared" si="8"/>
        <v>49440</v>
      </c>
      <c r="V7" s="5">
        <f t="shared" si="9"/>
        <v>1051885.44</v>
      </c>
      <c r="W7" s="5">
        <f t="shared" si="10"/>
        <v>189339.3792</v>
      </c>
      <c r="X7" s="5"/>
      <c r="Y7" s="5"/>
      <c r="Z7" s="98"/>
      <c r="AA7" s="23">
        <f t="shared" si="11"/>
        <v>0</v>
      </c>
      <c r="AB7" s="97">
        <f t="shared" si="12"/>
        <v>0</v>
      </c>
      <c r="AC7" s="43"/>
      <c r="AD7" s="46"/>
      <c r="AE7" s="5">
        <f t="shared" si="13"/>
        <v>1241224.8192</v>
      </c>
      <c r="AF7" s="47" t="s">
        <v>1055</v>
      </c>
      <c r="AG7" s="44" t="s">
        <v>954</v>
      </c>
      <c r="AH7" s="13">
        <v>21.276</v>
      </c>
      <c r="AI7" s="12"/>
      <c r="AJ7" s="40"/>
      <c r="AK7" s="40"/>
    </row>
    <row r="8" spans="2:41" s="41" customFormat="1" ht="16.149999999999999" customHeight="1">
      <c r="B8" s="12"/>
      <c r="C8" s="1"/>
      <c r="D8" s="4"/>
      <c r="E8" s="86" t="s">
        <v>392</v>
      </c>
      <c r="F8" s="13">
        <v>31.86</v>
      </c>
      <c r="G8" s="14">
        <f t="shared" si="7"/>
        <v>31860</v>
      </c>
      <c r="H8" s="49">
        <v>15</v>
      </c>
      <c r="I8" s="83" t="s">
        <v>739</v>
      </c>
      <c r="J8" s="85" t="s">
        <v>690</v>
      </c>
      <c r="K8" s="82">
        <v>60303</v>
      </c>
      <c r="L8" s="4"/>
      <c r="M8" s="85" t="s">
        <v>718</v>
      </c>
      <c r="N8" s="82" t="s">
        <v>740</v>
      </c>
      <c r="O8" s="4"/>
      <c r="P8" s="4"/>
      <c r="Q8" s="5">
        <v>49440</v>
      </c>
      <c r="R8" s="36"/>
      <c r="S8" s="36"/>
      <c r="T8" s="37"/>
      <c r="U8" s="5">
        <f t="shared" si="8"/>
        <v>49440</v>
      </c>
      <c r="V8" s="5">
        <f t="shared" si="9"/>
        <v>1575158.4</v>
      </c>
      <c r="W8" s="5">
        <f t="shared" si="10"/>
        <v>283528.51199999999</v>
      </c>
      <c r="X8" s="5"/>
      <c r="Y8" s="5"/>
      <c r="Z8" s="98"/>
      <c r="AA8" s="23">
        <f t="shared" si="11"/>
        <v>0</v>
      </c>
      <c r="AB8" s="97">
        <f t="shared" si="12"/>
        <v>0</v>
      </c>
      <c r="AC8" s="43"/>
      <c r="AD8" s="46"/>
      <c r="AE8" s="5">
        <f t="shared" si="13"/>
        <v>1858686.912</v>
      </c>
      <c r="AF8" s="47" t="s">
        <v>1056</v>
      </c>
      <c r="AG8" s="44" t="s">
        <v>954</v>
      </c>
      <c r="AH8" s="13">
        <v>31.86</v>
      </c>
      <c r="AI8" s="12"/>
      <c r="AJ8" s="40"/>
      <c r="AK8" s="40"/>
    </row>
    <row r="9" spans="2:41" s="41" customFormat="1" ht="16.149999999999999" customHeight="1">
      <c r="B9" s="12"/>
      <c r="C9" s="1"/>
      <c r="D9" s="4"/>
      <c r="E9" s="86" t="s">
        <v>392</v>
      </c>
      <c r="F9" s="13">
        <v>14.91</v>
      </c>
      <c r="G9" s="14">
        <f t="shared" si="7"/>
        <v>14910</v>
      </c>
      <c r="H9" s="49">
        <v>7</v>
      </c>
      <c r="I9" s="83" t="s">
        <v>749</v>
      </c>
      <c r="J9" s="85" t="s">
        <v>701</v>
      </c>
      <c r="K9" s="82">
        <v>60320</v>
      </c>
      <c r="L9" s="4"/>
      <c r="M9" s="85" t="s">
        <v>745</v>
      </c>
      <c r="N9" s="82" t="s">
        <v>750</v>
      </c>
      <c r="O9" s="4"/>
      <c r="P9" s="4"/>
      <c r="Q9" s="5">
        <v>49440</v>
      </c>
      <c r="R9" s="36"/>
      <c r="S9" s="36"/>
      <c r="T9" s="37"/>
      <c r="U9" s="5">
        <f t="shared" si="8"/>
        <v>49440</v>
      </c>
      <c r="V9" s="5">
        <f t="shared" si="9"/>
        <v>737150.4</v>
      </c>
      <c r="W9" s="5">
        <f t="shared" si="10"/>
        <v>132687.07199999999</v>
      </c>
      <c r="X9" s="5"/>
      <c r="Y9" s="5"/>
      <c r="Z9" s="98"/>
      <c r="AA9" s="23">
        <f t="shared" si="11"/>
        <v>0</v>
      </c>
      <c r="AB9" s="97">
        <f t="shared" si="12"/>
        <v>0</v>
      </c>
      <c r="AC9" s="43"/>
      <c r="AD9" s="46"/>
      <c r="AE9" s="5">
        <f t="shared" si="13"/>
        <v>869837.47200000007</v>
      </c>
      <c r="AF9" s="47" t="s">
        <v>1057</v>
      </c>
      <c r="AG9" s="44" t="s">
        <v>954</v>
      </c>
      <c r="AH9" s="13">
        <v>14.91</v>
      </c>
      <c r="AI9" s="12"/>
      <c r="AJ9" s="40"/>
      <c r="AK9" s="40"/>
    </row>
    <row r="10" spans="2:41" s="41" customFormat="1" ht="16.149999999999999" customHeight="1">
      <c r="B10" s="12"/>
      <c r="C10" s="1"/>
      <c r="D10" s="4"/>
      <c r="E10" s="86" t="s">
        <v>392</v>
      </c>
      <c r="F10" s="13">
        <v>26.09</v>
      </c>
      <c r="G10" s="14">
        <f t="shared" si="7"/>
        <v>26090</v>
      </c>
      <c r="H10" s="49">
        <v>14</v>
      </c>
      <c r="I10" s="83" t="s">
        <v>751</v>
      </c>
      <c r="J10" s="85" t="s">
        <v>701</v>
      </c>
      <c r="K10" s="82">
        <v>60321</v>
      </c>
      <c r="L10" s="4"/>
      <c r="M10" s="85" t="s">
        <v>745</v>
      </c>
      <c r="N10" s="82" t="s">
        <v>750</v>
      </c>
      <c r="O10" s="4"/>
      <c r="P10" s="4"/>
      <c r="Q10" s="5">
        <v>49440</v>
      </c>
      <c r="R10" s="36"/>
      <c r="S10" s="36"/>
      <c r="T10" s="37"/>
      <c r="U10" s="5">
        <f t="shared" si="8"/>
        <v>49440</v>
      </c>
      <c r="V10" s="5">
        <f t="shared" si="9"/>
        <v>1289889.6000000001</v>
      </c>
      <c r="W10" s="5">
        <f t="shared" si="10"/>
        <v>232180.128</v>
      </c>
      <c r="X10" s="5"/>
      <c r="Y10" s="5"/>
      <c r="Z10" s="98"/>
      <c r="AA10" s="23">
        <f t="shared" si="11"/>
        <v>0</v>
      </c>
      <c r="AB10" s="97">
        <f t="shared" si="12"/>
        <v>0</v>
      </c>
      <c r="AC10" s="43"/>
      <c r="AD10" s="46"/>
      <c r="AE10" s="5">
        <f t="shared" si="13"/>
        <v>1522069.7280000001</v>
      </c>
      <c r="AF10" s="47" t="s">
        <v>1058</v>
      </c>
      <c r="AG10" s="44" t="s">
        <v>954</v>
      </c>
      <c r="AH10" s="13">
        <v>26.09</v>
      </c>
      <c r="AI10" s="12"/>
      <c r="AJ10" s="40"/>
      <c r="AK10" s="40"/>
    </row>
    <row r="11" spans="2:41" s="41" customFormat="1" ht="16.149999999999999" customHeight="1">
      <c r="B11" s="12"/>
      <c r="C11" s="1"/>
      <c r="D11" s="4"/>
      <c r="E11" s="86" t="s">
        <v>392</v>
      </c>
      <c r="F11" s="13">
        <v>12.752000000000001</v>
      </c>
      <c r="G11" s="14">
        <f t="shared" si="7"/>
        <v>12752</v>
      </c>
      <c r="H11" s="49">
        <v>6</v>
      </c>
      <c r="I11" s="83" t="s">
        <v>761</v>
      </c>
      <c r="J11" s="85" t="s">
        <v>701</v>
      </c>
      <c r="K11" s="82">
        <v>60144</v>
      </c>
      <c r="L11" s="4"/>
      <c r="M11" s="85" t="s">
        <v>753</v>
      </c>
      <c r="N11" s="82" t="s">
        <v>762</v>
      </c>
      <c r="O11" s="4"/>
      <c r="P11" s="4"/>
      <c r="Q11" s="5">
        <v>49440</v>
      </c>
      <c r="R11" s="36"/>
      <c r="S11" s="36"/>
      <c r="T11" s="37"/>
      <c r="U11" s="5">
        <f t="shared" si="8"/>
        <v>49440</v>
      </c>
      <c r="V11" s="5">
        <f t="shared" si="9"/>
        <v>630458.88</v>
      </c>
      <c r="W11" s="5">
        <f t="shared" si="10"/>
        <v>113482.5984</v>
      </c>
      <c r="X11" s="5"/>
      <c r="Y11" s="5"/>
      <c r="Z11" s="98"/>
      <c r="AA11" s="23">
        <f t="shared" si="11"/>
        <v>0</v>
      </c>
      <c r="AB11" s="97">
        <f t="shared" si="12"/>
        <v>0</v>
      </c>
      <c r="AC11" s="43"/>
      <c r="AD11" s="46"/>
      <c r="AE11" s="5">
        <f t="shared" si="13"/>
        <v>743941.47840000002</v>
      </c>
      <c r="AF11" s="47" t="s">
        <v>1059</v>
      </c>
      <c r="AG11" s="44" t="s">
        <v>954</v>
      </c>
      <c r="AH11" s="13">
        <v>12.752000000000001</v>
      </c>
      <c r="AI11" s="12"/>
      <c r="AJ11" s="40"/>
      <c r="AK11" s="40"/>
    </row>
    <row r="12" spans="2:41" s="41" customFormat="1">
      <c r="B12" s="92"/>
      <c r="C12" s="48"/>
      <c r="D12" s="6"/>
      <c r="E12" s="6"/>
      <c r="F12" s="81">
        <f>SUM(F3:F11)</f>
        <v>222.16800000000001</v>
      </c>
      <c r="G12" s="20">
        <f>SUM(G3:G11)</f>
        <v>222168</v>
      </c>
      <c r="H12" s="21">
        <f>SUM(H3:H11)</f>
        <v>106</v>
      </c>
      <c r="I12" s="2"/>
      <c r="J12" s="7"/>
      <c r="K12" s="7"/>
      <c r="L12" s="7"/>
      <c r="M12" s="2"/>
      <c r="N12" s="6"/>
      <c r="O12" s="6"/>
      <c r="P12" s="6"/>
      <c r="Q12" s="19"/>
      <c r="R12" s="9"/>
      <c r="S12" s="9"/>
      <c r="T12" s="10"/>
      <c r="U12" s="8"/>
      <c r="V12" s="21">
        <f>SUM(V3:V11)</f>
        <v>10983985.92</v>
      </c>
      <c r="W12" s="21">
        <f>SUM(W3:W11)</f>
        <v>1977117.4656</v>
      </c>
      <c r="X12" s="21">
        <f>SUM(X3:X11)</f>
        <v>0</v>
      </c>
      <c r="Y12" s="21">
        <f>SUM(Y3:Y11)</f>
        <v>0</v>
      </c>
      <c r="Z12" s="99"/>
      <c r="AA12" s="21">
        <f>SUM(AA3:AA11)</f>
        <v>0</v>
      </c>
      <c r="AB12" s="21">
        <f>SUM(AB3:AB11)</f>
        <v>0</v>
      </c>
      <c r="AC12" s="21"/>
      <c r="AD12" s="21">
        <f>SUM(AD3:AD11)</f>
        <v>0</v>
      </c>
      <c r="AE12" s="21">
        <f>SUM(AE3:AE11)</f>
        <v>12961103.385600001</v>
      </c>
      <c r="AF12" s="21"/>
      <c r="AG12" s="42"/>
      <c r="AH12" s="81">
        <f>SUM(AH3:AH11)</f>
        <v>222.16800000000001</v>
      </c>
      <c r="AI12" s="26">
        <f>AH12-F12</f>
        <v>0</v>
      </c>
      <c r="AJ12" s="41">
        <f>AA12/F12</f>
        <v>0</v>
      </c>
      <c r="AK12" s="40"/>
    </row>
    <row r="13" spans="2:41" s="41" customFormat="1" ht="16.149999999999999" customHeight="1">
      <c r="B13" s="86" t="s">
        <v>686</v>
      </c>
      <c r="C13" s="86" t="s">
        <v>687</v>
      </c>
      <c r="D13" s="4"/>
      <c r="E13" s="86" t="s">
        <v>35</v>
      </c>
      <c r="F13" s="13">
        <v>31.74</v>
      </c>
      <c r="G13" s="14">
        <f t="shared" ref="G13:G28" si="14">+F13*1000</f>
        <v>31740</v>
      </c>
      <c r="H13" s="49">
        <v>15</v>
      </c>
      <c r="I13" s="83" t="s">
        <v>709</v>
      </c>
      <c r="J13" s="85" t="s">
        <v>690</v>
      </c>
      <c r="K13" s="82" t="s">
        <v>710</v>
      </c>
      <c r="L13" s="4"/>
      <c r="M13" s="85" t="s">
        <v>695</v>
      </c>
      <c r="N13" s="82" t="s">
        <v>711</v>
      </c>
      <c r="O13" s="4"/>
      <c r="P13" s="4"/>
      <c r="Q13" s="5">
        <v>51540</v>
      </c>
      <c r="R13" s="36"/>
      <c r="S13" s="36"/>
      <c r="T13" s="37"/>
      <c r="U13" s="5">
        <f t="shared" ref="U13:U28" si="15">S13+R13+Q13-T13</f>
        <v>51540</v>
      </c>
      <c r="V13" s="5">
        <f t="shared" ref="V13:V28" si="16">F13*U13</f>
        <v>1635879.5999999999</v>
      </c>
      <c r="W13" s="5">
        <f>V13*18%</f>
        <v>294458.32799999998</v>
      </c>
      <c r="X13" s="5"/>
      <c r="Y13" s="5"/>
      <c r="Z13" s="98"/>
      <c r="AA13" s="23">
        <f t="shared" ref="AA13:AA28" si="17">F13*Z13</f>
        <v>0</v>
      </c>
      <c r="AB13" s="97">
        <f t="shared" ref="AB13:AB28" si="18">AA13*18%</f>
        <v>0</v>
      </c>
      <c r="AC13" s="43"/>
      <c r="AD13" s="46"/>
      <c r="AE13" s="5">
        <f t="shared" ref="AE13:AE28" si="19">+AB13+AA13+Y13+X13+W13+V13-AC13+AD13</f>
        <v>1930337.9279999998</v>
      </c>
      <c r="AF13" s="47" t="s">
        <v>1060</v>
      </c>
      <c r="AG13" s="44" t="s">
        <v>954</v>
      </c>
      <c r="AH13" s="13">
        <v>31.74</v>
      </c>
      <c r="AI13" s="12"/>
      <c r="AJ13" s="40"/>
      <c r="AK13" s="40"/>
    </row>
    <row r="14" spans="2:41" s="41" customFormat="1" ht="16.149999999999999" customHeight="1">
      <c r="B14" s="70" t="s">
        <v>697</v>
      </c>
      <c r="C14" s="82" t="s">
        <v>708</v>
      </c>
      <c r="D14" s="4"/>
      <c r="E14" s="86" t="s">
        <v>35</v>
      </c>
      <c r="F14" s="13">
        <v>31.7</v>
      </c>
      <c r="G14" s="14">
        <f t="shared" si="14"/>
        <v>31700</v>
      </c>
      <c r="H14" s="49">
        <v>15</v>
      </c>
      <c r="I14" s="83" t="s">
        <v>712</v>
      </c>
      <c r="J14" s="85" t="s">
        <v>690</v>
      </c>
      <c r="K14" s="82" t="s">
        <v>713</v>
      </c>
      <c r="L14" s="4"/>
      <c r="M14" s="85" t="s">
        <v>695</v>
      </c>
      <c r="N14" s="82" t="s">
        <v>714</v>
      </c>
      <c r="O14" s="4"/>
      <c r="P14" s="4"/>
      <c r="Q14" s="5">
        <v>51540</v>
      </c>
      <c r="R14" s="36"/>
      <c r="S14" s="36"/>
      <c r="T14" s="37"/>
      <c r="U14" s="5">
        <f t="shared" si="15"/>
        <v>51540</v>
      </c>
      <c r="V14" s="5">
        <f t="shared" si="16"/>
        <v>1633818</v>
      </c>
      <c r="W14" s="5">
        <f>V14*18%</f>
        <v>294087.24</v>
      </c>
      <c r="X14" s="5"/>
      <c r="Y14" s="5"/>
      <c r="Z14" s="98"/>
      <c r="AA14" s="23">
        <f t="shared" si="17"/>
        <v>0</v>
      </c>
      <c r="AB14" s="97">
        <f t="shared" si="18"/>
        <v>0</v>
      </c>
      <c r="AC14" s="43"/>
      <c r="AD14" s="46"/>
      <c r="AE14" s="5">
        <f t="shared" si="19"/>
        <v>1927905.24</v>
      </c>
      <c r="AF14" s="47" t="s">
        <v>1061</v>
      </c>
      <c r="AG14" s="44" t="s">
        <v>954</v>
      </c>
      <c r="AH14" s="13">
        <v>31.7</v>
      </c>
      <c r="AI14" s="12"/>
      <c r="AJ14" s="40"/>
      <c r="AK14" s="40"/>
    </row>
    <row r="15" spans="2:41" s="41" customFormat="1" ht="16.149999999999999" customHeight="1">
      <c r="B15" s="70" t="s">
        <v>108</v>
      </c>
      <c r="C15" s="70"/>
      <c r="D15" s="4"/>
      <c r="E15" s="86" t="s">
        <v>35</v>
      </c>
      <c r="F15" s="13">
        <v>29.484000000000002</v>
      </c>
      <c r="G15" s="14">
        <f t="shared" si="14"/>
        <v>29484</v>
      </c>
      <c r="H15" s="49">
        <v>14</v>
      </c>
      <c r="I15" s="83" t="s">
        <v>720</v>
      </c>
      <c r="J15" s="85" t="s">
        <v>701</v>
      </c>
      <c r="K15" s="82" t="s">
        <v>721</v>
      </c>
      <c r="L15" s="4"/>
      <c r="M15" s="85" t="s">
        <v>718</v>
      </c>
      <c r="N15" s="82" t="s">
        <v>722</v>
      </c>
      <c r="O15" s="4"/>
      <c r="P15" s="4"/>
      <c r="Q15" s="5">
        <v>51540</v>
      </c>
      <c r="R15" s="36"/>
      <c r="S15" s="36"/>
      <c r="T15" s="37"/>
      <c r="U15" s="5">
        <f t="shared" si="15"/>
        <v>51540</v>
      </c>
      <c r="V15" s="5">
        <f t="shared" si="16"/>
        <v>1519605.36</v>
      </c>
      <c r="W15" s="5">
        <f t="shared" ref="W15:W28" si="20">V15*18%</f>
        <v>273528.96480000002</v>
      </c>
      <c r="X15" s="5"/>
      <c r="Y15" s="5"/>
      <c r="Z15" s="98"/>
      <c r="AA15" s="23">
        <f t="shared" si="17"/>
        <v>0</v>
      </c>
      <c r="AB15" s="97">
        <f t="shared" si="18"/>
        <v>0</v>
      </c>
      <c r="AC15" s="43"/>
      <c r="AD15" s="46"/>
      <c r="AE15" s="5">
        <f t="shared" si="19"/>
        <v>1793134.3248000001</v>
      </c>
      <c r="AF15" s="47" t="s">
        <v>1062</v>
      </c>
      <c r="AG15" s="44" t="s">
        <v>954</v>
      </c>
      <c r="AH15" s="13">
        <v>29.484000000000002</v>
      </c>
      <c r="AI15" s="12"/>
      <c r="AJ15" s="40"/>
      <c r="AK15" s="40"/>
    </row>
    <row r="16" spans="2:41" s="41" customFormat="1" ht="16.149999999999999" customHeight="1">
      <c r="B16" s="12"/>
      <c r="C16" s="1"/>
      <c r="D16" s="4"/>
      <c r="E16" s="86" t="s">
        <v>35</v>
      </c>
      <c r="F16" s="13">
        <v>11.055999999999999</v>
      </c>
      <c r="G16" s="14">
        <f t="shared" si="14"/>
        <v>11056</v>
      </c>
      <c r="H16" s="49">
        <v>6</v>
      </c>
      <c r="I16" s="83" t="s">
        <v>723</v>
      </c>
      <c r="J16" s="85" t="s">
        <v>701</v>
      </c>
      <c r="K16" s="82" t="s">
        <v>724</v>
      </c>
      <c r="L16" s="4"/>
      <c r="M16" s="85" t="s">
        <v>718</v>
      </c>
      <c r="N16" s="82" t="s">
        <v>722</v>
      </c>
      <c r="O16" s="4"/>
      <c r="P16" s="4"/>
      <c r="Q16" s="5">
        <v>51540</v>
      </c>
      <c r="R16" s="36"/>
      <c r="S16" s="36"/>
      <c r="T16" s="37"/>
      <c r="U16" s="5">
        <f t="shared" si="15"/>
        <v>51540</v>
      </c>
      <c r="V16" s="5">
        <f t="shared" si="16"/>
        <v>569826.24</v>
      </c>
      <c r="W16" s="5">
        <f t="shared" si="20"/>
        <v>102568.72319999999</v>
      </c>
      <c r="X16" s="5"/>
      <c r="Y16" s="5"/>
      <c r="Z16" s="98"/>
      <c r="AA16" s="23">
        <f t="shared" si="17"/>
        <v>0</v>
      </c>
      <c r="AB16" s="97">
        <f t="shared" si="18"/>
        <v>0</v>
      </c>
      <c r="AC16" s="43"/>
      <c r="AD16" s="46"/>
      <c r="AE16" s="5">
        <f t="shared" si="19"/>
        <v>672394.9632</v>
      </c>
      <c r="AF16" s="47" t="s">
        <v>1063</v>
      </c>
      <c r="AG16" s="44" t="s">
        <v>954</v>
      </c>
      <c r="AH16" s="13">
        <v>11.055999999999999</v>
      </c>
      <c r="AI16" s="12"/>
      <c r="AJ16" s="40"/>
      <c r="AK16" s="40"/>
    </row>
    <row r="17" spans="2:37" s="41" customFormat="1" ht="16.149999999999999" customHeight="1">
      <c r="B17" s="12"/>
      <c r="C17" s="1"/>
      <c r="D17" s="4"/>
      <c r="E17" s="86" t="s">
        <v>35</v>
      </c>
      <c r="F17" s="13">
        <v>31.7</v>
      </c>
      <c r="G17" s="14">
        <f t="shared" si="14"/>
        <v>31700</v>
      </c>
      <c r="H17" s="49">
        <v>15</v>
      </c>
      <c r="I17" s="83" t="s">
        <v>726</v>
      </c>
      <c r="J17" s="85" t="s">
        <v>701</v>
      </c>
      <c r="K17" s="82">
        <v>60308</v>
      </c>
      <c r="L17" s="4"/>
      <c r="M17" s="85" t="s">
        <v>718</v>
      </c>
      <c r="N17" s="82" t="s">
        <v>727</v>
      </c>
      <c r="O17" s="4"/>
      <c r="P17" s="4"/>
      <c r="Q17" s="5">
        <v>51540</v>
      </c>
      <c r="R17" s="36"/>
      <c r="S17" s="36"/>
      <c r="T17" s="37"/>
      <c r="U17" s="5">
        <f t="shared" si="15"/>
        <v>51540</v>
      </c>
      <c r="V17" s="5">
        <f t="shared" si="16"/>
        <v>1633818</v>
      </c>
      <c r="W17" s="5">
        <f t="shared" si="20"/>
        <v>294087.24</v>
      </c>
      <c r="X17" s="5"/>
      <c r="Y17" s="5"/>
      <c r="Z17" s="98"/>
      <c r="AA17" s="23">
        <f t="shared" si="17"/>
        <v>0</v>
      </c>
      <c r="AB17" s="97">
        <f t="shared" si="18"/>
        <v>0</v>
      </c>
      <c r="AC17" s="43"/>
      <c r="AD17" s="46"/>
      <c r="AE17" s="5">
        <f t="shared" si="19"/>
        <v>1927905.24</v>
      </c>
      <c r="AF17" s="47" t="s">
        <v>1064</v>
      </c>
      <c r="AG17" s="44" t="s">
        <v>954</v>
      </c>
      <c r="AH17" s="13">
        <v>31.7</v>
      </c>
      <c r="AI17" s="12"/>
      <c r="AJ17" s="40"/>
      <c r="AK17" s="40"/>
    </row>
    <row r="18" spans="2:37" s="41" customFormat="1" ht="16.149999999999999" customHeight="1">
      <c r="B18" s="12"/>
      <c r="C18" s="1"/>
      <c r="D18" s="4"/>
      <c r="E18" s="86" t="s">
        <v>35</v>
      </c>
      <c r="F18" s="13">
        <v>31.66</v>
      </c>
      <c r="G18" s="14">
        <f t="shared" si="14"/>
        <v>31660</v>
      </c>
      <c r="H18" s="49">
        <v>15</v>
      </c>
      <c r="I18" s="83" t="s">
        <v>734</v>
      </c>
      <c r="J18" s="85" t="s">
        <v>701</v>
      </c>
      <c r="K18" s="82">
        <v>60309</v>
      </c>
      <c r="L18" s="4"/>
      <c r="M18" s="85" t="s">
        <v>718</v>
      </c>
      <c r="N18" s="82" t="s">
        <v>729</v>
      </c>
      <c r="O18" s="4"/>
      <c r="P18" s="4"/>
      <c r="Q18" s="5">
        <v>51540</v>
      </c>
      <c r="R18" s="36"/>
      <c r="S18" s="36"/>
      <c r="T18" s="37"/>
      <c r="U18" s="5">
        <f t="shared" si="15"/>
        <v>51540</v>
      </c>
      <c r="V18" s="5">
        <f t="shared" si="16"/>
        <v>1631756.4</v>
      </c>
      <c r="W18" s="5">
        <f t="shared" si="20"/>
        <v>293716.15199999994</v>
      </c>
      <c r="X18" s="5"/>
      <c r="Y18" s="5"/>
      <c r="Z18" s="98"/>
      <c r="AA18" s="23">
        <f t="shared" si="17"/>
        <v>0</v>
      </c>
      <c r="AB18" s="97">
        <f t="shared" si="18"/>
        <v>0</v>
      </c>
      <c r="AC18" s="43"/>
      <c r="AD18" s="46"/>
      <c r="AE18" s="5">
        <f t="shared" si="19"/>
        <v>1925472.5519999999</v>
      </c>
      <c r="AF18" s="47" t="s">
        <v>1065</v>
      </c>
      <c r="AG18" s="44" t="s">
        <v>954</v>
      </c>
      <c r="AH18" s="13">
        <v>31.66</v>
      </c>
      <c r="AI18" s="12"/>
      <c r="AJ18" s="40"/>
      <c r="AK18" s="40"/>
    </row>
    <row r="19" spans="2:37" s="41" customFormat="1" ht="16.149999999999999" customHeight="1">
      <c r="B19" s="12"/>
      <c r="C19" s="1"/>
      <c r="D19" s="4"/>
      <c r="E19" s="86" t="s">
        <v>35</v>
      </c>
      <c r="F19" s="13">
        <v>6.3840000000000003</v>
      </c>
      <c r="G19" s="14">
        <f t="shared" si="14"/>
        <v>6384</v>
      </c>
      <c r="H19" s="49">
        <v>3</v>
      </c>
      <c r="I19" s="83" t="s">
        <v>735</v>
      </c>
      <c r="J19" s="85" t="s">
        <v>690</v>
      </c>
      <c r="K19" s="82">
        <v>60306</v>
      </c>
      <c r="L19" s="4"/>
      <c r="M19" s="85" t="s">
        <v>718</v>
      </c>
      <c r="N19" s="82" t="s">
        <v>732</v>
      </c>
      <c r="O19" s="4"/>
      <c r="P19" s="4"/>
      <c r="Q19" s="5">
        <v>51540</v>
      </c>
      <c r="R19" s="36"/>
      <c r="S19" s="36"/>
      <c r="T19" s="37"/>
      <c r="U19" s="5">
        <f t="shared" si="15"/>
        <v>51540</v>
      </c>
      <c r="V19" s="5">
        <f t="shared" si="16"/>
        <v>329031.36000000004</v>
      </c>
      <c r="W19" s="5">
        <f t="shared" si="20"/>
        <v>59225.644800000009</v>
      </c>
      <c r="X19" s="5"/>
      <c r="Y19" s="5"/>
      <c r="Z19" s="98"/>
      <c r="AA19" s="23">
        <f t="shared" si="17"/>
        <v>0</v>
      </c>
      <c r="AB19" s="97">
        <f t="shared" si="18"/>
        <v>0</v>
      </c>
      <c r="AC19" s="43"/>
      <c r="AD19" s="46"/>
      <c r="AE19" s="5">
        <f t="shared" si="19"/>
        <v>388257.00480000005</v>
      </c>
      <c r="AF19" s="47" t="s">
        <v>1066</v>
      </c>
      <c r="AG19" s="44" t="s">
        <v>954</v>
      </c>
      <c r="AH19" s="13">
        <v>6.3840000000000003</v>
      </c>
      <c r="AI19" s="12"/>
      <c r="AJ19" s="40"/>
      <c r="AK19" s="40"/>
    </row>
    <row r="20" spans="2:37" s="41" customFormat="1" ht="16.149999999999999" customHeight="1">
      <c r="B20" s="12"/>
      <c r="C20" s="1"/>
      <c r="D20" s="4"/>
      <c r="E20" s="86" t="s">
        <v>35</v>
      </c>
      <c r="F20" s="13">
        <v>31.62</v>
      </c>
      <c r="G20" s="14">
        <f t="shared" si="14"/>
        <v>31620</v>
      </c>
      <c r="H20" s="49">
        <v>15</v>
      </c>
      <c r="I20" s="83" t="s">
        <v>737</v>
      </c>
      <c r="J20" s="85" t="s">
        <v>690</v>
      </c>
      <c r="K20" s="82">
        <v>60301</v>
      </c>
      <c r="L20" s="4"/>
      <c r="M20" s="85" t="s">
        <v>718</v>
      </c>
      <c r="N20" s="82" t="s">
        <v>738</v>
      </c>
      <c r="O20" s="4"/>
      <c r="P20" s="4"/>
      <c r="Q20" s="5">
        <v>51540</v>
      </c>
      <c r="R20" s="36"/>
      <c r="S20" s="36"/>
      <c r="T20" s="37"/>
      <c r="U20" s="5">
        <f t="shared" si="15"/>
        <v>51540</v>
      </c>
      <c r="V20" s="5">
        <f t="shared" si="16"/>
        <v>1629694.8</v>
      </c>
      <c r="W20" s="5">
        <f t="shared" si="20"/>
        <v>293345.06400000001</v>
      </c>
      <c r="X20" s="5"/>
      <c r="Y20" s="5"/>
      <c r="Z20" s="98"/>
      <c r="AA20" s="23">
        <f t="shared" si="17"/>
        <v>0</v>
      </c>
      <c r="AB20" s="97">
        <f t="shared" si="18"/>
        <v>0</v>
      </c>
      <c r="AC20" s="43"/>
      <c r="AD20" s="46"/>
      <c r="AE20" s="5">
        <f t="shared" si="19"/>
        <v>1923039.8640000001</v>
      </c>
      <c r="AF20" s="47" t="s">
        <v>1067</v>
      </c>
      <c r="AG20" s="44" t="s">
        <v>954</v>
      </c>
      <c r="AH20" s="13">
        <v>31.62</v>
      </c>
      <c r="AI20" s="12"/>
      <c r="AJ20" s="40"/>
      <c r="AK20" s="40"/>
    </row>
    <row r="21" spans="2:37" s="41" customFormat="1" ht="16.149999999999999" customHeight="1">
      <c r="B21" s="12"/>
      <c r="C21" s="1"/>
      <c r="D21" s="4"/>
      <c r="E21" s="86" t="s">
        <v>35</v>
      </c>
      <c r="F21" s="13">
        <v>40.159999999999997</v>
      </c>
      <c r="G21" s="14">
        <f t="shared" si="14"/>
        <v>40160</v>
      </c>
      <c r="H21" s="49">
        <v>19</v>
      </c>
      <c r="I21" s="83" t="s">
        <v>741</v>
      </c>
      <c r="J21" s="85" t="s">
        <v>701</v>
      </c>
      <c r="K21" s="82">
        <v>61090</v>
      </c>
      <c r="L21" s="4"/>
      <c r="M21" s="85" t="s">
        <v>718</v>
      </c>
      <c r="N21" s="82" t="s">
        <v>742</v>
      </c>
      <c r="O21" s="4"/>
      <c r="P21" s="4"/>
      <c r="Q21" s="5">
        <v>51540</v>
      </c>
      <c r="R21" s="36"/>
      <c r="S21" s="36"/>
      <c r="T21" s="37"/>
      <c r="U21" s="5">
        <f t="shared" si="15"/>
        <v>51540</v>
      </c>
      <c r="V21" s="5">
        <f t="shared" si="16"/>
        <v>2069846.4</v>
      </c>
      <c r="W21" s="5">
        <f t="shared" si="20"/>
        <v>372572.35199999996</v>
      </c>
      <c r="X21" s="5"/>
      <c r="Y21" s="5"/>
      <c r="Z21" s="98"/>
      <c r="AA21" s="23">
        <f t="shared" si="17"/>
        <v>0</v>
      </c>
      <c r="AB21" s="97">
        <f t="shared" si="18"/>
        <v>0</v>
      </c>
      <c r="AC21" s="43"/>
      <c r="AD21" s="46"/>
      <c r="AE21" s="5">
        <f t="shared" si="19"/>
        <v>2442418.7519999999</v>
      </c>
      <c r="AF21" s="47" t="s">
        <v>1068</v>
      </c>
      <c r="AG21" s="44" t="s">
        <v>954</v>
      </c>
      <c r="AH21" s="13">
        <v>40.159999999999997</v>
      </c>
      <c r="AI21" s="12"/>
      <c r="AJ21" s="40"/>
      <c r="AK21" s="40"/>
    </row>
    <row r="22" spans="2:37" s="41" customFormat="1" ht="16.149999999999999" customHeight="1">
      <c r="B22" s="12"/>
      <c r="C22" s="1"/>
      <c r="D22" s="4"/>
      <c r="E22" s="86" t="s">
        <v>35</v>
      </c>
      <c r="F22" s="13">
        <v>16.7</v>
      </c>
      <c r="G22" s="14">
        <f t="shared" ref="G22" si="21">+F22*1000</f>
        <v>16700</v>
      </c>
      <c r="H22" s="49">
        <v>9</v>
      </c>
      <c r="I22" s="83" t="s">
        <v>915</v>
      </c>
      <c r="J22" s="85" t="s">
        <v>695</v>
      </c>
      <c r="K22" s="82">
        <v>60328</v>
      </c>
      <c r="L22" s="4"/>
      <c r="M22" s="85" t="s">
        <v>745</v>
      </c>
      <c r="N22" s="82" t="s">
        <v>916</v>
      </c>
      <c r="O22" s="4"/>
      <c r="P22" s="4"/>
      <c r="Q22" s="5">
        <v>51540</v>
      </c>
      <c r="R22" s="36"/>
      <c r="S22" s="36"/>
      <c r="T22" s="37"/>
      <c r="U22" s="5">
        <f t="shared" ref="U22" si="22">S22+R22+Q22-T22</f>
        <v>51540</v>
      </c>
      <c r="V22" s="5">
        <f t="shared" ref="V22" si="23">F22*U22</f>
        <v>860718</v>
      </c>
      <c r="W22" s="5">
        <f t="shared" ref="W22" si="24">V22*18%</f>
        <v>154929.24</v>
      </c>
      <c r="X22" s="5"/>
      <c r="Y22" s="5"/>
      <c r="Z22" s="98"/>
      <c r="AA22" s="23">
        <f t="shared" ref="AA22" si="25">F22*Z22</f>
        <v>0</v>
      </c>
      <c r="AB22" s="97">
        <f t="shared" ref="AB22" si="26">AA22*18%</f>
        <v>0</v>
      </c>
      <c r="AC22" s="43"/>
      <c r="AD22" s="46"/>
      <c r="AE22" s="5">
        <f t="shared" ref="AE22" si="27">+AB22+AA22+Y22+X22+W22+V22-AC22+AD22</f>
        <v>1015647.24</v>
      </c>
      <c r="AF22" s="47" t="s">
        <v>1069</v>
      </c>
      <c r="AG22" s="44" t="s">
        <v>954</v>
      </c>
      <c r="AH22" s="13">
        <v>16.7</v>
      </c>
      <c r="AI22" s="12"/>
      <c r="AJ22" s="40"/>
      <c r="AK22" s="40"/>
    </row>
    <row r="23" spans="2:37" s="41" customFormat="1" ht="16.149999999999999" customHeight="1">
      <c r="B23" s="12"/>
      <c r="C23" s="1"/>
      <c r="D23" s="4"/>
      <c r="E23" s="86" t="s">
        <v>35</v>
      </c>
      <c r="F23" s="13">
        <v>23.24</v>
      </c>
      <c r="G23" s="14">
        <f t="shared" si="14"/>
        <v>23240</v>
      </c>
      <c r="H23" s="49">
        <v>11</v>
      </c>
      <c r="I23" s="83" t="s">
        <v>744</v>
      </c>
      <c r="J23" s="85" t="s">
        <v>695</v>
      </c>
      <c r="K23" s="82">
        <v>60329</v>
      </c>
      <c r="L23" s="4"/>
      <c r="M23" s="85" t="s">
        <v>745</v>
      </c>
      <c r="N23" s="82" t="s">
        <v>746</v>
      </c>
      <c r="O23" s="4"/>
      <c r="P23" s="4"/>
      <c r="Q23" s="5">
        <v>51540</v>
      </c>
      <c r="R23" s="36"/>
      <c r="S23" s="36"/>
      <c r="T23" s="37"/>
      <c r="U23" s="5">
        <f t="shared" si="15"/>
        <v>51540</v>
      </c>
      <c r="V23" s="5">
        <f t="shared" si="16"/>
        <v>1197789.5999999999</v>
      </c>
      <c r="W23" s="5">
        <f t="shared" si="20"/>
        <v>215602.12799999997</v>
      </c>
      <c r="X23" s="5"/>
      <c r="Y23" s="5"/>
      <c r="Z23" s="98"/>
      <c r="AA23" s="23">
        <f t="shared" si="17"/>
        <v>0</v>
      </c>
      <c r="AB23" s="97">
        <f t="shared" si="18"/>
        <v>0</v>
      </c>
      <c r="AC23" s="43"/>
      <c r="AD23" s="46"/>
      <c r="AE23" s="5">
        <f t="shared" si="19"/>
        <v>1413391.7279999999</v>
      </c>
      <c r="AF23" s="47" t="s">
        <v>1070</v>
      </c>
      <c r="AG23" s="44" t="s">
        <v>954</v>
      </c>
      <c r="AH23" s="13">
        <v>23.24</v>
      </c>
      <c r="AI23" s="12"/>
      <c r="AJ23" s="40"/>
      <c r="AK23" s="40"/>
    </row>
    <row r="24" spans="2:37" s="41" customFormat="1" ht="16.149999999999999" customHeight="1">
      <c r="B24" s="12"/>
      <c r="C24" s="1"/>
      <c r="D24" s="4"/>
      <c r="E24" s="86" t="s">
        <v>35</v>
      </c>
      <c r="F24" s="13">
        <v>27.48</v>
      </c>
      <c r="G24" s="14">
        <f t="shared" si="14"/>
        <v>27480</v>
      </c>
      <c r="H24" s="49">
        <v>13</v>
      </c>
      <c r="I24" s="83" t="s">
        <v>747</v>
      </c>
      <c r="J24" s="85" t="s">
        <v>701</v>
      </c>
      <c r="K24" s="82">
        <v>10091</v>
      </c>
      <c r="L24" s="4"/>
      <c r="M24" s="85" t="s">
        <v>745</v>
      </c>
      <c r="N24" s="82" t="s">
        <v>748</v>
      </c>
      <c r="O24" s="4"/>
      <c r="P24" s="4"/>
      <c r="Q24" s="5">
        <v>51540</v>
      </c>
      <c r="R24" s="36"/>
      <c r="S24" s="36"/>
      <c r="T24" s="37"/>
      <c r="U24" s="5">
        <f t="shared" si="15"/>
        <v>51540</v>
      </c>
      <c r="V24" s="5">
        <f t="shared" si="16"/>
        <v>1416319.2</v>
      </c>
      <c r="W24" s="5">
        <f t="shared" si="20"/>
        <v>254937.45599999998</v>
      </c>
      <c r="X24" s="5"/>
      <c r="Y24" s="5"/>
      <c r="Z24" s="98"/>
      <c r="AA24" s="23">
        <f t="shared" si="17"/>
        <v>0</v>
      </c>
      <c r="AB24" s="97">
        <f t="shared" si="18"/>
        <v>0</v>
      </c>
      <c r="AC24" s="43"/>
      <c r="AD24" s="46"/>
      <c r="AE24" s="5">
        <f t="shared" si="19"/>
        <v>1671256.656</v>
      </c>
      <c r="AF24" s="47" t="s">
        <v>1071</v>
      </c>
      <c r="AG24" s="44" t="s">
        <v>954</v>
      </c>
      <c r="AH24" s="13">
        <v>27.48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86" t="s">
        <v>35</v>
      </c>
      <c r="F25" s="13">
        <f>6.342+25.898</f>
        <v>32.24</v>
      </c>
      <c r="G25" s="14">
        <f t="shared" si="14"/>
        <v>32240.000000000004</v>
      </c>
      <c r="H25" s="49">
        <v>17</v>
      </c>
      <c r="I25" s="83" t="s">
        <v>757</v>
      </c>
      <c r="J25" s="85" t="s">
        <v>701</v>
      </c>
      <c r="K25" s="82">
        <v>60139</v>
      </c>
      <c r="L25" s="4"/>
      <c r="M25" s="85" t="s">
        <v>753</v>
      </c>
      <c r="N25" s="82" t="s">
        <v>758</v>
      </c>
      <c r="O25" s="4"/>
      <c r="P25" s="4"/>
      <c r="Q25" s="5">
        <v>51540</v>
      </c>
      <c r="R25" s="36"/>
      <c r="S25" s="36"/>
      <c r="T25" s="37"/>
      <c r="U25" s="5">
        <f t="shared" si="15"/>
        <v>51540</v>
      </c>
      <c r="V25" s="5">
        <f t="shared" si="16"/>
        <v>1661649.6</v>
      </c>
      <c r="W25" s="5">
        <f t="shared" si="20"/>
        <v>299096.92800000001</v>
      </c>
      <c r="X25" s="5"/>
      <c r="Y25" s="5"/>
      <c r="Z25" s="98"/>
      <c r="AA25" s="23">
        <f t="shared" si="17"/>
        <v>0</v>
      </c>
      <c r="AB25" s="97">
        <f t="shared" si="18"/>
        <v>0</v>
      </c>
      <c r="AC25" s="43"/>
      <c r="AD25" s="46"/>
      <c r="AE25" s="5">
        <f t="shared" si="19"/>
        <v>1960746.5280000002</v>
      </c>
      <c r="AF25" s="47" t="s">
        <v>1072</v>
      </c>
      <c r="AG25" s="44" t="s">
        <v>954</v>
      </c>
      <c r="AH25" s="13">
        <f>6.342+25.898</f>
        <v>32.24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86" t="s">
        <v>35</v>
      </c>
      <c r="F26" s="13">
        <v>27.44</v>
      </c>
      <c r="G26" s="14">
        <f t="shared" si="14"/>
        <v>27440</v>
      </c>
      <c r="H26" s="49">
        <v>13</v>
      </c>
      <c r="I26" s="83" t="s">
        <v>759</v>
      </c>
      <c r="J26" s="85" t="s">
        <v>701</v>
      </c>
      <c r="K26" s="82">
        <v>60312</v>
      </c>
      <c r="L26" s="4"/>
      <c r="M26" s="85" t="s">
        <v>753</v>
      </c>
      <c r="N26" s="82" t="s">
        <v>760</v>
      </c>
      <c r="O26" s="4"/>
      <c r="P26" s="4"/>
      <c r="Q26" s="5">
        <v>51540</v>
      </c>
      <c r="R26" s="36"/>
      <c r="S26" s="36"/>
      <c r="T26" s="37"/>
      <c r="U26" s="5">
        <f t="shared" si="15"/>
        <v>51540</v>
      </c>
      <c r="V26" s="5">
        <f t="shared" si="16"/>
        <v>1414257.6</v>
      </c>
      <c r="W26" s="5">
        <f t="shared" si="20"/>
        <v>254566.36800000002</v>
      </c>
      <c r="X26" s="5"/>
      <c r="Y26" s="5"/>
      <c r="Z26" s="98"/>
      <c r="AA26" s="23">
        <f t="shared" si="17"/>
        <v>0</v>
      </c>
      <c r="AB26" s="97">
        <f t="shared" si="18"/>
        <v>0</v>
      </c>
      <c r="AC26" s="43"/>
      <c r="AD26" s="46"/>
      <c r="AE26" s="5">
        <f t="shared" si="19"/>
        <v>1668823.9680000001</v>
      </c>
      <c r="AF26" s="47" t="s">
        <v>1073</v>
      </c>
      <c r="AG26" s="44" t="s">
        <v>954</v>
      </c>
      <c r="AH26" s="13">
        <v>27.44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86" t="s">
        <v>35</v>
      </c>
      <c r="F27" s="13">
        <v>19.128</v>
      </c>
      <c r="G27" s="14">
        <f t="shared" si="14"/>
        <v>19128</v>
      </c>
      <c r="H27" s="49">
        <v>9</v>
      </c>
      <c r="I27" s="83" t="s">
        <v>763</v>
      </c>
      <c r="J27" s="85" t="s">
        <v>701</v>
      </c>
      <c r="K27" s="82">
        <v>60145</v>
      </c>
      <c r="L27" s="4"/>
      <c r="M27" s="85" t="s">
        <v>753</v>
      </c>
      <c r="N27" s="82" t="s">
        <v>762</v>
      </c>
      <c r="O27" s="4"/>
      <c r="P27" s="4"/>
      <c r="Q27" s="5">
        <v>51540</v>
      </c>
      <c r="R27" s="36"/>
      <c r="S27" s="36"/>
      <c r="T27" s="37"/>
      <c r="U27" s="5">
        <f t="shared" si="15"/>
        <v>51540</v>
      </c>
      <c r="V27" s="5">
        <f t="shared" si="16"/>
        <v>985857.12</v>
      </c>
      <c r="W27" s="5">
        <f t="shared" si="20"/>
        <v>177454.28159999999</v>
      </c>
      <c r="X27" s="5"/>
      <c r="Y27" s="5"/>
      <c r="Z27" s="98"/>
      <c r="AA27" s="23">
        <f t="shared" si="17"/>
        <v>0</v>
      </c>
      <c r="AB27" s="97">
        <f t="shared" si="18"/>
        <v>0</v>
      </c>
      <c r="AC27" s="43"/>
      <c r="AD27" s="46"/>
      <c r="AE27" s="5">
        <f t="shared" si="19"/>
        <v>1163311.4016</v>
      </c>
      <c r="AF27" s="47" t="s">
        <v>1074</v>
      </c>
      <c r="AG27" s="44" t="s">
        <v>954</v>
      </c>
      <c r="AH27" s="13">
        <v>19.128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86" t="s">
        <v>35</v>
      </c>
      <c r="F28" s="13">
        <v>40.340000000000003</v>
      </c>
      <c r="G28" s="14">
        <f t="shared" si="14"/>
        <v>40340</v>
      </c>
      <c r="H28" s="49">
        <v>19</v>
      </c>
      <c r="I28" s="83" t="s">
        <v>785</v>
      </c>
      <c r="J28" s="85" t="s">
        <v>701</v>
      </c>
      <c r="K28" s="82">
        <v>61091</v>
      </c>
      <c r="L28" s="4"/>
      <c r="M28" s="85" t="s">
        <v>773</v>
      </c>
      <c r="N28" s="82" t="s">
        <v>786</v>
      </c>
      <c r="O28" s="4"/>
      <c r="P28" s="4"/>
      <c r="Q28" s="5">
        <v>51540</v>
      </c>
      <c r="R28" s="36"/>
      <c r="S28" s="36"/>
      <c r="T28" s="37"/>
      <c r="U28" s="5">
        <f t="shared" si="15"/>
        <v>51540</v>
      </c>
      <c r="V28" s="5">
        <f t="shared" si="16"/>
        <v>2079123.6</v>
      </c>
      <c r="W28" s="5">
        <f t="shared" si="20"/>
        <v>374242.24800000002</v>
      </c>
      <c r="X28" s="5"/>
      <c r="Y28" s="5"/>
      <c r="Z28" s="98"/>
      <c r="AA28" s="23">
        <f t="shared" si="17"/>
        <v>0</v>
      </c>
      <c r="AB28" s="97">
        <f t="shared" si="18"/>
        <v>0</v>
      </c>
      <c r="AC28" s="43"/>
      <c r="AD28" s="46"/>
      <c r="AE28" s="5">
        <f t="shared" si="19"/>
        <v>2453365.8480000002</v>
      </c>
      <c r="AF28" s="47" t="s">
        <v>1075</v>
      </c>
      <c r="AG28" s="44" t="s">
        <v>954</v>
      </c>
      <c r="AH28" s="13">
        <v>40.340000000000003</v>
      </c>
      <c r="AI28" s="12"/>
      <c r="AJ28" s="40"/>
      <c r="AK28" s="40"/>
    </row>
    <row r="29" spans="2:37" s="41" customFormat="1">
      <c r="B29" s="92"/>
      <c r="C29" s="48"/>
      <c r="D29" s="6"/>
      <c r="E29" s="6"/>
      <c r="F29" s="81">
        <f>SUM(F13:F28)</f>
        <v>432.072</v>
      </c>
      <c r="G29" s="20">
        <f>SUM(G13:G28)</f>
        <v>432072</v>
      </c>
      <c r="H29" s="21">
        <f>SUM(H13:H28)</f>
        <v>208</v>
      </c>
      <c r="I29" s="2"/>
      <c r="J29" s="7"/>
      <c r="K29" s="7"/>
      <c r="L29" s="7"/>
      <c r="M29" s="2"/>
      <c r="N29" s="6"/>
      <c r="O29" s="6"/>
      <c r="P29" s="6"/>
      <c r="Q29" s="19"/>
      <c r="R29" s="9"/>
      <c r="S29" s="9"/>
      <c r="T29" s="10"/>
      <c r="U29" s="8"/>
      <c r="V29" s="21">
        <f>SUM(V13:V28)</f>
        <v>22268990.880000003</v>
      </c>
      <c r="W29" s="21">
        <f>SUM(W13:W28)</f>
        <v>4008418.3584000003</v>
      </c>
      <c r="X29" s="21">
        <f>SUM(X13:X28)</f>
        <v>0</v>
      </c>
      <c r="Y29" s="21">
        <f>SUM(Y13:Y28)</f>
        <v>0</v>
      </c>
      <c r="Z29" s="99"/>
      <c r="AA29" s="21">
        <f>SUM(AA13:AA28)</f>
        <v>0</v>
      </c>
      <c r="AB29" s="21">
        <f>SUM(AB13:AB28)</f>
        <v>0</v>
      </c>
      <c r="AC29" s="21"/>
      <c r="AD29" s="21">
        <f>SUM(AD13:AD28)</f>
        <v>0</v>
      </c>
      <c r="AE29" s="21">
        <f>SUM(AE13:AE28)</f>
        <v>26277409.238399997</v>
      </c>
      <c r="AF29" s="21"/>
      <c r="AG29" s="42"/>
      <c r="AH29" s="81">
        <f>SUM(AH13:AH28)</f>
        <v>432.072</v>
      </c>
      <c r="AI29" s="26">
        <f>AH29-F29</f>
        <v>0</v>
      </c>
      <c r="AJ29" s="41">
        <f>AA29/F29</f>
        <v>0</v>
      </c>
      <c r="AK29" s="40"/>
    </row>
    <row r="30" spans="2:37" s="41" customFormat="1" ht="16.149999999999999" customHeight="1">
      <c r="B30" s="86" t="s">
        <v>702</v>
      </c>
      <c r="C30" s="86" t="s">
        <v>698</v>
      </c>
      <c r="D30" s="4"/>
      <c r="E30" s="86" t="s">
        <v>700</v>
      </c>
      <c r="F30" s="13">
        <v>27.86</v>
      </c>
      <c r="G30" s="14">
        <f t="shared" ref="G30:G51" si="28">+F30*1000</f>
        <v>27860</v>
      </c>
      <c r="H30" s="49">
        <v>8</v>
      </c>
      <c r="I30" s="83" t="s">
        <v>920</v>
      </c>
      <c r="J30" s="85" t="s">
        <v>701</v>
      </c>
      <c r="K30" s="82" t="s">
        <v>703</v>
      </c>
      <c r="L30" s="4"/>
      <c r="M30" s="85" t="s">
        <v>695</v>
      </c>
      <c r="N30" s="82" t="s">
        <v>704</v>
      </c>
      <c r="O30" s="4"/>
      <c r="P30" s="4"/>
      <c r="Q30" s="5">
        <v>51540</v>
      </c>
      <c r="R30" s="36"/>
      <c r="S30" s="36"/>
      <c r="T30" s="37"/>
      <c r="U30" s="5">
        <f t="shared" ref="U30:U51" si="29">S30+R30+Q30-T30</f>
        <v>51540</v>
      </c>
      <c r="V30" s="5">
        <f t="shared" ref="V30:V51" si="30">F30*U30</f>
        <v>1435904.4</v>
      </c>
      <c r="W30" s="5">
        <f>V30*18%</f>
        <v>258462.79199999999</v>
      </c>
      <c r="X30" s="5"/>
      <c r="Y30" s="5"/>
      <c r="Z30" s="98"/>
      <c r="AA30" s="23">
        <f t="shared" ref="AA30:AA51" si="31">F30*Z30</f>
        <v>0</v>
      </c>
      <c r="AB30" s="97">
        <f t="shared" ref="AB30:AB51" si="32">AA30*18%</f>
        <v>0</v>
      </c>
      <c r="AC30" s="43"/>
      <c r="AD30" s="46"/>
      <c r="AE30" s="5">
        <f t="shared" ref="AE30:AE51" si="33">+AB30+AA30+Y30+X30+W30+V30-AC30+AD30</f>
        <v>1694367.1919999998</v>
      </c>
      <c r="AF30" s="47" t="s">
        <v>1076</v>
      </c>
      <c r="AG30" s="44" t="s">
        <v>954</v>
      </c>
      <c r="AH30" s="13">
        <v>27.86</v>
      </c>
      <c r="AI30" s="12"/>
      <c r="AJ30" s="40"/>
      <c r="AK30" s="40"/>
    </row>
    <row r="31" spans="2:37" s="41" customFormat="1" ht="16.149999999999999" customHeight="1">
      <c r="B31" s="70" t="s">
        <v>697</v>
      </c>
      <c r="C31" s="82" t="s">
        <v>699</v>
      </c>
      <c r="D31" s="4"/>
      <c r="E31" s="86" t="s">
        <v>700</v>
      </c>
      <c r="F31" s="13">
        <v>40.86</v>
      </c>
      <c r="G31" s="14">
        <f t="shared" si="28"/>
        <v>40860</v>
      </c>
      <c r="H31" s="49">
        <v>11</v>
      </c>
      <c r="I31" s="83" t="s">
        <v>921</v>
      </c>
      <c r="J31" s="85" t="s">
        <v>701</v>
      </c>
      <c r="K31" s="82" t="s">
        <v>715</v>
      </c>
      <c r="L31" s="4"/>
      <c r="M31" s="85" t="s">
        <v>695</v>
      </c>
      <c r="N31" s="82" t="s">
        <v>716</v>
      </c>
      <c r="O31" s="4"/>
      <c r="P31" s="4"/>
      <c r="Q31" s="5">
        <v>51540</v>
      </c>
      <c r="R31" s="36"/>
      <c r="S31" s="36"/>
      <c r="T31" s="37"/>
      <c r="U31" s="5">
        <f t="shared" si="29"/>
        <v>51540</v>
      </c>
      <c r="V31" s="5">
        <f t="shared" si="30"/>
        <v>2105924.4</v>
      </c>
      <c r="W31" s="5">
        <f>V31*18%</f>
        <v>379066.39199999999</v>
      </c>
      <c r="X31" s="5"/>
      <c r="Y31" s="5"/>
      <c r="Z31" s="98"/>
      <c r="AA31" s="23">
        <f t="shared" si="31"/>
        <v>0</v>
      </c>
      <c r="AB31" s="97">
        <f t="shared" si="32"/>
        <v>0</v>
      </c>
      <c r="AC31" s="43"/>
      <c r="AD31" s="46"/>
      <c r="AE31" s="5">
        <f t="shared" si="33"/>
        <v>2484990.7919999999</v>
      </c>
      <c r="AF31" s="47" t="s">
        <v>1077</v>
      </c>
      <c r="AG31" s="44" t="s">
        <v>954</v>
      </c>
      <c r="AH31" s="13">
        <v>40.86</v>
      </c>
      <c r="AI31" s="12"/>
      <c r="AJ31" s="40"/>
      <c r="AK31" s="40"/>
    </row>
    <row r="32" spans="2:37" s="41" customFormat="1" ht="16.149999999999999" customHeight="1">
      <c r="B32" s="70" t="s">
        <v>108</v>
      </c>
      <c r="C32" s="70"/>
      <c r="D32" s="4"/>
      <c r="E32" s="86" t="s">
        <v>700</v>
      </c>
      <c r="F32" s="13">
        <v>40.9</v>
      </c>
      <c r="G32" s="14">
        <f t="shared" si="28"/>
        <v>40900</v>
      </c>
      <c r="H32" s="49">
        <v>11</v>
      </c>
      <c r="I32" s="83" t="s">
        <v>922</v>
      </c>
      <c r="J32" s="85" t="s">
        <v>701</v>
      </c>
      <c r="K32" s="82" t="s">
        <v>717</v>
      </c>
      <c r="L32" s="4"/>
      <c r="M32" s="85" t="s">
        <v>718</v>
      </c>
      <c r="N32" s="82" t="s">
        <v>719</v>
      </c>
      <c r="O32" s="4"/>
      <c r="P32" s="4"/>
      <c r="Q32" s="5">
        <v>51540</v>
      </c>
      <c r="R32" s="36"/>
      <c r="S32" s="36"/>
      <c r="T32" s="37"/>
      <c r="U32" s="5">
        <f t="shared" si="29"/>
        <v>51540</v>
      </c>
      <c r="V32" s="5">
        <f t="shared" si="30"/>
        <v>2107986</v>
      </c>
      <c r="W32" s="5">
        <f t="shared" ref="W32:W51" si="34">V32*18%</f>
        <v>379437.48</v>
      </c>
      <c r="X32" s="5"/>
      <c r="Y32" s="5"/>
      <c r="Z32" s="98"/>
      <c r="AA32" s="23">
        <f t="shared" si="31"/>
        <v>0</v>
      </c>
      <c r="AB32" s="97">
        <f t="shared" si="32"/>
        <v>0</v>
      </c>
      <c r="AC32" s="43"/>
      <c r="AD32" s="46"/>
      <c r="AE32" s="5">
        <f t="shared" si="33"/>
        <v>2487423.48</v>
      </c>
      <c r="AF32" s="47" t="s">
        <v>1078</v>
      </c>
      <c r="AG32" s="44" t="s">
        <v>954</v>
      </c>
      <c r="AH32" s="13">
        <v>40.9</v>
      </c>
      <c r="AI32" s="12"/>
      <c r="AJ32" s="40"/>
      <c r="AK32" s="40"/>
    </row>
    <row r="33" spans="2:37" s="41" customFormat="1" ht="16.149999999999999" customHeight="1">
      <c r="B33" s="12"/>
      <c r="C33" s="1"/>
      <c r="D33" s="4"/>
      <c r="E33" s="86" t="s">
        <v>700</v>
      </c>
      <c r="F33" s="13">
        <v>40.96</v>
      </c>
      <c r="G33" s="14">
        <f t="shared" si="28"/>
        <v>40960</v>
      </c>
      <c r="H33" s="49">
        <v>11</v>
      </c>
      <c r="I33" s="83" t="s">
        <v>923</v>
      </c>
      <c r="J33" s="85" t="s">
        <v>701</v>
      </c>
      <c r="K33" s="82">
        <v>13856</v>
      </c>
      <c r="L33" s="4"/>
      <c r="M33" s="85" t="s">
        <v>718</v>
      </c>
      <c r="N33" s="82" t="s">
        <v>725</v>
      </c>
      <c r="O33" s="4"/>
      <c r="P33" s="4"/>
      <c r="Q33" s="5">
        <v>51540</v>
      </c>
      <c r="R33" s="36"/>
      <c r="S33" s="36"/>
      <c r="T33" s="37"/>
      <c r="U33" s="5">
        <f t="shared" si="29"/>
        <v>51540</v>
      </c>
      <c r="V33" s="5">
        <f t="shared" si="30"/>
        <v>2111078.3999999999</v>
      </c>
      <c r="W33" s="5">
        <f t="shared" si="34"/>
        <v>379994.11199999996</v>
      </c>
      <c r="X33" s="5"/>
      <c r="Y33" s="5"/>
      <c r="Z33" s="98"/>
      <c r="AA33" s="23">
        <f t="shared" si="31"/>
        <v>0</v>
      </c>
      <c r="AB33" s="97">
        <f t="shared" si="32"/>
        <v>0</v>
      </c>
      <c r="AC33" s="43"/>
      <c r="AD33" s="46"/>
      <c r="AE33" s="5">
        <f t="shared" si="33"/>
        <v>2491072.5120000001</v>
      </c>
      <c r="AF33" s="47" t="s">
        <v>1079</v>
      </c>
      <c r="AG33" s="44" t="s">
        <v>954</v>
      </c>
      <c r="AH33" s="13">
        <v>40.96</v>
      </c>
      <c r="AI33" s="12"/>
      <c r="AJ33" s="40"/>
      <c r="AK33" s="40"/>
    </row>
    <row r="34" spans="2:37" s="41" customFormat="1" ht="16.149999999999999" customHeight="1">
      <c r="B34" s="12"/>
      <c r="C34" s="1"/>
      <c r="D34" s="4"/>
      <c r="E34" s="86" t="s">
        <v>700</v>
      </c>
      <c r="F34" s="13">
        <v>33.44</v>
      </c>
      <c r="G34" s="14">
        <f t="shared" si="28"/>
        <v>33440</v>
      </c>
      <c r="H34" s="49">
        <v>9</v>
      </c>
      <c r="I34" s="83" t="s">
        <v>924</v>
      </c>
      <c r="J34" s="85" t="s">
        <v>701</v>
      </c>
      <c r="K34" s="82">
        <v>13840</v>
      </c>
      <c r="L34" s="4"/>
      <c r="M34" s="85" t="s">
        <v>718</v>
      </c>
      <c r="N34" s="82" t="s">
        <v>728</v>
      </c>
      <c r="O34" s="4"/>
      <c r="P34" s="4"/>
      <c r="Q34" s="5">
        <v>51540</v>
      </c>
      <c r="R34" s="36"/>
      <c r="S34" s="36"/>
      <c r="T34" s="37"/>
      <c r="U34" s="5">
        <f t="shared" si="29"/>
        <v>51540</v>
      </c>
      <c r="V34" s="5">
        <f t="shared" si="30"/>
        <v>1723497.5999999999</v>
      </c>
      <c r="W34" s="5">
        <f t="shared" si="34"/>
        <v>310229.56799999997</v>
      </c>
      <c r="X34" s="5"/>
      <c r="Y34" s="5"/>
      <c r="Z34" s="98"/>
      <c r="AA34" s="23">
        <f t="shared" si="31"/>
        <v>0</v>
      </c>
      <c r="AB34" s="97">
        <f t="shared" si="32"/>
        <v>0</v>
      </c>
      <c r="AC34" s="43"/>
      <c r="AD34" s="46"/>
      <c r="AE34" s="5">
        <f t="shared" si="33"/>
        <v>2033727.1679999998</v>
      </c>
      <c r="AF34" s="47" t="s">
        <v>1080</v>
      </c>
      <c r="AG34" s="44" t="s">
        <v>954</v>
      </c>
      <c r="AH34" s="13">
        <v>33.44</v>
      </c>
      <c r="AI34" s="12"/>
      <c r="AJ34" s="40"/>
      <c r="AK34" s="40"/>
    </row>
    <row r="35" spans="2:37" s="41" customFormat="1" ht="16.149999999999999" customHeight="1">
      <c r="B35" s="12"/>
      <c r="C35" s="1"/>
      <c r="D35" s="4"/>
      <c r="E35" s="86" t="s">
        <v>700</v>
      </c>
      <c r="F35" s="13">
        <v>39.119999999999997</v>
      </c>
      <c r="G35" s="14">
        <f t="shared" si="28"/>
        <v>39120</v>
      </c>
      <c r="H35" s="49">
        <v>11</v>
      </c>
      <c r="I35" s="83" t="s">
        <v>925</v>
      </c>
      <c r="J35" s="85" t="s">
        <v>701</v>
      </c>
      <c r="K35" s="82">
        <v>13839</v>
      </c>
      <c r="L35" s="4"/>
      <c r="M35" s="85" t="s">
        <v>718</v>
      </c>
      <c r="N35" s="82" t="s">
        <v>743</v>
      </c>
      <c r="O35" s="4"/>
      <c r="P35" s="4"/>
      <c r="Q35" s="5">
        <v>51540</v>
      </c>
      <c r="R35" s="36"/>
      <c r="S35" s="36"/>
      <c r="T35" s="37"/>
      <c r="U35" s="5">
        <f t="shared" si="29"/>
        <v>51540</v>
      </c>
      <c r="V35" s="5">
        <f t="shared" si="30"/>
        <v>2016244.7999999998</v>
      </c>
      <c r="W35" s="5">
        <f t="shared" si="34"/>
        <v>362924.06399999995</v>
      </c>
      <c r="X35" s="5"/>
      <c r="Y35" s="5"/>
      <c r="Z35" s="98"/>
      <c r="AA35" s="23">
        <f t="shared" si="31"/>
        <v>0</v>
      </c>
      <c r="AB35" s="97">
        <f t="shared" si="32"/>
        <v>0</v>
      </c>
      <c r="AC35" s="43"/>
      <c r="AD35" s="46"/>
      <c r="AE35" s="5">
        <f t="shared" si="33"/>
        <v>2379168.8639999996</v>
      </c>
      <c r="AF35" s="47" t="s">
        <v>1081</v>
      </c>
      <c r="AG35" s="44" t="s">
        <v>954</v>
      </c>
      <c r="AH35" s="13">
        <v>39.119999999999997</v>
      </c>
      <c r="AI35" s="12"/>
      <c r="AJ35" s="40"/>
      <c r="AK35" s="40"/>
    </row>
    <row r="36" spans="2:37" s="41" customFormat="1" ht="16.149999999999999" customHeight="1">
      <c r="B36" s="12"/>
      <c r="C36" s="1"/>
      <c r="D36" s="4"/>
      <c r="E36" s="86" t="s">
        <v>700</v>
      </c>
      <c r="F36" s="13">
        <v>26</v>
      </c>
      <c r="G36" s="14">
        <f t="shared" si="28"/>
        <v>26000</v>
      </c>
      <c r="H36" s="49">
        <v>7</v>
      </c>
      <c r="I36" s="83" t="s">
        <v>926</v>
      </c>
      <c r="J36" s="85" t="s">
        <v>695</v>
      </c>
      <c r="K36" s="82">
        <v>13898</v>
      </c>
      <c r="L36" s="4"/>
      <c r="M36" s="85" t="s">
        <v>718</v>
      </c>
      <c r="N36" s="82" t="s">
        <v>752</v>
      </c>
      <c r="O36" s="4"/>
      <c r="P36" s="4"/>
      <c r="Q36" s="5">
        <v>51540</v>
      </c>
      <c r="R36" s="36"/>
      <c r="S36" s="36"/>
      <c r="T36" s="37"/>
      <c r="U36" s="5">
        <f t="shared" si="29"/>
        <v>51540</v>
      </c>
      <c r="V36" s="5">
        <f t="shared" si="30"/>
        <v>1340040</v>
      </c>
      <c r="W36" s="5">
        <f t="shared" si="34"/>
        <v>241207.19999999998</v>
      </c>
      <c r="X36" s="5"/>
      <c r="Y36" s="5"/>
      <c r="Z36" s="98"/>
      <c r="AA36" s="23">
        <f t="shared" si="31"/>
        <v>0</v>
      </c>
      <c r="AB36" s="97">
        <f t="shared" si="32"/>
        <v>0</v>
      </c>
      <c r="AC36" s="43"/>
      <c r="AD36" s="46"/>
      <c r="AE36" s="5">
        <f t="shared" si="33"/>
        <v>1581247.2</v>
      </c>
      <c r="AF36" s="47" t="s">
        <v>1082</v>
      </c>
      <c r="AG36" s="44" t="s">
        <v>954</v>
      </c>
      <c r="AH36" s="13">
        <v>26</v>
      </c>
      <c r="AI36" s="12"/>
      <c r="AJ36" s="40"/>
      <c r="AK36" s="40"/>
    </row>
    <row r="37" spans="2:37" s="41" customFormat="1" ht="16.149999999999999" customHeight="1">
      <c r="B37" s="12"/>
      <c r="C37" s="1"/>
      <c r="D37" s="4"/>
      <c r="E37" s="86" t="s">
        <v>700</v>
      </c>
      <c r="F37" s="13">
        <v>40.92</v>
      </c>
      <c r="G37" s="14">
        <f t="shared" si="28"/>
        <v>40920</v>
      </c>
      <c r="H37" s="49">
        <v>11</v>
      </c>
      <c r="I37" s="83" t="s">
        <v>927</v>
      </c>
      <c r="J37" s="85" t="s">
        <v>695</v>
      </c>
      <c r="K37" s="82">
        <v>10374</v>
      </c>
      <c r="L37" s="4"/>
      <c r="M37" s="85" t="s">
        <v>753</v>
      </c>
      <c r="N37" s="82" t="s">
        <v>754</v>
      </c>
      <c r="O37" s="4"/>
      <c r="P37" s="4"/>
      <c r="Q37" s="5">
        <v>51540</v>
      </c>
      <c r="R37" s="36"/>
      <c r="S37" s="36"/>
      <c r="T37" s="37"/>
      <c r="U37" s="5">
        <f t="shared" si="29"/>
        <v>51540</v>
      </c>
      <c r="V37" s="5">
        <f t="shared" si="30"/>
        <v>2109016.8000000003</v>
      </c>
      <c r="W37" s="5">
        <f t="shared" si="34"/>
        <v>379623.02400000003</v>
      </c>
      <c r="X37" s="5"/>
      <c r="Y37" s="5"/>
      <c r="Z37" s="98"/>
      <c r="AA37" s="23">
        <f t="shared" si="31"/>
        <v>0</v>
      </c>
      <c r="AB37" s="97">
        <f t="shared" si="32"/>
        <v>0</v>
      </c>
      <c r="AC37" s="43"/>
      <c r="AD37" s="46"/>
      <c r="AE37" s="5">
        <f t="shared" si="33"/>
        <v>2488639.8240000005</v>
      </c>
      <c r="AF37" s="47" t="s">
        <v>1083</v>
      </c>
      <c r="AG37" s="44" t="s">
        <v>954</v>
      </c>
      <c r="AH37" s="13">
        <v>40.92</v>
      </c>
      <c r="AI37" s="12"/>
      <c r="AJ37" s="40"/>
      <c r="AK37" s="40"/>
    </row>
    <row r="38" spans="2:37" s="41" customFormat="1" ht="16.149999999999999" customHeight="1">
      <c r="B38" s="12"/>
      <c r="C38" s="1"/>
      <c r="D38" s="4"/>
      <c r="E38" s="86" t="s">
        <v>700</v>
      </c>
      <c r="F38" s="13">
        <v>40.94</v>
      </c>
      <c r="G38" s="14">
        <f t="shared" si="28"/>
        <v>40940</v>
      </c>
      <c r="H38" s="49">
        <v>11</v>
      </c>
      <c r="I38" s="83" t="s">
        <v>928</v>
      </c>
      <c r="J38" s="85" t="s">
        <v>695</v>
      </c>
      <c r="K38" s="82">
        <v>10375</v>
      </c>
      <c r="L38" s="4"/>
      <c r="M38" s="85" t="s">
        <v>753</v>
      </c>
      <c r="N38" s="82" t="s">
        <v>755</v>
      </c>
      <c r="O38" s="4"/>
      <c r="P38" s="4"/>
      <c r="Q38" s="5">
        <v>51540</v>
      </c>
      <c r="R38" s="36"/>
      <c r="S38" s="36"/>
      <c r="T38" s="37"/>
      <c r="U38" s="5">
        <f t="shared" si="29"/>
        <v>51540</v>
      </c>
      <c r="V38" s="5">
        <f t="shared" si="30"/>
        <v>2110047.6</v>
      </c>
      <c r="W38" s="5">
        <f t="shared" si="34"/>
        <v>379808.56800000003</v>
      </c>
      <c r="X38" s="5"/>
      <c r="Y38" s="5"/>
      <c r="Z38" s="98"/>
      <c r="AA38" s="23">
        <f t="shared" si="31"/>
        <v>0</v>
      </c>
      <c r="AB38" s="97">
        <f t="shared" si="32"/>
        <v>0</v>
      </c>
      <c r="AC38" s="43"/>
      <c r="AD38" s="46"/>
      <c r="AE38" s="5">
        <f t="shared" si="33"/>
        <v>2489856.1680000001</v>
      </c>
      <c r="AF38" s="47" t="s">
        <v>69</v>
      </c>
      <c r="AG38" s="44" t="s">
        <v>954</v>
      </c>
      <c r="AH38" s="13">
        <v>40.94</v>
      </c>
      <c r="AI38" s="12"/>
      <c r="AJ38" s="40"/>
      <c r="AK38" s="40"/>
    </row>
    <row r="39" spans="2:37" s="41" customFormat="1" ht="16.149999999999999" customHeight="1">
      <c r="B39" s="12"/>
      <c r="C39" s="1"/>
      <c r="D39" s="4"/>
      <c r="E39" s="86" t="s">
        <v>700</v>
      </c>
      <c r="F39" s="13">
        <v>40.9</v>
      </c>
      <c r="G39" s="14">
        <f t="shared" si="28"/>
        <v>40900</v>
      </c>
      <c r="H39" s="49">
        <v>11</v>
      </c>
      <c r="I39" s="83" t="s">
        <v>929</v>
      </c>
      <c r="J39" s="85" t="s">
        <v>695</v>
      </c>
      <c r="K39" s="82">
        <v>13886</v>
      </c>
      <c r="L39" s="4"/>
      <c r="M39" s="85" t="s">
        <v>753</v>
      </c>
      <c r="N39" s="82" t="s">
        <v>756</v>
      </c>
      <c r="O39" s="4"/>
      <c r="P39" s="4"/>
      <c r="Q39" s="5">
        <v>51540</v>
      </c>
      <c r="R39" s="36"/>
      <c r="S39" s="36"/>
      <c r="T39" s="37"/>
      <c r="U39" s="5">
        <f t="shared" si="29"/>
        <v>51540</v>
      </c>
      <c r="V39" s="5">
        <f t="shared" si="30"/>
        <v>2107986</v>
      </c>
      <c r="W39" s="5">
        <f t="shared" si="34"/>
        <v>379437.48</v>
      </c>
      <c r="X39" s="5"/>
      <c r="Y39" s="5"/>
      <c r="Z39" s="98"/>
      <c r="AA39" s="23">
        <f t="shared" si="31"/>
        <v>0</v>
      </c>
      <c r="AB39" s="97">
        <f t="shared" si="32"/>
        <v>0</v>
      </c>
      <c r="AC39" s="43"/>
      <c r="AD39" s="46"/>
      <c r="AE39" s="5">
        <f t="shared" si="33"/>
        <v>2487423.48</v>
      </c>
      <c r="AF39" s="47" t="s">
        <v>1084</v>
      </c>
      <c r="AG39" s="44" t="s">
        <v>954</v>
      </c>
      <c r="AH39" s="13">
        <v>40.9</v>
      </c>
      <c r="AI39" s="12"/>
      <c r="AJ39" s="40"/>
      <c r="AK39" s="40"/>
    </row>
    <row r="40" spans="2:37" s="41" customFormat="1" ht="16.149999999999999" customHeight="1">
      <c r="B40" s="12"/>
      <c r="C40" s="1"/>
      <c r="D40" s="4"/>
      <c r="E40" s="86" t="s">
        <v>700</v>
      </c>
      <c r="F40" s="13">
        <v>40.840000000000003</v>
      </c>
      <c r="G40" s="14">
        <f t="shared" si="28"/>
        <v>40840</v>
      </c>
      <c r="H40" s="49">
        <v>11</v>
      </c>
      <c r="I40" s="83" t="s">
        <v>930</v>
      </c>
      <c r="J40" s="85" t="s">
        <v>745</v>
      </c>
      <c r="K40" s="82">
        <v>10276</v>
      </c>
      <c r="L40" s="4"/>
      <c r="M40" s="85" t="s">
        <v>773</v>
      </c>
      <c r="N40" s="82" t="s">
        <v>784</v>
      </c>
      <c r="O40" s="4"/>
      <c r="P40" s="4"/>
      <c r="Q40" s="5">
        <v>51540</v>
      </c>
      <c r="R40" s="36"/>
      <c r="S40" s="36"/>
      <c r="T40" s="37"/>
      <c r="U40" s="5">
        <f t="shared" si="29"/>
        <v>51540</v>
      </c>
      <c r="V40" s="5">
        <f t="shared" si="30"/>
        <v>2104893.6</v>
      </c>
      <c r="W40" s="5">
        <f t="shared" si="34"/>
        <v>378880.848</v>
      </c>
      <c r="X40" s="5"/>
      <c r="Y40" s="5"/>
      <c r="Z40" s="98"/>
      <c r="AA40" s="23">
        <f t="shared" si="31"/>
        <v>0</v>
      </c>
      <c r="AB40" s="97">
        <f t="shared" si="32"/>
        <v>0</v>
      </c>
      <c r="AC40" s="43"/>
      <c r="AD40" s="46"/>
      <c r="AE40" s="5">
        <f t="shared" si="33"/>
        <v>2483774.4479999999</v>
      </c>
      <c r="AF40" s="47" t="s">
        <v>1085</v>
      </c>
      <c r="AG40" s="44" t="s">
        <v>954</v>
      </c>
      <c r="AH40" s="13">
        <v>40.840000000000003</v>
      </c>
      <c r="AI40" s="12"/>
      <c r="AJ40" s="40"/>
      <c r="AK40" s="40"/>
    </row>
    <row r="41" spans="2:37" s="41" customFormat="1" ht="16.149999999999999" customHeight="1">
      <c r="B41" s="12"/>
      <c r="C41" s="1"/>
      <c r="D41" s="4"/>
      <c r="E41" s="86" t="s">
        <v>700</v>
      </c>
      <c r="F41" s="13">
        <v>40.880000000000003</v>
      </c>
      <c r="G41" s="14">
        <f t="shared" si="28"/>
        <v>40880</v>
      </c>
      <c r="H41" s="49">
        <v>11</v>
      </c>
      <c r="I41" s="83" t="s">
        <v>931</v>
      </c>
      <c r="J41" s="85" t="s">
        <v>745</v>
      </c>
      <c r="K41" s="82">
        <v>13971</v>
      </c>
      <c r="L41" s="4"/>
      <c r="M41" s="85" t="s">
        <v>793</v>
      </c>
      <c r="N41" s="82" t="s">
        <v>792</v>
      </c>
      <c r="O41" s="4"/>
      <c r="P41" s="4"/>
      <c r="Q41" s="5">
        <v>51540</v>
      </c>
      <c r="R41" s="36"/>
      <c r="S41" s="36"/>
      <c r="T41" s="37"/>
      <c r="U41" s="5">
        <f t="shared" si="29"/>
        <v>51540</v>
      </c>
      <c r="V41" s="5">
        <f t="shared" si="30"/>
        <v>2106955.2000000002</v>
      </c>
      <c r="W41" s="5">
        <f t="shared" si="34"/>
        <v>379251.93600000005</v>
      </c>
      <c r="X41" s="5"/>
      <c r="Y41" s="5"/>
      <c r="Z41" s="98"/>
      <c r="AA41" s="23">
        <f t="shared" si="31"/>
        <v>0</v>
      </c>
      <c r="AB41" s="97">
        <f t="shared" si="32"/>
        <v>0</v>
      </c>
      <c r="AC41" s="43"/>
      <c r="AD41" s="46"/>
      <c r="AE41" s="5">
        <f t="shared" si="33"/>
        <v>2486207.1360000004</v>
      </c>
      <c r="AF41" s="47" t="s">
        <v>1086</v>
      </c>
      <c r="AG41" s="44" t="s">
        <v>954</v>
      </c>
      <c r="AH41" s="13">
        <v>40.880000000000003</v>
      </c>
      <c r="AI41" s="12"/>
      <c r="AJ41" s="40"/>
      <c r="AK41" s="40"/>
    </row>
    <row r="42" spans="2:37" s="41" customFormat="1" ht="16.149999999999999" customHeight="1">
      <c r="B42" s="12"/>
      <c r="C42" s="1"/>
      <c r="D42" s="4"/>
      <c r="E42" s="86" t="s">
        <v>700</v>
      </c>
      <c r="F42" s="13">
        <v>26.08</v>
      </c>
      <c r="G42" s="14">
        <f t="shared" si="28"/>
        <v>26080</v>
      </c>
      <c r="H42" s="49">
        <v>7</v>
      </c>
      <c r="I42" s="83" t="s">
        <v>932</v>
      </c>
      <c r="J42" s="85" t="s">
        <v>745</v>
      </c>
      <c r="K42" s="82">
        <v>11383</v>
      </c>
      <c r="L42" s="4"/>
      <c r="M42" s="85" t="s">
        <v>793</v>
      </c>
      <c r="N42" s="82" t="s">
        <v>794</v>
      </c>
      <c r="O42" s="4"/>
      <c r="P42" s="4"/>
      <c r="Q42" s="5">
        <v>51540</v>
      </c>
      <c r="R42" s="36"/>
      <c r="S42" s="36"/>
      <c r="T42" s="37"/>
      <c r="U42" s="5">
        <f t="shared" si="29"/>
        <v>51540</v>
      </c>
      <c r="V42" s="5">
        <f t="shared" si="30"/>
        <v>1344163.2</v>
      </c>
      <c r="W42" s="5">
        <f t="shared" si="34"/>
        <v>241949.37599999999</v>
      </c>
      <c r="X42" s="5"/>
      <c r="Y42" s="5"/>
      <c r="Z42" s="98"/>
      <c r="AA42" s="23">
        <f t="shared" si="31"/>
        <v>0</v>
      </c>
      <c r="AB42" s="97">
        <f t="shared" si="32"/>
        <v>0</v>
      </c>
      <c r="AC42" s="43"/>
      <c r="AD42" s="46"/>
      <c r="AE42" s="5">
        <f t="shared" si="33"/>
        <v>1586112.5759999999</v>
      </c>
      <c r="AF42" s="47" t="s">
        <v>1087</v>
      </c>
      <c r="AG42" s="44" t="s">
        <v>954</v>
      </c>
      <c r="AH42" s="13">
        <v>26.08</v>
      </c>
      <c r="AI42" s="12"/>
      <c r="AJ42" s="40"/>
      <c r="AK42" s="40"/>
    </row>
    <row r="43" spans="2:37" s="41" customFormat="1" ht="16.149999999999999" customHeight="1">
      <c r="B43" s="12"/>
      <c r="C43" s="1"/>
      <c r="D43" s="4"/>
      <c r="E43" s="86" t="s">
        <v>700</v>
      </c>
      <c r="F43" s="13">
        <v>37.18</v>
      </c>
      <c r="G43" s="14">
        <f t="shared" si="28"/>
        <v>37180</v>
      </c>
      <c r="H43" s="49">
        <v>10</v>
      </c>
      <c r="I43" s="83" t="s">
        <v>933</v>
      </c>
      <c r="J43" s="85" t="s">
        <v>745</v>
      </c>
      <c r="K43" s="82">
        <v>11399</v>
      </c>
      <c r="L43" s="4"/>
      <c r="M43" s="85" t="s">
        <v>793</v>
      </c>
      <c r="N43" s="82" t="s">
        <v>795</v>
      </c>
      <c r="O43" s="4"/>
      <c r="P43" s="4"/>
      <c r="Q43" s="5">
        <v>51540</v>
      </c>
      <c r="R43" s="36"/>
      <c r="S43" s="36"/>
      <c r="T43" s="37"/>
      <c r="U43" s="5">
        <f t="shared" si="29"/>
        <v>51540</v>
      </c>
      <c r="V43" s="5">
        <f t="shared" si="30"/>
        <v>1916257.2</v>
      </c>
      <c r="W43" s="5">
        <f t="shared" si="34"/>
        <v>344926.29599999997</v>
      </c>
      <c r="X43" s="5"/>
      <c r="Y43" s="5"/>
      <c r="Z43" s="98"/>
      <c r="AA43" s="23">
        <f t="shared" si="31"/>
        <v>0</v>
      </c>
      <c r="AB43" s="97">
        <f t="shared" si="32"/>
        <v>0</v>
      </c>
      <c r="AC43" s="43"/>
      <c r="AD43" s="46"/>
      <c r="AE43" s="5">
        <f t="shared" si="33"/>
        <v>2261183.4959999998</v>
      </c>
      <c r="AF43" s="47" t="s">
        <v>1088</v>
      </c>
      <c r="AG43" s="44" t="s">
        <v>954</v>
      </c>
      <c r="AH43" s="13">
        <v>37.18</v>
      </c>
      <c r="AI43" s="12"/>
      <c r="AJ43" s="40"/>
      <c r="AK43" s="40"/>
    </row>
    <row r="44" spans="2:37" s="41" customFormat="1" ht="16.149999999999999" customHeight="1">
      <c r="B44" s="12"/>
      <c r="C44" s="1"/>
      <c r="D44" s="4"/>
      <c r="E44" s="86" t="s">
        <v>700</v>
      </c>
      <c r="F44" s="13">
        <v>40.92</v>
      </c>
      <c r="G44" s="14">
        <f t="shared" si="28"/>
        <v>40920</v>
      </c>
      <c r="H44" s="49">
        <v>11</v>
      </c>
      <c r="I44" s="83" t="s">
        <v>934</v>
      </c>
      <c r="J44" s="85" t="s">
        <v>745</v>
      </c>
      <c r="K44" s="82">
        <v>10275</v>
      </c>
      <c r="L44" s="4"/>
      <c r="M44" s="85" t="s">
        <v>793</v>
      </c>
      <c r="N44" s="82" t="s">
        <v>796</v>
      </c>
      <c r="O44" s="4"/>
      <c r="P44" s="4"/>
      <c r="Q44" s="5">
        <v>51540</v>
      </c>
      <c r="R44" s="36"/>
      <c r="S44" s="36"/>
      <c r="T44" s="37"/>
      <c r="U44" s="5">
        <f t="shared" si="29"/>
        <v>51540</v>
      </c>
      <c r="V44" s="5">
        <f t="shared" si="30"/>
        <v>2109016.8000000003</v>
      </c>
      <c r="W44" s="5">
        <f t="shared" si="34"/>
        <v>379623.02400000003</v>
      </c>
      <c r="X44" s="5"/>
      <c r="Y44" s="5"/>
      <c r="Z44" s="98"/>
      <c r="AA44" s="23">
        <f t="shared" si="31"/>
        <v>0</v>
      </c>
      <c r="AB44" s="97">
        <f t="shared" si="32"/>
        <v>0</v>
      </c>
      <c r="AC44" s="43"/>
      <c r="AD44" s="46"/>
      <c r="AE44" s="5">
        <f t="shared" si="33"/>
        <v>2488639.8240000005</v>
      </c>
      <c r="AF44" s="47" t="s">
        <v>1089</v>
      </c>
      <c r="AG44" s="44" t="s">
        <v>954</v>
      </c>
      <c r="AH44" s="13">
        <v>40.92</v>
      </c>
      <c r="AI44" s="12"/>
      <c r="AJ44" s="40"/>
      <c r="AK44" s="40"/>
    </row>
    <row r="45" spans="2:37" s="41" customFormat="1" ht="16.149999999999999" customHeight="1">
      <c r="B45" s="12"/>
      <c r="C45" s="1"/>
      <c r="D45" s="4"/>
      <c r="E45" s="86" t="s">
        <v>700</v>
      </c>
      <c r="F45" s="13">
        <v>40.92</v>
      </c>
      <c r="G45" s="14">
        <f t="shared" si="28"/>
        <v>40920</v>
      </c>
      <c r="H45" s="49">
        <v>11</v>
      </c>
      <c r="I45" s="83" t="s">
        <v>935</v>
      </c>
      <c r="J45" s="85" t="s">
        <v>745</v>
      </c>
      <c r="K45" s="82">
        <v>11400</v>
      </c>
      <c r="L45" s="4"/>
      <c r="M45" s="85" t="s">
        <v>793</v>
      </c>
      <c r="N45" s="82" t="s">
        <v>797</v>
      </c>
      <c r="O45" s="4"/>
      <c r="P45" s="4"/>
      <c r="Q45" s="5">
        <v>51540</v>
      </c>
      <c r="R45" s="36"/>
      <c r="S45" s="36"/>
      <c r="T45" s="37"/>
      <c r="U45" s="5">
        <f t="shared" si="29"/>
        <v>51540</v>
      </c>
      <c r="V45" s="5">
        <f t="shared" si="30"/>
        <v>2109016.8000000003</v>
      </c>
      <c r="W45" s="5">
        <f t="shared" si="34"/>
        <v>379623.02400000003</v>
      </c>
      <c r="X45" s="5"/>
      <c r="Y45" s="5"/>
      <c r="Z45" s="98"/>
      <c r="AA45" s="23">
        <f t="shared" si="31"/>
        <v>0</v>
      </c>
      <c r="AB45" s="97">
        <f t="shared" si="32"/>
        <v>0</v>
      </c>
      <c r="AC45" s="43"/>
      <c r="AD45" s="46"/>
      <c r="AE45" s="5">
        <f t="shared" si="33"/>
        <v>2488639.8240000005</v>
      </c>
      <c r="AF45" s="47" t="s">
        <v>1090</v>
      </c>
      <c r="AG45" s="44" t="s">
        <v>954</v>
      </c>
      <c r="AH45" s="13">
        <v>40.92</v>
      </c>
      <c r="AI45" s="12"/>
      <c r="AJ45" s="40"/>
      <c r="AK45" s="40"/>
    </row>
    <row r="46" spans="2:37" s="41" customFormat="1" ht="16.149999999999999" customHeight="1">
      <c r="B46" s="12"/>
      <c r="C46" s="1"/>
      <c r="D46" s="4"/>
      <c r="E46" s="86" t="s">
        <v>700</v>
      </c>
      <c r="F46" s="13">
        <v>40.94</v>
      </c>
      <c r="G46" s="14">
        <f t="shared" si="28"/>
        <v>40940</v>
      </c>
      <c r="H46" s="49">
        <v>11</v>
      </c>
      <c r="I46" s="83" t="s">
        <v>936</v>
      </c>
      <c r="J46" s="85" t="s">
        <v>745</v>
      </c>
      <c r="K46" s="82">
        <v>11395</v>
      </c>
      <c r="L46" s="4"/>
      <c r="M46" s="85" t="s">
        <v>793</v>
      </c>
      <c r="N46" s="82" t="s">
        <v>798</v>
      </c>
      <c r="O46" s="4"/>
      <c r="P46" s="4"/>
      <c r="Q46" s="5">
        <v>51540</v>
      </c>
      <c r="R46" s="36"/>
      <c r="S46" s="36"/>
      <c r="T46" s="37"/>
      <c r="U46" s="5">
        <f t="shared" si="29"/>
        <v>51540</v>
      </c>
      <c r="V46" s="5">
        <f t="shared" si="30"/>
        <v>2110047.6</v>
      </c>
      <c r="W46" s="5">
        <f t="shared" si="34"/>
        <v>379808.56800000003</v>
      </c>
      <c r="X46" s="5"/>
      <c r="Y46" s="5"/>
      <c r="Z46" s="98"/>
      <c r="AA46" s="23">
        <f t="shared" si="31"/>
        <v>0</v>
      </c>
      <c r="AB46" s="97">
        <f t="shared" si="32"/>
        <v>0</v>
      </c>
      <c r="AC46" s="43"/>
      <c r="AD46" s="46"/>
      <c r="AE46" s="5">
        <f t="shared" si="33"/>
        <v>2489856.1680000001</v>
      </c>
      <c r="AF46" s="47" t="s">
        <v>1091</v>
      </c>
      <c r="AG46" s="44" t="s">
        <v>954</v>
      </c>
      <c r="AH46" s="13">
        <v>40.94</v>
      </c>
      <c r="AI46" s="12"/>
      <c r="AJ46" s="40"/>
      <c r="AK46" s="40"/>
    </row>
    <row r="47" spans="2:37" s="41" customFormat="1" ht="16.149999999999999" customHeight="1">
      <c r="B47" s="12"/>
      <c r="C47" s="1"/>
      <c r="D47" s="4"/>
      <c r="E47" s="86" t="s">
        <v>700</v>
      </c>
      <c r="F47" s="13">
        <v>40.92</v>
      </c>
      <c r="G47" s="14">
        <f t="shared" si="28"/>
        <v>40920</v>
      </c>
      <c r="H47" s="49">
        <v>11</v>
      </c>
      <c r="I47" s="83" t="s">
        <v>937</v>
      </c>
      <c r="J47" s="85" t="s">
        <v>753</v>
      </c>
      <c r="K47" s="82">
        <v>10279</v>
      </c>
      <c r="L47" s="4"/>
      <c r="M47" s="85" t="s">
        <v>793</v>
      </c>
      <c r="N47" s="82" t="s">
        <v>799</v>
      </c>
      <c r="O47" s="4"/>
      <c r="P47" s="4"/>
      <c r="Q47" s="5">
        <v>51540</v>
      </c>
      <c r="R47" s="36"/>
      <c r="S47" s="36"/>
      <c r="T47" s="37"/>
      <c r="U47" s="5">
        <f t="shared" si="29"/>
        <v>51540</v>
      </c>
      <c r="V47" s="5">
        <f t="shared" si="30"/>
        <v>2109016.8000000003</v>
      </c>
      <c r="W47" s="5">
        <f t="shared" si="34"/>
        <v>379623.02400000003</v>
      </c>
      <c r="X47" s="5"/>
      <c r="Y47" s="5"/>
      <c r="Z47" s="98"/>
      <c r="AA47" s="23">
        <f t="shared" si="31"/>
        <v>0</v>
      </c>
      <c r="AB47" s="97">
        <f t="shared" si="32"/>
        <v>0</v>
      </c>
      <c r="AC47" s="43"/>
      <c r="AD47" s="46"/>
      <c r="AE47" s="5">
        <f t="shared" si="33"/>
        <v>2488639.8240000005</v>
      </c>
      <c r="AF47" s="47" t="s">
        <v>1092</v>
      </c>
      <c r="AG47" s="44" t="s">
        <v>954</v>
      </c>
      <c r="AH47" s="13">
        <v>40.92</v>
      </c>
      <c r="AI47" s="12"/>
      <c r="AJ47" s="40"/>
      <c r="AK47" s="40"/>
    </row>
    <row r="48" spans="2:37" s="41" customFormat="1" ht="16.149999999999999" customHeight="1">
      <c r="B48" s="12"/>
      <c r="C48" s="1"/>
      <c r="D48" s="4"/>
      <c r="E48" s="86" t="s">
        <v>700</v>
      </c>
      <c r="F48" s="13">
        <v>40.92</v>
      </c>
      <c r="G48" s="14">
        <f t="shared" si="28"/>
        <v>40920</v>
      </c>
      <c r="H48" s="49">
        <v>11</v>
      </c>
      <c r="I48" s="83" t="s">
        <v>938</v>
      </c>
      <c r="J48" s="85" t="s">
        <v>753</v>
      </c>
      <c r="K48" s="82">
        <v>10280</v>
      </c>
      <c r="L48" s="4"/>
      <c r="M48" s="85" t="s">
        <v>793</v>
      </c>
      <c r="N48" s="82" t="s">
        <v>800</v>
      </c>
      <c r="O48" s="4"/>
      <c r="P48" s="4"/>
      <c r="Q48" s="5">
        <v>51540</v>
      </c>
      <c r="R48" s="36"/>
      <c r="S48" s="36"/>
      <c r="T48" s="37"/>
      <c r="U48" s="5">
        <f t="shared" si="29"/>
        <v>51540</v>
      </c>
      <c r="V48" s="5">
        <f t="shared" si="30"/>
        <v>2109016.8000000003</v>
      </c>
      <c r="W48" s="5">
        <f t="shared" si="34"/>
        <v>379623.02400000003</v>
      </c>
      <c r="X48" s="5"/>
      <c r="Y48" s="5"/>
      <c r="Z48" s="98"/>
      <c r="AA48" s="23">
        <f t="shared" si="31"/>
        <v>0</v>
      </c>
      <c r="AB48" s="97">
        <f t="shared" si="32"/>
        <v>0</v>
      </c>
      <c r="AC48" s="43"/>
      <c r="AD48" s="46"/>
      <c r="AE48" s="5">
        <f t="shared" si="33"/>
        <v>2488639.8240000005</v>
      </c>
      <c r="AF48" s="47" t="s">
        <v>1093</v>
      </c>
      <c r="AG48" s="44" t="s">
        <v>954</v>
      </c>
      <c r="AH48" s="13">
        <v>40.92</v>
      </c>
      <c r="AI48" s="12"/>
      <c r="AJ48" s="40"/>
      <c r="AK48" s="40"/>
    </row>
    <row r="49" spans="2:37" s="41" customFormat="1" ht="16.149999999999999" customHeight="1">
      <c r="B49" s="12"/>
      <c r="C49" s="1"/>
      <c r="D49" s="4"/>
      <c r="E49" s="86" t="s">
        <v>700</v>
      </c>
      <c r="F49" s="13">
        <v>29.78</v>
      </c>
      <c r="G49" s="14">
        <f t="shared" si="28"/>
        <v>29780</v>
      </c>
      <c r="H49" s="49">
        <v>8</v>
      </c>
      <c r="I49" s="83" t="s">
        <v>939</v>
      </c>
      <c r="J49" s="85" t="s">
        <v>773</v>
      </c>
      <c r="K49" s="82">
        <v>11447</v>
      </c>
      <c r="L49" s="4"/>
      <c r="M49" s="85" t="s">
        <v>899</v>
      </c>
      <c r="N49" s="82" t="s">
        <v>911</v>
      </c>
      <c r="O49" s="4"/>
      <c r="P49" s="4"/>
      <c r="Q49" s="5">
        <v>51540</v>
      </c>
      <c r="R49" s="36"/>
      <c r="S49" s="36"/>
      <c r="T49" s="37"/>
      <c r="U49" s="5">
        <f t="shared" si="29"/>
        <v>51540</v>
      </c>
      <c r="V49" s="5">
        <f t="shared" si="30"/>
        <v>1534861.2</v>
      </c>
      <c r="W49" s="5">
        <f t="shared" si="34"/>
        <v>276275.016</v>
      </c>
      <c r="X49" s="5"/>
      <c r="Y49" s="5"/>
      <c r="Z49" s="98"/>
      <c r="AA49" s="23">
        <f t="shared" si="31"/>
        <v>0</v>
      </c>
      <c r="AB49" s="97">
        <f t="shared" si="32"/>
        <v>0</v>
      </c>
      <c r="AC49" s="43"/>
      <c r="AD49" s="46"/>
      <c r="AE49" s="5">
        <f t="shared" si="33"/>
        <v>1811136.216</v>
      </c>
      <c r="AF49" s="47" t="s">
        <v>1094</v>
      </c>
      <c r="AG49" s="44" t="s">
        <v>954</v>
      </c>
      <c r="AH49" s="13">
        <v>29.78</v>
      </c>
      <c r="AI49" s="12"/>
      <c r="AJ49" s="40"/>
      <c r="AK49" s="40"/>
    </row>
    <row r="50" spans="2:37" s="41" customFormat="1" ht="16.149999999999999" customHeight="1">
      <c r="B50" s="12"/>
      <c r="C50" s="1"/>
      <c r="D50" s="4"/>
      <c r="E50" s="86" t="s">
        <v>700</v>
      </c>
      <c r="F50" s="13">
        <v>29.68</v>
      </c>
      <c r="G50" s="14">
        <f t="shared" si="28"/>
        <v>29680</v>
      </c>
      <c r="H50" s="49">
        <v>8</v>
      </c>
      <c r="I50" s="83" t="s">
        <v>940</v>
      </c>
      <c r="J50" s="85" t="s">
        <v>793</v>
      </c>
      <c r="K50" s="82">
        <v>14154</v>
      </c>
      <c r="L50" s="4"/>
      <c r="M50" s="85" t="s">
        <v>899</v>
      </c>
      <c r="N50" s="82" t="s">
        <v>912</v>
      </c>
      <c r="O50" s="4"/>
      <c r="P50" s="4"/>
      <c r="Q50" s="5">
        <v>51540</v>
      </c>
      <c r="R50" s="36"/>
      <c r="S50" s="36"/>
      <c r="T50" s="37"/>
      <c r="U50" s="5">
        <f t="shared" si="29"/>
        <v>51540</v>
      </c>
      <c r="V50" s="5">
        <f t="shared" si="30"/>
        <v>1529707.2</v>
      </c>
      <c r="W50" s="5">
        <f t="shared" si="34"/>
        <v>275347.29599999997</v>
      </c>
      <c r="X50" s="5"/>
      <c r="Y50" s="5"/>
      <c r="Z50" s="98"/>
      <c r="AA50" s="23">
        <f t="shared" si="31"/>
        <v>0</v>
      </c>
      <c r="AB50" s="97">
        <f t="shared" si="32"/>
        <v>0</v>
      </c>
      <c r="AC50" s="43"/>
      <c r="AD50" s="46"/>
      <c r="AE50" s="5">
        <f t="shared" si="33"/>
        <v>1805054.4959999998</v>
      </c>
      <c r="AF50" s="47" t="s">
        <v>1095</v>
      </c>
      <c r="AG50" s="44" t="s">
        <v>954</v>
      </c>
      <c r="AH50" s="13">
        <v>29.68</v>
      </c>
      <c r="AI50" s="12"/>
      <c r="AJ50" s="40"/>
      <c r="AK50" s="40"/>
    </row>
    <row r="51" spans="2:37" s="41" customFormat="1" ht="16.149999999999999" customHeight="1">
      <c r="B51" s="12"/>
      <c r="C51" s="1"/>
      <c r="D51" s="4"/>
      <c r="E51" s="86" t="s">
        <v>700</v>
      </c>
      <c r="F51" s="13">
        <v>26</v>
      </c>
      <c r="G51" s="14">
        <f t="shared" si="28"/>
        <v>26000</v>
      </c>
      <c r="H51" s="49">
        <v>7</v>
      </c>
      <c r="I51" s="83" t="s">
        <v>941</v>
      </c>
      <c r="J51" s="85" t="s">
        <v>753</v>
      </c>
      <c r="K51" s="82">
        <v>11428</v>
      </c>
      <c r="L51" s="4"/>
      <c r="M51" s="85" t="s">
        <v>899</v>
      </c>
      <c r="N51" s="82" t="s">
        <v>913</v>
      </c>
      <c r="O51" s="4"/>
      <c r="P51" s="4"/>
      <c r="Q51" s="5">
        <v>51540</v>
      </c>
      <c r="R51" s="36"/>
      <c r="S51" s="36"/>
      <c r="T51" s="37"/>
      <c r="U51" s="5">
        <f t="shared" si="29"/>
        <v>51540</v>
      </c>
      <c r="V51" s="5">
        <f t="shared" si="30"/>
        <v>1340040</v>
      </c>
      <c r="W51" s="5">
        <f t="shared" si="34"/>
        <v>241207.19999999998</v>
      </c>
      <c r="X51" s="5"/>
      <c r="Y51" s="5"/>
      <c r="Z51" s="98"/>
      <c r="AA51" s="23">
        <f t="shared" si="31"/>
        <v>0</v>
      </c>
      <c r="AB51" s="97">
        <f t="shared" si="32"/>
        <v>0</v>
      </c>
      <c r="AC51" s="43"/>
      <c r="AD51" s="46"/>
      <c r="AE51" s="5">
        <f t="shared" si="33"/>
        <v>1581247.2</v>
      </c>
      <c r="AF51" s="47" t="s">
        <v>1096</v>
      </c>
      <c r="AG51" s="44" t="s">
        <v>954</v>
      </c>
      <c r="AH51" s="13">
        <v>26</v>
      </c>
      <c r="AI51" s="12"/>
      <c r="AJ51" s="40"/>
      <c r="AK51" s="40"/>
    </row>
    <row r="52" spans="2:37" s="41" customFormat="1">
      <c r="B52" s="92"/>
      <c r="C52" s="48"/>
      <c r="D52" s="6"/>
      <c r="E52" s="6"/>
      <c r="F52" s="81">
        <f>SUM(F30:F51)</f>
        <v>806.9599999999997</v>
      </c>
      <c r="G52" s="20">
        <f>SUM(G30:G51)</f>
        <v>806960</v>
      </c>
      <c r="H52" s="21">
        <f>SUM(H30:H51)</f>
        <v>218</v>
      </c>
      <c r="I52" s="2"/>
      <c r="J52" s="7"/>
      <c r="K52" s="7"/>
      <c r="L52" s="7"/>
      <c r="M52" s="2"/>
      <c r="N52" s="6"/>
      <c r="O52" s="6"/>
      <c r="P52" s="6"/>
      <c r="Q52" s="19"/>
      <c r="R52" s="9"/>
      <c r="S52" s="9"/>
      <c r="T52" s="10"/>
      <c r="U52" s="8"/>
      <c r="V52" s="21">
        <f>SUM(V30:V51)</f>
        <v>41590718.400000006</v>
      </c>
      <c r="W52" s="21">
        <f>SUM(W30:W51)</f>
        <v>7486329.3120000008</v>
      </c>
      <c r="X52" s="21">
        <f>SUM(X30:X51)</f>
        <v>0</v>
      </c>
      <c r="Y52" s="21">
        <f>SUM(Y30:Y51)</f>
        <v>0</v>
      </c>
      <c r="Z52" s="99"/>
      <c r="AA52" s="21">
        <f>SUM(AA30:AA51)</f>
        <v>0</v>
      </c>
      <c r="AB52" s="21">
        <f>SUM(AB30:AB51)</f>
        <v>0</v>
      </c>
      <c r="AC52" s="21"/>
      <c r="AD52" s="21">
        <f>SUM(AD30:AD51)</f>
        <v>0</v>
      </c>
      <c r="AE52" s="21">
        <f>SUM(AE30:AE51)</f>
        <v>49077047.711999997</v>
      </c>
      <c r="AF52" s="21"/>
      <c r="AG52" s="42"/>
      <c r="AH52" s="81">
        <f>SUM(AH30:AH51)</f>
        <v>806.9599999999997</v>
      </c>
      <c r="AI52" s="26">
        <f>AH52-F52</f>
        <v>0</v>
      </c>
      <c r="AJ52" s="41">
        <f>AA52/F52</f>
        <v>0</v>
      </c>
      <c r="AK52" s="40"/>
    </row>
    <row r="53" spans="2:37" s="41" customFormat="1" ht="16.149999999999999" customHeight="1">
      <c r="B53" s="86" t="s">
        <v>764</v>
      </c>
      <c r="C53" s="86" t="s">
        <v>687</v>
      </c>
      <c r="D53" s="4"/>
      <c r="E53" s="86" t="s">
        <v>35</v>
      </c>
      <c r="F53" s="103">
        <v>29.67</v>
      </c>
      <c r="G53" s="14">
        <f t="shared" ref="G53:G83" si="35">+F53*1000</f>
        <v>29670</v>
      </c>
      <c r="H53" s="49">
        <v>14</v>
      </c>
      <c r="I53" s="83" t="s">
        <v>769</v>
      </c>
      <c r="J53" s="85" t="s">
        <v>730</v>
      </c>
      <c r="K53" s="82" t="s">
        <v>770</v>
      </c>
      <c r="L53" s="4"/>
      <c r="M53" s="85" t="s">
        <v>753</v>
      </c>
      <c r="N53" s="82" t="s">
        <v>48</v>
      </c>
      <c r="O53" s="4"/>
      <c r="P53" s="4"/>
      <c r="Q53" s="5">
        <v>51540</v>
      </c>
      <c r="R53" s="36"/>
      <c r="S53" s="36"/>
      <c r="T53" s="37"/>
      <c r="U53" s="5">
        <f t="shared" ref="U53:U83" si="36">S53+R53+Q53-T53</f>
        <v>51540</v>
      </c>
      <c r="V53" s="5">
        <f t="shared" ref="V53:V83" si="37">F53*U53</f>
        <v>1529191.8</v>
      </c>
      <c r="W53" s="5">
        <f>V53*18%</f>
        <v>275254.52399999998</v>
      </c>
      <c r="X53" s="5"/>
      <c r="Y53" s="5"/>
      <c r="Z53" s="98"/>
      <c r="AA53" s="23">
        <f t="shared" ref="AA53:AA83" si="38">F53*Z53</f>
        <v>0</v>
      </c>
      <c r="AB53" s="97">
        <f t="shared" ref="AB53:AB83" si="39">AA53*18%</f>
        <v>0</v>
      </c>
      <c r="AC53" s="43"/>
      <c r="AD53" s="46"/>
      <c r="AE53" s="5">
        <f t="shared" ref="AE53:AE83" si="40">+AB53+AA53+Y53+X53+W53+V53-AC53+AD53</f>
        <v>1804446.324</v>
      </c>
      <c r="AF53" s="47" t="s">
        <v>1097</v>
      </c>
      <c r="AG53" s="44" t="s">
        <v>954</v>
      </c>
      <c r="AH53" s="103">
        <v>29.67</v>
      </c>
      <c r="AI53" s="12"/>
      <c r="AJ53" s="40"/>
      <c r="AK53" s="40"/>
    </row>
    <row r="54" spans="2:37" s="41" customFormat="1" ht="16.149999999999999" customHeight="1">
      <c r="B54" s="70" t="s">
        <v>766</v>
      </c>
      <c r="C54" s="82" t="s">
        <v>765</v>
      </c>
      <c r="D54" s="4"/>
      <c r="E54" s="86" t="s">
        <v>35</v>
      </c>
      <c r="F54" s="103">
        <v>29.74</v>
      </c>
      <c r="G54" s="14">
        <f t="shared" si="35"/>
        <v>29740</v>
      </c>
      <c r="H54" s="49">
        <v>14</v>
      </c>
      <c r="I54" s="83" t="s">
        <v>769</v>
      </c>
      <c r="J54" s="85" t="s">
        <v>730</v>
      </c>
      <c r="K54" s="82" t="s">
        <v>771</v>
      </c>
      <c r="L54" s="4"/>
      <c r="M54" s="85" t="s">
        <v>753</v>
      </c>
      <c r="N54" s="82" t="s">
        <v>52</v>
      </c>
      <c r="O54" s="4"/>
      <c r="P54" s="4"/>
      <c r="Q54" s="5">
        <v>51540</v>
      </c>
      <c r="R54" s="36"/>
      <c r="S54" s="36"/>
      <c r="T54" s="37"/>
      <c r="U54" s="5">
        <f t="shared" si="36"/>
        <v>51540</v>
      </c>
      <c r="V54" s="5">
        <f t="shared" si="37"/>
        <v>1532799.5999999999</v>
      </c>
      <c r="W54" s="5">
        <f>V54*18%</f>
        <v>275903.92799999996</v>
      </c>
      <c r="X54" s="5"/>
      <c r="Y54" s="5"/>
      <c r="Z54" s="98"/>
      <c r="AA54" s="23">
        <f t="shared" si="38"/>
        <v>0</v>
      </c>
      <c r="AB54" s="97">
        <f t="shared" si="39"/>
        <v>0</v>
      </c>
      <c r="AC54" s="43"/>
      <c r="AD54" s="46"/>
      <c r="AE54" s="5">
        <f t="shared" si="40"/>
        <v>1808703.5279999999</v>
      </c>
      <c r="AF54" s="47" t="s">
        <v>1098</v>
      </c>
      <c r="AG54" s="44" t="s">
        <v>954</v>
      </c>
      <c r="AH54" s="103">
        <v>29.74</v>
      </c>
      <c r="AI54" s="12"/>
      <c r="AJ54" s="40"/>
      <c r="AK54" s="40"/>
    </row>
    <row r="55" spans="2:37" s="41" customFormat="1" ht="16.149999999999999" customHeight="1">
      <c r="B55" s="70" t="s">
        <v>767</v>
      </c>
      <c r="C55" s="70"/>
      <c r="D55" s="4"/>
      <c r="E55" s="86" t="s">
        <v>35</v>
      </c>
      <c r="F55" s="13">
        <v>31.85</v>
      </c>
      <c r="G55" s="14">
        <f t="shared" si="35"/>
        <v>31850</v>
      </c>
      <c r="H55" s="49">
        <v>15</v>
      </c>
      <c r="I55" s="83" t="s">
        <v>769</v>
      </c>
      <c r="J55" s="85" t="s">
        <v>730</v>
      </c>
      <c r="K55" s="82" t="s">
        <v>772</v>
      </c>
      <c r="L55" s="4"/>
      <c r="M55" s="85" t="s">
        <v>773</v>
      </c>
      <c r="N55" s="82" t="s">
        <v>774</v>
      </c>
      <c r="O55" s="4"/>
      <c r="P55" s="4"/>
      <c r="Q55" s="5">
        <v>51540</v>
      </c>
      <c r="R55" s="36"/>
      <c r="S55" s="36"/>
      <c r="T55" s="37"/>
      <c r="U55" s="5">
        <f t="shared" si="36"/>
        <v>51540</v>
      </c>
      <c r="V55" s="5">
        <f t="shared" si="37"/>
        <v>1641549</v>
      </c>
      <c r="W55" s="5">
        <f t="shared" ref="W55:W83" si="41">V55*18%</f>
        <v>295478.82</v>
      </c>
      <c r="X55" s="5"/>
      <c r="Y55" s="5"/>
      <c r="Z55" s="98"/>
      <c r="AA55" s="23">
        <f t="shared" si="38"/>
        <v>0</v>
      </c>
      <c r="AB55" s="97">
        <f t="shared" si="39"/>
        <v>0</v>
      </c>
      <c r="AC55" s="43"/>
      <c r="AD55" s="46"/>
      <c r="AE55" s="5">
        <f t="shared" si="40"/>
        <v>1937027.82</v>
      </c>
      <c r="AF55" s="47" t="s">
        <v>1099</v>
      </c>
      <c r="AG55" s="44" t="s">
        <v>954</v>
      </c>
      <c r="AH55" s="13">
        <v>31.85</v>
      </c>
      <c r="AI55" s="12"/>
      <c r="AJ55" s="40"/>
      <c r="AK55" s="40"/>
    </row>
    <row r="56" spans="2:37" s="41" customFormat="1" ht="16.149999999999999" customHeight="1">
      <c r="B56" s="83" t="s">
        <v>768</v>
      </c>
      <c r="C56" s="1"/>
      <c r="D56" s="4"/>
      <c r="E56" s="86" t="s">
        <v>35</v>
      </c>
      <c r="F56" s="13">
        <v>31.89</v>
      </c>
      <c r="G56" s="14">
        <f t="shared" si="35"/>
        <v>31890</v>
      </c>
      <c r="H56" s="49">
        <v>15</v>
      </c>
      <c r="I56" s="83" t="s">
        <v>769</v>
      </c>
      <c r="J56" s="85" t="s">
        <v>730</v>
      </c>
      <c r="K56" s="82" t="s">
        <v>775</v>
      </c>
      <c r="L56" s="4"/>
      <c r="M56" s="85" t="s">
        <v>773</v>
      </c>
      <c r="N56" s="82" t="s">
        <v>58</v>
      </c>
      <c r="O56" s="4"/>
      <c r="P56" s="4"/>
      <c r="Q56" s="5">
        <v>51540</v>
      </c>
      <c r="R56" s="36"/>
      <c r="S56" s="36"/>
      <c r="T56" s="37"/>
      <c r="U56" s="5">
        <f t="shared" si="36"/>
        <v>51540</v>
      </c>
      <c r="V56" s="5">
        <f t="shared" si="37"/>
        <v>1643610.6</v>
      </c>
      <c r="W56" s="5">
        <f t="shared" si="41"/>
        <v>295849.908</v>
      </c>
      <c r="X56" s="5"/>
      <c r="Y56" s="5"/>
      <c r="Z56" s="98"/>
      <c r="AA56" s="23">
        <f t="shared" si="38"/>
        <v>0</v>
      </c>
      <c r="AB56" s="97">
        <f t="shared" si="39"/>
        <v>0</v>
      </c>
      <c r="AC56" s="43"/>
      <c r="AD56" s="46"/>
      <c r="AE56" s="5">
        <f t="shared" si="40"/>
        <v>1939460.5080000001</v>
      </c>
      <c r="AF56" s="47" t="s">
        <v>1100</v>
      </c>
      <c r="AG56" s="44" t="s">
        <v>954</v>
      </c>
      <c r="AH56" s="13">
        <v>31.89</v>
      </c>
      <c r="AI56" s="12"/>
      <c r="AJ56" s="40"/>
      <c r="AK56" s="40"/>
    </row>
    <row r="57" spans="2:37" s="41" customFormat="1" ht="16.149999999999999" customHeight="1">
      <c r="B57" s="12"/>
      <c r="C57" s="1"/>
      <c r="D57" s="4"/>
      <c r="E57" s="86" t="s">
        <v>35</v>
      </c>
      <c r="F57" s="13">
        <v>42.54</v>
      </c>
      <c r="G57" s="14">
        <f t="shared" si="35"/>
        <v>42540</v>
      </c>
      <c r="H57" s="49">
        <v>20</v>
      </c>
      <c r="I57" s="83" t="s">
        <v>769</v>
      </c>
      <c r="J57" s="85" t="s">
        <v>730</v>
      </c>
      <c r="K57" s="82" t="s">
        <v>776</v>
      </c>
      <c r="L57" s="4"/>
      <c r="M57" s="85" t="s">
        <v>773</v>
      </c>
      <c r="N57" s="82" t="s">
        <v>777</v>
      </c>
      <c r="O57" s="4"/>
      <c r="P57" s="4"/>
      <c r="Q57" s="5">
        <v>51540</v>
      </c>
      <c r="R57" s="36"/>
      <c r="S57" s="36"/>
      <c r="T57" s="37"/>
      <c r="U57" s="5">
        <f t="shared" si="36"/>
        <v>51540</v>
      </c>
      <c r="V57" s="5">
        <f t="shared" si="37"/>
        <v>2192511.6</v>
      </c>
      <c r="W57" s="5">
        <f t="shared" si="41"/>
        <v>394652.08799999999</v>
      </c>
      <c r="X57" s="5"/>
      <c r="Y57" s="5"/>
      <c r="Z57" s="98"/>
      <c r="AA57" s="23">
        <f t="shared" si="38"/>
        <v>0</v>
      </c>
      <c r="AB57" s="97">
        <f t="shared" si="39"/>
        <v>0</v>
      </c>
      <c r="AC57" s="43"/>
      <c r="AD57" s="46"/>
      <c r="AE57" s="5">
        <f t="shared" si="40"/>
        <v>2587163.6880000001</v>
      </c>
      <c r="AF57" s="47" t="s">
        <v>1101</v>
      </c>
      <c r="AG57" s="44" t="s">
        <v>954</v>
      </c>
      <c r="AH57" s="13">
        <v>42.54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86" t="s">
        <v>35</v>
      </c>
      <c r="F58" s="13">
        <v>33.950000000000003</v>
      </c>
      <c r="G58" s="14">
        <f t="shared" si="35"/>
        <v>33950</v>
      </c>
      <c r="H58" s="49">
        <v>16</v>
      </c>
      <c r="I58" s="83" t="s">
        <v>769</v>
      </c>
      <c r="J58" s="85" t="s">
        <v>730</v>
      </c>
      <c r="K58" s="82" t="s">
        <v>778</v>
      </c>
      <c r="L58" s="4"/>
      <c r="M58" s="85" t="s">
        <v>773</v>
      </c>
      <c r="N58" s="82" t="s">
        <v>779</v>
      </c>
      <c r="O58" s="4"/>
      <c r="P58" s="4"/>
      <c r="Q58" s="5">
        <v>51540</v>
      </c>
      <c r="R58" s="36"/>
      <c r="S58" s="36"/>
      <c r="T58" s="37"/>
      <c r="U58" s="5">
        <f t="shared" si="36"/>
        <v>51540</v>
      </c>
      <c r="V58" s="5">
        <f t="shared" si="37"/>
        <v>1749783.0000000002</v>
      </c>
      <c r="W58" s="5">
        <f t="shared" si="41"/>
        <v>314960.94</v>
      </c>
      <c r="X58" s="5"/>
      <c r="Y58" s="5"/>
      <c r="Z58" s="98"/>
      <c r="AA58" s="23">
        <f t="shared" si="38"/>
        <v>0</v>
      </c>
      <c r="AB58" s="97">
        <f t="shared" si="39"/>
        <v>0</v>
      </c>
      <c r="AC58" s="43"/>
      <c r="AD58" s="46"/>
      <c r="AE58" s="5">
        <f t="shared" si="40"/>
        <v>2064743.9400000002</v>
      </c>
      <c r="AF58" s="47" t="s">
        <v>1102</v>
      </c>
      <c r="AG58" s="44" t="s">
        <v>954</v>
      </c>
      <c r="AH58" s="13">
        <v>33.950000000000003</v>
      </c>
      <c r="AI58" s="12"/>
      <c r="AJ58" s="40"/>
      <c r="AK58" s="40"/>
    </row>
    <row r="59" spans="2:37" s="41" customFormat="1" ht="16.149999999999999" customHeight="1">
      <c r="B59" s="12"/>
      <c r="C59" s="1"/>
      <c r="D59" s="4"/>
      <c r="E59" s="86" t="s">
        <v>35</v>
      </c>
      <c r="F59" s="13">
        <v>31.82</v>
      </c>
      <c r="G59" s="14">
        <f t="shared" si="35"/>
        <v>31820</v>
      </c>
      <c r="H59" s="49">
        <v>15</v>
      </c>
      <c r="I59" s="83" t="s">
        <v>769</v>
      </c>
      <c r="J59" s="85" t="s">
        <v>730</v>
      </c>
      <c r="K59" s="82" t="s">
        <v>780</v>
      </c>
      <c r="L59" s="4"/>
      <c r="M59" s="85" t="s">
        <v>773</v>
      </c>
      <c r="N59" s="82" t="s">
        <v>781</v>
      </c>
      <c r="O59" s="4"/>
      <c r="P59" s="4"/>
      <c r="Q59" s="5">
        <v>51540</v>
      </c>
      <c r="R59" s="36"/>
      <c r="S59" s="36"/>
      <c r="T59" s="37"/>
      <c r="U59" s="5">
        <f t="shared" si="36"/>
        <v>51540</v>
      </c>
      <c r="V59" s="5">
        <f t="shared" si="37"/>
        <v>1640002.8</v>
      </c>
      <c r="W59" s="5">
        <f t="shared" si="41"/>
        <v>295200.50400000002</v>
      </c>
      <c r="X59" s="5"/>
      <c r="Y59" s="5"/>
      <c r="Z59" s="98"/>
      <c r="AA59" s="23">
        <f t="shared" si="38"/>
        <v>0</v>
      </c>
      <c r="AB59" s="97">
        <f t="shared" si="39"/>
        <v>0</v>
      </c>
      <c r="AC59" s="43"/>
      <c r="AD59" s="46"/>
      <c r="AE59" s="5">
        <f t="shared" si="40"/>
        <v>1935203.304</v>
      </c>
      <c r="AF59" s="47" t="s">
        <v>1103</v>
      </c>
      <c r="AG59" s="44" t="s">
        <v>954</v>
      </c>
      <c r="AH59" s="13">
        <v>31.82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86" t="s">
        <v>35</v>
      </c>
      <c r="F60" s="13">
        <v>42.38</v>
      </c>
      <c r="G60" s="14">
        <f t="shared" si="35"/>
        <v>42380</v>
      </c>
      <c r="H60" s="49">
        <v>20</v>
      </c>
      <c r="I60" s="83" t="s">
        <v>769</v>
      </c>
      <c r="J60" s="85" t="s">
        <v>730</v>
      </c>
      <c r="K60" s="82" t="s">
        <v>782</v>
      </c>
      <c r="L60" s="4"/>
      <c r="M60" s="85" t="s">
        <v>773</v>
      </c>
      <c r="N60" s="82" t="s">
        <v>783</v>
      </c>
      <c r="O60" s="4"/>
      <c r="P60" s="4"/>
      <c r="Q60" s="5">
        <v>51540</v>
      </c>
      <c r="R60" s="36"/>
      <c r="S60" s="36"/>
      <c r="T60" s="37"/>
      <c r="U60" s="5">
        <f t="shared" si="36"/>
        <v>51540</v>
      </c>
      <c r="V60" s="5">
        <f t="shared" si="37"/>
        <v>2184265.2000000002</v>
      </c>
      <c r="W60" s="5">
        <f t="shared" si="41"/>
        <v>393167.73600000003</v>
      </c>
      <c r="X60" s="5"/>
      <c r="Y60" s="5"/>
      <c r="Z60" s="98"/>
      <c r="AA60" s="23">
        <f t="shared" si="38"/>
        <v>0</v>
      </c>
      <c r="AB60" s="97">
        <f t="shared" si="39"/>
        <v>0</v>
      </c>
      <c r="AC60" s="43"/>
      <c r="AD60" s="46"/>
      <c r="AE60" s="5">
        <f t="shared" si="40"/>
        <v>2577432.9360000002</v>
      </c>
      <c r="AF60" s="47" t="s">
        <v>1104</v>
      </c>
      <c r="AG60" s="44" t="s">
        <v>954</v>
      </c>
      <c r="AH60" s="13">
        <v>42.38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86" t="s">
        <v>35</v>
      </c>
      <c r="F61" s="13">
        <v>40.31</v>
      </c>
      <c r="G61" s="14">
        <f t="shared" si="35"/>
        <v>40310</v>
      </c>
      <c r="H61" s="49">
        <v>19</v>
      </c>
      <c r="I61" s="83" t="s">
        <v>769</v>
      </c>
      <c r="J61" s="85" t="s">
        <v>730</v>
      </c>
      <c r="K61" s="82" t="s">
        <v>787</v>
      </c>
      <c r="L61" s="4"/>
      <c r="M61" s="85" t="s">
        <v>773</v>
      </c>
      <c r="N61" s="82" t="s">
        <v>788</v>
      </c>
      <c r="O61" s="4"/>
      <c r="P61" s="4"/>
      <c r="Q61" s="5">
        <v>51540</v>
      </c>
      <c r="R61" s="36"/>
      <c r="S61" s="36"/>
      <c r="T61" s="37"/>
      <c r="U61" s="5">
        <f t="shared" si="36"/>
        <v>51540</v>
      </c>
      <c r="V61" s="5">
        <f t="shared" si="37"/>
        <v>2077577.4000000001</v>
      </c>
      <c r="W61" s="5">
        <f t="shared" si="41"/>
        <v>373963.93200000003</v>
      </c>
      <c r="X61" s="5"/>
      <c r="Y61" s="5"/>
      <c r="Z61" s="98"/>
      <c r="AA61" s="23">
        <f t="shared" si="38"/>
        <v>0</v>
      </c>
      <c r="AB61" s="97">
        <f t="shared" si="39"/>
        <v>0</v>
      </c>
      <c r="AC61" s="43"/>
      <c r="AD61" s="46"/>
      <c r="AE61" s="5">
        <f t="shared" si="40"/>
        <v>2451541.3320000004</v>
      </c>
      <c r="AF61" s="47" t="s">
        <v>1105</v>
      </c>
      <c r="AG61" s="44" t="s">
        <v>954</v>
      </c>
      <c r="AH61" s="13">
        <v>40.31</v>
      </c>
      <c r="AI61" s="12"/>
      <c r="AJ61" s="40"/>
      <c r="AK61" s="40"/>
    </row>
    <row r="62" spans="2:37" s="41" customFormat="1" ht="16.149999999999999" customHeight="1">
      <c r="B62" s="12"/>
      <c r="C62" s="1"/>
      <c r="D62" s="4"/>
      <c r="E62" s="86" t="s">
        <v>35</v>
      </c>
      <c r="F62" s="13">
        <v>40.39</v>
      </c>
      <c r="G62" s="14">
        <f t="shared" si="35"/>
        <v>40390</v>
      </c>
      <c r="H62" s="49">
        <v>19</v>
      </c>
      <c r="I62" s="83" t="s">
        <v>769</v>
      </c>
      <c r="J62" s="85" t="s">
        <v>730</v>
      </c>
      <c r="K62" s="82" t="s">
        <v>789</v>
      </c>
      <c r="L62" s="4"/>
      <c r="M62" s="85" t="s">
        <v>773</v>
      </c>
      <c r="N62" s="82" t="s">
        <v>790</v>
      </c>
      <c r="O62" s="4"/>
      <c r="P62" s="4"/>
      <c r="Q62" s="5">
        <v>51540</v>
      </c>
      <c r="R62" s="36"/>
      <c r="S62" s="36"/>
      <c r="T62" s="37"/>
      <c r="U62" s="5">
        <f t="shared" si="36"/>
        <v>51540</v>
      </c>
      <c r="V62" s="5">
        <f t="shared" si="37"/>
        <v>2081700.6</v>
      </c>
      <c r="W62" s="5">
        <f t="shared" si="41"/>
        <v>374706.10800000001</v>
      </c>
      <c r="X62" s="5"/>
      <c r="Y62" s="5"/>
      <c r="Z62" s="98"/>
      <c r="AA62" s="23">
        <f t="shared" si="38"/>
        <v>0</v>
      </c>
      <c r="AB62" s="97">
        <f t="shared" si="39"/>
        <v>0</v>
      </c>
      <c r="AC62" s="43"/>
      <c r="AD62" s="46"/>
      <c r="AE62" s="5">
        <f t="shared" si="40"/>
        <v>2456406.7080000001</v>
      </c>
      <c r="AF62" s="47" t="s">
        <v>1106</v>
      </c>
      <c r="AG62" s="44" t="s">
        <v>954</v>
      </c>
      <c r="AH62" s="13">
        <v>40.39</v>
      </c>
      <c r="AI62" s="12"/>
      <c r="AJ62" s="40"/>
      <c r="AK62" s="40"/>
    </row>
    <row r="63" spans="2:37" s="41" customFormat="1" ht="16.149999999999999" customHeight="1">
      <c r="B63" s="12"/>
      <c r="C63" s="1"/>
      <c r="D63" s="4"/>
      <c r="E63" s="86" t="s">
        <v>35</v>
      </c>
      <c r="F63" s="13">
        <v>31.76</v>
      </c>
      <c r="G63" s="14">
        <f t="shared" si="35"/>
        <v>31760</v>
      </c>
      <c r="H63" s="49">
        <v>15</v>
      </c>
      <c r="I63" s="83" t="s">
        <v>769</v>
      </c>
      <c r="J63" s="85" t="s">
        <v>730</v>
      </c>
      <c r="K63" s="82" t="s">
        <v>791</v>
      </c>
      <c r="L63" s="4"/>
      <c r="M63" s="85" t="s">
        <v>773</v>
      </c>
      <c r="N63" s="82" t="s">
        <v>53</v>
      </c>
      <c r="O63" s="4"/>
      <c r="P63" s="4"/>
      <c r="Q63" s="5">
        <v>51540</v>
      </c>
      <c r="R63" s="36"/>
      <c r="S63" s="36"/>
      <c r="T63" s="37"/>
      <c r="U63" s="5">
        <f t="shared" si="36"/>
        <v>51540</v>
      </c>
      <c r="V63" s="5">
        <f t="shared" si="37"/>
        <v>1636910.4000000001</v>
      </c>
      <c r="W63" s="5">
        <f t="shared" si="41"/>
        <v>294643.87200000003</v>
      </c>
      <c r="X63" s="5"/>
      <c r="Y63" s="5"/>
      <c r="Z63" s="98"/>
      <c r="AA63" s="23">
        <f t="shared" si="38"/>
        <v>0</v>
      </c>
      <c r="AB63" s="97">
        <f t="shared" si="39"/>
        <v>0</v>
      </c>
      <c r="AC63" s="43"/>
      <c r="AD63" s="46"/>
      <c r="AE63" s="5">
        <f t="shared" si="40"/>
        <v>1931554.2720000001</v>
      </c>
      <c r="AF63" s="47" t="s">
        <v>1107</v>
      </c>
      <c r="AG63" s="44" t="s">
        <v>954</v>
      </c>
      <c r="AH63" s="13">
        <v>31.76</v>
      </c>
      <c r="AI63" s="12"/>
      <c r="AJ63" s="40"/>
      <c r="AK63" s="40"/>
    </row>
    <row r="64" spans="2:37" s="41" customFormat="1" ht="16.149999999999999" customHeight="1">
      <c r="B64" s="12"/>
      <c r="C64" s="1"/>
      <c r="D64" s="4"/>
      <c r="E64" s="86" t="s">
        <v>35</v>
      </c>
      <c r="F64" s="13">
        <v>31.84</v>
      </c>
      <c r="G64" s="14">
        <f t="shared" si="35"/>
        <v>31840</v>
      </c>
      <c r="H64" s="49">
        <v>15</v>
      </c>
      <c r="I64" s="83" t="s">
        <v>769</v>
      </c>
      <c r="J64" s="85" t="s">
        <v>730</v>
      </c>
      <c r="K64" s="82" t="s">
        <v>868</v>
      </c>
      <c r="L64" s="4"/>
      <c r="M64" s="85" t="s">
        <v>793</v>
      </c>
      <c r="N64" s="82" t="s">
        <v>869</v>
      </c>
      <c r="O64" s="4"/>
      <c r="P64" s="4"/>
      <c r="Q64" s="5">
        <v>51540</v>
      </c>
      <c r="R64" s="36"/>
      <c r="S64" s="36"/>
      <c r="T64" s="37"/>
      <c r="U64" s="5">
        <f t="shared" si="36"/>
        <v>51540</v>
      </c>
      <c r="V64" s="5">
        <f t="shared" si="37"/>
        <v>1641033.6</v>
      </c>
      <c r="W64" s="5">
        <f t="shared" si="41"/>
        <v>295386.04800000001</v>
      </c>
      <c r="X64" s="5"/>
      <c r="Y64" s="5"/>
      <c r="Z64" s="98"/>
      <c r="AA64" s="23">
        <f t="shared" si="38"/>
        <v>0</v>
      </c>
      <c r="AB64" s="97">
        <f t="shared" si="39"/>
        <v>0</v>
      </c>
      <c r="AC64" s="43"/>
      <c r="AD64" s="46"/>
      <c r="AE64" s="5">
        <f t="shared" si="40"/>
        <v>1936419.648</v>
      </c>
      <c r="AF64" s="47" t="s">
        <v>1108</v>
      </c>
      <c r="AG64" s="44" t="s">
        <v>954</v>
      </c>
      <c r="AH64" s="13">
        <v>31.84</v>
      </c>
      <c r="AI64" s="12"/>
      <c r="AJ64" s="40"/>
      <c r="AK64" s="40"/>
    </row>
    <row r="65" spans="2:37" s="41" customFormat="1" ht="16.149999999999999" customHeight="1">
      <c r="B65" s="12"/>
      <c r="C65" s="1"/>
      <c r="D65" s="4"/>
      <c r="E65" s="86" t="s">
        <v>35</v>
      </c>
      <c r="F65" s="13">
        <v>31.75</v>
      </c>
      <c r="G65" s="14">
        <f t="shared" si="35"/>
        <v>31750</v>
      </c>
      <c r="H65" s="49">
        <v>15</v>
      </c>
      <c r="I65" s="83" t="s">
        <v>769</v>
      </c>
      <c r="J65" s="85" t="s">
        <v>730</v>
      </c>
      <c r="K65" s="82" t="s">
        <v>870</v>
      </c>
      <c r="L65" s="4"/>
      <c r="M65" s="85" t="s">
        <v>793</v>
      </c>
      <c r="N65" s="82" t="s">
        <v>61</v>
      </c>
      <c r="O65" s="4"/>
      <c r="P65" s="4"/>
      <c r="Q65" s="5">
        <v>51540</v>
      </c>
      <c r="R65" s="36"/>
      <c r="S65" s="36"/>
      <c r="T65" s="37"/>
      <c r="U65" s="5">
        <f t="shared" si="36"/>
        <v>51540</v>
      </c>
      <c r="V65" s="5">
        <f t="shared" si="37"/>
        <v>1636395</v>
      </c>
      <c r="W65" s="5">
        <f t="shared" si="41"/>
        <v>294551.09999999998</v>
      </c>
      <c r="X65" s="5"/>
      <c r="Y65" s="5"/>
      <c r="Z65" s="98"/>
      <c r="AA65" s="23">
        <f t="shared" si="38"/>
        <v>0</v>
      </c>
      <c r="AB65" s="97">
        <f t="shared" si="39"/>
        <v>0</v>
      </c>
      <c r="AC65" s="43"/>
      <c r="AD65" s="46"/>
      <c r="AE65" s="5">
        <f t="shared" si="40"/>
        <v>1930946.1</v>
      </c>
      <c r="AF65" s="47" t="s">
        <v>1109</v>
      </c>
      <c r="AG65" s="44" t="s">
        <v>954</v>
      </c>
      <c r="AH65" s="13">
        <v>31.75</v>
      </c>
      <c r="AI65" s="12"/>
      <c r="AJ65" s="40"/>
      <c r="AK65" s="40"/>
    </row>
    <row r="66" spans="2:37" s="41" customFormat="1" ht="16.149999999999999" customHeight="1">
      <c r="B66" s="12"/>
      <c r="C66" s="1"/>
      <c r="D66" s="4"/>
      <c r="E66" s="86" t="s">
        <v>35</v>
      </c>
      <c r="F66" s="13">
        <v>31.82</v>
      </c>
      <c r="G66" s="14">
        <f t="shared" si="35"/>
        <v>31820</v>
      </c>
      <c r="H66" s="49">
        <v>15</v>
      </c>
      <c r="I66" s="83" t="s">
        <v>769</v>
      </c>
      <c r="J66" s="85" t="s">
        <v>730</v>
      </c>
      <c r="K66" s="82" t="s">
        <v>871</v>
      </c>
      <c r="L66" s="4"/>
      <c r="M66" s="85" t="s">
        <v>793</v>
      </c>
      <c r="N66" s="82" t="s">
        <v>48</v>
      </c>
      <c r="O66" s="4"/>
      <c r="P66" s="4"/>
      <c r="Q66" s="5">
        <v>51540</v>
      </c>
      <c r="R66" s="36"/>
      <c r="S66" s="36"/>
      <c r="T66" s="37"/>
      <c r="U66" s="5">
        <f t="shared" si="36"/>
        <v>51540</v>
      </c>
      <c r="V66" s="5">
        <f t="shared" si="37"/>
        <v>1640002.8</v>
      </c>
      <c r="W66" s="5">
        <f t="shared" si="41"/>
        <v>295200.50400000002</v>
      </c>
      <c r="X66" s="5"/>
      <c r="Y66" s="5"/>
      <c r="Z66" s="98"/>
      <c r="AA66" s="23">
        <f t="shared" si="38"/>
        <v>0</v>
      </c>
      <c r="AB66" s="97">
        <f t="shared" si="39"/>
        <v>0</v>
      </c>
      <c r="AC66" s="43"/>
      <c r="AD66" s="46"/>
      <c r="AE66" s="5">
        <f t="shared" si="40"/>
        <v>1935203.304</v>
      </c>
      <c r="AF66" s="47" t="s">
        <v>1110</v>
      </c>
      <c r="AG66" s="44" t="s">
        <v>954</v>
      </c>
      <c r="AH66" s="13">
        <v>31.82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86" t="s">
        <v>35</v>
      </c>
      <c r="F67" s="13">
        <v>33.93</v>
      </c>
      <c r="G67" s="14">
        <f t="shared" si="35"/>
        <v>33930</v>
      </c>
      <c r="H67" s="49">
        <v>16</v>
      </c>
      <c r="I67" s="83" t="s">
        <v>769</v>
      </c>
      <c r="J67" s="85" t="s">
        <v>730</v>
      </c>
      <c r="K67" s="82" t="s">
        <v>872</v>
      </c>
      <c r="L67" s="4"/>
      <c r="M67" s="85" t="s">
        <v>793</v>
      </c>
      <c r="N67" s="82" t="s">
        <v>87</v>
      </c>
      <c r="O67" s="4"/>
      <c r="P67" s="4"/>
      <c r="Q67" s="5">
        <v>51540</v>
      </c>
      <c r="R67" s="36"/>
      <c r="S67" s="36"/>
      <c r="T67" s="37"/>
      <c r="U67" s="5">
        <f t="shared" si="36"/>
        <v>51540</v>
      </c>
      <c r="V67" s="5">
        <f t="shared" si="37"/>
        <v>1748752.2</v>
      </c>
      <c r="W67" s="5">
        <f t="shared" si="41"/>
        <v>314775.39600000001</v>
      </c>
      <c r="X67" s="5"/>
      <c r="Y67" s="5"/>
      <c r="Z67" s="98"/>
      <c r="AA67" s="23">
        <f t="shared" si="38"/>
        <v>0</v>
      </c>
      <c r="AB67" s="97">
        <f t="shared" si="39"/>
        <v>0</v>
      </c>
      <c r="AC67" s="43"/>
      <c r="AD67" s="46"/>
      <c r="AE67" s="5">
        <f t="shared" si="40"/>
        <v>2063527.5959999999</v>
      </c>
      <c r="AF67" s="47" t="s">
        <v>1111</v>
      </c>
      <c r="AG67" s="44" t="s">
        <v>954</v>
      </c>
      <c r="AH67" s="13">
        <v>33.93</v>
      </c>
      <c r="AI67" s="12"/>
      <c r="AJ67" s="40"/>
      <c r="AK67" s="40"/>
    </row>
    <row r="68" spans="2:37" s="41" customFormat="1" ht="16.149999999999999" customHeight="1">
      <c r="B68" s="12"/>
      <c r="C68" s="1"/>
      <c r="D68" s="4"/>
      <c r="E68" s="86" t="s">
        <v>35</v>
      </c>
      <c r="F68" s="13">
        <v>33.89</v>
      </c>
      <c r="G68" s="14">
        <f t="shared" si="35"/>
        <v>33890</v>
      </c>
      <c r="H68" s="49">
        <v>16</v>
      </c>
      <c r="I68" s="83" t="s">
        <v>769</v>
      </c>
      <c r="J68" s="85" t="s">
        <v>730</v>
      </c>
      <c r="K68" s="82" t="s">
        <v>873</v>
      </c>
      <c r="L68" s="4"/>
      <c r="M68" s="85" t="s">
        <v>793</v>
      </c>
      <c r="N68" s="82" t="s">
        <v>57</v>
      </c>
      <c r="O68" s="4"/>
      <c r="P68" s="4"/>
      <c r="Q68" s="5">
        <v>51540</v>
      </c>
      <c r="R68" s="36"/>
      <c r="S68" s="36"/>
      <c r="T68" s="37"/>
      <c r="U68" s="5">
        <f t="shared" si="36"/>
        <v>51540</v>
      </c>
      <c r="V68" s="5">
        <f t="shared" si="37"/>
        <v>1746690.6</v>
      </c>
      <c r="W68" s="5">
        <f t="shared" si="41"/>
        <v>314404.30800000002</v>
      </c>
      <c r="X68" s="5"/>
      <c r="Y68" s="5"/>
      <c r="Z68" s="98"/>
      <c r="AA68" s="23">
        <f t="shared" si="38"/>
        <v>0</v>
      </c>
      <c r="AB68" s="97">
        <f t="shared" si="39"/>
        <v>0</v>
      </c>
      <c r="AC68" s="43"/>
      <c r="AD68" s="46"/>
      <c r="AE68" s="5">
        <f t="shared" si="40"/>
        <v>2061094.9080000001</v>
      </c>
      <c r="AF68" s="47" t="s">
        <v>1112</v>
      </c>
      <c r="AG68" s="44" t="s">
        <v>954</v>
      </c>
      <c r="AH68" s="13">
        <v>33.89</v>
      </c>
      <c r="AI68" s="12"/>
      <c r="AJ68" s="40"/>
      <c r="AK68" s="40"/>
    </row>
    <row r="69" spans="2:37" s="41" customFormat="1" ht="16.149999999999999" customHeight="1">
      <c r="B69" s="12"/>
      <c r="C69" s="1"/>
      <c r="D69" s="4"/>
      <c r="E69" s="86" t="s">
        <v>35</v>
      </c>
      <c r="F69" s="13">
        <v>33.909999999999997</v>
      </c>
      <c r="G69" s="14">
        <f t="shared" si="35"/>
        <v>33910</v>
      </c>
      <c r="H69" s="49">
        <v>16</v>
      </c>
      <c r="I69" s="83" t="s">
        <v>769</v>
      </c>
      <c r="J69" s="85" t="s">
        <v>730</v>
      </c>
      <c r="K69" s="82" t="s">
        <v>874</v>
      </c>
      <c r="L69" s="4"/>
      <c r="M69" s="85" t="s">
        <v>793</v>
      </c>
      <c r="N69" s="82" t="s">
        <v>875</v>
      </c>
      <c r="O69" s="4"/>
      <c r="P69" s="4"/>
      <c r="Q69" s="5">
        <v>51540</v>
      </c>
      <c r="R69" s="36"/>
      <c r="S69" s="36"/>
      <c r="T69" s="37"/>
      <c r="U69" s="5">
        <f t="shared" si="36"/>
        <v>51540</v>
      </c>
      <c r="V69" s="5">
        <f t="shared" si="37"/>
        <v>1747721.4</v>
      </c>
      <c r="W69" s="5">
        <f t="shared" si="41"/>
        <v>314589.85199999996</v>
      </c>
      <c r="X69" s="5"/>
      <c r="Y69" s="5"/>
      <c r="Z69" s="98"/>
      <c r="AA69" s="23">
        <f t="shared" si="38"/>
        <v>0</v>
      </c>
      <c r="AB69" s="97">
        <f t="shared" si="39"/>
        <v>0</v>
      </c>
      <c r="AC69" s="43"/>
      <c r="AD69" s="46"/>
      <c r="AE69" s="5">
        <f t="shared" si="40"/>
        <v>2062311.2519999999</v>
      </c>
      <c r="AF69" s="47" t="s">
        <v>1113</v>
      </c>
      <c r="AG69" s="44" t="s">
        <v>954</v>
      </c>
      <c r="AH69" s="13">
        <v>33.909999999999997</v>
      </c>
      <c r="AI69" s="12"/>
      <c r="AJ69" s="40"/>
      <c r="AK69" s="40"/>
    </row>
    <row r="70" spans="2:37" s="41" customFormat="1" ht="16.149999999999999" customHeight="1">
      <c r="B70" s="12"/>
      <c r="C70" s="1"/>
      <c r="D70" s="4"/>
      <c r="E70" s="86" t="s">
        <v>35</v>
      </c>
      <c r="F70" s="13">
        <v>33.979999999999997</v>
      </c>
      <c r="G70" s="14">
        <f t="shared" si="35"/>
        <v>33980</v>
      </c>
      <c r="H70" s="49">
        <v>16</v>
      </c>
      <c r="I70" s="83" t="s">
        <v>769</v>
      </c>
      <c r="J70" s="85" t="s">
        <v>730</v>
      </c>
      <c r="K70" s="82" t="s">
        <v>876</v>
      </c>
      <c r="L70" s="4"/>
      <c r="M70" s="85" t="s">
        <v>793</v>
      </c>
      <c r="N70" s="82" t="s">
        <v>877</v>
      </c>
      <c r="O70" s="4"/>
      <c r="P70" s="4"/>
      <c r="Q70" s="5">
        <v>51540</v>
      </c>
      <c r="R70" s="36"/>
      <c r="S70" s="36"/>
      <c r="T70" s="37"/>
      <c r="U70" s="5">
        <f t="shared" si="36"/>
        <v>51540</v>
      </c>
      <c r="V70" s="5">
        <f t="shared" si="37"/>
        <v>1751329.2</v>
      </c>
      <c r="W70" s="5">
        <f t="shared" si="41"/>
        <v>315239.25599999999</v>
      </c>
      <c r="X70" s="5"/>
      <c r="Y70" s="5"/>
      <c r="Z70" s="98"/>
      <c r="AA70" s="23">
        <f t="shared" si="38"/>
        <v>0</v>
      </c>
      <c r="AB70" s="97">
        <f t="shared" si="39"/>
        <v>0</v>
      </c>
      <c r="AC70" s="43"/>
      <c r="AD70" s="46"/>
      <c r="AE70" s="5">
        <f t="shared" si="40"/>
        <v>2066568.456</v>
      </c>
      <c r="AF70" s="47" t="s">
        <v>1114</v>
      </c>
      <c r="AG70" s="44" t="s">
        <v>954</v>
      </c>
      <c r="AH70" s="13">
        <v>33.979999999999997</v>
      </c>
      <c r="AI70" s="12"/>
      <c r="AJ70" s="40"/>
      <c r="AK70" s="40"/>
    </row>
    <row r="71" spans="2:37" s="41" customFormat="1" ht="16.149999999999999" customHeight="1">
      <c r="B71" s="12"/>
      <c r="C71" s="1"/>
      <c r="D71" s="4"/>
      <c r="E71" s="86" t="s">
        <v>35</v>
      </c>
      <c r="F71" s="13">
        <v>31.79</v>
      </c>
      <c r="G71" s="14">
        <f t="shared" si="35"/>
        <v>31790</v>
      </c>
      <c r="H71" s="49">
        <v>15</v>
      </c>
      <c r="I71" s="83" t="s">
        <v>769</v>
      </c>
      <c r="J71" s="85" t="s">
        <v>730</v>
      </c>
      <c r="K71" s="82" t="s">
        <v>878</v>
      </c>
      <c r="L71" s="4"/>
      <c r="M71" s="85" t="s">
        <v>793</v>
      </c>
      <c r="N71" s="82" t="s">
        <v>58</v>
      </c>
      <c r="O71" s="4"/>
      <c r="P71" s="4"/>
      <c r="Q71" s="5">
        <v>51540</v>
      </c>
      <c r="R71" s="36"/>
      <c r="S71" s="36"/>
      <c r="T71" s="37"/>
      <c r="U71" s="5">
        <f t="shared" si="36"/>
        <v>51540</v>
      </c>
      <c r="V71" s="5">
        <f t="shared" si="37"/>
        <v>1638456.5999999999</v>
      </c>
      <c r="W71" s="5">
        <f t="shared" si="41"/>
        <v>294922.18799999997</v>
      </c>
      <c r="X71" s="5"/>
      <c r="Y71" s="5"/>
      <c r="Z71" s="98"/>
      <c r="AA71" s="23">
        <f t="shared" si="38"/>
        <v>0</v>
      </c>
      <c r="AB71" s="97">
        <f t="shared" si="39"/>
        <v>0</v>
      </c>
      <c r="AC71" s="43"/>
      <c r="AD71" s="46"/>
      <c r="AE71" s="5">
        <f t="shared" si="40"/>
        <v>1933378.7879999997</v>
      </c>
      <c r="AF71" s="47" t="s">
        <v>1115</v>
      </c>
      <c r="AG71" s="44" t="s">
        <v>954</v>
      </c>
      <c r="AH71" s="13">
        <v>31.79</v>
      </c>
      <c r="AI71" s="12"/>
      <c r="AJ71" s="40"/>
      <c r="AK71" s="40"/>
    </row>
    <row r="72" spans="2:37" s="41" customFormat="1" ht="16.149999999999999" customHeight="1">
      <c r="B72" s="12"/>
      <c r="C72" s="1"/>
      <c r="D72" s="4"/>
      <c r="E72" s="86" t="s">
        <v>35</v>
      </c>
      <c r="F72" s="13">
        <v>31.84</v>
      </c>
      <c r="G72" s="14">
        <f t="shared" si="35"/>
        <v>31840</v>
      </c>
      <c r="H72" s="49">
        <v>15</v>
      </c>
      <c r="I72" s="83" t="s">
        <v>769</v>
      </c>
      <c r="J72" s="85" t="s">
        <v>730</v>
      </c>
      <c r="K72" s="82" t="s">
        <v>879</v>
      </c>
      <c r="L72" s="4"/>
      <c r="M72" s="85" t="s">
        <v>793</v>
      </c>
      <c r="N72" s="82" t="s">
        <v>774</v>
      </c>
      <c r="O72" s="4"/>
      <c r="P72" s="4"/>
      <c r="Q72" s="5">
        <v>51540</v>
      </c>
      <c r="R72" s="36"/>
      <c r="S72" s="36"/>
      <c r="T72" s="37"/>
      <c r="U72" s="5">
        <f t="shared" si="36"/>
        <v>51540</v>
      </c>
      <c r="V72" s="5">
        <f t="shared" si="37"/>
        <v>1641033.6</v>
      </c>
      <c r="W72" s="5">
        <f t="shared" si="41"/>
        <v>295386.04800000001</v>
      </c>
      <c r="X72" s="5"/>
      <c r="Y72" s="5"/>
      <c r="Z72" s="98"/>
      <c r="AA72" s="23">
        <f t="shared" si="38"/>
        <v>0</v>
      </c>
      <c r="AB72" s="97">
        <f t="shared" si="39"/>
        <v>0</v>
      </c>
      <c r="AC72" s="43"/>
      <c r="AD72" s="46"/>
      <c r="AE72" s="5">
        <f t="shared" si="40"/>
        <v>1936419.648</v>
      </c>
      <c r="AF72" s="47" t="s">
        <v>1116</v>
      </c>
      <c r="AG72" s="44" t="s">
        <v>954</v>
      </c>
      <c r="AH72" s="13">
        <v>31.84</v>
      </c>
      <c r="AI72" s="12"/>
      <c r="AJ72" s="40"/>
      <c r="AK72" s="40"/>
    </row>
    <row r="73" spans="2:37" s="41" customFormat="1" ht="16.149999999999999" customHeight="1">
      <c r="B73" s="12"/>
      <c r="C73" s="1"/>
      <c r="D73" s="4"/>
      <c r="E73" s="86" t="s">
        <v>35</v>
      </c>
      <c r="F73" s="13">
        <v>33.869999999999997</v>
      </c>
      <c r="G73" s="14">
        <f t="shared" si="35"/>
        <v>33870</v>
      </c>
      <c r="H73" s="49">
        <v>16</v>
      </c>
      <c r="I73" s="83" t="s">
        <v>769</v>
      </c>
      <c r="J73" s="85" t="s">
        <v>730</v>
      </c>
      <c r="K73" s="82" t="s">
        <v>880</v>
      </c>
      <c r="L73" s="4"/>
      <c r="M73" s="85" t="s">
        <v>793</v>
      </c>
      <c r="N73" s="82" t="s">
        <v>45</v>
      </c>
      <c r="O73" s="4"/>
      <c r="P73" s="4"/>
      <c r="Q73" s="5">
        <v>51540</v>
      </c>
      <c r="R73" s="36"/>
      <c r="S73" s="36"/>
      <c r="T73" s="37"/>
      <c r="U73" s="5">
        <f t="shared" si="36"/>
        <v>51540</v>
      </c>
      <c r="V73" s="5">
        <f t="shared" si="37"/>
        <v>1745659.7999999998</v>
      </c>
      <c r="W73" s="5">
        <f t="shared" si="41"/>
        <v>314218.76399999997</v>
      </c>
      <c r="X73" s="5"/>
      <c r="Y73" s="5"/>
      <c r="Z73" s="98"/>
      <c r="AA73" s="23">
        <f t="shared" si="38"/>
        <v>0</v>
      </c>
      <c r="AB73" s="97">
        <f t="shared" si="39"/>
        <v>0</v>
      </c>
      <c r="AC73" s="43"/>
      <c r="AD73" s="46"/>
      <c r="AE73" s="5">
        <f t="shared" si="40"/>
        <v>2059878.5639999998</v>
      </c>
      <c r="AF73" s="47" t="s">
        <v>1117</v>
      </c>
      <c r="AG73" s="44" t="s">
        <v>954</v>
      </c>
      <c r="AH73" s="13">
        <v>33.869999999999997</v>
      </c>
      <c r="AI73" s="12"/>
      <c r="AJ73" s="40"/>
      <c r="AK73" s="40"/>
    </row>
    <row r="74" spans="2:37" s="41" customFormat="1" ht="16.149999999999999" customHeight="1">
      <c r="B74" s="12"/>
      <c r="C74" s="1"/>
      <c r="D74" s="4"/>
      <c r="E74" s="86" t="s">
        <v>35</v>
      </c>
      <c r="F74" s="103">
        <v>31.82</v>
      </c>
      <c r="G74" s="14">
        <f t="shared" si="35"/>
        <v>31820</v>
      </c>
      <c r="H74" s="49">
        <v>15</v>
      </c>
      <c r="I74" s="83" t="s">
        <v>769</v>
      </c>
      <c r="J74" s="85" t="s">
        <v>730</v>
      </c>
      <c r="K74" s="82" t="s">
        <v>882</v>
      </c>
      <c r="L74" s="4"/>
      <c r="M74" s="85" t="s">
        <v>793</v>
      </c>
      <c r="N74" s="82" t="s">
        <v>881</v>
      </c>
      <c r="O74" s="4"/>
      <c r="P74" s="4"/>
      <c r="Q74" s="5">
        <v>51540</v>
      </c>
      <c r="R74" s="36"/>
      <c r="S74" s="36"/>
      <c r="T74" s="37"/>
      <c r="U74" s="5">
        <f t="shared" si="36"/>
        <v>51540</v>
      </c>
      <c r="V74" s="5">
        <f t="shared" si="37"/>
        <v>1640002.8</v>
      </c>
      <c r="W74" s="5">
        <f t="shared" si="41"/>
        <v>295200.50400000002</v>
      </c>
      <c r="X74" s="5"/>
      <c r="Y74" s="5"/>
      <c r="Z74" s="98"/>
      <c r="AA74" s="23">
        <f t="shared" si="38"/>
        <v>0</v>
      </c>
      <c r="AB74" s="97">
        <f t="shared" si="39"/>
        <v>0</v>
      </c>
      <c r="AC74" s="43"/>
      <c r="AD74" s="46"/>
      <c r="AE74" s="5">
        <f t="shared" si="40"/>
        <v>1935203.304</v>
      </c>
      <c r="AF74" s="47" t="s">
        <v>1118</v>
      </c>
      <c r="AG74" s="44" t="s">
        <v>954</v>
      </c>
      <c r="AH74" s="103">
        <v>31.82</v>
      </c>
      <c r="AI74" s="12"/>
      <c r="AJ74" s="40"/>
      <c r="AK74" s="40"/>
    </row>
    <row r="75" spans="2:37" s="41" customFormat="1" ht="16.149999999999999" customHeight="1">
      <c r="B75" s="12"/>
      <c r="C75" s="1"/>
      <c r="D75" s="4"/>
      <c r="E75" s="86" t="s">
        <v>35</v>
      </c>
      <c r="F75" s="13">
        <v>31.81</v>
      </c>
      <c r="G75" s="14">
        <f t="shared" si="35"/>
        <v>31810</v>
      </c>
      <c r="H75" s="49">
        <v>15</v>
      </c>
      <c r="I75" s="83" t="s">
        <v>769</v>
      </c>
      <c r="J75" s="85" t="s">
        <v>730</v>
      </c>
      <c r="K75" s="82" t="s">
        <v>888</v>
      </c>
      <c r="L75" s="4"/>
      <c r="M75" s="85" t="s">
        <v>889</v>
      </c>
      <c r="N75" s="82" t="s">
        <v>46</v>
      </c>
      <c r="O75" s="4"/>
      <c r="P75" s="4"/>
      <c r="Q75" s="5">
        <v>51540</v>
      </c>
      <c r="R75" s="36"/>
      <c r="S75" s="36"/>
      <c r="T75" s="37"/>
      <c r="U75" s="5">
        <f t="shared" si="36"/>
        <v>51540</v>
      </c>
      <c r="V75" s="5">
        <f t="shared" si="37"/>
        <v>1639487.4</v>
      </c>
      <c r="W75" s="5">
        <f t="shared" si="41"/>
        <v>295107.73199999996</v>
      </c>
      <c r="X75" s="5"/>
      <c r="Y75" s="5"/>
      <c r="Z75" s="98"/>
      <c r="AA75" s="23">
        <f t="shared" si="38"/>
        <v>0</v>
      </c>
      <c r="AB75" s="97">
        <f t="shared" si="39"/>
        <v>0</v>
      </c>
      <c r="AC75" s="43"/>
      <c r="AD75" s="46"/>
      <c r="AE75" s="5">
        <f t="shared" si="40"/>
        <v>1934595.1319999998</v>
      </c>
      <c r="AF75" s="47" t="s">
        <v>1119</v>
      </c>
      <c r="AG75" s="44" t="s">
        <v>954</v>
      </c>
      <c r="AH75" s="13">
        <v>31.81</v>
      </c>
      <c r="AI75" s="12"/>
      <c r="AJ75" s="40"/>
      <c r="AK75" s="40"/>
    </row>
    <row r="76" spans="2:37" s="41" customFormat="1" ht="16.149999999999999" customHeight="1">
      <c r="B76" s="12"/>
      <c r="C76" s="1"/>
      <c r="D76" s="4"/>
      <c r="E76" s="86" t="s">
        <v>35</v>
      </c>
      <c r="F76" s="13">
        <v>31.88</v>
      </c>
      <c r="G76" s="14">
        <f t="shared" si="35"/>
        <v>31880</v>
      </c>
      <c r="H76" s="49">
        <v>15</v>
      </c>
      <c r="I76" s="83" t="s">
        <v>769</v>
      </c>
      <c r="J76" s="85" t="s">
        <v>730</v>
      </c>
      <c r="K76" s="82" t="s">
        <v>890</v>
      </c>
      <c r="L76" s="4"/>
      <c r="M76" s="85" t="s">
        <v>889</v>
      </c>
      <c r="N76" s="82" t="s">
        <v>891</v>
      </c>
      <c r="O76" s="4"/>
      <c r="P76" s="4"/>
      <c r="Q76" s="5">
        <v>51540</v>
      </c>
      <c r="R76" s="36"/>
      <c r="S76" s="36"/>
      <c r="T76" s="37"/>
      <c r="U76" s="5">
        <f t="shared" si="36"/>
        <v>51540</v>
      </c>
      <c r="V76" s="5">
        <f t="shared" si="37"/>
        <v>1643095.2</v>
      </c>
      <c r="W76" s="5">
        <f t="shared" si="41"/>
        <v>295757.136</v>
      </c>
      <c r="X76" s="5"/>
      <c r="Y76" s="5"/>
      <c r="Z76" s="98"/>
      <c r="AA76" s="23">
        <f t="shared" si="38"/>
        <v>0</v>
      </c>
      <c r="AB76" s="97">
        <f t="shared" si="39"/>
        <v>0</v>
      </c>
      <c r="AC76" s="43"/>
      <c r="AD76" s="46"/>
      <c r="AE76" s="5">
        <f t="shared" si="40"/>
        <v>1938852.3359999999</v>
      </c>
      <c r="AF76" s="47" t="s">
        <v>1120</v>
      </c>
      <c r="AG76" s="44" t="s">
        <v>954</v>
      </c>
      <c r="AH76" s="13">
        <v>31.88</v>
      </c>
      <c r="AI76" s="12"/>
      <c r="AJ76" s="40"/>
      <c r="AK76" s="40"/>
    </row>
    <row r="77" spans="2:37" s="41" customFormat="1" ht="16.149999999999999" customHeight="1">
      <c r="B77" s="12"/>
      <c r="C77" s="1"/>
      <c r="D77" s="4"/>
      <c r="E77" s="86" t="s">
        <v>35</v>
      </c>
      <c r="F77" s="13">
        <v>31.87</v>
      </c>
      <c r="G77" s="14">
        <f t="shared" si="35"/>
        <v>31870</v>
      </c>
      <c r="H77" s="49">
        <v>15</v>
      </c>
      <c r="I77" s="83" t="s">
        <v>769</v>
      </c>
      <c r="J77" s="85" t="s">
        <v>730</v>
      </c>
      <c r="K77" s="82" t="s">
        <v>892</v>
      </c>
      <c r="L77" s="4"/>
      <c r="M77" s="85" t="s">
        <v>889</v>
      </c>
      <c r="N77" s="82" t="s">
        <v>893</v>
      </c>
      <c r="O77" s="4"/>
      <c r="P77" s="4"/>
      <c r="Q77" s="5">
        <v>51540</v>
      </c>
      <c r="R77" s="36"/>
      <c r="S77" s="36"/>
      <c r="T77" s="37"/>
      <c r="U77" s="5">
        <f t="shared" si="36"/>
        <v>51540</v>
      </c>
      <c r="V77" s="5">
        <f t="shared" si="37"/>
        <v>1642579.8</v>
      </c>
      <c r="W77" s="5">
        <f t="shared" si="41"/>
        <v>295664.364</v>
      </c>
      <c r="X77" s="5"/>
      <c r="Y77" s="5"/>
      <c r="Z77" s="98"/>
      <c r="AA77" s="23">
        <f t="shared" si="38"/>
        <v>0</v>
      </c>
      <c r="AB77" s="97">
        <f t="shared" si="39"/>
        <v>0</v>
      </c>
      <c r="AC77" s="43"/>
      <c r="AD77" s="46"/>
      <c r="AE77" s="5">
        <f t="shared" si="40"/>
        <v>1938244.1640000001</v>
      </c>
      <c r="AF77" s="47" t="s">
        <v>1121</v>
      </c>
      <c r="AG77" s="44" t="s">
        <v>954</v>
      </c>
      <c r="AH77" s="13">
        <v>31.87</v>
      </c>
      <c r="AI77" s="12"/>
      <c r="AJ77" s="40"/>
      <c r="AK77" s="40"/>
    </row>
    <row r="78" spans="2:37" s="41" customFormat="1" ht="16.149999999999999" customHeight="1">
      <c r="B78" s="12"/>
      <c r="C78" s="1"/>
      <c r="D78" s="4"/>
      <c r="E78" s="86" t="s">
        <v>35</v>
      </c>
      <c r="F78" s="13">
        <v>31.81</v>
      </c>
      <c r="G78" s="14">
        <f t="shared" si="35"/>
        <v>31810</v>
      </c>
      <c r="H78" s="49">
        <v>15</v>
      </c>
      <c r="I78" s="83" t="s">
        <v>769</v>
      </c>
      <c r="J78" s="85" t="s">
        <v>730</v>
      </c>
      <c r="K78" s="82" t="s">
        <v>894</v>
      </c>
      <c r="L78" s="4"/>
      <c r="M78" s="85" t="s">
        <v>889</v>
      </c>
      <c r="N78" s="82" t="s">
        <v>895</v>
      </c>
      <c r="O78" s="4"/>
      <c r="P78" s="4"/>
      <c r="Q78" s="5">
        <v>51540</v>
      </c>
      <c r="R78" s="36"/>
      <c r="S78" s="36"/>
      <c r="T78" s="37"/>
      <c r="U78" s="5">
        <f t="shared" si="36"/>
        <v>51540</v>
      </c>
      <c r="V78" s="5">
        <f t="shared" si="37"/>
        <v>1639487.4</v>
      </c>
      <c r="W78" s="5">
        <f t="shared" si="41"/>
        <v>295107.73199999996</v>
      </c>
      <c r="X78" s="5"/>
      <c r="Y78" s="5"/>
      <c r="Z78" s="98"/>
      <c r="AA78" s="23">
        <f t="shared" si="38"/>
        <v>0</v>
      </c>
      <c r="AB78" s="97">
        <f t="shared" si="39"/>
        <v>0</v>
      </c>
      <c r="AC78" s="43"/>
      <c r="AD78" s="46"/>
      <c r="AE78" s="5">
        <f t="shared" si="40"/>
        <v>1934595.1319999998</v>
      </c>
      <c r="AF78" s="47" t="s">
        <v>1122</v>
      </c>
      <c r="AG78" s="44" t="s">
        <v>954</v>
      </c>
      <c r="AH78" s="13">
        <v>31.81</v>
      </c>
      <c r="AI78" s="12"/>
      <c r="AJ78" s="40"/>
      <c r="AK78" s="40"/>
    </row>
    <row r="79" spans="2:37" s="41" customFormat="1" ht="16.149999999999999" customHeight="1">
      <c r="B79" s="12"/>
      <c r="C79" s="1"/>
      <c r="D79" s="4"/>
      <c r="E79" s="86" t="s">
        <v>35</v>
      </c>
      <c r="F79" s="13">
        <v>31.7</v>
      </c>
      <c r="G79" s="14">
        <f t="shared" si="35"/>
        <v>31700</v>
      </c>
      <c r="H79" s="49">
        <v>15</v>
      </c>
      <c r="I79" s="83" t="s">
        <v>769</v>
      </c>
      <c r="J79" s="85" t="s">
        <v>730</v>
      </c>
      <c r="K79" s="82" t="s">
        <v>896</v>
      </c>
      <c r="L79" s="4"/>
      <c r="M79" s="85" t="s">
        <v>889</v>
      </c>
      <c r="N79" s="82" t="s">
        <v>44</v>
      </c>
      <c r="O79" s="4"/>
      <c r="P79" s="4"/>
      <c r="Q79" s="5">
        <v>51540</v>
      </c>
      <c r="R79" s="36"/>
      <c r="S79" s="36"/>
      <c r="T79" s="37"/>
      <c r="U79" s="5">
        <f t="shared" si="36"/>
        <v>51540</v>
      </c>
      <c r="V79" s="5">
        <f t="shared" si="37"/>
        <v>1633818</v>
      </c>
      <c r="W79" s="5">
        <f t="shared" si="41"/>
        <v>294087.24</v>
      </c>
      <c r="X79" s="5"/>
      <c r="Y79" s="5"/>
      <c r="Z79" s="98"/>
      <c r="AA79" s="23">
        <f t="shared" si="38"/>
        <v>0</v>
      </c>
      <c r="AB79" s="97">
        <f t="shared" si="39"/>
        <v>0</v>
      </c>
      <c r="AC79" s="43"/>
      <c r="AD79" s="46"/>
      <c r="AE79" s="5">
        <f t="shared" si="40"/>
        <v>1927905.24</v>
      </c>
      <c r="AF79" s="47" t="s">
        <v>1123</v>
      </c>
      <c r="AG79" s="44" t="s">
        <v>954</v>
      </c>
      <c r="AH79" s="13">
        <v>31.7</v>
      </c>
      <c r="AI79" s="12"/>
      <c r="AJ79" s="40"/>
      <c r="AK79" s="40"/>
    </row>
    <row r="80" spans="2:37" s="41" customFormat="1" ht="16.149999999999999" customHeight="1">
      <c r="B80" s="12"/>
      <c r="C80" s="1"/>
      <c r="D80" s="4"/>
      <c r="E80" s="86" t="s">
        <v>35</v>
      </c>
      <c r="F80" s="13">
        <v>31.81</v>
      </c>
      <c r="G80" s="14">
        <f t="shared" si="35"/>
        <v>31810</v>
      </c>
      <c r="H80" s="49">
        <v>15</v>
      </c>
      <c r="I80" s="83" t="s">
        <v>769</v>
      </c>
      <c r="J80" s="85" t="s">
        <v>730</v>
      </c>
      <c r="K80" s="82" t="s">
        <v>917</v>
      </c>
      <c r="L80" s="4"/>
      <c r="M80" s="85" t="s">
        <v>889</v>
      </c>
      <c r="N80" s="82" t="s">
        <v>897</v>
      </c>
      <c r="O80" s="4"/>
      <c r="P80" s="4"/>
      <c r="Q80" s="5">
        <v>51540</v>
      </c>
      <c r="R80" s="36"/>
      <c r="S80" s="36"/>
      <c r="T80" s="37"/>
      <c r="U80" s="5">
        <f t="shared" si="36"/>
        <v>51540</v>
      </c>
      <c r="V80" s="5">
        <f t="shared" si="37"/>
        <v>1639487.4</v>
      </c>
      <c r="W80" s="5">
        <f t="shared" si="41"/>
        <v>295107.73199999996</v>
      </c>
      <c r="X80" s="5"/>
      <c r="Y80" s="5"/>
      <c r="Z80" s="98"/>
      <c r="AA80" s="23">
        <f t="shared" si="38"/>
        <v>0</v>
      </c>
      <c r="AB80" s="97">
        <f t="shared" si="39"/>
        <v>0</v>
      </c>
      <c r="AC80" s="43"/>
      <c r="AD80" s="46"/>
      <c r="AE80" s="5">
        <f t="shared" si="40"/>
        <v>1934595.1319999998</v>
      </c>
      <c r="AF80" s="47" t="s">
        <v>1124</v>
      </c>
      <c r="AG80" s="44" t="s">
        <v>954</v>
      </c>
      <c r="AH80" s="13">
        <v>31.81</v>
      </c>
      <c r="AI80" s="12"/>
      <c r="AJ80" s="40"/>
      <c r="AK80" s="40"/>
    </row>
    <row r="81" spans="2:37" s="41" customFormat="1" ht="16.149999999999999" customHeight="1">
      <c r="B81" s="12"/>
      <c r="C81" s="1"/>
      <c r="D81" s="4"/>
      <c r="E81" s="86" t="s">
        <v>35</v>
      </c>
      <c r="F81" s="13">
        <v>16.989999999999998</v>
      </c>
      <c r="G81" s="14">
        <f t="shared" si="35"/>
        <v>16990</v>
      </c>
      <c r="H81" s="49">
        <v>8</v>
      </c>
      <c r="I81" s="83" t="s">
        <v>769</v>
      </c>
      <c r="J81" s="85" t="s">
        <v>730</v>
      </c>
      <c r="K81" s="82" t="s">
        <v>903</v>
      </c>
      <c r="L81" s="4"/>
      <c r="M81" s="85" t="s">
        <v>899</v>
      </c>
      <c r="N81" s="82" t="s">
        <v>902</v>
      </c>
      <c r="O81" s="4"/>
      <c r="P81" s="4"/>
      <c r="Q81" s="5">
        <v>51540</v>
      </c>
      <c r="R81" s="36"/>
      <c r="S81" s="36"/>
      <c r="T81" s="37"/>
      <c r="U81" s="5">
        <f t="shared" si="36"/>
        <v>51540</v>
      </c>
      <c r="V81" s="5">
        <f t="shared" si="37"/>
        <v>875664.6</v>
      </c>
      <c r="W81" s="5">
        <f t="shared" si="41"/>
        <v>157619.628</v>
      </c>
      <c r="X81" s="5"/>
      <c r="Y81" s="5"/>
      <c r="Z81" s="98"/>
      <c r="AA81" s="23">
        <f t="shared" si="38"/>
        <v>0</v>
      </c>
      <c r="AB81" s="97">
        <f t="shared" si="39"/>
        <v>0</v>
      </c>
      <c r="AC81" s="43"/>
      <c r="AD81" s="46"/>
      <c r="AE81" s="5">
        <f t="shared" si="40"/>
        <v>1033284.228</v>
      </c>
      <c r="AF81" s="47" t="s">
        <v>1125</v>
      </c>
      <c r="AG81" s="44" t="s">
        <v>954</v>
      </c>
      <c r="AH81" s="13">
        <v>16.989999999999998</v>
      </c>
      <c r="AI81" s="12"/>
      <c r="AJ81" s="40"/>
      <c r="AK81" s="40"/>
    </row>
    <row r="82" spans="2:37" s="41" customFormat="1" ht="16.149999999999999" customHeight="1">
      <c r="B82" s="12"/>
      <c r="C82" s="1"/>
      <c r="D82" s="4"/>
      <c r="E82" s="86" t="s">
        <v>35</v>
      </c>
      <c r="F82" s="13">
        <v>31.82</v>
      </c>
      <c r="G82" s="14">
        <f t="shared" si="35"/>
        <v>31820</v>
      </c>
      <c r="H82" s="49">
        <v>15</v>
      </c>
      <c r="I82" s="83" t="s">
        <v>769</v>
      </c>
      <c r="J82" s="85" t="s">
        <v>730</v>
      </c>
      <c r="K82" s="82" t="s">
        <v>907</v>
      </c>
      <c r="L82" s="4"/>
      <c r="M82" s="85" t="s">
        <v>899</v>
      </c>
      <c r="N82" s="82" t="s">
        <v>908</v>
      </c>
      <c r="O82" s="4"/>
      <c r="P82" s="4"/>
      <c r="Q82" s="5">
        <v>51540</v>
      </c>
      <c r="R82" s="36"/>
      <c r="S82" s="36"/>
      <c r="T82" s="37"/>
      <c r="U82" s="5">
        <f t="shared" si="36"/>
        <v>51540</v>
      </c>
      <c r="V82" s="5">
        <f t="shared" si="37"/>
        <v>1640002.8</v>
      </c>
      <c r="W82" s="5">
        <f t="shared" si="41"/>
        <v>295200.50400000002</v>
      </c>
      <c r="X82" s="5"/>
      <c r="Y82" s="5"/>
      <c r="Z82" s="98"/>
      <c r="AA82" s="23">
        <f t="shared" si="38"/>
        <v>0</v>
      </c>
      <c r="AB82" s="97">
        <f t="shared" si="39"/>
        <v>0</v>
      </c>
      <c r="AC82" s="43"/>
      <c r="AD82" s="46"/>
      <c r="AE82" s="5">
        <f t="shared" si="40"/>
        <v>1935203.304</v>
      </c>
      <c r="AF82" s="47" t="s">
        <v>1126</v>
      </c>
      <c r="AG82" s="44" t="s">
        <v>954</v>
      </c>
      <c r="AH82" s="13">
        <v>31.82</v>
      </c>
      <c r="AI82" s="12"/>
      <c r="AJ82" s="40"/>
      <c r="AK82" s="40"/>
    </row>
    <row r="83" spans="2:37" s="41" customFormat="1" ht="16.149999999999999" customHeight="1">
      <c r="B83" s="12"/>
      <c r="C83" s="1"/>
      <c r="D83" s="4"/>
      <c r="E83" s="86" t="s">
        <v>35</v>
      </c>
      <c r="F83" s="13">
        <v>28.88</v>
      </c>
      <c r="G83" s="14">
        <f t="shared" si="35"/>
        <v>28880</v>
      </c>
      <c r="H83" s="49">
        <v>15</v>
      </c>
      <c r="I83" s="83" t="s">
        <v>769</v>
      </c>
      <c r="J83" s="85" t="s">
        <v>730</v>
      </c>
      <c r="K83" s="82" t="s">
        <v>914</v>
      </c>
      <c r="L83" s="4"/>
      <c r="M83" s="85" t="s">
        <v>899</v>
      </c>
      <c r="N83" s="82" t="s">
        <v>52</v>
      </c>
      <c r="O83" s="4"/>
      <c r="P83" s="4"/>
      <c r="Q83" s="5">
        <v>51540</v>
      </c>
      <c r="R83" s="36"/>
      <c r="S83" s="36"/>
      <c r="T83" s="37"/>
      <c r="U83" s="5">
        <f t="shared" si="36"/>
        <v>51540</v>
      </c>
      <c r="V83" s="5">
        <f t="shared" si="37"/>
        <v>1488475.2</v>
      </c>
      <c r="W83" s="5">
        <f t="shared" si="41"/>
        <v>267925.53599999996</v>
      </c>
      <c r="X83" s="5"/>
      <c r="Y83" s="5"/>
      <c r="Z83" s="98"/>
      <c r="AA83" s="23">
        <f t="shared" si="38"/>
        <v>0</v>
      </c>
      <c r="AB83" s="97">
        <f t="shared" si="39"/>
        <v>0</v>
      </c>
      <c r="AC83" s="43"/>
      <c r="AD83" s="46"/>
      <c r="AE83" s="5">
        <f t="shared" si="40"/>
        <v>1756400.736</v>
      </c>
      <c r="AF83" s="47" t="s">
        <v>1127</v>
      </c>
      <c r="AG83" s="44" t="s">
        <v>954</v>
      </c>
      <c r="AH83" s="13">
        <v>28.88</v>
      </c>
      <c r="AI83" s="12"/>
      <c r="AJ83" s="40"/>
      <c r="AK83" s="40"/>
    </row>
    <row r="84" spans="2:37" s="41" customFormat="1">
      <c r="B84" s="92"/>
      <c r="C84" s="48"/>
      <c r="D84" s="6"/>
      <c r="E84" s="6"/>
      <c r="F84" s="81">
        <f>SUM(F53:F83)</f>
        <v>1015.3099999999998</v>
      </c>
      <c r="G84" s="20">
        <f>SUM(G53:G83)</f>
        <v>1015310</v>
      </c>
      <c r="H84" s="21">
        <f>SUM(H53:H83)</f>
        <v>480</v>
      </c>
      <c r="I84" s="2"/>
      <c r="J84" s="7"/>
      <c r="K84" s="7"/>
      <c r="L84" s="7"/>
      <c r="M84" s="2"/>
      <c r="N84" s="6"/>
      <c r="O84" s="6"/>
      <c r="P84" s="6"/>
      <c r="Q84" s="19"/>
      <c r="R84" s="9"/>
      <c r="S84" s="9"/>
      <c r="T84" s="10"/>
      <c r="U84" s="8"/>
      <c r="V84" s="21">
        <f>SUM(V53:V83)</f>
        <v>52329077.399999991</v>
      </c>
      <c r="W84" s="21">
        <f>SUM(W53:W83)</f>
        <v>9419233.9320000019</v>
      </c>
      <c r="X84" s="21">
        <f>SUM(X53:X83)</f>
        <v>0</v>
      </c>
      <c r="Y84" s="21">
        <f>SUM(Y53:Y83)</f>
        <v>0</v>
      </c>
      <c r="Z84" s="99"/>
      <c r="AA84" s="21">
        <f>SUM(AA53:AA83)</f>
        <v>0</v>
      </c>
      <c r="AB84" s="21">
        <f>SUM(AB53:AB83)</f>
        <v>0</v>
      </c>
      <c r="AC84" s="21"/>
      <c r="AD84" s="21">
        <f>SUM(AD53:AD83)</f>
        <v>0</v>
      </c>
      <c r="AE84" s="21">
        <f>SUM(AE53:AE83)</f>
        <v>61748311.33200001</v>
      </c>
      <c r="AF84" s="21"/>
      <c r="AG84" s="42"/>
      <c r="AH84" s="81">
        <f>SUM(AH53:AH83)</f>
        <v>1015.3099999999998</v>
      </c>
      <c r="AI84" s="26">
        <f>AH84-F84</f>
        <v>0</v>
      </c>
      <c r="AJ84" s="41">
        <f>AA84/F84</f>
        <v>0</v>
      </c>
      <c r="AK84" s="40"/>
    </row>
    <row r="85" spans="2:37" s="41" customFormat="1" ht="16.149999999999999" customHeight="1">
      <c r="B85" s="86" t="s">
        <v>764</v>
      </c>
      <c r="C85" s="86" t="s">
        <v>687</v>
      </c>
      <c r="D85" s="4"/>
      <c r="E85" s="86" t="s">
        <v>392</v>
      </c>
      <c r="F85" s="13">
        <v>32.200000000000003</v>
      </c>
      <c r="G85" s="14">
        <f t="shared" ref="G85:G92" si="42">+F85*1000</f>
        <v>32200.000000000004</v>
      </c>
      <c r="H85" s="49">
        <v>15</v>
      </c>
      <c r="I85" s="83" t="s">
        <v>885</v>
      </c>
      <c r="J85" s="85" t="s">
        <v>730</v>
      </c>
      <c r="K85" s="82" t="s">
        <v>886</v>
      </c>
      <c r="L85" s="4"/>
      <c r="M85" s="85" t="s">
        <v>889</v>
      </c>
      <c r="N85" s="82" t="s">
        <v>887</v>
      </c>
      <c r="O85" s="4"/>
      <c r="P85" s="4"/>
      <c r="Q85" s="5">
        <v>49440</v>
      </c>
      <c r="R85" s="36"/>
      <c r="S85" s="36"/>
      <c r="T85" s="37"/>
      <c r="U85" s="5">
        <f t="shared" ref="U85:U92" si="43">S85+R85+Q85-T85</f>
        <v>49440</v>
      </c>
      <c r="V85" s="5">
        <f t="shared" ref="V85:V92" si="44">F85*U85</f>
        <v>1591968.0000000002</v>
      </c>
      <c r="W85" s="5">
        <f>V85*18%</f>
        <v>286554.24000000005</v>
      </c>
      <c r="X85" s="5"/>
      <c r="Y85" s="5"/>
      <c r="Z85" s="98"/>
      <c r="AA85" s="23">
        <f t="shared" ref="AA85:AA92" si="45">F85*Z85</f>
        <v>0</v>
      </c>
      <c r="AB85" s="97">
        <f t="shared" ref="AB85:AB92" si="46">AA85*18%</f>
        <v>0</v>
      </c>
      <c r="AC85" s="43"/>
      <c r="AD85" s="46"/>
      <c r="AE85" s="5">
        <f t="shared" ref="AE85:AE92" si="47">+AB85+AA85+Y85+X85+W85+V85-AC85+AD85</f>
        <v>1878522.2400000002</v>
      </c>
      <c r="AF85" s="47" t="s">
        <v>1128</v>
      </c>
      <c r="AG85" s="44" t="s">
        <v>954</v>
      </c>
      <c r="AH85" s="13">
        <v>32.200000000000003</v>
      </c>
      <c r="AI85" s="12"/>
      <c r="AJ85" s="40"/>
      <c r="AK85" s="40"/>
    </row>
    <row r="86" spans="2:37" s="41" customFormat="1" ht="16.149999999999999" customHeight="1">
      <c r="B86" s="70" t="s">
        <v>767</v>
      </c>
      <c r="C86" s="82" t="s">
        <v>884</v>
      </c>
      <c r="D86" s="4"/>
      <c r="E86" s="86" t="s">
        <v>392</v>
      </c>
      <c r="F86" s="13">
        <v>32.11</v>
      </c>
      <c r="G86" s="14">
        <f t="shared" si="42"/>
        <v>32110</v>
      </c>
      <c r="H86" s="49">
        <v>15</v>
      </c>
      <c r="I86" s="83" t="s">
        <v>885</v>
      </c>
      <c r="J86" s="85" t="s">
        <v>730</v>
      </c>
      <c r="K86" s="82" t="s">
        <v>898</v>
      </c>
      <c r="L86" s="4"/>
      <c r="M86" s="85" t="s">
        <v>899</v>
      </c>
      <c r="N86" s="82" t="s">
        <v>53</v>
      </c>
      <c r="O86" s="4"/>
      <c r="P86" s="4"/>
      <c r="Q86" s="5">
        <v>49440</v>
      </c>
      <c r="R86" s="36"/>
      <c r="S86" s="36"/>
      <c r="T86" s="37"/>
      <c r="U86" s="5">
        <f t="shared" si="43"/>
        <v>49440</v>
      </c>
      <c r="V86" s="5">
        <f t="shared" si="44"/>
        <v>1587518.4</v>
      </c>
      <c r="W86" s="5">
        <f>V86*18%</f>
        <v>285753.31199999998</v>
      </c>
      <c r="X86" s="5"/>
      <c r="Y86" s="5"/>
      <c r="Z86" s="98"/>
      <c r="AA86" s="23">
        <f t="shared" si="45"/>
        <v>0</v>
      </c>
      <c r="AB86" s="97">
        <f t="shared" si="46"/>
        <v>0</v>
      </c>
      <c r="AC86" s="43"/>
      <c r="AD86" s="46"/>
      <c r="AE86" s="5">
        <f t="shared" si="47"/>
        <v>1873271.7119999998</v>
      </c>
      <c r="AF86" s="47" t="s">
        <v>1129</v>
      </c>
      <c r="AG86" s="44" t="s">
        <v>954</v>
      </c>
      <c r="AH86" s="13">
        <v>32.11</v>
      </c>
      <c r="AI86" s="12"/>
      <c r="AJ86" s="40"/>
      <c r="AK86" s="40"/>
    </row>
    <row r="87" spans="2:37" s="41" customFormat="1" ht="16.149999999999999" customHeight="1">
      <c r="B87" s="83" t="s">
        <v>883</v>
      </c>
      <c r="C87" s="70"/>
      <c r="D87" s="4"/>
      <c r="E87" s="86" t="s">
        <v>392</v>
      </c>
      <c r="F87" s="13">
        <v>34.32</v>
      </c>
      <c r="G87" s="14">
        <f t="shared" si="42"/>
        <v>34320</v>
      </c>
      <c r="H87" s="49">
        <v>16</v>
      </c>
      <c r="I87" s="83" t="s">
        <v>885</v>
      </c>
      <c r="J87" s="85" t="s">
        <v>730</v>
      </c>
      <c r="K87" s="82" t="s">
        <v>900</v>
      </c>
      <c r="L87" s="4"/>
      <c r="M87" s="85" t="s">
        <v>899</v>
      </c>
      <c r="N87" s="82" t="s">
        <v>41</v>
      </c>
      <c r="O87" s="4"/>
      <c r="P87" s="4"/>
      <c r="Q87" s="5">
        <v>49440</v>
      </c>
      <c r="R87" s="36"/>
      <c r="S87" s="36"/>
      <c r="T87" s="37"/>
      <c r="U87" s="5">
        <f t="shared" si="43"/>
        <v>49440</v>
      </c>
      <c r="V87" s="5">
        <f t="shared" si="44"/>
        <v>1696780.8</v>
      </c>
      <c r="W87" s="5">
        <f t="shared" ref="W87:W92" si="48">V87*18%</f>
        <v>305420.54399999999</v>
      </c>
      <c r="X87" s="5"/>
      <c r="Y87" s="5"/>
      <c r="Z87" s="98"/>
      <c r="AA87" s="23">
        <f t="shared" si="45"/>
        <v>0</v>
      </c>
      <c r="AB87" s="97">
        <f t="shared" si="46"/>
        <v>0</v>
      </c>
      <c r="AC87" s="43"/>
      <c r="AD87" s="46"/>
      <c r="AE87" s="5">
        <f t="shared" si="47"/>
        <v>2002201.344</v>
      </c>
      <c r="AF87" s="47" t="s">
        <v>1130</v>
      </c>
      <c r="AG87" s="44" t="s">
        <v>954</v>
      </c>
      <c r="AH87" s="13">
        <v>34.32</v>
      </c>
      <c r="AI87" s="12"/>
      <c r="AJ87" s="40"/>
      <c r="AK87" s="40"/>
    </row>
    <row r="88" spans="2:37" s="41" customFormat="1" ht="16.149999999999999" customHeight="1">
      <c r="B88" s="83"/>
      <c r="C88" s="1"/>
      <c r="D88" s="4"/>
      <c r="E88" s="86" t="s">
        <v>392</v>
      </c>
      <c r="F88" s="13">
        <v>14.92</v>
      </c>
      <c r="G88" s="14">
        <f t="shared" si="42"/>
        <v>14920</v>
      </c>
      <c r="H88" s="49">
        <v>7</v>
      </c>
      <c r="I88" s="83" t="s">
        <v>885</v>
      </c>
      <c r="J88" s="85" t="s">
        <v>730</v>
      </c>
      <c r="K88" s="82" t="s">
        <v>901</v>
      </c>
      <c r="L88" s="4"/>
      <c r="M88" s="85" t="s">
        <v>899</v>
      </c>
      <c r="N88" s="82" t="s">
        <v>902</v>
      </c>
      <c r="O88" s="4"/>
      <c r="P88" s="4"/>
      <c r="Q88" s="5">
        <v>49440</v>
      </c>
      <c r="R88" s="36"/>
      <c r="S88" s="36"/>
      <c r="T88" s="37"/>
      <c r="U88" s="5">
        <f t="shared" si="43"/>
        <v>49440</v>
      </c>
      <c r="V88" s="5">
        <f t="shared" si="44"/>
        <v>737644.8</v>
      </c>
      <c r="W88" s="5">
        <f t="shared" si="48"/>
        <v>132776.06400000001</v>
      </c>
      <c r="X88" s="5"/>
      <c r="Y88" s="5"/>
      <c r="Z88" s="98"/>
      <c r="AA88" s="23">
        <f t="shared" si="45"/>
        <v>0</v>
      </c>
      <c r="AB88" s="97">
        <f t="shared" si="46"/>
        <v>0</v>
      </c>
      <c r="AC88" s="43"/>
      <c r="AD88" s="46"/>
      <c r="AE88" s="5">
        <f t="shared" si="47"/>
        <v>870420.86400000006</v>
      </c>
      <c r="AF88" s="47" t="s">
        <v>1131</v>
      </c>
      <c r="AG88" s="44" t="s">
        <v>954</v>
      </c>
      <c r="AH88" s="13">
        <v>14.92</v>
      </c>
      <c r="AI88" s="12"/>
      <c r="AJ88" s="40"/>
      <c r="AK88" s="40"/>
    </row>
    <row r="89" spans="2:37" s="41" customFormat="1" ht="16.149999999999999" customHeight="1">
      <c r="B89" s="12"/>
      <c r="C89" s="1"/>
      <c r="D89" s="4"/>
      <c r="E89" s="86" t="s">
        <v>392</v>
      </c>
      <c r="F89" s="13">
        <v>32.090000000000003</v>
      </c>
      <c r="G89" s="14">
        <f t="shared" si="42"/>
        <v>32090.000000000004</v>
      </c>
      <c r="H89" s="49">
        <v>15</v>
      </c>
      <c r="I89" s="83" t="s">
        <v>885</v>
      </c>
      <c r="J89" s="85" t="s">
        <v>730</v>
      </c>
      <c r="K89" s="82" t="s">
        <v>904</v>
      </c>
      <c r="L89" s="4"/>
      <c r="M89" s="85" t="s">
        <v>899</v>
      </c>
      <c r="N89" s="82" t="s">
        <v>54</v>
      </c>
      <c r="O89" s="4"/>
      <c r="P89" s="4"/>
      <c r="Q89" s="5">
        <v>49440</v>
      </c>
      <c r="R89" s="36"/>
      <c r="S89" s="36"/>
      <c r="T89" s="37"/>
      <c r="U89" s="5">
        <f t="shared" si="43"/>
        <v>49440</v>
      </c>
      <c r="V89" s="5">
        <f t="shared" si="44"/>
        <v>1586529.6</v>
      </c>
      <c r="W89" s="5">
        <f t="shared" si="48"/>
        <v>285575.32799999998</v>
      </c>
      <c r="X89" s="5"/>
      <c r="Y89" s="5"/>
      <c r="Z89" s="98"/>
      <c r="AA89" s="23">
        <f t="shared" si="45"/>
        <v>0</v>
      </c>
      <c r="AB89" s="97">
        <f t="shared" si="46"/>
        <v>0</v>
      </c>
      <c r="AC89" s="43"/>
      <c r="AD89" s="46"/>
      <c r="AE89" s="5">
        <f t="shared" si="47"/>
        <v>1872104.9280000001</v>
      </c>
      <c r="AF89" s="47" t="s">
        <v>1132</v>
      </c>
      <c r="AG89" s="44" t="s">
        <v>954</v>
      </c>
      <c r="AH89" s="13">
        <v>32.090000000000003</v>
      </c>
      <c r="AI89" s="12"/>
      <c r="AJ89" s="40"/>
      <c r="AK89" s="40"/>
    </row>
    <row r="90" spans="2:37" s="41" customFormat="1" ht="16.149999999999999" customHeight="1">
      <c r="B90" s="12"/>
      <c r="C90" s="1"/>
      <c r="D90" s="4"/>
      <c r="E90" s="86" t="s">
        <v>392</v>
      </c>
      <c r="F90" s="13">
        <v>34.29</v>
      </c>
      <c r="G90" s="14">
        <f t="shared" si="42"/>
        <v>34290</v>
      </c>
      <c r="H90" s="49">
        <v>16</v>
      </c>
      <c r="I90" s="83" t="s">
        <v>885</v>
      </c>
      <c r="J90" s="85" t="s">
        <v>730</v>
      </c>
      <c r="K90" s="82" t="s">
        <v>905</v>
      </c>
      <c r="L90" s="4"/>
      <c r="M90" s="85" t="s">
        <v>899</v>
      </c>
      <c r="N90" s="82" t="s">
        <v>326</v>
      </c>
      <c r="O90" s="4"/>
      <c r="P90" s="4"/>
      <c r="Q90" s="5">
        <v>49440</v>
      </c>
      <c r="R90" s="36"/>
      <c r="S90" s="36"/>
      <c r="T90" s="37"/>
      <c r="U90" s="5">
        <f t="shared" si="43"/>
        <v>49440</v>
      </c>
      <c r="V90" s="5">
        <f t="shared" si="44"/>
        <v>1695297.5999999999</v>
      </c>
      <c r="W90" s="5">
        <f t="shared" si="48"/>
        <v>305153.56799999997</v>
      </c>
      <c r="X90" s="5"/>
      <c r="Y90" s="5"/>
      <c r="Z90" s="98"/>
      <c r="AA90" s="23">
        <f t="shared" si="45"/>
        <v>0</v>
      </c>
      <c r="AB90" s="97">
        <f t="shared" si="46"/>
        <v>0</v>
      </c>
      <c r="AC90" s="43"/>
      <c r="AD90" s="46"/>
      <c r="AE90" s="5">
        <f t="shared" si="47"/>
        <v>2000451.1679999998</v>
      </c>
      <c r="AF90" s="47" t="s">
        <v>1133</v>
      </c>
      <c r="AG90" s="44" t="s">
        <v>954</v>
      </c>
      <c r="AH90" s="13">
        <v>34.29</v>
      </c>
      <c r="AI90" s="12"/>
      <c r="AJ90" s="40"/>
      <c r="AK90" s="40"/>
    </row>
    <row r="91" spans="2:37" s="41" customFormat="1" ht="16.149999999999999" customHeight="1">
      <c r="B91" s="12"/>
      <c r="C91" s="1"/>
      <c r="D91" s="4"/>
      <c r="E91" s="86" t="s">
        <v>392</v>
      </c>
      <c r="F91" s="13">
        <v>34.25</v>
      </c>
      <c r="G91" s="14">
        <f t="shared" si="42"/>
        <v>34250</v>
      </c>
      <c r="H91" s="49">
        <v>16</v>
      </c>
      <c r="I91" s="83" t="s">
        <v>885</v>
      </c>
      <c r="J91" s="85" t="s">
        <v>730</v>
      </c>
      <c r="K91" s="82" t="s">
        <v>906</v>
      </c>
      <c r="L91" s="4"/>
      <c r="M91" s="85" t="s">
        <v>899</v>
      </c>
      <c r="N91" s="82" t="s">
        <v>62</v>
      </c>
      <c r="O91" s="4"/>
      <c r="P91" s="4"/>
      <c r="Q91" s="5">
        <v>49440</v>
      </c>
      <c r="R91" s="36"/>
      <c r="S91" s="36"/>
      <c r="T91" s="37"/>
      <c r="U91" s="5">
        <f t="shared" si="43"/>
        <v>49440</v>
      </c>
      <c r="V91" s="5">
        <f t="shared" si="44"/>
        <v>1693320</v>
      </c>
      <c r="W91" s="5">
        <f t="shared" si="48"/>
        <v>304797.59999999998</v>
      </c>
      <c r="X91" s="5"/>
      <c r="Y91" s="5"/>
      <c r="Z91" s="98"/>
      <c r="AA91" s="23">
        <f t="shared" si="45"/>
        <v>0</v>
      </c>
      <c r="AB91" s="97">
        <f t="shared" si="46"/>
        <v>0</v>
      </c>
      <c r="AC91" s="43"/>
      <c r="AD91" s="46"/>
      <c r="AE91" s="5">
        <f t="shared" si="47"/>
        <v>1998117.6</v>
      </c>
      <c r="AF91" s="47" t="s">
        <v>163</v>
      </c>
      <c r="AG91" s="44" t="s">
        <v>954</v>
      </c>
      <c r="AH91" s="13">
        <v>34.25</v>
      </c>
      <c r="AI91" s="12"/>
      <c r="AJ91" s="40"/>
      <c r="AK91" s="40"/>
    </row>
    <row r="92" spans="2:37" s="41" customFormat="1" ht="16.149999999999999" customHeight="1">
      <c r="B92" s="12"/>
      <c r="C92" s="1"/>
      <c r="D92" s="4"/>
      <c r="E92" s="86" t="s">
        <v>392</v>
      </c>
      <c r="F92" s="103">
        <v>33.68</v>
      </c>
      <c r="G92" s="14">
        <f t="shared" si="42"/>
        <v>33680</v>
      </c>
      <c r="H92" s="49">
        <v>16</v>
      </c>
      <c r="I92" s="83" t="s">
        <v>885</v>
      </c>
      <c r="J92" s="85" t="s">
        <v>730</v>
      </c>
      <c r="K92" s="82" t="s">
        <v>909</v>
      </c>
      <c r="L92" s="4"/>
      <c r="M92" s="85" t="s">
        <v>899</v>
      </c>
      <c r="N92" s="82" t="s">
        <v>910</v>
      </c>
      <c r="O92" s="4"/>
      <c r="P92" s="4"/>
      <c r="Q92" s="5">
        <v>49440</v>
      </c>
      <c r="R92" s="36"/>
      <c r="S92" s="36"/>
      <c r="T92" s="37"/>
      <c r="U92" s="5">
        <f t="shared" si="43"/>
        <v>49440</v>
      </c>
      <c r="V92" s="5">
        <f t="shared" si="44"/>
        <v>1665139.2</v>
      </c>
      <c r="W92" s="5">
        <f t="shared" si="48"/>
        <v>299725.05599999998</v>
      </c>
      <c r="X92" s="5"/>
      <c r="Y92" s="5"/>
      <c r="Z92" s="98"/>
      <c r="AA92" s="23">
        <f t="shared" si="45"/>
        <v>0</v>
      </c>
      <c r="AB92" s="97">
        <f t="shared" si="46"/>
        <v>0</v>
      </c>
      <c r="AC92" s="43"/>
      <c r="AD92" s="46"/>
      <c r="AE92" s="5">
        <f t="shared" si="47"/>
        <v>1964864.2560000001</v>
      </c>
      <c r="AF92" s="47" t="s">
        <v>164</v>
      </c>
      <c r="AG92" s="44" t="s">
        <v>954</v>
      </c>
      <c r="AH92" s="103">
        <v>33.68</v>
      </c>
      <c r="AI92" s="12"/>
      <c r="AJ92" s="40"/>
      <c r="AK92" s="40"/>
    </row>
    <row r="93" spans="2:37" s="41" customFormat="1">
      <c r="B93" s="92"/>
      <c r="C93" s="48"/>
      <c r="D93" s="6"/>
      <c r="E93" s="6"/>
      <c r="F93" s="81">
        <f>SUM(F85:F92)</f>
        <v>247.85999999999999</v>
      </c>
      <c r="G93" s="20">
        <f>SUM(G85:G92)</f>
        <v>247860</v>
      </c>
      <c r="H93" s="21">
        <f>SUM(H85:H92)</f>
        <v>116</v>
      </c>
      <c r="I93" s="2"/>
      <c r="J93" s="7"/>
      <c r="K93" s="7"/>
      <c r="L93" s="7"/>
      <c r="M93" s="2"/>
      <c r="N93" s="6"/>
      <c r="O93" s="6"/>
      <c r="P93" s="6"/>
      <c r="Q93" s="19"/>
      <c r="R93" s="9"/>
      <c r="S93" s="9"/>
      <c r="T93" s="10"/>
      <c r="U93" s="8"/>
      <c r="V93" s="21">
        <f>SUM(V85:V92)</f>
        <v>12254198.399999999</v>
      </c>
      <c r="W93" s="21">
        <f>SUM(W85:W92)</f>
        <v>2205755.7119999998</v>
      </c>
      <c r="X93" s="21">
        <f>SUM(X85:X92)</f>
        <v>0</v>
      </c>
      <c r="Y93" s="21">
        <f>SUM(Y85:Y92)</f>
        <v>0</v>
      </c>
      <c r="Z93" s="99"/>
      <c r="AA93" s="21">
        <f>SUM(AA85:AA92)</f>
        <v>0</v>
      </c>
      <c r="AB93" s="21">
        <f>SUM(AB85:AB92)</f>
        <v>0</v>
      </c>
      <c r="AC93" s="21"/>
      <c r="AD93" s="21">
        <f>SUM(AD85:AD92)</f>
        <v>0</v>
      </c>
      <c r="AE93" s="21">
        <f>SUM(AE85:AE92)</f>
        <v>14459954.112</v>
      </c>
      <c r="AF93" s="21"/>
      <c r="AG93" s="42"/>
      <c r="AH93" s="81">
        <f>SUM(AH85:AH92)</f>
        <v>247.85999999999999</v>
      </c>
      <c r="AI93" s="26">
        <f>AH93-F93</f>
        <v>0</v>
      </c>
      <c r="AJ93" s="41">
        <f>AA93/F93</f>
        <v>0</v>
      </c>
      <c r="AK93" s="40"/>
    </row>
    <row r="94" spans="2:37">
      <c r="B94" s="15"/>
      <c r="C94" s="18"/>
      <c r="D94" s="11"/>
      <c r="E94" s="18" t="s">
        <v>16</v>
      </c>
      <c r="F94" s="16">
        <f>SUM(F3:F93)/2</f>
        <v>2724.3699999999994</v>
      </c>
      <c r="G94" s="17">
        <f>SUM(G3:G93)/2</f>
        <v>2724370</v>
      </c>
      <c r="H94" s="17">
        <f>SUM(H3:H93)/2</f>
        <v>1128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17"/>
      <c r="V94" s="17">
        <f>SUM(V3:V93)/2</f>
        <v>139426971</v>
      </c>
      <c r="W94" s="17">
        <f>SUM(W3:W93)/2</f>
        <v>25096854.780000009</v>
      </c>
      <c r="X94" s="17"/>
      <c r="Y94" s="22"/>
      <c r="Z94" s="17"/>
      <c r="AA94" s="17">
        <f>SUM(AA3:AA93)/2</f>
        <v>0</v>
      </c>
      <c r="AB94" s="17"/>
      <c r="AC94" s="22"/>
      <c r="AD94" s="17"/>
      <c r="AE94" s="17">
        <f>SUM(AE3:AE93)/2</f>
        <v>164523825.77999994</v>
      </c>
      <c r="AF94" s="17"/>
      <c r="AG94" s="16"/>
      <c r="AH94" s="17">
        <f>SUM(AH3:AH93)/2</f>
        <v>2724.3699999999994</v>
      </c>
      <c r="AI94" s="26">
        <f>AH94-F94</f>
        <v>0</v>
      </c>
    </row>
    <row r="97" spans="6:6">
      <c r="F97" s="90"/>
    </row>
    <row r="102" spans="6:6">
      <c r="F102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AO128"/>
  <sheetViews>
    <sheetView showZeros="0" zoomScale="85" zoomScaleNormal="85" workbookViewId="0">
      <pane xSplit="14" ySplit="2" topLeftCell="O99" activePane="bottomRight" state="frozen"/>
      <selection pane="topRight" activeCell="O1" sqref="O1"/>
      <selection pane="bottomLeft" activeCell="A3" sqref="A3"/>
      <selection pane="bottomRight" activeCell="F120" sqref="F120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5.710937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9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+F120</f>
        <v>2824.1159999999995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06"/>
    </row>
    <row r="2" spans="2:41" ht="25.5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115" t="s">
        <v>25</v>
      </c>
      <c r="L2" s="116" t="s">
        <v>32</v>
      </c>
      <c r="M2" s="117" t="s">
        <v>6</v>
      </c>
      <c r="N2" s="118" t="s">
        <v>37</v>
      </c>
      <c r="O2" s="119" t="s">
        <v>29</v>
      </c>
      <c r="P2" s="120" t="s">
        <v>30</v>
      </c>
      <c r="Q2" s="121" t="s">
        <v>7</v>
      </c>
      <c r="R2" s="121" t="s">
        <v>8</v>
      </c>
      <c r="S2" s="121" t="s">
        <v>9</v>
      </c>
      <c r="T2" s="121" t="s">
        <v>10</v>
      </c>
      <c r="U2" s="122" t="s">
        <v>11</v>
      </c>
      <c r="V2" s="123" t="s">
        <v>12</v>
      </c>
      <c r="W2" s="123" t="s">
        <v>19</v>
      </c>
      <c r="X2" s="123" t="s">
        <v>17</v>
      </c>
      <c r="Y2" s="123" t="s">
        <v>18</v>
      </c>
      <c r="Z2" s="123" t="s">
        <v>20</v>
      </c>
      <c r="AA2" s="123" t="s">
        <v>21</v>
      </c>
      <c r="AB2" s="124" t="s">
        <v>22</v>
      </c>
      <c r="AC2" s="124" t="s">
        <v>31</v>
      </c>
      <c r="AD2" s="125" t="s">
        <v>33</v>
      </c>
      <c r="AE2" s="123" t="s">
        <v>13</v>
      </c>
      <c r="AF2" s="116" t="s">
        <v>15</v>
      </c>
      <c r="AG2" s="116" t="s">
        <v>34</v>
      </c>
      <c r="AH2" s="116" t="s">
        <v>23</v>
      </c>
      <c r="AI2" s="116" t="s">
        <v>24</v>
      </c>
      <c r="AN2" s="35"/>
      <c r="AO2" s="35"/>
    </row>
    <row r="3" spans="2:41" s="41" customFormat="1" ht="16.149999999999999" customHeight="1">
      <c r="B3" s="104" t="s">
        <v>1177</v>
      </c>
      <c r="C3" s="86" t="s">
        <v>1178</v>
      </c>
      <c r="D3" s="4"/>
      <c r="E3" s="82" t="s">
        <v>1192</v>
      </c>
      <c r="F3" s="103">
        <v>45.8</v>
      </c>
      <c r="G3" s="127">
        <f t="shared" ref="G3:G15" si="0">+F3*1000</f>
        <v>45800</v>
      </c>
      <c r="H3" s="97">
        <v>20</v>
      </c>
      <c r="I3" s="83" t="s">
        <v>1180</v>
      </c>
      <c r="J3" s="85" t="s">
        <v>991</v>
      </c>
      <c r="K3" s="82">
        <v>1541</v>
      </c>
      <c r="L3" s="82"/>
      <c r="M3" s="85" t="s">
        <v>1135</v>
      </c>
      <c r="N3" s="82" t="s">
        <v>1181</v>
      </c>
      <c r="O3" s="4"/>
      <c r="P3" s="4"/>
      <c r="Q3" s="5">
        <v>48250</v>
      </c>
      <c r="R3" s="36"/>
      <c r="S3" s="36"/>
      <c r="T3" s="37"/>
      <c r="U3" s="5">
        <f t="shared" ref="U3:U15" si="1">S3+R3+Q3-T3</f>
        <v>48250</v>
      </c>
      <c r="V3" s="5">
        <f t="shared" ref="V3:V15" si="2">F3*U3</f>
        <v>2209850</v>
      </c>
      <c r="W3" s="5">
        <f>V3*18%</f>
        <v>397773</v>
      </c>
      <c r="X3" s="5"/>
      <c r="Y3" s="5"/>
      <c r="Z3" s="98"/>
      <c r="AA3" s="23">
        <f t="shared" ref="AA3:AA15" si="3">F3*Z3</f>
        <v>0</v>
      </c>
      <c r="AB3" s="97">
        <f t="shared" ref="AB3:AB15" si="4">AA3*18%</f>
        <v>0</v>
      </c>
      <c r="AC3" s="43"/>
      <c r="AD3" s="49"/>
      <c r="AE3" s="5">
        <f t="shared" ref="AE3:AE15" si="5">+AB3+AA3+Y3+X3+W3+V3-AC3+AD3</f>
        <v>2607623</v>
      </c>
      <c r="AF3" s="43">
        <v>303</v>
      </c>
      <c r="AG3" s="43" t="s">
        <v>1391</v>
      </c>
      <c r="AH3" s="13">
        <v>45.8</v>
      </c>
      <c r="AI3" s="12"/>
      <c r="AJ3" s="40"/>
      <c r="AK3" s="40"/>
    </row>
    <row r="4" spans="2:41" s="41" customFormat="1" ht="16.149999999999999" customHeight="1">
      <c r="B4" s="70" t="s">
        <v>767</v>
      </c>
      <c r="C4" s="86">
        <v>713964845</v>
      </c>
      <c r="D4" s="4"/>
      <c r="E4" s="82" t="s">
        <v>1192</v>
      </c>
      <c r="F4" s="103">
        <f>66.41-45.8</f>
        <v>20.61</v>
      </c>
      <c r="G4" s="127">
        <f t="shared" si="0"/>
        <v>20610</v>
      </c>
      <c r="H4" s="97">
        <v>9</v>
      </c>
      <c r="I4" s="83" t="s">
        <v>1180</v>
      </c>
      <c r="J4" s="85" t="s">
        <v>991</v>
      </c>
      <c r="K4" s="82">
        <v>1542</v>
      </c>
      <c r="L4" s="82"/>
      <c r="M4" s="85" t="s">
        <v>1135</v>
      </c>
      <c r="N4" s="82" t="s">
        <v>43</v>
      </c>
      <c r="O4" s="4"/>
      <c r="P4" s="4"/>
      <c r="Q4" s="5">
        <v>48250</v>
      </c>
      <c r="R4" s="36"/>
      <c r="S4" s="36"/>
      <c r="T4" s="37"/>
      <c r="U4" s="5">
        <f t="shared" si="1"/>
        <v>48250</v>
      </c>
      <c r="V4" s="5">
        <f t="shared" si="2"/>
        <v>994432.5</v>
      </c>
      <c r="W4" s="5">
        <f>V4*18%</f>
        <v>178997.85</v>
      </c>
      <c r="X4" s="5"/>
      <c r="Y4" s="5"/>
      <c r="Z4" s="98"/>
      <c r="AA4" s="23">
        <f t="shared" si="3"/>
        <v>0</v>
      </c>
      <c r="AB4" s="97">
        <f t="shared" si="4"/>
        <v>0</v>
      </c>
      <c r="AC4" s="43"/>
      <c r="AD4" s="49"/>
      <c r="AE4" s="5">
        <f t="shared" si="5"/>
        <v>1173430.3500000001</v>
      </c>
      <c r="AF4" s="113">
        <v>304</v>
      </c>
      <c r="AG4" s="43" t="s">
        <v>1391</v>
      </c>
      <c r="AH4" s="13">
        <f>66.41-45.8</f>
        <v>20.61</v>
      </c>
      <c r="AI4" s="12"/>
      <c r="AJ4" s="40"/>
      <c r="AK4" s="40"/>
    </row>
    <row r="5" spans="2:41" s="41" customFormat="1" ht="16.149999999999999" customHeight="1">
      <c r="B5" s="105"/>
      <c r="C5" s="105" t="s">
        <v>1179</v>
      </c>
      <c r="D5" s="4"/>
      <c r="E5" s="82" t="s">
        <v>1192</v>
      </c>
      <c r="F5" s="129">
        <f>38.606-20.61-3.347-1</f>
        <v>13.649000000000003</v>
      </c>
      <c r="G5" s="127">
        <f t="shared" si="0"/>
        <v>13649.000000000002</v>
      </c>
      <c r="H5" s="97">
        <f>9-2</f>
        <v>7</v>
      </c>
      <c r="I5" s="83" t="s">
        <v>1182</v>
      </c>
      <c r="J5" s="85" t="s">
        <v>991</v>
      </c>
      <c r="K5" s="82">
        <v>1542</v>
      </c>
      <c r="L5" s="82"/>
      <c r="M5" s="85" t="s">
        <v>1135</v>
      </c>
      <c r="N5" s="82" t="s">
        <v>43</v>
      </c>
      <c r="O5" s="4"/>
      <c r="P5" s="4"/>
      <c r="Q5" s="5">
        <v>48250</v>
      </c>
      <c r="R5" s="36"/>
      <c r="S5" s="36"/>
      <c r="T5" s="37"/>
      <c r="U5" s="5">
        <f t="shared" si="1"/>
        <v>48250</v>
      </c>
      <c r="V5" s="5">
        <f t="shared" si="2"/>
        <v>658564.25000000012</v>
      </c>
      <c r="W5" s="5">
        <f t="shared" ref="W5:W15" si="6">V5*18%</f>
        <v>118541.56500000002</v>
      </c>
      <c r="X5" s="5"/>
      <c r="Y5" s="5"/>
      <c r="Z5" s="98"/>
      <c r="AA5" s="23">
        <f t="shared" si="3"/>
        <v>0</v>
      </c>
      <c r="AB5" s="97">
        <f t="shared" si="4"/>
        <v>0</v>
      </c>
      <c r="AC5" s="43"/>
      <c r="AD5" s="49"/>
      <c r="AE5" s="5">
        <f t="shared" si="5"/>
        <v>777105.81500000018</v>
      </c>
      <c r="AF5" s="113">
        <v>304</v>
      </c>
      <c r="AG5" s="43" t="s">
        <v>1391</v>
      </c>
      <c r="AH5" s="107">
        <f>38.606-20.61-3.347</f>
        <v>14.649000000000003</v>
      </c>
      <c r="AI5" s="12"/>
      <c r="AJ5" s="40"/>
      <c r="AK5" s="40"/>
    </row>
    <row r="6" spans="2:41" s="41" customFormat="1" ht="16.149999999999999" customHeight="1">
      <c r="B6" s="83"/>
      <c r="C6" s="1"/>
      <c r="D6" s="4"/>
      <c r="E6" s="82" t="s">
        <v>1192</v>
      </c>
      <c r="F6" s="128">
        <v>34.35</v>
      </c>
      <c r="G6" s="127">
        <f t="shared" si="0"/>
        <v>34350</v>
      </c>
      <c r="H6" s="97">
        <v>15</v>
      </c>
      <c r="I6" s="83" t="s">
        <v>1182</v>
      </c>
      <c r="J6" s="85" t="s">
        <v>991</v>
      </c>
      <c r="K6" s="82">
        <v>1543</v>
      </c>
      <c r="L6" s="82"/>
      <c r="M6" s="85" t="s">
        <v>1135</v>
      </c>
      <c r="N6" s="82" t="s">
        <v>1204</v>
      </c>
      <c r="O6" s="4"/>
      <c r="P6" s="4"/>
      <c r="Q6" s="5">
        <v>48250</v>
      </c>
      <c r="R6" s="36"/>
      <c r="S6" s="36"/>
      <c r="T6" s="37"/>
      <c r="U6" s="5">
        <f t="shared" si="1"/>
        <v>48250</v>
      </c>
      <c r="V6" s="5">
        <f t="shared" si="2"/>
        <v>1657387.5</v>
      </c>
      <c r="W6" s="5">
        <f t="shared" si="6"/>
        <v>298329.75</v>
      </c>
      <c r="X6" s="5"/>
      <c r="Y6" s="5"/>
      <c r="Z6" s="98"/>
      <c r="AA6" s="23">
        <f t="shared" si="3"/>
        <v>0</v>
      </c>
      <c r="AB6" s="97">
        <f t="shared" si="4"/>
        <v>0</v>
      </c>
      <c r="AC6" s="43"/>
      <c r="AD6" s="49"/>
      <c r="AE6" s="5">
        <f t="shared" si="5"/>
        <v>1955717.25</v>
      </c>
      <c r="AF6" s="113">
        <v>305</v>
      </c>
      <c r="AG6" s="43" t="s">
        <v>1391</v>
      </c>
      <c r="AH6" s="13">
        <v>34.35</v>
      </c>
      <c r="AI6" s="12"/>
      <c r="AJ6" s="40"/>
      <c r="AK6" s="40"/>
    </row>
    <row r="7" spans="2:41" s="41" customFormat="1" ht="16.149999999999999" customHeight="1">
      <c r="B7" s="83"/>
      <c r="C7" s="1"/>
      <c r="D7" s="4"/>
      <c r="E7" s="82" t="s">
        <v>1192</v>
      </c>
      <c r="F7" s="103">
        <v>31.170999999999999</v>
      </c>
      <c r="G7" s="127">
        <f t="shared" si="0"/>
        <v>31171</v>
      </c>
      <c r="H7" s="97">
        <v>14</v>
      </c>
      <c r="I7" s="83" t="s">
        <v>1184</v>
      </c>
      <c r="J7" s="85" t="s">
        <v>991</v>
      </c>
      <c r="K7" s="82">
        <v>1540</v>
      </c>
      <c r="L7" s="82"/>
      <c r="M7" s="85" t="s">
        <v>1135</v>
      </c>
      <c r="N7" s="82" t="s">
        <v>159</v>
      </c>
      <c r="O7" s="4"/>
      <c r="P7" s="4"/>
      <c r="Q7" s="5">
        <v>48250</v>
      </c>
      <c r="R7" s="36"/>
      <c r="S7" s="36"/>
      <c r="T7" s="37"/>
      <c r="U7" s="5">
        <f t="shared" si="1"/>
        <v>48250</v>
      </c>
      <c r="V7" s="5">
        <f t="shared" si="2"/>
        <v>1504000.75</v>
      </c>
      <c r="W7" s="5">
        <f t="shared" si="6"/>
        <v>270720.13500000001</v>
      </c>
      <c r="X7" s="5"/>
      <c r="Y7" s="5"/>
      <c r="Z7" s="98"/>
      <c r="AA7" s="23">
        <f t="shared" si="3"/>
        <v>0</v>
      </c>
      <c r="AB7" s="97">
        <f t="shared" si="4"/>
        <v>0</v>
      </c>
      <c r="AC7" s="43"/>
      <c r="AD7" s="49"/>
      <c r="AE7" s="5">
        <f t="shared" si="5"/>
        <v>1774720.885</v>
      </c>
      <c r="AF7" s="43">
        <v>302</v>
      </c>
      <c r="AG7" s="43" t="s">
        <v>1391</v>
      </c>
      <c r="AH7" s="13">
        <v>31.170999999999999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82" t="s">
        <v>1192</v>
      </c>
      <c r="F8" s="128">
        <v>43.51</v>
      </c>
      <c r="G8" s="127">
        <f t="shared" si="0"/>
        <v>43510</v>
      </c>
      <c r="H8" s="97">
        <v>19</v>
      </c>
      <c r="I8" s="83" t="s">
        <v>1188</v>
      </c>
      <c r="J8" s="85" t="s">
        <v>991</v>
      </c>
      <c r="K8" s="82">
        <v>1549</v>
      </c>
      <c r="L8" s="82"/>
      <c r="M8" s="85" t="s">
        <v>1135</v>
      </c>
      <c r="N8" s="82" t="s">
        <v>1189</v>
      </c>
      <c r="O8" s="4"/>
      <c r="P8" s="4"/>
      <c r="Q8" s="5">
        <v>48250</v>
      </c>
      <c r="R8" s="36"/>
      <c r="S8" s="36"/>
      <c r="T8" s="37"/>
      <c r="U8" s="5">
        <f t="shared" si="1"/>
        <v>48250</v>
      </c>
      <c r="V8" s="5">
        <f t="shared" si="2"/>
        <v>2099357.5</v>
      </c>
      <c r="W8" s="5">
        <f t="shared" si="6"/>
        <v>377884.35</v>
      </c>
      <c r="X8" s="5"/>
      <c r="Y8" s="5"/>
      <c r="Z8" s="98"/>
      <c r="AA8" s="23">
        <f t="shared" si="3"/>
        <v>0</v>
      </c>
      <c r="AB8" s="97">
        <f t="shared" si="4"/>
        <v>0</v>
      </c>
      <c r="AC8" s="43"/>
      <c r="AD8" s="49"/>
      <c r="AE8" s="5">
        <f t="shared" si="5"/>
        <v>2477241.85</v>
      </c>
      <c r="AF8" s="43">
        <v>311</v>
      </c>
      <c r="AG8" s="43" t="s">
        <v>1391</v>
      </c>
      <c r="AH8" s="13">
        <v>43.51</v>
      </c>
      <c r="AI8" s="12"/>
      <c r="AJ8" s="40"/>
      <c r="AK8" s="40"/>
    </row>
    <row r="9" spans="2:41" s="41" customFormat="1" ht="16.149999999999999" customHeight="1">
      <c r="B9" s="83"/>
      <c r="C9" s="1"/>
      <c r="D9" s="4"/>
      <c r="E9" s="82" t="s">
        <v>1192</v>
      </c>
      <c r="F9" s="128">
        <f>20.61+1.801</f>
        <v>22.410999999999998</v>
      </c>
      <c r="G9" s="127">
        <f t="shared" si="0"/>
        <v>22410.999999999996</v>
      </c>
      <c r="H9" s="97">
        <v>10</v>
      </c>
      <c r="I9" s="83" t="s">
        <v>1188</v>
      </c>
      <c r="J9" s="85" t="s">
        <v>991</v>
      </c>
      <c r="K9" s="82">
        <v>1545</v>
      </c>
      <c r="L9" s="82"/>
      <c r="M9" s="85" t="s">
        <v>1135</v>
      </c>
      <c r="N9" s="82" t="s">
        <v>56</v>
      </c>
      <c r="O9" s="4"/>
      <c r="P9" s="4"/>
      <c r="Q9" s="5">
        <v>48250</v>
      </c>
      <c r="R9" s="36"/>
      <c r="S9" s="36"/>
      <c r="T9" s="37"/>
      <c r="U9" s="5">
        <f t="shared" si="1"/>
        <v>48250</v>
      </c>
      <c r="V9" s="5">
        <f t="shared" si="2"/>
        <v>1081330.75</v>
      </c>
      <c r="W9" s="5">
        <f t="shared" si="6"/>
        <v>194639.535</v>
      </c>
      <c r="X9" s="5"/>
      <c r="Y9" s="5"/>
      <c r="Z9" s="98"/>
      <c r="AA9" s="23">
        <f t="shared" si="3"/>
        <v>0</v>
      </c>
      <c r="AB9" s="97">
        <f t="shared" si="4"/>
        <v>0</v>
      </c>
      <c r="AC9" s="43"/>
      <c r="AD9" s="49"/>
      <c r="AE9" s="5">
        <f t="shared" si="5"/>
        <v>1275970.2849999999</v>
      </c>
      <c r="AF9" s="113">
        <v>307</v>
      </c>
      <c r="AG9" s="43" t="s">
        <v>1391</v>
      </c>
      <c r="AH9" s="13">
        <f>20.61+1.801</f>
        <v>22.410999999999998</v>
      </c>
      <c r="AI9" s="12"/>
      <c r="AJ9" s="40"/>
      <c r="AK9" s="40"/>
    </row>
    <row r="10" spans="2:41" s="41" customFormat="1" ht="16.149999999999999" customHeight="1">
      <c r="B10" s="83"/>
      <c r="C10" s="1"/>
      <c r="D10" s="4"/>
      <c r="E10" s="82" t="s">
        <v>1192</v>
      </c>
      <c r="F10" s="103">
        <v>20.61</v>
      </c>
      <c r="G10" s="127">
        <f t="shared" si="0"/>
        <v>20610</v>
      </c>
      <c r="H10" s="97">
        <v>9</v>
      </c>
      <c r="I10" s="83" t="s">
        <v>1190</v>
      </c>
      <c r="J10" s="85" t="s">
        <v>991</v>
      </c>
      <c r="K10" s="82">
        <v>1545</v>
      </c>
      <c r="L10" s="82"/>
      <c r="M10" s="85" t="s">
        <v>1135</v>
      </c>
      <c r="N10" s="82" t="s">
        <v>56</v>
      </c>
      <c r="O10" s="4"/>
      <c r="P10" s="4"/>
      <c r="Q10" s="5">
        <v>48250</v>
      </c>
      <c r="R10" s="36"/>
      <c r="S10" s="36"/>
      <c r="T10" s="37"/>
      <c r="U10" s="5">
        <f t="shared" si="1"/>
        <v>48250</v>
      </c>
      <c r="V10" s="5">
        <f t="shared" si="2"/>
        <v>994432.5</v>
      </c>
      <c r="W10" s="5">
        <f t="shared" si="6"/>
        <v>178997.85</v>
      </c>
      <c r="X10" s="5"/>
      <c r="Y10" s="5"/>
      <c r="Z10" s="98"/>
      <c r="AA10" s="23">
        <f t="shared" si="3"/>
        <v>0</v>
      </c>
      <c r="AB10" s="97">
        <f t="shared" si="4"/>
        <v>0</v>
      </c>
      <c r="AC10" s="43"/>
      <c r="AD10" s="49"/>
      <c r="AE10" s="5">
        <f t="shared" si="5"/>
        <v>1173430.3500000001</v>
      </c>
      <c r="AF10" s="113">
        <v>307</v>
      </c>
      <c r="AG10" s="43" t="s">
        <v>1391</v>
      </c>
      <c r="AH10" s="13">
        <v>20.61</v>
      </c>
      <c r="AI10" s="12"/>
      <c r="AJ10" s="40"/>
      <c r="AK10" s="40"/>
    </row>
    <row r="11" spans="2:41" s="41" customFormat="1" ht="16.149999999999999" customHeight="1">
      <c r="B11" s="83"/>
      <c r="C11" s="1"/>
      <c r="D11" s="4"/>
      <c r="E11" s="82" t="s">
        <v>1192</v>
      </c>
      <c r="F11" s="103">
        <v>34.372999999999998</v>
      </c>
      <c r="G11" s="127">
        <f t="shared" si="0"/>
        <v>34373</v>
      </c>
      <c r="H11" s="97">
        <v>15</v>
      </c>
      <c r="I11" s="83" t="s">
        <v>1201</v>
      </c>
      <c r="J11" s="85" t="s">
        <v>991</v>
      </c>
      <c r="K11" s="82">
        <v>1539</v>
      </c>
      <c r="L11" s="82"/>
      <c r="M11" s="85" t="s">
        <v>1144</v>
      </c>
      <c r="N11" s="82" t="s">
        <v>42</v>
      </c>
      <c r="O11" s="4"/>
      <c r="P11" s="4"/>
      <c r="Q11" s="5">
        <v>48250</v>
      </c>
      <c r="R11" s="36"/>
      <c r="S11" s="36"/>
      <c r="T11" s="37"/>
      <c r="U11" s="5">
        <f t="shared" ref="U11" si="7">S11+R11+Q11-T11</f>
        <v>48250</v>
      </c>
      <c r="V11" s="5">
        <f t="shared" ref="V11" si="8">F11*U11</f>
        <v>1658497.2499999998</v>
      </c>
      <c r="W11" s="5">
        <f t="shared" ref="W11" si="9">V11*18%</f>
        <v>298529.50499999995</v>
      </c>
      <c r="X11" s="5"/>
      <c r="Y11" s="5"/>
      <c r="Z11" s="98"/>
      <c r="AA11" s="23">
        <f t="shared" ref="AA11" si="10">F11*Z11</f>
        <v>0</v>
      </c>
      <c r="AB11" s="97">
        <f t="shared" ref="AB11" si="11">AA11*18%</f>
        <v>0</v>
      </c>
      <c r="AC11" s="43"/>
      <c r="AD11" s="49"/>
      <c r="AE11" s="5">
        <f t="shared" ref="AE11" si="12">+AB11+AA11+Y11+X11+W11+V11-AC11+AD11</f>
        <v>1957026.7549999997</v>
      </c>
      <c r="AF11" s="43">
        <v>301</v>
      </c>
      <c r="AG11" s="43" t="s">
        <v>1391</v>
      </c>
      <c r="AH11" s="13">
        <v>34.372999999999998</v>
      </c>
      <c r="AI11" s="12"/>
      <c r="AJ11" s="40"/>
      <c r="AK11" s="40"/>
    </row>
    <row r="12" spans="2:41" s="41" customFormat="1" ht="16.149999999999999" customHeight="1">
      <c r="B12" s="12"/>
      <c r="C12" s="1"/>
      <c r="D12" s="4"/>
      <c r="E12" s="82" t="s">
        <v>1192</v>
      </c>
      <c r="F12" s="103">
        <v>32.06</v>
      </c>
      <c r="G12" s="127">
        <f t="shared" si="0"/>
        <v>32060.000000000004</v>
      </c>
      <c r="H12" s="97">
        <v>14</v>
      </c>
      <c r="I12" s="83" t="s">
        <v>1264</v>
      </c>
      <c r="J12" s="85" t="s">
        <v>991</v>
      </c>
      <c r="K12" s="82">
        <v>1629</v>
      </c>
      <c r="L12" s="82"/>
      <c r="M12" s="85" t="s">
        <v>1155</v>
      </c>
      <c r="N12" s="82" t="s">
        <v>1204</v>
      </c>
      <c r="O12" s="4"/>
      <c r="P12" s="4"/>
      <c r="Q12" s="5">
        <v>48250</v>
      </c>
      <c r="R12" s="36"/>
      <c r="S12" s="36"/>
      <c r="T12" s="37"/>
      <c r="U12" s="5">
        <f t="shared" si="1"/>
        <v>48250</v>
      </c>
      <c r="V12" s="5">
        <f t="shared" si="2"/>
        <v>1546895</v>
      </c>
      <c r="W12" s="5">
        <f t="shared" si="6"/>
        <v>278441.09999999998</v>
      </c>
      <c r="X12" s="5"/>
      <c r="Y12" s="5"/>
      <c r="Z12" s="98"/>
      <c r="AA12" s="23">
        <f t="shared" si="3"/>
        <v>0</v>
      </c>
      <c r="AB12" s="97">
        <f t="shared" si="4"/>
        <v>0</v>
      </c>
      <c r="AC12" s="43"/>
      <c r="AD12" s="49"/>
      <c r="AE12" s="5">
        <f t="shared" si="5"/>
        <v>1825336.1</v>
      </c>
      <c r="AF12" s="113">
        <v>363</v>
      </c>
      <c r="AG12" s="43" t="s">
        <v>1391</v>
      </c>
      <c r="AH12" s="13">
        <v>32.06</v>
      </c>
      <c r="AI12" s="12"/>
      <c r="AJ12" s="40"/>
      <c r="AK12" s="40"/>
    </row>
    <row r="13" spans="2:41" s="41" customFormat="1" ht="16.149999999999999" customHeight="1">
      <c r="B13" s="12"/>
      <c r="C13" s="1"/>
      <c r="D13" s="4"/>
      <c r="E13" s="82" t="s">
        <v>1192</v>
      </c>
      <c r="F13" s="103">
        <v>34.35</v>
      </c>
      <c r="G13" s="127">
        <f t="shared" si="0"/>
        <v>34350</v>
      </c>
      <c r="H13" s="97">
        <v>15</v>
      </c>
      <c r="I13" s="83" t="s">
        <v>1258</v>
      </c>
      <c r="J13" s="85" t="s">
        <v>991</v>
      </c>
      <c r="K13" s="82">
        <v>1630</v>
      </c>
      <c r="L13" s="82"/>
      <c r="M13" s="85" t="s">
        <v>1155</v>
      </c>
      <c r="N13" s="82" t="s">
        <v>159</v>
      </c>
      <c r="O13" s="4"/>
      <c r="P13" s="4"/>
      <c r="Q13" s="5">
        <v>48250</v>
      </c>
      <c r="R13" s="36"/>
      <c r="S13" s="36"/>
      <c r="T13" s="37"/>
      <c r="U13" s="5">
        <f t="shared" si="1"/>
        <v>48250</v>
      </c>
      <c r="V13" s="5">
        <f t="shared" si="2"/>
        <v>1657387.5</v>
      </c>
      <c r="W13" s="5">
        <f t="shared" si="6"/>
        <v>298329.75</v>
      </c>
      <c r="X13" s="5"/>
      <c r="Y13" s="5"/>
      <c r="Z13" s="98"/>
      <c r="AA13" s="23">
        <f t="shared" si="3"/>
        <v>0</v>
      </c>
      <c r="AB13" s="97">
        <f t="shared" si="4"/>
        <v>0</v>
      </c>
      <c r="AC13" s="43"/>
      <c r="AD13" s="49"/>
      <c r="AE13" s="5">
        <f t="shared" si="5"/>
        <v>1955717.25</v>
      </c>
      <c r="AF13" s="43">
        <v>364</v>
      </c>
      <c r="AG13" s="43" t="s">
        <v>1391</v>
      </c>
      <c r="AH13" s="13">
        <v>34.35</v>
      </c>
      <c r="AI13" s="12"/>
      <c r="AJ13" s="40"/>
      <c r="AK13" s="40"/>
    </row>
    <row r="14" spans="2:41" s="41" customFormat="1" ht="16.149999999999999" customHeight="1">
      <c r="B14" s="12"/>
      <c r="C14" s="1"/>
      <c r="D14" s="4"/>
      <c r="E14" s="82" t="s">
        <v>1192</v>
      </c>
      <c r="F14" s="103">
        <f>31.06+1</f>
        <v>32.06</v>
      </c>
      <c r="G14" s="127">
        <f t="shared" si="0"/>
        <v>32060.000000000004</v>
      </c>
      <c r="H14" s="97">
        <v>14</v>
      </c>
      <c r="I14" s="83" t="s">
        <v>1258</v>
      </c>
      <c r="J14" s="85" t="s">
        <v>991</v>
      </c>
      <c r="K14" s="82">
        <v>1631</v>
      </c>
      <c r="L14" s="82"/>
      <c r="M14" s="85" t="s">
        <v>1155</v>
      </c>
      <c r="N14" s="82" t="s">
        <v>1262</v>
      </c>
      <c r="O14" s="4"/>
      <c r="P14" s="4"/>
      <c r="Q14" s="5">
        <v>48250</v>
      </c>
      <c r="R14" s="36"/>
      <c r="S14" s="36"/>
      <c r="T14" s="37"/>
      <c r="U14" s="5">
        <f t="shared" si="1"/>
        <v>48250</v>
      </c>
      <c r="V14" s="5">
        <f t="shared" si="2"/>
        <v>1546895</v>
      </c>
      <c r="W14" s="5">
        <f t="shared" si="6"/>
        <v>278441.09999999998</v>
      </c>
      <c r="X14" s="5"/>
      <c r="Y14" s="5"/>
      <c r="Z14" s="98"/>
      <c r="AA14" s="23">
        <f t="shared" si="3"/>
        <v>0</v>
      </c>
      <c r="AB14" s="97">
        <f t="shared" si="4"/>
        <v>0</v>
      </c>
      <c r="AC14" s="43"/>
      <c r="AD14" s="49"/>
      <c r="AE14" s="5">
        <f t="shared" si="5"/>
        <v>1825336.1</v>
      </c>
      <c r="AF14" s="43">
        <v>365</v>
      </c>
      <c r="AG14" s="43" t="s">
        <v>1391</v>
      </c>
      <c r="AH14" s="13">
        <v>31.06</v>
      </c>
      <c r="AI14" s="12"/>
      <c r="AJ14" s="40"/>
      <c r="AK14" s="40"/>
    </row>
    <row r="15" spans="2:41" s="41" customFormat="1" ht="16.149999999999999" customHeight="1">
      <c r="B15" s="12"/>
      <c r="C15" s="1"/>
      <c r="D15" s="4"/>
      <c r="E15" s="82" t="s">
        <v>1192</v>
      </c>
      <c r="F15" s="103">
        <v>43.51</v>
      </c>
      <c r="G15" s="127">
        <f t="shared" si="0"/>
        <v>43510</v>
      </c>
      <c r="H15" s="97">
        <v>19</v>
      </c>
      <c r="I15" s="83" t="s">
        <v>1190</v>
      </c>
      <c r="J15" s="85" t="s">
        <v>991</v>
      </c>
      <c r="K15" s="82">
        <v>1598</v>
      </c>
      <c r="L15" s="82"/>
      <c r="M15" s="85" t="s">
        <v>1155</v>
      </c>
      <c r="N15" s="82" t="s">
        <v>56</v>
      </c>
      <c r="O15" s="4"/>
      <c r="P15" s="4"/>
      <c r="Q15" s="5">
        <v>48250</v>
      </c>
      <c r="R15" s="36"/>
      <c r="S15" s="36"/>
      <c r="T15" s="37"/>
      <c r="U15" s="5">
        <f t="shared" si="1"/>
        <v>48250</v>
      </c>
      <c r="V15" s="5">
        <f t="shared" si="2"/>
        <v>2099357.5</v>
      </c>
      <c r="W15" s="5">
        <f t="shared" si="6"/>
        <v>377884.35</v>
      </c>
      <c r="X15" s="5"/>
      <c r="Y15" s="5"/>
      <c r="Z15" s="98"/>
      <c r="AA15" s="23">
        <f t="shared" si="3"/>
        <v>0</v>
      </c>
      <c r="AB15" s="97">
        <f t="shared" si="4"/>
        <v>0</v>
      </c>
      <c r="AC15" s="43"/>
      <c r="AD15" s="49"/>
      <c r="AE15" s="5">
        <f t="shared" si="5"/>
        <v>2477241.85</v>
      </c>
      <c r="AF15" s="43">
        <v>340</v>
      </c>
      <c r="AG15" s="43" t="s">
        <v>1391</v>
      </c>
      <c r="AH15" s="13">
        <v>43.51</v>
      </c>
      <c r="AI15" s="12"/>
      <c r="AJ15" s="40"/>
      <c r="AK15" s="40"/>
    </row>
    <row r="16" spans="2:41" s="41" customFormat="1">
      <c r="B16" s="109">
        <v>408.464</v>
      </c>
      <c r="C16" s="19"/>
      <c r="D16" s="6"/>
      <c r="E16" s="6"/>
      <c r="F16" s="81">
        <f>SUM(F3:F15)</f>
        <v>408.464</v>
      </c>
      <c r="G16" s="20">
        <f>SUM(G3:G15)</f>
        <v>408464</v>
      </c>
      <c r="H16" s="21">
        <f>SUM(H3:H15)</f>
        <v>180</v>
      </c>
      <c r="I16" s="2"/>
      <c r="J16" s="7"/>
      <c r="K16" s="7"/>
      <c r="L16" s="7"/>
      <c r="M16" s="2"/>
      <c r="N16" s="6"/>
      <c r="O16" s="6"/>
      <c r="P16" s="6"/>
      <c r="Q16" s="19"/>
      <c r="R16" s="9"/>
      <c r="S16" s="9"/>
      <c r="T16" s="10"/>
      <c r="U16" s="8"/>
      <c r="V16" s="21">
        <f>SUM(V3:V15)</f>
        <v>19708388</v>
      </c>
      <c r="W16" s="21">
        <f>SUM(W3:W15)</f>
        <v>3547509.8400000003</v>
      </c>
      <c r="X16" s="21">
        <f>SUM(X3:X15)</f>
        <v>0</v>
      </c>
      <c r="Y16" s="21">
        <f>SUM(Y3:Y15)</f>
        <v>0</v>
      </c>
      <c r="Z16" s="99"/>
      <c r="AA16" s="21">
        <f>SUM(AA3:AA15)</f>
        <v>0</v>
      </c>
      <c r="AB16" s="21">
        <f>SUM(AB3:AB15)</f>
        <v>0</v>
      </c>
      <c r="AC16" s="21"/>
      <c r="AD16" s="21">
        <f>SUM(AD3:AD15)</f>
        <v>0</v>
      </c>
      <c r="AE16" s="21">
        <f>SUM(AE3:AE15)</f>
        <v>23255897.840000004</v>
      </c>
      <c r="AF16" s="114"/>
      <c r="AG16" s="50"/>
      <c r="AH16" s="81">
        <f>SUM(AH3:AH15)</f>
        <v>408.464</v>
      </c>
      <c r="AI16" s="26">
        <f>AH16-F16</f>
        <v>0</v>
      </c>
      <c r="AJ16" s="41">
        <f>AA16/F16</f>
        <v>0</v>
      </c>
      <c r="AK16" s="40"/>
    </row>
    <row r="17" spans="2:37" s="41" customFormat="1" ht="16.149999999999999" customHeight="1">
      <c r="B17" s="104" t="s">
        <v>1177</v>
      </c>
      <c r="C17" s="86" t="s">
        <v>1178</v>
      </c>
      <c r="D17" s="4"/>
      <c r="E17" s="86" t="s">
        <v>558</v>
      </c>
      <c r="F17" s="128">
        <f>11.45+4.347</f>
        <v>15.797000000000001</v>
      </c>
      <c r="G17" s="127">
        <f t="shared" ref="G17:G29" si="13">+F17*1000</f>
        <v>15797</v>
      </c>
      <c r="H17" s="97">
        <v>5</v>
      </c>
      <c r="I17" s="83" t="s">
        <v>1183</v>
      </c>
      <c r="J17" s="85" t="s">
        <v>991</v>
      </c>
      <c r="K17" s="82">
        <v>1543</v>
      </c>
      <c r="L17" s="82"/>
      <c r="M17" s="85" t="s">
        <v>1135</v>
      </c>
      <c r="N17" s="82" t="s">
        <v>1204</v>
      </c>
      <c r="O17" s="4"/>
      <c r="P17" s="4"/>
      <c r="Q17" s="5">
        <v>47500</v>
      </c>
      <c r="R17" s="36"/>
      <c r="S17" s="36"/>
      <c r="T17" s="37"/>
      <c r="U17" s="5">
        <f t="shared" ref="U17:U29" si="14">S17+R17+Q17-T17</f>
        <v>47500</v>
      </c>
      <c r="V17" s="5">
        <f t="shared" ref="V17:V29" si="15">F17*U17</f>
        <v>750357.5</v>
      </c>
      <c r="W17" s="5">
        <f>V17*18%</f>
        <v>135064.35</v>
      </c>
      <c r="X17" s="5"/>
      <c r="Y17" s="5"/>
      <c r="Z17" s="98"/>
      <c r="AA17" s="23">
        <f t="shared" ref="AA17:AA29" si="16">F17*Z17</f>
        <v>0</v>
      </c>
      <c r="AB17" s="97">
        <f t="shared" ref="AB17:AB29" si="17">AA17*18%</f>
        <v>0</v>
      </c>
      <c r="AC17" s="43"/>
      <c r="AD17" s="49"/>
      <c r="AE17" s="5">
        <f t="shared" ref="AE17:AE29" si="18">+AB17+AA17+Y17+X17+W17+V17-AC17+AD17</f>
        <v>885421.85</v>
      </c>
      <c r="AF17" s="113">
        <v>305</v>
      </c>
      <c r="AG17" s="43" t="s">
        <v>1391</v>
      </c>
      <c r="AH17" s="13">
        <v>11.45</v>
      </c>
      <c r="AI17" s="12"/>
      <c r="AJ17" s="40"/>
      <c r="AK17" s="40"/>
    </row>
    <row r="18" spans="2:37" s="41" customFormat="1" ht="16.149999999999999" customHeight="1">
      <c r="B18" s="70" t="s">
        <v>767</v>
      </c>
      <c r="C18" s="86">
        <v>713964845</v>
      </c>
      <c r="D18" s="4"/>
      <c r="E18" s="86" t="s">
        <v>558</v>
      </c>
      <c r="F18" s="128">
        <v>34.35</v>
      </c>
      <c r="G18" s="127">
        <f t="shared" si="13"/>
        <v>34350</v>
      </c>
      <c r="H18" s="97">
        <v>15</v>
      </c>
      <c r="I18" s="83" t="s">
        <v>1196</v>
      </c>
      <c r="J18" s="85" t="s">
        <v>991</v>
      </c>
      <c r="K18" s="82">
        <v>1556</v>
      </c>
      <c r="L18" s="82"/>
      <c r="M18" s="85" t="s">
        <v>1144</v>
      </c>
      <c r="N18" s="82" t="s">
        <v>41</v>
      </c>
      <c r="O18" s="4"/>
      <c r="P18" s="4"/>
      <c r="Q18" s="5">
        <v>47500</v>
      </c>
      <c r="R18" s="36"/>
      <c r="S18" s="36"/>
      <c r="T18" s="37"/>
      <c r="U18" s="5">
        <f t="shared" si="14"/>
        <v>47500</v>
      </c>
      <c r="V18" s="5">
        <f t="shared" si="15"/>
        <v>1631625</v>
      </c>
      <c r="W18" s="5">
        <f>V18*18%</f>
        <v>293692.5</v>
      </c>
      <c r="X18" s="5"/>
      <c r="Y18" s="5"/>
      <c r="Z18" s="98"/>
      <c r="AA18" s="23">
        <f t="shared" si="16"/>
        <v>0</v>
      </c>
      <c r="AB18" s="97">
        <f t="shared" si="17"/>
        <v>0</v>
      </c>
      <c r="AC18" s="43"/>
      <c r="AD18" s="49"/>
      <c r="AE18" s="5">
        <f t="shared" si="18"/>
        <v>1925317.5</v>
      </c>
      <c r="AF18" s="43">
        <v>318</v>
      </c>
      <c r="AG18" s="43" t="s">
        <v>1391</v>
      </c>
      <c r="AH18" s="13">
        <v>34.35</v>
      </c>
      <c r="AI18" s="12"/>
      <c r="AJ18" s="40"/>
      <c r="AK18" s="40"/>
    </row>
    <row r="19" spans="2:37" s="41" customFormat="1" ht="16.149999999999999" customHeight="1">
      <c r="B19" s="105"/>
      <c r="C19" s="105"/>
      <c r="D19" s="4"/>
      <c r="E19" s="86" t="s">
        <v>558</v>
      </c>
      <c r="F19" s="128">
        <v>27.48</v>
      </c>
      <c r="G19" s="127">
        <f t="shared" si="13"/>
        <v>27480</v>
      </c>
      <c r="H19" s="97">
        <v>12</v>
      </c>
      <c r="I19" s="83" t="s">
        <v>1202</v>
      </c>
      <c r="J19" s="85" t="s">
        <v>991</v>
      </c>
      <c r="K19" s="82">
        <v>1560</v>
      </c>
      <c r="L19" s="82"/>
      <c r="M19" s="85" t="s">
        <v>1144</v>
      </c>
      <c r="N19" s="82" t="s">
        <v>1393</v>
      </c>
      <c r="O19" s="4"/>
      <c r="P19" s="4"/>
      <c r="Q19" s="5">
        <v>47500</v>
      </c>
      <c r="R19" s="36"/>
      <c r="S19" s="36"/>
      <c r="T19" s="37"/>
      <c r="U19" s="5">
        <f t="shared" si="14"/>
        <v>47500</v>
      </c>
      <c r="V19" s="5">
        <f t="shared" si="15"/>
        <v>1305300</v>
      </c>
      <c r="W19" s="5">
        <f t="shared" ref="W19:W29" si="19">V19*18%</f>
        <v>234954</v>
      </c>
      <c r="X19" s="5"/>
      <c r="Y19" s="5"/>
      <c r="Z19" s="98"/>
      <c r="AA19" s="23">
        <f t="shared" si="16"/>
        <v>0</v>
      </c>
      <c r="AB19" s="97">
        <f t="shared" si="17"/>
        <v>0</v>
      </c>
      <c r="AC19" s="43"/>
      <c r="AD19" s="49"/>
      <c r="AE19" s="5">
        <f t="shared" si="18"/>
        <v>1540254</v>
      </c>
      <c r="AF19" s="43">
        <v>322</v>
      </c>
      <c r="AG19" s="43" t="s">
        <v>1391</v>
      </c>
      <c r="AH19" s="13">
        <v>43.51</v>
      </c>
      <c r="AI19" s="12"/>
      <c r="AJ19" s="40"/>
      <c r="AK19" s="40"/>
    </row>
    <row r="20" spans="2:37" s="41" customFormat="1" ht="16.149999999999999" customHeight="1">
      <c r="B20" s="83"/>
      <c r="C20" s="1"/>
      <c r="D20" s="4"/>
      <c r="E20" s="86" t="s">
        <v>558</v>
      </c>
      <c r="F20" s="128">
        <v>34</v>
      </c>
      <c r="G20" s="127">
        <f t="shared" si="13"/>
        <v>34000</v>
      </c>
      <c r="H20" s="97">
        <v>15</v>
      </c>
      <c r="I20" s="83" t="s">
        <v>1199</v>
      </c>
      <c r="J20" s="85" t="s">
        <v>991</v>
      </c>
      <c r="K20" s="82">
        <v>1544</v>
      </c>
      <c r="L20" s="82"/>
      <c r="M20" s="85" t="s">
        <v>1144</v>
      </c>
      <c r="N20" s="82" t="s">
        <v>1200</v>
      </c>
      <c r="O20" s="4"/>
      <c r="P20" s="4"/>
      <c r="Q20" s="5">
        <v>47500</v>
      </c>
      <c r="R20" s="36"/>
      <c r="S20" s="36"/>
      <c r="T20" s="37"/>
      <c r="U20" s="5">
        <f t="shared" si="14"/>
        <v>47500</v>
      </c>
      <c r="V20" s="5">
        <f t="shared" si="15"/>
        <v>1615000</v>
      </c>
      <c r="W20" s="5">
        <f t="shared" si="19"/>
        <v>290700</v>
      </c>
      <c r="X20" s="5"/>
      <c r="Y20" s="5"/>
      <c r="Z20" s="98"/>
      <c r="AA20" s="23">
        <f t="shared" si="16"/>
        <v>0</v>
      </c>
      <c r="AB20" s="97">
        <f t="shared" si="17"/>
        <v>0</v>
      </c>
      <c r="AC20" s="43"/>
      <c r="AD20" s="49"/>
      <c r="AE20" s="5">
        <f t="shared" si="18"/>
        <v>1905700</v>
      </c>
      <c r="AF20" s="43">
        <v>306</v>
      </c>
      <c r="AG20" s="43" t="s">
        <v>1391</v>
      </c>
      <c r="AH20" s="13">
        <v>34</v>
      </c>
      <c r="AI20" s="12"/>
      <c r="AJ20" s="40"/>
      <c r="AK20" s="40"/>
    </row>
    <row r="21" spans="2:37" s="41" customFormat="1" ht="16.149999999999999" customHeight="1">
      <c r="B21" s="83"/>
      <c r="C21" s="1"/>
      <c r="D21" s="4"/>
      <c r="E21" s="86" t="s">
        <v>558</v>
      </c>
      <c r="F21" s="128">
        <f>41.22</f>
        <v>41.22</v>
      </c>
      <c r="G21" s="127">
        <f t="shared" si="13"/>
        <v>41220</v>
      </c>
      <c r="H21" s="97">
        <v>18</v>
      </c>
      <c r="I21" s="83" t="s">
        <v>1202</v>
      </c>
      <c r="J21" s="85" t="s">
        <v>991</v>
      </c>
      <c r="K21" s="82" t="s">
        <v>1394</v>
      </c>
      <c r="L21" s="82"/>
      <c r="M21" s="85" t="s">
        <v>1144</v>
      </c>
      <c r="N21" s="82" t="s">
        <v>1395</v>
      </c>
      <c r="O21" s="4"/>
      <c r="P21" s="4"/>
      <c r="Q21" s="5">
        <v>47500</v>
      </c>
      <c r="R21" s="36"/>
      <c r="S21" s="36"/>
      <c r="T21" s="37"/>
      <c r="U21" s="5">
        <f t="shared" si="14"/>
        <v>47500</v>
      </c>
      <c r="V21" s="5">
        <f t="shared" si="15"/>
        <v>1957950</v>
      </c>
      <c r="W21" s="5">
        <f t="shared" si="19"/>
        <v>352431</v>
      </c>
      <c r="X21" s="5"/>
      <c r="Y21" s="5"/>
      <c r="Z21" s="98"/>
      <c r="AA21" s="23">
        <f t="shared" si="16"/>
        <v>0</v>
      </c>
      <c r="AB21" s="97">
        <f t="shared" si="17"/>
        <v>0</v>
      </c>
      <c r="AC21" s="43"/>
      <c r="AD21" s="49"/>
      <c r="AE21" s="5">
        <f t="shared" si="18"/>
        <v>2310381</v>
      </c>
      <c r="AF21" s="43">
        <v>321</v>
      </c>
      <c r="AG21" s="43" t="s">
        <v>1391</v>
      </c>
      <c r="AH21" s="13">
        <v>41.22</v>
      </c>
      <c r="AI21" s="12"/>
      <c r="AJ21" s="40"/>
      <c r="AK21" s="40"/>
    </row>
    <row r="22" spans="2:37" s="41" customFormat="1" ht="16.149999999999999" customHeight="1">
      <c r="B22" s="83"/>
      <c r="C22" s="1"/>
      <c r="D22" s="4"/>
      <c r="E22" s="86" t="s">
        <v>558</v>
      </c>
      <c r="F22" s="128">
        <f>33.48-0.402</f>
        <v>33.077999999999996</v>
      </c>
      <c r="G22" s="127">
        <f t="shared" si="13"/>
        <v>33077.999999999993</v>
      </c>
      <c r="H22" s="97">
        <v>15</v>
      </c>
      <c r="I22" s="83" t="s">
        <v>1196</v>
      </c>
      <c r="J22" s="85" t="s">
        <v>991</v>
      </c>
      <c r="K22" s="82">
        <v>1566</v>
      </c>
      <c r="L22" s="82"/>
      <c r="M22" s="85" t="s">
        <v>1144</v>
      </c>
      <c r="N22" s="82" t="s">
        <v>40</v>
      </c>
      <c r="O22" s="4"/>
      <c r="P22" s="4"/>
      <c r="Q22" s="5">
        <v>47500</v>
      </c>
      <c r="R22" s="36"/>
      <c r="S22" s="36"/>
      <c r="T22" s="37"/>
      <c r="U22" s="5">
        <f t="shared" si="14"/>
        <v>47500</v>
      </c>
      <c r="V22" s="5">
        <f t="shared" si="15"/>
        <v>1571204.9999999998</v>
      </c>
      <c r="W22" s="5">
        <f t="shared" si="19"/>
        <v>282816.89999999997</v>
      </c>
      <c r="X22" s="5"/>
      <c r="Y22" s="5"/>
      <c r="Z22" s="98"/>
      <c r="AA22" s="23">
        <f t="shared" si="16"/>
        <v>0</v>
      </c>
      <c r="AB22" s="97">
        <f t="shared" si="17"/>
        <v>0</v>
      </c>
      <c r="AC22" s="43"/>
      <c r="AD22" s="49"/>
      <c r="AE22" s="5">
        <f t="shared" si="18"/>
        <v>1854021.8999999997</v>
      </c>
      <c r="AF22" s="43">
        <v>328</v>
      </c>
      <c r="AG22" s="43" t="s">
        <v>1391</v>
      </c>
      <c r="AH22" s="13">
        <v>33.479999999999997</v>
      </c>
      <c r="AI22" s="12"/>
      <c r="AJ22" s="40"/>
      <c r="AK22" s="40"/>
    </row>
    <row r="23" spans="2:37" s="41" customFormat="1" ht="16.149999999999999" customHeight="1">
      <c r="B23" s="83"/>
      <c r="C23" s="1"/>
      <c r="D23" s="4"/>
      <c r="E23" s="86" t="s">
        <v>558</v>
      </c>
      <c r="F23" s="128">
        <f>61.83-13.6</f>
        <v>48.23</v>
      </c>
      <c r="G23" s="127">
        <f t="shared" si="13"/>
        <v>48230</v>
      </c>
      <c r="H23" s="97">
        <v>27</v>
      </c>
      <c r="I23" s="83" t="s">
        <v>1232</v>
      </c>
      <c r="J23" s="85" t="s">
        <v>991</v>
      </c>
      <c r="K23" s="82">
        <v>1608</v>
      </c>
      <c r="L23" s="82"/>
      <c r="M23" s="85" t="s">
        <v>1144</v>
      </c>
      <c r="N23" s="82" t="s">
        <v>1260</v>
      </c>
      <c r="O23" s="4"/>
      <c r="P23" s="4"/>
      <c r="Q23" s="5">
        <v>47500</v>
      </c>
      <c r="R23" s="36"/>
      <c r="S23" s="36"/>
      <c r="T23" s="37"/>
      <c r="U23" s="5">
        <f t="shared" si="14"/>
        <v>47500</v>
      </c>
      <c r="V23" s="5">
        <f t="shared" si="15"/>
        <v>2290925</v>
      </c>
      <c r="W23" s="5">
        <f t="shared" si="19"/>
        <v>412366.5</v>
      </c>
      <c r="X23" s="5"/>
      <c r="Y23" s="5"/>
      <c r="Z23" s="98"/>
      <c r="AA23" s="23">
        <f t="shared" si="16"/>
        <v>0</v>
      </c>
      <c r="AB23" s="97">
        <f t="shared" si="17"/>
        <v>0</v>
      </c>
      <c r="AC23" s="43"/>
      <c r="AD23" s="49"/>
      <c r="AE23" s="5">
        <f t="shared" si="18"/>
        <v>2703291.5</v>
      </c>
      <c r="AF23" s="43">
        <v>349</v>
      </c>
      <c r="AG23" s="43" t="s">
        <v>1391</v>
      </c>
      <c r="AH23" s="13">
        <v>61.83</v>
      </c>
      <c r="AI23" s="12"/>
      <c r="AJ23" s="40"/>
      <c r="AK23" s="40"/>
    </row>
    <row r="24" spans="2:37" s="41" customFormat="1" ht="16.149999999999999" customHeight="1">
      <c r="B24" s="83"/>
      <c r="C24" s="1"/>
      <c r="D24" s="4"/>
      <c r="E24" s="86" t="s">
        <v>558</v>
      </c>
      <c r="F24" s="103">
        <v>45.8</v>
      </c>
      <c r="G24" s="127">
        <f t="shared" si="13"/>
        <v>45800</v>
      </c>
      <c r="H24" s="97">
        <v>20</v>
      </c>
      <c r="I24" s="83" t="s">
        <v>1259</v>
      </c>
      <c r="J24" s="85" t="s">
        <v>991</v>
      </c>
      <c r="K24" s="82">
        <v>1632</v>
      </c>
      <c r="L24" s="82"/>
      <c r="M24" s="85" t="s">
        <v>1155</v>
      </c>
      <c r="N24" s="82" t="s">
        <v>50</v>
      </c>
      <c r="O24" s="4"/>
      <c r="P24" s="4"/>
      <c r="Q24" s="5">
        <v>47500</v>
      </c>
      <c r="R24" s="36"/>
      <c r="S24" s="36"/>
      <c r="T24" s="37"/>
      <c r="U24" s="5">
        <f t="shared" si="14"/>
        <v>47500</v>
      </c>
      <c r="V24" s="5">
        <f t="shared" si="15"/>
        <v>2175500</v>
      </c>
      <c r="W24" s="5">
        <f t="shared" si="19"/>
        <v>391590</v>
      </c>
      <c r="X24" s="5"/>
      <c r="Y24" s="5"/>
      <c r="Z24" s="98"/>
      <c r="AA24" s="23">
        <f t="shared" si="16"/>
        <v>0</v>
      </c>
      <c r="AB24" s="97">
        <f t="shared" si="17"/>
        <v>0</v>
      </c>
      <c r="AC24" s="43"/>
      <c r="AD24" s="49"/>
      <c r="AE24" s="5">
        <f t="shared" si="18"/>
        <v>2567090</v>
      </c>
      <c r="AF24" s="43">
        <v>366</v>
      </c>
      <c r="AG24" s="43" t="s">
        <v>1391</v>
      </c>
      <c r="AH24" s="13">
        <v>45.8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86" t="s">
        <v>558</v>
      </c>
      <c r="F25" s="103">
        <v>13.74</v>
      </c>
      <c r="G25" s="127">
        <f t="shared" si="13"/>
        <v>13740</v>
      </c>
      <c r="H25" s="97">
        <v>6</v>
      </c>
      <c r="I25" s="83" t="s">
        <v>1263</v>
      </c>
      <c r="J25" s="85" t="s">
        <v>991</v>
      </c>
      <c r="K25" s="82">
        <v>1629</v>
      </c>
      <c r="L25" s="82"/>
      <c r="M25" s="85" t="s">
        <v>1155</v>
      </c>
      <c r="N25" s="82" t="s">
        <v>1204</v>
      </c>
      <c r="O25" s="4"/>
      <c r="P25" s="4"/>
      <c r="Q25" s="5">
        <v>47500</v>
      </c>
      <c r="R25" s="36"/>
      <c r="S25" s="36"/>
      <c r="T25" s="37"/>
      <c r="U25" s="5">
        <f t="shared" si="14"/>
        <v>47500</v>
      </c>
      <c r="V25" s="5">
        <f t="shared" si="15"/>
        <v>652650</v>
      </c>
      <c r="W25" s="5">
        <f t="shared" si="19"/>
        <v>117477</v>
      </c>
      <c r="X25" s="5"/>
      <c r="Y25" s="5"/>
      <c r="Z25" s="98"/>
      <c r="AA25" s="23">
        <f t="shared" si="16"/>
        <v>0</v>
      </c>
      <c r="AB25" s="97">
        <f t="shared" si="17"/>
        <v>0</v>
      </c>
      <c r="AC25" s="43"/>
      <c r="AD25" s="49"/>
      <c r="AE25" s="5">
        <f t="shared" si="18"/>
        <v>770127</v>
      </c>
      <c r="AF25" s="113">
        <v>363</v>
      </c>
      <c r="AG25" s="43" t="s">
        <v>1391</v>
      </c>
      <c r="AH25" s="13">
        <v>13.74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86" t="s">
        <v>558</v>
      </c>
      <c r="F26" s="103">
        <f>1.798+1.909+18.32</f>
        <v>22.027000000000001</v>
      </c>
      <c r="G26" s="127">
        <f t="shared" si="13"/>
        <v>22027</v>
      </c>
      <c r="H26" s="97">
        <v>10</v>
      </c>
      <c r="I26" s="83" t="s">
        <v>1263</v>
      </c>
      <c r="J26" s="85" t="s">
        <v>991</v>
      </c>
      <c r="K26" s="82">
        <v>1628</v>
      </c>
      <c r="L26" s="82"/>
      <c r="M26" s="85" t="s">
        <v>1155</v>
      </c>
      <c r="N26" s="82" t="s">
        <v>1189</v>
      </c>
      <c r="O26" s="4"/>
      <c r="P26" s="4"/>
      <c r="Q26" s="5">
        <v>47500</v>
      </c>
      <c r="R26" s="36"/>
      <c r="S26" s="36"/>
      <c r="T26" s="37"/>
      <c r="U26" s="5">
        <f t="shared" si="14"/>
        <v>47500</v>
      </c>
      <c r="V26" s="5">
        <f t="shared" si="15"/>
        <v>1046282.5</v>
      </c>
      <c r="W26" s="5">
        <f t="shared" si="19"/>
        <v>188330.85</v>
      </c>
      <c r="X26" s="5"/>
      <c r="Y26" s="5"/>
      <c r="Z26" s="98"/>
      <c r="AA26" s="23">
        <f t="shared" si="16"/>
        <v>0</v>
      </c>
      <c r="AB26" s="97">
        <f t="shared" si="17"/>
        <v>0</v>
      </c>
      <c r="AC26" s="43"/>
      <c r="AD26" s="49"/>
      <c r="AE26" s="5">
        <f t="shared" si="18"/>
        <v>1234613.3500000001</v>
      </c>
      <c r="AF26" s="113">
        <v>362</v>
      </c>
      <c r="AG26" s="43" t="s">
        <v>1391</v>
      </c>
      <c r="AH26" s="13">
        <f>1.798+1.909+18.32</f>
        <v>22.027000000000001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86" t="s">
        <v>558</v>
      </c>
      <c r="F27" s="103">
        <f>1.909+20.61</f>
        <v>22.518999999999998</v>
      </c>
      <c r="G27" s="127">
        <f t="shared" si="13"/>
        <v>22519</v>
      </c>
      <c r="H27" s="97">
        <v>10</v>
      </c>
      <c r="I27" s="83" t="s">
        <v>1259</v>
      </c>
      <c r="J27" s="85" t="s">
        <v>991</v>
      </c>
      <c r="K27" s="82">
        <v>1628</v>
      </c>
      <c r="L27" s="82"/>
      <c r="M27" s="85" t="s">
        <v>1155</v>
      </c>
      <c r="N27" s="82" t="s">
        <v>1189</v>
      </c>
      <c r="O27" s="4"/>
      <c r="P27" s="4"/>
      <c r="Q27" s="5">
        <v>47500</v>
      </c>
      <c r="R27" s="36"/>
      <c r="S27" s="36"/>
      <c r="T27" s="37"/>
      <c r="U27" s="5">
        <f t="shared" si="14"/>
        <v>47500</v>
      </c>
      <c r="V27" s="5">
        <f t="shared" si="15"/>
        <v>1069652.5</v>
      </c>
      <c r="W27" s="5">
        <f t="shared" si="19"/>
        <v>192537.44999999998</v>
      </c>
      <c r="X27" s="5"/>
      <c r="Y27" s="5"/>
      <c r="Z27" s="98"/>
      <c r="AA27" s="23">
        <f t="shared" si="16"/>
        <v>0</v>
      </c>
      <c r="AB27" s="97">
        <f t="shared" si="17"/>
        <v>0</v>
      </c>
      <c r="AC27" s="43"/>
      <c r="AD27" s="49"/>
      <c r="AE27" s="5">
        <f t="shared" si="18"/>
        <v>1262189.95</v>
      </c>
      <c r="AF27" s="113">
        <v>362</v>
      </c>
      <c r="AG27" s="43" t="s">
        <v>1391</v>
      </c>
      <c r="AH27" s="13">
        <f>1.909+20.61</f>
        <v>22.518999999999998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86" t="s">
        <v>558</v>
      </c>
      <c r="F28" s="128">
        <f>3.58+2.036+12.978-12.085+25.685</f>
        <v>32.194000000000003</v>
      </c>
      <c r="G28" s="127">
        <f t="shared" si="13"/>
        <v>32194.000000000004</v>
      </c>
      <c r="H28" s="97">
        <f>2+1+6-6</f>
        <v>3</v>
      </c>
      <c r="I28" s="83" t="s">
        <v>1199</v>
      </c>
      <c r="J28" s="85" t="s">
        <v>991</v>
      </c>
      <c r="K28" s="82">
        <v>1605</v>
      </c>
      <c r="L28" s="82"/>
      <c r="M28" s="85" t="s">
        <v>1155</v>
      </c>
      <c r="N28" s="82" t="s">
        <v>1245</v>
      </c>
      <c r="O28" s="4"/>
      <c r="P28" s="4"/>
      <c r="Q28" s="5">
        <v>47500</v>
      </c>
      <c r="R28" s="36"/>
      <c r="S28" s="36"/>
      <c r="T28" s="37"/>
      <c r="U28" s="5">
        <f t="shared" si="14"/>
        <v>47500</v>
      </c>
      <c r="V28" s="5">
        <f t="shared" si="15"/>
        <v>1529215.0000000002</v>
      </c>
      <c r="W28" s="5">
        <f t="shared" si="19"/>
        <v>275258.7</v>
      </c>
      <c r="X28" s="5"/>
      <c r="Y28" s="5"/>
      <c r="Z28" s="98"/>
      <c r="AA28" s="23">
        <f t="shared" si="16"/>
        <v>0</v>
      </c>
      <c r="AB28" s="97">
        <f t="shared" si="17"/>
        <v>0</v>
      </c>
      <c r="AC28" s="43"/>
      <c r="AD28" s="49"/>
      <c r="AE28" s="5">
        <f t="shared" si="18"/>
        <v>1804473.7000000002</v>
      </c>
      <c r="AF28" s="113">
        <v>346</v>
      </c>
      <c r="AG28" s="43" t="s">
        <v>1391</v>
      </c>
      <c r="AH28" s="13">
        <f>3.58+2.036+12.978-12.085</f>
        <v>6.5090000000000003</v>
      </c>
      <c r="AI28" s="12"/>
      <c r="AJ28" s="40"/>
      <c r="AK28" s="40"/>
    </row>
    <row r="29" spans="2:37" s="41" customFormat="1" ht="16.149999999999999" customHeight="1">
      <c r="B29" s="12"/>
      <c r="C29" s="1"/>
      <c r="D29" s="4"/>
      <c r="E29" s="86" t="s">
        <v>558</v>
      </c>
      <c r="F29" s="128">
        <f>13.6+6.87</f>
        <v>20.47</v>
      </c>
      <c r="G29" s="127">
        <f t="shared" si="13"/>
        <v>20470</v>
      </c>
      <c r="H29" s="97">
        <f>6+3</f>
        <v>9</v>
      </c>
      <c r="I29" s="83" t="s">
        <v>1232</v>
      </c>
      <c r="J29" s="85" t="s">
        <v>991</v>
      </c>
      <c r="K29" s="82">
        <v>1605</v>
      </c>
      <c r="L29" s="82"/>
      <c r="M29" s="85" t="s">
        <v>1155</v>
      </c>
      <c r="N29" s="82" t="s">
        <v>1245</v>
      </c>
      <c r="O29" s="4"/>
      <c r="P29" s="4"/>
      <c r="Q29" s="5">
        <v>47500</v>
      </c>
      <c r="R29" s="36"/>
      <c r="S29" s="36"/>
      <c r="T29" s="37"/>
      <c r="U29" s="5">
        <f t="shared" si="14"/>
        <v>47500</v>
      </c>
      <c r="V29" s="5">
        <f t="shared" si="15"/>
        <v>972325</v>
      </c>
      <c r="W29" s="5">
        <f t="shared" si="19"/>
        <v>175018.5</v>
      </c>
      <c r="X29" s="5"/>
      <c r="Y29" s="5"/>
      <c r="Z29" s="98"/>
      <c r="AA29" s="23">
        <f t="shared" si="16"/>
        <v>0</v>
      </c>
      <c r="AB29" s="97">
        <f t="shared" si="17"/>
        <v>0</v>
      </c>
      <c r="AC29" s="43"/>
      <c r="AD29" s="49"/>
      <c r="AE29" s="5">
        <f t="shared" si="18"/>
        <v>1147343.5</v>
      </c>
      <c r="AF29" s="113">
        <v>346</v>
      </c>
      <c r="AG29" s="43" t="s">
        <v>1391</v>
      </c>
      <c r="AH29" s="13">
        <f>13.6+6.87</f>
        <v>20.47</v>
      </c>
      <c r="AI29" s="12"/>
      <c r="AJ29" s="40"/>
      <c r="AK29" s="40"/>
    </row>
    <row r="30" spans="2:37" s="41" customFormat="1">
      <c r="B30" s="109">
        <v>390.90499999999997</v>
      </c>
      <c r="C30" s="19"/>
      <c r="D30" s="6"/>
      <c r="E30" s="6"/>
      <c r="F30" s="81">
        <f>SUM(F17:F29)</f>
        <v>390.90499999999997</v>
      </c>
      <c r="G30" s="20">
        <f>SUM(G17:G29)</f>
        <v>390905</v>
      </c>
      <c r="H30" s="21">
        <f>SUM(H17:H29)</f>
        <v>165</v>
      </c>
      <c r="I30" s="2"/>
      <c r="J30" s="7"/>
      <c r="K30" s="7"/>
      <c r="L30" s="7"/>
      <c r="M30" s="2"/>
      <c r="N30" s="6"/>
      <c r="O30" s="6"/>
      <c r="P30" s="6"/>
      <c r="Q30" s="19"/>
      <c r="R30" s="9"/>
      <c r="S30" s="9"/>
      <c r="T30" s="10"/>
      <c r="U30" s="8"/>
      <c r="V30" s="21">
        <f>SUM(V17:V29)</f>
        <v>18567987.5</v>
      </c>
      <c r="W30" s="21">
        <f>SUM(W17:W29)</f>
        <v>3342237.7500000005</v>
      </c>
      <c r="X30" s="21">
        <f>SUM(X17:X29)</f>
        <v>0</v>
      </c>
      <c r="Y30" s="21">
        <f>SUM(Y17:Y29)</f>
        <v>0</v>
      </c>
      <c r="Z30" s="99"/>
      <c r="AA30" s="21">
        <f>SUM(AA17:AA29)</f>
        <v>0</v>
      </c>
      <c r="AB30" s="21">
        <f>SUM(AB17:AB29)</f>
        <v>0</v>
      </c>
      <c r="AC30" s="21"/>
      <c r="AD30" s="21">
        <f>SUM(AD17:AD29)</f>
        <v>0</v>
      </c>
      <c r="AE30" s="21">
        <f>SUM(AE17:AE29)</f>
        <v>21910225.25</v>
      </c>
      <c r="AF30" s="114"/>
      <c r="AG30" s="50"/>
      <c r="AH30" s="81">
        <f>SUM(AH17:AH29)</f>
        <v>390.90499999999997</v>
      </c>
      <c r="AI30" s="26">
        <f>AH30-F30</f>
        <v>0</v>
      </c>
      <c r="AJ30" s="41">
        <f>AA30/F30</f>
        <v>0</v>
      </c>
      <c r="AK30" s="40"/>
    </row>
    <row r="31" spans="2:37" s="41" customFormat="1" ht="16.149999999999999" customHeight="1">
      <c r="B31" s="104" t="s">
        <v>1177</v>
      </c>
      <c r="C31" s="86" t="s">
        <v>1178</v>
      </c>
      <c r="D31" s="4"/>
      <c r="E31" s="82" t="s">
        <v>1185</v>
      </c>
      <c r="F31" s="103">
        <v>43.415999999999997</v>
      </c>
      <c r="G31" s="127">
        <f t="shared" ref="G31:G66" si="20">+F31*1000</f>
        <v>43416</v>
      </c>
      <c r="H31" s="97">
        <v>24</v>
      </c>
      <c r="I31" s="83" t="s">
        <v>1186</v>
      </c>
      <c r="J31" s="85" t="s">
        <v>991</v>
      </c>
      <c r="K31" s="82">
        <v>1548</v>
      </c>
      <c r="L31" s="82"/>
      <c r="M31" s="85" t="s">
        <v>1135</v>
      </c>
      <c r="N31" s="82" t="s">
        <v>1187</v>
      </c>
      <c r="O31" s="4"/>
      <c r="P31" s="4"/>
      <c r="Q31" s="5">
        <v>46000</v>
      </c>
      <c r="R31" s="36"/>
      <c r="S31" s="36"/>
      <c r="T31" s="37"/>
      <c r="U31" s="5">
        <f t="shared" ref="U31:U67" si="21">S31+R31+Q31-T31</f>
        <v>46000</v>
      </c>
      <c r="V31" s="5">
        <f t="shared" ref="V31:V67" si="22">F31*U31</f>
        <v>1997135.9999999998</v>
      </c>
      <c r="W31" s="5">
        <f>V31*18%</f>
        <v>359484.47999999992</v>
      </c>
      <c r="X31" s="5"/>
      <c r="Y31" s="5"/>
      <c r="Z31" s="98"/>
      <c r="AA31" s="23">
        <f t="shared" ref="AA31:AA67" si="23">F31*Z31</f>
        <v>0</v>
      </c>
      <c r="AB31" s="97">
        <f t="shared" ref="AB31:AB67" si="24">AA31*18%</f>
        <v>0</v>
      </c>
      <c r="AC31" s="43"/>
      <c r="AD31" s="49"/>
      <c r="AE31" s="5">
        <f t="shared" ref="AE31:AE67" si="25">+AB31+AA31+Y31+X31+W31+V31-AC31+AD31</f>
        <v>2356620.4799999995</v>
      </c>
      <c r="AF31" s="43">
        <v>310</v>
      </c>
      <c r="AG31" s="43" t="s">
        <v>1391</v>
      </c>
      <c r="AH31" s="13">
        <v>43.415999999999997</v>
      </c>
      <c r="AI31" s="12"/>
      <c r="AJ31" s="40"/>
      <c r="AK31" s="40"/>
    </row>
    <row r="32" spans="2:37" s="41" customFormat="1" ht="16.149999999999999" customHeight="1">
      <c r="B32" s="70" t="s">
        <v>767</v>
      </c>
      <c r="C32" s="86"/>
      <c r="D32" s="4"/>
      <c r="E32" s="82" t="s">
        <v>1185</v>
      </c>
      <c r="F32" s="103">
        <v>21.713000000000001</v>
      </c>
      <c r="G32" s="127">
        <f t="shared" si="20"/>
        <v>21713</v>
      </c>
      <c r="H32" s="97">
        <v>12</v>
      </c>
      <c r="I32" s="83" t="s">
        <v>1191</v>
      </c>
      <c r="J32" s="85" t="s">
        <v>991</v>
      </c>
      <c r="K32" s="82">
        <v>1547</v>
      </c>
      <c r="L32" s="82"/>
      <c r="M32" s="85" t="s">
        <v>1135</v>
      </c>
      <c r="N32" s="82" t="s">
        <v>50</v>
      </c>
      <c r="O32" s="4"/>
      <c r="P32" s="4"/>
      <c r="Q32" s="5">
        <v>46000</v>
      </c>
      <c r="R32" s="36"/>
      <c r="S32" s="36"/>
      <c r="T32" s="37"/>
      <c r="U32" s="5">
        <f t="shared" si="21"/>
        <v>46000</v>
      </c>
      <c r="V32" s="5">
        <f t="shared" si="22"/>
        <v>998798</v>
      </c>
      <c r="W32" s="5">
        <f>V32*18%</f>
        <v>179783.63999999998</v>
      </c>
      <c r="X32" s="5"/>
      <c r="Y32" s="5"/>
      <c r="Z32" s="98"/>
      <c r="AA32" s="23">
        <f t="shared" si="23"/>
        <v>0</v>
      </c>
      <c r="AB32" s="97">
        <f t="shared" si="24"/>
        <v>0</v>
      </c>
      <c r="AC32" s="43"/>
      <c r="AD32" s="49"/>
      <c r="AE32" s="5">
        <f t="shared" si="25"/>
        <v>1178581.6399999999</v>
      </c>
      <c r="AF32" s="113">
        <v>309</v>
      </c>
      <c r="AG32" s="43" t="s">
        <v>1391</v>
      </c>
      <c r="AH32" s="13">
        <v>21.713000000000001</v>
      </c>
      <c r="AI32" s="12"/>
      <c r="AJ32" s="40"/>
      <c r="AK32" s="40"/>
    </row>
    <row r="33" spans="2:37" s="41" customFormat="1" ht="16.149999999999999" customHeight="1">
      <c r="B33" s="105"/>
      <c r="C33" s="105"/>
      <c r="D33" s="4"/>
      <c r="E33" s="82" t="s">
        <v>1185</v>
      </c>
      <c r="F33" s="103">
        <v>21.707999999999998</v>
      </c>
      <c r="G33" s="127">
        <f t="shared" si="20"/>
        <v>21708</v>
      </c>
      <c r="H33" s="97">
        <v>12</v>
      </c>
      <c r="I33" s="83" t="s">
        <v>1186</v>
      </c>
      <c r="J33" s="85" t="s">
        <v>991</v>
      </c>
      <c r="K33" s="82">
        <v>1547</v>
      </c>
      <c r="L33" s="82"/>
      <c r="M33" s="85" t="s">
        <v>1135</v>
      </c>
      <c r="N33" s="82" t="s">
        <v>50</v>
      </c>
      <c r="O33" s="4"/>
      <c r="P33" s="4"/>
      <c r="Q33" s="5">
        <v>46000</v>
      </c>
      <c r="R33" s="36"/>
      <c r="S33" s="36"/>
      <c r="T33" s="37"/>
      <c r="U33" s="5">
        <f t="shared" si="21"/>
        <v>46000</v>
      </c>
      <c r="V33" s="5">
        <f t="shared" si="22"/>
        <v>998567.99999999988</v>
      </c>
      <c r="W33" s="5">
        <f t="shared" ref="W33:W67" si="26">V33*18%</f>
        <v>179742.23999999996</v>
      </c>
      <c r="X33" s="5"/>
      <c r="Y33" s="5"/>
      <c r="Z33" s="98"/>
      <c r="AA33" s="23">
        <f t="shared" si="23"/>
        <v>0</v>
      </c>
      <c r="AB33" s="97">
        <f t="shared" si="24"/>
        <v>0</v>
      </c>
      <c r="AC33" s="43"/>
      <c r="AD33" s="49"/>
      <c r="AE33" s="5">
        <f t="shared" si="25"/>
        <v>1178310.2399999998</v>
      </c>
      <c r="AF33" s="113">
        <v>309</v>
      </c>
      <c r="AG33" s="43" t="s">
        <v>1391</v>
      </c>
      <c r="AH33" s="13">
        <v>21.707999999999998</v>
      </c>
      <c r="AI33" s="12"/>
      <c r="AJ33" s="40"/>
      <c r="AK33" s="40"/>
    </row>
    <row r="34" spans="2:37" s="41" customFormat="1" ht="16.149999999999999" customHeight="1">
      <c r="B34" s="83"/>
      <c r="C34" s="1"/>
      <c r="D34" s="4"/>
      <c r="E34" s="82" t="s">
        <v>1185</v>
      </c>
      <c r="F34" s="103">
        <v>3.6179999999999999</v>
      </c>
      <c r="G34" s="127">
        <f t="shared" si="20"/>
        <v>3618</v>
      </c>
      <c r="H34" s="97">
        <v>2</v>
      </c>
      <c r="I34" s="83" t="s">
        <v>1203</v>
      </c>
      <c r="J34" s="85" t="s">
        <v>991</v>
      </c>
      <c r="K34" s="82">
        <v>1557</v>
      </c>
      <c r="L34" s="82"/>
      <c r="M34" s="85" t="s">
        <v>1144</v>
      </c>
      <c r="N34" s="82" t="s">
        <v>1205</v>
      </c>
      <c r="O34" s="4"/>
      <c r="P34" s="4"/>
      <c r="Q34" s="5">
        <v>46000</v>
      </c>
      <c r="R34" s="36"/>
      <c r="S34" s="36"/>
      <c r="T34" s="37"/>
      <c r="U34" s="5">
        <f t="shared" si="21"/>
        <v>46000</v>
      </c>
      <c r="V34" s="5">
        <f t="shared" si="22"/>
        <v>166428</v>
      </c>
      <c r="W34" s="5">
        <f t="shared" si="26"/>
        <v>29957.039999999997</v>
      </c>
      <c r="X34" s="5"/>
      <c r="Y34" s="5"/>
      <c r="Z34" s="98"/>
      <c r="AA34" s="23">
        <f t="shared" si="23"/>
        <v>0</v>
      </c>
      <c r="AB34" s="97">
        <f t="shared" si="24"/>
        <v>0</v>
      </c>
      <c r="AC34" s="43"/>
      <c r="AD34" s="49"/>
      <c r="AE34" s="5">
        <f t="shared" si="25"/>
        <v>196385.04</v>
      </c>
      <c r="AF34" s="113">
        <v>319</v>
      </c>
      <c r="AG34" s="43" t="s">
        <v>1391</v>
      </c>
      <c r="AH34" s="13">
        <v>3.6179999999999999</v>
      </c>
      <c r="AI34" s="12"/>
      <c r="AJ34" s="40"/>
      <c r="AK34" s="40"/>
    </row>
    <row r="35" spans="2:37" s="41" customFormat="1" ht="16.149999999999999" customHeight="1">
      <c r="B35" s="83"/>
      <c r="C35" s="1"/>
      <c r="D35" s="4"/>
      <c r="E35" s="82" t="s">
        <v>1185</v>
      </c>
      <c r="F35" s="103">
        <v>1.8089999999999999</v>
      </c>
      <c r="G35" s="127">
        <f t="shared" si="20"/>
        <v>1809</v>
      </c>
      <c r="H35" s="97">
        <v>1</v>
      </c>
      <c r="I35" s="83" t="s">
        <v>1210</v>
      </c>
      <c r="J35" s="85" t="s">
        <v>968</v>
      </c>
      <c r="K35" s="82">
        <v>1553</v>
      </c>
      <c r="L35" s="82"/>
      <c r="M35" s="85" t="s">
        <v>1144</v>
      </c>
      <c r="N35" s="82" t="s">
        <v>326</v>
      </c>
      <c r="O35" s="4"/>
      <c r="P35" s="4"/>
      <c r="Q35" s="5">
        <v>46000</v>
      </c>
      <c r="R35" s="36"/>
      <c r="S35" s="36"/>
      <c r="T35" s="37"/>
      <c r="U35" s="5">
        <f t="shared" si="21"/>
        <v>46000</v>
      </c>
      <c r="V35" s="5">
        <f t="shared" si="22"/>
        <v>83214</v>
      </c>
      <c r="W35" s="5">
        <f t="shared" si="26"/>
        <v>14978.519999999999</v>
      </c>
      <c r="X35" s="5"/>
      <c r="Y35" s="5"/>
      <c r="Z35" s="98"/>
      <c r="AA35" s="23">
        <f t="shared" si="23"/>
        <v>0</v>
      </c>
      <c r="AB35" s="97">
        <f t="shared" si="24"/>
        <v>0</v>
      </c>
      <c r="AC35" s="43"/>
      <c r="AD35" s="49"/>
      <c r="AE35" s="5">
        <f t="shared" si="25"/>
        <v>98192.52</v>
      </c>
      <c r="AF35" s="113">
        <v>315</v>
      </c>
      <c r="AG35" s="43" t="s">
        <v>1391</v>
      </c>
      <c r="AH35" s="13">
        <v>1.8089999999999999</v>
      </c>
      <c r="AI35" s="12"/>
      <c r="AJ35" s="40"/>
      <c r="AK35" s="40"/>
    </row>
    <row r="36" spans="2:37" s="41" customFormat="1" ht="16.149999999999999" customHeight="1">
      <c r="B36" s="83"/>
      <c r="C36" s="1"/>
      <c r="D36" s="4"/>
      <c r="E36" s="82" t="s">
        <v>1185</v>
      </c>
      <c r="F36" s="103">
        <v>1.8089999999999999</v>
      </c>
      <c r="G36" s="127">
        <f t="shared" si="20"/>
        <v>1809</v>
      </c>
      <c r="H36" s="97">
        <v>1</v>
      </c>
      <c r="I36" s="83" t="s">
        <v>1219</v>
      </c>
      <c r="J36" s="85" t="s">
        <v>991</v>
      </c>
      <c r="K36" s="82">
        <v>1550</v>
      </c>
      <c r="L36" s="82"/>
      <c r="M36" s="85" t="s">
        <v>1144</v>
      </c>
      <c r="N36" s="82" t="s">
        <v>1220</v>
      </c>
      <c r="O36" s="4"/>
      <c r="P36" s="4"/>
      <c r="Q36" s="5">
        <v>46000</v>
      </c>
      <c r="R36" s="36"/>
      <c r="S36" s="36"/>
      <c r="T36" s="37"/>
      <c r="U36" s="5">
        <f t="shared" si="21"/>
        <v>46000</v>
      </c>
      <c r="V36" s="5">
        <f t="shared" si="22"/>
        <v>83214</v>
      </c>
      <c r="W36" s="5">
        <f t="shared" si="26"/>
        <v>14978.519999999999</v>
      </c>
      <c r="X36" s="5"/>
      <c r="Y36" s="5"/>
      <c r="Z36" s="98"/>
      <c r="AA36" s="23">
        <f t="shared" si="23"/>
        <v>0</v>
      </c>
      <c r="AB36" s="97">
        <f t="shared" si="24"/>
        <v>0</v>
      </c>
      <c r="AC36" s="43"/>
      <c r="AD36" s="49"/>
      <c r="AE36" s="5">
        <f t="shared" si="25"/>
        <v>98192.52</v>
      </c>
      <c r="AF36" s="113">
        <v>312</v>
      </c>
      <c r="AG36" s="43" t="s">
        <v>1391</v>
      </c>
      <c r="AH36" s="13">
        <v>1.8089999999999999</v>
      </c>
      <c r="AI36" s="12"/>
      <c r="AJ36" s="40"/>
      <c r="AK36" s="40"/>
    </row>
    <row r="37" spans="2:37" s="41" customFormat="1" ht="16.149999999999999" customHeight="1">
      <c r="B37" s="83"/>
      <c r="C37" s="1"/>
      <c r="D37" s="4"/>
      <c r="E37" s="82" t="s">
        <v>1185</v>
      </c>
      <c r="F37" s="103">
        <v>43.426000000000002</v>
      </c>
      <c r="G37" s="127">
        <f t="shared" si="20"/>
        <v>43426</v>
      </c>
      <c r="H37" s="97">
        <v>24</v>
      </c>
      <c r="I37" s="83" t="s">
        <v>1191</v>
      </c>
      <c r="J37" s="85" t="s">
        <v>968</v>
      </c>
      <c r="K37" s="82">
        <v>1546</v>
      </c>
      <c r="L37" s="82"/>
      <c r="M37" s="85" t="s">
        <v>1144</v>
      </c>
      <c r="N37" s="82" t="s">
        <v>1222</v>
      </c>
      <c r="O37" s="4"/>
      <c r="P37" s="4"/>
      <c r="Q37" s="5">
        <v>46000</v>
      </c>
      <c r="R37" s="36"/>
      <c r="S37" s="36"/>
      <c r="T37" s="37"/>
      <c r="U37" s="5">
        <f t="shared" si="21"/>
        <v>46000</v>
      </c>
      <c r="V37" s="5">
        <f t="shared" si="22"/>
        <v>1997596</v>
      </c>
      <c r="W37" s="5">
        <f t="shared" si="26"/>
        <v>359567.27999999997</v>
      </c>
      <c r="X37" s="5"/>
      <c r="Y37" s="5"/>
      <c r="Z37" s="98"/>
      <c r="AA37" s="23">
        <f t="shared" si="23"/>
        <v>0</v>
      </c>
      <c r="AB37" s="97">
        <f t="shared" si="24"/>
        <v>0</v>
      </c>
      <c r="AC37" s="43"/>
      <c r="AD37" s="49"/>
      <c r="AE37" s="5">
        <f t="shared" si="25"/>
        <v>2357163.2799999998</v>
      </c>
      <c r="AF37" s="43">
        <v>308</v>
      </c>
      <c r="AG37" s="43" t="s">
        <v>1391</v>
      </c>
      <c r="AH37" s="13">
        <v>43.426000000000002</v>
      </c>
      <c r="AI37" s="12"/>
      <c r="AJ37" s="40"/>
      <c r="AK37" s="40"/>
    </row>
    <row r="38" spans="2:37" s="41" customFormat="1" ht="16.149999999999999" customHeight="1">
      <c r="B38" s="83"/>
      <c r="C38" s="1"/>
      <c r="D38" s="4"/>
      <c r="E38" s="82" t="s">
        <v>1185</v>
      </c>
      <c r="F38" s="103">
        <v>3.6179999999999999</v>
      </c>
      <c r="G38" s="127">
        <f t="shared" si="20"/>
        <v>3618</v>
      </c>
      <c r="H38" s="97">
        <v>2</v>
      </c>
      <c r="I38" s="83" t="s">
        <v>1224</v>
      </c>
      <c r="J38" s="85" t="s">
        <v>968</v>
      </c>
      <c r="K38" s="82">
        <v>1588</v>
      </c>
      <c r="L38" s="82"/>
      <c r="M38" s="85" t="s">
        <v>1144</v>
      </c>
      <c r="N38" s="82" t="s">
        <v>57</v>
      </c>
      <c r="O38" s="4"/>
      <c r="P38" s="4"/>
      <c r="Q38" s="5">
        <v>46000</v>
      </c>
      <c r="R38" s="36"/>
      <c r="S38" s="36"/>
      <c r="T38" s="37"/>
      <c r="U38" s="5">
        <f t="shared" si="21"/>
        <v>46000</v>
      </c>
      <c r="V38" s="5">
        <f t="shared" si="22"/>
        <v>166428</v>
      </c>
      <c r="W38" s="5">
        <f t="shared" si="26"/>
        <v>29957.039999999997</v>
      </c>
      <c r="X38" s="5"/>
      <c r="Y38" s="5"/>
      <c r="Z38" s="98"/>
      <c r="AA38" s="23">
        <f t="shared" si="23"/>
        <v>0</v>
      </c>
      <c r="AB38" s="97">
        <f t="shared" si="24"/>
        <v>0</v>
      </c>
      <c r="AC38" s="43"/>
      <c r="AD38" s="49"/>
      <c r="AE38" s="5">
        <f t="shared" si="25"/>
        <v>196385.04</v>
      </c>
      <c r="AF38" s="113">
        <v>330</v>
      </c>
      <c r="AG38" s="43" t="s">
        <v>1391</v>
      </c>
      <c r="AH38" s="13">
        <v>3.6179999999999999</v>
      </c>
      <c r="AI38" s="12"/>
      <c r="AJ38" s="40"/>
      <c r="AK38" s="40"/>
    </row>
    <row r="39" spans="2:37" s="41" customFormat="1" ht="16.149999999999999" customHeight="1">
      <c r="B39" s="12"/>
      <c r="C39" s="1"/>
      <c r="D39" s="4"/>
      <c r="E39" s="82" t="s">
        <v>1185</v>
      </c>
      <c r="F39" s="103">
        <v>3.6179999999999999</v>
      </c>
      <c r="G39" s="127">
        <f t="shared" si="20"/>
        <v>3618</v>
      </c>
      <c r="H39" s="97">
        <v>2</v>
      </c>
      <c r="I39" s="83" t="s">
        <v>1228</v>
      </c>
      <c r="J39" s="85" t="s">
        <v>968</v>
      </c>
      <c r="K39" s="82">
        <v>1592</v>
      </c>
      <c r="L39" s="82"/>
      <c r="M39" s="85" t="s">
        <v>1144</v>
      </c>
      <c r="N39" s="82" t="s">
        <v>1227</v>
      </c>
      <c r="O39" s="4"/>
      <c r="P39" s="4"/>
      <c r="Q39" s="5">
        <v>46000</v>
      </c>
      <c r="R39" s="36"/>
      <c r="S39" s="36"/>
      <c r="T39" s="37"/>
      <c r="U39" s="5">
        <f t="shared" si="21"/>
        <v>46000</v>
      </c>
      <c r="V39" s="5">
        <f t="shared" si="22"/>
        <v>166428</v>
      </c>
      <c r="W39" s="5">
        <f t="shared" si="26"/>
        <v>29957.039999999997</v>
      </c>
      <c r="X39" s="5"/>
      <c r="Y39" s="5"/>
      <c r="Z39" s="98"/>
      <c r="AA39" s="23">
        <f t="shared" si="23"/>
        <v>0</v>
      </c>
      <c r="AB39" s="97">
        <f t="shared" si="24"/>
        <v>0</v>
      </c>
      <c r="AC39" s="43"/>
      <c r="AD39" s="49"/>
      <c r="AE39" s="5">
        <f t="shared" si="25"/>
        <v>196385.04</v>
      </c>
      <c r="AF39" s="113">
        <v>334</v>
      </c>
      <c r="AG39" s="43" t="s">
        <v>1391</v>
      </c>
      <c r="AH39" s="13">
        <v>3.6179999999999999</v>
      </c>
      <c r="AI39" s="12"/>
      <c r="AJ39" s="40"/>
      <c r="AK39" s="40"/>
    </row>
    <row r="40" spans="2:37" s="41" customFormat="1" ht="16.149999999999999" customHeight="1">
      <c r="B40" s="12"/>
      <c r="C40" s="1"/>
      <c r="D40" s="4"/>
      <c r="E40" s="82" t="s">
        <v>1185</v>
      </c>
      <c r="F40" s="128">
        <f>1.812+1.623</f>
        <v>3.4350000000000001</v>
      </c>
      <c r="G40" s="127">
        <f t="shared" si="20"/>
        <v>3435</v>
      </c>
      <c r="H40" s="97">
        <v>2</v>
      </c>
      <c r="I40" s="83" t="s">
        <v>1229</v>
      </c>
      <c r="J40" s="85" t="s">
        <v>991</v>
      </c>
      <c r="K40" s="82">
        <v>1593</v>
      </c>
      <c r="L40" s="82"/>
      <c r="M40" s="85" t="s">
        <v>1144</v>
      </c>
      <c r="N40" s="82" t="s">
        <v>62</v>
      </c>
      <c r="O40" s="4"/>
      <c r="P40" s="4"/>
      <c r="Q40" s="5">
        <v>46000</v>
      </c>
      <c r="R40" s="36"/>
      <c r="S40" s="36"/>
      <c r="T40" s="37"/>
      <c r="U40" s="5">
        <f t="shared" si="21"/>
        <v>46000</v>
      </c>
      <c r="V40" s="5">
        <f t="shared" si="22"/>
        <v>158010</v>
      </c>
      <c r="W40" s="5">
        <f t="shared" si="26"/>
        <v>28441.8</v>
      </c>
      <c r="X40" s="5"/>
      <c r="Y40" s="5"/>
      <c r="Z40" s="98"/>
      <c r="AA40" s="23">
        <f t="shared" si="23"/>
        <v>0</v>
      </c>
      <c r="AB40" s="97">
        <f t="shared" si="24"/>
        <v>0</v>
      </c>
      <c r="AC40" s="43"/>
      <c r="AD40" s="49"/>
      <c r="AE40" s="5">
        <f t="shared" si="25"/>
        <v>186451.8</v>
      </c>
      <c r="AF40" s="113">
        <v>335</v>
      </c>
      <c r="AG40" s="43" t="s">
        <v>1391</v>
      </c>
      <c r="AH40" s="13">
        <f>1.812+1.623</f>
        <v>3.4350000000000001</v>
      </c>
      <c r="AI40" s="12"/>
      <c r="AJ40" s="40"/>
      <c r="AK40" s="40"/>
    </row>
    <row r="41" spans="2:37" s="41" customFormat="1" ht="16.149999999999999" customHeight="1">
      <c r="B41" s="12"/>
      <c r="C41" s="1"/>
      <c r="D41" s="4"/>
      <c r="E41" s="82" t="s">
        <v>1185</v>
      </c>
      <c r="F41" s="128">
        <f>21.74-1.623</f>
        <v>20.116999999999997</v>
      </c>
      <c r="G41" s="127">
        <f t="shared" si="20"/>
        <v>20116.999999999996</v>
      </c>
      <c r="H41" s="97">
        <v>12</v>
      </c>
      <c r="I41" s="83" t="s">
        <v>1229</v>
      </c>
      <c r="J41" s="85" t="s">
        <v>991</v>
      </c>
      <c r="K41" s="82">
        <v>1594</v>
      </c>
      <c r="L41" s="82"/>
      <c r="M41" s="85" t="s">
        <v>1144</v>
      </c>
      <c r="N41" s="82" t="s">
        <v>317</v>
      </c>
      <c r="O41" s="4"/>
      <c r="P41" s="4"/>
      <c r="Q41" s="5">
        <v>46000</v>
      </c>
      <c r="R41" s="36"/>
      <c r="S41" s="36"/>
      <c r="T41" s="37"/>
      <c r="U41" s="5">
        <f t="shared" si="21"/>
        <v>46000</v>
      </c>
      <c r="V41" s="5">
        <f t="shared" si="22"/>
        <v>925381.99999999988</v>
      </c>
      <c r="W41" s="5">
        <f t="shared" si="26"/>
        <v>166568.75999999998</v>
      </c>
      <c r="X41" s="5"/>
      <c r="Y41" s="5"/>
      <c r="Z41" s="98"/>
      <c r="AA41" s="23">
        <f t="shared" si="23"/>
        <v>0</v>
      </c>
      <c r="AB41" s="97">
        <f t="shared" si="24"/>
        <v>0</v>
      </c>
      <c r="AC41" s="43"/>
      <c r="AD41" s="49"/>
      <c r="AE41" s="5">
        <f t="shared" si="25"/>
        <v>1091950.7599999998</v>
      </c>
      <c r="AF41" s="113">
        <v>336</v>
      </c>
      <c r="AG41" s="43" t="s">
        <v>1391</v>
      </c>
      <c r="AH41" s="13">
        <v>21.74</v>
      </c>
      <c r="AI41" s="12"/>
      <c r="AJ41" s="40"/>
      <c r="AK41" s="40"/>
    </row>
    <row r="42" spans="2:37" s="41" customFormat="1" ht="16.149999999999999" customHeight="1">
      <c r="B42" s="12"/>
      <c r="C42" s="1"/>
      <c r="D42" s="4"/>
      <c r="E42" s="82" t="s">
        <v>1185</v>
      </c>
      <c r="F42" s="103">
        <v>3.6179999999999999</v>
      </c>
      <c r="G42" s="127">
        <f t="shared" si="20"/>
        <v>3618</v>
      </c>
      <c r="H42" s="97">
        <v>2</v>
      </c>
      <c r="I42" s="83" t="s">
        <v>1231</v>
      </c>
      <c r="J42" s="85" t="s">
        <v>991</v>
      </c>
      <c r="K42" s="82">
        <v>1594</v>
      </c>
      <c r="L42" s="82"/>
      <c r="M42" s="85" t="s">
        <v>1144</v>
      </c>
      <c r="N42" s="82" t="s">
        <v>317</v>
      </c>
      <c r="O42" s="4"/>
      <c r="P42" s="4"/>
      <c r="Q42" s="5">
        <v>46000</v>
      </c>
      <c r="R42" s="36"/>
      <c r="S42" s="36"/>
      <c r="T42" s="37"/>
      <c r="U42" s="5">
        <f t="shared" si="21"/>
        <v>46000</v>
      </c>
      <c r="V42" s="5">
        <f t="shared" si="22"/>
        <v>166428</v>
      </c>
      <c r="W42" s="5">
        <f t="shared" si="26"/>
        <v>29957.039999999997</v>
      </c>
      <c r="X42" s="5"/>
      <c r="Y42" s="5"/>
      <c r="Z42" s="98"/>
      <c r="AA42" s="23">
        <f t="shared" si="23"/>
        <v>0</v>
      </c>
      <c r="AB42" s="97">
        <f t="shared" si="24"/>
        <v>0</v>
      </c>
      <c r="AC42" s="43"/>
      <c r="AD42" s="49"/>
      <c r="AE42" s="5">
        <f t="shared" si="25"/>
        <v>196385.04</v>
      </c>
      <c r="AF42" s="113">
        <v>336</v>
      </c>
      <c r="AG42" s="43" t="s">
        <v>1391</v>
      </c>
      <c r="AH42" s="13">
        <v>3.6179999999999999</v>
      </c>
      <c r="AI42" s="12"/>
      <c r="AJ42" s="40"/>
      <c r="AK42" s="40"/>
    </row>
    <row r="43" spans="2:37" s="41" customFormat="1" ht="16.149999999999999" customHeight="1">
      <c r="B43" s="12"/>
      <c r="C43" s="1"/>
      <c r="D43" s="4"/>
      <c r="E43" s="82" t="s">
        <v>1185</v>
      </c>
      <c r="F43" s="103">
        <v>34.378999999999998</v>
      </c>
      <c r="G43" s="127">
        <f t="shared" si="20"/>
        <v>34379</v>
      </c>
      <c r="H43" s="97">
        <v>19</v>
      </c>
      <c r="I43" s="83" t="s">
        <v>1233</v>
      </c>
      <c r="J43" s="85" t="s">
        <v>991</v>
      </c>
      <c r="K43" s="82">
        <v>1616</v>
      </c>
      <c r="L43" s="82"/>
      <c r="M43" s="85" t="s">
        <v>1155</v>
      </c>
      <c r="N43" s="82" t="s">
        <v>887</v>
      </c>
      <c r="O43" s="4"/>
      <c r="P43" s="4"/>
      <c r="Q43" s="5">
        <v>46000</v>
      </c>
      <c r="R43" s="36"/>
      <c r="S43" s="36"/>
      <c r="T43" s="37"/>
      <c r="U43" s="5">
        <f t="shared" si="21"/>
        <v>46000</v>
      </c>
      <c r="V43" s="5">
        <f t="shared" si="22"/>
        <v>1581434</v>
      </c>
      <c r="W43" s="5">
        <f t="shared" si="26"/>
        <v>284658.12</v>
      </c>
      <c r="X43" s="5"/>
      <c r="Y43" s="5"/>
      <c r="Z43" s="98"/>
      <c r="AA43" s="23">
        <f t="shared" si="23"/>
        <v>0</v>
      </c>
      <c r="AB43" s="97">
        <f t="shared" si="24"/>
        <v>0</v>
      </c>
      <c r="AC43" s="43"/>
      <c r="AD43" s="49"/>
      <c r="AE43" s="5">
        <f t="shared" si="25"/>
        <v>1866092.12</v>
      </c>
      <c r="AF43" s="43">
        <v>351</v>
      </c>
      <c r="AG43" s="43" t="s">
        <v>1391</v>
      </c>
      <c r="AH43" s="13">
        <v>34.378999999999998</v>
      </c>
      <c r="AI43" s="12"/>
      <c r="AJ43" s="40"/>
      <c r="AK43" s="40"/>
    </row>
    <row r="44" spans="2:37" s="41" customFormat="1" ht="16.149999999999999" customHeight="1">
      <c r="B44" s="12"/>
      <c r="C44" s="1"/>
      <c r="D44" s="4"/>
      <c r="E44" s="82" t="s">
        <v>1185</v>
      </c>
      <c r="F44" s="103">
        <v>32.561999999999998</v>
      </c>
      <c r="G44" s="127">
        <f t="shared" si="20"/>
        <v>32561.999999999996</v>
      </c>
      <c r="H44" s="97">
        <v>18</v>
      </c>
      <c r="I44" s="83" t="s">
        <v>1235</v>
      </c>
      <c r="J44" s="85" t="s">
        <v>991</v>
      </c>
      <c r="K44" s="82">
        <v>1607</v>
      </c>
      <c r="L44" s="82"/>
      <c r="M44" s="85" t="s">
        <v>1155</v>
      </c>
      <c r="N44" s="82" t="s">
        <v>1236</v>
      </c>
      <c r="O44" s="4"/>
      <c r="P44" s="4"/>
      <c r="Q44" s="5">
        <v>46000</v>
      </c>
      <c r="R44" s="36"/>
      <c r="S44" s="36"/>
      <c r="T44" s="37"/>
      <c r="U44" s="5">
        <f t="shared" si="21"/>
        <v>46000</v>
      </c>
      <c r="V44" s="5">
        <f t="shared" si="22"/>
        <v>1497852</v>
      </c>
      <c r="W44" s="5">
        <f t="shared" si="26"/>
        <v>269613.36</v>
      </c>
      <c r="X44" s="5"/>
      <c r="Y44" s="5"/>
      <c r="Z44" s="98"/>
      <c r="AA44" s="23">
        <f t="shared" si="23"/>
        <v>0</v>
      </c>
      <c r="AB44" s="97">
        <f t="shared" si="24"/>
        <v>0</v>
      </c>
      <c r="AC44" s="43"/>
      <c r="AD44" s="49"/>
      <c r="AE44" s="5">
        <f t="shared" si="25"/>
        <v>1767465.3599999999</v>
      </c>
      <c r="AF44" s="43">
        <v>348</v>
      </c>
      <c r="AG44" s="43" t="s">
        <v>1391</v>
      </c>
      <c r="AH44" s="13">
        <v>32.561999999999998</v>
      </c>
      <c r="AI44" s="12"/>
      <c r="AJ44" s="40"/>
      <c r="AK44" s="40"/>
    </row>
    <row r="45" spans="2:37" s="41" customFormat="1" ht="16.149999999999999" customHeight="1">
      <c r="B45" s="12"/>
      <c r="C45" s="1"/>
      <c r="D45" s="4"/>
      <c r="E45" s="82" t="s">
        <v>1185</v>
      </c>
      <c r="F45" s="103">
        <v>30.76</v>
      </c>
      <c r="G45" s="127">
        <f t="shared" si="20"/>
        <v>30760</v>
      </c>
      <c r="H45" s="97">
        <v>17</v>
      </c>
      <c r="I45" s="83" t="s">
        <v>1233</v>
      </c>
      <c r="J45" s="85" t="s">
        <v>991</v>
      </c>
      <c r="K45" s="82">
        <v>1617</v>
      </c>
      <c r="L45" s="82"/>
      <c r="M45" s="85" t="s">
        <v>1155</v>
      </c>
      <c r="N45" s="82" t="s">
        <v>40</v>
      </c>
      <c r="O45" s="4"/>
      <c r="P45" s="4"/>
      <c r="Q45" s="5">
        <v>46000</v>
      </c>
      <c r="R45" s="36"/>
      <c r="S45" s="36"/>
      <c r="T45" s="37"/>
      <c r="U45" s="5">
        <f t="shared" si="21"/>
        <v>46000</v>
      </c>
      <c r="V45" s="5">
        <f t="shared" si="22"/>
        <v>1414960</v>
      </c>
      <c r="W45" s="5">
        <f t="shared" si="26"/>
        <v>254692.8</v>
      </c>
      <c r="X45" s="5"/>
      <c r="Y45" s="5"/>
      <c r="Z45" s="98"/>
      <c r="AA45" s="23">
        <f t="shared" si="23"/>
        <v>0</v>
      </c>
      <c r="AB45" s="97">
        <f t="shared" si="24"/>
        <v>0</v>
      </c>
      <c r="AC45" s="43"/>
      <c r="AD45" s="49"/>
      <c r="AE45" s="5">
        <f t="shared" si="25"/>
        <v>1669652.8</v>
      </c>
      <c r="AF45" s="113">
        <v>352</v>
      </c>
      <c r="AG45" s="43" t="s">
        <v>1391</v>
      </c>
      <c r="AH45" s="13">
        <v>30.76</v>
      </c>
      <c r="AI45" s="12"/>
      <c r="AJ45" s="40"/>
      <c r="AK45" s="40"/>
    </row>
    <row r="46" spans="2:37" s="41" customFormat="1" ht="16.149999999999999" customHeight="1">
      <c r="B46" s="12"/>
      <c r="C46" s="1"/>
      <c r="D46" s="4"/>
      <c r="E46" s="82" t="s">
        <v>1185</v>
      </c>
      <c r="F46" s="103">
        <v>1.8089999999999999</v>
      </c>
      <c r="G46" s="127">
        <f t="shared" si="20"/>
        <v>1809</v>
      </c>
      <c r="H46" s="97">
        <v>1</v>
      </c>
      <c r="I46" s="83" t="s">
        <v>1239</v>
      </c>
      <c r="J46" s="85" t="s">
        <v>991</v>
      </c>
      <c r="K46" s="82">
        <v>1617</v>
      </c>
      <c r="L46" s="82"/>
      <c r="M46" s="85" t="s">
        <v>1155</v>
      </c>
      <c r="N46" s="82" t="s">
        <v>40</v>
      </c>
      <c r="O46" s="4"/>
      <c r="P46" s="4"/>
      <c r="Q46" s="5">
        <v>46000</v>
      </c>
      <c r="R46" s="36"/>
      <c r="S46" s="36"/>
      <c r="T46" s="37"/>
      <c r="U46" s="5">
        <f t="shared" si="21"/>
        <v>46000</v>
      </c>
      <c r="V46" s="5">
        <f t="shared" si="22"/>
        <v>83214</v>
      </c>
      <c r="W46" s="5">
        <f t="shared" si="26"/>
        <v>14978.519999999999</v>
      </c>
      <c r="X46" s="5"/>
      <c r="Y46" s="5"/>
      <c r="Z46" s="98"/>
      <c r="AA46" s="23">
        <f t="shared" si="23"/>
        <v>0</v>
      </c>
      <c r="AB46" s="97">
        <f t="shared" si="24"/>
        <v>0</v>
      </c>
      <c r="AC46" s="43"/>
      <c r="AD46" s="49"/>
      <c r="AE46" s="5">
        <f t="shared" si="25"/>
        <v>98192.52</v>
      </c>
      <c r="AF46" s="113">
        <v>352</v>
      </c>
      <c r="AG46" s="43" t="s">
        <v>1391</v>
      </c>
      <c r="AH46" s="13">
        <v>1.8089999999999999</v>
      </c>
      <c r="AI46" s="12"/>
      <c r="AJ46" s="40"/>
      <c r="AK46" s="40"/>
    </row>
    <row r="47" spans="2:37" s="41" customFormat="1" ht="16.149999999999999" customHeight="1">
      <c r="B47" s="12"/>
      <c r="C47" s="1"/>
      <c r="D47" s="4"/>
      <c r="E47" s="82" t="s">
        <v>1185</v>
      </c>
      <c r="F47" s="103">
        <v>3.6179999999999999</v>
      </c>
      <c r="G47" s="127">
        <f t="shared" si="20"/>
        <v>3618</v>
      </c>
      <c r="H47" s="97">
        <v>2</v>
      </c>
      <c r="I47" s="83" t="s">
        <v>1241</v>
      </c>
      <c r="J47" s="85" t="s">
        <v>968</v>
      </c>
      <c r="K47" s="82">
        <v>1621</v>
      </c>
      <c r="L47" s="82"/>
      <c r="M47" s="85" t="s">
        <v>1155</v>
      </c>
      <c r="N47" s="82" t="s">
        <v>1240</v>
      </c>
      <c r="O47" s="4"/>
      <c r="P47" s="4"/>
      <c r="Q47" s="5">
        <v>46000</v>
      </c>
      <c r="R47" s="36"/>
      <c r="S47" s="36"/>
      <c r="T47" s="37"/>
      <c r="U47" s="5">
        <f t="shared" si="21"/>
        <v>46000</v>
      </c>
      <c r="V47" s="5">
        <f t="shared" si="22"/>
        <v>166428</v>
      </c>
      <c r="W47" s="5">
        <f t="shared" si="26"/>
        <v>29957.039999999997</v>
      </c>
      <c r="X47" s="5"/>
      <c r="Y47" s="5"/>
      <c r="Z47" s="98"/>
      <c r="AA47" s="23">
        <f t="shared" si="23"/>
        <v>0</v>
      </c>
      <c r="AB47" s="97">
        <f t="shared" si="24"/>
        <v>0</v>
      </c>
      <c r="AC47" s="43"/>
      <c r="AD47" s="49"/>
      <c r="AE47" s="5">
        <f t="shared" si="25"/>
        <v>196385.04</v>
      </c>
      <c r="AF47" s="113">
        <v>356</v>
      </c>
      <c r="AG47" s="43" t="s">
        <v>1391</v>
      </c>
      <c r="AH47" s="13">
        <v>3.6179999999999999</v>
      </c>
      <c r="AI47" s="12"/>
      <c r="AJ47" s="40"/>
      <c r="AK47" s="40"/>
    </row>
    <row r="48" spans="2:37" s="41" customFormat="1" ht="16.149999999999999" customHeight="1">
      <c r="B48" s="12"/>
      <c r="C48" s="1"/>
      <c r="D48" s="4"/>
      <c r="E48" s="82" t="s">
        <v>1185</v>
      </c>
      <c r="F48" s="103">
        <v>3.6179999999999999</v>
      </c>
      <c r="G48" s="127">
        <f t="shared" si="20"/>
        <v>3618</v>
      </c>
      <c r="H48" s="97">
        <v>2</v>
      </c>
      <c r="I48" s="83" t="s">
        <v>1243</v>
      </c>
      <c r="J48" s="85" t="s">
        <v>968</v>
      </c>
      <c r="K48" s="82">
        <v>1619</v>
      </c>
      <c r="L48" s="82"/>
      <c r="M48" s="85" t="s">
        <v>1155</v>
      </c>
      <c r="N48" s="82" t="s">
        <v>1200</v>
      </c>
      <c r="O48" s="4"/>
      <c r="P48" s="4"/>
      <c r="Q48" s="5">
        <v>46000</v>
      </c>
      <c r="R48" s="36"/>
      <c r="S48" s="36"/>
      <c r="T48" s="37"/>
      <c r="U48" s="5">
        <f t="shared" si="21"/>
        <v>46000</v>
      </c>
      <c r="V48" s="5">
        <f t="shared" si="22"/>
        <v>166428</v>
      </c>
      <c r="W48" s="5">
        <f t="shared" si="26"/>
        <v>29957.039999999997</v>
      </c>
      <c r="X48" s="5"/>
      <c r="Y48" s="5"/>
      <c r="Z48" s="98"/>
      <c r="AA48" s="23">
        <f t="shared" si="23"/>
        <v>0</v>
      </c>
      <c r="AB48" s="97">
        <f t="shared" si="24"/>
        <v>0</v>
      </c>
      <c r="AC48" s="43"/>
      <c r="AD48" s="49"/>
      <c r="AE48" s="5">
        <f t="shared" si="25"/>
        <v>196385.04</v>
      </c>
      <c r="AF48" s="113">
        <v>354</v>
      </c>
      <c r="AG48" s="43" t="s">
        <v>1391</v>
      </c>
      <c r="AH48" s="13">
        <v>3.6179999999999999</v>
      </c>
      <c r="AI48" s="12"/>
      <c r="AJ48" s="40"/>
      <c r="AK48" s="40"/>
    </row>
    <row r="49" spans="2:37" s="41" customFormat="1" ht="16.149999999999999" customHeight="1">
      <c r="B49" s="12"/>
      <c r="C49" s="1"/>
      <c r="D49" s="4"/>
      <c r="E49" s="82" t="s">
        <v>1185</v>
      </c>
      <c r="F49" s="103">
        <v>3.6179999999999999</v>
      </c>
      <c r="G49" s="127">
        <f t="shared" si="20"/>
        <v>3618</v>
      </c>
      <c r="H49" s="97">
        <v>2</v>
      </c>
      <c r="I49" s="83" t="s">
        <v>1244</v>
      </c>
      <c r="J49" s="85" t="s">
        <v>968</v>
      </c>
      <c r="K49" s="82">
        <v>1590</v>
      </c>
      <c r="L49" s="82"/>
      <c r="M49" s="85" t="s">
        <v>1155</v>
      </c>
      <c r="N49" s="82" t="s">
        <v>869</v>
      </c>
      <c r="O49" s="4"/>
      <c r="P49" s="4"/>
      <c r="Q49" s="5">
        <v>46000</v>
      </c>
      <c r="R49" s="36"/>
      <c r="S49" s="36"/>
      <c r="T49" s="37"/>
      <c r="U49" s="5">
        <f t="shared" si="21"/>
        <v>46000</v>
      </c>
      <c r="V49" s="5">
        <f t="shared" si="22"/>
        <v>166428</v>
      </c>
      <c r="W49" s="5">
        <f t="shared" si="26"/>
        <v>29957.039999999997</v>
      </c>
      <c r="X49" s="5"/>
      <c r="Y49" s="5"/>
      <c r="Z49" s="98"/>
      <c r="AA49" s="23">
        <f t="shared" si="23"/>
        <v>0</v>
      </c>
      <c r="AB49" s="97">
        <f t="shared" si="24"/>
        <v>0</v>
      </c>
      <c r="AC49" s="43"/>
      <c r="AD49" s="49"/>
      <c r="AE49" s="5">
        <f t="shared" si="25"/>
        <v>196385.04</v>
      </c>
      <c r="AF49" s="43">
        <v>332</v>
      </c>
      <c r="AG49" s="43" t="s">
        <v>1391</v>
      </c>
      <c r="AH49" s="13">
        <v>3.6179999999999999</v>
      </c>
      <c r="AI49" s="12"/>
      <c r="AJ49" s="40"/>
      <c r="AK49" s="40"/>
    </row>
    <row r="50" spans="2:37" s="41" customFormat="1" ht="16.149999999999999" customHeight="1">
      <c r="B50" s="12"/>
      <c r="C50" s="1"/>
      <c r="D50" s="4"/>
      <c r="E50" s="82" t="s">
        <v>1185</v>
      </c>
      <c r="F50" s="103">
        <v>3.6179999999999999</v>
      </c>
      <c r="G50" s="127">
        <f t="shared" si="20"/>
        <v>3618</v>
      </c>
      <c r="H50" s="97">
        <v>2</v>
      </c>
      <c r="I50" s="83" t="s">
        <v>1248</v>
      </c>
      <c r="J50" s="85" t="s">
        <v>968</v>
      </c>
      <c r="K50" s="82">
        <v>1623</v>
      </c>
      <c r="L50" s="82"/>
      <c r="M50" s="85" t="s">
        <v>1155</v>
      </c>
      <c r="N50" s="82" t="s">
        <v>1247</v>
      </c>
      <c r="O50" s="4"/>
      <c r="P50" s="4"/>
      <c r="Q50" s="5">
        <v>46000</v>
      </c>
      <c r="R50" s="36"/>
      <c r="S50" s="36"/>
      <c r="T50" s="37"/>
      <c r="U50" s="5">
        <f t="shared" si="21"/>
        <v>46000</v>
      </c>
      <c r="V50" s="5">
        <f t="shared" si="22"/>
        <v>166428</v>
      </c>
      <c r="W50" s="5">
        <f t="shared" si="26"/>
        <v>29957.039999999997</v>
      </c>
      <c r="X50" s="5"/>
      <c r="Y50" s="5"/>
      <c r="Z50" s="98"/>
      <c r="AA50" s="23">
        <f t="shared" si="23"/>
        <v>0</v>
      </c>
      <c r="AB50" s="97">
        <f t="shared" si="24"/>
        <v>0</v>
      </c>
      <c r="AC50" s="43"/>
      <c r="AD50" s="49"/>
      <c r="AE50" s="5">
        <f t="shared" si="25"/>
        <v>196385.04</v>
      </c>
      <c r="AF50" s="113">
        <v>358</v>
      </c>
      <c r="AG50" s="43" t="s">
        <v>1391</v>
      </c>
      <c r="AH50" s="13">
        <v>3.6179999999999999</v>
      </c>
      <c r="AI50" s="12"/>
      <c r="AJ50" s="40"/>
      <c r="AK50" s="40"/>
    </row>
    <row r="51" spans="2:37" s="41" customFormat="1" ht="16.149999999999999" customHeight="1">
      <c r="B51" s="12"/>
      <c r="C51" s="1"/>
      <c r="D51" s="4"/>
      <c r="E51" s="82" t="s">
        <v>1185</v>
      </c>
      <c r="F51" s="103">
        <v>3.6179999999999999</v>
      </c>
      <c r="G51" s="127">
        <f t="shared" si="20"/>
        <v>3618</v>
      </c>
      <c r="H51" s="97">
        <v>2</v>
      </c>
      <c r="I51" s="83" t="s">
        <v>1250</v>
      </c>
      <c r="J51" s="85" t="s">
        <v>968</v>
      </c>
      <c r="K51" s="82">
        <v>1615</v>
      </c>
      <c r="L51" s="82"/>
      <c r="M51" s="85" t="s">
        <v>1155</v>
      </c>
      <c r="N51" s="82" t="s">
        <v>1251</v>
      </c>
      <c r="O51" s="4"/>
      <c r="P51" s="4"/>
      <c r="Q51" s="5">
        <v>46000</v>
      </c>
      <c r="R51" s="36"/>
      <c r="S51" s="36"/>
      <c r="T51" s="37"/>
      <c r="U51" s="5">
        <f t="shared" ref="U51:U55" si="27">S51+R51+Q51-T51</f>
        <v>46000</v>
      </c>
      <c r="V51" s="5">
        <f t="shared" ref="V51:V55" si="28">F51*U51</f>
        <v>166428</v>
      </c>
      <c r="W51" s="5">
        <f t="shared" ref="W51:W55" si="29">V51*18%</f>
        <v>29957.039999999997</v>
      </c>
      <c r="X51" s="5"/>
      <c r="Y51" s="5"/>
      <c r="Z51" s="98"/>
      <c r="AA51" s="23">
        <f t="shared" ref="AA51:AA55" si="30">F51*Z51</f>
        <v>0</v>
      </c>
      <c r="AB51" s="97">
        <f t="shared" ref="AB51:AB55" si="31">AA51*18%</f>
        <v>0</v>
      </c>
      <c r="AC51" s="43"/>
      <c r="AD51" s="49"/>
      <c r="AE51" s="5">
        <f t="shared" ref="AE51:AE55" si="32">+AB51+AA51+Y51+X51+W51+V51-AC51+AD51</f>
        <v>196385.04</v>
      </c>
      <c r="AF51" s="113">
        <v>350</v>
      </c>
      <c r="AG51" s="43" t="s">
        <v>1391</v>
      </c>
      <c r="AH51" s="13">
        <v>3.6179999999999999</v>
      </c>
      <c r="AI51" s="12"/>
      <c r="AJ51" s="40"/>
      <c r="AK51" s="40"/>
    </row>
    <row r="52" spans="2:37" s="41" customFormat="1" ht="16.149999999999999" customHeight="1">
      <c r="B52" s="12"/>
      <c r="C52" s="1"/>
      <c r="D52" s="4"/>
      <c r="E52" s="82" t="s">
        <v>1185</v>
      </c>
      <c r="F52" s="103">
        <v>1.8089999999999999</v>
      </c>
      <c r="G52" s="127">
        <f t="shared" si="20"/>
        <v>1809</v>
      </c>
      <c r="H52" s="97">
        <v>1</v>
      </c>
      <c r="I52" s="83" t="s">
        <v>1253</v>
      </c>
      <c r="J52" s="85" t="s">
        <v>991</v>
      </c>
      <c r="K52" s="82">
        <v>1601</v>
      </c>
      <c r="L52" s="82"/>
      <c r="M52" s="85" t="s">
        <v>1155</v>
      </c>
      <c r="N52" s="82" t="s">
        <v>43</v>
      </c>
      <c r="O52" s="4"/>
      <c r="P52" s="4"/>
      <c r="Q52" s="5">
        <v>46000</v>
      </c>
      <c r="R52" s="36"/>
      <c r="S52" s="36"/>
      <c r="T52" s="37"/>
      <c r="U52" s="5">
        <f t="shared" si="27"/>
        <v>46000</v>
      </c>
      <c r="V52" s="5">
        <f t="shared" si="28"/>
        <v>83214</v>
      </c>
      <c r="W52" s="5">
        <f t="shared" si="29"/>
        <v>14978.519999999999</v>
      </c>
      <c r="X52" s="5"/>
      <c r="Y52" s="5"/>
      <c r="Z52" s="98"/>
      <c r="AA52" s="23">
        <f t="shared" si="30"/>
        <v>0</v>
      </c>
      <c r="AB52" s="97">
        <f t="shared" si="31"/>
        <v>0</v>
      </c>
      <c r="AC52" s="43"/>
      <c r="AD52" s="49"/>
      <c r="AE52" s="5">
        <f t="shared" si="32"/>
        <v>98192.52</v>
      </c>
      <c r="AF52" s="113">
        <v>343</v>
      </c>
      <c r="AG52" s="43" t="s">
        <v>1391</v>
      </c>
      <c r="AH52" s="13">
        <v>1.8089999999999999</v>
      </c>
      <c r="AI52" s="12"/>
      <c r="AJ52" s="40"/>
      <c r="AK52" s="40"/>
    </row>
    <row r="53" spans="2:37" s="41" customFormat="1" ht="16.149999999999999" customHeight="1">
      <c r="B53" s="12"/>
      <c r="C53" s="1"/>
      <c r="D53" s="4"/>
      <c r="E53" s="82" t="s">
        <v>1185</v>
      </c>
      <c r="F53" s="103">
        <v>21.731000000000002</v>
      </c>
      <c r="G53" s="127">
        <f t="shared" si="20"/>
        <v>21731</v>
      </c>
      <c r="H53" s="97">
        <v>12</v>
      </c>
      <c r="I53" s="83" t="s">
        <v>1261</v>
      </c>
      <c r="J53" s="85" t="s">
        <v>991</v>
      </c>
      <c r="K53" s="82">
        <v>1626</v>
      </c>
      <c r="L53" s="82"/>
      <c r="M53" s="85" t="s">
        <v>1155</v>
      </c>
      <c r="N53" s="82" t="s">
        <v>326</v>
      </c>
      <c r="O53" s="4"/>
      <c r="P53" s="4"/>
      <c r="Q53" s="5">
        <v>46000</v>
      </c>
      <c r="R53" s="36"/>
      <c r="S53" s="36"/>
      <c r="T53" s="37"/>
      <c r="U53" s="5">
        <f t="shared" si="27"/>
        <v>46000</v>
      </c>
      <c r="V53" s="5">
        <f t="shared" si="28"/>
        <v>999626.00000000012</v>
      </c>
      <c r="W53" s="5">
        <f t="shared" si="29"/>
        <v>179932.68000000002</v>
      </c>
      <c r="X53" s="5"/>
      <c r="Y53" s="5"/>
      <c r="Z53" s="98"/>
      <c r="AA53" s="23">
        <f t="shared" si="30"/>
        <v>0</v>
      </c>
      <c r="AB53" s="97">
        <f t="shared" si="31"/>
        <v>0</v>
      </c>
      <c r="AC53" s="43"/>
      <c r="AD53" s="49"/>
      <c r="AE53" s="5">
        <f t="shared" si="32"/>
        <v>1179558.6800000002</v>
      </c>
      <c r="AF53" s="113">
        <v>361</v>
      </c>
      <c r="AG53" s="43" t="s">
        <v>1391</v>
      </c>
      <c r="AH53" s="13">
        <v>21.731000000000002</v>
      </c>
      <c r="AI53" s="12"/>
      <c r="AJ53" s="40"/>
      <c r="AK53" s="40"/>
    </row>
    <row r="54" spans="2:37" s="41" customFormat="1" ht="16.149999999999999" customHeight="1">
      <c r="B54" s="12"/>
      <c r="C54" s="1"/>
      <c r="D54" s="4"/>
      <c r="E54" s="82" t="s">
        <v>1185</v>
      </c>
      <c r="F54" s="103">
        <v>21.707999999999998</v>
      </c>
      <c r="G54" s="127">
        <f t="shared" si="20"/>
        <v>21708</v>
      </c>
      <c r="H54" s="97">
        <v>12</v>
      </c>
      <c r="I54" s="83" t="s">
        <v>1210</v>
      </c>
      <c r="J54" s="85" t="s">
        <v>968</v>
      </c>
      <c r="K54" s="82">
        <v>1626</v>
      </c>
      <c r="L54" s="82"/>
      <c r="M54" s="85" t="s">
        <v>1155</v>
      </c>
      <c r="N54" s="82" t="s">
        <v>326</v>
      </c>
      <c r="O54" s="4"/>
      <c r="P54" s="4"/>
      <c r="Q54" s="5">
        <v>46000</v>
      </c>
      <c r="R54" s="36"/>
      <c r="S54" s="36"/>
      <c r="T54" s="37"/>
      <c r="U54" s="5">
        <f t="shared" si="27"/>
        <v>46000</v>
      </c>
      <c r="V54" s="5">
        <f t="shared" si="28"/>
        <v>998567.99999999988</v>
      </c>
      <c r="W54" s="5">
        <f t="shared" si="29"/>
        <v>179742.23999999996</v>
      </c>
      <c r="X54" s="5"/>
      <c r="Y54" s="5"/>
      <c r="Z54" s="98"/>
      <c r="AA54" s="23">
        <f t="shared" si="30"/>
        <v>0</v>
      </c>
      <c r="AB54" s="97">
        <f t="shared" si="31"/>
        <v>0</v>
      </c>
      <c r="AC54" s="43"/>
      <c r="AD54" s="49"/>
      <c r="AE54" s="5">
        <f t="shared" si="32"/>
        <v>1178310.2399999998</v>
      </c>
      <c r="AF54" s="113">
        <v>361</v>
      </c>
      <c r="AG54" s="43" t="s">
        <v>1391</v>
      </c>
      <c r="AH54" s="13">
        <v>21.707999999999998</v>
      </c>
      <c r="AI54" s="12"/>
      <c r="AJ54" s="40"/>
      <c r="AK54" s="40"/>
    </row>
    <row r="55" spans="2:37" s="41" customFormat="1" ht="16.149999999999999" customHeight="1">
      <c r="B55" s="12"/>
      <c r="C55" s="1"/>
      <c r="D55" s="4"/>
      <c r="E55" s="82" t="s">
        <v>1185</v>
      </c>
      <c r="F55" s="103">
        <v>1.8089999999999999</v>
      </c>
      <c r="G55" s="127">
        <f t="shared" si="20"/>
        <v>1809</v>
      </c>
      <c r="H55" s="97">
        <v>1</v>
      </c>
      <c r="I55" s="83" t="s">
        <v>1219</v>
      </c>
      <c r="J55" s="85" t="s">
        <v>991</v>
      </c>
      <c r="K55" s="82">
        <v>1603</v>
      </c>
      <c r="L55" s="82"/>
      <c r="M55" s="85" t="s">
        <v>1155</v>
      </c>
      <c r="N55" s="82" t="s">
        <v>1267</v>
      </c>
      <c r="O55" s="4"/>
      <c r="P55" s="4"/>
      <c r="Q55" s="5">
        <v>46000</v>
      </c>
      <c r="R55" s="36"/>
      <c r="S55" s="36"/>
      <c r="T55" s="37"/>
      <c r="U55" s="5">
        <f t="shared" si="27"/>
        <v>46000</v>
      </c>
      <c r="V55" s="5">
        <f t="shared" si="28"/>
        <v>83214</v>
      </c>
      <c r="W55" s="5">
        <f t="shared" si="29"/>
        <v>14978.519999999999</v>
      </c>
      <c r="X55" s="5"/>
      <c r="Y55" s="5"/>
      <c r="Z55" s="98"/>
      <c r="AA55" s="23">
        <f t="shared" si="30"/>
        <v>0</v>
      </c>
      <c r="AB55" s="97">
        <f t="shared" si="31"/>
        <v>0</v>
      </c>
      <c r="AC55" s="43"/>
      <c r="AD55" s="49"/>
      <c r="AE55" s="5">
        <f t="shared" si="32"/>
        <v>98192.52</v>
      </c>
      <c r="AF55" s="113">
        <v>345</v>
      </c>
      <c r="AG55" s="43" t="s">
        <v>1391</v>
      </c>
      <c r="AH55" s="13">
        <v>1.8089999999999999</v>
      </c>
      <c r="AI55" s="12"/>
      <c r="AJ55" s="40"/>
      <c r="AK55" s="40"/>
    </row>
    <row r="56" spans="2:37" s="41" customFormat="1" ht="16.149999999999999" customHeight="1">
      <c r="B56" s="12"/>
      <c r="C56" s="1"/>
      <c r="D56" s="4"/>
      <c r="E56" s="82" t="s">
        <v>1185</v>
      </c>
      <c r="F56" s="103">
        <v>3.6339999999999999</v>
      </c>
      <c r="G56" s="127">
        <f t="shared" si="20"/>
        <v>3634</v>
      </c>
      <c r="H56" s="97">
        <v>2</v>
      </c>
      <c r="I56" s="83" t="s">
        <v>1270</v>
      </c>
      <c r="J56" s="85" t="s">
        <v>991</v>
      </c>
      <c r="K56" s="82">
        <v>1597</v>
      </c>
      <c r="L56" s="82"/>
      <c r="M56" s="85" t="s">
        <v>1155</v>
      </c>
      <c r="N56" s="82" t="s">
        <v>1269</v>
      </c>
      <c r="O56" s="4"/>
      <c r="P56" s="4"/>
      <c r="Q56" s="5">
        <v>46000</v>
      </c>
      <c r="R56" s="36"/>
      <c r="S56" s="36"/>
      <c r="T56" s="37"/>
      <c r="U56" s="5">
        <f t="shared" si="21"/>
        <v>46000</v>
      </c>
      <c r="V56" s="5">
        <f t="shared" si="22"/>
        <v>167164</v>
      </c>
      <c r="W56" s="5">
        <f t="shared" si="26"/>
        <v>30089.52</v>
      </c>
      <c r="X56" s="5"/>
      <c r="Y56" s="5"/>
      <c r="Z56" s="98"/>
      <c r="AA56" s="23">
        <f t="shared" si="23"/>
        <v>0</v>
      </c>
      <c r="AB56" s="97">
        <f t="shared" si="24"/>
        <v>0</v>
      </c>
      <c r="AC56" s="43"/>
      <c r="AD56" s="49"/>
      <c r="AE56" s="5">
        <f t="shared" si="25"/>
        <v>197253.52</v>
      </c>
      <c r="AF56" s="113">
        <v>339</v>
      </c>
      <c r="AG56" s="43" t="s">
        <v>1391</v>
      </c>
      <c r="AH56" s="13">
        <v>3.6339999999999999</v>
      </c>
      <c r="AI56" s="12"/>
      <c r="AJ56" s="40"/>
      <c r="AK56" s="40"/>
    </row>
    <row r="57" spans="2:37" s="41" customFormat="1" ht="16.149999999999999" customHeight="1">
      <c r="B57" s="12"/>
      <c r="C57" s="1"/>
      <c r="D57" s="4"/>
      <c r="E57" s="82" t="s">
        <v>1185</v>
      </c>
      <c r="F57" s="103">
        <f>45.236-0.018</f>
        <v>45.217999999999996</v>
      </c>
      <c r="G57" s="127">
        <f t="shared" si="20"/>
        <v>45218</v>
      </c>
      <c r="H57" s="97">
        <v>25</v>
      </c>
      <c r="I57" s="83" t="s">
        <v>1261</v>
      </c>
      <c r="J57" s="85" t="s">
        <v>991</v>
      </c>
      <c r="K57" s="82">
        <v>1625</v>
      </c>
      <c r="L57" s="82"/>
      <c r="M57" s="85" t="s">
        <v>1155</v>
      </c>
      <c r="N57" s="82" t="s">
        <v>1271</v>
      </c>
      <c r="O57" s="4"/>
      <c r="P57" s="4"/>
      <c r="Q57" s="5">
        <v>46000</v>
      </c>
      <c r="R57" s="36"/>
      <c r="S57" s="36"/>
      <c r="T57" s="37"/>
      <c r="U57" s="5">
        <f t="shared" ref="U57:U66" si="33">S57+R57+Q57-T57</f>
        <v>46000</v>
      </c>
      <c r="V57" s="5">
        <f t="shared" ref="V57:V66" si="34">F57*U57</f>
        <v>2080027.9999999998</v>
      </c>
      <c r="W57" s="5">
        <f t="shared" ref="W57:W66" si="35">V57*18%</f>
        <v>374405.03999999992</v>
      </c>
      <c r="X57" s="5"/>
      <c r="Y57" s="5"/>
      <c r="Z57" s="98"/>
      <c r="AA57" s="23">
        <f t="shared" ref="AA57:AA66" si="36">F57*Z57</f>
        <v>0</v>
      </c>
      <c r="AB57" s="97">
        <f t="shared" ref="AB57:AB66" si="37">AA57*18%</f>
        <v>0</v>
      </c>
      <c r="AC57" s="43"/>
      <c r="AD57" s="49"/>
      <c r="AE57" s="5">
        <f t="shared" ref="AE57:AE66" si="38">+AB57+AA57+Y57+X57+W57+V57-AC57+AD57</f>
        <v>2454433.0399999996</v>
      </c>
      <c r="AF57" s="43">
        <v>360</v>
      </c>
      <c r="AG57" s="43" t="s">
        <v>1391</v>
      </c>
      <c r="AH57" s="103">
        <v>45.235999999999997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82" t="s">
        <v>1185</v>
      </c>
      <c r="F58" s="103">
        <v>34.371000000000002</v>
      </c>
      <c r="G58" s="127">
        <f t="shared" si="20"/>
        <v>34371</v>
      </c>
      <c r="H58" s="97">
        <v>19</v>
      </c>
      <c r="I58" s="83" t="s">
        <v>1235</v>
      </c>
      <c r="J58" s="85" t="s">
        <v>991</v>
      </c>
      <c r="K58" s="82">
        <v>1606</v>
      </c>
      <c r="L58" s="82"/>
      <c r="M58" s="85" t="s">
        <v>1155</v>
      </c>
      <c r="N58" s="82" t="s">
        <v>1275</v>
      </c>
      <c r="O58" s="4"/>
      <c r="P58" s="4"/>
      <c r="Q58" s="5">
        <v>46000</v>
      </c>
      <c r="R58" s="36"/>
      <c r="S58" s="36"/>
      <c r="T58" s="37"/>
      <c r="U58" s="5">
        <f t="shared" si="33"/>
        <v>46000</v>
      </c>
      <c r="V58" s="5">
        <f t="shared" si="34"/>
        <v>1581066</v>
      </c>
      <c r="W58" s="5">
        <f t="shared" si="35"/>
        <v>284591.88</v>
      </c>
      <c r="X58" s="5"/>
      <c r="Y58" s="5"/>
      <c r="Z58" s="98"/>
      <c r="AA58" s="23">
        <f t="shared" si="36"/>
        <v>0</v>
      </c>
      <c r="AB58" s="97">
        <f t="shared" si="37"/>
        <v>0</v>
      </c>
      <c r="AC58" s="43"/>
      <c r="AD58" s="49"/>
      <c r="AE58" s="5">
        <f t="shared" si="38"/>
        <v>1865657.88</v>
      </c>
      <c r="AF58" s="43">
        <v>347</v>
      </c>
      <c r="AG58" s="43" t="s">
        <v>1391</v>
      </c>
      <c r="AH58" s="103">
        <v>34.371000000000002</v>
      </c>
      <c r="AI58" s="12"/>
      <c r="AJ58" s="40"/>
      <c r="AK58" s="40"/>
    </row>
    <row r="59" spans="2:37" s="41" customFormat="1" ht="16.149999999999999" customHeight="1">
      <c r="B59" s="12"/>
      <c r="C59" s="1"/>
      <c r="D59" s="4"/>
      <c r="E59" s="82" t="s">
        <v>1185</v>
      </c>
      <c r="F59" s="103">
        <v>32.561999999999998</v>
      </c>
      <c r="G59" s="127">
        <f t="shared" si="20"/>
        <v>32561.999999999996</v>
      </c>
      <c r="H59" s="97">
        <v>18</v>
      </c>
      <c r="I59" s="83" t="s">
        <v>1278</v>
      </c>
      <c r="J59" s="85" t="s">
        <v>968</v>
      </c>
      <c r="K59" s="82">
        <v>1647</v>
      </c>
      <c r="L59" s="82"/>
      <c r="M59" s="85" t="s">
        <v>1273</v>
      </c>
      <c r="N59" s="82" t="s">
        <v>159</v>
      </c>
      <c r="O59" s="4"/>
      <c r="P59" s="4"/>
      <c r="Q59" s="5">
        <v>46000</v>
      </c>
      <c r="R59" s="36"/>
      <c r="S59" s="36"/>
      <c r="T59" s="37"/>
      <c r="U59" s="5">
        <f t="shared" si="33"/>
        <v>46000</v>
      </c>
      <c r="V59" s="5">
        <f t="shared" si="34"/>
        <v>1497852</v>
      </c>
      <c r="W59" s="5">
        <f t="shared" si="35"/>
        <v>269613.36</v>
      </c>
      <c r="X59" s="5"/>
      <c r="Y59" s="5"/>
      <c r="Z59" s="98"/>
      <c r="AA59" s="23">
        <f t="shared" si="36"/>
        <v>0</v>
      </c>
      <c r="AB59" s="97">
        <f t="shared" si="37"/>
        <v>0</v>
      </c>
      <c r="AC59" s="43"/>
      <c r="AD59" s="49"/>
      <c r="AE59" s="5">
        <f t="shared" si="38"/>
        <v>1767465.3599999999</v>
      </c>
      <c r="AF59" s="43">
        <v>378</v>
      </c>
      <c r="AG59" s="43" t="s">
        <v>1391</v>
      </c>
      <c r="AH59" s="103">
        <v>32.561999999999998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82" t="s">
        <v>1185</v>
      </c>
      <c r="F60" s="103">
        <v>3.6179999999999999</v>
      </c>
      <c r="G60" s="127">
        <f t="shared" si="20"/>
        <v>3618</v>
      </c>
      <c r="H60" s="97">
        <v>2</v>
      </c>
      <c r="I60" s="83" t="s">
        <v>1281</v>
      </c>
      <c r="J60" s="85" t="s">
        <v>968</v>
      </c>
      <c r="K60" s="82">
        <v>1644</v>
      </c>
      <c r="L60" s="82"/>
      <c r="M60" s="85" t="s">
        <v>1273</v>
      </c>
      <c r="N60" s="82" t="s">
        <v>42</v>
      </c>
      <c r="O60" s="4"/>
      <c r="P60" s="4"/>
      <c r="Q60" s="5">
        <v>46000</v>
      </c>
      <c r="R60" s="36"/>
      <c r="S60" s="36"/>
      <c r="T60" s="37"/>
      <c r="U60" s="5">
        <f t="shared" si="33"/>
        <v>46000</v>
      </c>
      <c r="V60" s="5">
        <f t="shared" si="34"/>
        <v>166428</v>
      </c>
      <c r="W60" s="5">
        <f t="shared" si="35"/>
        <v>29957.039999999997</v>
      </c>
      <c r="X60" s="5"/>
      <c r="Y60" s="5"/>
      <c r="Z60" s="98"/>
      <c r="AA60" s="23">
        <f t="shared" si="36"/>
        <v>0</v>
      </c>
      <c r="AB60" s="97">
        <f t="shared" si="37"/>
        <v>0</v>
      </c>
      <c r="AC60" s="43"/>
      <c r="AD60" s="49"/>
      <c r="AE60" s="5">
        <f t="shared" si="38"/>
        <v>196385.04</v>
      </c>
      <c r="AF60" s="113">
        <v>375</v>
      </c>
      <c r="AG60" s="43" t="s">
        <v>1391</v>
      </c>
      <c r="AH60" s="103">
        <v>3.6179999999999999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82" t="s">
        <v>1185</v>
      </c>
      <c r="F61" s="103">
        <v>32.561999999999998</v>
      </c>
      <c r="G61" s="127">
        <f t="shared" si="20"/>
        <v>32561.999999999996</v>
      </c>
      <c r="H61" s="97">
        <v>18</v>
      </c>
      <c r="I61" s="83" t="s">
        <v>1278</v>
      </c>
      <c r="J61" s="85" t="s">
        <v>968</v>
      </c>
      <c r="K61" s="82">
        <v>1640</v>
      </c>
      <c r="L61" s="82"/>
      <c r="M61" s="85" t="s">
        <v>1273</v>
      </c>
      <c r="N61" s="82" t="s">
        <v>869</v>
      </c>
      <c r="O61" s="4"/>
      <c r="P61" s="4"/>
      <c r="Q61" s="5">
        <v>46000</v>
      </c>
      <c r="R61" s="36"/>
      <c r="S61" s="36"/>
      <c r="T61" s="37"/>
      <c r="U61" s="5">
        <f t="shared" si="33"/>
        <v>46000</v>
      </c>
      <c r="V61" s="5">
        <f t="shared" si="34"/>
        <v>1497852</v>
      </c>
      <c r="W61" s="5">
        <f t="shared" si="35"/>
        <v>269613.36</v>
      </c>
      <c r="X61" s="5"/>
      <c r="Y61" s="5"/>
      <c r="Z61" s="98"/>
      <c r="AA61" s="23">
        <f t="shared" si="36"/>
        <v>0</v>
      </c>
      <c r="AB61" s="97">
        <f t="shared" si="37"/>
        <v>0</v>
      </c>
      <c r="AC61" s="43"/>
      <c r="AD61" s="49"/>
      <c r="AE61" s="5">
        <f t="shared" si="38"/>
        <v>1767465.3599999999</v>
      </c>
      <c r="AF61" s="43">
        <v>371</v>
      </c>
      <c r="AG61" s="43" t="s">
        <v>1391</v>
      </c>
      <c r="AH61" s="103">
        <v>32.561999999999998</v>
      </c>
      <c r="AI61" s="12"/>
      <c r="AJ61" s="40"/>
      <c r="AK61" s="40"/>
    </row>
    <row r="62" spans="2:37" s="41" customFormat="1" ht="16.149999999999999" customHeight="1">
      <c r="B62" s="12"/>
      <c r="C62" s="1"/>
      <c r="D62" s="4"/>
      <c r="E62" s="82" t="s">
        <v>1185</v>
      </c>
      <c r="F62" s="128">
        <f>2.831+27.335-2.831-3.62</f>
        <v>23.715</v>
      </c>
      <c r="G62" s="127">
        <f t="shared" si="20"/>
        <v>23715</v>
      </c>
      <c r="H62" s="97">
        <f>14-3</f>
        <v>11</v>
      </c>
      <c r="I62" s="83" t="s">
        <v>1282</v>
      </c>
      <c r="J62" s="85" t="s">
        <v>968</v>
      </c>
      <c r="K62" s="82">
        <v>1645</v>
      </c>
      <c r="L62" s="82"/>
      <c r="M62" s="85" t="s">
        <v>1273</v>
      </c>
      <c r="N62" s="82" t="s">
        <v>326</v>
      </c>
      <c r="O62" s="4"/>
      <c r="P62" s="4"/>
      <c r="Q62" s="5">
        <v>46000</v>
      </c>
      <c r="R62" s="36"/>
      <c r="S62" s="36"/>
      <c r="T62" s="37"/>
      <c r="U62" s="5">
        <f t="shared" si="33"/>
        <v>46000</v>
      </c>
      <c r="V62" s="5">
        <f t="shared" si="34"/>
        <v>1090890</v>
      </c>
      <c r="W62" s="5">
        <f t="shared" si="35"/>
        <v>196360.19999999998</v>
      </c>
      <c r="X62" s="5"/>
      <c r="Y62" s="5"/>
      <c r="Z62" s="98"/>
      <c r="AA62" s="23">
        <f t="shared" si="36"/>
        <v>0</v>
      </c>
      <c r="AB62" s="97">
        <f t="shared" si="37"/>
        <v>0</v>
      </c>
      <c r="AC62" s="43"/>
      <c r="AD62" s="49"/>
      <c r="AE62" s="5">
        <f t="shared" si="38"/>
        <v>1287250.2</v>
      </c>
      <c r="AF62" s="113">
        <v>376</v>
      </c>
      <c r="AG62" s="43" t="s">
        <v>1391</v>
      </c>
      <c r="AH62" s="103">
        <f>2.831+27.336</f>
        <v>30.166999999999998</v>
      </c>
      <c r="AI62" s="12"/>
      <c r="AJ62" s="40"/>
      <c r="AK62" s="40"/>
    </row>
    <row r="63" spans="2:37" s="41" customFormat="1" ht="16.149999999999999" customHeight="1">
      <c r="B63" s="12"/>
      <c r="C63" s="1"/>
      <c r="D63" s="4"/>
      <c r="E63" s="82" t="s">
        <v>1185</v>
      </c>
      <c r="F63" s="103">
        <v>1.827</v>
      </c>
      <c r="G63" s="127">
        <f t="shared" si="20"/>
        <v>1827</v>
      </c>
      <c r="H63" s="97">
        <v>1</v>
      </c>
      <c r="I63" s="83" t="s">
        <v>1283</v>
      </c>
      <c r="J63" s="85" t="s">
        <v>991</v>
      </c>
      <c r="K63" s="82">
        <v>1645</v>
      </c>
      <c r="L63" s="82"/>
      <c r="M63" s="85" t="s">
        <v>1273</v>
      </c>
      <c r="N63" s="82" t="s">
        <v>326</v>
      </c>
      <c r="O63" s="4"/>
      <c r="P63" s="4"/>
      <c r="Q63" s="5">
        <v>46000</v>
      </c>
      <c r="R63" s="36"/>
      <c r="S63" s="36"/>
      <c r="T63" s="37"/>
      <c r="U63" s="5">
        <f t="shared" si="33"/>
        <v>46000</v>
      </c>
      <c r="V63" s="5">
        <f t="shared" si="34"/>
        <v>84042</v>
      </c>
      <c r="W63" s="5">
        <f t="shared" si="35"/>
        <v>15127.56</v>
      </c>
      <c r="X63" s="5"/>
      <c r="Y63" s="5"/>
      <c r="Z63" s="98"/>
      <c r="AA63" s="23">
        <f t="shared" si="36"/>
        <v>0</v>
      </c>
      <c r="AB63" s="97">
        <f t="shared" si="37"/>
        <v>0</v>
      </c>
      <c r="AC63" s="43"/>
      <c r="AD63" s="49"/>
      <c r="AE63" s="5">
        <f t="shared" si="38"/>
        <v>99169.56</v>
      </c>
      <c r="AF63" s="113">
        <v>376</v>
      </c>
      <c r="AG63" s="43" t="s">
        <v>1391</v>
      </c>
      <c r="AH63" s="103">
        <v>1.827</v>
      </c>
      <c r="AI63" s="12"/>
      <c r="AJ63" s="40"/>
      <c r="AK63" s="40"/>
    </row>
    <row r="64" spans="2:37" s="41" customFormat="1" ht="16.149999999999999" customHeight="1">
      <c r="B64" s="12"/>
      <c r="C64" s="1"/>
      <c r="D64" s="4"/>
      <c r="E64" s="82" t="s">
        <v>1185</v>
      </c>
      <c r="F64" s="128">
        <v>3.6179999999999999</v>
      </c>
      <c r="G64" s="127">
        <f t="shared" si="20"/>
        <v>3618</v>
      </c>
      <c r="H64" s="97">
        <v>2</v>
      </c>
      <c r="I64" s="83" t="s">
        <v>1256</v>
      </c>
      <c r="J64" s="85" t="s">
        <v>991</v>
      </c>
      <c r="K64" s="82">
        <v>1600</v>
      </c>
      <c r="L64" s="82"/>
      <c r="M64" s="85" t="s">
        <v>1155</v>
      </c>
      <c r="N64" s="82" t="s">
        <v>1254</v>
      </c>
      <c r="O64" s="4"/>
      <c r="P64" s="4"/>
      <c r="Q64" s="5">
        <v>46000</v>
      </c>
      <c r="R64" s="36"/>
      <c r="S64" s="36"/>
      <c r="T64" s="37"/>
      <c r="U64" s="5">
        <f t="shared" si="33"/>
        <v>46000</v>
      </c>
      <c r="V64" s="5">
        <f t="shared" si="34"/>
        <v>166428</v>
      </c>
      <c r="W64" s="5">
        <f t="shared" si="35"/>
        <v>29957.039999999997</v>
      </c>
      <c r="X64" s="5"/>
      <c r="Y64" s="5"/>
      <c r="Z64" s="98"/>
      <c r="AA64" s="23">
        <f t="shared" si="36"/>
        <v>0</v>
      </c>
      <c r="AB64" s="97">
        <f t="shared" si="37"/>
        <v>0</v>
      </c>
      <c r="AC64" s="43"/>
      <c r="AD64" s="49"/>
      <c r="AE64" s="5">
        <f t="shared" si="38"/>
        <v>196385.04</v>
      </c>
      <c r="AF64" s="113">
        <v>342</v>
      </c>
      <c r="AG64" s="43" t="s">
        <v>1391</v>
      </c>
      <c r="AH64" s="13">
        <v>3.6179999999999999</v>
      </c>
      <c r="AI64" s="12"/>
      <c r="AJ64" s="40"/>
      <c r="AK64" s="40"/>
    </row>
    <row r="65" spans="2:37" s="41" customFormat="1" ht="16.149999999999999" customHeight="1">
      <c r="B65" s="83" t="s">
        <v>1256</v>
      </c>
      <c r="C65" s="1"/>
      <c r="D65" s="4"/>
      <c r="E65" s="82" t="s">
        <v>1185</v>
      </c>
      <c r="F65" s="128">
        <v>2.831</v>
      </c>
      <c r="G65" s="127">
        <f t="shared" si="20"/>
        <v>2831</v>
      </c>
      <c r="H65" s="97">
        <v>1</v>
      </c>
      <c r="I65" s="83" t="s">
        <v>1282</v>
      </c>
      <c r="J65" s="85" t="s">
        <v>968</v>
      </c>
      <c r="K65" s="82">
        <v>1542</v>
      </c>
      <c r="L65" s="82"/>
      <c r="M65" s="85" t="s">
        <v>1273</v>
      </c>
      <c r="N65" s="82" t="s">
        <v>43</v>
      </c>
      <c r="O65" s="4"/>
      <c r="P65" s="4"/>
      <c r="Q65" s="5">
        <v>46000</v>
      </c>
      <c r="R65" s="36"/>
      <c r="S65" s="36"/>
      <c r="T65" s="37"/>
      <c r="U65" s="5">
        <f t="shared" si="33"/>
        <v>46000</v>
      </c>
      <c r="V65" s="5">
        <f t="shared" si="34"/>
        <v>130226</v>
      </c>
      <c r="W65" s="5">
        <f t="shared" si="35"/>
        <v>23440.68</v>
      </c>
      <c r="X65" s="5"/>
      <c r="Y65" s="5"/>
      <c r="Z65" s="98"/>
      <c r="AA65" s="23">
        <f t="shared" si="36"/>
        <v>0</v>
      </c>
      <c r="AB65" s="97">
        <f t="shared" si="37"/>
        <v>0</v>
      </c>
      <c r="AC65" s="43"/>
      <c r="AD65" s="49"/>
      <c r="AE65" s="5">
        <f t="shared" si="38"/>
        <v>153666.68</v>
      </c>
      <c r="AF65" s="113">
        <v>304</v>
      </c>
      <c r="AG65" s="43" t="s">
        <v>1391</v>
      </c>
      <c r="AH65" s="13">
        <f>3.347-1.623</f>
        <v>1.724</v>
      </c>
      <c r="AI65" s="12"/>
      <c r="AJ65" s="40"/>
      <c r="AK65" s="40"/>
    </row>
    <row r="66" spans="2:37" s="41" customFormat="1" ht="16.149999999999999" customHeight="1">
      <c r="B66" s="83" t="s">
        <v>1256</v>
      </c>
      <c r="C66" s="1"/>
      <c r="D66" s="4"/>
      <c r="E66" s="82" t="s">
        <v>1185</v>
      </c>
      <c r="F66" s="128">
        <v>3.62</v>
      </c>
      <c r="G66" s="127">
        <f t="shared" si="20"/>
        <v>3620</v>
      </c>
      <c r="H66" s="97">
        <v>2</v>
      </c>
      <c r="I66" s="83" t="s">
        <v>1282</v>
      </c>
      <c r="J66" s="85" t="s">
        <v>968</v>
      </c>
      <c r="K66" s="82">
        <v>1605</v>
      </c>
      <c r="L66" s="82"/>
      <c r="M66" s="85" t="s">
        <v>1273</v>
      </c>
      <c r="N66" s="82" t="s">
        <v>1245</v>
      </c>
      <c r="O66" s="4"/>
      <c r="P66" s="4"/>
      <c r="Q66" s="5">
        <v>46000</v>
      </c>
      <c r="R66" s="36"/>
      <c r="S66" s="36"/>
      <c r="T66" s="37"/>
      <c r="U66" s="5">
        <f t="shared" si="33"/>
        <v>46000</v>
      </c>
      <c r="V66" s="5">
        <f t="shared" si="34"/>
        <v>166520</v>
      </c>
      <c r="W66" s="5">
        <f t="shared" si="35"/>
        <v>29973.599999999999</v>
      </c>
      <c r="X66" s="5"/>
      <c r="Y66" s="5"/>
      <c r="Z66" s="98"/>
      <c r="AA66" s="23">
        <f t="shared" si="36"/>
        <v>0</v>
      </c>
      <c r="AB66" s="97">
        <f t="shared" si="37"/>
        <v>0</v>
      </c>
      <c r="AC66" s="43"/>
      <c r="AD66" s="49"/>
      <c r="AE66" s="5">
        <f t="shared" si="38"/>
        <v>196493.6</v>
      </c>
      <c r="AF66" s="113">
        <v>346</v>
      </c>
      <c r="AG66" s="43" t="s">
        <v>1391</v>
      </c>
      <c r="AH66" s="13">
        <v>12.085000000000001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82" t="s">
        <v>1185</v>
      </c>
      <c r="F67" s="128">
        <f>34.171</f>
        <v>34.170999999999999</v>
      </c>
      <c r="G67" s="127">
        <f>+F67*1000</f>
        <v>34171</v>
      </c>
      <c r="H67" s="97">
        <v>15</v>
      </c>
      <c r="I67" s="83" t="s">
        <v>1282</v>
      </c>
      <c r="J67" s="85" t="s">
        <v>968</v>
      </c>
      <c r="K67" s="82">
        <v>1646</v>
      </c>
      <c r="L67" s="82"/>
      <c r="M67" s="85" t="s">
        <v>1273</v>
      </c>
      <c r="N67" s="82" t="s">
        <v>1254</v>
      </c>
      <c r="O67" s="4"/>
      <c r="P67" s="4"/>
      <c r="Q67" s="5">
        <v>46000</v>
      </c>
      <c r="R67" s="36"/>
      <c r="S67" s="36"/>
      <c r="T67" s="37"/>
      <c r="U67" s="5">
        <f t="shared" si="21"/>
        <v>46000</v>
      </c>
      <c r="V67" s="5">
        <f t="shared" si="22"/>
        <v>1571866</v>
      </c>
      <c r="W67" s="5">
        <f t="shared" si="26"/>
        <v>282935.88</v>
      </c>
      <c r="X67" s="5"/>
      <c r="Y67" s="5"/>
      <c r="Z67" s="98"/>
      <c r="AA67" s="23">
        <f t="shared" si="23"/>
        <v>0</v>
      </c>
      <c r="AB67" s="97">
        <f t="shared" si="24"/>
        <v>0</v>
      </c>
      <c r="AC67" s="43"/>
      <c r="AD67" s="49"/>
      <c r="AE67" s="5">
        <f t="shared" si="25"/>
        <v>1854801.88</v>
      </c>
      <c r="AF67" s="43">
        <v>377</v>
      </c>
      <c r="AG67" s="43" t="s">
        <v>1391</v>
      </c>
      <c r="AH67" s="13">
        <v>18.72</v>
      </c>
      <c r="AI67" s="12"/>
      <c r="AJ67" s="40"/>
      <c r="AK67" s="40"/>
    </row>
    <row r="68" spans="2:37" s="41" customFormat="1">
      <c r="B68" s="109">
        <v>558.30899999999997</v>
      </c>
      <c r="C68" s="19"/>
      <c r="D68" s="6"/>
      <c r="E68" s="6"/>
      <c r="F68" s="81">
        <f>SUM(F31:F67)</f>
        <v>558.30900000000008</v>
      </c>
      <c r="G68" s="20">
        <f>SUM(G31:G67)</f>
        <v>558309</v>
      </c>
      <c r="H68" s="21">
        <f>SUM(H31:H67)</f>
        <v>303</v>
      </c>
      <c r="I68" s="2"/>
      <c r="J68" s="7"/>
      <c r="K68" s="7"/>
      <c r="L68" s="7"/>
      <c r="M68" s="2"/>
      <c r="N68" s="6"/>
      <c r="O68" s="6"/>
      <c r="P68" s="6"/>
      <c r="Q68" s="19"/>
      <c r="R68" s="9"/>
      <c r="S68" s="9"/>
      <c r="T68" s="10"/>
      <c r="U68" s="8"/>
      <c r="V68" s="21">
        <f>SUM(V31:V67)</f>
        <v>25682214</v>
      </c>
      <c r="W68" s="21">
        <f>SUM(W31:W67)</f>
        <v>4622798.5199999986</v>
      </c>
      <c r="X68" s="21">
        <f>SUM(X31:X67)</f>
        <v>0</v>
      </c>
      <c r="Y68" s="21">
        <f>SUM(Y31:Y67)</f>
        <v>0</v>
      </c>
      <c r="Z68" s="99"/>
      <c r="AA68" s="21">
        <f>SUM(AA31:AA67)</f>
        <v>0</v>
      </c>
      <c r="AB68" s="21">
        <f>SUM(AB31:AB67)</f>
        <v>0</v>
      </c>
      <c r="AC68" s="21"/>
      <c r="AD68" s="21">
        <f>SUM(AD31:AD67)</f>
        <v>0</v>
      </c>
      <c r="AE68" s="21">
        <f>SUM(AE31:AE67)</f>
        <v>30305012.519999985</v>
      </c>
      <c r="AF68" s="114"/>
      <c r="AG68" s="50"/>
      <c r="AH68" s="81">
        <f>SUM(AH31:AH67)</f>
        <v>558.3090000000002</v>
      </c>
      <c r="AI68" s="26">
        <f>AH68-F68</f>
        <v>0</v>
      </c>
      <c r="AJ68" s="41">
        <v>15.45</v>
      </c>
      <c r="AK68" s="40"/>
    </row>
    <row r="69" spans="2:37" s="41" customFormat="1" ht="16.149999999999999" customHeight="1">
      <c r="B69" s="104" t="s">
        <v>1177</v>
      </c>
      <c r="C69" s="86" t="s">
        <v>1178</v>
      </c>
      <c r="D69" s="4"/>
      <c r="E69" s="130" t="s">
        <v>1197</v>
      </c>
      <c r="F69" s="103">
        <v>32.587000000000003</v>
      </c>
      <c r="G69" s="127">
        <f t="shared" ref="G69:G102" si="39">+F69*1000</f>
        <v>32587.000000000004</v>
      </c>
      <c r="H69" s="97">
        <v>18</v>
      </c>
      <c r="I69" s="83" t="s">
        <v>1198</v>
      </c>
      <c r="J69" s="85" t="s">
        <v>991</v>
      </c>
      <c r="K69" s="82">
        <v>1561</v>
      </c>
      <c r="L69" s="82"/>
      <c r="M69" s="85" t="s">
        <v>1144</v>
      </c>
      <c r="N69" s="82" t="s">
        <v>45</v>
      </c>
      <c r="O69" s="4"/>
      <c r="P69" s="4"/>
      <c r="Q69" s="5">
        <v>47500</v>
      </c>
      <c r="R69" s="36"/>
      <c r="S69" s="36"/>
      <c r="T69" s="37"/>
      <c r="U69" s="5">
        <f t="shared" ref="U69:U101" si="40">S69+R69+Q69-T69</f>
        <v>47500</v>
      </c>
      <c r="V69" s="5">
        <f t="shared" ref="V69:V101" si="41">F69*U69</f>
        <v>1547882.5000000002</v>
      </c>
      <c r="W69" s="5">
        <f>V69*18%</f>
        <v>278618.85000000003</v>
      </c>
      <c r="X69" s="5"/>
      <c r="Y69" s="5"/>
      <c r="Z69" s="98"/>
      <c r="AA69" s="23">
        <f t="shared" ref="AA69:AA101" si="42">F69*Z69</f>
        <v>0</v>
      </c>
      <c r="AB69" s="97">
        <f t="shared" ref="AB69:AB101" si="43">AA69*18%</f>
        <v>0</v>
      </c>
      <c r="AC69" s="43"/>
      <c r="AD69" s="49"/>
      <c r="AE69" s="5">
        <f t="shared" ref="AE69:AE101" si="44">+AB69+AA69+Y69+X69+W69+V69-AC69+AD69</f>
        <v>1826501.3500000003</v>
      </c>
      <c r="AF69" s="43">
        <v>323</v>
      </c>
      <c r="AG69" s="43" t="s">
        <v>1391</v>
      </c>
      <c r="AH69" s="13">
        <v>32.587000000000003</v>
      </c>
      <c r="AI69" s="12"/>
      <c r="AJ69" s="40"/>
      <c r="AK69" s="40"/>
    </row>
    <row r="70" spans="2:37" s="41" customFormat="1" ht="16.149999999999999" customHeight="1">
      <c r="B70" s="70" t="s">
        <v>767</v>
      </c>
      <c r="C70" s="86" t="s">
        <v>1194</v>
      </c>
      <c r="D70" s="4"/>
      <c r="E70" s="130" t="s">
        <v>1197</v>
      </c>
      <c r="F70" s="103">
        <v>32.561999999999998</v>
      </c>
      <c r="G70" s="127">
        <f t="shared" si="39"/>
        <v>32561.999999999996</v>
      </c>
      <c r="H70" s="97">
        <v>18</v>
      </c>
      <c r="I70" s="83" t="s">
        <v>1208</v>
      </c>
      <c r="J70" s="85" t="s">
        <v>968</v>
      </c>
      <c r="K70" s="82">
        <v>1565</v>
      </c>
      <c r="L70" s="82"/>
      <c r="M70" s="85" t="s">
        <v>1144</v>
      </c>
      <c r="N70" s="82" t="s">
        <v>87</v>
      </c>
      <c r="O70" s="4"/>
      <c r="P70" s="4"/>
      <c r="Q70" s="5">
        <v>47500</v>
      </c>
      <c r="R70" s="36"/>
      <c r="S70" s="36"/>
      <c r="T70" s="37"/>
      <c r="U70" s="5">
        <f t="shared" si="40"/>
        <v>47500</v>
      </c>
      <c r="V70" s="5">
        <f t="shared" si="41"/>
        <v>1546695</v>
      </c>
      <c r="W70" s="5">
        <f>V70*18%</f>
        <v>278405.09999999998</v>
      </c>
      <c r="X70" s="5"/>
      <c r="Y70" s="5"/>
      <c r="Z70" s="98"/>
      <c r="AA70" s="23">
        <f t="shared" si="42"/>
        <v>0</v>
      </c>
      <c r="AB70" s="97">
        <f t="shared" si="43"/>
        <v>0</v>
      </c>
      <c r="AC70" s="43"/>
      <c r="AD70" s="49"/>
      <c r="AE70" s="5">
        <f t="shared" si="44"/>
        <v>1825100.1</v>
      </c>
      <c r="AF70" s="43">
        <v>327</v>
      </c>
      <c r="AG70" s="43" t="s">
        <v>1391</v>
      </c>
      <c r="AH70" s="13">
        <v>32.561999999999998</v>
      </c>
      <c r="AI70" s="12"/>
      <c r="AJ70" s="40"/>
      <c r="AK70" s="40"/>
    </row>
    <row r="71" spans="2:37" s="41" customFormat="1" ht="16.149999999999999" customHeight="1">
      <c r="B71" s="105"/>
      <c r="C71" s="105"/>
      <c r="D71" s="4"/>
      <c r="E71" s="130" t="s">
        <v>1197</v>
      </c>
      <c r="F71" s="103">
        <v>32.561999999999998</v>
      </c>
      <c r="G71" s="127">
        <f t="shared" si="39"/>
        <v>32561.999999999996</v>
      </c>
      <c r="H71" s="97">
        <v>18</v>
      </c>
      <c r="I71" s="83" t="s">
        <v>1208</v>
      </c>
      <c r="J71" s="85" t="s">
        <v>968</v>
      </c>
      <c r="K71" s="82">
        <v>1564</v>
      </c>
      <c r="L71" s="82"/>
      <c r="M71" s="85" t="s">
        <v>1144</v>
      </c>
      <c r="N71" s="82" t="s">
        <v>1209</v>
      </c>
      <c r="O71" s="4"/>
      <c r="P71" s="4"/>
      <c r="Q71" s="5">
        <v>47500</v>
      </c>
      <c r="R71" s="36"/>
      <c r="S71" s="36"/>
      <c r="T71" s="37"/>
      <c r="U71" s="5">
        <f t="shared" si="40"/>
        <v>47500</v>
      </c>
      <c r="V71" s="5">
        <f t="shared" si="41"/>
        <v>1546695</v>
      </c>
      <c r="W71" s="5">
        <f t="shared" ref="W71:W101" si="45">V71*18%</f>
        <v>278405.09999999998</v>
      </c>
      <c r="X71" s="5"/>
      <c r="Y71" s="5"/>
      <c r="Z71" s="98"/>
      <c r="AA71" s="23">
        <f t="shared" si="42"/>
        <v>0</v>
      </c>
      <c r="AB71" s="97">
        <f t="shared" si="43"/>
        <v>0</v>
      </c>
      <c r="AC71" s="43"/>
      <c r="AD71" s="49"/>
      <c r="AE71" s="5">
        <f t="shared" si="44"/>
        <v>1825100.1</v>
      </c>
      <c r="AF71" s="43">
        <v>326</v>
      </c>
      <c r="AG71" s="43" t="s">
        <v>1391</v>
      </c>
      <c r="AH71" s="13">
        <v>32.561999999999998</v>
      </c>
      <c r="AI71" s="12"/>
      <c r="AJ71" s="40"/>
      <c r="AK71" s="40"/>
    </row>
    <row r="72" spans="2:37" s="41" customFormat="1" ht="16.149999999999999" customHeight="1">
      <c r="B72" s="83"/>
      <c r="C72" s="1"/>
      <c r="D72" s="4"/>
      <c r="E72" s="130" t="s">
        <v>1197</v>
      </c>
      <c r="F72" s="103">
        <v>32.561999999999998</v>
      </c>
      <c r="G72" s="127">
        <f t="shared" si="39"/>
        <v>32561.999999999996</v>
      </c>
      <c r="H72" s="97">
        <v>18</v>
      </c>
      <c r="I72" s="83" t="s">
        <v>1212</v>
      </c>
      <c r="J72" s="85" t="s">
        <v>968</v>
      </c>
      <c r="K72" s="82">
        <v>1562</v>
      </c>
      <c r="L72" s="82"/>
      <c r="M72" s="85" t="s">
        <v>1144</v>
      </c>
      <c r="N72" s="82" t="s">
        <v>1213</v>
      </c>
      <c r="O72" s="4"/>
      <c r="P72" s="4"/>
      <c r="Q72" s="5">
        <v>47500</v>
      </c>
      <c r="R72" s="36"/>
      <c r="S72" s="36"/>
      <c r="T72" s="37"/>
      <c r="U72" s="5">
        <f t="shared" si="40"/>
        <v>47500</v>
      </c>
      <c r="V72" s="5">
        <f t="shared" si="41"/>
        <v>1546695</v>
      </c>
      <c r="W72" s="5">
        <f t="shared" si="45"/>
        <v>278405.09999999998</v>
      </c>
      <c r="X72" s="5"/>
      <c r="Y72" s="5"/>
      <c r="Z72" s="98"/>
      <c r="AA72" s="23">
        <f t="shared" si="42"/>
        <v>0</v>
      </c>
      <c r="AB72" s="97">
        <f t="shared" si="43"/>
        <v>0</v>
      </c>
      <c r="AC72" s="43"/>
      <c r="AD72" s="49"/>
      <c r="AE72" s="5">
        <f t="shared" si="44"/>
        <v>1825100.1</v>
      </c>
      <c r="AF72" s="43">
        <v>324</v>
      </c>
      <c r="AG72" s="43" t="s">
        <v>1391</v>
      </c>
      <c r="AH72" s="13">
        <v>32.561999999999998</v>
      </c>
      <c r="AI72" s="12"/>
      <c r="AJ72" s="40"/>
      <c r="AK72" s="40"/>
    </row>
    <row r="73" spans="2:37" s="41" customFormat="1" ht="16.149999999999999" customHeight="1">
      <c r="B73" s="83"/>
      <c r="C73" s="1"/>
      <c r="D73" s="4"/>
      <c r="E73" s="130" t="s">
        <v>1197</v>
      </c>
      <c r="F73" s="103">
        <v>23.516999999999999</v>
      </c>
      <c r="G73" s="127">
        <f t="shared" si="39"/>
        <v>23517</v>
      </c>
      <c r="H73" s="97">
        <v>13</v>
      </c>
      <c r="I73" s="83" t="s">
        <v>1212</v>
      </c>
      <c r="J73" s="85" t="s">
        <v>968</v>
      </c>
      <c r="K73" s="82">
        <v>1563</v>
      </c>
      <c r="L73" s="82"/>
      <c r="M73" s="85" t="s">
        <v>1144</v>
      </c>
      <c r="N73" s="82" t="s">
        <v>1214</v>
      </c>
      <c r="O73" s="4"/>
      <c r="P73" s="4"/>
      <c r="Q73" s="5">
        <v>47500</v>
      </c>
      <c r="R73" s="36"/>
      <c r="S73" s="36"/>
      <c r="T73" s="37"/>
      <c r="U73" s="5">
        <f t="shared" si="40"/>
        <v>47500</v>
      </c>
      <c r="V73" s="5">
        <f t="shared" si="41"/>
        <v>1117057.5</v>
      </c>
      <c r="W73" s="5">
        <f t="shared" si="45"/>
        <v>201070.35</v>
      </c>
      <c r="X73" s="5"/>
      <c r="Y73" s="5"/>
      <c r="Z73" s="98"/>
      <c r="AA73" s="23">
        <f t="shared" si="42"/>
        <v>0</v>
      </c>
      <c r="AB73" s="97">
        <f t="shared" si="43"/>
        <v>0</v>
      </c>
      <c r="AC73" s="43"/>
      <c r="AD73" s="49"/>
      <c r="AE73" s="5">
        <f t="shared" si="44"/>
        <v>1318127.8500000001</v>
      </c>
      <c r="AF73" s="113">
        <v>325</v>
      </c>
      <c r="AG73" s="43" t="s">
        <v>1391</v>
      </c>
      <c r="AH73" s="13">
        <v>23.516999999999999</v>
      </c>
      <c r="AI73" s="12"/>
      <c r="AJ73" s="40"/>
      <c r="AK73" s="40"/>
    </row>
    <row r="74" spans="2:37" s="41" customFormat="1" ht="16.149999999999999" customHeight="1">
      <c r="B74" s="83"/>
      <c r="C74" s="1"/>
      <c r="D74" s="4"/>
      <c r="E74" s="130" t="s">
        <v>1197</v>
      </c>
      <c r="F74" s="103">
        <v>32.561999999999998</v>
      </c>
      <c r="G74" s="127">
        <f t="shared" si="39"/>
        <v>32561.999999999996</v>
      </c>
      <c r="H74" s="97">
        <v>18</v>
      </c>
      <c r="I74" s="83" t="s">
        <v>1223</v>
      </c>
      <c r="J74" s="85" t="s">
        <v>968</v>
      </c>
      <c r="K74" s="82">
        <v>1587</v>
      </c>
      <c r="L74" s="82"/>
      <c r="M74" s="85" t="s">
        <v>1144</v>
      </c>
      <c r="N74" s="82" t="s">
        <v>881</v>
      </c>
      <c r="O74" s="4"/>
      <c r="P74" s="4"/>
      <c r="Q74" s="5">
        <v>47500</v>
      </c>
      <c r="R74" s="36"/>
      <c r="S74" s="36"/>
      <c r="T74" s="37"/>
      <c r="U74" s="5">
        <f t="shared" si="40"/>
        <v>47500</v>
      </c>
      <c r="V74" s="5">
        <f t="shared" si="41"/>
        <v>1546695</v>
      </c>
      <c r="W74" s="5">
        <f t="shared" si="45"/>
        <v>278405.09999999998</v>
      </c>
      <c r="X74" s="5"/>
      <c r="Y74" s="5"/>
      <c r="Z74" s="98"/>
      <c r="AA74" s="23">
        <f t="shared" si="42"/>
        <v>0</v>
      </c>
      <c r="AB74" s="97">
        <f t="shared" si="43"/>
        <v>0</v>
      </c>
      <c r="AC74" s="43"/>
      <c r="AD74" s="49"/>
      <c r="AE74" s="5">
        <f t="shared" si="44"/>
        <v>1825100.1</v>
      </c>
      <c r="AF74" s="43">
        <v>329</v>
      </c>
      <c r="AG74" s="43" t="s">
        <v>1391</v>
      </c>
      <c r="AH74" s="13">
        <v>32.561999999999998</v>
      </c>
      <c r="AI74" s="12"/>
      <c r="AJ74" s="40"/>
      <c r="AK74" s="40"/>
    </row>
    <row r="75" spans="2:37" s="41" customFormat="1" ht="16.149999999999999" customHeight="1">
      <c r="B75" s="83"/>
      <c r="C75" s="1"/>
      <c r="D75" s="4"/>
      <c r="E75" s="130" t="s">
        <v>1197</v>
      </c>
      <c r="F75" s="103">
        <v>28.943999999999999</v>
      </c>
      <c r="G75" s="127">
        <f t="shared" si="39"/>
        <v>28944</v>
      </c>
      <c r="H75" s="97">
        <v>16</v>
      </c>
      <c r="I75" s="83" t="s">
        <v>1223</v>
      </c>
      <c r="J75" s="85" t="s">
        <v>968</v>
      </c>
      <c r="K75" s="82">
        <v>1588</v>
      </c>
      <c r="L75" s="82"/>
      <c r="M75" s="85" t="s">
        <v>1144</v>
      </c>
      <c r="N75" s="82" t="s">
        <v>57</v>
      </c>
      <c r="O75" s="4"/>
      <c r="P75" s="4"/>
      <c r="Q75" s="5">
        <v>47500</v>
      </c>
      <c r="R75" s="36"/>
      <c r="S75" s="36"/>
      <c r="T75" s="37"/>
      <c r="U75" s="5">
        <f t="shared" si="40"/>
        <v>47500</v>
      </c>
      <c r="V75" s="5">
        <f t="shared" si="41"/>
        <v>1374840</v>
      </c>
      <c r="W75" s="5">
        <f t="shared" si="45"/>
        <v>247471.19999999998</v>
      </c>
      <c r="X75" s="5"/>
      <c r="Y75" s="5"/>
      <c r="Z75" s="98"/>
      <c r="AA75" s="23">
        <f t="shared" si="42"/>
        <v>0</v>
      </c>
      <c r="AB75" s="97">
        <f t="shared" si="43"/>
        <v>0</v>
      </c>
      <c r="AC75" s="43"/>
      <c r="AD75" s="49"/>
      <c r="AE75" s="5">
        <f t="shared" si="44"/>
        <v>1622311.2</v>
      </c>
      <c r="AF75" s="113">
        <v>330</v>
      </c>
      <c r="AG75" s="43" t="s">
        <v>1391</v>
      </c>
      <c r="AH75" s="13">
        <v>28.943999999999999</v>
      </c>
      <c r="AI75" s="12"/>
      <c r="AJ75" s="40"/>
      <c r="AK75" s="40"/>
    </row>
    <row r="76" spans="2:37" s="41" customFormat="1" ht="16.149999999999999" customHeight="1">
      <c r="B76" s="83"/>
      <c r="C76" s="1"/>
      <c r="D76" s="4"/>
      <c r="E76" s="130" t="s">
        <v>1197</v>
      </c>
      <c r="F76" s="103">
        <v>28.952000000000002</v>
      </c>
      <c r="G76" s="127">
        <f t="shared" si="39"/>
        <v>28952</v>
      </c>
      <c r="H76" s="97">
        <v>16</v>
      </c>
      <c r="I76" s="83" t="s">
        <v>1226</v>
      </c>
      <c r="J76" s="85" t="s">
        <v>968</v>
      </c>
      <c r="K76" s="82">
        <v>1592</v>
      </c>
      <c r="L76" s="82"/>
      <c r="M76" s="85" t="s">
        <v>1144</v>
      </c>
      <c r="N76" s="82" t="s">
        <v>1227</v>
      </c>
      <c r="O76" s="4"/>
      <c r="P76" s="4"/>
      <c r="Q76" s="5">
        <v>47500</v>
      </c>
      <c r="R76" s="36"/>
      <c r="S76" s="36"/>
      <c r="T76" s="37"/>
      <c r="U76" s="5">
        <f t="shared" si="40"/>
        <v>47500</v>
      </c>
      <c r="V76" s="5">
        <f t="shared" si="41"/>
        <v>1375220</v>
      </c>
      <c r="W76" s="5">
        <f t="shared" si="45"/>
        <v>247539.59999999998</v>
      </c>
      <c r="X76" s="5"/>
      <c r="Y76" s="5"/>
      <c r="Z76" s="98"/>
      <c r="AA76" s="23">
        <f t="shared" si="42"/>
        <v>0</v>
      </c>
      <c r="AB76" s="97">
        <f t="shared" si="43"/>
        <v>0</v>
      </c>
      <c r="AC76" s="43"/>
      <c r="AD76" s="49"/>
      <c r="AE76" s="5">
        <f t="shared" si="44"/>
        <v>1622759.6</v>
      </c>
      <c r="AF76" s="113">
        <v>334</v>
      </c>
      <c r="AG76" s="43" t="s">
        <v>1391</v>
      </c>
      <c r="AH76" s="13">
        <v>28.952000000000002</v>
      </c>
      <c r="AI76" s="12"/>
      <c r="AJ76" s="40"/>
      <c r="AK76" s="40"/>
    </row>
    <row r="77" spans="2:37" s="41" customFormat="1" ht="16.149999999999999" customHeight="1">
      <c r="B77" s="12"/>
      <c r="C77" s="1"/>
      <c r="D77" s="4"/>
      <c r="E77" s="130" t="s">
        <v>1197</v>
      </c>
      <c r="F77" s="103">
        <v>32.57</v>
      </c>
      <c r="G77" s="127">
        <f t="shared" si="39"/>
        <v>32570</v>
      </c>
      <c r="H77" s="97">
        <v>18</v>
      </c>
      <c r="I77" s="83" t="s">
        <v>1234</v>
      </c>
      <c r="J77" s="85" t="s">
        <v>968</v>
      </c>
      <c r="K77" s="82">
        <v>1589</v>
      </c>
      <c r="L77" s="82"/>
      <c r="M77" s="85" t="s">
        <v>1155</v>
      </c>
      <c r="N77" s="82" t="s">
        <v>1238</v>
      </c>
      <c r="O77" s="4"/>
      <c r="P77" s="4"/>
      <c r="Q77" s="5">
        <v>47500</v>
      </c>
      <c r="R77" s="36"/>
      <c r="S77" s="36"/>
      <c r="T77" s="37"/>
      <c r="U77" s="5">
        <f t="shared" si="40"/>
        <v>47500</v>
      </c>
      <c r="V77" s="5">
        <f t="shared" si="41"/>
        <v>1547075</v>
      </c>
      <c r="W77" s="5">
        <f t="shared" si="45"/>
        <v>278473.5</v>
      </c>
      <c r="X77" s="5"/>
      <c r="Y77" s="5"/>
      <c r="Z77" s="98"/>
      <c r="AA77" s="23">
        <f t="shared" si="42"/>
        <v>0</v>
      </c>
      <c r="AB77" s="97">
        <f t="shared" si="43"/>
        <v>0</v>
      </c>
      <c r="AC77" s="43"/>
      <c r="AD77" s="49"/>
      <c r="AE77" s="5">
        <f t="shared" si="44"/>
        <v>1825548.5</v>
      </c>
      <c r="AF77" s="43">
        <v>331</v>
      </c>
      <c r="AG77" s="43" t="s">
        <v>1391</v>
      </c>
      <c r="AH77" s="13">
        <v>32.57</v>
      </c>
      <c r="AI77" s="12"/>
      <c r="AJ77" s="40"/>
      <c r="AK77" s="40"/>
    </row>
    <row r="78" spans="2:37" s="41" customFormat="1" ht="16.149999999999999" customHeight="1">
      <c r="B78" s="12"/>
      <c r="C78" s="1"/>
      <c r="D78" s="4"/>
      <c r="E78" s="130" t="s">
        <v>1197</v>
      </c>
      <c r="F78" s="103">
        <v>32.572000000000003</v>
      </c>
      <c r="G78" s="127">
        <f t="shared" si="39"/>
        <v>32572.000000000004</v>
      </c>
      <c r="H78" s="97">
        <v>18</v>
      </c>
      <c r="I78" s="83" t="s">
        <v>1237</v>
      </c>
      <c r="J78" s="85" t="s">
        <v>968</v>
      </c>
      <c r="K78" s="82">
        <v>1620</v>
      </c>
      <c r="L78" s="82"/>
      <c r="M78" s="85" t="s">
        <v>1155</v>
      </c>
      <c r="N78" s="82" t="s">
        <v>45</v>
      </c>
      <c r="O78" s="4"/>
      <c r="P78" s="4"/>
      <c r="Q78" s="5">
        <v>47500</v>
      </c>
      <c r="R78" s="36"/>
      <c r="S78" s="36"/>
      <c r="T78" s="37"/>
      <c r="U78" s="5">
        <f t="shared" si="40"/>
        <v>47500</v>
      </c>
      <c r="V78" s="5">
        <f t="shared" si="41"/>
        <v>1547170.0000000002</v>
      </c>
      <c r="W78" s="5">
        <f t="shared" si="45"/>
        <v>278490.60000000003</v>
      </c>
      <c r="X78" s="5"/>
      <c r="Y78" s="5"/>
      <c r="Z78" s="98"/>
      <c r="AA78" s="23">
        <f t="shared" si="42"/>
        <v>0</v>
      </c>
      <c r="AB78" s="97">
        <f t="shared" si="43"/>
        <v>0</v>
      </c>
      <c r="AC78" s="43"/>
      <c r="AD78" s="49"/>
      <c r="AE78" s="5">
        <f t="shared" si="44"/>
        <v>1825660.6000000003</v>
      </c>
      <c r="AF78" s="43">
        <v>355</v>
      </c>
      <c r="AG78" s="43" t="s">
        <v>1391</v>
      </c>
      <c r="AH78" s="13">
        <v>32.572000000000003</v>
      </c>
      <c r="AI78" s="12"/>
      <c r="AJ78" s="40"/>
      <c r="AK78" s="40"/>
    </row>
    <row r="79" spans="2:37" s="41" customFormat="1" ht="16.149999999999999" customHeight="1">
      <c r="B79" s="12"/>
      <c r="C79" s="1"/>
      <c r="D79" s="4"/>
      <c r="E79" s="130" t="s">
        <v>1197</v>
      </c>
      <c r="F79" s="103">
        <v>32.572000000000003</v>
      </c>
      <c r="G79" s="127">
        <f t="shared" si="39"/>
        <v>32572.000000000004</v>
      </c>
      <c r="H79" s="97">
        <v>18</v>
      </c>
      <c r="I79" s="83" t="s">
        <v>1226</v>
      </c>
      <c r="J79" s="85" t="s">
        <v>968</v>
      </c>
      <c r="K79" s="82">
        <v>1591</v>
      </c>
      <c r="L79" s="82"/>
      <c r="M79" s="85" t="s">
        <v>1155</v>
      </c>
      <c r="N79" s="82" t="s">
        <v>54</v>
      </c>
      <c r="O79" s="4"/>
      <c r="P79" s="4"/>
      <c r="Q79" s="5">
        <v>47500</v>
      </c>
      <c r="R79" s="36"/>
      <c r="S79" s="36"/>
      <c r="T79" s="37"/>
      <c r="U79" s="5">
        <f t="shared" si="40"/>
        <v>47500</v>
      </c>
      <c r="V79" s="5">
        <f t="shared" si="41"/>
        <v>1547170.0000000002</v>
      </c>
      <c r="W79" s="5">
        <f t="shared" si="45"/>
        <v>278490.60000000003</v>
      </c>
      <c r="X79" s="5"/>
      <c r="Y79" s="5"/>
      <c r="Z79" s="98"/>
      <c r="AA79" s="23">
        <f t="shared" si="42"/>
        <v>0</v>
      </c>
      <c r="AB79" s="97">
        <f t="shared" si="43"/>
        <v>0</v>
      </c>
      <c r="AC79" s="43"/>
      <c r="AD79" s="49"/>
      <c r="AE79" s="5">
        <f t="shared" si="44"/>
        <v>1825660.6000000003</v>
      </c>
      <c r="AF79" s="43">
        <v>333</v>
      </c>
      <c r="AG79" s="43" t="s">
        <v>1391</v>
      </c>
      <c r="AH79" s="13">
        <v>32.572000000000003</v>
      </c>
      <c r="AI79" s="12"/>
      <c r="AJ79" s="40"/>
      <c r="AK79" s="40"/>
    </row>
    <row r="80" spans="2:37" s="41" customFormat="1" ht="16.149999999999999" customHeight="1">
      <c r="B80" s="12"/>
      <c r="C80" s="1"/>
      <c r="D80" s="4"/>
      <c r="E80" s="130" t="s">
        <v>1197</v>
      </c>
      <c r="F80" s="103">
        <v>28.952000000000002</v>
      </c>
      <c r="G80" s="127">
        <f t="shared" si="39"/>
        <v>28952</v>
      </c>
      <c r="H80" s="97">
        <v>16</v>
      </c>
      <c r="I80" s="83" t="s">
        <v>1237</v>
      </c>
      <c r="J80" s="85" t="s">
        <v>968</v>
      </c>
      <c r="K80" s="82">
        <v>1621</v>
      </c>
      <c r="L80" s="82"/>
      <c r="M80" s="85" t="s">
        <v>1155</v>
      </c>
      <c r="N80" s="82" t="s">
        <v>1240</v>
      </c>
      <c r="O80" s="4"/>
      <c r="P80" s="4"/>
      <c r="Q80" s="5">
        <v>47500</v>
      </c>
      <c r="R80" s="36"/>
      <c r="S80" s="36"/>
      <c r="T80" s="37"/>
      <c r="U80" s="5">
        <f t="shared" si="40"/>
        <v>47500</v>
      </c>
      <c r="V80" s="5">
        <f t="shared" si="41"/>
        <v>1375220</v>
      </c>
      <c r="W80" s="5">
        <f t="shared" si="45"/>
        <v>247539.59999999998</v>
      </c>
      <c r="X80" s="5"/>
      <c r="Y80" s="5"/>
      <c r="Z80" s="98"/>
      <c r="AA80" s="23">
        <f t="shared" si="42"/>
        <v>0</v>
      </c>
      <c r="AB80" s="97">
        <f t="shared" si="43"/>
        <v>0</v>
      </c>
      <c r="AC80" s="43"/>
      <c r="AD80" s="49"/>
      <c r="AE80" s="5">
        <f t="shared" si="44"/>
        <v>1622759.6</v>
      </c>
      <c r="AF80" s="113">
        <v>356</v>
      </c>
      <c r="AG80" s="43" t="s">
        <v>1391</v>
      </c>
      <c r="AH80" s="13">
        <v>28.952000000000002</v>
      </c>
      <c r="AI80" s="12"/>
      <c r="AJ80" s="40"/>
      <c r="AK80" s="40"/>
    </row>
    <row r="81" spans="2:37" s="41" customFormat="1" ht="16.149999999999999" customHeight="1">
      <c r="B81" s="12"/>
      <c r="C81" s="1"/>
      <c r="D81" s="4"/>
      <c r="E81" s="130" t="s">
        <v>1197</v>
      </c>
      <c r="F81" s="103">
        <v>32.57</v>
      </c>
      <c r="G81" s="127">
        <f t="shared" si="39"/>
        <v>32570</v>
      </c>
      <c r="H81" s="97">
        <v>18</v>
      </c>
      <c r="I81" s="83" t="s">
        <v>1242</v>
      </c>
      <c r="J81" s="85" t="s">
        <v>968</v>
      </c>
      <c r="K81" s="82">
        <v>1618</v>
      </c>
      <c r="L81" s="82"/>
      <c r="M81" s="85" t="s">
        <v>1155</v>
      </c>
      <c r="N81" s="82" t="s">
        <v>42</v>
      </c>
      <c r="O81" s="4"/>
      <c r="P81" s="4"/>
      <c r="Q81" s="5">
        <v>47500</v>
      </c>
      <c r="R81" s="36"/>
      <c r="S81" s="36"/>
      <c r="T81" s="37"/>
      <c r="U81" s="5">
        <f t="shared" si="40"/>
        <v>47500</v>
      </c>
      <c r="V81" s="5">
        <f t="shared" si="41"/>
        <v>1547075</v>
      </c>
      <c r="W81" s="5">
        <f t="shared" si="45"/>
        <v>278473.5</v>
      </c>
      <c r="X81" s="5"/>
      <c r="Y81" s="5"/>
      <c r="Z81" s="98"/>
      <c r="AA81" s="23">
        <f t="shared" si="42"/>
        <v>0</v>
      </c>
      <c r="AB81" s="97">
        <f t="shared" si="43"/>
        <v>0</v>
      </c>
      <c r="AC81" s="43"/>
      <c r="AD81" s="49"/>
      <c r="AE81" s="5">
        <f t="shared" si="44"/>
        <v>1825548.5</v>
      </c>
      <c r="AF81" s="43">
        <v>353</v>
      </c>
      <c r="AG81" s="43" t="s">
        <v>1391</v>
      </c>
      <c r="AH81" s="13">
        <v>32.57</v>
      </c>
      <c r="AI81" s="12"/>
      <c r="AJ81" s="40"/>
      <c r="AK81" s="40"/>
    </row>
    <row r="82" spans="2:37" s="41" customFormat="1" ht="16.149999999999999" customHeight="1">
      <c r="B82" s="12"/>
      <c r="C82" s="1"/>
      <c r="D82" s="4"/>
      <c r="E82" s="130" t="s">
        <v>1197</v>
      </c>
      <c r="F82" s="103">
        <v>28.952000000000002</v>
      </c>
      <c r="G82" s="127">
        <f t="shared" si="39"/>
        <v>28952</v>
      </c>
      <c r="H82" s="97">
        <v>16</v>
      </c>
      <c r="I82" s="83" t="s">
        <v>1242</v>
      </c>
      <c r="J82" s="85" t="s">
        <v>968</v>
      </c>
      <c r="K82" s="82">
        <v>1619</v>
      </c>
      <c r="L82" s="82"/>
      <c r="M82" s="85" t="s">
        <v>1155</v>
      </c>
      <c r="N82" s="82" t="s">
        <v>1200</v>
      </c>
      <c r="O82" s="4"/>
      <c r="P82" s="4"/>
      <c r="Q82" s="5">
        <v>47500</v>
      </c>
      <c r="R82" s="36"/>
      <c r="S82" s="36"/>
      <c r="T82" s="37"/>
      <c r="U82" s="5">
        <f t="shared" si="40"/>
        <v>47500</v>
      </c>
      <c r="V82" s="5">
        <f t="shared" si="41"/>
        <v>1375220</v>
      </c>
      <c r="W82" s="5">
        <f t="shared" si="45"/>
        <v>247539.59999999998</v>
      </c>
      <c r="X82" s="5"/>
      <c r="Y82" s="5"/>
      <c r="Z82" s="98"/>
      <c r="AA82" s="23">
        <f t="shared" si="42"/>
        <v>0</v>
      </c>
      <c r="AB82" s="97">
        <f t="shared" si="43"/>
        <v>0</v>
      </c>
      <c r="AC82" s="43"/>
      <c r="AD82" s="49"/>
      <c r="AE82" s="5">
        <f t="shared" si="44"/>
        <v>1622759.6</v>
      </c>
      <c r="AF82" s="113">
        <v>354</v>
      </c>
      <c r="AG82" s="43" t="s">
        <v>1391</v>
      </c>
      <c r="AH82" s="13">
        <v>28.952000000000002</v>
      </c>
      <c r="AI82" s="12"/>
      <c r="AJ82" s="40"/>
      <c r="AK82" s="40"/>
    </row>
    <row r="83" spans="2:37" s="41" customFormat="1" ht="16.149999999999999" customHeight="1">
      <c r="B83" s="12"/>
      <c r="C83" s="1"/>
      <c r="D83" s="4"/>
      <c r="E83" s="130" t="s">
        <v>1197</v>
      </c>
      <c r="F83" s="103">
        <v>28.952000000000002</v>
      </c>
      <c r="G83" s="127">
        <f t="shared" si="39"/>
        <v>28952</v>
      </c>
      <c r="H83" s="97">
        <v>16</v>
      </c>
      <c r="I83" s="83" t="s">
        <v>1234</v>
      </c>
      <c r="J83" s="85" t="s">
        <v>968</v>
      </c>
      <c r="K83" s="82">
        <v>1690</v>
      </c>
      <c r="L83" s="82"/>
      <c r="M83" s="85" t="s">
        <v>1155</v>
      </c>
      <c r="N83" s="82" t="s">
        <v>869</v>
      </c>
      <c r="O83" s="4"/>
      <c r="P83" s="4"/>
      <c r="Q83" s="5">
        <v>47500</v>
      </c>
      <c r="R83" s="36"/>
      <c r="S83" s="36"/>
      <c r="T83" s="37"/>
      <c r="U83" s="5">
        <f t="shared" si="40"/>
        <v>47500</v>
      </c>
      <c r="V83" s="5">
        <f t="shared" si="41"/>
        <v>1375220</v>
      </c>
      <c r="W83" s="5">
        <f t="shared" si="45"/>
        <v>247539.59999999998</v>
      </c>
      <c r="X83" s="5"/>
      <c r="Y83" s="5"/>
      <c r="Z83" s="98"/>
      <c r="AA83" s="23">
        <f t="shared" si="42"/>
        <v>0</v>
      </c>
      <c r="AB83" s="97">
        <f t="shared" si="43"/>
        <v>0</v>
      </c>
      <c r="AC83" s="43"/>
      <c r="AD83" s="49"/>
      <c r="AE83" s="5">
        <f t="shared" si="44"/>
        <v>1622759.6</v>
      </c>
      <c r="AF83" s="43">
        <v>379</v>
      </c>
      <c r="AG83" s="43" t="s">
        <v>1391</v>
      </c>
      <c r="AH83" s="13">
        <v>28.952000000000002</v>
      </c>
      <c r="AI83" s="12"/>
      <c r="AJ83" s="40"/>
      <c r="AK83" s="40"/>
    </row>
    <row r="84" spans="2:37" s="41" customFormat="1" ht="16.149999999999999" customHeight="1">
      <c r="B84" s="12"/>
      <c r="C84" s="1"/>
      <c r="D84" s="4"/>
      <c r="E84" s="130" t="s">
        <v>1197</v>
      </c>
      <c r="F84" s="103">
        <v>32.561999999999998</v>
      </c>
      <c r="G84" s="127">
        <f t="shared" si="39"/>
        <v>32561.999999999996</v>
      </c>
      <c r="H84" s="97">
        <v>18</v>
      </c>
      <c r="I84" s="83" t="s">
        <v>1246</v>
      </c>
      <c r="J84" s="85" t="s">
        <v>968</v>
      </c>
      <c r="K84" s="82">
        <v>1622</v>
      </c>
      <c r="L84" s="82"/>
      <c r="M84" s="85" t="s">
        <v>1155</v>
      </c>
      <c r="N84" s="82" t="s">
        <v>1207</v>
      </c>
      <c r="O84" s="4"/>
      <c r="P84" s="4"/>
      <c r="Q84" s="5">
        <v>47500</v>
      </c>
      <c r="R84" s="36"/>
      <c r="S84" s="36"/>
      <c r="T84" s="37"/>
      <c r="U84" s="5">
        <f t="shared" si="40"/>
        <v>47500</v>
      </c>
      <c r="V84" s="5">
        <f t="shared" si="41"/>
        <v>1546695</v>
      </c>
      <c r="W84" s="5">
        <f t="shared" si="45"/>
        <v>278405.09999999998</v>
      </c>
      <c r="X84" s="5"/>
      <c r="Y84" s="5"/>
      <c r="Z84" s="98"/>
      <c r="AA84" s="23">
        <f t="shared" si="42"/>
        <v>0</v>
      </c>
      <c r="AB84" s="97">
        <f t="shared" si="43"/>
        <v>0</v>
      </c>
      <c r="AC84" s="43"/>
      <c r="AD84" s="49"/>
      <c r="AE84" s="5">
        <f t="shared" si="44"/>
        <v>1825100.1</v>
      </c>
      <c r="AF84" s="43">
        <v>357</v>
      </c>
      <c r="AG84" s="43" t="s">
        <v>1391</v>
      </c>
      <c r="AH84" s="13">
        <v>32.561999999999998</v>
      </c>
      <c r="AI84" s="12"/>
      <c r="AJ84" s="40"/>
      <c r="AK84" s="40"/>
    </row>
    <row r="85" spans="2:37" s="41" customFormat="1" ht="16.149999999999999" customHeight="1">
      <c r="B85" s="12"/>
      <c r="C85" s="1"/>
      <c r="D85" s="4"/>
      <c r="E85" s="130" t="s">
        <v>1197</v>
      </c>
      <c r="F85" s="103">
        <v>28.943999999999999</v>
      </c>
      <c r="G85" s="127">
        <f t="shared" si="39"/>
        <v>28944</v>
      </c>
      <c r="H85" s="97">
        <v>16</v>
      </c>
      <c r="I85" s="83" t="s">
        <v>1246</v>
      </c>
      <c r="J85" s="85" t="s">
        <v>968</v>
      </c>
      <c r="K85" s="82">
        <v>1623</v>
      </c>
      <c r="L85" s="82"/>
      <c r="M85" s="85" t="s">
        <v>1155</v>
      </c>
      <c r="N85" s="82" t="s">
        <v>1247</v>
      </c>
      <c r="O85" s="4"/>
      <c r="P85" s="4"/>
      <c r="Q85" s="5">
        <v>47500</v>
      </c>
      <c r="R85" s="36"/>
      <c r="S85" s="36"/>
      <c r="T85" s="37"/>
      <c r="U85" s="5">
        <f t="shared" si="40"/>
        <v>47500</v>
      </c>
      <c r="V85" s="5">
        <f t="shared" si="41"/>
        <v>1374840</v>
      </c>
      <c r="W85" s="5">
        <f t="shared" si="45"/>
        <v>247471.19999999998</v>
      </c>
      <c r="X85" s="5"/>
      <c r="Y85" s="5"/>
      <c r="Z85" s="98"/>
      <c r="AA85" s="23">
        <f t="shared" si="42"/>
        <v>0</v>
      </c>
      <c r="AB85" s="97">
        <f t="shared" si="43"/>
        <v>0</v>
      </c>
      <c r="AC85" s="43"/>
      <c r="AD85" s="49"/>
      <c r="AE85" s="5">
        <f t="shared" si="44"/>
        <v>1622311.2</v>
      </c>
      <c r="AF85" s="113">
        <v>358</v>
      </c>
      <c r="AG85" s="43" t="s">
        <v>1391</v>
      </c>
      <c r="AH85" s="13">
        <v>28.943999999999999</v>
      </c>
      <c r="AI85" s="12"/>
      <c r="AJ85" s="40"/>
      <c r="AK85" s="40"/>
    </row>
    <row r="86" spans="2:37" s="41" customFormat="1" ht="16.149999999999999" customHeight="1">
      <c r="B86" s="12"/>
      <c r="C86" s="1"/>
      <c r="D86" s="4"/>
      <c r="E86" s="130" t="s">
        <v>1197</v>
      </c>
      <c r="F86" s="103">
        <v>32.57</v>
      </c>
      <c r="G86" s="127">
        <f t="shared" si="39"/>
        <v>32570</v>
      </c>
      <c r="H86" s="97">
        <v>18</v>
      </c>
      <c r="I86" s="83" t="s">
        <v>1249</v>
      </c>
      <c r="J86" s="85" t="s">
        <v>968</v>
      </c>
      <c r="K86" s="82">
        <v>1624</v>
      </c>
      <c r="L86" s="82"/>
      <c r="M86" s="85" t="s">
        <v>1155</v>
      </c>
      <c r="N86" s="82" t="s">
        <v>1205</v>
      </c>
      <c r="O86" s="4"/>
      <c r="P86" s="4"/>
      <c r="Q86" s="5">
        <v>47500</v>
      </c>
      <c r="R86" s="36"/>
      <c r="S86" s="36"/>
      <c r="T86" s="37"/>
      <c r="U86" s="5">
        <f t="shared" ref="U86:U90" si="46">S86+R86+Q86-T86</f>
        <v>47500</v>
      </c>
      <c r="V86" s="5">
        <f t="shared" ref="V86:V90" si="47">F86*U86</f>
        <v>1547075</v>
      </c>
      <c r="W86" s="5">
        <f t="shared" ref="W86:W90" si="48">V86*18%</f>
        <v>278473.5</v>
      </c>
      <c r="X86" s="5"/>
      <c r="Y86" s="5"/>
      <c r="Z86" s="98"/>
      <c r="AA86" s="23">
        <f t="shared" ref="AA86:AA90" si="49">F86*Z86</f>
        <v>0</v>
      </c>
      <c r="AB86" s="97">
        <f t="shared" ref="AB86:AB90" si="50">AA86*18%</f>
        <v>0</v>
      </c>
      <c r="AC86" s="43"/>
      <c r="AD86" s="49"/>
      <c r="AE86" s="5">
        <f t="shared" ref="AE86:AE90" si="51">+AB86+AA86+Y86+X86+W86+V86-AC86+AD86</f>
        <v>1825548.5</v>
      </c>
      <c r="AF86" s="43">
        <v>359</v>
      </c>
      <c r="AG86" s="43" t="s">
        <v>1391</v>
      </c>
      <c r="AH86" s="13">
        <v>32.57</v>
      </c>
      <c r="AI86" s="12"/>
      <c r="AJ86" s="40"/>
      <c r="AK86" s="40"/>
    </row>
    <row r="87" spans="2:37" s="41" customFormat="1" ht="16.149999999999999" customHeight="1">
      <c r="B87" s="12"/>
      <c r="C87" s="1"/>
      <c r="D87" s="4"/>
      <c r="E87" s="130" t="s">
        <v>1197</v>
      </c>
      <c r="F87" s="103">
        <v>28.952000000000002</v>
      </c>
      <c r="G87" s="127">
        <f t="shared" si="39"/>
        <v>28952</v>
      </c>
      <c r="H87" s="97">
        <v>16</v>
      </c>
      <c r="I87" s="83" t="s">
        <v>1249</v>
      </c>
      <c r="J87" s="85" t="s">
        <v>968</v>
      </c>
      <c r="K87" s="82">
        <v>1615</v>
      </c>
      <c r="L87" s="82"/>
      <c r="M87" s="85" t="s">
        <v>1155</v>
      </c>
      <c r="N87" s="82" t="s">
        <v>1251</v>
      </c>
      <c r="O87" s="4"/>
      <c r="P87" s="4"/>
      <c r="Q87" s="5">
        <v>47500</v>
      </c>
      <c r="R87" s="36"/>
      <c r="S87" s="36"/>
      <c r="T87" s="37"/>
      <c r="U87" s="5">
        <f t="shared" si="46"/>
        <v>47500</v>
      </c>
      <c r="V87" s="5">
        <f t="shared" si="47"/>
        <v>1375220</v>
      </c>
      <c r="W87" s="5">
        <f t="shared" si="48"/>
        <v>247539.59999999998</v>
      </c>
      <c r="X87" s="5"/>
      <c r="Y87" s="5"/>
      <c r="Z87" s="98"/>
      <c r="AA87" s="23">
        <f t="shared" si="49"/>
        <v>0</v>
      </c>
      <c r="AB87" s="97">
        <f t="shared" si="50"/>
        <v>0</v>
      </c>
      <c r="AC87" s="43"/>
      <c r="AD87" s="49"/>
      <c r="AE87" s="5">
        <f t="shared" si="51"/>
        <v>1622759.6</v>
      </c>
      <c r="AF87" s="113">
        <v>350</v>
      </c>
      <c r="AG87" s="43" t="s">
        <v>1391</v>
      </c>
      <c r="AH87" s="13">
        <v>28.952000000000002</v>
      </c>
      <c r="AI87" s="12"/>
      <c r="AJ87" s="40"/>
      <c r="AK87" s="40"/>
    </row>
    <row r="88" spans="2:37" s="41" customFormat="1" ht="16.149999999999999" customHeight="1">
      <c r="B88" s="12"/>
      <c r="C88" s="1"/>
      <c r="D88" s="4"/>
      <c r="E88" s="130" t="s">
        <v>1197</v>
      </c>
      <c r="F88" s="103">
        <v>41.627000000000002</v>
      </c>
      <c r="G88" s="127">
        <f t="shared" si="39"/>
        <v>41627</v>
      </c>
      <c r="H88" s="97">
        <v>23</v>
      </c>
      <c r="I88" s="83" t="s">
        <v>1252</v>
      </c>
      <c r="J88" s="85" t="s">
        <v>991</v>
      </c>
      <c r="K88" s="82">
        <v>1601</v>
      </c>
      <c r="L88" s="82"/>
      <c r="M88" s="85" t="s">
        <v>1155</v>
      </c>
      <c r="N88" s="82" t="s">
        <v>43</v>
      </c>
      <c r="O88" s="4"/>
      <c r="P88" s="4"/>
      <c r="Q88" s="5">
        <v>47500</v>
      </c>
      <c r="R88" s="36"/>
      <c r="S88" s="36"/>
      <c r="T88" s="37"/>
      <c r="U88" s="5">
        <f t="shared" si="46"/>
        <v>47500</v>
      </c>
      <c r="V88" s="5">
        <f t="shared" si="47"/>
        <v>1977282.5</v>
      </c>
      <c r="W88" s="5">
        <f t="shared" si="48"/>
        <v>355910.85</v>
      </c>
      <c r="X88" s="5"/>
      <c r="Y88" s="5"/>
      <c r="Z88" s="98"/>
      <c r="AA88" s="23">
        <f t="shared" si="49"/>
        <v>0</v>
      </c>
      <c r="AB88" s="97">
        <f t="shared" si="50"/>
        <v>0</v>
      </c>
      <c r="AC88" s="43"/>
      <c r="AD88" s="49"/>
      <c r="AE88" s="5">
        <f t="shared" si="51"/>
        <v>2333193.35</v>
      </c>
      <c r="AF88" s="113">
        <v>343</v>
      </c>
      <c r="AG88" s="43" t="s">
        <v>1391</v>
      </c>
      <c r="AH88" s="13">
        <v>41.627000000000002</v>
      </c>
      <c r="AI88" s="12"/>
      <c r="AJ88" s="40"/>
      <c r="AK88" s="40"/>
    </row>
    <row r="89" spans="2:37" s="41" customFormat="1" ht="16.149999999999999" customHeight="1">
      <c r="B89" s="12"/>
      <c r="C89" s="1"/>
      <c r="D89" s="4"/>
      <c r="E89" s="130" t="s">
        <v>1197</v>
      </c>
      <c r="F89" s="103">
        <v>21.718</v>
      </c>
      <c r="G89" s="127">
        <f t="shared" si="39"/>
        <v>21718</v>
      </c>
      <c r="H89" s="97">
        <v>12</v>
      </c>
      <c r="I89" s="83" t="s">
        <v>1252</v>
      </c>
      <c r="J89" s="85" t="s">
        <v>991</v>
      </c>
      <c r="K89" s="82">
        <v>1600</v>
      </c>
      <c r="L89" s="82"/>
      <c r="M89" s="85" t="s">
        <v>1155</v>
      </c>
      <c r="N89" s="82" t="s">
        <v>1254</v>
      </c>
      <c r="O89" s="4"/>
      <c r="P89" s="4"/>
      <c r="Q89" s="5">
        <v>47500</v>
      </c>
      <c r="R89" s="36"/>
      <c r="S89" s="36"/>
      <c r="T89" s="37"/>
      <c r="U89" s="5">
        <f t="shared" si="46"/>
        <v>47500</v>
      </c>
      <c r="V89" s="5">
        <f t="shared" si="47"/>
        <v>1031605</v>
      </c>
      <c r="W89" s="5">
        <f t="shared" si="48"/>
        <v>185688.9</v>
      </c>
      <c r="X89" s="5"/>
      <c r="Y89" s="5"/>
      <c r="Z89" s="98"/>
      <c r="AA89" s="23">
        <f t="shared" si="49"/>
        <v>0</v>
      </c>
      <c r="AB89" s="97">
        <f t="shared" si="50"/>
        <v>0</v>
      </c>
      <c r="AC89" s="43"/>
      <c r="AD89" s="49"/>
      <c r="AE89" s="5">
        <f t="shared" si="51"/>
        <v>1217293.8999999999</v>
      </c>
      <c r="AF89" s="113">
        <v>342</v>
      </c>
      <c r="AG89" s="43" t="s">
        <v>1391</v>
      </c>
      <c r="AH89" s="13">
        <v>21.718</v>
      </c>
      <c r="AI89" s="12"/>
      <c r="AJ89" s="40"/>
      <c r="AK89" s="40"/>
    </row>
    <row r="90" spans="2:37" s="41" customFormat="1" ht="16.149999999999999" customHeight="1">
      <c r="B90" s="12"/>
      <c r="C90" s="1"/>
      <c r="D90" s="4"/>
      <c r="E90" s="130" t="s">
        <v>1197</v>
      </c>
      <c r="F90" s="103">
        <v>18.096</v>
      </c>
      <c r="G90" s="127">
        <f t="shared" si="39"/>
        <v>18096</v>
      </c>
      <c r="H90" s="97">
        <v>10</v>
      </c>
      <c r="I90" s="83" t="s">
        <v>1255</v>
      </c>
      <c r="J90" s="85" t="s">
        <v>991</v>
      </c>
      <c r="K90" s="82">
        <v>1600</v>
      </c>
      <c r="L90" s="82"/>
      <c r="M90" s="85" t="s">
        <v>1155</v>
      </c>
      <c r="N90" s="82" t="s">
        <v>1254</v>
      </c>
      <c r="O90" s="4"/>
      <c r="P90" s="4"/>
      <c r="Q90" s="5">
        <v>47500</v>
      </c>
      <c r="R90" s="36"/>
      <c r="S90" s="36"/>
      <c r="T90" s="37"/>
      <c r="U90" s="5">
        <f t="shared" si="46"/>
        <v>47500</v>
      </c>
      <c r="V90" s="5">
        <f t="shared" si="47"/>
        <v>859560</v>
      </c>
      <c r="W90" s="5">
        <f t="shared" si="48"/>
        <v>154720.79999999999</v>
      </c>
      <c r="X90" s="5"/>
      <c r="Y90" s="5"/>
      <c r="Z90" s="98"/>
      <c r="AA90" s="23">
        <f t="shared" si="49"/>
        <v>0</v>
      </c>
      <c r="AB90" s="97">
        <f t="shared" si="50"/>
        <v>0</v>
      </c>
      <c r="AC90" s="43"/>
      <c r="AD90" s="49"/>
      <c r="AE90" s="5">
        <f t="shared" si="51"/>
        <v>1014280.8</v>
      </c>
      <c r="AF90" s="113">
        <v>342</v>
      </c>
      <c r="AG90" s="43" t="s">
        <v>1391</v>
      </c>
      <c r="AH90" s="13">
        <v>18.094999999999999</v>
      </c>
      <c r="AI90" s="12"/>
      <c r="AJ90" s="40"/>
      <c r="AK90" s="40"/>
    </row>
    <row r="91" spans="2:37" s="41" customFormat="1" ht="16.149999999999999" customHeight="1">
      <c r="B91" s="12"/>
      <c r="C91" s="1"/>
      <c r="D91" s="4"/>
      <c r="E91" s="130" t="s">
        <v>1197</v>
      </c>
      <c r="F91" s="103">
        <v>43.427999999999997</v>
      </c>
      <c r="G91" s="127">
        <f t="shared" si="39"/>
        <v>43428</v>
      </c>
      <c r="H91" s="97">
        <v>24</v>
      </c>
      <c r="I91" s="83" t="s">
        <v>1255</v>
      </c>
      <c r="J91" s="85" t="s">
        <v>991</v>
      </c>
      <c r="K91" s="82">
        <v>1602</v>
      </c>
      <c r="L91" s="82"/>
      <c r="M91" s="85" t="s">
        <v>1155</v>
      </c>
      <c r="N91" s="82" t="s">
        <v>1257</v>
      </c>
      <c r="O91" s="4"/>
      <c r="P91" s="4"/>
      <c r="Q91" s="5">
        <v>47500</v>
      </c>
      <c r="R91" s="36"/>
      <c r="S91" s="36"/>
      <c r="T91" s="37"/>
      <c r="U91" s="5">
        <f t="shared" si="40"/>
        <v>47500</v>
      </c>
      <c r="V91" s="5">
        <f t="shared" si="41"/>
        <v>2062829.9999999998</v>
      </c>
      <c r="W91" s="5">
        <f t="shared" si="45"/>
        <v>371309.39999999997</v>
      </c>
      <c r="X91" s="5"/>
      <c r="Y91" s="5"/>
      <c r="Z91" s="98"/>
      <c r="AA91" s="23">
        <f t="shared" si="42"/>
        <v>0</v>
      </c>
      <c r="AB91" s="97">
        <f t="shared" si="43"/>
        <v>0</v>
      </c>
      <c r="AC91" s="43"/>
      <c r="AD91" s="49"/>
      <c r="AE91" s="5">
        <f t="shared" si="44"/>
        <v>2434139.4</v>
      </c>
      <c r="AF91" s="43">
        <v>344</v>
      </c>
      <c r="AG91" s="43" t="s">
        <v>1391</v>
      </c>
      <c r="AH91" s="13">
        <v>43.427999999999997</v>
      </c>
      <c r="AI91" s="12"/>
      <c r="AJ91" s="40"/>
      <c r="AK91" s="40"/>
    </row>
    <row r="92" spans="2:37" s="41" customFormat="1" ht="16.149999999999999" customHeight="1">
      <c r="B92" s="12"/>
      <c r="C92" s="1"/>
      <c r="D92" s="4"/>
      <c r="E92" s="130" t="s">
        <v>1197</v>
      </c>
      <c r="F92" s="103">
        <v>32.579000000000001</v>
      </c>
      <c r="G92" s="127">
        <f t="shared" si="39"/>
        <v>32579</v>
      </c>
      <c r="H92" s="97">
        <v>18</v>
      </c>
      <c r="I92" s="83" t="s">
        <v>1265</v>
      </c>
      <c r="J92" s="85" t="s">
        <v>991</v>
      </c>
      <c r="K92" s="82">
        <v>1596</v>
      </c>
      <c r="L92" s="82"/>
      <c r="M92" s="85" t="s">
        <v>1155</v>
      </c>
      <c r="N92" s="82" t="s">
        <v>1266</v>
      </c>
      <c r="O92" s="4"/>
      <c r="P92" s="4"/>
      <c r="Q92" s="5">
        <v>47500</v>
      </c>
      <c r="R92" s="36"/>
      <c r="S92" s="36"/>
      <c r="T92" s="37"/>
      <c r="U92" s="5">
        <f t="shared" ref="U92:U100" si="52">S92+R92+Q92-T92</f>
        <v>47500</v>
      </c>
      <c r="V92" s="5">
        <f t="shared" ref="V92:V100" si="53">F92*U92</f>
        <v>1547502.5</v>
      </c>
      <c r="W92" s="5">
        <f t="shared" ref="W92:W100" si="54">V92*18%</f>
        <v>278550.45</v>
      </c>
      <c r="X92" s="5"/>
      <c r="Y92" s="5"/>
      <c r="Z92" s="98"/>
      <c r="AA92" s="23">
        <f t="shared" ref="AA92:AA100" si="55">F92*Z92</f>
        <v>0</v>
      </c>
      <c r="AB92" s="97">
        <f t="shared" ref="AB92:AB100" si="56">AA92*18%</f>
        <v>0</v>
      </c>
      <c r="AC92" s="43"/>
      <c r="AD92" s="49"/>
      <c r="AE92" s="5">
        <f t="shared" ref="AE92:AE100" si="57">+AB92+AA92+Y92+X92+W92+V92-AC92+AD92</f>
        <v>1826052.95</v>
      </c>
      <c r="AF92" s="43">
        <v>338</v>
      </c>
      <c r="AG92" s="43" t="s">
        <v>1391</v>
      </c>
      <c r="AH92" s="13">
        <v>32.579000000000001</v>
      </c>
      <c r="AI92" s="12"/>
      <c r="AJ92" s="40"/>
      <c r="AK92" s="40"/>
    </row>
    <row r="93" spans="2:37" s="41" customFormat="1" ht="16.149999999999999" customHeight="1">
      <c r="B93" s="12"/>
      <c r="C93" s="1"/>
      <c r="D93" s="4"/>
      <c r="E93" s="130" t="s">
        <v>1197</v>
      </c>
      <c r="F93" s="103">
        <v>30.768999999999998</v>
      </c>
      <c r="G93" s="127">
        <f t="shared" si="39"/>
        <v>30769</v>
      </c>
      <c r="H93" s="97">
        <v>17</v>
      </c>
      <c r="I93" s="83" t="s">
        <v>1268</v>
      </c>
      <c r="J93" s="85" t="s">
        <v>991</v>
      </c>
      <c r="K93" s="82">
        <v>1603</v>
      </c>
      <c r="L93" s="82"/>
      <c r="M93" s="85" t="s">
        <v>1155</v>
      </c>
      <c r="N93" s="82" t="s">
        <v>1267</v>
      </c>
      <c r="O93" s="4"/>
      <c r="P93" s="4"/>
      <c r="Q93" s="5">
        <v>47500</v>
      </c>
      <c r="R93" s="36"/>
      <c r="S93" s="36"/>
      <c r="T93" s="37"/>
      <c r="U93" s="5">
        <f t="shared" si="52"/>
        <v>47500</v>
      </c>
      <c r="V93" s="5">
        <f t="shared" si="53"/>
        <v>1461527.5</v>
      </c>
      <c r="W93" s="5">
        <f t="shared" si="54"/>
        <v>263074.95</v>
      </c>
      <c r="X93" s="5"/>
      <c r="Y93" s="5"/>
      <c r="Z93" s="98"/>
      <c r="AA93" s="23">
        <f t="shared" si="55"/>
        <v>0</v>
      </c>
      <c r="AB93" s="97">
        <f t="shared" si="56"/>
        <v>0</v>
      </c>
      <c r="AC93" s="43"/>
      <c r="AD93" s="49"/>
      <c r="AE93" s="5">
        <f t="shared" si="57"/>
        <v>1724602.45</v>
      </c>
      <c r="AF93" s="113">
        <v>345</v>
      </c>
      <c r="AG93" s="43" t="s">
        <v>1391</v>
      </c>
      <c r="AH93" s="13">
        <v>30.768999999999998</v>
      </c>
      <c r="AI93" s="12"/>
      <c r="AJ93" s="40"/>
      <c r="AK93" s="40"/>
    </row>
    <row r="94" spans="2:37" s="41" customFormat="1" ht="16.149999999999999" customHeight="1">
      <c r="B94" s="12"/>
      <c r="C94" s="1"/>
      <c r="D94" s="4"/>
      <c r="E94" s="130" t="s">
        <v>1197</v>
      </c>
      <c r="F94" s="103">
        <v>28.96</v>
      </c>
      <c r="G94" s="127">
        <f t="shared" si="39"/>
        <v>28960</v>
      </c>
      <c r="H94" s="97">
        <v>16</v>
      </c>
      <c r="I94" s="83" t="s">
        <v>1265</v>
      </c>
      <c r="J94" s="85" t="s">
        <v>991</v>
      </c>
      <c r="K94" s="82">
        <v>1597</v>
      </c>
      <c r="L94" s="82"/>
      <c r="M94" s="85" t="s">
        <v>1155</v>
      </c>
      <c r="N94" s="82" t="s">
        <v>1269</v>
      </c>
      <c r="O94" s="4"/>
      <c r="P94" s="4"/>
      <c r="Q94" s="5">
        <v>47500</v>
      </c>
      <c r="R94" s="36"/>
      <c r="S94" s="36"/>
      <c r="T94" s="37"/>
      <c r="U94" s="5">
        <f t="shared" si="52"/>
        <v>47500</v>
      </c>
      <c r="V94" s="5">
        <f t="shared" si="53"/>
        <v>1375600</v>
      </c>
      <c r="W94" s="5">
        <f t="shared" si="54"/>
        <v>247608</v>
      </c>
      <c r="X94" s="5"/>
      <c r="Y94" s="5"/>
      <c r="Z94" s="98"/>
      <c r="AA94" s="23">
        <f t="shared" si="55"/>
        <v>0</v>
      </c>
      <c r="AB94" s="97">
        <f t="shared" si="56"/>
        <v>0</v>
      </c>
      <c r="AC94" s="43"/>
      <c r="AD94" s="49"/>
      <c r="AE94" s="5">
        <f t="shared" si="57"/>
        <v>1623208</v>
      </c>
      <c r="AF94" s="113">
        <v>339</v>
      </c>
      <c r="AG94" s="43" t="s">
        <v>1391</v>
      </c>
      <c r="AH94" s="13">
        <v>28.96</v>
      </c>
      <c r="AI94" s="12"/>
      <c r="AJ94" s="40"/>
      <c r="AK94" s="40"/>
    </row>
    <row r="95" spans="2:37" s="41" customFormat="1" ht="16.149999999999999" customHeight="1">
      <c r="B95" s="12"/>
      <c r="C95" s="1"/>
      <c r="D95" s="4"/>
      <c r="E95" s="130" t="s">
        <v>1197</v>
      </c>
      <c r="F95" s="103">
        <v>32.585999999999999</v>
      </c>
      <c r="G95" s="127">
        <f t="shared" si="39"/>
        <v>32586</v>
      </c>
      <c r="H95" s="97">
        <v>18</v>
      </c>
      <c r="I95" s="83" t="s">
        <v>1198</v>
      </c>
      <c r="J95" s="85" t="s">
        <v>991</v>
      </c>
      <c r="K95" s="82">
        <v>1599</v>
      </c>
      <c r="L95" s="82"/>
      <c r="M95" s="85" t="s">
        <v>1155</v>
      </c>
      <c r="N95" s="82" t="s">
        <v>1274</v>
      </c>
      <c r="O95" s="4"/>
      <c r="P95" s="4"/>
      <c r="Q95" s="5">
        <v>47500</v>
      </c>
      <c r="R95" s="36"/>
      <c r="S95" s="36"/>
      <c r="T95" s="37"/>
      <c r="U95" s="5">
        <f t="shared" si="52"/>
        <v>47500</v>
      </c>
      <c r="V95" s="5">
        <f t="shared" si="53"/>
        <v>1547835</v>
      </c>
      <c r="W95" s="5">
        <f t="shared" si="54"/>
        <v>278610.3</v>
      </c>
      <c r="X95" s="5"/>
      <c r="Y95" s="5"/>
      <c r="Z95" s="98"/>
      <c r="AA95" s="23">
        <f t="shared" si="55"/>
        <v>0</v>
      </c>
      <c r="AB95" s="97">
        <f t="shared" si="56"/>
        <v>0</v>
      </c>
      <c r="AC95" s="43"/>
      <c r="AD95" s="49"/>
      <c r="AE95" s="5">
        <f t="shared" si="57"/>
        <v>1826445.3</v>
      </c>
      <c r="AF95" s="43">
        <v>341</v>
      </c>
      <c r="AG95" s="43" t="s">
        <v>1391</v>
      </c>
      <c r="AH95" s="13">
        <v>32.587000000000003</v>
      </c>
      <c r="AI95" s="12"/>
      <c r="AJ95" s="40"/>
      <c r="AK95" s="40"/>
    </row>
    <row r="96" spans="2:37" s="41" customFormat="1" ht="16.149999999999999" customHeight="1">
      <c r="B96" s="12"/>
      <c r="C96" s="1"/>
      <c r="D96" s="4"/>
      <c r="E96" s="130" t="s">
        <v>1197</v>
      </c>
      <c r="F96" s="103">
        <v>32.561999999999998</v>
      </c>
      <c r="G96" s="127">
        <f t="shared" si="39"/>
        <v>32561.999999999996</v>
      </c>
      <c r="H96" s="97">
        <v>18</v>
      </c>
      <c r="I96" s="83" t="s">
        <v>1276</v>
      </c>
      <c r="J96" s="85" t="s">
        <v>968</v>
      </c>
      <c r="K96" s="82">
        <v>1635</v>
      </c>
      <c r="L96" s="82"/>
      <c r="M96" s="85" t="s">
        <v>1155</v>
      </c>
      <c r="N96" s="82" t="s">
        <v>87</v>
      </c>
      <c r="O96" s="4"/>
      <c r="P96" s="4"/>
      <c r="Q96" s="5">
        <v>47500</v>
      </c>
      <c r="R96" s="36"/>
      <c r="S96" s="36"/>
      <c r="T96" s="37"/>
      <c r="U96" s="5">
        <f t="shared" si="52"/>
        <v>47500</v>
      </c>
      <c r="V96" s="5">
        <f t="shared" si="53"/>
        <v>1546695</v>
      </c>
      <c r="W96" s="5">
        <f t="shared" si="54"/>
        <v>278405.09999999998</v>
      </c>
      <c r="X96" s="5"/>
      <c r="Y96" s="5"/>
      <c r="Z96" s="98"/>
      <c r="AA96" s="23">
        <f t="shared" si="55"/>
        <v>0</v>
      </c>
      <c r="AB96" s="97">
        <f t="shared" si="56"/>
        <v>0</v>
      </c>
      <c r="AC96" s="43"/>
      <c r="AD96" s="49"/>
      <c r="AE96" s="5">
        <f t="shared" si="57"/>
        <v>1825100.1</v>
      </c>
      <c r="AF96" s="43">
        <v>369</v>
      </c>
      <c r="AG96" s="43" t="s">
        <v>1391</v>
      </c>
      <c r="AH96" s="13">
        <v>32.561999999999998</v>
      </c>
      <c r="AI96" s="12"/>
      <c r="AJ96" s="40"/>
      <c r="AK96" s="40"/>
    </row>
    <row r="97" spans="2:37" s="41" customFormat="1" ht="16.149999999999999" customHeight="1">
      <c r="B97" s="12"/>
      <c r="C97" s="1"/>
      <c r="D97" s="4"/>
      <c r="E97" s="130" t="s">
        <v>1197</v>
      </c>
      <c r="F97" s="103">
        <v>32.561999999999998</v>
      </c>
      <c r="G97" s="127">
        <f t="shared" si="39"/>
        <v>32561.999999999996</v>
      </c>
      <c r="H97" s="97">
        <v>18</v>
      </c>
      <c r="I97" s="83" t="s">
        <v>1276</v>
      </c>
      <c r="J97" s="85" t="s">
        <v>968</v>
      </c>
      <c r="K97" s="82">
        <v>1634</v>
      </c>
      <c r="L97" s="82"/>
      <c r="M97" s="85" t="s">
        <v>1155</v>
      </c>
      <c r="N97" s="82" t="s">
        <v>881</v>
      </c>
      <c r="O97" s="4"/>
      <c r="P97" s="4"/>
      <c r="Q97" s="5">
        <v>47500</v>
      </c>
      <c r="R97" s="36"/>
      <c r="S97" s="36"/>
      <c r="T97" s="37"/>
      <c r="U97" s="5">
        <f t="shared" si="52"/>
        <v>47500</v>
      </c>
      <c r="V97" s="5">
        <f t="shared" si="53"/>
        <v>1546695</v>
      </c>
      <c r="W97" s="5">
        <f t="shared" si="54"/>
        <v>278405.09999999998</v>
      </c>
      <c r="X97" s="5"/>
      <c r="Y97" s="5"/>
      <c r="Z97" s="98"/>
      <c r="AA97" s="23">
        <f t="shared" si="55"/>
        <v>0</v>
      </c>
      <c r="AB97" s="97">
        <f t="shared" si="56"/>
        <v>0</v>
      </c>
      <c r="AC97" s="43"/>
      <c r="AD97" s="49"/>
      <c r="AE97" s="5">
        <f t="shared" si="57"/>
        <v>1825100.1</v>
      </c>
      <c r="AF97" s="43">
        <v>368</v>
      </c>
      <c r="AG97" s="43" t="s">
        <v>1391</v>
      </c>
      <c r="AH97" s="13">
        <v>32.561999999999998</v>
      </c>
      <c r="AI97" s="12"/>
      <c r="AJ97" s="40"/>
      <c r="AK97" s="40"/>
    </row>
    <row r="98" spans="2:37" s="41" customFormat="1" ht="16.149999999999999" customHeight="1">
      <c r="B98" s="12"/>
      <c r="C98" s="1"/>
      <c r="D98" s="4"/>
      <c r="E98" s="130" t="s">
        <v>1197</v>
      </c>
      <c r="F98" s="103">
        <v>32.561999999999998</v>
      </c>
      <c r="G98" s="127">
        <f t="shared" si="39"/>
        <v>32561.999999999996</v>
      </c>
      <c r="H98" s="97">
        <v>18</v>
      </c>
      <c r="I98" s="83" t="s">
        <v>1277</v>
      </c>
      <c r="J98" s="85" t="s">
        <v>968</v>
      </c>
      <c r="K98" s="82">
        <v>1633</v>
      </c>
      <c r="L98" s="82"/>
      <c r="M98" s="85" t="s">
        <v>1155</v>
      </c>
      <c r="N98" s="82" t="s">
        <v>1227</v>
      </c>
      <c r="O98" s="4"/>
      <c r="P98" s="4"/>
      <c r="Q98" s="5">
        <v>47500</v>
      </c>
      <c r="R98" s="36"/>
      <c r="S98" s="36"/>
      <c r="T98" s="37"/>
      <c r="U98" s="5">
        <f t="shared" si="52"/>
        <v>47500</v>
      </c>
      <c r="V98" s="5">
        <f t="shared" si="53"/>
        <v>1546695</v>
      </c>
      <c r="W98" s="5">
        <f t="shared" si="54"/>
        <v>278405.09999999998</v>
      </c>
      <c r="X98" s="5"/>
      <c r="Y98" s="5"/>
      <c r="Z98" s="98"/>
      <c r="AA98" s="23">
        <f t="shared" si="55"/>
        <v>0</v>
      </c>
      <c r="AB98" s="97">
        <f t="shared" si="56"/>
        <v>0</v>
      </c>
      <c r="AC98" s="43"/>
      <c r="AD98" s="49"/>
      <c r="AE98" s="5">
        <f t="shared" si="57"/>
        <v>1825100.1</v>
      </c>
      <c r="AF98" s="43">
        <v>367</v>
      </c>
      <c r="AG98" s="43" t="s">
        <v>1391</v>
      </c>
      <c r="AH98" s="13">
        <v>32.561999999999998</v>
      </c>
      <c r="AI98" s="12"/>
      <c r="AJ98" s="40"/>
      <c r="AK98" s="40"/>
    </row>
    <row r="99" spans="2:37" s="41" customFormat="1" ht="16.149999999999999" customHeight="1">
      <c r="B99" s="12"/>
      <c r="C99" s="1"/>
      <c r="D99" s="4"/>
      <c r="E99" s="130" t="s">
        <v>1197</v>
      </c>
      <c r="F99" s="103">
        <v>32.561999999999998</v>
      </c>
      <c r="G99" s="127">
        <f t="shared" si="39"/>
        <v>32561.999999999996</v>
      </c>
      <c r="H99" s="97">
        <v>18</v>
      </c>
      <c r="I99" s="83" t="s">
        <v>1277</v>
      </c>
      <c r="J99" s="85" t="s">
        <v>968</v>
      </c>
      <c r="K99" s="82">
        <v>1639</v>
      </c>
      <c r="L99" s="82"/>
      <c r="M99" s="85" t="s">
        <v>1155</v>
      </c>
      <c r="N99" s="82" t="s">
        <v>887</v>
      </c>
      <c r="O99" s="4"/>
      <c r="P99" s="4"/>
      <c r="Q99" s="5">
        <v>47500</v>
      </c>
      <c r="R99" s="36"/>
      <c r="S99" s="36"/>
      <c r="T99" s="37"/>
      <c r="U99" s="5">
        <f t="shared" si="52"/>
        <v>47500</v>
      </c>
      <c r="V99" s="5">
        <f t="shared" si="53"/>
        <v>1546695</v>
      </c>
      <c r="W99" s="5">
        <f t="shared" si="54"/>
        <v>278405.09999999998</v>
      </c>
      <c r="X99" s="5"/>
      <c r="Y99" s="5"/>
      <c r="Z99" s="98"/>
      <c r="AA99" s="23">
        <f t="shared" si="55"/>
        <v>0</v>
      </c>
      <c r="AB99" s="97">
        <f t="shared" si="56"/>
        <v>0</v>
      </c>
      <c r="AC99" s="43"/>
      <c r="AD99" s="49"/>
      <c r="AE99" s="5">
        <f t="shared" si="57"/>
        <v>1825100.1</v>
      </c>
      <c r="AF99" s="43">
        <v>370</v>
      </c>
      <c r="AG99" s="43" t="s">
        <v>1391</v>
      </c>
      <c r="AH99" s="13">
        <v>32.561999999999998</v>
      </c>
      <c r="AI99" s="12"/>
      <c r="AJ99" s="40"/>
      <c r="AK99" s="40"/>
    </row>
    <row r="100" spans="2:37" s="41" customFormat="1" ht="16.149999999999999" customHeight="1">
      <c r="B100" s="12"/>
      <c r="C100" s="1"/>
      <c r="D100" s="4"/>
      <c r="E100" s="130" t="s">
        <v>1197</v>
      </c>
      <c r="F100" s="103">
        <v>21.722999999999999</v>
      </c>
      <c r="G100" s="127">
        <f t="shared" si="39"/>
        <v>21723</v>
      </c>
      <c r="H100" s="97">
        <v>12</v>
      </c>
      <c r="I100" s="83" t="s">
        <v>1279</v>
      </c>
      <c r="J100" s="85" t="s">
        <v>968</v>
      </c>
      <c r="K100" s="82">
        <v>1641</v>
      </c>
      <c r="L100" s="82"/>
      <c r="M100" s="85" t="s">
        <v>1273</v>
      </c>
      <c r="N100" s="82" t="s">
        <v>40</v>
      </c>
      <c r="O100" s="4"/>
      <c r="P100" s="4"/>
      <c r="Q100" s="5">
        <v>47500</v>
      </c>
      <c r="R100" s="36"/>
      <c r="S100" s="36"/>
      <c r="T100" s="37"/>
      <c r="U100" s="5">
        <f t="shared" si="52"/>
        <v>47500</v>
      </c>
      <c r="V100" s="5">
        <f t="shared" si="53"/>
        <v>1031842.5</v>
      </c>
      <c r="W100" s="5">
        <f t="shared" si="54"/>
        <v>185731.65</v>
      </c>
      <c r="X100" s="5"/>
      <c r="Y100" s="5"/>
      <c r="Z100" s="98"/>
      <c r="AA100" s="23">
        <f t="shared" si="55"/>
        <v>0</v>
      </c>
      <c r="AB100" s="97">
        <f t="shared" si="56"/>
        <v>0</v>
      </c>
      <c r="AC100" s="43"/>
      <c r="AD100" s="49"/>
      <c r="AE100" s="5">
        <f t="shared" si="57"/>
        <v>1217574.1499999999</v>
      </c>
      <c r="AF100" s="113">
        <v>372</v>
      </c>
      <c r="AG100" s="43" t="s">
        <v>1391</v>
      </c>
      <c r="AH100" s="13">
        <v>21.722999999999999</v>
      </c>
      <c r="AI100" s="12"/>
      <c r="AJ100" s="40"/>
      <c r="AK100" s="40"/>
    </row>
    <row r="101" spans="2:37" s="41" customFormat="1" ht="16.149999999999999" customHeight="1">
      <c r="B101" s="12"/>
      <c r="C101" s="1"/>
      <c r="D101" s="4"/>
      <c r="E101" s="130" t="s">
        <v>1197</v>
      </c>
      <c r="F101" s="103">
        <v>32.561999999999998</v>
      </c>
      <c r="G101" s="127">
        <f t="shared" si="39"/>
        <v>32561.999999999996</v>
      </c>
      <c r="H101" s="97">
        <v>18</v>
      </c>
      <c r="I101" s="83" t="s">
        <v>1280</v>
      </c>
      <c r="J101" s="85" t="s">
        <v>968</v>
      </c>
      <c r="K101" s="82">
        <v>1643</v>
      </c>
      <c r="L101" s="82"/>
      <c r="M101" s="85" t="s">
        <v>1273</v>
      </c>
      <c r="N101" s="82" t="s">
        <v>45</v>
      </c>
      <c r="O101" s="4"/>
      <c r="P101" s="4"/>
      <c r="Q101" s="5">
        <v>47500</v>
      </c>
      <c r="R101" s="36"/>
      <c r="S101" s="36"/>
      <c r="T101" s="37"/>
      <c r="U101" s="5">
        <f t="shared" si="40"/>
        <v>47500</v>
      </c>
      <c r="V101" s="5">
        <f t="shared" si="41"/>
        <v>1546695</v>
      </c>
      <c r="W101" s="5">
        <f t="shared" si="45"/>
        <v>278405.09999999998</v>
      </c>
      <c r="X101" s="5"/>
      <c r="Y101" s="5"/>
      <c r="Z101" s="98"/>
      <c r="AA101" s="23">
        <f t="shared" si="42"/>
        <v>0</v>
      </c>
      <c r="AB101" s="97">
        <f t="shared" si="43"/>
        <v>0</v>
      </c>
      <c r="AC101" s="43"/>
      <c r="AD101" s="49"/>
      <c r="AE101" s="5">
        <f t="shared" si="44"/>
        <v>1825100.1</v>
      </c>
      <c r="AF101" s="43">
        <v>374</v>
      </c>
      <c r="AG101" s="43" t="s">
        <v>1391</v>
      </c>
      <c r="AH101" s="13">
        <v>32.561999999999998</v>
      </c>
      <c r="AI101" s="12"/>
      <c r="AJ101" s="40"/>
      <c r="AK101" s="40"/>
    </row>
    <row r="102" spans="2:37" s="41" customFormat="1" ht="16.149999999999999" customHeight="1">
      <c r="B102" s="12"/>
      <c r="C102" s="1"/>
      <c r="D102" s="4"/>
      <c r="E102" s="130" t="s">
        <v>1197</v>
      </c>
      <c r="F102" s="103">
        <v>28.943999999999999</v>
      </c>
      <c r="G102" s="127">
        <f t="shared" si="39"/>
        <v>28944</v>
      </c>
      <c r="H102" s="97">
        <v>16</v>
      </c>
      <c r="I102" s="83" t="s">
        <v>1280</v>
      </c>
      <c r="J102" s="85" t="s">
        <v>968</v>
      </c>
      <c r="K102" s="82">
        <v>1644</v>
      </c>
      <c r="L102" s="82"/>
      <c r="M102" s="85" t="s">
        <v>1273</v>
      </c>
      <c r="N102" s="82" t="s">
        <v>42</v>
      </c>
      <c r="O102" s="4"/>
      <c r="P102" s="4"/>
      <c r="Q102" s="5">
        <v>47500</v>
      </c>
      <c r="R102" s="36"/>
      <c r="S102" s="36"/>
      <c r="T102" s="37"/>
      <c r="U102" s="5">
        <f t="shared" ref="U102" si="58">S102+R102+Q102-T102</f>
        <v>47500</v>
      </c>
      <c r="V102" s="5">
        <f t="shared" ref="V102" si="59">F102*U102</f>
        <v>1374840</v>
      </c>
      <c r="W102" s="5">
        <f t="shared" ref="W102" si="60">V102*18%</f>
        <v>247471.19999999998</v>
      </c>
      <c r="X102" s="5"/>
      <c r="Y102" s="5"/>
      <c r="Z102" s="98"/>
      <c r="AA102" s="23">
        <f t="shared" ref="AA102" si="61">F102*Z102</f>
        <v>0</v>
      </c>
      <c r="AB102" s="97">
        <f t="shared" ref="AB102" si="62">AA102*18%</f>
        <v>0</v>
      </c>
      <c r="AC102" s="43"/>
      <c r="AD102" s="49"/>
      <c r="AE102" s="5">
        <f t="shared" ref="AE102" si="63">+AB102+AA102+Y102+X102+W102+V102-AC102+AD102</f>
        <v>1622311.2</v>
      </c>
      <c r="AF102" s="113">
        <v>375</v>
      </c>
      <c r="AG102" s="43" t="s">
        <v>1391</v>
      </c>
      <c r="AH102" s="13">
        <v>28.943999999999999</v>
      </c>
      <c r="AI102" s="12"/>
      <c r="AJ102" s="40"/>
      <c r="AK102" s="40"/>
    </row>
    <row r="103" spans="2:37" s="41" customFormat="1">
      <c r="B103" s="109">
        <v>1047.6559999999999</v>
      </c>
      <c r="C103" s="19"/>
      <c r="D103" s="6"/>
      <c r="E103" s="6"/>
      <c r="F103" s="81">
        <f>SUM(F69:F102)</f>
        <v>1047.6559999999999</v>
      </c>
      <c r="G103" s="20">
        <f>SUM(G69:G102)</f>
        <v>1047656</v>
      </c>
      <c r="H103" s="21">
        <f>SUM(H69:H102)</f>
        <v>579</v>
      </c>
      <c r="I103" s="2"/>
      <c r="J103" s="7"/>
      <c r="K103" s="7"/>
      <c r="L103" s="7"/>
      <c r="M103" s="2"/>
      <c r="N103" s="6"/>
      <c r="O103" s="6"/>
      <c r="P103" s="6"/>
      <c r="Q103" s="19"/>
      <c r="R103" s="9"/>
      <c r="S103" s="9"/>
      <c r="T103" s="10"/>
      <c r="U103" s="8"/>
      <c r="V103" s="21">
        <f>SUM(V69:V102)</f>
        <v>49763660</v>
      </c>
      <c r="W103" s="21">
        <f>SUM(W69:W102)</f>
        <v>8957458.799999997</v>
      </c>
      <c r="X103" s="21">
        <f>SUM(X69:X102)</f>
        <v>0</v>
      </c>
      <c r="Y103" s="21">
        <f>SUM(Y69:Y102)</f>
        <v>0</v>
      </c>
      <c r="Z103" s="99"/>
      <c r="AA103" s="21">
        <f>SUM(AA69:AA102)</f>
        <v>0</v>
      </c>
      <c r="AB103" s="21">
        <f>SUM(AB69:AB102)</f>
        <v>0</v>
      </c>
      <c r="AC103" s="21"/>
      <c r="AD103" s="21">
        <f>SUM(AD69:AD102)</f>
        <v>0</v>
      </c>
      <c r="AE103" s="21">
        <f>SUM(AE69:AE102)</f>
        <v>58721118.800000012</v>
      </c>
      <c r="AF103" s="114"/>
      <c r="AG103" s="50"/>
      <c r="AH103" s="81">
        <f>SUM(AH69:AH102)</f>
        <v>1047.6559999999999</v>
      </c>
      <c r="AI103" s="26">
        <f>AH103-F103</f>
        <v>0</v>
      </c>
      <c r="AJ103" s="41">
        <f>AA103/F103</f>
        <v>0</v>
      </c>
      <c r="AK103" s="40"/>
    </row>
    <row r="104" spans="2:37" s="41" customFormat="1" ht="16.149999999999999" customHeight="1">
      <c r="B104" s="104" t="s">
        <v>1177</v>
      </c>
      <c r="C104" s="86" t="s">
        <v>1178</v>
      </c>
      <c r="D104" s="4"/>
      <c r="E104" s="130" t="s">
        <v>1193</v>
      </c>
      <c r="F104" s="103">
        <v>32.561999999999998</v>
      </c>
      <c r="G104" s="127">
        <f t="shared" ref="G104:G118" si="64">+F104*1000</f>
        <v>32561.999999999996</v>
      </c>
      <c r="H104" s="97">
        <v>18</v>
      </c>
      <c r="I104" s="83" t="s">
        <v>1195</v>
      </c>
      <c r="J104" s="85" t="s">
        <v>968</v>
      </c>
      <c r="K104" s="82">
        <v>1552</v>
      </c>
      <c r="L104" s="82"/>
      <c r="M104" s="85" t="s">
        <v>1144</v>
      </c>
      <c r="N104" s="82" t="s">
        <v>46</v>
      </c>
      <c r="O104" s="4"/>
      <c r="P104" s="4"/>
      <c r="Q104" s="5">
        <v>48250</v>
      </c>
      <c r="R104" s="36"/>
      <c r="S104" s="36"/>
      <c r="T104" s="37"/>
      <c r="U104" s="5">
        <f t="shared" ref="U104:U118" si="65">S104+R104+Q104-T104</f>
        <v>48250</v>
      </c>
      <c r="V104" s="5">
        <f t="shared" ref="V104:V118" si="66">F104*U104</f>
        <v>1571116.5</v>
      </c>
      <c r="W104" s="5">
        <f>V104*18%</f>
        <v>282800.96999999997</v>
      </c>
      <c r="X104" s="5"/>
      <c r="Y104" s="5"/>
      <c r="Z104" s="98"/>
      <c r="AA104" s="23">
        <f t="shared" ref="AA104:AA118" si="67">F104*Z104</f>
        <v>0</v>
      </c>
      <c r="AB104" s="97">
        <f t="shared" ref="AB104:AB118" si="68">AA104*18%</f>
        <v>0</v>
      </c>
      <c r="AC104" s="43"/>
      <c r="AD104" s="49"/>
      <c r="AE104" s="5">
        <f t="shared" ref="AE104:AE118" si="69">+AB104+AA104+Y104+X104+W104+V104-AC104+AD104</f>
        <v>1853917.47</v>
      </c>
      <c r="AF104" s="43">
        <v>314</v>
      </c>
      <c r="AG104" s="43" t="s">
        <v>1391</v>
      </c>
      <c r="AH104" s="13">
        <v>32.561999999999998</v>
      </c>
      <c r="AI104" s="12"/>
      <c r="AJ104" s="40"/>
      <c r="AK104" s="40"/>
    </row>
    <row r="105" spans="2:37" s="41" customFormat="1" ht="16.149999999999999" customHeight="1">
      <c r="B105" s="70" t="s">
        <v>767</v>
      </c>
      <c r="C105" s="86" t="s">
        <v>1194</v>
      </c>
      <c r="D105" s="4"/>
      <c r="E105" s="130" t="s">
        <v>1193</v>
      </c>
      <c r="F105" s="103">
        <f>3.233+25.333</f>
        <v>28.565999999999999</v>
      </c>
      <c r="G105" s="127">
        <f t="shared" si="64"/>
        <v>28566</v>
      </c>
      <c r="H105" s="97">
        <v>16</v>
      </c>
      <c r="I105" s="83" t="s">
        <v>1206</v>
      </c>
      <c r="J105" s="85" t="s">
        <v>991</v>
      </c>
      <c r="K105" s="82">
        <v>1557</v>
      </c>
      <c r="L105" s="82"/>
      <c r="M105" s="85" t="s">
        <v>1144</v>
      </c>
      <c r="N105" s="82" t="s">
        <v>1205</v>
      </c>
      <c r="O105" s="4"/>
      <c r="P105" s="4"/>
      <c r="Q105" s="5">
        <v>48250</v>
      </c>
      <c r="R105" s="36"/>
      <c r="S105" s="36"/>
      <c r="T105" s="37"/>
      <c r="U105" s="5">
        <f t="shared" si="65"/>
        <v>48250</v>
      </c>
      <c r="V105" s="5">
        <f t="shared" si="66"/>
        <v>1378309.5</v>
      </c>
      <c r="W105" s="5">
        <f>V105*18%</f>
        <v>248095.71</v>
      </c>
      <c r="X105" s="5"/>
      <c r="Y105" s="5"/>
      <c r="Z105" s="98"/>
      <c r="AA105" s="23">
        <f t="shared" si="67"/>
        <v>0</v>
      </c>
      <c r="AB105" s="97">
        <f t="shared" si="68"/>
        <v>0</v>
      </c>
      <c r="AC105" s="43"/>
      <c r="AD105" s="49"/>
      <c r="AE105" s="5">
        <f t="shared" si="69"/>
        <v>1626405.21</v>
      </c>
      <c r="AF105" s="113">
        <v>319</v>
      </c>
      <c r="AG105" s="43" t="s">
        <v>1391</v>
      </c>
      <c r="AH105" s="13">
        <f>3.233+25.333</f>
        <v>28.565999999999999</v>
      </c>
      <c r="AI105" s="12"/>
      <c r="AJ105" s="40"/>
      <c r="AK105" s="40"/>
    </row>
    <row r="106" spans="2:37" s="41" customFormat="1" ht="16.149999999999999" customHeight="1">
      <c r="B106" s="83"/>
      <c r="C106" s="1"/>
      <c r="D106" s="4"/>
      <c r="E106" s="130" t="s">
        <v>1193</v>
      </c>
      <c r="F106" s="103">
        <v>32.572000000000003</v>
      </c>
      <c r="G106" s="127">
        <f t="shared" si="64"/>
        <v>32572.000000000004</v>
      </c>
      <c r="H106" s="97">
        <v>18</v>
      </c>
      <c r="I106" s="83" t="s">
        <v>1206</v>
      </c>
      <c r="J106" s="85" t="s">
        <v>991</v>
      </c>
      <c r="K106" s="82">
        <v>1558</v>
      </c>
      <c r="L106" s="82"/>
      <c r="M106" s="85" t="s">
        <v>1144</v>
      </c>
      <c r="N106" s="82" t="s">
        <v>1207</v>
      </c>
      <c r="O106" s="4"/>
      <c r="P106" s="4"/>
      <c r="Q106" s="5">
        <v>48250</v>
      </c>
      <c r="R106" s="36"/>
      <c r="S106" s="36"/>
      <c r="T106" s="37"/>
      <c r="U106" s="5">
        <f t="shared" si="65"/>
        <v>48250</v>
      </c>
      <c r="V106" s="5">
        <f t="shared" si="66"/>
        <v>1571599.0000000002</v>
      </c>
      <c r="W106" s="5">
        <f t="shared" ref="W106:W118" si="70">V106*18%</f>
        <v>282887.82</v>
      </c>
      <c r="X106" s="5"/>
      <c r="Y106" s="5"/>
      <c r="Z106" s="98"/>
      <c r="AA106" s="23">
        <f t="shared" si="67"/>
        <v>0</v>
      </c>
      <c r="AB106" s="97">
        <f t="shared" si="68"/>
        <v>0</v>
      </c>
      <c r="AC106" s="43"/>
      <c r="AD106" s="49"/>
      <c r="AE106" s="5">
        <f t="shared" si="69"/>
        <v>1854486.8200000003</v>
      </c>
      <c r="AF106" s="43">
        <v>320</v>
      </c>
      <c r="AG106" s="43" t="s">
        <v>1391</v>
      </c>
      <c r="AH106" s="13">
        <v>32.572000000000003</v>
      </c>
      <c r="AI106" s="12"/>
      <c r="AJ106" s="40"/>
      <c r="AK106" s="40"/>
    </row>
    <row r="107" spans="2:37" s="41" customFormat="1" ht="16.149999999999999" customHeight="1">
      <c r="B107" s="83"/>
      <c r="C107" s="1"/>
      <c r="D107" s="4"/>
      <c r="E107" s="130" t="s">
        <v>1193</v>
      </c>
      <c r="F107" s="103">
        <v>32.561999999999998</v>
      </c>
      <c r="G107" s="127">
        <f t="shared" si="64"/>
        <v>32561.999999999996</v>
      </c>
      <c r="H107" s="97">
        <v>18</v>
      </c>
      <c r="I107" s="83" t="s">
        <v>1195</v>
      </c>
      <c r="J107" s="85" t="s">
        <v>968</v>
      </c>
      <c r="K107" s="82">
        <v>1551</v>
      </c>
      <c r="L107" s="82"/>
      <c r="M107" s="85" t="s">
        <v>1144</v>
      </c>
      <c r="N107" s="82" t="s">
        <v>774</v>
      </c>
      <c r="O107" s="4"/>
      <c r="P107" s="4"/>
      <c r="Q107" s="5">
        <v>48250</v>
      </c>
      <c r="R107" s="36"/>
      <c r="S107" s="36"/>
      <c r="T107" s="37"/>
      <c r="U107" s="5">
        <f t="shared" si="65"/>
        <v>48250</v>
      </c>
      <c r="V107" s="5">
        <f t="shared" si="66"/>
        <v>1571116.5</v>
      </c>
      <c r="W107" s="5">
        <f t="shared" si="70"/>
        <v>282800.96999999997</v>
      </c>
      <c r="X107" s="5"/>
      <c r="Y107" s="5"/>
      <c r="Z107" s="98"/>
      <c r="AA107" s="23">
        <f t="shared" si="67"/>
        <v>0</v>
      </c>
      <c r="AB107" s="97">
        <f t="shared" si="68"/>
        <v>0</v>
      </c>
      <c r="AC107" s="43"/>
      <c r="AD107" s="49"/>
      <c r="AE107" s="5">
        <f t="shared" si="69"/>
        <v>1853917.47</v>
      </c>
      <c r="AF107" s="43">
        <v>313</v>
      </c>
      <c r="AG107" s="43" t="s">
        <v>1391</v>
      </c>
      <c r="AH107" s="13">
        <v>32.561999999999998</v>
      </c>
      <c r="AI107" s="12"/>
      <c r="AJ107" s="40"/>
      <c r="AK107" s="40"/>
    </row>
    <row r="108" spans="2:37" s="41" customFormat="1" ht="16.149999999999999" customHeight="1">
      <c r="B108" s="83"/>
      <c r="C108" s="1"/>
      <c r="D108" s="4"/>
      <c r="E108" s="130" t="s">
        <v>1193</v>
      </c>
      <c r="F108" s="103">
        <v>41.622999999999998</v>
      </c>
      <c r="G108" s="127">
        <f t="shared" si="64"/>
        <v>41623</v>
      </c>
      <c r="H108" s="97">
        <v>23</v>
      </c>
      <c r="I108" s="83" t="s">
        <v>1211</v>
      </c>
      <c r="J108" s="85" t="s">
        <v>968</v>
      </c>
      <c r="K108" s="82">
        <v>1553</v>
      </c>
      <c r="L108" s="82"/>
      <c r="M108" s="85" t="s">
        <v>1144</v>
      </c>
      <c r="N108" s="82" t="s">
        <v>326</v>
      </c>
      <c r="O108" s="4"/>
      <c r="P108" s="4"/>
      <c r="Q108" s="5">
        <v>48250</v>
      </c>
      <c r="R108" s="36"/>
      <c r="S108" s="36"/>
      <c r="T108" s="37"/>
      <c r="U108" s="5">
        <f t="shared" si="65"/>
        <v>48250</v>
      </c>
      <c r="V108" s="5">
        <f t="shared" si="66"/>
        <v>2008309.7499999998</v>
      </c>
      <c r="W108" s="5">
        <f t="shared" si="70"/>
        <v>361495.75499999995</v>
      </c>
      <c r="X108" s="5"/>
      <c r="Y108" s="5"/>
      <c r="Z108" s="98"/>
      <c r="AA108" s="23">
        <f t="shared" si="67"/>
        <v>0</v>
      </c>
      <c r="AB108" s="97">
        <f t="shared" si="68"/>
        <v>0</v>
      </c>
      <c r="AC108" s="43"/>
      <c r="AD108" s="49"/>
      <c r="AE108" s="5">
        <f t="shared" si="69"/>
        <v>2369805.5049999999</v>
      </c>
      <c r="AF108" s="113">
        <v>315</v>
      </c>
      <c r="AG108" s="43" t="s">
        <v>1391</v>
      </c>
      <c r="AH108" s="13">
        <v>41.622999999999998</v>
      </c>
      <c r="AI108" s="12"/>
      <c r="AJ108" s="40"/>
      <c r="AK108" s="40"/>
    </row>
    <row r="109" spans="2:37" s="41" customFormat="1" ht="16.149999999999999" customHeight="1">
      <c r="B109" s="83"/>
      <c r="C109" s="1"/>
      <c r="D109" s="4"/>
      <c r="E109" s="130" t="s">
        <v>1193</v>
      </c>
      <c r="F109" s="103">
        <v>9.0449999999999999</v>
      </c>
      <c r="G109" s="127">
        <f t="shared" si="64"/>
        <v>9045</v>
      </c>
      <c r="H109" s="97">
        <v>5</v>
      </c>
      <c r="I109" s="83" t="s">
        <v>1215</v>
      </c>
      <c r="J109" s="85" t="s">
        <v>968</v>
      </c>
      <c r="K109" s="82">
        <v>1563</v>
      </c>
      <c r="L109" s="82"/>
      <c r="M109" s="85" t="s">
        <v>1144</v>
      </c>
      <c r="N109" s="82" t="s">
        <v>1214</v>
      </c>
      <c r="O109" s="4"/>
      <c r="P109" s="4"/>
      <c r="Q109" s="5">
        <v>48250</v>
      </c>
      <c r="R109" s="36"/>
      <c r="S109" s="36"/>
      <c r="T109" s="37"/>
      <c r="U109" s="5">
        <f t="shared" si="65"/>
        <v>48250</v>
      </c>
      <c r="V109" s="5">
        <f t="shared" si="66"/>
        <v>436421.25</v>
      </c>
      <c r="W109" s="5">
        <f t="shared" si="70"/>
        <v>78555.824999999997</v>
      </c>
      <c r="X109" s="5"/>
      <c r="Y109" s="5"/>
      <c r="Z109" s="98"/>
      <c r="AA109" s="23">
        <f t="shared" si="67"/>
        <v>0</v>
      </c>
      <c r="AB109" s="97">
        <f t="shared" si="68"/>
        <v>0</v>
      </c>
      <c r="AC109" s="43"/>
      <c r="AD109" s="49"/>
      <c r="AE109" s="5">
        <f t="shared" si="69"/>
        <v>514977.07500000001</v>
      </c>
      <c r="AF109" s="113">
        <v>325</v>
      </c>
      <c r="AG109" s="43" t="s">
        <v>1391</v>
      </c>
      <c r="AH109" s="13">
        <v>9.0449999999999999</v>
      </c>
      <c r="AI109" s="12"/>
      <c r="AJ109" s="40"/>
      <c r="AK109" s="40"/>
    </row>
    <row r="110" spans="2:37" s="41" customFormat="1" ht="16.149999999999999" customHeight="1">
      <c r="B110" s="83"/>
      <c r="C110" s="1"/>
      <c r="D110" s="4"/>
      <c r="E110" s="130" t="s">
        <v>1193</v>
      </c>
      <c r="F110" s="103">
        <v>32.561999999999998</v>
      </c>
      <c r="G110" s="127">
        <f t="shared" si="64"/>
        <v>32561.999999999996</v>
      </c>
      <c r="H110" s="97">
        <v>18</v>
      </c>
      <c r="I110" s="83" t="s">
        <v>1216</v>
      </c>
      <c r="J110" s="85" t="s">
        <v>968</v>
      </c>
      <c r="K110" s="82">
        <v>1554</v>
      </c>
      <c r="L110" s="82"/>
      <c r="M110" s="85" t="s">
        <v>1144</v>
      </c>
      <c r="N110" s="82" t="s">
        <v>1217</v>
      </c>
      <c r="O110" s="4"/>
      <c r="P110" s="4"/>
      <c r="Q110" s="5">
        <v>48250</v>
      </c>
      <c r="R110" s="36"/>
      <c r="S110" s="36"/>
      <c r="T110" s="37"/>
      <c r="U110" s="5">
        <f t="shared" si="65"/>
        <v>48250</v>
      </c>
      <c r="V110" s="5">
        <f t="shared" si="66"/>
        <v>1571116.5</v>
      </c>
      <c r="W110" s="5">
        <f t="shared" si="70"/>
        <v>282800.96999999997</v>
      </c>
      <c r="X110" s="5"/>
      <c r="Y110" s="5"/>
      <c r="Z110" s="98"/>
      <c r="AA110" s="23">
        <f t="shared" si="67"/>
        <v>0</v>
      </c>
      <c r="AB110" s="97">
        <f t="shared" si="68"/>
        <v>0</v>
      </c>
      <c r="AC110" s="43"/>
      <c r="AD110" s="49"/>
      <c r="AE110" s="5">
        <f t="shared" si="69"/>
        <v>1853917.47</v>
      </c>
      <c r="AF110" s="43">
        <v>316</v>
      </c>
      <c r="AG110" s="43" t="s">
        <v>1391</v>
      </c>
      <c r="AH110" s="13">
        <v>32.561999999999998</v>
      </c>
      <c r="AI110" s="12"/>
      <c r="AJ110" s="40"/>
      <c r="AK110" s="40"/>
    </row>
    <row r="111" spans="2:37" s="41" customFormat="1" ht="16.149999999999999" customHeight="1">
      <c r="B111" s="12"/>
      <c r="C111" s="1"/>
      <c r="D111" s="4"/>
      <c r="E111" s="130" t="s">
        <v>1193</v>
      </c>
      <c r="F111" s="103">
        <v>32.561999999999998</v>
      </c>
      <c r="G111" s="127">
        <f t="shared" si="64"/>
        <v>32561.999999999996</v>
      </c>
      <c r="H111" s="97">
        <v>18</v>
      </c>
      <c r="I111" s="83" t="s">
        <v>1216</v>
      </c>
      <c r="J111" s="85" t="s">
        <v>968</v>
      </c>
      <c r="K111" s="82">
        <v>1555</v>
      </c>
      <c r="L111" s="82"/>
      <c r="M111" s="85" t="s">
        <v>1144</v>
      </c>
      <c r="N111" s="82" t="s">
        <v>1218</v>
      </c>
      <c r="O111" s="4"/>
      <c r="P111" s="4"/>
      <c r="Q111" s="5">
        <v>48250</v>
      </c>
      <c r="R111" s="36"/>
      <c r="S111" s="36"/>
      <c r="T111" s="37"/>
      <c r="U111" s="5">
        <f t="shared" si="65"/>
        <v>48250</v>
      </c>
      <c r="V111" s="5">
        <f t="shared" si="66"/>
        <v>1571116.5</v>
      </c>
      <c r="W111" s="5">
        <f t="shared" si="70"/>
        <v>282800.96999999997</v>
      </c>
      <c r="X111" s="5"/>
      <c r="Y111" s="5"/>
      <c r="Z111" s="98"/>
      <c r="AA111" s="23">
        <f t="shared" si="67"/>
        <v>0</v>
      </c>
      <c r="AB111" s="97">
        <f t="shared" si="68"/>
        <v>0</v>
      </c>
      <c r="AC111" s="43"/>
      <c r="AD111" s="49"/>
      <c r="AE111" s="5">
        <f t="shared" si="69"/>
        <v>1853917.47</v>
      </c>
      <c r="AF111" s="43">
        <v>317</v>
      </c>
      <c r="AG111" s="43" t="s">
        <v>1391</v>
      </c>
      <c r="AH111" s="13">
        <v>32.561999999999998</v>
      </c>
      <c r="AI111" s="12"/>
      <c r="AJ111" s="40"/>
      <c r="AK111" s="40"/>
    </row>
    <row r="112" spans="2:37" s="41" customFormat="1" ht="16.149999999999999" customHeight="1">
      <c r="B112" s="12"/>
      <c r="C112" s="1"/>
      <c r="D112" s="4"/>
      <c r="E112" s="130" t="s">
        <v>1193</v>
      </c>
      <c r="F112" s="103">
        <v>30.753</v>
      </c>
      <c r="G112" s="127">
        <f t="shared" si="64"/>
        <v>30753</v>
      </c>
      <c r="H112" s="97">
        <v>17</v>
      </c>
      <c r="I112" s="83" t="s">
        <v>1221</v>
      </c>
      <c r="J112" s="85" t="s">
        <v>991</v>
      </c>
      <c r="K112" s="82">
        <v>1550</v>
      </c>
      <c r="L112" s="82"/>
      <c r="M112" s="85" t="s">
        <v>1144</v>
      </c>
      <c r="N112" s="82" t="s">
        <v>1220</v>
      </c>
      <c r="O112" s="4"/>
      <c r="P112" s="4"/>
      <c r="Q112" s="5">
        <v>48250</v>
      </c>
      <c r="R112" s="36"/>
      <c r="S112" s="36"/>
      <c r="T112" s="37"/>
      <c r="U112" s="5">
        <f t="shared" si="65"/>
        <v>48250</v>
      </c>
      <c r="V112" s="5">
        <f t="shared" si="66"/>
        <v>1483832.25</v>
      </c>
      <c r="W112" s="5">
        <f t="shared" si="70"/>
        <v>267089.80499999999</v>
      </c>
      <c r="X112" s="5"/>
      <c r="Y112" s="5"/>
      <c r="Z112" s="98"/>
      <c r="AA112" s="23">
        <f t="shared" si="67"/>
        <v>0</v>
      </c>
      <c r="AB112" s="97">
        <f t="shared" si="68"/>
        <v>0</v>
      </c>
      <c r="AC112" s="43"/>
      <c r="AD112" s="49"/>
      <c r="AE112" s="5">
        <f t="shared" si="69"/>
        <v>1750922.0549999999</v>
      </c>
      <c r="AF112" s="113">
        <v>312</v>
      </c>
      <c r="AG112" s="43" t="s">
        <v>1391</v>
      </c>
      <c r="AH112" s="13">
        <v>30.753</v>
      </c>
      <c r="AI112" s="12"/>
      <c r="AJ112" s="40"/>
      <c r="AK112" s="40"/>
    </row>
    <row r="113" spans="2:37" s="41" customFormat="1" ht="16.149999999999999" customHeight="1">
      <c r="B113" s="12"/>
      <c r="C113" s="1"/>
      <c r="D113" s="4"/>
      <c r="E113" s="130" t="s">
        <v>1193</v>
      </c>
      <c r="F113" s="103">
        <v>43.429000000000002</v>
      </c>
      <c r="G113" s="127">
        <f t="shared" si="64"/>
        <v>43429</v>
      </c>
      <c r="H113" s="97">
        <v>24</v>
      </c>
      <c r="I113" s="83" t="s">
        <v>1225</v>
      </c>
      <c r="J113" s="85" t="s">
        <v>991</v>
      </c>
      <c r="K113" s="82">
        <v>1595</v>
      </c>
      <c r="L113" s="82"/>
      <c r="M113" s="85" t="s">
        <v>1144</v>
      </c>
      <c r="N113" s="82" t="s">
        <v>1187</v>
      </c>
      <c r="O113" s="4"/>
      <c r="P113" s="4"/>
      <c r="Q113" s="5">
        <v>48250</v>
      </c>
      <c r="R113" s="36"/>
      <c r="S113" s="36"/>
      <c r="T113" s="37"/>
      <c r="U113" s="5">
        <f t="shared" si="65"/>
        <v>48250</v>
      </c>
      <c r="V113" s="5">
        <f t="shared" si="66"/>
        <v>2095449.25</v>
      </c>
      <c r="W113" s="5">
        <f t="shared" si="70"/>
        <v>377180.86499999999</v>
      </c>
      <c r="X113" s="5"/>
      <c r="Y113" s="5"/>
      <c r="Z113" s="98"/>
      <c r="AA113" s="23">
        <f t="shared" si="67"/>
        <v>0</v>
      </c>
      <c r="AB113" s="97">
        <f t="shared" si="68"/>
        <v>0</v>
      </c>
      <c r="AC113" s="43"/>
      <c r="AD113" s="49"/>
      <c r="AE113" s="5">
        <f t="shared" si="69"/>
        <v>2472630.1150000002</v>
      </c>
      <c r="AF113" s="43">
        <v>337</v>
      </c>
      <c r="AG113" s="43" t="s">
        <v>1391</v>
      </c>
      <c r="AH113" s="13">
        <v>43.429000000000002</v>
      </c>
      <c r="AI113" s="12"/>
      <c r="AJ113" s="40"/>
      <c r="AK113" s="40"/>
    </row>
    <row r="114" spans="2:37" s="41" customFormat="1" ht="16.149999999999999" customHeight="1">
      <c r="B114" s="12"/>
      <c r="C114" s="1"/>
      <c r="D114" s="4"/>
      <c r="E114" s="130" t="s">
        <v>1193</v>
      </c>
      <c r="F114" s="128">
        <f>39.798+1.623</f>
        <v>41.420999999999999</v>
      </c>
      <c r="G114" s="127">
        <f t="shared" si="64"/>
        <v>41421</v>
      </c>
      <c r="H114" s="97">
        <v>22</v>
      </c>
      <c r="I114" s="83" t="s">
        <v>1230</v>
      </c>
      <c r="J114" s="85" t="s">
        <v>991</v>
      </c>
      <c r="K114" s="82">
        <v>1593</v>
      </c>
      <c r="L114" s="82"/>
      <c r="M114" s="85" t="s">
        <v>1144</v>
      </c>
      <c r="N114" s="82" t="s">
        <v>62</v>
      </c>
      <c r="O114" s="4"/>
      <c r="P114" s="4"/>
      <c r="Q114" s="5">
        <v>48250</v>
      </c>
      <c r="R114" s="36"/>
      <c r="S114" s="36"/>
      <c r="T114" s="37"/>
      <c r="U114" s="5">
        <f t="shared" si="65"/>
        <v>48250</v>
      </c>
      <c r="V114" s="5">
        <f t="shared" si="66"/>
        <v>1998563.25</v>
      </c>
      <c r="W114" s="5">
        <f t="shared" si="70"/>
        <v>359741.38500000001</v>
      </c>
      <c r="X114" s="5"/>
      <c r="Y114" s="5"/>
      <c r="Z114" s="98"/>
      <c r="AA114" s="23">
        <f t="shared" si="67"/>
        <v>0</v>
      </c>
      <c r="AB114" s="97">
        <f t="shared" si="68"/>
        <v>0</v>
      </c>
      <c r="AC114" s="43"/>
      <c r="AD114" s="49"/>
      <c r="AE114" s="5">
        <f t="shared" si="69"/>
        <v>2358304.6349999998</v>
      </c>
      <c r="AF114" s="113">
        <v>335</v>
      </c>
      <c r="AG114" s="43" t="s">
        <v>1391</v>
      </c>
      <c r="AH114" s="13">
        <v>39.798000000000002</v>
      </c>
      <c r="AI114" s="12"/>
      <c r="AJ114" s="40"/>
      <c r="AK114" s="40"/>
    </row>
    <row r="115" spans="2:37" s="41" customFormat="1" ht="16.149999999999999" customHeight="1">
      <c r="B115" s="12"/>
      <c r="C115" s="1"/>
      <c r="D115" s="4"/>
      <c r="E115" s="130" t="s">
        <v>1193</v>
      </c>
      <c r="F115" s="103">
        <f>14.476+3.233</f>
        <v>17.709</v>
      </c>
      <c r="G115" s="127">
        <f t="shared" si="64"/>
        <v>17709</v>
      </c>
      <c r="H115" s="97">
        <v>10</v>
      </c>
      <c r="I115" s="83" t="s">
        <v>1225</v>
      </c>
      <c r="J115" s="85" t="s">
        <v>991</v>
      </c>
      <c r="K115" s="82">
        <v>1594</v>
      </c>
      <c r="L115" s="82"/>
      <c r="M115" s="85" t="s">
        <v>1144</v>
      </c>
      <c r="N115" s="82" t="s">
        <v>317</v>
      </c>
      <c r="O115" s="4"/>
      <c r="P115" s="4"/>
      <c r="Q115" s="5">
        <v>48250</v>
      </c>
      <c r="R115" s="36"/>
      <c r="S115" s="36"/>
      <c r="T115" s="37"/>
      <c r="U115" s="5">
        <f t="shared" si="65"/>
        <v>48250</v>
      </c>
      <c r="V115" s="5">
        <f t="shared" si="66"/>
        <v>854459.25</v>
      </c>
      <c r="W115" s="5">
        <f t="shared" si="70"/>
        <v>153802.66500000001</v>
      </c>
      <c r="X115" s="5"/>
      <c r="Y115" s="5"/>
      <c r="Z115" s="98"/>
      <c r="AA115" s="23">
        <f t="shared" si="67"/>
        <v>0</v>
      </c>
      <c r="AB115" s="97">
        <f t="shared" si="68"/>
        <v>0</v>
      </c>
      <c r="AC115" s="43"/>
      <c r="AD115" s="49"/>
      <c r="AE115" s="5">
        <f t="shared" si="69"/>
        <v>1008261.915</v>
      </c>
      <c r="AF115" s="113">
        <v>336</v>
      </c>
      <c r="AG115" s="43" t="s">
        <v>1391</v>
      </c>
      <c r="AH115" s="103">
        <f>14.476+3.233</f>
        <v>17.709</v>
      </c>
      <c r="AI115" s="12"/>
      <c r="AJ115" s="40"/>
      <c r="AK115" s="40"/>
    </row>
    <row r="116" spans="2:37" s="41" customFormat="1" ht="16.149999999999999" customHeight="1">
      <c r="B116" s="12"/>
      <c r="C116" s="1"/>
      <c r="D116" s="4"/>
      <c r="E116" s="130" t="s">
        <v>1193</v>
      </c>
      <c r="F116" s="128">
        <f>32.562-1.623</f>
        <v>30.938999999999997</v>
      </c>
      <c r="G116" s="127">
        <f t="shared" si="64"/>
        <v>30938.999999999996</v>
      </c>
      <c r="H116" s="97">
        <v>18</v>
      </c>
      <c r="I116" s="83" t="s">
        <v>1272</v>
      </c>
      <c r="J116" s="85" t="s">
        <v>968</v>
      </c>
      <c r="K116" s="82">
        <v>1642</v>
      </c>
      <c r="L116" s="82"/>
      <c r="M116" s="85" t="s">
        <v>1155</v>
      </c>
      <c r="N116" s="82" t="s">
        <v>1238</v>
      </c>
      <c r="O116" s="4"/>
      <c r="P116" s="4"/>
      <c r="Q116" s="5">
        <v>48250</v>
      </c>
      <c r="R116" s="36"/>
      <c r="S116" s="36"/>
      <c r="T116" s="37"/>
      <c r="U116" s="5">
        <f t="shared" si="65"/>
        <v>48250</v>
      </c>
      <c r="V116" s="5">
        <f t="shared" si="66"/>
        <v>1492806.7499999998</v>
      </c>
      <c r="W116" s="5">
        <f t="shared" si="70"/>
        <v>268705.21499999997</v>
      </c>
      <c r="X116" s="5"/>
      <c r="Y116" s="5"/>
      <c r="Z116" s="98"/>
      <c r="AA116" s="23">
        <f t="shared" si="67"/>
        <v>0</v>
      </c>
      <c r="AB116" s="97">
        <f t="shared" si="68"/>
        <v>0</v>
      </c>
      <c r="AC116" s="43"/>
      <c r="AD116" s="49"/>
      <c r="AE116" s="5">
        <f t="shared" si="69"/>
        <v>1761511.9649999999</v>
      </c>
      <c r="AF116" s="43">
        <v>373</v>
      </c>
      <c r="AG116" s="43" t="s">
        <v>1391</v>
      </c>
      <c r="AH116" s="13">
        <v>32.561999999999998</v>
      </c>
      <c r="AI116" s="12"/>
      <c r="AJ116" s="40"/>
      <c r="AK116" s="40"/>
    </row>
    <row r="117" spans="2:37" s="41" customFormat="1" ht="16.149999999999999" customHeight="1">
      <c r="B117" s="12"/>
      <c r="C117" s="1"/>
      <c r="D117" s="4"/>
      <c r="E117" s="130" t="s">
        <v>1193</v>
      </c>
      <c r="F117" s="103">
        <v>10.853999999999999</v>
      </c>
      <c r="G117" s="127">
        <f t="shared" si="64"/>
        <v>10854</v>
      </c>
      <c r="H117" s="97">
        <v>6</v>
      </c>
      <c r="I117" s="83" t="s">
        <v>1272</v>
      </c>
      <c r="J117" s="85" t="s">
        <v>968</v>
      </c>
      <c r="K117" s="82">
        <v>1641</v>
      </c>
      <c r="L117" s="82"/>
      <c r="M117" s="85" t="s">
        <v>1273</v>
      </c>
      <c r="N117" s="82" t="s">
        <v>40</v>
      </c>
      <c r="O117" s="4"/>
      <c r="P117" s="4"/>
      <c r="Q117" s="5">
        <v>48250</v>
      </c>
      <c r="R117" s="36"/>
      <c r="S117" s="36"/>
      <c r="T117" s="37"/>
      <c r="U117" s="5">
        <f t="shared" si="65"/>
        <v>48250</v>
      </c>
      <c r="V117" s="5">
        <f t="shared" si="66"/>
        <v>523705.49999999994</v>
      </c>
      <c r="W117" s="5">
        <f t="shared" si="70"/>
        <v>94266.989999999991</v>
      </c>
      <c r="X117" s="5"/>
      <c r="Y117" s="5"/>
      <c r="Z117" s="98"/>
      <c r="AA117" s="23">
        <f t="shared" si="67"/>
        <v>0</v>
      </c>
      <c r="AB117" s="97">
        <f t="shared" si="68"/>
        <v>0</v>
      </c>
      <c r="AC117" s="43"/>
      <c r="AD117" s="49"/>
      <c r="AE117" s="5">
        <f t="shared" si="69"/>
        <v>617972.49</v>
      </c>
      <c r="AF117" s="113">
        <v>372</v>
      </c>
      <c r="AG117" s="43" t="s">
        <v>1391</v>
      </c>
      <c r="AH117" s="13">
        <v>10.853999999999999</v>
      </c>
      <c r="AI117" s="12"/>
      <c r="AJ117" s="40"/>
      <c r="AK117" s="40"/>
    </row>
    <row r="118" spans="2:37" s="41" customFormat="1" ht="16.149999999999999" customHeight="1">
      <c r="B118" s="12"/>
      <c r="C118" s="1"/>
      <c r="D118" s="4"/>
      <c r="E118" s="82" t="s">
        <v>1193</v>
      </c>
      <c r="F118" s="103">
        <v>1.623</v>
      </c>
      <c r="G118" s="127">
        <f t="shared" si="64"/>
        <v>1623</v>
      </c>
      <c r="H118" s="97">
        <v>1</v>
      </c>
      <c r="I118" s="83" t="s">
        <v>1272</v>
      </c>
      <c r="J118" s="85" t="s">
        <v>968</v>
      </c>
      <c r="K118" s="82">
        <v>1542</v>
      </c>
      <c r="L118" s="82"/>
      <c r="M118" s="85" t="s">
        <v>1135</v>
      </c>
      <c r="N118" s="82" t="s">
        <v>43</v>
      </c>
      <c r="O118" s="4"/>
      <c r="P118" s="4"/>
      <c r="Q118" s="5">
        <v>48250</v>
      </c>
      <c r="R118" s="36"/>
      <c r="S118" s="36"/>
      <c r="T118" s="37"/>
      <c r="U118" s="5">
        <f t="shared" si="65"/>
        <v>48250</v>
      </c>
      <c r="V118" s="5">
        <f t="shared" si="66"/>
        <v>78309.75</v>
      </c>
      <c r="W118" s="5">
        <f t="shared" si="70"/>
        <v>14095.754999999999</v>
      </c>
      <c r="X118" s="5"/>
      <c r="Y118" s="5"/>
      <c r="Z118" s="98"/>
      <c r="AA118" s="23">
        <f t="shared" si="67"/>
        <v>0</v>
      </c>
      <c r="AB118" s="97">
        <f t="shared" si="68"/>
        <v>0</v>
      </c>
      <c r="AC118" s="43"/>
      <c r="AD118" s="49"/>
      <c r="AE118" s="5">
        <f t="shared" si="69"/>
        <v>92405.505000000005</v>
      </c>
      <c r="AF118" s="113">
        <v>304</v>
      </c>
      <c r="AG118" s="43" t="s">
        <v>1391</v>
      </c>
      <c r="AH118" s="13">
        <v>1.623</v>
      </c>
      <c r="AI118" s="12"/>
      <c r="AJ118" s="40"/>
      <c r="AK118" s="40"/>
    </row>
    <row r="119" spans="2:37" s="41" customFormat="1">
      <c r="B119" s="109">
        <v>418.78199999999998</v>
      </c>
      <c r="C119" s="19"/>
      <c r="D119" s="6"/>
      <c r="E119" s="6"/>
      <c r="F119" s="81">
        <f>SUM(F104:F118)</f>
        <v>418.78199999999998</v>
      </c>
      <c r="G119" s="20">
        <f>SUM(G104:G118)</f>
        <v>418782</v>
      </c>
      <c r="H119" s="21">
        <f>SUM(H104:H118)</f>
        <v>232</v>
      </c>
      <c r="I119" s="2"/>
      <c r="J119" s="7"/>
      <c r="K119" s="7"/>
      <c r="L119" s="7"/>
      <c r="M119" s="2"/>
      <c r="N119" s="6"/>
      <c r="O119" s="6"/>
      <c r="P119" s="6"/>
      <c r="Q119" s="19"/>
      <c r="R119" s="9"/>
      <c r="S119" s="9"/>
      <c r="T119" s="10"/>
      <c r="U119" s="8"/>
      <c r="V119" s="21">
        <f>SUM(V104:V118)</f>
        <v>20206231.5</v>
      </c>
      <c r="W119" s="21">
        <f>SUM(W104:W118)</f>
        <v>3637121.67</v>
      </c>
      <c r="X119" s="21">
        <f>SUM(X104:X118)</f>
        <v>0</v>
      </c>
      <c r="Y119" s="21">
        <f>SUM(Y104:Y118)</f>
        <v>0</v>
      </c>
      <c r="Z119" s="99"/>
      <c r="AA119" s="21">
        <f>SUM(AA104:AA118)</f>
        <v>0</v>
      </c>
      <c r="AB119" s="21">
        <f>SUM(AB104:AB118)</f>
        <v>0</v>
      </c>
      <c r="AC119" s="21"/>
      <c r="AD119" s="21">
        <f>SUM(AD104:AD118)</f>
        <v>0</v>
      </c>
      <c r="AE119" s="21">
        <f>SUM(AE104:AE118)</f>
        <v>23843353.169999998</v>
      </c>
      <c r="AF119" s="21"/>
      <c r="AG119" s="42"/>
      <c r="AH119" s="81">
        <f>SUM(AH104:AH118)</f>
        <v>418.78199999999998</v>
      </c>
      <c r="AI119" s="26">
        <f>AH119-F119</f>
        <v>0</v>
      </c>
      <c r="AJ119" s="41">
        <f>AA119/F119</f>
        <v>0</v>
      </c>
      <c r="AK119" s="40"/>
    </row>
    <row r="120" spans="2:37">
      <c r="B120" s="15"/>
      <c r="C120" s="18"/>
      <c r="D120" s="11"/>
      <c r="E120" s="18" t="s">
        <v>16</v>
      </c>
      <c r="F120" s="16">
        <f>SUM(F3:F119)/2</f>
        <v>2824.1159999999995</v>
      </c>
      <c r="G120" s="17">
        <f>SUM(G3:G119)/2</f>
        <v>2824116</v>
      </c>
      <c r="H120" s="17">
        <f>SUM(H3:H119)/2</f>
        <v>1459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7"/>
      <c r="V120" s="17">
        <f>SUM(V3:V119)/2</f>
        <v>133928481</v>
      </c>
      <c r="W120" s="17">
        <f>SUM(W3:W119)/2</f>
        <v>24107126.580000009</v>
      </c>
      <c r="X120" s="17"/>
      <c r="Y120" s="22"/>
      <c r="Z120" s="17"/>
      <c r="AA120" s="17">
        <f>SUM(AA3:AA16)/2</f>
        <v>0</v>
      </c>
      <c r="AB120" s="17"/>
      <c r="AC120" s="22"/>
      <c r="AD120" s="17"/>
      <c r="AE120" s="17">
        <f>SUM(AE3:AE119)/2</f>
        <v>158035607.58000001</v>
      </c>
      <c r="AF120" s="22"/>
      <c r="AG120" s="16"/>
      <c r="AH120" s="17">
        <f>SUM(AH3:AH16)/2</f>
        <v>408.464</v>
      </c>
      <c r="AI120" s="110">
        <f>SUM(AI3:AI119)/2</f>
        <v>0</v>
      </c>
    </row>
    <row r="123" spans="2:37">
      <c r="F123" s="90"/>
    </row>
    <row r="128" spans="2:37">
      <c r="F128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AO43"/>
  <sheetViews>
    <sheetView showZeros="0" zoomScale="85" zoomScaleNormal="85" workbookViewId="0">
      <pane xSplit="14" ySplit="2" topLeftCell="O6" activePane="bottomRight" state="frozen"/>
      <selection pane="topRight" activeCell="O1" sqref="O1"/>
      <selection pane="bottomLeft" activeCell="A3" sqref="A3"/>
      <selection pane="bottomRight" activeCell="E13" sqref="E13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hidden="1" customWidth="1"/>
    <col min="24" max="25" width="9.5703125" style="39" hidden="1" customWidth="1"/>
    <col min="26" max="26" width="7.7109375" style="39" hidden="1" customWidth="1"/>
    <col min="27" max="27" width="10.85546875" style="39" hidden="1" customWidth="1"/>
    <col min="28" max="30" width="9.140625" style="39" hidden="1" customWidth="1"/>
    <col min="31" max="31" width="12.42578125" style="39" hidden="1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06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04" t="s">
        <v>702</v>
      </c>
      <c r="C3" s="86" t="s">
        <v>1157</v>
      </c>
      <c r="D3" s="4"/>
      <c r="E3" s="86" t="s">
        <v>1159</v>
      </c>
      <c r="F3" s="13">
        <v>31.78</v>
      </c>
      <c r="G3" s="14">
        <f t="shared" ref="G3:G19" si="0">+F3*1000</f>
        <v>31780</v>
      </c>
      <c r="H3" s="49">
        <v>20</v>
      </c>
      <c r="I3" s="83" t="s">
        <v>1160</v>
      </c>
      <c r="J3" s="85" t="s">
        <v>1144</v>
      </c>
      <c r="K3" s="82">
        <v>13288</v>
      </c>
      <c r="L3" s="4"/>
      <c r="M3" s="85" t="s">
        <v>1155</v>
      </c>
      <c r="N3" s="82" t="s">
        <v>1161</v>
      </c>
      <c r="O3" s="4"/>
      <c r="P3" s="4"/>
      <c r="Q3" s="5">
        <v>51540</v>
      </c>
      <c r="R3" s="36"/>
      <c r="S3" s="36"/>
      <c r="T3" s="37"/>
      <c r="U3" s="5">
        <f t="shared" ref="U3:U19" si="1">S3+R3+Q3-T3</f>
        <v>51540</v>
      </c>
      <c r="V3" s="5">
        <f t="shared" ref="V3:V19" si="2">F3*U3</f>
        <v>1637941.2</v>
      </c>
      <c r="W3" s="5">
        <f>V3*18%</f>
        <v>294829.41599999997</v>
      </c>
      <c r="X3" s="5"/>
      <c r="Y3" s="5"/>
      <c r="Z3" s="98"/>
      <c r="AA3" s="23">
        <f t="shared" ref="AA3:AA19" si="3">F3*Z3</f>
        <v>0</v>
      </c>
      <c r="AB3" s="97">
        <f t="shared" ref="AB3:AB19" si="4">AA3*18%</f>
        <v>0</v>
      </c>
      <c r="AC3" s="43"/>
      <c r="AD3" s="46"/>
      <c r="AE3" s="5">
        <f t="shared" ref="AE3:AE19" si="5">+AB3+AA3+Y3+X3+W3+V3-AC3+AD3</f>
        <v>1932770.6159999999</v>
      </c>
      <c r="AF3" s="47">
        <v>68</v>
      </c>
      <c r="AG3" s="44" t="s">
        <v>1317</v>
      </c>
      <c r="AH3" s="13">
        <v>31.78</v>
      </c>
      <c r="AI3" s="12"/>
      <c r="AJ3" s="40"/>
      <c r="AK3" s="40"/>
    </row>
    <row r="4" spans="2:41" s="41" customFormat="1" ht="16.149999999999999" customHeight="1">
      <c r="B4" s="70" t="s">
        <v>918</v>
      </c>
      <c r="C4" s="86" t="s">
        <v>1158</v>
      </c>
      <c r="D4" s="4"/>
      <c r="E4" s="86" t="s">
        <v>1159</v>
      </c>
      <c r="F4" s="13">
        <v>39.799999999999997</v>
      </c>
      <c r="G4" s="14">
        <f t="shared" si="0"/>
        <v>39800</v>
      </c>
      <c r="H4" s="49">
        <v>25</v>
      </c>
      <c r="I4" s="83" t="s">
        <v>1171</v>
      </c>
      <c r="J4" s="85" t="s">
        <v>1135</v>
      </c>
      <c r="K4" s="82">
        <v>13272</v>
      </c>
      <c r="L4" s="4"/>
      <c r="M4" s="85" t="s">
        <v>1155</v>
      </c>
      <c r="N4" s="82" t="s">
        <v>1172</v>
      </c>
      <c r="O4" s="4"/>
      <c r="P4" s="4"/>
      <c r="Q4" s="5">
        <v>51540</v>
      </c>
      <c r="R4" s="36"/>
      <c r="S4" s="36"/>
      <c r="T4" s="37"/>
      <c r="U4" s="5">
        <f t="shared" si="1"/>
        <v>51540</v>
      </c>
      <c r="V4" s="5">
        <f t="shared" si="2"/>
        <v>2051291.9999999998</v>
      </c>
      <c r="W4" s="5">
        <f>V4*18%</f>
        <v>369232.55999999994</v>
      </c>
      <c r="X4" s="5"/>
      <c r="Y4" s="5"/>
      <c r="Z4" s="98"/>
      <c r="AA4" s="23">
        <f t="shared" si="3"/>
        <v>0</v>
      </c>
      <c r="AB4" s="97">
        <f t="shared" si="4"/>
        <v>0</v>
      </c>
      <c r="AC4" s="43"/>
      <c r="AD4" s="46"/>
      <c r="AE4" s="5">
        <f t="shared" si="5"/>
        <v>2420524.5599999996</v>
      </c>
      <c r="AF4" s="47">
        <v>69</v>
      </c>
      <c r="AG4" s="44" t="s">
        <v>1317</v>
      </c>
      <c r="AH4" s="13">
        <v>39.799999999999997</v>
      </c>
      <c r="AI4" s="12"/>
      <c r="AJ4" s="40"/>
      <c r="AK4" s="40"/>
    </row>
    <row r="5" spans="2:41" s="41" customFormat="1" ht="16.149999999999999" customHeight="1">
      <c r="B5" s="105"/>
      <c r="C5" s="132" t="s">
        <v>1170</v>
      </c>
      <c r="D5" s="4"/>
      <c r="E5" s="86" t="s">
        <v>1159</v>
      </c>
      <c r="F5" s="13">
        <v>27.02</v>
      </c>
      <c r="G5" s="14">
        <f t="shared" si="0"/>
        <v>27020</v>
      </c>
      <c r="H5" s="49">
        <v>17</v>
      </c>
      <c r="I5" s="83" t="s">
        <v>1286</v>
      </c>
      <c r="J5" s="85" t="s">
        <v>1144</v>
      </c>
      <c r="K5" s="82">
        <v>11795</v>
      </c>
      <c r="L5" s="4"/>
      <c r="M5" s="85" t="s">
        <v>1273</v>
      </c>
      <c r="N5" s="82" t="s">
        <v>1287</v>
      </c>
      <c r="O5" s="4"/>
      <c r="P5" s="4"/>
      <c r="Q5" s="5">
        <v>51540</v>
      </c>
      <c r="R5" s="36"/>
      <c r="S5" s="36"/>
      <c r="T5" s="37"/>
      <c r="U5" s="5">
        <f t="shared" si="1"/>
        <v>51540</v>
      </c>
      <c r="V5" s="5">
        <f t="shared" si="2"/>
        <v>1392610.8</v>
      </c>
      <c r="W5" s="5">
        <f t="shared" ref="W5:W19" si="6">V5*18%</f>
        <v>250669.94399999999</v>
      </c>
      <c r="X5" s="5"/>
      <c r="Y5" s="5"/>
      <c r="Z5" s="98"/>
      <c r="AA5" s="23">
        <f t="shared" si="3"/>
        <v>0</v>
      </c>
      <c r="AB5" s="97">
        <f t="shared" si="4"/>
        <v>0</v>
      </c>
      <c r="AC5" s="43"/>
      <c r="AD5" s="46"/>
      <c r="AE5" s="5">
        <f t="shared" si="5"/>
        <v>1643280.7439999999</v>
      </c>
      <c r="AF5" s="47">
        <v>70</v>
      </c>
      <c r="AG5" s="44" t="s">
        <v>1317</v>
      </c>
      <c r="AH5" s="13">
        <v>27.02</v>
      </c>
      <c r="AI5" s="12"/>
      <c r="AJ5" s="40"/>
      <c r="AK5" s="40"/>
    </row>
    <row r="6" spans="2:41" s="41" customFormat="1" ht="16.149999999999999" customHeight="1">
      <c r="B6" s="83"/>
      <c r="C6" s="1"/>
      <c r="D6" s="4"/>
      <c r="E6" s="86" t="s">
        <v>1159</v>
      </c>
      <c r="F6" s="13">
        <v>41.36</v>
      </c>
      <c r="G6" s="14">
        <f t="shared" si="0"/>
        <v>41360</v>
      </c>
      <c r="H6" s="49">
        <v>26</v>
      </c>
      <c r="I6" s="83" t="s">
        <v>1302</v>
      </c>
      <c r="J6" s="85" t="s">
        <v>1273</v>
      </c>
      <c r="K6" s="82">
        <v>10359</v>
      </c>
      <c r="L6" s="4"/>
      <c r="M6" s="85" t="s">
        <v>1303</v>
      </c>
      <c r="N6" s="82" t="s">
        <v>784</v>
      </c>
      <c r="O6" s="4"/>
      <c r="P6" s="4"/>
      <c r="Q6" s="5">
        <v>51540</v>
      </c>
      <c r="R6" s="36"/>
      <c r="S6" s="36"/>
      <c r="T6" s="37"/>
      <c r="U6" s="5">
        <f t="shared" si="1"/>
        <v>51540</v>
      </c>
      <c r="V6" s="5">
        <f t="shared" si="2"/>
        <v>2131694.4</v>
      </c>
      <c r="W6" s="5">
        <f t="shared" si="6"/>
        <v>383704.99199999997</v>
      </c>
      <c r="X6" s="5"/>
      <c r="Y6" s="5"/>
      <c r="Z6" s="98"/>
      <c r="AA6" s="23">
        <f t="shared" si="3"/>
        <v>0</v>
      </c>
      <c r="AB6" s="97">
        <f t="shared" si="4"/>
        <v>0</v>
      </c>
      <c r="AC6" s="43"/>
      <c r="AD6" s="46"/>
      <c r="AE6" s="5">
        <f t="shared" si="5"/>
        <v>2515399.392</v>
      </c>
      <c r="AF6" s="47">
        <v>71</v>
      </c>
      <c r="AG6" s="44" t="s">
        <v>1317</v>
      </c>
      <c r="AH6" s="13">
        <v>41.36</v>
      </c>
      <c r="AI6" s="12"/>
      <c r="AJ6" s="40"/>
      <c r="AK6" s="40"/>
    </row>
    <row r="7" spans="2:41" s="41" customFormat="1" ht="16.149999999999999" customHeight="1">
      <c r="B7" s="83"/>
      <c r="C7" s="1"/>
      <c r="D7" s="4"/>
      <c r="E7" s="86" t="s">
        <v>1159</v>
      </c>
      <c r="F7" s="13">
        <v>41.36</v>
      </c>
      <c r="G7" s="14">
        <f t="shared" si="0"/>
        <v>41360</v>
      </c>
      <c r="H7" s="49">
        <v>26</v>
      </c>
      <c r="I7" s="83" t="s">
        <v>1304</v>
      </c>
      <c r="J7" s="85" t="s">
        <v>1273</v>
      </c>
      <c r="K7" s="82">
        <v>10360</v>
      </c>
      <c r="L7" s="4"/>
      <c r="M7" s="85" t="s">
        <v>1303</v>
      </c>
      <c r="N7" s="82" t="s">
        <v>1305</v>
      </c>
      <c r="O7" s="4"/>
      <c r="P7" s="4"/>
      <c r="Q7" s="5">
        <v>51540</v>
      </c>
      <c r="R7" s="36"/>
      <c r="S7" s="36"/>
      <c r="T7" s="37"/>
      <c r="U7" s="5">
        <f t="shared" si="1"/>
        <v>51540</v>
      </c>
      <c r="V7" s="5">
        <f t="shared" si="2"/>
        <v>2131694.4</v>
      </c>
      <c r="W7" s="5">
        <f t="shared" si="6"/>
        <v>383704.99199999997</v>
      </c>
      <c r="X7" s="5"/>
      <c r="Y7" s="5"/>
      <c r="Z7" s="98"/>
      <c r="AA7" s="23">
        <f t="shared" si="3"/>
        <v>0</v>
      </c>
      <c r="AB7" s="97">
        <f t="shared" si="4"/>
        <v>0</v>
      </c>
      <c r="AC7" s="43"/>
      <c r="AD7" s="46"/>
      <c r="AE7" s="5">
        <f t="shared" si="5"/>
        <v>2515399.392</v>
      </c>
      <c r="AF7" s="47">
        <v>72</v>
      </c>
      <c r="AG7" s="44" t="s">
        <v>1317</v>
      </c>
      <c r="AH7" s="13">
        <v>41.36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86" t="s">
        <v>1159</v>
      </c>
      <c r="F8" s="13">
        <v>27</v>
      </c>
      <c r="G8" s="14">
        <f t="shared" si="0"/>
        <v>27000</v>
      </c>
      <c r="H8" s="49">
        <v>17</v>
      </c>
      <c r="I8" s="83" t="s">
        <v>1306</v>
      </c>
      <c r="J8" s="85" t="s">
        <v>1155</v>
      </c>
      <c r="K8" s="82">
        <v>11800</v>
      </c>
      <c r="L8" s="4"/>
      <c r="M8" s="85" t="s">
        <v>1303</v>
      </c>
      <c r="N8" s="82" t="s">
        <v>1307</v>
      </c>
      <c r="O8" s="4"/>
      <c r="P8" s="4"/>
      <c r="Q8" s="5">
        <v>51540</v>
      </c>
      <c r="R8" s="36"/>
      <c r="S8" s="36"/>
      <c r="T8" s="37"/>
      <c r="U8" s="5">
        <f t="shared" si="1"/>
        <v>51540</v>
      </c>
      <c r="V8" s="5">
        <f t="shared" si="2"/>
        <v>1391580</v>
      </c>
      <c r="W8" s="5">
        <f t="shared" si="6"/>
        <v>250484.4</v>
      </c>
      <c r="X8" s="5"/>
      <c r="Y8" s="5"/>
      <c r="Z8" s="98"/>
      <c r="AA8" s="23">
        <f t="shared" si="3"/>
        <v>0</v>
      </c>
      <c r="AB8" s="97">
        <f t="shared" si="4"/>
        <v>0</v>
      </c>
      <c r="AC8" s="43"/>
      <c r="AD8" s="46"/>
      <c r="AE8" s="5">
        <f t="shared" si="5"/>
        <v>1642064.4</v>
      </c>
      <c r="AF8" s="47">
        <v>73</v>
      </c>
      <c r="AG8" s="44" t="s">
        <v>1317</v>
      </c>
      <c r="AH8" s="13">
        <v>27</v>
      </c>
      <c r="AI8" s="12"/>
      <c r="AJ8" s="40"/>
      <c r="AK8" s="40"/>
    </row>
    <row r="9" spans="2:41" s="41" customFormat="1" ht="16.149999999999999" customHeight="1">
      <c r="B9" s="83"/>
      <c r="C9" s="1"/>
      <c r="D9" s="4"/>
      <c r="E9" s="86" t="s">
        <v>1159</v>
      </c>
      <c r="F9" s="13">
        <v>31.84</v>
      </c>
      <c r="G9" s="14">
        <f t="shared" si="0"/>
        <v>31840</v>
      </c>
      <c r="H9" s="49">
        <v>20</v>
      </c>
      <c r="I9" s="83" t="s">
        <v>1308</v>
      </c>
      <c r="J9" s="85" t="s">
        <v>1273</v>
      </c>
      <c r="K9" s="82">
        <v>15021</v>
      </c>
      <c r="L9" s="4"/>
      <c r="M9" s="85" t="s">
        <v>1303</v>
      </c>
      <c r="N9" s="82" t="s">
        <v>1309</v>
      </c>
      <c r="O9" s="4"/>
      <c r="P9" s="4"/>
      <c r="Q9" s="5">
        <v>51540</v>
      </c>
      <c r="R9" s="36"/>
      <c r="S9" s="36"/>
      <c r="T9" s="37"/>
      <c r="U9" s="5">
        <f t="shared" si="1"/>
        <v>51540</v>
      </c>
      <c r="V9" s="5">
        <f t="shared" si="2"/>
        <v>1641033.6</v>
      </c>
      <c r="W9" s="5">
        <f t="shared" si="6"/>
        <v>295386.04800000001</v>
      </c>
      <c r="X9" s="5"/>
      <c r="Y9" s="5"/>
      <c r="Z9" s="98"/>
      <c r="AA9" s="23">
        <f t="shared" si="3"/>
        <v>0</v>
      </c>
      <c r="AB9" s="97">
        <f t="shared" si="4"/>
        <v>0</v>
      </c>
      <c r="AC9" s="43"/>
      <c r="AD9" s="46"/>
      <c r="AE9" s="5">
        <f t="shared" si="5"/>
        <v>1936419.648</v>
      </c>
      <c r="AF9" s="47">
        <v>74</v>
      </c>
      <c r="AG9" s="44" t="s">
        <v>1317</v>
      </c>
      <c r="AH9" s="13">
        <v>31.84</v>
      </c>
      <c r="AI9" s="12"/>
      <c r="AJ9" s="40"/>
      <c r="AK9" s="40"/>
    </row>
    <row r="10" spans="2:41" s="41" customFormat="1" ht="16.149999999999999" customHeight="1">
      <c r="B10" s="83"/>
      <c r="C10" s="1"/>
      <c r="D10" s="4"/>
      <c r="E10" s="86" t="s">
        <v>1159</v>
      </c>
      <c r="F10" s="13">
        <v>41.38</v>
      </c>
      <c r="G10" s="14">
        <f t="shared" si="0"/>
        <v>41380</v>
      </c>
      <c r="H10" s="49">
        <v>26</v>
      </c>
      <c r="I10" s="83" t="s">
        <v>1310</v>
      </c>
      <c r="J10" s="85" t="s">
        <v>1273</v>
      </c>
      <c r="K10" s="82">
        <v>15030</v>
      </c>
      <c r="L10" s="4"/>
      <c r="M10" s="85" t="s">
        <v>1303</v>
      </c>
      <c r="N10" s="82" t="s">
        <v>1311</v>
      </c>
      <c r="O10" s="4"/>
      <c r="P10" s="4"/>
      <c r="Q10" s="5">
        <v>51540</v>
      </c>
      <c r="R10" s="36"/>
      <c r="S10" s="36"/>
      <c r="T10" s="37"/>
      <c r="U10" s="5">
        <f t="shared" si="1"/>
        <v>51540</v>
      </c>
      <c r="V10" s="5">
        <f t="shared" si="2"/>
        <v>2132725.2000000002</v>
      </c>
      <c r="W10" s="5">
        <f t="shared" si="6"/>
        <v>383890.53600000002</v>
      </c>
      <c r="X10" s="5"/>
      <c r="Y10" s="5"/>
      <c r="Z10" s="98"/>
      <c r="AA10" s="23">
        <f t="shared" si="3"/>
        <v>0</v>
      </c>
      <c r="AB10" s="97">
        <f t="shared" si="4"/>
        <v>0</v>
      </c>
      <c r="AC10" s="43"/>
      <c r="AD10" s="46"/>
      <c r="AE10" s="5">
        <f t="shared" si="5"/>
        <v>2516615.736</v>
      </c>
      <c r="AF10" s="47">
        <v>75</v>
      </c>
      <c r="AG10" s="44" t="s">
        <v>1317</v>
      </c>
      <c r="AH10" s="13">
        <v>41.38</v>
      </c>
      <c r="AI10" s="12"/>
      <c r="AJ10" s="40"/>
      <c r="AK10" s="40"/>
    </row>
    <row r="11" spans="2:41" s="41" customFormat="1" ht="16.149999999999999" customHeight="1">
      <c r="B11" s="12"/>
      <c r="C11" s="1"/>
      <c r="D11" s="4"/>
      <c r="E11" s="86" t="s">
        <v>1159</v>
      </c>
      <c r="F11" s="13">
        <v>39.840000000000003</v>
      </c>
      <c r="G11" s="14">
        <f t="shared" si="0"/>
        <v>39840</v>
      </c>
      <c r="H11" s="49">
        <v>25</v>
      </c>
      <c r="I11" s="83" t="s">
        <v>1312</v>
      </c>
      <c r="J11" s="85" t="s">
        <v>1273</v>
      </c>
      <c r="K11" s="82">
        <v>15039</v>
      </c>
      <c r="L11" s="4"/>
      <c r="M11" s="85" t="s">
        <v>1303</v>
      </c>
      <c r="N11" s="82" t="s">
        <v>1313</v>
      </c>
      <c r="O11" s="4"/>
      <c r="P11" s="4"/>
      <c r="Q11" s="5">
        <v>51540</v>
      </c>
      <c r="R11" s="36"/>
      <c r="S11" s="36"/>
      <c r="T11" s="37"/>
      <c r="U11" s="5">
        <f t="shared" si="1"/>
        <v>51540</v>
      </c>
      <c r="V11" s="5">
        <f t="shared" si="2"/>
        <v>2053353.6</v>
      </c>
      <c r="W11" s="5">
        <f t="shared" si="6"/>
        <v>369603.64799999999</v>
      </c>
      <c r="X11" s="5"/>
      <c r="Y11" s="5"/>
      <c r="Z11" s="98"/>
      <c r="AA11" s="23">
        <f t="shared" si="3"/>
        <v>0</v>
      </c>
      <c r="AB11" s="97">
        <f t="shared" si="4"/>
        <v>0</v>
      </c>
      <c r="AC11" s="43"/>
      <c r="AD11" s="46"/>
      <c r="AE11" s="5">
        <f t="shared" si="5"/>
        <v>2422957.2480000001</v>
      </c>
      <c r="AF11" s="47">
        <v>76</v>
      </c>
      <c r="AG11" s="44" t="s">
        <v>1317</v>
      </c>
      <c r="AH11" s="13">
        <v>39.840000000000003</v>
      </c>
      <c r="AI11" s="12"/>
      <c r="AJ11" s="40"/>
      <c r="AK11" s="40"/>
    </row>
    <row r="12" spans="2:41" s="41" customFormat="1" ht="16.149999999999999" customHeight="1">
      <c r="B12" s="12"/>
      <c r="C12" s="1"/>
      <c r="D12" s="4"/>
      <c r="E12" s="86" t="s">
        <v>1159</v>
      </c>
      <c r="F12" s="13">
        <v>31.86</v>
      </c>
      <c r="G12" s="14">
        <f t="shared" si="0"/>
        <v>31860</v>
      </c>
      <c r="H12" s="49">
        <v>20</v>
      </c>
      <c r="I12" s="83" t="s">
        <v>1314</v>
      </c>
      <c r="J12" s="85" t="s">
        <v>1273</v>
      </c>
      <c r="K12" s="82">
        <v>11816</v>
      </c>
      <c r="L12" s="4"/>
      <c r="M12" s="85" t="s">
        <v>1303</v>
      </c>
      <c r="N12" s="82" t="s">
        <v>1349</v>
      </c>
      <c r="O12" s="4"/>
      <c r="P12" s="4"/>
      <c r="Q12" s="5">
        <v>51540</v>
      </c>
      <c r="R12" s="36"/>
      <c r="S12" s="36"/>
      <c r="T12" s="37"/>
      <c r="U12" s="5">
        <f t="shared" si="1"/>
        <v>51540</v>
      </c>
      <c r="V12" s="5">
        <f t="shared" si="2"/>
        <v>1642064.4</v>
      </c>
      <c r="W12" s="5">
        <f t="shared" si="6"/>
        <v>295571.59199999995</v>
      </c>
      <c r="X12" s="5"/>
      <c r="Y12" s="5"/>
      <c r="Z12" s="98"/>
      <c r="AA12" s="23">
        <f t="shared" si="3"/>
        <v>0</v>
      </c>
      <c r="AB12" s="97">
        <f t="shared" si="4"/>
        <v>0</v>
      </c>
      <c r="AC12" s="43"/>
      <c r="AD12" s="46"/>
      <c r="AE12" s="5">
        <f t="shared" si="5"/>
        <v>1937635.9919999999</v>
      </c>
      <c r="AF12" s="47">
        <v>77</v>
      </c>
      <c r="AG12" s="44" t="s">
        <v>1317</v>
      </c>
      <c r="AH12" s="13">
        <v>31.86</v>
      </c>
      <c r="AI12" s="12"/>
      <c r="AJ12" s="40"/>
      <c r="AK12" s="40"/>
    </row>
    <row r="13" spans="2:41" s="41" customFormat="1" ht="16.149999999999999" customHeight="1">
      <c r="B13" s="12"/>
      <c r="C13" s="4"/>
      <c r="D13" s="4"/>
      <c r="E13" s="82" t="s">
        <v>1159</v>
      </c>
      <c r="F13" s="13">
        <v>41.4</v>
      </c>
      <c r="G13" s="14">
        <f t="shared" si="0"/>
        <v>41400</v>
      </c>
      <c r="H13" s="49">
        <v>36</v>
      </c>
      <c r="I13" s="83" t="s">
        <v>1316</v>
      </c>
      <c r="J13" s="85" t="s">
        <v>1297</v>
      </c>
      <c r="K13" s="82">
        <v>10362</v>
      </c>
      <c r="L13" s="4"/>
      <c r="M13" s="85" t="s">
        <v>1317</v>
      </c>
      <c r="N13" s="82" t="s">
        <v>1318</v>
      </c>
      <c r="O13" s="4"/>
      <c r="P13" s="4"/>
      <c r="Q13" s="5">
        <v>51540</v>
      </c>
      <c r="R13" s="36"/>
      <c r="S13" s="36"/>
      <c r="T13" s="37"/>
      <c r="U13" s="5">
        <f t="shared" si="1"/>
        <v>51540</v>
      </c>
      <c r="V13" s="5">
        <f t="shared" si="2"/>
        <v>2133756</v>
      </c>
      <c r="W13" s="5">
        <f t="shared" si="6"/>
        <v>384076.07999999996</v>
      </c>
      <c r="X13" s="5"/>
      <c r="Y13" s="5"/>
      <c r="Z13" s="98"/>
      <c r="AA13" s="23">
        <f t="shared" si="3"/>
        <v>0</v>
      </c>
      <c r="AB13" s="97">
        <f t="shared" si="4"/>
        <v>0</v>
      </c>
      <c r="AC13" s="43"/>
      <c r="AD13" s="46"/>
      <c r="AE13" s="5">
        <f t="shared" si="5"/>
        <v>2517832.08</v>
      </c>
      <c r="AF13" s="112">
        <v>128</v>
      </c>
      <c r="AG13" s="111" t="s">
        <v>1390</v>
      </c>
      <c r="AH13" s="13">
        <v>41.4</v>
      </c>
      <c r="AI13" s="12"/>
      <c r="AJ13" s="40"/>
      <c r="AK13" s="40"/>
    </row>
    <row r="14" spans="2:41" s="41" customFormat="1" ht="16.149999999999999" customHeight="1">
      <c r="B14" s="12"/>
      <c r="C14" s="1"/>
      <c r="D14" s="4"/>
      <c r="E14" s="86" t="s">
        <v>1159</v>
      </c>
      <c r="F14" s="13">
        <v>41.3</v>
      </c>
      <c r="G14" s="14">
        <f t="shared" si="0"/>
        <v>41300</v>
      </c>
      <c r="H14" s="49">
        <v>26</v>
      </c>
      <c r="I14" s="83" t="s">
        <v>1320</v>
      </c>
      <c r="J14" s="85" t="s">
        <v>1273</v>
      </c>
      <c r="K14" s="82">
        <v>11821</v>
      </c>
      <c r="L14" s="4"/>
      <c r="M14" s="85" t="s">
        <v>1317</v>
      </c>
      <c r="N14" s="82" t="s">
        <v>1319</v>
      </c>
      <c r="O14" s="4"/>
      <c r="P14" s="4"/>
      <c r="Q14" s="5">
        <v>51540</v>
      </c>
      <c r="R14" s="36"/>
      <c r="S14" s="36"/>
      <c r="T14" s="37"/>
      <c r="U14" s="5">
        <f t="shared" si="1"/>
        <v>51540</v>
      </c>
      <c r="V14" s="5">
        <f t="shared" si="2"/>
        <v>2128602</v>
      </c>
      <c r="W14" s="5">
        <f t="shared" si="6"/>
        <v>383148.36</v>
      </c>
      <c r="X14" s="5"/>
      <c r="Y14" s="5"/>
      <c r="Z14" s="98"/>
      <c r="AA14" s="23">
        <f t="shared" si="3"/>
        <v>0</v>
      </c>
      <c r="AB14" s="97">
        <f t="shared" si="4"/>
        <v>0</v>
      </c>
      <c r="AC14" s="43"/>
      <c r="AD14" s="46"/>
      <c r="AE14" s="5">
        <f t="shared" si="5"/>
        <v>2511750.36</v>
      </c>
      <c r="AF14" s="47">
        <v>129</v>
      </c>
      <c r="AG14" s="111" t="s">
        <v>1390</v>
      </c>
      <c r="AH14" s="13">
        <v>41.3</v>
      </c>
      <c r="AI14" s="12"/>
      <c r="AJ14" s="40"/>
      <c r="AK14" s="40"/>
    </row>
    <row r="15" spans="2:41" s="41" customFormat="1" ht="16.149999999999999" customHeight="1">
      <c r="B15" s="12"/>
      <c r="C15" s="1"/>
      <c r="D15" s="4"/>
      <c r="E15" s="86" t="s">
        <v>1159</v>
      </c>
      <c r="F15" s="13">
        <v>41.34</v>
      </c>
      <c r="G15" s="14">
        <f t="shared" si="0"/>
        <v>41340</v>
      </c>
      <c r="H15" s="49">
        <v>26</v>
      </c>
      <c r="I15" s="83" t="s">
        <v>1321</v>
      </c>
      <c r="J15" s="85" t="s">
        <v>1297</v>
      </c>
      <c r="K15" s="82">
        <v>15050</v>
      </c>
      <c r="L15" s="4"/>
      <c r="M15" s="85" t="s">
        <v>1317</v>
      </c>
      <c r="N15" s="82" t="s">
        <v>1322</v>
      </c>
      <c r="O15" s="4"/>
      <c r="P15" s="4"/>
      <c r="Q15" s="5">
        <v>51540</v>
      </c>
      <c r="R15" s="36"/>
      <c r="S15" s="36"/>
      <c r="T15" s="37"/>
      <c r="U15" s="5">
        <f t="shared" si="1"/>
        <v>51540</v>
      </c>
      <c r="V15" s="5">
        <f t="shared" si="2"/>
        <v>2130663.6</v>
      </c>
      <c r="W15" s="5">
        <f t="shared" si="6"/>
        <v>383519.44799999997</v>
      </c>
      <c r="X15" s="5"/>
      <c r="Y15" s="5"/>
      <c r="Z15" s="98"/>
      <c r="AA15" s="23">
        <f t="shared" si="3"/>
        <v>0</v>
      </c>
      <c r="AB15" s="97">
        <f t="shared" si="4"/>
        <v>0</v>
      </c>
      <c r="AC15" s="43"/>
      <c r="AD15" s="46"/>
      <c r="AE15" s="5">
        <f t="shared" si="5"/>
        <v>2514183.048</v>
      </c>
      <c r="AF15" s="47">
        <v>130</v>
      </c>
      <c r="AG15" s="111" t="s">
        <v>1390</v>
      </c>
      <c r="AH15" s="13">
        <v>41.34</v>
      </c>
      <c r="AI15" s="12"/>
      <c r="AJ15" s="40"/>
      <c r="AK15" s="40"/>
    </row>
    <row r="16" spans="2:41" s="41" customFormat="1" ht="16.149999999999999" customHeight="1">
      <c r="B16" s="12"/>
      <c r="C16" s="1"/>
      <c r="D16" s="4"/>
      <c r="E16" s="86" t="s">
        <v>1159</v>
      </c>
      <c r="F16" s="13">
        <v>39.76</v>
      </c>
      <c r="G16" s="14">
        <f t="shared" si="0"/>
        <v>39760</v>
      </c>
      <c r="H16" s="49">
        <v>25</v>
      </c>
      <c r="I16" s="83" t="s">
        <v>1325</v>
      </c>
      <c r="J16" s="85" t="s">
        <v>1297</v>
      </c>
      <c r="K16" s="82">
        <v>13370</v>
      </c>
      <c r="L16" s="4"/>
      <c r="M16" s="85" t="s">
        <v>1317</v>
      </c>
      <c r="N16" s="82" t="s">
        <v>1326</v>
      </c>
      <c r="O16" s="4"/>
      <c r="P16" s="4"/>
      <c r="Q16" s="5">
        <v>51540</v>
      </c>
      <c r="R16" s="36"/>
      <c r="S16" s="36"/>
      <c r="T16" s="37"/>
      <c r="U16" s="5">
        <f t="shared" si="1"/>
        <v>51540</v>
      </c>
      <c r="V16" s="5">
        <f t="shared" si="2"/>
        <v>2049230.4</v>
      </c>
      <c r="W16" s="5">
        <f t="shared" si="6"/>
        <v>368861.47199999995</v>
      </c>
      <c r="X16" s="5"/>
      <c r="Y16" s="5"/>
      <c r="Z16" s="98"/>
      <c r="AA16" s="23">
        <f t="shared" si="3"/>
        <v>0</v>
      </c>
      <c r="AB16" s="97">
        <f t="shared" si="4"/>
        <v>0</v>
      </c>
      <c r="AC16" s="43"/>
      <c r="AD16" s="46"/>
      <c r="AE16" s="5">
        <f t="shared" si="5"/>
        <v>2418091.872</v>
      </c>
      <c r="AF16" s="47">
        <v>131</v>
      </c>
      <c r="AG16" s="111" t="s">
        <v>1390</v>
      </c>
      <c r="AH16" s="13">
        <v>39.76</v>
      </c>
      <c r="AI16" s="12"/>
      <c r="AJ16" s="40"/>
      <c r="AK16" s="40"/>
    </row>
    <row r="17" spans="2:37" s="41" customFormat="1" ht="16.149999999999999" customHeight="1">
      <c r="B17" s="12"/>
      <c r="C17" s="1"/>
      <c r="D17" s="4"/>
      <c r="E17" s="86" t="s">
        <v>1159</v>
      </c>
      <c r="F17" s="103">
        <v>39.86</v>
      </c>
      <c r="G17" s="14">
        <f t="shared" si="0"/>
        <v>39860</v>
      </c>
      <c r="H17" s="49">
        <v>25</v>
      </c>
      <c r="I17" s="83" t="s">
        <v>1327</v>
      </c>
      <c r="J17" s="85" t="s">
        <v>1303</v>
      </c>
      <c r="K17" s="82">
        <v>10363</v>
      </c>
      <c r="L17" s="4"/>
      <c r="M17" s="85" t="s">
        <v>1317</v>
      </c>
      <c r="N17" s="82" t="s">
        <v>1328</v>
      </c>
      <c r="O17" s="4"/>
      <c r="P17" s="4"/>
      <c r="Q17" s="5">
        <v>51540</v>
      </c>
      <c r="R17" s="36"/>
      <c r="S17" s="36"/>
      <c r="T17" s="37"/>
      <c r="U17" s="5">
        <f t="shared" si="1"/>
        <v>51540</v>
      </c>
      <c r="V17" s="5">
        <f t="shared" si="2"/>
        <v>2054384.4</v>
      </c>
      <c r="W17" s="5">
        <f t="shared" si="6"/>
        <v>369789.19199999998</v>
      </c>
      <c r="X17" s="5"/>
      <c r="Y17" s="5"/>
      <c r="Z17" s="98"/>
      <c r="AA17" s="23">
        <f t="shared" si="3"/>
        <v>0</v>
      </c>
      <c r="AB17" s="97">
        <f t="shared" si="4"/>
        <v>0</v>
      </c>
      <c r="AC17" s="43"/>
      <c r="AD17" s="46"/>
      <c r="AE17" s="5">
        <f t="shared" si="5"/>
        <v>2424173.5919999997</v>
      </c>
      <c r="AF17" s="47">
        <v>132</v>
      </c>
      <c r="AG17" s="111" t="s">
        <v>1390</v>
      </c>
      <c r="AH17" s="13">
        <v>39.86</v>
      </c>
      <c r="AI17" s="12"/>
      <c r="AJ17" s="40"/>
      <c r="AK17" s="40"/>
    </row>
    <row r="18" spans="2:37" s="41" customFormat="1" ht="16.149999999999999" customHeight="1">
      <c r="B18" s="12"/>
      <c r="C18" s="1"/>
      <c r="D18" s="4"/>
      <c r="E18" s="86" t="s">
        <v>1159</v>
      </c>
      <c r="F18" s="103">
        <v>39.74</v>
      </c>
      <c r="G18" s="14">
        <f t="shared" si="0"/>
        <v>39740</v>
      </c>
      <c r="H18" s="49">
        <v>25</v>
      </c>
      <c r="I18" s="83" t="s">
        <v>1329</v>
      </c>
      <c r="J18" s="85" t="s">
        <v>1303</v>
      </c>
      <c r="K18" s="82">
        <v>10364</v>
      </c>
      <c r="L18" s="4"/>
      <c r="M18" s="85" t="s">
        <v>1317</v>
      </c>
      <c r="N18" s="82" t="s">
        <v>1330</v>
      </c>
      <c r="O18" s="4"/>
      <c r="P18" s="4"/>
      <c r="Q18" s="5">
        <v>51540</v>
      </c>
      <c r="R18" s="36"/>
      <c r="S18" s="36"/>
      <c r="T18" s="37"/>
      <c r="U18" s="5">
        <f t="shared" si="1"/>
        <v>51540</v>
      </c>
      <c r="V18" s="5">
        <f t="shared" si="2"/>
        <v>2048199.6</v>
      </c>
      <c r="W18" s="5">
        <f t="shared" si="6"/>
        <v>368675.92800000001</v>
      </c>
      <c r="X18" s="5"/>
      <c r="Y18" s="5"/>
      <c r="Z18" s="98"/>
      <c r="AA18" s="23">
        <f t="shared" si="3"/>
        <v>0</v>
      </c>
      <c r="AB18" s="97">
        <f t="shared" si="4"/>
        <v>0</v>
      </c>
      <c r="AC18" s="43"/>
      <c r="AD18" s="46"/>
      <c r="AE18" s="5">
        <f t="shared" si="5"/>
        <v>2416875.5279999999</v>
      </c>
      <c r="AF18" s="47">
        <v>133</v>
      </c>
      <c r="AG18" s="111" t="s">
        <v>1390</v>
      </c>
      <c r="AH18" s="13">
        <v>39.74</v>
      </c>
      <c r="AI18" s="12"/>
      <c r="AJ18" s="40"/>
      <c r="AK18" s="40"/>
    </row>
    <row r="19" spans="2:37" s="41" customFormat="1" ht="16.149999999999999" customHeight="1">
      <c r="B19" s="12"/>
      <c r="C19" s="1"/>
      <c r="D19" s="4"/>
      <c r="E19" s="86" t="s">
        <v>1159</v>
      </c>
      <c r="F19" s="103">
        <v>41.4</v>
      </c>
      <c r="G19" s="14">
        <f t="shared" si="0"/>
        <v>41400</v>
      </c>
      <c r="H19" s="49">
        <v>26</v>
      </c>
      <c r="I19" s="83" t="s">
        <v>1331</v>
      </c>
      <c r="J19" s="85" t="s">
        <v>1303</v>
      </c>
      <c r="K19" s="82">
        <v>10366</v>
      </c>
      <c r="L19" s="4"/>
      <c r="M19" s="85" t="s">
        <v>1332</v>
      </c>
      <c r="N19" s="82" t="s">
        <v>1333</v>
      </c>
      <c r="O19" s="4"/>
      <c r="P19" s="4"/>
      <c r="Q19" s="5">
        <v>51540</v>
      </c>
      <c r="R19" s="36"/>
      <c r="S19" s="36"/>
      <c r="T19" s="37"/>
      <c r="U19" s="5">
        <f t="shared" si="1"/>
        <v>51540</v>
      </c>
      <c r="V19" s="5">
        <f t="shared" si="2"/>
        <v>2133756</v>
      </c>
      <c r="W19" s="5">
        <f t="shared" si="6"/>
        <v>384076.07999999996</v>
      </c>
      <c r="X19" s="5"/>
      <c r="Y19" s="5"/>
      <c r="Z19" s="98"/>
      <c r="AA19" s="23">
        <f t="shared" si="3"/>
        <v>0</v>
      </c>
      <c r="AB19" s="97">
        <f t="shared" si="4"/>
        <v>0</v>
      </c>
      <c r="AC19" s="43"/>
      <c r="AD19" s="46"/>
      <c r="AE19" s="5">
        <f t="shared" si="5"/>
        <v>2517832.08</v>
      </c>
      <c r="AF19" s="47">
        <v>134</v>
      </c>
      <c r="AG19" s="111" t="s">
        <v>1390</v>
      </c>
      <c r="AH19" s="13">
        <v>41.4</v>
      </c>
      <c r="AI19" s="12"/>
      <c r="AJ19" s="40"/>
      <c r="AK19" s="40"/>
    </row>
    <row r="20" spans="2:37" s="41" customFormat="1" ht="16.149999999999999" customHeight="1">
      <c r="B20" s="12"/>
      <c r="C20" s="1"/>
      <c r="D20" s="4"/>
      <c r="E20" s="86" t="s">
        <v>1159</v>
      </c>
      <c r="F20" s="103">
        <v>41.44</v>
      </c>
      <c r="G20" s="14">
        <f t="shared" ref="G20:G23" si="7">+F20*1000</f>
        <v>41440</v>
      </c>
      <c r="H20" s="49">
        <v>26</v>
      </c>
      <c r="I20" s="83" t="s">
        <v>1334</v>
      </c>
      <c r="J20" s="85" t="s">
        <v>1303</v>
      </c>
      <c r="K20" s="82">
        <v>10365</v>
      </c>
      <c r="L20" s="4"/>
      <c r="M20" s="85" t="s">
        <v>1332</v>
      </c>
      <c r="N20" s="82" t="s">
        <v>1335</v>
      </c>
      <c r="O20" s="4"/>
      <c r="P20" s="4"/>
      <c r="Q20" s="5">
        <v>51540</v>
      </c>
      <c r="R20" s="36"/>
      <c r="S20" s="36"/>
      <c r="T20" s="37"/>
      <c r="U20" s="5">
        <f t="shared" ref="U20:U23" si="8">S20+R20+Q20-T20</f>
        <v>51540</v>
      </c>
      <c r="V20" s="5">
        <f t="shared" ref="V20:V23" si="9">F20*U20</f>
        <v>2135817.6</v>
      </c>
      <c r="W20" s="5">
        <f t="shared" ref="W20:W23" si="10">V20*18%</f>
        <v>384447.16800000001</v>
      </c>
      <c r="X20" s="5"/>
      <c r="Y20" s="5"/>
      <c r="Z20" s="98"/>
      <c r="AA20" s="23">
        <f t="shared" ref="AA20:AA23" si="11">F20*Z20</f>
        <v>0</v>
      </c>
      <c r="AB20" s="97">
        <f t="shared" ref="AB20:AB23" si="12">AA20*18%</f>
        <v>0</v>
      </c>
      <c r="AC20" s="43"/>
      <c r="AD20" s="46"/>
      <c r="AE20" s="5">
        <f t="shared" ref="AE20:AE23" si="13">+AB20+AA20+Y20+X20+W20+V20-AC20+AD20</f>
        <v>2520264.7680000002</v>
      </c>
      <c r="AF20" s="47">
        <v>135</v>
      </c>
      <c r="AG20" s="111" t="s">
        <v>1390</v>
      </c>
      <c r="AH20" s="13">
        <v>41.44</v>
      </c>
      <c r="AI20" s="12"/>
      <c r="AJ20" s="40"/>
      <c r="AK20" s="40"/>
    </row>
    <row r="21" spans="2:37" s="41" customFormat="1" ht="16.149999999999999" customHeight="1">
      <c r="B21" s="12"/>
      <c r="C21" s="1"/>
      <c r="D21" s="4"/>
      <c r="E21" s="86" t="s">
        <v>1159</v>
      </c>
      <c r="F21" s="103">
        <v>27.14</v>
      </c>
      <c r="G21" s="14">
        <f t="shared" si="7"/>
        <v>27140</v>
      </c>
      <c r="H21" s="49">
        <v>17</v>
      </c>
      <c r="I21" s="83" t="s">
        <v>1336</v>
      </c>
      <c r="J21" s="85" t="s">
        <v>1297</v>
      </c>
      <c r="K21" s="82">
        <v>13369</v>
      </c>
      <c r="L21" s="4"/>
      <c r="M21" s="85" t="s">
        <v>1332</v>
      </c>
      <c r="N21" s="82" t="s">
        <v>1337</v>
      </c>
      <c r="O21" s="4"/>
      <c r="P21" s="4"/>
      <c r="Q21" s="5">
        <v>51540</v>
      </c>
      <c r="R21" s="36"/>
      <c r="S21" s="36"/>
      <c r="T21" s="37"/>
      <c r="U21" s="5">
        <f t="shared" si="8"/>
        <v>51540</v>
      </c>
      <c r="V21" s="5">
        <f t="shared" si="9"/>
        <v>1398795.6</v>
      </c>
      <c r="W21" s="5">
        <f t="shared" si="10"/>
        <v>251783.20800000001</v>
      </c>
      <c r="X21" s="5"/>
      <c r="Y21" s="5"/>
      <c r="Z21" s="98"/>
      <c r="AA21" s="23">
        <f t="shared" si="11"/>
        <v>0</v>
      </c>
      <c r="AB21" s="97">
        <f t="shared" si="12"/>
        <v>0</v>
      </c>
      <c r="AC21" s="43"/>
      <c r="AD21" s="46"/>
      <c r="AE21" s="5">
        <f t="shared" si="13"/>
        <v>1650578.8080000002</v>
      </c>
      <c r="AF21" s="47">
        <v>136</v>
      </c>
      <c r="AG21" s="111" t="s">
        <v>1390</v>
      </c>
      <c r="AH21" s="13">
        <v>27.14</v>
      </c>
      <c r="AI21" s="12"/>
      <c r="AJ21" s="40"/>
      <c r="AK21" s="40"/>
    </row>
    <row r="22" spans="2:37" s="41" customFormat="1" ht="16.149999999999999" customHeight="1">
      <c r="B22" s="12"/>
      <c r="C22" s="1"/>
      <c r="D22" s="4"/>
      <c r="E22" s="86" t="s">
        <v>1159</v>
      </c>
      <c r="F22" s="103">
        <v>41.3</v>
      </c>
      <c r="G22" s="14">
        <f t="shared" si="7"/>
        <v>41300</v>
      </c>
      <c r="H22" s="49">
        <v>26</v>
      </c>
      <c r="I22" s="83" t="s">
        <v>1338</v>
      </c>
      <c r="J22" s="85" t="s">
        <v>1303</v>
      </c>
      <c r="K22" s="82">
        <v>15108</v>
      </c>
      <c r="L22" s="4"/>
      <c r="M22" s="85" t="s">
        <v>1332</v>
      </c>
      <c r="N22" s="82" t="s">
        <v>1339</v>
      </c>
      <c r="O22" s="4"/>
      <c r="P22" s="4"/>
      <c r="Q22" s="5">
        <v>51540</v>
      </c>
      <c r="R22" s="36"/>
      <c r="S22" s="36"/>
      <c r="T22" s="37"/>
      <c r="U22" s="5">
        <f t="shared" si="8"/>
        <v>51540</v>
      </c>
      <c r="V22" s="5">
        <f t="shared" si="9"/>
        <v>2128602</v>
      </c>
      <c r="W22" s="5">
        <f t="shared" si="10"/>
        <v>383148.36</v>
      </c>
      <c r="X22" s="5"/>
      <c r="Y22" s="5"/>
      <c r="Z22" s="98"/>
      <c r="AA22" s="23">
        <f t="shared" si="11"/>
        <v>0</v>
      </c>
      <c r="AB22" s="97">
        <f t="shared" si="12"/>
        <v>0</v>
      </c>
      <c r="AC22" s="43"/>
      <c r="AD22" s="46"/>
      <c r="AE22" s="5">
        <f t="shared" si="13"/>
        <v>2511750.36</v>
      </c>
      <c r="AF22" s="47">
        <v>137</v>
      </c>
      <c r="AG22" s="111" t="s">
        <v>1390</v>
      </c>
      <c r="AH22" s="13">
        <v>41.3</v>
      </c>
      <c r="AI22" s="12"/>
      <c r="AJ22" s="40"/>
      <c r="AK22" s="40"/>
    </row>
    <row r="23" spans="2:37" s="41" customFormat="1" ht="16.149999999999999" customHeight="1">
      <c r="B23" s="12"/>
      <c r="C23" s="1"/>
      <c r="D23" s="4"/>
      <c r="E23" s="86" t="s">
        <v>1159</v>
      </c>
      <c r="F23" s="103">
        <v>41.34</v>
      </c>
      <c r="G23" s="14">
        <f t="shared" si="7"/>
        <v>41340</v>
      </c>
      <c r="H23" s="49">
        <v>26</v>
      </c>
      <c r="I23" s="83" t="s">
        <v>1340</v>
      </c>
      <c r="J23" s="85" t="s">
        <v>1303</v>
      </c>
      <c r="K23" s="82">
        <v>11838</v>
      </c>
      <c r="L23" s="4"/>
      <c r="M23" s="85" t="s">
        <v>1332</v>
      </c>
      <c r="N23" s="82" t="s">
        <v>1341</v>
      </c>
      <c r="O23" s="4"/>
      <c r="P23" s="4"/>
      <c r="Q23" s="5">
        <v>51540</v>
      </c>
      <c r="R23" s="36"/>
      <c r="S23" s="36"/>
      <c r="T23" s="37"/>
      <c r="U23" s="5">
        <f t="shared" si="8"/>
        <v>51540</v>
      </c>
      <c r="V23" s="5">
        <f t="shared" si="9"/>
        <v>2130663.6</v>
      </c>
      <c r="W23" s="5">
        <f t="shared" si="10"/>
        <v>383519.44799999997</v>
      </c>
      <c r="X23" s="5"/>
      <c r="Y23" s="5"/>
      <c r="Z23" s="98"/>
      <c r="AA23" s="23">
        <f t="shared" si="11"/>
        <v>0</v>
      </c>
      <c r="AB23" s="97">
        <f t="shared" si="12"/>
        <v>0</v>
      </c>
      <c r="AC23" s="43"/>
      <c r="AD23" s="46"/>
      <c r="AE23" s="5">
        <f t="shared" si="13"/>
        <v>2514183.048</v>
      </c>
      <c r="AF23" s="47">
        <v>138</v>
      </c>
      <c r="AG23" s="111" t="s">
        <v>1390</v>
      </c>
      <c r="AH23" s="13">
        <v>41.34</v>
      </c>
      <c r="AI23" s="12"/>
      <c r="AJ23" s="40"/>
      <c r="AK23" s="40"/>
    </row>
    <row r="24" spans="2:37" s="41" customFormat="1" ht="16.149999999999999" customHeight="1">
      <c r="B24" s="12"/>
      <c r="C24" s="1"/>
      <c r="D24" s="4"/>
      <c r="E24" s="86" t="s">
        <v>1159</v>
      </c>
      <c r="F24" s="103">
        <v>12.66</v>
      </c>
      <c r="G24" s="14">
        <f t="shared" ref="G24:G33" si="14">+F24*1000</f>
        <v>12660</v>
      </c>
      <c r="H24" s="49">
        <v>8</v>
      </c>
      <c r="I24" s="83" t="s">
        <v>1346</v>
      </c>
      <c r="J24" s="85" t="s">
        <v>1303</v>
      </c>
      <c r="K24" s="82">
        <v>13398</v>
      </c>
      <c r="L24" s="4"/>
      <c r="M24" s="85" t="s">
        <v>1332</v>
      </c>
      <c r="N24" s="82" t="s">
        <v>1347</v>
      </c>
      <c r="O24" s="4"/>
      <c r="P24" s="4"/>
      <c r="Q24" s="5">
        <v>51540</v>
      </c>
      <c r="R24" s="36"/>
      <c r="S24" s="36"/>
      <c r="T24" s="37"/>
      <c r="U24" s="5">
        <f t="shared" ref="U24:U33" si="15">S24+R24+Q24-T24</f>
        <v>51540</v>
      </c>
      <c r="V24" s="5">
        <f t="shared" ref="V24:V33" si="16">F24*U24</f>
        <v>652496.4</v>
      </c>
      <c r="W24" s="5">
        <f t="shared" ref="W24:W33" si="17">V24*18%</f>
        <v>117449.352</v>
      </c>
      <c r="X24" s="5"/>
      <c r="Y24" s="5"/>
      <c r="Z24" s="98"/>
      <c r="AA24" s="23">
        <f t="shared" ref="AA24:AA33" si="18">F24*Z24</f>
        <v>0</v>
      </c>
      <c r="AB24" s="97">
        <f t="shared" ref="AB24:AB33" si="19">AA24*18%</f>
        <v>0</v>
      </c>
      <c r="AC24" s="43"/>
      <c r="AD24" s="46"/>
      <c r="AE24" s="5">
        <f t="shared" ref="AE24:AE33" si="20">+AB24+AA24+Y24+X24+W24+V24-AC24+AD24</f>
        <v>769945.75199999998</v>
      </c>
      <c r="AF24" s="47">
        <v>139</v>
      </c>
      <c r="AG24" s="111" t="s">
        <v>1390</v>
      </c>
      <c r="AH24" s="13">
        <v>12.66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86" t="s">
        <v>1159</v>
      </c>
      <c r="F25" s="103">
        <v>27.04</v>
      </c>
      <c r="G25" s="14">
        <f t="shared" si="14"/>
        <v>27040</v>
      </c>
      <c r="H25" s="49">
        <v>17</v>
      </c>
      <c r="I25" s="83" t="s">
        <v>1350</v>
      </c>
      <c r="J25" s="85" t="s">
        <v>1303</v>
      </c>
      <c r="K25" s="82">
        <v>13384</v>
      </c>
      <c r="L25" s="4"/>
      <c r="M25" s="85" t="s">
        <v>1332</v>
      </c>
      <c r="N25" s="82" t="s">
        <v>1351</v>
      </c>
      <c r="O25" s="4"/>
      <c r="P25" s="4"/>
      <c r="Q25" s="5">
        <v>51540</v>
      </c>
      <c r="R25" s="36"/>
      <c r="S25" s="36"/>
      <c r="T25" s="37"/>
      <c r="U25" s="5">
        <f t="shared" si="15"/>
        <v>51540</v>
      </c>
      <c r="V25" s="5">
        <f t="shared" si="16"/>
        <v>1393641.5999999999</v>
      </c>
      <c r="W25" s="5">
        <f t="shared" si="17"/>
        <v>250855.48799999995</v>
      </c>
      <c r="X25" s="5"/>
      <c r="Y25" s="5"/>
      <c r="Z25" s="98"/>
      <c r="AA25" s="23">
        <f t="shared" si="18"/>
        <v>0</v>
      </c>
      <c r="AB25" s="97">
        <f t="shared" si="19"/>
        <v>0</v>
      </c>
      <c r="AC25" s="43"/>
      <c r="AD25" s="46"/>
      <c r="AE25" s="5">
        <f t="shared" si="20"/>
        <v>1644497.0879999998</v>
      </c>
      <c r="AF25" s="47">
        <v>140</v>
      </c>
      <c r="AG25" s="111" t="s">
        <v>1390</v>
      </c>
      <c r="AH25" s="13">
        <v>27.04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86" t="s">
        <v>1159</v>
      </c>
      <c r="F26" s="103">
        <v>31.74</v>
      </c>
      <c r="G26" s="14">
        <f t="shared" si="14"/>
        <v>31740</v>
      </c>
      <c r="H26" s="49">
        <v>20</v>
      </c>
      <c r="I26" s="83" t="s">
        <v>1352</v>
      </c>
      <c r="J26" s="85" t="s">
        <v>1297</v>
      </c>
      <c r="K26" s="82">
        <v>10361</v>
      </c>
      <c r="L26" s="4"/>
      <c r="M26" s="85" t="s">
        <v>1332</v>
      </c>
      <c r="N26" s="82" t="s">
        <v>1353</v>
      </c>
      <c r="O26" s="4"/>
      <c r="P26" s="4"/>
      <c r="Q26" s="5">
        <v>51540</v>
      </c>
      <c r="R26" s="36"/>
      <c r="S26" s="36"/>
      <c r="T26" s="37"/>
      <c r="U26" s="5">
        <f t="shared" si="15"/>
        <v>51540</v>
      </c>
      <c r="V26" s="5">
        <f t="shared" si="16"/>
        <v>1635879.5999999999</v>
      </c>
      <c r="W26" s="5">
        <f t="shared" si="17"/>
        <v>294458.32799999998</v>
      </c>
      <c r="X26" s="5"/>
      <c r="Y26" s="5"/>
      <c r="Z26" s="98"/>
      <c r="AA26" s="23">
        <f t="shared" si="18"/>
        <v>0</v>
      </c>
      <c r="AB26" s="97">
        <f t="shared" si="19"/>
        <v>0</v>
      </c>
      <c r="AC26" s="43"/>
      <c r="AD26" s="46"/>
      <c r="AE26" s="5">
        <f t="shared" si="20"/>
        <v>1930337.9279999998</v>
      </c>
      <c r="AF26" s="47">
        <v>141</v>
      </c>
      <c r="AG26" s="111" t="s">
        <v>1390</v>
      </c>
      <c r="AH26" s="13">
        <v>31.74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86" t="s">
        <v>1159</v>
      </c>
      <c r="F27" s="103">
        <v>31.8</v>
      </c>
      <c r="G27" s="14">
        <f t="shared" si="14"/>
        <v>31800</v>
      </c>
      <c r="H27" s="49">
        <v>20</v>
      </c>
      <c r="I27" s="83" t="s">
        <v>1354</v>
      </c>
      <c r="J27" s="85" t="s">
        <v>1303</v>
      </c>
      <c r="K27" s="82">
        <v>13385</v>
      </c>
      <c r="L27" s="4"/>
      <c r="M27" s="85" t="s">
        <v>1332</v>
      </c>
      <c r="N27" s="82" t="s">
        <v>1355</v>
      </c>
      <c r="O27" s="4"/>
      <c r="P27" s="4"/>
      <c r="Q27" s="5">
        <v>51540</v>
      </c>
      <c r="R27" s="36"/>
      <c r="S27" s="36"/>
      <c r="T27" s="37"/>
      <c r="U27" s="5">
        <f t="shared" si="15"/>
        <v>51540</v>
      </c>
      <c r="V27" s="5">
        <f t="shared" si="16"/>
        <v>1638972</v>
      </c>
      <c r="W27" s="5">
        <f t="shared" si="17"/>
        <v>295014.95999999996</v>
      </c>
      <c r="X27" s="5"/>
      <c r="Y27" s="5"/>
      <c r="Z27" s="98"/>
      <c r="AA27" s="23">
        <f t="shared" si="18"/>
        <v>0</v>
      </c>
      <c r="AB27" s="97">
        <f t="shared" si="19"/>
        <v>0</v>
      </c>
      <c r="AC27" s="43"/>
      <c r="AD27" s="46"/>
      <c r="AE27" s="5">
        <f t="shared" si="20"/>
        <v>1933986.96</v>
      </c>
      <c r="AF27" s="47">
        <v>142</v>
      </c>
      <c r="AG27" s="111" t="s">
        <v>1390</v>
      </c>
      <c r="AH27" s="13">
        <v>31.8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86" t="s">
        <v>1159</v>
      </c>
      <c r="F28" s="103">
        <v>39.659999999999997</v>
      </c>
      <c r="G28" s="14">
        <f t="shared" si="14"/>
        <v>39660</v>
      </c>
      <c r="H28" s="49">
        <v>25</v>
      </c>
      <c r="I28" s="83" t="s">
        <v>1356</v>
      </c>
      <c r="J28" s="85" t="s">
        <v>1303</v>
      </c>
      <c r="K28" s="82">
        <v>13388</v>
      </c>
      <c r="L28" s="4"/>
      <c r="M28" s="85" t="s">
        <v>1357</v>
      </c>
      <c r="N28" s="82" t="s">
        <v>1358</v>
      </c>
      <c r="O28" s="4"/>
      <c r="P28" s="4"/>
      <c r="Q28" s="5">
        <v>51540</v>
      </c>
      <c r="R28" s="36"/>
      <c r="S28" s="36"/>
      <c r="T28" s="37"/>
      <c r="U28" s="5">
        <f t="shared" si="15"/>
        <v>51540</v>
      </c>
      <c r="V28" s="5">
        <f t="shared" si="16"/>
        <v>2044076.4</v>
      </c>
      <c r="W28" s="5">
        <f t="shared" si="17"/>
        <v>367933.75199999998</v>
      </c>
      <c r="X28" s="5"/>
      <c r="Y28" s="5"/>
      <c r="Z28" s="98"/>
      <c r="AA28" s="23">
        <f t="shared" si="18"/>
        <v>0</v>
      </c>
      <c r="AB28" s="97">
        <f t="shared" si="19"/>
        <v>0</v>
      </c>
      <c r="AC28" s="43"/>
      <c r="AD28" s="46"/>
      <c r="AE28" s="5">
        <f t="shared" si="20"/>
        <v>2412010.1519999998</v>
      </c>
      <c r="AF28" s="47">
        <v>143</v>
      </c>
      <c r="AG28" s="111" t="s">
        <v>1390</v>
      </c>
      <c r="AH28" s="13">
        <v>39.659999999999997</v>
      </c>
      <c r="AI28" s="12"/>
      <c r="AJ28" s="40"/>
      <c r="AK28" s="40"/>
    </row>
    <row r="29" spans="2:37" s="41" customFormat="1" ht="16.149999999999999" customHeight="1">
      <c r="B29" s="12"/>
      <c r="C29" s="1"/>
      <c r="D29" s="4"/>
      <c r="E29" s="86" t="s">
        <v>1159</v>
      </c>
      <c r="F29" s="103">
        <v>39.76</v>
      </c>
      <c r="G29" s="14">
        <f t="shared" si="14"/>
        <v>39760</v>
      </c>
      <c r="H29" s="49">
        <v>25</v>
      </c>
      <c r="I29" s="83" t="s">
        <v>1359</v>
      </c>
      <c r="J29" s="85" t="s">
        <v>1303</v>
      </c>
      <c r="K29" s="82">
        <v>15105</v>
      </c>
      <c r="L29" s="4"/>
      <c r="M29" s="85" t="s">
        <v>1357</v>
      </c>
      <c r="N29" s="82" t="s">
        <v>1389</v>
      </c>
      <c r="O29" s="4"/>
      <c r="P29" s="4"/>
      <c r="Q29" s="5">
        <v>51540</v>
      </c>
      <c r="R29" s="36"/>
      <c r="S29" s="36"/>
      <c r="T29" s="37"/>
      <c r="U29" s="5">
        <f t="shared" si="15"/>
        <v>51540</v>
      </c>
      <c r="V29" s="5">
        <f t="shared" si="16"/>
        <v>2049230.4</v>
      </c>
      <c r="W29" s="5">
        <f t="shared" si="17"/>
        <v>368861.47199999995</v>
      </c>
      <c r="X29" s="5"/>
      <c r="Y29" s="5"/>
      <c r="Z29" s="98"/>
      <c r="AA29" s="23">
        <f t="shared" si="18"/>
        <v>0</v>
      </c>
      <c r="AB29" s="97">
        <f t="shared" si="19"/>
        <v>0</v>
      </c>
      <c r="AC29" s="43"/>
      <c r="AD29" s="46"/>
      <c r="AE29" s="5">
        <f t="shared" si="20"/>
        <v>2418091.872</v>
      </c>
      <c r="AF29" s="47">
        <v>144</v>
      </c>
      <c r="AG29" s="111" t="s">
        <v>1390</v>
      </c>
      <c r="AH29" s="13">
        <v>39.76</v>
      </c>
      <c r="AI29" s="12"/>
      <c r="AJ29" s="40"/>
      <c r="AK29" s="40"/>
    </row>
    <row r="30" spans="2:37" s="41" customFormat="1" ht="16.149999999999999" customHeight="1">
      <c r="B30" s="12"/>
      <c r="C30" s="1"/>
      <c r="D30" s="4"/>
      <c r="E30" s="86" t="s">
        <v>1159</v>
      </c>
      <c r="F30" s="103">
        <v>9.5</v>
      </c>
      <c r="G30" s="14">
        <f t="shared" si="14"/>
        <v>9500</v>
      </c>
      <c r="H30" s="49">
        <v>6</v>
      </c>
      <c r="I30" s="83" t="s">
        <v>1363</v>
      </c>
      <c r="J30" s="85" t="s">
        <v>1357</v>
      </c>
      <c r="K30" s="82">
        <v>10373</v>
      </c>
      <c r="L30" s="4"/>
      <c r="M30" s="85" t="s">
        <v>1366</v>
      </c>
      <c r="N30" s="82" t="s">
        <v>1362</v>
      </c>
      <c r="O30" s="4"/>
      <c r="P30" s="4"/>
      <c r="Q30" s="5">
        <v>51540</v>
      </c>
      <c r="R30" s="36"/>
      <c r="S30" s="36"/>
      <c r="T30" s="37"/>
      <c r="U30" s="5">
        <f t="shared" si="15"/>
        <v>51540</v>
      </c>
      <c r="V30" s="5">
        <f t="shared" si="16"/>
        <v>489630</v>
      </c>
      <c r="W30" s="5">
        <f t="shared" si="17"/>
        <v>88133.4</v>
      </c>
      <c r="X30" s="5"/>
      <c r="Y30" s="5"/>
      <c r="Z30" s="98"/>
      <c r="AA30" s="23">
        <f t="shared" si="18"/>
        <v>0</v>
      </c>
      <c r="AB30" s="97">
        <f t="shared" si="19"/>
        <v>0</v>
      </c>
      <c r="AC30" s="43"/>
      <c r="AD30" s="46"/>
      <c r="AE30" s="5">
        <f t="shared" si="20"/>
        <v>577763.4</v>
      </c>
      <c r="AF30" s="47">
        <v>145</v>
      </c>
      <c r="AG30" s="111" t="s">
        <v>1390</v>
      </c>
      <c r="AH30" s="13">
        <v>9.5</v>
      </c>
      <c r="AI30" s="12"/>
      <c r="AJ30" s="40"/>
      <c r="AK30" s="40"/>
    </row>
    <row r="31" spans="2:37" s="41" customFormat="1" ht="16.149999999999999" customHeight="1">
      <c r="B31" s="12"/>
      <c r="C31" s="1"/>
      <c r="D31" s="4"/>
      <c r="E31" s="86" t="s">
        <v>1159</v>
      </c>
      <c r="F31" s="103">
        <v>25.28</v>
      </c>
      <c r="G31" s="14">
        <f t="shared" si="14"/>
        <v>25280</v>
      </c>
      <c r="H31" s="49">
        <v>16</v>
      </c>
      <c r="I31" s="83" t="s">
        <v>1364</v>
      </c>
      <c r="J31" s="85" t="s">
        <v>1357</v>
      </c>
      <c r="K31" s="82">
        <v>10372</v>
      </c>
      <c r="L31" s="4"/>
      <c r="M31" s="85" t="s">
        <v>1366</v>
      </c>
      <c r="N31" s="82" t="s">
        <v>1362</v>
      </c>
      <c r="O31" s="4"/>
      <c r="P31" s="4"/>
      <c r="Q31" s="5">
        <v>51540</v>
      </c>
      <c r="R31" s="36"/>
      <c r="S31" s="36"/>
      <c r="T31" s="37"/>
      <c r="U31" s="5">
        <f t="shared" si="15"/>
        <v>51540</v>
      </c>
      <c r="V31" s="5">
        <f t="shared" si="16"/>
        <v>1302931.2</v>
      </c>
      <c r="W31" s="5">
        <f t="shared" si="17"/>
        <v>234527.61599999998</v>
      </c>
      <c r="X31" s="5"/>
      <c r="Y31" s="5"/>
      <c r="Z31" s="98"/>
      <c r="AA31" s="23">
        <f t="shared" si="18"/>
        <v>0</v>
      </c>
      <c r="AB31" s="97">
        <f t="shared" si="19"/>
        <v>0</v>
      </c>
      <c r="AC31" s="43"/>
      <c r="AD31" s="46"/>
      <c r="AE31" s="5">
        <f t="shared" si="20"/>
        <v>1537458.8159999999</v>
      </c>
      <c r="AF31" s="47">
        <v>146</v>
      </c>
      <c r="AG31" s="111" t="s">
        <v>1390</v>
      </c>
      <c r="AH31" s="13">
        <v>25.28</v>
      </c>
      <c r="AI31" s="12"/>
      <c r="AJ31" s="40"/>
      <c r="AK31" s="40"/>
    </row>
    <row r="32" spans="2:37" s="41" customFormat="1" ht="16.149999999999999" customHeight="1">
      <c r="B32" s="12"/>
      <c r="C32" s="1"/>
      <c r="D32" s="4"/>
      <c r="E32" s="86" t="s">
        <v>1159</v>
      </c>
      <c r="F32" s="103">
        <v>41.32</v>
      </c>
      <c r="G32" s="14">
        <f t="shared" si="14"/>
        <v>41320</v>
      </c>
      <c r="H32" s="49">
        <v>26</v>
      </c>
      <c r="I32" s="83" t="s">
        <v>1365</v>
      </c>
      <c r="J32" s="85" t="s">
        <v>1332</v>
      </c>
      <c r="K32" s="82">
        <v>10371</v>
      </c>
      <c r="L32" s="4"/>
      <c r="M32" s="85" t="s">
        <v>1366</v>
      </c>
      <c r="N32" s="82" t="s">
        <v>1367</v>
      </c>
      <c r="O32" s="4"/>
      <c r="P32" s="4"/>
      <c r="Q32" s="5">
        <v>51540</v>
      </c>
      <c r="R32" s="36"/>
      <c r="S32" s="36"/>
      <c r="T32" s="37"/>
      <c r="U32" s="5">
        <f t="shared" si="15"/>
        <v>51540</v>
      </c>
      <c r="V32" s="5">
        <f t="shared" si="16"/>
        <v>2129632.7999999998</v>
      </c>
      <c r="W32" s="5">
        <f t="shared" si="17"/>
        <v>383333.90399999998</v>
      </c>
      <c r="X32" s="5"/>
      <c r="Y32" s="5"/>
      <c r="Z32" s="98"/>
      <c r="AA32" s="23">
        <f t="shared" si="18"/>
        <v>0</v>
      </c>
      <c r="AB32" s="97">
        <f t="shared" si="19"/>
        <v>0</v>
      </c>
      <c r="AC32" s="43"/>
      <c r="AD32" s="46"/>
      <c r="AE32" s="5">
        <f t="shared" si="20"/>
        <v>2512966.7039999999</v>
      </c>
      <c r="AF32" s="47">
        <v>147</v>
      </c>
      <c r="AG32" s="111" t="s">
        <v>1390</v>
      </c>
      <c r="AH32" s="13">
        <v>41.32</v>
      </c>
      <c r="AI32" s="12"/>
      <c r="AJ32" s="40"/>
      <c r="AK32" s="40"/>
    </row>
    <row r="33" spans="2:37" s="41" customFormat="1" ht="16.149999999999999" customHeight="1">
      <c r="B33" s="12"/>
      <c r="C33" s="1"/>
      <c r="D33" s="4"/>
      <c r="E33" s="86" t="s">
        <v>1159</v>
      </c>
      <c r="F33" s="103">
        <v>39.840000000000003</v>
      </c>
      <c r="G33" s="14">
        <f t="shared" si="14"/>
        <v>39840</v>
      </c>
      <c r="H33" s="49">
        <v>25</v>
      </c>
      <c r="I33" s="83" t="s">
        <v>1378</v>
      </c>
      <c r="J33" s="85" t="s">
        <v>1371</v>
      </c>
      <c r="K33" s="82">
        <v>10394</v>
      </c>
      <c r="L33" s="4"/>
      <c r="M33" s="85" t="s">
        <v>1379</v>
      </c>
      <c r="N33" s="82" t="s">
        <v>1380</v>
      </c>
      <c r="O33" s="4"/>
      <c r="P33" s="4"/>
      <c r="Q33" s="5">
        <v>51540</v>
      </c>
      <c r="R33" s="36"/>
      <c r="S33" s="36"/>
      <c r="T33" s="37"/>
      <c r="U33" s="5">
        <f t="shared" si="15"/>
        <v>51540</v>
      </c>
      <c r="V33" s="5">
        <f t="shared" si="16"/>
        <v>2053353.6</v>
      </c>
      <c r="W33" s="5">
        <f t="shared" si="17"/>
        <v>369603.64799999999</v>
      </c>
      <c r="X33" s="5"/>
      <c r="Y33" s="5"/>
      <c r="Z33" s="98"/>
      <c r="AA33" s="23">
        <f t="shared" si="18"/>
        <v>0</v>
      </c>
      <c r="AB33" s="97">
        <f t="shared" si="19"/>
        <v>0</v>
      </c>
      <c r="AC33" s="43"/>
      <c r="AD33" s="46"/>
      <c r="AE33" s="5">
        <f t="shared" si="20"/>
        <v>2422957.2480000001</v>
      </c>
      <c r="AF33" s="47">
        <v>148</v>
      </c>
      <c r="AG33" s="111" t="s">
        <v>1390</v>
      </c>
      <c r="AH33" s="13">
        <v>39.840000000000003</v>
      </c>
      <c r="AI33" s="12"/>
      <c r="AJ33" s="40"/>
      <c r="AK33" s="40"/>
    </row>
    <row r="34" spans="2:37" s="41" customFormat="1">
      <c r="B34" s="92"/>
      <c r="C34" s="48"/>
      <c r="D34" s="6"/>
      <c r="E34" s="6"/>
      <c r="F34" s="81">
        <f>SUM(F3:F33)</f>
        <v>1087.8599999999997</v>
      </c>
      <c r="G34" s="20">
        <f>SUM(G3:G33)</f>
        <v>1087860</v>
      </c>
      <c r="H34" s="21">
        <f>SUM(H3:H33)</f>
        <v>694</v>
      </c>
      <c r="I34" s="2"/>
      <c r="J34" s="7"/>
      <c r="K34" s="7"/>
      <c r="L34" s="7"/>
      <c r="M34" s="2"/>
      <c r="N34" s="6"/>
      <c r="O34" s="6"/>
      <c r="P34" s="6"/>
      <c r="Q34" s="19"/>
      <c r="R34" s="9"/>
      <c r="S34" s="9"/>
      <c r="T34" s="10"/>
      <c r="U34" s="8"/>
      <c r="V34" s="21">
        <f>SUM(V3:V33)</f>
        <v>56068304.400000006</v>
      </c>
      <c r="W34" s="21">
        <f>SUM(W3:W33)</f>
        <v>10092294.791999998</v>
      </c>
      <c r="X34" s="21">
        <f>SUM(X3:X33)</f>
        <v>0</v>
      </c>
      <c r="Y34" s="21">
        <f>SUM(Y3:Y33)</f>
        <v>0</v>
      </c>
      <c r="Z34" s="99"/>
      <c r="AA34" s="21">
        <f>SUM(AA3:AA33)</f>
        <v>0</v>
      </c>
      <c r="AB34" s="21">
        <f>SUM(AB3:AB33)</f>
        <v>0</v>
      </c>
      <c r="AC34" s="21"/>
      <c r="AD34" s="21">
        <f>SUM(AD3:AD33)</f>
        <v>0</v>
      </c>
      <c r="AE34" s="21">
        <f>SUM(AE3:AE33)</f>
        <v>66160599.191999994</v>
      </c>
      <c r="AF34" s="21"/>
      <c r="AG34" s="42"/>
      <c r="AH34" s="27">
        <f>SUM(AH3:AH33)</f>
        <v>1087.8599999999997</v>
      </c>
      <c r="AI34" s="26">
        <f>AH34-F34</f>
        <v>0</v>
      </c>
      <c r="AJ34" s="41">
        <f>AA34/F34</f>
        <v>0</v>
      </c>
      <c r="AK34" s="40"/>
    </row>
    <row r="35" spans="2:37">
      <c r="B35" s="15"/>
      <c r="C35" s="18"/>
      <c r="D35" s="11"/>
      <c r="E35" s="18" t="s">
        <v>16</v>
      </c>
      <c r="F35" s="16">
        <f>SUM(F3:F34)/2</f>
        <v>1087.8599999999997</v>
      </c>
      <c r="G35" s="17">
        <f>SUM(G3:G34)/2</f>
        <v>1087860</v>
      </c>
      <c r="H35" s="17">
        <f>SUM(H3:H34)/2</f>
        <v>694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17"/>
      <c r="V35" s="17">
        <f>SUM(V3:V34)/2</f>
        <v>56068304.400000006</v>
      </c>
      <c r="W35" s="17">
        <f>SUM(W3:W34)/2</f>
        <v>10092294.791999998</v>
      </c>
      <c r="X35" s="17"/>
      <c r="Y35" s="22"/>
      <c r="Z35" s="17"/>
      <c r="AA35" s="17">
        <f>SUM(AA3:AA34)/2</f>
        <v>0</v>
      </c>
      <c r="AB35" s="17"/>
      <c r="AC35" s="22"/>
      <c r="AD35" s="17"/>
      <c r="AE35" s="17">
        <f>SUM(AE3:AE34)/2</f>
        <v>66160599.191999994</v>
      </c>
      <c r="AF35" s="17"/>
      <c r="AG35" s="16"/>
      <c r="AH35" s="17">
        <f>SUM(AH3:AH34)/2</f>
        <v>1087.8599999999997</v>
      </c>
      <c r="AI35" s="26">
        <f>AH35-F35</f>
        <v>0</v>
      </c>
    </row>
    <row r="38" spans="2:37">
      <c r="F38" s="90"/>
    </row>
    <row r="43" spans="2:37">
      <c r="F43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AO118"/>
  <sheetViews>
    <sheetView showZeros="0" zoomScale="85" zoomScaleNormal="85" workbookViewId="0">
      <pane xSplit="14" ySplit="2" topLeftCell="O87" activePane="bottomRight" state="frozen"/>
      <selection pane="topRight" activeCell="O1" sqref="O1"/>
      <selection pane="bottomLeft" activeCell="A3" sqref="A3"/>
      <selection pane="bottomRight" activeCell="Q100" sqref="Q100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5.710937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9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+F110</f>
        <v>2667.3999999999992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26"/>
    </row>
    <row r="2" spans="2:41" ht="25.5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115" t="s">
        <v>25</v>
      </c>
      <c r="L2" s="116" t="s">
        <v>32</v>
      </c>
      <c r="M2" s="117" t="s">
        <v>6</v>
      </c>
      <c r="N2" s="118" t="s">
        <v>37</v>
      </c>
      <c r="O2" s="119" t="s">
        <v>29</v>
      </c>
      <c r="P2" s="120" t="s">
        <v>30</v>
      </c>
      <c r="Q2" s="121" t="s">
        <v>7</v>
      </c>
      <c r="R2" s="121" t="s">
        <v>8</v>
      </c>
      <c r="S2" s="121" t="s">
        <v>9</v>
      </c>
      <c r="T2" s="121" t="s">
        <v>10</v>
      </c>
      <c r="U2" s="122" t="s">
        <v>11</v>
      </c>
      <c r="V2" s="123" t="s">
        <v>12</v>
      </c>
      <c r="W2" s="123" t="s">
        <v>19</v>
      </c>
      <c r="X2" s="123" t="s">
        <v>17</v>
      </c>
      <c r="Y2" s="123" t="s">
        <v>18</v>
      </c>
      <c r="Z2" s="123" t="s">
        <v>20</v>
      </c>
      <c r="AA2" s="123" t="s">
        <v>21</v>
      </c>
      <c r="AB2" s="124" t="s">
        <v>22</v>
      </c>
      <c r="AC2" s="124" t="s">
        <v>31</v>
      </c>
      <c r="AD2" s="125" t="s">
        <v>33</v>
      </c>
      <c r="AE2" s="123" t="s">
        <v>13</v>
      </c>
      <c r="AF2" s="116" t="s">
        <v>15</v>
      </c>
      <c r="AG2" s="116" t="s">
        <v>34</v>
      </c>
      <c r="AH2" s="116" t="s">
        <v>23</v>
      </c>
      <c r="AI2" s="116" t="s">
        <v>24</v>
      </c>
      <c r="AN2" s="35"/>
      <c r="AO2" s="35"/>
    </row>
    <row r="3" spans="2:41" s="41" customFormat="1" ht="16.149999999999999" customHeight="1">
      <c r="B3" s="104" t="s">
        <v>702</v>
      </c>
      <c r="C3" s="86" t="s">
        <v>919</v>
      </c>
      <c r="D3" s="4"/>
      <c r="E3" s="86" t="s">
        <v>392</v>
      </c>
      <c r="F3" s="13">
        <v>27.52</v>
      </c>
      <c r="G3" s="14">
        <f t="shared" ref="G3:G12" si="0">+F3*1000</f>
        <v>27520</v>
      </c>
      <c r="H3" s="49">
        <v>13</v>
      </c>
      <c r="I3" s="83" t="s">
        <v>942</v>
      </c>
      <c r="J3" s="85" t="s">
        <v>943</v>
      </c>
      <c r="K3" s="82">
        <v>11655</v>
      </c>
      <c r="L3" s="4"/>
      <c r="M3" s="85" t="s">
        <v>944</v>
      </c>
      <c r="N3" s="82" t="s">
        <v>945</v>
      </c>
      <c r="O3" s="4"/>
      <c r="P3" s="4"/>
      <c r="Q3" s="5">
        <v>49440</v>
      </c>
      <c r="R3" s="36"/>
      <c r="S3" s="36"/>
      <c r="T3" s="37"/>
      <c r="U3" s="5">
        <f t="shared" ref="U3:U12" si="1">S3+R3+Q3-T3</f>
        <v>49440</v>
      </c>
      <c r="V3" s="5">
        <f t="shared" ref="V3:V12" si="2">F3*U3</f>
        <v>1360588.8</v>
      </c>
      <c r="W3" s="5">
        <f t="shared" ref="W3:W12" si="3">V3*18%</f>
        <v>244905.984</v>
      </c>
      <c r="X3" s="5"/>
      <c r="Y3" s="5"/>
      <c r="Z3" s="98"/>
      <c r="AA3" s="23">
        <f t="shared" ref="AA3:AA12" si="4">F3*Z3</f>
        <v>0</v>
      </c>
      <c r="AB3" s="97">
        <f t="shared" ref="AB3:AB12" si="5">AA3*18%</f>
        <v>0</v>
      </c>
      <c r="AC3" s="43"/>
      <c r="AD3" s="46"/>
      <c r="AE3" s="5">
        <f t="shared" ref="AE3:AE12" si="6">+AB3+AA3+Y3+X3+W3+V3-AC3+AD3</f>
        <v>1605494.784</v>
      </c>
      <c r="AF3" s="114">
        <v>388</v>
      </c>
      <c r="AG3" s="114" t="s">
        <v>1392</v>
      </c>
      <c r="AH3" s="13">
        <v>27.52</v>
      </c>
      <c r="AI3" s="12"/>
      <c r="AJ3" s="40"/>
      <c r="AK3" s="40"/>
    </row>
    <row r="4" spans="2:41" s="41" customFormat="1" ht="16.149999999999999" customHeight="1">
      <c r="B4" s="70" t="s">
        <v>918</v>
      </c>
      <c r="C4" s="82" t="s">
        <v>946</v>
      </c>
      <c r="D4" s="4"/>
      <c r="E4" s="86" t="s">
        <v>392</v>
      </c>
      <c r="F4" s="13">
        <v>19.010000000000002</v>
      </c>
      <c r="G4" s="14">
        <f t="shared" si="0"/>
        <v>19010</v>
      </c>
      <c r="H4" s="49">
        <v>9</v>
      </c>
      <c r="I4" s="83" t="s">
        <v>948</v>
      </c>
      <c r="J4" s="85" t="s">
        <v>943</v>
      </c>
      <c r="K4" s="82">
        <v>14685</v>
      </c>
      <c r="L4" s="4"/>
      <c r="M4" s="85" t="s">
        <v>944</v>
      </c>
      <c r="N4" s="82" t="s">
        <v>949</v>
      </c>
      <c r="O4" s="4"/>
      <c r="P4" s="4"/>
      <c r="Q4" s="5">
        <v>49440</v>
      </c>
      <c r="R4" s="36"/>
      <c r="S4" s="36"/>
      <c r="T4" s="37"/>
      <c r="U4" s="5">
        <f t="shared" si="1"/>
        <v>49440</v>
      </c>
      <c r="V4" s="5">
        <f t="shared" si="2"/>
        <v>939854.4</v>
      </c>
      <c r="W4" s="5">
        <f t="shared" si="3"/>
        <v>169173.79199999999</v>
      </c>
      <c r="X4" s="5"/>
      <c r="Y4" s="5"/>
      <c r="Z4" s="98"/>
      <c r="AA4" s="23">
        <f t="shared" si="4"/>
        <v>0</v>
      </c>
      <c r="AB4" s="97">
        <f t="shared" si="5"/>
        <v>0</v>
      </c>
      <c r="AC4" s="43"/>
      <c r="AD4" s="46"/>
      <c r="AE4" s="5">
        <f t="shared" si="6"/>
        <v>1109028.192</v>
      </c>
      <c r="AF4" s="114">
        <v>394</v>
      </c>
      <c r="AG4" s="114" t="s">
        <v>1392</v>
      </c>
      <c r="AH4" s="13">
        <v>19.010000000000002</v>
      </c>
      <c r="AI4" s="12"/>
      <c r="AJ4" s="40"/>
      <c r="AK4" s="40"/>
    </row>
    <row r="5" spans="2:41" s="41" customFormat="1" ht="16.149999999999999" customHeight="1">
      <c r="B5" s="83"/>
      <c r="C5" s="70"/>
      <c r="D5" s="4"/>
      <c r="E5" s="86" t="s">
        <v>392</v>
      </c>
      <c r="F5" s="13">
        <v>31.74</v>
      </c>
      <c r="G5" s="14">
        <f t="shared" si="0"/>
        <v>31740</v>
      </c>
      <c r="H5" s="49">
        <v>15</v>
      </c>
      <c r="I5" s="83" t="s">
        <v>956</v>
      </c>
      <c r="J5" s="85" t="s">
        <v>943</v>
      </c>
      <c r="K5" s="82">
        <v>10330</v>
      </c>
      <c r="L5" s="4"/>
      <c r="M5" s="85" t="s">
        <v>944</v>
      </c>
      <c r="N5" s="82" t="s">
        <v>957</v>
      </c>
      <c r="O5" s="4"/>
      <c r="P5" s="4"/>
      <c r="Q5" s="5">
        <v>49440</v>
      </c>
      <c r="R5" s="36"/>
      <c r="S5" s="36"/>
      <c r="T5" s="37"/>
      <c r="U5" s="5">
        <f t="shared" si="1"/>
        <v>49440</v>
      </c>
      <c r="V5" s="5">
        <f t="shared" si="2"/>
        <v>1569225.5999999999</v>
      </c>
      <c r="W5" s="5">
        <f t="shared" si="3"/>
        <v>282460.60799999995</v>
      </c>
      <c r="X5" s="5"/>
      <c r="Y5" s="5"/>
      <c r="Z5" s="98"/>
      <c r="AA5" s="23">
        <f t="shared" si="4"/>
        <v>0</v>
      </c>
      <c r="AB5" s="97">
        <f t="shared" si="5"/>
        <v>0</v>
      </c>
      <c r="AC5" s="43"/>
      <c r="AD5" s="46"/>
      <c r="AE5" s="5">
        <f t="shared" si="6"/>
        <v>1851686.2079999999</v>
      </c>
      <c r="AF5" s="114">
        <v>390</v>
      </c>
      <c r="AG5" s="114" t="s">
        <v>1392</v>
      </c>
      <c r="AH5" s="13">
        <v>31.74</v>
      </c>
      <c r="AI5" s="12"/>
      <c r="AJ5" s="40"/>
      <c r="AK5" s="40"/>
    </row>
    <row r="6" spans="2:41" s="41" customFormat="1" ht="16.149999999999999" customHeight="1">
      <c r="B6" s="83"/>
      <c r="C6" s="1"/>
      <c r="D6" s="4"/>
      <c r="E6" s="86" t="s">
        <v>392</v>
      </c>
      <c r="F6" s="13">
        <v>42.28</v>
      </c>
      <c r="G6" s="14">
        <f t="shared" si="0"/>
        <v>42280</v>
      </c>
      <c r="H6" s="49">
        <v>20</v>
      </c>
      <c r="I6" s="83" t="s">
        <v>958</v>
      </c>
      <c r="J6" s="85" t="s">
        <v>943</v>
      </c>
      <c r="K6" s="82">
        <v>11664</v>
      </c>
      <c r="L6" s="4"/>
      <c r="M6" s="85" t="s">
        <v>944</v>
      </c>
      <c r="N6" s="82" t="s">
        <v>959</v>
      </c>
      <c r="O6" s="4"/>
      <c r="P6" s="4"/>
      <c r="Q6" s="5">
        <v>49440</v>
      </c>
      <c r="R6" s="36"/>
      <c r="S6" s="36"/>
      <c r="T6" s="37"/>
      <c r="U6" s="5">
        <f t="shared" si="1"/>
        <v>49440</v>
      </c>
      <c r="V6" s="5">
        <f t="shared" si="2"/>
        <v>2090323.2</v>
      </c>
      <c r="W6" s="5">
        <f t="shared" si="3"/>
        <v>376258.17599999998</v>
      </c>
      <c r="X6" s="5"/>
      <c r="Y6" s="5"/>
      <c r="Z6" s="98"/>
      <c r="AA6" s="23">
        <f t="shared" si="4"/>
        <v>0</v>
      </c>
      <c r="AB6" s="97">
        <f t="shared" si="5"/>
        <v>0</v>
      </c>
      <c r="AC6" s="43"/>
      <c r="AD6" s="46"/>
      <c r="AE6" s="5">
        <f t="shared" si="6"/>
        <v>2466581.3760000002</v>
      </c>
      <c r="AF6" s="114">
        <v>392</v>
      </c>
      <c r="AG6" s="114" t="s">
        <v>1392</v>
      </c>
      <c r="AH6" s="13">
        <v>42.28</v>
      </c>
      <c r="AI6" s="12"/>
      <c r="AJ6" s="40"/>
      <c r="AK6" s="40"/>
    </row>
    <row r="7" spans="2:41" s="41" customFormat="1" ht="16.149999999999999" customHeight="1">
      <c r="B7" s="83"/>
      <c r="C7" s="1"/>
      <c r="D7" s="4"/>
      <c r="E7" s="86" t="s">
        <v>392</v>
      </c>
      <c r="F7" s="13">
        <v>40.28</v>
      </c>
      <c r="G7" s="14">
        <f t="shared" si="0"/>
        <v>40280</v>
      </c>
      <c r="H7" s="49">
        <v>19</v>
      </c>
      <c r="I7" s="83" t="s">
        <v>966</v>
      </c>
      <c r="J7" s="85" t="s">
        <v>943</v>
      </c>
      <c r="K7" s="82">
        <v>14679</v>
      </c>
      <c r="L7" s="4"/>
      <c r="M7" s="85" t="s">
        <v>944</v>
      </c>
      <c r="N7" s="82" t="s">
        <v>743</v>
      </c>
      <c r="O7" s="4"/>
      <c r="P7" s="4"/>
      <c r="Q7" s="5">
        <v>49440</v>
      </c>
      <c r="R7" s="36"/>
      <c r="S7" s="36"/>
      <c r="T7" s="37"/>
      <c r="U7" s="5">
        <f t="shared" si="1"/>
        <v>49440</v>
      </c>
      <c r="V7" s="5">
        <f t="shared" si="2"/>
        <v>1991443.2</v>
      </c>
      <c r="W7" s="5">
        <f t="shared" si="3"/>
        <v>358459.77599999995</v>
      </c>
      <c r="X7" s="5"/>
      <c r="Y7" s="5"/>
      <c r="Z7" s="98"/>
      <c r="AA7" s="23">
        <f t="shared" si="4"/>
        <v>0</v>
      </c>
      <c r="AB7" s="97">
        <f t="shared" si="5"/>
        <v>0</v>
      </c>
      <c r="AC7" s="43"/>
      <c r="AD7" s="46"/>
      <c r="AE7" s="5">
        <f t="shared" si="6"/>
        <v>2349902.9759999998</v>
      </c>
      <c r="AF7" s="114">
        <v>386</v>
      </c>
      <c r="AG7" s="114" t="s">
        <v>1392</v>
      </c>
      <c r="AH7" s="13">
        <v>40.28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86" t="s">
        <v>392</v>
      </c>
      <c r="F8" s="13">
        <v>40.32</v>
      </c>
      <c r="G8" s="14">
        <f t="shared" si="0"/>
        <v>40320</v>
      </c>
      <c r="H8" s="49">
        <v>19</v>
      </c>
      <c r="I8" s="83" t="s">
        <v>970</v>
      </c>
      <c r="J8" s="85" t="s">
        <v>943</v>
      </c>
      <c r="K8" s="82">
        <v>10331</v>
      </c>
      <c r="L8" s="4"/>
      <c r="M8" s="85" t="s">
        <v>968</v>
      </c>
      <c r="N8" s="82" t="s">
        <v>971</v>
      </c>
      <c r="O8" s="4"/>
      <c r="P8" s="4"/>
      <c r="Q8" s="5">
        <v>49440</v>
      </c>
      <c r="R8" s="36"/>
      <c r="S8" s="36"/>
      <c r="T8" s="37"/>
      <c r="U8" s="5">
        <f t="shared" si="1"/>
        <v>49440</v>
      </c>
      <c r="V8" s="5">
        <f t="shared" si="2"/>
        <v>1993420.8</v>
      </c>
      <c r="W8" s="5">
        <f t="shared" si="3"/>
        <v>358815.74400000001</v>
      </c>
      <c r="X8" s="5"/>
      <c r="Y8" s="5"/>
      <c r="Z8" s="98"/>
      <c r="AA8" s="23">
        <f t="shared" si="4"/>
        <v>0</v>
      </c>
      <c r="AB8" s="97">
        <f t="shared" si="5"/>
        <v>0</v>
      </c>
      <c r="AC8" s="43"/>
      <c r="AD8" s="46"/>
      <c r="AE8" s="5">
        <f t="shared" si="6"/>
        <v>2352236.5440000002</v>
      </c>
      <c r="AF8" s="114">
        <v>391</v>
      </c>
      <c r="AG8" s="114" t="s">
        <v>1392</v>
      </c>
      <c r="AH8" s="13">
        <v>40.32</v>
      </c>
      <c r="AI8" s="12"/>
      <c r="AJ8" s="40"/>
      <c r="AK8" s="40"/>
    </row>
    <row r="9" spans="2:41" s="41" customFormat="1" ht="16.149999999999999" customHeight="1">
      <c r="B9" s="83"/>
      <c r="C9" s="1"/>
      <c r="D9" s="4"/>
      <c r="E9" s="86" t="s">
        <v>392</v>
      </c>
      <c r="F9" s="13">
        <v>27.44</v>
      </c>
      <c r="G9" s="14">
        <f t="shared" si="0"/>
        <v>27440</v>
      </c>
      <c r="H9" s="49">
        <v>13</v>
      </c>
      <c r="I9" s="83" t="s">
        <v>972</v>
      </c>
      <c r="J9" s="85" t="s">
        <v>943</v>
      </c>
      <c r="K9" s="82">
        <v>14681</v>
      </c>
      <c r="L9" s="4"/>
      <c r="M9" s="85" t="s">
        <v>968</v>
      </c>
      <c r="N9" s="82" t="s">
        <v>973</v>
      </c>
      <c r="O9" s="4"/>
      <c r="P9" s="4"/>
      <c r="Q9" s="5">
        <v>49440</v>
      </c>
      <c r="R9" s="36"/>
      <c r="S9" s="36"/>
      <c r="T9" s="37"/>
      <c r="U9" s="5">
        <f t="shared" si="1"/>
        <v>49440</v>
      </c>
      <c r="V9" s="5">
        <f t="shared" si="2"/>
        <v>1356633.6</v>
      </c>
      <c r="W9" s="5">
        <f t="shared" si="3"/>
        <v>244194.04800000001</v>
      </c>
      <c r="X9" s="5"/>
      <c r="Y9" s="5"/>
      <c r="Z9" s="98"/>
      <c r="AA9" s="23">
        <f t="shared" si="4"/>
        <v>0</v>
      </c>
      <c r="AB9" s="97">
        <f t="shared" si="5"/>
        <v>0</v>
      </c>
      <c r="AC9" s="43"/>
      <c r="AD9" s="46"/>
      <c r="AE9" s="5">
        <f t="shared" si="6"/>
        <v>1600827.648</v>
      </c>
      <c r="AF9" s="114">
        <v>389</v>
      </c>
      <c r="AG9" s="114" t="s">
        <v>1392</v>
      </c>
      <c r="AH9" s="13">
        <v>27.44</v>
      </c>
      <c r="AI9" s="12"/>
      <c r="AJ9" s="40"/>
      <c r="AK9" s="40"/>
    </row>
    <row r="10" spans="2:41" s="41" customFormat="1" ht="16.149999999999999" customHeight="1">
      <c r="B10" s="83"/>
      <c r="C10" s="1"/>
      <c r="D10" s="4"/>
      <c r="E10" s="86" t="s">
        <v>392</v>
      </c>
      <c r="F10" s="13">
        <v>27.46</v>
      </c>
      <c r="G10" s="14">
        <f t="shared" si="0"/>
        <v>27460</v>
      </c>
      <c r="H10" s="49">
        <v>13</v>
      </c>
      <c r="I10" s="83" t="s">
        <v>979</v>
      </c>
      <c r="J10" s="85" t="s">
        <v>943</v>
      </c>
      <c r="K10" s="82">
        <v>10332</v>
      </c>
      <c r="L10" s="4"/>
      <c r="M10" s="85" t="s">
        <v>968</v>
      </c>
      <c r="N10" s="82" t="s">
        <v>974</v>
      </c>
      <c r="O10" s="4"/>
      <c r="P10" s="4"/>
      <c r="Q10" s="5">
        <v>49440</v>
      </c>
      <c r="R10" s="36"/>
      <c r="S10" s="36"/>
      <c r="T10" s="37"/>
      <c r="U10" s="5">
        <f t="shared" si="1"/>
        <v>49440</v>
      </c>
      <c r="V10" s="5">
        <f t="shared" si="2"/>
        <v>1357622.4000000001</v>
      </c>
      <c r="W10" s="5">
        <f t="shared" si="3"/>
        <v>244372.03200000001</v>
      </c>
      <c r="X10" s="5"/>
      <c r="Y10" s="5"/>
      <c r="Z10" s="98"/>
      <c r="AA10" s="23">
        <f t="shared" si="4"/>
        <v>0</v>
      </c>
      <c r="AB10" s="97">
        <f t="shared" si="5"/>
        <v>0</v>
      </c>
      <c r="AC10" s="43"/>
      <c r="AD10" s="46"/>
      <c r="AE10" s="5">
        <f t="shared" si="6"/>
        <v>1601994.432</v>
      </c>
      <c r="AF10" s="114">
        <v>393</v>
      </c>
      <c r="AG10" s="114" t="s">
        <v>1392</v>
      </c>
      <c r="AH10" s="13">
        <v>27.46</v>
      </c>
      <c r="AI10" s="12"/>
      <c r="AJ10" s="40"/>
      <c r="AK10" s="40"/>
    </row>
    <row r="11" spans="2:41" s="41" customFormat="1" ht="16.149999999999999" customHeight="1">
      <c r="B11" s="83"/>
      <c r="C11" s="1"/>
      <c r="D11" s="4"/>
      <c r="E11" s="86" t="s">
        <v>392</v>
      </c>
      <c r="F11" s="13">
        <v>31.72</v>
      </c>
      <c r="G11" s="14">
        <f t="shared" si="0"/>
        <v>31720</v>
      </c>
      <c r="H11" s="49">
        <v>15</v>
      </c>
      <c r="I11" s="83" t="s">
        <v>988</v>
      </c>
      <c r="J11" s="85" t="s">
        <v>943</v>
      </c>
      <c r="K11" s="82">
        <v>11654</v>
      </c>
      <c r="L11" s="4"/>
      <c r="M11" s="85" t="s">
        <v>968</v>
      </c>
      <c r="N11" s="82" t="s">
        <v>989</v>
      </c>
      <c r="O11" s="4"/>
      <c r="P11" s="4"/>
      <c r="Q11" s="5">
        <v>49440</v>
      </c>
      <c r="R11" s="36"/>
      <c r="S11" s="36"/>
      <c r="T11" s="37"/>
      <c r="U11" s="5">
        <f t="shared" si="1"/>
        <v>49440</v>
      </c>
      <c r="V11" s="5">
        <f t="shared" si="2"/>
        <v>1568236.8</v>
      </c>
      <c r="W11" s="5">
        <f t="shared" si="3"/>
        <v>282282.62400000001</v>
      </c>
      <c r="X11" s="5"/>
      <c r="Y11" s="5"/>
      <c r="Z11" s="98"/>
      <c r="AA11" s="23">
        <f t="shared" si="4"/>
        <v>0</v>
      </c>
      <c r="AB11" s="97">
        <f t="shared" si="5"/>
        <v>0</v>
      </c>
      <c r="AC11" s="43"/>
      <c r="AD11" s="46"/>
      <c r="AE11" s="5">
        <f t="shared" si="6"/>
        <v>1850519.4240000001</v>
      </c>
      <c r="AF11" s="114">
        <v>387</v>
      </c>
      <c r="AG11" s="114" t="s">
        <v>1392</v>
      </c>
      <c r="AH11" s="13">
        <v>31.72</v>
      </c>
      <c r="AI11" s="12"/>
      <c r="AJ11" s="40"/>
      <c r="AK11" s="40"/>
    </row>
    <row r="12" spans="2:41" s="41" customFormat="1" ht="16.149999999999999" customHeight="1">
      <c r="B12" s="83"/>
      <c r="C12" s="1"/>
      <c r="D12" s="4"/>
      <c r="E12" s="86" t="s">
        <v>392</v>
      </c>
      <c r="F12" s="13">
        <v>10.214</v>
      </c>
      <c r="G12" s="14">
        <f t="shared" si="0"/>
        <v>10214</v>
      </c>
      <c r="H12" s="49">
        <v>8</v>
      </c>
      <c r="I12" s="83" t="s">
        <v>1284</v>
      </c>
      <c r="J12" s="85" t="s">
        <v>1144</v>
      </c>
      <c r="K12" s="82">
        <v>10350</v>
      </c>
      <c r="L12" s="4"/>
      <c r="M12" s="85" t="s">
        <v>1273</v>
      </c>
      <c r="N12" s="82" t="s">
        <v>1285</v>
      </c>
      <c r="O12" s="4"/>
      <c r="P12" s="4"/>
      <c r="Q12" s="5">
        <v>49440</v>
      </c>
      <c r="R12" s="36"/>
      <c r="S12" s="36"/>
      <c r="T12" s="37"/>
      <c r="U12" s="5">
        <f t="shared" si="1"/>
        <v>49440</v>
      </c>
      <c r="V12" s="5">
        <f t="shared" si="2"/>
        <v>504980.16000000003</v>
      </c>
      <c r="W12" s="5">
        <f t="shared" si="3"/>
        <v>90896.428800000009</v>
      </c>
      <c r="X12" s="5"/>
      <c r="Y12" s="5"/>
      <c r="Z12" s="98"/>
      <c r="AA12" s="23">
        <f t="shared" si="4"/>
        <v>0</v>
      </c>
      <c r="AB12" s="97">
        <f t="shared" si="5"/>
        <v>0</v>
      </c>
      <c r="AC12" s="43"/>
      <c r="AD12" s="46"/>
      <c r="AE12" s="5">
        <f t="shared" si="6"/>
        <v>595876.58880000003</v>
      </c>
      <c r="AF12" s="114">
        <v>450</v>
      </c>
      <c r="AG12" s="114" t="s">
        <v>1392</v>
      </c>
      <c r="AH12" s="13">
        <v>10.214</v>
      </c>
      <c r="AI12" s="12"/>
      <c r="AJ12" s="40"/>
      <c r="AK12" s="40"/>
    </row>
    <row r="13" spans="2:41" s="41" customFormat="1">
      <c r="B13" s="92"/>
      <c r="C13" s="48"/>
      <c r="D13" s="6"/>
      <c r="E13" s="6"/>
      <c r="F13" s="81">
        <f>SUM(F3:F12)</f>
        <v>297.98399999999998</v>
      </c>
      <c r="G13" s="20">
        <f>SUM(G3:G12)</f>
        <v>297984</v>
      </c>
      <c r="H13" s="21">
        <f>SUM(H3:H12)</f>
        <v>144</v>
      </c>
      <c r="I13" s="2"/>
      <c r="J13" s="7"/>
      <c r="K13" s="7"/>
      <c r="L13" s="7"/>
      <c r="M13" s="2"/>
      <c r="N13" s="6"/>
      <c r="O13" s="6"/>
      <c r="P13" s="6"/>
      <c r="Q13" s="19"/>
      <c r="R13" s="9"/>
      <c r="S13" s="9"/>
      <c r="T13" s="10"/>
      <c r="U13" s="8"/>
      <c r="V13" s="21">
        <f>SUM(V3:V12)</f>
        <v>14732328.960000001</v>
      </c>
      <c r="W13" s="21">
        <f>SUM(W3:W12)</f>
        <v>2651819.2127999994</v>
      </c>
      <c r="X13" s="21">
        <f>SUM(X3:X12)</f>
        <v>0</v>
      </c>
      <c r="Y13" s="21">
        <f>SUM(Y3:Y12)</f>
        <v>0</v>
      </c>
      <c r="Z13" s="99"/>
      <c r="AA13" s="21">
        <f>SUM(AA3:AA12)</f>
        <v>0</v>
      </c>
      <c r="AB13" s="21">
        <f>SUM(AB3:AB12)</f>
        <v>0</v>
      </c>
      <c r="AC13" s="21"/>
      <c r="AD13" s="21">
        <f>SUM(AD3:AD12)</f>
        <v>0</v>
      </c>
      <c r="AE13" s="21">
        <f>SUM(AE3:AE12)</f>
        <v>17384148.172799997</v>
      </c>
      <c r="AF13" s="21"/>
      <c r="AG13" s="42"/>
      <c r="AH13" s="81">
        <f>SUM(AH3:AH12)</f>
        <v>297.98399999999998</v>
      </c>
      <c r="AI13" s="26">
        <f>AH13-F13</f>
        <v>0</v>
      </c>
      <c r="AJ13" s="41">
        <f>AA13/F13</f>
        <v>0</v>
      </c>
      <c r="AK13" s="40"/>
    </row>
    <row r="14" spans="2:41" s="41" customFormat="1" ht="16.149999999999999" customHeight="1">
      <c r="B14" s="104" t="s">
        <v>702</v>
      </c>
      <c r="C14" s="86" t="s">
        <v>919</v>
      </c>
      <c r="D14" s="4"/>
      <c r="E14" s="86" t="s">
        <v>35</v>
      </c>
      <c r="F14" s="13">
        <v>20.77</v>
      </c>
      <c r="G14" s="14">
        <f t="shared" ref="G14:G28" si="7">+F14*1000</f>
        <v>20770</v>
      </c>
      <c r="H14" s="49">
        <v>13</v>
      </c>
      <c r="I14" s="83" t="s">
        <v>948</v>
      </c>
      <c r="J14" s="85" t="s">
        <v>943</v>
      </c>
      <c r="K14" s="82">
        <v>14685</v>
      </c>
      <c r="L14" s="4"/>
      <c r="M14" s="85" t="s">
        <v>944</v>
      </c>
      <c r="N14" s="82" t="s">
        <v>949</v>
      </c>
      <c r="O14" s="4"/>
      <c r="P14" s="4"/>
      <c r="Q14" s="5">
        <v>53120</v>
      </c>
      <c r="R14" s="36"/>
      <c r="S14" s="36"/>
      <c r="T14" s="37"/>
      <c r="U14" s="5">
        <f t="shared" ref="U14:U28" si="8">S14+R14+Q14-T14</f>
        <v>53120</v>
      </c>
      <c r="V14" s="5">
        <f t="shared" ref="V14:V28" si="9">F14*U14</f>
        <v>1103302.3999999999</v>
      </c>
      <c r="W14" s="5">
        <f t="shared" ref="W14:W28" si="10">V14*18%</f>
        <v>198594.43199999997</v>
      </c>
      <c r="X14" s="5"/>
      <c r="Y14" s="5"/>
      <c r="Z14" s="98"/>
      <c r="AA14" s="23">
        <f t="shared" ref="AA14:AA28" si="11">F14*Z14</f>
        <v>0</v>
      </c>
      <c r="AB14" s="97">
        <f t="shared" ref="AB14:AB28" si="12">AA14*18%</f>
        <v>0</v>
      </c>
      <c r="AC14" s="43"/>
      <c r="AD14" s="46"/>
      <c r="AE14" s="5">
        <f t="shared" ref="AE14:AE28" si="13">+AB14+AA14+Y14+X14+W14+V14-AC14+AD14</f>
        <v>1301896.8319999999</v>
      </c>
      <c r="AF14" s="114">
        <v>395</v>
      </c>
      <c r="AG14" s="114" t="s">
        <v>1392</v>
      </c>
      <c r="AH14" s="13">
        <v>20.77</v>
      </c>
      <c r="AI14" s="12"/>
      <c r="AJ14" s="40"/>
      <c r="AK14" s="40"/>
    </row>
    <row r="15" spans="2:41" s="41" customFormat="1" ht="16.149999999999999" customHeight="1">
      <c r="B15" s="70" t="s">
        <v>918</v>
      </c>
      <c r="C15" s="86" t="s">
        <v>947</v>
      </c>
      <c r="D15" s="4"/>
      <c r="E15" s="86" t="s">
        <v>35</v>
      </c>
      <c r="F15" s="13">
        <v>40.4</v>
      </c>
      <c r="G15" s="14">
        <f t="shared" si="7"/>
        <v>40400</v>
      </c>
      <c r="H15" s="49">
        <v>19</v>
      </c>
      <c r="I15" s="83" t="s">
        <v>950</v>
      </c>
      <c r="J15" s="85" t="s">
        <v>954</v>
      </c>
      <c r="K15" s="82">
        <v>10326</v>
      </c>
      <c r="L15" s="4"/>
      <c r="M15" s="85" t="s">
        <v>944</v>
      </c>
      <c r="N15" s="82" t="s">
        <v>260</v>
      </c>
      <c r="O15" s="4"/>
      <c r="P15" s="4"/>
      <c r="Q15" s="5">
        <v>53120</v>
      </c>
      <c r="R15" s="36"/>
      <c r="S15" s="36"/>
      <c r="T15" s="37"/>
      <c r="U15" s="5">
        <f t="shared" si="8"/>
        <v>53120</v>
      </c>
      <c r="V15" s="5">
        <f t="shared" si="9"/>
        <v>2146048</v>
      </c>
      <c r="W15" s="5">
        <f t="shared" si="10"/>
        <v>386288.64000000001</v>
      </c>
      <c r="X15" s="5"/>
      <c r="Y15" s="5"/>
      <c r="Z15" s="98"/>
      <c r="AA15" s="23">
        <f t="shared" si="11"/>
        <v>0</v>
      </c>
      <c r="AB15" s="97">
        <f t="shared" si="12"/>
        <v>0</v>
      </c>
      <c r="AC15" s="43"/>
      <c r="AD15" s="46"/>
      <c r="AE15" s="5">
        <f t="shared" si="13"/>
        <v>2532336.6400000001</v>
      </c>
      <c r="AF15" s="114">
        <v>381</v>
      </c>
      <c r="AG15" s="114" t="s">
        <v>1392</v>
      </c>
      <c r="AH15" s="13">
        <v>40.4</v>
      </c>
      <c r="AI15" s="12"/>
      <c r="AJ15" s="40"/>
      <c r="AK15" s="40"/>
    </row>
    <row r="16" spans="2:41" s="41" customFormat="1" ht="16.149999999999999" customHeight="1">
      <c r="B16" s="105"/>
      <c r="C16" s="105" t="s">
        <v>162</v>
      </c>
      <c r="D16" s="4"/>
      <c r="E16" s="86" t="s">
        <v>35</v>
      </c>
      <c r="F16" s="13">
        <v>40.04</v>
      </c>
      <c r="G16" s="14">
        <f t="shared" si="7"/>
        <v>40040</v>
      </c>
      <c r="H16" s="49">
        <v>19</v>
      </c>
      <c r="I16" s="83" t="s">
        <v>951</v>
      </c>
      <c r="J16" s="85" t="s">
        <v>943</v>
      </c>
      <c r="K16" s="82">
        <v>10329</v>
      </c>
      <c r="L16" s="4"/>
      <c r="M16" s="85" t="s">
        <v>944</v>
      </c>
      <c r="N16" s="82" t="s">
        <v>952</v>
      </c>
      <c r="O16" s="4"/>
      <c r="P16" s="4"/>
      <c r="Q16" s="5">
        <v>53120</v>
      </c>
      <c r="R16" s="36"/>
      <c r="S16" s="36"/>
      <c r="T16" s="37"/>
      <c r="U16" s="5">
        <f t="shared" si="8"/>
        <v>53120</v>
      </c>
      <c r="V16" s="5">
        <f t="shared" si="9"/>
        <v>2126924.7999999998</v>
      </c>
      <c r="W16" s="5">
        <f t="shared" si="10"/>
        <v>382846.46399999998</v>
      </c>
      <c r="X16" s="5"/>
      <c r="Y16" s="5"/>
      <c r="Z16" s="98"/>
      <c r="AA16" s="23">
        <f t="shared" si="11"/>
        <v>0</v>
      </c>
      <c r="AB16" s="97">
        <f t="shared" si="12"/>
        <v>0</v>
      </c>
      <c r="AC16" s="43"/>
      <c r="AD16" s="46"/>
      <c r="AE16" s="5">
        <f t="shared" si="13"/>
        <v>2509771.264</v>
      </c>
      <c r="AF16" s="114">
        <v>385</v>
      </c>
      <c r="AG16" s="114" t="s">
        <v>1392</v>
      </c>
      <c r="AH16" s="13">
        <v>40.04</v>
      </c>
      <c r="AI16" s="12"/>
      <c r="AJ16" s="40"/>
      <c r="AK16" s="40"/>
    </row>
    <row r="17" spans="2:37" s="41" customFormat="1" ht="16.149999999999999" customHeight="1">
      <c r="B17" s="83"/>
      <c r="C17" s="1"/>
      <c r="D17" s="4"/>
      <c r="E17" s="86" t="s">
        <v>35</v>
      </c>
      <c r="F17" s="13">
        <v>31.46</v>
      </c>
      <c r="G17" s="14">
        <f t="shared" si="7"/>
        <v>31460</v>
      </c>
      <c r="H17" s="49">
        <v>15</v>
      </c>
      <c r="I17" s="83" t="s">
        <v>953</v>
      </c>
      <c r="J17" s="85" t="s">
        <v>954</v>
      </c>
      <c r="K17" s="82">
        <v>14665</v>
      </c>
      <c r="L17" s="4"/>
      <c r="M17" s="85" t="s">
        <v>944</v>
      </c>
      <c r="N17" s="82" t="s">
        <v>955</v>
      </c>
      <c r="O17" s="4"/>
      <c r="P17" s="4"/>
      <c r="Q17" s="5">
        <v>53120</v>
      </c>
      <c r="R17" s="36"/>
      <c r="S17" s="36"/>
      <c r="T17" s="37"/>
      <c r="U17" s="5">
        <f t="shared" si="8"/>
        <v>53120</v>
      </c>
      <c r="V17" s="5">
        <f t="shared" si="9"/>
        <v>1671155.2</v>
      </c>
      <c r="W17" s="5">
        <f t="shared" si="10"/>
        <v>300807.93599999999</v>
      </c>
      <c r="X17" s="5"/>
      <c r="Y17" s="5"/>
      <c r="Z17" s="98"/>
      <c r="AA17" s="23">
        <f t="shared" si="11"/>
        <v>0</v>
      </c>
      <c r="AB17" s="97">
        <f t="shared" si="12"/>
        <v>0</v>
      </c>
      <c r="AC17" s="43"/>
      <c r="AD17" s="46"/>
      <c r="AE17" s="5">
        <f t="shared" si="13"/>
        <v>1971963.1359999999</v>
      </c>
      <c r="AF17" s="114">
        <v>383</v>
      </c>
      <c r="AG17" s="114" t="s">
        <v>1392</v>
      </c>
      <c r="AH17" s="13">
        <v>31.46</v>
      </c>
      <c r="AI17" s="12"/>
      <c r="AJ17" s="40"/>
      <c r="AK17" s="40"/>
    </row>
    <row r="18" spans="2:37" s="41" customFormat="1" ht="16.149999999999999" customHeight="1">
      <c r="B18" s="83"/>
      <c r="C18" s="1"/>
      <c r="D18" s="4"/>
      <c r="E18" s="86" t="s">
        <v>35</v>
      </c>
      <c r="F18" s="13">
        <v>40.159999999999997</v>
      </c>
      <c r="G18" s="14">
        <f t="shared" si="7"/>
        <v>40160</v>
      </c>
      <c r="H18" s="49">
        <v>19</v>
      </c>
      <c r="I18" s="83" t="s">
        <v>960</v>
      </c>
      <c r="J18" s="85" t="s">
        <v>954</v>
      </c>
      <c r="K18" s="82">
        <v>11641</v>
      </c>
      <c r="L18" s="4"/>
      <c r="M18" s="85" t="s">
        <v>944</v>
      </c>
      <c r="N18" s="82" t="s">
        <v>961</v>
      </c>
      <c r="O18" s="4"/>
      <c r="P18" s="4"/>
      <c r="Q18" s="5">
        <v>53120</v>
      </c>
      <c r="R18" s="36"/>
      <c r="S18" s="36"/>
      <c r="T18" s="37"/>
      <c r="U18" s="5">
        <f t="shared" si="8"/>
        <v>53120</v>
      </c>
      <c r="V18" s="5">
        <f t="shared" si="9"/>
        <v>2133299.1999999997</v>
      </c>
      <c r="W18" s="5">
        <f t="shared" si="10"/>
        <v>383993.85599999991</v>
      </c>
      <c r="X18" s="5"/>
      <c r="Y18" s="5"/>
      <c r="Z18" s="98"/>
      <c r="AA18" s="23">
        <f t="shared" si="11"/>
        <v>0</v>
      </c>
      <c r="AB18" s="97">
        <f t="shared" si="12"/>
        <v>0</v>
      </c>
      <c r="AC18" s="43"/>
      <c r="AD18" s="46"/>
      <c r="AE18" s="5">
        <f t="shared" si="13"/>
        <v>2517293.0559999999</v>
      </c>
      <c r="AF18" s="114">
        <v>384</v>
      </c>
      <c r="AG18" s="114" t="s">
        <v>1392</v>
      </c>
      <c r="AH18" s="13">
        <v>40.159999999999997</v>
      </c>
      <c r="AI18" s="12"/>
      <c r="AJ18" s="40"/>
      <c r="AK18" s="40"/>
    </row>
    <row r="19" spans="2:37" s="41" customFormat="1" ht="16.149999999999999" customHeight="1">
      <c r="B19" s="83"/>
      <c r="C19" s="1"/>
      <c r="D19" s="4"/>
      <c r="E19" s="86" t="s">
        <v>35</v>
      </c>
      <c r="F19" s="13">
        <v>31.66</v>
      </c>
      <c r="G19" s="14">
        <f t="shared" si="7"/>
        <v>31660</v>
      </c>
      <c r="H19" s="49">
        <v>15</v>
      </c>
      <c r="I19" s="83" t="s">
        <v>962</v>
      </c>
      <c r="J19" s="85" t="s">
        <v>963</v>
      </c>
      <c r="K19" s="82">
        <v>14699</v>
      </c>
      <c r="L19" s="4"/>
      <c r="M19" s="85" t="s">
        <v>944</v>
      </c>
      <c r="N19" s="82" t="s">
        <v>738</v>
      </c>
      <c r="O19" s="4"/>
      <c r="P19" s="4"/>
      <c r="Q19" s="5">
        <v>53120</v>
      </c>
      <c r="R19" s="36"/>
      <c r="S19" s="36"/>
      <c r="T19" s="37"/>
      <c r="U19" s="5">
        <f t="shared" si="8"/>
        <v>53120</v>
      </c>
      <c r="V19" s="5">
        <f t="shared" si="9"/>
        <v>1681779.2</v>
      </c>
      <c r="W19" s="5">
        <f t="shared" si="10"/>
        <v>302720.25599999999</v>
      </c>
      <c r="X19" s="5"/>
      <c r="Y19" s="5"/>
      <c r="Z19" s="98"/>
      <c r="AA19" s="23">
        <f t="shared" si="11"/>
        <v>0</v>
      </c>
      <c r="AB19" s="97">
        <f t="shared" si="12"/>
        <v>0</v>
      </c>
      <c r="AC19" s="43"/>
      <c r="AD19" s="46"/>
      <c r="AE19" s="5">
        <f t="shared" si="13"/>
        <v>1984499.456</v>
      </c>
      <c r="AF19" s="114">
        <v>396</v>
      </c>
      <c r="AG19" s="114" t="s">
        <v>1392</v>
      </c>
      <c r="AH19" s="13">
        <v>31.66</v>
      </c>
      <c r="AI19" s="12"/>
      <c r="AJ19" s="40"/>
      <c r="AK19" s="40"/>
    </row>
    <row r="20" spans="2:37" s="41" customFormat="1" ht="16.149999999999999" customHeight="1">
      <c r="B20" s="83"/>
      <c r="C20" s="1"/>
      <c r="D20" s="4"/>
      <c r="E20" s="86" t="s">
        <v>35</v>
      </c>
      <c r="F20" s="13">
        <v>40.26</v>
      </c>
      <c r="G20" s="14">
        <f t="shared" si="7"/>
        <v>40260</v>
      </c>
      <c r="H20" s="49">
        <v>19</v>
      </c>
      <c r="I20" s="83" t="s">
        <v>964</v>
      </c>
      <c r="J20" s="85" t="s">
        <v>963</v>
      </c>
      <c r="K20" s="82">
        <v>14700</v>
      </c>
      <c r="L20" s="4"/>
      <c r="M20" s="85" t="s">
        <v>944</v>
      </c>
      <c r="N20" s="82" t="s">
        <v>965</v>
      </c>
      <c r="O20" s="4"/>
      <c r="P20" s="4"/>
      <c r="Q20" s="5">
        <v>53120</v>
      </c>
      <c r="R20" s="36"/>
      <c r="S20" s="36"/>
      <c r="T20" s="37"/>
      <c r="U20" s="5">
        <f t="shared" si="8"/>
        <v>53120</v>
      </c>
      <c r="V20" s="5">
        <f t="shared" si="9"/>
        <v>2138611.1999999997</v>
      </c>
      <c r="W20" s="5">
        <f t="shared" si="10"/>
        <v>384950.01599999995</v>
      </c>
      <c r="X20" s="5"/>
      <c r="Y20" s="5"/>
      <c r="Z20" s="98"/>
      <c r="AA20" s="23">
        <f t="shared" si="11"/>
        <v>0</v>
      </c>
      <c r="AB20" s="97">
        <f t="shared" si="12"/>
        <v>0</v>
      </c>
      <c r="AC20" s="43"/>
      <c r="AD20" s="46"/>
      <c r="AE20" s="5">
        <f t="shared" si="13"/>
        <v>2523561.2159999995</v>
      </c>
      <c r="AF20" s="114">
        <v>399</v>
      </c>
      <c r="AG20" s="114" t="s">
        <v>1392</v>
      </c>
      <c r="AH20" s="13">
        <v>40.26</v>
      </c>
      <c r="AI20" s="12"/>
      <c r="AJ20" s="40"/>
      <c r="AK20" s="40"/>
    </row>
    <row r="21" spans="2:37" s="41" customFormat="1" ht="16.149999999999999" customHeight="1">
      <c r="B21" s="83"/>
      <c r="C21" s="1"/>
      <c r="D21" s="4"/>
      <c r="E21" s="86" t="s">
        <v>35</v>
      </c>
      <c r="F21" s="13">
        <v>27.42</v>
      </c>
      <c r="G21" s="14">
        <f t="shared" si="7"/>
        <v>27420</v>
      </c>
      <c r="H21" s="49">
        <v>13</v>
      </c>
      <c r="I21" s="83" t="s">
        <v>980</v>
      </c>
      <c r="J21" s="85" t="s">
        <v>954</v>
      </c>
      <c r="K21" s="82">
        <v>14664</v>
      </c>
      <c r="L21" s="4"/>
      <c r="M21" s="85" t="s">
        <v>968</v>
      </c>
      <c r="N21" s="82" t="s">
        <v>978</v>
      </c>
      <c r="O21" s="4"/>
      <c r="P21" s="4"/>
      <c r="Q21" s="5">
        <v>53120</v>
      </c>
      <c r="R21" s="36"/>
      <c r="S21" s="36"/>
      <c r="T21" s="37"/>
      <c r="U21" s="5">
        <f t="shared" si="8"/>
        <v>53120</v>
      </c>
      <c r="V21" s="5">
        <f t="shared" si="9"/>
        <v>1456550.4000000001</v>
      </c>
      <c r="W21" s="5">
        <f t="shared" si="10"/>
        <v>262179.07200000004</v>
      </c>
      <c r="X21" s="5"/>
      <c r="Y21" s="5"/>
      <c r="Z21" s="98"/>
      <c r="AA21" s="23">
        <f t="shared" si="11"/>
        <v>0</v>
      </c>
      <c r="AB21" s="97">
        <f t="shared" si="12"/>
        <v>0</v>
      </c>
      <c r="AC21" s="43"/>
      <c r="AD21" s="46"/>
      <c r="AE21" s="5">
        <f t="shared" si="13"/>
        <v>1718729.4720000001</v>
      </c>
      <c r="AF21" s="114">
        <v>382</v>
      </c>
      <c r="AG21" s="114" t="s">
        <v>1392</v>
      </c>
      <c r="AH21" s="13">
        <v>27.42</v>
      </c>
      <c r="AI21" s="12"/>
      <c r="AJ21" s="40"/>
      <c r="AK21" s="40"/>
    </row>
    <row r="22" spans="2:37" s="41" customFormat="1" ht="16.149999999999999" customHeight="1">
      <c r="B22" s="83"/>
      <c r="C22" s="1"/>
      <c r="D22" s="4"/>
      <c r="E22" s="86" t="s">
        <v>35</v>
      </c>
      <c r="F22" s="13">
        <v>40.32</v>
      </c>
      <c r="G22" s="14">
        <f t="shared" si="7"/>
        <v>40320</v>
      </c>
      <c r="H22" s="49">
        <v>19</v>
      </c>
      <c r="I22" s="83" t="s">
        <v>986</v>
      </c>
      <c r="J22" s="85" t="s">
        <v>963</v>
      </c>
      <c r="K22" s="82">
        <v>10823</v>
      </c>
      <c r="L22" s="4"/>
      <c r="M22" s="85" t="s">
        <v>968</v>
      </c>
      <c r="N22" s="82" t="s">
        <v>987</v>
      </c>
      <c r="O22" s="4"/>
      <c r="P22" s="4"/>
      <c r="Q22" s="5">
        <v>53120</v>
      </c>
      <c r="R22" s="36"/>
      <c r="S22" s="36"/>
      <c r="T22" s="37"/>
      <c r="U22" s="5">
        <f t="shared" si="8"/>
        <v>53120</v>
      </c>
      <c r="V22" s="5">
        <f t="shared" si="9"/>
        <v>2141798.3999999999</v>
      </c>
      <c r="W22" s="5">
        <f t="shared" si="10"/>
        <v>385523.71199999994</v>
      </c>
      <c r="X22" s="5"/>
      <c r="Y22" s="5"/>
      <c r="Z22" s="98"/>
      <c r="AA22" s="23">
        <f t="shared" si="11"/>
        <v>0</v>
      </c>
      <c r="AB22" s="97">
        <f t="shared" si="12"/>
        <v>0</v>
      </c>
      <c r="AC22" s="43"/>
      <c r="AD22" s="46"/>
      <c r="AE22" s="5">
        <f t="shared" si="13"/>
        <v>2527322.1119999997</v>
      </c>
      <c r="AF22" s="114">
        <v>400</v>
      </c>
      <c r="AG22" s="114" t="s">
        <v>1392</v>
      </c>
      <c r="AH22" s="13">
        <v>40.32</v>
      </c>
      <c r="AI22" s="12"/>
      <c r="AJ22" s="40"/>
      <c r="AK22" s="40"/>
    </row>
    <row r="23" spans="2:37" s="41" customFormat="1" ht="16.149999999999999" customHeight="1">
      <c r="B23" s="12"/>
      <c r="C23" s="1"/>
      <c r="D23" s="4"/>
      <c r="E23" s="86" t="s">
        <v>35</v>
      </c>
      <c r="F23" s="13">
        <v>25.4</v>
      </c>
      <c r="G23" s="14">
        <f t="shared" si="7"/>
        <v>25400</v>
      </c>
      <c r="H23" s="49">
        <v>12</v>
      </c>
      <c r="I23" s="83" t="s">
        <v>1009</v>
      </c>
      <c r="J23" s="85" t="s">
        <v>963</v>
      </c>
      <c r="K23" s="82">
        <v>10333</v>
      </c>
      <c r="L23" s="4"/>
      <c r="M23" s="85" t="s">
        <v>991</v>
      </c>
      <c r="N23" s="82" t="s">
        <v>1010</v>
      </c>
      <c r="O23" s="4"/>
      <c r="P23" s="4"/>
      <c r="Q23" s="5">
        <v>53120</v>
      </c>
      <c r="R23" s="36"/>
      <c r="S23" s="36"/>
      <c r="T23" s="37"/>
      <c r="U23" s="5">
        <f t="shared" si="8"/>
        <v>53120</v>
      </c>
      <c r="V23" s="5">
        <f t="shared" si="9"/>
        <v>1349248</v>
      </c>
      <c r="W23" s="5">
        <f t="shared" si="10"/>
        <v>242864.63999999998</v>
      </c>
      <c r="X23" s="5"/>
      <c r="Y23" s="5"/>
      <c r="Z23" s="98"/>
      <c r="AA23" s="23">
        <f t="shared" si="11"/>
        <v>0</v>
      </c>
      <c r="AB23" s="97">
        <f t="shared" si="12"/>
        <v>0</v>
      </c>
      <c r="AC23" s="43"/>
      <c r="AD23" s="46"/>
      <c r="AE23" s="5">
        <f t="shared" si="13"/>
        <v>1592112.64</v>
      </c>
      <c r="AF23" s="114">
        <v>397</v>
      </c>
      <c r="AG23" s="114" t="s">
        <v>1392</v>
      </c>
      <c r="AH23" s="13">
        <v>25.4</v>
      </c>
      <c r="AI23" s="12"/>
      <c r="AJ23" s="40"/>
      <c r="AK23" s="40"/>
    </row>
    <row r="24" spans="2:37" s="41" customFormat="1" ht="16.149999999999999" customHeight="1">
      <c r="B24" s="12"/>
      <c r="C24" s="1"/>
      <c r="D24" s="4"/>
      <c r="E24" s="86" t="s">
        <v>35</v>
      </c>
      <c r="F24" s="13">
        <v>25.4</v>
      </c>
      <c r="G24" s="14">
        <f t="shared" si="7"/>
        <v>25400</v>
      </c>
      <c r="H24" s="49">
        <v>12</v>
      </c>
      <c r="I24" s="83" t="s">
        <v>1013</v>
      </c>
      <c r="J24" s="85" t="s">
        <v>963</v>
      </c>
      <c r="K24" s="82">
        <v>11682</v>
      </c>
      <c r="L24" s="4"/>
      <c r="M24" s="85" t="s">
        <v>1016</v>
      </c>
      <c r="N24" s="82" t="s">
        <v>1014</v>
      </c>
      <c r="O24" s="4"/>
      <c r="P24" s="4"/>
      <c r="Q24" s="5">
        <v>53120</v>
      </c>
      <c r="R24" s="36"/>
      <c r="S24" s="36"/>
      <c r="T24" s="37"/>
      <c r="U24" s="5">
        <f t="shared" si="8"/>
        <v>53120</v>
      </c>
      <c r="V24" s="5">
        <f t="shared" si="9"/>
        <v>1349248</v>
      </c>
      <c r="W24" s="5">
        <f t="shared" si="10"/>
        <v>242864.63999999998</v>
      </c>
      <c r="X24" s="5"/>
      <c r="Y24" s="5"/>
      <c r="Z24" s="98"/>
      <c r="AA24" s="23">
        <f t="shared" si="11"/>
        <v>0</v>
      </c>
      <c r="AB24" s="97">
        <f t="shared" si="12"/>
        <v>0</v>
      </c>
      <c r="AC24" s="43"/>
      <c r="AD24" s="46"/>
      <c r="AE24" s="5">
        <f t="shared" si="13"/>
        <v>1592112.64</v>
      </c>
      <c r="AF24" s="114">
        <v>398</v>
      </c>
      <c r="AG24" s="114" t="s">
        <v>1392</v>
      </c>
      <c r="AH24" s="13">
        <v>25.4</v>
      </c>
      <c r="AI24" s="12"/>
      <c r="AJ24" s="40"/>
      <c r="AK24" s="40"/>
    </row>
    <row r="25" spans="2:37" s="41" customFormat="1" ht="16.149999999999999" customHeight="1">
      <c r="B25" s="12"/>
      <c r="C25" s="1"/>
      <c r="D25" s="4"/>
      <c r="E25" s="86" t="s">
        <v>35</v>
      </c>
      <c r="F25" s="13">
        <v>2.1179999999999999</v>
      </c>
      <c r="G25" s="14">
        <f t="shared" si="7"/>
        <v>2118</v>
      </c>
      <c r="H25" s="49">
        <v>1</v>
      </c>
      <c r="I25" s="83" t="s">
        <v>1021</v>
      </c>
      <c r="J25" s="85" t="s">
        <v>968</v>
      </c>
      <c r="K25" s="82">
        <v>11710</v>
      </c>
      <c r="L25" s="4"/>
      <c r="M25" s="85" t="s">
        <v>1016</v>
      </c>
      <c r="N25" s="82" t="s">
        <v>1022</v>
      </c>
      <c r="O25" s="4"/>
      <c r="P25" s="4"/>
      <c r="Q25" s="5">
        <v>53120</v>
      </c>
      <c r="R25" s="36"/>
      <c r="S25" s="36"/>
      <c r="T25" s="37"/>
      <c r="U25" s="5">
        <f t="shared" si="8"/>
        <v>53120</v>
      </c>
      <c r="V25" s="5">
        <f t="shared" si="9"/>
        <v>112508.15999999999</v>
      </c>
      <c r="W25" s="5">
        <f t="shared" si="10"/>
        <v>20251.468799999999</v>
      </c>
      <c r="X25" s="5"/>
      <c r="Y25" s="5"/>
      <c r="Z25" s="98"/>
      <c r="AA25" s="23">
        <f t="shared" si="11"/>
        <v>0</v>
      </c>
      <c r="AB25" s="97">
        <f t="shared" si="12"/>
        <v>0</v>
      </c>
      <c r="AC25" s="43"/>
      <c r="AD25" s="46"/>
      <c r="AE25" s="5">
        <f t="shared" si="13"/>
        <v>132759.62879999998</v>
      </c>
      <c r="AF25" s="114">
        <v>420</v>
      </c>
      <c r="AG25" s="114" t="s">
        <v>1392</v>
      </c>
      <c r="AH25" s="13">
        <v>2.1179999999999999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86" t="s">
        <v>35</v>
      </c>
      <c r="F26" s="13">
        <v>16.925999999999998</v>
      </c>
      <c r="G26" s="14">
        <f t="shared" si="7"/>
        <v>16926</v>
      </c>
      <c r="H26" s="49">
        <v>8</v>
      </c>
      <c r="I26" s="83" t="s">
        <v>1284</v>
      </c>
      <c r="J26" s="85" t="s">
        <v>1144</v>
      </c>
      <c r="K26" s="82">
        <v>10350</v>
      </c>
      <c r="L26" s="4"/>
      <c r="M26" s="85" t="s">
        <v>1273</v>
      </c>
      <c r="N26" s="82" t="s">
        <v>1285</v>
      </c>
      <c r="O26" s="4"/>
      <c r="P26" s="4"/>
      <c r="Q26" s="5">
        <v>53120</v>
      </c>
      <c r="R26" s="36"/>
      <c r="S26" s="36"/>
      <c r="T26" s="37"/>
      <c r="U26" s="5">
        <f t="shared" si="8"/>
        <v>53120</v>
      </c>
      <c r="V26" s="5">
        <f t="shared" si="9"/>
        <v>899109.11999999988</v>
      </c>
      <c r="W26" s="5">
        <f t="shared" si="10"/>
        <v>161839.64159999997</v>
      </c>
      <c r="X26" s="5"/>
      <c r="Y26" s="5"/>
      <c r="Z26" s="98"/>
      <c r="AA26" s="23">
        <f t="shared" si="11"/>
        <v>0</v>
      </c>
      <c r="AB26" s="97">
        <f t="shared" si="12"/>
        <v>0</v>
      </c>
      <c r="AC26" s="43"/>
      <c r="AD26" s="46"/>
      <c r="AE26" s="5">
        <f t="shared" si="13"/>
        <v>1060948.7615999999</v>
      </c>
      <c r="AF26" s="114">
        <v>450</v>
      </c>
      <c r="AG26" s="114" t="s">
        <v>1392</v>
      </c>
      <c r="AH26" s="13">
        <v>16.925999999999998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86" t="s">
        <v>35</v>
      </c>
      <c r="F27" s="13">
        <v>4.2190000000000003</v>
      </c>
      <c r="G27" s="14">
        <f t="shared" si="7"/>
        <v>4219</v>
      </c>
      <c r="H27" s="49">
        <v>2</v>
      </c>
      <c r="I27" s="83" t="s">
        <v>1323</v>
      </c>
      <c r="J27" s="85" t="s">
        <v>1025</v>
      </c>
      <c r="K27" s="82">
        <v>10126</v>
      </c>
      <c r="L27" s="4"/>
      <c r="M27" s="85" t="s">
        <v>1317</v>
      </c>
      <c r="N27" s="82" t="s">
        <v>1324</v>
      </c>
      <c r="O27" s="4"/>
      <c r="P27" s="4"/>
      <c r="Q27" s="5">
        <v>53120</v>
      </c>
      <c r="R27" s="36"/>
      <c r="S27" s="36"/>
      <c r="T27" s="37"/>
      <c r="U27" s="5">
        <f t="shared" si="8"/>
        <v>53120</v>
      </c>
      <c r="V27" s="5">
        <f t="shared" si="9"/>
        <v>224113.28000000003</v>
      </c>
      <c r="W27" s="5">
        <f t="shared" si="10"/>
        <v>40340.390400000004</v>
      </c>
      <c r="X27" s="5"/>
      <c r="Y27" s="5"/>
      <c r="Z27" s="98"/>
      <c r="AA27" s="23">
        <f t="shared" si="11"/>
        <v>0</v>
      </c>
      <c r="AB27" s="97">
        <f t="shared" si="12"/>
        <v>0</v>
      </c>
      <c r="AC27" s="43"/>
      <c r="AD27" s="46"/>
      <c r="AE27" s="5">
        <f t="shared" si="13"/>
        <v>264453.67040000006</v>
      </c>
      <c r="AF27" s="114">
        <v>436</v>
      </c>
      <c r="AG27" s="114" t="s">
        <v>1392</v>
      </c>
      <c r="AH27" s="13">
        <v>4.2190000000000003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86" t="s">
        <v>35</v>
      </c>
      <c r="F28" s="13">
        <v>15.576000000000001</v>
      </c>
      <c r="G28" s="14">
        <f t="shared" si="7"/>
        <v>15576</v>
      </c>
      <c r="H28" s="49">
        <v>9</v>
      </c>
      <c r="I28" s="83" t="s">
        <v>1348</v>
      </c>
      <c r="J28" s="85" t="s">
        <v>1303</v>
      </c>
      <c r="K28" s="82">
        <v>13397</v>
      </c>
      <c r="L28" s="4"/>
      <c r="M28" s="85" t="s">
        <v>1332</v>
      </c>
      <c r="N28" s="82" t="s">
        <v>1347</v>
      </c>
      <c r="O28" s="4"/>
      <c r="P28" s="4"/>
      <c r="Q28" s="5">
        <v>53120</v>
      </c>
      <c r="R28" s="36"/>
      <c r="S28" s="36"/>
      <c r="T28" s="37"/>
      <c r="U28" s="5">
        <f t="shared" si="8"/>
        <v>53120</v>
      </c>
      <c r="V28" s="5">
        <f t="shared" si="9"/>
        <v>827397.12</v>
      </c>
      <c r="W28" s="5">
        <f t="shared" si="10"/>
        <v>148931.4816</v>
      </c>
      <c r="X28" s="5"/>
      <c r="Y28" s="5"/>
      <c r="Z28" s="98"/>
      <c r="AA28" s="23">
        <f t="shared" si="11"/>
        <v>0</v>
      </c>
      <c r="AB28" s="97">
        <f t="shared" si="12"/>
        <v>0</v>
      </c>
      <c r="AC28" s="43"/>
      <c r="AD28" s="46"/>
      <c r="AE28" s="5">
        <f t="shared" si="13"/>
        <v>976328.60159999994</v>
      </c>
      <c r="AF28" s="114">
        <v>461</v>
      </c>
      <c r="AG28" s="114" t="s">
        <v>1392</v>
      </c>
      <c r="AH28" s="13">
        <v>15.576000000000001</v>
      </c>
      <c r="AI28" s="12"/>
      <c r="AJ28" s="40"/>
      <c r="AK28" s="40"/>
    </row>
    <row r="29" spans="2:37" s="41" customFormat="1">
      <c r="B29" s="92"/>
      <c r="C29" s="48"/>
      <c r="D29" s="6"/>
      <c r="E29" s="6"/>
      <c r="F29" s="81">
        <f>SUM(F14:F28)</f>
        <v>402.12899999999996</v>
      </c>
      <c r="G29" s="20">
        <f>SUM(G14:G28)</f>
        <v>402129</v>
      </c>
      <c r="H29" s="21">
        <f>SUM(H14:H28)</f>
        <v>195</v>
      </c>
      <c r="I29" s="2"/>
      <c r="J29" s="7"/>
      <c r="K29" s="7"/>
      <c r="L29" s="7"/>
      <c r="M29" s="2"/>
      <c r="N29" s="6"/>
      <c r="O29" s="6"/>
      <c r="P29" s="6"/>
      <c r="Q29" s="19"/>
      <c r="R29" s="9"/>
      <c r="S29" s="9"/>
      <c r="T29" s="10"/>
      <c r="U29" s="8"/>
      <c r="V29" s="21">
        <f>SUM(V14:V28)</f>
        <v>21361092.48</v>
      </c>
      <c r="W29" s="21">
        <f>SUM(W14:W28)</f>
        <v>3844996.6463999995</v>
      </c>
      <c r="X29" s="21">
        <f>SUM(X14:X28)</f>
        <v>0</v>
      </c>
      <c r="Y29" s="21">
        <f>SUM(Y14:Y28)</f>
        <v>0</v>
      </c>
      <c r="Z29" s="99"/>
      <c r="AA29" s="21">
        <f>SUM(AA14:AA28)</f>
        <v>0</v>
      </c>
      <c r="AB29" s="21">
        <f>SUM(AB14:AB28)</f>
        <v>0</v>
      </c>
      <c r="AC29" s="21"/>
      <c r="AD29" s="21">
        <f>SUM(AD14:AD28)</f>
        <v>0</v>
      </c>
      <c r="AE29" s="21">
        <f>SUM(AE14:AE28)</f>
        <v>25206089.126400001</v>
      </c>
      <c r="AF29" s="21"/>
      <c r="AG29" s="42"/>
      <c r="AH29" s="81">
        <f>SUM(AH14:AH28)</f>
        <v>402.12899999999996</v>
      </c>
      <c r="AI29" s="26">
        <f>AH29-F29</f>
        <v>0</v>
      </c>
      <c r="AJ29" s="41">
        <f>AA29/F29</f>
        <v>0</v>
      </c>
      <c r="AK29" s="40"/>
    </row>
    <row r="30" spans="2:37" s="41" customFormat="1" ht="16.149999999999999" customHeight="1">
      <c r="B30" s="104" t="s">
        <v>702</v>
      </c>
      <c r="C30" s="86" t="s">
        <v>919</v>
      </c>
      <c r="D30" s="4"/>
      <c r="E30" s="82" t="s">
        <v>35</v>
      </c>
      <c r="F30" s="13">
        <v>40.26</v>
      </c>
      <c r="G30" s="14">
        <f t="shared" ref="G30:G75" si="14">+F30*1000</f>
        <v>40260</v>
      </c>
      <c r="H30" s="49">
        <v>19</v>
      </c>
      <c r="I30" s="83" t="s">
        <v>967</v>
      </c>
      <c r="J30" s="85" t="s">
        <v>963</v>
      </c>
      <c r="K30" s="82">
        <v>10334</v>
      </c>
      <c r="L30" s="4"/>
      <c r="M30" s="85" t="s">
        <v>968</v>
      </c>
      <c r="N30" s="82" t="s">
        <v>969</v>
      </c>
      <c r="O30" s="4"/>
      <c r="P30" s="4"/>
      <c r="Q30" s="5">
        <v>51540</v>
      </c>
      <c r="R30" s="36"/>
      <c r="S30" s="36"/>
      <c r="T30" s="37"/>
      <c r="U30" s="5">
        <f t="shared" ref="U30:U75" si="15">S30+R30+Q30-T30</f>
        <v>51540</v>
      </c>
      <c r="V30" s="5">
        <f t="shared" ref="V30:V75" si="16">F30*U30</f>
        <v>2075000.4</v>
      </c>
      <c r="W30" s="5">
        <f t="shared" ref="W30:W75" si="17">V30*18%</f>
        <v>373500.07199999999</v>
      </c>
      <c r="X30" s="5"/>
      <c r="Y30" s="5"/>
      <c r="Z30" s="98"/>
      <c r="AA30" s="23">
        <f t="shared" ref="AA30:AA75" si="18">F30*Z30</f>
        <v>0</v>
      </c>
      <c r="AB30" s="97">
        <f t="shared" ref="AB30:AB75" si="19">AA30*18%</f>
        <v>0</v>
      </c>
      <c r="AC30" s="43"/>
      <c r="AD30" s="46"/>
      <c r="AE30" s="5">
        <f t="shared" ref="AE30:AE75" si="20">+AB30+AA30+Y30+X30+W30+V30-AC30+AD30</f>
        <v>2448500.4720000001</v>
      </c>
      <c r="AF30" s="114">
        <v>401</v>
      </c>
      <c r="AG30" s="114" t="s">
        <v>1392</v>
      </c>
      <c r="AH30" s="13">
        <v>40.26</v>
      </c>
      <c r="AI30" s="12"/>
      <c r="AJ30" s="40"/>
      <c r="AK30" s="40"/>
    </row>
    <row r="31" spans="2:37" s="41" customFormat="1" ht="16.149999999999999" customHeight="1">
      <c r="B31" s="70" t="s">
        <v>918</v>
      </c>
      <c r="C31" s="86" t="s">
        <v>947</v>
      </c>
      <c r="D31" s="4"/>
      <c r="E31" s="82" t="s">
        <v>35</v>
      </c>
      <c r="F31" s="13">
        <v>25.32</v>
      </c>
      <c r="G31" s="14">
        <f t="shared" si="14"/>
        <v>25320</v>
      </c>
      <c r="H31" s="49">
        <v>12</v>
      </c>
      <c r="I31" s="83" t="s">
        <v>975</v>
      </c>
      <c r="J31" s="85" t="s">
        <v>944</v>
      </c>
      <c r="K31" s="82">
        <v>14716</v>
      </c>
      <c r="L31" s="4"/>
      <c r="M31" s="85" t="s">
        <v>968</v>
      </c>
      <c r="N31" s="82" t="s">
        <v>976</v>
      </c>
      <c r="O31" s="4"/>
      <c r="P31" s="4"/>
      <c r="Q31" s="5">
        <v>51540</v>
      </c>
      <c r="R31" s="36"/>
      <c r="S31" s="36"/>
      <c r="T31" s="37"/>
      <c r="U31" s="5">
        <f t="shared" si="15"/>
        <v>51540</v>
      </c>
      <c r="V31" s="5">
        <f t="shared" si="16"/>
        <v>1304992.8</v>
      </c>
      <c r="W31" s="5">
        <f t="shared" si="17"/>
        <v>234898.704</v>
      </c>
      <c r="X31" s="5"/>
      <c r="Y31" s="5"/>
      <c r="Z31" s="98"/>
      <c r="AA31" s="23">
        <f t="shared" si="18"/>
        <v>0</v>
      </c>
      <c r="AB31" s="97">
        <f t="shared" si="19"/>
        <v>0</v>
      </c>
      <c r="AC31" s="43"/>
      <c r="AD31" s="46"/>
      <c r="AE31" s="5">
        <f t="shared" si="20"/>
        <v>1539891.504</v>
      </c>
      <c r="AF31" s="114">
        <v>408</v>
      </c>
      <c r="AG31" s="114" t="s">
        <v>1392</v>
      </c>
      <c r="AH31" s="13">
        <v>25.32</v>
      </c>
      <c r="AI31" s="12"/>
      <c r="AJ31" s="40"/>
      <c r="AK31" s="40"/>
    </row>
    <row r="32" spans="2:37" s="41" customFormat="1" ht="16.149999999999999" customHeight="1">
      <c r="B32" s="105"/>
      <c r="C32" s="105" t="s">
        <v>697</v>
      </c>
      <c r="D32" s="4"/>
      <c r="E32" s="82" t="s">
        <v>35</v>
      </c>
      <c r="F32" s="13">
        <v>40.04</v>
      </c>
      <c r="G32" s="14">
        <f t="shared" si="14"/>
        <v>40040</v>
      </c>
      <c r="H32" s="49">
        <v>19</v>
      </c>
      <c r="I32" s="83" t="s">
        <v>977</v>
      </c>
      <c r="J32" s="85" t="s">
        <v>944</v>
      </c>
      <c r="K32" s="82">
        <v>14713</v>
      </c>
      <c r="L32" s="4"/>
      <c r="M32" s="85" t="s">
        <v>968</v>
      </c>
      <c r="N32" s="82" t="s">
        <v>981</v>
      </c>
      <c r="O32" s="4"/>
      <c r="P32" s="4"/>
      <c r="Q32" s="5">
        <v>51540</v>
      </c>
      <c r="R32" s="36"/>
      <c r="S32" s="36"/>
      <c r="T32" s="37"/>
      <c r="U32" s="5">
        <f t="shared" si="15"/>
        <v>51540</v>
      </c>
      <c r="V32" s="5">
        <f t="shared" si="16"/>
        <v>2063661.5999999999</v>
      </c>
      <c r="W32" s="5">
        <f t="shared" si="17"/>
        <v>371459.08799999999</v>
      </c>
      <c r="X32" s="5"/>
      <c r="Y32" s="5"/>
      <c r="Z32" s="98"/>
      <c r="AA32" s="23">
        <f t="shared" si="18"/>
        <v>0</v>
      </c>
      <c r="AB32" s="97">
        <f t="shared" si="19"/>
        <v>0</v>
      </c>
      <c r="AC32" s="43"/>
      <c r="AD32" s="46"/>
      <c r="AE32" s="5">
        <f t="shared" si="20"/>
        <v>2435120.6880000001</v>
      </c>
      <c r="AF32" s="114">
        <v>406</v>
      </c>
      <c r="AG32" s="114" t="s">
        <v>1392</v>
      </c>
      <c r="AH32" s="13">
        <v>40.04</v>
      </c>
      <c r="AI32" s="12"/>
      <c r="AJ32" s="40"/>
      <c r="AK32" s="40"/>
    </row>
    <row r="33" spans="2:37" s="41" customFormat="1" ht="16.149999999999999" customHeight="1">
      <c r="B33" s="83"/>
      <c r="C33" s="1"/>
      <c r="D33" s="4"/>
      <c r="E33" s="82" t="s">
        <v>35</v>
      </c>
      <c r="F33" s="13">
        <v>31.7</v>
      </c>
      <c r="G33" s="14">
        <f t="shared" si="14"/>
        <v>31700</v>
      </c>
      <c r="H33" s="49">
        <v>15</v>
      </c>
      <c r="I33" s="83" t="s">
        <v>983</v>
      </c>
      <c r="J33" s="85" t="s">
        <v>963</v>
      </c>
      <c r="K33" s="82">
        <v>14710</v>
      </c>
      <c r="L33" s="4"/>
      <c r="M33" s="85" t="s">
        <v>968</v>
      </c>
      <c r="N33" s="82" t="s">
        <v>982</v>
      </c>
      <c r="O33" s="4"/>
      <c r="P33" s="4"/>
      <c r="Q33" s="5">
        <v>51540</v>
      </c>
      <c r="R33" s="36"/>
      <c r="S33" s="36"/>
      <c r="T33" s="37"/>
      <c r="U33" s="5">
        <f t="shared" si="15"/>
        <v>51540</v>
      </c>
      <c r="V33" s="5">
        <f t="shared" si="16"/>
        <v>1633818</v>
      </c>
      <c r="W33" s="5">
        <f t="shared" si="17"/>
        <v>294087.24</v>
      </c>
      <c r="X33" s="5"/>
      <c r="Y33" s="5"/>
      <c r="Z33" s="98"/>
      <c r="AA33" s="23">
        <f t="shared" si="18"/>
        <v>0</v>
      </c>
      <c r="AB33" s="97">
        <f t="shared" si="19"/>
        <v>0</v>
      </c>
      <c r="AC33" s="43"/>
      <c r="AD33" s="46"/>
      <c r="AE33" s="5">
        <f t="shared" si="20"/>
        <v>1927905.24</v>
      </c>
      <c r="AF33" s="114">
        <v>405</v>
      </c>
      <c r="AG33" s="114" t="s">
        <v>1392</v>
      </c>
      <c r="AH33" s="13">
        <v>31.7</v>
      </c>
      <c r="AI33" s="12"/>
      <c r="AJ33" s="40"/>
      <c r="AK33" s="40"/>
    </row>
    <row r="34" spans="2:37" s="41" customFormat="1" ht="16.149999999999999" customHeight="1">
      <c r="B34" s="83"/>
      <c r="C34" s="1"/>
      <c r="D34" s="4"/>
      <c r="E34" s="82" t="s">
        <v>35</v>
      </c>
      <c r="F34" s="13">
        <v>27.4</v>
      </c>
      <c r="G34" s="14">
        <f t="shared" si="14"/>
        <v>27400</v>
      </c>
      <c r="H34" s="49">
        <v>13</v>
      </c>
      <c r="I34" s="83" t="s">
        <v>984</v>
      </c>
      <c r="J34" s="85" t="s">
        <v>963</v>
      </c>
      <c r="K34" s="82">
        <v>14709</v>
      </c>
      <c r="L34" s="4"/>
      <c r="M34" s="85" t="s">
        <v>968</v>
      </c>
      <c r="N34" s="82" t="s">
        <v>985</v>
      </c>
      <c r="O34" s="4"/>
      <c r="P34" s="4"/>
      <c r="Q34" s="5">
        <v>51540</v>
      </c>
      <c r="R34" s="36"/>
      <c r="S34" s="36"/>
      <c r="T34" s="37"/>
      <c r="U34" s="5">
        <f t="shared" si="15"/>
        <v>51540</v>
      </c>
      <c r="V34" s="5">
        <f t="shared" si="16"/>
        <v>1412196</v>
      </c>
      <c r="W34" s="5">
        <f t="shared" si="17"/>
        <v>254195.28</v>
      </c>
      <c r="X34" s="5"/>
      <c r="Y34" s="5"/>
      <c r="Z34" s="98"/>
      <c r="AA34" s="23">
        <f t="shared" si="18"/>
        <v>0</v>
      </c>
      <c r="AB34" s="97">
        <f t="shared" si="19"/>
        <v>0</v>
      </c>
      <c r="AC34" s="43"/>
      <c r="AD34" s="46"/>
      <c r="AE34" s="5">
        <f t="shared" si="20"/>
        <v>1666391.28</v>
      </c>
      <c r="AF34" s="114">
        <v>404</v>
      </c>
      <c r="AG34" s="114" t="s">
        <v>1392</v>
      </c>
      <c r="AH34" s="13">
        <v>27.4</v>
      </c>
      <c r="AI34" s="12"/>
      <c r="AJ34" s="40"/>
      <c r="AK34" s="40"/>
    </row>
    <row r="35" spans="2:37" s="41" customFormat="1" ht="16.149999999999999" customHeight="1">
      <c r="B35" s="83"/>
      <c r="C35" s="1"/>
      <c r="D35" s="4"/>
      <c r="E35" s="82" t="s">
        <v>35</v>
      </c>
      <c r="F35" s="13">
        <v>42.42</v>
      </c>
      <c r="G35" s="14">
        <f t="shared" si="14"/>
        <v>42420</v>
      </c>
      <c r="H35" s="49">
        <v>20</v>
      </c>
      <c r="I35" s="83" t="s">
        <v>990</v>
      </c>
      <c r="J35" s="85" t="s">
        <v>944</v>
      </c>
      <c r="K35" s="82">
        <v>11694</v>
      </c>
      <c r="L35" s="4"/>
      <c r="M35" s="85" t="s">
        <v>991</v>
      </c>
      <c r="N35" s="82" t="s">
        <v>992</v>
      </c>
      <c r="O35" s="4"/>
      <c r="P35" s="4"/>
      <c r="Q35" s="5">
        <v>51540</v>
      </c>
      <c r="R35" s="36"/>
      <c r="S35" s="36"/>
      <c r="T35" s="37"/>
      <c r="U35" s="5">
        <f t="shared" si="15"/>
        <v>51540</v>
      </c>
      <c r="V35" s="5">
        <f t="shared" si="16"/>
        <v>2186326.8000000003</v>
      </c>
      <c r="W35" s="5">
        <f t="shared" si="17"/>
        <v>393538.82400000002</v>
      </c>
      <c r="X35" s="5"/>
      <c r="Y35" s="5"/>
      <c r="Z35" s="98"/>
      <c r="AA35" s="23">
        <f t="shared" si="18"/>
        <v>0</v>
      </c>
      <c r="AB35" s="97">
        <f t="shared" si="19"/>
        <v>0</v>
      </c>
      <c r="AC35" s="43"/>
      <c r="AD35" s="46"/>
      <c r="AE35" s="5">
        <f t="shared" si="20"/>
        <v>2579865.6240000003</v>
      </c>
      <c r="AF35" s="114">
        <v>415</v>
      </c>
      <c r="AG35" s="114" t="s">
        <v>1392</v>
      </c>
      <c r="AH35" s="13">
        <v>42.42</v>
      </c>
      <c r="AI35" s="12"/>
      <c r="AJ35" s="40"/>
      <c r="AK35" s="40"/>
    </row>
    <row r="36" spans="2:37" s="41" customFormat="1" ht="16.149999999999999" customHeight="1">
      <c r="B36" s="83"/>
      <c r="C36" s="1"/>
      <c r="D36" s="4"/>
      <c r="E36" s="82" t="s">
        <v>35</v>
      </c>
      <c r="F36" s="13">
        <v>42.22</v>
      </c>
      <c r="G36" s="14">
        <f t="shared" si="14"/>
        <v>42220</v>
      </c>
      <c r="H36" s="49">
        <v>20</v>
      </c>
      <c r="I36" s="83" t="s">
        <v>993</v>
      </c>
      <c r="J36" s="85" t="s">
        <v>944</v>
      </c>
      <c r="K36" s="82">
        <v>11687</v>
      </c>
      <c r="L36" s="4"/>
      <c r="M36" s="85" t="s">
        <v>991</v>
      </c>
      <c r="N36" s="82" t="s">
        <v>994</v>
      </c>
      <c r="O36" s="4"/>
      <c r="P36" s="4"/>
      <c r="Q36" s="5">
        <v>51540</v>
      </c>
      <c r="R36" s="36"/>
      <c r="S36" s="36"/>
      <c r="T36" s="37"/>
      <c r="U36" s="5">
        <f t="shared" si="15"/>
        <v>51540</v>
      </c>
      <c r="V36" s="5">
        <f t="shared" si="16"/>
        <v>2176018.7999999998</v>
      </c>
      <c r="W36" s="5">
        <f t="shared" si="17"/>
        <v>391683.38399999996</v>
      </c>
      <c r="X36" s="5"/>
      <c r="Y36" s="5"/>
      <c r="Z36" s="98"/>
      <c r="AA36" s="23">
        <f t="shared" si="18"/>
        <v>0</v>
      </c>
      <c r="AB36" s="97">
        <f t="shared" si="19"/>
        <v>0</v>
      </c>
      <c r="AC36" s="43"/>
      <c r="AD36" s="46"/>
      <c r="AE36" s="5">
        <f t="shared" si="20"/>
        <v>2567702.1839999999</v>
      </c>
      <c r="AF36" s="114">
        <v>409</v>
      </c>
      <c r="AG36" s="114" t="s">
        <v>1392</v>
      </c>
      <c r="AH36" s="13">
        <v>42.22</v>
      </c>
      <c r="AI36" s="12"/>
      <c r="AJ36" s="40"/>
      <c r="AK36" s="40"/>
    </row>
    <row r="37" spans="2:37" s="41" customFormat="1" ht="16.149999999999999" customHeight="1">
      <c r="B37" s="83"/>
      <c r="C37" s="1"/>
      <c r="D37" s="4"/>
      <c r="E37" s="82" t="s">
        <v>35</v>
      </c>
      <c r="F37" s="13">
        <v>27.4</v>
      </c>
      <c r="G37" s="14">
        <f t="shared" si="14"/>
        <v>27400</v>
      </c>
      <c r="H37" s="49">
        <v>13</v>
      </c>
      <c r="I37" s="83" t="s">
        <v>995</v>
      </c>
      <c r="J37" s="85" t="s">
        <v>944</v>
      </c>
      <c r="K37" s="82">
        <v>10338</v>
      </c>
      <c r="L37" s="4"/>
      <c r="M37" s="85" t="s">
        <v>991</v>
      </c>
      <c r="N37" s="82" t="s">
        <v>996</v>
      </c>
      <c r="O37" s="4"/>
      <c r="P37" s="4"/>
      <c r="Q37" s="5">
        <v>51540</v>
      </c>
      <c r="R37" s="36"/>
      <c r="S37" s="36"/>
      <c r="T37" s="37"/>
      <c r="U37" s="5">
        <f t="shared" si="15"/>
        <v>51540</v>
      </c>
      <c r="V37" s="5">
        <f t="shared" si="16"/>
        <v>1412196</v>
      </c>
      <c r="W37" s="5">
        <f t="shared" si="17"/>
        <v>254195.28</v>
      </c>
      <c r="X37" s="5"/>
      <c r="Y37" s="5"/>
      <c r="Z37" s="98"/>
      <c r="AA37" s="23">
        <f t="shared" si="18"/>
        <v>0</v>
      </c>
      <c r="AB37" s="97">
        <f t="shared" si="19"/>
        <v>0</v>
      </c>
      <c r="AC37" s="43"/>
      <c r="AD37" s="46"/>
      <c r="AE37" s="5">
        <f t="shared" si="20"/>
        <v>1666391.28</v>
      </c>
      <c r="AF37" s="114">
        <v>410</v>
      </c>
      <c r="AG37" s="114" t="s">
        <v>1392</v>
      </c>
      <c r="AH37" s="13">
        <v>27.4</v>
      </c>
      <c r="AI37" s="12"/>
      <c r="AJ37" s="40"/>
      <c r="AK37" s="40"/>
    </row>
    <row r="38" spans="2:37" s="41" customFormat="1" ht="16.149999999999999" customHeight="1">
      <c r="B38" s="83"/>
      <c r="C38" s="1"/>
      <c r="D38" s="4"/>
      <c r="E38" s="82" t="s">
        <v>35</v>
      </c>
      <c r="F38" s="13">
        <v>27.52</v>
      </c>
      <c r="G38" s="14">
        <f t="shared" si="14"/>
        <v>27520</v>
      </c>
      <c r="H38" s="49">
        <v>13</v>
      </c>
      <c r="I38" s="83" t="s">
        <v>997</v>
      </c>
      <c r="J38" s="85" t="s">
        <v>963</v>
      </c>
      <c r="K38" s="82">
        <v>10336</v>
      </c>
      <c r="L38" s="4"/>
      <c r="M38" s="85" t="s">
        <v>991</v>
      </c>
      <c r="N38" s="82" t="s">
        <v>998</v>
      </c>
      <c r="O38" s="4"/>
      <c r="P38" s="4"/>
      <c r="Q38" s="5">
        <v>51540</v>
      </c>
      <c r="R38" s="36"/>
      <c r="S38" s="36"/>
      <c r="T38" s="37"/>
      <c r="U38" s="5">
        <f t="shared" si="15"/>
        <v>51540</v>
      </c>
      <c r="V38" s="5">
        <f t="shared" si="16"/>
        <v>1418380.8</v>
      </c>
      <c r="W38" s="5">
        <f t="shared" si="17"/>
        <v>255308.54399999999</v>
      </c>
      <c r="X38" s="5"/>
      <c r="Y38" s="5"/>
      <c r="Z38" s="98"/>
      <c r="AA38" s="23">
        <f t="shared" si="18"/>
        <v>0</v>
      </c>
      <c r="AB38" s="97">
        <f t="shared" si="19"/>
        <v>0</v>
      </c>
      <c r="AC38" s="43"/>
      <c r="AD38" s="46"/>
      <c r="AE38" s="5">
        <f t="shared" si="20"/>
        <v>1673689.344</v>
      </c>
      <c r="AF38" s="114">
        <v>403</v>
      </c>
      <c r="AG38" s="114" t="s">
        <v>1392</v>
      </c>
      <c r="AH38" s="13">
        <v>27.52</v>
      </c>
      <c r="AI38" s="12"/>
      <c r="AJ38" s="40"/>
      <c r="AK38" s="40"/>
    </row>
    <row r="39" spans="2:37" s="41" customFormat="1" ht="16.149999999999999" customHeight="1">
      <c r="B39" s="12"/>
      <c r="C39" s="1"/>
      <c r="D39" s="4"/>
      <c r="E39" s="82" t="s">
        <v>35</v>
      </c>
      <c r="F39" s="13">
        <v>31.56</v>
      </c>
      <c r="G39" s="14">
        <f t="shared" si="14"/>
        <v>31560</v>
      </c>
      <c r="H39" s="49">
        <v>15</v>
      </c>
      <c r="I39" s="83" t="s">
        <v>999</v>
      </c>
      <c r="J39" s="85" t="s">
        <v>944</v>
      </c>
      <c r="K39" s="82">
        <v>11685</v>
      </c>
      <c r="L39" s="4"/>
      <c r="M39" s="85" t="s">
        <v>991</v>
      </c>
      <c r="N39" s="82" t="s">
        <v>1000</v>
      </c>
      <c r="O39" s="4"/>
      <c r="P39" s="4"/>
      <c r="Q39" s="5">
        <v>51540</v>
      </c>
      <c r="R39" s="36"/>
      <c r="S39" s="36"/>
      <c r="T39" s="37"/>
      <c r="U39" s="5">
        <f t="shared" si="15"/>
        <v>51540</v>
      </c>
      <c r="V39" s="5">
        <f t="shared" si="16"/>
        <v>1626602.4</v>
      </c>
      <c r="W39" s="5">
        <f t="shared" si="17"/>
        <v>292788.43199999997</v>
      </c>
      <c r="X39" s="5"/>
      <c r="Y39" s="5"/>
      <c r="Z39" s="98"/>
      <c r="AA39" s="23">
        <f t="shared" si="18"/>
        <v>0</v>
      </c>
      <c r="AB39" s="97">
        <f t="shared" si="19"/>
        <v>0</v>
      </c>
      <c r="AC39" s="43"/>
      <c r="AD39" s="46"/>
      <c r="AE39" s="5">
        <f t="shared" si="20"/>
        <v>1919390.8319999999</v>
      </c>
      <c r="AF39" s="114">
        <v>407</v>
      </c>
      <c r="AG39" s="114" t="s">
        <v>1392</v>
      </c>
      <c r="AH39" s="13">
        <v>31.56</v>
      </c>
      <c r="AI39" s="12"/>
      <c r="AJ39" s="40"/>
      <c r="AK39" s="40"/>
    </row>
    <row r="40" spans="2:37" s="41" customFormat="1" ht="16.149999999999999" customHeight="1">
      <c r="B40" s="12"/>
      <c r="C40" s="1"/>
      <c r="D40" s="4"/>
      <c r="E40" s="82" t="s">
        <v>35</v>
      </c>
      <c r="F40" s="13">
        <v>42.28</v>
      </c>
      <c r="G40" s="14">
        <f t="shared" si="14"/>
        <v>42280</v>
      </c>
      <c r="H40" s="49">
        <v>20</v>
      </c>
      <c r="I40" s="83" t="s">
        <v>1001</v>
      </c>
      <c r="J40" s="85" t="s">
        <v>944</v>
      </c>
      <c r="K40" s="82">
        <v>10339</v>
      </c>
      <c r="L40" s="4"/>
      <c r="M40" s="85" t="s">
        <v>991</v>
      </c>
      <c r="N40" s="82" t="s">
        <v>1003</v>
      </c>
      <c r="O40" s="4"/>
      <c r="P40" s="4"/>
      <c r="Q40" s="5">
        <v>51540</v>
      </c>
      <c r="R40" s="36"/>
      <c r="S40" s="36"/>
      <c r="T40" s="37"/>
      <c r="U40" s="5">
        <f t="shared" si="15"/>
        <v>51540</v>
      </c>
      <c r="V40" s="5">
        <f t="shared" si="16"/>
        <v>2179111.2000000002</v>
      </c>
      <c r="W40" s="5">
        <f t="shared" si="17"/>
        <v>392240.016</v>
      </c>
      <c r="X40" s="5"/>
      <c r="Y40" s="5"/>
      <c r="Z40" s="98"/>
      <c r="AA40" s="23">
        <f t="shared" si="18"/>
        <v>0</v>
      </c>
      <c r="AB40" s="97">
        <f t="shared" si="19"/>
        <v>0</v>
      </c>
      <c r="AC40" s="43"/>
      <c r="AD40" s="46"/>
      <c r="AE40" s="5">
        <f t="shared" si="20"/>
        <v>2571351.216</v>
      </c>
      <c r="AF40" s="114">
        <v>411</v>
      </c>
      <c r="AG40" s="114" t="s">
        <v>1392</v>
      </c>
      <c r="AH40" s="13">
        <v>42.28</v>
      </c>
      <c r="AI40" s="12"/>
      <c r="AJ40" s="40"/>
      <c r="AK40" s="40"/>
    </row>
    <row r="41" spans="2:37" s="41" customFormat="1" ht="16.149999999999999" customHeight="1">
      <c r="B41" s="12"/>
      <c r="C41" s="1"/>
      <c r="D41" s="4"/>
      <c r="E41" s="82" t="s">
        <v>35</v>
      </c>
      <c r="F41" s="13">
        <v>42.46</v>
      </c>
      <c r="G41" s="14">
        <f t="shared" si="14"/>
        <v>42460</v>
      </c>
      <c r="H41" s="49">
        <v>20</v>
      </c>
      <c r="I41" s="83" t="s">
        <v>1002</v>
      </c>
      <c r="J41" s="85" t="s">
        <v>944</v>
      </c>
      <c r="K41" s="82">
        <v>14735</v>
      </c>
      <c r="L41" s="4"/>
      <c r="M41" s="85" t="s">
        <v>991</v>
      </c>
      <c r="N41" s="82" t="s">
        <v>1004</v>
      </c>
      <c r="O41" s="4"/>
      <c r="P41" s="4"/>
      <c r="Q41" s="5">
        <v>51540</v>
      </c>
      <c r="R41" s="36"/>
      <c r="S41" s="36"/>
      <c r="T41" s="37"/>
      <c r="U41" s="5">
        <f t="shared" si="15"/>
        <v>51540</v>
      </c>
      <c r="V41" s="5">
        <f t="shared" si="16"/>
        <v>2188388.4</v>
      </c>
      <c r="W41" s="5">
        <f t="shared" si="17"/>
        <v>393909.91199999995</v>
      </c>
      <c r="X41" s="5"/>
      <c r="Y41" s="5"/>
      <c r="Z41" s="98"/>
      <c r="AA41" s="23">
        <f t="shared" si="18"/>
        <v>0</v>
      </c>
      <c r="AB41" s="97">
        <f t="shared" si="19"/>
        <v>0</v>
      </c>
      <c r="AC41" s="43"/>
      <c r="AD41" s="46"/>
      <c r="AE41" s="5">
        <f t="shared" si="20"/>
        <v>2582298.3119999999</v>
      </c>
      <c r="AF41" s="114">
        <v>412</v>
      </c>
      <c r="AG41" s="114" t="s">
        <v>1392</v>
      </c>
      <c r="AH41" s="13">
        <v>42.46</v>
      </c>
      <c r="AI41" s="12"/>
      <c r="AJ41" s="40"/>
      <c r="AK41" s="40"/>
    </row>
    <row r="42" spans="2:37" s="41" customFormat="1" ht="16.149999999999999" customHeight="1">
      <c r="B42" s="12"/>
      <c r="C42" s="1"/>
      <c r="D42" s="4"/>
      <c r="E42" s="82" t="s">
        <v>35</v>
      </c>
      <c r="F42" s="13">
        <v>42.46</v>
      </c>
      <c r="G42" s="14">
        <f t="shared" si="14"/>
        <v>42460</v>
      </c>
      <c r="H42" s="49">
        <v>20</v>
      </c>
      <c r="I42" s="83" t="s">
        <v>1005</v>
      </c>
      <c r="J42" s="85" t="s">
        <v>944</v>
      </c>
      <c r="K42" s="82">
        <v>14737</v>
      </c>
      <c r="L42" s="4"/>
      <c r="M42" s="85" t="s">
        <v>991</v>
      </c>
      <c r="N42" s="82" t="s">
        <v>1006</v>
      </c>
      <c r="O42" s="4"/>
      <c r="P42" s="4"/>
      <c r="Q42" s="5">
        <v>51540</v>
      </c>
      <c r="R42" s="36"/>
      <c r="S42" s="36"/>
      <c r="T42" s="37"/>
      <c r="U42" s="5">
        <f t="shared" si="15"/>
        <v>51540</v>
      </c>
      <c r="V42" s="5">
        <f t="shared" si="16"/>
        <v>2188388.4</v>
      </c>
      <c r="W42" s="5">
        <f t="shared" si="17"/>
        <v>393909.91199999995</v>
      </c>
      <c r="X42" s="5"/>
      <c r="Y42" s="5"/>
      <c r="Z42" s="98"/>
      <c r="AA42" s="23">
        <f t="shared" si="18"/>
        <v>0</v>
      </c>
      <c r="AB42" s="97">
        <f t="shared" si="19"/>
        <v>0</v>
      </c>
      <c r="AC42" s="43"/>
      <c r="AD42" s="46"/>
      <c r="AE42" s="5">
        <f t="shared" si="20"/>
        <v>2582298.3119999999</v>
      </c>
      <c r="AF42" s="114">
        <v>414</v>
      </c>
      <c r="AG42" s="114" t="s">
        <v>1392</v>
      </c>
      <c r="AH42" s="13">
        <v>42.46</v>
      </c>
      <c r="AI42" s="12"/>
      <c r="AJ42" s="40"/>
      <c r="AK42" s="40"/>
    </row>
    <row r="43" spans="2:37" s="41" customFormat="1" ht="16.149999999999999" customHeight="1">
      <c r="B43" s="12"/>
      <c r="C43" s="1"/>
      <c r="D43" s="4"/>
      <c r="E43" s="82" t="s">
        <v>35</v>
      </c>
      <c r="F43" s="13">
        <v>25.42</v>
      </c>
      <c r="G43" s="14">
        <f t="shared" si="14"/>
        <v>25420</v>
      </c>
      <c r="H43" s="49">
        <v>12</v>
      </c>
      <c r="I43" s="83" t="s">
        <v>1007</v>
      </c>
      <c r="J43" s="85" t="s">
        <v>963</v>
      </c>
      <c r="K43" s="82">
        <v>10335</v>
      </c>
      <c r="L43" s="4"/>
      <c r="M43" s="85" t="s">
        <v>991</v>
      </c>
      <c r="N43" s="82" t="s">
        <v>1008</v>
      </c>
      <c r="O43" s="4"/>
      <c r="P43" s="4"/>
      <c r="Q43" s="5">
        <v>51540</v>
      </c>
      <c r="R43" s="36"/>
      <c r="S43" s="36"/>
      <c r="T43" s="37"/>
      <c r="U43" s="5">
        <f t="shared" si="15"/>
        <v>51540</v>
      </c>
      <c r="V43" s="5">
        <f t="shared" si="16"/>
        <v>1310146.8</v>
      </c>
      <c r="W43" s="5">
        <f t="shared" si="17"/>
        <v>235826.424</v>
      </c>
      <c r="X43" s="5"/>
      <c r="Y43" s="5"/>
      <c r="Z43" s="98"/>
      <c r="AA43" s="23">
        <f t="shared" si="18"/>
        <v>0</v>
      </c>
      <c r="AB43" s="97">
        <f t="shared" si="19"/>
        <v>0</v>
      </c>
      <c r="AC43" s="43"/>
      <c r="AD43" s="46"/>
      <c r="AE43" s="5">
        <f t="shared" si="20"/>
        <v>1545973.2239999999</v>
      </c>
      <c r="AF43" s="114">
        <v>402</v>
      </c>
      <c r="AG43" s="114" t="s">
        <v>1392</v>
      </c>
      <c r="AH43" s="13">
        <v>25.42</v>
      </c>
      <c r="AI43" s="12"/>
      <c r="AJ43" s="40"/>
      <c r="AK43" s="40"/>
    </row>
    <row r="44" spans="2:37" s="41" customFormat="1" ht="16.149999999999999" customHeight="1">
      <c r="B44" s="12"/>
      <c r="C44" s="1"/>
      <c r="D44" s="4"/>
      <c r="E44" s="82" t="s">
        <v>35</v>
      </c>
      <c r="F44" s="13">
        <v>42.28</v>
      </c>
      <c r="G44" s="14">
        <f t="shared" si="14"/>
        <v>42280</v>
      </c>
      <c r="H44" s="49">
        <v>20</v>
      </c>
      <c r="I44" s="83" t="s">
        <v>1011</v>
      </c>
      <c r="J44" s="85" t="s">
        <v>968</v>
      </c>
      <c r="K44" s="82">
        <v>11699</v>
      </c>
      <c r="L44" s="4"/>
      <c r="M44" s="85" t="s">
        <v>991</v>
      </c>
      <c r="N44" s="82" t="s">
        <v>1012</v>
      </c>
      <c r="O44" s="4"/>
      <c r="P44" s="4"/>
      <c r="Q44" s="5">
        <v>51540</v>
      </c>
      <c r="R44" s="36"/>
      <c r="S44" s="36"/>
      <c r="T44" s="37"/>
      <c r="U44" s="5">
        <f t="shared" si="15"/>
        <v>51540</v>
      </c>
      <c r="V44" s="5">
        <f t="shared" si="16"/>
        <v>2179111.2000000002</v>
      </c>
      <c r="W44" s="5">
        <f t="shared" si="17"/>
        <v>392240.016</v>
      </c>
      <c r="X44" s="5"/>
      <c r="Y44" s="5"/>
      <c r="Z44" s="98"/>
      <c r="AA44" s="23">
        <f t="shared" si="18"/>
        <v>0</v>
      </c>
      <c r="AB44" s="97">
        <f t="shared" si="19"/>
        <v>0</v>
      </c>
      <c r="AC44" s="43"/>
      <c r="AD44" s="46"/>
      <c r="AE44" s="5">
        <f t="shared" si="20"/>
        <v>2571351.216</v>
      </c>
      <c r="AF44" s="114">
        <v>418</v>
      </c>
      <c r="AG44" s="114" t="s">
        <v>1392</v>
      </c>
      <c r="AH44" s="13">
        <v>42.28</v>
      </c>
      <c r="AI44" s="12"/>
      <c r="AJ44" s="40"/>
      <c r="AK44" s="40"/>
    </row>
    <row r="45" spans="2:37" s="41" customFormat="1" ht="16.149999999999999" customHeight="1">
      <c r="B45" s="12"/>
      <c r="C45" s="1"/>
      <c r="D45" s="4"/>
      <c r="E45" s="82" t="s">
        <v>35</v>
      </c>
      <c r="F45" s="13">
        <v>42.24</v>
      </c>
      <c r="G45" s="14">
        <f t="shared" si="14"/>
        <v>42240</v>
      </c>
      <c r="H45" s="49">
        <v>20</v>
      </c>
      <c r="I45" s="83" t="s">
        <v>1015</v>
      </c>
      <c r="J45" s="85" t="s">
        <v>944</v>
      </c>
      <c r="K45" s="82">
        <v>10340</v>
      </c>
      <c r="L45" s="4"/>
      <c r="M45" s="85" t="s">
        <v>1016</v>
      </c>
      <c r="N45" s="82" t="s">
        <v>784</v>
      </c>
      <c r="O45" s="4"/>
      <c r="P45" s="4"/>
      <c r="Q45" s="5">
        <v>51540</v>
      </c>
      <c r="R45" s="36"/>
      <c r="S45" s="36"/>
      <c r="T45" s="37"/>
      <c r="U45" s="5">
        <f t="shared" si="15"/>
        <v>51540</v>
      </c>
      <c r="V45" s="5">
        <f t="shared" si="16"/>
        <v>2177049.6000000001</v>
      </c>
      <c r="W45" s="5">
        <f t="shared" si="17"/>
        <v>391868.92800000001</v>
      </c>
      <c r="X45" s="5"/>
      <c r="Y45" s="5"/>
      <c r="Z45" s="98"/>
      <c r="AA45" s="23">
        <f t="shared" si="18"/>
        <v>0</v>
      </c>
      <c r="AB45" s="97">
        <f t="shared" si="19"/>
        <v>0</v>
      </c>
      <c r="AC45" s="43"/>
      <c r="AD45" s="46"/>
      <c r="AE45" s="5">
        <f t="shared" si="20"/>
        <v>2568918.5279999999</v>
      </c>
      <c r="AF45" s="114">
        <v>417</v>
      </c>
      <c r="AG45" s="114" t="s">
        <v>1392</v>
      </c>
      <c r="AH45" s="13">
        <v>42.24</v>
      </c>
      <c r="AI45" s="12"/>
      <c r="AJ45" s="40"/>
      <c r="AK45" s="40"/>
    </row>
    <row r="46" spans="2:37" s="41" customFormat="1" ht="16.149999999999999" customHeight="1">
      <c r="B46" s="12"/>
      <c r="C46" s="1"/>
      <c r="D46" s="4"/>
      <c r="E46" s="82" t="s">
        <v>35</v>
      </c>
      <c r="F46" s="13">
        <v>29.64</v>
      </c>
      <c r="G46" s="14">
        <f t="shared" si="14"/>
        <v>29640</v>
      </c>
      <c r="H46" s="49">
        <v>14</v>
      </c>
      <c r="I46" s="83" t="s">
        <v>1017</v>
      </c>
      <c r="J46" s="85" t="s">
        <v>944</v>
      </c>
      <c r="K46" s="82">
        <v>14740</v>
      </c>
      <c r="L46" s="4"/>
      <c r="M46" s="85" t="s">
        <v>1016</v>
      </c>
      <c r="N46" s="82" t="s">
        <v>1018</v>
      </c>
      <c r="O46" s="4"/>
      <c r="P46" s="4"/>
      <c r="Q46" s="5">
        <v>51540</v>
      </c>
      <c r="R46" s="36"/>
      <c r="S46" s="36"/>
      <c r="T46" s="37"/>
      <c r="U46" s="5">
        <f t="shared" si="15"/>
        <v>51540</v>
      </c>
      <c r="V46" s="5">
        <f t="shared" si="16"/>
        <v>1527645.6</v>
      </c>
      <c r="W46" s="5">
        <f t="shared" si="17"/>
        <v>274976.20799999998</v>
      </c>
      <c r="X46" s="5"/>
      <c r="Y46" s="5"/>
      <c r="Z46" s="98"/>
      <c r="AA46" s="23">
        <f t="shared" si="18"/>
        <v>0</v>
      </c>
      <c r="AB46" s="97">
        <f t="shared" si="19"/>
        <v>0</v>
      </c>
      <c r="AC46" s="43"/>
      <c r="AD46" s="46"/>
      <c r="AE46" s="5">
        <f t="shared" si="20"/>
        <v>1802621.8080000002</v>
      </c>
      <c r="AF46" s="114">
        <v>416</v>
      </c>
      <c r="AG46" s="114" t="s">
        <v>1392</v>
      </c>
      <c r="AH46" s="13">
        <v>29.64</v>
      </c>
      <c r="AI46" s="12"/>
      <c r="AJ46" s="40"/>
      <c r="AK46" s="40"/>
    </row>
    <row r="47" spans="2:37" s="41" customFormat="1" ht="16.149999999999999" customHeight="1">
      <c r="B47" s="12"/>
      <c r="C47" s="1"/>
      <c r="D47" s="4"/>
      <c r="E47" s="82" t="s">
        <v>35</v>
      </c>
      <c r="F47" s="13">
        <v>42.22</v>
      </c>
      <c r="G47" s="14">
        <f t="shared" si="14"/>
        <v>42220</v>
      </c>
      <c r="H47" s="49">
        <v>20</v>
      </c>
      <c r="I47" s="83" t="s">
        <v>1019</v>
      </c>
      <c r="J47" s="85" t="s">
        <v>968</v>
      </c>
      <c r="K47" s="82">
        <v>14765</v>
      </c>
      <c r="L47" s="4"/>
      <c r="M47" s="85" t="s">
        <v>1016</v>
      </c>
      <c r="N47" s="82" t="s">
        <v>1020</v>
      </c>
      <c r="O47" s="4"/>
      <c r="P47" s="4"/>
      <c r="Q47" s="5">
        <v>51540</v>
      </c>
      <c r="R47" s="36"/>
      <c r="S47" s="36"/>
      <c r="T47" s="37"/>
      <c r="U47" s="5">
        <f t="shared" si="15"/>
        <v>51540</v>
      </c>
      <c r="V47" s="5">
        <f t="shared" si="16"/>
        <v>2176018.7999999998</v>
      </c>
      <c r="W47" s="5">
        <f t="shared" si="17"/>
        <v>391683.38399999996</v>
      </c>
      <c r="X47" s="5"/>
      <c r="Y47" s="5"/>
      <c r="Z47" s="98"/>
      <c r="AA47" s="23">
        <f t="shared" si="18"/>
        <v>0</v>
      </c>
      <c r="AB47" s="97">
        <f t="shared" si="19"/>
        <v>0</v>
      </c>
      <c r="AC47" s="43"/>
      <c r="AD47" s="46"/>
      <c r="AE47" s="5">
        <f t="shared" si="20"/>
        <v>2567702.1839999999</v>
      </c>
      <c r="AF47" s="114">
        <v>419</v>
      </c>
      <c r="AG47" s="114" t="s">
        <v>1392</v>
      </c>
      <c r="AH47" s="13">
        <v>42.22</v>
      </c>
      <c r="AI47" s="12"/>
      <c r="AJ47" s="40"/>
      <c r="AK47" s="40"/>
    </row>
    <row r="48" spans="2:37" s="41" customFormat="1" ht="16.149999999999999" customHeight="1">
      <c r="B48" s="12"/>
      <c r="C48" s="1"/>
      <c r="D48" s="4"/>
      <c r="E48" s="82" t="s">
        <v>35</v>
      </c>
      <c r="F48" s="13">
        <v>31.84</v>
      </c>
      <c r="G48" s="14">
        <f t="shared" si="14"/>
        <v>31840</v>
      </c>
      <c r="H48" s="49">
        <v>15</v>
      </c>
      <c r="I48" s="83" t="s">
        <v>1024</v>
      </c>
      <c r="J48" s="85" t="s">
        <v>944</v>
      </c>
      <c r="K48" s="82">
        <v>14736</v>
      </c>
      <c r="L48" s="4"/>
      <c r="M48" s="85" t="s">
        <v>1025</v>
      </c>
      <c r="N48" s="82" t="s">
        <v>1026</v>
      </c>
      <c r="O48" s="4"/>
      <c r="P48" s="4"/>
      <c r="Q48" s="5">
        <v>51540</v>
      </c>
      <c r="R48" s="36"/>
      <c r="S48" s="36"/>
      <c r="T48" s="37"/>
      <c r="U48" s="5">
        <f t="shared" si="15"/>
        <v>51540</v>
      </c>
      <c r="V48" s="5">
        <f t="shared" si="16"/>
        <v>1641033.6</v>
      </c>
      <c r="W48" s="5">
        <f t="shared" si="17"/>
        <v>295386.04800000001</v>
      </c>
      <c r="X48" s="5"/>
      <c r="Y48" s="5"/>
      <c r="Z48" s="98"/>
      <c r="AA48" s="23">
        <f t="shared" si="18"/>
        <v>0</v>
      </c>
      <c r="AB48" s="97">
        <f t="shared" si="19"/>
        <v>0</v>
      </c>
      <c r="AC48" s="43"/>
      <c r="AD48" s="46"/>
      <c r="AE48" s="5">
        <f t="shared" si="20"/>
        <v>1936419.648</v>
      </c>
      <c r="AF48" s="114">
        <v>413</v>
      </c>
      <c r="AG48" s="114" t="s">
        <v>1392</v>
      </c>
      <c r="AH48" s="13">
        <v>31.84</v>
      </c>
      <c r="AI48" s="12"/>
      <c r="AJ48" s="40"/>
      <c r="AK48" s="40"/>
    </row>
    <row r="49" spans="2:37" s="41" customFormat="1" ht="16.149999999999999" customHeight="1">
      <c r="B49" s="12"/>
      <c r="C49" s="1"/>
      <c r="D49" s="4"/>
      <c r="E49" s="82" t="s">
        <v>35</v>
      </c>
      <c r="F49" s="13">
        <v>2.1080000000000001</v>
      </c>
      <c r="G49" s="14">
        <f t="shared" si="14"/>
        <v>2108</v>
      </c>
      <c r="H49" s="49">
        <v>1</v>
      </c>
      <c r="I49" s="83" t="s">
        <v>1027</v>
      </c>
      <c r="J49" s="85" t="s">
        <v>991</v>
      </c>
      <c r="K49" s="82">
        <v>14803</v>
      </c>
      <c r="L49" s="4"/>
      <c r="M49" s="85" t="s">
        <v>1025</v>
      </c>
      <c r="N49" s="82" t="s">
        <v>1028</v>
      </c>
      <c r="O49" s="4"/>
      <c r="P49" s="4"/>
      <c r="Q49" s="5">
        <v>51540</v>
      </c>
      <c r="R49" s="36"/>
      <c r="S49" s="36"/>
      <c r="T49" s="37"/>
      <c r="U49" s="5">
        <f t="shared" si="15"/>
        <v>51540</v>
      </c>
      <c r="V49" s="5">
        <f t="shared" si="16"/>
        <v>108646.32</v>
      </c>
      <c r="W49" s="5">
        <f t="shared" si="17"/>
        <v>19556.337599999999</v>
      </c>
      <c r="X49" s="5"/>
      <c r="Y49" s="5"/>
      <c r="Z49" s="98"/>
      <c r="AA49" s="23">
        <f t="shared" si="18"/>
        <v>0</v>
      </c>
      <c r="AB49" s="97">
        <f t="shared" si="19"/>
        <v>0</v>
      </c>
      <c r="AC49" s="43"/>
      <c r="AD49" s="46"/>
      <c r="AE49" s="5">
        <f t="shared" si="20"/>
        <v>128202.65760000001</v>
      </c>
      <c r="AF49" s="114">
        <v>425</v>
      </c>
      <c r="AG49" s="114" t="s">
        <v>1392</v>
      </c>
      <c r="AH49" s="13">
        <v>2.1080000000000001</v>
      </c>
      <c r="AI49" s="12"/>
      <c r="AJ49" s="40"/>
      <c r="AK49" s="40"/>
    </row>
    <row r="50" spans="2:37" s="41" customFormat="1" ht="16.149999999999999" customHeight="1">
      <c r="B50" s="12"/>
      <c r="C50" s="1"/>
      <c r="D50" s="4"/>
      <c r="E50" s="82" t="s">
        <v>35</v>
      </c>
      <c r="F50" s="13">
        <v>2.1160000000000001</v>
      </c>
      <c r="G50" s="14">
        <f t="shared" si="14"/>
        <v>2116</v>
      </c>
      <c r="H50" s="49">
        <v>1</v>
      </c>
      <c r="I50" s="83" t="s">
        <v>1029</v>
      </c>
      <c r="J50" s="85" t="s">
        <v>991</v>
      </c>
      <c r="K50" s="82">
        <v>14802</v>
      </c>
      <c r="L50" s="4"/>
      <c r="M50" s="85" t="s">
        <v>1025</v>
      </c>
      <c r="N50" s="82" t="s">
        <v>1030</v>
      </c>
      <c r="O50" s="4"/>
      <c r="P50" s="4"/>
      <c r="Q50" s="5">
        <v>51540</v>
      </c>
      <c r="R50" s="36"/>
      <c r="S50" s="36"/>
      <c r="T50" s="37"/>
      <c r="U50" s="5">
        <f t="shared" si="15"/>
        <v>51540</v>
      </c>
      <c r="V50" s="5">
        <f t="shared" si="16"/>
        <v>109058.64</v>
      </c>
      <c r="W50" s="5">
        <f t="shared" si="17"/>
        <v>19630.555199999999</v>
      </c>
      <c r="X50" s="5"/>
      <c r="Y50" s="5"/>
      <c r="Z50" s="98"/>
      <c r="AA50" s="23">
        <f t="shared" si="18"/>
        <v>0</v>
      </c>
      <c r="AB50" s="97">
        <f t="shared" si="19"/>
        <v>0</v>
      </c>
      <c r="AC50" s="43"/>
      <c r="AD50" s="46"/>
      <c r="AE50" s="5">
        <f t="shared" si="20"/>
        <v>128689.1952</v>
      </c>
      <c r="AF50" s="114">
        <v>424</v>
      </c>
      <c r="AG50" s="114" t="s">
        <v>1392</v>
      </c>
      <c r="AH50" s="13">
        <v>2.1160000000000001</v>
      </c>
      <c r="AI50" s="12"/>
      <c r="AJ50" s="40"/>
      <c r="AK50" s="40"/>
    </row>
    <row r="51" spans="2:37" s="41" customFormat="1" ht="16.149999999999999" customHeight="1">
      <c r="B51" s="12"/>
      <c r="C51" s="1"/>
      <c r="D51" s="4"/>
      <c r="E51" s="82" t="s">
        <v>35</v>
      </c>
      <c r="F51" s="13">
        <v>12.695</v>
      </c>
      <c r="G51" s="14">
        <f t="shared" si="14"/>
        <v>12695</v>
      </c>
      <c r="H51" s="49">
        <v>6</v>
      </c>
      <c r="I51" s="83" t="s">
        <v>1031</v>
      </c>
      <c r="J51" s="85" t="s">
        <v>991</v>
      </c>
      <c r="K51" s="82">
        <v>14793</v>
      </c>
      <c r="L51" s="4"/>
      <c r="M51" s="85" t="s">
        <v>1025</v>
      </c>
      <c r="N51" s="82" t="s">
        <v>1032</v>
      </c>
      <c r="O51" s="4"/>
      <c r="P51" s="4"/>
      <c r="Q51" s="5">
        <v>51540</v>
      </c>
      <c r="R51" s="36"/>
      <c r="S51" s="36"/>
      <c r="T51" s="37"/>
      <c r="U51" s="5">
        <f t="shared" si="15"/>
        <v>51540</v>
      </c>
      <c r="V51" s="5">
        <f t="shared" si="16"/>
        <v>654300.30000000005</v>
      </c>
      <c r="W51" s="5">
        <f t="shared" si="17"/>
        <v>117774.054</v>
      </c>
      <c r="X51" s="5"/>
      <c r="Y51" s="5"/>
      <c r="Z51" s="98"/>
      <c r="AA51" s="23">
        <f t="shared" si="18"/>
        <v>0</v>
      </c>
      <c r="AB51" s="97">
        <f t="shared" si="19"/>
        <v>0</v>
      </c>
      <c r="AC51" s="43"/>
      <c r="AD51" s="46"/>
      <c r="AE51" s="5">
        <f t="shared" si="20"/>
        <v>772074.35400000005</v>
      </c>
      <c r="AF51" s="114">
        <v>423</v>
      </c>
      <c r="AG51" s="114" t="s">
        <v>1392</v>
      </c>
      <c r="AH51" s="13">
        <v>12.695</v>
      </c>
      <c r="AI51" s="12"/>
      <c r="AJ51" s="40"/>
      <c r="AK51" s="40"/>
    </row>
    <row r="52" spans="2:37" s="41" customFormat="1" ht="16.149999999999999" customHeight="1">
      <c r="B52" s="12"/>
      <c r="C52" s="1"/>
      <c r="D52" s="4"/>
      <c r="E52" s="82" t="s">
        <v>35</v>
      </c>
      <c r="F52" s="13">
        <v>6.3410000000000002</v>
      </c>
      <c r="G52" s="14">
        <f t="shared" si="14"/>
        <v>6341</v>
      </c>
      <c r="H52" s="49">
        <v>3</v>
      </c>
      <c r="I52" s="83" t="s">
        <v>1034</v>
      </c>
      <c r="J52" s="85" t="s">
        <v>991</v>
      </c>
      <c r="K52" s="82">
        <v>10341</v>
      </c>
      <c r="L52" s="4"/>
      <c r="M52" s="85" t="s">
        <v>1025</v>
      </c>
      <c r="N52" s="82" t="s">
        <v>1033</v>
      </c>
      <c r="O52" s="4"/>
      <c r="P52" s="4"/>
      <c r="Q52" s="5">
        <v>51540</v>
      </c>
      <c r="R52" s="36"/>
      <c r="S52" s="36"/>
      <c r="T52" s="37"/>
      <c r="U52" s="5">
        <f t="shared" si="15"/>
        <v>51540</v>
      </c>
      <c r="V52" s="5">
        <f t="shared" si="16"/>
        <v>326815.14</v>
      </c>
      <c r="W52" s="5">
        <f t="shared" si="17"/>
        <v>58826.725200000001</v>
      </c>
      <c r="X52" s="5"/>
      <c r="Y52" s="5"/>
      <c r="Z52" s="98"/>
      <c r="AA52" s="23">
        <f t="shared" si="18"/>
        <v>0</v>
      </c>
      <c r="AB52" s="97">
        <f t="shared" si="19"/>
        <v>0</v>
      </c>
      <c r="AC52" s="43"/>
      <c r="AD52" s="46"/>
      <c r="AE52" s="5">
        <f t="shared" si="20"/>
        <v>385641.8652</v>
      </c>
      <c r="AF52" s="114">
        <v>422</v>
      </c>
      <c r="AG52" s="114" t="s">
        <v>1392</v>
      </c>
      <c r="AH52" s="13">
        <v>6.3410000000000002</v>
      </c>
      <c r="AI52" s="12"/>
      <c r="AJ52" s="40"/>
      <c r="AK52" s="40"/>
    </row>
    <row r="53" spans="2:37" s="41" customFormat="1" ht="16.149999999999999" customHeight="1">
      <c r="B53" s="12"/>
      <c r="C53" s="1"/>
      <c r="D53" s="4"/>
      <c r="E53" s="82" t="s">
        <v>35</v>
      </c>
      <c r="F53" s="13">
        <v>2.109</v>
      </c>
      <c r="G53" s="14">
        <f t="shared" si="14"/>
        <v>2109</v>
      </c>
      <c r="H53" s="49">
        <v>1</v>
      </c>
      <c r="I53" s="83" t="s">
        <v>1035</v>
      </c>
      <c r="J53" s="85" t="s">
        <v>1016</v>
      </c>
      <c r="K53" s="82">
        <v>14834</v>
      </c>
      <c r="L53" s="4"/>
      <c r="M53" s="85" t="s">
        <v>1025</v>
      </c>
      <c r="N53" s="82" t="s">
        <v>1036</v>
      </c>
      <c r="O53" s="4"/>
      <c r="P53" s="4"/>
      <c r="Q53" s="5">
        <v>51540</v>
      </c>
      <c r="R53" s="36"/>
      <c r="S53" s="36"/>
      <c r="T53" s="37"/>
      <c r="U53" s="5">
        <f t="shared" si="15"/>
        <v>51540</v>
      </c>
      <c r="V53" s="5">
        <f t="shared" si="16"/>
        <v>108697.86</v>
      </c>
      <c r="W53" s="5">
        <f t="shared" si="17"/>
        <v>19565.614799999999</v>
      </c>
      <c r="X53" s="5"/>
      <c r="Y53" s="5"/>
      <c r="Z53" s="98"/>
      <c r="AA53" s="23">
        <f t="shared" si="18"/>
        <v>0</v>
      </c>
      <c r="AB53" s="97">
        <f t="shared" si="19"/>
        <v>0</v>
      </c>
      <c r="AC53" s="43"/>
      <c r="AD53" s="46"/>
      <c r="AE53" s="5">
        <f t="shared" si="20"/>
        <v>128263.4748</v>
      </c>
      <c r="AF53" s="114">
        <v>431</v>
      </c>
      <c r="AG53" s="114" t="s">
        <v>1392</v>
      </c>
      <c r="AH53" s="13">
        <v>2.109</v>
      </c>
      <c r="AI53" s="12"/>
      <c r="AJ53" s="40"/>
      <c r="AK53" s="40"/>
    </row>
    <row r="54" spans="2:37" s="41" customFormat="1" ht="16.149999999999999" customHeight="1">
      <c r="B54" s="12"/>
      <c r="C54" s="1"/>
      <c r="D54" s="4"/>
      <c r="E54" s="82" t="s">
        <v>35</v>
      </c>
      <c r="F54" s="13">
        <v>6.3529999999999998</v>
      </c>
      <c r="G54" s="14">
        <f t="shared" si="14"/>
        <v>6353</v>
      </c>
      <c r="H54" s="49">
        <v>3</v>
      </c>
      <c r="I54" s="83" t="s">
        <v>1038</v>
      </c>
      <c r="J54" s="85" t="s">
        <v>991</v>
      </c>
      <c r="K54" s="82">
        <v>14814</v>
      </c>
      <c r="L54" s="4"/>
      <c r="M54" s="85" t="s">
        <v>1039</v>
      </c>
      <c r="N54" s="82" t="s">
        <v>1040</v>
      </c>
      <c r="O54" s="4"/>
      <c r="P54" s="4"/>
      <c r="Q54" s="5">
        <v>51540</v>
      </c>
      <c r="R54" s="36"/>
      <c r="S54" s="36"/>
      <c r="T54" s="37"/>
      <c r="U54" s="5">
        <f t="shared" si="15"/>
        <v>51540</v>
      </c>
      <c r="V54" s="5">
        <f t="shared" si="16"/>
        <v>327433.62</v>
      </c>
      <c r="W54" s="5">
        <f t="shared" si="17"/>
        <v>58938.051599999999</v>
      </c>
      <c r="X54" s="5"/>
      <c r="Y54" s="5"/>
      <c r="Z54" s="98"/>
      <c r="AA54" s="23">
        <f t="shared" si="18"/>
        <v>0</v>
      </c>
      <c r="AB54" s="97">
        <f t="shared" si="19"/>
        <v>0</v>
      </c>
      <c r="AC54" s="43"/>
      <c r="AD54" s="46"/>
      <c r="AE54" s="5">
        <f t="shared" si="20"/>
        <v>386371.6716</v>
      </c>
      <c r="AF54" s="114">
        <v>426</v>
      </c>
      <c r="AG54" s="114" t="s">
        <v>1392</v>
      </c>
      <c r="AH54" s="13">
        <v>6.3529999999999998</v>
      </c>
      <c r="AI54" s="12"/>
      <c r="AJ54" s="40"/>
      <c r="AK54" s="40"/>
    </row>
    <row r="55" spans="2:37" s="41" customFormat="1" ht="16.149999999999999" customHeight="1">
      <c r="B55" s="12"/>
      <c r="C55" s="1"/>
      <c r="D55" s="4"/>
      <c r="E55" s="82" t="s">
        <v>35</v>
      </c>
      <c r="F55" s="13">
        <v>2.117</v>
      </c>
      <c r="G55" s="14">
        <f t="shared" si="14"/>
        <v>2117</v>
      </c>
      <c r="H55" s="49">
        <v>1</v>
      </c>
      <c r="I55" s="83" t="s">
        <v>1043</v>
      </c>
      <c r="J55" s="85" t="s">
        <v>1016</v>
      </c>
      <c r="K55" s="82">
        <v>14843</v>
      </c>
      <c r="L55" s="4"/>
      <c r="M55" s="85" t="s">
        <v>1039</v>
      </c>
      <c r="N55" s="82" t="s">
        <v>1045</v>
      </c>
      <c r="O55" s="4"/>
      <c r="P55" s="4"/>
      <c r="Q55" s="5">
        <v>51540</v>
      </c>
      <c r="R55" s="36"/>
      <c r="S55" s="36"/>
      <c r="T55" s="37"/>
      <c r="U55" s="5">
        <f t="shared" si="15"/>
        <v>51540</v>
      </c>
      <c r="V55" s="5">
        <f t="shared" si="16"/>
        <v>109110.18</v>
      </c>
      <c r="W55" s="5">
        <f t="shared" si="17"/>
        <v>19639.832399999999</v>
      </c>
      <c r="X55" s="5"/>
      <c r="Y55" s="5"/>
      <c r="Z55" s="98"/>
      <c r="AA55" s="23">
        <f t="shared" si="18"/>
        <v>0</v>
      </c>
      <c r="AB55" s="97">
        <f t="shared" si="19"/>
        <v>0</v>
      </c>
      <c r="AC55" s="43"/>
      <c r="AD55" s="46"/>
      <c r="AE55" s="5">
        <f t="shared" si="20"/>
        <v>128750.01239999999</v>
      </c>
      <c r="AF55" s="114">
        <v>432</v>
      </c>
      <c r="AG55" s="114" t="s">
        <v>1392</v>
      </c>
      <c r="AH55" s="13">
        <v>2.117</v>
      </c>
      <c r="AI55" s="12"/>
      <c r="AJ55" s="40"/>
      <c r="AK55" s="40"/>
    </row>
    <row r="56" spans="2:37" s="41" customFormat="1" ht="16.149999999999999" customHeight="1">
      <c r="B56" s="12"/>
      <c r="C56" s="1"/>
      <c r="D56" s="4"/>
      <c r="E56" s="82" t="s">
        <v>35</v>
      </c>
      <c r="F56" s="13">
        <v>23.280999999999999</v>
      </c>
      <c r="G56" s="14">
        <f t="shared" si="14"/>
        <v>23281</v>
      </c>
      <c r="H56" s="49">
        <v>11</v>
      </c>
      <c r="I56" s="83" t="s">
        <v>1134</v>
      </c>
      <c r="J56" s="85" t="s">
        <v>1039</v>
      </c>
      <c r="K56" s="82">
        <v>10346</v>
      </c>
      <c r="L56" s="4"/>
      <c r="M56" s="85" t="s">
        <v>1135</v>
      </c>
      <c r="N56" s="82" t="s">
        <v>1136</v>
      </c>
      <c r="O56" s="4"/>
      <c r="P56" s="4"/>
      <c r="Q56" s="5">
        <v>51540</v>
      </c>
      <c r="R56" s="36"/>
      <c r="S56" s="36"/>
      <c r="T56" s="37"/>
      <c r="U56" s="5">
        <f t="shared" si="15"/>
        <v>51540</v>
      </c>
      <c r="V56" s="5">
        <f t="shared" si="16"/>
        <v>1199902.74</v>
      </c>
      <c r="W56" s="5">
        <f t="shared" si="17"/>
        <v>215982.4932</v>
      </c>
      <c r="X56" s="5"/>
      <c r="Y56" s="5"/>
      <c r="Z56" s="98"/>
      <c r="AA56" s="23">
        <f t="shared" si="18"/>
        <v>0</v>
      </c>
      <c r="AB56" s="97">
        <f t="shared" si="19"/>
        <v>0</v>
      </c>
      <c r="AC56" s="43"/>
      <c r="AD56" s="46"/>
      <c r="AE56" s="5">
        <f t="shared" si="20"/>
        <v>1415885.2331999999</v>
      </c>
      <c r="AF56" s="114">
        <v>444</v>
      </c>
      <c r="AG56" s="114" t="s">
        <v>1392</v>
      </c>
      <c r="AH56" s="13">
        <v>23.280999999999999</v>
      </c>
      <c r="AI56" s="12"/>
      <c r="AJ56" s="40"/>
      <c r="AK56" s="40"/>
    </row>
    <row r="57" spans="2:37" s="41" customFormat="1" ht="16.149999999999999" customHeight="1">
      <c r="B57" s="12"/>
      <c r="C57" s="1"/>
      <c r="D57" s="4"/>
      <c r="E57" s="82" t="s">
        <v>35</v>
      </c>
      <c r="F57" s="13">
        <v>27.52</v>
      </c>
      <c r="G57" s="14">
        <f t="shared" si="14"/>
        <v>27520</v>
      </c>
      <c r="H57" s="49">
        <v>13</v>
      </c>
      <c r="I57" s="83" t="s">
        <v>1139</v>
      </c>
      <c r="J57" s="85" t="s">
        <v>1025</v>
      </c>
      <c r="K57" s="82">
        <v>14872</v>
      </c>
      <c r="L57" s="4"/>
      <c r="M57" s="85" t="s">
        <v>1135</v>
      </c>
      <c r="N57" s="82" t="s">
        <v>1140</v>
      </c>
      <c r="O57" s="4"/>
      <c r="P57" s="4"/>
      <c r="Q57" s="5">
        <v>51540</v>
      </c>
      <c r="R57" s="36"/>
      <c r="S57" s="36"/>
      <c r="T57" s="37"/>
      <c r="U57" s="5">
        <f t="shared" si="15"/>
        <v>51540</v>
      </c>
      <c r="V57" s="5">
        <f t="shared" si="16"/>
        <v>1418380.8</v>
      </c>
      <c r="W57" s="5">
        <f t="shared" si="17"/>
        <v>255308.54399999999</v>
      </c>
      <c r="X57" s="5"/>
      <c r="Y57" s="5"/>
      <c r="Z57" s="98"/>
      <c r="AA57" s="23">
        <f t="shared" si="18"/>
        <v>0</v>
      </c>
      <c r="AB57" s="97">
        <f t="shared" si="19"/>
        <v>0</v>
      </c>
      <c r="AC57" s="43"/>
      <c r="AD57" s="46"/>
      <c r="AE57" s="5">
        <f t="shared" si="20"/>
        <v>1673689.344</v>
      </c>
      <c r="AF57" s="114">
        <v>440</v>
      </c>
      <c r="AG57" s="114" t="s">
        <v>1392</v>
      </c>
      <c r="AH57" s="13">
        <v>27.52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82" t="s">
        <v>35</v>
      </c>
      <c r="F58" s="13">
        <v>27.52</v>
      </c>
      <c r="G58" s="14">
        <f t="shared" si="14"/>
        <v>27520</v>
      </c>
      <c r="H58" s="49">
        <v>13</v>
      </c>
      <c r="I58" s="83" t="s">
        <v>1141</v>
      </c>
      <c r="J58" s="85" t="s">
        <v>1025</v>
      </c>
      <c r="K58" s="82">
        <v>14871</v>
      </c>
      <c r="L58" s="4"/>
      <c r="M58" s="85" t="s">
        <v>1135</v>
      </c>
      <c r="N58" s="82" t="s">
        <v>1142</v>
      </c>
      <c r="O58" s="4"/>
      <c r="P58" s="4"/>
      <c r="Q58" s="5">
        <v>51540</v>
      </c>
      <c r="R58" s="36"/>
      <c r="S58" s="36"/>
      <c r="T58" s="37"/>
      <c r="U58" s="5">
        <f t="shared" si="15"/>
        <v>51540</v>
      </c>
      <c r="V58" s="5">
        <f t="shared" si="16"/>
        <v>1418380.8</v>
      </c>
      <c r="W58" s="5">
        <f t="shared" si="17"/>
        <v>255308.54399999999</v>
      </c>
      <c r="X58" s="5"/>
      <c r="Y58" s="5"/>
      <c r="Z58" s="98"/>
      <c r="AA58" s="23">
        <f t="shared" si="18"/>
        <v>0</v>
      </c>
      <c r="AB58" s="97">
        <f t="shared" si="19"/>
        <v>0</v>
      </c>
      <c r="AC58" s="43"/>
      <c r="AD58" s="46"/>
      <c r="AE58" s="5">
        <f t="shared" si="20"/>
        <v>1673689.344</v>
      </c>
      <c r="AF58" s="114">
        <v>439</v>
      </c>
      <c r="AG58" s="114" t="s">
        <v>1392</v>
      </c>
      <c r="AH58" s="13">
        <v>27.52</v>
      </c>
      <c r="AI58" s="12"/>
      <c r="AJ58" s="40"/>
      <c r="AK58" s="40"/>
    </row>
    <row r="59" spans="2:37" s="41" customFormat="1" ht="16.149999999999999" customHeight="1">
      <c r="B59" s="12"/>
      <c r="C59" s="1"/>
      <c r="D59" s="4"/>
      <c r="E59" s="82" t="s">
        <v>35</v>
      </c>
      <c r="F59" s="13">
        <v>2.1150000000000002</v>
      </c>
      <c r="G59" s="14">
        <f t="shared" si="14"/>
        <v>2115</v>
      </c>
      <c r="H59" s="49">
        <v>1</v>
      </c>
      <c r="I59" s="83" t="s">
        <v>1146</v>
      </c>
      <c r="J59" s="85" t="s">
        <v>1025</v>
      </c>
      <c r="K59" s="82">
        <v>10124</v>
      </c>
      <c r="L59" s="4"/>
      <c r="M59" s="85" t="s">
        <v>1144</v>
      </c>
      <c r="N59" s="82" t="s">
        <v>1147</v>
      </c>
      <c r="O59" s="4"/>
      <c r="P59" s="4"/>
      <c r="Q59" s="5">
        <v>51540</v>
      </c>
      <c r="R59" s="36"/>
      <c r="S59" s="36"/>
      <c r="T59" s="37"/>
      <c r="U59" s="5">
        <f t="shared" si="15"/>
        <v>51540</v>
      </c>
      <c r="V59" s="5">
        <f t="shared" si="16"/>
        <v>109007.1</v>
      </c>
      <c r="W59" s="5">
        <f t="shared" si="17"/>
        <v>19621.278000000002</v>
      </c>
      <c r="X59" s="5"/>
      <c r="Y59" s="5"/>
      <c r="Z59" s="98"/>
      <c r="AA59" s="23">
        <f t="shared" si="18"/>
        <v>0</v>
      </c>
      <c r="AB59" s="97">
        <f t="shared" si="19"/>
        <v>0</v>
      </c>
      <c r="AC59" s="43"/>
      <c r="AD59" s="46"/>
      <c r="AE59" s="5">
        <f t="shared" si="20"/>
        <v>128628.37800000001</v>
      </c>
      <c r="AF59" s="114">
        <v>434</v>
      </c>
      <c r="AG59" s="114" t="s">
        <v>1392</v>
      </c>
      <c r="AH59" s="13">
        <v>2.1150000000000002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82" t="s">
        <v>35</v>
      </c>
      <c r="F60" s="13">
        <v>2.12</v>
      </c>
      <c r="G60" s="14">
        <f t="shared" si="14"/>
        <v>2120</v>
      </c>
      <c r="H60" s="49">
        <v>1</v>
      </c>
      <c r="I60" s="83" t="s">
        <v>1148</v>
      </c>
      <c r="J60" s="85" t="s">
        <v>1025</v>
      </c>
      <c r="K60" s="82">
        <v>10125</v>
      </c>
      <c r="L60" s="4"/>
      <c r="M60" s="85" t="s">
        <v>1144</v>
      </c>
      <c r="N60" s="82" t="s">
        <v>1149</v>
      </c>
      <c r="O60" s="4"/>
      <c r="P60" s="4"/>
      <c r="Q60" s="5">
        <v>51540</v>
      </c>
      <c r="R60" s="36"/>
      <c r="S60" s="36"/>
      <c r="T60" s="37"/>
      <c r="U60" s="5">
        <f t="shared" si="15"/>
        <v>51540</v>
      </c>
      <c r="V60" s="5">
        <f t="shared" si="16"/>
        <v>109264.8</v>
      </c>
      <c r="W60" s="5">
        <f t="shared" si="17"/>
        <v>19667.664000000001</v>
      </c>
      <c r="X60" s="5"/>
      <c r="Y60" s="5"/>
      <c r="Z60" s="98"/>
      <c r="AA60" s="23">
        <f t="shared" si="18"/>
        <v>0</v>
      </c>
      <c r="AB60" s="97">
        <f t="shared" si="19"/>
        <v>0</v>
      </c>
      <c r="AC60" s="43"/>
      <c r="AD60" s="46"/>
      <c r="AE60" s="5">
        <f t="shared" si="20"/>
        <v>128932.46400000001</v>
      </c>
      <c r="AF60" s="114">
        <v>435</v>
      </c>
      <c r="AG60" s="114" t="s">
        <v>1392</v>
      </c>
      <c r="AH60" s="13">
        <v>2.12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108" t="s">
        <v>35</v>
      </c>
      <c r="F61" s="13">
        <v>21.073</v>
      </c>
      <c r="G61" s="14">
        <f t="shared" si="14"/>
        <v>21073</v>
      </c>
      <c r="H61" s="49">
        <v>10</v>
      </c>
      <c r="I61" s="83" t="s">
        <v>1150</v>
      </c>
      <c r="J61" s="85" t="s">
        <v>1025</v>
      </c>
      <c r="K61" s="82">
        <v>10129</v>
      </c>
      <c r="L61" s="4"/>
      <c r="M61" s="85" t="s">
        <v>1144</v>
      </c>
      <c r="N61" s="82" t="s">
        <v>1151</v>
      </c>
      <c r="O61" s="4"/>
      <c r="P61" s="4"/>
      <c r="Q61" s="5">
        <v>51540</v>
      </c>
      <c r="R61" s="36"/>
      <c r="S61" s="36"/>
      <c r="T61" s="37"/>
      <c r="U61" s="5">
        <f t="shared" si="15"/>
        <v>51540</v>
      </c>
      <c r="V61" s="5">
        <f t="shared" si="16"/>
        <v>1086102.42</v>
      </c>
      <c r="W61" s="5">
        <f t="shared" si="17"/>
        <v>195498.43559999997</v>
      </c>
      <c r="X61" s="5"/>
      <c r="Y61" s="5"/>
      <c r="Z61" s="98"/>
      <c r="AA61" s="23">
        <f t="shared" si="18"/>
        <v>0</v>
      </c>
      <c r="AB61" s="97">
        <f t="shared" si="19"/>
        <v>0</v>
      </c>
      <c r="AC61" s="43"/>
      <c r="AD61" s="46"/>
      <c r="AE61" s="5">
        <f t="shared" si="20"/>
        <v>1281600.8555999999</v>
      </c>
      <c r="AF61" s="114">
        <v>442</v>
      </c>
      <c r="AG61" s="114" t="s">
        <v>1392</v>
      </c>
      <c r="AH61" s="13">
        <v>21.073</v>
      </c>
      <c r="AI61" s="12"/>
      <c r="AJ61" s="40"/>
      <c r="AK61" s="40"/>
    </row>
    <row r="62" spans="2:37" s="41" customFormat="1" ht="16.149999999999999" customHeight="1">
      <c r="B62" s="12"/>
      <c r="C62" s="1"/>
      <c r="D62" s="4"/>
      <c r="E62" s="108" t="s">
        <v>35</v>
      </c>
      <c r="F62" s="13">
        <v>21.099</v>
      </c>
      <c r="G62" s="14">
        <f t="shared" si="14"/>
        <v>21099</v>
      </c>
      <c r="H62" s="49">
        <v>10</v>
      </c>
      <c r="I62" s="83" t="s">
        <v>1152</v>
      </c>
      <c r="J62" s="85" t="s">
        <v>1025</v>
      </c>
      <c r="K62" s="82">
        <v>10128</v>
      </c>
      <c r="L62" s="4"/>
      <c r="M62" s="85" t="s">
        <v>1144</v>
      </c>
      <c r="N62" s="82" t="s">
        <v>1153</v>
      </c>
      <c r="O62" s="4"/>
      <c r="P62" s="4"/>
      <c r="Q62" s="5">
        <v>51540</v>
      </c>
      <c r="R62" s="36"/>
      <c r="S62" s="36"/>
      <c r="T62" s="37"/>
      <c r="U62" s="5">
        <f t="shared" si="15"/>
        <v>51540</v>
      </c>
      <c r="V62" s="5">
        <f t="shared" si="16"/>
        <v>1087442.46</v>
      </c>
      <c r="W62" s="5">
        <f t="shared" si="17"/>
        <v>195739.64279999997</v>
      </c>
      <c r="X62" s="5"/>
      <c r="Y62" s="5"/>
      <c r="Z62" s="98"/>
      <c r="AA62" s="23">
        <f t="shared" si="18"/>
        <v>0</v>
      </c>
      <c r="AB62" s="97">
        <f t="shared" si="19"/>
        <v>0</v>
      </c>
      <c r="AC62" s="43"/>
      <c r="AD62" s="46"/>
      <c r="AE62" s="5">
        <f t="shared" si="20"/>
        <v>1283182.1028</v>
      </c>
      <c r="AF62" s="114">
        <v>441</v>
      </c>
      <c r="AG62" s="114" t="s">
        <v>1392</v>
      </c>
      <c r="AH62" s="13">
        <v>21.099</v>
      </c>
      <c r="AI62" s="12"/>
      <c r="AJ62" s="40"/>
      <c r="AK62" s="40"/>
    </row>
    <row r="63" spans="2:37" s="41" customFormat="1" ht="16.149999999999999" customHeight="1">
      <c r="B63" s="12"/>
      <c r="C63" s="1"/>
      <c r="D63" s="4"/>
      <c r="E63" s="82" t="s">
        <v>35</v>
      </c>
      <c r="F63" s="13">
        <v>2.1110000000000002</v>
      </c>
      <c r="G63" s="14">
        <f t="shared" si="14"/>
        <v>2111</v>
      </c>
      <c r="H63" s="49">
        <v>1</v>
      </c>
      <c r="I63" s="83" t="s">
        <v>1162</v>
      </c>
      <c r="J63" s="85" t="s">
        <v>1025</v>
      </c>
      <c r="K63" s="82">
        <v>10127</v>
      </c>
      <c r="L63" s="4"/>
      <c r="M63" s="85" t="s">
        <v>1155</v>
      </c>
      <c r="N63" s="82" t="s">
        <v>1163</v>
      </c>
      <c r="O63" s="4"/>
      <c r="P63" s="4"/>
      <c r="Q63" s="5">
        <v>51540</v>
      </c>
      <c r="R63" s="36"/>
      <c r="S63" s="36"/>
      <c r="T63" s="37"/>
      <c r="U63" s="5">
        <f t="shared" si="15"/>
        <v>51540</v>
      </c>
      <c r="V63" s="5">
        <f t="shared" si="16"/>
        <v>108800.94000000002</v>
      </c>
      <c r="W63" s="5">
        <f t="shared" si="17"/>
        <v>19584.169200000004</v>
      </c>
      <c r="X63" s="5"/>
      <c r="Y63" s="5"/>
      <c r="Z63" s="98"/>
      <c r="AA63" s="23">
        <f t="shared" si="18"/>
        <v>0</v>
      </c>
      <c r="AB63" s="97">
        <f t="shared" si="19"/>
        <v>0</v>
      </c>
      <c r="AC63" s="43"/>
      <c r="AD63" s="46"/>
      <c r="AE63" s="5">
        <f t="shared" si="20"/>
        <v>128385.10920000002</v>
      </c>
      <c r="AF63" s="114">
        <v>438</v>
      </c>
      <c r="AG63" s="114" t="s">
        <v>1392</v>
      </c>
      <c r="AH63" s="13">
        <v>2.1110000000000002</v>
      </c>
      <c r="AI63" s="12"/>
      <c r="AJ63" s="40"/>
      <c r="AK63" s="40"/>
    </row>
    <row r="64" spans="2:37" s="41" customFormat="1" ht="16.149999999999999" customHeight="1">
      <c r="B64" s="12"/>
      <c r="C64" s="1"/>
      <c r="D64" s="4"/>
      <c r="E64" s="82" t="s">
        <v>35</v>
      </c>
      <c r="F64" s="13">
        <v>2.1120000000000001</v>
      </c>
      <c r="G64" s="14">
        <f t="shared" si="14"/>
        <v>2112</v>
      </c>
      <c r="H64" s="49">
        <v>1</v>
      </c>
      <c r="I64" s="83" t="s">
        <v>1164</v>
      </c>
      <c r="J64" s="85" t="s">
        <v>1025</v>
      </c>
      <c r="K64" s="82">
        <v>14865</v>
      </c>
      <c r="L64" s="4"/>
      <c r="M64" s="85" t="s">
        <v>1155</v>
      </c>
      <c r="N64" s="82" t="s">
        <v>1165</v>
      </c>
      <c r="O64" s="4"/>
      <c r="P64" s="4"/>
      <c r="Q64" s="5">
        <v>51540</v>
      </c>
      <c r="R64" s="36"/>
      <c r="S64" s="36"/>
      <c r="T64" s="37"/>
      <c r="U64" s="5">
        <f t="shared" si="15"/>
        <v>51540</v>
      </c>
      <c r="V64" s="5">
        <f t="shared" si="16"/>
        <v>108852.48000000001</v>
      </c>
      <c r="W64" s="5">
        <f t="shared" si="17"/>
        <v>19593.446400000001</v>
      </c>
      <c r="X64" s="5"/>
      <c r="Y64" s="5"/>
      <c r="Z64" s="98"/>
      <c r="AA64" s="23">
        <f t="shared" si="18"/>
        <v>0</v>
      </c>
      <c r="AB64" s="97">
        <f t="shared" si="19"/>
        <v>0</v>
      </c>
      <c r="AC64" s="43"/>
      <c r="AD64" s="46"/>
      <c r="AE64" s="5">
        <f t="shared" si="20"/>
        <v>128445.92640000001</v>
      </c>
      <c r="AF64" s="114">
        <v>433</v>
      </c>
      <c r="AG64" s="114" t="s">
        <v>1392</v>
      </c>
      <c r="AH64" s="13">
        <v>2.1120000000000001</v>
      </c>
      <c r="AI64" s="12"/>
      <c r="AJ64" s="40"/>
      <c r="AK64" s="40"/>
    </row>
    <row r="65" spans="2:37" s="41" customFormat="1" ht="16.149999999999999" customHeight="1">
      <c r="B65" s="12"/>
      <c r="C65" s="1"/>
      <c r="D65" s="4"/>
      <c r="E65" s="82" t="s">
        <v>35</v>
      </c>
      <c r="F65" s="13">
        <v>23.161000000000001</v>
      </c>
      <c r="G65" s="14">
        <f t="shared" si="14"/>
        <v>23161</v>
      </c>
      <c r="H65" s="49">
        <v>11</v>
      </c>
      <c r="I65" s="83" t="s">
        <v>1166</v>
      </c>
      <c r="J65" s="85" t="s">
        <v>1039</v>
      </c>
      <c r="K65" s="82">
        <v>10347</v>
      </c>
      <c r="L65" s="4"/>
      <c r="M65" s="85" t="s">
        <v>1155</v>
      </c>
      <c r="N65" s="82" t="s">
        <v>1167</v>
      </c>
      <c r="O65" s="4"/>
      <c r="P65" s="4"/>
      <c r="Q65" s="5">
        <v>51540</v>
      </c>
      <c r="R65" s="36"/>
      <c r="S65" s="36"/>
      <c r="T65" s="37"/>
      <c r="U65" s="5">
        <f t="shared" si="15"/>
        <v>51540</v>
      </c>
      <c r="V65" s="5">
        <f t="shared" si="16"/>
        <v>1193717.9400000002</v>
      </c>
      <c r="W65" s="5">
        <f t="shared" si="17"/>
        <v>214869.22920000003</v>
      </c>
      <c r="X65" s="5"/>
      <c r="Y65" s="5"/>
      <c r="Z65" s="98"/>
      <c r="AA65" s="23">
        <f t="shared" si="18"/>
        <v>0</v>
      </c>
      <c r="AB65" s="97">
        <f t="shared" si="19"/>
        <v>0</v>
      </c>
      <c r="AC65" s="43"/>
      <c r="AD65" s="46"/>
      <c r="AE65" s="5">
        <f t="shared" si="20"/>
        <v>1408587.1692000001</v>
      </c>
      <c r="AF65" s="114">
        <v>446</v>
      </c>
      <c r="AG65" s="114" t="s">
        <v>1392</v>
      </c>
      <c r="AH65" s="13">
        <v>23.161000000000001</v>
      </c>
      <c r="AI65" s="12"/>
      <c r="AJ65" s="40"/>
      <c r="AK65" s="40"/>
    </row>
    <row r="66" spans="2:37" s="41" customFormat="1" ht="16.149999999999999" customHeight="1">
      <c r="B66" s="12"/>
      <c r="C66" s="1"/>
      <c r="D66" s="4"/>
      <c r="E66" s="82" t="s">
        <v>35</v>
      </c>
      <c r="F66" s="13">
        <v>40.06</v>
      </c>
      <c r="G66" s="14">
        <f t="shared" si="14"/>
        <v>40060</v>
      </c>
      <c r="H66" s="49">
        <v>19</v>
      </c>
      <c r="I66" s="83" t="s">
        <v>1175</v>
      </c>
      <c r="J66" s="85" t="s">
        <v>1135</v>
      </c>
      <c r="K66" s="82">
        <v>11771</v>
      </c>
      <c r="L66" s="4"/>
      <c r="M66" s="85" t="s">
        <v>1155</v>
      </c>
      <c r="N66" s="82" t="s">
        <v>1176</v>
      </c>
      <c r="O66" s="4"/>
      <c r="P66" s="4"/>
      <c r="Q66" s="5">
        <v>51540</v>
      </c>
      <c r="R66" s="36"/>
      <c r="S66" s="36"/>
      <c r="T66" s="37"/>
      <c r="U66" s="5">
        <f t="shared" si="15"/>
        <v>51540</v>
      </c>
      <c r="V66" s="5">
        <f t="shared" si="16"/>
        <v>2064692.4000000001</v>
      </c>
      <c r="W66" s="5">
        <f t="shared" si="17"/>
        <v>371644.63199999998</v>
      </c>
      <c r="X66" s="5"/>
      <c r="Y66" s="5"/>
      <c r="Z66" s="98"/>
      <c r="AA66" s="23">
        <f t="shared" si="18"/>
        <v>0</v>
      </c>
      <c r="AB66" s="97">
        <f t="shared" si="19"/>
        <v>0</v>
      </c>
      <c r="AC66" s="43"/>
      <c r="AD66" s="46"/>
      <c r="AE66" s="5">
        <f t="shared" si="20"/>
        <v>2436337.0320000001</v>
      </c>
      <c r="AF66" s="114">
        <v>449</v>
      </c>
      <c r="AG66" s="114" t="s">
        <v>1392</v>
      </c>
      <c r="AH66" s="13">
        <v>40.06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82" t="s">
        <v>35</v>
      </c>
      <c r="F67" s="103">
        <v>40.04</v>
      </c>
      <c r="G67" s="14">
        <f t="shared" si="14"/>
        <v>40040</v>
      </c>
      <c r="H67" s="49">
        <v>19</v>
      </c>
      <c r="I67" s="83" t="s">
        <v>1288</v>
      </c>
      <c r="J67" s="85" t="s">
        <v>1144</v>
      </c>
      <c r="K67" s="82">
        <v>13309</v>
      </c>
      <c r="L67" s="4"/>
      <c r="M67" s="85" t="s">
        <v>1273</v>
      </c>
      <c r="N67" s="82" t="s">
        <v>1289</v>
      </c>
      <c r="O67" s="4"/>
      <c r="P67" s="4"/>
      <c r="Q67" s="5">
        <v>51540</v>
      </c>
      <c r="R67" s="36"/>
      <c r="S67" s="36"/>
      <c r="T67" s="37"/>
      <c r="U67" s="5">
        <f t="shared" si="15"/>
        <v>51540</v>
      </c>
      <c r="V67" s="5">
        <f t="shared" si="16"/>
        <v>2063661.5999999999</v>
      </c>
      <c r="W67" s="5">
        <f t="shared" si="17"/>
        <v>371459.08799999999</v>
      </c>
      <c r="X67" s="5"/>
      <c r="Y67" s="5"/>
      <c r="Z67" s="98"/>
      <c r="AA67" s="23">
        <f t="shared" si="18"/>
        <v>0</v>
      </c>
      <c r="AB67" s="97">
        <f t="shared" si="19"/>
        <v>0</v>
      </c>
      <c r="AC67" s="43"/>
      <c r="AD67" s="46"/>
      <c r="AE67" s="5">
        <f t="shared" si="20"/>
        <v>2435120.6880000001</v>
      </c>
      <c r="AF67" s="114">
        <v>453</v>
      </c>
      <c r="AG67" s="114" t="s">
        <v>1392</v>
      </c>
      <c r="AH67" s="103">
        <v>40.04</v>
      </c>
      <c r="AI67" s="12"/>
      <c r="AJ67" s="40"/>
      <c r="AK67" s="40"/>
    </row>
    <row r="68" spans="2:37" s="41" customFormat="1" ht="16.149999999999999" customHeight="1">
      <c r="B68" s="12"/>
      <c r="C68" s="1"/>
      <c r="D68" s="4"/>
      <c r="E68" s="82" t="s">
        <v>35</v>
      </c>
      <c r="F68" s="103">
        <v>2.3180000000000001</v>
      </c>
      <c r="G68" s="14">
        <f t="shared" si="14"/>
        <v>2318</v>
      </c>
      <c r="H68" s="49">
        <v>1</v>
      </c>
      <c r="I68" s="83" t="s">
        <v>1290</v>
      </c>
      <c r="J68" s="85" t="s">
        <v>1144</v>
      </c>
      <c r="K68" s="82">
        <v>10352</v>
      </c>
      <c r="L68" s="4"/>
      <c r="M68" s="85" t="s">
        <v>1273</v>
      </c>
      <c r="N68" s="82" t="s">
        <v>1291</v>
      </c>
      <c r="O68" s="4"/>
      <c r="P68" s="4"/>
      <c r="Q68" s="5">
        <v>51540</v>
      </c>
      <c r="R68" s="36"/>
      <c r="S68" s="36"/>
      <c r="T68" s="37"/>
      <c r="U68" s="5">
        <f t="shared" si="15"/>
        <v>51540</v>
      </c>
      <c r="V68" s="5">
        <f t="shared" si="16"/>
        <v>119469.72</v>
      </c>
      <c r="W68" s="5">
        <f t="shared" si="17"/>
        <v>21504.549599999998</v>
      </c>
      <c r="X68" s="5"/>
      <c r="Y68" s="5"/>
      <c r="Z68" s="98"/>
      <c r="AA68" s="23">
        <f t="shared" si="18"/>
        <v>0</v>
      </c>
      <c r="AB68" s="97">
        <f t="shared" si="19"/>
        <v>0</v>
      </c>
      <c r="AC68" s="43"/>
      <c r="AD68" s="46"/>
      <c r="AE68" s="5">
        <f t="shared" si="20"/>
        <v>140974.2696</v>
      </c>
      <c r="AF68" s="114">
        <v>455</v>
      </c>
      <c r="AG68" s="114" t="s">
        <v>1392</v>
      </c>
      <c r="AH68" s="103">
        <v>2.3180000000000001</v>
      </c>
      <c r="AI68" s="12"/>
      <c r="AJ68" s="40"/>
      <c r="AK68" s="40"/>
    </row>
    <row r="69" spans="2:37" s="41" customFormat="1" ht="16.149999999999999" customHeight="1">
      <c r="B69" s="12"/>
      <c r="C69" s="1"/>
      <c r="D69" s="4"/>
      <c r="E69" s="82" t="s">
        <v>35</v>
      </c>
      <c r="F69" s="103">
        <v>42.02</v>
      </c>
      <c r="G69" s="14">
        <f t="shared" si="14"/>
        <v>42020</v>
      </c>
      <c r="H69" s="49">
        <v>20</v>
      </c>
      <c r="I69" s="83" t="s">
        <v>1293</v>
      </c>
      <c r="J69" s="85" t="s">
        <v>1155</v>
      </c>
      <c r="K69" s="82">
        <v>10353</v>
      </c>
      <c r="L69" s="4"/>
      <c r="M69" s="85" t="s">
        <v>1273</v>
      </c>
      <c r="N69" s="82" t="s">
        <v>796</v>
      </c>
      <c r="O69" s="4"/>
      <c r="P69" s="4"/>
      <c r="Q69" s="5">
        <v>51540</v>
      </c>
      <c r="R69" s="36"/>
      <c r="S69" s="36"/>
      <c r="T69" s="37"/>
      <c r="U69" s="5">
        <f t="shared" si="15"/>
        <v>51540</v>
      </c>
      <c r="V69" s="5">
        <f t="shared" si="16"/>
        <v>2165710.8000000003</v>
      </c>
      <c r="W69" s="5">
        <f t="shared" si="17"/>
        <v>389827.94400000002</v>
      </c>
      <c r="X69" s="5"/>
      <c r="Y69" s="5"/>
      <c r="Z69" s="98"/>
      <c r="AA69" s="23">
        <f t="shared" si="18"/>
        <v>0</v>
      </c>
      <c r="AB69" s="97">
        <f t="shared" si="19"/>
        <v>0</v>
      </c>
      <c r="AC69" s="43"/>
      <c r="AD69" s="46"/>
      <c r="AE69" s="5">
        <f t="shared" si="20"/>
        <v>2555538.7440000004</v>
      </c>
      <c r="AF69" s="114">
        <v>457</v>
      </c>
      <c r="AG69" s="114" t="s">
        <v>1392</v>
      </c>
      <c r="AH69" s="103">
        <v>42.02</v>
      </c>
      <c r="AI69" s="12"/>
      <c r="AJ69" s="40"/>
      <c r="AK69" s="40"/>
    </row>
    <row r="70" spans="2:37" s="41" customFormat="1" ht="16.149999999999999" customHeight="1">
      <c r="B70" s="12"/>
      <c r="C70" s="1"/>
      <c r="D70" s="4"/>
      <c r="E70" s="82" t="s">
        <v>35</v>
      </c>
      <c r="F70" s="103">
        <v>21.16</v>
      </c>
      <c r="G70" s="14">
        <f t="shared" si="14"/>
        <v>21160</v>
      </c>
      <c r="H70" s="49">
        <v>10</v>
      </c>
      <c r="I70" s="83" t="s">
        <v>1294</v>
      </c>
      <c r="J70" s="85" t="s">
        <v>1144</v>
      </c>
      <c r="K70" s="82">
        <v>13312</v>
      </c>
      <c r="L70" s="4"/>
      <c r="M70" s="85" t="s">
        <v>1273</v>
      </c>
      <c r="N70" s="82" t="s">
        <v>1295</v>
      </c>
      <c r="O70" s="4"/>
      <c r="P70" s="4"/>
      <c r="Q70" s="5">
        <v>51540</v>
      </c>
      <c r="R70" s="36"/>
      <c r="S70" s="36"/>
      <c r="T70" s="37"/>
      <c r="U70" s="5">
        <f t="shared" si="15"/>
        <v>51540</v>
      </c>
      <c r="V70" s="5">
        <f t="shared" si="16"/>
        <v>1090586.3999999999</v>
      </c>
      <c r="W70" s="5">
        <f t="shared" si="17"/>
        <v>196305.55199999997</v>
      </c>
      <c r="X70" s="5"/>
      <c r="Y70" s="5"/>
      <c r="Z70" s="98"/>
      <c r="AA70" s="23">
        <f t="shared" si="18"/>
        <v>0</v>
      </c>
      <c r="AB70" s="97">
        <f t="shared" si="19"/>
        <v>0</v>
      </c>
      <c r="AC70" s="43"/>
      <c r="AD70" s="46"/>
      <c r="AE70" s="5">
        <f t="shared" si="20"/>
        <v>1286891.9519999998</v>
      </c>
      <c r="AF70" s="114">
        <v>456</v>
      </c>
      <c r="AG70" s="114" t="s">
        <v>1392</v>
      </c>
      <c r="AH70" s="103">
        <v>21.16</v>
      </c>
      <c r="AI70" s="12"/>
      <c r="AJ70" s="40"/>
      <c r="AK70" s="40"/>
    </row>
    <row r="71" spans="2:37" s="41" customFormat="1" ht="16.149999999999999" customHeight="1">
      <c r="B71" s="12"/>
      <c r="C71" s="1"/>
      <c r="D71" s="4"/>
      <c r="E71" s="82" t="s">
        <v>35</v>
      </c>
      <c r="F71" s="103">
        <v>39.979999999999997</v>
      </c>
      <c r="G71" s="14">
        <f t="shared" si="14"/>
        <v>39980</v>
      </c>
      <c r="H71" s="49">
        <v>19</v>
      </c>
      <c r="I71" s="83" t="s">
        <v>1296</v>
      </c>
      <c r="J71" s="85" t="s">
        <v>1144</v>
      </c>
      <c r="K71" s="82">
        <v>14969</v>
      </c>
      <c r="L71" s="4"/>
      <c r="M71" s="85" t="s">
        <v>1297</v>
      </c>
      <c r="N71" s="82" t="s">
        <v>1298</v>
      </c>
      <c r="O71" s="4"/>
      <c r="P71" s="4"/>
      <c r="Q71" s="5">
        <v>51540</v>
      </c>
      <c r="R71" s="36"/>
      <c r="S71" s="36"/>
      <c r="T71" s="37"/>
      <c r="U71" s="5">
        <f t="shared" si="15"/>
        <v>51540</v>
      </c>
      <c r="V71" s="5">
        <f t="shared" si="16"/>
        <v>2060569.2</v>
      </c>
      <c r="W71" s="5">
        <f t="shared" si="17"/>
        <v>370902.45600000001</v>
      </c>
      <c r="X71" s="5"/>
      <c r="Y71" s="5"/>
      <c r="Z71" s="98"/>
      <c r="AA71" s="23">
        <f t="shared" si="18"/>
        <v>0</v>
      </c>
      <c r="AB71" s="97">
        <f t="shared" si="19"/>
        <v>0</v>
      </c>
      <c r="AC71" s="43"/>
      <c r="AD71" s="46"/>
      <c r="AE71" s="5">
        <f t="shared" si="20"/>
        <v>2431471.656</v>
      </c>
      <c r="AF71" s="114">
        <v>452</v>
      </c>
      <c r="AG71" s="114" t="s">
        <v>1392</v>
      </c>
      <c r="AH71" s="103">
        <v>39.979999999999997</v>
      </c>
      <c r="AI71" s="12"/>
      <c r="AJ71" s="40"/>
      <c r="AK71" s="40"/>
    </row>
    <row r="72" spans="2:37" s="41" customFormat="1" ht="16.149999999999999" customHeight="1">
      <c r="B72" s="12"/>
      <c r="C72" s="1"/>
      <c r="D72" s="4"/>
      <c r="E72" s="82" t="s">
        <v>35</v>
      </c>
      <c r="F72" s="103">
        <v>40.020000000000003</v>
      </c>
      <c r="G72" s="14">
        <f t="shared" si="14"/>
        <v>40020</v>
      </c>
      <c r="H72" s="49">
        <v>19</v>
      </c>
      <c r="I72" s="83" t="s">
        <v>1299</v>
      </c>
      <c r="J72" s="85" t="s">
        <v>1144</v>
      </c>
      <c r="K72" s="82">
        <v>14968</v>
      </c>
      <c r="L72" s="4"/>
      <c r="M72" s="85" t="s">
        <v>1297</v>
      </c>
      <c r="N72" s="82" t="s">
        <v>1300</v>
      </c>
      <c r="O72" s="4"/>
      <c r="P72" s="4"/>
      <c r="Q72" s="5">
        <v>51540</v>
      </c>
      <c r="R72" s="36"/>
      <c r="S72" s="36"/>
      <c r="T72" s="37"/>
      <c r="U72" s="5">
        <f t="shared" si="15"/>
        <v>51540</v>
      </c>
      <c r="V72" s="5">
        <f t="shared" si="16"/>
        <v>2062630.8</v>
      </c>
      <c r="W72" s="5">
        <f t="shared" si="17"/>
        <v>371273.54399999999</v>
      </c>
      <c r="X72" s="5"/>
      <c r="Y72" s="5"/>
      <c r="Z72" s="98"/>
      <c r="AA72" s="23">
        <f t="shared" si="18"/>
        <v>0</v>
      </c>
      <c r="AB72" s="97">
        <f t="shared" si="19"/>
        <v>0</v>
      </c>
      <c r="AC72" s="43"/>
      <c r="AD72" s="46"/>
      <c r="AE72" s="5">
        <f t="shared" si="20"/>
        <v>2433904.344</v>
      </c>
      <c r="AF72" s="114">
        <v>451</v>
      </c>
      <c r="AG72" s="114" t="s">
        <v>1392</v>
      </c>
      <c r="AH72" s="103">
        <v>40.020000000000003</v>
      </c>
      <c r="AI72" s="12"/>
      <c r="AJ72" s="40"/>
      <c r="AK72" s="40"/>
    </row>
    <row r="73" spans="2:37" s="41" customFormat="1" ht="16.149999999999999" customHeight="1">
      <c r="B73" s="12"/>
      <c r="C73" s="1"/>
      <c r="D73" s="4"/>
      <c r="E73" s="82" t="s">
        <v>35</v>
      </c>
      <c r="F73" s="103">
        <v>27.64</v>
      </c>
      <c r="G73" s="14">
        <f t="shared" si="14"/>
        <v>27640</v>
      </c>
      <c r="H73" s="49">
        <v>13</v>
      </c>
      <c r="I73" s="83" t="s">
        <v>1315</v>
      </c>
      <c r="J73" s="85" t="s">
        <v>1155</v>
      </c>
      <c r="K73" s="82">
        <v>10355</v>
      </c>
      <c r="L73" s="4"/>
      <c r="M73" s="85" t="s">
        <v>1303</v>
      </c>
      <c r="N73" s="108" t="s">
        <v>1344</v>
      </c>
      <c r="O73" s="4"/>
      <c r="P73" s="4"/>
      <c r="Q73" s="5">
        <v>51540</v>
      </c>
      <c r="R73" s="36"/>
      <c r="S73" s="36"/>
      <c r="T73" s="37"/>
      <c r="U73" s="5">
        <f t="shared" si="15"/>
        <v>51540</v>
      </c>
      <c r="V73" s="5">
        <f t="shared" si="16"/>
        <v>1424565.6</v>
      </c>
      <c r="W73" s="5">
        <f t="shared" si="17"/>
        <v>256421.80800000002</v>
      </c>
      <c r="X73" s="5"/>
      <c r="Y73" s="5"/>
      <c r="Z73" s="98"/>
      <c r="AA73" s="23">
        <f t="shared" si="18"/>
        <v>0</v>
      </c>
      <c r="AB73" s="97">
        <f t="shared" si="19"/>
        <v>0</v>
      </c>
      <c r="AC73" s="43"/>
      <c r="AD73" s="46"/>
      <c r="AE73" s="5">
        <f t="shared" si="20"/>
        <v>1680987.4080000001</v>
      </c>
      <c r="AF73" s="114">
        <v>459</v>
      </c>
      <c r="AG73" s="114" t="s">
        <v>1392</v>
      </c>
      <c r="AH73" s="103">
        <v>27.64</v>
      </c>
      <c r="AI73" s="12"/>
      <c r="AJ73" s="40"/>
      <c r="AK73" s="40"/>
    </row>
    <row r="74" spans="2:37" s="41" customFormat="1" ht="16.149999999999999" customHeight="1">
      <c r="B74" s="12"/>
      <c r="C74" s="1"/>
      <c r="D74" s="4"/>
      <c r="E74" s="82" t="s">
        <v>35</v>
      </c>
      <c r="F74" s="103">
        <v>2.1160000000000001</v>
      </c>
      <c r="G74" s="14">
        <f t="shared" si="14"/>
        <v>2116</v>
      </c>
      <c r="H74" s="49">
        <v>1</v>
      </c>
      <c r="I74" s="83" t="s">
        <v>1342</v>
      </c>
      <c r="J74" s="85" t="s">
        <v>1155</v>
      </c>
      <c r="K74" s="82">
        <v>15009</v>
      </c>
      <c r="L74" s="4"/>
      <c r="M74" s="85" t="s">
        <v>1332</v>
      </c>
      <c r="N74" s="82" t="s">
        <v>1343</v>
      </c>
      <c r="O74" s="4"/>
      <c r="P74" s="4"/>
      <c r="Q74" s="5">
        <v>51540</v>
      </c>
      <c r="R74" s="36"/>
      <c r="S74" s="36"/>
      <c r="T74" s="37"/>
      <c r="U74" s="5">
        <f t="shared" si="15"/>
        <v>51540</v>
      </c>
      <c r="V74" s="5">
        <f t="shared" si="16"/>
        <v>109058.64</v>
      </c>
      <c r="W74" s="5">
        <f t="shared" si="17"/>
        <v>19630.555199999999</v>
      </c>
      <c r="X74" s="5"/>
      <c r="Y74" s="5"/>
      <c r="Z74" s="98"/>
      <c r="AA74" s="23">
        <f t="shared" si="18"/>
        <v>0</v>
      </c>
      <c r="AB74" s="97">
        <f t="shared" si="19"/>
        <v>0</v>
      </c>
      <c r="AC74" s="43"/>
      <c r="AD74" s="46"/>
      <c r="AE74" s="5">
        <f t="shared" si="20"/>
        <v>128689.1952</v>
      </c>
      <c r="AF74" s="114">
        <v>458</v>
      </c>
      <c r="AG74" s="114" t="s">
        <v>1392</v>
      </c>
      <c r="AH74" s="103">
        <v>2.1160000000000001</v>
      </c>
      <c r="AI74" s="12"/>
      <c r="AJ74" s="40"/>
      <c r="AK74" s="40"/>
    </row>
    <row r="75" spans="2:37" s="41" customFormat="1" ht="16.149999999999999" customHeight="1">
      <c r="B75" s="12"/>
      <c r="C75" s="1"/>
      <c r="D75" s="4"/>
      <c r="E75" s="82" t="s">
        <v>35</v>
      </c>
      <c r="F75" s="103">
        <v>13.084</v>
      </c>
      <c r="G75" s="14">
        <f t="shared" si="14"/>
        <v>13084</v>
      </c>
      <c r="H75" s="49">
        <v>8</v>
      </c>
      <c r="I75" s="83" t="s">
        <v>1348</v>
      </c>
      <c r="J75" s="85" t="s">
        <v>1303</v>
      </c>
      <c r="K75" s="82">
        <v>13397</v>
      </c>
      <c r="L75" s="4"/>
      <c r="M75" s="85" t="s">
        <v>1332</v>
      </c>
      <c r="N75" s="82" t="s">
        <v>1347</v>
      </c>
      <c r="O75" s="4"/>
      <c r="P75" s="4"/>
      <c r="Q75" s="5">
        <v>51540</v>
      </c>
      <c r="R75" s="36"/>
      <c r="S75" s="36"/>
      <c r="T75" s="37"/>
      <c r="U75" s="5">
        <f t="shared" si="15"/>
        <v>51540</v>
      </c>
      <c r="V75" s="5">
        <f t="shared" si="16"/>
        <v>674349.36</v>
      </c>
      <c r="W75" s="5">
        <f t="shared" si="17"/>
        <v>121382.8848</v>
      </c>
      <c r="X75" s="5"/>
      <c r="Y75" s="5"/>
      <c r="Z75" s="98"/>
      <c r="AA75" s="23">
        <f t="shared" si="18"/>
        <v>0</v>
      </c>
      <c r="AB75" s="97">
        <f t="shared" si="19"/>
        <v>0</v>
      </c>
      <c r="AC75" s="43"/>
      <c r="AD75" s="46"/>
      <c r="AE75" s="5">
        <f t="shared" si="20"/>
        <v>795732.24479999999</v>
      </c>
      <c r="AF75" s="114">
        <v>461</v>
      </c>
      <c r="AG75" s="114" t="s">
        <v>1392</v>
      </c>
      <c r="AH75" s="103">
        <v>13.084</v>
      </c>
      <c r="AI75" s="12"/>
      <c r="AJ75" s="40"/>
      <c r="AK75" s="40"/>
    </row>
    <row r="76" spans="2:37" s="41" customFormat="1">
      <c r="B76" s="92"/>
      <c r="C76" s="48"/>
      <c r="D76" s="6"/>
      <c r="E76" s="6"/>
      <c r="F76" s="81">
        <f>SUM(F30:F75)</f>
        <v>1131.0689999999997</v>
      </c>
      <c r="G76" s="20">
        <f>SUM(G30:G75)</f>
        <v>1131069</v>
      </c>
      <c r="H76" s="21">
        <f>SUM(H30:H75)</f>
        <v>537</v>
      </c>
      <c r="I76" s="2"/>
      <c r="J76" s="7"/>
      <c r="K76" s="7"/>
      <c r="L76" s="7"/>
      <c r="M76" s="2"/>
      <c r="N76" s="6"/>
      <c r="O76" s="6"/>
      <c r="P76" s="6"/>
      <c r="Q76" s="19"/>
      <c r="R76" s="9"/>
      <c r="S76" s="9"/>
      <c r="T76" s="10"/>
      <c r="U76" s="8"/>
      <c r="V76" s="21">
        <f>SUM(V30:V75)</f>
        <v>58295296.259999983</v>
      </c>
      <c r="W76" s="21">
        <f>SUM(W30:W75)</f>
        <v>10493153.326799996</v>
      </c>
      <c r="X76" s="21">
        <f>SUM(X30:X75)</f>
        <v>0</v>
      </c>
      <c r="Y76" s="21">
        <f>SUM(Y30:Y75)</f>
        <v>0</v>
      </c>
      <c r="Z76" s="99"/>
      <c r="AA76" s="21">
        <f>SUM(AA30:AA75)</f>
        <v>0</v>
      </c>
      <c r="AB76" s="21">
        <f>SUM(AB30:AB75)</f>
        <v>0</v>
      </c>
      <c r="AC76" s="21"/>
      <c r="AD76" s="21">
        <f>SUM(AD30:AD75)</f>
        <v>0</v>
      </c>
      <c r="AE76" s="21">
        <f>SUM(AE30:AE75)</f>
        <v>68788449.586799979</v>
      </c>
      <c r="AF76" s="21"/>
      <c r="AG76" s="42"/>
      <c r="AH76" s="81">
        <f>SUM(AH30:AH75)</f>
        <v>1131.0689999999997</v>
      </c>
      <c r="AI76" s="26">
        <f>AH76-F76</f>
        <v>0</v>
      </c>
      <c r="AJ76" s="41">
        <f>AA76/F76</f>
        <v>0</v>
      </c>
      <c r="AK76" s="40"/>
    </row>
    <row r="77" spans="2:37" s="41" customFormat="1" ht="16.149999999999999" customHeight="1">
      <c r="B77" s="104" t="s">
        <v>702</v>
      </c>
      <c r="C77" s="86" t="s">
        <v>919</v>
      </c>
      <c r="D77" s="4"/>
      <c r="E77" s="82" t="s">
        <v>700</v>
      </c>
      <c r="F77" s="13">
        <v>37.051000000000002</v>
      </c>
      <c r="G77" s="14">
        <f t="shared" ref="G77:G93" si="21">+F77*1000</f>
        <v>37051</v>
      </c>
      <c r="H77" s="49">
        <v>10</v>
      </c>
      <c r="I77" s="83" t="s">
        <v>1035</v>
      </c>
      <c r="J77" s="85" t="s">
        <v>1016</v>
      </c>
      <c r="K77" s="82">
        <v>14834</v>
      </c>
      <c r="L77" s="4"/>
      <c r="M77" s="85" t="s">
        <v>1025</v>
      </c>
      <c r="N77" s="82" t="s">
        <v>1036</v>
      </c>
      <c r="O77" s="4"/>
      <c r="P77" s="4"/>
      <c r="Q77" s="5">
        <v>53120</v>
      </c>
      <c r="R77" s="36"/>
      <c r="S77" s="36"/>
      <c r="T77" s="37"/>
      <c r="U77" s="5">
        <f t="shared" ref="U77:U93" si="22">S77+R77+Q77-T77</f>
        <v>53120</v>
      </c>
      <c r="V77" s="5">
        <f t="shared" ref="V77:V93" si="23">F77*U77</f>
        <v>1968149.12</v>
      </c>
      <c r="W77" s="5">
        <f t="shared" ref="W77:W93" si="24">V77*18%</f>
        <v>354266.84159999999</v>
      </c>
      <c r="X77" s="5"/>
      <c r="Y77" s="5"/>
      <c r="Z77" s="98"/>
      <c r="AA77" s="23">
        <f t="shared" ref="AA77:AA93" si="25">F77*Z77</f>
        <v>0</v>
      </c>
      <c r="AB77" s="97">
        <f t="shared" ref="AB77:AB93" si="26">AA77*18%</f>
        <v>0</v>
      </c>
      <c r="AC77" s="43"/>
      <c r="AD77" s="46"/>
      <c r="AE77" s="5">
        <f t="shared" ref="AE77:AE93" si="27">+AB77+AA77+Y77+X77+W77+V77-AC77+AD77</f>
        <v>2322415.9616</v>
      </c>
      <c r="AF77" s="114">
        <v>431</v>
      </c>
      <c r="AG77" s="114" t="s">
        <v>1392</v>
      </c>
      <c r="AH77" s="13">
        <v>37.051000000000002</v>
      </c>
      <c r="AI77" s="12"/>
      <c r="AJ77" s="40"/>
      <c r="AK77" s="40"/>
    </row>
    <row r="78" spans="2:37" s="41" customFormat="1" ht="16.149999999999999" customHeight="1">
      <c r="B78" s="70" t="s">
        <v>918</v>
      </c>
      <c r="C78" s="86" t="s">
        <v>1037</v>
      </c>
      <c r="D78" s="4"/>
      <c r="E78" s="82" t="s">
        <v>700</v>
      </c>
      <c r="F78" s="13">
        <v>37.203000000000003</v>
      </c>
      <c r="G78" s="14">
        <f t="shared" si="21"/>
        <v>37203</v>
      </c>
      <c r="H78" s="49">
        <v>11</v>
      </c>
      <c r="I78" s="83" t="s">
        <v>1043</v>
      </c>
      <c r="J78" s="85" t="s">
        <v>1016</v>
      </c>
      <c r="K78" s="82">
        <v>14843</v>
      </c>
      <c r="L78" s="4"/>
      <c r="M78" s="85" t="s">
        <v>1039</v>
      </c>
      <c r="N78" s="82" t="s">
        <v>1044</v>
      </c>
      <c r="O78" s="4"/>
      <c r="P78" s="4"/>
      <c r="Q78" s="5">
        <v>53120</v>
      </c>
      <c r="R78" s="36"/>
      <c r="S78" s="36"/>
      <c r="T78" s="37"/>
      <c r="U78" s="5">
        <f t="shared" si="22"/>
        <v>53120</v>
      </c>
      <c r="V78" s="5">
        <f t="shared" si="23"/>
        <v>1976223.36</v>
      </c>
      <c r="W78" s="5">
        <f t="shared" si="24"/>
        <v>355720.20480000001</v>
      </c>
      <c r="X78" s="5"/>
      <c r="Y78" s="5"/>
      <c r="Z78" s="98"/>
      <c r="AA78" s="23">
        <f t="shared" si="25"/>
        <v>0</v>
      </c>
      <c r="AB78" s="97">
        <f t="shared" si="26"/>
        <v>0</v>
      </c>
      <c r="AC78" s="43"/>
      <c r="AD78" s="46"/>
      <c r="AE78" s="5">
        <f t="shared" si="27"/>
        <v>2331943.5648000003</v>
      </c>
      <c r="AF78" s="114">
        <v>432</v>
      </c>
      <c r="AG78" s="114" t="s">
        <v>1392</v>
      </c>
      <c r="AH78" s="13">
        <v>37.203000000000003</v>
      </c>
      <c r="AI78" s="12"/>
      <c r="AJ78" s="40"/>
      <c r="AK78" s="40"/>
    </row>
    <row r="79" spans="2:37" s="41" customFormat="1" ht="16.149999999999999" customHeight="1">
      <c r="B79" s="105"/>
      <c r="C79" s="105" t="s">
        <v>162</v>
      </c>
      <c r="D79" s="4"/>
      <c r="E79" s="82" t="s">
        <v>700</v>
      </c>
      <c r="F79" s="13">
        <v>40.78</v>
      </c>
      <c r="G79" s="14">
        <f t="shared" si="21"/>
        <v>40780</v>
      </c>
      <c r="H79" s="49">
        <v>11</v>
      </c>
      <c r="I79" s="83" t="s">
        <v>1049</v>
      </c>
      <c r="J79" s="85" t="s">
        <v>1016</v>
      </c>
      <c r="K79" s="82">
        <v>11731</v>
      </c>
      <c r="L79" s="4"/>
      <c r="M79" s="85" t="s">
        <v>1039</v>
      </c>
      <c r="N79" s="82" t="s">
        <v>1050</v>
      </c>
      <c r="O79" s="4"/>
      <c r="P79" s="4"/>
      <c r="Q79" s="5">
        <v>53120</v>
      </c>
      <c r="R79" s="36"/>
      <c r="S79" s="36"/>
      <c r="T79" s="37"/>
      <c r="U79" s="5">
        <f t="shared" si="22"/>
        <v>53120</v>
      </c>
      <c r="V79" s="5">
        <f t="shared" si="23"/>
        <v>2166233.6</v>
      </c>
      <c r="W79" s="5">
        <f t="shared" si="24"/>
        <v>389922.04800000001</v>
      </c>
      <c r="X79" s="5"/>
      <c r="Y79" s="5"/>
      <c r="Z79" s="98"/>
      <c r="AA79" s="23">
        <f t="shared" si="25"/>
        <v>0</v>
      </c>
      <c r="AB79" s="97">
        <f t="shared" si="26"/>
        <v>0</v>
      </c>
      <c r="AC79" s="43"/>
      <c r="AD79" s="46"/>
      <c r="AE79" s="5">
        <f t="shared" si="27"/>
        <v>2556155.648</v>
      </c>
      <c r="AF79" s="114">
        <v>428</v>
      </c>
      <c r="AG79" s="114" t="s">
        <v>1392</v>
      </c>
      <c r="AH79" s="13">
        <v>40.78</v>
      </c>
      <c r="AI79" s="12"/>
      <c r="AJ79" s="40"/>
      <c r="AK79" s="40"/>
    </row>
    <row r="80" spans="2:37" s="41" customFormat="1" ht="16.149999999999999" customHeight="1">
      <c r="B80" s="83"/>
      <c r="C80" s="1"/>
      <c r="D80" s="4"/>
      <c r="E80" s="82" t="s">
        <v>700</v>
      </c>
      <c r="F80" s="13">
        <v>3.7189999999999999</v>
      </c>
      <c r="G80" s="14">
        <f t="shared" si="21"/>
        <v>3719</v>
      </c>
      <c r="H80" s="49">
        <v>1</v>
      </c>
      <c r="I80" s="83" t="s">
        <v>1134</v>
      </c>
      <c r="J80" s="85" t="s">
        <v>1039</v>
      </c>
      <c r="K80" s="82">
        <v>10346</v>
      </c>
      <c r="L80" s="4"/>
      <c r="M80" s="85" t="s">
        <v>1135</v>
      </c>
      <c r="N80" s="82" t="s">
        <v>1136</v>
      </c>
      <c r="O80" s="4"/>
      <c r="P80" s="4"/>
      <c r="Q80" s="5">
        <v>53120</v>
      </c>
      <c r="R80" s="36"/>
      <c r="S80" s="36"/>
      <c r="T80" s="37"/>
      <c r="U80" s="5">
        <f t="shared" si="22"/>
        <v>53120</v>
      </c>
      <c r="V80" s="5">
        <f t="shared" si="23"/>
        <v>197553.28</v>
      </c>
      <c r="W80" s="5">
        <f t="shared" si="24"/>
        <v>35559.590400000001</v>
      </c>
      <c r="X80" s="5"/>
      <c r="Y80" s="5"/>
      <c r="Z80" s="98"/>
      <c r="AA80" s="23">
        <f t="shared" si="25"/>
        <v>0</v>
      </c>
      <c r="AB80" s="97">
        <f t="shared" si="26"/>
        <v>0</v>
      </c>
      <c r="AC80" s="43"/>
      <c r="AD80" s="46"/>
      <c r="AE80" s="5">
        <f t="shared" si="27"/>
        <v>233112.87040000001</v>
      </c>
      <c r="AF80" s="114">
        <v>444</v>
      </c>
      <c r="AG80" s="114" t="s">
        <v>1392</v>
      </c>
      <c r="AH80" s="13">
        <v>3.7189999999999999</v>
      </c>
      <c r="AI80" s="12"/>
      <c r="AJ80" s="40"/>
      <c r="AK80" s="40"/>
    </row>
    <row r="81" spans="2:37" s="41" customFormat="1" ht="16.149999999999999" customHeight="1">
      <c r="B81" s="83"/>
      <c r="C81" s="1"/>
      <c r="D81" s="4"/>
      <c r="E81" s="82" t="s">
        <v>700</v>
      </c>
      <c r="F81" s="13">
        <v>40.82</v>
      </c>
      <c r="G81" s="14">
        <f t="shared" si="21"/>
        <v>40820</v>
      </c>
      <c r="H81" s="49">
        <v>11</v>
      </c>
      <c r="I81" s="83" t="s">
        <v>1143</v>
      </c>
      <c r="J81" s="85" t="s">
        <v>1039</v>
      </c>
      <c r="K81" s="82">
        <v>10349</v>
      </c>
      <c r="L81" s="4"/>
      <c r="M81" s="85" t="s">
        <v>1144</v>
      </c>
      <c r="N81" s="82" t="s">
        <v>1145</v>
      </c>
      <c r="O81" s="4"/>
      <c r="P81" s="4"/>
      <c r="Q81" s="5">
        <v>53120</v>
      </c>
      <c r="R81" s="36"/>
      <c r="S81" s="36"/>
      <c r="T81" s="37"/>
      <c r="U81" s="5">
        <f t="shared" si="22"/>
        <v>53120</v>
      </c>
      <c r="V81" s="5">
        <f t="shared" si="23"/>
        <v>2168358.4</v>
      </c>
      <c r="W81" s="5">
        <f t="shared" si="24"/>
        <v>390304.51199999999</v>
      </c>
      <c r="X81" s="5"/>
      <c r="Y81" s="5"/>
      <c r="Z81" s="98"/>
      <c r="AA81" s="23">
        <f t="shared" si="25"/>
        <v>0</v>
      </c>
      <c r="AB81" s="97">
        <f t="shared" si="26"/>
        <v>0</v>
      </c>
      <c r="AC81" s="43"/>
      <c r="AD81" s="46"/>
      <c r="AE81" s="5">
        <f t="shared" si="27"/>
        <v>2558662.912</v>
      </c>
      <c r="AF81" s="114">
        <v>447</v>
      </c>
      <c r="AG81" s="114" t="s">
        <v>1392</v>
      </c>
      <c r="AH81" s="13">
        <v>40.82</v>
      </c>
      <c r="AI81" s="12"/>
      <c r="AJ81" s="40"/>
      <c r="AK81" s="40"/>
    </row>
    <row r="82" spans="2:37" s="41" customFormat="1" ht="16.149999999999999" customHeight="1">
      <c r="B82" s="83"/>
      <c r="C82" s="1"/>
      <c r="D82" s="4"/>
      <c r="E82" s="108" t="s">
        <v>700</v>
      </c>
      <c r="F82" s="13">
        <v>11.106999999999999</v>
      </c>
      <c r="G82" s="14">
        <f t="shared" si="21"/>
        <v>11107</v>
      </c>
      <c r="H82" s="49">
        <v>3</v>
      </c>
      <c r="I82" s="83" t="s">
        <v>1150</v>
      </c>
      <c r="J82" s="85" t="s">
        <v>1025</v>
      </c>
      <c r="K82" s="82">
        <v>10129</v>
      </c>
      <c r="L82" s="4"/>
      <c r="M82" s="85" t="s">
        <v>1144</v>
      </c>
      <c r="N82" s="82" t="s">
        <v>1151</v>
      </c>
      <c r="O82" s="4"/>
      <c r="P82" s="4"/>
      <c r="Q82" s="5">
        <v>53120</v>
      </c>
      <c r="R82" s="36"/>
      <c r="S82" s="36"/>
      <c r="T82" s="37"/>
      <c r="U82" s="5">
        <f t="shared" si="22"/>
        <v>53120</v>
      </c>
      <c r="V82" s="5">
        <f t="shared" si="23"/>
        <v>590003.84</v>
      </c>
      <c r="W82" s="5">
        <f t="shared" si="24"/>
        <v>106200.69119999999</v>
      </c>
      <c r="X82" s="5"/>
      <c r="Y82" s="5"/>
      <c r="Z82" s="98"/>
      <c r="AA82" s="23">
        <f t="shared" si="25"/>
        <v>0</v>
      </c>
      <c r="AB82" s="97">
        <f t="shared" si="26"/>
        <v>0</v>
      </c>
      <c r="AC82" s="43"/>
      <c r="AD82" s="46"/>
      <c r="AE82" s="5">
        <f t="shared" si="27"/>
        <v>696204.53119999997</v>
      </c>
      <c r="AF82" s="114">
        <v>442</v>
      </c>
      <c r="AG82" s="114" t="s">
        <v>1392</v>
      </c>
      <c r="AH82" s="13">
        <v>11.106999999999999</v>
      </c>
      <c r="AI82" s="12"/>
      <c r="AJ82" s="40"/>
      <c r="AK82" s="40"/>
    </row>
    <row r="83" spans="2:37" s="41" customFormat="1" ht="16.149999999999999" customHeight="1">
      <c r="B83" s="83"/>
      <c r="C83" s="1"/>
      <c r="D83" s="4"/>
      <c r="E83" s="108" t="s">
        <v>700</v>
      </c>
      <c r="F83" s="13">
        <v>11.121</v>
      </c>
      <c r="G83" s="14">
        <f t="shared" si="21"/>
        <v>11121</v>
      </c>
      <c r="H83" s="49">
        <v>3</v>
      </c>
      <c r="I83" s="83" t="s">
        <v>1152</v>
      </c>
      <c r="J83" s="85" t="s">
        <v>1025</v>
      </c>
      <c r="K83" s="82">
        <v>10128</v>
      </c>
      <c r="L83" s="4"/>
      <c r="M83" s="85" t="s">
        <v>1144</v>
      </c>
      <c r="N83" s="82" t="s">
        <v>1153</v>
      </c>
      <c r="O83" s="4"/>
      <c r="P83" s="4"/>
      <c r="Q83" s="5">
        <v>53120</v>
      </c>
      <c r="R83" s="36"/>
      <c r="S83" s="36"/>
      <c r="T83" s="37"/>
      <c r="U83" s="5">
        <f t="shared" si="22"/>
        <v>53120</v>
      </c>
      <c r="V83" s="5">
        <f t="shared" si="23"/>
        <v>590747.52</v>
      </c>
      <c r="W83" s="5">
        <f t="shared" si="24"/>
        <v>106334.5536</v>
      </c>
      <c r="X83" s="5"/>
      <c r="Y83" s="5"/>
      <c r="Z83" s="98"/>
      <c r="AA83" s="23">
        <f t="shared" si="25"/>
        <v>0</v>
      </c>
      <c r="AB83" s="97">
        <f t="shared" si="26"/>
        <v>0</v>
      </c>
      <c r="AC83" s="43"/>
      <c r="AD83" s="46"/>
      <c r="AE83" s="5">
        <f t="shared" si="27"/>
        <v>697082.0736</v>
      </c>
      <c r="AF83" s="114">
        <v>441</v>
      </c>
      <c r="AG83" s="114" t="s">
        <v>1392</v>
      </c>
      <c r="AH83" s="13">
        <v>11.121</v>
      </c>
      <c r="AI83" s="12"/>
      <c r="AJ83" s="40"/>
      <c r="AK83" s="40"/>
    </row>
    <row r="84" spans="2:37" s="41" customFormat="1" ht="16.149999999999999" customHeight="1">
      <c r="B84" s="83"/>
      <c r="C84" s="1"/>
      <c r="D84" s="4"/>
      <c r="E84" s="82" t="s">
        <v>700</v>
      </c>
      <c r="F84" s="13">
        <v>25.88</v>
      </c>
      <c r="G84" s="14">
        <f t="shared" si="21"/>
        <v>25880</v>
      </c>
      <c r="H84" s="49">
        <v>7</v>
      </c>
      <c r="I84" s="83" t="s">
        <v>1154</v>
      </c>
      <c r="J84" s="85" t="s">
        <v>1039</v>
      </c>
      <c r="K84" s="82">
        <v>11768</v>
      </c>
      <c r="L84" s="4"/>
      <c r="M84" s="85" t="s">
        <v>1155</v>
      </c>
      <c r="N84" s="82" t="s">
        <v>1156</v>
      </c>
      <c r="O84" s="4"/>
      <c r="P84" s="4"/>
      <c r="Q84" s="5">
        <v>53120</v>
      </c>
      <c r="R84" s="36"/>
      <c r="S84" s="36"/>
      <c r="T84" s="37"/>
      <c r="U84" s="5">
        <f t="shared" si="22"/>
        <v>53120</v>
      </c>
      <c r="V84" s="5">
        <f t="shared" si="23"/>
        <v>1374745.5999999999</v>
      </c>
      <c r="W84" s="5">
        <f t="shared" si="24"/>
        <v>247454.20799999996</v>
      </c>
      <c r="X84" s="5"/>
      <c r="Y84" s="5"/>
      <c r="Z84" s="98"/>
      <c r="AA84" s="23">
        <f t="shared" si="25"/>
        <v>0</v>
      </c>
      <c r="AB84" s="97">
        <f t="shared" si="26"/>
        <v>0</v>
      </c>
      <c r="AC84" s="43"/>
      <c r="AD84" s="46"/>
      <c r="AE84" s="5">
        <f t="shared" si="27"/>
        <v>1622199.8079999997</v>
      </c>
      <c r="AF84" s="114">
        <v>448</v>
      </c>
      <c r="AG84" s="114" t="s">
        <v>1392</v>
      </c>
      <c r="AH84" s="13">
        <v>25.88</v>
      </c>
      <c r="AI84" s="12"/>
      <c r="AJ84" s="40"/>
      <c r="AK84" s="40"/>
    </row>
    <row r="85" spans="2:37" s="41" customFormat="1" ht="16.149999999999999" customHeight="1">
      <c r="B85" s="83"/>
      <c r="C85" s="1"/>
      <c r="D85" s="4"/>
      <c r="E85" s="82" t="s">
        <v>700</v>
      </c>
      <c r="F85" s="13">
        <v>29.669</v>
      </c>
      <c r="G85" s="14">
        <f t="shared" si="21"/>
        <v>29669</v>
      </c>
      <c r="H85" s="49">
        <v>8</v>
      </c>
      <c r="I85" s="83" t="s">
        <v>1162</v>
      </c>
      <c r="J85" s="85" t="s">
        <v>1025</v>
      </c>
      <c r="K85" s="82">
        <v>10127</v>
      </c>
      <c r="L85" s="4"/>
      <c r="M85" s="85" t="s">
        <v>1155</v>
      </c>
      <c r="N85" s="82" t="s">
        <v>1163</v>
      </c>
      <c r="O85" s="4"/>
      <c r="P85" s="4"/>
      <c r="Q85" s="5">
        <v>53120</v>
      </c>
      <c r="R85" s="36"/>
      <c r="S85" s="36"/>
      <c r="T85" s="37"/>
      <c r="U85" s="5">
        <f t="shared" si="22"/>
        <v>53120</v>
      </c>
      <c r="V85" s="5">
        <f t="shared" si="23"/>
        <v>1576017.28</v>
      </c>
      <c r="W85" s="5">
        <f t="shared" si="24"/>
        <v>283683.11040000001</v>
      </c>
      <c r="X85" s="5"/>
      <c r="Y85" s="5"/>
      <c r="Z85" s="98"/>
      <c r="AA85" s="23">
        <f t="shared" si="25"/>
        <v>0</v>
      </c>
      <c r="AB85" s="97">
        <f t="shared" si="26"/>
        <v>0</v>
      </c>
      <c r="AC85" s="43"/>
      <c r="AD85" s="46"/>
      <c r="AE85" s="5">
        <f t="shared" si="27"/>
        <v>1859700.3903999999</v>
      </c>
      <c r="AF85" s="114">
        <v>438</v>
      </c>
      <c r="AG85" s="114" t="s">
        <v>1392</v>
      </c>
      <c r="AH85" s="13">
        <v>29.669</v>
      </c>
      <c r="AI85" s="12"/>
      <c r="AJ85" s="40"/>
      <c r="AK85" s="40"/>
    </row>
    <row r="86" spans="2:37" s="41" customFormat="1" ht="16.149999999999999" customHeight="1">
      <c r="B86" s="12"/>
      <c r="C86" s="1"/>
      <c r="D86" s="4"/>
      <c r="E86" s="82" t="s">
        <v>700</v>
      </c>
      <c r="F86" s="13">
        <v>29.687999999999999</v>
      </c>
      <c r="G86" s="14">
        <f t="shared" si="21"/>
        <v>29688</v>
      </c>
      <c r="H86" s="49">
        <v>9</v>
      </c>
      <c r="I86" s="83" t="s">
        <v>1164</v>
      </c>
      <c r="J86" s="85" t="s">
        <v>1025</v>
      </c>
      <c r="K86" s="82">
        <v>14865</v>
      </c>
      <c r="L86" s="4"/>
      <c r="M86" s="85" t="s">
        <v>1155</v>
      </c>
      <c r="N86" s="82" t="s">
        <v>1165</v>
      </c>
      <c r="O86" s="4"/>
      <c r="P86" s="4"/>
      <c r="Q86" s="5">
        <v>53120</v>
      </c>
      <c r="R86" s="36"/>
      <c r="S86" s="36"/>
      <c r="T86" s="37"/>
      <c r="U86" s="5">
        <f t="shared" si="22"/>
        <v>53120</v>
      </c>
      <c r="V86" s="5">
        <f t="shared" si="23"/>
        <v>1577026.5599999998</v>
      </c>
      <c r="W86" s="5">
        <f t="shared" si="24"/>
        <v>283864.78079999995</v>
      </c>
      <c r="X86" s="5"/>
      <c r="Y86" s="5"/>
      <c r="Z86" s="98"/>
      <c r="AA86" s="23">
        <f t="shared" si="25"/>
        <v>0</v>
      </c>
      <c r="AB86" s="97">
        <f t="shared" si="26"/>
        <v>0</v>
      </c>
      <c r="AC86" s="43"/>
      <c r="AD86" s="46"/>
      <c r="AE86" s="5">
        <f t="shared" si="27"/>
        <v>1860891.3407999999</v>
      </c>
      <c r="AF86" s="114">
        <v>433</v>
      </c>
      <c r="AG86" s="114" t="s">
        <v>1392</v>
      </c>
      <c r="AH86" s="13">
        <v>29.687999999999999</v>
      </c>
      <c r="AI86" s="12"/>
      <c r="AJ86" s="40"/>
      <c r="AK86" s="40"/>
    </row>
    <row r="87" spans="2:37" s="41" customFormat="1" ht="16.149999999999999" customHeight="1">
      <c r="B87" s="12"/>
      <c r="C87" s="1"/>
      <c r="D87" s="4"/>
      <c r="E87" s="82" t="s">
        <v>700</v>
      </c>
      <c r="F87" s="13">
        <v>3.6989999999999998</v>
      </c>
      <c r="G87" s="14">
        <f t="shared" si="21"/>
        <v>3699</v>
      </c>
      <c r="H87" s="49">
        <v>1</v>
      </c>
      <c r="I87" s="83" t="s">
        <v>1166</v>
      </c>
      <c r="J87" s="85" t="s">
        <v>1039</v>
      </c>
      <c r="K87" s="82">
        <v>10347</v>
      </c>
      <c r="L87" s="4"/>
      <c r="M87" s="85" t="s">
        <v>1155</v>
      </c>
      <c r="N87" s="82" t="s">
        <v>1167</v>
      </c>
      <c r="O87" s="4"/>
      <c r="P87" s="4"/>
      <c r="Q87" s="5">
        <v>53120</v>
      </c>
      <c r="R87" s="36"/>
      <c r="S87" s="36"/>
      <c r="T87" s="37"/>
      <c r="U87" s="5">
        <f t="shared" si="22"/>
        <v>53120</v>
      </c>
      <c r="V87" s="5">
        <f t="shared" si="23"/>
        <v>196490.88</v>
      </c>
      <c r="W87" s="5">
        <f t="shared" si="24"/>
        <v>35368.358399999997</v>
      </c>
      <c r="X87" s="5"/>
      <c r="Y87" s="5"/>
      <c r="Z87" s="98"/>
      <c r="AA87" s="23">
        <f t="shared" si="25"/>
        <v>0</v>
      </c>
      <c r="AB87" s="97">
        <f t="shared" si="26"/>
        <v>0</v>
      </c>
      <c r="AC87" s="43"/>
      <c r="AD87" s="46"/>
      <c r="AE87" s="5">
        <f t="shared" si="27"/>
        <v>231859.2384</v>
      </c>
      <c r="AF87" s="114">
        <v>446</v>
      </c>
      <c r="AG87" s="114" t="s">
        <v>1392</v>
      </c>
      <c r="AH87" s="13">
        <v>3.6989999999999998</v>
      </c>
      <c r="AI87" s="12"/>
      <c r="AJ87" s="40"/>
      <c r="AK87" s="40"/>
    </row>
    <row r="88" spans="2:37" s="41" customFormat="1" ht="16.149999999999999" customHeight="1">
      <c r="B88" s="12"/>
      <c r="C88" s="1"/>
      <c r="D88" s="4"/>
      <c r="E88" s="82" t="s">
        <v>700</v>
      </c>
      <c r="F88" s="13">
        <v>40.880000000000003</v>
      </c>
      <c r="G88" s="14">
        <f t="shared" si="21"/>
        <v>40880</v>
      </c>
      <c r="H88" s="49">
        <v>11</v>
      </c>
      <c r="I88" s="83" t="s">
        <v>1168</v>
      </c>
      <c r="J88" s="85" t="s">
        <v>1039</v>
      </c>
      <c r="K88" s="82">
        <v>11756</v>
      </c>
      <c r="L88" s="4"/>
      <c r="M88" s="85" t="s">
        <v>1155</v>
      </c>
      <c r="N88" s="82" t="s">
        <v>1169</v>
      </c>
      <c r="O88" s="4"/>
      <c r="P88" s="4"/>
      <c r="Q88" s="5">
        <v>53120</v>
      </c>
      <c r="R88" s="36"/>
      <c r="S88" s="36"/>
      <c r="T88" s="37"/>
      <c r="U88" s="5">
        <f t="shared" si="22"/>
        <v>53120</v>
      </c>
      <c r="V88" s="5">
        <f t="shared" si="23"/>
        <v>2171545.6000000001</v>
      </c>
      <c r="W88" s="5">
        <f t="shared" si="24"/>
        <v>390878.20799999998</v>
      </c>
      <c r="X88" s="5"/>
      <c r="Y88" s="5"/>
      <c r="Z88" s="98"/>
      <c r="AA88" s="23">
        <f t="shared" si="25"/>
        <v>0</v>
      </c>
      <c r="AB88" s="97">
        <f t="shared" si="26"/>
        <v>0</v>
      </c>
      <c r="AC88" s="43"/>
      <c r="AD88" s="46"/>
      <c r="AE88" s="5">
        <f t="shared" si="27"/>
        <v>2562423.8080000002</v>
      </c>
      <c r="AF88" s="114">
        <v>445</v>
      </c>
      <c r="AG88" s="114" t="s">
        <v>1392</v>
      </c>
      <c r="AH88" s="13">
        <v>40.880000000000003</v>
      </c>
      <c r="AI88" s="12"/>
      <c r="AJ88" s="40"/>
      <c r="AK88" s="40"/>
    </row>
    <row r="89" spans="2:37" s="41" customFormat="1" ht="16.149999999999999" customHeight="1">
      <c r="B89" s="12"/>
      <c r="C89" s="1"/>
      <c r="D89" s="4"/>
      <c r="E89" s="82" t="s">
        <v>700</v>
      </c>
      <c r="F89" s="13">
        <v>40.94</v>
      </c>
      <c r="G89" s="14">
        <f t="shared" si="21"/>
        <v>40940</v>
      </c>
      <c r="H89" s="49">
        <v>11</v>
      </c>
      <c r="I89" s="83" t="s">
        <v>1173</v>
      </c>
      <c r="J89" s="85" t="s">
        <v>1025</v>
      </c>
      <c r="K89" s="82">
        <v>14875</v>
      </c>
      <c r="L89" s="4"/>
      <c r="M89" s="85" t="s">
        <v>1155</v>
      </c>
      <c r="N89" s="82" t="s">
        <v>1174</v>
      </c>
      <c r="O89" s="4"/>
      <c r="P89" s="4"/>
      <c r="Q89" s="5">
        <v>53120</v>
      </c>
      <c r="R89" s="36"/>
      <c r="S89" s="36"/>
      <c r="T89" s="37"/>
      <c r="U89" s="5">
        <f t="shared" si="22"/>
        <v>53120</v>
      </c>
      <c r="V89" s="5">
        <f t="shared" si="23"/>
        <v>2174732.7999999998</v>
      </c>
      <c r="W89" s="5">
        <f t="shared" si="24"/>
        <v>391451.90399999998</v>
      </c>
      <c r="X89" s="5"/>
      <c r="Y89" s="5"/>
      <c r="Z89" s="98"/>
      <c r="AA89" s="23">
        <f t="shared" si="25"/>
        <v>0</v>
      </c>
      <c r="AB89" s="97">
        <f t="shared" si="26"/>
        <v>0</v>
      </c>
      <c r="AC89" s="43"/>
      <c r="AD89" s="46"/>
      <c r="AE89" s="5">
        <f t="shared" si="27"/>
        <v>2566184.7039999999</v>
      </c>
      <c r="AF89" s="114">
        <v>443</v>
      </c>
      <c r="AG89" s="114" t="s">
        <v>1392</v>
      </c>
      <c r="AH89" s="13">
        <v>40.94</v>
      </c>
      <c r="AI89" s="12"/>
      <c r="AJ89" s="40"/>
      <c r="AK89" s="40"/>
    </row>
    <row r="90" spans="2:37" s="41" customFormat="1" ht="16.149999999999999" customHeight="1">
      <c r="B90" s="12"/>
      <c r="C90" s="1"/>
      <c r="D90" s="4"/>
      <c r="E90" s="82" t="s">
        <v>700</v>
      </c>
      <c r="F90" s="13">
        <v>29.422000000000001</v>
      </c>
      <c r="G90" s="14">
        <f t="shared" si="21"/>
        <v>29422</v>
      </c>
      <c r="H90" s="49">
        <v>8</v>
      </c>
      <c r="I90" s="83" t="s">
        <v>1292</v>
      </c>
      <c r="J90" s="85" t="s">
        <v>1144</v>
      </c>
      <c r="K90" s="82">
        <v>10351</v>
      </c>
      <c r="L90" s="4"/>
      <c r="M90" s="85" t="s">
        <v>1144</v>
      </c>
      <c r="N90" s="82" t="s">
        <v>1291</v>
      </c>
      <c r="O90" s="4"/>
      <c r="P90" s="4"/>
      <c r="Q90" s="5">
        <v>53120</v>
      </c>
      <c r="R90" s="36"/>
      <c r="S90" s="36"/>
      <c r="T90" s="37"/>
      <c r="U90" s="5">
        <f t="shared" si="22"/>
        <v>53120</v>
      </c>
      <c r="V90" s="5">
        <f t="shared" si="23"/>
        <v>1562896.6400000001</v>
      </c>
      <c r="W90" s="5">
        <f t="shared" si="24"/>
        <v>281321.39520000003</v>
      </c>
      <c r="X90" s="5"/>
      <c r="Y90" s="5"/>
      <c r="Z90" s="98"/>
      <c r="AA90" s="23">
        <f t="shared" si="25"/>
        <v>0</v>
      </c>
      <c r="AB90" s="97">
        <f t="shared" si="26"/>
        <v>0</v>
      </c>
      <c r="AC90" s="43"/>
      <c r="AD90" s="46"/>
      <c r="AE90" s="5">
        <f t="shared" si="27"/>
        <v>1844218.0352000003</v>
      </c>
      <c r="AF90" s="114">
        <v>454</v>
      </c>
      <c r="AG90" s="114" t="s">
        <v>1392</v>
      </c>
      <c r="AH90" s="13">
        <v>29.422000000000001</v>
      </c>
      <c r="AI90" s="12"/>
      <c r="AJ90" s="40"/>
      <c r="AK90" s="40"/>
    </row>
    <row r="91" spans="2:37" s="41" customFormat="1" ht="16.149999999999999" customHeight="1">
      <c r="B91" s="12"/>
      <c r="C91" s="1"/>
      <c r="D91" s="4"/>
      <c r="E91" s="82" t="s">
        <v>700</v>
      </c>
      <c r="F91" s="13">
        <v>18.581</v>
      </c>
      <c r="G91" s="14">
        <f t="shared" si="21"/>
        <v>18581</v>
      </c>
      <c r="H91" s="49">
        <v>9</v>
      </c>
      <c r="I91" s="83" t="s">
        <v>1301</v>
      </c>
      <c r="J91" s="85" t="s">
        <v>1155</v>
      </c>
      <c r="K91" s="82">
        <v>15010</v>
      </c>
      <c r="L91" s="4"/>
      <c r="M91" s="85" t="s">
        <v>1297</v>
      </c>
      <c r="N91" s="82" t="s">
        <v>1345</v>
      </c>
      <c r="O91" s="4"/>
      <c r="P91" s="4"/>
      <c r="Q91" s="5">
        <v>53120</v>
      </c>
      <c r="R91" s="36"/>
      <c r="S91" s="36"/>
      <c r="T91" s="37"/>
      <c r="U91" s="5">
        <f t="shared" si="22"/>
        <v>53120</v>
      </c>
      <c r="V91" s="5">
        <f t="shared" si="23"/>
        <v>987022.72</v>
      </c>
      <c r="W91" s="5">
        <f t="shared" si="24"/>
        <v>177664.08959999998</v>
      </c>
      <c r="X91" s="5"/>
      <c r="Y91" s="5"/>
      <c r="Z91" s="98"/>
      <c r="AA91" s="23">
        <f t="shared" si="25"/>
        <v>0</v>
      </c>
      <c r="AB91" s="97">
        <f t="shared" si="26"/>
        <v>0</v>
      </c>
      <c r="AC91" s="43"/>
      <c r="AD91" s="46"/>
      <c r="AE91" s="5">
        <f t="shared" si="27"/>
        <v>1164686.8096</v>
      </c>
      <c r="AF91" s="114">
        <v>460</v>
      </c>
      <c r="AG91" s="114" t="s">
        <v>1392</v>
      </c>
      <c r="AH91" s="13">
        <v>18.581</v>
      </c>
      <c r="AI91" s="12"/>
      <c r="AJ91" s="40"/>
      <c r="AK91" s="40"/>
    </row>
    <row r="92" spans="2:37" s="41" customFormat="1" ht="16.149999999999999" customHeight="1">
      <c r="B92" s="12"/>
      <c r="C92" s="1"/>
      <c r="D92" s="4"/>
      <c r="E92" s="82" t="s">
        <v>700</v>
      </c>
      <c r="F92" s="13">
        <v>22.241</v>
      </c>
      <c r="G92" s="14">
        <f t="shared" si="21"/>
        <v>22241</v>
      </c>
      <c r="H92" s="49">
        <v>6</v>
      </c>
      <c r="I92" s="83" t="s">
        <v>1323</v>
      </c>
      <c r="J92" s="85" t="s">
        <v>1025</v>
      </c>
      <c r="K92" s="82">
        <v>10126</v>
      </c>
      <c r="L92" s="4"/>
      <c r="M92" s="85" t="s">
        <v>1332</v>
      </c>
      <c r="N92" s="82" t="s">
        <v>1360</v>
      </c>
      <c r="O92" s="4"/>
      <c r="P92" s="4"/>
      <c r="Q92" s="5">
        <v>53120</v>
      </c>
      <c r="R92" s="36"/>
      <c r="S92" s="36"/>
      <c r="T92" s="37"/>
      <c r="U92" s="5">
        <f t="shared" si="22"/>
        <v>53120</v>
      </c>
      <c r="V92" s="5">
        <f t="shared" si="23"/>
        <v>1181441.92</v>
      </c>
      <c r="W92" s="5">
        <f t="shared" si="24"/>
        <v>212659.54559999998</v>
      </c>
      <c r="X92" s="5"/>
      <c r="Y92" s="5"/>
      <c r="Z92" s="98"/>
      <c r="AA92" s="23">
        <f t="shared" si="25"/>
        <v>0</v>
      </c>
      <c r="AB92" s="97">
        <f t="shared" si="26"/>
        <v>0</v>
      </c>
      <c r="AC92" s="43"/>
      <c r="AD92" s="46"/>
      <c r="AE92" s="5">
        <f t="shared" si="27"/>
        <v>1394101.4656</v>
      </c>
      <c r="AF92" s="114">
        <v>436</v>
      </c>
      <c r="AG92" s="114" t="s">
        <v>1392</v>
      </c>
      <c r="AH92" s="13">
        <v>22.241</v>
      </c>
      <c r="AI92" s="12"/>
      <c r="AJ92" s="40"/>
      <c r="AK92" s="40"/>
    </row>
    <row r="93" spans="2:37" s="41" customFormat="1" ht="16.149999999999999" customHeight="1">
      <c r="B93" s="12"/>
      <c r="C93" s="1"/>
      <c r="D93" s="4"/>
      <c r="E93" s="82" t="s">
        <v>700</v>
      </c>
      <c r="F93" s="13">
        <v>6.2</v>
      </c>
      <c r="G93" s="14">
        <f t="shared" si="21"/>
        <v>6200</v>
      </c>
      <c r="H93" s="49">
        <v>2</v>
      </c>
      <c r="I93" s="83" t="s">
        <v>1361</v>
      </c>
      <c r="J93" s="85" t="s">
        <v>1357</v>
      </c>
      <c r="K93" s="82">
        <v>10374</v>
      </c>
      <c r="L93" s="4"/>
      <c r="M93" s="85" t="s">
        <v>1366</v>
      </c>
      <c r="N93" s="82" t="s">
        <v>1362</v>
      </c>
      <c r="O93" s="4"/>
      <c r="P93" s="4"/>
      <c r="Q93" s="5">
        <v>53120</v>
      </c>
      <c r="R93" s="36"/>
      <c r="S93" s="36"/>
      <c r="T93" s="37"/>
      <c r="U93" s="5">
        <f t="shared" si="22"/>
        <v>53120</v>
      </c>
      <c r="V93" s="5">
        <f t="shared" si="23"/>
        <v>329344</v>
      </c>
      <c r="W93" s="5">
        <f t="shared" si="24"/>
        <v>59281.919999999998</v>
      </c>
      <c r="X93" s="5"/>
      <c r="Y93" s="5"/>
      <c r="Z93" s="98"/>
      <c r="AA93" s="23">
        <f t="shared" si="25"/>
        <v>0</v>
      </c>
      <c r="AB93" s="97">
        <f t="shared" si="26"/>
        <v>0</v>
      </c>
      <c r="AC93" s="43"/>
      <c r="AD93" s="46"/>
      <c r="AE93" s="5">
        <f t="shared" si="27"/>
        <v>388625.91999999998</v>
      </c>
      <c r="AF93" s="114">
        <v>437</v>
      </c>
      <c r="AG93" s="114" t="s">
        <v>1392</v>
      </c>
      <c r="AH93" s="13">
        <v>6.2</v>
      </c>
      <c r="AI93" s="12"/>
      <c r="AJ93" s="40"/>
      <c r="AK93" s="40"/>
    </row>
    <row r="94" spans="2:37" s="41" customFormat="1">
      <c r="B94" s="92"/>
      <c r="C94" s="48"/>
      <c r="D94" s="6"/>
      <c r="E94" s="6"/>
      <c r="F94" s="81">
        <f>SUM(F77:F93)</f>
        <v>429.00100000000003</v>
      </c>
      <c r="G94" s="20">
        <f>SUM(G77:G93)</f>
        <v>429001</v>
      </c>
      <c r="H94" s="21">
        <f>SUM(H77:H93)</f>
        <v>122</v>
      </c>
      <c r="I94" s="2"/>
      <c r="J94" s="7"/>
      <c r="K94" s="7"/>
      <c r="L94" s="7"/>
      <c r="M94" s="2"/>
      <c r="N94" s="6"/>
      <c r="O94" s="6"/>
      <c r="P94" s="6"/>
      <c r="Q94" s="19"/>
      <c r="R94" s="9"/>
      <c r="S94" s="9"/>
      <c r="T94" s="10"/>
      <c r="U94" s="8"/>
      <c r="V94" s="21">
        <f>SUM(V77:V93)</f>
        <v>22788533.119999997</v>
      </c>
      <c r="W94" s="21">
        <f>SUM(W77:W93)</f>
        <v>4101935.9615999996</v>
      </c>
      <c r="X94" s="21">
        <f>SUM(X77:X93)</f>
        <v>0</v>
      </c>
      <c r="Y94" s="21">
        <f>SUM(Y77:Y93)</f>
        <v>0</v>
      </c>
      <c r="Z94" s="99"/>
      <c r="AA94" s="21">
        <f>SUM(AA77:AA93)</f>
        <v>0</v>
      </c>
      <c r="AB94" s="21">
        <f>SUM(AB77:AB93)</f>
        <v>0</v>
      </c>
      <c r="AC94" s="21"/>
      <c r="AD94" s="21">
        <f>SUM(AD77:AD93)</f>
        <v>0</v>
      </c>
      <c r="AE94" s="21">
        <f>SUM(AE77:AE93)</f>
        <v>26890469.081600003</v>
      </c>
      <c r="AF94" s="21"/>
      <c r="AG94" s="42"/>
      <c r="AH94" s="81">
        <f>SUM(AH77:AH93)</f>
        <v>429.00100000000003</v>
      </c>
      <c r="AI94" s="26">
        <f>AH94-F94</f>
        <v>0</v>
      </c>
      <c r="AJ94" s="41">
        <f>AA94/F94</f>
        <v>0</v>
      </c>
      <c r="AK94" s="40"/>
    </row>
    <row r="95" spans="2:37" s="41" customFormat="1" ht="16.149999999999999" customHeight="1">
      <c r="B95" s="104" t="s">
        <v>702</v>
      </c>
      <c r="C95" s="86" t="s">
        <v>919</v>
      </c>
      <c r="D95" s="4"/>
      <c r="E95" s="82" t="s">
        <v>700</v>
      </c>
      <c r="F95" s="13">
        <v>37.222000000000001</v>
      </c>
      <c r="G95" s="14">
        <f t="shared" ref="G95:G108" si="28">+F95*1000</f>
        <v>37222</v>
      </c>
      <c r="H95" s="49">
        <v>10</v>
      </c>
      <c r="I95" s="83" t="s">
        <v>1021</v>
      </c>
      <c r="J95" s="85" t="s">
        <v>968</v>
      </c>
      <c r="K95" s="82">
        <v>11710</v>
      </c>
      <c r="L95" s="4"/>
      <c r="M95" s="85" t="s">
        <v>1016</v>
      </c>
      <c r="N95" s="82" t="s">
        <v>1022</v>
      </c>
      <c r="O95" s="4"/>
      <c r="P95" s="4"/>
      <c r="Q95" s="5">
        <v>51540</v>
      </c>
      <c r="R95" s="36"/>
      <c r="S95" s="36"/>
      <c r="T95" s="37"/>
      <c r="U95" s="5">
        <f t="shared" ref="U95:U108" si="29">S95+R95+Q95-T95</f>
        <v>51540</v>
      </c>
      <c r="V95" s="5">
        <f t="shared" ref="V95:V108" si="30">F95*U95</f>
        <v>1918421.8800000001</v>
      </c>
      <c r="W95" s="5">
        <f t="shared" ref="W95:W108" si="31">V95*18%</f>
        <v>345315.93839999998</v>
      </c>
      <c r="X95" s="5"/>
      <c r="Y95" s="5"/>
      <c r="Z95" s="98"/>
      <c r="AA95" s="23">
        <f t="shared" ref="AA95:AA108" si="32">F95*Z95</f>
        <v>0</v>
      </c>
      <c r="AB95" s="97">
        <f t="shared" ref="AB95:AB108" si="33">AA95*18%</f>
        <v>0</v>
      </c>
      <c r="AC95" s="43"/>
      <c r="AD95" s="46"/>
      <c r="AE95" s="5">
        <f t="shared" ref="AE95:AE108" si="34">+AB95+AA95+Y95+X95+W95+V95-AC95+AD95</f>
        <v>2263737.8184000002</v>
      </c>
      <c r="AF95" s="114">
        <v>420</v>
      </c>
      <c r="AG95" s="114" t="s">
        <v>1392</v>
      </c>
      <c r="AH95" s="13">
        <v>37.222000000000001</v>
      </c>
      <c r="AI95" s="12"/>
      <c r="AJ95" s="40"/>
      <c r="AK95" s="40"/>
    </row>
    <row r="96" spans="2:37" s="41" customFormat="1" ht="16.149999999999999" customHeight="1">
      <c r="B96" s="70" t="s">
        <v>918</v>
      </c>
      <c r="C96" s="86" t="s">
        <v>1023</v>
      </c>
      <c r="D96" s="4"/>
      <c r="E96" s="82" t="s">
        <v>700</v>
      </c>
      <c r="F96" s="13">
        <v>29.632000000000001</v>
      </c>
      <c r="G96" s="14">
        <f t="shared" si="28"/>
        <v>29632</v>
      </c>
      <c r="H96" s="49">
        <v>8</v>
      </c>
      <c r="I96" s="83" t="s">
        <v>1027</v>
      </c>
      <c r="J96" s="85" t="s">
        <v>991</v>
      </c>
      <c r="K96" s="82">
        <v>14803</v>
      </c>
      <c r="L96" s="4"/>
      <c r="M96" s="85" t="s">
        <v>1025</v>
      </c>
      <c r="N96" s="82" t="s">
        <v>1028</v>
      </c>
      <c r="O96" s="4"/>
      <c r="P96" s="4"/>
      <c r="Q96" s="5">
        <v>51540</v>
      </c>
      <c r="R96" s="36"/>
      <c r="S96" s="36"/>
      <c r="T96" s="37"/>
      <c r="U96" s="5">
        <f t="shared" si="29"/>
        <v>51540</v>
      </c>
      <c r="V96" s="5">
        <f t="shared" si="30"/>
        <v>1527233.28</v>
      </c>
      <c r="W96" s="5">
        <f t="shared" si="31"/>
        <v>274901.99040000001</v>
      </c>
      <c r="X96" s="5"/>
      <c r="Y96" s="5"/>
      <c r="Z96" s="98"/>
      <c r="AA96" s="23">
        <f t="shared" si="32"/>
        <v>0</v>
      </c>
      <c r="AB96" s="97">
        <f t="shared" si="33"/>
        <v>0</v>
      </c>
      <c r="AC96" s="43"/>
      <c r="AD96" s="46"/>
      <c r="AE96" s="5">
        <f t="shared" si="34"/>
        <v>1802135.2704</v>
      </c>
      <c r="AF96" s="114">
        <v>425</v>
      </c>
      <c r="AG96" s="114" t="s">
        <v>1392</v>
      </c>
      <c r="AH96" s="13">
        <v>29.632000000000001</v>
      </c>
      <c r="AI96" s="12"/>
      <c r="AJ96" s="40"/>
      <c r="AK96" s="40"/>
    </row>
    <row r="97" spans="2:37" s="41" customFormat="1" ht="16.149999999999999" customHeight="1">
      <c r="B97" s="105"/>
      <c r="C97" s="105" t="s">
        <v>697</v>
      </c>
      <c r="D97" s="4"/>
      <c r="E97" s="82" t="s">
        <v>700</v>
      </c>
      <c r="F97" s="13">
        <v>29.744</v>
      </c>
      <c r="G97" s="14">
        <f t="shared" si="28"/>
        <v>29744</v>
      </c>
      <c r="H97" s="49">
        <v>8</v>
      </c>
      <c r="I97" s="83" t="s">
        <v>1029</v>
      </c>
      <c r="J97" s="85" t="s">
        <v>991</v>
      </c>
      <c r="K97" s="82">
        <v>14802</v>
      </c>
      <c r="L97" s="4"/>
      <c r="M97" s="85" t="s">
        <v>1025</v>
      </c>
      <c r="N97" s="82" t="s">
        <v>1030</v>
      </c>
      <c r="O97" s="4"/>
      <c r="P97" s="4"/>
      <c r="Q97" s="5">
        <v>51540</v>
      </c>
      <c r="R97" s="36"/>
      <c r="S97" s="36"/>
      <c r="T97" s="37"/>
      <c r="U97" s="5">
        <f t="shared" si="29"/>
        <v>51540</v>
      </c>
      <c r="V97" s="5">
        <f t="shared" si="30"/>
        <v>1533005.76</v>
      </c>
      <c r="W97" s="5">
        <f t="shared" si="31"/>
        <v>275941.0368</v>
      </c>
      <c r="X97" s="5"/>
      <c r="Y97" s="5"/>
      <c r="Z97" s="98"/>
      <c r="AA97" s="23">
        <f t="shared" si="32"/>
        <v>0</v>
      </c>
      <c r="AB97" s="97">
        <f t="shared" si="33"/>
        <v>0</v>
      </c>
      <c r="AC97" s="43"/>
      <c r="AD97" s="46"/>
      <c r="AE97" s="5">
        <f t="shared" si="34"/>
        <v>1808946.7968000001</v>
      </c>
      <c r="AF97" s="114">
        <v>424</v>
      </c>
      <c r="AG97" s="114" t="s">
        <v>1392</v>
      </c>
      <c r="AH97" s="13">
        <v>29.744</v>
      </c>
      <c r="AI97" s="12"/>
      <c r="AJ97" s="40"/>
      <c r="AK97" s="40"/>
    </row>
    <row r="98" spans="2:37" s="41" customFormat="1" ht="16.149999999999999" customHeight="1">
      <c r="B98" s="83"/>
      <c r="C98" s="1"/>
      <c r="D98" s="4"/>
      <c r="E98" s="82" t="s">
        <v>700</v>
      </c>
      <c r="F98" s="13">
        <v>26.024999999999999</v>
      </c>
      <c r="G98" s="14">
        <f t="shared" si="28"/>
        <v>26025</v>
      </c>
      <c r="H98" s="49">
        <v>7</v>
      </c>
      <c r="I98" s="83" t="s">
        <v>1031</v>
      </c>
      <c r="J98" s="85" t="s">
        <v>991</v>
      </c>
      <c r="K98" s="82">
        <v>14793</v>
      </c>
      <c r="L98" s="4"/>
      <c r="M98" s="85" t="s">
        <v>1025</v>
      </c>
      <c r="N98" s="82" t="s">
        <v>1032</v>
      </c>
      <c r="O98" s="4"/>
      <c r="P98" s="4"/>
      <c r="Q98" s="5">
        <v>51540</v>
      </c>
      <c r="R98" s="36"/>
      <c r="S98" s="36"/>
      <c r="T98" s="37"/>
      <c r="U98" s="5">
        <f t="shared" si="29"/>
        <v>51540</v>
      </c>
      <c r="V98" s="5">
        <f t="shared" si="30"/>
        <v>1341328.5</v>
      </c>
      <c r="W98" s="5">
        <f t="shared" si="31"/>
        <v>241439.13</v>
      </c>
      <c r="X98" s="5"/>
      <c r="Y98" s="5"/>
      <c r="Z98" s="98"/>
      <c r="AA98" s="23">
        <f t="shared" si="32"/>
        <v>0</v>
      </c>
      <c r="AB98" s="97">
        <f t="shared" si="33"/>
        <v>0</v>
      </c>
      <c r="AC98" s="43"/>
      <c r="AD98" s="46"/>
      <c r="AE98" s="5">
        <f t="shared" si="34"/>
        <v>1582767.63</v>
      </c>
      <c r="AF98" s="114">
        <v>423</v>
      </c>
      <c r="AG98" s="114" t="s">
        <v>1392</v>
      </c>
      <c r="AH98" s="13">
        <v>26.024999999999999</v>
      </c>
      <c r="AI98" s="12"/>
      <c r="AJ98" s="40"/>
      <c r="AK98" s="40"/>
    </row>
    <row r="99" spans="2:37" s="41" customFormat="1" ht="16.149999999999999" customHeight="1">
      <c r="B99" s="83"/>
      <c r="C99" s="1"/>
      <c r="D99" s="4"/>
      <c r="E99" s="82" t="s">
        <v>700</v>
      </c>
      <c r="F99" s="13">
        <v>25.998999999999999</v>
      </c>
      <c r="G99" s="14">
        <f t="shared" si="28"/>
        <v>25999</v>
      </c>
      <c r="H99" s="49">
        <v>7</v>
      </c>
      <c r="I99" s="83" t="s">
        <v>1034</v>
      </c>
      <c r="J99" s="85" t="s">
        <v>991</v>
      </c>
      <c r="K99" s="82">
        <v>10341</v>
      </c>
      <c r="L99" s="4"/>
      <c r="M99" s="85" t="s">
        <v>1025</v>
      </c>
      <c r="N99" s="82" t="s">
        <v>1033</v>
      </c>
      <c r="O99" s="4"/>
      <c r="P99" s="4"/>
      <c r="Q99" s="5">
        <v>51540</v>
      </c>
      <c r="R99" s="36"/>
      <c r="S99" s="36"/>
      <c r="T99" s="37"/>
      <c r="U99" s="5">
        <f t="shared" si="29"/>
        <v>51540</v>
      </c>
      <c r="V99" s="5">
        <f t="shared" si="30"/>
        <v>1339988.46</v>
      </c>
      <c r="W99" s="5">
        <f t="shared" si="31"/>
        <v>241197.92279999997</v>
      </c>
      <c r="X99" s="5"/>
      <c r="Y99" s="5"/>
      <c r="Z99" s="98"/>
      <c r="AA99" s="23">
        <f t="shared" si="32"/>
        <v>0</v>
      </c>
      <c r="AB99" s="97">
        <f t="shared" si="33"/>
        <v>0</v>
      </c>
      <c r="AC99" s="43"/>
      <c r="AD99" s="46"/>
      <c r="AE99" s="5">
        <f t="shared" si="34"/>
        <v>1581186.3828</v>
      </c>
      <c r="AF99" s="114">
        <v>422</v>
      </c>
      <c r="AG99" s="114" t="s">
        <v>1392</v>
      </c>
      <c r="AH99" s="13">
        <v>25.998999999999999</v>
      </c>
      <c r="AI99" s="12"/>
      <c r="AJ99" s="40"/>
      <c r="AK99" s="40"/>
    </row>
    <row r="100" spans="2:37" s="41" customFormat="1" ht="16.149999999999999" customHeight="1">
      <c r="B100" s="83"/>
      <c r="C100" s="1"/>
      <c r="D100" s="4"/>
      <c r="E100" s="82" t="s">
        <v>700</v>
      </c>
      <c r="F100" s="13">
        <v>26.047000000000001</v>
      </c>
      <c r="G100" s="14">
        <f t="shared" si="28"/>
        <v>26047</v>
      </c>
      <c r="H100" s="49">
        <v>7</v>
      </c>
      <c r="I100" s="83" t="s">
        <v>1038</v>
      </c>
      <c r="J100" s="85" t="s">
        <v>991</v>
      </c>
      <c r="K100" s="82">
        <v>14814</v>
      </c>
      <c r="L100" s="4"/>
      <c r="M100" s="85" t="s">
        <v>1039</v>
      </c>
      <c r="N100" s="82" t="s">
        <v>1040</v>
      </c>
      <c r="O100" s="4"/>
      <c r="P100" s="4"/>
      <c r="Q100" s="5">
        <v>51540</v>
      </c>
      <c r="R100" s="36"/>
      <c r="S100" s="36"/>
      <c r="T100" s="37"/>
      <c r="U100" s="5">
        <f t="shared" si="29"/>
        <v>51540</v>
      </c>
      <c r="V100" s="5">
        <f t="shared" si="30"/>
        <v>1342462.3800000001</v>
      </c>
      <c r="W100" s="5">
        <f t="shared" si="31"/>
        <v>241643.22840000002</v>
      </c>
      <c r="X100" s="5"/>
      <c r="Y100" s="5"/>
      <c r="Z100" s="98"/>
      <c r="AA100" s="23">
        <f t="shared" si="32"/>
        <v>0</v>
      </c>
      <c r="AB100" s="97">
        <f t="shared" si="33"/>
        <v>0</v>
      </c>
      <c r="AC100" s="43"/>
      <c r="AD100" s="46"/>
      <c r="AE100" s="5">
        <f t="shared" si="34"/>
        <v>1584105.6084000003</v>
      </c>
      <c r="AF100" s="114">
        <v>426</v>
      </c>
      <c r="AG100" s="114" t="s">
        <v>1392</v>
      </c>
      <c r="AH100" s="13">
        <v>26.047000000000001</v>
      </c>
      <c r="AI100" s="12"/>
      <c r="AJ100" s="40"/>
      <c r="AK100" s="40"/>
    </row>
    <row r="101" spans="2:37" s="41" customFormat="1" ht="16.149999999999999" customHeight="1">
      <c r="B101" s="83"/>
      <c r="C101" s="1"/>
      <c r="D101" s="4"/>
      <c r="E101" s="82" t="s">
        <v>700</v>
      </c>
      <c r="F101" s="13">
        <v>40.96</v>
      </c>
      <c r="G101" s="14">
        <f t="shared" si="28"/>
        <v>40960</v>
      </c>
      <c r="H101" s="49">
        <v>11</v>
      </c>
      <c r="I101" s="83" t="s">
        <v>1041</v>
      </c>
      <c r="J101" s="85" t="s">
        <v>991</v>
      </c>
      <c r="K101" s="82">
        <v>14815</v>
      </c>
      <c r="L101" s="4"/>
      <c r="M101" s="85" t="s">
        <v>1039</v>
      </c>
      <c r="N101" s="82" t="s">
        <v>1042</v>
      </c>
      <c r="O101" s="4"/>
      <c r="P101" s="4"/>
      <c r="Q101" s="5">
        <v>51540</v>
      </c>
      <c r="R101" s="36"/>
      <c r="S101" s="36"/>
      <c r="T101" s="37"/>
      <c r="U101" s="5">
        <f t="shared" si="29"/>
        <v>51540</v>
      </c>
      <c r="V101" s="5">
        <f t="shared" si="30"/>
        <v>2111078.3999999999</v>
      </c>
      <c r="W101" s="5">
        <f t="shared" si="31"/>
        <v>379994.11199999996</v>
      </c>
      <c r="X101" s="5"/>
      <c r="Y101" s="5"/>
      <c r="Z101" s="98"/>
      <c r="AA101" s="23">
        <f t="shared" si="32"/>
        <v>0</v>
      </c>
      <c r="AB101" s="97">
        <f t="shared" si="33"/>
        <v>0</v>
      </c>
      <c r="AC101" s="43"/>
      <c r="AD101" s="46"/>
      <c r="AE101" s="5">
        <f t="shared" si="34"/>
        <v>2491072.5120000001</v>
      </c>
      <c r="AF101" s="114">
        <v>427</v>
      </c>
      <c r="AG101" s="114" t="s">
        <v>1392</v>
      </c>
      <c r="AH101" s="13">
        <v>40.96</v>
      </c>
      <c r="AI101" s="12"/>
      <c r="AJ101" s="40"/>
      <c r="AK101" s="40"/>
    </row>
    <row r="102" spans="2:37" s="41" customFormat="1" ht="16.149999999999999" customHeight="1">
      <c r="B102" s="83"/>
      <c r="C102" s="1"/>
      <c r="D102" s="4"/>
      <c r="E102" s="82" t="s">
        <v>700</v>
      </c>
      <c r="F102" s="13">
        <v>1.8620000000000001</v>
      </c>
      <c r="G102" s="14">
        <f t="shared" si="28"/>
        <v>1862</v>
      </c>
      <c r="H102" s="49">
        <v>1</v>
      </c>
      <c r="I102" s="83" t="s">
        <v>1046</v>
      </c>
      <c r="J102" s="85" t="s">
        <v>1016</v>
      </c>
      <c r="K102" s="82">
        <v>11735</v>
      </c>
      <c r="L102" s="4"/>
      <c r="M102" s="85" t="s">
        <v>1039</v>
      </c>
      <c r="N102" s="82" t="s">
        <v>1047</v>
      </c>
      <c r="O102" s="4"/>
      <c r="P102" s="4"/>
      <c r="Q102" s="5">
        <v>51540</v>
      </c>
      <c r="R102" s="36"/>
      <c r="S102" s="36"/>
      <c r="T102" s="37"/>
      <c r="U102" s="5">
        <f t="shared" si="29"/>
        <v>51540</v>
      </c>
      <c r="V102" s="5">
        <f t="shared" si="30"/>
        <v>95967.48000000001</v>
      </c>
      <c r="W102" s="5">
        <f t="shared" si="31"/>
        <v>17274.146400000001</v>
      </c>
      <c r="X102" s="5"/>
      <c r="Y102" s="5"/>
      <c r="Z102" s="98"/>
      <c r="AA102" s="23">
        <f t="shared" si="32"/>
        <v>0</v>
      </c>
      <c r="AB102" s="97">
        <f t="shared" si="33"/>
        <v>0</v>
      </c>
      <c r="AC102" s="43"/>
      <c r="AD102" s="46"/>
      <c r="AE102" s="5">
        <f t="shared" si="34"/>
        <v>113241.62640000001</v>
      </c>
      <c r="AF102" s="114">
        <v>430</v>
      </c>
      <c r="AG102" s="114" t="s">
        <v>1392</v>
      </c>
      <c r="AH102" s="13">
        <v>1.8620000000000001</v>
      </c>
      <c r="AI102" s="12"/>
      <c r="AJ102" s="40"/>
      <c r="AK102" s="40"/>
    </row>
    <row r="103" spans="2:37" s="41" customFormat="1" ht="16.149999999999999" customHeight="1">
      <c r="B103" s="12"/>
      <c r="C103" s="1"/>
      <c r="D103" s="4"/>
      <c r="E103" s="82" t="s">
        <v>700</v>
      </c>
      <c r="F103" s="13">
        <v>37.238</v>
      </c>
      <c r="G103" s="14">
        <f t="shared" si="28"/>
        <v>37238</v>
      </c>
      <c r="H103" s="49">
        <v>10</v>
      </c>
      <c r="I103" s="83" t="s">
        <v>1048</v>
      </c>
      <c r="J103" s="85" t="s">
        <v>1016</v>
      </c>
      <c r="K103" s="82">
        <v>11734</v>
      </c>
      <c r="L103" s="4"/>
      <c r="M103" s="85" t="s">
        <v>1039</v>
      </c>
      <c r="N103" s="82" t="s">
        <v>1047</v>
      </c>
      <c r="O103" s="4"/>
      <c r="P103" s="4"/>
      <c r="Q103" s="5">
        <v>51540</v>
      </c>
      <c r="R103" s="36"/>
      <c r="S103" s="36"/>
      <c r="T103" s="37"/>
      <c r="U103" s="5">
        <f t="shared" si="29"/>
        <v>51540</v>
      </c>
      <c r="V103" s="5">
        <f t="shared" si="30"/>
        <v>1919246.52</v>
      </c>
      <c r="W103" s="5">
        <f t="shared" si="31"/>
        <v>345464.37359999999</v>
      </c>
      <c r="X103" s="5"/>
      <c r="Y103" s="5"/>
      <c r="Z103" s="98"/>
      <c r="AA103" s="23">
        <f t="shared" si="32"/>
        <v>0</v>
      </c>
      <c r="AB103" s="97">
        <f t="shared" si="33"/>
        <v>0</v>
      </c>
      <c r="AC103" s="43"/>
      <c r="AD103" s="46"/>
      <c r="AE103" s="5">
        <f t="shared" si="34"/>
        <v>2264710.8936000001</v>
      </c>
      <c r="AF103" s="114">
        <v>429</v>
      </c>
      <c r="AG103" s="114" t="s">
        <v>1392</v>
      </c>
      <c r="AH103" s="13">
        <v>37.238</v>
      </c>
      <c r="AI103" s="12"/>
      <c r="AJ103" s="40"/>
      <c r="AK103" s="40"/>
    </row>
    <row r="104" spans="2:37" s="41" customFormat="1" ht="16.149999999999999" customHeight="1">
      <c r="B104" s="12"/>
      <c r="C104" s="1"/>
      <c r="D104" s="4"/>
      <c r="E104" s="82" t="s">
        <v>700</v>
      </c>
      <c r="F104" s="13">
        <v>40.92</v>
      </c>
      <c r="G104" s="14">
        <f t="shared" si="28"/>
        <v>40920</v>
      </c>
      <c r="H104" s="49">
        <v>11</v>
      </c>
      <c r="I104" s="83" t="s">
        <v>1137</v>
      </c>
      <c r="J104" s="85" t="s">
        <v>991</v>
      </c>
      <c r="K104" s="82">
        <v>11721</v>
      </c>
      <c r="L104" s="4"/>
      <c r="M104" s="85" t="s">
        <v>1135</v>
      </c>
      <c r="N104" s="82" t="s">
        <v>1138</v>
      </c>
      <c r="O104" s="4"/>
      <c r="P104" s="4"/>
      <c r="Q104" s="5">
        <v>51540</v>
      </c>
      <c r="R104" s="36"/>
      <c r="S104" s="36"/>
      <c r="T104" s="37"/>
      <c r="U104" s="5">
        <f t="shared" si="29"/>
        <v>51540</v>
      </c>
      <c r="V104" s="5">
        <f t="shared" si="30"/>
        <v>2109016.8000000003</v>
      </c>
      <c r="W104" s="5">
        <f t="shared" si="31"/>
        <v>379623.02400000003</v>
      </c>
      <c r="X104" s="5"/>
      <c r="Y104" s="5"/>
      <c r="Z104" s="98"/>
      <c r="AA104" s="23">
        <f t="shared" si="32"/>
        <v>0</v>
      </c>
      <c r="AB104" s="97">
        <f t="shared" si="33"/>
        <v>0</v>
      </c>
      <c r="AC104" s="43"/>
      <c r="AD104" s="46"/>
      <c r="AE104" s="5">
        <f t="shared" si="34"/>
        <v>2488639.8240000005</v>
      </c>
      <c r="AF104" s="114">
        <v>421</v>
      </c>
      <c r="AG104" s="114" t="s">
        <v>1392</v>
      </c>
      <c r="AH104" s="13">
        <v>40.92</v>
      </c>
      <c r="AI104" s="12"/>
      <c r="AJ104" s="40"/>
      <c r="AK104" s="40"/>
    </row>
    <row r="105" spans="2:37" s="41" customFormat="1" ht="16.149999999999999" customHeight="1">
      <c r="B105" s="12"/>
      <c r="C105" s="1"/>
      <c r="D105" s="4"/>
      <c r="E105" s="82" t="s">
        <v>700</v>
      </c>
      <c r="F105" s="13">
        <v>29.725000000000001</v>
      </c>
      <c r="G105" s="14">
        <f t="shared" si="28"/>
        <v>29725</v>
      </c>
      <c r="H105" s="49">
        <v>8</v>
      </c>
      <c r="I105" s="83" t="s">
        <v>1146</v>
      </c>
      <c r="J105" s="85" t="s">
        <v>1025</v>
      </c>
      <c r="K105" s="82">
        <v>10124</v>
      </c>
      <c r="L105" s="4"/>
      <c r="M105" s="85" t="s">
        <v>1144</v>
      </c>
      <c r="N105" s="82" t="s">
        <v>1147</v>
      </c>
      <c r="O105" s="4"/>
      <c r="P105" s="4"/>
      <c r="Q105" s="5">
        <v>51540</v>
      </c>
      <c r="R105" s="36"/>
      <c r="S105" s="36"/>
      <c r="T105" s="37"/>
      <c r="U105" s="5">
        <f t="shared" si="29"/>
        <v>51540</v>
      </c>
      <c r="V105" s="5">
        <f t="shared" si="30"/>
        <v>1532026.5</v>
      </c>
      <c r="W105" s="5">
        <f t="shared" si="31"/>
        <v>275764.77</v>
      </c>
      <c r="X105" s="5"/>
      <c r="Y105" s="5"/>
      <c r="Z105" s="98"/>
      <c r="AA105" s="23">
        <f t="shared" si="32"/>
        <v>0</v>
      </c>
      <c r="AB105" s="97">
        <f t="shared" si="33"/>
        <v>0</v>
      </c>
      <c r="AC105" s="43"/>
      <c r="AD105" s="46"/>
      <c r="AE105" s="5">
        <f t="shared" si="34"/>
        <v>1807791.27</v>
      </c>
      <c r="AF105" s="114">
        <v>434</v>
      </c>
      <c r="AG105" s="114" t="s">
        <v>1392</v>
      </c>
      <c r="AH105" s="13">
        <v>29.725000000000001</v>
      </c>
      <c r="AI105" s="12"/>
      <c r="AJ105" s="40"/>
      <c r="AK105" s="40"/>
    </row>
    <row r="106" spans="2:37" s="41" customFormat="1" ht="16.149999999999999" customHeight="1">
      <c r="B106" s="12"/>
      <c r="C106" s="1"/>
      <c r="D106" s="4"/>
      <c r="E106" s="82" t="s">
        <v>700</v>
      </c>
      <c r="F106" s="13">
        <v>29.8</v>
      </c>
      <c r="G106" s="14">
        <f t="shared" si="28"/>
        <v>29800</v>
      </c>
      <c r="H106" s="49">
        <v>8</v>
      </c>
      <c r="I106" s="83" t="s">
        <v>1148</v>
      </c>
      <c r="J106" s="85" t="s">
        <v>1025</v>
      </c>
      <c r="K106" s="82">
        <v>10125</v>
      </c>
      <c r="L106" s="4"/>
      <c r="M106" s="85" t="s">
        <v>1144</v>
      </c>
      <c r="N106" s="82" t="s">
        <v>1149</v>
      </c>
      <c r="O106" s="4"/>
      <c r="P106" s="4"/>
      <c r="Q106" s="5">
        <v>51540</v>
      </c>
      <c r="R106" s="36"/>
      <c r="S106" s="36"/>
      <c r="T106" s="37"/>
      <c r="U106" s="5">
        <f t="shared" si="29"/>
        <v>51540</v>
      </c>
      <c r="V106" s="5">
        <f t="shared" si="30"/>
        <v>1535892</v>
      </c>
      <c r="W106" s="5">
        <f t="shared" si="31"/>
        <v>276460.56</v>
      </c>
      <c r="X106" s="5"/>
      <c r="Y106" s="5"/>
      <c r="Z106" s="98"/>
      <c r="AA106" s="23">
        <f t="shared" si="32"/>
        <v>0</v>
      </c>
      <c r="AB106" s="97">
        <f t="shared" si="33"/>
        <v>0</v>
      </c>
      <c r="AC106" s="43"/>
      <c r="AD106" s="46"/>
      <c r="AE106" s="5">
        <f t="shared" si="34"/>
        <v>1812352.56</v>
      </c>
      <c r="AF106" s="114">
        <v>435</v>
      </c>
      <c r="AG106" s="114" t="s">
        <v>1392</v>
      </c>
      <c r="AH106" s="13">
        <v>29.8</v>
      </c>
      <c r="AI106" s="12"/>
      <c r="AJ106" s="40"/>
      <c r="AK106" s="40"/>
    </row>
    <row r="107" spans="2:37" s="41" customFormat="1" ht="16.149999999999999" customHeight="1">
      <c r="B107" s="12"/>
      <c r="C107" s="1"/>
      <c r="D107" s="4"/>
      <c r="E107" s="82" t="s">
        <v>700</v>
      </c>
      <c r="F107" s="13">
        <v>21.678999999999998</v>
      </c>
      <c r="G107" s="14">
        <f t="shared" si="28"/>
        <v>21679</v>
      </c>
      <c r="H107" s="49">
        <v>7</v>
      </c>
      <c r="I107" s="83" t="s">
        <v>1301</v>
      </c>
      <c r="J107" s="85" t="s">
        <v>1155</v>
      </c>
      <c r="K107" s="82">
        <v>15010</v>
      </c>
      <c r="L107" s="4"/>
      <c r="M107" s="85" t="s">
        <v>1297</v>
      </c>
      <c r="N107" s="82" t="s">
        <v>1345</v>
      </c>
      <c r="O107" s="4"/>
      <c r="P107" s="4"/>
      <c r="Q107" s="5">
        <v>51540</v>
      </c>
      <c r="R107" s="36"/>
      <c r="S107" s="36"/>
      <c r="T107" s="37"/>
      <c r="U107" s="5">
        <f t="shared" si="29"/>
        <v>51540</v>
      </c>
      <c r="V107" s="5">
        <f t="shared" si="30"/>
        <v>1117335.6599999999</v>
      </c>
      <c r="W107" s="5">
        <f t="shared" si="31"/>
        <v>201120.41879999998</v>
      </c>
      <c r="X107" s="5"/>
      <c r="Y107" s="5"/>
      <c r="Z107" s="98"/>
      <c r="AA107" s="23">
        <f t="shared" si="32"/>
        <v>0</v>
      </c>
      <c r="AB107" s="97">
        <f t="shared" si="33"/>
        <v>0</v>
      </c>
      <c r="AC107" s="43"/>
      <c r="AD107" s="46"/>
      <c r="AE107" s="5">
        <f t="shared" si="34"/>
        <v>1318456.0787999998</v>
      </c>
      <c r="AF107" s="114">
        <v>460</v>
      </c>
      <c r="AG107" s="114" t="s">
        <v>1392</v>
      </c>
      <c r="AH107" s="13">
        <v>21.678999999999998</v>
      </c>
      <c r="AI107" s="12"/>
      <c r="AJ107" s="40"/>
      <c r="AK107" s="40"/>
    </row>
    <row r="108" spans="2:37" s="41" customFormat="1" ht="16.149999999999999" customHeight="1">
      <c r="B108" s="12"/>
      <c r="C108" s="1"/>
      <c r="D108" s="4"/>
      <c r="E108" s="82" t="s">
        <v>700</v>
      </c>
      <c r="F108" s="13">
        <f>22.308+8.056</f>
        <v>30.363999999999997</v>
      </c>
      <c r="G108" s="14">
        <f t="shared" si="28"/>
        <v>30363.999999999996</v>
      </c>
      <c r="H108" s="49">
        <f>6+3</f>
        <v>9</v>
      </c>
      <c r="I108" s="83" t="s">
        <v>1342</v>
      </c>
      <c r="J108" s="85" t="s">
        <v>1155</v>
      </c>
      <c r="K108" s="82">
        <v>15009</v>
      </c>
      <c r="L108" s="4"/>
      <c r="M108" s="85" t="s">
        <v>1332</v>
      </c>
      <c r="N108" s="82" t="s">
        <v>1343</v>
      </c>
      <c r="O108" s="4"/>
      <c r="P108" s="4"/>
      <c r="Q108" s="5">
        <v>51540</v>
      </c>
      <c r="R108" s="36"/>
      <c r="S108" s="36"/>
      <c r="T108" s="37"/>
      <c r="U108" s="5">
        <f t="shared" si="29"/>
        <v>51540</v>
      </c>
      <c r="V108" s="5">
        <f t="shared" si="30"/>
        <v>1564960.5599999998</v>
      </c>
      <c r="W108" s="5">
        <f t="shared" si="31"/>
        <v>281692.90079999994</v>
      </c>
      <c r="X108" s="5"/>
      <c r="Y108" s="5"/>
      <c r="Z108" s="98"/>
      <c r="AA108" s="23">
        <f t="shared" si="32"/>
        <v>0</v>
      </c>
      <c r="AB108" s="97">
        <f t="shared" si="33"/>
        <v>0</v>
      </c>
      <c r="AC108" s="43"/>
      <c r="AD108" s="46"/>
      <c r="AE108" s="5">
        <f t="shared" si="34"/>
        <v>1846653.4607999998</v>
      </c>
      <c r="AF108" s="114">
        <v>458</v>
      </c>
      <c r="AG108" s="114" t="s">
        <v>1392</v>
      </c>
      <c r="AH108" s="13">
        <f>22.308+8.056</f>
        <v>30.363999999999997</v>
      </c>
      <c r="AI108" s="12"/>
      <c r="AJ108" s="40"/>
      <c r="AK108" s="40"/>
    </row>
    <row r="109" spans="2:37" s="41" customFormat="1">
      <c r="B109" s="92"/>
      <c r="C109" s="48"/>
      <c r="D109" s="6"/>
      <c r="E109" s="6"/>
      <c r="F109" s="81">
        <f>SUM(F95:F108)</f>
        <v>407.21699999999998</v>
      </c>
      <c r="G109" s="20">
        <f>SUM(G95:G108)</f>
        <v>407217</v>
      </c>
      <c r="H109" s="21">
        <f>SUM(H95:H108)</f>
        <v>112</v>
      </c>
      <c r="I109" s="2"/>
      <c r="J109" s="7"/>
      <c r="K109" s="7"/>
      <c r="L109" s="7"/>
      <c r="M109" s="2"/>
      <c r="N109" s="6"/>
      <c r="O109" s="6"/>
      <c r="P109" s="6"/>
      <c r="Q109" s="19"/>
      <c r="R109" s="9"/>
      <c r="S109" s="9"/>
      <c r="T109" s="10"/>
      <c r="U109" s="8"/>
      <c r="V109" s="21">
        <f>SUM(V95:V108)</f>
        <v>20987964.18</v>
      </c>
      <c r="W109" s="21">
        <f>SUM(W95:W108)</f>
        <v>3777833.5524000004</v>
      </c>
      <c r="X109" s="21">
        <f>SUM(X95:X108)</f>
        <v>0</v>
      </c>
      <c r="Y109" s="21">
        <f>SUM(Y95:Y108)</f>
        <v>0</v>
      </c>
      <c r="Z109" s="99"/>
      <c r="AA109" s="21">
        <f>SUM(AA95:AA108)</f>
        <v>0</v>
      </c>
      <c r="AB109" s="21">
        <f>SUM(AB95:AB108)</f>
        <v>0</v>
      </c>
      <c r="AC109" s="21"/>
      <c r="AD109" s="21">
        <f>SUM(AD95:AD108)</f>
        <v>0</v>
      </c>
      <c r="AE109" s="21">
        <f>SUM(AE95:AE108)</f>
        <v>24765797.7324</v>
      </c>
      <c r="AF109" s="21"/>
      <c r="AG109" s="42"/>
      <c r="AH109" s="81">
        <f>SUM(AH95:AH108)</f>
        <v>407.21699999999998</v>
      </c>
      <c r="AI109" s="26">
        <f>AH109-F109</f>
        <v>0</v>
      </c>
      <c r="AJ109" s="41">
        <f>AA109/F109</f>
        <v>0</v>
      </c>
      <c r="AK109" s="40"/>
    </row>
    <row r="110" spans="2:37">
      <c r="B110" s="15"/>
      <c r="C110" s="18"/>
      <c r="D110" s="11"/>
      <c r="E110" s="18" t="s">
        <v>16</v>
      </c>
      <c r="F110" s="16">
        <f>SUM(F3:F109)/2</f>
        <v>2667.3999999999992</v>
      </c>
      <c r="G110" s="17">
        <f>SUM(G3:G109)/2</f>
        <v>2667400</v>
      </c>
      <c r="H110" s="17">
        <f>SUM(H3:H109)/2</f>
        <v>1110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7"/>
      <c r="V110" s="17">
        <f>SUM(V3:V109)/2</f>
        <v>138165214.99999997</v>
      </c>
      <c r="W110" s="17">
        <f>SUM(W3:W109)/2</f>
        <v>24869738.699999992</v>
      </c>
      <c r="X110" s="17"/>
      <c r="Y110" s="22"/>
      <c r="Z110" s="17"/>
      <c r="AA110" s="17" t="e">
        <f>SUM(#REF!)/2</f>
        <v>#REF!</v>
      </c>
      <c r="AB110" s="17"/>
      <c r="AC110" s="22"/>
      <c r="AD110" s="17"/>
      <c r="AE110" s="17">
        <f>SUM(AE3:AE109)/2</f>
        <v>163034953.69999999</v>
      </c>
      <c r="AF110" s="22"/>
      <c r="AG110" s="16"/>
      <c r="AH110" s="17" t="e">
        <f>SUM(#REF!)/2</f>
        <v>#REF!</v>
      </c>
      <c r="AI110" s="110">
        <f>SUM(AI3:AI109)/2</f>
        <v>0</v>
      </c>
    </row>
    <row r="113" spans="6:6">
      <c r="F113" s="90"/>
    </row>
    <row r="118" spans="6:6">
      <c r="F118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AO17"/>
  <sheetViews>
    <sheetView showZeros="0" zoomScale="85" zoomScaleNormal="85" workbookViewId="0">
      <pane xSplit="22" ySplit="2" topLeftCell="W3" activePane="bottomRight" state="frozen"/>
      <selection pane="topRight" activeCell="W1" sqref="W1"/>
      <selection pane="bottomLeft" activeCell="A3" sqref="A3"/>
      <selection pane="bottomRight" activeCell="F8" sqref="F8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hidden="1" customWidth="1"/>
    <col min="13" max="13" width="9.7109375" style="38" customWidth="1"/>
    <col min="14" max="14" width="18.140625" style="38" customWidth="1"/>
    <col min="15" max="15" width="10.7109375" style="38" hidden="1" customWidth="1"/>
    <col min="16" max="16" width="11.28515625" style="38" hidden="1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26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04" t="s">
        <v>702</v>
      </c>
      <c r="C3" s="86" t="s">
        <v>1368</v>
      </c>
      <c r="D3" s="4"/>
      <c r="E3" s="86" t="s">
        <v>1370</v>
      </c>
      <c r="F3" s="13">
        <v>39.86</v>
      </c>
      <c r="G3" s="14">
        <f t="shared" ref="G3:G7" si="0">+F3*1000</f>
        <v>39860</v>
      </c>
      <c r="H3" s="49">
        <v>25</v>
      </c>
      <c r="I3" s="83" t="s">
        <v>1387</v>
      </c>
      <c r="J3" s="85" t="s">
        <v>1371</v>
      </c>
      <c r="K3" s="82">
        <v>11937</v>
      </c>
      <c r="L3" s="82"/>
      <c r="M3" s="85" t="s">
        <v>1372</v>
      </c>
      <c r="N3" s="82" t="s">
        <v>1373</v>
      </c>
      <c r="O3" s="4"/>
      <c r="P3" s="4"/>
      <c r="Q3" s="5">
        <v>46250</v>
      </c>
      <c r="R3" s="36"/>
      <c r="S3" s="36"/>
      <c r="T3" s="37"/>
      <c r="U3" s="5">
        <f t="shared" ref="U3:U7" si="1">S3+R3+Q3-T3</f>
        <v>46250</v>
      </c>
      <c r="V3" s="5">
        <f t="shared" ref="V3:V7" si="2">F3*U3</f>
        <v>1843525</v>
      </c>
      <c r="W3" s="5">
        <f>V3*18%</f>
        <v>331834.5</v>
      </c>
      <c r="X3" s="5"/>
      <c r="Y3" s="5"/>
      <c r="Z3" s="98"/>
      <c r="AA3" s="23">
        <f t="shared" ref="AA3:AA7" si="3">F3*Z3</f>
        <v>0</v>
      </c>
      <c r="AB3" s="97">
        <f t="shared" ref="AB3:AB7" si="4">AA3*18%</f>
        <v>0</v>
      </c>
      <c r="AC3" s="43"/>
      <c r="AD3" s="46"/>
      <c r="AE3" s="5">
        <f t="shared" ref="AE3:AE7" si="5">+AB3+AA3+Y3+X3+W3+V3-AC3+AD3</f>
        <v>2175359.5</v>
      </c>
      <c r="AF3" s="47">
        <v>109</v>
      </c>
      <c r="AG3" s="44" t="s">
        <v>1385</v>
      </c>
      <c r="AH3" s="13">
        <v>39.86</v>
      </c>
      <c r="AI3" s="12"/>
      <c r="AJ3" s="40"/>
      <c r="AK3" s="40"/>
    </row>
    <row r="4" spans="2:41" s="41" customFormat="1" ht="16.149999999999999" customHeight="1">
      <c r="B4" s="70" t="s">
        <v>918</v>
      </c>
      <c r="C4" s="86" t="s">
        <v>1369</v>
      </c>
      <c r="D4" s="4"/>
      <c r="E4" s="86" t="s">
        <v>1370</v>
      </c>
      <c r="F4" s="13">
        <v>41.4</v>
      </c>
      <c r="G4" s="14">
        <f t="shared" si="0"/>
        <v>41400</v>
      </c>
      <c r="H4" s="49">
        <v>26</v>
      </c>
      <c r="I4" s="83" t="s">
        <v>1374</v>
      </c>
      <c r="J4" s="85" t="s">
        <v>1375</v>
      </c>
      <c r="K4" s="82">
        <v>10397</v>
      </c>
      <c r="L4" s="82"/>
      <c r="M4" s="85" t="s">
        <v>1372</v>
      </c>
      <c r="N4" s="82" t="s">
        <v>1376</v>
      </c>
      <c r="O4" s="4"/>
      <c r="P4" s="4"/>
      <c r="Q4" s="5">
        <v>46250</v>
      </c>
      <c r="R4" s="36"/>
      <c r="S4" s="36"/>
      <c r="T4" s="37"/>
      <c r="U4" s="5">
        <f t="shared" si="1"/>
        <v>46250</v>
      </c>
      <c r="V4" s="5">
        <f t="shared" si="2"/>
        <v>1914750</v>
      </c>
      <c r="W4" s="5">
        <f>V4*18%</f>
        <v>344655</v>
      </c>
      <c r="X4" s="5"/>
      <c r="Y4" s="5"/>
      <c r="Z4" s="98"/>
      <c r="AA4" s="23">
        <f t="shared" si="3"/>
        <v>0</v>
      </c>
      <c r="AB4" s="97">
        <f t="shared" si="4"/>
        <v>0</v>
      </c>
      <c r="AC4" s="43"/>
      <c r="AD4" s="46"/>
      <c r="AE4" s="5">
        <f t="shared" si="5"/>
        <v>2259405</v>
      </c>
      <c r="AF4" s="47">
        <v>111</v>
      </c>
      <c r="AG4" s="44" t="s">
        <v>1385</v>
      </c>
      <c r="AH4" s="13">
        <v>41.4</v>
      </c>
      <c r="AI4" s="12"/>
      <c r="AJ4" s="40"/>
      <c r="AK4" s="40"/>
    </row>
    <row r="5" spans="2:41" s="41" customFormat="1" ht="16.149999999999999" customHeight="1">
      <c r="B5" s="105"/>
      <c r="C5" s="105"/>
      <c r="D5" s="4"/>
      <c r="E5" s="86" t="s">
        <v>1370</v>
      </c>
      <c r="F5" s="13">
        <v>39.880000000000003</v>
      </c>
      <c r="G5" s="14">
        <f t="shared" si="0"/>
        <v>39880</v>
      </c>
      <c r="H5" s="49">
        <v>25</v>
      </c>
      <c r="I5" s="83" t="s">
        <v>1377</v>
      </c>
      <c r="J5" s="85" t="s">
        <v>1371</v>
      </c>
      <c r="K5" s="82">
        <v>10044</v>
      </c>
      <c r="L5" s="82"/>
      <c r="M5" s="85" t="s">
        <v>1372</v>
      </c>
      <c r="N5" s="82" t="s">
        <v>1388</v>
      </c>
      <c r="O5" s="4"/>
      <c r="P5" s="4"/>
      <c r="Q5" s="5">
        <v>46250</v>
      </c>
      <c r="R5" s="36"/>
      <c r="S5" s="36"/>
      <c r="T5" s="37"/>
      <c r="U5" s="5">
        <f t="shared" si="1"/>
        <v>46250</v>
      </c>
      <c r="V5" s="5">
        <f t="shared" si="2"/>
        <v>1844450.0000000002</v>
      </c>
      <c r="W5" s="5">
        <f t="shared" ref="W5:W7" si="6">V5*18%</f>
        <v>332001.00000000006</v>
      </c>
      <c r="X5" s="5"/>
      <c r="Y5" s="5"/>
      <c r="Z5" s="98"/>
      <c r="AA5" s="23">
        <f t="shared" si="3"/>
        <v>0</v>
      </c>
      <c r="AB5" s="97">
        <f t="shared" si="4"/>
        <v>0</v>
      </c>
      <c r="AC5" s="43"/>
      <c r="AD5" s="46"/>
      <c r="AE5" s="5">
        <f t="shared" si="5"/>
        <v>2176451.0000000005</v>
      </c>
      <c r="AF5" s="47">
        <v>110</v>
      </c>
      <c r="AG5" s="44" t="s">
        <v>1385</v>
      </c>
      <c r="AH5" s="13">
        <v>39.880000000000003</v>
      </c>
      <c r="AI5" s="12"/>
      <c r="AJ5" s="40"/>
      <c r="AK5" s="40"/>
    </row>
    <row r="6" spans="2:41" s="41" customFormat="1" ht="16.149999999999999" customHeight="1">
      <c r="B6" s="83"/>
      <c r="C6" s="1"/>
      <c r="D6" s="4"/>
      <c r="E6" s="86" t="s">
        <v>1370</v>
      </c>
      <c r="F6" s="13">
        <v>39.880000000000003</v>
      </c>
      <c r="G6" s="14">
        <f t="shared" si="0"/>
        <v>39880</v>
      </c>
      <c r="H6" s="49">
        <v>25</v>
      </c>
      <c r="I6" s="83" t="s">
        <v>1381</v>
      </c>
      <c r="J6" s="85" t="s">
        <v>1375</v>
      </c>
      <c r="K6" s="82">
        <v>15463</v>
      </c>
      <c r="L6" s="4"/>
      <c r="M6" s="85" t="s">
        <v>1382</v>
      </c>
      <c r="N6" s="82" t="s">
        <v>1383</v>
      </c>
      <c r="O6" s="4"/>
      <c r="P6" s="4"/>
      <c r="Q6" s="5">
        <v>46250</v>
      </c>
      <c r="R6" s="36"/>
      <c r="S6" s="36"/>
      <c r="T6" s="37"/>
      <c r="U6" s="5">
        <f t="shared" si="1"/>
        <v>46250</v>
      </c>
      <c r="V6" s="5">
        <f t="shared" si="2"/>
        <v>1844450.0000000002</v>
      </c>
      <c r="W6" s="5">
        <f t="shared" si="6"/>
        <v>332001.00000000006</v>
      </c>
      <c r="X6" s="5"/>
      <c r="Y6" s="5"/>
      <c r="Z6" s="98"/>
      <c r="AA6" s="23">
        <f t="shared" si="3"/>
        <v>0</v>
      </c>
      <c r="AB6" s="97">
        <f t="shared" si="4"/>
        <v>0</v>
      </c>
      <c r="AC6" s="43"/>
      <c r="AD6" s="46"/>
      <c r="AE6" s="5">
        <f t="shared" si="5"/>
        <v>2176451.0000000005</v>
      </c>
      <c r="AF6" s="47">
        <v>149</v>
      </c>
      <c r="AG6" s="44" t="s">
        <v>1391</v>
      </c>
      <c r="AH6" s="13">
        <v>39.880000000000003</v>
      </c>
      <c r="AI6" s="12"/>
      <c r="AJ6" s="40"/>
      <c r="AK6" s="40"/>
    </row>
    <row r="7" spans="2:41" s="41" customFormat="1" ht="16.149999999999999" customHeight="1">
      <c r="B7" s="83"/>
      <c r="C7" s="1"/>
      <c r="D7" s="4"/>
      <c r="E7" s="86" t="s">
        <v>1370</v>
      </c>
      <c r="F7" s="13">
        <v>35.14</v>
      </c>
      <c r="G7" s="14">
        <f t="shared" si="0"/>
        <v>35140</v>
      </c>
      <c r="H7" s="49">
        <v>22</v>
      </c>
      <c r="I7" s="83" t="s">
        <v>1384</v>
      </c>
      <c r="J7" s="85" t="s">
        <v>1379</v>
      </c>
      <c r="K7" s="82">
        <v>15568</v>
      </c>
      <c r="L7" s="4"/>
      <c r="M7" s="85" t="s">
        <v>1385</v>
      </c>
      <c r="N7" s="82" t="s">
        <v>1386</v>
      </c>
      <c r="O7" s="4"/>
      <c r="P7" s="4"/>
      <c r="Q7" s="5">
        <v>46250</v>
      </c>
      <c r="R7" s="36"/>
      <c r="S7" s="36"/>
      <c r="T7" s="37"/>
      <c r="U7" s="5">
        <f t="shared" si="1"/>
        <v>46250</v>
      </c>
      <c r="V7" s="5">
        <f t="shared" si="2"/>
        <v>1625225</v>
      </c>
      <c r="W7" s="5">
        <f t="shared" si="6"/>
        <v>292540.5</v>
      </c>
      <c r="X7" s="5"/>
      <c r="Y7" s="5"/>
      <c r="Z7" s="98"/>
      <c r="AA7" s="23">
        <f t="shared" si="3"/>
        <v>0</v>
      </c>
      <c r="AB7" s="97">
        <f t="shared" si="4"/>
        <v>0</v>
      </c>
      <c r="AC7" s="43"/>
      <c r="AD7" s="46"/>
      <c r="AE7" s="5">
        <f t="shared" si="5"/>
        <v>1917765.5</v>
      </c>
      <c r="AF7" s="47">
        <v>150</v>
      </c>
      <c r="AG7" s="44" t="s">
        <v>1391</v>
      </c>
      <c r="AH7" s="13">
        <v>35.14</v>
      </c>
      <c r="AI7" s="12"/>
      <c r="AJ7" s="40"/>
      <c r="AK7" s="40"/>
    </row>
    <row r="8" spans="2:41" s="41" customFormat="1" ht="26.25">
      <c r="B8" s="92"/>
      <c r="C8" s="48"/>
      <c r="D8" s="6"/>
      <c r="E8" s="6"/>
      <c r="F8" s="81">
        <f>SUM(F3:F7)</f>
        <v>196.15999999999997</v>
      </c>
      <c r="G8" s="20">
        <f>SUM(G3:G7)</f>
        <v>196160</v>
      </c>
      <c r="H8" s="21">
        <f>SUM(H3:H7)</f>
        <v>123</v>
      </c>
      <c r="I8" s="2"/>
      <c r="J8" s="7"/>
      <c r="K8" s="7"/>
      <c r="L8" s="7"/>
      <c r="M8" s="2"/>
      <c r="N8" s="6"/>
      <c r="O8" s="6"/>
      <c r="P8" s="6"/>
      <c r="Q8" s="19"/>
      <c r="R8" s="131" t="s">
        <v>1404</v>
      </c>
      <c r="S8" s="9"/>
      <c r="T8" s="10"/>
      <c r="U8" s="8"/>
      <c r="V8" s="21">
        <f>SUM(V3:V7)</f>
        <v>9072400</v>
      </c>
      <c r="W8" s="21">
        <f>SUM(W3:W7)</f>
        <v>1633032</v>
      </c>
      <c r="X8" s="21">
        <f>SUM(X3:X7)</f>
        <v>0</v>
      </c>
      <c r="Y8" s="21">
        <f>SUM(Y3:Y7)</f>
        <v>0</v>
      </c>
      <c r="Z8" s="99"/>
      <c r="AA8" s="21">
        <f>SUM(AA3:AA7)</f>
        <v>0</v>
      </c>
      <c r="AB8" s="21">
        <f>SUM(AB3:AB7)</f>
        <v>0</v>
      </c>
      <c r="AC8" s="21"/>
      <c r="AD8" s="21">
        <f>SUM(AD3:AD7)</f>
        <v>0</v>
      </c>
      <c r="AE8" s="21">
        <f>SUM(AE3:AE7)</f>
        <v>10705432</v>
      </c>
      <c r="AF8" s="21"/>
      <c r="AG8" s="42"/>
      <c r="AH8" s="27">
        <f>SUM(AH3:AH7)</f>
        <v>196.15999999999997</v>
      </c>
      <c r="AI8" s="26">
        <f>AH8-F8</f>
        <v>0</v>
      </c>
      <c r="AJ8" s="41">
        <f>AA8/F8</f>
        <v>0</v>
      </c>
      <c r="AK8" s="40"/>
    </row>
    <row r="9" spans="2:41">
      <c r="B9" s="15"/>
      <c r="C9" s="18"/>
      <c r="D9" s="11"/>
      <c r="E9" s="18" t="s">
        <v>16</v>
      </c>
      <c r="F9" s="16">
        <f>SUM(F3:F8)/2</f>
        <v>196.15999999999997</v>
      </c>
      <c r="G9" s="17">
        <f>SUM(G3:G8)/2</f>
        <v>196160</v>
      </c>
      <c r="H9" s="17">
        <f>SUM(H3:H8)/2</f>
        <v>123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17"/>
      <c r="V9" s="17">
        <f>SUM(V3:V8)/2</f>
        <v>9072400</v>
      </c>
      <c r="W9" s="17">
        <f>SUM(W3:W8)/2</f>
        <v>1633032</v>
      </c>
      <c r="X9" s="17"/>
      <c r="Y9" s="22"/>
      <c r="Z9" s="17"/>
      <c r="AA9" s="17">
        <f>SUM(AA3:AA8)/2</f>
        <v>0</v>
      </c>
      <c r="AB9" s="17">
        <f>SUM(AB3:AB8)/2</f>
        <v>0</v>
      </c>
      <c r="AC9" s="22"/>
      <c r="AD9" s="17"/>
      <c r="AE9" s="17">
        <f>SUM(AE3:AE8)/2</f>
        <v>10705432</v>
      </c>
      <c r="AF9" s="17"/>
      <c r="AG9" s="16"/>
      <c r="AH9" s="17">
        <f>SUM(AH3:AH8)/2</f>
        <v>196.15999999999997</v>
      </c>
      <c r="AI9" s="26">
        <f>AH9-F9</f>
        <v>0</v>
      </c>
    </row>
    <row r="12" spans="2:41">
      <c r="F12" s="90"/>
    </row>
    <row r="17" spans="6:6">
      <c r="F17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71"/>
  <sheetViews>
    <sheetView showZeros="0" zoomScale="85" zoomScaleNormal="85" workbookViewId="0">
      <pane xSplit="14" ySplit="2" topLeftCell="O12" activePane="bottomRight" state="frozen"/>
      <selection pane="topRight" activeCell="O1" sqref="O1"/>
      <selection pane="bottomLeft" activeCell="A3" sqref="A3"/>
      <selection pane="bottomRight" activeCell="I19" sqref="I19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5.710937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9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+F63</f>
        <v>1738.4199999999996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34"/>
    </row>
    <row r="2" spans="2:41" ht="25.5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115" t="s">
        <v>25</v>
      </c>
      <c r="L2" s="116" t="s">
        <v>32</v>
      </c>
      <c r="M2" s="117" t="s">
        <v>6</v>
      </c>
      <c r="N2" s="118" t="s">
        <v>37</v>
      </c>
      <c r="O2" s="119" t="s">
        <v>29</v>
      </c>
      <c r="P2" s="120" t="s">
        <v>30</v>
      </c>
      <c r="Q2" s="121" t="s">
        <v>7</v>
      </c>
      <c r="R2" s="121" t="s">
        <v>8</v>
      </c>
      <c r="S2" s="121" t="s">
        <v>9</v>
      </c>
      <c r="T2" s="121" t="s">
        <v>10</v>
      </c>
      <c r="U2" s="122" t="s">
        <v>11</v>
      </c>
      <c r="V2" s="123" t="s">
        <v>12</v>
      </c>
      <c r="W2" s="123" t="s">
        <v>19</v>
      </c>
      <c r="X2" s="123" t="s">
        <v>17</v>
      </c>
      <c r="Y2" s="123" t="s">
        <v>18</v>
      </c>
      <c r="Z2" s="123" t="s">
        <v>20</v>
      </c>
      <c r="AA2" s="123" t="s">
        <v>21</v>
      </c>
      <c r="AB2" s="124" t="s">
        <v>22</v>
      </c>
      <c r="AC2" s="124" t="s">
        <v>31</v>
      </c>
      <c r="AD2" s="125" t="s">
        <v>33</v>
      </c>
      <c r="AE2" s="123" t="s">
        <v>13</v>
      </c>
      <c r="AF2" s="116" t="s">
        <v>15</v>
      </c>
      <c r="AG2" s="116" t="s">
        <v>34</v>
      </c>
      <c r="AH2" s="116" t="s">
        <v>23</v>
      </c>
      <c r="AI2" s="116" t="s">
        <v>24</v>
      </c>
      <c r="AN2" s="35"/>
      <c r="AO2" s="35"/>
    </row>
    <row r="3" spans="2:41" s="41" customFormat="1" ht="16.149999999999999" customHeight="1">
      <c r="B3" s="104" t="s">
        <v>764</v>
      </c>
      <c r="C3" s="86" t="s">
        <v>1440</v>
      </c>
      <c r="D3" s="4"/>
      <c r="E3" s="145" t="s">
        <v>35</v>
      </c>
      <c r="F3" s="136">
        <v>27.36</v>
      </c>
      <c r="G3" s="14">
        <f t="shared" ref="G3:G11" si="0">+F3*1000</f>
        <v>27360</v>
      </c>
      <c r="H3" s="49">
        <v>13</v>
      </c>
      <c r="I3" s="83" t="s">
        <v>1442</v>
      </c>
      <c r="J3" s="85" t="s">
        <v>1443</v>
      </c>
      <c r="K3" s="82">
        <v>60807</v>
      </c>
      <c r="L3" s="4"/>
      <c r="M3" s="85" t="s">
        <v>1432</v>
      </c>
      <c r="N3" s="82" t="s">
        <v>1444</v>
      </c>
      <c r="O3" s="4"/>
      <c r="P3" s="4"/>
      <c r="Q3" s="5">
        <v>52580</v>
      </c>
      <c r="R3" s="36"/>
      <c r="S3" s="36"/>
      <c r="T3" s="37"/>
      <c r="U3" s="5">
        <f t="shared" ref="U3:U11" si="1">S3+R3+Q3-T3</f>
        <v>52580</v>
      </c>
      <c r="V3" s="5">
        <f t="shared" ref="V3:V11" si="2">F3*U3</f>
        <v>1438588.8</v>
      </c>
      <c r="W3" s="5">
        <f t="shared" ref="W3:W11" si="3">V3*18%</f>
        <v>258945.984</v>
      </c>
      <c r="X3" s="5"/>
      <c r="Y3" s="5"/>
      <c r="Z3" s="98"/>
      <c r="AA3" s="23">
        <f t="shared" ref="AA3:AA11" si="4">F3*Z3</f>
        <v>0</v>
      </c>
      <c r="AB3" s="97">
        <f t="shared" ref="AB3:AB11" si="5">AA3*18%</f>
        <v>0</v>
      </c>
      <c r="AC3" s="43"/>
      <c r="AD3" s="46"/>
      <c r="AE3" s="5">
        <f t="shared" ref="AE3:AE11" si="6">+AB3+AA3+Y3+X3+W3+V3-AC3+AD3</f>
        <v>1697534.784</v>
      </c>
      <c r="AF3" s="154">
        <v>465</v>
      </c>
      <c r="AG3" s="114" t="s">
        <v>1915</v>
      </c>
      <c r="AH3" s="155">
        <v>27.36</v>
      </c>
      <c r="AI3" s="12"/>
      <c r="AJ3" s="40"/>
      <c r="AK3" s="40"/>
    </row>
    <row r="4" spans="2:41" s="41" customFormat="1" ht="16.149999999999999" customHeight="1">
      <c r="B4" s="70" t="s">
        <v>918</v>
      </c>
      <c r="C4" s="82" t="s">
        <v>1441</v>
      </c>
      <c r="D4" s="4"/>
      <c r="E4" s="145" t="s">
        <v>35</v>
      </c>
      <c r="F4" s="13">
        <v>31.64</v>
      </c>
      <c r="G4" s="14">
        <f t="shared" si="0"/>
        <v>31640</v>
      </c>
      <c r="H4" s="49">
        <v>15</v>
      </c>
      <c r="I4" s="83" t="s">
        <v>1445</v>
      </c>
      <c r="J4" s="85" t="s">
        <v>1443</v>
      </c>
      <c r="K4" s="82">
        <v>60344</v>
      </c>
      <c r="L4" s="4"/>
      <c r="M4" s="85" t="s">
        <v>1432</v>
      </c>
      <c r="N4" s="82" t="s">
        <v>1446</v>
      </c>
      <c r="O4" s="4"/>
      <c r="P4" s="4"/>
      <c r="Q4" s="5">
        <v>52580</v>
      </c>
      <c r="R4" s="36"/>
      <c r="S4" s="36"/>
      <c r="T4" s="37"/>
      <c r="U4" s="5">
        <f t="shared" si="1"/>
        <v>52580</v>
      </c>
      <c r="V4" s="5">
        <f t="shared" si="2"/>
        <v>1663631.2</v>
      </c>
      <c r="W4" s="5">
        <f t="shared" si="3"/>
        <v>299453.61599999998</v>
      </c>
      <c r="X4" s="5"/>
      <c r="Y4" s="5"/>
      <c r="Z4" s="98"/>
      <c r="AA4" s="23">
        <f t="shared" si="4"/>
        <v>0</v>
      </c>
      <c r="AB4" s="97">
        <f t="shared" si="5"/>
        <v>0</v>
      </c>
      <c r="AC4" s="43"/>
      <c r="AD4" s="46"/>
      <c r="AE4" s="5">
        <f t="shared" si="6"/>
        <v>1963084.8159999999</v>
      </c>
      <c r="AF4" s="154">
        <v>466</v>
      </c>
      <c r="AG4" s="114" t="s">
        <v>1915</v>
      </c>
      <c r="AH4" s="155">
        <v>31.64</v>
      </c>
      <c r="AI4" s="12"/>
      <c r="AJ4" s="40"/>
      <c r="AK4" s="40"/>
    </row>
    <row r="5" spans="2:41" s="41" customFormat="1" ht="16.149999999999999" customHeight="1">
      <c r="B5" s="83"/>
      <c r="C5" s="70" t="s">
        <v>697</v>
      </c>
      <c r="D5" s="4"/>
      <c r="E5" s="145" t="s">
        <v>35</v>
      </c>
      <c r="F5" s="13">
        <v>27.56</v>
      </c>
      <c r="G5" s="14">
        <f t="shared" si="0"/>
        <v>27560</v>
      </c>
      <c r="H5" s="49">
        <v>14</v>
      </c>
      <c r="I5" s="83" t="s">
        <v>1451</v>
      </c>
      <c r="J5" s="85" t="s">
        <v>1429</v>
      </c>
      <c r="K5" s="82">
        <v>60813</v>
      </c>
      <c r="L5" s="4"/>
      <c r="M5" s="85" t="s">
        <v>1432</v>
      </c>
      <c r="N5" s="82" t="s">
        <v>1447</v>
      </c>
      <c r="O5" s="4"/>
      <c r="P5" s="4"/>
      <c r="Q5" s="5">
        <v>52580</v>
      </c>
      <c r="R5" s="36"/>
      <c r="S5" s="36"/>
      <c r="T5" s="37"/>
      <c r="U5" s="5">
        <f t="shared" si="1"/>
        <v>52580</v>
      </c>
      <c r="V5" s="5">
        <f t="shared" si="2"/>
        <v>1449104.8</v>
      </c>
      <c r="W5" s="5">
        <f t="shared" si="3"/>
        <v>260838.864</v>
      </c>
      <c r="X5" s="5"/>
      <c r="Y5" s="5"/>
      <c r="Z5" s="98"/>
      <c r="AA5" s="23">
        <f t="shared" si="4"/>
        <v>0</v>
      </c>
      <c r="AB5" s="97">
        <f t="shared" si="5"/>
        <v>0</v>
      </c>
      <c r="AC5" s="43"/>
      <c r="AD5" s="46"/>
      <c r="AE5" s="5">
        <f t="shared" si="6"/>
        <v>1709943.6640000001</v>
      </c>
      <c r="AF5" s="154">
        <v>467</v>
      </c>
      <c r="AG5" s="114" t="s">
        <v>1915</v>
      </c>
      <c r="AH5" s="155">
        <v>27.56</v>
      </c>
      <c r="AI5" s="12"/>
      <c r="AJ5" s="40"/>
      <c r="AK5" s="40"/>
    </row>
    <row r="6" spans="2:41" s="41" customFormat="1" ht="16.149999999999999" customHeight="1">
      <c r="B6" s="83"/>
      <c r="C6" s="1"/>
      <c r="D6" s="4"/>
      <c r="E6" s="145" t="s">
        <v>35</v>
      </c>
      <c r="F6" s="13">
        <v>40.08</v>
      </c>
      <c r="G6" s="14">
        <f t="shared" si="0"/>
        <v>40080</v>
      </c>
      <c r="H6" s="49">
        <v>19</v>
      </c>
      <c r="I6" s="83" t="s">
        <v>1452</v>
      </c>
      <c r="J6" s="85" t="s">
        <v>1434</v>
      </c>
      <c r="K6" s="82">
        <v>60815</v>
      </c>
      <c r="L6" s="4"/>
      <c r="M6" s="85" t="s">
        <v>1453</v>
      </c>
      <c r="N6" s="82" t="s">
        <v>1454</v>
      </c>
      <c r="O6" s="4"/>
      <c r="P6" s="4"/>
      <c r="Q6" s="5">
        <v>52580</v>
      </c>
      <c r="R6" s="36"/>
      <c r="S6" s="36"/>
      <c r="T6" s="37"/>
      <c r="U6" s="5">
        <f t="shared" si="1"/>
        <v>52580</v>
      </c>
      <c r="V6" s="5">
        <f t="shared" si="2"/>
        <v>2107406.4</v>
      </c>
      <c r="W6" s="5">
        <f t="shared" si="3"/>
        <v>379333.15199999994</v>
      </c>
      <c r="X6" s="5"/>
      <c r="Y6" s="5"/>
      <c r="Z6" s="98"/>
      <c r="AA6" s="23">
        <f t="shared" si="4"/>
        <v>0</v>
      </c>
      <c r="AB6" s="97">
        <f t="shared" si="5"/>
        <v>0</v>
      </c>
      <c r="AC6" s="43"/>
      <c r="AD6" s="46"/>
      <c r="AE6" s="5">
        <f t="shared" si="6"/>
        <v>2486739.5519999997</v>
      </c>
      <c r="AF6" s="154">
        <v>468</v>
      </c>
      <c r="AG6" s="114" t="s">
        <v>1915</v>
      </c>
      <c r="AH6" s="155">
        <v>40.08</v>
      </c>
      <c r="AI6" s="12"/>
      <c r="AJ6" s="40"/>
      <c r="AK6" s="40"/>
    </row>
    <row r="7" spans="2:41" s="41" customFormat="1" ht="16.149999999999999" customHeight="1">
      <c r="B7" s="83"/>
      <c r="C7" s="1"/>
      <c r="D7" s="4"/>
      <c r="E7" s="145" t="s">
        <v>35</v>
      </c>
      <c r="F7" s="13">
        <v>31.72</v>
      </c>
      <c r="G7" s="14">
        <f t="shared" si="0"/>
        <v>31720</v>
      </c>
      <c r="H7" s="49">
        <v>15</v>
      </c>
      <c r="I7" s="83" t="s">
        <v>1455</v>
      </c>
      <c r="J7" s="85" t="s">
        <v>1434</v>
      </c>
      <c r="K7" s="82">
        <v>60817</v>
      </c>
      <c r="L7" s="4"/>
      <c r="M7" s="85" t="s">
        <v>1453</v>
      </c>
      <c r="N7" s="82" t="s">
        <v>1456</v>
      </c>
      <c r="O7" s="4"/>
      <c r="P7" s="4"/>
      <c r="Q7" s="5">
        <v>52580</v>
      </c>
      <c r="R7" s="36"/>
      <c r="S7" s="36"/>
      <c r="T7" s="37"/>
      <c r="U7" s="5">
        <f t="shared" si="1"/>
        <v>52580</v>
      </c>
      <c r="V7" s="5">
        <f t="shared" si="2"/>
        <v>1667837.5999999999</v>
      </c>
      <c r="W7" s="5">
        <f t="shared" si="3"/>
        <v>300210.76799999998</v>
      </c>
      <c r="X7" s="5"/>
      <c r="Y7" s="5"/>
      <c r="Z7" s="98"/>
      <c r="AA7" s="23">
        <f t="shared" si="4"/>
        <v>0</v>
      </c>
      <c r="AB7" s="97">
        <f t="shared" si="5"/>
        <v>0</v>
      </c>
      <c r="AC7" s="43"/>
      <c r="AD7" s="46"/>
      <c r="AE7" s="5">
        <f t="shared" si="6"/>
        <v>1968048.3679999998</v>
      </c>
      <c r="AF7" s="154">
        <v>469</v>
      </c>
      <c r="AG7" s="114" t="s">
        <v>1915</v>
      </c>
      <c r="AH7" s="155">
        <v>31.72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145" t="s">
        <v>35</v>
      </c>
      <c r="F8" s="13">
        <v>40.18</v>
      </c>
      <c r="G8" s="14">
        <f t="shared" si="0"/>
        <v>40180</v>
      </c>
      <c r="H8" s="49">
        <v>19</v>
      </c>
      <c r="I8" s="83" t="s">
        <v>1457</v>
      </c>
      <c r="J8" s="85" t="s">
        <v>1434</v>
      </c>
      <c r="K8" s="82">
        <v>60818</v>
      </c>
      <c r="L8" s="4"/>
      <c r="M8" s="85" t="s">
        <v>1453</v>
      </c>
      <c r="N8" s="82" t="s">
        <v>1458</v>
      </c>
      <c r="O8" s="4"/>
      <c r="P8" s="4"/>
      <c r="Q8" s="5">
        <v>52580</v>
      </c>
      <c r="R8" s="36"/>
      <c r="S8" s="36"/>
      <c r="T8" s="37"/>
      <c r="U8" s="5">
        <f t="shared" si="1"/>
        <v>52580</v>
      </c>
      <c r="V8" s="5">
        <f t="shared" si="2"/>
        <v>2112664.4</v>
      </c>
      <c r="W8" s="5">
        <f t="shared" si="3"/>
        <v>380279.59199999995</v>
      </c>
      <c r="X8" s="5"/>
      <c r="Y8" s="5"/>
      <c r="Z8" s="98"/>
      <c r="AA8" s="23">
        <f t="shared" si="4"/>
        <v>0</v>
      </c>
      <c r="AB8" s="97">
        <f t="shared" si="5"/>
        <v>0</v>
      </c>
      <c r="AC8" s="43"/>
      <c r="AD8" s="46"/>
      <c r="AE8" s="5">
        <f t="shared" si="6"/>
        <v>2492943.9919999996</v>
      </c>
      <c r="AF8" s="154">
        <v>470</v>
      </c>
      <c r="AG8" s="114" t="s">
        <v>1915</v>
      </c>
      <c r="AH8" s="155">
        <v>40.18</v>
      </c>
      <c r="AI8" s="12"/>
      <c r="AJ8" s="40"/>
      <c r="AK8" s="40"/>
    </row>
    <row r="9" spans="2:41" s="41" customFormat="1" ht="16.149999999999999" customHeight="1">
      <c r="B9" s="83"/>
      <c r="C9" s="1"/>
      <c r="D9" s="4"/>
      <c r="E9" s="145" t="s">
        <v>35</v>
      </c>
      <c r="F9" s="13">
        <v>16.597000000000001</v>
      </c>
      <c r="G9" s="14">
        <f t="shared" si="0"/>
        <v>16597</v>
      </c>
      <c r="H9" s="49">
        <v>9</v>
      </c>
      <c r="I9" s="83" t="s">
        <v>1459</v>
      </c>
      <c r="J9" s="85" t="s">
        <v>1434</v>
      </c>
      <c r="K9" s="82">
        <v>60820</v>
      </c>
      <c r="L9" s="4"/>
      <c r="M9" s="85" t="s">
        <v>1453</v>
      </c>
      <c r="N9" s="82" t="s">
        <v>1460</v>
      </c>
      <c r="O9" s="4"/>
      <c r="P9" s="4"/>
      <c r="Q9" s="5">
        <v>52580</v>
      </c>
      <c r="R9" s="36"/>
      <c r="S9" s="36"/>
      <c r="T9" s="37"/>
      <c r="U9" s="5">
        <f t="shared" si="1"/>
        <v>52580</v>
      </c>
      <c r="V9" s="5">
        <f t="shared" si="2"/>
        <v>872670.26000000013</v>
      </c>
      <c r="W9" s="5">
        <f t="shared" si="3"/>
        <v>157080.64680000002</v>
      </c>
      <c r="X9" s="5"/>
      <c r="Y9" s="5"/>
      <c r="Z9" s="98"/>
      <c r="AA9" s="23">
        <f t="shared" si="4"/>
        <v>0</v>
      </c>
      <c r="AB9" s="97">
        <f t="shared" si="5"/>
        <v>0</v>
      </c>
      <c r="AC9" s="43"/>
      <c r="AD9" s="46"/>
      <c r="AE9" s="5">
        <f t="shared" si="6"/>
        <v>1029750.9068000001</v>
      </c>
      <c r="AF9" s="154">
        <v>471</v>
      </c>
      <c r="AG9" s="114" t="s">
        <v>1915</v>
      </c>
      <c r="AH9" s="155">
        <v>16.597000000000001</v>
      </c>
      <c r="AI9" s="12"/>
      <c r="AJ9" s="40"/>
      <c r="AK9" s="40"/>
    </row>
    <row r="10" spans="2:41" s="41" customFormat="1" ht="16.149999999999999" customHeight="1">
      <c r="B10" s="83"/>
      <c r="C10" s="1"/>
      <c r="D10" s="4"/>
      <c r="E10" s="145" t="s">
        <v>35</v>
      </c>
      <c r="F10" s="13">
        <v>23.183</v>
      </c>
      <c r="G10" s="14">
        <f t="shared" si="0"/>
        <v>23183</v>
      </c>
      <c r="H10" s="49">
        <v>11</v>
      </c>
      <c r="I10" s="83" t="s">
        <v>1461</v>
      </c>
      <c r="J10" s="85" t="s">
        <v>1434</v>
      </c>
      <c r="K10" s="82">
        <v>60819</v>
      </c>
      <c r="L10" s="4"/>
      <c r="M10" s="85" t="s">
        <v>1453</v>
      </c>
      <c r="N10" s="82" t="s">
        <v>1460</v>
      </c>
      <c r="O10" s="4"/>
      <c r="P10" s="4"/>
      <c r="Q10" s="5">
        <v>52580</v>
      </c>
      <c r="R10" s="36"/>
      <c r="S10" s="36"/>
      <c r="T10" s="37"/>
      <c r="U10" s="5">
        <f t="shared" si="1"/>
        <v>52580</v>
      </c>
      <c r="V10" s="5">
        <f t="shared" si="2"/>
        <v>1218962.1399999999</v>
      </c>
      <c r="W10" s="5">
        <f t="shared" si="3"/>
        <v>219413.18519999998</v>
      </c>
      <c r="X10" s="5"/>
      <c r="Y10" s="5"/>
      <c r="Z10" s="98"/>
      <c r="AA10" s="23">
        <f t="shared" si="4"/>
        <v>0</v>
      </c>
      <c r="AB10" s="97">
        <f t="shared" si="5"/>
        <v>0</v>
      </c>
      <c r="AC10" s="43"/>
      <c r="AD10" s="46"/>
      <c r="AE10" s="5">
        <f t="shared" si="6"/>
        <v>1438375.3251999998</v>
      </c>
      <c r="AF10" s="154">
        <v>472</v>
      </c>
      <c r="AG10" s="114" t="s">
        <v>1915</v>
      </c>
      <c r="AH10" s="155">
        <v>23.183</v>
      </c>
      <c r="AI10" s="12"/>
      <c r="AJ10" s="40"/>
      <c r="AK10" s="40"/>
    </row>
    <row r="11" spans="2:41" s="41" customFormat="1" ht="16.149999999999999" customHeight="1">
      <c r="B11" s="83"/>
      <c r="C11" s="1"/>
      <c r="D11" s="4"/>
      <c r="E11" s="145" t="s">
        <v>35</v>
      </c>
      <c r="F11" s="13">
        <v>40.32</v>
      </c>
      <c r="G11" s="14">
        <f t="shared" si="0"/>
        <v>40320</v>
      </c>
      <c r="H11" s="49">
        <v>19</v>
      </c>
      <c r="I11" s="83" t="s">
        <v>1462</v>
      </c>
      <c r="J11" s="85" t="s">
        <v>1434</v>
      </c>
      <c r="K11" s="82">
        <v>10158</v>
      </c>
      <c r="L11" s="4"/>
      <c r="M11" s="85" t="s">
        <v>1453</v>
      </c>
      <c r="N11" s="82" t="s">
        <v>1463</v>
      </c>
      <c r="O11" s="4"/>
      <c r="P11" s="4"/>
      <c r="Q11" s="5">
        <v>52580</v>
      </c>
      <c r="R11" s="36"/>
      <c r="S11" s="36"/>
      <c r="T11" s="37"/>
      <c r="U11" s="5">
        <f t="shared" si="1"/>
        <v>52580</v>
      </c>
      <c r="V11" s="5">
        <f t="shared" si="2"/>
        <v>2120025.6</v>
      </c>
      <c r="W11" s="5">
        <f t="shared" si="3"/>
        <v>381604.60800000001</v>
      </c>
      <c r="X11" s="5"/>
      <c r="Y11" s="5"/>
      <c r="Z11" s="98"/>
      <c r="AA11" s="23">
        <f t="shared" si="4"/>
        <v>0</v>
      </c>
      <c r="AB11" s="97">
        <f t="shared" si="5"/>
        <v>0</v>
      </c>
      <c r="AC11" s="43"/>
      <c r="AD11" s="46"/>
      <c r="AE11" s="5">
        <f t="shared" si="6"/>
        <v>2501630.2080000001</v>
      </c>
      <c r="AF11" s="154">
        <v>473</v>
      </c>
      <c r="AG11" s="114" t="s">
        <v>1915</v>
      </c>
      <c r="AH11" s="155">
        <v>40.32</v>
      </c>
      <c r="AI11" s="12"/>
      <c r="AJ11" s="40"/>
      <c r="AK11" s="40"/>
    </row>
    <row r="12" spans="2:41" s="41" customFormat="1" ht="16.149999999999999" customHeight="1">
      <c r="B12" s="83"/>
      <c r="C12" s="1"/>
      <c r="D12" s="4"/>
      <c r="E12" s="145" t="s">
        <v>35</v>
      </c>
      <c r="F12" s="13">
        <v>42.22</v>
      </c>
      <c r="G12" s="14">
        <f t="shared" ref="G12:G15" si="7">+F12*1000</f>
        <v>42220</v>
      </c>
      <c r="H12" s="49">
        <v>20</v>
      </c>
      <c r="I12" s="83" t="s">
        <v>1464</v>
      </c>
      <c r="J12" s="85" t="s">
        <v>1434</v>
      </c>
      <c r="K12" s="82">
        <v>60350</v>
      </c>
      <c r="L12" s="4"/>
      <c r="M12" s="85" t="s">
        <v>1465</v>
      </c>
      <c r="N12" s="82" t="s">
        <v>1339</v>
      </c>
      <c r="O12" s="4"/>
      <c r="P12" s="4"/>
      <c r="Q12" s="5">
        <v>52580</v>
      </c>
      <c r="R12" s="36"/>
      <c r="S12" s="36"/>
      <c r="T12" s="37"/>
      <c r="U12" s="5">
        <f t="shared" ref="U12:U15" si="8">S12+R12+Q12-T12</f>
        <v>52580</v>
      </c>
      <c r="V12" s="5">
        <f t="shared" ref="V12:V15" si="9">F12*U12</f>
        <v>2219927.6</v>
      </c>
      <c r="W12" s="5">
        <f t="shared" ref="W12:W15" si="10">V12*18%</f>
        <v>399586.96799999999</v>
      </c>
      <c r="X12" s="5"/>
      <c r="Y12" s="5"/>
      <c r="Z12" s="98"/>
      <c r="AA12" s="23">
        <f t="shared" ref="AA12:AA15" si="11">F12*Z12</f>
        <v>0</v>
      </c>
      <c r="AB12" s="97">
        <f t="shared" ref="AB12:AB15" si="12">AA12*18%</f>
        <v>0</v>
      </c>
      <c r="AC12" s="43"/>
      <c r="AD12" s="46"/>
      <c r="AE12" s="5">
        <f t="shared" ref="AE12:AE15" si="13">+AB12+AA12+Y12+X12+W12+V12-AC12+AD12</f>
        <v>2619514.568</v>
      </c>
      <c r="AF12" s="154">
        <v>474</v>
      </c>
      <c r="AG12" s="114" t="s">
        <v>1915</v>
      </c>
      <c r="AH12" s="155">
        <v>42.22</v>
      </c>
      <c r="AI12" s="12"/>
      <c r="AJ12" s="40"/>
      <c r="AK12" s="40"/>
    </row>
    <row r="13" spans="2:41" s="41" customFormat="1" ht="16.149999999999999" customHeight="1">
      <c r="B13" s="83"/>
      <c r="C13" s="1"/>
      <c r="D13" s="4"/>
      <c r="E13" s="145" t="s">
        <v>35</v>
      </c>
      <c r="F13" s="13">
        <v>27.56</v>
      </c>
      <c r="G13" s="14">
        <f t="shared" si="7"/>
        <v>27560</v>
      </c>
      <c r="H13" s="49">
        <v>13</v>
      </c>
      <c r="I13" s="83" t="s">
        <v>1466</v>
      </c>
      <c r="J13" s="85" t="s">
        <v>1434</v>
      </c>
      <c r="K13" s="82">
        <v>10159</v>
      </c>
      <c r="L13" s="4"/>
      <c r="M13" s="85" t="s">
        <v>1465</v>
      </c>
      <c r="N13" s="82" t="s">
        <v>1467</v>
      </c>
      <c r="O13" s="4"/>
      <c r="P13" s="4"/>
      <c r="Q13" s="5">
        <v>52580</v>
      </c>
      <c r="R13" s="36"/>
      <c r="S13" s="36"/>
      <c r="T13" s="37"/>
      <c r="U13" s="5">
        <f t="shared" si="8"/>
        <v>52580</v>
      </c>
      <c r="V13" s="5">
        <f t="shared" si="9"/>
        <v>1449104.8</v>
      </c>
      <c r="W13" s="5">
        <f t="shared" si="10"/>
        <v>260838.864</v>
      </c>
      <c r="X13" s="5"/>
      <c r="Y13" s="5"/>
      <c r="Z13" s="98"/>
      <c r="AA13" s="23">
        <f t="shared" si="11"/>
        <v>0</v>
      </c>
      <c r="AB13" s="97">
        <f t="shared" si="12"/>
        <v>0</v>
      </c>
      <c r="AC13" s="43"/>
      <c r="AD13" s="46"/>
      <c r="AE13" s="5">
        <f t="shared" si="13"/>
        <v>1709943.6640000001</v>
      </c>
      <c r="AF13" s="154">
        <v>475</v>
      </c>
      <c r="AG13" s="114" t="s">
        <v>1915</v>
      </c>
      <c r="AH13" s="155">
        <v>27.56</v>
      </c>
      <c r="AI13" s="12"/>
      <c r="AJ13" s="40"/>
      <c r="AK13" s="40"/>
    </row>
    <row r="14" spans="2:41" s="41" customFormat="1" ht="16.149999999999999" customHeight="1">
      <c r="B14" s="83"/>
      <c r="C14" s="1"/>
      <c r="D14" s="4"/>
      <c r="E14" s="145" t="s">
        <v>35</v>
      </c>
      <c r="F14" s="13">
        <v>31.6</v>
      </c>
      <c r="G14" s="14">
        <f t="shared" si="7"/>
        <v>31600</v>
      </c>
      <c r="H14" s="49">
        <v>15</v>
      </c>
      <c r="I14" s="83" t="s">
        <v>1472</v>
      </c>
      <c r="J14" s="85" t="s">
        <v>1432</v>
      </c>
      <c r="K14" s="82">
        <v>10164</v>
      </c>
      <c r="L14" s="4"/>
      <c r="M14" s="85" t="s">
        <v>1465</v>
      </c>
      <c r="N14" s="82" t="s">
        <v>1473</v>
      </c>
      <c r="O14" s="4"/>
      <c r="P14" s="4"/>
      <c r="Q14" s="5">
        <v>52580</v>
      </c>
      <c r="R14" s="36"/>
      <c r="S14" s="36"/>
      <c r="T14" s="37"/>
      <c r="U14" s="5">
        <f t="shared" si="8"/>
        <v>52580</v>
      </c>
      <c r="V14" s="5">
        <f t="shared" si="9"/>
        <v>1661528</v>
      </c>
      <c r="W14" s="5">
        <f t="shared" si="10"/>
        <v>299075.03999999998</v>
      </c>
      <c r="X14" s="5"/>
      <c r="Y14" s="5"/>
      <c r="Z14" s="98"/>
      <c r="AA14" s="23">
        <f t="shared" si="11"/>
        <v>0</v>
      </c>
      <c r="AB14" s="97">
        <f t="shared" si="12"/>
        <v>0</v>
      </c>
      <c r="AC14" s="43"/>
      <c r="AD14" s="46"/>
      <c r="AE14" s="5">
        <f t="shared" si="13"/>
        <v>1960603.04</v>
      </c>
      <c r="AF14" s="154">
        <v>476</v>
      </c>
      <c r="AG14" s="114" t="s">
        <v>1915</v>
      </c>
      <c r="AH14" s="155">
        <v>31.6</v>
      </c>
      <c r="AI14" s="12"/>
      <c r="AJ14" s="40"/>
      <c r="AK14" s="40"/>
    </row>
    <row r="15" spans="2:41" s="41" customFormat="1" ht="16.149999999999999" customHeight="1">
      <c r="B15" s="83"/>
      <c r="C15" s="1"/>
      <c r="D15" s="4"/>
      <c r="E15" s="145" t="s">
        <v>35</v>
      </c>
      <c r="F15" s="13">
        <v>27.3</v>
      </c>
      <c r="G15" s="14">
        <f t="shared" si="7"/>
        <v>27300</v>
      </c>
      <c r="H15" s="49">
        <v>13</v>
      </c>
      <c r="I15" s="83" t="s">
        <v>1477</v>
      </c>
      <c r="J15" s="85" t="s">
        <v>1434</v>
      </c>
      <c r="K15" s="82">
        <v>60822</v>
      </c>
      <c r="L15" s="4"/>
      <c r="M15" s="85" t="s">
        <v>1478</v>
      </c>
      <c r="N15" s="82" t="s">
        <v>1479</v>
      </c>
      <c r="O15" s="4"/>
      <c r="P15" s="4"/>
      <c r="Q15" s="5">
        <v>52580</v>
      </c>
      <c r="R15" s="36"/>
      <c r="S15" s="36"/>
      <c r="T15" s="37"/>
      <c r="U15" s="5">
        <f t="shared" si="8"/>
        <v>52580</v>
      </c>
      <c r="V15" s="5">
        <f t="shared" si="9"/>
        <v>1435434</v>
      </c>
      <c r="W15" s="5">
        <f t="shared" si="10"/>
        <v>258378.12</v>
      </c>
      <c r="X15" s="5"/>
      <c r="Y15" s="5"/>
      <c r="Z15" s="98"/>
      <c r="AA15" s="23">
        <f t="shared" si="11"/>
        <v>0</v>
      </c>
      <c r="AB15" s="97">
        <f t="shared" si="12"/>
        <v>0</v>
      </c>
      <c r="AC15" s="43"/>
      <c r="AD15" s="46"/>
      <c r="AE15" s="5">
        <f t="shared" si="13"/>
        <v>1693812.12</v>
      </c>
      <c r="AF15" s="154">
        <v>477</v>
      </c>
      <c r="AG15" s="114" t="s">
        <v>1915</v>
      </c>
      <c r="AH15" s="155">
        <v>27.3</v>
      </c>
      <c r="AI15" s="12"/>
      <c r="AJ15" s="40"/>
      <c r="AK15" s="40"/>
    </row>
    <row r="16" spans="2:41" s="41" customFormat="1" ht="16.149999999999999" customHeight="1">
      <c r="B16" s="83"/>
      <c r="C16" s="1"/>
      <c r="D16" s="4"/>
      <c r="E16" s="145" t="s">
        <v>35</v>
      </c>
      <c r="F16" s="103">
        <v>31.5</v>
      </c>
      <c r="G16" s="14">
        <f t="shared" ref="G16" si="14">+F16*1000</f>
        <v>31500</v>
      </c>
      <c r="H16" s="49">
        <v>15</v>
      </c>
      <c r="I16" s="83" t="s">
        <v>1531</v>
      </c>
      <c r="J16" s="85" t="s">
        <v>1434</v>
      </c>
      <c r="K16" s="82">
        <v>60348</v>
      </c>
      <c r="L16" s="4"/>
      <c r="M16" s="85" t="s">
        <v>1528</v>
      </c>
      <c r="N16" s="82" t="s">
        <v>1532</v>
      </c>
      <c r="O16" s="4"/>
      <c r="P16" s="4"/>
      <c r="Q16" s="5">
        <v>52580</v>
      </c>
      <c r="R16" s="36"/>
      <c r="S16" s="36"/>
      <c r="T16" s="37"/>
      <c r="U16" s="5">
        <f t="shared" ref="U16" si="15">S16+R16+Q16-T16</f>
        <v>52580</v>
      </c>
      <c r="V16" s="5">
        <f t="shared" ref="V16" si="16">F16*U16</f>
        <v>1656270</v>
      </c>
      <c r="W16" s="5">
        <f t="shared" ref="W16" si="17">V16*18%</f>
        <v>298128.59999999998</v>
      </c>
      <c r="X16" s="5"/>
      <c r="Y16" s="5"/>
      <c r="Z16" s="98"/>
      <c r="AA16" s="23">
        <f t="shared" ref="AA16" si="18">F16*Z16</f>
        <v>0</v>
      </c>
      <c r="AB16" s="97">
        <f t="shared" ref="AB16" si="19">AA16*18%</f>
        <v>0</v>
      </c>
      <c r="AC16" s="43"/>
      <c r="AD16" s="46"/>
      <c r="AE16" s="5">
        <f t="shared" ref="AE16" si="20">+AB16+AA16+Y16+X16+W16+V16-AC16+AD16</f>
        <v>1954398.6</v>
      </c>
      <c r="AF16" s="154">
        <v>478</v>
      </c>
      <c r="AG16" s="114" t="s">
        <v>1915</v>
      </c>
      <c r="AH16" s="155">
        <v>31.5</v>
      </c>
      <c r="AI16" s="12"/>
      <c r="AJ16" s="40"/>
      <c r="AK16" s="40"/>
    </row>
    <row r="17" spans="2:37" s="41" customFormat="1">
      <c r="B17" s="92"/>
      <c r="C17" s="48"/>
      <c r="D17" s="6"/>
      <c r="E17" s="6"/>
      <c r="F17" s="81">
        <f>SUM(F3:F16)</f>
        <v>438.82000000000005</v>
      </c>
      <c r="G17" s="20">
        <f>SUM(G3:G16)</f>
        <v>438820</v>
      </c>
      <c r="H17" s="21">
        <f>SUM(H3:H16)</f>
        <v>210</v>
      </c>
      <c r="I17" s="2"/>
      <c r="J17" s="7"/>
      <c r="K17" s="7"/>
      <c r="L17" s="7"/>
      <c r="M17" s="2"/>
      <c r="N17" s="6"/>
      <c r="O17" s="6"/>
      <c r="P17" s="6"/>
      <c r="Q17" s="19"/>
      <c r="R17" s="9"/>
      <c r="S17" s="9"/>
      <c r="T17" s="10"/>
      <c r="U17" s="8"/>
      <c r="V17" s="21">
        <f>SUM(V3:V16)</f>
        <v>23073155.600000001</v>
      </c>
      <c r="W17" s="21">
        <f>SUM(W3:W16)</f>
        <v>4153168.0079999999</v>
      </c>
      <c r="X17" s="21">
        <f>SUM(X3:X16)</f>
        <v>0</v>
      </c>
      <c r="Y17" s="21">
        <f>SUM(Y3:Y16)</f>
        <v>0</v>
      </c>
      <c r="Z17" s="99"/>
      <c r="AA17" s="21">
        <f>SUM(AA3:AA16)</f>
        <v>0</v>
      </c>
      <c r="AB17" s="21">
        <f>SUM(AB3:AB16)</f>
        <v>0</v>
      </c>
      <c r="AC17" s="21"/>
      <c r="AD17" s="21">
        <f>SUM(AD3:AD16)</f>
        <v>0</v>
      </c>
      <c r="AE17" s="21">
        <f>SUM(AE3:AE16)</f>
        <v>27226323.608000003</v>
      </c>
      <c r="AF17" s="21"/>
      <c r="AG17" s="42"/>
      <c r="AH17" s="81">
        <f>SUM(AH3:AH16)</f>
        <v>438.82000000000005</v>
      </c>
      <c r="AI17" s="26">
        <f>AH17-F17</f>
        <v>0</v>
      </c>
      <c r="AJ17" s="41">
        <f>AA17/F17</f>
        <v>0</v>
      </c>
      <c r="AK17" s="40"/>
    </row>
    <row r="18" spans="2:37" s="41" customFormat="1" ht="16.149999999999999" customHeight="1">
      <c r="B18" s="104" t="s">
        <v>764</v>
      </c>
      <c r="C18" s="86" t="s">
        <v>1440</v>
      </c>
      <c r="D18" s="4"/>
      <c r="E18" s="145" t="s">
        <v>392</v>
      </c>
      <c r="F18" s="103">
        <v>31.89</v>
      </c>
      <c r="G18" s="14">
        <f t="shared" ref="G18:G32" si="21">+F18*1000</f>
        <v>31890</v>
      </c>
      <c r="H18" s="97">
        <v>15</v>
      </c>
      <c r="I18" s="83" t="s">
        <v>1475</v>
      </c>
      <c r="J18" s="85" t="s">
        <v>1471</v>
      </c>
      <c r="K18" s="135" t="s">
        <v>1484</v>
      </c>
      <c r="L18" s="4"/>
      <c r="M18" s="85" t="s">
        <v>1465</v>
      </c>
      <c r="N18" s="82" t="s">
        <v>1496</v>
      </c>
      <c r="O18" s="4"/>
      <c r="P18" s="4"/>
      <c r="Q18" s="5">
        <v>50480</v>
      </c>
      <c r="R18" s="36"/>
      <c r="S18" s="36"/>
      <c r="T18" s="37"/>
      <c r="U18" s="5">
        <f t="shared" ref="U18:U32" si="22">S18+R18+Q18-T18</f>
        <v>50480</v>
      </c>
      <c r="V18" s="5">
        <f t="shared" ref="V18:V32" si="23">F18*U18</f>
        <v>1609807.2</v>
      </c>
      <c r="W18" s="5">
        <f t="shared" ref="W18:W32" si="24">V18*18%</f>
        <v>289765.29599999997</v>
      </c>
      <c r="X18" s="5"/>
      <c r="Y18" s="5"/>
      <c r="Z18" s="98"/>
      <c r="AA18" s="23">
        <f t="shared" ref="AA18:AA32" si="25">F18*Z18</f>
        <v>0</v>
      </c>
      <c r="AB18" s="97">
        <f t="shared" ref="AB18:AB32" si="26">AA18*18%</f>
        <v>0</v>
      </c>
      <c r="AC18" s="43"/>
      <c r="AD18" s="46"/>
      <c r="AE18" s="5">
        <f t="shared" ref="AE18:AE32" si="27">+AB18+AA18+Y18+X18+W18+V18-AC18+AD18</f>
        <v>1899572.4959999998</v>
      </c>
      <c r="AF18" s="154">
        <v>479</v>
      </c>
      <c r="AG18" s="114" t="s">
        <v>1915</v>
      </c>
      <c r="AH18" s="155">
        <v>31.89</v>
      </c>
      <c r="AI18" s="12"/>
      <c r="AJ18" s="40"/>
      <c r="AK18" s="40"/>
    </row>
    <row r="19" spans="2:37" s="41" customFormat="1" ht="16.149999999999999" customHeight="1">
      <c r="B19" s="70" t="s">
        <v>767</v>
      </c>
      <c r="C19" s="82" t="s">
        <v>1474</v>
      </c>
      <c r="D19" s="4"/>
      <c r="E19" s="145" t="s">
        <v>392</v>
      </c>
      <c r="F19" s="103">
        <v>31.87</v>
      </c>
      <c r="G19" s="14">
        <f t="shared" si="21"/>
        <v>31870</v>
      </c>
      <c r="H19" s="97">
        <v>15</v>
      </c>
      <c r="I19" s="83" t="s">
        <v>1475</v>
      </c>
      <c r="J19" s="85" t="s">
        <v>1471</v>
      </c>
      <c r="K19" s="135" t="s">
        <v>1485</v>
      </c>
      <c r="L19" s="4"/>
      <c r="M19" s="85" t="s">
        <v>1465</v>
      </c>
      <c r="N19" s="82" t="s">
        <v>1497</v>
      </c>
      <c r="O19" s="4"/>
      <c r="P19" s="4"/>
      <c r="Q19" s="5">
        <v>50480</v>
      </c>
      <c r="R19" s="36"/>
      <c r="S19" s="36"/>
      <c r="T19" s="37"/>
      <c r="U19" s="5">
        <f t="shared" si="22"/>
        <v>50480</v>
      </c>
      <c r="V19" s="5">
        <f t="shared" si="23"/>
        <v>1608797.6</v>
      </c>
      <c r="W19" s="5">
        <f t="shared" si="24"/>
        <v>289583.56800000003</v>
      </c>
      <c r="X19" s="5"/>
      <c r="Y19" s="5"/>
      <c r="Z19" s="98"/>
      <c r="AA19" s="23">
        <f t="shared" si="25"/>
        <v>0</v>
      </c>
      <c r="AB19" s="97">
        <f t="shared" si="26"/>
        <v>0</v>
      </c>
      <c r="AC19" s="43"/>
      <c r="AD19" s="46"/>
      <c r="AE19" s="5">
        <f t="shared" si="27"/>
        <v>1898381.1680000001</v>
      </c>
      <c r="AF19" s="154">
        <v>480</v>
      </c>
      <c r="AG19" s="114" t="s">
        <v>1915</v>
      </c>
      <c r="AH19" s="155">
        <v>31.87</v>
      </c>
      <c r="AI19" s="12"/>
      <c r="AJ19" s="40"/>
      <c r="AK19" s="40"/>
    </row>
    <row r="20" spans="2:37" s="41" customFormat="1" ht="16.149999999999999" customHeight="1">
      <c r="B20" s="105"/>
      <c r="C20" s="70"/>
      <c r="D20" s="4"/>
      <c r="E20" s="145" t="s">
        <v>392</v>
      </c>
      <c r="F20" s="103">
        <v>31.9</v>
      </c>
      <c r="G20" s="14">
        <f t="shared" si="21"/>
        <v>31900</v>
      </c>
      <c r="H20" s="97">
        <v>15</v>
      </c>
      <c r="I20" s="83" t="s">
        <v>1475</v>
      </c>
      <c r="J20" s="85" t="s">
        <v>1471</v>
      </c>
      <c r="K20" s="135" t="s">
        <v>1486</v>
      </c>
      <c r="L20" s="4"/>
      <c r="M20" s="85" t="s">
        <v>1465</v>
      </c>
      <c r="N20" s="82" t="s">
        <v>1498</v>
      </c>
      <c r="O20" s="4"/>
      <c r="P20" s="4"/>
      <c r="Q20" s="5">
        <v>50480</v>
      </c>
      <c r="R20" s="36"/>
      <c r="S20" s="36"/>
      <c r="T20" s="37"/>
      <c r="U20" s="5">
        <f t="shared" si="22"/>
        <v>50480</v>
      </c>
      <c r="V20" s="5">
        <f t="shared" si="23"/>
        <v>1610312</v>
      </c>
      <c r="W20" s="5">
        <f t="shared" si="24"/>
        <v>289856.15999999997</v>
      </c>
      <c r="X20" s="5"/>
      <c r="Y20" s="5"/>
      <c r="Z20" s="98"/>
      <c r="AA20" s="23">
        <f t="shared" si="25"/>
        <v>0</v>
      </c>
      <c r="AB20" s="97">
        <f t="shared" si="26"/>
        <v>0</v>
      </c>
      <c r="AC20" s="43"/>
      <c r="AD20" s="46"/>
      <c r="AE20" s="5">
        <f t="shared" si="27"/>
        <v>1900168.16</v>
      </c>
      <c r="AF20" s="154">
        <v>481</v>
      </c>
      <c r="AG20" s="114" t="s">
        <v>1915</v>
      </c>
      <c r="AH20" s="155">
        <v>31.9</v>
      </c>
      <c r="AI20" s="12"/>
      <c r="AJ20" s="40"/>
      <c r="AK20" s="40"/>
    </row>
    <row r="21" spans="2:37" s="41" customFormat="1" ht="16.149999999999999" customHeight="1">
      <c r="B21" s="89" t="s">
        <v>1564</v>
      </c>
      <c r="C21" s="1"/>
      <c r="D21" s="4"/>
      <c r="E21" s="145" t="s">
        <v>392</v>
      </c>
      <c r="F21" s="103">
        <v>40.54</v>
      </c>
      <c r="G21" s="14">
        <f t="shared" si="21"/>
        <v>40540</v>
      </c>
      <c r="H21" s="97">
        <v>19</v>
      </c>
      <c r="I21" s="83" t="s">
        <v>1475</v>
      </c>
      <c r="J21" s="85" t="s">
        <v>1471</v>
      </c>
      <c r="K21" s="135" t="s">
        <v>1487</v>
      </c>
      <c r="L21" s="4"/>
      <c r="M21" s="85" t="s">
        <v>1478</v>
      </c>
      <c r="N21" s="82" t="s">
        <v>1499</v>
      </c>
      <c r="O21" s="4"/>
      <c r="P21" s="4"/>
      <c r="Q21" s="5">
        <v>50480</v>
      </c>
      <c r="R21" s="36"/>
      <c r="S21" s="36"/>
      <c r="T21" s="37"/>
      <c r="U21" s="5">
        <f t="shared" si="22"/>
        <v>50480</v>
      </c>
      <c r="V21" s="5">
        <f t="shared" si="23"/>
        <v>2046459.2</v>
      </c>
      <c r="W21" s="5">
        <f t="shared" si="24"/>
        <v>368362.65599999996</v>
      </c>
      <c r="X21" s="5"/>
      <c r="Y21" s="5"/>
      <c r="Z21" s="98"/>
      <c r="AA21" s="23">
        <f t="shared" si="25"/>
        <v>0</v>
      </c>
      <c r="AB21" s="97">
        <f t="shared" si="26"/>
        <v>0</v>
      </c>
      <c r="AC21" s="43"/>
      <c r="AD21" s="46"/>
      <c r="AE21" s="5">
        <f t="shared" si="27"/>
        <v>2414821.8559999997</v>
      </c>
      <c r="AF21" s="154">
        <v>482</v>
      </c>
      <c r="AG21" s="114" t="s">
        <v>1915</v>
      </c>
      <c r="AH21" s="155">
        <v>40.54</v>
      </c>
      <c r="AI21" s="12"/>
      <c r="AJ21" s="40"/>
      <c r="AK21" s="40"/>
    </row>
    <row r="22" spans="2:37" s="41" customFormat="1" ht="16.149999999999999" customHeight="1">
      <c r="B22" s="89" t="s">
        <v>1565</v>
      </c>
      <c r="C22" s="1"/>
      <c r="D22" s="4"/>
      <c r="E22" s="145" t="s">
        <v>392</v>
      </c>
      <c r="F22" s="103">
        <v>32.090000000000003</v>
      </c>
      <c r="G22" s="14">
        <f t="shared" si="21"/>
        <v>32090.000000000004</v>
      </c>
      <c r="H22" s="97">
        <v>15</v>
      </c>
      <c r="I22" s="83" t="s">
        <v>1475</v>
      </c>
      <c r="J22" s="85" t="s">
        <v>1471</v>
      </c>
      <c r="K22" s="135" t="s">
        <v>1488</v>
      </c>
      <c r="L22" s="4"/>
      <c r="M22" s="85" t="s">
        <v>1478</v>
      </c>
      <c r="N22" s="82" t="s">
        <v>1500</v>
      </c>
      <c r="O22" s="4"/>
      <c r="P22" s="4"/>
      <c r="Q22" s="5">
        <v>50480</v>
      </c>
      <c r="R22" s="36"/>
      <c r="S22" s="36"/>
      <c r="T22" s="37"/>
      <c r="U22" s="5">
        <f t="shared" si="22"/>
        <v>50480</v>
      </c>
      <c r="V22" s="5">
        <f t="shared" si="23"/>
        <v>1619903.2000000002</v>
      </c>
      <c r="W22" s="5">
        <f t="shared" si="24"/>
        <v>291582.576</v>
      </c>
      <c r="X22" s="5"/>
      <c r="Y22" s="5"/>
      <c r="Z22" s="98"/>
      <c r="AA22" s="23">
        <f t="shared" si="25"/>
        <v>0</v>
      </c>
      <c r="AB22" s="97">
        <f t="shared" si="26"/>
        <v>0</v>
      </c>
      <c r="AC22" s="43"/>
      <c r="AD22" s="46"/>
      <c r="AE22" s="5">
        <f t="shared" si="27"/>
        <v>1911485.7760000001</v>
      </c>
      <c r="AF22" s="154">
        <v>483</v>
      </c>
      <c r="AG22" s="114" t="s">
        <v>1915</v>
      </c>
      <c r="AH22" s="155">
        <v>32.090000000000003</v>
      </c>
      <c r="AI22" s="12"/>
      <c r="AJ22" s="40"/>
      <c r="AK22" s="40"/>
    </row>
    <row r="23" spans="2:37" s="41" customFormat="1" ht="16.149999999999999" customHeight="1">
      <c r="B23" s="83"/>
      <c r="C23" s="1"/>
      <c r="D23" s="4"/>
      <c r="E23" s="145" t="s">
        <v>392</v>
      </c>
      <c r="F23" s="103">
        <v>31.92</v>
      </c>
      <c r="G23" s="14">
        <f t="shared" si="21"/>
        <v>31920</v>
      </c>
      <c r="H23" s="97">
        <v>15</v>
      </c>
      <c r="I23" s="83" t="s">
        <v>1475</v>
      </c>
      <c r="J23" s="85" t="s">
        <v>1471</v>
      </c>
      <c r="K23" s="135" t="s">
        <v>1489</v>
      </c>
      <c r="L23" s="4"/>
      <c r="M23" s="85" t="s">
        <v>1478</v>
      </c>
      <c r="N23" s="82" t="s">
        <v>1267</v>
      </c>
      <c r="O23" s="4"/>
      <c r="P23" s="4"/>
      <c r="Q23" s="5">
        <v>50480</v>
      </c>
      <c r="R23" s="36"/>
      <c r="S23" s="36"/>
      <c r="T23" s="37"/>
      <c r="U23" s="5">
        <f t="shared" si="22"/>
        <v>50480</v>
      </c>
      <c r="V23" s="5">
        <f t="shared" si="23"/>
        <v>1611321.6</v>
      </c>
      <c r="W23" s="5">
        <f t="shared" si="24"/>
        <v>290037.88799999998</v>
      </c>
      <c r="X23" s="5"/>
      <c r="Y23" s="5"/>
      <c r="Z23" s="98"/>
      <c r="AA23" s="23">
        <f t="shared" si="25"/>
        <v>0</v>
      </c>
      <c r="AB23" s="97">
        <f t="shared" si="26"/>
        <v>0</v>
      </c>
      <c r="AC23" s="43"/>
      <c r="AD23" s="46"/>
      <c r="AE23" s="5">
        <f t="shared" si="27"/>
        <v>1901359.4880000001</v>
      </c>
      <c r="AF23" s="154">
        <v>484</v>
      </c>
      <c r="AG23" s="114" t="s">
        <v>1915</v>
      </c>
      <c r="AH23" s="155">
        <v>31.92</v>
      </c>
      <c r="AI23" s="12"/>
      <c r="AJ23" s="40"/>
      <c r="AK23" s="40"/>
    </row>
    <row r="24" spans="2:37" s="41" customFormat="1" ht="16.149999999999999" customHeight="1">
      <c r="B24" s="83"/>
      <c r="C24" s="1"/>
      <c r="D24" s="4"/>
      <c r="E24" s="145" t="s">
        <v>392</v>
      </c>
      <c r="F24" s="103">
        <v>31.9</v>
      </c>
      <c r="G24" s="14">
        <f t="shared" si="21"/>
        <v>31900</v>
      </c>
      <c r="H24" s="97">
        <v>15</v>
      </c>
      <c r="I24" s="83" t="s">
        <v>1475</v>
      </c>
      <c r="J24" s="85" t="s">
        <v>1471</v>
      </c>
      <c r="K24" s="135" t="s">
        <v>1490</v>
      </c>
      <c r="L24" s="4"/>
      <c r="M24" s="85" t="s">
        <v>1478</v>
      </c>
      <c r="N24" s="82" t="s">
        <v>1269</v>
      </c>
      <c r="O24" s="4"/>
      <c r="P24" s="4"/>
      <c r="Q24" s="5">
        <v>50480</v>
      </c>
      <c r="R24" s="36"/>
      <c r="S24" s="36"/>
      <c r="T24" s="37"/>
      <c r="U24" s="5">
        <f t="shared" si="22"/>
        <v>50480</v>
      </c>
      <c r="V24" s="5">
        <f t="shared" si="23"/>
        <v>1610312</v>
      </c>
      <c r="W24" s="5">
        <f t="shared" si="24"/>
        <v>289856.15999999997</v>
      </c>
      <c r="X24" s="5"/>
      <c r="Y24" s="5"/>
      <c r="Z24" s="98"/>
      <c r="AA24" s="23">
        <f t="shared" si="25"/>
        <v>0</v>
      </c>
      <c r="AB24" s="97">
        <f t="shared" si="26"/>
        <v>0</v>
      </c>
      <c r="AC24" s="43"/>
      <c r="AD24" s="46"/>
      <c r="AE24" s="5">
        <f t="shared" si="27"/>
        <v>1900168.16</v>
      </c>
      <c r="AF24" s="154">
        <v>485</v>
      </c>
      <c r="AG24" s="114" t="s">
        <v>1915</v>
      </c>
      <c r="AH24" s="155">
        <v>31.9</v>
      </c>
      <c r="AI24" s="12"/>
      <c r="AJ24" s="40"/>
      <c r="AK24" s="40"/>
    </row>
    <row r="25" spans="2:37" s="41" customFormat="1" ht="16.149999999999999" customHeight="1">
      <c r="B25" s="83"/>
      <c r="C25" s="1"/>
      <c r="D25" s="4"/>
      <c r="E25" s="145" t="s">
        <v>392</v>
      </c>
      <c r="F25" s="103">
        <v>31.94</v>
      </c>
      <c r="G25" s="14">
        <f t="shared" si="21"/>
        <v>31940</v>
      </c>
      <c r="H25" s="97">
        <v>15</v>
      </c>
      <c r="I25" s="83" t="s">
        <v>1475</v>
      </c>
      <c r="J25" s="85" t="s">
        <v>1471</v>
      </c>
      <c r="K25" s="135" t="s">
        <v>1491</v>
      </c>
      <c r="L25" s="4"/>
      <c r="M25" s="85" t="s">
        <v>1478</v>
      </c>
      <c r="N25" s="82" t="s">
        <v>157</v>
      </c>
      <c r="O25" s="4"/>
      <c r="P25" s="4"/>
      <c r="Q25" s="5">
        <v>50480</v>
      </c>
      <c r="R25" s="36"/>
      <c r="S25" s="36"/>
      <c r="T25" s="37"/>
      <c r="U25" s="5">
        <f t="shared" si="22"/>
        <v>50480</v>
      </c>
      <c r="V25" s="5">
        <f t="shared" si="23"/>
        <v>1612331.2</v>
      </c>
      <c r="W25" s="5">
        <f t="shared" si="24"/>
        <v>290219.61599999998</v>
      </c>
      <c r="X25" s="5"/>
      <c r="Y25" s="5"/>
      <c r="Z25" s="98"/>
      <c r="AA25" s="23">
        <f t="shared" si="25"/>
        <v>0</v>
      </c>
      <c r="AB25" s="97">
        <f t="shared" si="26"/>
        <v>0</v>
      </c>
      <c r="AC25" s="43"/>
      <c r="AD25" s="46"/>
      <c r="AE25" s="5">
        <f t="shared" si="27"/>
        <v>1902550.8159999999</v>
      </c>
      <c r="AF25" s="154">
        <v>486</v>
      </c>
      <c r="AG25" s="114" t="s">
        <v>1915</v>
      </c>
      <c r="AH25" s="155">
        <v>31.94</v>
      </c>
      <c r="AI25" s="12"/>
      <c r="AJ25" s="40"/>
      <c r="AK25" s="40"/>
    </row>
    <row r="26" spans="2:37" s="41" customFormat="1" ht="16.149999999999999" customHeight="1">
      <c r="B26" s="12"/>
      <c r="C26" s="1"/>
      <c r="D26" s="4"/>
      <c r="E26" s="145" t="s">
        <v>392</v>
      </c>
      <c r="F26" s="103">
        <v>31.87</v>
      </c>
      <c r="G26" s="14">
        <f t="shared" si="21"/>
        <v>31870</v>
      </c>
      <c r="H26" s="97">
        <v>15</v>
      </c>
      <c r="I26" s="83" t="s">
        <v>1475</v>
      </c>
      <c r="J26" s="85" t="s">
        <v>1471</v>
      </c>
      <c r="K26" s="135" t="s">
        <v>1492</v>
      </c>
      <c r="L26" s="4"/>
      <c r="M26" s="85" t="s">
        <v>1478</v>
      </c>
      <c r="N26" s="82" t="s">
        <v>1209</v>
      </c>
      <c r="O26" s="4"/>
      <c r="P26" s="4"/>
      <c r="Q26" s="5">
        <v>50480</v>
      </c>
      <c r="R26" s="36"/>
      <c r="S26" s="36"/>
      <c r="T26" s="37"/>
      <c r="U26" s="5">
        <f t="shared" si="22"/>
        <v>50480</v>
      </c>
      <c r="V26" s="5">
        <f t="shared" si="23"/>
        <v>1608797.6</v>
      </c>
      <c r="W26" s="5">
        <f t="shared" si="24"/>
        <v>289583.56800000003</v>
      </c>
      <c r="X26" s="5"/>
      <c r="Y26" s="5"/>
      <c r="Z26" s="98"/>
      <c r="AA26" s="23">
        <f t="shared" si="25"/>
        <v>0</v>
      </c>
      <c r="AB26" s="97">
        <f t="shared" si="26"/>
        <v>0</v>
      </c>
      <c r="AC26" s="43"/>
      <c r="AD26" s="46"/>
      <c r="AE26" s="5">
        <f t="shared" si="27"/>
        <v>1898381.1680000001</v>
      </c>
      <c r="AF26" s="154">
        <v>487</v>
      </c>
      <c r="AG26" s="114" t="s">
        <v>1915</v>
      </c>
      <c r="AH26" s="155">
        <v>31.87</v>
      </c>
      <c r="AI26" s="12"/>
      <c r="AJ26" s="40"/>
      <c r="AK26" s="40"/>
    </row>
    <row r="27" spans="2:37" s="41" customFormat="1" ht="16.149999999999999" customHeight="1">
      <c r="B27" s="12"/>
      <c r="C27" s="1"/>
      <c r="D27" s="4"/>
      <c r="E27" s="145" t="s">
        <v>392</v>
      </c>
      <c r="F27" s="103">
        <v>32.03</v>
      </c>
      <c r="G27" s="14">
        <f t="shared" si="21"/>
        <v>32030</v>
      </c>
      <c r="H27" s="97">
        <v>15</v>
      </c>
      <c r="I27" s="83" t="s">
        <v>1475</v>
      </c>
      <c r="J27" s="85" t="s">
        <v>1471</v>
      </c>
      <c r="K27" s="135" t="s">
        <v>1493</v>
      </c>
      <c r="L27" s="4"/>
      <c r="M27" s="85" t="s">
        <v>1478</v>
      </c>
      <c r="N27" s="82" t="s">
        <v>1501</v>
      </c>
      <c r="O27" s="4"/>
      <c r="P27" s="4"/>
      <c r="Q27" s="5">
        <v>50480</v>
      </c>
      <c r="R27" s="36"/>
      <c r="S27" s="36"/>
      <c r="T27" s="37"/>
      <c r="U27" s="5">
        <f t="shared" si="22"/>
        <v>50480</v>
      </c>
      <c r="V27" s="5">
        <f t="shared" si="23"/>
        <v>1616874.4000000001</v>
      </c>
      <c r="W27" s="5">
        <f t="shared" si="24"/>
        <v>291037.39199999999</v>
      </c>
      <c r="X27" s="5"/>
      <c r="Y27" s="5"/>
      <c r="Z27" s="98"/>
      <c r="AA27" s="23">
        <f t="shared" si="25"/>
        <v>0</v>
      </c>
      <c r="AB27" s="97">
        <f t="shared" si="26"/>
        <v>0</v>
      </c>
      <c r="AC27" s="43"/>
      <c r="AD27" s="46"/>
      <c r="AE27" s="5">
        <f t="shared" si="27"/>
        <v>1907911.7920000001</v>
      </c>
      <c r="AF27" s="154">
        <v>488</v>
      </c>
      <c r="AG27" s="114" t="s">
        <v>1915</v>
      </c>
      <c r="AH27" s="155">
        <v>32.03</v>
      </c>
      <c r="AI27" s="12"/>
      <c r="AJ27" s="40"/>
      <c r="AK27" s="40"/>
    </row>
    <row r="28" spans="2:37" s="41" customFormat="1" ht="16.149999999999999" customHeight="1">
      <c r="B28" s="12"/>
      <c r="C28" s="1"/>
      <c r="D28" s="4"/>
      <c r="E28" s="145" t="s">
        <v>392</v>
      </c>
      <c r="F28" s="103">
        <v>31.98</v>
      </c>
      <c r="G28" s="14">
        <f t="shared" si="21"/>
        <v>31980</v>
      </c>
      <c r="H28" s="97">
        <v>15</v>
      </c>
      <c r="I28" s="83" t="s">
        <v>1475</v>
      </c>
      <c r="J28" s="85" t="s">
        <v>1471</v>
      </c>
      <c r="K28" s="135" t="s">
        <v>1494</v>
      </c>
      <c r="L28" s="4"/>
      <c r="M28" s="85" t="s">
        <v>1478</v>
      </c>
      <c r="N28" s="82" t="s">
        <v>1502</v>
      </c>
      <c r="O28" s="4"/>
      <c r="P28" s="4"/>
      <c r="Q28" s="5">
        <v>50480</v>
      </c>
      <c r="R28" s="36"/>
      <c r="S28" s="36"/>
      <c r="T28" s="37"/>
      <c r="U28" s="5">
        <f t="shared" si="22"/>
        <v>50480</v>
      </c>
      <c r="V28" s="5">
        <f t="shared" si="23"/>
        <v>1614350.4</v>
      </c>
      <c r="W28" s="5">
        <f t="shared" si="24"/>
        <v>290583.07199999999</v>
      </c>
      <c r="X28" s="5"/>
      <c r="Y28" s="5"/>
      <c r="Z28" s="98"/>
      <c r="AA28" s="23">
        <f t="shared" si="25"/>
        <v>0</v>
      </c>
      <c r="AB28" s="97">
        <f t="shared" si="26"/>
        <v>0</v>
      </c>
      <c r="AC28" s="43"/>
      <c r="AD28" s="46"/>
      <c r="AE28" s="5">
        <f t="shared" si="27"/>
        <v>1904933.4719999998</v>
      </c>
      <c r="AF28" s="154">
        <v>489</v>
      </c>
      <c r="AG28" s="114" t="s">
        <v>1915</v>
      </c>
      <c r="AH28" s="155">
        <v>31.98</v>
      </c>
      <c r="AI28" s="12"/>
      <c r="AJ28" s="40"/>
      <c r="AK28" s="40"/>
    </row>
    <row r="29" spans="2:37" s="41" customFormat="1" ht="16.149999999999999" customHeight="1">
      <c r="B29" s="12"/>
      <c r="C29" s="1"/>
      <c r="D29" s="4"/>
      <c r="E29" s="145" t="s">
        <v>392</v>
      </c>
      <c r="F29" s="103">
        <v>31.9</v>
      </c>
      <c r="G29" s="14">
        <f t="shared" si="21"/>
        <v>31900</v>
      </c>
      <c r="H29" s="97">
        <v>15</v>
      </c>
      <c r="I29" s="83" t="s">
        <v>1475</v>
      </c>
      <c r="J29" s="85" t="s">
        <v>1471</v>
      </c>
      <c r="K29" s="135" t="s">
        <v>1495</v>
      </c>
      <c r="L29" s="4"/>
      <c r="M29" s="85" t="s">
        <v>1478</v>
      </c>
      <c r="N29" s="82" t="s">
        <v>51</v>
      </c>
      <c r="O29" s="4"/>
      <c r="P29" s="4"/>
      <c r="Q29" s="5">
        <v>50480</v>
      </c>
      <c r="R29" s="36"/>
      <c r="S29" s="36"/>
      <c r="T29" s="37"/>
      <c r="U29" s="5">
        <f t="shared" si="22"/>
        <v>50480</v>
      </c>
      <c r="V29" s="5">
        <f t="shared" si="23"/>
        <v>1610312</v>
      </c>
      <c r="W29" s="5">
        <f t="shared" si="24"/>
        <v>289856.15999999997</v>
      </c>
      <c r="X29" s="5"/>
      <c r="Y29" s="5"/>
      <c r="Z29" s="98"/>
      <c r="AA29" s="23">
        <f t="shared" si="25"/>
        <v>0</v>
      </c>
      <c r="AB29" s="97">
        <f t="shared" si="26"/>
        <v>0</v>
      </c>
      <c r="AC29" s="43"/>
      <c r="AD29" s="46"/>
      <c r="AE29" s="5">
        <f t="shared" si="27"/>
        <v>1900168.16</v>
      </c>
      <c r="AF29" s="154">
        <v>490</v>
      </c>
      <c r="AG29" s="114" t="s">
        <v>1915</v>
      </c>
      <c r="AH29" s="155">
        <v>31.9</v>
      </c>
      <c r="AI29" s="12"/>
      <c r="AJ29" s="40"/>
      <c r="AK29" s="40"/>
    </row>
    <row r="30" spans="2:37" s="41" customFormat="1" ht="16.149999999999999" customHeight="1">
      <c r="B30" s="12"/>
      <c r="C30" s="1"/>
      <c r="D30" s="4"/>
      <c r="E30" s="145" t="s">
        <v>392</v>
      </c>
      <c r="F30" s="137">
        <v>32.981000000000002</v>
      </c>
      <c r="G30" s="14">
        <f t="shared" si="21"/>
        <v>32981</v>
      </c>
      <c r="H30" s="97">
        <v>17</v>
      </c>
      <c r="I30" s="83" t="s">
        <v>1475</v>
      </c>
      <c r="J30" s="85" t="s">
        <v>1471</v>
      </c>
      <c r="K30" s="135" t="s">
        <v>1556</v>
      </c>
      <c r="L30" s="4"/>
      <c r="M30" s="85" t="s">
        <v>1528</v>
      </c>
      <c r="N30" s="82" t="s">
        <v>87</v>
      </c>
      <c r="O30" s="4"/>
      <c r="P30" s="4"/>
      <c r="Q30" s="5">
        <v>50480</v>
      </c>
      <c r="R30" s="36"/>
      <c r="S30" s="36"/>
      <c r="T30" s="37"/>
      <c r="U30" s="5">
        <f t="shared" si="22"/>
        <v>50480</v>
      </c>
      <c r="V30" s="5">
        <f t="shared" si="23"/>
        <v>1664880.8800000001</v>
      </c>
      <c r="W30" s="5">
        <f t="shared" si="24"/>
        <v>299678.55840000004</v>
      </c>
      <c r="X30" s="5"/>
      <c r="Y30" s="5"/>
      <c r="Z30" s="98"/>
      <c r="AA30" s="23">
        <f t="shared" si="25"/>
        <v>0</v>
      </c>
      <c r="AB30" s="97">
        <f t="shared" si="26"/>
        <v>0</v>
      </c>
      <c r="AC30" s="43"/>
      <c r="AD30" s="46"/>
      <c r="AE30" s="5">
        <f t="shared" si="27"/>
        <v>1964559.4384000001</v>
      </c>
      <c r="AF30" s="154">
        <v>491</v>
      </c>
      <c r="AG30" s="114" t="s">
        <v>1915</v>
      </c>
      <c r="AH30" s="155">
        <v>32.981000000000002</v>
      </c>
      <c r="AI30" s="12"/>
      <c r="AJ30" s="40"/>
      <c r="AK30" s="40"/>
    </row>
    <row r="31" spans="2:37" s="41" customFormat="1" ht="16.149999999999999" customHeight="1">
      <c r="B31" s="12"/>
      <c r="C31" s="1"/>
      <c r="D31" s="4"/>
      <c r="E31" s="145" t="s">
        <v>392</v>
      </c>
      <c r="F31" s="103">
        <v>34.22</v>
      </c>
      <c r="G31" s="14">
        <f t="shared" si="21"/>
        <v>34220</v>
      </c>
      <c r="H31" s="97">
        <v>16</v>
      </c>
      <c r="I31" s="83" t="s">
        <v>1475</v>
      </c>
      <c r="J31" s="85" t="s">
        <v>1471</v>
      </c>
      <c r="K31" s="135" t="s">
        <v>1557</v>
      </c>
      <c r="L31" s="4"/>
      <c r="M31" s="85" t="s">
        <v>1528</v>
      </c>
      <c r="N31" s="82" t="s">
        <v>1509</v>
      </c>
      <c r="O31" s="4"/>
      <c r="P31" s="4"/>
      <c r="Q31" s="5">
        <v>50480</v>
      </c>
      <c r="R31" s="36"/>
      <c r="S31" s="36"/>
      <c r="T31" s="37"/>
      <c r="U31" s="5">
        <f t="shared" si="22"/>
        <v>50480</v>
      </c>
      <c r="V31" s="5">
        <f t="shared" si="23"/>
        <v>1727425.5999999999</v>
      </c>
      <c r="W31" s="5">
        <f t="shared" si="24"/>
        <v>310936.60799999995</v>
      </c>
      <c r="X31" s="5"/>
      <c r="Y31" s="5"/>
      <c r="Z31" s="98"/>
      <c r="AA31" s="23">
        <f t="shared" si="25"/>
        <v>0</v>
      </c>
      <c r="AB31" s="97">
        <f t="shared" si="26"/>
        <v>0</v>
      </c>
      <c r="AC31" s="43"/>
      <c r="AD31" s="46"/>
      <c r="AE31" s="5">
        <f t="shared" si="27"/>
        <v>2038362.2079999999</v>
      </c>
      <c r="AF31" s="154">
        <v>492</v>
      </c>
      <c r="AG31" s="114" t="s">
        <v>1915</v>
      </c>
      <c r="AH31" s="155">
        <v>34.22</v>
      </c>
      <c r="AI31" s="12"/>
      <c r="AJ31" s="40"/>
      <c r="AK31" s="40"/>
    </row>
    <row r="32" spans="2:37" s="41" customFormat="1" ht="16.149999999999999" customHeight="1">
      <c r="B32" s="12"/>
      <c r="C32" s="1"/>
      <c r="D32" s="4"/>
      <c r="E32" s="145" t="s">
        <v>392</v>
      </c>
      <c r="F32" s="103">
        <v>41</v>
      </c>
      <c r="G32" s="14">
        <f t="shared" si="21"/>
        <v>41000</v>
      </c>
      <c r="H32" s="97">
        <v>20</v>
      </c>
      <c r="I32" s="83" t="s">
        <v>1475</v>
      </c>
      <c r="J32" s="85" t="s">
        <v>1471</v>
      </c>
      <c r="K32" s="135" t="s">
        <v>1558</v>
      </c>
      <c r="L32" s="4"/>
      <c r="M32" s="85" t="s">
        <v>1555</v>
      </c>
      <c r="N32" s="82" t="s">
        <v>1505</v>
      </c>
      <c r="O32" s="4"/>
      <c r="P32" s="4"/>
      <c r="Q32" s="5">
        <v>50480</v>
      </c>
      <c r="R32" s="36"/>
      <c r="S32" s="36"/>
      <c r="T32" s="37"/>
      <c r="U32" s="5">
        <f t="shared" si="22"/>
        <v>50480</v>
      </c>
      <c r="V32" s="5">
        <f t="shared" si="23"/>
        <v>2069680</v>
      </c>
      <c r="W32" s="5">
        <f t="shared" si="24"/>
        <v>372542.39999999997</v>
      </c>
      <c r="X32" s="5"/>
      <c r="Y32" s="5"/>
      <c r="Z32" s="98"/>
      <c r="AA32" s="23">
        <f t="shared" si="25"/>
        <v>0</v>
      </c>
      <c r="AB32" s="97">
        <f t="shared" si="26"/>
        <v>0</v>
      </c>
      <c r="AC32" s="43"/>
      <c r="AD32" s="46"/>
      <c r="AE32" s="5">
        <f t="shared" si="27"/>
        <v>2442222.4</v>
      </c>
      <c r="AF32" s="154">
        <v>493</v>
      </c>
      <c r="AG32" s="114" t="s">
        <v>1915</v>
      </c>
      <c r="AH32" s="155">
        <v>41</v>
      </c>
      <c r="AI32" s="12"/>
      <c r="AJ32" s="40"/>
      <c r="AK32" s="40"/>
    </row>
    <row r="33" spans="2:37" s="41" customFormat="1">
      <c r="B33" s="13">
        <v>500.03100000000001</v>
      </c>
      <c r="C33" s="48">
        <f>B33-F33</f>
        <v>0</v>
      </c>
      <c r="D33" s="6"/>
      <c r="E33" s="6"/>
      <c r="F33" s="81">
        <f>SUM(F18:F32)</f>
        <v>500.03100000000006</v>
      </c>
      <c r="G33" s="20">
        <f>SUM(G18:G32)</f>
        <v>500031</v>
      </c>
      <c r="H33" s="21">
        <f>SUM(H18:H32)</f>
        <v>237</v>
      </c>
      <c r="I33" s="2"/>
      <c r="J33" s="7"/>
      <c r="K33" s="7"/>
      <c r="L33" s="7"/>
      <c r="M33" s="2"/>
      <c r="N33" s="6"/>
      <c r="O33" s="6"/>
      <c r="P33" s="6"/>
      <c r="Q33" s="19"/>
      <c r="R33" s="9"/>
      <c r="S33" s="9"/>
      <c r="T33" s="10"/>
      <c r="U33" s="8"/>
      <c r="V33" s="21">
        <f>SUM(V18:V32)</f>
        <v>25241564.879999999</v>
      </c>
      <c r="W33" s="21">
        <f>SUM(W18:W32)</f>
        <v>4543481.6784000006</v>
      </c>
      <c r="X33" s="21">
        <f>SUM(X18:X32)</f>
        <v>0</v>
      </c>
      <c r="Y33" s="21">
        <f>SUM(Y18:Y32)</f>
        <v>0</v>
      </c>
      <c r="Z33" s="99"/>
      <c r="AA33" s="21">
        <f>SUM(AA18:AA32)</f>
        <v>0</v>
      </c>
      <c r="AB33" s="21">
        <f>SUM(AB18:AB32)</f>
        <v>0</v>
      </c>
      <c r="AC33" s="21"/>
      <c r="AD33" s="21">
        <f>SUM(AD18:AD32)</f>
        <v>0</v>
      </c>
      <c r="AE33" s="21">
        <f>SUM(AE18:AE32)</f>
        <v>29785046.558399998</v>
      </c>
      <c r="AF33" s="21"/>
      <c r="AG33" s="42"/>
      <c r="AH33" s="81">
        <f>SUM(AH18:AH32)</f>
        <v>500.03100000000006</v>
      </c>
      <c r="AI33" s="26">
        <f>AH33-F33</f>
        <v>0</v>
      </c>
      <c r="AJ33" s="41">
        <f>AA33/F33</f>
        <v>0</v>
      </c>
      <c r="AK33" s="40"/>
    </row>
    <row r="34" spans="2:37" s="41" customFormat="1" ht="16.149999999999999" customHeight="1">
      <c r="B34" s="138" t="s">
        <v>764</v>
      </c>
      <c r="C34" s="82" t="s">
        <v>1566</v>
      </c>
      <c r="D34" s="4"/>
      <c r="E34" s="145" t="s">
        <v>35</v>
      </c>
      <c r="F34" s="103">
        <v>13.329000000000001</v>
      </c>
      <c r="G34" s="14">
        <f t="shared" ref="G34:G36" si="28">+F34*1000</f>
        <v>13329</v>
      </c>
      <c r="H34" s="97">
        <v>6</v>
      </c>
      <c r="I34" s="83" t="s">
        <v>1575</v>
      </c>
      <c r="J34" s="85" t="s">
        <v>1434</v>
      </c>
      <c r="K34" s="135" t="s">
        <v>1587</v>
      </c>
      <c r="L34" s="4"/>
      <c r="M34" s="85" t="s">
        <v>1586</v>
      </c>
      <c r="N34" s="82" t="s">
        <v>87</v>
      </c>
      <c r="O34" s="4"/>
      <c r="P34" s="4"/>
      <c r="Q34" s="5">
        <v>52580</v>
      </c>
      <c r="R34" s="36"/>
      <c r="S34" s="36"/>
      <c r="T34" s="37"/>
      <c r="U34" s="5">
        <f t="shared" ref="U34:U36" si="29">S34+R34+Q34-T34</f>
        <v>52580</v>
      </c>
      <c r="V34" s="5">
        <f t="shared" ref="V34:V36" si="30">F34*U34</f>
        <v>700838.82000000007</v>
      </c>
      <c r="W34" s="5">
        <f t="shared" ref="W34:W36" si="31">V34*18%</f>
        <v>126150.98760000001</v>
      </c>
      <c r="X34" s="5"/>
      <c r="Y34" s="5"/>
      <c r="Z34" s="98"/>
      <c r="AA34" s="23">
        <f t="shared" ref="AA34:AA36" si="32">F34*Z34</f>
        <v>0</v>
      </c>
      <c r="AB34" s="97">
        <f t="shared" ref="AB34:AB36" si="33">AA34*18%</f>
        <v>0</v>
      </c>
      <c r="AC34" s="43"/>
      <c r="AD34" s="49"/>
      <c r="AE34" s="5">
        <f t="shared" ref="AE34:AE36" si="34">+AB34+AA34+Y34+X34+W34+V34-AC34+AD34</f>
        <v>826989.80760000006</v>
      </c>
      <c r="AF34" s="154">
        <v>494</v>
      </c>
      <c r="AG34" s="114" t="s">
        <v>1915</v>
      </c>
      <c r="AH34" s="155">
        <v>13.329000000000001</v>
      </c>
      <c r="AI34" s="12"/>
      <c r="AJ34" s="40"/>
      <c r="AK34" s="40"/>
    </row>
    <row r="35" spans="2:37" s="41" customFormat="1" ht="16.149999999999999" customHeight="1">
      <c r="B35" s="140" t="s">
        <v>767</v>
      </c>
      <c r="C35" s="82" t="s">
        <v>1574</v>
      </c>
      <c r="D35" s="4"/>
      <c r="E35" s="82"/>
      <c r="F35" s="103"/>
      <c r="G35" s="14">
        <f t="shared" si="28"/>
        <v>0</v>
      </c>
      <c r="H35" s="97"/>
      <c r="I35" s="83"/>
      <c r="J35" s="85"/>
      <c r="K35" s="135"/>
      <c r="L35" s="4"/>
      <c r="M35" s="85"/>
      <c r="N35" s="82"/>
      <c r="O35" s="4"/>
      <c r="P35" s="4"/>
      <c r="Q35" s="5">
        <v>52580</v>
      </c>
      <c r="R35" s="36"/>
      <c r="S35" s="36"/>
      <c r="T35" s="37"/>
      <c r="U35" s="5">
        <f t="shared" si="29"/>
        <v>52580</v>
      </c>
      <c r="V35" s="5">
        <f t="shared" si="30"/>
        <v>0</v>
      </c>
      <c r="W35" s="5">
        <f t="shared" si="31"/>
        <v>0</v>
      </c>
      <c r="X35" s="5"/>
      <c r="Y35" s="5"/>
      <c r="Z35" s="98"/>
      <c r="AA35" s="23">
        <f t="shared" si="32"/>
        <v>0</v>
      </c>
      <c r="AB35" s="97">
        <f t="shared" si="33"/>
        <v>0</v>
      </c>
      <c r="AC35" s="43"/>
      <c r="AD35" s="49"/>
      <c r="AE35" s="5">
        <f t="shared" si="34"/>
        <v>0</v>
      </c>
      <c r="AF35" s="139"/>
      <c r="AG35" s="139"/>
      <c r="AH35" s="13"/>
      <c r="AI35" s="12"/>
      <c r="AJ35" s="40"/>
      <c r="AK35" s="40"/>
    </row>
    <row r="36" spans="2:37" s="41" customFormat="1" ht="16.149999999999999" customHeight="1">
      <c r="B36" s="89" t="s">
        <v>1588</v>
      </c>
      <c r="C36" s="140"/>
      <c r="D36" s="4"/>
      <c r="E36" s="82"/>
      <c r="F36" s="103"/>
      <c r="G36" s="14">
        <f t="shared" si="28"/>
        <v>0</v>
      </c>
      <c r="H36" s="97"/>
      <c r="I36" s="83"/>
      <c r="J36" s="85"/>
      <c r="K36" s="135"/>
      <c r="L36" s="4"/>
      <c r="M36" s="85"/>
      <c r="N36" s="82"/>
      <c r="O36" s="4"/>
      <c r="P36" s="4"/>
      <c r="Q36" s="5">
        <v>52580</v>
      </c>
      <c r="R36" s="36"/>
      <c r="S36" s="36"/>
      <c r="T36" s="37"/>
      <c r="U36" s="5">
        <f t="shared" si="29"/>
        <v>52580</v>
      </c>
      <c r="V36" s="5">
        <f t="shared" si="30"/>
        <v>0</v>
      </c>
      <c r="W36" s="5">
        <f t="shared" si="31"/>
        <v>0</v>
      </c>
      <c r="X36" s="5"/>
      <c r="Y36" s="5"/>
      <c r="Z36" s="98"/>
      <c r="AA36" s="23">
        <f t="shared" si="32"/>
        <v>0</v>
      </c>
      <c r="AB36" s="97">
        <f t="shared" si="33"/>
        <v>0</v>
      </c>
      <c r="AC36" s="43"/>
      <c r="AD36" s="49"/>
      <c r="AE36" s="5">
        <f t="shared" si="34"/>
        <v>0</v>
      </c>
      <c r="AF36" s="139"/>
      <c r="AG36" s="139"/>
      <c r="AH36" s="13"/>
      <c r="AI36" s="12"/>
      <c r="AJ36" s="40"/>
      <c r="AK36" s="40"/>
    </row>
    <row r="37" spans="2:37" s="41" customFormat="1">
      <c r="B37" s="13">
        <v>13.329000000000001</v>
      </c>
      <c r="C37" s="48">
        <f>B37-F37</f>
        <v>0</v>
      </c>
      <c r="D37" s="6"/>
      <c r="E37" s="6"/>
      <c r="F37" s="81">
        <f>SUM(F34:F36)</f>
        <v>13.329000000000001</v>
      </c>
      <c r="G37" s="20">
        <f>SUM(G34:G36)</f>
        <v>13329</v>
      </c>
      <c r="H37" s="21">
        <f>SUM(H34:H36)</f>
        <v>6</v>
      </c>
      <c r="I37" s="2"/>
      <c r="J37" s="7"/>
      <c r="K37" s="7"/>
      <c r="L37" s="7"/>
      <c r="M37" s="2"/>
      <c r="N37" s="6"/>
      <c r="O37" s="6"/>
      <c r="P37" s="6"/>
      <c r="Q37" s="19"/>
      <c r="R37" s="9"/>
      <c r="S37" s="9"/>
      <c r="T37" s="10"/>
      <c r="U37" s="8"/>
      <c r="V37" s="21">
        <f>SUM(V34:V36)</f>
        <v>700838.82000000007</v>
      </c>
      <c r="W37" s="21">
        <f>SUM(W34:W36)</f>
        <v>126150.98760000001</v>
      </c>
      <c r="X37" s="21">
        <f>SUM(X34:X36)</f>
        <v>0</v>
      </c>
      <c r="Y37" s="21">
        <f>SUM(Y34:Y36)</f>
        <v>0</v>
      </c>
      <c r="Z37" s="99"/>
      <c r="AA37" s="21">
        <f>SUM(AA34:AA36)</f>
        <v>0</v>
      </c>
      <c r="AB37" s="21">
        <f>SUM(AB34:AB36)</f>
        <v>0</v>
      </c>
      <c r="AC37" s="21"/>
      <c r="AD37" s="21">
        <f>SUM(AD34:AD36)</f>
        <v>0</v>
      </c>
      <c r="AE37" s="21">
        <f>SUM(AE34:AE36)</f>
        <v>826989.80760000006</v>
      </c>
      <c r="AF37" s="21"/>
      <c r="AG37" s="42"/>
      <c r="AH37" s="81">
        <f>SUM(AH34:AH36)</f>
        <v>13.329000000000001</v>
      </c>
      <c r="AI37" s="26">
        <f>AH37-F37</f>
        <v>0</v>
      </c>
      <c r="AJ37" s="41">
        <f>AA37/F37</f>
        <v>0</v>
      </c>
      <c r="AK37" s="40"/>
    </row>
    <row r="38" spans="2:37" s="41" customFormat="1" ht="16.149999999999999" customHeight="1">
      <c r="B38" s="104" t="s">
        <v>764</v>
      </c>
      <c r="C38" s="86" t="s">
        <v>1440</v>
      </c>
      <c r="D38" s="4"/>
      <c r="E38" s="86" t="s">
        <v>35</v>
      </c>
      <c r="F38" s="143">
        <v>40.06</v>
      </c>
      <c r="G38" s="14">
        <f t="shared" ref="G38:G61" si="35">+F38*1000</f>
        <v>40060</v>
      </c>
      <c r="H38" s="97">
        <v>19</v>
      </c>
      <c r="I38" s="83" t="s">
        <v>1573</v>
      </c>
      <c r="J38" s="85" t="s">
        <v>1434</v>
      </c>
      <c r="K38" s="135" t="s">
        <v>1612</v>
      </c>
      <c r="L38" s="4"/>
      <c r="M38" s="85" t="s">
        <v>1577</v>
      </c>
      <c r="N38" s="82" t="s">
        <v>43</v>
      </c>
      <c r="O38" s="4"/>
      <c r="P38" s="4"/>
      <c r="Q38" s="5">
        <v>52580</v>
      </c>
      <c r="R38" s="36"/>
      <c r="S38" s="36"/>
      <c r="T38" s="37"/>
      <c r="U38" s="5">
        <f t="shared" ref="U38:U61" si="36">S38+R38+Q38-T38</f>
        <v>52580</v>
      </c>
      <c r="V38" s="5">
        <f t="shared" ref="V38:V61" si="37">F38*U38</f>
        <v>2106354.8000000003</v>
      </c>
      <c r="W38" s="5">
        <f t="shared" ref="W38:W61" si="38">V38*18%</f>
        <v>379143.86400000006</v>
      </c>
      <c r="X38" s="5"/>
      <c r="Y38" s="5"/>
      <c r="Z38" s="98"/>
      <c r="AA38" s="23">
        <f t="shared" ref="AA38:AA61" si="39">F38*Z38</f>
        <v>0</v>
      </c>
      <c r="AB38" s="97">
        <f t="shared" ref="AB38:AB61" si="40">AA38*18%</f>
        <v>0</v>
      </c>
      <c r="AC38" s="43"/>
      <c r="AD38" s="46"/>
      <c r="AE38" s="5">
        <f t="shared" ref="AE38:AE61" si="41">+AB38+AA38+Y38+X38+W38+V38-AC38+AD38</f>
        <v>2485498.6640000003</v>
      </c>
      <c r="AF38" s="154">
        <v>495</v>
      </c>
      <c r="AG38" s="114" t="s">
        <v>1915</v>
      </c>
      <c r="AH38" s="155">
        <v>40.06</v>
      </c>
      <c r="AI38" s="12"/>
      <c r="AJ38" s="40"/>
      <c r="AK38" s="40"/>
    </row>
    <row r="39" spans="2:37" s="41" customFormat="1" ht="16.149999999999999" customHeight="1">
      <c r="B39" s="70" t="s">
        <v>767</v>
      </c>
      <c r="C39" s="82" t="s">
        <v>1474</v>
      </c>
      <c r="D39" s="4"/>
      <c r="E39" s="86" t="s">
        <v>35</v>
      </c>
      <c r="F39" s="143">
        <v>31.72</v>
      </c>
      <c r="G39" s="14">
        <f t="shared" si="35"/>
        <v>31720</v>
      </c>
      <c r="H39" s="97">
        <v>15</v>
      </c>
      <c r="I39" s="83" t="s">
        <v>1573</v>
      </c>
      <c r="J39" s="85" t="s">
        <v>1434</v>
      </c>
      <c r="K39" s="135" t="s">
        <v>1613</v>
      </c>
      <c r="L39" s="4"/>
      <c r="M39" s="85" t="s">
        <v>1577</v>
      </c>
      <c r="N39" s="82" t="s">
        <v>1597</v>
      </c>
      <c r="O39" s="4"/>
      <c r="P39" s="4"/>
      <c r="Q39" s="5">
        <v>52580</v>
      </c>
      <c r="R39" s="36"/>
      <c r="S39" s="36"/>
      <c r="T39" s="37"/>
      <c r="U39" s="5">
        <f t="shared" si="36"/>
        <v>52580</v>
      </c>
      <c r="V39" s="5">
        <f t="shared" si="37"/>
        <v>1667837.5999999999</v>
      </c>
      <c r="W39" s="5">
        <f t="shared" si="38"/>
        <v>300210.76799999998</v>
      </c>
      <c r="X39" s="5"/>
      <c r="Y39" s="5"/>
      <c r="Z39" s="98"/>
      <c r="AA39" s="23">
        <f t="shared" si="39"/>
        <v>0</v>
      </c>
      <c r="AB39" s="97">
        <f t="shared" si="40"/>
        <v>0</v>
      </c>
      <c r="AC39" s="43"/>
      <c r="AD39" s="46"/>
      <c r="AE39" s="5">
        <f t="shared" si="41"/>
        <v>1968048.3679999998</v>
      </c>
      <c r="AF39" s="154">
        <v>496</v>
      </c>
      <c r="AG39" s="114" t="s">
        <v>1915</v>
      </c>
      <c r="AH39" s="155">
        <v>31.72</v>
      </c>
      <c r="AI39" s="12"/>
      <c r="AJ39" s="40"/>
      <c r="AK39" s="40"/>
    </row>
    <row r="40" spans="2:37" s="41" customFormat="1" ht="16.149999999999999" customHeight="1">
      <c r="B40" s="89" t="s">
        <v>1571</v>
      </c>
      <c r="C40" s="70"/>
      <c r="D40" s="4"/>
      <c r="E40" s="86" t="s">
        <v>35</v>
      </c>
      <c r="F40" s="143">
        <v>31.79</v>
      </c>
      <c r="G40" s="14">
        <f t="shared" si="35"/>
        <v>31790</v>
      </c>
      <c r="H40" s="97">
        <v>15</v>
      </c>
      <c r="I40" s="83" t="s">
        <v>1573</v>
      </c>
      <c r="J40" s="85" t="s">
        <v>1434</v>
      </c>
      <c r="K40" s="135" t="s">
        <v>1614</v>
      </c>
      <c r="L40" s="4"/>
      <c r="M40" s="85" t="s">
        <v>1577</v>
      </c>
      <c r="N40" s="82" t="s">
        <v>1598</v>
      </c>
      <c r="O40" s="4"/>
      <c r="P40" s="4"/>
      <c r="Q40" s="5">
        <v>52580</v>
      </c>
      <c r="R40" s="36"/>
      <c r="S40" s="36"/>
      <c r="T40" s="37"/>
      <c r="U40" s="5">
        <f t="shared" si="36"/>
        <v>52580</v>
      </c>
      <c r="V40" s="5">
        <f t="shared" si="37"/>
        <v>1671518.2</v>
      </c>
      <c r="W40" s="5">
        <f t="shared" si="38"/>
        <v>300873.27599999995</v>
      </c>
      <c r="X40" s="5"/>
      <c r="Y40" s="5"/>
      <c r="Z40" s="98"/>
      <c r="AA40" s="23">
        <f t="shared" si="39"/>
        <v>0</v>
      </c>
      <c r="AB40" s="97">
        <f t="shared" si="40"/>
        <v>0</v>
      </c>
      <c r="AC40" s="43"/>
      <c r="AD40" s="46"/>
      <c r="AE40" s="5">
        <f t="shared" si="41"/>
        <v>1972391.4759999998</v>
      </c>
      <c r="AF40" s="154">
        <v>497</v>
      </c>
      <c r="AG40" s="114" t="s">
        <v>1915</v>
      </c>
      <c r="AH40" s="155">
        <v>31.79</v>
      </c>
      <c r="AI40" s="12"/>
      <c r="AJ40" s="40"/>
      <c r="AK40" s="40"/>
    </row>
    <row r="41" spans="2:37" s="41" customFormat="1" ht="16.149999999999999" customHeight="1">
      <c r="B41" s="89" t="s">
        <v>1572</v>
      </c>
      <c r="C41" s="1"/>
      <c r="D41" s="4"/>
      <c r="E41" s="86" t="s">
        <v>35</v>
      </c>
      <c r="F41" s="143">
        <v>31.7</v>
      </c>
      <c r="G41" s="14">
        <f t="shared" si="35"/>
        <v>31700</v>
      </c>
      <c r="H41" s="97">
        <v>15</v>
      </c>
      <c r="I41" s="83" t="s">
        <v>1573</v>
      </c>
      <c r="J41" s="85" t="s">
        <v>1434</v>
      </c>
      <c r="K41" s="135" t="s">
        <v>1615</v>
      </c>
      <c r="L41" s="4"/>
      <c r="M41" s="85" t="s">
        <v>1577</v>
      </c>
      <c r="N41" s="82" t="s">
        <v>1599</v>
      </c>
      <c r="O41" s="4"/>
      <c r="P41" s="4"/>
      <c r="Q41" s="5">
        <v>52580</v>
      </c>
      <c r="R41" s="36"/>
      <c r="S41" s="36"/>
      <c r="T41" s="37"/>
      <c r="U41" s="5">
        <f t="shared" si="36"/>
        <v>52580</v>
      </c>
      <c r="V41" s="5">
        <f t="shared" si="37"/>
        <v>1666786</v>
      </c>
      <c r="W41" s="5">
        <f t="shared" si="38"/>
        <v>300021.48</v>
      </c>
      <c r="X41" s="5"/>
      <c r="Y41" s="5"/>
      <c r="Z41" s="98"/>
      <c r="AA41" s="23">
        <f t="shared" si="39"/>
        <v>0</v>
      </c>
      <c r="AB41" s="97">
        <f t="shared" si="40"/>
        <v>0</v>
      </c>
      <c r="AC41" s="43"/>
      <c r="AD41" s="46"/>
      <c r="AE41" s="5">
        <f t="shared" si="41"/>
        <v>1966807.48</v>
      </c>
      <c r="AF41" s="154">
        <v>498</v>
      </c>
      <c r="AG41" s="114" t="s">
        <v>1915</v>
      </c>
      <c r="AH41" s="155">
        <v>31.7</v>
      </c>
      <c r="AI41" s="12"/>
      <c r="AJ41" s="40"/>
      <c r="AK41" s="40"/>
    </row>
    <row r="42" spans="2:37" s="41" customFormat="1" ht="16.149999999999999" customHeight="1">
      <c r="B42" s="89"/>
      <c r="C42" s="1"/>
      <c r="D42" s="4"/>
      <c r="E42" s="86" t="s">
        <v>35</v>
      </c>
      <c r="F42" s="143">
        <v>31.75</v>
      </c>
      <c r="G42" s="14">
        <f t="shared" si="35"/>
        <v>31750</v>
      </c>
      <c r="H42" s="97">
        <v>15</v>
      </c>
      <c r="I42" s="83" t="s">
        <v>1573</v>
      </c>
      <c r="J42" s="85" t="s">
        <v>1434</v>
      </c>
      <c r="K42" s="135" t="s">
        <v>1616</v>
      </c>
      <c r="L42" s="4"/>
      <c r="M42" s="85" t="s">
        <v>1577</v>
      </c>
      <c r="N42" s="82" t="s">
        <v>1600</v>
      </c>
      <c r="O42" s="4"/>
      <c r="P42" s="4"/>
      <c r="Q42" s="5">
        <v>52580</v>
      </c>
      <c r="R42" s="36"/>
      <c r="S42" s="36"/>
      <c r="T42" s="37"/>
      <c r="U42" s="5">
        <f t="shared" si="36"/>
        <v>52580</v>
      </c>
      <c r="V42" s="5">
        <f t="shared" si="37"/>
        <v>1669415</v>
      </c>
      <c r="W42" s="5">
        <f t="shared" si="38"/>
        <v>300494.7</v>
      </c>
      <c r="X42" s="5"/>
      <c r="Y42" s="5"/>
      <c r="Z42" s="98"/>
      <c r="AA42" s="23">
        <f t="shared" si="39"/>
        <v>0</v>
      </c>
      <c r="AB42" s="97">
        <f t="shared" si="40"/>
        <v>0</v>
      </c>
      <c r="AC42" s="43"/>
      <c r="AD42" s="46"/>
      <c r="AE42" s="5">
        <f t="shared" si="41"/>
        <v>1969909.7</v>
      </c>
      <c r="AF42" s="154">
        <v>499</v>
      </c>
      <c r="AG42" s="114" t="s">
        <v>1915</v>
      </c>
      <c r="AH42" s="155">
        <v>31.75</v>
      </c>
      <c r="AI42" s="12"/>
      <c r="AJ42" s="40"/>
      <c r="AK42" s="40"/>
    </row>
    <row r="43" spans="2:37" s="41" customFormat="1" ht="16.149999999999999" customHeight="1">
      <c r="B43" s="83"/>
      <c r="C43" s="1"/>
      <c r="D43" s="4"/>
      <c r="E43" s="86" t="s">
        <v>35</v>
      </c>
      <c r="F43" s="143">
        <v>31.65</v>
      </c>
      <c r="G43" s="14">
        <f t="shared" si="35"/>
        <v>31650</v>
      </c>
      <c r="H43" s="97">
        <v>15</v>
      </c>
      <c r="I43" s="83" t="s">
        <v>1573</v>
      </c>
      <c r="J43" s="85" t="s">
        <v>1434</v>
      </c>
      <c r="K43" s="135" t="s">
        <v>1617</v>
      </c>
      <c r="L43" s="4"/>
      <c r="M43" s="85" t="s">
        <v>1577</v>
      </c>
      <c r="N43" s="82" t="s">
        <v>1601</v>
      </c>
      <c r="O43" s="4"/>
      <c r="P43" s="4"/>
      <c r="Q43" s="5">
        <v>52580</v>
      </c>
      <c r="R43" s="36"/>
      <c r="S43" s="36"/>
      <c r="T43" s="37"/>
      <c r="U43" s="5">
        <f t="shared" si="36"/>
        <v>52580</v>
      </c>
      <c r="V43" s="5">
        <f t="shared" si="37"/>
        <v>1664157</v>
      </c>
      <c r="W43" s="5">
        <f t="shared" si="38"/>
        <v>299548.26</v>
      </c>
      <c r="X43" s="5"/>
      <c r="Y43" s="5"/>
      <c r="Z43" s="98"/>
      <c r="AA43" s="23">
        <f t="shared" si="39"/>
        <v>0</v>
      </c>
      <c r="AB43" s="97">
        <f t="shared" si="40"/>
        <v>0</v>
      </c>
      <c r="AC43" s="43"/>
      <c r="AD43" s="46"/>
      <c r="AE43" s="5">
        <f t="shared" si="41"/>
        <v>1963705.26</v>
      </c>
      <c r="AF43" s="154">
        <v>500</v>
      </c>
      <c r="AG43" s="114" t="s">
        <v>1915</v>
      </c>
      <c r="AH43" s="155">
        <v>31.65</v>
      </c>
      <c r="AI43" s="12"/>
      <c r="AJ43" s="40"/>
      <c r="AK43" s="40"/>
    </row>
    <row r="44" spans="2:37" s="41" customFormat="1" ht="16.149999999999999" customHeight="1">
      <c r="B44" s="83"/>
      <c r="C44" s="1"/>
      <c r="D44" s="4"/>
      <c r="E44" s="86" t="s">
        <v>35</v>
      </c>
      <c r="F44" s="143">
        <v>31.7</v>
      </c>
      <c r="G44" s="14">
        <f t="shared" si="35"/>
        <v>31700</v>
      </c>
      <c r="H44" s="97">
        <v>15</v>
      </c>
      <c r="I44" s="83" t="s">
        <v>1573</v>
      </c>
      <c r="J44" s="85" t="s">
        <v>1434</v>
      </c>
      <c r="K44" s="135" t="s">
        <v>1618</v>
      </c>
      <c r="L44" s="4"/>
      <c r="M44" s="85" t="s">
        <v>1596</v>
      </c>
      <c r="N44" s="82" t="s">
        <v>1602</v>
      </c>
      <c r="O44" s="4"/>
      <c r="P44" s="4"/>
      <c r="Q44" s="5">
        <v>52580</v>
      </c>
      <c r="R44" s="36"/>
      <c r="S44" s="36"/>
      <c r="T44" s="37"/>
      <c r="U44" s="5">
        <f t="shared" si="36"/>
        <v>52580</v>
      </c>
      <c r="V44" s="5">
        <f t="shared" si="37"/>
        <v>1666786</v>
      </c>
      <c r="W44" s="5">
        <f t="shared" si="38"/>
        <v>300021.48</v>
      </c>
      <c r="X44" s="5"/>
      <c r="Y44" s="5"/>
      <c r="Z44" s="98"/>
      <c r="AA44" s="23">
        <f t="shared" si="39"/>
        <v>0</v>
      </c>
      <c r="AB44" s="97">
        <f t="shared" si="40"/>
        <v>0</v>
      </c>
      <c r="AC44" s="43"/>
      <c r="AD44" s="46"/>
      <c r="AE44" s="5">
        <f t="shared" si="41"/>
        <v>1966807.48</v>
      </c>
      <c r="AF44" s="154">
        <v>501</v>
      </c>
      <c r="AG44" s="114" t="s">
        <v>1915</v>
      </c>
      <c r="AH44" s="155">
        <v>31.7</v>
      </c>
      <c r="AI44" s="12"/>
      <c r="AJ44" s="40"/>
      <c r="AK44" s="40"/>
    </row>
    <row r="45" spans="2:37" s="41" customFormat="1" ht="16.149999999999999" customHeight="1">
      <c r="B45" s="83"/>
      <c r="C45" s="1"/>
      <c r="D45" s="4"/>
      <c r="E45" s="86" t="s">
        <v>35</v>
      </c>
      <c r="F45" s="143">
        <v>31.64</v>
      </c>
      <c r="G45" s="14">
        <f t="shared" si="35"/>
        <v>31640</v>
      </c>
      <c r="H45" s="97">
        <v>15</v>
      </c>
      <c r="I45" s="83" t="s">
        <v>1573</v>
      </c>
      <c r="J45" s="85" t="s">
        <v>1434</v>
      </c>
      <c r="K45" s="135" t="s">
        <v>1619</v>
      </c>
      <c r="L45" s="4"/>
      <c r="M45" s="85" t="s">
        <v>1596</v>
      </c>
      <c r="N45" s="82" t="s">
        <v>1603</v>
      </c>
      <c r="O45" s="4"/>
      <c r="P45" s="4"/>
      <c r="Q45" s="5">
        <v>52580</v>
      </c>
      <c r="R45" s="36"/>
      <c r="S45" s="36"/>
      <c r="T45" s="37"/>
      <c r="U45" s="5">
        <f t="shared" si="36"/>
        <v>52580</v>
      </c>
      <c r="V45" s="5">
        <f t="shared" si="37"/>
        <v>1663631.2</v>
      </c>
      <c r="W45" s="5">
        <f t="shared" si="38"/>
        <v>299453.61599999998</v>
      </c>
      <c r="X45" s="5"/>
      <c r="Y45" s="5"/>
      <c r="Z45" s="98"/>
      <c r="AA45" s="23">
        <f t="shared" si="39"/>
        <v>0</v>
      </c>
      <c r="AB45" s="97">
        <f t="shared" si="40"/>
        <v>0</v>
      </c>
      <c r="AC45" s="43"/>
      <c r="AD45" s="46"/>
      <c r="AE45" s="5">
        <f t="shared" si="41"/>
        <v>1963084.8159999999</v>
      </c>
      <c r="AF45" s="154">
        <v>502</v>
      </c>
      <c r="AG45" s="114" t="s">
        <v>1915</v>
      </c>
      <c r="AH45" s="155">
        <v>31.64</v>
      </c>
      <c r="AI45" s="12"/>
      <c r="AJ45" s="40"/>
      <c r="AK45" s="40"/>
    </row>
    <row r="46" spans="2:37" s="41" customFormat="1" ht="16.149999999999999" customHeight="1">
      <c r="B46" s="83"/>
      <c r="C46" s="1"/>
      <c r="D46" s="4"/>
      <c r="E46" s="86" t="s">
        <v>35</v>
      </c>
      <c r="F46" s="143">
        <v>31.66</v>
      </c>
      <c r="G46" s="14">
        <f t="shared" si="35"/>
        <v>31660</v>
      </c>
      <c r="H46" s="97">
        <v>15</v>
      </c>
      <c r="I46" s="83" t="s">
        <v>1573</v>
      </c>
      <c r="J46" s="85" t="s">
        <v>1434</v>
      </c>
      <c r="K46" s="135" t="s">
        <v>1620</v>
      </c>
      <c r="L46" s="4"/>
      <c r="M46" s="85" t="s">
        <v>1596</v>
      </c>
      <c r="N46" s="82" t="s">
        <v>1604</v>
      </c>
      <c r="O46" s="4"/>
      <c r="P46" s="4"/>
      <c r="Q46" s="5">
        <v>52580</v>
      </c>
      <c r="R46" s="36"/>
      <c r="S46" s="36"/>
      <c r="T46" s="37"/>
      <c r="U46" s="5">
        <f t="shared" si="36"/>
        <v>52580</v>
      </c>
      <c r="V46" s="5">
        <f t="shared" si="37"/>
        <v>1664682.8</v>
      </c>
      <c r="W46" s="5">
        <f t="shared" si="38"/>
        <v>299642.90399999998</v>
      </c>
      <c r="X46" s="5"/>
      <c r="Y46" s="5"/>
      <c r="Z46" s="98"/>
      <c r="AA46" s="23">
        <f t="shared" si="39"/>
        <v>0</v>
      </c>
      <c r="AB46" s="97">
        <f t="shared" si="40"/>
        <v>0</v>
      </c>
      <c r="AC46" s="43"/>
      <c r="AD46" s="46"/>
      <c r="AE46" s="5">
        <f t="shared" si="41"/>
        <v>1964325.7039999999</v>
      </c>
      <c r="AF46" s="154">
        <v>503</v>
      </c>
      <c r="AG46" s="114" t="s">
        <v>1915</v>
      </c>
      <c r="AH46" s="155">
        <v>31.66</v>
      </c>
      <c r="AI46" s="12"/>
      <c r="AJ46" s="40"/>
      <c r="AK46" s="40"/>
    </row>
    <row r="47" spans="2:37" s="41" customFormat="1" ht="16.149999999999999" customHeight="1">
      <c r="B47" s="83"/>
      <c r="C47" s="1"/>
      <c r="D47" s="4"/>
      <c r="E47" s="86" t="s">
        <v>35</v>
      </c>
      <c r="F47" s="143">
        <v>40.119999999999997</v>
      </c>
      <c r="G47" s="14">
        <f t="shared" si="35"/>
        <v>40120</v>
      </c>
      <c r="H47" s="97">
        <v>19</v>
      </c>
      <c r="I47" s="83" t="s">
        <v>1573</v>
      </c>
      <c r="J47" s="85" t="s">
        <v>1434</v>
      </c>
      <c r="K47" s="135" t="s">
        <v>1621</v>
      </c>
      <c r="L47" s="4"/>
      <c r="M47" s="85" t="s">
        <v>1596</v>
      </c>
      <c r="N47" s="82" t="s">
        <v>1499</v>
      </c>
      <c r="O47" s="4"/>
      <c r="P47" s="4"/>
      <c r="Q47" s="5">
        <v>52580</v>
      </c>
      <c r="R47" s="36"/>
      <c r="S47" s="36"/>
      <c r="T47" s="37"/>
      <c r="U47" s="5">
        <f t="shared" si="36"/>
        <v>52580</v>
      </c>
      <c r="V47" s="5">
        <f t="shared" si="37"/>
        <v>2109509.6</v>
      </c>
      <c r="W47" s="5">
        <f t="shared" si="38"/>
        <v>379711.728</v>
      </c>
      <c r="X47" s="5"/>
      <c r="Y47" s="5"/>
      <c r="Z47" s="98"/>
      <c r="AA47" s="23">
        <f t="shared" si="39"/>
        <v>0</v>
      </c>
      <c r="AB47" s="97">
        <f t="shared" si="40"/>
        <v>0</v>
      </c>
      <c r="AC47" s="43"/>
      <c r="AD47" s="46"/>
      <c r="AE47" s="5">
        <f t="shared" si="41"/>
        <v>2489221.3280000002</v>
      </c>
      <c r="AF47" s="154">
        <v>504</v>
      </c>
      <c r="AG47" s="114" t="s">
        <v>1915</v>
      </c>
      <c r="AH47" s="155">
        <v>40.119999999999997</v>
      </c>
      <c r="AI47" s="12"/>
      <c r="AJ47" s="40"/>
      <c r="AK47" s="40"/>
    </row>
    <row r="48" spans="2:37" s="41" customFormat="1" ht="16.149999999999999" customHeight="1">
      <c r="B48" s="83"/>
      <c r="C48" s="1"/>
      <c r="D48" s="4"/>
      <c r="E48" s="86" t="s">
        <v>35</v>
      </c>
      <c r="F48" s="143">
        <v>40.049999999999997</v>
      </c>
      <c r="G48" s="14">
        <f t="shared" si="35"/>
        <v>40050</v>
      </c>
      <c r="H48" s="97">
        <v>19</v>
      </c>
      <c r="I48" s="83" t="s">
        <v>1573</v>
      </c>
      <c r="J48" s="85" t="s">
        <v>1434</v>
      </c>
      <c r="K48" s="135" t="s">
        <v>1622</v>
      </c>
      <c r="L48" s="4"/>
      <c r="M48" s="85" t="s">
        <v>1596</v>
      </c>
      <c r="N48" s="82" t="s">
        <v>1605</v>
      </c>
      <c r="O48" s="4"/>
      <c r="P48" s="4"/>
      <c r="Q48" s="5">
        <v>52580</v>
      </c>
      <c r="R48" s="36"/>
      <c r="S48" s="36"/>
      <c r="T48" s="37"/>
      <c r="U48" s="5">
        <f t="shared" si="36"/>
        <v>52580</v>
      </c>
      <c r="V48" s="5">
        <f t="shared" si="37"/>
        <v>2105829</v>
      </c>
      <c r="W48" s="5">
        <f t="shared" si="38"/>
        <v>379049.22</v>
      </c>
      <c r="X48" s="5"/>
      <c r="Y48" s="5"/>
      <c r="Z48" s="98"/>
      <c r="AA48" s="23">
        <f t="shared" si="39"/>
        <v>0</v>
      </c>
      <c r="AB48" s="97">
        <f t="shared" si="40"/>
        <v>0</v>
      </c>
      <c r="AC48" s="43"/>
      <c r="AD48" s="46"/>
      <c r="AE48" s="5">
        <f t="shared" si="41"/>
        <v>2484878.2199999997</v>
      </c>
      <c r="AF48" s="154">
        <v>505</v>
      </c>
      <c r="AG48" s="114" t="s">
        <v>1915</v>
      </c>
      <c r="AH48" s="155">
        <v>40.049999999999997</v>
      </c>
      <c r="AI48" s="12"/>
      <c r="AJ48" s="40"/>
      <c r="AK48" s="40"/>
    </row>
    <row r="49" spans="2:37" s="41" customFormat="1" ht="16.149999999999999" customHeight="1">
      <c r="B49" s="83"/>
      <c r="C49" s="1"/>
      <c r="D49" s="4"/>
      <c r="E49" s="86" t="s">
        <v>35</v>
      </c>
      <c r="F49" s="143">
        <v>40.090000000000003</v>
      </c>
      <c r="G49" s="14">
        <f t="shared" si="35"/>
        <v>40090</v>
      </c>
      <c r="H49" s="97">
        <v>19</v>
      </c>
      <c r="I49" s="83" t="s">
        <v>1573</v>
      </c>
      <c r="J49" s="85" t="s">
        <v>1434</v>
      </c>
      <c r="K49" s="135" t="s">
        <v>1623</v>
      </c>
      <c r="L49" s="4"/>
      <c r="M49" s="85" t="s">
        <v>1596</v>
      </c>
      <c r="N49" s="82" t="s">
        <v>1606</v>
      </c>
      <c r="O49" s="4"/>
      <c r="P49" s="4"/>
      <c r="Q49" s="5">
        <v>52580</v>
      </c>
      <c r="R49" s="36"/>
      <c r="S49" s="36"/>
      <c r="T49" s="37"/>
      <c r="U49" s="5">
        <f t="shared" si="36"/>
        <v>52580</v>
      </c>
      <c r="V49" s="5">
        <f t="shared" si="37"/>
        <v>2107932.2000000002</v>
      </c>
      <c r="W49" s="5">
        <f t="shared" si="38"/>
        <v>379427.79600000003</v>
      </c>
      <c r="X49" s="5"/>
      <c r="Y49" s="5"/>
      <c r="Z49" s="98"/>
      <c r="AA49" s="23">
        <f t="shared" si="39"/>
        <v>0</v>
      </c>
      <c r="AB49" s="97">
        <f t="shared" si="40"/>
        <v>0</v>
      </c>
      <c r="AC49" s="43"/>
      <c r="AD49" s="46"/>
      <c r="AE49" s="5">
        <f t="shared" si="41"/>
        <v>2487359.9960000003</v>
      </c>
      <c r="AF49" s="154">
        <v>506</v>
      </c>
      <c r="AG49" s="114" t="s">
        <v>1915</v>
      </c>
      <c r="AH49" s="155">
        <v>40.090000000000003</v>
      </c>
      <c r="AI49" s="12"/>
      <c r="AJ49" s="40"/>
      <c r="AK49" s="40"/>
    </row>
    <row r="50" spans="2:37" s="41" customFormat="1" ht="16.149999999999999" customHeight="1">
      <c r="B50" s="83"/>
      <c r="C50" s="1"/>
      <c r="D50" s="4"/>
      <c r="E50" s="86" t="s">
        <v>35</v>
      </c>
      <c r="F50" s="143">
        <v>40.11</v>
      </c>
      <c r="G50" s="14">
        <f t="shared" si="35"/>
        <v>40110</v>
      </c>
      <c r="H50" s="97">
        <v>19</v>
      </c>
      <c r="I50" s="83" t="s">
        <v>1573</v>
      </c>
      <c r="J50" s="85" t="s">
        <v>1434</v>
      </c>
      <c r="K50" s="135" t="s">
        <v>1624</v>
      </c>
      <c r="L50" s="4"/>
      <c r="M50" s="85" t="s">
        <v>1596</v>
      </c>
      <c r="N50" s="82" t="s">
        <v>1607</v>
      </c>
      <c r="O50" s="4"/>
      <c r="P50" s="4"/>
      <c r="Q50" s="5">
        <v>52580</v>
      </c>
      <c r="R50" s="36"/>
      <c r="S50" s="36"/>
      <c r="T50" s="37"/>
      <c r="U50" s="5">
        <f t="shared" si="36"/>
        <v>52580</v>
      </c>
      <c r="V50" s="5">
        <f t="shared" si="37"/>
        <v>2108983.7999999998</v>
      </c>
      <c r="W50" s="5">
        <f t="shared" si="38"/>
        <v>379617.08399999997</v>
      </c>
      <c r="X50" s="5"/>
      <c r="Y50" s="5"/>
      <c r="Z50" s="98"/>
      <c r="AA50" s="23">
        <f t="shared" si="39"/>
        <v>0</v>
      </c>
      <c r="AB50" s="97">
        <f t="shared" si="40"/>
        <v>0</v>
      </c>
      <c r="AC50" s="43"/>
      <c r="AD50" s="46"/>
      <c r="AE50" s="5">
        <f t="shared" si="41"/>
        <v>2488600.8839999996</v>
      </c>
      <c r="AF50" s="154">
        <v>507</v>
      </c>
      <c r="AG50" s="114" t="s">
        <v>1915</v>
      </c>
      <c r="AH50" s="155">
        <v>40.11</v>
      </c>
      <c r="AI50" s="12"/>
      <c r="AJ50" s="40"/>
      <c r="AK50" s="40"/>
    </row>
    <row r="51" spans="2:37" s="41" customFormat="1" ht="16.149999999999999" customHeight="1">
      <c r="B51" s="83"/>
      <c r="C51" s="1"/>
      <c r="D51" s="4"/>
      <c r="E51" s="86" t="s">
        <v>35</v>
      </c>
      <c r="F51" s="143">
        <v>31.73</v>
      </c>
      <c r="G51" s="14">
        <f t="shared" si="35"/>
        <v>31730</v>
      </c>
      <c r="H51" s="97">
        <v>15</v>
      </c>
      <c r="I51" s="83" t="s">
        <v>1573</v>
      </c>
      <c r="J51" s="85" t="s">
        <v>1434</v>
      </c>
      <c r="K51" s="135" t="s">
        <v>1625</v>
      </c>
      <c r="L51" s="4"/>
      <c r="M51" s="85" t="s">
        <v>1596</v>
      </c>
      <c r="N51" s="82" t="s">
        <v>1267</v>
      </c>
      <c r="O51" s="4"/>
      <c r="P51" s="4"/>
      <c r="Q51" s="5">
        <v>52580</v>
      </c>
      <c r="R51" s="36"/>
      <c r="S51" s="36"/>
      <c r="T51" s="37"/>
      <c r="U51" s="5">
        <f t="shared" si="36"/>
        <v>52580</v>
      </c>
      <c r="V51" s="5">
        <f t="shared" si="37"/>
        <v>1668363.4</v>
      </c>
      <c r="W51" s="5">
        <f t="shared" si="38"/>
        <v>300305.41199999995</v>
      </c>
      <c r="X51" s="5"/>
      <c r="Y51" s="5"/>
      <c r="Z51" s="98"/>
      <c r="AA51" s="23">
        <f t="shared" si="39"/>
        <v>0</v>
      </c>
      <c r="AB51" s="97">
        <f t="shared" si="40"/>
        <v>0</v>
      </c>
      <c r="AC51" s="43"/>
      <c r="AD51" s="46"/>
      <c r="AE51" s="5">
        <f t="shared" si="41"/>
        <v>1968668.8119999999</v>
      </c>
      <c r="AF51" s="154">
        <v>508</v>
      </c>
      <c r="AG51" s="114" t="s">
        <v>1915</v>
      </c>
      <c r="AH51" s="155">
        <v>31.73</v>
      </c>
      <c r="AI51" s="12"/>
      <c r="AJ51" s="40"/>
      <c r="AK51" s="40"/>
    </row>
    <row r="52" spans="2:37" s="41" customFormat="1" ht="16.149999999999999" customHeight="1">
      <c r="B52" s="12"/>
      <c r="C52" s="1"/>
      <c r="D52" s="4"/>
      <c r="E52" s="86" t="s">
        <v>35</v>
      </c>
      <c r="F52" s="143">
        <v>31.72</v>
      </c>
      <c r="G52" s="14">
        <f t="shared" si="35"/>
        <v>31720</v>
      </c>
      <c r="H52" s="97">
        <v>15</v>
      </c>
      <c r="I52" s="83" t="s">
        <v>1573</v>
      </c>
      <c r="J52" s="85" t="s">
        <v>1434</v>
      </c>
      <c r="K52" s="135" t="s">
        <v>1626</v>
      </c>
      <c r="L52" s="4"/>
      <c r="M52" s="85" t="s">
        <v>1596</v>
      </c>
      <c r="N52" s="82" t="s">
        <v>1608</v>
      </c>
      <c r="O52" s="4"/>
      <c r="P52" s="4"/>
      <c r="Q52" s="5">
        <v>52580</v>
      </c>
      <c r="R52" s="36"/>
      <c r="S52" s="36"/>
      <c r="T52" s="37"/>
      <c r="U52" s="5">
        <f t="shared" si="36"/>
        <v>52580</v>
      </c>
      <c r="V52" s="5">
        <f t="shared" si="37"/>
        <v>1667837.5999999999</v>
      </c>
      <c r="W52" s="5">
        <f t="shared" si="38"/>
        <v>300210.76799999998</v>
      </c>
      <c r="X52" s="5"/>
      <c r="Y52" s="5"/>
      <c r="Z52" s="98"/>
      <c r="AA52" s="23">
        <f t="shared" si="39"/>
        <v>0</v>
      </c>
      <c r="AB52" s="97">
        <f t="shared" si="40"/>
        <v>0</v>
      </c>
      <c r="AC52" s="43"/>
      <c r="AD52" s="46"/>
      <c r="AE52" s="5">
        <f t="shared" si="41"/>
        <v>1968048.3679999998</v>
      </c>
      <c r="AF52" s="154">
        <v>509</v>
      </c>
      <c r="AG52" s="114" t="s">
        <v>1915</v>
      </c>
      <c r="AH52" s="155">
        <v>31.72</v>
      </c>
      <c r="AI52" s="12"/>
      <c r="AJ52" s="40"/>
      <c r="AK52" s="40"/>
    </row>
    <row r="53" spans="2:37" s="41" customFormat="1" ht="16.149999999999999" customHeight="1">
      <c r="B53" s="12"/>
      <c r="C53" s="1"/>
      <c r="D53" s="4"/>
      <c r="E53" s="86" t="s">
        <v>35</v>
      </c>
      <c r="F53" s="143">
        <v>31.68</v>
      </c>
      <c r="G53" s="14">
        <f t="shared" si="35"/>
        <v>31680</v>
      </c>
      <c r="H53" s="97">
        <v>15</v>
      </c>
      <c r="I53" s="83" t="s">
        <v>1573</v>
      </c>
      <c r="J53" s="85" t="s">
        <v>1434</v>
      </c>
      <c r="K53" s="135" t="s">
        <v>1627</v>
      </c>
      <c r="L53" s="4"/>
      <c r="M53" s="85" t="s">
        <v>1596</v>
      </c>
      <c r="N53" s="82" t="s">
        <v>1609</v>
      </c>
      <c r="O53" s="4"/>
      <c r="P53" s="4"/>
      <c r="Q53" s="5">
        <v>52580</v>
      </c>
      <c r="R53" s="36"/>
      <c r="S53" s="36"/>
      <c r="T53" s="37"/>
      <c r="U53" s="5">
        <f t="shared" si="36"/>
        <v>52580</v>
      </c>
      <c r="V53" s="5">
        <f t="shared" si="37"/>
        <v>1665734.4</v>
      </c>
      <c r="W53" s="5">
        <f t="shared" si="38"/>
        <v>299832.19199999998</v>
      </c>
      <c r="X53" s="5"/>
      <c r="Y53" s="5"/>
      <c r="Z53" s="98"/>
      <c r="AA53" s="23">
        <f t="shared" si="39"/>
        <v>0</v>
      </c>
      <c r="AB53" s="97">
        <f t="shared" si="40"/>
        <v>0</v>
      </c>
      <c r="AC53" s="43"/>
      <c r="AD53" s="46"/>
      <c r="AE53" s="5">
        <f t="shared" si="41"/>
        <v>1965566.5919999999</v>
      </c>
      <c r="AF53" s="154">
        <v>510</v>
      </c>
      <c r="AG53" s="114" t="s">
        <v>1915</v>
      </c>
      <c r="AH53" s="155">
        <v>31.68</v>
      </c>
      <c r="AI53" s="12"/>
      <c r="AJ53" s="40"/>
      <c r="AK53" s="40"/>
    </row>
    <row r="54" spans="2:37" s="41" customFormat="1" ht="16.149999999999999" customHeight="1">
      <c r="B54" s="12"/>
      <c r="C54" s="1"/>
      <c r="D54" s="4"/>
      <c r="E54" s="86" t="s">
        <v>35</v>
      </c>
      <c r="F54" s="143">
        <v>40.11</v>
      </c>
      <c r="G54" s="14">
        <f t="shared" si="35"/>
        <v>40110</v>
      </c>
      <c r="H54" s="97">
        <v>19</v>
      </c>
      <c r="I54" s="83" t="s">
        <v>1573</v>
      </c>
      <c r="J54" s="85" t="s">
        <v>1434</v>
      </c>
      <c r="K54" s="135" t="s">
        <v>1628</v>
      </c>
      <c r="L54" s="4"/>
      <c r="M54" s="85" t="s">
        <v>1586</v>
      </c>
      <c r="N54" s="82" t="s">
        <v>1507</v>
      </c>
      <c r="O54" s="4"/>
      <c r="P54" s="4"/>
      <c r="Q54" s="5">
        <v>52580</v>
      </c>
      <c r="R54" s="36"/>
      <c r="S54" s="36"/>
      <c r="T54" s="37"/>
      <c r="U54" s="5">
        <f t="shared" si="36"/>
        <v>52580</v>
      </c>
      <c r="V54" s="5">
        <f t="shared" si="37"/>
        <v>2108983.7999999998</v>
      </c>
      <c r="W54" s="5">
        <f t="shared" si="38"/>
        <v>379617.08399999997</v>
      </c>
      <c r="X54" s="5"/>
      <c r="Y54" s="5"/>
      <c r="Z54" s="98"/>
      <c r="AA54" s="23">
        <f t="shared" si="39"/>
        <v>0</v>
      </c>
      <c r="AB54" s="97">
        <f t="shared" si="40"/>
        <v>0</v>
      </c>
      <c r="AC54" s="43"/>
      <c r="AD54" s="46"/>
      <c r="AE54" s="5">
        <f t="shared" si="41"/>
        <v>2488600.8839999996</v>
      </c>
      <c r="AF54" s="154">
        <v>511</v>
      </c>
      <c r="AG54" s="114" t="s">
        <v>1915</v>
      </c>
      <c r="AH54" s="155">
        <v>40.11</v>
      </c>
      <c r="AI54" s="12"/>
      <c r="AJ54" s="40"/>
      <c r="AK54" s="40"/>
    </row>
    <row r="55" spans="2:37" s="41" customFormat="1" ht="16.149999999999999" customHeight="1">
      <c r="B55" s="12"/>
      <c r="C55" s="1"/>
      <c r="D55" s="4"/>
      <c r="E55" s="86" t="s">
        <v>35</v>
      </c>
      <c r="F55" s="143">
        <v>31.68</v>
      </c>
      <c r="G55" s="14">
        <f t="shared" si="35"/>
        <v>31680</v>
      </c>
      <c r="H55" s="97">
        <v>15</v>
      </c>
      <c r="I55" s="83" t="s">
        <v>1573</v>
      </c>
      <c r="J55" s="85" t="s">
        <v>1434</v>
      </c>
      <c r="K55" s="135" t="s">
        <v>1629</v>
      </c>
      <c r="L55" s="4"/>
      <c r="M55" s="85" t="s">
        <v>1586</v>
      </c>
      <c r="N55" s="82" t="s">
        <v>1610</v>
      </c>
      <c r="O55" s="4"/>
      <c r="P55" s="4"/>
      <c r="Q55" s="5">
        <v>52580</v>
      </c>
      <c r="R55" s="36"/>
      <c r="S55" s="36"/>
      <c r="T55" s="37"/>
      <c r="U55" s="5">
        <f t="shared" si="36"/>
        <v>52580</v>
      </c>
      <c r="V55" s="5">
        <f t="shared" si="37"/>
        <v>1665734.4</v>
      </c>
      <c r="W55" s="5">
        <f t="shared" si="38"/>
        <v>299832.19199999998</v>
      </c>
      <c r="X55" s="5"/>
      <c r="Y55" s="5"/>
      <c r="Z55" s="98"/>
      <c r="AA55" s="23">
        <f t="shared" si="39"/>
        <v>0</v>
      </c>
      <c r="AB55" s="97">
        <f t="shared" si="40"/>
        <v>0</v>
      </c>
      <c r="AC55" s="43"/>
      <c r="AD55" s="46"/>
      <c r="AE55" s="5">
        <f t="shared" si="41"/>
        <v>1965566.5919999999</v>
      </c>
      <c r="AF55" s="154">
        <v>512</v>
      </c>
      <c r="AG55" s="114" t="s">
        <v>1915</v>
      </c>
      <c r="AH55" s="155">
        <v>31.68</v>
      </c>
      <c r="AI55" s="12"/>
      <c r="AJ55" s="40"/>
      <c r="AK55" s="40"/>
    </row>
    <row r="56" spans="2:37" s="41" customFormat="1" ht="16.149999999999999" customHeight="1">
      <c r="B56" s="12"/>
      <c r="C56" s="1"/>
      <c r="D56" s="4"/>
      <c r="E56" s="86" t="s">
        <v>35</v>
      </c>
      <c r="F56" s="143">
        <v>31.65</v>
      </c>
      <c r="G56" s="14">
        <f t="shared" si="35"/>
        <v>31650</v>
      </c>
      <c r="H56" s="97">
        <v>15</v>
      </c>
      <c r="I56" s="83" t="s">
        <v>1573</v>
      </c>
      <c r="J56" s="85" t="s">
        <v>1434</v>
      </c>
      <c r="K56" s="135" t="s">
        <v>1630</v>
      </c>
      <c r="L56" s="4"/>
      <c r="M56" s="85" t="s">
        <v>1586</v>
      </c>
      <c r="N56" s="82" t="s">
        <v>1498</v>
      </c>
      <c r="O56" s="4"/>
      <c r="P56" s="4"/>
      <c r="Q56" s="5">
        <v>52580</v>
      </c>
      <c r="R56" s="36"/>
      <c r="S56" s="36"/>
      <c r="T56" s="37"/>
      <c r="U56" s="5">
        <f t="shared" si="36"/>
        <v>52580</v>
      </c>
      <c r="V56" s="5">
        <f t="shared" si="37"/>
        <v>1664157</v>
      </c>
      <c r="W56" s="5">
        <f t="shared" si="38"/>
        <v>299548.26</v>
      </c>
      <c r="X56" s="5"/>
      <c r="Y56" s="5"/>
      <c r="Z56" s="98"/>
      <c r="AA56" s="23">
        <f t="shared" si="39"/>
        <v>0</v>
      </c>
      <c r="AB56" s="97">
        <f t="shared" si="40"/>
        <v>0</v>
      </c>
      <c r="AC56" s="43"/>
      <c r="AD56" s="46"/>
      <c r="AE56" s="5">
        <f t="shared" si="41"/>
        <v>1963705.26</v>
      </c>
      <c r="AF56" s="154">
        <v>513</v>
      </c>
      <c r="AG56" s="114" t="s">
        <v>1915</v>
      </c>
      <c r="AH56" s="155">
        <v>31.65</v>
      </c>
      <c r="AI56" s="12"/>
      <c r="AJ56" s="40"/>
      <c r="AK56" s="40"/>
    </row>
    <row r="57" spans="2:37" s="41" customFormat="1" ht="16.149999999999999" customHeight="1">
      <c r="B57" s="12"/>
      <c r="C57" s="1"/>
      <c r="D57" s="4"/>
      <c r="E57" s="86" t="s">
        <v>35</v>
      </c>
      <c r="F57" s="143">
        <v>31.64</v>
      </c>
      <c r="G57" s="14">
        <f t="shared" si="35"/>
        <v>31640</v>
      </c>
      <c r="H57" s="97">
        <v>15</v>
      </c>
      <c r="I57" s="83" t="s">
        <v>1573</v>
      </c>
      <c r="J57" s="85" t="s">
        <v>1434</v>
      </c>
      <c r="K57" s="135" t="s">
        <v>1631</v>
      </c>
      <c r="L57" s="4"/>
      <c r="M57" s="85" t="s">
        <v>1586</v>
      </c>
      <c r="N57" s="82" t="s">
        <v>1602</v>
      </c>
      <c r="O57" s="4"/>
      <c r="P57" s="4"/>
      <c r="Q57" s="5">
        <v>52580</v>
      </c>
      <c r="R57" s="36"/>
      <c r="S57" s="36"/>
      <c r="T57" s="37"/>
      <c r="U57" s="5">
        <f t="shared" si="36"/>
        <v>52580</v>
      </c>
      <c r="V57" s="5">
        <f t="shared" si="37"/>
        <v>1663631.2</v>
      </c>
      <c r="W57" s="5">
        <f t="shared" si="38"/>
        <v>299453.61599999998</v>
      </c>
      <c r="X57" s="5"/>
      <c r="Y57" s="5"/>
      <c r="Z57" s="98"/>
      <c r="AA57" s="23">
        <f t="shared" si="39"/>
        <v>0</v>
      </c>
      <c r="AB57" s="97">
        <f t="shared" si="40"/>
        <v>0</v>
      </c>
      <c r="AC57" s="43"/>
      <c r="AD57" s="46"/>
      <c r="AE57" s="5">
        <f t="shared" si="41"/>
        <v>1963084.8159999999</v>
      </c>
      <c r="AF57" s="154">
        <v>514</v>
      </c>
      <c r="AG57" s="114" t="s">
        <v>1915</v>
      </c>
      <c r="AH57" s="155">
        <v>31.64</v>
      </c>
      <c r="AI57" s="12"/>
      <c r="AJ57" s="40"/>
      <c r="AK57" s="40"/>
    </row>
    <row r="58" spans="2:37" s="41" customFormat="1" ht="16.149999999999999" customHeight="1">
      <c r="B58" s="12"/>
      <c r="C58" s="1"/>
      <c r="D58" s="4"/>
      <c r="E58" s="86" t="s">
        <v>35</v>
      </c>
      <c r="F58" s="143">
        <v>31.68</v>
      </c>
      <c r="G58" s="14">
        <f t="shared" si="35"/>
        <v>31680</v>
      </c>
      <c r="H58" s="97">
        <v>15</v>
      </c>
      <c r="I58" s="83" t="s">
        <v>1573</v>
      </c>
      <c r="J58" s="85" t="s">
        <v>1434</v>
      </c>
      <c r="K58" s="135" t="s">
        <v>1632</v>
      </c>
      <c r="L58" s="4"/>
      <c r="M58" s="85" t="s">
        <v>1586</v>
      </c>
      <c r="N58" s="82" t="s">
        <v>1611</v>
      </c>
      <c r="O58" s="4"/>
      <c r="P58" s="4"/>
      <c r="Q58" s="5">
        <v>52580</v>
      </c>
      <c r="R58" s="36"/>
      <c r="S58" s="36"/>
      <c r="T58" s="37"/>
      <c r="U58" s="5">
        <f t="shared" si="36"/>
        <v>52580</v>
      </c>
      <c r="V58" s="5">
        <f t="shared" si="37"/>
        <v>1665734.4</v>
      </c>
      <c r="W58" s="5">
        <f t="shared" si="38"/>
        <v>299832.19199999998</v>
      </c>
      <c r="X58" s="5"/>
      <c r="Y58" s="5"/>
      <c r="Z58" s="98"/>
      <c r="AA58" s="23">
        <f t="shared" si="39"/>
        <v>0</v>
      </c>
      <c r="AB58" s="97">
        <f t="shared" si="40"/>
        <v>0</v>
      </c>
      <c r="AC58" s="43"/>
      <c r="AD58" s="46"/>
      <c r="AE58" s="5">
        <f t="shared" si="41"/>
        <v>1965566.5919999999</v>
      </c>
      <c r="AF58" s="154">
        <v>515</v>
      </c>
      <c r="AG58" s="114" t="s">
        <v>1915</v>
      </c>
      <c r="AH58" s="155">
        <v>31.68</v>
      </c>
      <c r="AI58" s="12"/>
      <c r="AJ58" s="40"/>
      <c r="AK58" s="40"/>
    </row>
    <row r="59" spans="2:37" s="41" customFormat="1" ht="16.149999999999999" customHeight="1">
      <c r="B59" s="12"/>
      <c r="C59" s="1"/>
      <c r="D59" s="4"/>
      <c r="E59" s="86" t="s">
        <v>35</v>
      </c>
      <c r="F59" s="143">
        <v>31.62</v>
      </c>
      <c r="G59" s="14">
        <f t="shared" si="35"/>
        <v>31620</v>
      </c>
      <c r="H59" s="97">
        <v>15</v>
      </c>
      <c r="I59" s="83" t="s">
        <v>1573</v>
      </c>
      <c r="J59" s="85" t="s">
        <v>1434</v>
      </c>
      <c r="K59" s="135" t="s">
        <v>1633</v>
      </c>
      <c r="L59" s="4"/>
      <c r="M59" s="85" t="s">
        <v>1586</v>
      </c>
      <c r="N59" s="82" t="s">
        <v>1189</v>
      </c>
      <c r="O59" s="4"/>
      <c r="P59" s="4"/>
      <c r="Q59" s="5">
        <v>52580</v>
      </c>
      <c r="R59" s="36"/>
      <c r="S59" s="36"/>
      <c r="T59" s="37"/>
      <c r="U59" s="5">
        <f t="shared" si="36"/>
        <v>52580</v>
      </c>
      <c r="V59" s="5">
        <f t="shared" si="37"/>
        <v>1662579.6</v>
      </c>
      <c r="W59" s="5">
        <f t="shared" si="38"/>
        <v>299264.32799999998</v>
      </c>
      <c r="X59" s="5"/>
      <c r="Y59" s="5"/>
      <c r="Z59" s="98"/>
      <c r="AA59" s="23">
        <f t="shared" si="39"/>
        <v>0</v>
      </c>
      <c r="AB59" s="97">
        <f t="shared" si="40"/>
        <v>0</v>
      </c>
      <c r="AC59" s="43"/>
      <c r="AD59" s="46"/>
      <c r="AE59" s="5">
        <f t="shared" si="41"/>
        <v>1961843.9280000001</v>
      </c>
      <c r="AF59" s="154">
        <v>516</v>
      </c>
      <c r="AG59" s="114" t="s">
        <v>1915</v>
      </c>
      <c r="AH59" s="155">
        <v>31.62</v>
      </c>
      <c r="AI59" s="12"/>
      <c r="AJ59" s="40"/>
      <c r="AK59" s="40"/>
    </row>
    <row r="60" spans="2:37" s="41" customFormat="1" ht="16.149999999999999" customHeight="1">
      <c r="B60" s="12"/>
      <c r="C60" s="1"/>
      <c r="D60" s="4"/>
      <c r="E60" s="86" t="s">
        <v>35</v>
      </c>
      <c r="F60" s="143">
        <v>31.6</v>
      </c>
      <c r="G60" s="14">
        <f t="shared" si="35"/>
        <v>31600</v>
      </c>
      <c r="H60" s="97">
        <v>15</v>
      </c>
      <c r="I60" s="83" t="s">
        <v>1573</v>
      </c>
      <c r="J60" s="85" t="s">
        <v>1434</v>
      </c>
      <c r="K60" s="135" t="s">
        <v>1641</v>
      </c>
      <c r="L60" s="4"/>
      <c r="M60" s="85" t="s">
        <v>1642</v>
      </c>
      <c r="N60" s="82" t="s">
        <v>908</v>
      </c>
      <c r="O60" s="4"/>
      <c r="P60" s="4"/>
      <c r="Q60" s="5">
        <v>52580</v>
      </c>
      <c r="R60" s="36"/>
      <c r="S60" s="36"/>
      <c r="T60" s="37"/>
      <c r="U60" s="5">
        <f t="shared" si="36"/>
        <v>52580</v>
      </c>
      <c r="V60" s="5">
        <f t="shared" si="37"/>
        <v>1661528</v>
      </c>
      <c r="W60" s="5">
        <f t="shared" si="38"/>
        <v>299075.03999999998</v>
      </c>
      <c r="X60" s="5"/>
      <c r="Y60" s="5"/>
      <c r="Z60" s="98"/>
      <c r="AA60" s="23">
        <f t="shared" si="39"/>
        <v>0</v>
      </c>
      <c r="AB60" s="97">
        <f t="shared" si="40"/>
        <v>0</v>
      </c>
      <c r="AC60" s="43"/>
      <c r="AD60" s="46"/>
      <c r="AE60" s="5">
        <f t="shared" si="41"/>
        <v>1960603.04</v>
      </c>
      <c r="AF60" s="154">
        <v>517</v>
      </c>
      <c r="AG60" s="114" t="s">
        <v>1915</v>
      </c>
      <c r="AH60" s="155">
        <v>31.6</v>
      </c>
      <c r="AI60" s="12"/>
      <c r="AJ60" s="40"/>
      <c r="AK60" s="40"/>
    </row>
    <row r="61" spans="2:37" s="41" customFormat="1" ht="16.149999999999999" customHeight="1">
      <c r="B61" s="12"/>
      <c r="C61" s="1"/>
      <c r="D61" s="4"/>
      <c r="E61" s="86" t="s">
        <v>35</v>
      </c>
      <c r="F61" s="143">
        <f>6.3+0.79</f>
        <v>7.09</v>
      </c>
      <c r="G61" s="14">
        <f t="shared" si="35"/>
        <v>7090</v>
      </c>
      <c r="H61" s="97">
        <v>3</v>
      </c>
      <c r="I61" s="83" t="s">
        <v>1573</v>
      </c>
      <c r="J61" s="85" t="s">
        <v>1434</v>
      </c>
      <c r="K61" s="82" t="s">
        <v>1672</v>
      </c>
      <c r="L61" s="4"/>
      <c r="M61" s="85" t="s">
        <v>1668</v>
      </c>
      <c r="N61" s="82" t="s">
        <v>1669</v>
      </c>
      <c r="O61" s="4"/>
      <c r="P61" s="4"/>
      <c r="Q61" s="5">
        <v>52580</v>
      </c>
      <c r="R61" s="36"/>
      <c r="S61" s="36"/>
      <c r="T61" s="37"/>
      <c r="U61" s="5">
        <f t="shared" si="36"/>
        <v>52580</v>
      </c>
      <c r="V61" s="5">
        <f t="shared" si="37"/>
        <v>372792.2</v>
      </c>
      <c r="W61" s="5">
        <f t="shared" si="38"/>
        <v>67102.596000000005</v>
      </c>
      <c r="X61" s="5"/>
      <c r="Y61" s="5"/>
      <c r="Z61" s="98"/>
      <c r="AA61" s="23">
        <f t="shared" si="39"/>
        <v>0</v>
      </c>
      <c r="AB61" s="97">
        <f t="shared" si="40"/>
        <v>0</v>
      </c>
      <c r="AC61" s="43"/>
      <c r="AD61" s="46"/>
      <c r="AE61" s="5">
        <f t="shared" si="41"/>
        <v>439894.79600000003</v>
      </c>
      <c r="AF61" s="154">
        <v>518</v>
      </c>
      <c r="AG61" s="114" t="s">
        <v>1915</v>
      </c>
      <c r="AH61" s="155">
        <v>7.09</v>
      </c>
      <c r="AI61" s="12"/>
      <c r="AJ61" s="40"/>
      <c r="AK61" s="40"/>
    </row>
    <row r="62" spans="2:37" s="41" customFormat="1">
      <c r="B62" s="13">
        <v>786.24</v>
      </c>
      <c r="C62" s="48">
        <f>B62-F62</f>
        <v>0</v>
      </c>
      <c r="D62" s="6"/>
      <c r="E62" s="6"/>
      <c r="F62" s="81">
        <f>SUM(F38:F61)</f>
        <v>786.24</v>
      </c>
      <c r="G62" s="20">
        <f>SUM(G38:G61)</f>
        <v>786240</v>
      </c>
      <c r="H62" s="21">
        <f>SUM(H38:H61)</f>
        <v>372</v>
      </c>
      <c r="I62" s="2"/>
      <c r="J62" s="7"/>
      <c r="K62" s="7"/>
      <c r="L62" s="7"/>
      <c r="M62" s="2"/>
      <c r="N62" s="6"/>
      <c r="O62" s="6"/>
      <c r="P62" s="6"/>
      <c r="Q62" s="19"/>
      <c r="R62" s="9"/>
      <c r="S62" s="9"/>
      <c r="T62" s="10"/>
      <c r="U62" s="8"/>
      <c r="V62" s="21">
        <f>SUM(V38:V61)</f>
        <v>41340499.200000003</v>
      </c>
      <c r="W62" s="21">
        <f>SUM(W38:W61)</f>
        <v>7441289.8559999987</v>
      </c>
      <c r="X62" s="21">
        <f>SUM(X38:X61)</f>
        <v>0</v>
      </c>
      <c r="Y62" s="21">
        <f>SUM(Y38:Y61)</f>
        <v>0</v>
      </c>
      <c r="Z62" s="99"/>
      <c r="AA62" s="21">
        <f>SUM(AA38:AA61)</f>
        <v>0</v>
      </c>
      <c r="AB62" s="21">
        <f>SUM(AB38:AB61)</f>
        <v>0</v>
      </c>
      <c r="AC62" s="21"/>
      <c r="AD62" s="21">
        <f>SUM(AD38:AD61)</f>
        <v>0</v>
      </c>
      <c r="AE62" s="21">
        <f>SUM(AE38:AE61)</f>
        <v>48781789.055999987</v>
      </c>
      <c r="AF62" s="21"/>
      <c r="AG62" s="42"/>
      <c r="AH62" s="81">
        <f>SUM(AH38:AH61)</f>
        <v>786.24</v>
      </c>
      <c r="AI62" s="26">
        <f>AH62-F62</f>
        <v>0</v>
      </c>
      <c r="AJ62" s="41">
        <f>AA62/F62</f>
        <v>0</v>
      </c>
      <c r="AK62" s="40"/>
    </row>
    <row r="63" spans="2:37">
      <c r="B63" s="15"/>
      <c r="C63" s="18"/>
      <c r="D63" s="11"/>
      <c r="E63" s="18" t="s">
        <v>16</v>
      </c>
      <c r="F63" s="16">
        <f>SUM(F3:F62)/2</f>
        <v>1738.4199999999996</v>
      </c>
      <c r="G63" s="17">
        <f>SUM(G3:G62)/2</f>
        <v>1738420</v>
      </c>
      <c r="H63" s="17">
        <f>SUM(H3:H62)/2</f>
        <v>825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17"/>
      <c r="V63" s="17">
        <f>SUM(V3:V62)/2</f>
        <v>90356058.5</v>
      </c>
      <c r="W63" s="17">
        <f>SUM(W3:W62)/2</f>
        <v>16264090.530000001</v>
      </c>
      <c r="X63" s="17"/>
      <c r="Y63" s="22"/>
      <c r="Z63" s="17"/>
      <c r="AA63" s="17" t="e">
        <f>SUM(#REF!)/2</f>
        <v>#REF!</v>
      </c>
      <c r="AB63" s="17"/>
      <c r="AC63" s="22"/>
      <c r="AD63" s="17"/>
      <c r="AE63" s="17">
        <f>SUM(AE3:AE62)/2</f>
        <v>106620149.03000003</v>
      </c>
      <c r="AF63" s="22"/>
      <c r="AG63" s="16"/>
      <c r="AH63" s="17" t="e">
        <f>SUM(#REF!)/2</f>
        <v>#REF!</v>
      </c>
      <c r="AI63" s="110">
        <f>SUM(AI3:AI62)/2</f>
        <v>0</v>
      </c>
    </row>
    <row r="65" spans="6:9">
      <c r="I65" s="90"/>
    </row>
    <row r="66" spans="6:9">
      <c r="F66" s="90"/>
    </row>
    <row r="71" spans="6:9">
      <c r="F71" s="90"/>
    </row>
  </sheetData>
  <dataConsolidate/>
  <mergeCells count="1">
    <mergeCell ref="AF1:AG1"/>
  </mergeCells>
  <conditionalFormatting sqref="AF3:AF16">
    <cfRule type="duplicateValues" dxfId="13" priority="8"/>
  </conditionalFormatting>
  <conditionalFormatting sqref="AF3:AF16">
    <cfRule type="duplicateValues" dxfId="12" priority="7"/>
  </conditionalFormatting>
  <conditionalFormatting sqref="AF18:AF32">
    <cfRule type="duplicateValues" dxfId="11" priority="6"/>
  </conditionalFormatting>
  <conditionalFormatting sqref="AF18:AF32">
    <cfRule type="duplicateValues" dxfId="10" priority="5"/>
  </conditionalFormatting>
  <conditionalFormatting sqref="AF34">
    <cfRule type="duplicateValues" dxfId="9" priority="4"/>
  </conditionalFormatting>
  <conditionalFormatting sqref="AF34">
    <cfRule type="duplicateValues" dxfId="8" priority="3"/>
  </conditionalFormatting>
  <conditionalFormatting sqref="AF38:AF61">
    <cfRule type="duplicateValues" dxfId="7" priority="2"/>
  </conditionalFormatting>
  <conditionalFormatting sqref="AF38:AF61">
    <cfRule type="duplicateValues" dxfId="6" priority="1"/>
  </conditionalFormatting>
  <pageMargins left="0.33" right="0.196850393700787" top="0.2" bottom="0.26" header="0.2" footer="0.31496062992126"/>
  <pageSetup paperSize="9" scale="2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O92"/>
  <sheetViews>
    <sheetView showZeros="0" zoomScale="85" zoomScaleNormal="85" workbookViewId="0">
      <pane xSplit="21" ySplit="2" topLeftCell="V66" activePane="bottomRight" state="frozen"/>
      <selection pane="topRight" activeCell="V1" sqref="V1"/>
      <selection pane="bottomLeft" activeCell="A3" sqref="A3"/>
      <selection pane="bottomRight" activeCell="F72" sqref="F72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hidden="1" customWidth="1"/>
    <col min="13" max="13" width="9.7109375" style="38" customWidth="1"/>
    <col min="14" max="14" width="18.140625" style="38" customWidth="1"/>
    <col min="15" max="15" width="10.7109375" style="38" hidden="1" customWidth="1"/>
    <col min="16" max="16" width="11.28515625" style="38" hidden="1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34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04" t="s">
        <v>1399</v>
      </c>
      <c r="C3" s="86" t="s">
        <v>1400</v>
      </c>
      <c r="D3" s="4"/>
      <c r="E3" s="86" t="s">
        <v>1396</v>
      </c>
      <c r="F3" s="13">
        <v>31.75</v>
      </c>
      <c r="G3" s="14">
        <f t="shared" ref="G3:G8" si="0">+F3*1000</f>
        <v>31750</v>
      </c>
      <c r="H3" s="49">
        <v>12</v>
      </c>
      <c r="I3" s="83" t="s">
        <v>1397</v>
      </c>
      <c r="J3" s="85" t="s">
        <v>1398</v>
      </c>
      <c r="K3" s="82">
        <v>251</v>
      </c>
      <c r="L3" s="82"/>
      <c r="M3" s="85" t="s">
        <v>1398</v>
      </c>
      <c r="N3" s="82" t="s">
        <v>1401</v>
      </c>
      <c r="O3" s="4"/>
      <c r="P3" s="4"/>
      <c r="Q3" s="5">
        <v>48550</v>
      </c>
      <c r="R3" s="36">
        <v>600</v>
      </c>
      <c r="S3" s="36"/>
      <c r="T3" s="37"/>
      <c r="U3" s="5">
        <f t="shared" ref="U3:U8" si="1">S3+R3+Q3-T3</f>
        <v>49150</v>
      </c>
      <c r="V3" s="5">
        <f t="shared" ref="V3:V8" si="2">F3*U3</f>
        <v>1560512.5</v>
      </c>
      <c r="W3" s="5">
        <f>V3*18%</f>
        <v>280892.25</v>
      </c>
      <c r="X3" s="5"/>
      <c r="Y3" s="5"/>
      <c r="Z3" s="98">
        <v>2850</v>
      </c>
      <c r="AA3" s="23">
        <f t="shared" ref="AA3:AA8" si="3">F3*Z3</f>
        <v>90487.5</v>
      </c>
      <c r="AB3" s="97">
        <f t="shared" ref="AB3:AB8" si="4">AA3*18%</f>
        <v>16287.75</v>
      </c>
      <c r="AC3" s="43"/>
      <c r="AD3" s="46"/>
      <c r="AE3" s="5">
        <f t="shared" ref="AE3:AE8" si="5">+AB3+AA3+Y3+X3+W3+V3-AC3+AD3</f>
        <v>1948180</v>
      </c>
      <c r="AF3" s="47">
        <v>167</v>
      </c>
      <c r="AG3" s="44" t="s">
        <v>1420</v>
      </c>
      <c r="AH3" s="13">
        <v>31.75</v>
      </c>
      <c r="AI3" s="12"/>
      <c r="AJ3" s="40"/>
      <c r="AK3" s="40"/>
    </row>
    <row r="4" spans="2:41" s="41" customFormat="1" ht="16.149999999999999" customHeight="1">
      <c r="B4" s="70" t="s">
        <v>918</v>
      </c>
      <c r="C4" s="86" t="s">
        <v>1421</v>
      </c>
      <c r="D4" s="4"/>
      <c r="E4" s="86" t="s">
        <v>1396</v>
      </c>
      <c r="F4" s="13">
        <v>34.29</v>
      </c>
      <c r="G4" s="14">
        <f t="shared" si="0"/>
        <v>34290</v>
      </c>
      <c r="H4" s="49">
        <v>13</v>
      </c>
      <c r="I4" s="83" t="s">
        <v>1402</v>
      </c>
      <c r="J4" s="85" t="s">
        <v>1398</v>
      </c>
      <c r="K4" s="82">
        <v>255</v>
      </c>
      <c r="L4" s="82"/>
      <c r="M4" s="85" t="s">
        <v>1398</v>
      </c>
      <c r="N4" s="82" t="s">
        <v>1403</v>
      </c>
      <c r="O4" s="4"/>
      <c r="P4" s="4"/>
      <c r="Q4" s="5">
        <v>48550</v>
      </c>
      <c r="R4" s="36">
        <v>600</v>
      </c>
      <c r="S4" s="36"/>
      <c r="T4" s="37"/>
      <c r="U4" s="5">
        <f t="shared" si="1"/>
        <v>49150</v>
      </c>
      <c r="V4" s="5">
        <f t="shared" si="2"/>
        <v>1685353.5</v>
      </c>
      <c r="W4" s="5">
        <f>V4*18%</f>
        <v>303363.63</v>
      </c>
      <c r="X4" s="5"/>
      <c r="Y4" s="5"/>
      <c r="Z4" s="98">
        <v>2850</v>
      </c>
      <c r="AA4" s="23">
        <f t="shared" si="3"/>
        <v>97726.5</v>
      </c>
      <c r="AB4" s="97">
        <f t="shared" si="4"/>
        <v>17590.77</v>
      </c>
      <c r="AC4" s="43"/>
      <c r="AD4" s="46"/>
      <c r="AE4" s="5">
        <f t="shared" si="5"/>
        <v>2104034.4</v>
      </c>
      <c r="AF4" s="47">
        <v>172</v>
      </c>
      <c r="AG4" s="44" t="s">
        <v>1420</v>
      </c>
      <c r="AH4" s="13">
        <v>34.29</v>
      </c>
      <c r="AI4" s="12"/>
      <c r="AJ4" s="40"/>
      <c r="AK4" s="40"/>
    </row>
    <row r="5" spans="2:41" s="41" customFormat="1" ht="16.149999999999999" customHeight="1">
      <c r="B5" s="105"/>
      <c r="C5" s="105"/>
      <c r="D5" s="4"/>
      <c r="E5" s="86" t="s">
        <v>1396</v>
      </c>
      <c r="F5" s="13">
        <v>31.81</v>
      </c>
      <c r="G5" s="14">
        <f t="shared" si="0"/>
        <v>31810</v>
      </c>
      <c r="H5" s="49">
        <v>12</v>
      </c>
      <c r="I5" s="83" t="s">
        <v>1405</v>
      </c>
      <c r="J5" s="85" t="s">
        <v>1398</v>
      </c>
      <c r="K5" s="82">
        <v>254</v>
      </c>
      <c r="L5" s="82"/>
      <c r="M5" s="85" t="s">
        <v>1398</v>
      </c>
      <c r="N5" s="82" t="s">
        <v>1406</v>
      </c>
      <c r="O5" s="4"/>
      <c r="P5" s="4"/>
      <c r="Q5" s="5">
        <v>48550</v>
      </c>
      <c r="R5" s="36">
        <v>600</v>
      </c>
      <c r="S5" s="36"/>
      <c r="T5" s="37"/>
      <c r="U5" s="5">
        <f t="shared" si="1"/>
        <v>49150</v>
      </c>
      <c r="V5" s="5">
        <f t="shared" si="2"/>
        <v>1563461.5</v>
      </c>
      <c r="W5" s="5">
        <f t="shared" ref="W5:W8" si="6">V5*18%</f>
        <v>281423.07</v>
      </c>
      <c r="X5" s="5"/>
      <c r="Y5" s="5"/>
      <c r="Z5" s="98">
        <v>2850</v>
      </c>
      <c r="AA5" s="23">
        <f t="shared" si="3"/>
        <v>90658.5</v>
      </c>
      <c r="AB5" s="97">
        <f t="shared" si="4"/>
        <v>16318.529999999999</v>
      </c>
      <c r="AC5" s="43"/>
      <c r="AD5" s="46"/>
      <c r="AE5" s="5">
        <f t="shared" si="5"/>
        <v>1951861.6</v>
      </c>
      <c r="AF5" s="47">
        <v>171</v>
      </c>
      <c r="AG5" s="44" t="s">
        <v>1420</v>
      </c>
      <c r="AH5" s="13">
        <v>31.81</v>
      </c>
      <c r="AI5" s="12"/>
      <c r="AJ5" s="40"/>
      <c r="AK5" s="40"/>
    </row>
    <row r="6" spans="2:41" s="41" customFormat="1" ht="16.149999999999999" customHeight="1">
      <c r="B6" s="105"/>
      <c r="C6" s="105"/>
      <c r="D6" s="4"/>
      <c r="E6" s="86" t="s">
        <v>1396</v>
      </c>
      <c r="F6" s="13">
        <v>31.93</v>
      </c>
      <c r="G6" s="14">
        <f t="shared" si="0"/>
        <v>31930</v>
      </c>
      <c r="H6" s="49">
        <v>12</v>
      </c>
      <c r="I6" s="83" t="s">
        <v>1407</v>
      </c>
      <c r="J6" s="85" t="s">
        <v>1398</v>
      </c>
      <c r="K6" s="82">
        <v>252</v>
      </c>
      <c r="L6" s="82"/>
      <c r="M6" s="85" t="s">
        <v>1398</v>
      </c>
      <c r="N6" s="82" t="s">
        <v>1408</v>
      </c>
      <c r="O6" s="4"/>
      <c r="P6" s="4"/>
      <c r="Q6" s="5">
        <v>48550</v>
      </c>
      <c r="R6" s="36">
        <v>600</v>
      </c>
      <c r="S6" s="36"/>
      <c r="T6" s="37"/>
      <c r="U6" s="5">
        <f t="shared" si="1"/>
        <v>49150</v>
      </c>
      <c r="V6" s="5">
        <f t="shared" si="2"/>
        <v>1569359.5</v>
      </c>
      <c r="W6" s="5">
        <f t="shared" si="6"/>
        <v>282484.70999999996</v>
      </c>
      <c r="X6" s="5"/>
      <c r="Y6" s="5"/>
      <c r="Z6" s="98">
        <v>2850</v>
      </c>
      <c r="AA6" s="23">
        <f t="shared" si="3"/>
        <v>91000.5</v>
      </c>
      <c r="AB6" s="97">
        <f t="shared" si="4"/>
        <v>16380.09</v>
      </c>
      <c r="AC6" s="43"/>
      <c r="AD6" s="46"/>
      <c r="AE6" s="5">
        <f t="shared" si="5"/>
        <v>1959224.7999999998</v>
      </c>
      <c r="AF6" s="47">
        <v>170</v>
      </c>
      <c r="AG6" s="44" t="s">
        <v>1420</v>
      </c>
      <c r="AH6" s="13">
        <v>31.93</v>
      </c>
      <c r="AI6" s="12"/>
      <c r="AJ6" s="40"/>
      <c r="AK6" s="40"/>
    </row>
    <row r="7" spans="2:41" s="41" customFormat="1" ht="16.149999999999999" customHeight="1">
      <c r="B7" s="105"/>
      <c r="C7" s="105"/>
      <c r="D7" s="4"/>
      <c r="E7" s="86" t="s">
        <v>1396</v>
      </c>
      <c r="F7" s="13">
        <v>34.85</v>
      </c>
      <c r="G7" s="14">
        <f t="shared" si="0"/>
        <v>34850</v>
      </c>
      <c r="H7" s="49">
        <v>13</v>
      </c>
      <c r="I7" s="83" t="s">
        <v>1409</v>
      </c>
      <c r="J7" s="85" t="s">
        <v>1398</v>
      </c>
      <c r="K7" s="82">
        <v>253</v>
      </c>
      <c r="L7" s="82"/>
      <c r="M7" s="85" t="s">
        <v>1398</v>
      </c>
      <c r="N7" s="82" t="s">
        <v>1410</v>
      </c>
      <c r="O7" s="4"/>
      <c r="P7" s="4"/>
      <c r="Q7" s="5">
        <v>48550</v>
      </c>
      <c r="R7" s="36">
        <v>600</v>
      </c>
      <c r="S7" s="36"/>
      <c r="T7" s="37"/>
      <c r="U7" s="5">
        <f t="shared" si="1"/>
        <v>49150</v>
      </c>
      <c r="V7" s="5">
        <f t="shared" si="2"/>
        <v>1712877.5</v>
      </c>
      <c r="W7" s="5">
        <f t="shared" si="6"/>
        <v>308317.95</v>
      </c>
      <c r="X7" s="5"/>
      <c r="Y7" s="5"/>
      <c r="Z7" s="98">
        <v>2850</v>
      </c>
      <c r="AA7" s="23">
        <f t="shared" si="3"/>
        <v>99322.5</v>
      </c>
      <c r="AB7" s="97">
        <f t="shared" si="4"/>
        <v>17878.05</v>
      </c>
      <c r="AC7" s="43"/>
      <c r="AD7" s="46"/>
      <c r="AE7" s="5">
        <f t="shared" si="5"/>
        <v>2138396</v>
      </c>
      <c r="AF7" s="47">
        <v>173</v>
      </c>
      <c r="AG7" s="44" t="s">
        <v>1420</v>
      </c>
      <c r="AH7" s="133">
        <v>34.85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86" t="s">
        <v>1396</v>
      </c>
      <c r="F8" s="13">
        <v>31.83</v>
      </c>
      <c r="G8" s="14">
        <f t="shared" si="0"/>
        <v>31830</v>
      </c>
      <c r="H8" s="49">
        <v>12</v>
      </c>
      <c r="I8" s="83" t="s">
        <v>1412</v>
      </c>
      <c r="J8" s="85" t="s">
        <v>1398</v>
      </c>
      <c r="K8" s="82">
        <v>257</v>
      </c>
      <c r="L8" s="4"/>
      <c r="M8" s="85" t="s">
        <v>1413</v>
      </c>
      <c r="N8" s="82" t="s">
        <v>1414</v>
      </c>
      <c r="O8" s="4"/>
      <c r="P8" s="4"/>
      <c r="Q8" s="5">
        <v>48550</v>
      </c>
      <c r="R8" s="36">
        <v>600</v>
      </c>
      <c r="S8" s="36"/>
      <c r="T8" s="37"/>
      <c r="U8" s="5">
        <f t="shared" si="1"/>
        <v>49150</v>
      </c>
      <c r="V8" s="5">
        <f t="shared" si="2"/>
        <v>1564444.5</v>
      </c>
      <c r="W8" s="5">
        <f t="shared" si="6"/>
        <v>281600.01</v>
      </c>
      <c r="X8" s="5"/>
      <c r="Y8" s="5"/>
      <c r="Z8" s="98">
        <v>2850</v>
      </c>
      <c r="AA8" s="23">
        <f t="shared" si="3"/>
        <v>90715.5</v>
      </c>
      <c r="AB8" s="97">
        <f t="shared" si="4"/>
        <v>16328.789999999999</v>
      </c>
      <c r="AC8" s="43"/>
      <c r="AD8" s="46"/>
      <c r="AE8" s="5">
        <f t="shared" si="5"/>
        <v>1953088.8</v>
      </c>
      <c r="AF8" s="47">
        <v>169</v>
      </c>
      <c r="AG8" s="44" t="s">
        <v>1420</v>
      </c>
      <c r="AH8" s="13">
        <v>31.83</v>
      </c>
      <c r="AI8" s="12"/>
      <c r="AJ8" s="40"/>
      <c r="AK8" s="40"/>
    </row>
    <row r="9" spans="2:41" s="41" customFormat="1">
      <c r="B9" s="92"/>
      <c r="C9" s="48"/>
      <c r="D9" s="6"/>
      <c r="E9" s="6"/>
      <c r="F9" s="81">
        <f>SUM(F3:F8)</f>
        <v>196.45999999999998</v>
      </c>
      <c r="G9" s="20">
        <f>SUM(G3:G8)</f>
        <v>196460</v>
      </c>
      <c r="H9" s="21">
        <f>SUM(H3:H8)</f>
        <v>74</v>
      </c>
      <c r="I9" s="2"/>
      <c r="J9" s="7"/>
      <c r="K9" s="7"/>
      <c r="L9" s="7"/>
      <c r="M9" s="2"/>
      <c r="N9" s="6"/>
      <c r="O9" s="6"/>
      <c r="P9" s="6"/>
      <c r="Q9" s="19"/>
      <c r="R9" s="9"/>
      <c r="S9" s="9"/>
      <c r="T9" s="10"/>
      <c r="U9" s="8"/>
      <c r="V9" s="21">
        <f>SUM(V3:V8)</f>
        <v>9656009</v>
      </c>
      <c r="W9" s="21">
        <f>SUM(W3:W8)</f>
        <v>1738081.6199999999</v>
      </c>
      <c r="X9" s="21">
        <f>SUM(X3:X8)</f>
        <v>0</v>
      </c>
      <c r="Y9" s="21">
        <f>SUM(Y3:Y8)</f>
        <v>0</v>
      </c>
      <c r="Z9" s="99"/>
      <c r="AA9" s="21">
        <f>SUM(AA3:AA8)</f>
        <v>559911</v>
      </c>
      <c r="AB9" s="21">
        <f>SUM(AB3:AB8)</f>
        <v>100783.98</v>
      </c>
      <c r="AC9" s="21"/>
      <c r="AD9" s="21">
        <f>SUM(AD3:AD8)</f>
        <v>0</v>
      </c>
      <c r="AE9" s="21">
        <f>SUM(AE3:AE8)</f>
        <v>12054785.600000001</v>
      </c>
      <c r="AF9" s="21"/>
      <c r="AG9" s="42"/>
      <c r="AH9" s="27">
        <f>SUM(AH3:AH8)</f>
        <v>196.45999999999998</v>
      </c>
      <c r="AI9" s="26">
        <f>AH9-F9</f>
        <v>0</v>
      </c>
      <c r="AJ9" s="41">
        <f>AA9/F9</f>
        <v>2850.0000000000005</v>
      </c>
      <c r="AK9" s="40"/>
    </row>
    <row r="10" spans="2:41" s="41" customFormat="1" ht="16.149999999999999" customHeight="1">
      <c r="B10" s="104" t="s">
        <v>1399</v>
      </c>
      <c r="C10" s="86" t="s">
        <v>1400</v>
      </c>
      <c r="D10" s="4"/>
      <c r="E10" s="86" t="s">
        <v>1396</v>
      </c>
      <c r="F10" s="13">
        <v>31.77</v>
      </c>
      <c r="G10" s="14">
        <f t="shared" ref="G10:G11" si="7">+F10*1000</f>
        <v>31770</v>
      </c>
      <c r="H10" s="49">
        <v>12</v>
      </c>
      <c r="I10" s="83" t="s">
        <v>1415</v>
      </c>
      <c r="J10" s="85" t="s">
        <v>1398</v>
      </c>
      <c r="K10" s="82">
        <v>256</v>
      </c>
      <c r="L10" s="82"/>
      <c r="M10" s="85" t="s">
        <v>1413</v>
      </c>
      <c r="N10" s="82" t="s">
        <v>1416</v>
      </c>
      <c r="O10" s="4"/>
      <c r="P10" s="4"/>
      <c r="Q10" s="5">
        <v>49050</v>
      </c>
      <c r="R10" s="36">
        <v>600</v>
      </c>
      <c r="S10" s="36"/>
      <c r="T10" s="37"/>
      <c r="U10" s="5">
        <f t="shared" ref="U10:U11" si="8">S10+R10+Q10-T10</f>
        <v>49650</v>
      </c>
      <c r="V10" s="5">
        <f t="shared" ref="V10:V11" si="9">F10*U10</f>
        <v>1577380.5</v>
      </c>
      <c r="W10" s="5">
        <f>V10*18%</f>
        <v>283928.49</v>
      </c>
      <c r="X10" s="5"/>
      <c r="Y10" s="5"/>
      <c r="Z10" s="98">
        <v>2850</v>
      </c>
      <c r="AA10" s="23">
        <f t="shared" ref="AA10:AA11" si="10">F10*Z10</f>
        <v>90544.5</v>
      </c>
      <c r="AB10" s="97">
        <f t="shared" ref="AB10:AB11" si="11">AA10*18%</f>
        <v>16298.01</v>
      </c>
      <c r="AC10" s="43"/>
      <c r="AD10" s="46"/>
      <c r="AE10" s="5">
        <f t="shared" ref="AE10:AE11" si="12">+AB10+AA10+Y10+X10+W10+V10-AC10+AD10</f>
        <v>1968151.5</v>
      </c>
      <c r="AF10" s="47">
        <v>174</v>
      </c>
      <c r="AG10" s="44" t="s">
        <v>1420</v>
      </c>
      <c r="AH10" s="13">
        <v>31.77</v>
      </c>
      <c r="AI10" s="12"/>
      <c r="AJ10" s="40"/>
      <c r="AK10" s="40"/>
    </row>
    <row r="11" spans="2:41" s="41" customFormat="1" ht="16.149999999999999" customHeight="1">
      <c r="B11" s="70" t="s">
        <v>918</v>
      </c>
      <c r="C11" s="86" t="s">
        <v>1411</v>
      </c>
      <c r="D11" s="4"/>
      <c r="E11" s="86" t="s">
        <v>1396</v>
      </c>
      <c r="F11" s="13">
        <v>31.6</v>
      </c>
      <c r="G11" s="14">
        <f t="shared" si="7"/>
        <v>31600</v>
      </c>
      <c r="H11" s="49">
        <v>12</v>
      </c>
      <c r="I11" s="83" t="s">
        <v>1417</v>
      </c>
      <c r="J11" s="85" t="s">
        <v>1398</v>
      </c>
      <c r="K11" s="82">
        <v>258</v>
      </c>
      <c r="L11" s="82"/>
      <c r="M11" s="85" t="s">
        <v>1413</v>
      </c>
      <c r="N11" s="82" t="s">
        <v>1418</v>
      </c>
      <c r="O11" s="4"/>
      <c r="P11" s="4"/>
      <c r="Q11" s="5">
        <v>49050</v>
      </c>
      <c r="R11" s="36">
        <v>600</v>
      </c>
      <c r="S11" s="36"/>
      <c r="T11" s="37"/>
      <c r="U11" s="5">
        <f t="shared" si="8"/>
        <v>49650</v>
      </c>
      <c r="V11" s="5">
        <f t="shared" si="9"/>
        <v>1568940</v>
      </c>
      <c r="W11" s="5">
        <f>V11*18%</f>
        <v>282409.2</v>
      </c>
      <c r="X11" s="5"/>
      <c r="Y11" s="5"/>
      <c r="Z11" s="98">
        <v>2850</v>
      </c>
      <c r="AA11" s="23">
        <f t="shared" si="10"/>
        <v>90060</v>
      </c>
      <c r="AB11" s="97">
        <f t="shared" si="11"/>
        <v>16210.8</v>
      </c>
      <c r="AC11" s="43"/>
      <c r="AD11" s="46"/>
      <c r="AE11" s="5">
        <f t="shared" si="12"/>
        <v>1957620</v>
      </c>
      <c r="AF11" s="47">
        <v>168</v>
      </c>
      <c r="AG11" s="44" t="s">
        <v>1420</v>
      </c>
      <c r="AH11" s="13">
        <v>31.6</v>
      </c>
      <c r="AI11" s="12"/>
      <c r="AJ11" s="40"/>
      <c r="AK11" s="40"/>
    </row>
    <row r="12" spans="2:41" s="41" customFormat="1">
      <c r="B12" s="92"/>
      <c r="C12" s="48"/>
      <c r="D12" s="6"/>
      <c r="E12" s="6"/>
      <c r="F12" s="81">
        <f>SUM(F10:F11)</f>
        <v>63.370000000000005</v>
      </c>
      <c r="G12" s="20">
        <f>SUM(G10:G11)</f>
        <v>63370</v>
      </c>
      <c r="H12" s="21">
        <f>SUM(H10:H11)</f>
        <v>24</v>
      </c>
      <c r="I12" s="2"/>
      <c r="J12" s="7"/>
      <c r="K12" s="7"/>
      <c r="L12" s="7"/>
      <c r="M12" s="2"/>
      <c r="N12" s="6"/>
      <c r="O12" s="6"/>
      <c r="P12" s="6"/>
      <c r="Q12" s="19"/>
      <c r="R12" s="9"/>
      <c r="S12" s="9"/>
      <c r="T12" s="10"/>
      <c r="U12" s="8"/>
      <c r="V12" s="21">
        <f>SUM(V10:V11)</f>
        <v>3146320.5</v>
      </c>
      <c r="W12" s="21">
        <f>SUM(W10:W11)</f>
        <v>566337.68999999994</v>
      </c>
      <c r="X12" s="21">
        <f>SUM(X10:X11)</f>
        <v>0</v>
      </c>
      <c r="Y12" s="21">
        <f>SUM(Y10:Y11)</f>
        <v>0</v>
      </c>
      <c r="Z12" s="99"/>
      <c r="AA12" s="21">
        <f>SUM(AA10:AA11)</f>
        <v>180604.5</v>
      </c>
      <c r="AB12" s="21">
        <f>SUM(AB10:AB11)</f>
        <v>32508.809999999998</v>
      </c>
      <c r="AC12" s="21"/>
      <c r="AD12" s="21">
        <f>SUM(AD10:AD11)</f>
        <v>0</v>
      </c>
      <c r="AE12" s="21">
        <f>SUM(AE10:AE11)</f>
        <v>3925771.5</v>
      </c>
      <c r="AF12" s="21"/>
      <c r="AG12" s="42"/>
      <c r="AH12" s="27">
        <f>SUM(AH10:AH11)</f>
        <v>63.370000000000005</v>
      </c>
      <c r="AI12" s="26">
        <f>AH12-F12</f>
        <v>0</v>
      </c>
      <c r="AJ12" s="41">
        <f>AA12/F12</f>
        <v>2850</v>
      </c>
      <c r="AK12" s="40"/>
    </row>
    <row r="13" spans="2:41" s="41" customFormat="1" ht="16.149999999999999" customHeight="1">
      <c r="B13" s="104" t="s">
        <v>1399</v>
      </c>
      <c r="C13" s="86" t="s">
        <v>1419</v>
      </c>
      <c r="D13" s="4"/>
      <c r="E13" s="86" t="s">
        <v>505</v>
      </c>
      <c r="F13" s="13">
        <v>33.56</v>
      </c>
      <c r="G13" s="14">
        <f t="shared" ref="G13:G20" si="13">+F13*1000</f>
        <v>33560</v>
      </c>
      <c r="H13" s="49">
        <v>31</v>
      </c>
      <c r="I13" s="83" t="s">
        <v>1422</v>
      </c>
      <c r="J13" s="85" t="s">
        <v>1423</v>
      </c>
      <c r="K13" s="82">
        <v>261</v>
      </c>
      <c r="L13" s="82"/>
      <c r="M13" s="85" t="s">
        <v>1423</v>
      </c>
      <c r="N13" s="82" t="s">
        <v>1418</v>
      </c>
      <c r="O13" s="4"/>
      <c r="P13" s="4"/>
      <c r="Q13" s="5">
        <v>46550</v>
      </c>
      <c r="R13" s="36">
        <v>600</v>
      </c>
      <c r="S13" s="36"/>
      <c r="T13" s="37"/>
      <c r="U13" s="5">
        <f t="shared" ref="U13:U20" si="14">S13+R13+Q13-T13</f>
        <v>47150</v>
      </c>
      <c r="V13" s="5">
        <f t="shared" ref="V13:V20" si="15">F13*U13</f>
        <v>1582354</v>
      </c>
      <c r="W13" s="5">
        <f>V13*18%</f>
        <v>284823.71999999997</v>
      </c>
      <c r="X13" s="5"/>
      <c r="Y13" s="5"/>
      <c r="Z13" s="98">
        <v>2850</v>
      </c>
      <c r="AA13" s="23">
        <f t="shared" ref="AA13:AA20" si="16">F13*Z13</f>
        <v>95646</v>
      </c>
      <c r="AB13" s="97">
        <f t="shared" ref="AB13:AB20" si="17">AA13*18%</f>
        <v>17216.28</v>
      </c>
      <c r="AC13" s="43"/>
      <c r="AD13" s="46"/>
      <c r="AE13" s="5">
        <f t="shared" ref="AE13:AE20" si="18">+AB13+AA13+Y13+X13+W13+V13-AC13+AD13</f>
        <v>1980040</v>
      </c>
      <c r="AF13" s="47">
        <v>177</v>
      </c>
      <c r="AG13" s="44" t="s">
        <v>1478</v>
      </c>
      <c r="AH13" s="13">
        <v>33.56</v>
      </c>
      <c r="AI13" s="12"/>
      <c r="AJ13" s="40"/>
      <c r="AK13" s="40"/>
    </row>
    <row r="14" spans="2:41" s="41" customFormat="1" ht="16.149999999999999" customHeight="1">
      <c r="B14" s="70" t="s">
        <v>918</v>
      </c>
      <c r="C14" s="86"/>
      <c r="D14" s="4"/>
      <c r="E14" s="86" t="s">
        <v>505</v>
      </c>
      <c r="F14" s="13">
        <v>32.6</v>
      </c>
      <c r="G14" s="14">
        <f t="shared" si="13"/>
        <v>32600</v>
      </c>
      <c r="H14" s="49">
        <v>30</v>
      </c>
      <c r="I14" s="83" t="s">
        <v>1424</v>
      </c>
      <c r="J14" s="85" t="s">
        <v>1423</v>
      </c>
      <c r="K14" s="82">
        <v>262</v>
      </c>
      <c r="L14" s="82"/>
      <c r="M14" s="85" t="s">
        <v>1423</v>
      </c>
      <c r="N14" s="82" t="s">
        <v>1414</v>
      </c>
      <c r="O14" s="4"/>
      <c r="P14" s="4"/>
      <c r="Q14" s="5">
        <v>46550</v>
      </c>
      <c r="R14" s="36">
        <v>600</v>
      </c>
      <c r="S14" s="36"/>
      <c r="T14" s="37"/>
      <c r="U14" s="5">
        <f t="shared" si="14"/>
        <v>47150</v>
      </c>
      <c r="V14" s="5">
        <f t="shared" si="15"/>
        <v>1537090</v>
      </c>
      <c r="W14" s="5">
        <f t="shared" ref="W14:W20" si="19">V14*18%</f>
        <v>276676.2</v>
      </c>
      <c r="X14" s="5"/>
      <c r="Y14" s="5"/>
      <c r="Z14" s="98">
        <v>2850</v>
      </c>
      <c r="AA14" s="23">
        <f t="shared" si="16"/>
        <v>92910</v>
      </c>
      <c r="AB14" s="97">
        <f t="shared" si="17"/>
        <v>16723.8</v>
      </c>
      <c r="AC14" s="43"/>
      <c r="AD14" s="46"/>
      <c r="AE14" s="5">
        <f t="shared" si="18"/>
        <v>1923400</v>
      </c>
      <c r="AF14" s="47">
        <v>178</v>
      </c>
      <c r="AG14" s="44" t="s">
        <v>1478</v>
      </c>
      <c r="AH14" s="13">
        <v>32.6</v>
      </c>
      <c r="AI14" s="12"/>
      <c r="AJ14" s="40"/>
      <c r="AK14" s="40"/>
    </row>
    <row r="15" spans="2:41" s="41" customFormat="1" ht="16.149999999999999" customHeight="1">
      <c r="B15" s="70"/>
      <c r="C15" s="86"/>
      <c r="D15" s="4"/>
      <c r="E15" s="86" t="s">
        <v>505</v>
      </c>
      <c r="F15" s="13">
        <v>33.93</v>
      </c>
      <c r="G15" s="14">
        <f t="shared" si="13"/>
        <v>33930</v>
      </c>
      <c r="H15" s="49">
        <v>31</v>
      </c>
      <c r="I15" s="83" t="s">
        <v>1425</v>
      </c>
      <c r="J15" s="85" t="s">
        <v>1423</v>
      </c>
      <c r="K15" s="82">
        <v>260</v>
      </c>
      <c r="L15" s="82"/>
      <c r="M15" s="85" t="s">
        <v>1423</v>
      </c>
      <c r="N15" s="82" t="s">
        <v>1410</v>
      </c>
      <c r="O15" s="4"/>
      <c r="P15" s="4"/>
      <c r="Q15" s="5">
        <v>46550</v>
      </c>
      <c r="R15" s="36">
        <v>600</v>
      </c>
      <c r="S15" s="36"/>
      <c r="T15" s="37"/>
      <c r="U15" s="5">
        <f t="shared" si="14"/>
        <v>47150</v>
      </c>
      <c r="V15" s="5">
        <f t="shared" si="15"/>
        <v>1599799.5</v>
      </c>
      <c r="W15" s="5">
        <f t="shared" si="19"/>
        <v>287963.90999999997</v>
      </c>
      <c r="X15" s="5"/>
      <c r="Y15" s="5"/>
      <c r="Z15" s="98">
        <v>2850</v>
      </c>
      <c r="AA15" s="23">
        <f t="shared" si="16"/>
        <v>96700.5</v>
      </c>
      <c r="AB15" s="97">
        <f t="shared" si="17"/>
        <v>17406.09</v>
      </c>
      <c r="AC15" s="43"/>
      <c r="AD15" s="46"/>
      <c r="AE15" s="5">
        <f t="shared" si="18"/>
        <v>2001870</v>
      </c>
      <c r="AF15" s="47">
        <v>179</v>
      </c>
      <c r="AG15" s="44" t="s">
        <v>1478</v>
      </c>
      <c r="AH15" s="13">
        <v>33.93</v>
      </c>
      <c r="AI15" s="12"/>
      <c r="AJ15" s="40"/>
      <c r="AK15" s="40"/>
    </row>
    <row r="16" spans="2:41" s="41" customFormat="1" ht="16.149999999999999" customHeight="1">
      <c r="B16" s="70"/>
      <c r="C16" s="86"/>
      <c r="D16" s="4"/>
      <c r="E16" s="86" t="s">
        <v>505</v>
      </c>
      <c r="F16" s="13">
        <v>32.630000000000003</v>
      </c>
      <c r="G16" s="14">
        <f t="shared" si="13"/>
        <v>32630.000000000004</v>
      </c>
      <c r="H16" s="49">
        <v>23</v>
      </c>
      <c r="I16" s="83" t="s">
        <v>1426</v>
      </c>
      <c r="J16" s="85" t="s">
        <v>1423</v>
      </c>
      <c r="K16" s="82">
        <v>263</v>
      </c>
      <c r="L16" s="82"/>
      <c r="M16" s="85" t="s">
        <v>1423</v>
      </c>
      <c r="N16" s="82" t="s">
        <v>1403</v>
      </c>
      <c r="O16" s="4"/>
      <c r="P16" s="4"/>
      <c r="Q16" s="5">
        <v>46550</v>
      </c>
      <c r="R16" s="36">
        <v>600</v>
      </c>
      <c r="S16" s="36"/>
      <c r="T16" s="37"/>
      <c r="U16" s="5">
        <f t="shared" si="14"/>
        <v>47150</v>
      </c>
      <c r="V16" s="5">
        <f t="shared" si="15"/>
        <v>1538504.5000000002</v>
      </c>
      <c r="W16" s="5">
        <f t="shared" si="19"/>
        <v>276930.81000000006</v>
      </c>
      <c r="X16" s="5"/>
      <c r="Y16" s="5"/>
      <c r="Z16" s="98">
        <v>2850</v>
      </c>
      <c r="AA16" s="23">
        <f t="shared" si="16"/>
        <v>92995.500000000015</v>
      </c>
      <c r="AB16" s="97">
        <f t="shared" si="17"/>
        <v>16739.190000000002</v>
      </c>
      <c r="AC16" s="43"/>
      <c r="AD16" s="46"/>
      <c r="AE16" s="5">
        <f t="shared" si="18"/>
        <v>1925170.0000000002</v>
      </c>
      <c r="AF16" s="47">
        <v>180</v>
      </c>
      <c r="AG16" s="44" t="s">
        <v>1478</v>
      </c>
      <c r="AH16" s="13">
        <v>32.630000000000003</v>
      </c>
      <c r="AI16" s="12"/>
      <c r="AJ16" s="40"/>
      <c r="AK16" s="40"/>
    </row>
    <row r="17" spans="2:37" s="41" customFormat="1" ht="16.149999999999999" customHeight="1">
      <c r="B17" s="70"/>
      <c r="C17" s="86"/>
      <c r="D17" s="4"/>
      <c r="E17" s="86" t="s">
        <v>505</v>
      </c>
      <c r="F17" s="13">
        <v>33.380000000000003</v>
      </c>
      <c r="G17" s="14">
        <f t="shared" si="13"/>
        <v>33380</v>
      </c>
      <c r="H17" s="49">
        <v>23</v>
      </c>
      <c r="I17" s="83" t="s">
        <v>1427</v>
      </c>
      <c r="J17" s="85" t="s">
        <v>1423</v>
      </c>
      <c r="K17" s="82">
        <v>259</v>
      </c>
      <c r="L17" s="82"/>
      <c r="M17" s="85" t="s">
        <v>1423</v>
      </c>
      <c r="N17" s="82" t="s">
        <v>1406</v>
      </c>
      <c r="O17" s="4"/>
      <c r="P17" s="4"/>
      <c r="Q17" s="5">
        <v>46550</v>
      </c>
      <c r="R17" s="36">
        <v>600</v>
      </c>
      <c r="S17" s="36"/>
      <c r="T17" s="37"/>
      <c r="U17" s="5">
        <f t="shared" si="14"/>
        <v>47150</v>
      </c>
      <c r="V17" s="5">
        <f t="shared" si="15"/>
        <v>1573867.0000000002</v>
      </c>
      <c r="W17" s="5">
        <f t="shared" si="19"/>
        <v>283296.06000000006</v>
      </c>
      <c r="X17" s="5"/>
      <c r="Y17" s="5"/>
      <c r="Z17" s="98">
        <v>2850</v>
      </c>
      <c r="AA17" s="23">
        <f t="shared" si="16"/>
        <v>95133.000000000015</v>
      </c>
      <c r="AB17" s="97">
        <f t="shared" si="17"/>
        <v>17123.940000000002</v>
      </c>
      <c r="AC17" s="43"/>
      <c r="AD17" s="46"/>
      <c r="AE17" s="5">
        <f t="shared" si="18"/>
        <v>1969420.0000000002</v>
      </c>
      <c r="AF17" s="47">
        <v>181</v>
      </c>
      <c r="AG17" s="44" t="s">
        <v>1478</v>
      </c>
      <c r="AH17" s="13">
        <v>33.380000000000003</v>
      </c>
      <c r="AI17" s="12"/>
      <c r="AJ17" s="40"/>
      <c r="AK17" s="40"/>
    </row>
    <row r="18" spans="2:37" s="41" customFormat="1" ht="16.149999999999999" customHeight="1">
      <c r="B18" s="70"/>
      <c r="C18" s="86"/>
      <c r="D18" s="4"/>
      <c r="E18" s="86" t="s">
        <v>505</v>
      </c>
      <c r="F18" s="13">
        <v>32.4</v>
      </c>
      <c r="G18" s="14">
        <f t="shared" si="13"/>
        <v>32400</v>
      </c>
      <c r="H18" s="49">
        <v>30</v>
      </c>
      <c r="I18" s="83" t="s">
        <v>1428</v>
      </c>
      <c r="J18" s="85" t="s">
        <v>1429</v>
      </c>
      <c r="K18" s="82">
        <v>264</v>
      </c>
      <c r="L18" s="82"/>
      <c r="M18" s="85" t="s">
        <v>1429</v>
      </c>
      <c r="N18" s="82" t="s">
        <v>1401</v>
      </c>
      <c r="O18" s="4"/>
      <c r="P18" s="4"/>
      <c r="Q18" s="5">
        <v>46550</v>
      </c>
      <c r="R18" s="36">
        <v>600</v>
      </c>
      <c r="S18" s="36"/>
      <c r="T18" s="37"/>
      <c r="U18" s="5">
        <f t="shared" si="14"/>
        <v>47150</v>
      </c>
      <c r="V18" s="5">
        <f t="shared" si="15"/>
        <v>1527660</v>
      </c>
      <c r="W18" s="5">
        <f t="shared" si="19"/>
        <v>274978.8</v>
      </c>
      <c r="X18" s="5"/>
      <c r="Y18" s="5"/>
      <c r="Z18" s="98">
        <v>2850</v>
      </c>
      <c r="AA18" s="23">
        <f t="shared" si="16"/>
        <v>92340</v>
      </c>
      <c r="AB18" s="97">
        <f t="shared" si="17"/>
        <v>16621.2</v>
      </c>
      <c r="AC18" s="43"/>
      <c r="AD18" s="46"/>
      <c r="AE18" s="5">
        <f t="shared" si="18"/>
        <v>1911600</v>
      </c>
      <c r="AF18" s="47">
        <v>182</v>
      </c>
      <c r="AG18" s="44" t="s">
        <v>1478</v>
      </c>
      <c r="AH18" s="13">
        <v>32.4</v>
      </c>
      <c r="AI18" s="12"/>
      <c r="AJ18" s="40"/>
      <c r="AK18" s="40"/>
    </row>
    <row r="19" spans="2:37" s="41" customFormat="1" ht="16.149999999999999" customHeight="1">
      <c r="B19" s="70"/>
      <c r="C19" s="86"/>
      <c r="D19" s="4"/>
      <c r="E19" s="86" t="s">
        <v>505</v>
      </c>
      <c r="F19" s="13">
        <v>31.48</v>
      </c>
      <c r="G19" s="14">
        <f t="shared" si="13"/>
        <v>31480</v>
      </c>
      <c r="H19" s="49">
        <v>29</v>
      </c>
      <c r="I19" s="83" t="s">
        <v>1433</v>
      </c>
      <c r="J19" s="85" t="s">
        <v>1434</v>
      </c>
      <c r="K19" s="82">
        <v>266</v>
      </c>
      <c r="L19" s="82"/>
      <c r="M19" s="85" t="s">
        <v>1432</v>
      </c>
      <c r="N19" s="82" t="s">
        <v>1416</v>
      </c>
      <c r="O19" s="4"/>
      <c r="P19" s="4"/>
      <c r="Q19" s="5">
        <v>46550</v>
      </c>
      <c r="R19" s="36">
        <v>600</v>
      </c>
      <c r="S19" s="36"/>
      <c r="T19" s="37"/>
      <c r="U19" s="5">
        <f t="shared" si="14"/>
        <v>47150</v>
      </c>
      <c r="V19" s="5">
        <f t="shared" si="15"/>
        <v>1484282</v>
      </c>
      <c r="W19" s="5">
        <f t="shared" si="19"/>
        <v>267170.76</v>
      </c>
      <c r="X19" s="5"/>
      <c r="Y19" s="5"/>
      <c r="Z19" s="98">
        <v>2850</v>
      </c>
      <c r="AA19" s="23">
        <f t="shared" si="16"/>
        <v>89718</v>
      </c>
      <c r="AB19" s="97">
        <f t="shared" si="17"/>
        <v>16149.24</v>
      </c>
      <c r="AC19" s="43"/>
      <c r="AD19" s="46"/>
      <c r="AE19" s="5">
        <f t="shared" si="18"/>
        <v>1857320</v>
      </c>
      <c r="AF19" s="47">
        <v>183</v>
      </c>
      <c r="AG19" s="44" t="s">
        <v>1478</v>
      </c>
      <c r="AH19" s="13">
        <v>31.48</v>
      </c>
      <c r="AI19" s="12"/>
      <c r="AJ19" s="40"/>
      <c r="AK19" s="40"/>
    </row>
    <row r="20" spans="2:37" s="41" customFormat="1" ht="16.149999999999999" customHeight="1">
      <c r="B20" s="70"/>
      <c r="C20" s="86"/>
      <c r="D20" s="4"/>
      <c r="E20" s="86" t="s">
        <v>505</v>
      </c>
      <c r="F20" s="13">
        <v>30.38</v>
      </c>
      <c r="G20" s="14">
        <f t="shared" si="13"/>
        <v>30380</v>
      </c>
      <c r="H20" s="49">
        <v>28</v>
      </c>
      <c r="I20" s="83" t="s">
        <v>1435</v>
      </c>
      <c r="J20" s="85" t="s">
        <v>1434</v>
      </c>
      <c r="K20" s="82">
        <v>265</v>
      </c>
      <c r="L20" s="82"/>
      <c r="M20" s="85" t="s">
        <v>1432</v>
      </c>
      <c r="N20" s="82" t="s">
        <v>1436</v>
      </c>
      <c r="O20" s="4"/>
      <c r="P20" s="4"/>
      <c r="Q20" s="5">
        <v>46550</v>
      </c>
      <c r="R20" s="36">
        <v>600</v>
      </c>
      <c r="S20" s="36"/>
      <c r="T20" s="37"/>
      <c r="U20" s="5">
        <f t="shared" si="14"/>
        <v>47150</v>
      </c>
      <c r="V20" s="5">
        <f t="shared" si="15"/>
        <v>1432417</v>
      </c>
      <c r="W20" s="5">
        <f t="shared" si="19"/>
        <v>257835.06</v>
      </c>
      <c r="X20" s="5"/>
      <c r="Y20" s="5"/>
      <c r="Z20" s="98">
        <v>2850</v>
      </c>
      <c r="AA20" s="23">
        <f t="shared" si="16"/>
        <v>86583</v>
      </c>
      <c r="AB20" s="97">
        <f t="shared" si="17"/>
        <v>15584.939999999999</v>
      </c>
      <c r="AC20" s="43"/>
      <c r="AD20" s="46"/>
      <c r="AE20" s="5">
        <f t="shared" si="18"/>
        <v>1792420</v>
      </c>
      <c r="AF20" s="47">
        <v>184</v>
      </c>
      <c r="AG20" s="44" t="s">
        <v>1478</v>
      </c>
      <c r="AH20" s="13">
        <v>30.38</v>
      </c>
      <c r="AI20" s="12"/>
      <c r="AJ20" s="40"/>
      <c r="AK20" s="40"/>
    </row>
    <row r="21" spans="2:37" s="41" customFormat="1">
      <c r="B21" s="92"/>
      <c r="C21" s="48"/>
      <c r="D21" s="6"/>
      <c r="E21" s="6"/>
      <c r="F21" s="81">
        <f>SUM(F13:F20)</f>
        <v>260.36</v>
      </c>
      <c r="G21" s="20">
        <f>SUM(G13:G20)</f>
        <v>260360</v>
      </c>
      <c r="H21" s="21">
        <f>SUM(H13:H20)</f>
        <v>225</v>
      </c>
      <c r="I21" s="2"/>
      <c r="J21" s="7"/>
      <c r="K21" s="7"/>
      <c r="L21" s="7"/>
      <c r="M21" s="2"/>
      <c r="N21" s="6"/>
      <c r="O21" s="6"/>
      <c r="P21" s="6"/>
      <c r="Q21" s="19"/>
      <c r="R21" s="9"/>
      <c r="S21" s="9"/>
      <c r="T21" s="10"/>
      <c r="U21" s="8"/>
      <c r="V21" s="21">
        <f>SUM(V13:V20)</f>
        <v>12275974</v>
      </c>
      <c r="W21" s="21">
        <f>SUM(W13:W20)</f>
        <v>2209675.3199999998</v>
      </c>
      <c r="X21" s="21">
        <f>SUM(X13:X20)</f>
        <v>0</v>
      </c>
      <c r="Y21" s="21">
        <f>SUM(Y13:Y20)</f>
        <v>0</v>
      </c>
      <c r="Z21" s="99"/>
      <c r="AA21" s="21">
        <f>SUM(AA13:AA20)</f>
        <v>742026</v>
      </c>
      <c r="AB21" s="21">
        <f>SUM(AB13:AB20)</f>
        <v>133564.68</v>
      </c>
      <c r="AC21" s="21"/>
      <c r="AD21" s="21">
        <f>SUM(AD13:AD20)</f>
        <v>0</v>
      </c>
      <c r="AE21" s="21">
        <f>SUM(AE13:AE20)</f>
        <v>15361240</v>
      </c>
      <c r="AF21" s="21"/>
      <c r="AG21" s="42"/>
      <c r="AH21" s="27">
        <f>SUM(AH13:AH20)</f>
        <v>260.36</v>
      </c>
      <c r="AI21" s="26">
        <f>AH21-F21</f>
        <v>0</v>
      </c>
      <c r="AJ21" s="41">
        <f>AA21/F21</f>
        <v>2850</v>
      </c>
      <c r="AK21" s="40"/>
    </row>
    <row r="22" spans="2:37" s="41" customFormat="1" ht="16.149999999999999" customHeight="1">
      <c r="B22" s="104" t="s">
        <v>1399</v>
      </c>
      <c r="C22" s="86" t="s">
        <v>1419</v>
      </c>
      <c r="D22" s="4"/>
      <c r="E22" s="86" t="s">
        <v>1430</v>
      </c>
      <c r="F22" s="13">
        <v>32.36</v>
      </c>
      <c r="G22" s="14">
        <f t="shared" ref="G22:G25" si="20">+F22*1000</f>
        <v>32360</v>
      </c>
      <c r="H22" s="49">
        <v>30</v>
      </c>
      <c r="I22" s="83" t="s">
        <v>1431</v>
      </c>
      <c r="J22" s="85" t="s">
        <v>1432</v>
      </c>
      <c r="K22" s="82">
        <v>268</v>
      </c>
      <c r="L22" s="82"/>
      <c r="M22" s="85" t="s">
        <v>1432</v>
      </c>
      <c r="N22" s="82" t="s">
        <v>1406</v>
      </c>
      <c r="O22" s="4"/>
      <c r="P22" s="4"/>
      <c r="Q22" s="5">
        <v>48550</v>
      </c>
      <c r="R22" s="36">
        <v>600</v>
      </c>
      <c r="S22" s="36"/>
      <c r="T22" s="37"/>
      <c r="U22" s="5">
        <f t="shared" ref="U22:U25" si="21">S22+R22+Q22-T22</f>
        <v>49150</v>
      </c>
      <c r="V22" s="5">
        <f t="shared" ref="V22:V25" si="22">F22*U22</f>
        <v>1590494</v>
      </c>
      <c r="W22" s="5">
        <f>V22*18%</f>
        <v>286288.92</v>
      </c>
      <c r="X22" s="5"/>
      <c r="Y22" s="5"/>
      <c r="Z22" s="98">
        <v>2850</v>
      </c>
      <c r="AA22" s="23">
        <f t="shared" ref="AA22:AA25" si="23">F22*Z22</f>
        <v>92226</v>
      </c>
      <c r="AB22" s="97">
        <f t="shared" ref="AB22:AB25" si="24">AA22*18%</f>
        <v>16600.68</v>
      </c>
      <c r="AC22" s="43"/>
      <c r="AD22" s="46"/>
      <c r="AE22" s="5">
        <f t="shared" ref="AE22:AE25" si="25">+AB22+AA22+Y22+X22+W22+V22-AC22+AD22</f>
        <v>1985609.6</v>
      </c>
      <c r="AF22" s="47">
        <v>185</v>
      </c>
      <c r="AG22" s="44" t="s">
        <v>1478</v>
      </c>
      <c r="AH22" s="13">
        <v>32.36</v>
      </c>
      <c r="AI22" s="12"/>
      <c r="AJ22" s="40"/>
      <c r="AK22" s="40"/>
    </row>
    <row r="23" spans="2:37" s="41" customFormat="1" ht="16.149999999999999" customHeight="1">
      <c r="B23" s="70" t="s">
        <v>918</v>
      </c>
      <c r="C23" s="86"/>
      <c r="D23" s="4"/>
      <c r="E23" s="86" t="s">
        <v>1430</v>
      </c>
      <c r="F23" s="13">
        <v>32.32</v>
      </c>
      <c r="G23" s="14">
        <f t="shared" si="20"/>
        <v>32320</v>
      </c>
      <c r="H23" s="49">
        <v>30</v>
      </c>
      <c r="I23" s="83" t="s">
        <v>1437</v>
      </c>
      <c r="J23" s="85" t="s">
        <v>1432</v>
      </c>
      <c r="K23" s="82">
        <v>267</v>
      </c>
      <c r="L23" s="82"/>
      <c r="M23" s="85" t="s">
        <v>1432</v>
      </c>
      <c r="N23" s="82" t="s">
        <v>1414</v>
      </c>
      <c r="O23" s="4"/>
      <c r="P23" s="4"/>
      <c r="Q23" s="5">
        <v>48550</v>
      </c>
      <c r="R23" s="36">
        <v>600</v>
      </c>
      <c r="S23" s="36"/>
      <c r="T23" s="37"/>
      <c r="U23" s="5">
        <f t="shared" si="21"/>
        <v>49150</v>
      </c>
      <c r="V23" s="5">
        <f t="shared" si="22"/>
        <v>1588528</v>
      </c>
      <c r="W23" s="5">
        <f t="shared" ref="W23:W25" si="26">V23*18%</f>
        <v>285935.03999999998</v>
      </c>
      <c r="X23" s="5"/>
      <c r="Y23" s="5"/>
      <c r="Z23" s="98">
        <v>2850</v>
      </c>
      <c r="AA23" s="23">
        <f t="shared" si="23"/>
        <v>92112</v>
      </c>
      <c r="AB23" s="97">
        <f t="shared" si="24"/>
        <v>16580.16</v>
      </c>
      <c r="AC23" s="43"/>
      <c r="AD23" s="46"/>
      <c r="AE23" s="5">
        <f t="shared" si="25"/>
        <v>1983155.2</v>
      </c>
      <c r="AF23" s="47">
        <v>186</v>
      </c>
      <c r="AG23" s="44" t="s">
        <v>1478</v>
      </c>
      <c r="AH23" s="13">
        <v>32.32</v>
      </c>
      <c r="AI23" s="12"/>
      <c r="AJ23" s="40"/>
      <c r="AK23" s="40"/>
    </row>
    <row r="24" spans="2:37" s="41" customFormat="1" ht="16.149999999999999" customHeight="1">
      <c r="B24" s="70"/>
      <c r="C24" s="86"/>
      <c r="D24" s="4"/>
      <c r="E24" s="86" t="s">
        <v>1430</v>
      </c>
      <c r="F24" s="13">
        <v>29.66</v>
      </c>
      <c r="G24" s="14">
        <f t="shared" si="20"/>
        <v>29660</v>
      </c>
      <c r="H24" s="49">
        <v>29</v>
      </c>
      <c r="I24" s="83" t="s">
        <v>1438</v>
      </c>
      <c r="J24" s="85" t="s">
        <v>1432</v>
      </c>
      <c r="K24" s="82">
        <v>269</v>
      </c>
      <c r="L24" s="82"/>
      <c r="M24" s="85" t="s">
        <v>1432</v>
      </c>
      <c r="N24" s="82" t="s">
        <v>1403</v>
      </c>
      <c r="O24" s="4"/>
      <c r="P24" s="4"/>
      <c r="Q24" s="5">
        <v>48550</v>
      </c>
      <c r="R24" s="36">
        <v>600</v>
      </c>
      <c r="S24" s="36"/>
      <c r="T24" s="37"/>
      <c r="U24" s="5">
        <f t="shared" si="21"/>
        <v>49150</v>
      </c>
      <c r="V24" s="5">
        <f t="shared" si="22"/>
        <v>1457789</v>
      </c>
      <c r="W24" s="5">
        <f t="shared" si="26"/>
        <v>262402.02</v>
      </c>
      <c r="X24" s="5"/>
      <c r="Y24" s="5"/>
      <c r="Z24" s="98">
        <v>2850</v>
      </c>
      <c r="AA24" s="23">
        <f t="shared" si="23"/>
        <v>84531</v>
      </c>
      <c r="AB24" s="97">
        <f t="shared" si="24"/>
        <v>15215.58</v>
      </c>
      <c r="AC24" s="43"/>
      <c r="AD24" s="46"/>
      <c r="AE24" s="5">
        <f t="shared" si="25"/>
        <v>1819937.6</v>
      </c>
      <c r="AF24" s="47">
        <v>187</v>
      </c>
      <c r="AG24" s="44" t="s">
        <v>1478</v>
      </c>
      <c r="AH24" s="13">
        <v>29.66</v>
      </c>
      <c r="AI24" s="12"/>
      <c r="AJ24" s="40"/>
      <c r="AK24" s="40"/>
    </row>
    <row r="25" spans="2:37" s="41" customFormat="1" ht="16.149999999999999" customHeight="1">
      <c r="B25" s="70"/>
      <c r="C25" s="86"/>
      <c r="D25" s="4"/>
      <c r="E25" s="86" t="s">
        <v>1430</v>
      </c>
      <c r="F25" s="13">
        <v>32.11</v>
      </c>
      <c r="G25" s="14">
        <f t="shared" si="20"/>
        <v>32110</v>
      </c>
      <c r="H25" s="49">
        <v>29</v>
      </c>
      <c r="I25" s="83" t="s">
        <v>1439</v>
      </c>
      <c r="J25" s="85" t="s">
        <v>1432</v>
      </c>
      <c r="K25" s="82">
        <v>270</v>
      </c>
      <c r="L25" s="82"/>
      <c r="M25" s="85" t="s">
        <v>1432</v>
      </c>
      <c r="N25" s="82" t="s">
        <v>1410</v>
      </c>
      <c r="O25" s="4"/>
      <c r="P25" s="4"/>
      <c r="Q25" s="5">
        <v>48550</v>
      </c>
      <c r="R25" s="36">
        <v>600</v>
      </c>
      <c r="S25" s="36"/>
      <c r="T25" s="37"/>
      <c r="U25" s="5">
        <f t="shared" si="21"/>
        <v>49150</v>
      </c>
      <c r="V25" s="5">
        <f t="shared" si="22"/>
        <v>1578206.5</v>
      </c>
      <c r="W25" s="5">
        <f t="shared" si="26"/>
        <v>284077.17</v>
      </c>
      <c r="X25" s="5"/>
      <c r="Y25" s="5"/>
      <c r="Z25" s="98">
        <v>2850</v>
      </c>
      <c r="AA25" s="23">
        <f t="shared" si="23"/>
        <v>91513.5</v>
      </c>
      <c r="AB25" s="97">
        <f t="shared" si="24"/>
        <v>16472.43</v>
      </c>
      <c r="AC25" s="43"/>
      <c r="AD25" s="46"/>
      <c r="AE25" s="5">
        <f t="shared" si="25"/>
        <v>1970269.6</v>
      </c>
      <c r="AF25" s="47">
        <v>188</v>
      </c>
      <c r="AG25" s="44" t="s">
        <v>1478</v>
      </c>
      <c r="AH25" s="13">
        <v>32.11</v>
      </c>
      <c r="AI25" s="12"/>
      <c r="AJ25" s="40"/>
      <c r="AK25" s="40"/>
    </row>
    <row r="26" spans="2:37" s="41" customFormat="1">
      <c r="B26" s="92"/>
      <c r="C26" s="48"/>
      <c r="D26" s="6"/>
      <c r="E26" s="6"/>
      <c r="F26" s="81">
        <f>SUM(F22:F25)</f>
        <v>126.45</v>
      </c>
      <c r="G26" s="20">
        <f>SUM(G22:G25)</f>
        <v>126450</v>
      </c>
      <c r="H26" s="21">
        <f>SUM(H22:H25)</f>
        <v>118</v>
      </c>
      <c r="I26" s="2"/>
      <c r="J26" s="7"/>
      <c r="K26" s="7"/>
      <c r="L26" s="7"/>
      <c r="M26" s="2"/>
      <c r="N26" s="6"/>
      <c r="O26" s="6"/>
      <c r="P26" s="6"/>
      <c r="Q26" s="19"/>
      <c r="R26" s="9"/>
      <c r="S26" s="9"/>
      <c r="T26" s="10"/>
      <c r="U26" s="8"/>
      <c r="V26" s="21">
        <f>SUM(V22:V25)</f>
        <v>6215017.5</v>
      </c>
      <c r="W26" s="21">
        <f>SUM(W22:W25)</f>
        <v>1118703.1499999999</v>
      </c>
      <c r="X26" s="21">
        <f>SUM(X22:X25)</f>
        <v>0</v>
      </c>
      <c r="Y26" s="21">
        <f>SUM(Y22:Y25)</f>
        <v>0</v>
      </c>
      <c r="Z26" s="99"/>
      <c r="AA26" s="21">
        <f>SUM(AA22:AA25)</f>
        <v>360382.5</v>
      </c>
      <c r="AB26" s="21">
        <f>SUM(AB22:AB25)</f>
        <v>64868.85</v>
      </c>
      <c r="AC26" s="21"/>
      <c r="AD26" s="21">
        <f>SUM(AD22:AD25)</f>
        <v>0</v>
      </c>
      <c r="AE26" s="21">
        <f>SUM(AE22:AE25)</f>
        <v>7758972</v>
      </c>
      <c r="AF26" s="21"/>
      <c r="AG26" s="42"/>
      <c r="AH26" s="27">
        <f>SUM(AH22:AH25)</f>
        <v>126.45</v>
      </c>
      <c r="AI26" s="26">
        <f>AH26-F26</f>
        <v>0</v>
      </c>
      <c r="AJ26" s="41">
        <f>AA26/F26</f>
        <v>2850</v>
      </c>
      <c r="AK26" s="40"/>
    </row>
    <row r="27" spans="2:37" s="41" customFormat="1" ht="16.149999999999999" customHeight="1">
      <c r="B27" s="104" t="s">
        <v>1399</v>
      </c>
      <c r="C27" s="86" t="s">
        <v>1637</v>
      </c>
      <c r="D27" s="4"/>
      <c r="E27" s="145" t="s">
        <v>1649</v>
      </c>
      <c r="F27" s="13">
        <v>33.43</v>
      </c>
      <c r="G27" s="14">
        <f t="shared" ref="G27:G28" si="27">+F27*1000</f>
        <v>33430</v>
      </c>
      <c r="H27" s="49">
        <v>14</v>
      </c>
      <c r="I27" s="83" t="s">
        <v>1638</v>
      </c>
      <c r="J27" s="85" t="s">
        <v>1586</v>
      </c>
      <c r="K27" s="82">
        <v>901</v>
      </c>
      <c r="L27" s="82"/>
      <c r="M27" s="85" t="s">
        <v>1586</v>
      </c>
      <c r="N27" s="82" t="s">
        <v>307</v>
      </c>
      <c r="O27" s="4"/>
      <c r="P27" s="4"/>
      <c r="Q27" s="5">
        <v>50600</v>
      </c>
      <c r="R27" s="36">
        <v>600</v>
      </c>
      <c r="S27" s="36"/>
      <c r="T27" s="37"/>
      <c r="U27" s="5">
        <f t="shared" ref="U27:U28" si="28">S27+R27+Q27-T27</f>
        <v>51200</v>
      </c>
      <c r="V27" s="5">
        <f t="shared" ref="V27:V28" si="29">F27*U27</f>
        <v>1711616</v>
      </c>
      <c r="W27" s="5">
        <f>V27*18%</f>
        <v>308090.88</v>
      </c>
      <c r="X27" s="5"/>
      <c r="Y27" s="5"/>
      <c r="Z27" s="98">
        <v>2590</v>
      </c>
      <c r="AA27" s="23">
        <f t="shared" ref="AA27:AA28" si="30">F27*Z27</f>
        <v>86583.7</v>
      </c>
      <c r="AB27" s="97">
        <f t="shared" ref="AB27:AB28" si="31">AA27*18%</f>
        <v>15585.065999999999</v>
      </c>
      <c r="AC27" s="43"/>
      <c r="AD27" s="46"/>
      <c r="AE27" s="5">
        <f t="shared" ref="AE27:AE28" si="32">+AB27+AA27+Y27+X27+W27+V27-AC27+AD27</f>
        <v>2121875.6460000002</v>
      </c>
      <c r="AF27" s="47">
        <v>243</v>
      </c>
      <c r="AG27" s="44" t="s">
        <v>1823</v>
      </c>
      <c r="AH27" s="13">
        <v>33.43</v>
      </c>
      <c r="AI27" s="12"/>
      <c r="AJ27" s="40"/>
      <c r="AK27" s="40"/>
    </row>
    <row r="28" spans="2:37" s="41" customFormat="1" ht="16.149999999999999" customHeight="1">
      <c r="B28" s="70" t="s">
        <v>918</v>
      </c>
      <c r="C28" s="86"/>
      <c r="D28" s="4"/>
      <c r="E28" s="145" t="s">
        <v>1649</v>
      </c>
      <c r="F28" s="13">
        <v>31.23</v>
      </c>
      <c r="G28" s="14">
        <f t="shared" si="27"/>
        <v>31230</v>
      </c>
      <c r="H28" s="49">
        <v>13</v>
      </c>
      <c r="I28" s="83" t="s">
        <v>1639</v>
      </c>
      <c r="J28" s="85" t="s">
        <v>1586</v>
      </c>
      <c r="K28" s="82">
        <v>902</v>
      </c>
      <c r="L28" s="82"/>
      <c r="M28" s="85" t="s">
        <v>1586</v>
      </c>
      <c r="N28" s="82" t="s">
        <v>1640</v>
      </c>
      <c r="O28" s="4"/>
      <c r="P28" s="4"/>
      <c r="Q28" s="5">
        <v>50600</v>
      </c>
      <c r="R28" s="36">
        <v>600</v>
      </c>
      <c r="S28" s="36"/>
      <c r="T28" s="37"/>
      <c r="U28" s="5">
        <f t="shared" si="28"/>
        <v>51200</v>
      </c>
      <c r="V28" s="5">
        <f t="shared" si="29"/>
        <v>1598976</v>
      </c>
      <c r="W28" s="5">
        <f t="shared" ref="W28" si="33">V28*18%</f>
        <v>287815.67999999999</v>
      </c>
      <c r="X28" s="5"/>
      <c r="Y28" s="5"/>
      <c r="Z28" s="98">
        <v>2590</v>
      </c>
      <c r="AA28" s="23">
        <f t="shared" si="30"/>
        <v>80885.7</v>
      </c>
      <c r="AB28" s="97">
        <f t="shared" si="31"/>
        <v>14559.425999999999</v>
      </c>
      <c r="AC28" s="43"/>
      <c r="AD28" s="46"/>
      <c r="AE28" s="5">
        <f t="shared" si="32"/>
        <v>1982236.8059999999</v>
      </c>
      <c r="AF28" s="47">
        <v>244</v>
      </c>
      <c r="AG28" s="44" t="s">
        <v>1823</v>
      </c>
      <c r="AH28" s="13">
        <v>31.23</v>
      </c>
      <c r="AI28" s="12"/>
      <c r="AJ28" s="40"/>
      <c r="AK28" s="40"/>
    </row>
    <row r="29" spans="2:37" s="41" customFormat="1">
      <c r="B29" s="92"/>
      <c r="C29" s="48"/>
      <c r="D29" s="6"/>
      <c r="E29" s="6"/>
      <c r="F29" s="81">
        <f>SUM(F27:F28)</f>
        <v>64.66</v>
      </c>
      <c r="G29" s="20">
        <f>SUM(G27:G28)</f>
        <v>64660</v>
      </c>
      <c r="H29" s="21">
        <f>SUM(H27:H28)</f>
        <v>27</v>
      </c>
      <c r="I29" s="2"/>
      <c r="J29" s="7"/>
      <c r="K29" s="7"/>
      <c r="L29" s="7"/>
      <c r="M29" s="2"/>
      <c r="N29" s="6"/>
      <c r="O29" s="6"/>
      <c r="P29" s="6"/>
      <c r="Q29" s="19"/>
      <c r="R29" s="9"/>
      <c r="S29" s="9"/>
      <c r="T29" s="10"/>
      <c r="U29" s="8"/>
      <c r="V29" s="21">
        <f>SUM(V27:V28)</f>
        <v>3310592</v>
      </c>
      <c r="W29" s="21">
        <f>SUM(W27:W28)</f>
        <v>595906.56000000006</v>
      </c>
      <c r="X29" s="21">
        <f>SUM(X27:X28)</f>
        <v>0</v>
      </c>
      <c r="Y29" s="21">
        <f>SUM(Y27:Y28)</f>
        <v>0</v>
      </c>
      <c r="Z29" s="99"/>
      <c r="AA29" s="21">
        <f>SUM(AA27:AA28)</f>
        <v>167469.4</v>
      </c>
      <c r="AB29" s="21">
        <f>SUM(AB27:AB28)</f>
        <v>30144.491999999998</v>
      </c>
      <c r="AC29" s="21"/>
      <c r="AD29" s="21">
        <f>SUM(AD27:AD28)</f>
        <v>0</v>
      </c>
      <c r="AE29" s="21">
        <f>SUM(AE27:AE28)</f>
        <v>4104112.452</v>
      </c>
      <c r="AF29" s="21"/>
      <c r="AG29" s="42"/>
      <c r="AH29" s="27">
        <f>SUM(AH27:AH28)</f>
        <v>64.66</v>
      </c>
      <c r="AI29" s="26">
        <f>AH29-F29</f>
        <v>0</v>
      </c>
      <c r="AJ29" s="41">
        <f>AA29/F29</f>
        <v>2590</v>
      </c>
      <c r="AK29" s="40"/>
    </row>
    <row r="30" spans="2:37" s="41" customFormat="1" ht="16.149999999999999" customHeight="1">
      <c r="B30" s="104" t="s">
        <v>764</v>
      </c>
      <c r="C30" s="86" t="s">
        <v>1440</v>
      </c>
      <c r="D30" s="4"/>
      <c r="E30" s="86" t="s">
        <v>392</v>
      </c>
      <c r="F30" s="136">
        <v>31.92</v>
      </c>
      <c r="G30" s="14">
        <f t="shared" ref="G30:G37" si="34">+F30*1000</f>
        <v>31920</v>
      </c>
      <c r="H30" s="49">
        <v>15</v>
      </c>
      <c r="I30" s="83" t="s">
        <v>1449</v>
      </c>
      <c r="J30" s="85" t="s">
        <v>1443</v>
      </c>
      <c r="K30" s="82">
        <v>61903</v>
      </c>
      <c r="L30" s="4"/>
      <c r="M30" s="85" t="s">
        <v>1432</v>
      </c>
      <c r="N30" s="82" t="s">
        <v>1450</v>
      </c>
      <c r="O30" s="4"/>
      <c r="P30" s="4"/>
      <c r="Q30" s="5">
        <v>50480</v>
      </c>
      <c r="R30" s="36"/>
      <c r="S30" s="36"/>
      <c r="T30" s="37"/>
      <c r="U30" s="5">
        <f t="shared" ref="U30:U37" si="35">S30+R30+Q30-T30</f>
        <v>50480</v>
      </c>
      <c r="V30" s="5">
        <f t="shared" ref="V30:V37" si="36">F30*U30</f>
        <v>1611321.6</v>
      </c>
      <c r="W30" s="5">
        <f t="shared" ref="W30:W37" si="37">V30*18%</f>
        <v>290037.88799999998</v>
      </c>
      <c r="X30" s="5"/>
      <c r="Y30" s="5"/>
      <c r="Z30" s="98"/>
      <c r="AA30" s="23">
        <f t="shared" ref="AA30:AA37" si="38">F30*Z30</f>
        <v>0</v>
      </c>
      <c r="AB30" s="97">
        <f t="shared" ref="AB30:AB37" si="39">AA30*18%</f>
        <v>0</v>
      </c>
      <c r="AC30" s="43"/>
      <c r="AD30" s="46"/>
      <c r="AE30" s="5">
        <f t="shared" ref="AE30:AE37" si="40">+AB30+AA30+Y30+X30+W30+V30-AC30+AD30</f>
        <v>1901359.4880000001</v>
      </c>
      <c r="AF30" s="151">
        <v>245</v>
      </c>
      <c r="AG30" s="44" t="s">
        <v>1823</v>
      </c>
      <c r="AH30" s="13">
        <v>31.92</v>
      </c>
      <c r="AI30" s="12"/>
      <c r="AJ30" s="40"/>
      <c r="AK30" s="40"/>
    </row>
    <row r="31" spans="2:37" s="41" customFormat="1" ht="16.149999999999999" customHeight="1">
      <c r="B31" s="70" t="s">
        <v>918</v>
      </c>
      <c r="C31" s="82" t="s">
        <v>1448</v>
      </c>
      <c r="D31" s="4"/>
      <c r="E31" s="86" t="s">
        <v>392</v>
      </c>
      <c r="F31" s="136">
        <v>31.96</v>
      </c>
      <c r="G31" s="14">
        <f t="shared" si="34"/>
        <v>31960</v>
      </c>
      <c r="H31" s="49">
        <v>15</v>
      </c>
      <c r="I31" s="83" t="s">
        <v>1476</v>
      </c>
      <c r="J31" s="85" t="s">
        <v>1432</v>
      </c>
      <c r="K31" s="82">
        <v>60827</v>
      </c>
      <c r="L31" s="4"/>
      <c r="M31" s="85" t="s">
        <v>1478</v>
      </c>
      <c r="N31" s="82" t="s">
        <v>1309</v>
      </c>
      <c r="O31" s="4"/>
      <c r="P31" s="4"/>
      <c r="Q31" s="5">
        <v>50480</v>
      </c>
      <c r="R31" s="36"/>
      <c r="S31" s="36"/>
      <c r="T31" s="37"/>
      <c r="U31" s="5">
        <f t="shared" si="35"/>
        <v>50480</v>
      </c>
      <c r="V31" s="5">
        <f t="shared" si="36"/>
        <v>1613340.8</v>
      </c>
      <c r="W31" s="5">
        <f t="shared" si="37"/>
        <v>290401.34399999998</v>
      </c>
      <c r="X31" s="5"/>
      <c r="Y31" s="5"/>
      <c r="Z31" s="98"/>
      <c r="AA31" s="23">
        <f t="shared" si="38"/>
        <v>0</v>
      </c>
      <c r="AB31" s="97">
        <f t="shared" si="39"/>
        <v>0</v>
      </c>
      <c r="AC31" s="43"/>
      <c r="AD31" s="46"/>
      <c r="AE31" s="5">
        <f t="shared" si="40"/>
        <v>1903742.1440000001</v>
      </c>
      <c r="AF31" s="151">
        <v>246</v>
      </c>
      <c r="AG31" s="44" t="s">
        <v>1823</v>
      </c>
      <c r="AH31" s="13">
        <v>31.96</v>
      </c>
      <c r="AI31" s="12"/>
      <c r="AJ31" s="40"/>
      <c r="AK31" s="40"/>
    </row>
    <row r="32" spans="2:37" s="41" customFormat="1" ht="16.149999999999999" customHeight="1">
      <c r="B32" s="105"/>
      <c r="C32" s="70"/>
      <c r="D32" s="4"/>
      <c r="E32" s="86" t="s">
        <v>392</v>
      </c>
      <c r="F32" s="136">
        <v>42.6</v>
      </c>
      <c r="G32" s="14">
        <f t="shared" si="34"/>
        <v>42600</v>
      </c>
      <c r="H32" s="49">
        <v>20</v>
      </c>
      <c r="I32" s="83" t="s">
        <v>1480</v>
      </c>
      <c r="J32" s="85" t="s">
        <v>1432</v>
      </c>
      <c r="K32" s="82">
        <v>60354</v>
      </c>
      <c r="L32" s="4"/>
      <c r="M32" s="85" t="s">
        <v>1478</v>
      </c>
      <c r="N32" s="82" t="s">
        <v>1481</v>
      </c>
      <c r="O32" s="4"/>
      <c r="P32" s="4"/>
      <c r="Q32" s="5">
        <v>50480</v>
      </c>
      <c r="R32" s="36"/>
      <c r="S32" s="36"/>
      <c r="T32" s="37"/>
      <c r="U32" s="5">
        <f t="shared" si="35"/>
        <v>50480</v>
      </c>
      <c r="V32" s="5">
        <f t="shared" si="36"/>
        <v>2150448</v>
      </c>
      <c r="W32" s="5">
        <f t="shared" si="37"/>
        <v>387080.64</v>
      </c>
      <c r="X32" s="5"/>
      <c r="Y32" s="5"/>
      <c r="Z32" s="98"/>
      <c r="AA32" s="23">
        <f t="shared" si="38"/>
        <v>0</v>
      </c>
      <c r="AB32" s="97">
        <f t="shared" si="39"/>
        <v>0</v>
      </c>
      <c r="AC32" s="43"/>
      <c r="AD32" s="46"/>
      <c r="AE32" s="5">
        <f t="shared" si="40"/>
        <v>2537528.64</v>
      </c>
      <c r="AF32" s="151">
        <v>247</v>
      </c>
      <c r="AG32" s="44" t="s">
        <v>1823</v>
      </c>
      <c r="AH32" s="13">
        <v>42.6</v>
      </c>
      <c r="AI32" s="12"/>
      <c r="AJ32" s="40"/>
      <c r="AK32" s="40"/>
    </row>
    <row r="33" spans="2:37" s="41" customFormat="1" ht="16.149999999999999" customHeight="1">
      <c r="B33" s="83"/>
      <c r="C33" s="1"/>
      <c r="D33" s="4"/>
      <c r="E33" s="86" t="s">
        <v>392</v>
      </c>
      <c r="F33" s="136">
        <v>42.6</v>
      </c>
      <c r="G33" s="14">
        <f t="shared" si="34"/>
        <v>42600</v>
      </c>
      <c r="H33" s="49">
        <v>20</v>
      </c>
      <c r="I33" s="83" t="s">
        <v>1482</v>
      </c>
      <c r="J33" s="85" t="s">
        <v>1453</v>
      </c>
      <c r="K33" s="82">
        <v>60355</v>
      </c>
      <c r="L33" s="4"/>
      <c r="M33" s="85" t="s">
        <v>1478</v>
      </c>
      <c r="N33" s="82" t="s">
        <v>1483</v>
      </c>
      <c r="O33" s="4"/>
      <c r="P33" s="4"/>
      <c r="Q33" s="5">
        <v>50480</v>
      </c>
      <c r="R33" s="36"/>
      <c r="S33" s="36"/>
      <c r="T33" s="37"/>
      <c r="U33" s="5">
        <f t="shared" si="35"/>
        <v>50480</v>
      </c>
      <c r="V33" s="5">
        <f t="shared" si="36"/>
        <v>2150448</v>
      </c>
      <c r="W33" s="5">
        <f t="shared" si="37"/>
        <v>387080.64</v>
      </c>
      <c r="X33" s="5"/>
      <c r="Y33" s="5"/>
      <c r="Z33" s="98"/>
      <c r="AA33" s="23">
        <f t="shared" si="38"/>
        <v>0</v>
      </c>
      <c r="AB33" s="97">
        <f t="shared" si="39"/>
        <v>0</v>
      </c>
      <c r="AC33" s="43"/>
      <c r="AD33" s="46"/>
      <c r="AE33" s="5">
        <f t="shared" si="40"/>
        <v>2537528.64</v>
      </c>
      <c r="AF33" s="151">
        <v>248</v>
      </c>
      <c r="AG33" s="44" t="s">
        <v>1823</v>
      </c>
      <c r="AH33" s="13">
        <v>42.6</v>
      </c>
      <c r="AI33" s="12"/>
      <c r="AJ33" s="40"/>
      <c r="AK33" s="40"/>
    </row>
    <row r="34" spans="2:37" s="41" customFormat="1" ht="16.149999999999999" customHeight="1">
      <c r="B34" s="83"/>
      <c r="C34" s="1"/>
      <c r="D34" s="4"/>
      <c r="E34" s="86" t="s">
        <v>392</v>
      </c>
      <c r="F34" s="136">
        <v>1.8540000000000001</v>
      </c>
      <c r="G34" s="14">
        <f t="shared" si="34"/>
        <v>1854</v>
      </c>
      <c r="H34" s="49">
        <v>1</v>
      </c>
      <c r="I34" s="83" t="s">
        <v>1527</v>
      </c>
      <c r="J34" s="85" t="s">
        <v>1453</v>
      </c>
      <c r="K34" s="82">
        <v>61925</v>
      </c>
      <c r="L34" s="4"/>
      <c r="M34" s="85" t="s">
        <v>1528</v>
      </c>
      <c r="N34" s="82" t="s">
        <v>1529</v>
      </c>
      <c r="O34" s="4"/>
      <c r="P34" s="4"/>
      <c r="Q34" s="5">
        <v>50480</v>
      </c>
      <c r="R34" s="36"/>
      <c r="S34" s="36"/>
      <c r="T34" s="37"/>
      <c r="U34" s="5">
        <f t="shared" si="35"/>
        <v>50480</v>
      </c>
      <c r="V34" s="5">
        <f t="shared" si="36"/>
        <v>93589.92</v>
      </c>
      <c r="W34" s="5">
        <f t="shared" si="37"/>
        <v>16846.185600000001</v>
      </c>
      <c r="X34" s="5"/>
      <c r="Y34" s="5"/>
      <c r="Z34" s="98"/>
      <c r="AA34" s="23">
        <f t="shared" si="38"/>
        <v>0</v>
      </c>
      <c r="AB34" s="97">
        <f t="shared" si="39"/>
        <v>0</v>
      </c>
      <c r="AC34" s="43"/>
      <c r="AD34" s="46"/>
      <c r="AE34" s="5">
        <f t="shared" si="40"/>
        <v>110436.1056</v>
      </c>
      <c r="AF34" s="151">
        <v>249</v>
      </c>
      <c r="AG34" s="44" t="s">
        <v>1823</v>
      </c>
      <c r="AH34" s="13">
        <v>1.8540000000000001</v>
      </c>
      <c r="AI34" s="12"/>
      <c r="AJ34" s="40"/>
      <c r="AK34" s="40"/>
    </row>
    <row r="35" spans="2:37" s="41" customFormat="1" ht="16.149999999999999" customHeight="1">
      <c r="B35" s="83"/>
      <c r="C35" s="1"/>
      <c r="D35" s="4"/>
      <c r="E35" s="86" t="s">
        <v>392</v>
      </c>
      <c r="F35" s="13">
        <v>25.425999999999998</v>
      </c>
      <c r="G35" s="14">
        <f t="shared" si="34"/>
        <v>25426</v>
      </c>
      <c r="H35" s="49">
        <v>12</v>
      </c>
      <c r="I35" s="83" t="s">
        <v>1530</v>
      </c>
      <c r="J35" s="85" t="s">
        <v>1453</v>
      </c>
      <c r="K35" s="82">
        <v>61926</v>
      </c>
      <c r="L35" s="4"/>
      <c r="M35" s="85" t="s">
        <v>1528</v>
      </c>
      <c r="N35" s="82" t="s">
        <v>1529</v>
      </c>
      <c r="O35" s="4"/>
      <c r="P35" s="4"/>
      <c r="Q35" s="5">
        <v>50480</v>
      </c>
      <c r="R35" s="36"/>
      <c r="S35" s="36"/>
      <c r="T35" s="37"/>
      <c r="U35" s="5">
        <f t="shared" si="35"/>
        <v>50480</v>
      </c>
      <c r="V35" s="5">
        <f t="shared" si="36"/>
        <v>1283504.48</v>
      </c>
      <c r="W35" s="5">
        <f t="shared" si="37"/>
        <v>231030.8064</v>
      </c>
      <c r="X35" s="5"/>
      <c r="Y35" s="5"/>
      <c r="Z35" s="98"/>
      <c r="AA35" s="23">
        <f t="shared" si="38"/>
        <v>0</v>
      </c>
      <c r="AB35" s="97">
        <f t="shared" si="39"/>
        <v>0</v>
      </c>
      <c r="AC35" s="43"/>
      <c r="AD35" s="46"/>
      <c r="AE35" s="5">
        <f t="shared" si="40"/>
        <v>1514535.2864000001</v>
      </c>
      <c r="AF35" s="151">
        <v>250</v>
      </c>
      <c r="AG35" s="44" t="s">
        <v>1823</v>
      </c>
      <c r="AH35" s="13">
        <v>25.425999999999998</v>
      </c>
      <c r="AI35" s="12"/>
      <c r="AJ35" s="40"/>
      <c r="AK35" s="40"/>
    </row>
    <row r="36" spans="2:37" s="41" customFormat="1" ht="16.149999999999999" customHeight="1">
      <c r="B36" s="83"/>
      <c r="C36" s="1"/>
      <c r="D36" s="4"/>
      <c r="E36" s="86" t="s">
        <v>392</v>
      </c>
      <c r="F36" s="136">
        <v>27.6</v>
      </c>
      <c r="G36" s="14">
        <f t="shared" si="34"/>
        <v>27600</v>
      </c>
      <c r="H36" s="49">
        <v>13</v>
      </c>
      <c r="I36" s="83" t="s">
        <v>1533</v>
      </c>
      <c r="J36" s="85" t="s">
        <v>1453</v>
      </c>
      <c r="K36" s="82">
        <v>60831</v>
      </c>
      <c r="L36" s="4"/>
      <c r="M36" s="85" t="s">
        <v>1528</v>
      </c>
      <c r="N36" s="82" t="s">
        <v>1534</v>
      </c>
      <c r="O36" s="4"/>
      <c r="P36" s="4"/>
      <c r="Q36" s="5">
        <v>50480</v>
      </c>
      <c r="R36" s="36"/>
      <c r="S36" s="36"/>
      <c r="T36" s="37"/>
      <c r="U36" s="5">
        <f t="shared" si="35"/>
        <v>50480</v>
      </c>
      <c r="V36" s="5">
        <f t="shared" si="36"/>
        <v>1393248</v>
      </c>
      <c r="W36" s="5">
        <f t="shared" si="37"/>
        <v>250784.63999999998</v>
      </c>
      <c r="X36" s="5"/>
      <c r="Y36" s="5"/>
      <c r="Z36" s="98"/>
      <c r="AA36" s="23">
        <f t="shared" si="38"/>
        <v>0</v>
      </c>
      <c r="AB36" s="97">
        <f t="shared" si="39"/>
        <v>0</v>
      </c>
      <c r="AC36" s="43"/>
      <c r="AD36" s="46"/>
      <c r="AE36" s="5">
        <f t="shared" si="40"/>
        <v>1644032.64</v>
      </c>
      <c r="AF36" s="151">
        <v>251</v>
      </c>
      <c r="AG36" s="44" t="s">
        <v>1823</v>
      </c>
      <c r="AH36" s="13">
        <v>27.6</v>
      </c>
      <c r="AI36" s="12"/>
      <c r="AJ36" s="40"/>
      <c r="AK36" s="40"/>
    </row>
    <row r="37" spans="2:37" s="41" customFormat="1" ht="16.149999999999999" customHeight="1">
      <c r="B37" s="83"/>
      <c r="C37" s="1"/>
      <c r="D37" s="4"/>
      <c r="E37" s="86" t="s">
        <v>392</v>
      </c>
      <c r="F37" s="136">
        <v>27.68</v>
      </c>
      <c r="G37" s="14">
        <f t="shared" si="34"/>
        <v>27680</v>
      </c>
      <c r="H37" s="49">
        <v>13</v>
      </c>
      <c r="I37" s="83" t="s">
        <v>1535</v>
      </c>
      <c r="J37" s="85" t="s">
        <v>1453</v>
      </c>
      <c r="K37" s="82">
        <v>60830</v>
      </c>
      <c r="L37" s="4"/>
      <c r="M37" s="85" t="s">
        <v>1528</v>
      </c>
      <c r="N37" s="82" t="s">
        <v>1536</v>
      </c>
      <c r="O37" s="4"/>
      <c r="P37" s="4"/>
      <c r="Q37" s="5">
        <v>50480</v>
      </c>
      <c r="R37" s="36"/>
      <c r="S37" s="36"/>
      <c r="T37" s="37"/>
      <c r="U37" s="5">
        <f t="shared" si="35"/>
        <v>50480</v>
      </c>
      <c r="V37" s="5">
        <f t="shared" si="36"/>
        <v>1397286.4</v>
      </c>
      <c r="W37" s="5">
        <f t="shared" si="37"/>
        <v>251511.55199999997</v>
      </c>
      <c r="X37" s="5"/>
      <c r="Y37" s="5"/>
      <c r="Z37" s="98"/>
      <c r="AA37" s="23">
        <f t="shared" si="38"/>
        <v>0</v>
      </c>
      <c r="AB37" s="97">
        <f t="shared" si="39"/>
        <v>0</v>
      </c>
      <c r="AC37" s="43"/>
      <c r="AD37" s="46"/>
      <c r="AE37" s="5">
        <f t="shared" si="40"/>
        <v>1648797.9519999998</v>
      </c>
      <c r="AF37" s="151">
        <v>252</v>
      </c>
      <c r="AG37" s="44" t="s">
        <v>1823</v>
      </c>
      <c r="AH37" s="13">
        <v>27.68</v>
      </c>
      <c r="AI37" s="12"/>
      <c r="AJ37" s="40"/>
      <c r="AK37" s="40"/>
    </row>
    <row r="38" spans="2:37" s="41" customFormat="1">
      <c r="B38" s="92"/>
      <c r="C38" s="48"/>
      <c r="D38" s="6"/>
      <c r="E38" s="6"/>
      <c r="F38" s="81">
        <f>SUM(F30:F37)</f>
        <v>231.64000000000001</v>
      </c>
      <c r="G38" s="20">
        <f>SUM(G30:G37)</f>
        <v>231640</v>
      </c>
      <c r="H38" s="21">
        <f>SUM(H30:H37)</f>
        <v>109</v>
      </c>
      <c r="I38" s="2"/>
      <c r="J38" s="7"/>
      <c r="K38" s="7"/>
      <c r="L38" s="7"/>
      <c r="M38" s="2"/>
      <c r="N38" s="6"/>
      <c r="O38" s="6"/>
      <c r="P38" s="6"/>
      <c r="Q38" s="19"/>
      <c r="R38" s="9"/>
      <c r="S38" s="9"/>
      <c r="T38" s="10"/>
      <c r="U38" s="8"/>
      <c r="V38" s="21">
        <f>SUM(V30:V37)</f>
        <v>11693187.200000001</v>
      </c>
      <c r="W38" s="21">
        <f>SUM(W30:W37)</f>
        <v>2104773.696</v>
      </c>
      <c r="X38" s="21">
        <f>SUM(X30:X37)</f>
        <v>0</v>
      </c>
      <c r="Y38" s="21">
        <f>SUM(Y30:Y37)</f>
        <v>0</v>
      </c>
      <c r="Z38" s="99"/>
      <c r="AA38" s="21">
        <f>SUM(AA30:AA37)</f>
        <v>0</v>
      </c>
      <c r="AB38" s="21">
        <f>SUM(AB30:AB37)</f>
        <v>0</v>
      </c>
      <c r="AC38" s="21"/>
      <c r="AD38" s="21">
        <f>SUM(AD30:AD37)</f>
        <v>0</v>
      </c>
      <c r="AE38" s="21">
        <f>SUM(AE30:AE37)</f>
        <v>13797960.896</v>
      </c>
      <c r="AF38" s="21"/>
      <c r="AG38" s="42"/>
      <c r="AH38" s="81">
        <f>SUM(AH30:AH37)</f>
        <v>231.64000000000001</v>
      </c>
      <c r="AI38" s="26">
        <f>AH38-F38</f>
        <v>0</v>
      </c>
      <c r="AJ38" s="41">
        <f>AA38/F38</f>
        <v>0</v>
      </c>
      <c r="AK38" s="40"/>
    </row>
    <row r="39" spans="2:37" s="41" customFormat="1" ht="16.149999999999999" customHeight="1">
      <c r="B39" s="138" t="s">
        <v>764</v>
      </c>
      <c r="C39" s="82" t="s">
        <v>1468</v>
      </c>
      <c r="D39" s="4"/>
      <c r="E39" s="82" t="s">
        <v>35</v>
      </c>
      <c r="F39" s="103">
        <v>67.39</v>
      </c>
      <c r="G39" s="14">
        <f t="shared" ref="G39:G71" si="41">+F39*1000</f>
        <v>67390</v>
      </c>
      <c r="H39" s="97">
        <v>31</v>
      </c>
      <c r="I39" s="83" t="s">
        <v>1470</v>
      </c>
      <c r="J39" s="85" t="s">
        <v>1471</v>
      </c>
      <c r="K39" s="135" t="s">
        <v>1512</v>
      </c>
      <c r="L39" s="4"/>
      <c r="M39" s="85" t="s">
        <v>1453</v>
      </c>
      <c r="N39" s="82" t="s">
        <v>1503</v>
      </c>
      <c r="O39" s="4"/>
      <c r="P39" s="4"/>
      <c r="Q39" s="5">
        <v>50480</v>
      </c>
      <c r="R39" s="36"/>
      <c r="S39" s="36"/>
      <c r="T39" s="37"/>
      <c r="U39" s="5">
        <f t="shared" ref="U39:U71" si="42">S39+R39+Q39-T39</f>
        <v>50480</v>
      </c>
      <c r="V39" s="5">
        <f t="shared" ref="V39:V71" si="43">F39*U39</f>
        <v>3401847.2</v>
      </c>
      <c r="W39" s="5">
        <f t="shared" ref="W39:W71" si="44">V39*18%</f>
        <v>612332.49600000004</v>
      </c>
      <c r="X39" s="5"/>
      <c r="Y39" s="5"/>
      <c r="Z39" s="98"/>
      <c r="AA39" s="23">
        <f t="shared" ref="AA39:AA71" si="45">F39*Z39</f>
        <v>0</v>
      </c>
      <c r="AB39" s="97">
        <f t="shared" ref="AB39:AB71" si="46">AA39*18%</f>
        <v>0</v>
      </c>
      <c r="AC39" s="43"/>
      <c r="AD39" s="49"/>
      <c r="AE39" s="5">
        <f t="shared" ref="AE39:AE71" si="47">+AB39+AA39+Y39+X39+W39+V39-AC39+AD39</f>
        <v>4014179.6960000005</v>
      </c>
      <c r="AF39" s="152">
        <v>191</v>
      </c>
      <c r="AG39" s="139" t="s">
        <v>1634</v>
      </c>
      <c r="AH39" s="103">
        <v>67.39</v>
      </c>
      <c r="AI39" s="12"/>
      <c r="AJ39" s="40"/>
      <c r="AK39" s="40"/>
    </row>
    <row r="40" spans="2:37" s="41" customFormat="1" ht="16.149999999999999" customHeight="1">
      <c r="B40" s="140" t="s">
        <v>767</v>
      </c>
      <c r="C40" s="82" t="s">
        <v>1469</v>
      </c>
      <c r="D40" s="4"/>
      <c r="E40" s="82" t="s">
        <v>35</v>
      </c>
      <c r="F40" s="103">
        <v>63.54</v>
      </c>
      <c r="G40" s="14">
        <f t="shared" si="41"/>
        <v>63540</v>
      </c>
      <c r="H40" s="97">
        <v>30</v>
      </c>
      <c r="I40" s="83" t="s">
        <v>1470</v>
      </c>
      <c r="J40" s="85" t="s">
        <v>1471</v>
      </c>
      <c r="K40" s="135" t="s">
        <v>1513</v>
      </c>
      <c r="L40" s="4"/>
      <c r="M40" s="85" t="s">
        <v>1453</v>
      </c>
      <c r="N40" s="82" t="s">
        <v>1504</v>
      </c>
      <c r="O40" s="4"/>
      <c r="P40" s="4"/>
      <c r="Q40" s="5">
        <v>50480</v>
      </c>
      <c r="R40" s="36"/>
      <c r="S40" s="36"/>
      <c r="T40" s="37"/>
      <c r="U40" s="5">
        <f t="shared" si="42"/>
        <v>50480</v>
      </c>
      <c r="V40" s="5">
        <f t="shared" si="43"/>
        <v>3207499.2</v>
      </c>
      <c r="W40" s="5">
        <f t="shared" si="44"/>
        <v>577349.85600000003</v>
      </c>
      <c r="X40" s="5"/>
      <c r="Y40" s="5"/>
      <c r="Z40" s="98"/>
      <c r="AA40" s="23">
        <f t="shared" si="45"/>
        <v>0</v>
      </c>
      <c r="AB40" s="97">
        <f t="shared" si="46"/>
        <v>0</v>
      </c>
      <c r="AC40" s="43"/>
      <c r="AD40" s="49"/>
      <c r="AE40" s="5">
        <f t="shared" si="47"/>
        <v>3784849.0560000003</v>
      </c>
      <c r="AF40" s="152">
        <v>192</v>
      </c>
      <c r="AG40" s="139" t="s">
        <v>1634</v>
      </c>
      <c r="AH40" s="103">
        <v>63.54</v>
      </c>
      <c r="AI40" s="12"/>
      <c r="AJ40" s="40"/>
      <c r="AK40" s="40"/>
    </row>
    <row r="41" spans="2:37" s="41" customFormat="1" ht="16.149999999999999" customHeight="1">
      <c r="B41" s="105"/>
      <c r="C41" s="140"/>
      <c r="D41" s="4"/>
      <c r="E41" s="82" t="s">
        <v>35</v>
      </c>
      <c r="F41" s="103">
        <v>40.15</v>
      </c>
      <c r="G41" s="14">
        <f t="shared" si="41"/>
        <v>40150</v>
      </c>
      <c r="H41" s="97">
        <v>19</v>
      </c>
      <c r="I41" s="83" t="s">
        <v>1470</v>
      </c>
      <c r="J41" s="85" t="s">
        <v>1471</v>
      </c>
      <c r="K41" s="135" t="s">
        <v>1514</v>
      </c>
      <c r="L41" s="4"/>
      <c r="M41" s="85" t="s">
        <v>1465</v>
      </c>
      <c r="N41" s="82" t="s">
        <v>1505</v>
      </c>
      <c r="O41" s="4"/>
      <c r="P41" s="4"/>
      <c r="Q41" s="5">
        <v>50480</v>
      </c>
      <c r="R41" s="36"/>
      <c r="S41" s="36"/>
      <c r="T41" s="37"/>
      <c r="U41" s="5">
        <f t="shared" si="42"/>
        <v>50480</v>
      </c>
      <c r="V41" s="5">
        <f t="shared" si="43"/>
        <v>2026772</v>
      </c>
      <c r="W41" s="5">
        <f t="shared" si="44"/>
        <v>364818.95999999996</v>
      </c>
      <c r="X41" s="5"/>
      <c r="Y41" s="5"/>
      <c r="Z41" s="98"/>
      <c r="AA41" s="23">
        <f t="shared" si="45"/>
        <v>0</v>
      </c>
      <c r="AB41" s="97">
        <f t="shared" si="46"/>
        <v>0</v>
      </c>
      <c r="AC41" s="43"/>
      <c r="AD41" s="49"/>
      <c r="AE41" s="5">
        <f t="shared" si="47"/>
        <v>2391590.96</v>
      </c>
      <c r="AF41" s="152">
        <v>193</v>
      </c>
      <c r="AG41" s="139" t="s">
        <v>1634</v>
      </c>
      <c r="AH41" s="103">
        <v>40.15</v>
      </c>
      <c r="AI41" s="12"/>
      <c r="AJ41" s="40"/>
      <c r="AK41" s="40"/>
    </row>
    <row r="42" spans="2:37" s="41" customFormat="1" ht="16.149999999999999" customHeight="1">
      <c r="B42" s="89" t="s">
        <v>1562</v>
      </c>
      <c r="C42" s="4"/>
      <c r="D42" s="4"/>
      <c r="E42" s="82" t="s">
        <v>35</v>
      </c>
      <c r="F42" s="103">
        <v>31.76</v>
      </c>
      <c r="G42" s="14">
        <f t="shared" si="41"/>
        <v>31760</v>
      </c>
      <c r="H42" s="97">
        <v>15</v>
      </c>
      <c r="I42" s="83" t="s">
        <v>1470</v>
      </c>
      <c r="J42" s="85" t="s">
        <v>1471</v>
      </c>
      <c r="K42" s="135" t="s">
        <v>1515</v>
      </c>
      <c r="L42" s="4"/>
      <c r="M42" s="85" t="s">
        <v>1465</v>
      </c>
      <c r="N42" s="82" t="s">
        <v>1506</v>
      </c>
      <c r="O42" s="4"/>
      <c r="P42" s="4"/>
      <c r="Q42" s="5">
        <v>50480</v>
      </c>
      <c r="R42" s="36"/>
      <c r="S42" s="36"/>
      <c r="T42" s="37"/>
      <c r="U42" s="5">
        <f t="shared" si="42"/>
        <v>50480</v>
      </c>
      <c r="V42" s="5">
        <f t="shared" si="43"/>
        <v>1603244.8</v>
      </c>
      <c r="W42" s="5">
        <f t="shared" si="44"/>
        <v>288584.06400000001</v>
      </c>
      <c r="X42" s="5"/>
      <c r="Y42" s="5"/>
      <c r="Z42" s="98"/>
      <c r="AA42" s="23">
        <f t="shared" si="45"/>
        <v>0</v>
      </c>
      <c r="AB42" s="97">
        <f t="shared" si="46"/>
        <v>0</v>
      </c>
      <c r="AC42" s="43"/>
      <c r="AD42" s="49"/>
      <c r="AE42" s="5">
        <f t="shared" si="47"/>
        <v>1891828.8640000001</v>
      </c>
      <c r="AF42" s="152">
        <v>194</v>
      </c>
      <c r="AG42" s="139" t="s">
        <v>1634</v>
      </c>
      <c r="AH42" s="103">
        <v>31.76</v>
      </c>
      <c r="AI42" s="12"/>
      <c r="AJ42" s="40"/>
      <c r="AK42" s="40"/>
    </row>
    <row r="43" spans="2:37" s="41" customFormat="1" ht="16.149999999999999" customHeight="1">
      <c r="B43" s="89" t="s">
        <v>1563</v>
      </c>
      <c r="C43" s="4"/>
      <c r="D43" s="4"/>
      <c r="E43" s="82" t="s">
        <v>35</v>
      </c>
      <c r="F43" s="103">
        <v>41.97</v>
      </c>
      <c r="G43" s="14">
        <f t="shared" si="41"/>
        <v>41970</v>
      </c>
      <c r="H43" s="97">
        <v>20</v>
      </c>
      <c r="I43" s="83" t="s">
        <v>1470</v>
      </c>
      <c r="J43" s="85" t="s">
        <v>1471</v>
      </c>
      <c r="K43" s="135" t="s">
        <v>1516</v>
      </c>
      <c r="L43" s="4"/>
      <c r="M43" s="85" t="s">
        <v>1465</v>
      </c>
      <c r="N43" s="82" t="s">
        <v>1507</v>
      </c>
      <c r="O43" s="4"/>
      <c r="P43" s="4"/>
      <c r="Q43" s="5">
        <v>50480</v>
      </c>
      <c r="R43" s="36"/>
      <c r="S43" s="36"/>
      <c r="T43" s="37"/>
      <c r="U43" s="5">
        <f t="shared" si="42"/>
        <v>50480</v>
      </c>
      <c r="V43" s="5">
        <f t="shared" si="43"/>
        <v>2118645.6</v>
      </c>
      <c r="W43" s="5">
        <f t="shared" si="44"/>
        <v>381356.20799999998</v>
      </c>
      <c r="X43" s="5"/>
      <c r="Y43" s="5"/>
      <c r="Z43" s="98"/>
      <c r="AA43" s="23">
        <f t="shared" si="45"/>
        <v>0</v>
      </c>
      <c r="AB43" s="97">
        <f t="shared" si="46"/>
        <v>0</v>
      </c>
      <c r="AC43" s="43"/>
      <c r="AD43" s="49"/>
      <c r="AE43" s="5">
        <f t="shared" si="47"/>
        <v>2500001.8080000002</v>
      </c>
      <c r="AF43" s="152">
        <v>195</v>
      </c>
      <c r="AG43" s="139" t="s">
        <v>1634</v>
      </c>
      <c r="AH43" s="103">
        <v>41.97</v>
      </c>
      <c r="AI43" s="12"/>
      <c r="AJ43" s="40"/>
      <c r="AK43" s="40"/>
    </row>
    <row r="44" spans="2:37" s="41" customFormat="1" ht="16.149999999999999" customHeight="1">
      <c r="B44" s="83"/>
      <c r="C44" s="4"/>
      <c r="D44" s="4"/>
      <c r="E44" s="82" t="s">
        <v>35</v>
      </c>
      <c r="F44" s="103">
        <v>31.82</v>
      </c>
      <c r="G44" s="14">
        <f t="shared" si="41"/>
        <v>31820</v>
      </c>
      <c r="H44" s="97">
        <v>15</v>
      </c>
      <c r="I44" s="83" t="s">
        <v>1470</v>
      </c>
      <c r="J44" s="85" t="s">
        <v>1471</v>
      </c>
      <c r="K44" s="135" t="s">
        <v>1517</v>
      </c>
      <c r="L44" s="4"/>
      <c r="M44" s="85" t="s">
        <v>1465</v>
      </c>
      <c r="N44" s="82" t="s">
        <v>774</v>
      </c>
      <c r="O44" s="4"/>
      <c r="P44" s="4"/>
      <c r="Q44" s="5">
        <v>50480</v>
      </c>
      <c r="R44" s="36"/>
      <c r="S44" s="36"/>
      <c r="T44" s="37"/>
      <c r="U44" s="5">
        <f t="shared" si="42"/>
        <v>50480</v>
      </c>
      <c r="V44" s="5">
        <f t="shared" si="43"/>
        <v>1606273.6</v>
      </c>
      <c r="W44" s="5">
        <f t="shared" si="44"/>
        <v>289129.24800000002</v>
      </c>
      <c r="X44" s="5"/>
      <c r="Y44" s="5"/>
      <c r="Z44" s="98"/>
      <c r="AA44" s="23">
        <f t="shared" si="45"/>
        <v>0</v>
      </c>
      <c r="AB44" s="97">
        <f t="shared" si="46"/>
        <v>0</v>
      </c>
      <c r="AC44" s="43"/>
      <c r="AD44" s="49"/>
      <c r="AE44" s="5">
        <f t="shared" si="47"/>
        <v>1895402.8480000002</v>
      </c>
      <c r="AF44" s="152">
        <v>196</v>
      </c>
      <c r="AG44" s="139" t="s">
        <v>1634</v>
      </c>
      <c r="AH44" s="103">
        <v>31.82</v>
      </c>
      <c r="AI44" s="12"/>
      <c r="AJ44" s="40"/>
      <c r="AK44" s="40"/>
    </row>
    <row r="45" spans="2:37" s="41" customFormat="1" ht="16.149999999999999" customHeight="1">
      <c r="B45" s="83"/>
      <c r="C45" s="4"/>
      <c r="D45" s="4"/>
      <c r="E45" s="82" t="s">
        <v>35</v>
      </c>
      <c r="F45" s="103">
        <v>33.65</v>
      </c>
      <c r="G45" s="14">
        <f t="shared" si="41"/>
        <v>33650</v>
      </c>
      <c r="H45" s="97">
        <v>16</v>
      </c>
      <c r="I45" s="83" t="s">
        <v>1470</v>
      </c>
      <c r="J45" s="85" t="s">
        <v>1471</v>
      </c>
      <c r="K45" s="135" t="s">
        <v>1518</v>
      </c>
      <c r="L45" s="4"/>
      <c r="M45" s="85" t="s">
        <v>1465</v>
      </c>
      <c r="N45" s="82" t="s">
        <v>41</v>
      </c>
      <c r="O45" s="4"/>
      <c r="P45" s="4"/>
      <c r="Q45" s="5">
        <v>50480</v>
      </c>
      <c r="R45" s="36"/>
      <c r="S45" s="36"/>
      <c r="T45" s="37"/>
      <c r="U45" s="5">
        <f t="shared" si="42"/>
        <v>50480</v>
      </c>
      <c r="V45" s="5">
        <f t="shared" si="43"/>
        <v>1698652</v>
      </c>
      <c r="W45" s="5">
        <f t="shared" si="44"/>
        <v>305757.36</v>
      </c>
      <c r="X45" s="5"/>
      <c r="Y45" s="5"/>
      <c r="Z45" s="98"/>
      <c r="AA45" s="23">
        <f t="shared" si="45"/>
        <v>0</v>
      </c>
      <c r="AB45" s="97">
        <f t="shared" si="46"/>
        <v>0</v>
      </c>
      <c r="AC45" s="43"/>
      <c r="AD45" s="49"/>
      <c r="AE45" s="5">
        <f t="shared" si="47"/>
        <v>2004409.3599999999</v>
      </c>
      <c r="AF45" s="152">
        <v>197</v>
      </c>
      <c r="AG45" s="139" t="s">
        <v>1634</v>
      </c>
      <c r="AH45" s="103">
        <v>33.65</v>
      </c>
      <c r="AI45" s="12"/>
      <c r="AJ45" s="40"/>
      <c r="AK45" s="40"/>
    </row>
    <row r="46" spans="2:37" s="41" customFormat="1" ht="16.149999999999999" customHeight="1">
      <c r="B46" s="83"/>
      <c r="C46" s="4"/>
      <c r="D46" s="4"/>
      <c r="E46" s="82" t="s">
        <v>35</v>
      </c>
      <c r="F46" s="103">
        <v>33.78</v>
      </c>
      <c r="G46" s="14">
        <f t="shared" si="41"/>
        <v>33780</v>
      </c>
      <c r="H46" s="97">
        <v>16</v>
      </c>
      <c r="I46" s="83" t="s">
        <v>1470</v>
      </c>
      <c r="J46" s="85" t="s">
        <v>1471</v>
      </c>
      <c r="K46" s="135" t="s">
        <v>1519</v>
      </c>
      <c r="L46" s="4"/>
      <c r="M46" s="85" t="s">
        <v>1465</v>
      </c>
      <c r="N46" s="82" t="s">
        <v>1508</v>
      </c>
      <c r="O46" s="4"/>
      <c r="P46" s="4"/>
      <c r="Q46" s="5">
        <v>50480</v>
      </c>
      <c r="R46" s="36"/>
      <c r="S46" s="36"/>
      <c r="T46" s="37"/>
      <c r="U46" s="5">
        <f t="shared" si="42"/>
        <v>50480</v>
      </c>
      <c r="V46" s="5">
        <f t="shared" si="43"/>
        <v>1705214.4000000001</v>
      </c>
      <c r="W46" s="5">
        <f t="shared" si="44"/>
        <v>306938.592</v>
      </c>
      <c r="X46" s="5"/>
      <c r="Y46" s="5"/>
      <c r="Z46" s="98"/>
      <c r="AA46" s="23">
        <f t="shared" si="45"/>
        <v>0</v>
      </c>
      <c r="AB46" s="97">
        <f t="shared" si="46"/>
        <v>0</v>
      </c>
      <c r="AC46" s="43"/>
      <c r="AD46" s="49"/>
      <c r="AE46" s="5">
        <f t="shared" si="47"/>
        <v>2012152.9920000001</v>
      </c>
      <c r="AF46" s="152">
        <v>198</v>
      </c>
      <c r="AG46" s="139" t="s">
        <v>1634</v>
      </c>
      <c r="AH46" s="103">
        <v>33.78</v>
      </c>
      <c r="AI46" s="12"/>
      <c r="AJ46" s="40"/>
      <c r="AK46" s="40"/>
    </row>
    <row r="47" spans="2:37" s="41" customFormat="1" ht="16.149999999999999" customHeight="1">
      <c r="B47" s="12"/>
      <c r="C47" s="4"/>
      <c r="D47" s="4"/>
      <c r="E47" s="82" t="s">
        <v>35</v>
      </c>
      <c r="F47" s="103">
        <v>33.729999999999997</v>
      </c>
      <c r="G47" s="14">
        <f t="shared" si="41"/>
        <v>33730</v>
      </c>
      <c r="H47" s="97">
        <v>16</v>
      </c>
      <c r="I47" s="83" t="s">
        <v>1470</v>
      </c>
      <c r="J47" s="85" t="s">
        <v>1471</v>
      </c>
      <c r="K47" s="135" t="s">
        <v>1520</v>
      </c>
      <c r="L47" s="4"/>
      <c r="M47" s="85" t="s">
        <v>1465</v>
      </c>
      <c r="N47" s="82" t="s">
        <v>1509</v>
      </c>
      <c r="O47" s="4"/>
      <c r="P47" s="4"/>
      <c r="Q47" s="5">
        <v>50480</v>
      </c>
      <c r="R47" s="36"/>
      <c r="S47" s="36"/>
      <c r="T47" s="37"/>
      <c r="U47" s="5">
        <f t="shared" si="42"/>
        <v>50480</v>
      </c>
      <c r="V47" s="5">
        <f t="shared" si="43"/>
        <v>1702690.4</v>
      </c>
      <c r="W47" s="5">
        <f t="shared" si="44"/>
        <v>306484.272</v>
      </c>
      <c r="X47" s="5"/>
      <c r="Y47" s="5"/>
      <c r="Z47" s="98"/>
      <c r="AA47" s="23">
        <f t="shared" si="45"/>
        <v>0</v>
      </c>
      <c r="AB47" s="97">
        <f t="shared" si="46"/>
        <v>0</v>
      </c>
      <c r="AC47" s="43"/>
      <c r="AD47" s="49"/>
      <c r="AE47" s="5">
        <f t="shared" si="47"/>
        <v>2009174.6719999998</v>
      </c>
      <c r="AF47" s="152">
        <v>199</v>
      </c>
      <c r="AG47" s="139" t="s">
        <v>1634</v>
      </c>
      <c r="AH47" s="103">
        <v>33.729999999999997</v>
      </c>
      <c r="AI47" s="12"/>
      <c r="AJ47" s="40"/>
      <c r="AK47" s="40"/>
    </row>
    <row r="48" spans="2:37" s="41" customFormat="1" ht="16.149999999999999" customHeight="1">
      <c r="B48" s="12"/>
      <c r="C48" s="4"/>
      <c r="D48" s="4"/>
      <c r="E48" s="82" t="s">
        <v>35</v>
      </c>
      <c r="F48" s="103">
        <v>31.81</v>
      </c>
      <c r="G48" s="14">
        <f t="shared" si="41"/>
        <v>31810</v>
      </c>
      <c r="H48" s="97">
        <v>15</v>
      </c>
      <c r="I48" s="83" t="s">
        <v>1470</v>
      </c>
      <c r="J48" s="85" t="s">
        <v>1471</v>
      </c>
      <c r="K48" s="135" t="s">
        <v>1521</v>
      </c>
      <c r="L48" s="4"/>
      <c r="M48" s="85" t="s">
        <v>1465</v>
      </c>
      <c r="N48" s="82" t="s">
        <v>1510</v>
      </c>
      <c r="O48" s="4"/>
      <c r="P48" s="4"/>
      <c r="Q48" s="5">
        <v>50480</v>
      </c>
      <c r="R48" s="36"/>
      <c r="S48" s="36"/>
      <c r="T48" s="37"/>
      <c r="U48" s="5">
        <f t="shared" si="42"/>
        <v>50480</v>
      </c>
      <c r="V48" s="5">
        <f t="shared" si="43"/>
        <v>1605768.8</v>
      </c>
      <c r="W48" s="5">
        <f t="shared" si="44"/>
        <v>289038.38400000002</v>
      </c>
      <c r="X48" s="5"/>
      <c r="Y48" s="5"/>
      <c r="Z48" s="98"/>
      <c r="AA48" s="23">
        <f t="shared" si="45"/>
        <v>0</v>
      </c>
      <c r="AB48" s="97">
        <f t="shared" si="46"/>
        <v>0</v>
      </c>
      <c r="AC48" s="43"/>
      <c r="AD48" s="49"/>
      <c r="AE48" s="5">
        <f t="shared" si="47"/>
        <v>1894807.1840000001</v>
      </c>
      <c r="AF48" s="152">
        <v>200</v>
      </c>
      <c r="AG48" s="139" t="s">
        <v>1634</v>
      </c>
      <c r="AH48" s="103">
        <v>31.81</v>
      </c>
      <c r="AI48" s="12"/>
      <c r="AJ48" s="40"/>
      <c r="AK48" s="40"/>
    </row>
    <row r="49" spans="2:37" s="41" customFormat="1" ht="16.149999999999999" customHeight="1">
      <c r="B49" s="12"/>
      <c r="C49" s="4"/>
      <c r="D49" s="4"/>
      <c r="E49" s="82" t="s">
        <v>35</v>
      </c>
      <c r="F49" s="103">
        <v>31.84</v>
      </c>
      <c r="G49" s="14">
        <f t="shared" si="41"/>
        <v>31840</v>
      </c>
      <c r="H49" s="97">
        <v>15</v>
      </c>
      <c r="I49" s="83" t="s">
        <v>1470</v>
      </c>
      <c r="J49" s="85" t="s">
        <v>1471</v>
      </c>
      <c r="K49" s="135" t="s">
        <v>1522</v>
      </c>
      <c r="L49" s="4"/>
      <c r="M49" s="85" t="s">
        <v>1465</v>
      </c>
      <c r="N49" s="82" t="s">
        <v>1511</v>
      </c>
      <c r="O49" s="4"/>
      <c r="P49" s="4"/>
      <c r="Q49" s="5">
        <v>50480</v>
      </c>
      <c r="R49" s="36"/>
      <c r="S49" s="36"/>
      <c r="T49" s="37"/>
      <c r="U49" s="5">
        <f t="shared" si="42"/>
        <v>50480</v>
      </c>
      <c r="V49" s="5">
        <f t="shared" si="43"/>
        <v>1607283.2</v>
      </c>
      <c r="W49" s="5">
        <f t="shared" si="44"/>
        <v>289310.97599999997</v>
      </c>
      <c r="X49" s="5"/>
      <c r="Y49" s="5"/>
      <c r="Z49" s="98"/>
      <c r="AA49" s="23">
        <f t="shared" si="45"/>
        <v>0</v>
      </c>
      <c r="AB49" s="97">
        <f t="shared" si="46"/>
        <v>0</v>
      </c>
      <c r="AC49" s="43"/>
      <c r="AD49" s="49"/>
      <c r="AE49" s="5">
        <f t="shared" si="47"/>
        <v>1896594.176</v>
      </c>
      <c r="AF49" s="152">
        <v>201</v>
      </c>
      <c r="AG49" s="139" t="s">
        <v>1634</v>
      </c>
      <c r="AH49" s="103">
        <v>31.84</v>
      </c>
      <c r="AI49" s="12"/>
      <c r="AJ49" s="40"/>
      <c r="AK49" s="40"/>
    </row>
    <row r="50" spans="2:37" s="41" customFormat="1" ht="16.149999999999999" customHeight="1">
      <c r="B50" s="12"/>
      <c r="C50" s="4"/>
      <c r="D50" s="4"/>
      <c r="E50" s="82" t="s">
        <v>35</v>
      </c>
      <c r="F50" s="103">
        <v>33.659999999999997</v>
      </c>
      <c r="G50" s="14">
        <f t="shared" si="41"/>
        <v>33660</v>
      </c>
      <c r="H50" s="97">
        <v>16</v>
      </c>
      <c r="I50" s="83" t="s">
        <v>1470</v>
      </c>
      <c r="J50" s="85" t="s">
        <v>1471</v>
      </c>
      <c r="K50" s="135" t="s">
        <v>1523</v>
      </c>
      <c r="L50" s="4"/>
      <c r="M50" s="85" t="s">
        <v>1478</v>
      </c>
      <c r="N50" s="82" t="s">
        <v>881</v>
      </c>
      <c r="O50" s="4"/>
      <c r="P50" s="4"/>
      <c r="Q50" s="5">
        <v>50480</v>
      </c>
      <c r="R50" s="36"/>
      <c r="S50" s="36"/>
      <c r="T50" s="37"/>
      <c r="U50" s="5">
        <f t="shared" si="42"/>
        <v>50480</v>
      </c>
      <c r="V50" s="5">
        <f t="shared" si="43"/>
        <v>1699156.7999999998</v>
      </c>
      <c r="W50" s="5">
        <f t="shared" si="44"/>
        <v>305848.22399999993</v>
      </c>
      <c r="X50" s="5"/>
      <c r="Y50" s="5"/>
      <c r="Z50" s="98"/>
      <c r="AA50" s="23">
        <f t="shared" si="45"/>
        <v>0</v>
      </c>
      <c r="AB50" s="97">
        <f t="shared" si="46"/>
        <v>0</v>
      </c>
      <c r="AC50" s="43"/>
      <c r="AD50" s="49"/>
      <c r="AE50" s="5">
        <f t="shared" si="47"/>
        <v>2005005.0239999997</v>
      </c>
      <c r="AF50" s="152">
        <v>202</v>
      </c>
      <c r="AG50" s="139" t="s">
        <v>1634</v>
      </c>
      <c r="AH50" s="103">
        <v>33.659999999999997</v>
      </c>
      <c r="AI50" s="12"/>
      <c r="AJ50" s="40"/>
      <c r="AK50" s="40"/>
    </row>
    <row r="51" spans="2:37" s="41" customFormat="1" ht="16.149999999999999" customHeight="1">
      <c r="B51" s="12"/>
      <c r="C51" s="4"/>
      <c r="D51" s="4"/>
      <c r="E51" s="82" t="s">
        <v>35</v>
      </c>
      <c r="F51" s="103">
        <v>33.549999999999997</v>
      </c>
      <c r="G51" s="14">
        <f t="shared" si="41"/>
        <v>33550</v>
      </c>
      <c r="H51" s="97">
        <v>16</v>
      </c>
      <c r="I51" s="83" t="s">
        <v>1470</v>
      </c>
      <c r="J51" s="85" t="s">
        <v>1471</v>
      </c>
      <c r="K51" s="135" t="s">
        <v>1524</v>
      </c>
      <c r="L51" s="4"/>
      <c r="M51" s="85" t="s">
        <v>1478</v>
      </c>
      <c r="N51" s="82" t="s">
        <v>1275</v>
      </c>
      <c r="O51" s="4"/>
      <c r="P51" s="4"/>
      <c r="Q51" s="5">
        <v>50480</v>
      </c>
      <c r="R51" s="36"/>
      <c r="S51" s="36"/>
      <c r="T51" s="37"/>
      <c r="U51" s="5">
        <f t="shared" si="42"/>
        <v>50480</v>
      </c>
      <c r="V51" s="5">
        <f t="shared" si="43"/>
        <v>1693603.9999999998</v>
      </c>
      <c r="W51" s="5">
        <f t="shared" si="44"/>
        <v>304848.71999999997</v>
      </c>
      <c r="X51" s="5"/>
      <c r="Y51" s="5"/>
      <c r="Z51" s="98"/>
      <c r="AA51" s="23">
        <f t="shared" si="45"/>
        <v>0</v>
      </c>
      <c r="AB51" s="97">
        <f t="shared" si="46"/>
        <v>0</v>
      </c>
      <c r="AC51" s="43"/>
      <c r="AD51" s="49"/>
      <c r="AE51" s="5">
        <f t="shared" si="47"/>
        <v>1998452.7199999997</v>
      </c>
      <c r="AF51" s="152">
        <v>203</v>
      </c>
      <c r="AG51" s="139" t="s">
        <v>1634</v>
      </c>
      <c r="AH51" s="103">
        <v>33.549999999999997</v>
      </c>
      <c r="AI51" s="12"/>
      <c r="AJ51" s="40"/>
      <c r="AK51" s="40"/>
    </row>
    <row r="52" spans="2:37" s="41" customFormat="1" ht="16.149999999999999" customHeight="1">
      <c r="B52" s="12"/>
      <c r="C52" s="4"/>
      <c r="D52" s="4"/>
      <c r="E52" s="82" t="s">
        <v>35</v>
      </c>
      <c r="F52" s="103">
        <v>31.64</v>
      </c>
      <c r="G52" s="14">
        <f t="shared" si="41"/>
        <v>31640</v>
      </c>
      <c r="H52" s="97">
        <v>15</v>
      </c>
      <c r="I52" s="83" t="s">
        <v>1470</v>
      </c>
      <c r="J52" s="85" t="s">
        <v>1471</v>
      </c>
      <c r="K52" s="135" t="s">
        <v>1525</v>
      </c>
      <c r="L52" s="4"/>
      <c r="M52" s="85" t="s">
        <v>1478</v>
      </c>
      <c r="N52" s="82" t="s">
        <v>1526</v>
      </c>
      <c r="O52" s="4"/>
      <c r="P52" s="4"/>
      <c r="Q52" s="5">
        <v>50480</v>
      </c>
      <c r="R52" s="36"/>
      <c r="S52" s="36"/>
      <c r="T52" s="37"/>
      <c r="U52" s="5">
        <f t="shared" si="42"/>
        <v>50480</v>
      </c>
      <c r="V52" s="5">
        <f t="shared" si="43"/>
        <v>1597187.2</v>
      </c>
      <c r="W52" s="5">
        <f t="shared" si="44"/>
        <v>287493.696</v>
      </c>
      <c r="X52" s="5"/>
      <c r="Y52" s="5"/>
      <c r="Z52" s="98"/>
      <c r="AA52" s="23">
        <f t="shared" si="45"/>
        <v>0</v>
      </c>
      <c r="AB52" s="97">
        <f t="shared" si="46"/>
        <v>0</v>
      </c>
      <c r="AC52" s="43"/>
      <c r="AD52" s="49"/>
      <c r="AE52" s="5">
        <f t="shared" si="47"/>
        <v>1884680.8959999999</v>
      </c>
      <c r="AF52" s="152">
        <v>204</v>
      </c>
      <c r="AG52" s="139" t="s">
        <v>1634</v>
      </c>
      <c r="AH52" s="103">
        <v>31.64</v>
      </c>
      <c r="AI52" s="12"/>
      <c r="AJ52" s="40"/>
      <c r="AK52" s="40"/>
    </row>
    <row r="53" spans="2:37" s="41" customFormat="1" ht="16.149999999999999" customHeight="1">
      <c r="B53" s="12"/>
      <c r="C53" s="4"/>
      <c r="D53" s="4"/>
      <c r="E53" s="82" t="s">
        <v>35</v>
      </c>
      <c r="F53" s="103">
        <v>31.5</v>
      </c>
      <c r="G53" s="14">
        <f t="shared" si="41"/>
        <v>31500</v>
      </c>
      <c r="H53" s="97">
        <v>15</v>
      </c>
      <c r="I53" s="83" t="s">
        <v>1470</v>
      </c>
      <c r="J53" s="85" t="s">
        <v>1471</v>
      </c>
      <c r="K53" s="135" t="s">
        <v>1561</v>
      </c>
      <c r="L53" s="4"/>
      <c r="M53" s="85" t="s">
        <v>1528</v>
      </c>
      <c r="N53" s="82" t="s">
        <v>59</v>
      </c>
      <c r="O53" s="4"/>
      <c r="P53" s="4"/>
      <c r="Q53" s="5">
        <v>50480</v>
      </c>
      <c r="R53" s="36"/>
      <c r="S53" s="36"/>
      <c r="T53" s="37"/>
      <c r="U53" s="5">
        <f t="shared" si="42"/>
        <v>50480</v>
      </c>
      <c r="V53" s="5">
        <f t="shared" si="43"/>
        <v>1590120</v>
      </c>
      <c r="W53" s="5">
        <f t="shared" si="44"/>
        <v>286221.59999999998</v>
      </c>
      <c r="X53" s="5"/>
      <c r="Y53" s="5"/>
      <c r="Z53" s="98"/>
      <c r="AA53" s="23">
        <f t="shared" si="45"/>
        <v>0</v>
      </c>
      <c r="AB53" s="97">
        <f t="shared" si="46"/>
        <v>0</v>
      </c>
      <c r="AC53" s="43"/>
      <c r="AD53" s="49"/>
      <c r="AE53" s="5">
        <f t="shared" si="47"/>
        <v>1876341.6</v>
      </c>
      <c r="AF53" s="152">
        <v>205</v>
      </c>
      <c r="AG53" s="139" t="s">
        <v>1634</v>
      </c>
      <c r="AH53" s="103">
        <v>31.5</v>
      </c>
      <c r="AI53" s="12"/>
      <c r="AJ53" s="40"/>
      <c r="AK53" s="40"/>
    </row>
    <row r="54" spans="2:37" s="41" customFormat="1" ht="16.149999999999999" customHeight="1">
      <c r="B54" s="12"/>
      <c r="C54" s="4"/>
      <c r="D54" s="4"/>
      <c r="E54" s="82" t="s">
        <v>35</v>
      </c>
      <c r="F54" s="103">
        <v>31.67</v>
      </c>
      <c r="G54" s="14">
        <f t="shared" si="41"/>
        <v>31670</v>
      </c>
      <c r="H54" s="97">
        <v>15</v>
      </c>
      <c r="I54" s="83" t="s">
        <v>1470</v>
      </c>
      <c r="J54" s="85" t="s">
        <v>1471</v>
      </c>
      <c r="K54" s="135" t="s">
        <v>1537</v>
      </c>
      <c r="L54" s="4"/>
      <c r="M54" s="85" t="s">
        <v>1528</v>
      </c>
      <c r="N54" s="82" t="s">
        <v>1549</v>
      </c>
      <c r="O54" s="4"/>
      <c r="P54" s="4"/>
      <c r="Q54" s="5">
        <v>50480</v>
      </c>
      <c r="R54" s="36"/>
      <c r="S54" s="36"/>
      <c r="T54" s="37"/>
      <c r="U54" s="5">
        <f t="shared" si="42"/>
        <v>50480</v>
      </c>
      <c r="V54" s="5">
        <f t="shared" si="43"/>
        <v>1598701.6</v>
      </c>
      <c r="W54" s="5">
        <f t="shared" si="44"/>
        <v>287766.288</v>
      </c>
      <c r="X54" s="5"/>
      <c r="Y54" s="5"/>
      <c r="Z54" s="98"/>
      <c r="AA54" s="23">
        <f t="shared" si="45"/>
        <v>0</v>
      </c>
      <c r="AB54" s="97">
        <f t="shared" si="46"/>
        <v>0</v>
      </c>
      <c r="AC54" s="43"/>
      <c r="AD54" s="49"/>
      <c r="AE54" s="5">
        <f t="shared" si="47"/>
        <v>1886467.888</v>
      </c>
      <c r="AF54" s="152">
        <v>206</v>
      </c>
      <c r="AG54" s="139" t="s">
        <v>1634</v>
      </c>
      <c r="AH54" s="103">
        <v>31.67</v>
      </c>
      <c r="AI54" s="12"/>
      <c r="AJ54" s="40"/>
      <c r="AK54" s="40"/>
    </row>
    <row r="55" spans="2:37" s="41" customFormat="1" ht="16.149999999999999" customHeight="1">
      <c r="B55" s="12"/>
      <c r="C55" s="4"/>
      <c r="D55" s="4"/>
      <c r="E55" s="82" t="s">
        <v>35</v>
      </c>
      <c r="F55" s="103">
        <v>50.82</v>
      </c>
      <c r="G55" s="14">
        <f t="shared" si="41"/>
        <v>50820</v>
      </c>
      <c r="H55" s="97">
        <v>24</v>
      </c>
      <c r="I55" s="83" t="s">
        <v>1470</v>
      </c>
      <c r="J55" s="85" t="s">
        <v>1471</v>
      </c>
      <c r="K55" s="135" t="s">
        <v>1538</v>
      </c>
      <c r="L55" s="4"/>
      <c r="M55" s="85" t="s">
        <v>1528</v>
      </c>
      <c r="N55" s="82" t="s">
        <v>1504</v>
      </c>
      <c r="O55" s="4"/>
      <c r="P55" s="4"/>
      <c r="Q55" s="5">
        <v>50480</v>
      </c>
      <c r="R55" s="36"/>
      <c r="S55" s="36"/>
      <c r="T55" s="37"/>
      <c r="U55" s="5">
        <f t="shared" si="42"/>
        <v>50480</v>
      </c>
      <c r="V55" s="5">
        <f t="shared" si="43"/>
        <v>2565393.6</v>
      </c>
      <c r="W55" s="5">
        <f t="shared" si="44"/>
        <v>461770.848</v>
      </c>
      <c r="X55" s="5"/>
      <c r="Y55" s="5"/>
      <c r="Z55" s="98"/>
      <c r="AA55" s="23">
        <f t="shared" si="45"/>
        <v>0</v>
      </c>
      <c r="AB55" s="97">
        <f t="shared" si="46"/>
        <v>0</v>
      </c>
      <c r="AC55" s="43"/>
      <c r="AD55" s="49"/>
      <c r="AE55" s="5">
        <f t="shared" si="47"/>
        <v>3027164.4479999999</v>
      </c>
      <c r="AF55" s="152">
        <v>207</v>
      </c>
      <c r="AG55" s="139" t="s">
        <v>1634</v>
      </c>
      <c r="AH55" s="103">
        <v>50.82</v>
      </c>
      <c r="AI55" s="12"/>
      <c r="AJ55" s="40"/>
      <c r="AK55" s="40"/>
    </row>
    <row r="56" spans="2:37" s="41" customFormat="1" ht="16.149999999999999" customHeight="1">
      <c r="B56" s="12"/>
      <c r="C56" s="4"/>
      <c r="D56" s="4"/>
      <c r="E56" s="82" t="s">
        <v>35</v>
      </c>
      <c r="F56" s="103">
        <v>50.76</v>
      </c>
      <c r="G56" s="14">
        <f t="shared" si="41"/>
        <v>50760</v>
      </c>
      <c r="H56" s="97">
        <v>24</v>
      </c>
      <c r="I56" s="83" t="s">
        <v>1470</v>
      </c>
      <c r="J56" s="85" t="s">
        <v>1471</v>
      </c>
      <c r="K56" s="135" t="s">
        <v>1539</v>
      </c>
      <c r="L56" s="4"/>
      <c r="M56" s="85" t="s">
        <v>1528</v>
      </c>
      <c r="N56" s="82" t="s">
        <v>1503</v>
      </c>
      <c r="O56" s="4"/>
      <c r="P56" s="4"/>
      <c r="Q56" s="5">
        <v>50480</v>
      </c>
      <c r="R56" s="36"/>
      <c r="S56" s="36"/>
      <c r="T56" s="37"/>
      <c r="U56" s="5">
        <f t="shared" si="42"/>
        <v>50480</v>
      </c>
      <c r="V56" s="5">
        <f t="shared" si="43"/>
        <v>2562364.7999999998</v>
      </c>
      <c r="W56" s="5">
        <f t="shared" si="44"/>
        <v>461225.66399999993</v>
      </c>
      <c r="X56" s="5"/>
      <c r="Y56" s="5"/>
      <c r="Z56" s="98"/>
      <c r="AA56" s="23">
        <f t="shared" si="45"/>
        <v>0</v>
      </c>
      <c r="AB56" s="97">
        <f t="shared" si="46"/>
        <v>0</v>
      </c>
      <c r="AC56" s="43"/>
      <c r="AD56" s="49"/>
      <c r="AE56" s="5">
        <f t="shared" si="47"/>
        <v>3023590.4639999997</v>
      </c>
      <c r="AF56" s="152">
        <v>208</v>
      </c>
      <c r="AG56" s="139" t="s">
        <v>1634</v>
      </c>
      <c r="AH56" s="103">
        <v>50.76</v>
      </c>
      <c r="AI56" s="12"/>
      <c r="AJ56" s="40"/>
      <c r="AK56" s="40"/>
    </row>
    <row r="57" spans="2:37" s="41" customFormat="1" ht="16.149999999999999" customHeight="1">
      <c r="B57" s="12"/>
      <c r="C57" s="4"/>
      <c r="D57" s="4"/>
      <c r="E57" s="82" t="s">
        <v>35</v>
      </c>
      <c r="F57" s="103">
        <v>33.97</v>
      </c>
      <c r="G57" s="14">
        <f t="shared" si="41"/>
        <v>33970</v>
      </c>
      <c r="H57" s="97">
        <v>16</v>
      </c>
      <c r="I57" s="83" t="s">
        <v>1470</v>
      </c>
      <c r="J57" s="85" t="s">
        <v>1471</v>
      </c>
      <c r="K57" s="135" t="s">
        <v>1540</v>
      </c>
      <c r="L57" s="4"/>
      <c r="M57" s="85" t="s">
        <v>1528</v>
      </c>
      <c r="N57" s="82" t="s">
        <v>1550</v>
      </c>
      <c r="O57" s="4"/>
      <c r="P57" s="4"/>
      <c r="Q57" s="5">
        <v>50480</v>
      </c>
      <c r="R57" s="36"/>
      <c r="S57" s="36"/>
      <c r="T57" s="37"/>
      <c r="U57" s="5">
        <f t="shared" si="42"/>
        <v>50480</v>
      </c>
      <c r="V57" s="5">
        <f t="shared" si="43"/>
        <v>1714805.5999999999</v>
      </c>
      <c r="W57" s="5">
        <f t="shared" si="44"/>
        <v>308665.00799999997</v>
      </c>
      <c r="X57" s="5"/>
      <c r="Y57" s="5"/>
      <c r="Z57" s="98"/>
      <c r="AA57" s="23">
        <f t="shared" si="45"/>
        <v>0</v>
      </c>
      <c r="AB57" s="97">
        <f t="shared" si="46"/>
        <v>0</v>
      </c>
      <c r="AC57" s="43"/>
      <c r="AD57" s="49"/>
      <c r="AE57" s="5">
        <f t="shared" si="47"/>
        <v>2023470.6079999998</v>
      </c>
      <c r="AF57" s="152">
        <v>209</v>
      </c>
      <c r="AG57" s="139" t="s">
        <v>1634</v>
      </c>
      <c r="AH57" s="103">
        <v>33.97</v>
      </c>
      <c r="AI57" s="12"/>
      <c r="AJ57" s="40"/>
      <c r="AK57" s="40"/>
    </row>
    <row r="58" spans="2:37" s="41" customFormat="1" ht="16.149999999999999" customHeight="1">
      <c r="B58" s="12"/>
      <c r="C58" s="4"/>
      <c r="D58" s="4"/>
      <c r="E58" s="82" t="s">
        <v>35</v>
      </c>
      <c r="F58" s="103">
        <v>40.24</v>
      </c>
      <c r="G58" s="14">
        <f t="shared" si="41"/>
        <v>40240</v>
      </c>
      <c r="H58" s="97">
        <v>19</v>
      </c>
      <c r="I58" s="83" t="s">
        <v>1470</v>
      </c>
      <c r="J58" s="85" t="s">
        <v>1471</v>
      </c>
      <c r="K58" s="135" t="s">
        <v>1541</v>
      </c>
      <c r="L58" s="4"/>
      <c r="M58" s="85" t="s">
        <v>1555</v>
      </c>
      <c r="N58" s="82" t="s">
        <v>1551</v>
      </c>
      <c r="O58" s="4"/>
      <c r="P58" s="4"/>
      <c r="Q58" s="5">
        <v>50480</v>
      </c>
      <c r="R58" s="36"/>
      <c r="S58" s="36"/>
      <c r="T58" s="37"/>
      <c r="U58" s="5">
        <f t="shared" si="42"/>
        <v>50480</v>
      </c>
      <c r="V58" s="5">
        <f t="shared" si="43"/>
        <v>2031315.2000000002</v>
      </c>
      <c r="W58" s="5">
        <f t="shared" si="44"/>
        <v>365636.73600000003</v>
      </c>
      <c r="X58" s="5"/>
      <c r="Y58" s="5"/>
      <c r="Z58" s="98"/>
      <c r="AA58" s="23">
        <f t="shared" si="45"/>
        <v>0</v>
      </c>
      <c r="AB58" s="97">
        <f t="shared" si="46"/>
        <v>0</v>
      </c>
      <c r="AC58" s="43"/>
      <c r="AD58" s="49"/>
      <c r="AE58" s="5">
        <f t="shared" si="47"/>
        <v>2396951.9360000002</v>
      </c>
      <c r="AF58" s="152">
        <v>210</v>
      </c>
      <c r="AG58" s="139" t="s">
        <v>1634</v>
      </c>
      <c r="AH58" s="103">
        <v>40.24</v>
      </c>
      <c r="AI58" s="12"/>
      <c r="AJ58" s="40"/>
      <c r="AK58" s="40"/>
    </row>
    <row r="59" spans="2:37" s="41" customFormat="1" ht="16.149999999999999" customHeight="1">
      <c r="B59" s="12"/>
      <c r="C59" s="4"/>
      <c r="D59" s="4"/>
      <c r="E59" s="82" t="s">
        <v>35</v>
      </c>
      <c r="F59" s="103">
        <v>31.74</v>
      </c>
      <c r="G59" s="14">
        <f t="shared" si="41"/>
        <v>31740</v>
      </c>
      <c r="H59" s="97">
        <v>15</v>
      </c>
      <c r="I59" s="83" t="s">
        <v>1470</v>
      </c>
      <c r="J59" s="85" t="s">
        <v>1471</v>
      </c>
      <c r="K59" s="135" t="s">
        <v>1542</v>
      </c>
      <c r="L59" s="4"/>
      <c r="M59" s="85" t="s">
        <v>1555</v>
      </c>
      <c r="N59" s="82" t="s">
        <v>47</v>
      </c>
      <c r="O59" s="4"/>
      <c r="P59" s="4"/>
      <c r="Q59" s="5">
        <v>50480</v>
      </c>
      <c r="R59" s="36"/>
      <c r="S59" s="36"/>
      <c r="T59" s="37"/>
      <c r="U59" s="5">
        <f t="shared" si="42"/>
        <v>50480</v>
      </c>
      <c r="V59" s="5">
        <f t="shared" si="43"/>
        <v>1602235.2</v>
      </c>
      <c r="W59" s="5">
        <f t="shared" si="44"/>
        <v>288402.33599999995</v>
      </c>
      <c r="X59" s="5"/>
      <c r="Y59" s="5"/>
      <c r="Z59" s="98"/>
      <c r="AA59" s="23">
        <f t="shared" si="45"/>
        <v>0</v>
      </c>
      <c r="AB59" s="97">
        <f t="shared" si="46"/>
        <v>0</v>
      </c>
      <c r="AC59" s="43"/>
      <c r="AD59" s="49"/>
      <c r="AE59" s="5">
        <f t="shared" si="47"/>
        <v>1890637.5359999998</v>
      </c>
      <c r="AF59" s="152">
        <v>211</v>
      </c>
      <c r="AG59" s="139" t="s">
        <v>1634</v>
      </c>
      <c r="AH59" s="103">
        <v>31.74</v>
      </c>
      <c r="AI59" s="12"/>
      <c r="AJ59" s="40"/>
      <c r="AK59" s="40"/>
    </row>
    <row r="60" spans="2:37" s="41" customFormat="1" ht="16.149999999999999" customHeight="1">
      <c r="B60" s="12"/>
      <c r="C60" s="4"/>
      <c r="D60" s="4"/>
      <c r="E60" s="82" t="s">
        <v>35</v>
      </c>
      <c r="F60" s="103">
        <v>31.72</v>
      </c>
      <c r="G60" s="14">
        <f t="shared" si="41"/>
        <v>31720</v>
      </c>
      <c r="H60" s="97">
        <v>15</v>
      </c>
      <c r="I60" s="83" t="s">
        <v>1470</v>
      </c>
      <c r="J60" s="85" t="s">
        <v>1471</v>
      </c>
      <c r="K60" s="135" t="s">
        <v>1543</v>
      </c>
      <c r="L60" s="4"/>
      <c r="M60" s="85" t="s">
        <v>1555</v>
      </c>
      <c r="N60" s="82" t="s">
        <v>1509</v>
      </c>
      <c r="O60" s="4"/>
      <c r="P60" s="4"/>
      <c r="Q60" s="5">
        <v>50480</v>
      </c>
      <c r="R60" s="36"/>
      <c r="S60" s="36"/>
      <c r="T60" s="37"/>
      <c r="U60" s="5">
        <f t="shared" si="42"/>
        <v>50480</v>
      </c>
      <c r="V60" s="5">
        <f t="shared" si="43"/>
        <v>1601225.5999999999</v>
      </c>
      <c r="W60" s="5">
        <f t="shared" si="44"/>
        <v>288220.60799999995</v>
      </c>
      <c r="X60" s="5"/>
      <c r="Y60" s="5"/>
      <c r="Z60" s="98"/>
      <c r="AA60" s="23">
        <f t="shared" si="45"/>
        <v>0</v>
      </c>
      <c r="AB60" s="97">
        <f t="shared" si="46"/>
        <v>0</v>
      </c>
      <c r="AC60" s="43"/>
      <c r="AD60" s="49"/>
      <c r="AE60" s="5">
        <f t="shared" si="47"/>
        <v>1889446.2079999999</v>
      </c>
      <c r="AF60" s="152">
        <v>212</v>
      </c>
      <c r="AG60" s="139" t="s">
        <v>1634</v>
      </c>
      <c r="AH60" s="103">
        <v>31.72</v>
      </c>
      <c r="AI60" s="12"/>
      <c r="AJ60" s="40"/>
      <c r="AK60" s="40"/>
    </row>
    <row r="61" spans="2:37" s="41" customFormat="1" ht="16.149999999999999" customHeight="1">
      <c r="B61" s="12"/>
      <c r="C61" s="4"/>
      <c r="D61" s="4"/>
      <c r="E61" s="82" t="s">
        <v>35</v>
      </c>
      <c r="F61" s="103">
        <v>42.28</v>
      </c>
      <c r="G61" s="14">
        <f t="shared" si="41"/>
        <v>42280</v>
      </c>
      <c r="H61" s="97">
        <v>20</v>
      </c>
      <c r="I61" s="83" t="s">
        <v>1470</v>
      </c>
      <c r="J61" s="85" t="s">
        <v>1471</v>
      </c>
      <c r="K61" s="135" t="s">
        <v>1544</v>
      </c>
      <c r="L61" s="4"/>
      <c r="M61" s="85" t="s">
        <v>1555</v>
      </c>
      <c r="N61" s="82" t="s">
        <v>1507</v>
      </c>
      <c r="O61" s="4"/>
      <c r="P61" s="4"/>
      <c r="Q61" s="5">
        <v>50480</v>
      </c>
      <c r="R61" s="36"/>
      <c r="S61" s="36"/>
      <c r="T61" s="37"/>
      <c r="U61" s="5">
        <f t="shared" si="42"/>
        <v>50480</v>
      </c>
      <c r="V61" s="5">
        <f t="shared" si="43"/>
        <v>2134294.4</v>
      </c>
      <c r="W61" s="5">
        <f t="shared" si="44"/>
        <v>384172.99199999997</v>
      </c>
      <c r="X61" s="5"/>
      <c r="Y61" s="5"/>
      <c r="Z61" s="98"/>
      <c r="AA61" s="23">
        <f t="shared" si="45"/>
        <v>0</v>
      </c>
      <c r="AB61" s="97">
        <f t="shared" si="46"/>
        <v>0</v>
      </c>
      <c r="AC61" s="43"/>
      <c r="AD61" s="49"/>
      <c r="AE61" s="5">
        <f t="shared" si="47"/>
        <v>2518467.392</v>
      </c>
      <c r="AF61" s="152">
        <v>213</v>
      </c>
      <c r="AG61" s="139" t="s">
        <v>1634</v>
      </c>
      <c r="AH61" s="103">
        <v>42.28</v>
      </c>
      <c r="AI61" s="12"/>
      <c r="AJ61" s="40"/>
      <c r="AK61" s="40"/>
    </row>
    <row r="62" spans="2:37" s="41" customFormat="1" ht="16.149999999999999" customHeight="1">
      <c r="B62" s="12"/>
      <c r="C62" s="4"/>
      <c r="D62" s="4"/>
      <c r="E62" s="82" t="s">
        <v>35</v>
      </c>
      <c r="F62" s="103">
        <v>31.75</v>
      </c>
      <c r="G62" s="14">
        <f t="shared" si="41"/>
        <v>31750</v>
      </c>
      <c r="H62" s="97">
        <v>15</v>
      </c>
      <c r="I62" s="83" t="s">
        <v>1470</v>
      </c>
      <c r="J62" s="85" t="s">
        <v>1471</v>
      </c>
      <c r="K62" s="135" t="s">
        <v>1545</v>
      </c>
      <c r="L62" s="4"/>
      <c r="M62" s="85" t="s">
        <v>1555</v>
      </c>
      <c r="N62" s="82" t="s">
        <v>1502</v>
      </c>
      <c r="O62" s="4"/>
      <c r="P62" s="4"/>
      <c r="Q62" s="5">
        <v>50480</v>
      </c>
      <c r="R62" s="36"/>
      <c r="S62" s="36"/>
      <c r="T62" s="37"/>
      <c r="U62" s="5">
        <f t="shared" si="42"/>
        <v>50480</v>
      </c>
      <c r="V62" s="5">
        <f t="shared" si="43"/>
        <v>1602740</v>
      </c>
      <c r="W62" s="5">
        <f t="shared" si="44"/>
        <v>288493.2</v>
      </c>
      <c r="X62" s="5"/>
      <c r="Y62" s="5"/>
      <c r="Z62" s="98"/>
      <c r="AA62" s="23">
        <f t="shared" si="45"/>
        <v>0</v>
      </c>
      <c r="AB62" s="97">
        <f t="shared" si="46"/>
        <v>0</v>
      </c>
      <c r="AC62" s="43"/>
      <c r="AD62" s="49"/>
      <c r="AE62" s="5">
        <f t="shared" si="47"/>
        <v>1891233.2</v>
      </c>
      <c r="AF62" s="152">
        <v>214</v>
      </c>
      <c r="AG62" s="139" t="s">
        <v>1634</v>
      </c>
      <c r="AH62" s="103">
        <v>31.75</v>
      </c>
      <c r="AI62" s="12"/>
      <c r="AJ62" s="40"/>
      <c r="AK62" s="40"/>
    </row>
    <row r="63" spans="2:37" s="41" customFormat="1" ht="16.149999999999999" customHeight="1">
      <c r="B63" s="12"/>
      <c r="C63" s="4"/>
      <c r="D63" s="4"/>
      <c r="E63" s="82" t="s">
        <v>35</v>
      </c>
      <c r="F63" s="103">
        <v>31.86</v>
      </c>
      <c r="G63" s="14">
        <f t="shared" si="41"/>
        <v>31860</v>
      </c>
      <c r="H63" s="97">
        <v>15</v>
      </c>
      <c r="I63" s="83" t="s">
        <v>1470</v>
      </c>
      <c r="J63" s="85" t="s">
        <v>1471</v>
      </c>
      <c r="K63" s="135" t="s">
        <v>1546</v>
      </c>
      <c r="L63" s="4"/>
      <c r="M63" s="85" t="s">
        <v>1555</v>
      </c>
      <c r="N63" s="82" t="s">
        <v>1552</v>
      </c>
      <c r="O63" s="4"/>
      <c r="P63" s="4"/>
      <c r="Q63" s="5">
        <v>50480</v>
      </c>
      <c r="R63" s="36"/>
      <c r="S63" s="36"/>
      <c r="T63" s="37"/>
      <c r="U63" s="5">
        <f t="shared" si="42"/>
        <v>50480</v>
      </c>
      <c r="V63" s="5">
        <f t="shared" si="43"/>
        <v>1608292.8</v>
      </c>
      <c r="W63" s="5">
        <f t="shared" si="44"/>
        <v>289492.70399999997</v>
      </c>
      <c r="X63" s="5"/>
      <c r="Y63" s="5"/>
      <c r="Z63" s="98"/>
      <c r="AA63" s="23">
        <f t="shared" si="45"/>
        <v>0</v>
      </c>
      <c r="AB63" s="97">
        <f t="shared" si="46"/>
        <v>0</v>
      </c>
      <c r="AC63" s="43"/>
      <c r="AD63" s="49"/>
      <c r="AE63" s="5">
        <f t="shared" si="47"/>
        <v>1897785.504</v>
      </c>
      <c r="AF63" s="152">
        <v>215</v>
      </c>
      <c r="AG63" s="139" t="s">
        <v>1634</v>
      </c>
      <c r="AH63" s="103">
        <v>31.86</v>
      </c>
      <c r="AI63" s="12"/>
      <c r="AJ63" s="40"/>
      <c r="AK63" s="40"/>
    </row>
    <row r="64" spans="2:37" s="41" customFormat="1" ht="16.149999999999999" customHeight="1">
      <c r="B64" s="12"/>
      <c r="C64" s="4"/>
      <c r="D64" s="4"/>
      <c r="E64" s="82" t="s">
        <v>35</v>
      </c>
      <c r="F64" s="103">
        <v>31.72</v>
      </c>
      <c r="G64" s="14">
        <f t="shared" si="41"/>
        <v>31720</v>
      </c>
      <c r="H64" s="97">
        <v>15</v>
      </c>
      <c r="I64" s="83" t="s">
        <v>1470</v>
      </c>
      <c r="J64" s="85" t="s">
        <v>1471</v>
      </c>
      <c r="K64" s="135" t="s">
        <v>1547</v>
      </c>
      <c r="L64" s="4"/>
      <c r="M64" s="85" t="s">
        <v>1555</v>
      </c>
      <c r="N64" s="82" t="s">
        <v>1553</v>
      </c>
      <c r="O64" s="4"/>
      <c r="P64" s="4"/>
      <c r="Q64" s="5">
        <v>50480</v>
      </c>
      <c r="R64" s="36"/>
      <c r="S64" s="36"/>
      <c r="T64" s="37"/>
      <c r="U64" s="5">
        <f t="shared" si="42"/>
        <v>50480</v>
      </c>
      <c r="V64" s="5">
        <f t="shared" si="43"/>
        <v>1601225.5999999999</v>
      </c>
      <c r="W64" s="5">
        <f t="shared" si="44"/>
        <v>288220.60799999995</v>
      </c>
      <c r="X64" s="5"/>
      <c r="Y64" s="5"/>
      <c r="Z64" s="98"/>
      <c r="AA64" s="23">
        <f t="shared" si="45"/>
        <v>0</v>
      </c>
      <c r="AB64" s="97">
        <f t="shared" si="46"/>
        <v>0</v>
      </c>
      <c r="AC64" s="43"/>
      <c r="AD64" s="49"/>
      <c r="AE64" s="5">
        <f t="shared" si="47"/>
        <v>1889446.2079999999</v>
      </c>
      <c r="AF64" s="152">
        <v>216</v>
      </c>
      <c r="AG64" s="139" t="s">
        <v>1634</v>
      </c>
      <c r="AH64" s="103">
        <v>31.72</v>
      </c>
      <c r="AI64" s="12"/>
      <c r="AJ64" s="40"/>
      <c r="AK64" s="40"/>
    </row>
    <row r="65" spans="2:37" s="41" customFormat="1" ht="16.149999999999999" customHeight="1">
      <c r="B65" s="12"/>
      <c r="C65" s="4"/>
      <c r="D65" s="4"/>
      <c r="E65" s="82" t="s">
        <v>35</v>
      </c>
      <c r="F65" s="103">
        <v>31.69</v>
      </c>
      <c r="G65" s="14">
        <f t="shared" si="41"/>
        <v>31690</v>
      </c>
      <c r="H65" s="97">
        <v>15</v>
      </c>
      <c r="I65" s="83" t="s">
        <v>1470</v>
      </c>
      <c r="J65" s="85" t="s">
        <v>1471</v>
      </c>
      <c r="K65" s="135" t="s">
        <v>1548</v>
      </c>
      <c r="L65" s="4"/>
      <c r="M65" s="85" t="s">
        <v>1555</v>
      </c>
      <c r="N65" s="82" t="s">
        <v>1554</v>
      </c>
      <c r="O65" s="4"/>
      <c r="P65" s="4"/>
      <c r="Q65" s="5">
        <v>50480</v>
      </c>
      <c r="R65" s="36"/>
      <c r="S65" s="36"/>
      <c r="T65" s="37"/>
      <c r="U65" s="5">
        <f t="shared" si="42"/>
        <v>50480</v>
      </c>
      <c r="V65" s="5">
        <f t="shared" si="43"/>
        <v>1599711.2</v>
      </c>
      <c r="W65" s="5">
        <f t="shared" si="44"/>
        <v>287948.016</v>
      </c>
      <c r="X65" s="5"/>
      <c r="Y65" s="5"/>
      <c r="Z65" s="98"/>
      <c r="AA65" s="23">
        <f t="shared" si="45"/>
        <v>0</v>
      </c>
      <c r="AB65" s="97">
        <f t="shared" si="46"/>
        <v>0</v>
      </c>
      <c r="AC65" s="43"/>
      <c r="AD65" s="49"/>
      <c r="AE65" s="5">
        <f t="shared" si="47"/>
        <v>1887659.216</v>
      </c>
      <c r="AF65" s="152">
        <v>217</v>
      </c>
      <c r="AG65" s="139" t="s">
        <v>1634</v>
      </c>
      <c r="AH65" s="103">
        <v>31.69</v>
      </c>
      <c r="AI65" s="12"/>
      <c r="AJ65" s="40"/>
      <c r="AK65" s="40"/>
    </row>
    <row r="66" spans="2:37" s="41" customFormat="1" ht="16.149999999999999" customHeight="1">
      <c r="B66" s="12"/>
      <c r="C66" s="4"/>
      <c r="D66" s="4"/>
      <c r="E66" s="82" t="s">
        <v>35</v>
      </c>
      <c r="F66" s="103">
        <v>40.18</v>
      </c>
      <c r="G66" s="14">
        <f t="shared" si="41"/>
        <v>40180</v>
      </c>
      <c r="H66" s="97">
        <v>19</v>
      </c>
      <c r="I66" s="83" t="s">
        <v>1470</v>
      </c>
      <c r="J66" s="85" t="s">
        <v>1471</v>
      </c>
      <c r="K66" s="135" t="s">
        <v>1560</v>
      </c>
      <c r="L66" s="4"/>
      <c r="M66" s="85" t="s">
        <v>1555</v>
      </c>
      <c r="N66" s="82" t="s">
        <v>1559</v>
      </c>
      <c r="O66" s="4"/>
      <c r="P66" s="4"/>
      <c r="Q66" s="5">
        <v>50480</v>
      </c>
      <c r="R66" s="36"/>
      <c r="S66" s="36"/>
      <c r="T66" s="37"/>
      <c r="U66" s="5">
        <f t="shared" si="42"/>
        <v>50480</v>
      </c>
      <c r="V66" s="5">
        <f t="shared" si="43"/>
        <v>2028286.4</v>
      </c>
      <c r="W66" s="5">
        <f t="shared" si="44"/>
        <v>365091.55199999997</v>
      </c>
      <c r="X66" s="5"/>
      <c r="Y66" s="5"/>
      <c r="Z66" s="98"/>
      <c r="AA66" s="23">
        <f t="shared" si="45"/>
        <v>0</v>
      </c>
      <c r="AB66" s="97">
        <f t="shared" si="46"/>
        <v>0</v>
      </c>
      <c r="AC66" s="43"/>
      <c r="AD66" s="49"/>
      <c r="AE66" s="5">
        <f t="shared" si="47"/>
        <v>2393377.952</v>
      </c>
      <c r="AF66" s="152">
        <v>218</v>
      </c>
      <c r="AG66" s="139" t="s">
        <v>1634</v>
      </c>
      <c r="AH66" s="103">
        <v>40.18</v>
      </c>
      <c r="AI66" s="12"/>
      <c r="AJ66" s="40"/>
      <c r="AK66" s="40"/>
    </row>
    <row r="67" spans="2:37" s="41" customFormat="1" ht="16.149999999999999" customHeight="1">
      <c r="B67" s="12"/>
      <c r="C67" s="1"/>
      <c r="D67" s="4"/>
      <c r="E67" s="85" t="s">
        <v>35</v>
      </c>
      <c r="F67" s="103">
        <v>50.65</v>
      </c>
      <c r="G67" s="14">
        <f t="shared" si="41"/>
        <v>50650</v>
      </c>
      <c r="H67" s="97">
        <v>24</v>
      </c>
      <c r="I67" s="83" t="s">
        <v>1470</v>
      </c>
      <c r="J67" s="85" t="s">
        <v>1471</v>
      </c>
      <c r="K67" s="135" t="s">
        <v>1581</v>
      </c>
      <c r="L67" s="4"/>
      <c r="M67" s="85" t="s">
        <v>1576</v>
      </c>
      <c r="N67" s="82" t="s">
        <v>1578</v>
      </c>
      <c r="O67" s="4"/>
      <c r="P67" s="4"/>
      <c r="Q67" s="5">
        <v>50480</v>
      </c>
      <c r="R67" s="36"/>
      <c r="S67" s="36"/>
      <c r="T67" s="37"/>
      <c r="U67" s="5">
        <f t="shared" si="42"/>
        <v>50480</v>
      </c>
      <c r="V67" s="5">
        <f t="shared" si="43"/>
        <v>2556812</v>
      </c>
      <c r="W67" s="5">
        <f t="shared" si="44"/>
        <v>460226.16</v>
      </c>
      <c r="X67" s="5"/>
      <c r="Y67" s="5"/>
      <c r="Z67" s="98"/>
      <c r="AA67" s="23">
        <f t="shared" si="45"/>
        <v>0</v>
      </c>
      <c r="AB67" s="97">
        <f t="shared" si="46"/>
        <v>0</v>
      </c>
      <c r="AC67" s="43"/>
      <c r="AD67" s="46"/>
      <c r="AE67" s="5">
        <f t="shared" si="47"/>
        <v>3017038.16</v>
      </c>
      <c r="AF67" s="151">
        <v>253</v>
      </c>
      <c r="AG67" s="114" t="s">
        <v>1823</v>
      </c>
      <c r="AH67" s="103">
        <v>50.65</v>
      </c>
      <c r="AI67" s="12"/>
      <c r="AJ67" s="40"/>
      <c r="AK67" s="40"/>
    </row>
    <row r="68" spans="2:37" s="41" customFormat="1" ht="16.149999999999999" customHeight="1">
      <c r="B68" s="12"/>
      <c r="C68" s="1"/>
      <c r="D68" s="4"/>
      <c r="E68" s="85" t="s">
        <v>35</v>
      </c>
      <c r="F68" s="103">
        <v>54.65</v>
      </c>
      <c r="G68" s="14">
        <f t="shared" si="41"/>
        <v>54650</v>
      </c>
      <c r="H68" s="97">
        <v>26</v>
      </c>
      <c r="I68" s="83" t="s">
        <v>1470</v>
      </c>
      <c r="J68" s="85" t="s">
        <v>1471</v>
      </c>
      <c r="K68" s="135" t="s">
        <v>1582</v>
      </c>
      <c r="L68" s="4"/>
      <c r="M68" s="85" t="s">
        <v>1576</v>
      </c>
      <c r="N68" s="82" t="s">
        <v>1579</v>
      </c>
      <c r="O68" s="4"/>
      <c r="P68" s="4"/>
      <c r="Q68" s="5">
        <v>50480</v>
      </c>
      <c r="R68" s="36"/>
      <c r="S68" s="36"/>
      <c r="T68" s="37"/>
      <c r="U68" s="5">
        <f t="shared" si="42"/>
        <v>50480</v>
      </c>
      <c r="V68" s="5">
        <f t="shared" si="43"/>
        <v>2758732</v>
      </c>
      <c r="W68" s="5">
        <f t="shared" si="44"/>
        <v>496571.76</v>
      </c>
      <c r="X68" s="5"/>
      <c r="Y68" s="5"/>
      <c r="Z68" s="98"/>
      <c r="AA68" s="23">
        <f t="shared" si="45"/>
        <v>0</v>
      </c>
      <c r="AB68" s="97">
        <f t="shared" si="46"/>
        <v>0</v>
      </c>
      <c r="AC68" s="43"/>
      <c r="AD68" s="46"/>
      <c r="AE68" s="5">
        <f t="shared" si="47"/>
        <v>3255303.76</v>
      </c>
      <c r="AF68" s="151">
        <v>254</v>
      </c>
      <c r="AG68" s="114" t="s">
        <v>1823</v>
      </c>
      <c r="AH68" s="103">
        <v>54.65</v>
      </c>
      <c r="AI68" s="12"/>
      <c r="AJ68" s="40"/>
      <c r="AK68" s="40"/>
    </row>
    <row r="69" spans="2:37" s="41" customFormat="1" ht="16.149999999999999" customHeight="1">
      <c r="B69" s="12"/>
      <c r="C69" s="1"/>
      <c r="D69" s="4"/>
      <c r="E69" s="85" t="s">
        <v>35</v>
      </c>
      <c r="F69" s="103">
        <v>40.26</v>
      </c>
      <c r="G69" s="14">
        <f t="shared" si="41"/>
        <v>40260</v>
      </c>
      <c r="H69" s="97">
        <v>19</v>
      </c>
      <c r="I69" s="83" t="s">
        <v>1470</v>
      </c>
      <c r="J69" s="85" t="s">
        <v>1471</v>
      </c>
      <c r="K69" s="135" t="s">
        <v>1583</v>
      </c>
      <c r="L69" s="4"/>
      <c r="M69" s="85" t="s">
        <v>1576</v>
      </c>
      <c r="N69" s="82" t="s">
        <v>1580</v>
      </c>
      <c r="O69" s="4"/>
      <c r="P69" s="4"/>
      <c r="Q69" s="5">
        <v>50480</v>
      </c>
      <c r="R69" s="36"/>
      <c r="S69" s="36"/>
      <c r="T69" s="37"/>
      <c r="U69" s="5">
        <f t="shared" si="42"/>
        <v>50480</v>
      </c>
      <c r="V69" s="5">
        <f t="shared" si="43"/>
        <v>2032324.7999999998</v>
      </c>
      <c r="W69" s="5">
        <f t="shared" si="44"/>
        <v>365818.46399999998</v>
      </c>
      <c r="X69" s="5"/>
      <c r="Y69" s="5"/>
      <c r="Z69" s="98"/>
      <c r="AA69" s="23">
        <f t="shared" si="45"/>
        <v>0</v>
      </c>
      <c r="AB69" s="97">
        <f t="shared" si="46"/>
        <v>0</v>
      </c>
      <c r="AC69" s="43"/>
      <c r="AD69" s="46"/>
      <c r="AE69" s="5">
        <f t="shared" si="47"/>
        <v>2398143.264</v>
      </c>
      <c r="AF69" s="151">
        <v>255</v>
      </c>
      <c r="AG69" s="114" t="s">
        <v>1823</v>
      </c>
      <c r="AH69" s="103">
        <v>40.26</v>
      </c>
      <c r="AI69" s="12"/>
      <c r="AJ69" s="40"/>
      <c r="AK69" s="40"/>
    </row>
    <row r="70" spans="2:37" s="41" customFormat="1" ht="16.149999999999999" customHeight="1">
      <c r="B70" s="12"/>
      <c r="C70" s="1"/>
      <c r="D70" s="4"/>
      <c r="E70" s="85" t="s">
        <v>35</v>
      </c>
      <c r="F70" s="103">
        <v>31.75</v>
      </c>
      <c r="G70" s="14">
        <f t="shared" si="41"/>
        <v>31750</v>
      </c>
      <c r="H70" s="97">
        <v>15</v>
      </c>
      <c r="I70" s="83" t="s">
        <v>1470</v>
      </c>
      <c r="J70" s="85" t="s">
        <v>1471</v>
      </c>
      <c r="K70" s="135" t="s">
        <v>1584</v>
      </c>
      <c r="L70" s="4"/>
      <c r="M70" s="85" t="s">
        <v>1576</v>
      </c>
      <c r="N70" s="82" t="s">
        <v>58</v>
      </c>
      <c r="O70" s="4"/>
      <c r="P70" s="4"/>
      <c r="Q70" s="5">
        <v>50480</v>
      </c>
      <c r="R70" s="36"/>
      <c r="S70" s="36"/>
      <c r="T70" s="37"/>
      <c r="U70" s="5">
        <f t="shared" si="42"/>
        <v>50480</v>
      </c>
      <c r="V70" s="5">
        <f t="shared" si="43"/>
        <v>1602740</v>
      </c>
      <c r="W70" s="5">
        <f t="shared" si="44"/>
        <v>288493.2</v>
      </c>
      <c r="X70" s="5"/>
      <c r="Y70" s="5"/>
      <c r="Z70" s="98"/>
      <c r="AA70" s="23">
        <f t="shared" si="45"/>
        <v>0</v>
      </c>
      <c r="AB70" s="97">
        <f t="shared" si="46"/>
        <v>0</v>
      </c>
      <c r="AC70" s="43"/>
      <c r="AD70" s="46"/>
      <c r="AE70" s="5">
        <f t="shared" si="47"/>
        <v>1891233.2</v>
      </c>
      <c r="AF70" s="151">
        <v>256</v>
      </c>
      <c r="AG70" s="114" t="s">
        <v>1823</v>
      </c>
      <c r="AH70" s="103">
        <v>31.75</v>
      </c>
      <c r="AI70" s="12"/>
      <c r="AJ70" s="40"/>
      <c r="AK70" s="40"/>
    </row>
    <row r="71" spans="2:37" s="41" customFormat="1" ht="16.149999999999999" customHeight="1">
      <c r="B71" s="138" t="s">
        <v>2167</v>
      </c>
      <c r="C71" s="1"/>
      <c r="D71" s="4"/>
      <c r="E71" s="85" t="s">
        <v>35</v>
      </c>
      <c r="F71" s="103">
        <f>31.419+2.03</f>
        <v>33.448999999999998</v>
      </c>
      <c r="G71" s="14">
        <f t="shared" si="41"/>
        <v>33449</v>
      </c>
      <c r="H71" s="141">
        <v>16</v>
      </c>
      <c r="I71" s="83" t="s">
        <v>1470</v>
      </c>
      <c r="J71" s="85" t="s">
        <v>1471</v>
      </c>
      <c r="K71" s="135" t="s">
        <v>1585</v>
      </c>
      <c r="L71" s="4"/>
      <c r="M71" s="85" t="s">
        <v>1577</v>
      </c>
      <c r="N71" s="82" t="s">
        <v>1245</v>
      </c>
      <c r="O71" s="4"/>
      <c r="P71" s="4"/>
      <c r="Q71" s="5">
        <v>50480</v>
      </c>
      <c r="R71" s="36"/>
      <c r="S71" s="36"/>
      <c r="T71" s="37"/>
      <c r="U71" s="5">
        <f t="shared" si="42"/>
        <v>50480</v>
      </c>
      <c r="V71" s="5">
        <f t="shared" si="43"/>
        <v>1688505.52</v>
      </c>
      <c r="W71" s="5">
        <f t="shared" si="44"/>
        <v>303930.99359999999</v>
      </c>
      <c r="X71" s="5"/>
      <c r="Y71" s="5"/>
      <c r="Z71" s="98"/>
      <c r="AA71" s="23">
        <f t="shared" si="45"/>
        <v>0</v>
      </c>
      <c r="AB71" s="97">
        <f t="shared" si="46"/>
        <v>0</v>
      </c>
      <c r="AC71" s="43"/>
      <c r="AD71" s="46"/>
      <c r="AE71" s="5">
        <f t="shared" si="47"/>
        <v>1992436.5135999999</v>
      </c>
      <c r="AF71" s="151">
        <v>257</v>
      </c>
      <c r="AG71" s="114" t="s">
        <v>1823</v>
      </c>
      <c r="AH71" s="103">
        <f>33.8-0.351</f>
        <v>33.448999999999998</v>
      </c>
      <c r="AI71" s="12"/>
      <c r="AJ71" s="40"/>
      <c r="AK71" s="40"/>
    </row>
    <row r="72" spans="2:37" s="41" customFormat="1">
      <c r="B72" s="13">
        <v>1262.9490000000001</v>
      </c>
      <c r="C72" s="48">
        <f>B72-F72</f>
        <v>0</v>
      </c>
      <c r="D72" s="6"/>
      <c r="E72" s="6"/>
      <c r="F72" s="81">
        <f>SUM(F39:F71)</f>
        <v>1262.9490000000003</v>
      </c>
      <c r="G72" s="20">
        <f>SUM(G39:G71)</f>
        <v>1262949</v>
      </c>
      <c r="H72" s="21">
        <f>SUM(H39:H71)</f>
        <v>597</v>
      </c>
      <c r="I72" s="2"/>
      <c r="J72" s="7"/>
      <c r="K72" s="7"/>
      <c r="L72" s="7"/>
      <c r="M72" s="2"/>
      <c r="N72" s="6"/>
      <c r="O72" s="6"/>
      <c r="P72" s="6"/>
      <c r="Q72" s="19"/>
      <c r="R72" s="9"/>
      <c r="S72" s="9"/>
      <c r="T72" s="10"/>
      <c r="U72" s="8"/>
      <c r="V72" s="21">
        <f>SUM(V39:V71)</f>
        <v>63753665.520000011</v>
      </c>
      <c r="W72" s="21">
        <f>SUM(W39:W71)</f>
        <v>11475659.793599997</v>
      </c>
      <c r="X72" s="21">
        <f>SUM(X39:X71)</f>
        <v>0</v>
      </c>
      <c r="Y72" s="21">
        <f>SUM(Y39:Y71)</f>
        <v>0</v>
      </c>
      <c r="Z72" s="99"/>
      <c r="AA72" s="21">
        <f>SUM(AA39:AA71)</f>
        <v>0</v>
      </c>
      <c r="AB72" s="21">
        <f>SUM(AB39:AB71)</f>
        <v>0</v>
      </c>
      <c r="AC72" s="21"/>
      <c r="AD72" s="21">
        <f>SUM(AD39:AD71)</f>
        <v>0</v>
      </c>
      <c r="AE72" s="21">
        <f>SUM(AE39:AE71)</f>
        <v>75229325.313600004</v>
      </c>
      <c r="AF72" s="21"/>
      <c r="AG72" s="42"/>
      <c r="AH72" s="81">
        <f>SUM(AH39:AH71)</f>
        <v>1262.9490000000003</v>
      </c>
      <c r="AI72" s="26">
        <f>AH72-F72</f>
        <v>0</v>
      </c>
      <c r="AJ72" s="41">
        <f>AA72/F72</f>
        <v>0</v>
      </c>
      <c r="AK72" s="40"/>
    </row>
    <row r="73" spans="2:37" s="41" customFormat="1" ht="16.149999999999999" customHeight="1">
      <c r="B73" s="138" t="s">
        <v>764</v>
      </c>
      <c r="C73" s="82" t="s">
        <v>1566</v>
      </c>
      <c r="D73" s="4"/>
      <c r="E73" s="82" t="s">
        <v>392</v>
      </c>
      <c r="F73" s="103">
        <v>6.37</v>
      </c>
      <c r="G73" s="14">
        <f t="shared" ref="G73:G82" si="48">+F73*1000</f>
        <v>6370</v>
      </c>
      <c r="H73" s="141">
        <v>3</v>
      </c>
      <c r="I73" s="83" t="s">
        <v>1570</v>
      </c>
      <c r="J73" s="85" t="s">
        <v>1434</v>
      </c>
      <c r="K73" s="135" t="s">
        <v>1589</v>
      </c>
      <c r="L73" s="4"/>
      <c r="M73" s="85" t="s">
        <v>1577</v>
      </c>
      <c r="N73" s="82" t="s">
        <v>1245</v>
      </c>
      <c r="O73" s="4"/>
      <c r="P73" s="4"/>
      <c r="Q73" s="5">
        <v>50480</v>
      </c>
      <c r="R73" s="36"/>
      <c r="S73" s="36"/>
      <c r="T73" s="37"/>
      <c r="U73" s="5">
        <f t="shared" ref="U73:U82" si="49">S73+R73+Q73-T73</f>
        <v>50480</v>
      </c>
      <c r="V73" s="5">
        <f t="shared" ref="V73:V82" si="50">F73*U73</f>
        <v>321557.59999999998</v>
      </c>
      <c r="W73" s="5">
        <f t="shared" ref="W73:W82" si="51">V73*18%</f>
        <v>57880.367999999995</v>
      </c>
      <c r="X73" s="5"/>
      <c r="Y73" s="5"/>
      <c r="Z73" s="98"/>
      <c r="AA73" s="23">
        <f t="shared" ref="AA73:AA82" si="52">F73*Z73</f>
        <v>0</v>
      </c>
      <c r="AB73" s="97">
        <f t="shared" ref="AB73:AB82" si="53">AA73*18%</f>
        <v>0</v>
      </c>
      <c r="AC73" s="43"/>
      <c r="AD73" s="49"/>
      <c r="AE73" s="5">
        <f t="shared" ref="AE73:AE82" si="54">+AB73+AA73+Y73+X73+W73+V73-AC73+AD73</f>
        <v>379437.96799999999</v>
      </c>
      <c r="AF73" s="152">
        <v>258</v>
      </c>
      <c r="AG73" s="114" t="s">
        <v>1823</v>
      </c>
      <c r="AH73" s="13">
        <v>6.37</v>
      </c>
      <c r="AI73" s="12"/>
      <c r="AJ73" s="40"/>
      <c r="AK73" s="40"/>
    </row>
    <row r="74" spans="2:37" s="41" customFormat="1" ht="16.149999999999999" customHeight="1">
      <c r="B74" s="140" t="s">
        <v>767</v>
      </c>
      <c r="C74" s="82" t="s">
        <v>1567</v>
      </c>
      <c r="D74" s="4"/>
      <c r="E74" s="82" t="s">
        <v>392</v>
      </c>
      <c r="F74" s="103">
        <v>51.14</v>
      </c>
      <c r="G74" s="14">
        <f t="shared" si="48"/>
        <v>51140</v>
      </c>
      <c r="H74" s="97">
        <v>24</v>
      </c>
      <c r="I74" s="83" t="s">
        <v>1570</v>
      </c>
      <c r="J74" s="85" t="s">
        <v>1434</v>
      </c>
      <c r="K74" s="135" t="s">
        <v>1590</v>
      </c>
      <c r="L74" s="4"/>
      <c r="M74" s="85" t="s">
        <v>1577</v>
      </c>
      <c r="N74" s="82" t="s">
        <v>1635</v>
      </c>
      <c r="O74" s="4"/>
      <c r="P74" s="4"/>
      <c r="Q74" s="5">
        <v>50480</v>
      </c>
      <c r="R74" s="36"/>
      <c r="S74" s="36"/>
      <c r="T74" s="37"/>
      <c r="U74" s="5">
        <f t="shared" si="49"/>
        <v>50480</v>
      </c>
      <c r="V74" s="5">
        <f t="shared" si="50"/>
        <v>2581547.2000000002</v>
      </c>
      <c r="W74" s="5">
        <f t="shared" si="51"/>
        <v>464678.49600000004</v>
      </c>
      <c r="X74" s="5"/>
      <c r="Y74" s="5"/>
      <c r="Z74" s="98"/>
      <c r="AA74" s="23">
        <f t="shared" si="52"/>
        <v>0</v>
      </c>
      <c r="AB74" s="97">
        <f t="shared" si="53"/>
        <v>0</v>
      </c>
      <c r="AC74" s="43"/>
      <c r="AD74" s="49"/>
      <c r="AE74" s="5">
        <f t="shared" si="54"/>
        <v>3046225.6960000005</v>
      </c>
      <c r="AF74" s="152">
        <v>259</v>
      </c>
      <c r="AG74" s="114" t="s">
        <v>1823</v>
      </c>
      <c r="AH74" s="13">
        <v>51.14</v>
      </c>
      <c r="AI74" s="12"/>
      <c r="AJ74" s="40"/>
      <c r="AK74" s="40"/>
    </row>
    <row r="75" spans="2:37" s="41" customFormat="1" ht="16.149999999999999" customHeight="1">
      <c r="B75" s="89" t="s">
        <v>1568</v>
      </c>
      <c r="C75" s="140"/>
      <c r="D75" s="4"/>
      <c r="E75" s="82" t="s">
        <v>392</v>
      </c>
      <c r="F75" s="137">
        <v>31.97</v>
      </c>
      <c r="G75" s="14">
        <f t="shared" si="48"/>
        <v>31970</v>
      </c>
      <c r="H75" s="97">
        <v>15</v>
      </c>
      <c r="I75" s="83" t="s">
        <v>1570</v>
      </c>
      <c r="J75" s="85" t="s">
        <v>1434</v>
      </c>
      <c r="K75" s="135" t="s">
        <v>1591</v>
      </c>
      <c r="L75" s="4"/>
      <c r="M75" s="85" t="s">
        <v>1577</v>
      </c>
      <c r="N75" s="86" t="s">
        <v>1636</v>
      </c>
      <c r="O75" s="4"/>
      <c r="P75" s="4"/>
      <c r="Q75" s="5">
        <v>50480</v>
      </c>
      <c r="R75" s="36"/>
      <c r="S75" s="36"/>
      <c r="T75" s="37"/>
      <c r="U75" s="5">
        <f t="shared" si="49"/>
        <v>50480</v>
      </c>
      <c r="V75" s="5">
        <f t="shared" si="50"/>
        <v>1613845.5999999999</v>
      </c>
      <c r="W75" s="5">
        <f t="shared" si="51"/>
        <v>290492.20799999998</v>
      </c>
      <c r="X75" s="5"/>
      <c r="Y75" s="5"/>
      <c r="Z75" s="98"/>
      <c r="AA75" s="23">
        <f t="shared" si="52"/>
        <v>0</v>
      </c>
      <c r="AB75" s="97">
        <f t="shared" si="53"/>
        <v>0</v>
      </c>
      <c r="AC75" s="43"/>
      <c r="AD75" s="49"/>
      <c r="AE75" s="5">
        <f t="shared" si="54"/>
        <v>1904337.8079999997</v>
      </c>
      <c r="AF75" s="152">
        <v>260</v>
      </c>
      <c r="AG75" s="114" t="s">
        <v>1823</v>
      </c>
      <c r="AH75" s="13">
        <v>31.97</v>
      </c>
      <c r="AI75" s="12"/>
      <c r="AJ75" s="40"/>
      <c r="AK75" s="40"/>
    </row>
    <row r="76" spans="2:37" s="41" customFormat="1" ht="16.149999999999999" customHeight="1">
      <c r="B76" s="89" t="s">
        <v>1569</v>
      </c>
      <c r="C76" s="4"/>
      <c r="D76" s="4"/>
      <c r="E76" s="82" t="s">
        <v>392</v>
      </c>
      <c r="F76" s="103">
        <v>18.541</v>
      </c>
      <c r="G76" s="14">
        <f t="shared" si="48"/>
        <v>18541</v>
      </c>
      <c r="H76" s="141">
        <v>9</v>
      </c>
      <c r="I76" s="83" t="s">
        <v>1570</v>
      </c>
      <c r="J76" s="85" t="s">
        <v>1434</v>
      </c>
      <c r="K76" s="135" t="s">
        <v>1587</v>
      </c>
      <c r="L76" s="4"/>
      <c r="M76" s="85" t="s">
        <v>1586</v>
      </c>
      <c r="N76" s="82" t="s">
        <v>87</v>
      </c>
      <c r="O76" s="4"/>
      <c r="P76" s="4"/>
      <c r="Q76" s="5">
        <v>50480</v>
      </c>
      <c r="R76" s="36"/>
      <c r="S76" s="36"/>
      <c r="T76" s="37"/>
      <c r="U76" s="5">
        <f t="shared" si="49"/>
        <v>50480</v>
      </c>
      <c r="V76" s="5">
        <f t="shared" si="50"/>
        <v>935949.68</v>
      </c>
      <c r="W76" s="5">
        <f t="shared" si="51"/>
        <v>168470.9424</v>
      </c>
      <c r="X76" s="5"/>
      <c r="Y76" s="5"/>
      <c r="Z76" s="98"/>
      <c r="AA76" s="23">
        <f t="shared" si="52"/>
        <v>0</v>
      </c>
      <c r="AB76" s="97">
        <f t="shared" si="53"/>
        <v>0</v>
      </c>
      <c r="AC76" s="43"/>
      <c r="AD76" s="49"/>
      <c r="AE76" s="5">
        <f t="shared" si="54"/>
        <v>1104420.6224</v>
      </c>
      <c r="AF76" s="152">
        <v>261</v>
      </c>
      <c r="AG76" s="114" t="s">
        <v>1823</v>
      </c>
      <c r="AH76" s="13">
        <v>18.541</v>
      </c>
      <c r="AI76" s="12"/>
      <c r="AJ76" s="40"/>
      <c r="AK76" s="40"/>
    </row>
    <row r="77" spans="2:37" s="41" customFormat="1" ht="16.149999999999999" customHeight="1">
      <c r="B77" s="142"/>
      <c r="C77" s="4"/>
      <c r="D77" s="4"/>
      <c r="E77" s="82" t="s">
        <v>392</v>
      </c>
      <c r="F77" s="137">
        <v>31.95</v>
      </c>
      <c r="G77" s="14">
        <f t="shared" si="48"/>
        <v>31950</v>
      </c>
      <c r="H77" s="97">
        <v>15</v>
      </c>
      <c r="I77" s="83" t="s">
        <v>1570</v>
      </c>
      <c r="J77" s="85" t="s">
        <v>1434</v>
      </c>
      <c r="K77" s="135" t="s">
        <v>1592</v>
      </c>
      <c r="L77" s="4"/>
      <c r="M77" s="85" t="s">
        <v>1586</v>
      </c>
      <c r="N77" s="82" t="s">
        <v>57</v>
      </c>
      <c r="O77" s="4"/>
      <c r="P77" s="4"/>
      <c r="Q77" s="5">
        <v>50480</v>
      </c>
      <c r="R77" s="36"/>
      <c r="S77" s="36"/>
      <c r="T77" s="37"/>
      <c r="U77" s="5">
        <f t="shared" si="49"/>
        <v>50480</v>
      </c>
      <c r="V77" s="5">
        <f t="shared" si="50"/>
        <v>1612836</v>
      </c>
      <c r="W77" s="5">
        <f t="shared" si="51"/>
        <v>290310.48</v>
      </c>
      <c r="X77" s="5"/>
      <c r="Y77" s="5"/>
      <c r="Z77" s="98"/>
      <c r="AA77" s="23">
        <f t="shared" si="52"/>
        <v>0</v>
      </c>
      <c r="AB77" s="97">
        <f t="shared" si="53"/>
        <v>0</v>
      </c>
      <c r="AC77" s="43"/>
      <c r="AD77" s="49"/>
      <c r="AE77" s="5">
        <f t="shared" si="54"/>
        <v>1903146.48</v>
      </c>
      <c r="AF77" s="152">
        <v>262</v>
      </c>
      <c r="AG77" s="114" t="s">
        <v>1823</v>
      </c>
      <c r="AH77" s="13">
        <v>31.95</v>
      </c>
      <c r="AI77" s="12"/>
      <c r="AJ77" s="40"/>
      <c r="AK77" s="40"/>
    </row>
    <row r="78" spans="2:37" s="41" customFormat="1" ht="16.149999999999999" customHeight="1">
      <c r="B78" s="83"/>
      <c r="C78" s="4"/>
      <c r="D78" s="4"/>
      <c r="E78" s="82" t="s">
        <v>392</v>
      </c>
      <c r="F78" s="137">
        <v>31.92</v>
      </c>
      <c r="G78" s="14">
        <f t="shared" si="48"/>
        <v>31920</v>
      </c>
      <c r="H78" s="97">
        <v>15</v>
      </c>
      <c r="I78" s="83" t="s">
        <v>1570</v>
      </c>
      <c r="J78" s="85" t="s">
        <v>1434</v>
      </c>
      <c r="K78" s="135" t="s">
        <v>1593</v>
      </c>
      <c r="L78" s="4"/>
      <c r="M78" s="85" t="s">
        <v>1586</v>
      </c>
      <c r="N78" s="82" t="s">
        <v>40</v>
      </c>
      <c r="O78" s="4"/>
      <c r="P78" s="4"/>
      <c r="Q78" s="5">
        <v>50480</v>
      </c>
      <c r="R78" s="36"/>
      <c r="S78" s="36"/>
      <c r="T78" s="37"/>
      <c r="U78" s="5">
        <f t="shared" si="49"/>
        <v>50480</v>
      </c>
      <c r="V78" s="5">
        <f t="shared" si="50"/>
        <v>1611321.6</v>
      </c>
      <c r="W78" s="5">
        <f t="shared" si="51"/>
        <v>290037.88799999998</v>
      </c>
      <c r="X78" s="5"/>
      <c r="Y78" s="5"/>
      <c r="Z78" s="98"/>
      <c r="AA78" s="23">
        <f t="shared" si="52"/>
        <v>0</v>
      </c>
      <c r="AB78" s="97">
        <f t="shared" si="53"/>
        <v>0</v>
      </c>
      <c r="AC78" s="43"/>
      <c r="AD78" s="49"/>
      <c r="AE78" s="5">
        <f t="shared" si="54"/>
        <v>1901359.4880000001</v>
      </c>
      <c r="AF78" s="152">
        <v>263</v>
      </c>
      <c r="AG78" s="114" t="s">
        <v>1823</v>
      </c>
      <c r="AH78" s="13">
        <v>31.92</v>
      </c>
      <c r="AI78" s="12"/>
      <c r="AJ78" s="40"/>
      <c r="AK78" s="40"/>
    </row>
    <row r="79" spans="2:37" s="41" customFormat="1" ht="16.149999999999999" customHeight="1">
      <c r="B79" s="83"/>
      <c r="C79" s="4"/>
      <c r="D79" s="4"/>
      <c r="E79" s="82" t="s">
        <v>392</v>
      </c>
      <c r="F79" s="137">
        <v>31.99</v>
      </c>
      <c r="G79" s="14">
        <f t="shared" si="48"/>
        <v>31990</v>
      </c>
      <c r="H79" s="97">
        <v>15</v>
      </c>
      <c r="I79" s="83" t="s">
        <v>1570</v>
      </c>
      <c r="J79" s="85" t="s">
        <v>1434</v>
      </c>
      <c r="K79" s="135" t="s">
        <v>1594</v>
      </c>
      <c r="L79" s="4"/>
      <c r="M79" s="85" t="s">
        <v>1586</v>
      </c>
      <c r="N79" s="82" t="s">
        <v>1240</v>
      </c>
      <c r="O79" s="4"/>
      <c r="P79" s="4"/>
      <c r="Q79" s="5">
        <v>50480</v>
      </c>
      <c r="R79" s="36"/>
      <c r="S79" s="36"/>
      <c r="T79" s="37"/>
      <c r="U79" s="5">
        <f t="shared" si="49"/>
        <v>50480</v>
      </c>
      <c r="V79" s="5">
        <f t="shared" si="50"/>
        <v>1614855.2</v>
      </c>
      <c r="W79" s="5">
        <f t="shared" si="51"/>
        <v>290673.93599999999</v>
      </c>
      <c r="X79" s="5"/>
      <c r="Y79" s="5"/>
      <c r="Z79" s="98"/>
      <c r="AA79" s="23">
        <f t="shared" si="52"/>
        <v>0</v>
      </c>
      <c r="AB79" s="97">
        <f t="shared" si="53"/>
        <v>0</v>
      </c>
      <c r="AC79" s="43"/>
      <c r="AD79" s="49"/>
      <c r="AE79" s="5">
        <f t="shared" si="54"/>
        <v>1905529.1359999999</v>
      </c>
      <c r="AF79" s="152">
        <v>264</v>
      </c>
      <c r="AG79" s="114" t="s">
        <v>1823</v>
      </c>
      <c r="AH79" s="13">
        <v>31.99</v>
      </c>
      <c r="AI79" s="12"/>
      <c r="AJ79" s="40"/>
      <c r="AK79" s="40"/>
    </row>
    <row r="80" spans="2:37" s="41" customFormat="1" ht="16.149999999999999" customHeight="1">
      <c r="B80" s="83"/>
      <c r="C80" s="4"/>
      <c r="D80" s="4"/>
      <c r="E80" s="82" t="s">
        <v>392</v>
      </c>
      <c r="F80" s="137">
        <v>31.96</v>
      </c>
      <c r="G80" s="14">
        <f t="shared" si="48"/>
        <v>31960</v>
      </c>
      <c r="H80" s="97">
        <v>15</v>
      </c>
      <c r="I80" s="83" t="s">
        <v>1570</v>
      </c>
      <c r="J80" s="85" t="s">
        <v>1434</v>
      </c>
      <c r="K80" s="135" t="s">
        <v>1595</v>
      </c>
      <c r="L80" s="4"/>
      <c r="M80" s="85" t="s">
        <v>1586</v>
      </c>
      <c r="N80" s="82" t="s">
        <v>881</v>
      </c>
      <c r="O80" s="4"/>
      <c r="P80" s="4"/>
      <c r="Q80" s="5">
        <v>50480</v>
      </c>
      <c r="R80" s="36"/>
      <c r="S80" s="36"/>
      <c r="T80" s="37"/>
      <c r="U80" s="5">
        <f t="shared" si="49"/>
        <v>50480</v>
      </c>
      <c r="V80" s="5">
        <f t="shared" si="50"/>
        <v>1613340.8</v>
      </c>
      <c r="W80" s="5">
        <f t="shared" si="51"/>
        <v>290401.34399999998</v>
      </c>
      <c r="X80" s="5"/>
      <c r="Y80" s="5"/>
      <c r="Z80" s="98"/>
      <c r="AA80" s="23">
        <f t="shared" si="52"/>
        <v>0</v>
      </c>
      <c r="AB80" s="97">
        <f t="shared" si="53"/>
        <v>0</v>
      </c>
      <c r="AC80" s="43"/>
      <c r="AD80" s="49"/>
      <c r="AE80" s="5">
        <f t="shared" si="54"/>
        <v>1903742.1440000001</v>
      </c>
      <c r="AF80" s="152">
        <v>265</v>
      </c>
      <c r="AG80" s="114" t="s">
        <v>1823</v>
      </c>
      <c r="AH80" s="13">
        <v>31.96</v>
      </c>
      <c r="AI80" s="12"/>
      <c r="AJ80" s="40"/>
      <c r="AK80" s="40"/>
    </row>
    <row r="81" spans="2:37" s="41" customFormat="1" ht="16.149999999999999" customHeight="1">
      <c r="B81" s="12"/>
      <c r="C81" s="4"/>
      <c r="D81" s="4"/>
      <c r="E81" s="82" t="s">
        <v>392</v>
      </c>
      <c r="F81" s="103">
        <v>2.13</v>
      </c>
      <c r="G81" s="14">
        <f t="shared" si="48"/>
        <v>2130</v>
      </c>
      <c r="H81" s="97">
        <v>1</v>
      </c>
      <c r="I81" s="83" t="s">
        <v>1570</v>
      </c>
      <c r="J81" s="85" t="s">
        <v>1434</v>
      </c>
      <c r="K81" s="82" t="s">
        <v>1673</v>
      </c>
      <c r="L81" s="4"/>
      <c r="M81" s="85" t="s">
        <v>1668</v>
      </c>
      <c r="N81" s="82" t="s">
        <v>1669</v>
      </c>
      <c r="O81" s="4"/>
      <c r="P81" s="4"/>
      <c r="Q81" s="5">
        <v>50480</v>
      </c>
      <c r="R81" s="36"/>
      <c r="S81" s="36"/>
      <c r="T81" s="37"/>
      <c r="U81" s="5">
        <f t="shared" si="49"/>
        <v>50480</v>
      </c>
      <c r="V81" s="5">
        <f t="shared" si="50"/>
        <v>107522.4</v>
      </c>
      <c r="W81" s="5">
        <f t="shared" si="51"/>
        <v>19354.031999999999</v>
      </c>
      <c r="X81" s="5"/>
      <c r="Y81" s="5"/>
      <c r="Z81" s="98"/>
      <c r="AA81" s="23">
        <f t="shared" si="52"/>
        <v>0</v>
      </c>
      <c r="AB81" s="97">
        <f t="shared" si="53"/>
        <v>0</v>
      </c>
      <c r="AC81" s="43"/>
      <c r="AD81" s="49"/>
      <c r="AE81" s="5">
        <f t="shared" si="54"/>
        <v>126876.432</v>
      </c>
      <c r="AF81" s="152">
        <v>266</v>
      </c>
      <c r="AG81" s="114" t="s">
        <v>1823</v>
      </c>
      <c r="AH81" s="13">
        <v>2.13</v>
      </c>
      <c r="AI81" s="12"/>
      <c r="AJ81" s="40"/>
      <c r="AK81" s="40"/>
    </row>
    <row r="82" spans="2:37" s="41" customFormat="1" ht="19.5" customHeight="1">
      <c r="B82" s="138" t="s">
        <v>2115</v>
      </c>
      <c r="C82" s="82"/>
      <c r="D82" s="4"/>
      <c r="E82" s="82" t="s">
        <v>392</v>
      </c>
      <c r="F82" s="103">
        <v>12.5</v>
      </c>
      <c r="G82" s="14">
        <f t="shared" si="48"/>
        <v>12500</v>
      </c>
      <c r="H82" s="97">
        <v>6</v>
      </c>
      <c r="I82" s="83" t="s">
        <v>1570</v>
      </c>
      <c r="J82" s="85" t="s">
        <v>1434</v>
      </c>
      <c r="K82" s="82" t="s">
        <v>2074</v>
      </c>
      <c r="L82" s="4"/>
      <c r="M82" s="85" t="s">
        <v>2075</v>
      </c>
      <c r="N82" s="82" t="s">
        <v>47</v>
      </c>
      <c r="O82" s="4"/>
      <c r="P82" s="4"/>
      <c r="Q82" s="5">
        <v>50480</v>
      </c>
      <c r="R82" s="36"/>
      <c r="S82" s="36"/>
      <c r="T82" s="37"/>
      <c r="U82" s="5">
        <f t="shared" si="49"/>
        <v>50480</v>
      </c>
      <c r="V82" s="5">
        <f t="shared" si="50"/>
        <v>631000</v>
      </c>
      <c r="W82" s="5">
        <f t="shared" si="51"/>
        <v>113580</v>
      </c>
      <c r="X82" s="5"/>
      <c r="Y82" s="5"/>
      <c r="Z82" s="98"/>
      <c r="AA82" s="23">
        <f t="shared" si="52"/>
        <v>0</v>
      </c>
      <c r="AB82" s="97">
        <f t="shared" si="53"/>
        <v>0</v>
      </c>
      <c r="AC82" s="43"/>
      <c r="AD82" s="49"/>
      <c r="AE82" s="5">
        <f t="shared" si="54"/>
        <v>744580</v>
      </c>
      <c r="AF82" s="139">
        <v>388</v>
      </c>
      <c r="AG82" s="114" t="s">
        <v>2264</v>
      </c>
      <c r="AH82" s="13">
        <v>12.5</v>
      </c>
      <c r="AI82" s="12"/>
      <c r="AJ82" s="40"/>
      <c r="AK82" s="40"/>
    </row>
    <row r="83" spans="2:37" s="41" customFormat="1">
      <c r="B83" s="13">
        <v>250.471</v>
      </c>
      <c r="C83" s="48">
        <f>B83-F83</f>
        <v>0</v>
      </c>
      <c r="D83" s="6"/>
      <c r="E83" s="6"/>
      <c r="F83" s="81">
        <f>SUM(F73:F82)</f>
        <v>250.47099999999998</v>
      </c>
      <c r="G83" s="20">
        <f>SUM(G73:G82)</f>
        <v>250471</v>
      </c>
      <c r="H83" s="21">
        <f>SUM(H73:H82)</f>
        <v>118</v>
      </c>
      <c r="I83" s="2"/>
      <c r="J83" s="7"/>
      <c r="K83" s="7"/>
      <c r="L83" s="7"/>
      <c r="M83" s="2"/>
      <c r="N83" s="6"/>
      <c r="O83" s="6"/>
      <c r="P83" s="6"/>
      <c r="Q83" s="19"/>
      <c r="R83" s="9"/>
      <c r="S83" s="9"/>
      <c r="T83" s="10"/>
      <c r="U83" s="8"/>
      <c r="V83" s="21">
        <f>SUM(V73:V82)</f>
        <v>12643776.08</v>
      </c>
      <c r="W83" s="21">
        <f>SUM(W73:W82)</f>
        <v>2275879.6943999999</v>
      </c>
      <c r="X83" s="21">
        <f>SUM(X73:X82)</f>
        <v>0</v>
      </c>
      <c r="Y83" s="21">
        <f>SUM(Y73:Y82)</f>
        <v>0</v>
      </c>
      <c r="Z83" s="99"/>
      <c r="AA83" s="21">
        <f>SUM(AA73:AA82)</f>
        <v>0</v>
      </c>
      <c r="AB83" s="21">
        <f>SUM(AB73:AB82)</f>
        <v>0</v>
      </c>
      <c r="AC83" s="21"/>
      <c r="AD83" s="21">
        <f>SUM(AD73:AD82)</f>
        <v>0</v>
      </c>
      <c r="AE83" s="21">
        <f>SUM(AE73:AE82)</f>
        <v>14919655.7744</v>
      </c>
      <c r="AF83" s="21"/>
      <c r="AG83" s="42"/>
      <c r="AH83" s="81">
        <f>SUM(AH73:AH82)</f>
        <v>250.47099999999998</v>
      </c>
      <c r="AI83" s="26">
        <f>AH83-F83</f>
        <v>0</v>
      </c>
      <c r="AJ83" s="41">
        <f>AA83/F83</f>
        <v>0</v>
      </c>
      <c r="AK83" s="40"/>
    </row>
    <row r="84" spans="2:37">
      <c r="B84" s="15"/>
      <c r="C84" s="18"/>
      <c r="D84" s="11"/>
      <c r="E84" s="18" t="s">
        <v>16</v>
      </c>
      <c r="F84" s="16">
        <f>SUM(F3:F83)/2</f>
        <v>2456.3600000000006</v>
      </c>
      <c r="G84" s="17">
        <f>SUM(G3:G83)/2</f>
        <v>2456360</v>
      </c>
      <c r="H84" s="17">
        <f>SUM(H3:H83)/2</f>
        <v>1292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17"/>
      <c r="V84" s="17">
        <f>SUM(V3:V83)/2</f>
        <v>122694541.80000001</v>
      </c>
      <c r="W84" s="17">
        <f>SUM(W3:W83)/2</f>
        <v>22085017.523999989</v>
      </c>
      <c r="X84" s="17"/>
      <c r="Y84" s="22"/>
      <c r="Z84" s="17"/>
      <c r="AA84" s="17">
        <f>SUM(AA3:AA83)/2</f>
        <v>2010393.4000000001</v>
      </c>
      <c r="AB84" s="17">
        <f>SUM(AB3:AB83)/2</f>
        <v>361870.81199999998</v>
      </c>
      <c r="AC84" s="22"/>
      <c r="AD84" s="17"/>
      <c r="AE84" s="17">
        <f>SUM(AE3:AE83)/2</f>
        <v>147151823.53599995</v>
      </c>
      <c r="AF84" s="17"/>
      <c r="AG84" s="16"/>
      <c r="AH84" s="17"/>
      <c r="AI84" s="26"/>
    </row>
    <row r="87" spans="2:37">
      <c r="F87" s="90"/>
    </row>
    <row r="92" spans="2:37">
      <c r="F92" s="90"/>
    </row>
  </sheetData>
  <dataConsolidate/>
  <mergeCells count="1">
    <mergeCell ref="AF1:AG1"/>
  </mergeCells>
  <pageMargins left="0.33" right="0.196850393700787" top="0.2" bottom="0.26" header="0.2" footer="0.31496062992126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142"/>
  <sheetViews>
    <sheetView showZeros="0" zoomScale="85" zoomScaleNormal="85" workbookViewId="0">
      <pane xSplit="14" ySplit="2" topLeftCell="O111" activePane="bottomRight" state="frozen"/>
      <selection pane="topRight" activeCell="O1" sqref="O1"/>
      <selection pane="bottomLeft" activeCell="A3" sqref="A3"/>
      <selection pane="bottomRight" activeCell="F133" sqref="F133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5.710937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9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+F134</f>
        <v>2825.6549999999984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50"/>
    </row>
    <row r="2" spans="2:41" ht="25.5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115" t="s">
        <v>25</v>
      </c>
      <c r="L2" s="116" t="s">
        <v>32</v>
      </c>
      <c r="M2" s="117" t="s">
        <v>6</v>
      </c>
      <c r="N2" s="118" t="s">
        <v>37</v>
      </c>
      <c r="O2" s="119" t="s">
        <v>29</v>
      </c>
      <c r="P2" s="120" t="s">
        <v>30</v>
      </c>
      <c r="Q2" s="121" t="s">
        <v>7</v>
      </c>
      <c r="R2" s="121" t="s">
        <v>8</v>
      </c>
      <c r="S2" s="121" t="s">
        <v>9</v>
      </c>
      <c r="T2" s="121" t="s">
        <v>10</v>
      </c>
      <c r="U2" s="122" t="s">
        <v>11</v>
      </c>
      <c r="V2" s="123" t="s">
        <v>12</v>
      </c>
      <c r="W2" s="123" t="s">
        <v>19</v>
      </c>
      <c r="X2" s="123" t="s">
        <v>17</v>
      </c>
      <c r="Y2" s="123" t="s">
        <v>18</v>
      </c>
      <c r="Z2" s="123" t="s">
        <v>20</v>
      </c>
      <c r="AA2" s="123" t="s">
        <v>21</v>
      </c>
      <c r="AB2" s="124" t="s">
        <v>22</v>
      </c>
      <c r="AC2" s="124" t="s">
        <v>31</v>
      </c>
      <c r="AD2" s="125" t="s">
        <v>33</v>
      </c>
      <c r="AE2" s="123" t="s">
        <v>13</v>
      </c>
      <c r="AF2" s="116" t="s">
        <v>15</v>
      </c>
      <c r="AG2" s="116" t="s">
        <v>34</v>
      </c>
      <c r="AH2" s="116" t="s">
        <v>23</v>
      </c>
      <c r="AI2" s="116" t="s">
        <v>24</v>
      </c>
      <c r="AN2" s="35"/>
      <c r="AO2" s="35"/>
    </row>
    <row r="3" spans="2:41" s="41" customFormat="1" ht="16.149999999999999" customHeight="1">
      <c r="B3" s="104" t="s">
        <v>702</v>
      </c>
      <c r="C3" s="86" t="s">
        <v>1645</v>
      </c>
      <c r="D3" s="4"/>
      <c r="E3" s="86" t="s">
        <v>1159</v>
      </c>
      <c r="F3" s="143">
        <v>39.549999999999997</v>
      </c>
      <c r="G3" s="14">
        <f t="shared" ref="G3:G13" si="0">+F3*1000</f>
        <v>39550</v>
      </c>
      <c r="H3" s="97">
        <v>25</v>
      </c>
      <c r="I3" s="83" t="s">
        <v>1647</v>
      </c>
      <c r="J3" s="85" t="s">
        <v>1634</v>
      </c>
      <c r="K3" s="82" t="s">
        <v>1652</v>
      </c>
      <c r="L3" s="4"/>
      <c r="M3" s="85" t="s">
        <v>1648</v>
      </c>
      <c r="N3" s="82" t="s">
        <v>1189</v>
      </c>
      <c r="O3" s="4"/>
      <c r="P3" s="4"/>
      <c r="Q3" s="5">
        <v>55245</v>
      </c>
      <c r="R3" s="36"/>
      <c r="S3" s="36"/>
      <c r="T3" s="37"/>
      <c r="U3" s="5">
        <f t="shared" ref="U3:U13" si="1">S3+R3+Q3-T3</f>
        <v>55245</v>
      </c>
      <c r="V3" s="5">
        <f t="shared" ref="V3:V13" si="2">F3*U3</f>
        <v>2184939.75</v>
      </c>
      <c r="W3" s="5">
        <f t="shared" ref="W3:W13" si="3">V3*18%</f>
        <v>393289.15499999997</v>
      </c>
      <c r="X3" s="5"/>
      <c r="Y3" s="5"/>
      <c r="Z3" s="98"/>
      <c r="AA3" s="23">
        <f t="shared" ref="AA3:AA13" si="4">F3*Z3</f>
        <v>0</v>
      </c>
      <c r="AB3" s="97">
        <f t="shared" ref="AB3:AB13" si="5">AA3*18%</f>
        <v>0</v>
      </c>
      <c r="AC3" s="43"/>
      <c r="AD3" s="46"/>
      <c r="AE3" s="5">
        <f t="shared" ref="AE3:AE13" si="6">+AB3+AA3+Y3+X3+W3+V3-AC3+AD3</f>
        <v>2578228.9049999998</v>
      </c>
      <c r="AF3" s="154">
        <v>519</v>
      </c>
      <c r="AG3" s="114" t="s">
        <v>1915</v>
      </c>
      <c r="AH3" s="155">
        <v>39.549999999999997</v>
      </c>
      <c r="AI3" s="12"/>
      <c r="AJ3" s="40"/>
      <c r="AK3" s="40"/>
    </row>
    <row r="4" spans="2:41" s="41" customFormat="1" ht="16.149999999999999" customHeight="1">
      <c r="B4" s="70" t="s">
        <v>767</v>
      </c>
      <c r="C4" s="82" t="s">
        <v>1646</v>
      </c>
      <c r="D4" s="4"/>
      <c r="E4" s="86" t="s">
        <v>1159</v>
      </c>
      <c r="F4" s="143">
        <v>31.69</v>
      </c>
      <c r="G4" s="14">
        <f t="shared" si="0"/>
        <v>31690</v>
      </c>
      <c r="H4" s="97">
        <v>20</v>
      </c>
      <c r="I4" s="83" t="s">
        <v>1647</v>
      </c>
      <c r="J4" s="85" t="s">
        <v>1634</v>
      </c>
      <c r="K4" s="82" t="s">
        <v>1653</v>
      </c>
      <c r="L4" s="4"/>
      <c r="M4" s="85" t="s">
        <v>1648</v>
      </c>
      <c r="N4" s="82" t="s">
        <v>1501</v>
      </c>
      <c r="O4" s="4"/>
      <c r="P4" s="4"/>
      <c r="Q4" s="5">
        <v>55245</v>
      </c>
      <c r="R4" s="36"/>
      <c r="S4" s="36"/>
      <c r="T4" s="37"/>
      <c r="U4" s="5">
        <f t="shared" si="1"/>
        <v>55245</v>
      </c>
      <c r="V4" s="5">
        <f t="shared" si="2"/>
        <v>1750714.05</v>
      </c>
      <c r="W4" s="5">
        <f t="shared" si="3"/>
        <v>315128.52899999998</v>
      </c>
      <c r="X4" s="5"/>
      <c r="Y4" s="5"/>
      <c r="Z4" s="98"/>
      <c r="AA4" s="23">
        <f t="shared" si="4"/>
        <v>0</v>
      </c>
      <c r="AB4" s="97">
        <f t="shared" si="5"/>
        <v>0</v>
      </c>
      <c r="AC4" s="43"/>
      <c r="AD4" s="46"/>
      <c r="AE4" s="5">
        <f t="shared" si="6"/>
        <v>2065842.5789999999</v>
      </c>
      <c r="AF4" s="154">
        <v>520</v>
      </c>
      <c r="AG4" s="114" t="s">
        <v>1915</v>
      </c>
      <c r="AH4" s="155">
        <v>31.69</v>
      </c>
      <c r="AI4" s="12"/>
      <c r="AJ4" s="40"/>
      <c r="AK4" s="40"/>
    </row>
    <row r="5" spans="2:41" s="41" customFormat="1" ht="16.149999999999999" customHeight="1">
      <c r="B5" s="89" t="s">
        <v>1643</v>
      </c>
      <c r="C5" s="70"/>
      <c r="D5" s="4"/>
      <c r="E5" s="86" t="s">
        <v>1159</v>
      </c>
      <c r="F5" s="143">
        <v>31.57</v>
      </c>
      <c r="G5" s="14">
        <f t="shared" si="0"/>
        <v>31570</v>
      </c>
      <c r="H5" s="97">
        <v>20</v>
      </c>
      <c r="I5" s="83" t="s">
        <v>1647</v>
      </c>
      <c r="J5" s="85" t="s">
        <v>1634</v>
      </c>
      <c r="K5" s="82" t="s">
        <v>1654</v>
      </c>
      <c r="L5" s="4"/>
      <c r="M5" s="85" t="s">
        <v>1648</v>
      </c>
      <c r="N5" s="82" t="s">
        <v>897</v>
      </c>
      <c r="O5" s="4"/>
      <c r="P5" s="4"/>
      <c r="Q5" s="5">
        <v>55245</v>
      </c>
      <c r="R5" s="36"/>
      <c r="S5" s="36"/>
      <c r="T5" s="37"/>
      <c r="U5" s="5">
        <f t="shared" si="1"/>
        <v>55245</v>
      </c>
      <c r="V5" s="5">
        <f t="shared" si="2"/>
        <v>1744084.65</v>
      </c>
      <c r="W5" s="5">
        <f t="shared" si="3"/>
        <v>313935.23699999996</v>
      </c>
      <c r="X5" s="5"/>
      <c r="Y5" s="5"/>
      <c r="Z5" s="98"/>
      <c r="AA5" s="23">
        <f t="shared" si="4"/>
        <v>0</v>
      </c>
      <c r="AB5" s="97">
        <f t="shared" si="5"/>
        <v>0</v>
      </c>
      <c r="AC5" s="43"/>
      <c r="AD5" s="46"/>
      <c r="AE5" s="5">
        <f t="shared" si="6"/>
        <v>2058019.8869999999</v>
      </c>
      <c r="AF5" s="154">
        <v>521</v>
      </c>
      <c r="AG5" s="114" t="s">
        <v>1915</v>
      </c>
      <c r="AH5" s="155">
        <v>31.57</v>
      </c>
      <c r="AI5" s="12"/>
      <c r="AJ5" s="40"/>
      <c r="AK5" s="40"/>
    </row>
    <row r="6" spans="2:41" s="41" customFormat="1" ht="16.149999999999999" customHeight="1">
      <c r="B6" s="89" t="s">
        <v>1644</v>
      </c>
      <c r="C6" s="1"/>
      <c r="D6" s="4"/>
      <c r="E6" s="86" t="s">
        <v>1159</v>
      </c>
      <c r="F6" s="143">
        <v>31.6</v>
      </c>
      <c r="G6" s="14">
        <f t="shared" si="0"/>
        <v>31600</v>
      </c>
      <c r="H6" s="97">
        <v>20</v>
      </c>
      <c r="I6" s="83" t="s">
        <v>1647</v>
      </c>
      <c r="J6" s="85" t="s">
        <v>1634</v>
      </c>
      <c r="K6" s="82" t="s">
        <v>1655</v>
      </c>
      <c r="L6" s="4"/>
      <c r="M6" s="85" t="s">
        <v>1648</v>
      </c>
      <c r="N6" s="82" t="s">
        <v>1236</v>
      </c>
      <c r="O6" s="4"/>
      <c r="P6" s="4"/>
      <c r="Q6" s="5">
        <v>55245</v>
      </c>
      <c r="R6" s="36"/>
      <c r="S6" s="36"/>
      <c r="T6" s="37"/>
      <c r="U6" s="5">
        <f t="shared" si="1"/>
        <v>55245</v>
      </c>
      <c r="V6" s="5">
        <f t="shared" si="2"/>
        <v>1745742</v>
      </c>
      <c r="W6" s="5">
        <f t="shared" si="3"/>
        <v>314233.56</v>
      </c>
      <c r="X6" s="5"/>
      <c r="Y6" s="5"/>
      <c r="Z6" s="98"/>
      <c r="AA6" s="23">
        <f t="shared" si="4"/>
        <v>0</v>
      </c>
      <c r="AB6" s="97">
        <f t="shared" si="5"/>
        <v>0</v>
      </c>
      <c r="AC6" s="43"/>
      <c r="AD6" s="46"/>
      <c r="AE6" s="5">
        <f t="shared" si="6"/>
        <v>2059975.56</v>
      </c>
      <c r="AF6" s="154">
        <v>522</v>
      </c>
      <c r="AG6" s="114" t="s">
        <v>1915</v>
      </c>
      <c r="AH6" s="155">
        <v>31.6</v>
      </c>
      <c r="AI6" s="12"/>
      <c r="AJ6" s="40"/>
      <c r="AK6" s="40"/>
    </row>
    <row r="7" spans="2:41" s="41" customFormat="1" ht="16.149999999999999" customHeight="1">
      <c r="B7" s="89"/>
      <c r="C7" s="1"/>
      <c r="D7" s="4"/>
      <c r="E7" s="86" t="s">
        <v>1159</v>
      </c>
      <c r="F7" s="143">
        <v>31.62</v>
      </c>
      <c r="G7" s="14">
        <f t="shared" si="0"/>
        <v>31620</v>
      </c>
      <c r="H7" s="97">
        <v>20</v>
      </c>
      <c r="I7" s="83" t="s">
        <v>1647</v>
      </c>
      <c r="J7" s="85" t="s">
        <v>1634</v>
      </c>
      <c r="K7" s="82" t="s">
        <v>1656</v>
      </c>
      <c r="L7" s="4"/>
      <c r="M7" s="85" t="s">
        <v>1648</v>
      </c>
      <c r="N7" s="82" t="s">
        <v>893</v>
      </c>
      <c r="O7" s="4"/>
      <c r="P7" s="4"/>
      <c r="Q7" s="5">
        <v>55245</v>
      </c>
      <c r="R7" s="36"/>
      <c r="S7" s="36"/>
      <c r="T7" s="37"/>
      <c r="U7" s="5">
        <f t="shared" si="1"/>
        <v>55245</v>
      </c>
      <c r="V7" s="5">
        <f t="shared" si="2"/>
        <v>1746846.9000000001</v>
      </c>
      <c r="W7" s="5">
        <f t="shared" si="3"/>
        <v>314432.44200000004</v>
      </c>
      <c r="X7" s="5"/>
      <c r="Y7" s="5"/>
      <c r="Z7" s="98"/>
      <c r="AA7" s="23">
        <f t="shared" si="4"/>
        <v>0</v>
      </c>
      <c r="AB7" s="97">
        <f t="shared" si="5"/>
        <v>0</v>
      </c>
      <c r="AC7" s="43"/>
      <c r="AD7" s="46"/>
      <c r="AE7" s="5">
        <f t="shared" si="6"/>
        <v>2061279.3420000002</v>
      </c>
      <c r="AF7" s="154">
        <v>523</v>
      </c>
      <c r="AG7" s="114" t="s">
        <v>1915</v>
      </c>
      <c r="AH7" s="155">
        <v>31.62</v>
      </c>
      <c r="AI7" s="12"/>
      <c r="AJ7" s="40"/>
      <c r="AK7" s="40"/>
    </row>
    <row r="8" spans="2:41" s="41" customFormat="1" ht="16.149999999999999" customHeight="1">
      <c r="B8" s="83"/>
      <c r="C8" s="1"/>
      <c r="D8" s="4"/>
      <c r="E8" s="86" t="s">
        <v>1159</v>
      </c>
      <c r="F8" s="143">
        <v>41.19</v>
      </c>
      <c r="G8" s="14">
        <f t="shared" si="0"/>
        <v>41190</v>
      </c>
      <c r="H8" s="97">
        <v>26</v>
      </c>
      <c r="I8" s="83" t="s">
        <v>1647</v>
      </c>
      <c r="J8" s="85" t="s">
        <v>1634</v>
      </c>
      <c r="K8" s="82" t="s">
        <v>1657</v>
      </c>
      <c r="L8" s="4"/>
      <c r="M8" s="85" t="s">
        <v>1648</v>
      </c>
      <c r="N8" s="82" t="s">
        <v>1650</v>
      </c>
      <c r="O8" s="4"/>
      <c r="P8" s="4"/>
      <c r="Q8" s="5">
        <v>55245</v>
      </c>
      <c r="R8" s="36"/>
      <c r="S8" s="36"/>
      <c r="T8" s="37"/>
      <c r="U8" s="5">
        <f t="shared" si="1"/>
        <v>55245</v>
      </c>
      <c r="V8" s="5">
        <f t="shared" si="2"/>
        <v>2275541.5499999998</v>
      </c>
      <c r="W8" s="5">
        <f t="shared" si="3"/>
        <v>409597.47899999993</v>
      </c>
      <c r="X8" s="5"/>
      <c r="Y8" s="5"/>
      <c r="Z8" s="98"/>
      <c r="AA8" s="23">
        <f t="shared" si="4"/>
        <v>0</v>
      </c>
      <c r="AB8" s="97">
        <f t="shared" si="5"/>
        <v>0</v>
      </c>
      <c r="AC8" s="43"/>
      <c r="AD8" s="46"/>
      <c r="AE8" s="5">
        <f t="shared" si="6"/>
        <v>2685139.0289999996</v>
      </c>
      <c r="AF8" s="154">
        <v>524</v>
      </c>
      <c r="AG8" s="114" t="s">
        <v>1915</v>
      </c>
      <c r="AH8" s="155">
        <v>41.19</v>
      </c>
      <c r="AI8" s="12"/>
      <c r="AJ8" s="40"/>
      <c r="AK8" s="40"/>
    </row>
    <row r="9" spans="2:41" s="41" customFormat="1" ht="16.149999999999999" customHeight="1">
      <c r="B9" s="83"/>
      <c r="C9" s="1"/>
      <c r="D9" s="4"/>
      <c r="E9" s="86" t="s">
        <v>1159</v>
      </c>
      <c r="F9" s="143">
        <v>31.73</v>
      </c>
      <c r="G9" s="14">
        <f t="shared" si="0"/>
        <v>31730</v>
      </c>
      <c r="H9" s="97">
        <v>20</v>
      </c>
      <c r="I9" s="83" t="s">
        <v>1647</v>
      </c>
      <c r="J9" s="85" t="s">
        <v>1634</v>
      </c>
      <c r="K9" s="82" t="s">
        <v>1658</v>
      </c>
      <c r="L9" s="4"/>
      <c r="M9" s="85" t="s">
        <v>1648</v>
      </c>
      <c r="N9" s="82" t="s">
        <v>895</v>
      </c>
      <c r="O9" s="4"/>
      <c r="P9" s="4"/>
      <c r="Q9" s="5">
        <v>55245</v>
      </c>
      <c r="R9" s="36"/>
      <c r="S9" s="36"/>
      <c r="T9" s="37"/>
      <c r="U9" s="5">
        <f t="shared" si="1"/>
        <v>55245</v>
      </c>
      <c r="V9" s="5">
        <f t="shared" si="2"/>
        <v>1752923.85</v>
      </c>
      <c r="W9" s="5">
        <f t="shared" si="3"/>
        <v>315526.29300000001</v>
      </c>
      <c r="X9" s="5"/>
      <c r="Y9" s="5"/>
      <c r="Z9" s="98"/>
      <c r="AA9" s="23">
        <f t="shared" si="4"/>
        <v>0</v>
      </c>
      <c r="AB9" s="97">
        <f t="shared" si="5"/>
        <v>0</v>
      </c>
      <c r="AC9" s="43"/>
      <c r="AD9" s="46"/>
      <c r="AE9" s="5">
        <f t="shared" si="6"/>
        <v>2068450.1430000002</v>
      </c>
      <c r="AF9" s="154">
        <v>525</v>
      </c>
      <c r="AG9" s="114" t="s">
        <v>1915</v>
      </c>
      <c r="AH9" s="155">
        <v>31.73</v>
      </c>
      <c r="AI9" s="12"/>
      <c r="AJ9" s="40"/>
      <c r="AK9" s="40"/>
    </row>
    <row r="10" spans="2:41" s="41" customFormat="1" ht="16.149999999999999" customHeight="1">
      <c r="B10" s="83"/>
      <c r="C10" s="1"/>
      <c r="D10" s="4"/>
      <c r="E10" s="86" t="s">
        <v>1159</v>
      </c>
      <c r="F10" s="143">
        <v>31.74</v>
      </c>
      <c r="G10" s="14">
        <f t="shared" si="0"/>
        <v>31740</v>
      </c>
      <c r="H10" s="97">
        <v>20</v>
      </c>
      <c r="I10" s="83" t="s">
        <v>1647</v>
      </c>
      <c r="J10" s="85" t="s">
        <v>1634</v>
      </c>
      <c r="K10" s="82" t="s">
        <v>1659</v>
      </c>
      <c r="L10" s="4"/>
      <c r="M10" s="85" t="s">
        <v>1648</v>
      </c>
      <c r="N10" s="82" t="s">
        <v>1218</v>
      </c>
      <c r="O10" s="4"/>
      <c r="P10" s="4"/>
      <c r="Q10" s="5">
        <v>55245</v>
      </c>
      <c r="R10" s="36"/>
      <c r="S10" s="36"/>
      <c r="T10" s="37"/>
      <c r="U10" s="5">
        <f t="shared" si="1"/>
        <v>55245</v>
      </c>
      <c r="V10" s="5">
        <f t="shared" si="2"/>
        <v>1753476.2999999998</v>
      </c>
      <c r="W10" s="5">
        <f t="shared" si="3"/>
        <v>315625.73399999994</v>
      </c>
      <c r="X10" s="5"/>
      <c r="Y10" s="5"/>
      <c r="Z10" s="98"/>
      <c r="AA10" s="23">
        <f t="shared" si="4"/>
        <v>0</v>
      </c>
      <c r="AB10" s="97">
        <f t="shared" si="5"/>
        <v>0</v>
      </c>
      <c r="AC10" s="43"/>
      <c r="AD10" s="46"/>
      <c r="AE10" s="5">
        <f t="shared" si="6"/>
        <v>2069102.0339999998</v>
      </c>
      <c r="AF10" s="154">
        <v>526</v>
      </c>
      <c r="AG10" s="114" t="s">
        <v>1915</v>
      </c>
      <c r="AH10" s="155">
        <v>31.74</v>
      </c>
      <c r="AI10" s="12"/>
      <c r="AJ10" s="40"/>
      <c r="AK10" s="40"/>
    </row>
    <row r="11" spans="2:41" s="41" customFormat="1" ht="16.149999999999999" customHeight="1">
      <c r="B11" s="83"/>
      <c r="C11" s="1"/>
      <c r="D11" s="4"/>
      <c r="E11" s="86" t="s">
        <v>1159</v>
      </c>
      <c r="F11" s="143">
        <v>41.15</v>
      </c>
      <c r="G11" s="14">
        <f t="shared" si="0"/>
        <v>41150</v>
      </c>
      <c r="H11" s="97">
        <v>26</v>
      </c>
      <c r="I11" s="83" t="s">
        <v>1647</v>
      </c>
      <c r="J11" s="85" t="s">
        <v>1634</v>
      </c>
      <c r="K11" s="82" t="s">
        <v>1660</v>
      </c>
      <c r="L11" s="4"/>
      <c r="M11" s="85" t="s">
        <v>1648</v>
      </c>
      <c r="N11" s="82" t="s">
        <v>62</v>
      </c>
      <c r="O11" s="4"/>
      <c r="P11" s="4"/>
      <c r="Q11" s="5">
        <v>55245</v>
      </c>
      <c r="R11" s="36"/>
      <c r="S11" s="36"/>
      <c r="T11" s="37"/>
      <c r="U11" s="5">
        <f t="shared" si="1"/>
        <v>55245</v>
      </c>
      <c r="V11" s="5">
        <f t="shared" si="2"/>
        <v>2273331.75</v>
      </c>
      <c r="W11" s="5">
        <f t="shared" si="3"/>
        <v>409199.71499999997</v>
      </c>
      <c r="X11" s="5"/>
      <c r="Y11" s="5"/>
      <c r="Z11" s="98"/>
      <c r="AA11" s="23">
        <f t="shared" si="4"/>
        <v>0</v>
      </c>
      <c r="AB11" s="97">
        <f t="shared" si="5"/>
        <v>0</v>
      </c>
      <c r="AC11" s="43"/>
      <c r="AD11" s="46"/>
      <c r="AE11" s="5">
        <f t="shared" si="6"/>
        <v>2682531.4649999999</v>
      </c>
      <c r="AF11" s="154">
        <v>527</v>
      </c>
      <c r="AG11" s="114" t="s">
        <v>1915</v>
      </c>
      <c r="AH11" s="155">
        <v>41.15</v>
      </c>
      <c r="AI11" s="12"/>
      <c r="AJ11" s="40"/>
      <c r="AK11" s="40"/>
    </row>
    <row r="12" spans="2:41" s="41" customFormat="1" ht="16.149999999999999" customHeight="1">
      <c r="B12" s="83"/>
      <c r="C12" s="1"/>
      <c r="D12" s="4"/>
      <c r="E12" s="86" t="s">
        <v>1159</v>
      </c>
      <c r="F12" s="143">
        <v>41.12</v>
      </c>
      <c r="G12" s="14">
        <f t="shared" si="0"/>
        <v>41120</v>
      </c>
      <c r="H12" s="97">
        <v>26</v>
      </c>
      <c r="I12" s="83" t="s">
        <v>1647</v>
      </c>
      <c r="J12" s="85" t="s">
        <v>1634</v>
      </c>
      <c r="K12" s="82" t="s">
        <v>1661</v>
      </c>
      <c r="L12" s="4"/>
      <c r="M12" s="85" t="s">
        <v>1648</v>
      </c>
      <c r="N12" s="82" t="s">
        <v>1651</v>
      </c>
      <c r="O12" s="4"/>
      <c r="P12" s="4"/>
      <c r="Q12" s="5">
        <v>55245</v>
      </c>
      <c r="R12" s="36"/>
      <c r="S12" s="36"/>
      <c r="T12" s="37"/>
      <c r="U12" s="5">
        <f t="shared" si="1"/>
        <v>55245</v>
      </c>
      <c r="V12" s="5">
        <f t="shared" si="2"/>
        <v>2271674.4</v>
      </c>
      <c r="W12" s="5">
        <f t="shared" si="3"/>
        <v>408901.39199999999</v>
      </c>
      <c r="X12" s="5"/>
      <c r="Y12" s="5"/>
      <c r="Z12" s="98"/>
      <c r="AA12" s="23">
        <f t="shared" si="4"/>
        <v>0</v>
      </c>
      <c r="AB12" s="97">
        <f t="shared" si="5"/>
        <v>0</v>
      </c>
      <c r="AC12" s="43"/>
      <c r="AD12" s="46"/>
      <c r="AE12" s="5">
        <f t="shared" si="6"/>
        <v>2680575.7919999999</v>
      </c>
      <c r="AF12" s="154">
        <v>528</v>
      </c>
      <c r="AG12" s="114" t="s">
        <v>1915</v>
      </c>
      <c r="AH12" s="155">
        <v>41.12</v>
      </c>
      <c r="AI12" s="12"/>
      <c r="AJ12" s="40"/>
      <c r="AK12" s="40"/>
    </row>
    <row r="13" spans="2:41" s="41" customFormat="1" ht="16.149999999999999" customHeight="1">
      <c r="B13" s="83"/>
      <c r="C13" s="1"/>
      <c r="D13" s="4"/>
      <c r="E13" s="86" t="s">
        <v>1159</v>
      </c>
      <c r="F13" s="143">
        <f>26.944-1.624</f>
        <v>25.32</v>
      </c>
      <c r="G13" s="14">
        <f t="shared" si="0"/>
        <v>25320</v>
      </c>
      <c r="H13" s="97">
        <v>17</v>
      </c>
      <c r="I13" s="83" t="s">
        <v>1647</v>
      </c>
      <c r="J13" s="85" t="s">
        <v>1634</v>
      </c>
      <c r="K13" s="82" t="s">
        <v>1670</v>
      </c>
      <c r="L13" s="4"/>
      <c r="M13" s="85" t="s">
        <v>1668</v>
      </c>
      <c r="N13" s="82" t="s">
        <v>1671</v>
      </c>
      <c r="O13" s="4"/>
      <c r="P13" s="4"/>
      <c r="Q13" s="5">
        <v>55245</v>
      </c>
      <c r="R13" s="36"/>
      <c r="S13" s="36"/>
      <c r="T13" s="37"/>
      <c r="U13" s="5">
        <f t="shared" si="1"/>
        <v>55245</v>
      </c>
      <c r="V13" s="5">
        <f t="shared" si="2"/>
        <v>1398803.4</v>
      </c>
      <c r="W13" s="5">
        <f t="shared" si="3"/>
        <v>251784.61199999996</v>
      </c>
      <c r="X13" s="5"/>
      <c r="Y13" s="5"/>
      <c r="Z13" s="98"/>
      <c r="AA13" s="23">
        <f t="shared" si="4"/>
        <v>0</v>
      </c>
      <c r="AB13" s="97">
        <f t="shared" si="5"/>
        <v>0</v>
      </c>
      <c r="AC13" s="43"/>
      <c r="AD13" s="46"/>
      <c r="AE13" s="5">
        <f t="shared" si="6"/>
        <v>1650588.0119999999</v>
      </c>
      <c r="AF13" s="154">
        <v>529</v>
      </c>
      <c r="AG13" s="114" t="s">
        <v>1915</v>
      </c>
      <c r="AH13" s="155">
        <v>25.32</v>
      </c>
      <c r="AI13" s="12"/>
      <c r="AJ13" s="40"/>
      <c r="AK13" s="40"/>
    </row>
    <row r="14" spans="2:41" s="41" customFormat="1">
      <c r="B14" s="13">
        <v>378.28</v>
      </c>
      <c r="C14" s="48">
        <f>B14-F14</f>
        <v>0</v>
      </c>
      <c r="D14" s="6"/>
      <c r="E14" s="6"/>
      <c r="F14" s="81">
        <f>SUM(F3:F13)</f>
        <v>378.28</v>
      </c>
      <c r="G14" s="20">
        <f>SUM(G3:G13)</f>
        <v>378280</v>
      </c>
      <c r="H14" s="21">
        <f>SUM(H3:H13)</f>
        <v>240</v>
      </c>
      <c r="I14" s="2"/>
      <c r="J14" s="7"/>
      <c r="K14" s="7"/>
      <c r="L14" s="7"/>
      <c r="M14" s="2"/>
      <c r="N14" s="6"/>
      <c r="O14" s="6"/>
      <c r="P14" s="6"/>
      <c r="Q14" s="19"/>
      <c r="R14" s="9"/>
      <c r="S14" s="9"/>
      <c r="T14" s="10"/>
      <c r="U14" s="8"/>
      <c r="V14" s="21">
        <f>SUM(V3:V13)</f>
        <v>20898078.599999994</v>
      </c>
      <c r="W14" s="21">
        <f>SUM(W3:W13)</f>
        <v>3761654.1479999991</v>
      </c>
      <c r="X14" s="21">
        <f>SUM(X3:X13)</f>
        <v>0</v>
      </c>
      <c r="Y14" s="21">
        <f>SUM(Y3:Y13)</f>
        <v>0</v>
      </c>
      <c r="Z14" s="99"/>
      <c r="AA14" s="21">
        <f>SUM(AA3:AA13)</f>
        <v>0</v>
      </c>
      <c r="AB14" s="21">
        <f>SUM(AB3:AB13)</f>
        <v>0</v>
      </c>
      <c r="AC14" s="21"/>
      <c r="AD14" s="21">
        <f>SUM(AD3:AD13)</f>
        <v>0</v>
      </c>
      <c r="AE14" s="21">
        <f>SUM(AE3:AE13)</f>
        <v>24659732.747999996</v>
      </c>
      <c r="AF14" s="21"/>
      <c r="AG14" s="42"/>
      <c r="AH14" s="81">
        <f>SUM(AH3:AH13)</f>
        <v>378.28</v>
      </c>
      <c r="AI14" s="26">
        <f>AH14-F14</f>
        <v>0</v>
      </c>
      <c r="AJ14" s="41">
        <f>AA14/F14</f>
        <v>0</v>
      </c>
      <c r="AK14" s="40"/>
    </row>
    <row r="15" spans="2:41" s="41" customFormat="1" ht="16.149999999999999" customHeight="1">
      <c r="B15" s="138" t="s">
        <v>702</v>
      </c>
      <c r="C15" s="82" t="s">
        <v>1662</v>
      </c>
      <c r="D15" s="4"/>
      <c r="E15" s="86" t="s">
        <v>1159</v>
      </c>
      <c r="F15" s="143">
        <f>28.54-15.3</f>
        <v>13.239999999999998</v>
      </c>
      <c r="G15" s="14">
        <f t="shared" ref="G15:G18" si="7">+F15*1000</f>
        <v>13239.999999999998</v>
      </c>
      <c r="H15" s="97">
        <v>19</v>
      </c>
      <c r="I15" s="83" t="s">
        <v>1666</v>
      </c>
      <c r="J15" s="85" t="s">
        <v>1577</v>
      </c>
      <c r="K15" s="82" t="s">
        <v>1667</v>
      </c>
      <c r="L15" s="4"/>
      <c r="M15" s="85" t="s">
        <v>1668</v>
      </c>
      <c r="N15" s="82" t="s">
        <v>1669</v>
      </c>
      <c r="O15" s="4"/>
      <c r="P15" s="4"/>
      <c r="Q15" s="5">
        <v>55245</v>
      </c>
      <c r="R15" s="36"/>
      <c r="S15" s="36"/>
      <c r="T15" s="37"/>
      <c r="U15" s="5">
        <f t="shared" ref="U15:U18" si="8">S15+R15+Q15-T15</f>
        <v>55245</v>
      </c>
      <c r="V15" s="5">
        <f t="shared" ref="V15:V18" si="9">F15*U15</f>
        <v>731443.79999999993</v>
      </c>
      <c r="W15" s="5">
        <f t="shared" ref="W15:W18" si="10">V15*18%</f>
        <v>131659.88399999999</v>
      </c>
      <c r="X15" s="5"/>
      <c r="Y15" s="5"/>
      <c r="Z15" s="98"/>
      <c r="AA15" s="23">
        <f t="shared" ref="AA15:AA18" si="11">F15*Z15</f>
        <v>0</v>
      </c>
      <c r="AB15" s="97">
        <f t="shared" ref="AB15:AB18" si="12">AA15*18%</f>
        <v>0</v>
      </c>
      <c r="AC15" s="43"/>
      <c r="AD15" s="46"/>
      <c r="AE15" s="5">
        <f t="shared" ref="AE15:AE18" si="13">+AB15+AA15+Y15+X15+W15+V15-AC15+AD15</f>
        <v>863103.68399999989</v>
      </c>
      <c r="AF15" s="154">
        <v>530</v>
      </c>
      <c r="AG15" s="114" t="s">
        <v>1915</v>
      </c>
      <c r="AH15" s="155">
        <v>13.239999999999998</v>
      </c>
      <c r="AI15" s="12"/>
      <c r="AJ15" s="40"/>
      <c r="AK15" s="40"/>
    </row>
    <row r="16" spans="2:41" s="41" customFormat="1" ht="16.149999999999999" customHeight="1">
      <c r="B16" s="140" t="s">
        <v>767</v>
      </c>
      <c r="C16" s="82" t="s">
        <v>1663</v>
      </c>
      <c r="D16" s="4"/>
      <c r="E16" s="86" t="s">
        <v>1159</v>
      </c>
      <c r="F16" s="103">
        <v>15.3</v>
      </c>
      <c r="G16" s="14">
        <f t="shared" si="7"/>
        <v>15300</v>
      </c>
      <c r="H16" s="97"/>
      <c r="I16" s="83" t="s">
        <v>1666</v>
      </c>
      <c r="J16" s="85" t="s">
        <v>1577</v>
      </c>
      <c r="K16" s="82" t="s">
        <v>1670</v>
      </c>
      <c r="L16" s="4"/>
      <c r="M16" s="85" t="s">
        <v>1668</v>
      </c>
      <c r="N16" s="82" t="s">
        <v>1671</v>
      </c>
      <c r="O16" s="4"/>
      <c r="P16" s="4"/>
      <c r="Q16" s="5">
        <v>55245</v>
      </c>
      <c r="R16" s="36"/>
      <c r="S16" s="36"/>
      <c r="T16" s="37"/>
      <c r="U16" s="5">
        <f t="shared" si="8"/>
        <v>55245</v>
      </c>
      <c r="V16" s="5">
        <f t="shared" si="9"/>
        <v>845248.5</v>
      </c>
      <c r="W16" s="5">
        <f t="shared" si="10"/>
        <v>152144.72999999998</v>
      </c>
      <c r="X16" s="5"/>
      <c r="Y16" s="5"/>
      <c r="Z16" s="98"/>
      <c r="AA16" s="23">
        <f t="shared" si="11"/>
        <v>0</v>
      </c>
      <c r="AB16" s="97">
        <f t="shared" si="12"/>
        <v>0</v>
      </c>
      <c r="AC16" s="43"/>
      <c r="AD16" s="46"/>
      <c r="AE16" s="5">
        <f t="shared" si="13"/>
        <v>997393.23</v>
      </c>
      <c r="AF16" s="154">
        <v>531</v>
      </c>
      <c r="AG16" s="114" t="s">
        <v>1915</v>
      </c>
      <c r="AH16" s="155">
        <v>15.3</v>
      </c>
      <c r="AI16" s="12"/>
      <c r="AJ16" s="40"/>
      <c r="AK16" s="40"/>
    </row>
    <row r="17" spans="2:37" s="41" customFormat="1" ht="16.149999999999999" customHeight="1">
      <c r="B17" s="89" t="s">
        <v>1665</v>
      </c>
      <c r="C17" s="140"/>
      <c r="D17" s="4"/>
      <c r="E17" s="86"/>
      <c r="F17" s="103"/>
      <c r="G17" s="14">
        <f t="shared" si="7"/>
        <v>0</v>
      </c>
      <c r="H17" s="97"/>
      <c r="I17" s="83"/>
      <c r="J17" s="85"/>
      <c r="K17" s="82"/>
      <c r="L17" s="4"/>
      <c r="M17" s="85"/>
      <c r="N17" s="82"/>
      <c r="O17" s="4"/>
      <c r="P17" s="4"/>
      <c r="Q17" s="5"/>
      <c r="R17" s="36"/>
      <c r="S17" s="36"/>
      <c r="T17" s="37"/>
      <c r="U17" s="5">
        <f t="shared" si="8"/>
        <v>0</v>
      </c>
      <c r="V17" s="5">
        <f t="shared" si="9"/>
        <v>0</v>
      </c>
      <c r="W17" s="5">
        <f t="shared" si="10"/>
        <v>0</v>
      </c>
      <c r="X17" s="5"/>
      <c r="Y17" s="5"/>
      <c r="Z17" s="98"/>
      <c r="AA17" s="23">
        <f t="shared" si="11"/>
        <v>0</v>
      </c>
      <c r="AB17" s="97">
        <f t="shared" si="12"/>
        <v>0</v>
      </c>
      <c r="AC17" s="43"/>
      <c r="AD17" s="46"/>
      <c r="AE17" s="5">
        <f t="shared" si="13"/>
        <v>0</v>
      </c>
      <c r="AF17" s="114"/>
      <c r="AG17" s="114"/>
      <c r="AH17" s="13"/>
      <c r="AI17" s="12"/>
      <c r="AJ17" s="40"/>
      <c r="AK17" s="40"/>
    </row>
    <row r="18" spans="2:37" s="41" customFormat="1" ht="16.149999999999999" customHeight="1">
      <c r="B18" s="89" t="s">
        <v>1664</v>
      </c>
      <c r="C18" s="4"/>
      <c r="D18" s="4"/>
      <c r="E18" s="86"/>
      <c r="F18" s="103"/>
      <c r="G18" s="14">
        <f t="shared" si="7"/>
        <v>0</v>
      </c>
      <c r="H18" s="97"/>
      <c r="I18" s="83"/>
      <c r="J18" s="85"/>
      <c r="K18" s="82"/>
      <c r="L18" s="4"/>
      <c r="M18" s="85"/>
      <c r="N18" s="82"/>
      <c r="O18" s="4"/>
      <c r="P18" s="4"/>
      <c r="Q18" s="5"/>
      <c r="R18" s="36"/>
      <c r="S18" s="36"/>
      <c r="T18" s="37"/>
      <c r="U18" s="5">
        <f t="shared" si="8"/>
        <v>0</v>
      </c>
      <c r="V18" s="5">
        <f t="shared" si="9"/>
        <v>0</v>
      </c>
      <c r="W18" s="5">
        <f t="shared" si="10"/>
        <v>0</v>
      </c>
      <c r="X18" s="5"/>
      <c r="Y18" s="5"/>
      <c r="Z18" s="98"/>
      <c r="AA18" s="23">
        <f t="shared" si="11"/>
        <v>0</v>
      </c>
      <c r="AB18" s="97">
        <f t="shared" si="12"/>
        <v>0</v>
      </c>
      <c r="AC18" s="43"/>
      <c r="AD18" s="46"/>
      <c r="AE18" s="5">
        <f t="shared" si="13"/>
        <v>0</v>
      </c>
      <c r="AF18" s="114"/>
      <c r="AG18" s="114"/>
      <c r="AH18" s="13"/>
      <c r="AI18" s="12"/>
      <c r="AJ18" s="40"/>
      <c r="AK18" s="40"/>
    </row>
    <row r="19" spans="2:37" s="41" customFormat="1">
      <c r="B19" s="13">
        <v>28.54</v>
      </c>
      <c r="C19" s="48">
        <f>B19-F19</f>
        <v>0</v>
      </c>
      <c r="D19" s="6"/>
      <c r="E19" s="6"/>
      <c r="F19" s="81">
        <f>SUM(F15:F18)</f>
        <v>28.54</v>
      </c>
      <c r="G19" s="20">
        <f>SUM(G15:G18)</f>
        <v>28540</v>
      </c>
      <c r="H19" s="21">
        <f>SUM(H15:H18)</f>
        <v>19</v>
      </c>
      <c r="I19" s="2"/>
      <c r="J19" s="7"/>
      <c r="K19" s="7"/>
      <c r="L19" s="7"/>
      <c r="M19" s="2"/>
      <c r="N19" s="6"/>
      <c r="O19" s="6"/>
      <c r="P19" s="6"/>
      <c r="Q19" s="19"/>
      <c r="R19" s="9"/>
      <c r="S19" s="9"/>
      <c r="T19" s="10"/>
      <c r="U19" s="8"/>
      <c r="V19" s="21">
        <f>SUM(V15:V18)</f>
        <v>1576692.2999999998</v>
      </c>
      <c r="W19" s="21">
        <f>SUM(W15:W18)</f>
        <v>283804.61399999994</v>
      </c>
      <c r="X19" s="21">
        <f>SUM(X15:X18)</f>
        <v>0</v>
      </c>
      <c r="Y19" s="21">
        <f>SUM(Y15:Y18)</f>
        <v>0</v>
      </c>
      <c r="Z19" s="99"/>
      <c r="AA19" s="21">
        <f>SUM(AA15:AA18)</f>
        <v>0</v>
      </c>
      <c r="AB19" s="21">
        <f>SUM(AB15:AB18)</f>
        <v>0</v>
      </c>
      <c r="AC19" s="21"/>
      <c r="AD19" s="21">
        <f>SUM(AD15:AD18)</f>
        <v>0</v>
      </c>
      <c r="AE19" s="21">
        <f>SUM(AE15:AE18)</f>
        <v>1860496.9139999999</v>
      </c>
      <c r="AF19" s="21"/>
      <c r="AG19" s="42"/>
      <c r="AH19" s="81">
        <f>SUM(AH15:AH18)</f>
        <v>28.54</v>
      </c>
      <c r="AI19" s="26">
        <f>AH19-F19</f>
        <v>0</v>
      </c>
      <c r="AJ19" s="41">
        <f>AA19/F19</f>
        <v>0</v>
      </c>
      <c r="AK19" s="40"/>
    </row>
    <row r="20" spans="2:37" s="41" customFormat="1" ht="16.149999999999999" customHeight="1">
      <c r="B20" s="138" t="s">
        <v>702</v>
      </c>
      <c r="C20" s="82" t="s">
        <v>1662</v>
      </c>
      <c r="D20" s="4"/>
      <c r="E20" s="86" t="s">
        <v>1159</v>
      </c>
      <c r="F20" s="143">
        <v>31.62</v>
      </c>
      <c r="G20" s="14">
        <f t="shared" ref="G20:G23" si="14">+F20*1000</f>
        <v>31620</v>
      </c>
      <c r="H20" s="144">
        <v>20</v>
      </c>
      <c r="I20" s="83" t="s">
        <v>1679</v>
      </c>
      <c r="J20" s="85" t="s">
        <v>1634</v>
      </c>
      <c r="K20" s="82" t="s">
        <v>1677</v>
      </c>
      <c r="L20" s="4"/>
      <c r="M20" s="85" t="s">
        <v>1668</v>
      </c>
      <c r="N20" s="82" t="s">
        <v>881</v>
      </c>
      <c r="O20" s="4"/>
      <c r="P20" s="4"/>
      <c r="Q20" s="5">
        <v>55245</v>
      </c>
      <c r="R20" s="36"/>
      <c r="S20" s="36"/>
      <c r="T20" s="37"/>
      <c r="U20" s="5">
        <f t="shared" ref="U20:U23" si="15">S20+R20+Q20-T20</f>
        <v>55245</v>
      </c>
      <c r="V20" s="5">
        <f t="shared" ref="V20:V23" si="16">F20*U20</f>
        <v>1746846.9000000001</v>
      </c>
      <c r="W20" s="5">
        <f t="shared" ref="W20:W23" si="17">V20*18%</f>
        <v>314432.44200000004</v>
      </c>
      <c r="X20" s="5"/>
      <c r="Y20" s="5"/>
      <c r="Z20" s="98"/>
      <c r="AA20" s="23">
        <f t="shared" ref="AA20:AA23" si="18">F20*Z20</f>
        <v>0</v>
      </c>
      <c r="AB20" s="97">
        <f t="shared" ref="AB20:AB23" si="19">AA20*18%</f>
        <v>0</v>
      </c>
      <c r="AC20" s="43"/>
      <c r="AD20" s="46"/>
      <c r="AE20" s="5">
        <f t="shared" ref="AE20:AE23" si="20">+AB20+AA20+Y20+X20+W20+V20-AC20+AD20</f>
        <v>2061279.3420000002</v>
      </c>
      <c r="AF20" s="154">
        <v>532</v>
      </c>
      <c r="AG20" s="114" t="s">
        <v>1915</v>
      </c>
      <c r="AH20" s="155">
        <v>31.62</v>
      </c>
      <c r="AI20" s="12"/>
      <c r="AJ20" s="40"/>
      <c r="AK20" s="40"/>
    </row>
    <row r="21" spans="2:37" s="41" customFormat="1" ht="16.149999999999999" customHeight="1">
      <c r="B21" s="140" t="s">
        <v>767</v>
      </c>
      <c r="C21" s="82" t="s">
        <v>1676</v>
      </c>
      <c r="D21" s="4"/>
      <c r="E21" s="86" t="s">
        <v>1159</v>
      </c>
      <c r="F21" s="143">
        <f>31.59-0.29</f>
        <v>31.3</v>
      </c>
      <c r="G21" s="14">
        <f t="shared" si="14"/>
        <v>31300</v>
      </c>
      <c r="H21" s="144">
        <v>20</v>
      </c>
      <c r="I21" s="83" t="s">
        <v>1679</v>
      </c>
      <c r="J21" s="85" t="s">
        <v>1634</v>
      </c>
      <c r="K21" s="82" t="s">
        <v>1678</v>
      </c>
      <c r="L21" s="4"/>
      <c r="M21" s="85" t="s">
        <v>1668</v>
      </c>
      <c r="N21" s="82" t="s">
        <v>1608</v>
      </c>
      <c r="O21" s="4"/>
      <c r="P21" s="4"/>
      <c r="Q21" s="5">
        <v>55245</v>
      </c>
      <c r="R21" s="36"/>
      <c r="S21" s="36"/>
      <c r="T21" s="37"/>
      <c r="U21" s="5">
        <f t="shared" si="15"/>
        <v>55245</v>
      </c>
      <c r="V21" s="5">
        <f t="shared" si="16"/>
        <v>1729168.5</v>
      </c>
      <c r="W21" s="5">
        <f t="shared" si="17"/>
        <v>311250.33</v>
      </c>
      <c r="X21" s="5"/>
      <c r="Y21" s="5"/>
      <c r="Z21" s="98"/>
      <c r="AA21" s="23">
        <f t="shared" si="18"/>
        <v>0</v>
      </c>
      <c r="AB21" s="97">
        <f t="shared" si="19"/>
        <v>0</v>
      </c>
      <c r="AC21" s="43"/>
      <c r="AD21" s="46"/>
      <c r="AE21" s="5">
        <f t="shared" si="20"/>
        <v>2040418.83</v>
      </c>
      <c r="AF21" s="154">
        <v>533</v>
      </c>
      <c r="AG21" s="114" t="s">
        <v>1915</v>
      </c>
      <c r="AH21" s="155">
        <v>31.3</v>
      </c>
      <c r="AI21" s="12"/>
      <c r="AJ21" s="40"/>
      <c r="AK21" s="40"/>
    </row>
    <row r="22" spans="2:37" s="41" customFormat="1" ht="16.149999999999999" customHeight="1">
      <c r="B22" s="89" t="s">
        <v>1674</v>
      </c>
      <c r="C22" s="140"/>
      <c r="D22" s="4"/>
      <c r="E22" s="86"/>
      <c r="F22" s="103"/>
      <c r="G22" s="14">
        <f t="shared" si="14"/>
        <v>0</v>
      </c>
      <c r="H22" s="97"/>
      <c r="I22" s="83"/>
      <c r="J22" s="85"/>
      <c r="K22" s="82"/>
      <c r="L22" s="4"/>
      <c r="M22" s="85"/>
      <c r="N22" s="82"/>
      <c r="O22" s="4"/>
      <c r="P22" s="4"/>
      <c r="Q22" s="5"/>
      <c r="R22" s="36"/>
      <c r="S22" s="36"/>
      <c r="T22" s="37"/>
      <c r="U22" s="5">
        <f t="shared" si="15"/>
        <v>0</v>
      </c>
      <c r="V22" s="5">
        <f t="shared" si="16"/>
        <v>0</v>
      </c>
      <c r="W22" s="5">
        <f t="shared" si="17"/>
        <v>0</v>
      </c>
      <c r="X22" s="5"/>
      <c r="Y22" s="5"/>
      <c r="Z22" s="98"/>
      <c r="AA22" s="23">
        <f t="shared" si="18"/>
        <v>0</v>
      </c>
      <c r="AB22" s="97">
        <f t="shared" si="19"/>
        <v>0</v>
      </c>
      <c r="AC22" s="43"/>
      <c r="AD22" s="46"/>
      <c r="AE22" s="5">
        <f t="shared" si="20"/>
        <v>0</v>
      </c>
      <c r="AF22" s="114"/>
      <c r="AG22" s="114"/>
      <c r="AH22" s="13"/>
      <c r="AI22" s="12"/>
      <c r="AJ22" s="40"/>
      <c r="AK22" s="40"/>
    </row>
    <row r="23" spans="2:37" s="41" customFormat="1" ht="16.149999999999999" customHeight="1">
      <c r="B23" s="89" t="s">
        <v>1675</v>
      </c>
      <c r="C23" s="4"/>
      <c r="D23" s="4"/>
      <c r="E23" s="86"/>
      <c r="F23" s="103"/>
      <c r="G23" s="14">
        <f t="shared" si="14"/>
        <v>0</v>
      </c>
      <c r="H23" s="97"/>
      <c r="I23" s="83"/>
      <c r="J23" s="85"/>
      <c r="K23" s="82"/>
      <c r="L23" s="4"/>
      <c r="M23" s="85"/>
      <c r="N23" s="82"/>
      <c r="O23" s="4"/>
      <c r="P23" s="4"/>
      <c r="Q23" s="5"/>
      <c r="R23" s="36"/>
      <c r="S23" s="36"/>
      <c r="T23" s="37"/>
      <c r="U23" s="5">
        <f t="shared" si="15"/>
        <v>0</v>
      </c>
      <c r="V23" s="5">
        <f t="shared" si="16"/>
        <v>0</v>
      </c>
      <c r="W23" s="5">
        <f t="shared" si="17"/>
        <v>0</v>
      </c>
      <c r="X23" s="5"/>
      <c r="Y23" s="5"/>
      <c r="Z23" s="98"/>
      <c r="AA23" s="23">
        <f t="shared" si="18"/>
        <v>0</v>
      </c>
      <c r="AB23" s="97">
        <f t="shared" si="19"/>
        <v>0</v>
      </c>
      <c r="AC23" s="43"/>
      <c r="AD23" s="46"/>
      <c r="AE23" s="5">
        <f t="shared" si="20"/>
        <v>0</v>
      </c>
      <c r="AF23" s="114"/>
      <c r="AG23" s="114"/>
      <c r="AH23" s="13"/>
      <c r="AI23" s="12"/>
      <c r="AJ23" s="40"/>
      <c r="AK23" s="40"/>
    </row>
    <row r="24" spans="2:37" s="41" customFormat="1">
      <c r="B24" s="13">
        <v>62.92</v>
      </c>
      <c r="C24" s="48">
        <f>B24-F24</f>
        <v>0</v>
      </c>
      <c r="D24" s="6"/>
      <c r="E24" s="6"/>
      <c r="F24" s="81">
        <f>SUM(F20:F23)</f>
        <v>62.92</v>
      </c>
      <c r="G24" s="20">
        <f>SUM(G20:G23)</f>
        <v>62920</v>
      </c>
      <c r="H24" s="21">
        <f>SUM(H20:H23)</f>
        <v>40</v>
      </c>
      <c r="I24" s="2"/>
      <c r="J24" s="7"/>
      <c r="K24" s="7"/>
      <c r="L24" s="7"/>
      <c r="M24" s="2"/>
      <c r="N24" s="6"/>
      <c r="O24" s="6"/>
      <c r="P24" s="6"/>
      <c r="Q24" s="19"/>
      <c r="R24" s="9"/>
      <c r="S24" s="9"/>
      <c r="T24" s="10"/>
      <c r="U24" s="8"/>
      <c r="V24" s="21">
        <f>SUM(V20:V23)</f>
        <v>3476015.4000000004</v>
      </c>
      <c r="W24" s="21">
        <f>SUM(W20:W23)</f>
        <v>625682.77200000011</v>
      </c>
      <c r="X24" s="21">
        <f>SUM(X20:X23)</f>
        <v>0</v>
      </c>
      <c r="Y24" s="21">
        <f>SUM(Y20:Y23)</f>
        <v>0</v>
      </c>
      <c r="Z24" s="99"/>
      <c r="AA24" s="21">
        <f>SUM(AA20:AA23)</f>
        <v>0</v>
      </c>
      <c r="AB24" s="21">
        <f>SUM(AB20:AB23)</f>
        <v>0</v>
      </c>
      <c r="AC24" s="21"/>
      <c r="AD24" s="21">
        <f>SUM(AD20:AD23)</f>
        <v>0</v>
      </c>
      <c r="AE24" s="21">
        <f>SUM(AE20:AE23)</f>
        <v>4101698.1720000003</v>
      </c>
      <c r="AF24" s="21"/>
      <c r="AG24" s="42"/>
      <c r="AH24" s="81">
        <f>SUM(AH20:AH23)</f>
        <v>62.92</v>
      </c>
      <c r="AI24" s="26">
        <f>AH24-F24</f>
        <v>0</v>
      </c>
      <c r="AJ24" s="41">
        <f>AA24/F24</f>
        <v>0</v>
      </c>
      <c r="AK24" s="40"/>
    </row>
    <row r="25" spans="2:37" s="41" customFormat="1" ht="16.149999999999999" customHeight="1">
      <c r="B25" s="138" t="s">
        <v>702</v>
      </c>
      <c r="C25" s="82" t="s">
        <v>1662</v>
      </c>
      <c r="D25" s="4"/>
      <c r="E25" s="86" t="s">
        <v>1159</v>
      </c>
      <c r="F25" s="143">
        <v>23.74</v>
      </c>
      <c r="G25" s="14">
        <f t="shared" ref="G25:G26" si="21">+F25*1000</f>
        <v>23740</v>
      </c>
      <c r="H25" s="144">
        <v>20</v>
      </c>
      <c r="I25" s="83" t="s">
        <v>1681</v>
      </c>
      <c r="J25" s="85" t="s">
        <v>1682</v>
      </c>
      <c r="K25" s="82">
        <v>174823</v>
      </c>
      <c r="L25" s="4"/>
      <c r="M25" s="85" t="s">
        <v>1683</v>
      </c>
      <c r="N25" s="82" t="s">
        <v>1684</v>
      </c>
      <c r="O25" s="4"/>
      <c r="P25" s="4"/>
      <c r="Q25" s="5">
        <v>55245</v>
      </c>
      <c r="R25" s="36"/>
      <c r="S25" s="36"/>
      <c r="T25" s="37"/>
      <c r="U25" s="5">
        <f t="shared" ref="U25:U26" si="22">S25+R25+Q25-T25</f>
        <v>55245</v>
      </c>
      <c r="V25" s="5">
        <f t="shared" ref="V25:V26" si="23">F25*U25</f>
        <v>1311516.2999999998</v>
      </c>
      <c r="W25" s="5">
        <f t="shared" ref="W25:W26" si="24">V25*18%</f>
        <v>236072.93399999995</v>
      </c>
      <c r="X25" s="5"/>
      <c r="Y25" s="5"/>
      <c r="Z25" s="98"/>
      <c r="AA25" s="23">
        <f t="shared" ref="AA25:AA26" si="25">F25*Z25</f>
        <v>0</v>
      </c>
      <c r="AB25" s="97">
        <f t="shared" ref="AB25:AB26" si="26">AA25*18%</f>
        <v>0</v>
      </c>
      <c r="AC25" s="43"/>
      <c r="AD25" s="46"/>
      <c r="AE25" s="5">
        <f t="shared" ref="AE25:AE26" si="27">+AB25+AA25+Y25+X25+W25+V25-AC25+AD25</f>
        <v>1547589.2339999997</v>
      </c>
      <c r="AF25" s="154">
        <v>534</v>
      </c>
      <c r="AG25" s="114" t="s">
        <v>1915</v>
      </c>
      <c r="AH25" s="155">
        <v>23.74</v>
      </c>
      <c r="AI25" s="12"/>
      <c r="AJ25" s="40"/>
      <c r="AK25" s="40"/>
    </row>
    <row r="26" spans="2:37" s="41" customFormat="1" ht="16.149999999999999" customHeight="1">
      <c r="B26" s="70" t="s">
        <v>918</v>
      </c>
      <c r="C26" s="82" t="s">
        <v>1680</v>
      </c>
      <c r="D26" s="4"/>
      <c r="E26" s="86"/>
      <c r="F26" s="103"/>
      <c r="G26" s="14">
        <f t="shared" si="21"/>
        <v>0</v>
      </c>
      <c r="H26" s="97"/>
      <c r="I26" s="83"/>
      <c r="J26" s="85"/>
      <c r="K26" s="82"/>
      <c r="L26" s="4"/>
      <c r="M26" s="85"/>
      <c r="N26" s="82"/>
      <c r="O26" s="4"/>
      <c r="P26" s="4"/>
      <c r="Q26" s="5"/>
      <c r="R26" s="36"/>
      <c r="S26" s="36"/>
      <c r="T26" s="37"/>
      <c r="U26" s="5">
        <f t="shared" si="22"/>
        <v>0</v>
      </c>
      <c r="V26" s="5">
        <f t="shared" si="23"/>
        <v>0</v>
      </c>
      <c r="W26" s="5">
        <f t="shared" si="24"/>
        <v>0</v>
      </c>
      <c r="X26" s="5"/>
      <c r="Y26" s="5"/>
      <c r="Z26" s="98"/>
      <c r="AA26" s="23">
        <f t="shared" si="25"/>
        <v>0</v>
      </c>
      <c r="AB26" s="97">
        <f t="shared" si="26"/>
        <v>0</v>
      </c>
      <c r="AC26" s="43"/>
      <c r="AD26" s="46"/>
      <c r="AE26" s="5">
        <f t="shared" si="27"/>
        <v>0</v>
      </c>
      <c r="AF26" s="114"/>
      <c r="AG26" s="114"/>
      <c r="AH26" s="13"/>
      <c r="AI26" s="12"/>
      <c r="AJ26" s="40"/>
      <c r="AK26" s="40"/>
    </row>
    <row r="27" spans="2:37" s="41" customFormat="1">
      <c r="B27" s="13"/>
      <c r="C27" s="48"/>
      <c r="D27" s="6"/>
      <c r="E27" s="6"/>
      <c r="F27" s="81">
        <f>SUM(F25:F26)</f>
        <v>23.74</v>
      </c>
      <c r="G27" s="20">
        <f>SUM(G25:G26)</f>
        <v>23740</v>
      </c>
      <c r="H27" s="21">
        <f>SUM(H25:H26)</f>
        <v>20</v>
      </c>
      <c r="I27" s="2"/>
      <c r="J27" s="7"/>
      <c r="K27" s="7"/>
      <c r="L27" s="7"/>
      <c r="M27" s="2"/>
      <c r="N27" s="6"/>
      <c r="O27" s="6"/>
      <c r="P27" s="6"/>
      <c r="Q27" s="19"/>
      <c r="R27" s="9"/>
      <c r="S27" s="9"/>
      <c r="T27" s="10"/>
      <c r="U27" s="8"/>
      <c r="V27" s="21">
        <f>SUM(V25:V26)</f>
        <v>1311516.2999999998</v>
      </c>
      <c r="W27" s="21">
        <f>SUM(W25:W26)</f>
        <v>236072.93399999995</v>
      </c>
      <c r="X27" s="21">
        <f>SUM(X25:X26)</f>
        <v>0</v>
      </c>
      <c r="Y27" s="21">
        <f>SUM(Y25:Y26)</f>
        <v>0</v>
      </c>
      <c r="Z27" s="99"/>
      <c r="AA27" s="21">
        <f>SUM(AA25:AA26)</f>
        <v>0</v>
      </c>
      <c r="AB27" s="21">
        <f>SUM(AB25:AB26)</f>
        <v>0</v>
      </c>
      <c r="AC27" s="21"/>
      <c r="AD27" s="21">
        <f>SUM(AD25:AD26)</f>
        <v>0</v>
      </c>
      <c r="AE27" s="21">
        <f>SUM(AE25:AE26)</f>
        <v>1547589.2339999997</v>
      </c>
      <c r="AF27" s="21"/>
      <c r="AG27" s="42"/>
      <c r="AH27" s="81">
        <f>SUM(AH25:AH26)</f>
        <v>23.74</v>
      </c>
      <c r="AI27" s="26">
        <f>AH27-F27</f>
        <v>0</v>
      </c>
      <c r="AJ27" s="41">
        <f>AA27/F27</f>
        <v>0</v>
      </c>
      <c r="AK27" s="40"/>
    </row>
    <row r="28" spans="2:37" s="41" customFormat="1" ht="16.149999999999999" customHeight="1">
      <c r="B28" s="138" t="s">
        <v>764</v>
      </c>
      <c r="C28" s="82" t="s">
        <v>1566</v>
      </c>
      <c r="D28" s="4"/>
      <c r="E28" s="82" t="s">
        <v>392</v>
      </c>
      <c r="F28" s="103">
        <v>10.66</v>
      </c>
      <c r="G28" s="14">
        <f t="shared" ref="G28" si="28">+F28*1000</f>
        <v>10660</v>
      </c>
      <c r="H28" s="97">
        <v>5</v>
      </c>
      <c r="I28" s="83" t="s">
        <v>1941</v>
      </c>
      <c r="J28" s="85" t="s">
        <v>1840</v>
      </c>
      <c r="K28" s="135">
        <v>60953</v>
      </c>
      <c r="L28" s="4"/>
      <c r="M28" s="85" t="s">
        <v>1931</v>
      </c>
      <c r="N28" s="82" t="s">
        <v>1942</v>
      </c>
      <c r="O28" s="4"/>
      <c r="P28" s="4"/>
      <c r="Q28" s="5">
        <v>50480</v>
      </c>
      <c r="R28" s="36"/>
      <c r="S28" s="36"/>
      <c r="T28" s="37"/>
      <c r="U28" s="5">
        <f t="shared" ref="U28" si="29">S28+R28+Q28-T28</f>
        <v>50480</v>
      </c>
      <c r="V28" s="5">
        <f t="shared" ref="V28" si="30">F28*U28</f>
        <v>538116.80000000005</v>
      </c>
      <c r="W28" s="5">
        <f t="shared" ref="W28" si="31">V28*18%</f>
        <v>96861.024000000005</v>
      </c>
      <c r="X28" s="5"/>
      <c r="Y28" s="5"/>
      <c r="Z28" s="98"/>
      <c r="AA28" s="23">
        <f t="shared" ref="AA28" si="32">F28*Z28</f>
        <v>0</v>
      </c>
      <c r="AB28" s="97">
        <f t="shared" ref="AB28" si="33">AA28*18%</f>
        <v>0</v>
      </c>
      <c r="AC28" s="43"/>
      <c r="AD28" s="49"/>
      <c r="AE28" s="5">
        <f t="shared" ref="AE28" si="34">+AB28+AA28+Y28+X28+W28+V28-AC28+AD28</f>
        <v>634977.82400000002</v>
      </c>
      <c r="AF28" s="139">
        <v>537</v>
      </c>
      <c r="AG28" s="139" t="s">
        <v>2060</v>
      </c>
      <c r="AH28" s="103">
        <v>10.66</v>
      </c>
      <c r="AI28" s="12"/>
      <c r="AJ28" s="40"/>
      <c r="AK28" s="40"/>
    </row>
    <row r="29" spans="2:37" s="41" customFormat="1" ht="16.149999999999999" customHeight="1">
      <c r="B29" s="140" t="s">
        <v>108</v>
      </c>
      <c r="C29" s="82" t="s">
        <v>1955</v>
      </c>
      <c r="D29" s="4"/>
      <c r="E29" s="82"/>
      <c r="F29" s="103"/>
      <c r="G29" s="14"/>
      <c r="H29" s="97"/>
      <c r="I29" s="83"/>
      <c r="J29" s="85"/>
      <c r="K29" s="135"/>
      <c r="L29" s="4"/>
      <c r="M29" s="85"/>
      <c r="N29" s="149"/>
      <c r="O29" s="4"/>
      <c r="P29" s="4"/>
      <c r="Q29" s="146"/>
      <c r="R29" s="36"/>
      <c r="S29" s="36"/>
      <c r="T29" s="37"/>
      <c r="U29" s="5"/>
      <c r="V29" s="5"/>
      <c r="W29" s="5"/>
      <c r="X29" s="5"/>
      <c r="Y29" s="5"/>
      <c r="Z29" s="98"/>
      <c r="AA29" s="23"/>
      <c r="AB29" s="97"/>
      <c r="AC29" s="43"/>
      <c r="AD29" s="49"/>
      <c r="AE29" s="5"/>
      <c r="AF29" s="139"/>
      <c r="AG29" s="139"/>
      <c r="AH29" s="103"/>
      <c r="AI29" s="12"/>
      <c r="AJ29" s="40"/>
      <c r="AK29" s="40"/>
    </row>
    <row r="30" spans="2:37" s="41" customFormat="1">
      <c r="B30" s="13"/>
      <c r="C30" s="48"/>
      <c r="D30" s="6"/>
      <c r="E30" s="6"/>
      <c r="F30" s="81">
        <f>SUM(F28:F29)</f>
        <v>10.66</v>
      </c>
      <c r="G30" s="20">
        <f>SUM(G28:G29)</f>
        <v>10660</v>
      </c>
      <c r="H30" s="21">
        <f>SUM(H28:H29)</f>
        <v>5</v>
      </c>
      <c r="I30" s="2"/>
      <c r="J30" s="7"/>
      <c r="K30" s="7"/>
      <c r="L30" s="7"/>
      <c r="M30" s="2"/>
      <c r="N30" s="6"/>
      <c r="O30" s="6"/>
      <c r="P30" s="6"/>
      <c r="Q30" s="19"/>
      <c r="R30" s="9"/>
      <c r="S30" s="9"/>
      <c r="T30" s="10"/>
      <c r="U30" s="8"/>
      <c r="V30" s="21">
        <f>SUM(V28:V29)</f>
        <v>538116.80000000005</v>
      </c>
      <c r="W30" s="21">
        <f>SUM(W28:W29)</f>
        <v>96861.024000000005</v>
      </c>
      <c r="X30" s="21">
        <f>SUM(X28:X29)</f>
        <v>0</v>
      </c>
      <c r="Y30" s="21">
        <f>SUM(Y28:Y29)</f>
        <v>0</v>
      </c>
      <c r="Z30" s="99"/>
      <c r="AA30" s="21">
        <f>SUM(AA28:AA29)</f>
        <v>0</v>
      </c>
      <c r="AB30" s="21">
        <f>SUM(AB28:AB29)</f>
        <v>0</v>
      </c>
      <c r="AC30" s="21"/>
      <c r="AD30" s="21">
        <f>SUM(AD28:AD29)</f>
        <v>0</v>
      </c>
      <c r="AE30" s="21">
        <f>SUM(AE28:AE29)</f>
        <v>634977.82400000002</v>
      </c>
      <c r="AF30" s="21"/>
      <c r="AG30" s="42"/>
      <c r="AH30" s="81">
        <f>SUM(AH28:AH29)</f>
        <v>10.66</v>
      </c>
      <c r="AI30" s="26">
        <f>AH30-F30</f>
        <v>0</v>
      </c>
      <c r="AJ30" s="41">
        <f>AA30/F30</f>
        <v>0</v>
      </c>
      <c r="AK30" s="40"/>
    </row>
    <row r="31" spans="2:37" s="41" customFormat="1" ht="16.149999999999999" customHeight="1">
      <c r="B31" s="104" t="s">
        <v>764</v>
      </c>
      <c r="C31" s="82" t="s">
        <v>1797</v>
      </c>
      <c r="D31" s="4"/>
      <c r="E31" s="85" t="s">
        <v>700</v>
      </c>
      <c r="F31" s="103">
        <v>33.799999999999997</v>
      </c>
      <c r="G31" s="14">
        <f t="shared" ref="G31:G47" si="35">+F31*1000</f>
        <v>33800</v>
      </c>
      <c r="H31" s="97">
        <v>9</v>
      </c>
      <c r="I31" s="83" t="s">
        <v>1807</v>
      </c>
      <c r="J31" s="85" t="s">
        <v>1808</v>
      </c>
      <c r="K31" s="135" t="s">
        <v>1809</v>
      </c>
      <c r="L31" s="4"/>
      <c r="M31" s="85" t="s">
        <v>1724</v>
      </c>
      <c r="N31" s="82" t="s">
        <v>1800</v>
      </c>
      <c r="O31" s="4"/>
      <c r="P31" s="4"/>
      <c r="Q31" s="5">
        <v>52580</v>
      </c>
      <c r="R31" s="36"/>
      <c r="S31" s="36"/>
      <c r="T31" s="37"/>
      <c r="U31" s="5">
        <f t="shared" ref="U31:U47" si="36">S31+R31+Q31-T31</f>
        <v>52580</v>
      </c>
      <c r="V31" s="5">
        <f t="shared" ref="V31:V47" si="37">F31*U31</f>
        <v>1777203.9999999998</v>
      </c>
      <c r="W31" s="5">
        <f t="shared" ref="W31:W47" si="38">V31*18%</f>
        <v>319896.71999999997</v>
      </c>
      <c r="X31" s="5"/>
      <c r="Y31" s="5"/>
      <c r="Z31" s="98"/>
      <c r="AA31" s="23">
        <f t="shared" ref="AA31:AA47" si="39">F31*Z31</f>
        <v>0</v>
      </c>
      <c r="AB31" s="97">
        <f t="shared" ref="AB31:AB47" si="40">AA31*18%</f>
        <v>0</v>
      </c>
      <c r="AC31" s="43"/>
      <c r="AD31" s="46"/>
      <c r="AE31" s="5">
        <f t="shared" ref="AE31:AE47" si="41">+AB31+AA31+Y31+X31+W31+V31-AC31+AD31</f>
        <v>2097100.7199999997</v>
      </c>
      <c r="AF31" s="114">
        <v>549</v>
      </c>
      <c r="AG31" s="139" t="s">
        <v>2060</v>
      </c>
      <c r="AH31" s="103">
        <v>33.799999999999997</v>
      </c>
      <c r="AI31" s="12"/>
      <c r="AJ31" s="40"/>
      <c r="AK31" s="40"/>
    </row>
    <row r="32" spans="2:37" s="41" customFormat="1" ht="16.149999999999999" customHeight="1">
      <c r="B32" s="70" t="s">
        <v>767</v>
      </c>
      <c r="C32" s="82" t="s">
        <v>1798</v>
      </c>
      <c r="D32" s="4"/>
      <c r="E32" s="85" t="s">
        <v>700</v>
      </c>
      <c r="F32" s="103">
        <v>33.65</v>
      </c>
      <c r="G32" s="14">
        <f t="shared" si="35"/>
        <v>33650</v>
      </c>
      <c r="H32" s="97">
        <v>9</v>
      </c>
      <c r="I32" s="83" t="s">
        <v>1807</v>
      </c>
      <c r="J32" s="85" t="s">
        <v>1808</v>
      </c>
      <c r="K32" s="135" t="s">
        <v>1810</v>
      </c>
      <c r="L32" s="4"/>
      <c r="M32" s="85" t="s">
        <v>1724</v>
      </c>
      <c r="N32" s="82" t="s">
        <v>1801</v>
      </c>
      <c r="O32" s="4"/>
      <c r="P32" s="4"/>
      <c r="Q32" s="5">
        <v>52580</v>
      </c>
      <c r="R32" s="36"/>
      <c r="S32" s="36"/>
      <c r="T32" s="37"/>
      <c r="U32" s="5">
        <f t="shared" si="36"/>
        <v>52580</v>
      </c>
      <c r="V32" s="5">
        <f t="shared" si="37"/>
        <v>1769317</v>
      </c>
      <c r="W32" s="5">
        <f t="shared" si="38"/>
        <v>318477.06</v>
      </c>
      <c r="X32" s="5"/>
      <c r="Y32" s="5"/>
      <c r="Z32" s="98"/>
      <c r="AA32" s="23">
        <f t="shared" si="39"/>
        <v>0</v>
      </c>
      <c r="AB32" s="97">
        <f t="shared" si="40"/>
        <v>0</v>
      </c>
      <c r="AC32" s="43"/>
      <c r="AD32" s="46"/>
      <c r="AE32" s="5">
        <f t="shared" si="41"/>
        <v>2087794.06</v>
      </c>
      <c r="AF32" s="114">
        <v>550</v>
      </c>
      <c r="AG32" s="139" t="s">
        <v>2060</v>
      </c>
      <c r="AH32" s="103">
        <v>33.65</v>
      </c>
      <c r="AI32" s="12"/>
      <c r="AJ32" s="40"/>
      <c r="AK32" s="40"/>
    </row>
    <row r="33" spans="2:37" s="41" customFormat="1" ht="16.149999999999999" customHeight="1">
      <c r="B33" s="89" t="s">
        <v>1806</v>
      </c>
      <c r="C33" s="4"/>
      <c r="D33" s="4"/>
      <c r="E33" s="85" t="s">
        <v>700</v>
      </c>
      <c r="F33" s="103">
        <v>33.729999999999997</v>
      </c>
      <c r="G33" s="14">
        <f t="shared" si="35"/>
        <v>33730</v>
      </c>
      <c r="H33" s="97">
        <v>9</v>
      </c>
      <c r="I33" s="83" t="s">
        <v>1807</v>
      </c>
      <c r="J33" s="85" t="s">
        <v>1808</v>
      </c>
      <c r="K33" s="135" t="s">
        <v>1811</v>
      </c>
      <c r="L33" s="4"/>
      <c r="M33" s="85" t="s">
        <v>1724</v>
      </c>
      <c r="N33" s="82" t="s">
        <v>1802</v>
      </c>
      <c r="O33" s="4"/>
      <c r="P33" s="4"/>
      <c r="Q33" s="5">
        <v>52580</v>
      </c>
      <c r="R33" s="36"/>
      <c r="S33" s="36"/>
      <c r="T33" s="37"/>
      <c r="U33" s="5">
        <f t="shared" si="36"/>
        <v>52580</v>
      </c>
      <c r="V33" s="5">
        <f t="shared" si="37"/>
        <v>1773523.4</v>
      </c>
      <c r="W33" s="5">
        <f t="shared" si="38"/>
        <v>319234.212</v>
      </c>
      <c r="X33" s="5"/>
      <c r="Y33" s="5"/>
      <c r="Z33" s="98"/>
      <c r="AA33" s="23">
        <f t="shared" si="39"/>
        <v>0</v>
      </c>
      <c r="AB33" s="97">
        <f t="shared" si="40"/>
        <v>0</v>
      </c>
      <c r="AC33" s="43"/>
      <c r="AD33" s="46"/>
      <c r="AE33" s="5">
        <f t="shared" si="41"/>
        <v>2092757.612</v>
      </c>
      <c r="AF33" s="114">
        <v>551</v>
      </c>
      <c r="AG33" s="139" t="s">
        <v>2060</v>
      </c>
      <c r="AH33" s="103">
        <v>33.729999999999997</v>
      </c>
      <c r="AI33" s="12"/>
      <c r="AJ33" s="40"/>
      <c r="AK33" s="40"/>
    </row>
    <row r="34" spans="2:37" s="41" customFormat="1" ht="16.149999999999999" customHeight="1">
      <c r="B34" s="89" t="s">
        <v>1799</v>
      </c>
      <c r="C34" s="4"/>
      <c r="D34" s="4"/>
      <c r="E34" s="85" t="s">
        <v>700</v>
      </c>
      <c r="F34" s="103">
        <v>33.869999999999997</v>
      </c>
      <c r="G34" s="14">
        <f t="shared" si="35"/>
        <v>33870</v>
      </c>
      <c r="H34" s="97">
        <v>9</v>
      </c>
      <c r="I34" s="83" t="s">
        <v>1807</v>
      </c>
      <c r="J34" s="85" t="s">
        <v>1808</v>
      </c>
      <c r="K34" s="135" t="s">
        <v>1812</v>
      </c>
      <c r="L34" s="4"/>
      <c r="M34" s="85" t="s">
        <v>1724</v>
      </c>
      <c r="N34" s="82" t="s">
        <v>1803</v>
      </c>
      <c r="O34" s="4"/>
      <c r="P34" s="4"/>
      <c r="Q34" s="5">
        <v>52580</v>
      </c>
      <c r="R34" s="36"/>
      <c r="S34" s="36"/>
      <c r="T34" s="37"/>
      <c r="U34" s="5">
        <f t="shared" si="36"/>
        <v>52580</v>
      </c>
      <c r="V34" s="5">
        <f t="shared" si="37"/>
        <v>1780884.5999999999</v>
      </c>
      <c r="W34" s="5">
        <f t="shared" si="38"/>
        <v>320559.22799999994</v>
      </c>
      <c r="X34" s="5"/>
      <c r="Y34" s="5"/>
      <c r="Z34" s="98"/>
      <c r="AA34" s="23">
        <f t="shared" si="39"/>
        <v>0</v>
      </c>
      <c r="AB34" s="97">
        <f t="shared" si="40"/>
        <v>0</v>
      </c>
      <c r="AC34" s="43"/>
      <c r="AD34" s="46"/>
      <c r="AE34" s="5">
        <f t="shared" si="41"/>
        <v>2101443.8279999997</v>
      </c>
      <c r="AF34" s="114">
        <v>552</v>
      </c>
      <c r="AG34" s="139" t="s">
        <v>2060</v>
      </c>
      <c r="AH34" s="103">
        <v>33.869999999999997</v>
      </c>
      <c r="AI34" s="12"/>
      <c r="AJ34" s="40"/>
      <c r="AK34" s="40"/>
    </row>
    <row r="35" spans="2:37" s="41" customFormat="1" ht="16.149999999999999" customHeight="1">
      <c r="B35" s="89"/>
      <c r="C35" s="4"/>
      <c r="D35" s="4"/>
      <c r="E35" s="85" t="s">
        <v>700</v>
      </c>
      <c r="F35" s="103">
        <v>30.02</v>
      </c>
      <c r="G35" s="14">
        <f t="shared" si="35"/>
        <v>30020</v>
      </c>
      <c r="H35" s="97">
        <v>8</v>
      </c>
      <c r="I35" s="83" t="s">
        <v>1807</v>
      </c>
      <c r="J35" s="85" t="s">
        <v>1808</v>
      </c>
      <c r="K35" s="135" t="s">
        <v>1813</v>
      </c>
      <c r="L35" s="4"/>
      <c r="M35" s="85" t="s">
        <v>1726</v>
      </c>
      <c r="N35" s="82" t="s">
        <v>893</v>
      </c>
      <c r="O35" s="4"/>
      <c r="P35" s="4"/>
      <c r="Q35" s="5">
        <v>52580</v>
      </c>
      <c r="R35" s="36"/>
      <c r="S35" s="36"/>
      <c r="T35" s="37"/>
      <c r="U35" s="5">
        <f t="shared" si="36"/>
        <v>52580</v>
      </c>
      <c r="V35" s="5">
        <f t="shared" si="37"/>
        <v>1578451.6</v>
      </c>
      <c r="W35" s="5">
        <f t="shared" si="38"/>
        <v>284121.288</v>
      </c>
      <c r="X35" s="5"/>
      <c r="Y35" s="5"/>
      <c r="Z35" s="98"/>
      <c r="AA35" s="23">
        <f t="shared" si="39"/>
        <v>0</v>
      </c>
      <c r="AB35" s="97">
        <f t="shared" si="40"/>
        <v>0</v>
      </c>
      <c r="AC35" s="43"/>
      <c r="AD35" s="46"/>
      <c r="AE35" s="5">
        <f t="shared" si="41"/>
        <v>1862572.888</v>
      </c>
      <c r="AF35" s="114">
        <v>553</v>
      </c>
      <c r="AG35" s="139" t="s">
        <v>2060</v>
      </c>
      <c r="AH35" s="103">
        <v>30.02</v>
      </c>
      <c r="AI35" s="12"/>
      <c r="AJ35" s="40"/>
      <c r="AK35" s="40"/>
    </row>
    <row r="36" spans="2:37" s="41" customFormat="1" ht="16.149999999999999" customHeight="1">
      <c r="B36" s="89"/>
      <c r="C36" s="4"/>
      <c r="D36" s="4"/>
      <c r="E36" s="85" t="s">
        <v>700</v>
      </c>
      <c r="F36" s="103">
        <v>30.06</v>
      </c>
      <c r="G36" s="14">
        <f t="shared" si="35"/>
        <v>30060</v>
      </c>
      <c r="H36" s="97">
        <v>8</v>
      </c>
      <c r="I36" s="83" t="s">
        <v>1807</v>
      </c>
      <c r="J36" s="85" t="s">
        <v>1808</v>
      </c>
      <c r="K36" s="135" t="s">
        <v>1814</v>
      </c>
      <c r="L36" s="4"/>
      <c r="M36" s="85" t="s">
        <v>1726</v>
      </c>
      <c r="N36" s="82" t="s">
        <v>895</v>
      </c>
      <c r="O36" s="4"/>
      <c r="P36" s="4"/>
      <c r="Q36" s="5">
        <v>52580</v>
      </c>
      <c r="R36" s="36"/>
      <c r="S36" s="36"/>
      <c r="T36" s="37"/>
      <c r="U36" s="5">
        <f t="shared" si="36"/>
        <v>52580</v>
      </c>
      <c r="V36" s="5">
        <f t="shared" si="37"/>
        <v>1580554.8</v>
      </c>
      <c r="W36" s="5">
        <f t="shared" si="38"/>
        <v>284499.864</v>
      </c>
      <c r="X36" s="5"/>
      <c r="Y36" s="5"/>
      <c r="Z36" s="98"/>
      <c r="AA36" s="23">
        <f t="shared" si="39"/>
        <v>0</v>
      </c>
      <c r="AB36" s="97">
        <f t="shared" si="40"/>
        <v>0</v>
      </c>
      <c r="AC36" s="43"/>
      <c r="AD36" s="46"/>
      <c r="AE36" s="5">
        <f t="shared" si="41"/>
        <v>1865054.6640000001</v>
      </c>
      <c r="AF36" s="114">
        <v>554</v>
      </c>
      <c r="AG36" s="139" t="s">
        <v>2060</v>
      </c>
      <c r="AH36" s="103">
        <v>30.06</v>
      </c>
      <c r="AI36" s="12"/>
      <c r="AJ36" s="40"/>
      <c r="AK36" s="40"/>
    </row>
    <row r="37" spans="2:37" s="41" customFormat="1" ht="16.149999999999999" customHeight="1">
      <c r="B37" s="89"/>
      <c r="C37" s="4"/>
      <c r="D37" s="4"/>
      <c r="E37" s="85" t="s">
        <v>700</v>
      </c>
      <c r="F37" s="103">
        <v>37.64</v>
      </c>
      <c r="G37" s="14">
        <f t="shared" si="35"/>
        <v>37640</v>
      </c>
      <c r="H37" s="97">
        <v>10</v>
      </c>
      <c r="I37" s="83" t="s">
        <v>1807</v>
      </c>
      <c r="J37" s="85" t="s">
        <v>1808</v>
      </c>
      <c r="K37" s="135" t="s">
        <v>1815</v>
      </c>
      <c r="L37" s="4"/>
      <c r="M37" s="85" t="s">
        <v>1726</v>
      </c>
      <c r="N37" s="82" t="s">
        <v>1804</v>
      </c>
      <c r="O37" s="4"/>
      <c r="P37" s="4"/>
      <c r="Q37" s="5">
        <v>52580</v>
      </c>
      <c r="R37" s="36"/>
      <c r="S37" s="36"/>
      <c r="T37" s="37"/>
      <c r="U37" s="5">
        <f t="shared" si="36"/>
        <v>52580</v>
      </c>
      <c r="V37" s="5">
        <f t="shared" si="37"/>
        <v>1979111.2</v>
      </c>
      <c r="W37" s="5">
        <f t="shared" si="38"/>
        <v>356240.016</v>
      </c>
      <c r="X37" s="5"/>
      <c r="Y37" s="5"/>
      <c r="Z37" s="98"/>
      <c r="AA37" s="23">
        <f t="shared" si="39"/>
        <v>0</v>
      </c>
      <c r="AB37" s="97">
        <f t="shared" si="40"/>
        <v>0</v>
      </c>
      <c r="AC37" s="43"/>
      <c r="AD37" s="46"/>
      <c r="AE37" s="5">
        <f t="shared" si="41"/>
        <v>2335351.216</v>
      </c>
      <c r="AF37" s="114">
        <v>555</v>
      </c>
      <c r="AG37" s="139" t="s">
        <v>2060</v>
      </c>
      <c r="AH37" s="103">
        <v>37.64</v>
      </c>
      <c r="AI37" s="12"/>
      <c r="AJ37" s="40"/>
      <c r="AK37" s="40"/>
    </row>
    <row r="38" spans="2:37" s="41" customFormat="1" ht="16.149999999999999" customHeight="1">
      <c r="B38" s="89"/>
      <c r="C38" s="4"/>
      <c r="D38" s="4"/>
      <c r="E38" s="85" t="s">
        <v>700</v>
      </c>
      <c r="F38" s="103">
        <v>33.799999999999997</v>
      </c>
      <c r="G38" s="14">
        <f t="shared" si="35"/>
        <v>33800</v>
      </c>
      <c r="H38" s="97">
        <v>9</v>
      </c>
      <c r="I38" s="83" t="s">
        <v>1807</v>
      </c>
      <c r="J38" s="85" t="s">
        <v>1808</v>
      </c>
      <c r="K38" s="135" t="s">
        <v>1816</v>
      </c>
      <c r="L38" s="4"/>
      <c r="M38" s="85" t="s">
        <v>1726</v>
      </c>
      <c r="N38" s="82" t="s">
        <v>1805</v>
      </c>
      <c r="O38" s="4"/>
      <c r="P38" s="4"/>
      <c r="Q38" s="5">
        <v>52580</v>
      </c>
      <c r="R38" s="36"/>
      <c r="S38" s="36"/>
      <c r="T38" s="37"/>
      <c r="U38" s="5">
        <f t="shared" si="36"/>
        <v>52580</v>
      </c>
      <c r="V38" s="5">
        <f t="shared" si="37"/>
        <v>1777203.9999999998</v>
      </c>
      <c r="W38" s="5">
        <f t="shared" si="38"/>
        <v>319896.71999999997</v>
      </c>
      <c r="X38" s="5"/>
      <c r="Y38" s="5"/>
      <c r="Z38" s="98"/>
      <c r="AA38" s="23">
        <f t="shared" si="39"/>
        <v>0</v>
      </c>
      <c r="AB38" s="97">
        <f t="shared" si="40"/>
        <v>0</v>
      </c>
      <c r="AC38" s="43"/>
      <c r="AD38" s="46"/>
      <c r="AE38" s="5">
        <f t="shared" si="41"/>
        <v>2097100.7199999997</v>
      </c>
      <c r="AF38" s="114">
        <v>556</v>
      </c>
      <c r="AG38" s="139" t="s">
        <v>2060</v>
      </c>
      <c r="AH38" s="103">
        <v>33.799999999999997</v>
      </c>
      <c r="AI38" s="12"/>
      <c r="AJ38" s="40"/>
      <c r="AK38" s="40"/>
    </row>
    <row r="39" spans="2:37" s="41" customFormat="1" ht="16.149999999999999" customHeight="1">
      <c r="B39" s="89"/>
      <c r="C39" s="4"/>
      <c r="D39" s="4"/>
      <c r="E39" s="85" t="s">
        <v>700</v>
      </c>
      <c r="F39" s="103">
        <v>30.1</v>
      </c>
      <c r="G39" s="14">
        <f t="shared" si="35"/>
        <v>30100</v>
      </c>
      <c r="H39" s="97">
        <v>8</v>
      </c>
      <c r="I39" s="83" t="s">
        <v>1807</v>
      </c>
      <c r="J39" s="85" t="s">
        <v>1808</v>
      </c>
      <c r="K39" s="135" t="s">
        <v>1817</v>
      </c>
      <c r="L39" s="4"/>
      <c r="M39" s="85" t="s">
        <v>1726</v>
      </c>
      <c r="N39" s="82" t="s">
        <v>1501</v>
      </c>
      <c r="O39" s="4"/>
      <c r="P39" s="4"/>
      <c r="Q39" s="5">
        <v>52580</v>
      </c>
      <c r="R39" s="36"/>
      <c r="S39" s="36"/>
      <c r="T39" s="37"/>
      <c r="U39" s="5">
        <f t="shared" si="36"/>
        <v>52580</v>
      </c>
      <c r="V39" s="5">
        <f t="shared" si="37"/>
        <v>1582658</v>
      </c>
      <c r="W39" s="5">
        <f t="shared" si="38"/>
        <v>284878.44</v>
      </c>
      <c r="X39" s="5"/>
      <c r="Y39" s="5"/>
      <c r="Z39" s="98"/>
      <c r="AA39" s="23">
        <f t="shared" si="39"/>
        <v>0</v>
      </c>
      <c r="AB39" s="97">
        <f t="shared" si="40"/>
        <v>0</v>
      </c>
      <c r="AC39" s="43"/>
      <c r="AD39" s="46"/>
      <c r="AE39" s="5">
        <f t="shared" si="41"/>
        <v>1867536.44</v>
      </c>
      <c r="AF39" s="114">
        <v>557</v>
      </c>
      <c r="AG39" s="139" t="s">
        <v>2060</v>
      </c>
      <c r="AH39" s="103">
        <v>30.1</v>
      </c>
      <c r="AI39" s="12"/>
      <c r="AJ39" s="40"/>
      <c r="AK39" s="40"/>
    </row>
    <row r="40" spans="2:37" s="41" customFormat="1" ht="16.149999999999999" customHeight="1">
      <c r="B40" s="89"/>
      <c r="C40" s="4"/>
      <c r="D40" s="4"/>
      <c r="E40" s="85" t="s">
        <v>700</v>
      </c>
      <c r="F40" s="103">
        <v>29.93</v>
      </c>
      <c r="G40" s="14">
        <f t="shared" si="35"/>
        <v>29930</v>
      </c>
      <c r="H40" s="97">
        <v>8</v>
      </c>
      <c r="I40" s="83" t="s">
        <v>1807</v>
      </c>
      <c r="J40" s="85" t="s">
        <v>1808</v>
      </c>
      <c r="K40" s="135" t="s">
        <v>1818</v>
      </c>
      <c r="L40" s="4"/>
      <c r="M40" s="85" t="s">
        <v>1726</v>
      </c>
      <c r="N40" s="82" t="s">
        <v>1553</v>
      </c>
      <c r="O40" s="4"/>
      <c r="P40" s="4"/>
      <c r="Q40" s="5">
        <v>52580</v>
      </c>
      <c r="R40" s="36"/>
      <c r="S40" s="36"/>
      <c r="T40" s="37"/>
      <c r="U40" s="5">
        <f t="shared" si="36"/>
        <v>52580</v>
      </c>
      <c r="V40" s="5">
        <f t="shared" si="37"/>
        <v>1573719.4</v>
      </c>
      <c r="W40" s="5">
        <f t="shared" si="38"/>
        <v>283269.49199999997</v>
      </c>
      <c r="X40" s="5"/>
      <c r="Y40" s="5"/>
      <c r="Z40" s="98"/>
      <c r="AA40" s="23">
        <f t="shared" si="39"/>
        <v>0</v>
      </c>
      <c r="AB40" s="97">
        <f t="shared" si="40"/>
        <v>0</v>
      </c>
      <c r="AC40" s="43"/>
      <c r="AD40" s="46"/>
      <c r="AE40" s="5">
        <f t="shared" si="41"/>
        <v>1856988.892</v>
      </c>
      <c r="AF40" s="114">
        <v>558</v>
      </c>
      <c r="AG40" s="139" t="s">
        <v>2060</v>
      </c>
      <c r="AH40" s="103">
        <v>29.93</v>
      </c>
      <c r="AI40" s="12"/>
      <c r="AJ40" s="40"/>
      <c r="AK40" s="40"/>
    </row>
    <row r="41" spans="2:37" s="41" customFormat="1" ht="16.149999999999999" customHeight="1">
      <c r="B41" s="89"/>
      <c r="C41" s="4"/>
      <c r="D41" s="4"/>
      <c r="E41" s="85" t="s">
        <v>700</v>
      </c>
      <c r="F41" s="103">
        <v>33.81</v>
      </c>
      <c r="G41" s="14">
        <f t="shared" si="35"/>
        <v>33810</v>
      </c>
      <c r="H41" s="97">
        <v>9</v>
      </c>
      <c r="I41" s="83" t="s">
        <v>1807</v>
      </c>
      <c r="J41" s="85" t="s">
        <v>1808</v>
      </c>
      <c r="K41" s="135" t="s">
        <v>1819</v>
      </c>
      <c r="L41" s="4"/>
      <c r="M41" s="85" t="s">
        <v>1726</v>
      </c>
      <c r="N41" s="82" t="s">
        <v>1274</v>
      </c>
      <c r="O41" s="4"/>
      <c r="P41" s="4"/>
      <c r="Q41" s="5">
        <v>52580</v>
      </c>
      <c r="R41" s="36"/>
      <c r="S41" s="36"/>
      <c r="T41" s="37"/>
      <c r="U41" s="5">
        <f t="shared" si="36"/>
        <v>52580</v>
      </c>
      <c r="V41" s="5">
        <f t="shared" si="37"/>
        <v>1777729.8</v>
      </c>
      <c r="W41" s="5">
        <f t="shared" si="38"/>
        <v>319991.364</v>
      </c>
      <c r="X41" s="5"/>
      <c r="Y41" s="5"/>
      <c r="Z41" s="98"/>
      <c r="AA41" s="23">
        <f t="shared" si="39"/>
        <v>0</v>
      </c>
      <c r="AB41" s="97">
        <f t="shared" si="40"/>
        <v>0</v>
      </c>
      <c r="AC41" s="43"/>
      <c r="AD41" s="46"/>
      <c r="AE41" s="5">
        <f t="shared" si="41"/>
        <v>2097721.1639999999</v>
      </c>
      <c r="AF41" s="114">
        <v>559</v>
      </c>
      <c r="AG41" s="139" t="s">
        <v>2060</v>
      </c>
      <c r="AH41" s="103">
        <v>33.81</v>
      </c>
      <c r="AI41" s="12"/>
      <c r="AJ41" s="40"/>
      <c r="AK41" s="40"/>
    </row>
    <row r="42" spans="2:37" s="41" customFormat="1" ht="16.149999999999999" customHeight="1">
      <c r="B42" s="89"/>
      <c r="C42" s="4"/>
      <c r="D42" s="4"/>
      <c r="E42" s="85" t="s">
        <v>700</v>
      </c>
      <c r="F42" s="103">
        <v>30.13</v>
      </c>
      <c r="G42" s="14">
        <f t="shared" si="35"/>
        <v>30130</v>
      </c>
      <c r="H42" s="97">
        <v>8</v>
      </c>
      <c r="I42" s="83" t="s">
        <v>1807</v>
      </c>
      <c r="J42" s="85" t="s">
        <v>1808</v>
      </c>
      <c r="K42" s="135" t="s">
        <v>1893</v>
      </c>
      <c r="L42" s="4"/>
      <c r="M42" s="85" t="s">
        <v>1823</v>
      </c>
      <c r="N42" s="82" t="s">
        <v>1890</v>
      </c>
      <c r="O42" s="4"/>
      <c r="P42" s="4"/>
      <c r="Q42" s="5">
        <v>52580</v>
      </c>
      <c r="R42" s="36"/>
      <c r="S42" s="36"/>
      <c r="T42" s="37"/>
      <c r="U42" s="5">
        <f t="shared" si="36"/>
        <v>52580</v>
      </c>
      <c r="V42" s="5">
        <f t="shared" si="37"/>
        <v>1584235.4</v>
      </c>
      <c r="W42" s="5">
        <f t="shared" si="38"/>
        <v>285162.37199999997</v>
      </c>
      <c r="X42" s="5"/>
      <c r="Y42" s="5"/>
      <c r="Z42" s="98"/>
      <c r="AA42" s="23">
        <f t="shared" si="39"/>
        <v>0</v>
      </c>
      <c r="AB42" s="97">
        <f t="shared" si="40"/>
        <v>0</v>
      </c>
      <c r="AC42" s="43"/>
      <c r="AD42" s="46"/>
      <c r="AE42" s="5">
        <f t="shared" si="41"/>
        <v>1869397.7719999999</v>
      </c>
      <c r="AF42" s="114">
        <v>560</v>
      </c>
      <c r="AG42" s="139" t="s">
        <v>2060</v>
      </c>
      <c r="AH42" s="103">
        <v>30.13</v>
      </c>
      <c r="AI42" s="12"/>
      <c r="AJ42" s="40"/>
      <c r="AK42" s="40"/>
    </row>
    <row r="43" spans="2:37" s="41" customFormat="1" ht="16.149999999999999" customHeight="1">
      <c r="B43" s="89"/>
      <c r="C43" s="4"/>
      <c r="D43" s="4"/>
      <c r="E43" s="85" t="s">
        <v>700</v>
      </c>
      <c r="F43" s="103">
        <v>30.09</v>
      </c>
      <c r="G43" s="14">
        <f t="shared" si="35"/>
        <v>30090</v>
      </c>
      <c r="H43" s="97">
        <v>8</v>
      </c>
      <c r="I43" s="83" t="s">
        <v>1807</v>
      </c>
      <c r="J43" s="85" t="s">
        <v>1808</v>
      </c>
      <c r="K43" s="135" t="s">
        <v>1894</v>
      </c>
      <c r="L43" s="4"/>
      <c r="M43" s="85" t="s">
        <v>1823</v>
      </c>
      <c r="N43" s="82" t="s">
        <v>1891</v>
      </c>
      <c r="O43" s="4"/>
      <c r="P43" s="4"/>
      <c r="Q43" s="5">
        <v>52580</v>
      </c>
      <c r="R43" s="36"/>
      <c r="S43" s="36"/>
      <c r="T43" s="37"/>
      <c r="U43" s="5">
        <f t="shared" si="36"/>
        <v>52580</v>
      </c>
      <c r="V43" s="5">
        <f t="shared" si="37"/>
        <v>1582132.2</v>
      </c>
      <c r="W43" s="5">
        <f t="shared" si="38"/>
        <v>284783.79599999997</v>
      </c>
      <c r="X43" s="5"/>
      <c r="Y43" s="5"/>
      <c r="Z43" s="98"/>
      <c r="AA43" s="23">
        <f t="shared" si="39"/>
        <v>0</v>
      </c>
      <c r="AB43" s="97">
        <f t="shared" si="40"/>
        <v>0</v>
      </c>
      <c r="AC43" s="43"/>
      <c r="AD43" s="46"/>
      <c r="AE43" s="5">
        <f t="shared" si="41"/>
        <v>1866915.9959999998</v>
      </c>
      <c r="AF43" s="114">
        <v>561</v>
      </c>
      <c r="AG43" s="139" t="s">
        <v>2060</v>
      </c>
      <c r="AH43" s="103">
        <v>30.09</v>
      </c>
      <c r="AI43" s="12"/>
      <c r="AJ43" s="40"/>
      <c r="AK43" s="40"/>
    </row>
    <row r="44" spans="2:37" s="41" customFormat="1" ht="16.149999999999999" customHeight="1">
      <c r="B44" s="89"/>
      <c r="C44" s="4"/>
      <c r="D44" s="4"/>
      <c r="E44" s="85" t="s">
        <v>700</v>
      </c>
      <c r="F44" s="103">
        <v>33.57</v>
      </c>
      <c r="G44" s="14">
        <f t="shared" si="35"/>
        <v>33570</v>
      </c>
      <c r="H44" s="97">
        <v>9</v>
      </c>
      <c r="I44" s="83" t="s">
        <v>1807</v>
      </c>
      <c r="J44" s="85" t="s">
        <v>1808</v>
      </c>
      <c r="K44" s="135" t="s">
        <v>1895</v>
      </c>
      <c r="L44" s="4"/>
      <c r="M44" s="85" t="s">
        <v>1823</v>
      </c>
      <c r="N44" s="82" t="s">
        <v>902</v>
      </c>
      <c r="O44" s="4"/>
      <c r="P44" s="4"/>
      <c r="Q44" s="5">
        <v>52580</v>
      </c>
      <c r="R44" s="36"/>
      <c r="S44" s="36"/>
      <c r="T44" s="37"/>
      <c r="U44" s="5">
        <f t="shared" si="36"/>
        <v>52580</v>
      </c>
      <c r="V44" s="5">
        <f t="shared" si="37"/>
        <v>1765110.6</v>
      </c>
      <c r="W44" s="5">
        <f t="shared" si="38"/>
        <v>317719.908</v>
      </c>
      <c r="X44" s="5"/>
      <c r="Y44" s="5"/>
      <c r="Z44" s="98"/>
      <c r="AA44" s="23">
        <f t="shared" si="39"/>
        <v>0</v>
      </c>
      <c r="AB44" s="97">
        <f t="shared" si="40"/>
        <v>0</v>
      </c>
      <c r="AC44" s="43"/>
      <c r="AD44" s="46"/>
      <c r="AE44" s="5">
        <f t="shared" si="41"/>
        <v>2082830.5080000001</v>
      </c>
      <c r="AF44" s="114">
        <v>562</v>
      </c>
      <c r="AG44" s="139" t="s">
        <v>2060</v>
      </c>
      <c r="AH44" s="103">
        <v>33.57</v>
      </c>
      <c r="AI44" s="12"/>
      <c r="AJ44" s="40"/>
      <c r="AK44" s="40"/>
    </row>
    <row r="45" spans="2:37" s="41" customFormat="1" ht="16.149999999999999" customHeight="1">
      <c r="B45" s="89"/>
      <c r="C45" s="4"/>
      <c r="D45" s="4"/>
      <c r="E45" s="85" t="s">
        <v>700</v>
      </c>
      <c r="F45" s="103">
        <v>33.74</v>
      </c>
      <c r="G45" s="14">
        <f t="shared" si="35"/>
        <v>33740</v>
      </c>
      <c r="H45" s="97">
        <v>9</v>
      </c>
      <c r="I45" s="83" t="s">
        <v>1807</v>
      </c>
      <c r="J45" s="85" t="s">
        <v>1808</v>
      </c>
      <c r="K45" s="135" t="s">
        <v>1896</v>
      </c>
      <c r="L45" s="4"/>
      <c r="M45" s="85" t="s">
        <v>1840</v>
      </c>
      <c r="N45" s="82" t="s">
        <v>877</v>
      </c>
      <c r="O45" s="4"/>
      <c r="P45" s="4"/>
      <c r="Q45" s="5">
        <v>52580</v>
      </c>
      <c r="R45" s="36"/>
      <c r="S45" s="36"/>
      <c r="T45" s="37"/>
      <c r="U45" s="5">
        <f t="shared" si="36"/>
        <v>52580</v>
      </c>
      <c r="V45" s="5">
        <f t="shared" si="37"/>
        <v>1774049.2000000002</v>
      </c>
      <c r="W45" s="5">
        <f t="shared" si="38"/>
        <v>319328.85600000003</v>
      </c>
      <c r="X45" s="5"/>
      <c r="Y45" s="5"/>
      <c r="Z45" s="98"/>
      <c r="AA45" s="23">
        <f t="shared" si="39"/>
        <v>0</v>
      </c>
      <c r="AB45" s="97">
        <f t="shared" si="40"/>
        <v>0</v>
      </c>
      <c r="AC45" s="43"/>
      <c r="AD45" s="46"/>
      <c r="AE45" s="5">
        <f t="shared" si="41"/>
        <v>2093378.0560000003</v>
      </c>
      <c r="AF45" s="114">
        <v>563</v>
      </c>
      <c r="AG45" s="139" t="s">
        <v>2060</v>
      </c>
      <c r="AH45" s="103">
        <v>33.74</v>
      </c>
      <c r="AI45" s="12"/>
      <c r="AJ45" s="40"/>
      <c r="AK45" s="40"/>
    </row>
    <row r="46" spans="2:37" s="41" customFormat="1" ht="16.149999999999999" customHeight="1">
      <c r="B46" s="89"/>
      <c r="C46" s="4"/>
      <c r="D46" s="4"/>
      <c r="E46" s="85" t="s">
        <v>700</v>
      </c>
      <c r="F46" s="103">
        <v>3.29</v>
      </c>
      <c r="G46" s="14">
        <f t="shared" si="35"/>
        <v>3290</v>
      </c>
      <c r="H46" s="97">
        <v>1</v>
      </c>
      <c r="I46" s="83" t="s">
        <v>1807</v>
      </c>
      <c r="J46" s="85" t="s">
        <v>1808</v>
      </c>
      <c r="K46" s="147" t="s">
        <v>1897</v>
      </c>
      <c r="L46" s="4"/>
      <c r="M46" s="85" t="s">
        <v>1840</v>
      </c>
      <c r="N46" s="82" t="s">
        <v>1892</v>
      </c>
      <c r="O46" s="4"/>
      <c r="P46" s="4"/>
      <c r="Q46" s="5">
        <v>52580</v>
      </c>
      <c r="R46" s="36"/>
      <c r="S46" s="36"/>
      <c r="T46" s="37"/>
      <c r="U46" s="5">
        <f t="shared" si="36"/>
        <v>52580</v>
      </c>
      <c r="V46" s="5">
        <f t="shared" si="37"/>
        <v>172988.2</v>
      </c>
      <c r="W46" s="5">
        <f t="shared" si="38"/>
        <v>31137.876</v>
      </c>
      <c r="X46" s="5"/>
      <c r="Y46" s="5"/>
      <c r="Z46" s="98"/>
      <c r="AA46" s="23">
        <f t="shared" si="39"/>
        <v>0</v>
      </c>
      <c r="AB46" s="97">
        <f t="shared" si="40"/>
        <v>0</v>
      </c>
      <c r="AC46" s="43"/>
      <c r="AD46" s="46"/>
      <c r="AE46" s="5">
        <f t="shared" si="41"/>
        <v>204126.076</v>
      </c>
      <c r="AF46" s="114">
        <v>564</v>
      </c>
      <c r="AG46" s="139" t="s">
        <v>2060</v>
      </c>
      <c r="AH46" s="103">
        <v>3.29</v>
      </c>
      <c r="AI46" s="12"/>
      <c r="AJ46" s="40"/>
      <c r="AK46" s="40"/>
    </row>
    <row r="47" spans="2:37" s="41" customFormat="1" ht="16.149999999999999" customHeight="1">
      <c r="B47" s="89"/>
      <c r="C47" s="4"/>
      <c r="D47" s="4"/>
      <c r="E47" s="85" t="s">
        <v>700</v>
      </c>
      <c r="F47" s="103">
        <f>19.605+2.578</f>
        <v>22.183</v>
      </c>
      <c r="G47" s="14">
        <f t="shared" si="35"/>
        <v>22183</v>
      </c>
      <c r="H47" s="97">
        <v>6</v>
      </c>
      <c r="I47" s="83" t="s">
        <v>1807</v>
      </c>
      <c r="J47" s="85" t="s">
        <v>1808</v>
      </c>
      <c r="K47" s="147" t="s">
        <v>1898</v>
      </c>
      <c r="L47" s="4"/>
      <c r="M47" s="85" t="s">
        <v>1840</v>
      </c>
      <c r="N47" s="82" t="s">
        <v>1498</v>
      </c>
      <c r="O47" s="4"/>
      <c r="P47" s="4"/>
      <c r="Q47" s="5">
        <v>52580</v>
      </c>
      <c r="R47" s="36"/>
      <c r="S47" s="36"/>
      <c r="T47" s="37"/>
      <c r="U47" s="5">
        <f t="shared" si="36"/>
        <v>52580</v>
      </c>
      <c r="V47" s="5">
        <f t="shared" si="37"/>
        <v>1166382.1399999999</v>
      </c>
      <c r="W47" s="5">
        <f t="shared" si="38"/>
        <v>209948.78519999998</v>
      </c>
      <c r="X47" s="5"/>
      <c r="Y47" s="5"/>
      <c r="Z47" s="98"/>
      <c r="AA47" s="23">
        <f t="shared" si="39"/>
        <v>0</v>
      </c>
      <c r="AB47" s="97">
        <f t="shared" si="40"/>
        <v>0</v>
      </c>
      <c r="AC47" s="43"/>
      <c r="AD47" s="46"/>
      <c r="AE47" s="5">
        <f t="shared" si="41"/>
        <v>1376330.9251999999</v>
      </c>
      <c r="AF47" s="114">
        <v>565</v>
      </c>
      <c r="AG47" s="139" t="s">
        <v>2060</v>
      </c>
      <c r="AH47" s="103">
        <f>19.605+2.578</f>
        <v>22.183</v>
      </c>
      <c r="AI47" s="12"/>
      <c r="AJ47" s="40"/>
      <c r="AK47" s="40"/>
    </row>
    <row r="48" spans="2:37" s="41" customFormat="1">
      <c r="B48" s="13">
        <v>513.41300000000001</v>
      </c>
      <c r="C48" s="19">
        <f>B48-F48</f>
        <v>0</v>
      </c>
      <c r="D48" s="6"/>
      <c r="E48" s="6"/>
      <c r="F48" s="81">
        <f>SUM(F31:F47)</f>
        <v>513.41300000000001</v>
      </c>
      <c r="G48" s="20">
        <f>SUM(G31:G47)</f>
        <v>513413</v>
      </c>
      <c r="H48" s="21">
        <f>SUM(H31:H47)</f>
        <v>137</v>
      </c>
      <c r="I48" s="2"/>
      <c r="J48" s="7"/>
      <c r="K48" s="7"/>
      <c r="L48" s="7"/>
      <c r="M48" s="2"/>
      <c r="N48" s="6"/>
      <c r="O48" s="6"/>
      <c r="P48" s="6"/>
      <c r="Q48" s="19"/>
      <c r="R48" s="9"/>
      <c r="S48" s="9"/>
      <c r="T48" s="10"/>
      <c r="U48" s="8"/>
      <c r="V48" s="21">
        <f>SUM(V31:V47)</f>
        <v>26995255.539999999</v>
      </c>
      <c r="W48" s="21">
        <f>SUM(W31:W47)</f>
        <v>4859145.9972000001</v>
      </c>
      <c r="X48" s="21">
        <f>SUM(X31:X47)</f>
        <v>0</v>
      </c>
      <c r="Y48" s="21">
        <f>SUM(Y31:Y47)</f>
        <v>0</v>
      </c>
      <c r="Z48" s="99"/>
      <c r="AA48" s="21">
        <f>SUM(AA31:AA47)</f>
        <v>0</v>
      </c>
      <c r="AB48" s="21">
        <f>SUM(AB31:AB47)</f>
        <v>0</v>
      </c>
      <c r="AC48" s="21"/>
      <c r="AD48" s="21">
        <f>SUM(AD31:AD47)</f>
        <v>0</v>
      </c>
      <c r="AE48" s="21">
        <f>SUM(AE31:AE47)</f>
        <v>31854401.537200008</v>
      </c>
      <c r="AF48" s="21"/>
      <c r="AG48" s="42"/>
      <c r="AH48" s="81">
        <f>SUM(AH31:AH47)</f>
        <v>513.41300000000001</v>
      </c>
      <c r="AI48" s="26">
        <f>AH48-F48</f>
        <v>0</v>
      </c>
      <c r="AJ48" s="41">
        <f>AA48/F48</f>
        <v>0</v>
      </c>
      <c r="AK48" s="40"/>
    </row>
    <row r="49" spans="2:37" s="41" customFormat="1" ht="16.149999999999999" customHeight="1">
      <c r="B49" s="104" t="s">
        <v>764</v>
      </c>
      <c r="C49" s="82" t="s">
        <v>1843</v>
      </c>
      <c r="D49" s="4"/>
      <c r="E49" s="85" t="s">
        <v>700</v>
      </c>
      <c r="F49" s="103">
        <v>30.03</v>
      </c>
      <c r="G49" s="14">
        <f t="shared" ref="G49:G71" si="42">+F49*1000</f>
        <v>30030</v>
      </c>
      <c r="H49" s="97">
        <v>8</v>
      </c>
      <c r="I49" s="148" t="s">
        <v>1902</v>
      </c>
      <c r="J49" s="85" t="s">
        <v>1808</v>
      </c>
      <c r="K49" s="147" t="s">
        <v>1897</v>
      </c>
      <c r="L49" s="4"/>
      <c r="M49" s="85" t="s">
        <v>1840</v>
      </c>
      <c r="N49" s="82" t="s">
        <v>1892</v>
      </c>
      <c r="O49" s="4"/>
      <c r="P49" s="4"/>
      <c r="Q49" s="5">
        <v>54300</v>
      </c>
      <c r="R49" s="36"/>
      <c r="S49" s="36"/>
      <c r="T49" s="37"/>
      <c r="U49" s="5">
        <f t="shared" ref="U49:U71" si="43">S49+R49+Q49-T49</f>
        <v>54300</v>
      </c>
      <c r="V49" s="5">
        <f t="shared" ref="V49:V71" si="44">F49*U49</f>
        <v>1630629</v>
      </c>
      <c r="W49" s="5">
        <f t="shared" ref="W49:W71" si="45">V49*18%</f>
        <v>293513.21999999997</v>
      </c>
      <c r="X49" s="5"/>
      <c r="Y49" s="5"/>
      <c r="Z49" s="98"/>
      <c r="AA49" s="23">
        <f t="shared" ref="AA49:AA71" si="46">F49*Z49</f>
        <v>0</v>
      </c>
      <c r="AB49" s="97">
        <f t="shared" ref="AB49:AB71" si="47">AA49*18%</f>
        <v>0</v>
      </c>
      <c r="AC49" s="43"/>
      <c r="AD49" s="46"/>
      <c r="AE49" s="5">
        <f t="shared" ref="AE49:AE71" si="48">+AB49+AA49+Y49+X49+W49+V49-AC49+AD49</f>
        <v>1924142.22</v>
      </c>
      <c r="AF49" s="114">
        <v>566</v>
      </c>
      <c r="AG49" s="139" t="s">
        <v>2060</v>
      </c>
      <c r="AH49" s="103">
        <v>30.03</v>
      </c>
      <c r="AI49" s="12"/>
      <c r="AJ49" s="40"/>
      <c r="AK49" s="40"/>
    </row>
    <row r="50" spans="2:37" s="41" customFormat="1" ht="16.149999999999999" customHeight="1">
      <c r="B50" s="70" t="s">
        <v>767</v>
      </c>
      <c r="C50" s="82" t="s">
        <v>1844</v>
      </c>
      <c r="D50" s="4"/>
      <c r="E50" s="85" t="s">
        <v>700</v>
      </c>
      <c r="F50" s="103">
        <v>30.02</v>
      </c>
      <c r="G50" s="14">
        <f t="shared" si="42"/>
        <v>30020</v>
      </c>
      <c r="H50" s="97">
        <v>8</v>
      </c>
      <c r="I50" s="83" t="s">
        <v>1902</v>
      </c>
      <c r="J50" s="85" t="s">
        <v>1808</v>
      </c>
      <c r="K50" s="135" t="s">
        <v>1903</v>
      </c>
      <c r="L50" s="4"/>
      <c r="M50" s="85" t="s">
        <v>1840</v>
      </c>
      <c r="N50" s="82" t="s">
        <v>1899</v>
      </c>
      <c r="O50" s="4"/>
      <c r="P50" s="4"/>
      <c r="Q50" s="5">
        <v>54300</v>
      </c>
      <c r="R50" s="36"/>
      <c r="S50" s="36"/>
      <c r="T50" s="37"/>
      <c r="U50" s="5">
        <f t="shared" si="43"/>
        <v>54300</v>
      </c>
      <c r="V50" s="5">
        <f t="shared" si="44"/>
        <v>1630086</v>
      </c>
      <c r="W50" s="5">
        <f t="shared" si="45"/>
        <v>293415.48</v>
      </c>
      <c r="X50" s="5"/>
      <c r="Y50" s="5"/>
      <c r="Z50" s="98"/>
      <c r="AA50" s="23">
        <f t="shared" si="46"/>
        <v>0</v>
      </c>
      <c r="AB50" s="97">
        <f t="shared" si="47"/>
        <v>0</v>
      </c>
      <c r="AC50" s="43"/>
      <c r="AD50" s="46"/>
      <c r="AE50" s="5">
        <f t="shared" si="48"/>
        <v>1923501.48</v>
      </c>
      <c r="AF50" s="114">
        <v>567</v>
      </c>
      <c r="AG50" s="139" t="s">
        <v>2060</v>
      </c>
      <c r="AH50" s="103">
        <v>30.02</v>
      </c>
      <c r="AI50" s="12"/>
      <c r="AJ50" s="40"/>
      <c r="AK50" s="40"/>
    </row>
    <row r="51" spans="2:37" s="41" customFormat="1" ht="16.149999999999999" customHeight="1">
      <c r="B51" s="89" t="s">
        <v>1841</v>
      </c>
      <c r="C51" s="4"/>
      <c r="D51" s="4"/>
      <c r="E51" s="85" t="s">
        <v>700</v>
      </c>
      <c r="F51" s="103">
        <v>11.274999999999999</v>
      </c>
      <c r="G51" s="14">
        <f t="shared" si="42"/>
        <v>11274.999999999998</v>
      </c>
      <c r="H51" s="97">
        <v>3</v>
      </c>
      <c r="I51" s="148" t="s">
        <v>1902</v>
      </c>
      <c r="J51" s="85" t="s">
        <v>1808</v>
      </c>
      <c r="K51" s="147" t="s">
        <v>1898</v>
      </c>
      <c r="L51" s="4"/>
      <c r="M51" s="85" t="s">
        <v>1840</v>
      </c>
      <c r="N51" s="82" t="s">
        <v>1498</v>
      </c>
      <c r="O51" s="4"/>
      <c r="P51" s="4"/>
      <c r="Q51" s="5">
        <v>54300</v>
      </c>
      <c r="R51" s="36"/>
      <c r="S51" s="36"/>
      <c r="T51" s="37"/>
      <c r="U51" s="5">
        <f t="shared" si="43"/>
        <v>54300</v>
      </c>
      <c r="V51" s="5">
        <f t="shared" si="44"/>
        <v>612232.49999999988</v>
      </c>
      <c r="W51" s="5">
        <f t="shared" si="45"/>
        <v>110201.84999999998</v>
      </c>
      <c r="X51" s="5"/>
      <c r="Y51" s="5"/>
      <c r="Z51" s="98"/>
      <c r="AA51" s="23">
        <f t="shared" si="46"/>
        <v>0</v>
      </c>
      <c r="AB51" s="97">
        <f t="shared" si="47"/>
        <v>0</v>
      </c>
      <c r="AC51" s="43"/>
      <c r="AD51" s="46"/>
      <c r="AE51" s="5">
        <f t="shared" si="48"/>
        <v>722434.34999999986</v>
      </c>
      <c r="AF51" s="114">
        <v>568</v>
      </c>
      <c r="AG51" s="139" t="s">
        <v>2060</v>
      </c>
      <c r="AH51" s="103">
        <v>11.274999999999999</v>
      </c>
      <c r="AI51" s="12"/>
      <c r="AJ51" s="40"/>
      <c r="AK51" s="40"/>
    </row>
    <row r="52" spans="2:37" s="41" customFormat="1" ht="16.149999999999999" customHeight="1">
      <c r="B52" s="89" t="s">
        <v>1842</v>
      </c>
      <c r="C52" s="4"/>
      <c r="D52" s="4"/>
      <c r="E52" s="85" t="s">
        <v>700</v>
      </c>
      <c r="F52" s="103">
        <v>33.81</v>
      </c>
      <c r="G52" s="14">
        <f t="shared" si="42"/>
        <v>33810</v>
      </c>
      <c r="H52" s="97">
        <v>9</v>
      </c>
      <c r="I52" s="83" t="s">
        <v>1902</v>
      </c>
      <c r="J52" s="85" t="s">
        <v>1808</v>
      </c>
      <c r="K52" s="135" t="s">
        <v>1904</v>
      </c>
      <c r="L52" s="4"/>
      <c r="M52" s="85" t="s">
        <v>1840</v>
      </c>
      <c r="N52" s="82" t="s">
        <v>881</v>
      </c>
      <c r="O52" s="4"/>
      <c r="P52" s="4"/>
      <c r="Q52" s="5">
        <v>54300</v>
      </c>
      <c r="R52" s="36"/>
      <c r="S52" s="36"/>
      <c r="T52" s="37"/>
      <c r="U52" s="5">
        <f t="shared" si="43"/>
        <v>54300</v>
      </c>
      <c r="V52" s="5">
        <f t="shared" si="44"/>
        <v>1835883.0000000002</v>
      </c>
      <c r="W52" s="5">
        <f t="shared" si="45"/>
        <v>330458.94</v>
      </c>
      <c r="X52" s="5"/>
      <c r="Y52" s="5"/>
      <c r="Z52" s="98"/>
      <c r="AA52" s="23">
        <f t="shared" si="46"/>
        <v>0</v>
      </c>
      <c r="AB52" s="97">
        <f t="shared" si="47"/>
        <v>0</v>
      </c>
      <c r="AC52" s="43"/>
      <c r="AD52" s="46"/>
      <c r="AE52" s="5">
        <f t="shared" si="48"/>
        <v>2166341.9400000004</v>
      </c>
      <c r="AF52" s="114">
        <v>569</v>
      </c>
      <c r="AG52" s="139" t="s">
        <v>2060</v>
      </c>
      <c r="AH52" s="103">
        <v>33.81</v>
      </c>
      <c r="AI52" s="12"/>
      <c r="AJ52" s="40"/>
      <c r="AK52" s="40"/>
    </row>
    <row r="53" spans="2:37" s="41" customFormat="1" ht="16.149999999999999" customHeight="1">
      <c r="B53" s="89"/>
      <c r="C53" s="4"/>
      <c r="D53" s="4"/>
      <c r="E53" s="85" t="s">
        <v>700</v>
      </c>
      <c r="F53" s="103">
        <v>29.97</v>
      </c>
      <c r="G53" s="14">
        <f t="shared" si="42"/>
        <v>29970</v>
      </c>
      <c r="H53" s="97">
        <v>8</v>
      </c>
      <c r="I53" s="83" t="s">
        <v>1902</v>
      </c>
      <c r="J53" s="85" t="s">
        <v>1808</v>
      </c>
      <c r="K53" s="135" t="s">
        <v>1905</v>
      </c>
      <c r="L53" s="4"/>
      <c r="M53" s="85" t="s">
        <v>1840</v>
      </c>
      <c r="N53" s="82" t="s">
        <v>1900</v>
      </c>
      <c r="O53" s="4"/>
      <c r="P53" s="4"/>
      <c r="Q53" s="5">
        <v>54300</v>
      </c>
      <c r="R53" s="36"/>
      <c r="S53" s="36"/>
      <c r="T53" s="37"/>
      <c r="U53" s="5">
        <f t="shared" si="43"/>
        <v>54300</v>
      </c>
      <c r="V53" s="5">
        <f t="shared" si="44"/>
        <v>1627371</v>
      </c>
      <c r="W53" s="5">
        <f t="shared" si="45"/>
        <v>292926.77999999997</v>
      </c>
      <c r="X53" s="5"/>
      <c r="Y53" s="5"/>
      <c r="Z53" s="98"/>
      <c r="AA53" s="23">
        <f t="shared" si="46"/>
        <v>0</v>
      </c>
      <c r="AB53" s="97">
        <f t="shared" si="47"/>
        <v>0</v>
      </c>
      <c r="AC53" s="43"/>
      <c r="AD53" s="46"/>
      <c r="AE53" s="5">
        <f t="shared" si="48"/>
        <v>1920297.78</v>
      </c>
      <c r="AF53" s="114">
        <v>570</v>
      </c>
      <c r="AG53" s="139" t="s">
        <v>2060</v>
      </c>
      <c r="AH53" s="103">
        <v>29.97</v>
      </c>
      <c r="AI53" s="12"/>
      <c r="AJ53" s="40"/>
      <c r="AK53" s="40"/>
    </row>
    <row r="54" spans="2:37" s="41" customFormat="1" ht="16.149999999999999" customHeight="1">
      <c r="B54" s="89"/>
      <c r="C54" s="4"/>
      <c r="D54" s="4"/>
      <c r="E54" s="85" t="s">
        <v>700</v>
      </c>
      <c r="F54" s="103">
        <v>29.93</v>
      </c>
      <c r="G54" s="14">
        <f t="shared" si="42"/>
        <v>29930</v>
      </c>
      <c r="H54" s="97">
        <v>8</v>
      </c>
      <c r="I54" s="83" t="s">
        <v>1902</v>
      </c>
      <c r="J54" s="85" t="s">
        <v>1808</v>
      </c>
      <c r="K54" s="135" t="s">
        <v>1906</v>
      </c>
      <c r="L54" s="4"/>
      <c r="M54" s="85" t="s">
        <v>1840</v>
      </c>
      <c r="N54" s="82" t="s">
        <v>1603</v>
      </c>
      <c r="O54" s="4"/>
      <c r="P54" s="4"/>
      <c r="Q54" s="5">
        <v>54300</v>
      </c>
      <c r="R54" s="36"/>
      <c r="S54" s="36"/>
      <c r="T54" s="37"/>
      <c r="U54" s="5">
        <f t="shared" si="43"/>
        <v>54300</v>
      </c>
      <c r="V54" s="5">
        <f t="shared" si="44"/>
        <v>1625199</v>
      </c>
      <c r="W54" s="5">
        <f t="shared" si="45"/>
        <v>292535.82</v>
      </c>
      <c r="X54" s="5"/>
      <c r="Y54" s="5"/>
      <c r="Z54" s="98"/>
      <c r="AA54" s="23">
        <f t="shared" si="46"/>
        <v>0</v>
      </c>
      <c r="AB54" s="97">
        <f t="shared" si="47"/>
        <v>0</v>
      </c>
      <c r="AC54" s="43"/>
      <c r="AD54" s="46"/>
      <c r="AE54" s="5">
        <f t="shared" si="48"/>
        <v>1917734.82</v>
      </c>
      <c r="AF54" s="114">
        <v>571</v>
      </c>
      <c r="AG54" s="139" t="s">
        <v>2060</v>
      </c>
      <c r="AH54" s="103">
        <v>29.93</v>
      </c>
      <c r="AI54" s="12"/>
      <c r="AJ54" s="40"/>
      <c r="AK54" s="40"/>
    </row>
    <row r="55" spans="2:37" s="41" customFormat="1" ht="16.149999999999999" customHeight="1">
      <c r="B55" s="89"/>
      <c r="C55" s="4"/>
      <c r="D55" s="4"/>
      <c r="E55" s="85" t="s">
        <v>700</v>
      </c>
      <c r="F55" s="103">
        <v>29.86</v>
      </c>
      <c r="G55" s="14">
        <f t="shared" si="42"/>
        <v>29860</v>
      </c>
      <c r="H55" s="97">
        <v>8</v>
      </c>
      <c r="I55" s="83" t="s">
        <v>1902</v>
      </c>
      <c r="J55" s="85" t="s">
        <v>1808</v>
      </c>
      <c r="K55" s="135" t="s">
        <v>1907</v>
      </c>
      <c r="L55" s="4"/>
      <c r="M55" s="85" t="s">
        <v>1840</v>
      </c>
      <c r="N55" s="82" t="s">
        <v>1604</v>
      </c>
      <c r="O55" s="4"/>
      <c r="P55" s="4"/>
      <c r="Q55" s="5">
        <v>54300</v>
      </c>
      <c r="R55" s="36"/>
      <c r="S55" s="36"/>
      <c r="T55" s="37"/>
      <c r="U55" s="5">
        <f t="shared" si="43"/>
        <v>54300</v>
      </c>
      <c r="V55" s="5">
        <f t="shared" si="44"/>
        <v>1621398</v>
      </c>
      <c r="W55" s="5">
        <f t="shared" si="45"/>
        <v>291851.64</v>
      </c>
      <c r="X55" s="5"/>
      <c r="Y55" s="5"/>
      <c r="Z55" s="98"/>
      <c r="AA55" s="23">
        <f t="shared" si="46"/>
        <v>0</v>
      </c>
      <c r="AB55" s="97">
        <f t="shared" si="47"/>
        <v>0</v>
      </c>
      <c r="AC55" s="43"/>
      <c r="AD55" s="46"/>
      <c r="AE55" s="5">
        <f t="shared" si="48"/>
        <v>1913249.6400000001</v>
      </c>
      <c r="AF55" s="114">
        <v>572</v>
      </c>
      <c r="AG55" s="139" t="s">
        <v>2060</v>
      </c>
      <c r="AH55" s="103">
        <v>29.86</v>
      </c>
      <c r="AI55" s="12"/>
      <c r="AJ55" s="40"/>
      <c r="AK55" s="40"/>
    </row>
    <row r="56" spans="2:37" s="41" customFormat="1" ht="16.149999999999999" customHeight="1">
      <c r="B56" s="89"/>
      <c r="C56" s="4"/>
      <c r="D56" s="4"/>
      <c r="E56" s="85" t="s">
        <v>700</v>
      </c>
      <c r="F56" s="103">
        <v>30.03</v>
      </c>
      <c r="G56" s="14">
        <f t="shared" si="42"/>
        <v>30030</v>
      </c>
      <c r="H56" s="97">
        <v>8</v>
      </c>
      <c r="I56" s="83" t="s">
        <v>1902</v>
      </c>
      <c r="J56" s="85" t="s">
        <v>1808</v>
      </c>
      <c r="K56" s="135" t="s">
        <v>1908</v>
      </c>
      <c r="L56" s="4"/>
      <c r="M56" s="85" t="s">
        <v>1840</v>
      </c>
      <c r="N56" s="82" t="s">
        <v>895</v>
      </c>
      <c r="O56" s="4"/>
      <c r="P56" s="4"/>
      <c r="Q56" s="5">
        <v>54300</v>
      </c>
      <c r="R56" s="36"/>
      <c r="S56" s="36"/>
      <c r="T56" s="37"/>
      <c r="U56" s="5">
        <f t="shared" si="43"/>
        <v>54300</v>
      </c>
      <c r="V56" s="5">
        <f t="shared" si="44"/>
        <v>1630629</v>
      </c>
      <c r="W56" s="5">
        <f t="shared" si="45"/>
        <v>293513.21999999997</v>
      </c>
      <c r="X56" s="5"/>
      <c r="Y56" s="5"/>
      <c r="Z56" s="98"/>
      <c r="AA56" s="23">
        <f t="shared" si="46"/>
        <v>0</v>
      </c>
      <c r="AB56" s="97">
        <f t="shared" si="47"/>
        <v>0</v>
      </c>
      <c r="AC56" s="43"/>
      <c r="AD56" s="46"/>
      <c r="AE56" s="5">
        <f t="shared" si="48"/>
        <v>1924142.22</v>
      </c>
      <c r="AF56" s="114">
        <v>573</v>
      </c>
      <c r="AG56" s="139" t="s">
        <v>2060</v>
      </c>
      <c r="AH56" s="103">
        <v>30.03</v>
      </c>
      <c r="AI56" s="12"/>
      <c r="AJ56" s="40"/>
      <c r="AK56" s="40"/>
    </row>
    <row r="57" spans="2:37" s="41" customFormat="1" ht="16.149999999999999" customHeight="1">
      <c r="B57" s="89"/>
      <c r="C57" s="4"/>
      <c r="D57" s="4"/>
      <c r="E57" s="85" t="s">
        <v>700</v>
      </c>
      <c r="F57" s="103">
        <v>33.74</v>
      </c>
      <c r="G57" s="14">
        <f t="shared" si="42"/>
        <v>33740</v>
      </c>
      <c r="H57" s="97">
        <v>9</v>
      </c>
      <c r="I57" s="83" t="s">
        <v>1902</v>
      </c>
      <c r="J57" s="85" t="s">
        <v>1808</v>
      </c>
      <c r="K57" s="135" t="s">
        <v>1909</v>
      </c>
      <c r="L57" s="4"/>
      <c r="M57" s="85" t="s">
        <v>1840</v>
      </c>
      <c r="N57" s="82" t="s">
        <v>1599</v>
      </c>
      <c r="O57" s="4"/>
      <c r="P57" s="4"/>
      <c r="Q57" s="5">
        <v>54300</v>
      </c>
      <c r="R57" s="36"/>
      <c r="S57" s="36"/>
      <c r="T57" s="37"/>
      <c r="U57" s="5">
        <f t="shared" si="43"/>
        <v>54300</v>
      </c>
      <c r="V57" s="5">
        <f t="shared" si="44"/>
        <v>1832082</v>
      </c>
      <c r="W57" s="5">
        <f t="shared" si="45"/>
        <v>329774.76</v>
      </c>
      <c r="X57" s="5"/>
      <c r="Y57" s="5"/>
      <c r="Z57" s="98"/>
      <c r="AA57" s="23">
        <f t="shared" si="46"/>
        <v>0</v>
      </c>
      <c r="AB57" s="97">
        <f t="shared" si="47"/>
        <v>0</v>
      </c>
      <c r="AC57" s="43"/>
      <c r="AD57" s="46"/>
      <c r="AE57" s="5">
        <f t="shared" si="48"/>
        <v>2161856.7599999998</v>
      </c>
      <c r="AF57" s="114">
        <v>574</v>
      </c>
      <c r="AG57" s="139" t="s">
        <v>2060</v>
      </c>
      <c r="AH57" s="103">
        <v>33.74</v>
      </c>
      <c r="AI57" s="12"/>
      <c r="AJ57" s="40"/>
      <c r="AK57" s="40"/>
    </row>
    <row r="58" spans="2:37" s="41" customFormat="1" ht="16.149999999999999" customHeight="1">
      <c r="B58" s="89"/>
      <c r="C58" s="4"/>
      <c r="D58" s="4"/>
      <c r="E58" s="85" t="s">
        <v>700</v>
      </c>
      <c r="F58" s="103">
        <v>33.75</v>
      </c>
      <c r="G58" s="14">
        <f t="shared" si="42"/>
        <v>33750</v>
      </c>
      <c r="H58" s="97">
        <v>9</v>
      </c>
      <c r="I58" s="83" t="s">
        <v>1902</v>
      </c>
      <c r="J58" s="85" t="s">
        <v>1808</v>
      </c>
      <c r="K58" s="135" t="s">
        <v>1910</v>
      </c>
      <c r="L58" s="4"/>
      <c r="M58" s="85" t="s">
        <v>1840</v>
      </c>
      <c r="N58" s="82" t="s">
        <v>40</v>
      </c>
      <c r="O58" s="4"/>
      <c r="P58" s="4"/>
      <c r="Q58" s="5">
        <v>54300</v>
      </c>
      <c r="R58" s="36"/>
      <c r="S58" s="36"/>
      <c r="T58" s="37"/>
      <c r="U58" s="5">
        <f t="shared" si="43"/>
        <v>54300</v>
      </c>
      <c r="V58" s="5">
        <f t="shared" si="44"/>
        <v>1832625</v>
      </c>
      <c r="W58" s="5">
        <f t="shared" si="45"/>
        <v>329872.5</v>
      </c>
      <c r="X58" s="5"/>
      <c r="Y58" s="5"/>
      <c r="Z58" s="98"/>
      <c r="AA58" s="23">
        <f t="shared" si="46"/>
        <v>0</v>
      </c>
      <c r="AB58" s="97">
        <f t="shared" si="47"/>
        <v>0</v>
      </c>
      <c r="AC58" s="43"/>
      <c r="AD58" s="46"/>
      <c r="AE58" s="5">
        <f t="shared" si="48"/>
        <v>2162497.5</v>
      </c>
      <c r="AF58" s="114">
        <v>575</v>
      </c>
      <c r="AG58" s="139" t="s">
        <v>2060</v>
      </c>
      <c r="AH58" s="103">
        <v>33.75</v>
      </c>
      <c r="AI58" s="12"/>
      <c r="AJ58" s="40"/>
      <c r="AK58" s="40"/>
    </row>
    <row r="59" spans="2:37" s="41" customFormat="1" ht="16.149999999999999" customHeight="1">
      <c r="B59" s="89"/>
      <c r="C59" s="4"/>
      <c r="D59" s="4"/>
      <c r="E59" s="85" t="s">
        <v>700</v>
      </c>
      <c r="F59" s="103">
        <v>41.34</v>
      </c>
      <c r="G59" s="14">
        <f t="shared" si="42"/>
        <v>41340</v>
      </c>
      <c r="H59" s="97">
        <v>11</v>
      </c>
      <c r="I59" s="83" t="s">
        <v>1902</v>
      </c>
      <c r="J59" s="85" t="s">
        <v>1808</v>
      </c>
      <c r="K59" s="135" t="s">
        <v>1911</v>
      </c>
      <c r="L59" s="4"/>
      <c r="M59" s="85" t="s">
        <v>1869</v>
      </c>
      <c r="N59" s="82" t="s">
        <v>1580</v>
      </c>
      <c r="O59" s="4"/>
      <c r="P59" s="4"/>
      <c r="Q59" s="5">
        <v>54300</v>
      </c>
      <c r="R59" s="36"/>
      <c r="S59" s="36"/>
      <c r="T59" s="37"/>
      <c r="U59" s="5">
        <f t="shared" si="43"/>
        <v>54300</v>
      </c>
      <c r="V59" s="5">
        <f t="shared" si="44"/>
        <v>2244762</v>
      </c>
      <c r="W59" s="5">
        <f t="shared" si="45"/>
        <v>404057.16</v>
      </c>
      <c r="X59" s="5"/>
      <c r="Y59" s="5"/>
      <c r="Z59" s="98"/>
      <c r="AA59" s="23">
        <f t="shared" si="46"/>
        <v>0</v>
      </c>
      <c r="AB59" s="97">
        <f t="shared" si="47"/>
        <v>0</v>
      </c>
      <c r="AC59" s="43"/>
      <c r="AD59" s="46"/>
      <c r="AE59" s="5">
        <f t="shared" si="48"/>
        <v>2648819.16</v>
      </c>
      <c r="AF59" s="114">
        <v>576</v>
      </c>
      <c r="AG59" s="139" t="s">
        <v>2060</v>
      </c>
      <c r="AH59" s="103">
        <v>41.34</v>
      </c>
      <c r="AI59" s="12"/>
      <c r="AJ59" s="40"/>
      <c r="AK59" s="40"/>
    </row>
    <row r="60" spans="2:37" s="41" customFormat="1" ht="16.149999999999999" customHeight="1">
      <c r="B60" s="89"/>
      <c r="C60" s="4"/>
      <c r="D60" s="4"/>
      <c r="E60" s="85" t="s">
        <v>700</v>
      </c>
      <c r="F60" s="103">
        <v>33.85</v>
      </c>
      <c r="G60" s="14">
        <f t="shared" si="42"/>
        <v>33850</v>
      </c>
      <c r="H60" s="97">
        <v>9</v>
      </c>
      <c r="I60" s="83" t="s">
        <v>1902</v>
      </c>
      <c r="J60" s="85" t="s">
        <v>1808</v>
      </c>
      <c r="K60" s="135" t="s">
        <v>1912</v>
      </c>
      <c r="L60" s="4"/>
      <c r="M60" s="85" t="s">
        <v>1869</v>
      </c>
      <c r="N60" s="82" t="s">
        <v>1901</v>
      </c>
      <c r="O60" s="4"/>
      <c r="P60" s="4"/>
      <c r="Q60" s="5">
        <v>54300</v>
      </c>
      <c r="R60" s="36"/>
      <c r="S60" s="36"/>
      <c r="T60" s="37"/>
      <c r="U60" s="5">
        <f t="shared" si="43"/>
        <v>54300</v>
      </c>
      <c r="V60" s="5">
        <f t="shared" si="44"/>
        <v>1838055</v>
      </c>
      <c r="W60" s="5">
        <f t="shared" si="45"/>
        <v>330849.89999999997</v>
      </c>
      <c r="X60" s="5"/>
      <c r="Y60" s="5"/>
      <c r="Z60" s="98"/>
      <c r="AA60" s="23">
        <f t="shared" si="46"/>
        <v>0</v>
      </c>
      <c r="AB60" s="97">
        <f t="shared" si="47"/>
        <v>0</v>
      </c>
      <c r="AC60" s="43"/>
      <c r="AD60" s="46"/>
      <c r="AE60" s="5">
        <f t="shared" si="48"/>
        <v>2168904.9</v>
      </c>
      <c r="AF60" s="114">
        <v>577</v>
      </c>
      <c r="AG60" s="139" t="s">
        <v>2060</v>
      </c>
      <c r="AH60" s="103">
        <v>33.85</v>
      </c>
      <c r="AI60" s="12"/>
      <c r="AJ60" s="40"/>
      <c r="AK60" s="40"/>
    </row>
    <row r="61" spans="2:37" s="41" customFormat="1" ht="16.149999999999999" customHeight="1">
      <c r="B61" s="89"/>
      <c r="C61" s="4"/>
      <c r="D61" s="4"/>
      <c r="E61" s="85" t="s">
        <v>700</v>
      </c>
      <c r="F61" s="103">
        <v>60.07</v>
      </c>
      <c r="G61" s="14">
        <f t="shared" si="42"/>
        <v>60070</v>
      </c>
      <c r="H61" s="97">
        <v>16</v>
      </c>
      <c r="I61" s="83" t="s">
        <v>1902</v>
      </c>
      <c r="J61" s="85" t="s">
        <v>1808</v>
      </c>
      <c r="K61" s="135" t="s">
        <v>1913</v>
      </c>
      <c r="L61" s="4"/>
      <c r="M61" s="85" t="s">
        <v>1869</v>
      </c>
      <c r="N61" s="82" t="s">
        <v>1504</v>
      </c>
      <c r="O61" s="4"/>
      <c r="P61" s="4"/>
      <c r="Q61" s="5">
        <v>54300</v>
      </c>
      <c r="R61" s="36"/>
      <c r="S61" s="36"/>
      <c r="T61" s="37"/>
      <c r="U61" s="5">
        <f t="shared" si="43"/>
        <v>54300</v>
      </c>
      <c r="V61" s="5">
        <f t="shared" si="44"/>
        <v>3261801</v>
      </c>
      <c r="W61" s="5">
        <f t="shared" si="45"/>
        <v>587124.17999999993</v>
      </c>
      <c r="X61" s="5"/>
      <c r="Y61" s="5"/>
      <c r="Z61" s="98"/>
      <c r="AA61" s="23">
        <f t="shared" si="46"/>
        <v>0</v>
      </c>
      <c r="AB61" s="97">
        <f t="shared" si="47"/>
        <v>0</v>
      </c>
      <c r="AC61" s="43"/>
      <c r="AD61" s="46"/>
      <c r="AE61" s="5">
        <f t="shared" si="48"/>
        <v>3848925.1799999997</v>
      </c>
      <c r="AF61" s="114">
        <v>578</v>
      </c>
      <c r="AG61" s="139" t="s">
        <v>2060</v>
      </c>
      <c r="AH61" s="103">
        <v>60.07</v>
      </c>
      <c r="AI61" s="12"/>
      <c r="AJ61" s="40"/>
      <c r="AK61" s="40"/>
    </row>
    <row r="62" spans="2:37" s="41" customFormat="1" ht="16.149999999999999" customHeight="1">
      <c r="B62" s="89"/>
      <c r="C62" s="4"/>
      <c r="D62" s="4"/>
      <c r="E62" s="85" t="s">
        <v>700</v>
      </c>
      <c r="F62" s="103">
        <v>41.36</v>
      </c>
      <c r="G62" s="14">
        <f t="shared" si="42"/>
        <v>41360</v>
      </c>
      <c r="H62" s="97">
        <v>11</v>
      </c>
      <c r="I62" s="83" t="s">
        <v>1902</v>
      </c>
      <c r="J62" s="85" t="s">
        <v>1869</v>
      </c>
      <c r="K62" s="135" t="s">
        <v>1924</v>
      </c>
      <c r="L62" s="4"/>
      <c r="M62" s="85" t="s">
        <v>1869</v>
      </c>
      <c r="N62" s="82" t="s">
        <v>1921</v>
      </c>
      <c r="O62" s="4"/>
      <c r="P62" s="4"/>
      <c r="Q62" s="5">
        <v>54300</v>
      </c>
      <c r="R62" s="36"/>
      <c r="S62" s="36"/>
      <c r="T62" s="37"/>
      <c r="U62" s="5">
        <f t="shared" si="43"/>
        <v>54300</v>
      </c>
      <c r="V62" s="5">
        <f t="shared" si="44"/>
        <v>2245848</v>
      </c>
      <c r="W62" s="5">
        <f t="shared" si="45"/>
        <v>404252.64</v>
      </c>
      <c r="X62" s="5"/>
      <c r="Y62" s="5"/>
      <c r="Z62" s="98"/>
      <c r="AA62" s="23">
        <f t="shared" si="46"/>
        <v>0</v>
      </c>
      <c r="AB62" s="97">
        <f t="shared" si="47"/>
        <v>0</v>
      </c>
      <c r="AC62" s="43"/>
      <c r="AD62" s="46"/>
      <c r="AE62" s="5">
        <f t="shared" si="48"/>
        <v>2650100.64</v>
      </c>
      <c r="AF62" s="114">
        <v>579</v>
      </c>
      <c r="AG62" s="139" t="s">
        <v>2060</v>
      </c>
      <c r="AH62" s="103">
        <v>41.36</v>
      </c>
      <c r="AI62" s="12"/>
      <c r="AJ62" s="40"/>
      <c r="AK62" s="40"/>
    </row>
    <row r="63" spans="2:37" s="41" customFormat="1" ht="16.149999999999999" customHeight="1">
      <c r="B63" s="89"/>
      <c r="C63" s="4"/>
      <c r="D63" s="4"/>
      <c r="E63" s="85" t="s">
        <v>700</v>
      </c>
      <c r="F63" s="103">
        <v>33.81</v>
      </c>
      <c r="G63" s="14">
        <f t="shared" si="42"/>
        <v>33810</v>
      </c>
      <c r="H63" s="97">
        <v>9</v>
      </c>
      <c r="I63" s="83" t="s">
        <v>1902</v>
      </c>
      <c r="J63" s="85" t="s">
        <v>1869</v>
      </c>
      <c r="K63" s="135" t="s">
        <v>1925</v>
      </c>
      <c r="L63" s="4"/>
      <c r="M63" s="85" t="s">
        <v>1869</v>
      </c>
      <c r="N63" s="82" t="s">
        <v>1200</v>
      </c>
      <c r="O63" s="4"/>
      <c r="P63" s="4"/>
      <c r="Q63" s="5">
        <v>54300</v>
      </c>
      <c r="R63" s="36"/>
      <c r="S63" s="36"/>
      <c r="T63" s="37"/>
      <c r="U63" s="5">
        <f t="shared" si="43"/>
        <v>54300</v>
      </c>
      <c r="V63" s="5">
        <f t="shared" si="44"/>
        <v>1835883.0000000002</v>
      </c>
      <c r="W63" s="5">
        <f t="shared" si="45"/>
        <v>330458.94</v>
      </c>
      <c r="X63" s="5"/>
      <c r="Y63" s="5"/>
      <c r="Z63" s="98"/>
      <c r="AA63" s="23">
        <f t="shared" si="46"/>
        <v>0</v>
      </c>
      <c r="AB63" s="97">
        <f t="shared" si="47"/>
        <v>0</v>
      </c>
      <c r="AC63" s="43"/>
      <c r="AD63" s="46"/>
      <c r="AE63" s="5">
        <f t="shared" si="48"/>
        <v>2166341.9400000004</v>
      </c>
      <c r="AF63" s="114">
        <v>580</v>
      </c>
      <c r="AG63" s="139" t="s">
        <v>2060</v>
      </c>
      <c r="AH63" s="103">
        <v>33.81</v>
      </c>
      <c r="AI63" s="12"/>
      <c r="AJ63" s="40"/>
      <c r="AK63" s="40"/>
    </row>
    <row r="64" spans="2:37" s="41" customFormat="1" ht="16.149999999999999" customHeight="1">
      <c r="B64" s="89"/>
      <c r="C64" s="4"/>
      <c r="D64" s="4"/>
      <c r="E64" s="85" t="s">
        <v>700</v>
      </c>
      <c r="F64" s="103">
        <v>33.79</v>
      </c>
      <c r="G64" s="14">
        <f t="shared" si="42"/>
        <v>33790</v>
      </c>
      <c r="H64" s="97">
        <v>9</v>
      </c>
      <c r="I64" s="83" t="s">
        <v>1902</v>
      </c>
      <c r="J64" s="85" t="s">
        <v>1915</v>
      </c>
      <c r="K64" s="135" t="s">
        <v>1926</v>
      </c>
      <c r="L64" s="4"/>
      <c r="M64" s="85" t="s">
        <v>1915</v>
      </c>
      <c r="N64" s="82" t="s">
        <v>1922</v>
      </c>
      <c r="O64" s="4"/>
      <c r="P64" s="4"/>
      <c r="Q64" s="5">
        <v>54300</v>
      </c>
      <c r="R64" s="36"/>
      <c r="S64" s="36"/>
      <c r="T64" s="37"/>
      <c r="U64" s="5">
        <f t="shared" si="43"/>
        <v>54300</v>
      </c>
      <c r="V64" s="5">
        <f t="shared" si="44"/>
        <v>1834797</v>
      </c>
      <c r="W64" s="5">
        <f t="shared" si="45"/>
        <v>330263.45999999996</v>
      </c>
      <c r="X64" s="5"/>
      <c r="Y64" s="5"/>
      <c r="Z64" s="98"/>
      <c r="AA64" s="23">
        <f t="shared" si="46"/>
        <v>0</v>
      </c>
      <c r="AB64" s="97">
        <f t="shared" si="47"/>
        <v>0</v>
      </c>
      <c r="AC64" s="43"/>
      <c r="AD64" s="46"/>
      <c r="AE64" s="5">
        <f t="shared" si="48"/>
        <v>2165060.46</v>
      </c>
      <c r="AF64" s="114">
        <v>581</v>
      </c>
      <c r="AG64" s="139" t="s">
        <v>2060</v>
      </c>
      <c r="AH64" s="103">
        <v>33.79</v>
      </c>
      <c r="AI64" s="12"/>
      <c r="AJ64" s="40"/>
      <c r="AK64" s="40"/>
    </row>
    <row r="65" spans="2:37" s="41" customFormat="1" ht="16.149999999999999" customHeight="1">
      <c r="B65" s="89"/>
      <c r="C65" s="4"/>
      <c r="D65" s="4"/>
      <c r="E65" s="85" t="s">
        <v>700</v>
      </c>
      <c r="F65" s="103">
        <v>37.659999999999997</v>
      </c>
      <c r="G65" s="14">
        <f t="shared" si="42"/>
        <v>37660</v>
      </c>
      <c r="H65" s="97">
        <v>10</v>
      </c>
      <c r="I65" s="83" t="s">
        <v>1902</v>
      </c>
      <c r="J65" s="85" t="s">
        <v>1915</v>
      </c>
      <c r="K65" s="135" t="s">
        <v>1927</v>
      </c>
      <c r="L65" s="4"/>
      <c r="M65" s="85" t="s">
        <v>1915</v>
      </c>
      <c r="N65" s="82" t="s">
        <v>1923</v>
      </c>
      <c r="O65" s="4"/>
      <c r="P65" s="4"/>
      <c r="Q65" s="5">
        <v>54300</v>
      </c>
      <c r="R65" s="36"/>
      <c r="S65" s="36"/>
      <c r="T65" s="37"/>
      <c r="U65" s="5">
        <f t="shared" si="43"/>
        <v>54300</v>
      </c>
      <c r="V65" s="5">
        <f t="shared" si="44"/>
        <v>2044937.9999999998</v>
      </c>
      <c r="W65" s="5">
        <f t="shared" si="45"/>
        <v>368088.83999999997</v>
      </c>
      <c r="X65" s="5"/>
      <c r="Y65" s="5"/>
      <c r="Z65" s="98"/>
      <c r="AA65" s="23">
        <f t="shared" si="46"/>
        <v>0</v>
      </c>
      <c r="AB65" s="97">
        <f t="shared" si="47"/>
        <v>0</v>
      </c>
      <c r="AC65" s="43"/>
      <c r="AD65" s="46"/>
      <c r="AE65" s="5">
        <f t="shared" si="48"/>
        <v>2413026.84</v>
      </c>
      <c r="AF65" s="114">
        <v>582</v>
      </c>
      <c r="AG65" s="139" t="s">
        <v>2060</v>
      </c>
      <c r="AH65" s="103">
        <v>37.659999999999997</v>
      </c>
      <c r="AI65" s="12"/>
      <c r="AJ65" s="40"/>
      <c r="AK65" s="40"/>
    </row>
    <row r="66" spans="2:37" s="41" customFormat="1" ht="16.149999999999999" customHeight="1">
      <c r="B66" s="89"/>
      <c r="C66" s="4"/>
      <c r="D66" s="4"/>
      <c r="E66" s="85" t="s">
        <v>700</v>
      </c>
      <c r="F66" s="103">
        <v>33.909999999999997</v>
      </c>
      <c r="G66" s="14">
        <f t="shared" si="42"/>
        <v>33910</v>
      </c>
      <c r="H66" s="97">
        <v>9</v>
      </c>
      <c r="I66" s="83" t="s">
        <v>1902</v>
      </c>
      <c r="J66" s="85" t="s">
        <v>1915</v>
      </c>
      <c r="K66" s="135" t="s">
        <v>1928</v>
      </c>
      <c r="L66" s="4"/>
      <c r="M66" s="85" t="s">
        <v>1915</v>
      </c>
      <c r="N66" s="82" t="s">
        <v>41</v>
      </c>
      <c r="O66" s="4"/>
      <c r="P66" s="4"/>
      <c r="Q66" s="5">
        <v>54300</v>
      </c>
      <c r="R66" s="36"/>
      <c r="S66" s="36"/>
      <c r="T66" s="37"/>
      <c r="U66" s="5">
        <f t="shared" si="43"/>
        <v>54300</v>
      </c>
      <c r="V66" s="5">
        <f t="shared" si="44"/>
        <v>1841312.9999999998</v>
      </c>
      <c r="W66" s="5">
        <f t="shared" si="45"/>
        <v>331436.33999999997</v>
      </c>
      <c r="X66" s="5"/>
      <c r="Y66" s="5"/>
      <c r="Z66" s="98"/>
      <c r="AA66" s="23">
        <f t="shared" si="46"/>
        <v>0</v>
      </c>
      <c r="AB66" s="97">
        <f t="shared" si="47"/>
        <v>0</v>
      </c>
      <c r="AC66" s="43"/>
      <c r="AD66" s="46"/>
      <c r="AE66" s="5">
        <f t="shared" si="48"/>
        <v>2172749.34</v>
      </c>
      <c r="AF66" s="114">
        <v>583</v>
      </c>
      <c r="AG66" s="139" t="s">
        <v>2060</v>
      </c>
      <c r="AH66" s="103">
        <v>33.909999999999997</v>
      </c>
      <c r="AI66" s="12"/>
      <c r="AJ66" s="40"/>
      <c r="AK66" s="40"/>
    </row>
    <row r="67" spans="2:37" s="41" customFormat="1" ht="16.149999999999999" customHeight="1">
      <c r="B67" s="89"/>
      <c r="C67" s="4"/>
      <c r="D67" s="4"/>
      <c r="E67" s="85" t="s">
        <v>700</v>
      </c>
      <c r="F67" s="103">
        <v>30.13</v>
      </c>
      <c r="G67" s="14">
        <f t="shared" si="42"/>
        <v>30130</v>
      </c>
      <c r="H67" s="97">
        <v>8</v>
      </c>
      <c r="I67" s="83" t="s">
        <v>1902</v>
      </c>
      <c r="J67" s="85" t="s">
        <v>1915</v>
      </c>
      <c r="K67" s="135" t="s">
        <v>1929</v>
      </c>
      <c r="L67" s="4"/>
      <c r="M67" s="85" t="s">
        <v>1915</v>
      </c>
      <c r="N67" s="82" t="s">
        <v>48</v>
      </c>
      <c r="O67" s="4"/>
      <c r="P67" s="4"/>
      <c r="Q67" s="5">
        <v>54300</v>
      </c>
      <c r="R67" s="36"/>
      <c r="S67" s="36"/>
      <c r="T67" s="37"/>
      <c r="U67" s="5">
        <f t="shared" si="43"/>
        <v>54300</v>
      </c>
      <c r="V67" s="5">
        <f t="shared" si="44"/>
        <v>1636059</v>
      </c>
      <c r="W67" s="5">
        <f t="shared" si="45"/>
        <v>294490.62</v>
      </c>
      <c r="X67" s="5"/>
      <c r="Y67" s="5"/>
      <c r="Z67" s="98"/>
      <c r="AA67" s="23">
        <f t="shared" si="46"/>
        <v>0</v>
      </c>
      <c r="AB67" s="97">
        <f t="shared" si="47"/>
        <v>0</v>
      </c>
      <c r="AC67" s="43"/>
      <c r="AD67" s="46"/>
      <c r="AE67" s="5">
        <f t="shared" si="48"/>
        <v>1930549.62</v>
      </c>
      <c r="AF67" s="114">
        <v>584</v>
      </c>
      <c r="AG67" s="139" t="s">
        <v>2060</v>
      </c>
      <c r="AH67" s="103">
        <v>30.13</v>
      </c>
      <c r="AI67" s="12"/>
      <c r="AJ67" s="40"/>
      <c r="AK67" s="40"/>
    </row>
    <row r="68" spans="2:37" s="41" customFormat="1" ht="16.149999999999999" customHeight="1">
      <c r="B68" s="89"/>
      <c r="C68" s="4"/>
      <c r="D68" s="4"/>
      <c r="E68" s="85" t="s">
        <v>700</v>
      </c>
      <c r="F68" s="103">
        <v>41.43</v>
      </c>
      <c r="G68" s="14">
        <f t="shared" si="42"/>
        <v>41430</v>
      </c>
      <c r="H68" s="97">
        <v>11</v>
      </c>
      <c r="I68" s="83" t="s">
        <v>1902</v>
      </c>
      <c r="J68" s="85" t="s">
        <v>1915</v>
      </c>
      <c r="K68" s="135" t="s">
        <v>1950</v>
      </c>
      <c r="L68" s="4"/>
      <c r="M68" s="85" t="s">
        <v>1931</v>
      </c>
      <c r="N68" s="82" t="s">
        <v>1245</v>
      </c>
      <c r="O68" s="4"/>
      <c r="P68" s="4"/>
      <c r="Q68" s="5">
        <v>54300</v>
      </c>
      <c r="R68" s="36"/>
      <c r="S68" s="36"/>
      <c r="T68" s="37"/>
      <c r="U68" s="5">
        <f t="shared" si="43"/>
        <v>54300</v>
      </c>
      <c r="V68" s="5">
        <f t="shared" si="44"/>
        <v>2249649</v>
      </c>
      <c r="W68" s="5">
        <f t="shared" si="45"/>
        <v>404936.82</v>
      </c>
      <c r="X68" s="5"/>
      <c r="Y68" s="5"/>
      <c r="Z68" s="98"/>
      <c r="AA68" s="23">
        <f t="shared" si="46"/>
        <v>0</v>
      </c>
      <c r="AB68" s="97">
        <f t="shared" si="47"/>
        <v>0</v>
      </c>
      <c r="AC68" s="43"/>
      <c r="AD68" s="46"/>
      <c r="AE68" s="5">
        <f t="shared" si="48"/>
        <v>2654585.8199999998</v>
      </c>
      <c r="AF68" s="114">
        <v>585</v>
      </c>
      <c r="AG68" s="139" t="s">
        <v>2060</v>
      </c>
      <c r="AH68" s="103">
        <v>41.43</v>
      </c>
      <c r="AI68" s="12"/>
      <c r="AJ68" s="40"/>
      <c r="AK68" s="40"/>
    </row>
    <row r="69" spans="2:37" s="41" customFormat="1" ht="16.149999999999999" customHeight="1">
      <c r="B69" s="89"/>
      <c r="C69" s="4"/>
      <c r="D69" s="4"/>
      <c r="E69" s="85" t="s">
        <v>700</v>
      </c>
      <c r="F69" s="103">
        <v>33.770000000000003</v>
      </c>
      <c r="G69" s="14">
        <f t="shared" si="42"/>
        <v>33770</v>
      </c>
      <c r="H69" s="97">
        <v>9</v>
      </c>
      <c r="I69" s="83" t="s">
        <v>1902</v>
      </c>
      <c r="J69" s="85" t="s">
        <v>1915</v>
      </c>
      <c r="K69" s="135" t="s">
        <v>1951</v>
      </c>
      <c r="L69" s="4"/>
      <c r="M69" s="85" t="s">
        <v>1931</v>
      </c>
      <c r="N69" s="82" t="s">
        <v>1892</v>
      </c>
      <c r="O69" s="4"/>
      <c r="P69" s="4"/>
      <c r="Q69" s="5">
        <v>54300</v>
      </c>
      <c r="R69" s="36"/>
      <c r="S69" s="36"/>
      <c r="T69" s="37"/>
      <c r="U69" s="5">
        <f t="shared" si="43"/>
        <v>54300</v>
      </c>
      <c r="V69" s="5">
        <f t="shared" si="44"/>
        <v>1833711.0000000002</v>
      </c>
      <c r="W69" s="5">
        <f t="shared" si="45"/>
        <v>330067.98000000004</v>
      </c>
      <c r="X69" s="5"/>
      <c r="Y69" s="5"/>
      <c r="Z69" s="98"/>
      <c r="AA69" s="23">
        <f t="shared" si="46"/>
        <v>0</v>
      </c>
      <c r="AB69" s="97">
        <f t="shared" si="47"/>
        <v>0</v>
      </c>
      <c r="AC69" s="43"/>
      <c r="AD69" s="46"/>
      <c r="AE69" s="5">
        <f t="shared" si="48"/>
        <v>2163778.9800000004</v>
      </c>
      <c r="AF69" s="114">
        <v>586</v>
      </c>
      <c r="AG69" s="139" t="s">
        <v>2060</v>
      </c>
      <c r="AH69" s="103">
        <v>33.770000000000003</v>
      </c>
      <c r="AI69" s="12"/>
      <c r="AJ69" s="40"/>
      <c r="AK69" s="40"/>
    </row>
    <row r="70" spans="2:37" s="41" customFormat="1" ht="16.149999999999999" customHeight="1">
      <c r="B70" s="89"/>
      <c r="C70" s="4"/>
      <c r="D70" s="4"/>
      <c r="E70" s="85" t="s">
        <v>700</v>
      </c>
      <c r="F70" s="103">
        <v>30.15</v>
      </c>
      <c r="G70" s="14">
        <f t="shared" si="42"/>
        <v>30150</v>
      </c>
      <c r="H70" s="97">
        <v>8</v>
      </c>
      <c r="I70" s="83" t="s">
        <v>1902</v>
      </c>
      <c r="J70" s="85" t="s">
        <v>1915</v>
      </c>
      <c r="K70" s="135" t="s">
        <v>1952</v>
      </c>
      <c r="L70" s="4"/>
      <c r="M70" s="85" t="s">
        <v>1931</v>
      </c>
      <c r="N70" s="82" t="s">
        <v>1217</v>
      </c>
      <c r="O70" s="4"/>
      <c r="P70" s="4"/>
      <c r="Q70" s="5">
        <v>54300</v>
      </c>
      <c r="R70" s="36"/>
      <c r="S70" s="36"/>
      <c r="T70" s="37"/>
      <c r="U70" s="5">
        <f t="shared" si="43"/>
        <v>54300</v>
      </c>
      <c r="V70" s="5">
        <f t="shared" si="44"/>
        <v>1637145</v>
      </c>
      <c r="W70" s="5">
        <f t="shared" si="45"/>
        <v>294686.09999999998</v>
      </c>
      <c r="X70" s="5"/>
      <c r="Y70" s="5"/>
      <c r="Z70" s="98"/>
      <c r="AA70" s="23">
        <f t="shared" si="46"/>
        <v>0</v>
      </c>
      <c r="AB70" s="97">
        <f t="shared" si="47"/>
        <v>0</v>
      </c>
      <c r="AC70" s="43"/>
      <c r="AD70" s="46"/>
      <c r="AE70" s="5">
        <f t="shared" si="48"/>
        <v>1931831.1</v>
      </c>
      <c r="AF70" s="114">
        <v>587</v>
      </c>
      <c r="AG70" s="139" t="s">
        <v>2060</v>
      </c>
      <c r="AH70" s="103">
        <v>30.15</v>
      </c>
      <c r="AI70" s="12"/>
      <c r="AJ70" s="40"/>
      <c r="AK70" s="40"/>
    </row>
    <row r="71" spans="2:37" s="41" customFormat="1" ht="16.149999999999999" customHeight="1">
      <c r="B71" s="89"/>
      <c r="C71" s="4"/>
      <c r="D71" s="4"/>
      <c r="E71" s="85" t="s">
        <v>700</v>
      </c>
      <c r="F71" s="103">
        <f>33.8+3.122</f>
        <v>36.921999999999997</v>
      </c>
      <c r="G71" s="14">
        <f t="shared" si="42"/>
        <v>36922</v>
      </c>
      <c r="H71" s="97">
        <v>9</v>
      </c>
      <c r="I71" s="83" t="s">
        <v>1902</v>
      </c>
      <c r="J71" s="85" t="s">
        <v>1915</v>
      </c>
      <c r="K71" s="135" t="s">
        <v>1953</v>
      </c>
      <c r="L71" s="4"/>
      <c r="M71" s="85" t="s">
        <v>1931</v>
      </c>
      <c r="N71" s="82" t="s">
        <v>1954</v>
      </c>
      <c r="O71" s="4"/>
      <c r="P71" s="4"/>
      <c r="Q71" s="5">
        <v>54300</v>
      </c>
      <c r="R71" s="36"/>
      <c r="S71" s="36"/>
      <c r="T71" s="37"/>
      <c r="U71" s="5">
        <f t="shared" si="43"/>
        <v>54300</v>
      </c>
      <c r="V71" s="5">
        <f t="shared" si="44"/>
        <v>2004864.5999999999</v>
      </c>
      <c r="W71" s="5">
        <f t="shared" si="45"/>
        <v>360875.62799999997</v>
      </c>
      <c r="X71" s="5"/>
      <c r="Y71" s="5"/>
      <c r="Z71" s="98"/>
      <c r="AA71" s="23">
        <f t="shared" si="46"/>
        <v>0</v>
      </c>
      <c r="AB71" s="97">
        <f t="shared" si="47"/>
        <v>0</v>
      </c>
      <c r="AC71" s="43"/>
      <c r="AD71" s="46"/>
      <c r="AE71" s="5">
        <f t="shared" si="48"/>
        <v>2365740.2279999997</v>
      </c>
      <c r="AF71" s="114">
        <v>588</v>
      </c>
      <c r="AG71" s="139" t="s">
        <v>2060</v>
      </c>
      <c r="AH71" s="103">
        <f>33.8+3.122</f>
        <v>36.921999999999997</v>
      </c>
      <c r="AI71" s="12"/>
      <c r="AJ71" s="40"/>
      <c r="AK71" s="40"/>
    </row>
    <row r="72" spans="2:37" s="41" customFormat="1">
      <c r="B72" s="13">
        <v>780.60699999999997</v>
      </c>
      <c r="C72" s="19">
        <f>B72-F72</f>
        <v>0</v>
      </c>
      <c r="D72" s="6"/>
      <c r="E72" s="6"/>
      <c r="F72" s="81">
        <f>SUM(F49:F71)</f>
        <v>780.60699999999986</v>
      </c>
      <c r="G72" s="20">
        <f>SUM(G49:G71)</f>
        <v>780607</v>
      </c>
      <c r="H72" s="21">
        <f>SUM(H49:H71)</f>
        <v>207</v>
      </c>
      <c r="I72" s="2"/>
      <c r="J72" s="7"/>
      <c r="K72" s="7"/>
      <c r="L72" s="7"/>
      <c r="M72" s="2"/>
      <c r="N72" s="6"/>
      <c r="O72" s="6"/>
      <c r="P72" s="6"/>
      <c r="Q72" s="19"/>
      <c r="R72" s="9"/>
      <c r="S72" s="9"/>
      <c r="T72" s="10"/>
      <c r="U72" s="8"/>
      <c r="V72" s="21">
        <f>SUM(V49:V71)</f>
        <v>42386960.100000001</v>
      </c>
      <c r="W72" s="21">
        <f>SUM(W49:W71)</f>
        <v>7629652.818</v>
      </c>
      <c r="X72" s="21">
        <f>SUM(X49:X71)</f>
        <v>0</v>
      </c>
      <c r="Y72" s="21">
        <f>SUM(Y49:Y71)</f>
        <v>0</v>
      </c>
      <c r="Z72" s="99"/>
      <c r="AA72" s="21">
        <f>SUM(AA49:AA71)</f>
        <v>0</v>
      </c>
      <c r="AB72" s="21">
        <f>SUM(AB49:AB71)</f>
        <v>0</v>
      </c>
      <c r="AC72" s="21"/>
      <c r="AD72" s="21">
        <f>SUM(AD49:AD71)</f>
        <v>0</v>
      </c>
      <c r="AE72" s="21">
        <f>SUM(AE49:AE71)</f>
        <v>50016612.918000005</v>
      </c>
      <c r="AF72" s="21"/>
      <c r="AG72" s="42"/>
      <c r="AH72" s="81">
        <f>SUM(AH49:AH71)</f>
        <v>780.60699999999986</v>
      </c>
      <c r="AI72" s="26">
        <f>AH72-F72</f>
        <v>0</v>
      </c>
      <c r="AJ72" s="41">
        <f>AA72/F72</f>
        <v>0</v>
      </c>
      <c r="AK72" s="40"/>
    </row>
    <row r="73" spans="2:37" s="41" customFormat="1" ht="16.149999999999999" customHeight="1">
      <c r="B73" s="138" t="s">
        <v>1685</v>
      </c>
      <c r="C73" s="82" t="s">
        <v>1686</v>
      </c>
      <c r="D73" s="4"/>
      <c r="E73" s="86" t="s">
        <v>558</v>
      </c>
      <c r="F73" s="103">
        <v>4.3940000000000001</v>
      </c>
      <c r="G73" s="14">
        <f t="shared" ref="G73:G129" si="49">+F73*1000</f>
        <v>4394</v>
      </c>
      <c r="H73" s="97">
        <v>2</v>
      </c>
      <c r="I73" s="83" t="s">
        <v>1688</v>
      </c>
      <c r="J73" s="85" t="s">
        <v>1689</v>
      </c>
      <c r="K73" s="82" t="s">
        <v>1690</v>
      </c>
      <c r="L73" s="4"/>
      <c r="M73" s="85" t="s">
        <v>1683</v>
      </c>
      <c r="N73" s="82" t="s">
        <v>658</v>
      </c>
      <c r="O73" s="4"/>
      <c r="P73" s="4"/>
      <c r="Q73" s="5">
        <v>51750</v>
      </c>
      <c r="R73" s="36"/>
      <c r="S73" s="36"/>
      <c r="T73" s="37"/>
      <c r="U73" s="5">
        <f t="shared" ref="U73:U129" si="50">S73+R73+Q73-T73</f>
        <v>51750</v>
      </c>
      <c r="V73" s="5">
        <f t="shared" ref="V73:V129" si="51">F73*U73</f>
        <v>227389.5</v>
      </c>
      <c r="W73" s="5">
        <f t="shared" ref="W73:W129" si="52">V73*18%</f>
        <v>40930.11</v>
      </c>
      <c r="X73" s="5"/>
      <c r="Y73" s="5"/>
      <c r="Z73" s="98"/>
      <c r="AA73" s="23">
        <f t="shared" ref="AA73:AA129" si="53">F73*Z73</f>
        <v>0</v>
      </c>
      <c r="AB73" s="97">
        <f t="shared" ref="AB73:AB129" si="54">AA73*18%</f>
        <v>0</v>
      </c>
      <c r="AC73" s="43"/>
      <c r="AD73" s="46"/>
      <c r="AE73" s="5">
        <f t="shared" ref="AE73:AE129" si="55">+AB73+AA73+Y73+X73+W73+V73-AC73+AD73</f>
        <v>268319.61</v>
      </c>
      <c r="AF73" s="114">
        <v>589</v>
      </c>
      <c r="AG73" s="139" t="s">
        <v>2060</v>
      </c>
      <c r="AH73" s="103">
        <v>4.3940000000000001</v>
      </c>
      <c r="AI73" s="12"/>
      <c r="AJ73" s="40"/>
      <c r="AK73" s="40"/>
    </row>
    <row r="74" spans="2:37" s="41" customFormat="1" ht="16.149999999999999" customHeight="1">
      <c r="B74" s="70" t="s">
        <v>918</v>
      </c>
      <c r="C74" s="82" t="s">
        <v>1687</v>
      </c>
      <c r="D74" s="4"/>
      <c r="E74" s="86" t="s">
        <v>558</v>
      </c>
      <c r="F74" s="103">
        <v>36.405999999999999</v>
      </c>
      <c r="G74" s="14">
        <f t="shared" si="49"/>
        <v>36406</v>
      </c>
      <c r="H74" s="97">
        <v>16</v>
      </c>
      <c r="I74" s="83" t="s">
        <v>1691</v>
      </c>
      <c r="J74" s="85" t="s">
        <v>1689</v>
      </c>
      <c r="K74" s="82" t="s">
        <v>1690</v>
      </c>
      <c r="L74" s="4"/>
      <c r="M74" s="85" t="s">
        <v>1683</v>
      </c>
      <c r="N74" s="82" t="s">
        <v>658</v>
      </c>
      <c r="O74" s="4"/>
      <c r="P74" s="4"/>
      <c r="Q74" s="5">
        <v>51750</v>
      </c>
      <c r="R74" s="36"/>
      <c r="S74" s="36"/>
      <c r="T74" s="37"/>
      <c r="U74" s="5">
        <f t="shared" si="50"/>
        <v>51750</v>
      </c>
      <c r="V74" s="5">
        <f t="shared" si="51"/>
        <v>1884010.5</v>
      </c>
      <c r="W74" s="5">
        <f t="shared" si="52"/>
        <v>339121.89</v>
      </c>
      <c r="X74" s="5"/>
      <c r="Y74" s="5"/>
      <c r="Z74" s="98"/>
      <c r="AA74" s="23">
        <f t="shared" si="53"/>
        <v>0</v>
      </c>
      <c r="AB74" s="97">
        <f t="shared" si="54"/>
        <v>0</v>
      </c>
      <c r="AC74" s="43"/>
      <c r="AD74" s="46"/>
      <c r="AE74" s="5">
        <f t="shared" si="55"/>
        <v>2223132.39</v>
      </c>
      <c r="AF74" s="114">
        <v>590</v>
      </c>
      <c r="AG74" s="139" t="s">
        <v>2060</v>
      </c>
      <c r="AH74" s="103">
        <v>36.405999999999999</v>
      </c>
      <c r="AI74" s="12"/>
      <c r="AJ74" s="40"/>
      <c r="AK74" s="40"/>
    </row>
    <row r="75" spans="2:37" s="41" customFormat="1" ht="16.149999999999999" customHeight="1">
      <c r="B75" s="89"/>
      <c r="C75" s="4"/>
      <c r="D75" s="4"/>
      <c r="E75" s="86" t="s">
        <v>558</v>
      </c>
      <c r="F75" s="103">
        <v>11.45</v>
      </c>
      <c r="G75" s="14">
        <f t="shared" si="49"/>
        <v>11450</v>
      </c>
      <c r="H75" s="97">
        <v>5</v>
      </c>
      <c r="I75" s="83" t="s">
        <v>1692</v>
      </c>
      <c r="J75" s="85" t="s">
        <v>1689</v>
      </c>
      <c r="K75" s="82" t="s">
        <v>1694</v>
      </c>
      <c r="L75" s="4"/>
      <c r="M75" s="85" t="s">
        <v>1683</v>
      </c>
      <c r="N75" s="82" t="s">
        <v>1693</v>
      </c>
      <c r="O75" s="4"/>
      <c r="P75" s="4"/>
      <c r="Q75" s="5">
        <v>51750</v>
      </c>
      <c r="R75" s="36"/>
      <c r="S75" s="36"/>
      <c r="T75" s="37"/>
      <c r="U75" s="5">
        <f t="shared" si="50"/>
        <v>51750</v>
      </c>
      <c r="V75" s="5">
        <f t="shared" si="51"/>
        <v>592537.5</v>
      </c>
      <c r="W75" s="5">
        <f t="shared" si="52"/>
        <v>106656.75</v>
      </c>
      <c r="X75" s="5"/>
      <c r="Y75" s="5"/>
      <c r="Z75" s="98"/>
      <c r="AA75" s="23">
        <f t="shared" si="53"/>
        <v>0</v>
      </c>
      <c r="AB75" s="97">
        <f t="shared" si="54"/>
        <v>0</v>
      </c>
      <c r="AC75" s="43"/>
      <c r="AD75" s="46"/>
      <c r="AE75" s="5">
        <f t="shared" si="55"/>
        <v>699194.25</v>
      </c>
      <c r="AF75" s="114">
        <v>591</v>
      </c>
      <c r="AG75" s="139" t="s">
        <v>2060</v>
      </c>
      <c r="AH75" s="103">
        <v>11.45</v>
      </c>
      <c r="AI75" s="12"/>
      <c r="AJ75" s="40"/>
      <c r="AK75" s="40"/>
    </row>
    <row r="76" spans="2:37" s="41" customFormat="1" ht="16.149999999999999" customHeight="1">
      <c r="B76" s="89"/>
      <c r="C76" s="4"/>
      <c r="D76" s="4"/>
      <c r="E76" s="86" t="s">
        <v>558</v>
      </c>
      <c r="F76" s="103">
        <v>11.45</v>
      </c>
      <c r="G76" s="14">
        <f t="shared" si="49"/>
        <v>11450</v>
      </c>
      <c r="H76" s="97">
        <v>5</v>
      </c>
      <c r="I76" s="83" t="s">
        <v>1695</v>
      </c>
      <c r="J76" s="85" t="s">
        <v>1689</v>
      </c>
      <c r="K76" s="82" t="s">
        <v>1694</v>
      </c>
      <c r="L76" s="4"/>
      <c r="M76" s="85" t="s">
        <v>1683</v>
      </c>
      <c r="N76" s="82" t="s">
        <v>1693</v>
      </c>
      <c r="O76" s="4"/>
      <c r="P76" s="4"/>
      <c r="Q76" s="5">
        <v>51750</v>
      </c>
      <c r="R76" s="36"/>
      <c r="S76" s="36"/>
      <c r="T76" s="37"/>
      <c r="U76" s="5">
        <f t="shared" si="50"/>
        <v>51750</v>
      </c>
      <c r="V76" s="5">
        <f t="shared" si="51"/>
        <v>592537.5</v>
      </c>
      <c r="W76" s="5">
        <f t="shared" si="52"/>
        <v>106656.75</v>
      </c>
      <c r="X76" s="5"/>
      <c r="Y76" s="5"/>
      <c r="Z76" s="98"/>
      <c r="AA76" s="23">
        <f t="shared" si="53"/>
        <v>0</v>
      </c>
      <c r="AB76" s="97">
        <f t="shared" si="54"/>
        <v>0</v>
      </c>
      <c r="AC76" s="43"/>
      <c r="AD76" s="46"/>
      <c r="AE76" s="5">
        <f t="shared" si="55"/>
        <v>699194.25</v>
      </c>
      <c r="AF76" s="114">
        <v>592</v>
      </c>
      <c r="AG76" s="139" t="s">
        <v>2060</v>
      </c>
      <c r="AH76" s="103">
        <v>11.45</v>
      </c>
      <c r="AI76" s="12"/>
      <c r="AJ76" s="40"/>
      <c r="AK76" s="40"/>
    </row>
    <row r="77" spans="2:37" s="41" customFormat="1" ht="16.149999999999999" customHeight="1">
      <c r="B77" s="89"/>
      <c r="C77" s="4"/>
      <c r="D77" s="4"/>
      <c r="E77" s="86" t="s">
        <v>558</v>
      </c>
      <c r="F77" s="103">
        <v>17.850000000000001</v>
      </c>
      <c r="G77" s="14">
        <f t="shared" si="49"/>
        <v>17850</v>
      </c>
      <c r="H77" s="97">
        <v>8</v>
      </c>
      <c r="I77" s="83" t="s">
        <v>1696</v>
      </c>
      <c r="J77" s="85" t="s">
        <v>1689</v>
      </c>
      <c r="K77" s="82" t="s">
        <v>1694</v>
      </c>
      <c r="L77" s="4"/>
      <c r="M77" s="85" t="s">
        <v>1683</v>
      </c>
      <c r="N77" s="82" t="s">
        <v>1693</v>
      </c>
      <c r="O77" s="4"/>
      <c r="P77" s="4"/>
      <c r="Q77" s="5">
        <v>51750</v>
      </c>
      <c r="R77" s="36"/>
      <c r="S77" s="36"/>
      <c r="T77" s="37"/>
      <c r="U77" s="5">
        <f t="shared" si="50"/>
        <v>51750</v>
      </c>
      <c r="V77" s="5">
        <f t="shared" si="51"/>
        <v>923737.50000000012</v>
      </c>
      <c r="W77" s="5">
        <f t="shared" si="52"/>
        <v>166272.75000000003</v>
      </c>
      <c r="X77" s="5"/>
      <c r="Y77" s="5"/>
      <c r="Z77" s="98"/>
      <c r="AA77" s="23">
        <f t="shared" si="53"/>
        <v>0</v>
      </c>
      <c r="AB77" s="97">
        <f t="shared" si="54"/>
        <v>0</v>
      </c>
      <c r="AC77" s="43"/>
      <c r="AD77" s="46"/>
      <c r="AE77" s="5">
        <f t="shared" si="55"/>
        <v>1090010.2500000002</v>
      </c>
      <c r="AF77" s="114">
        <v>593</v>
      </c>
      <c r="AG77" s="139" t="s">
        <v>2060</v>
      </c>
      <c r="AH77" s="103">
        <v>17.850000000000001</v>
      </c>
      <c r="AI77" s="12"/>
      <c r="AJ77" s="40"/>
      <c r="AK77" s="40"/>
    </row>
    <row r="78" spans="2:37" s="41" customFormat="1" ht="16.149999999999999" customHeight="1">
      <c r="B78" s="89"/>
      <c r="C78" s="4"/>
      <c r="D78" s="4"/>
      <c r="E78" s="86" t="s">
        <v>558</v>
      </c>
      <c r="F78" s="103">
        <v>11.45</v>
      </c>
      <c r="G78" s="14">
        <f t="shared" si="49"/>
        <v>11450</v>
      </c>
      <c r="H78" s="97">
        <v>5</v>
      </c>
      <c r="I78" s="83" t="s">
        <v>1697</v>
      </c>
      <c r="J78" s="85" t="s">
        <v>1689</v>
      </c>
      <c r="K78" s="82" t="s">
        <v>1698</v>
      </c>
      <c r="L78" s="4"/>
      <c r="M78" s="85" t="s">
        <v>1683</v>
      </c>
      <c r="N78" s="82" t="s">
        <v>1699</v>
      </c>
      <c r="O78" s="4"/>
      <c r="P78" s="4"/>
      <c r="Q78" s="5">
        <v>51750</v>
      </c>
      <c r="R78" s="36"/>
      <c r="S78" s="36"/>
      <c r="T78" s="37"/>
      <c r="U78" s="5">
        <f t="shared" si="50"/>
        <v>51750</v>
      </c>
      <c r="V78" s="5">
        <f t="shared" si="51"/>
        <v>592537.5</v>
      </c>
      <c r="W78" s="5">
        <f t="shared" si="52"/>
        <v>106656.75</v>
      </c>
      <c r="X78" s="5"/>
      <c r="Y78" s="5"/>
      <c r="Z78" s="98"/>
      <c r="AA78" s="23">
        <f t="shared" si="53"/>
        <v>0</v>
      </c>
      <c r="AB78" s="97">
        <f t="shared" si="54"/>
        <v>0</v>
      </c>
      <c r="AC78" s="43"/>
      <c r="AD78" s="46"/>
      <c r="AE78" s="5">
        <f t="shared" si="55"/>
        <v>699194.25</v>
      </c>
      <c r="AF78" s="114">
        <v>594</v>
      </c>
      <c r="AG78" s="139" t="s">
        <v>2060</v>
      </c>
      <c r="AH78" s="103">
        <v>11.45</v>
      </c>
      <c r="AI78" s="12"/>
      <c r="AJ78" s="40"/>
      <c r="AK78" s="40"/>
    </row>
    <row r="79" spans="2:37" s="41" customFormat="1" ht="16.149999999999999" customHeight="1">
      <c r="B79" s="89"/>
      <c r="C79" s="4"/>
      <c r="D79" s="4"/>
      <c r="E79" s="86" t="s">
        <v>558</v>
      </c>
      <c r="F79" s="103">
        <v>29.37</v>
      </c>
      <c r="G79" s="14">
        <f t="shared" si="49"/>
        <v>29370</v>
      </c>
      <c r="H79" s="97">
        <v>13</v>
      </c>
      <c r="I79" s="83" t="s">
        <v>1700</v>
      </c>
      <c r="J79" s="85" t="s">
        <v>1689</v>
      </c>
      <c r="K79" s="82" t="s">
        <v>1698</v>
      </c>
      <c r="L79" s="4"/>
      <c r="M79" s="85" t="s">
        <v>1683</v>
      </c>
      <c r="N79" s="82" t="s">
        <v>1699</v>
      </c>
      <c r="O79" s="4"/>
      <c r="P79" s="4"/>
      <c r="Q79" s="5">
        <v>51750</v>
      </c>
      <c r="R79" s="36"/>
      <c r="S79" s="36"/>
      <c r="T79" s="37"/>
      <c r="U79" s="5">
        <f t="shared" si="50"/>
        <v>51750</v>
      </c>
      <c r="V79" s="5">
        <f t="shared" si="51"/>
        <v>1519897.5</v>
      </c>
      <c r="W79" s="5">
        <f t="shared" si="52"/>
        <v>273581.55</v>
      </c>
      <c r="X79" s="5"/>
      <c r="Y79" s="5"/>
      <c r="Z79" s="98"/>
      <c r="AA79" s="23">
        <f t="shared" si="53"/>
        <v>0</v>
      </c>
      <c r="AB79" s="97">
        <f t="shared" si="54"/>
        <v>0</v>
      </c>
      <c r="AC79" s="43"/>
      <c r="AD79" s="46"/>
      <c r="AE79" s="5">
        <f t="shared" si="55"/>
        <v>1793479.05</v>
      </c>
      <c r="AF79" s="114">
        <v>595</v>
      </c>
      <c r="AG79" s="139" t="s">
        <v>2060</v>
      </c>
      <c r="AH79" s="103">
        <v>29.37</v>
      </c>
      <c r="AI79" s="12"/>
      <c r="AJ79" s="40"/>
      <c r="AK79" s="40"/>
    </row>
    <row r="80" spans="2:37" s="41" customFormat="1" ht="16.149999999999999" customHeight="1">
      <c r="B80" s="89"/>
      <c r="C80" s="4"/>
      <c r="D80" s="4"/>
      <c r="E80" s="86" t="s">
        <v>558</v>
      </c>
      <c r="F80" s="103">
        <v>16.03</v>
      </c>
      <c r="G80" s="14">
        <f t="shared" si="49"/>
        <v>16030.000000000002</v>
      </c>
      <c r="H80" s="97">
        <v>7</v>
      </c>
      <c r="I80" s="83" t="s">
        <v>1701</v>
      </c>
      <c r="J80" s="85" t="s">
        <v>1689</v>
      </c>
      <c r="K80" s="82" t="s">
        <v>1702</v>
      </c>
      <c r="L80" s="4"/>
      <c r="M80" s="85" t="s">
        <v>1683</v>
      </c>
      <c r="N80" s="82" t="s">
        <v>640</v>
      </c>
      <c r="O80" s="4"/>
      <c r="P80" s="4"/>
      <c r="Q80" s="5">
        <v>51750</v>
      </c>
      <c r="R80" s="36"/>
      <c r="S80" s="36"/>
      <c r="T80" s="37"/>
      <c r="U80" s="5">
        <f t="shared" si="50"/>
        <v>51750</v>
      </c>
      <c r="V80" s="5">
        <f t="shared" si="51"/>
        <v>829552.50000000012</v>
      </c>
      <c r="W80" s="5">
        <f t="shared" si="52"/>
        <v>149319.45000000001</v>
      </c>
      <c r="X80" s="5"/>
      <c r="Y80" s="5"/>
      <c r="Z80" s="98"/>
      <c r="AA80" s="23">
        <f t="shared" si="53"/>
        <v>0</v>
      </c>
      <c r="AB80" s="97">
        <f t="shared" si="54"/>
        <v>0</v>
      </c>
      <c r="AC80" s="43"/>
      <c r="AD80" s="46"/>
      <c r="AE80" s="5">
        <f t="shared" si="55"/>
        <v>978871.95000000019</v>
      </c>
      <c r="AF80" s="114">
        <v>596</v>
      </c>
      <c r="AG80" s="139" t="s">
        <v>2060</v>
      </c>
      <c r="AH80" s="103">
        <v>16.03</v>
      </c>
      <c r="AI80" s="12"/>
      <c r="AJ80" s="40"/>
      <c r="AK80" s="40"/>
    </row>
    <row r="81" spans="2:37" s="41" customFormat="1" ht="16.149999999999999" customHeight="1">
      <c r="B81" s="89"/>
      <c r="C81" s="4"/>
      <c r="D81" s="4"/>
      <c r="E81" s="86" t="s">
        <v>558</v>
      </c>
      <c r="F81" s="103">
        <v>24.71</v>
      </c>
      <c r="G81" s="14">
        <f t="shared" si="49"/>
        <v>24710</v>
      </c>
      <c r="H81" s="97">
        <v>11</v>
      </c>
      <c r="I81" s="83" t="s">
        <v>1703</v>
      </c>
      <c r="J81" s="85" t="s">
        <v>1689</v>
      </c>
      <c r="K81" s="82" t="s">
        <v>1702</v>
      </c>
      <c r="L81" s="4"/>
      <c r="M81" s="85" t="s">
        <v>1683</v>
      </c>
      <c r="N81" s="82" t="s">
        <v>640</v>
      </c>
      <c r="O81" s="4"/>
      <c r="P81" s="4"/>
      <c r="Q81" s="5">
        <v>51750</v>
      </c>
      <c r="R81" s="36"/>
      <c r="S81" s="36"/>
      <c r="T81" s="37"/>
      <c r="U81" s="5">
        <f t="shared" si="50"/>
        <v>51750</v>
      </c>
      <c r="V81" s="5">
        <f t="shared" si="51"/>
        <v>1278742.5</v>
      </c>
      <c r="W81" s="5">
        <f t="shared" si="52"/>
        <v>230173.65</v>
      </c>
      <c r="X81" s="5"/>
      <c r="Y81" s="5"/>
      <c r="Z81" s="98"/>
      <c r="AA81" s="23">
        <f t="shared" si="53"/>
        <v>0</v>
      </c>
      <c r="AB81" s="97">
        <f t="shared" si="54"/>
        <v>0</v>
      </c>
      <c r="AC81" s="43"/>
      <c r="AD81" s="46"/>
      <c r="AE81" s="5">
        <f t="shared" si="55"/>
        <v>1508916.15</v>
      </c>
      <c r="AF81" s="114">
        <v>597</v>
      </c>
      <c r="AG81" s="139" t="s">
        <v>2060</v>
      </c>
      <c r="AH81" s="103">
        <v>24.71</v>
      </c>
      <c r="AI81" s="12"/>
      <c r="AJ81" s="40"/>
      <c r="AK81" s="40"/>
    </row>
    <row r="82" spans="2:37" s="41" customFormat="1" ht="16.149999999999999" customHeight="1">
      <c r="B82" s="89"/>
      <c r="C82" s="4"/>
      <c r="D82" s="4"/>
      <c r="E82" s="86" t="s">
        <v>558</v>
      </c>
      <c r="F82" s="103">
        <v>33.979999999999997</v>
      </c>
      <c r="G82" s="14">
        <f t="shared" si="49"/>
        <v>33980</v>
      </c>
      <c r="H82" s="97">
        <v>15</v>
      </c>
      <c r="I82" s="83" t="s">
        <v>1704</v>
      </c>
      <c r="J82" s="85" t="s">
        <v>1682</v>
      </c>
      <c r="K82" s="82" t="s">
        <v>1705</v>
      </c>
      <c r="L82" s="4"/>
      <c r="M82" s="85" t="s">
        <v>1683</v>
      </c>
      <c r="N82" s="82" t="s">
        <v>1706</v>
      </c>
      <c r="O82" s="4"/>
      <c r="P82" s="4"/>
      <c r="Q82" s="5">
        <v>51750</v>
      </c>
      <c r="R82" s="36"/>
      <c r="S82" s="36"/>
      <c r="T82" s="37"/>
      <c r="U82" s="5">
        <f t="shared" si="50"/>
        <v>51750</v>
      </c>
      <c r="V82" s="5">
        <f t="shared" si="51"/>
        <v>1758464.9999999998</v>
      </c>
      <c r="W82" s="5">
        <f t="shared" si="52"/>
        <v>316523.69999999995</v>
      </c>
      <c r="X82" s="5"/>
      <c r="Y82" s="5"/>
      <c r="Z82" s="98"/>
      <c r="AA82" s="23">
        <f t="shared" si="53"/>
        <v>0</v>
      </c>
      <c r="AB82" s="97">
        <f t="shared" si="54"/>
        <v>0</v>
      </c>
      <c r="AC82" s="43"/>
      <c r="AD82" s="46"/>
      <c r="AE82" s="5">
        <f t="shared" si="55"/>
        <v>2074988.6999999997</v>
      </c>
      <c r="AF82" s="114">
        <v>598</v>
      </c>
      <c r="AG82" s="139" t="s">
        <v>2060</v>
      </c>
      <c r="AH82" s="103">
        <v>33.979999999999997</v>
      </c>
      <c r="AI82" s="12"/>
      <c r="AJ82" s="40"/>
      <c r="AK82" s="40"/>
    </row>
    <row r="83" spans="2:37" s="41" customFormat="1" ht="16.149999999999999" customHeight="1">
      <c r="B83" s="89"/>
      <c r="C83" s="4"/>
      <c r="D83" s="4"/>
      <c r="E83" s="86" t="s">
        <v>558</v>
      </c>
      <c r="F83" s="103">
        <v>40.78</v>
      </c>
      <c r="G83" s="14">
        <f t="shared" si="49"/>
        <v>40780</v>
      </c>
      <c r="H83" s="97">
        <v>18</v>
      </c>
      <c r="I83" s="83" t="s">
        <v>1707</v>
      </c>
      <c r="J83" s="85" t="s">
        <v>1708</v>
      </c>
      <c r="K83" s="82" t="s">
        <v>1709</v>
      </c>
      <c r="L83" s="4"/>
      <c r="M83" s="85" t="s">
        <v>1710</v>
      </c>
      <c r="N83" s="82" t="s">
        <v>1012</v>
      </c>
      <c r="O83" s="4"/>
      <c r="P83" s="4"/>
      <c r="Q83" s="5">
        <v>51750</v>
      </c>
      <c r="R83" s="36"/>
      <c r="S83" s="36"/>
      <c r="T83" s="37"/>
      <c r="U83" s="5">
        <f t="shared" si="50"/>
        <v>51750</v>
      </c>
      <c r="V83" s="5">
        <f t="shared" si="51"/>
        <v>2110365</v>
      </c>
      <c r="W83" s="5">
        <f t="shared" si="52"/>
        <v>379865.7</v>
      </c>
      <c r="X83" s="5"/>
      <c r="Y83" s="5"/>
      <c r="Z83" s="98"/>
      <c r="AA83" s="23">
        <f t="shared" si="53"/>
        <v>0</v>
      </c>
      <c r="AB83" s="97">
        <f t="shared" si="54"/>
        <v>0</v>
      </c>
      <c r="AC83" s="43"/>
      <c r="AD83" s="46"/>
      <c r="AE83" s="5">
        <f t="shared" si="55"/>
        <v>2490230.7000000002</v>
      </c>
      <c r="AF83" s="114">
        <v>599</v>
      </c>
      <c r="AG83" s="139" t="s">
        <v>2060</v>
      </c>
      <c r="AH83" s="103">
        <v>40.78</v>
      </c>
      <c r="AI83" s="12"/>
      <c r="AJ83" s="40"/>
      <c r="AK83" s="40"/>
    </row>
    <row r="84" spans="2:37" s="41" customFormat="1" ht="16.149999999999999" customHeight="1">
      <c r="B84" s="89"/>
      <c r="C84" s="4"/>
      <c r="D84" s="4"/>
      <c r="E84" s="86" t="s">
        <v>558</v>
      </c>
      <c r="F84" s="103">
        <v>31.77</v>
      </c>
      <c r="G84" s="14">
        <f t="shared" si="49"/>
        <v>31770</v>
      </c>
      <c r="H84" s="97">
        <v>14</v>
      </c>
      <c r="I84" s="83" t="s">
        <v>1711</v>
      </c>
      <c r="J84" s="85" t="s">
        <v>1708</v>
      </c>
      <c r="K84" s="82" t="s">
        <v>1712</v>
      </c>
      <c r="L84" s="4"/>
      <c r="M84" s="85" t="s">
        <v>1710</v>
      </c>
      <c r="N84" s="82" t="s">
        <v>1713</v>
      </c>
      <c r="O84" s="4"/>
      <c r="P84" s="4"/>
      <c r="Q84" s="5">
        <v>51750</v>
      </c>
      <c r="R84" s="36"/>
      <c r="S84" s="36"/>
      <c r="T84" s="37"/>
      <c r="U84" s="5">
        <f t="shared" si="50"/>
        <v>51750</v>
      </c>
      <c r="V84" s="5">
        <f t="shared" si="51"/>
        <v>1644097.5</v>
      </c>
      <c r="W84" s="5">
        <f t="shared" si="52"/>
        <v>295937.55</v>
      </c>
      <c r="X84" s="5"/>
      <c r="Y84" s="5"/>
      <c r="Z84" s="98"/>
      <c r="AA84" s="23">
        <f t="shared" si="53"/>
        <v>0</v>
      </c>
      <c r="AB84" s="97">
        <f t="shared" si="54"/>
        <v>0</v>
      </c>
      <c r="AC84" s="43"/>
      <c r="AD84" s="46"/>
      <c r="AE84" s="5">
        <f t="shared" si="55"/>
        <v>1940035.05</v>
      </c>
      <c r="AF84" s="114">
        <v>600</v>
      </c>
      <c r="AG84" s="139" t="s">
        <v>2060</v>
      </c>
      <c r="AH84" s="103">
        <v>31.77</v>
      </c>
      <c r="AI84" s="12"/>
      <c r="AJ84" s="40"/>
      <c r="AK84" s="40"/>
    </row>
    <row r="85" spans="2:37" s="41" customFormat="1" ht="16.149999999999999" customHeight="1">
      <c r="B85" s="89"/>
      <c r="C85" s="4"/>
      <c r="D85" s="4"/>
      <c r="E85" s="86" t="s">
        <v>558</v>
      </c>
      <c r="F85" s="103">
        <v>38.56</v>
      </c>
      <c r="G85" s="14">
        <f t="shared" si="49"/>
        <v>38560</v>
      </c>
      <c r="H85" s="97">
        <v>17</v>
      </c>
      <c r="I85" s="83" t="s">
        <v>1714</v>
      </c>
      <c r="J85" s="85" t="s">
        <v>1682</v>
      </c>
      <c r="K85" s="82" t="s">
        <v>1715</v>
      </c>
      <c r="L85" s="4"/>
      <c r="M85" s="85" t="s">
        <v>1710</v>
      </c>
      <c r="N85" s="82" t="s">
        <v>1716</v>
      </c>
      <c r="O85" s="4"/>
      <c r="P85" s="4"/>
      <c r="Q85" s="5">
        <v>51750</v>
      </c>
      <c r="R85" s="36"/>
      <c r="S85" s="36"/>
      <c r="T85" s="37"/>
      <c r="U85" s="5">
        <f t="shared" si="50"/>
        <v>51750</v>
      </c>
      <c r="V85" s="5">
        <f t="shared" si="51"/>
        <v>1995480.0000000002</v>
      </c>
      <c r="W85" s="5">
        <f t="shared" si="52"/>
        <v>359186.4</v>
      </c>
      <c r="X85" s="5"/>
      <c r="Y85" s="5"/>
      <c r="Z85" s="98"/>
      <c r="AA85" s="23">
        <f t="shared" si="53"/>
        <v>0</v>
      </c>
      <c r="AB85" s="97">
        <f t="shared" si="54"/>
        <v>0</v>
      </c>
      <c r="AC85" s="43"/>
      <c r="AD85" s="46"/>
      <c r="AE85" s="5">
        <f t="shared" si="55"/>
        <v>2354666.4000000004</v>
      </c>
      <c r="AF85" s="114">
        <v>601</v>
      </c>
      <c r="AG85" s="139" t="s">
        <v>2060</v>
      </c>
      <c r="AH85" s="103">
        <v>38.56</v>
      </c>
      <c r="AI85" s="12"/>
      <c r="AJ85" s="40"/>
      <c r="AK85" s="40"/>
    </row>
    <row r="86" spans="2:37" s="41" customFormat="1" ht="16.149999999999999" customHeight="1">
      <c r="B86" s="89"/>
      <c r="C86" s="4"/>
      <c r="D86" s="4"/>
      <c r="E86" s="86" t="s">
        <v>558</v>
      </c>
      <c r="F86" s="103">
        <v>16.03</v>
      </c>
      <c r="G86" s="14">
        <f t="shared" si="49"/>
        <v>16030.000000000002</v>
      </c>
      <c r="H86" s="97">
        <v>7</v>
      </c>
      <c r="I86" s="83" t="s">
        <v>1719</v>
      </c>
      <c r="J86" s="85" t="s">
        <v>1682</v>
      </c>
      <c r="K86" s="82" t="s">
        <v>1717</v>
      </c>
      <c r="L86" s="4"/>
      <c r="M86" s="85" t="s">
        <v>1710</v>
      </c>
      <c r="N86" s="82" t="s">
        <v>1718</v>
      </c>
      <c r="O86" s="4"/>
      <c r="P86" s="4"/>
      <c r="Q86" s="5">
        <v>51750</v>
      </c>
      <c r="R86" s="36"/>
      <c r="S86" s="36"/>
      <c r="T86" s="37"/>
      <c r="U86" s="5">
        <f t="shared" si="50"/>
        <v>51750</v>
      </c>
      <c r="V86" s="5">
        <f t="shared" si="51"/>
        <v>829552.50000000012</v>
      </c>
      <c r="W86" s="5">
        <f t="shared" si="52"/>
        <v>149319.45000000001</v>
      </c>
      <c r="X86" s="5"/>
      <c r="Y86" s="5"/>
      <c r="Z86" s="98"/>
      <c r="AA86" s="23">
        <f t="shared" si="53"/>
        <v>0</v>
      </c>
      <c r="AB86" s="97">
        <f t="shared" si="54"/>
        <v>0</v>
      </c>
      <c r="AC86" s="43"/>
      <c r="AD86" s="46"/>
      <c r="AE86" s="5">
        <f t="shared" si="55"/>
        <v>978871.95000000019</v>
      </c>
      <c r="AF86" s="114">
        <v>602</v>
      </c>
      <c r="AG86" s="139" t="s">
        <v>2060</v>
      </c>
      <c r="AH86" s="103">
        <v>16.03</v>
      </c>
      <c r="AI86" s="12"/>
      <c r="AJ86" s="40"/>
      <c r="AK86" s="40"/>
    </row>
    <row r="87" spans="2:37" s="41" customFormat="1" ht="16.149999999999999" customHeight="1">
      <c r="B87" s="89"/>
      <c r="C87" s="4"/>
      <c r="D87" s="4"/>
      <c r="E87" s="86" t="s">
        <v>558</v>
      </c>
      <c r="F87" s="103">
        <v>17.36</v>
      </c>
      <c r="G87" s="14">
        <f t="shared" si="49"/>
        <v>17360</v>
      </c>
      <c r="H87" s="97">
        <v>8</v>
      </c>
      <c r="I87" s="83" t="s">
        <v>1720</v>
      </c>
      <c r="J87" s="85" t="s">
        <v>1682</v>
      </c>
      <c r="K87" s="82" t="s">
        <v>1717</v>
      </c>
      <c r="L87" s="4"/>
      <c r="M87" s="85" t="s">
        <v>1710</v>
      </c>
      <c r="N87" s="82" t="s">
        <v>1718</v>
      </c>
      <c r="O87" s="4"/>
      <c r="P87" s="4"/>
      <c r="Q87" s="5">
        <v>51750</v>
      </c>
      <c r="R87" s="36"/>
      <c r="S87" s="36"/>
      <c r="T87" s="37"/>
      <c r="U87" s="5">
        <f t="shared" si="50"/>
        <v>51750</v>
      </c>
      <c r="V87" s="5">
        <f t="shared" si="51"/>
        <v>898380</v>
      </c>
      <c r="W87" s="5">
        <f t="shared" si="52"/>
        <v>161708.4</v>
      </c>
      <c r="X87" s="5"/>
      <c r="Y87" s="5"/>
      <c r="Z87" s="98"/>
      <c r="AA87" s="23">
        <f t="shared" si="53"/>
        <v>0</v>
      </c>
      <c r="AB87" s="97">
        <f t="shared" si="54"/>
        <v>0</v>
      </c>
      <c r="AC87" s="43"/>
      <c r="AD87" s="46"/>
      <c r="AE87" s="5">
        <f t="shared" si="55"/>
        <v>1060088.3999999999</v>
      </c>
      <c r="AF87" s="114">
        <v>603</v>
      </c>
      <c r="AG87" s="139" t="s">
        <v>2060</v>
      </c>
      <c r="AH87" s="103">
        <v>17.36</v>
      </c>
      <c r="AI87" s="12"/>
      <c r="AJ87" s="40"/>
      <c r="AK87" s="40"/>
    </row>
    <row r="88" spans="2:37" s="41" customFormat="1" ht="16.149999999999999" customHeight="1">
      <c r="B88" s="89"/>
      <c r="C88" s="4"/>
      <c r="D88" s="4"/>
      <c r="E88" s="86" t="s">
        <v>558</v>
      </c>
      <c r="F88" s="103">
        <v>40.840000000000003</v>
      </c>
      <c r="G88" s="14">
        <f>+F88*1000</f>
        <v>40840</v>
      </c>
      <c r="H88" s="97">
        <v>18</v>
      </c>
      <c r="I88" s="83" t="s">
        <v>1794</v>
      </c>
      <c r="J88" s="85" t="s">
        <v>1683</v>
      </c>
      <c r="K88" s="82" t="s">
        <v>1795</v>
      </c>
      <c r="L88" s="4"/>
      <c r="M88" s="85" t="s">
        <v>1710</v>
      </c>
      <c r="N88" s="82" t="s">
        <v>1796</v>
      </c>
      <c r="O88" s="4"/>
      <c r="P88" s="4"/>
      <c r="Q88" s="5">
        <v>51750</v>
      </c>
      <c r="R88" s="36"/>
      <c r="S88" s="36"/>
      <c r="T88" s="37"/>
      <c r="U88" s="5">
        <f>S88+R88+Q88-T88</f>
        <v>51750</v>
      </c>
      <c r="V88" s="5">
        <f>F88*U88</f>
        <v>2113470</v>
      </c>
      <c r="W88" s="5">
        <f>V88*18%</f>
        <v>380424.6</v>
      </c>
      <c r="X88" s="5"/>
      <c r="Y88" s="5"/>
      <c r="Z88" s="98"/>
      <c r="AA88" s="23">
        <f>F88*Z88</f>
        <v>0</v>
      </c>
      <c r="AB88" s="97">
        <f>AA88*18%</f>
        <v>0</v>
      </c>
      <c r="AC88" s="43"/>
      <c r="AD88" s="46"/>
      <c r="AE88" s="5">
        <f>+AB88+AA88+Y88+X88+W88+V88-AC88+AD88</f>
        <v>2493894.6</v>
      </c>
      <c r="AF88" s="114">
        <v>604</v>
      </c>
      <c r="AG88" s="139" t="s">
        <v>2060</v>
      </c>
      <c r="AH88" s="103">
        <v>40.840000000000003</v>
      </c>
      <c r="AI88" s="12"/>
      <c r="AJ88" s="40"/>
      <c r="AK88" s="40"/>
    </row>
    <row r="89" spans="2:37" s="41" customFormat="1" ht="16.149999999999999" customHeight="1">
      <c r="B89" s="89"/>
      <c r="C89" s="4"/>
      <c r="D89" s="4"/>
      <c r="E89" s="86" t="s">
        <v>558</v>
      </c>
      <c r="F89" s="103">
        <v>40.936</v>
      </c>
      <c r="G89" s="14">
        <f t="shared" ref="G89" si="56">+F89*1000</f>
        <v>40936</v>
      </c>
      <c r="H89" s="97">
        <v>18</v>
      </c>
      <c r="I89" s="83" t="s">
        <v>1721</v>
      </c>
      <c r="J89" s="85" t="s">
        <v>1683</v>
      </c>
      <c r="K89" s="82" t="s">
        <v>1722</v>
      </c>
      <c r="L89" s="4"/>
      <c r="M89" s="85" t="s">
        <v>1726</v>
      </c>
      <c r="N89" s="82" t="s">
        <v>1725</v>
      </c>
      <c r="O89" s="4"/>
      <c r="P89" s="4"/>
      <c r="Q89" s="5">
        <v>51750</v>
      </c>
      <c r="R89" s="36"/>
      <c r="S89" s="36"/>
      <c r="T89" s="37"/>
      <c r="U89" s="5">
        <f t="shared" ref="U89" si="57">S89+R89+Q89-T89</f>
        <v>51750</v>
      </c>
      <c r="V89" s="5">
        <f t="shared" ref="V89" si="58">F89*U89</f>
        <v>2118438</v>
      </c>
      <c r="W89" s="5">
        <f t="shared" ref="W89" si="59">V89*18%</f>
        <v>381318.83999999997</v>
      </c>
      <c r="X89" s="5"/>
      <c r="Y89" s="5"/>
      <c r="Z89" s="98"/>
      <c r="AA89" s="23">
        <f t="shared" ref="AA89" si="60">F89*Z89</f>
        <v>0</v>
      </c>
      <c r="AB89" s="97">
        <f t="shared" ref="AB89" si="61">AA89*18%</f>
        <v>0</v>
      </c>
      <c r="AC89" s="43"/>
      <c r="AD89" s="46"/>
      <c r="AE89" s="5">
        <f t="shared" ref="AE89" si="62">+AB89+AA89+Y89+X89+W89+V89-AC89+AD89</f>
        <v>2499756.84</v>
      </c>
      <c r="AF89" s="114">
        <v>605</v>
      </c>
      <c r="AG89" s="139" t="s">
        <v>2060</v>
      </c>
      <c r="AH89" s="103">
        <v>40.936</v>
      </c>
      <c r="AI89" s="12"/>
      <c r="AJ89" s="40"/>
      <c r="AK89" s="40"/>
    </row>
    <row r="90" spans="2:37" s="41" customFormat="1" ht="16.149999999999999" customHeight="1">
      <c r="B90" s="89"/>
      <c r="C90" s="4"/>
      <c r="D90" s="4"/>
      <c r="E90" s="86" t="s">
        <v>558</v>
      </c>
      <c r="F90" s="103">
        <v>2.3029999999999999</v>
      </c>
      <c r="G90" s="14">
        <f t="shared" si="49"/>
        <v>2303</v>
      </c>
      <c r="H90" s="97">
        <v>1</v>
      </c>
      <c r="I90" s="83" t="s">
        <v>1729</v>
      </c>
      <c r="J90" s="85" t="s">
        <v>1683</v>
      </c>
      <c r="K90" s="82" t="s">
        <v>1727</v>
      </c>
      <c r="L90" s="4"/>
      <c r="M90" s="85" t="s">
        <v>1726</v>
      </c>
      <c r="N90" s="82" t="s">
        <v>1728</v>
      </c>
      <c r="O90" s="4"/>
      <c r="P90" s="4"/>
      <c r="Q90" s="5">
        <v>51750</v>
      </c>
      <c r="R90" s="36"/>
      <c r="S90" s="36"/>
      <c r="T90" s="37"/>
      <c r="U90" s="5">
        <f t="shared" si="50"/>
        <v>51750</v>
      </c>
      <c r="V90" s="5">
        <f t="shared" si="51"/>
        <v>119180.25</v>
      </c>
      <c r="W90" s="5">
        <f t="shared" si="52"/>
        <v>21452.445</v>
      </c>
      <c r="X90" s="5"/>
      <c r="Y90" s="5"/>
      <c r="Z90" s="98"/>
      <c r="AA90" s="23">
        <f t="shared" si="53"/>
        <v>0</v>
      </c>
      <c r="AB90" s="97">
        <f t="shared" si="54"/>
        <v>0</v>
      </c>
      <c r="AC90" s="43"/>
      <c r="AD90" s="46"/>
      <c r="AE90" s="5">
        <f t="shared" si="55"/>
        <v>140632.69500000001</v>
      </c>
      <c r="AF90" s="114">
        <v>606</v>
      </c>
      <c r="AG90" s="139" t="s">
        <v>2060</v>
      </c>
      <c r="AH90" s="103">
        <v>2.3029999999999999</v>
      </c>
      <c r="AI90" s="12"/>
      <c r="AJ90" s="40"/>
      <c r="AK90" s="40"/>
    </row>
    <row r="91" spans="2:37" s="41" customFormat="1" ht="16.149999999999999" customHeight="1">
      <c r="B91" s="89"/>
      <c r="C91" s="4"/>
      <c r="D91" s="4"/>
      <c r="E91" s="86" t="s">
        <v>558</v>
      </c>
      <c r="F91" s="103">
        <v>29.376999999999999</v>
      </c>
      <c r="G91" s="14">
        <f t="shared" si="49"/>
        <v>29377</v>
      </c>
      <c r="H91" s="97">
        <v>13</v>
      </c>
      <c r="I91" s="83" t="s">
        <v>1730</v>
      </c>
      <c r="J91" s="85" t="s">
        <v>1683</v>
      </c>
      <c r="K91" s="82" t="s">
        <v>1727</v>
      </c>
      <c r="L91" s="4"/>
      <c r="M91" s="85" t="s">
        <v>1726</v>
      </c>
      <c r="N91" s="82" t="s">
        <v>1728</v>
      </c>
      <c r="O91" s="4"/>
      <c r="P91" s="4"/>
      <c r="Q91" s="5">
        <v>51750</v>
      </c>
      <c r="R91" s="36"/>
      <c r="S91" s="36"/>
      <c r="T91" s="37"/>
      <c r="U91" s="5">
        <f t="shared" si="50"/>
        <v>51750</v>
      </c>
      <c r="V91" s="5">
        <f t="shared" si="51"/>
        <v>1520259.75</v>
      </c>
      <c r="W91" s="5">
        <f t="shared" si="52"/>
        <v>273646.755</v>
      </c>
      <c r="X91" s="5"/>
      <c r="Y91" s="5"/>
      <c r="Z91" s="98"/>
      <c r="AA91" s="23">
        <f t="shared" si="53"/>
        <v>0</v>
      </c>
      <c r="AB91" s="97">
        <f t="shared" si="54"/>
        <v>0</v>
      </c>
      <c r="AC91" s="43"/>
      <c r="AD91" s="46"/>
      <c r="AE91" s="5">
        <f t="shared" si="55"/>
        <v>1793906.5049999999</v>
      </c>
      <c r="AF91" s="114">
        <v>607</v>
      </c>
      <c r="AG91" s="139" t="s">
        <v>2060</v>
      </c>
      <c r="AH91" s="103">
        <v>29.376999999999999</v>
      </c>
      <c r="AI91" s="12"/>
      <c r="AJ91" s="40"/>
      <c r="AK91" s="40"/>
    </row>
    <row r="92" spans="2:37" s="41" customFormat="1" ht="16.149999999999999" customHeight="1">
      <c r="B92" s="89"/>
      <c r="C92" s="4"/>
      <c r="D92" s="4"/>
      <c r="E92" s="86" t="s">
        <v>558</v>
      </c>
      <c r="F92" s="103">
        <v>24.58</v>
      </c>
      <c r="G92" s="14">
        <f t="shared" si="49"/>
        <v>24580</v>
      </c>
      <c r="H92" s="97">
        <v>11</v>
      </c>
      <c r="I92" s="83" t="s">
        <v>1733</v>
      </c>
      <c r="J92" s="85" t="s">
        <v>1710</v>
      </c>
      <c r="K92" s="82" t="s">
        <v>1731</v>
      </c>
      <c r="L92" s="4"/>
      <c r="M92" s="85" t="s">
        <v>1726</v>
      </c>
      <c r="N92" s="82" t="s">
        <v>1732</v>
      </c>
      <c r="O92" s="4"/>
      <c r="P92" s="4"/>
      <c r="Q92" s="5">
        <v>51750</v>
      </c>
      <c r="R92" s="36"/>
      <c r="S92" s="36"/>
      <c r="T92" s="37"/>
      <c r="U92" s="5">
        <f t="shared" si="50"/>
        <v>51750</v>
      </c>
      <c r="V92" s="5">
        <f t="shared" si="51"/>
        <v>1272015</v>
      </c>
      <c r="W92" s="5">
        <f t="shared" si="52"/>
        <v>228962.69999999998</v>
      </c>
      <c r="X92" s="5"/>
      <c r="Y92" s="5"/>
      <c r="Z92" s="98"/>
      <c r="AA92" s="23">
        <f t="shared" si="53"/>
        <v>0</v>
      </c>
      <c r="AB92" s="97">
        <f t="shared" si="54"/>
        <v>0</v>
      </c>
      <c r="AC92" s="43"/>
      <c r="AD92" s="46"/>
      <c r="AE92" s="5">
        <f t="shared" si="55"/>
        <v>1500977.7</v>
      </c>
      <c r="AF92" s="114">
        <v>608</v>
      </c>
      <c r="AG92" s="139" t="s">
        <v>2060</v>
      </c>
      <c r="AH92" s="103">
        <v>24.58</v>
      </c>
      <c r="AI92" s="12"/>
      <c r="AJ92" s="40"/>
      <c r="AK92" s="40"/>
    </row>
    <row r="93" spans="2:37" s="41" customFormat="1" ht="16.149999999999999" customHeight="1">
      <c r="B93" s="89"/>
      <c r="C93" s="4"/>
      <c r="D93" s="4"/>
      <c r="E93" s="86" t="s">
        <v>558</v>
      </c>
      <c r="F93" s="103">
        <v>16.03</v>
      </c>
      <c r="G93" s="14">
        <f t="shared" si="49"/>
        <v>16030.000000000002</v>
      </c>
      <c r="H93" s="97">
        <v>7</v>
      </c>
      <c r="I93" s="83" t="s">
        <v>1734</v>
      </c>
      <c r="J93" s="85" t="s">
        <v>1710</v>
      </c>
      <c r="K93" s="82" t="s">
        <v>1731</v>
      </c>
      <c r="L93" s="4"/>
      <c r="M93" s="85" t="s">
        <v>1726</v>
      </c>
      <c r="N93" s="82" t="s">
        <v>1732</v>
      </c>
      <c r="O93" s="4"/>
      <c r="P93" s="4"/>
      <c r="Q93" s="5">
        <v>51750</v>
      </c>
      <c r="R93" s="36"/>
      <c r="S93" s="36"/>
      <c r="T93" s="37"/>
      <c r="U93" s="5">
        <f t="shared" si="50"/>
        <v>51750</v>
      </c>
      <c r="V93" s="5">
        <f t="shared" si="51"/>
        <v>829552.50000000012</v>
      </c>
      <c r="W93" s="5">
        <f t="shared" si="52"/>
        <v>149319.45000000001</v>
      </c>
      <c r="X93" s="5"/>
      <c r="Y93" s="5"/>
      <c r="Z93" s="98"/>
      <c r="AA93" s="23">
        <f t="shared" si="53"/>
        <v>0</v>
      </c>
      <c r="AB93" s="97">
        <f t="shared" si="54"/>
        <v>0</v>
      </c>
      <c r="AC93" s="43"/>
      <c r="AD93" s="46"/>
      <c r="AE93" s="5">
        <f t="shared" si="55"/>
        <v>978871.95000000019</v>
      </c>
      <c r="AF93" s="114">
        <v>609</v>
      </c>
      <c r="AG93" s="139" t="s">
        <v>2060</v>
      </c>
      <c r="AH93" s="103">
        <v>16.03</v>
      </c>
      <c r="AI93" s="12"/>
      <c r="AJ93" s="40"/>
      <c r="AK93" s="40"/>
    </row>
    <row r="94" spans="2:37" s="41" customFormat="1" ht="16.149999999999999" customHeight="1">
      <c r="B94" s="89"/>
      <c r="C94" s="4"/>
      <c r="D94" s="4"/>
      <c r="E94" s="86" t="s">
        <v>558</v>
      </c>
      <c r="F94" s="103">
        <v>16.03</v>
      </c>
      <c r="G94" s="14">
        <f t="shared" si="49"/>
        <v>16030.000000000002</v>
      </c>
      <c r="H94" s="97">
        <v>7</v>
      </c>
      <c r="I94" s="83" t="s">
        <v>1735</v>
      </c>
      <c r="J94" s="85" t="s">
        <v>1724</v>
      </c>
      <c r="K94" s="82" t="s">
        <v>1736</v>
      </c>
      <c r="L94" s="4"/>
      <c r="M94" s="85" t="s">
        <v>1723</v>
      </c>
      <c r="N94" s="82" t="s">
        <v>1460</v>
      </c>
      <c r="O94" s="4"/>
      <c r="P94" s="4"/>
      <c r="Q94" s="5">
        <v>51750</v>
      </c>
      <c r="R94" s="36"/>
      <c r="S94" s="36"/>
      <c r="T94" s="37"/>
      <c r="U94" s="5">
        <f t="shared" si="50"/>
        <v>51750</v>
      </c>
      <c r="V94" s="5">
        <f t="shared" si="51"/>
        <v>829552.50000000012</v>
      </c>
      <c r="W94" s="5">
        <f t="shared" si="52"/>
        <v>149319.45000000001</v>
      </c>
      <c r="X94" s="5"/>
      <c r="Y94" s="5"/>
      <c r="Z94" s="98"/>
      <c r="AA94" s="23">
        <f t="shared" si="53"/>
        <v>0</v>
      </c>
      <c r="AB94" s="97">
        <f t="shared" si="54"/>
        <v>0</v>
      </c>
      <c r="AC94" s="43"/>
      <c r="AD94" s="46"/>
      <c r="AE94" s="5">
        <f t="shared" si="55"/>
        <v>978871.95000000019</v>
      </c>
      <c r="AF94" s="114">
        <v>610</v>
      </c>
      <c r="AG94" s="139" t="s">
        <v>2060</v>
      </c>
      <c r="AH94" s="103">
        <v>16.03</v>
      </c>
      <c r="AI94" s="12"/>
      <c r="AJ94" s="40"/>
      <c r="AK94" s="40"/>
    </row>
    <row r="95" spans="2:37" s="41" customFormat="1" ht="16.149999999999999" customHeight="1">
      <c r="B95" s="89"/>
      <c r="C95" s="4"/>
      <c r="D95" s="4"/>
      <c r="E95" s="86" t="s">
        <v>558</v>
      </c>
      <c r="F95" s="103">
        <v>4.58</v>
      </c>
      <c r="G95" s="14">
        <f t="shared" si="49"/>
        <v>4580</v>
      </c>
      <c r="H95" s="97">
        <v>2</v>
      </c>
      <c r="I95" s="83" t="s">
        <v>1737</v>
      </c>
      <c r="J95" s="85" t="s">
        <v>1724</v>
      </c>
      <c r="K95" s="82" t="s">
        <v>1736</v>
      </c>
      <c r="L95" s="4"/>
      <c r="M95" s="85" t="s">
        <v>1723</v>
      </c>
      <c r="N95" s="82" t="s">
        <v>1460</v>
      </c>
      <c r="O95" s="4"/>
      <c r="P95" s="4"/>
      <c r="Q95" s="5">
        <v>51750</v>
      </c>
      <c r="R95" s="36"/>
      <c r="S95" s="36"/>
      <c r="T95" s="37"/>
      <c r="U95" s="5">
        <f t="shared" si="50"/>
        <v>51750</v>
      </c>
      <c r="V95" s="5">
        <f t="shared" si="51"/>
        <v>237015</v>
      </c>
      <c r="W95" s="5">
        <f t="shared" si="52"/>
        <v>42662.7</v>
      </c>
      <c r="X95" s="5"/>
      <c r="Y95" s="5"/>
      <c r="Z95" s="98"/>
      <c r="AA95" s="23">
        <f t="shared" si="53"/>
        <v>0</v>
      </c>
      <c r="AB95" s="97">
        <f t="shared" si="54"/>
        <v>0</v>
      </c>
      <c r="AC95" s="43"/>
      <c r="AD95" s="46"/>
      <c r="AE95" s="5">
        <f t="shared" si="55"/>
        <v>279677.7</v>
      </c>
      <c r="AF95" s="114">
        <v>611</v>
      </c>
      <c r="AG95" s="139" t="s">
        <v>2060</v>
      </c>
      <c r="AH95" s="103">
        <v>4.58</v>
      </c>
      <c r="AI95" s="12"/>
      <c r="AJ95" s="40"/>
      <c r="AK95" s="40"/>
    </row>
    <row r="96" spans="2:37" s="41" customFormat="1" ht="16.149999999999999" customHeight="1">
      <c r="B96" s="89"/>
      <c r="C96" s="4"/>
      <c r="D96" s="4"/>
      <c r="E96" s="86" t="s">
        <v>558</v>
      </c>
      <c r="F96" s="103">
        <v>20.190000000000001</v>
      </c>
      <c r="G96" s="14">
        <f t="shared" si="49"/>
        <v>20190</v>
      </c>
      <c r="H96" s="97">
        <v>9</v>
      </c>
      <c r="I96" s="83" t="s">
        <v>1738</v>
      </c>
      <c r="J96" s="85" t="s">
        <v>1724</v>
      </c>
      <c r="K96" s="82" t="s">
        <v>1736</v>
      </c>
      <c r="L96" s="4"/>
      <c r="M96" s="85" t="s">
        <v>1723</v>
      </c>
      <c r="N96" s="82" t="s">
        <v>1460</v>
      </c>
      <c r="O96" s="4"/>
      <c r="P96" s="4"/>
      <c r="Q96" s="5">
        <v>51750</v>
      </c>
      <c r="R96" s="36"/>
      <c r="S96" s="36"/>
      <c r="T96" s="37"/>
      <c r="U96" s="5">
        <f t="shared" si="50"/>
        <v>51750</v>
      </c>
      <c r="V96" s="5">
        <f t="shared" si="51"/>
        <v>1044832.5000000001</v>
      </c>
      <c r="W96" s="5">
        <f t="shared" si="52"/>
        <v>188069.85</v>
      </c>
      <c r="X96" s="5"/>
      <c r="Y96" s="5"/>
      <c r="Z96" s="98"/>
      <c r="AA96" s="23">
        <f t="shared" si="53"/>
        <v>0</v>
      </c>
      <c r="AB96" s="97">
        <f t="shared" si="54"/>
        <v>0</v>
      </c>
      <c r="AC96" s="43"/>
      <c r="AD96" s="46"/>
      <c r="AE96" s="5">
        <f t="shared" si="55"/>
        <v>1232902.3500000001</v>
      </c>
      <c r="AF96" s="114">
        <v>612</v>
      </c>
      <c r="AG96" s="139" t="s">
        <v>2060</v>
      </c>
      <c r="AH96" s="103">
        <v>20.190000000000001</v>
      </c>
      <c r="AI96" s="12"/>
      <c r="AJ96" s="40"/>
      <c r="AK96" s="40"/>
    </row>
    <row r="97" spans="2:37" s="41" customFormat="1" ht="16.149999999999999" customHeight="1">
      <c r="B97" s="89"/>
      <c r="C97" s="4"/>
      <c r="D97" s="4"/>
      <c r="E97" s="86" t="s">
        <v>558</v>
      </c>
      <c r="F97" s="103">
        <v>17.77</v>
      </c>
      <c r="G97" s="14">
        <f t="shared" si="49"/>
        <v>17770</v>
      </c>
      <c r="H97" s="97">
        <v>8</v>
      </c>
      <c r="I97" s="83" t="s">
        <v>1741</v>
      </c>
      <c r="J97" s="85" t="s">
        <v>1724</v>
      </c>
      <c r="K97" s="82" t="s">
        <v>1739</v>
      </c>
      <c r="L97" s="4"/>
      <c r="M97" s="85" t="s">
        <v>1723</v>
      </c>
      <c r="N97" s="82" t="s">
        <v>1740</v>
      </c>
      <c r="O97" s="4"/>
      <c r="P97" s="4"/>
      <c r="Q97" s="5">
        <v>51750</v>
      </c>
      <c r="R97" s="36"/>
      <c r="S97" s="36"/>
      <c r="T97" s="37"/>
      <c r="U97" s="5">
        <f t="shared" si="50"/>
        <v>51750</v>
      </c>
      <c r="V97" s="5">
        <f t="shared" si="51"/>
        <v>919597.5</v>
      </c>
      <c r="W97" s="5">
        <f t="shared" si="52"/>
        <v>165527.54999999999</v>
      </c>
      <c r="X97" s="5"/>
      <c r="Y97" s="5"/>
      <c r="Z97" s="98"/>
      <c r="AA97" s="23">
        <f t="shared" si="53"/>
        <v>0</v>
      </c>
      <c r="AB97" s="97">
        <f t="shared" si="54"/>
        <v>0</v>
      </c>
      <c r="AC97" s="43"/>
      <c r="AD97" s="46"/>
      <c r="AE97" s="5">
        <f t="shared" si="55"/>
        <v>1085125.05</v>
      </c>
      <c r="AF97" s="114">
        <v>613</v>
      </c>
      <c r="AG97" s="139" t="s">
        <v>2060</v>
      </c>
      <c r="AH97" s="103">
        <v>17.77</v>
      </c>
      <c r="AI97" s="12"/>
      <c r="AJ97" s="40"/>
      <c r="AK97" s="40"/>
    </row>
    <row r="98" spans="2:37" s="41" customFormat="1" ht="16.149999999999999" customHeight="1">
      <c r="B98" s="89"/>
      <c r="C98" s="4"/>
      <c r="D98" s="4"/>
      <c r="E98" s="86" t="s">
        <v>558</v>
      </c>
      <c r="F98" s="103">
        <v>9.16</v>
      </c>
      <c r="G98" s="14">
        <f t="shared" si="49"/>
        <v>9160</v>
      </c>
      <c r="H98" s="97">
        <v>4</v>
      </c>
      <c r="I98" s="83" t="s">
        <v>1742</v>
      </c>
      <c r="J98" s="85" t="s">
        <v>1724</v>
      </c>
      <c r="K98" s="82" t="s">
        <v>1739</v>
      </c>
      <c r="L98" s="4"/>
      <c r="M98" s="85" t="s">
        <v>1723</v>
      </c>
      <c r="N98" s="82" t="s">
        <v>1740</v>
      </c>
      <c r="O98" s="4"/>
      <c r="P98" s="4"/>
      <c r="Q98" s="5">
        <v>51750</v>
      </c>
      <c r="R98" s="36"/>
      <c r="S98" s="36"/>
      <c r="T98" s="37"/>
      <c r="U98" s="5">
        <f t="shared" si="50"/>
        <v>51750</v>
      </c>
      <c r="V98" s="5">
        <f t="shared" si="51"/>
        <v>474030</v>
      </c>
      <c r="W98" s="5">
        <f t="shared" si="52"/>
        <v>85325.4</v>
      </c>
      <c r="X98" s="5"/>
      <c r="Y98" s="5"/>
      <c r="Z98" s="98"/>
      <c r="AA98" s="23">
        <f t="shared" si="53"/>
        <v>0</v>
      </c>
      <c r="AB98" s="97">
        <f t="shared" si="54"/>
        <v>0</v>
      </c>
      <c r="AC98" s="43"/>
      <c r="AD98" s="46"/>
      <c r="AE98" s="5">
        <f t="shared" si="55"/>
        <v>559355.4</v>
      </c>
      <c r="AF98" s="114">
        <v>614</v>
      </c>
      <c r="AG98" s="139" t="s">
        <v>2060</v>
      </c>
      <c r="AH98" s="103">
        <v>9.16</v>
      </c>
      <c r="AI98" s="12"/>
      <c r="AJ98" s="40"/>
      <c r="AK98" s="40"/>
    </row>
    <row r="99" spans="2:37" s="41" customFormat="1" ht="16.149999999999999" customHeight="1">
      <c r="B99" s="89"/>
      <c r="C99" s="4"/>
      <c r="D99" s="4"/>
      <c r="E99" s="86" t="s">
        <v>558</v>
      </c>
      <c r="F99" s="103">
        <v>13.74</v>
      </c>
      <c r="G99" s="14">
        <f t="shared" si="49"/>
        <v>13740</v>
      </c>
      <c r="H99" s="97">
        <v>6</v>
      </c>
      <c r="I99" s="83" t="s">
        <v>1743</v>
      </c>
      <c r="J99" s="85" t="s">
        <v>1724</v>
      </c>
      <c r="K99" s="82" t="s">
        <v>1739</v>
      </c>
      <c r="L99" s="4"/>
      <c r="M99" s="85" t="s">
        <v>1723</v>
      </c>
      <c r="N99" s="82" t="s">
        <v>1740</v>
      </c>
      <c r="O99" s="4"/>
      <c r="P99" s="4"/>
      <c r="Q99" s="5">
        <v>51750</v>
      </c>
      <c r="R99" s="36"/>
      <c r="S99" s="36"/>
      <c r="T99" s="37"/>
      <c r="U99" s="5">
        <f t="shared" si="50"/>
        <v>51750</v>
      </c>
      <c r="V99" s="5">
        <f t="shared" si="51"/>
        <v>711045</v>
      </c>
      <c r="W99" s="5">
        <f t="shared" si="52"/>
        <v>127988.09999999999</v>
      </c>
      <c r="X99" s="5"/>
      <c r="Y99" s="5"/>
      <c r="Z99" s="98"/>
      <c r="AA99" s="23">
        <f t="shared" si="53"/>
        <v>0</v>
      </c>
      <c r="AB99" s="97">
        <f t="shared" si="54"/>
        <v>0</v>
      </c>
      <c r="AC99" s="43"/>
      <c r="AD99" s="46"/>
      <c r="AE99" s="5">
        <f t="shared" si="55"/>
        <v>839033.1</v>
      </c>
      <c r="AF99" s="114">
        <v>615</v>
      </c>
      <c r="AG99" s="139" t="s">
        <v>2060</v>
      </c>
      <c r="AH99" s="103">
        <v>13.74</v>
      </c>
      <c r="AI99" s="12"/>
      <c r="AJ99" s="40"/>
      <c r="AK99" s="40"/>
    </row>
    <row r="100" spans="2:37" s="41" customFormat="1" ht="16.149999999999999" customHeight="1">
      <c r="B100" s="89"/>
      <c r="C100" s="4"/>
      <c r="D100" s="4"/>
      <c r="E100" s="86" t="s">
        <v>558</v>
      </c>
      <c r="F100" s="103">
        <v>2.14</v>
      </c>
      <c r="G100" s="14">
        <f t="shared" si="49"/>
        <v>2140</v>
      </c>
      <c r="H100" s="97">
        <v>1</v>
      </c>
      <c r="I100" s="83" t="s">
        <v>1744</v>
      </c>
      <c r="J100" s="85" t="s">
        <v>1724</v>
      </c>
      <c r="K100" s="82" t="s">
        <v>1745</v>
      </c>
      <c r="L100" s="4"/>
      <c r="M100" s="85" t="s">
        <v>1723</v>
      </c>
      <c r="N100" s="82" t="s">
        <v>1746</v>
      </c>
      <c r="O100" s="4"/>
      <c r="P100" s="4"/>
      <c r="Q100" s="5">
        <v>51750</v>
      </c>
      <c r="R100" s="36"/>
      <c r="S100" s="36"/>
      <c r="T100" s="37"/>
      <c r="U100" s="5">
        <f t="shared" si="50"/>
        <v>51750</v>
      </c>
      <c r="V100" s="5">
        <f t="shared" si="51"/>
        <v>110745</v>
      </c>
      <c r="W100" s="5">
        <f t="shared" si="52"/>
        <v>19934.099999999999</v>
      </c>
      <c r="X100" s="5"/>
      <c r="Y100" s="5"/>
      <c r="Z100" s="98"/>
      <c r="AA100" s="23">
        <f t="shared" si="53"/>
        <v>0</v>
      </c>
      <c r="AB100" s="97">
        <f t="shared" si="54"/>
        <v>0</v>
      </c>
      <c r="AC100" s="43"/>
      <c r="AD100" s="46"/>
      <c r="AE100" s="5">
        <f t="shared" si="55"/>
        <v>130679.1</v>
      </c>
      <c r="AF100" s="114">
        <v>616</v>
      </c>
      <c r="AG100" s="139" t="s">
        <v>2060</v>
      </c>
      <c r="AH100" s="103">
        <v>2.14</v>
      </c>
      <c r="AI100" s="12"/>
      <c r="AJ100" s="40"/>
      <c r="AK100" s="40"/>
    </row>
    <row r="101" spans="2:37" s="41" customFormat="1" ht="16.149999999999999" customHeight="1">
      <c r="B101" s="89"/>
      <c r="C101" s="4"/>
      <c r="D101" s="4"/>
      <c r="E101" s="86" t="s">
        <v>558</v>
      </c>
      <c r="F101" s="103">
        <v>4.1989999999999998</v>
      </c>
      <c r="G101" s="14">
        <f t="shared" si="49"/>
        <v>4199</v>
      </c>
      <c r="H101" s="97">
        <v>2</v>
      </c>
      <c r="I101" s="83" t="s">
        <v>1747</v>
      </c>
      <c r="J101" s="85" t="s">
        <v>1724</v>
      </c>
      <c r="K101" s="82" t="s">
        <v>1745</v>
      </c>
      <c r="L101" s="4"/>
      <c r="M101" s="85" t="s">
        <v>1723</v>
      </c>
      <c r="N101" s="82" t="s">
        <v>1746</v>
      </c>
      <c r="O101" s="4"/>
      <c r="P101" s="4"/>
      <c r="Q101" s="5">
        <v>51750</v>
      </c>
      <c r="R101" s="36"/>
      <c r="S101" s="36"/>
      <c r="T101" s="37"/>
      <c r="U101" s="5">
        <f t="shared" si="50"/>
        <v>51750</v>
      </c>
      <c r="V101" s="5">
        <f t="shared" si="51"/>
        <v>217298.25</v>
      </c>
      <c r="W101" s="5">
        <f t="shared" si="52"/>
        <v>39113.684999999998</v>
      </c>
      <c r="X101" s="5"/>
      <c r="Y101" s="5"/>
      <c r="Z101" s="98"/>
      <c r="AA101" s="23">
        <f t="shared" si="53"/>
        <v>0</v>
      </c>
      <c r="AB101" s="97">
        <f t="shared" si="54"/>
        <v>0</v>
      </c>
      <c r="AC101" s="43"/>
      <c r="AD101" s="46"/>
      <c r="AE101" s="5">
        <f t="shared" si="55"/>
        <v>256411.935</v>
      </c>
      <c r="AF101" s="114">
        <v>617</v>
      </c>
      <c r="AG101" s="139" t="s">
        <v>2060</v>
      </c>
      <c r="AH101" s="103">
        <v>4.1989999999999998</v>
      </c>
      <c r="AI101" s="12"/>
      <c r="AJ101" s="40"/>
      <c r="AK101" s="40"/>
    </row>
    <row r="102" spans="2:37" s="41" customFormat="1" ht="16.149999999999999" customHeight="1">
      <c r="B102" s="89"/>
      <c r="C102" s="4"/>
      <c r="D102" s="4"/>
      <c r="E102" s="86" t="s">
        <v>558</v>
      </c>
      <c r="F102" s="103">
        <v>31.850999999999999</v>
      </c>
      <c r="G102" s="14">
        <f t="shared" si="49"/>
        <v>31851</v>
      </c>
      <c r="H102" s="97">
        <v>14</v>
      </c>
      <c r="I102" s="83" t="s">
        <v>1748</v>
      </c>
      <c r="J102" s="85" t="s">
        <v>1724</v>
      </c>
      <c r="K102" s="82" t="s">
        <v>1745</v>
      </c>
      <c r="L102" s="4"/>
      <c r="M102" s="85" t="s">
        <v>1723</v>
      </c>
      <c r="N102" s="82" t="s">
        <v>1746</v>
      </c>
      <c r="O102" s="4"/>
      <c r="P102" s="4"/>
      <c r="Q102" s="5">
        <v>51750</v>
      </c>
      <c r="R102" s="36"/>
      <c r="S102" s="36"/>
      <c r="T102" s="37"/>
      <c r="U102" s="5">
        <f t="shared" si="50"/>
        <v>51750</v>
      </c>
      <c r="V102" s="5">
        <f t="shared" si="51"/>
        <v>1648289.25</v>
      </c>
      <c r="W102" s="5">
        <f t="shared" si="52"/>
        <v>296692.065</v>
      </c>
      <c r="X102" s="5"/>
      <c r="Y102" s="5"/>
      <c r="Z102" s="98"/>
      <c r="AA102" s="23">
        <f t="shared" si="53"/>
        <v>0</v>
      </c>
      <c r="AB102" s="97">
        <f t="shared" si="54"/>
        <v>0</v>
      </c>
      <c r="AC102" s="43"/>
      <c r="AD102" s="46"/>
      <c r="AE102" s="5">
        <f t="shared" si="55"/>
        <v>1944981.3149999999</v>
      </c>
      <c r="AF102" s="114">
        <v>618</v>
      </c>
      <c r="AG102" s="139" t="s">
        <v>2060</v>
      </c>
      <c r="AH102" s="103">
        <v>31.850999999999999</v>
      </c>
      <c r="AI102" s="12"/>
      <c r="AJ102" s="40"/>
      <c r="AK102" s="40"/>
    </row>
    <row r="103" spans="2:37" s="41" customFormat="1" ht="16.149999999999999" customHeight="1">
      <c r="B103" s="89"/>
      <c r="C103" s="4"/>
      <c r="D103" s="4"/>
      <c r="E103" s="86" t="s">
        <v>558</v>
      </c>
      <c r="F103" s="103">
        <v>4.58</v>
      </c>
      <c r="G103" s="14">
        <f t="shared" si="49"/>
        <v>4580</v>
      </c>
      <c r="H103" s="97">
        <v>2</v>
      </c>
      <c r="I103" s="83" t="s">
        <v>1749</v>
      </c>
      <c r="J103" s="85" t="s">
        <v>1724</v>
      </c>
      <c r="K103" s="82" t="s">
        <v>1745</v>
      </c>
      <c r="L103" s="4"/>
      <c r="M103" s="85" t="s">
        <v>1723</v>
      </c>
      <c r="N103" s="82" t="s">
        <v>1746</v>
      </c>
      <c r="O103" s="4"/>
      <c r="P103" s="4"/>
      <c r="Q103" s="5">
        <v>51750</v>
      </c>
      <c r="R103" s="36"/>
      <c r="S103" s="36"/>
      <c r="T103" s="37"/>
      <c r="U103" s="5">
        <f t="shared" si="50"/>
        <v>51750</v>
      </c>
      <c r="V103" s="5">
        <f t="shared" si="51"/>
        <v>237015</v>
      </c>
      <c r="W103" s="5">
        <f t="shared" si="52"/>
        <v>42662.7</v>
      </c>
      <c r="X103" s="5"/>
      <c r="Y103" s="5"/>
      <c r="Z103" s="98"/>
      <c r="AA103" s="23">
        <f t="shared" si="53"/>
        <v>0</v>
      </c>
      <c r="AB103" s="97">
        <f t="shared" si="54"/>
        <v>0</v>
      </c>
      <c r="AC103" s="43"/>
      <c r="AD103" s="46"/>
      <c r="AE103" s="5">
        <f t="shared" si="55"/>
        <v>279677.7</v>
      </c>
      <c r="AF103" s="114">
        <v>619</v>
      </c>
      <c r="AG103" s="139" t="s">
        <v>2060</v>
      </c>
      <c r="AH103" s="103">
        <v>4.58</v>
      </c>
      <c r="AI103" s="12"/>
      <c r="AJ103" s="40"/>
      <c r="AK103" s="40"/>
    </row>
    <row r="104" spans="2:37" s="41" customFormat="1" ht="16.149999999999999" customHeight="1">
      <c r="B104" s="89"/>
      <c r="C104" s="4"/>
      <c r="D104" s="4"/>
      <c r="E104" s="86" t="s">
        <v>558</v>
      </c>
      <c r="F104" s="103">
        <v>4.58</v>
      </c>
      <c r="G104" s="14">
        <f t="shared" si="49"/>
        <v>4580</v>
      </c>
      <c r="H104" s="97">
        <v>2</v>
      </c>
      <c r="I104" s="83" t="s">
        <v>1752</v>
      </c>
      <c r="J104" s="85" t="s">
        <v>1710</v>
      </c>
      <c r="K104" s="82" t="s">
        <v>1750</v>
      </c>
      <c r="L104" s="4"/>
      <c r="M104" s="85" t="s">
        <v>1723</v>
      </c>
      <c r="N104" s="82" t="s">
        <v>1751</v>
      </c>
      <c r="O104" s="4"/>
      <c r="P104" s="4"/>
      <c r="Q104" s="5">
        <v>51750</v>
      </c>
      <c r="R104" s="36"/>
      <c r="S104" s="36"/>
      <c r="T104" s="37"/>
      <c r="U104" s="5">
        <f t="shared" si="50"/>
        <v>51750</v>
      </c>
      <c r="V104" s="5">
        <f t="shared" si="51"/>
        <v>237015</v>
      </c>
      <c r="W104" s="5">
        <f t="shared" si="52"/>
        <v>42662.7</v>
      </c>
      <c r="X104" s="5"/>
      <c r="Y104" s="5"/>
      <c r="Z104" s="98"/>
      <c r="AA104" s="23">
        <f t="shared" si="53"/>
        <v>0</v>
      </c>
      <c r="AB104" s="97">
        <f t="shared" si="54"/>
        <v>0</v>
      </c>
      <c r="AC104" s="43"/>
      <c r="AD104" s="46"/>
      <c r="AE104" s="5">
        <f t="shared" si="55"/>
        <v>279677.7</v>
      </c>
      <c r="AF104" s="114">
        <v>620</v>
      </c>
      <c r="AG104" s="139" t="s">
        <v>2060</v>
      </c>
      <c r="AH104" s="103">
        <v>4.58</v>
      </c>
      <c r="AI104" s="12"/>
      <c r="AJ104" s="40"/>
      <c r="AK104" s="40"/>
    </row>
    <row r="105" spans="2:37" s="41" customFormat="1" ht="16.149999999999999" customHeight="1">
      <c r="B105" s="89"/>
      <c r="C105" s="4"/>
      <c r="D105" s="4"/>
      <c r="E105" s="86" t="s">
        <v>558</v>
      </c>
      <c r="F105" s="103">
        <v>27.08</v>
      </c>
      <c r="G105" s="14">
        <f t="shared" si="49"/>
        <v>27080</v>
      </c>
      <c r="H105" s="97">
        <v>12</v>
      </c>
      <c r="I105" s="83" t="s">
        <v>1753</v>
      </c>
      <c r="J105" s="85" t="s">
        <v>1710</v>
      </c>
      <c r="K105" s="82" t="s">
        <v>1750</v>
      </c>
      <c r="L105" s="4"/>
      <c r="M105" s="85" t="s">
        <v>1723</v>
      </c>
      <c r="N105" s="82" t="s">
        <v>1751</v>
      </c>
      <c r="O105" s="4"/>
      <c r="P105" s="4"/>
      <c r="Q105" s="5">
        <v>51750</v>
      </c>
      <c r="R105" s="36"/>
      <c r="S105" s="36"/>
      <c r="T105" s="37"/>
      <c r="U105" s="5">
        <f t="shared" si="50"/>
        <v>51750</v>
      </c>
      <c r="V105" s="5">
        <f t="shared" si="51"/>
        <v>1401390</v>
      </c>
      <c r="W105" s="5">
        <f t="shared" si="52"/>
        <v>252250.19999999998</v>
      </c>
      <c r="X105" s="5"/>
      <c r="Y105" s="5"/>
      <c r="Z105" s="98"/>
      <c r="AA105" s="23">
        <f t="shared" si="53"/>
        <v>0</v>
      </c>
      <c r="AB105" s="97">
        <f t="shared" si="54"/>
        <v>0</v>
      </c>
      <c r="AC105" s="43"/>
      <c r="AD105" s="46"/>
      <c r="AE105" s="5">
        <f t="shared" si="55"/>
        <v>1653640.2</v>
      </c>
      <c r="AF105" s="114">
        <v>621</v>
      </c>
      <c r="AG105" s="139" t="s">
        <v>2060</v>
      </c>
      <c r="AH105" s="103">
        <v>27.08</v>
      </c>
      <c r="AI105" s="12"/>
      <c r="AJ105" s="40"/>
      <c r="AK105" s="40"/>
    </row>
    <row r="106" spans="2:37" s="41" customFormat="1" ht="16.149999999999999" customHeight="1">
      <c r="B106" s="89"/>
      <c r="C106" s="4"/>
      <c r="D106" s="4"/>
      <c r="E106" s="86" t="s">
        <v>558</v>
      </c>
      <c r="F106" s="103">
        <v>24.88</v>
      </c>
      <c r="G106" s="14">
        <f t="shared" si="49"/>
        <v>24880</v>
      </c>
      <c r="H106" s="97">
        <v>11</v>
      </c>
      <c r="I106" s="83" t="s">
        <v>1756</v>
      </c>
      <c r="J106" s="85" t="s">
        <v>1710</v>
      </c>
      <c r="K106" s="82" t="s">
        <v>1754</v>
      </c>
      <c r="L106" s="4"/>
      <c r="M106" s="85" t="s">
        <v>1723</v>
      </c>
      <c r="N106" s="82" t="s">
        <v>1755</v>
      </c>
      <c r="O106" s="4"/>
      <c r="P106" s="4"/>
      <c r="Q106" s="5">
        <v>51750</v>
      </c>
      <c r="R106" s="36"/>
      <c r="S106" s="36"/>
      <c r="T106" s="37"/>
      <c r="U106" s="5">
        <f t="shared" si="50"/>
        <v>51750</v>
      </c>
      <c r="V106" s="5">
        <f t="shared" si="51"/>
        <v>1287540</v>
      </c>
      <c r="W106" s="5">
        <f t="shared" si="52"/>
        <v>231757.19999999998</v>
      </c>
      <c r="X106" s="5"/>
      <c r="Y106" s="5"/>
      <c r="Z106" s="98"/>
      <c r="AA106" s="23">
        <f t="shared" si="53"/>
        <v>0</v>
      </c>
      <c r="AB106" s="97">
        <f t="shared" si="54"/>
        <v>0</v>
      </c>
      <c r="AC106" s="43"/>
      <c r="AD106" s="46"/>
      <c r="AE106" s="5">
        <f t="shared" si="55"/>
        <v>1519297.2</v>
      </c>
      <c r="AF106" s="114">
        <v>622</v>
      </c>
      <c r="AG106" s="139" t="s">
        <v>2060</v>
      </c>
      <c r="AH106" s="103">
        <v>24.88</v>
      </c>
      <c r="AI106" s="12"/>
      <c r="AJ106" s="40"/>
      <c r="AK106" s="40"/>
    </row>
    <row r="107" spans="2:37" s="41" customFormat="1" ht="16.149999999999999" customHeight="1">
      <c r="B107" s="89"/>
      <c r="C107" s="4"/>
      <c r="D107" s="4"/>
      <c r="E107" s="86" t="s">
        <v>558</v>
      </c>
      <c r="F107" s="103">
        <v>4.58</v>
      </c>
      <c r="G107" s="14">
        <f t="shared" si="49"/>
        <v>4580</v>
      </c>
      <c r="H107" s="97">
        <v>2</v>
      </c>
      <c r="I107" s="83" t="s">
        <v>1757</v>
      </c>
      <c r="J107" s="85" t="s">
        <v>1710</v>
      </c>
      <c r="K107" s="82" t="s">
        <v>1754</v>
      </c>
      <c r="L107" s="4"/>
      <c r="M107" s="85" t="s">
        <v>1723</v>
      </c>
      <c r="N107" s="82" t="s">
        <v>1755</v>
      </c>
      <c r="O107" s="4"/>
      <c r="P107" s="4"/>
      <c r="Q107" s="5">
        <v>51750</v>
      </c>
      <c r="R107" s="36"/>
      <c r="S107" s="36"/>
      <c r="T107" s="37"/>
      <c r="U107" s="5">
        <f t="shared" si="50"/>
        <v>51750</v>
      </c>
      <c r="V107" s="5">
        <f t="shared" si="51"/>
        <v>237015</v>
      </c>
      <c r="W107" s="5">
        <f t="shared" si="52"/>
        <v>42662.7</v>
      </c>
      <c r="X107" s="5"/>
      <c r="Y107" s="5"/>
      <c r="Z107" s="98"/>
      <c r="AA107" s="23">
        <f t="shared" si="53"/>
        <v>0</v>
      </c>
      <c r="AB107" s="97">
        <f t="shared" si="54"/>
        <v>0</v>
      </c>
      <c r="AC107" s="43"/>
      <c r="AD107" s="46"/>
      <c r="AE107" s="5">
        <f t="shared" si="55"/>
        <v>279677.7</v>
      </c>
      <c r="AF107" s="114">
        <v>623</v>
      </c>
      <c r="AG107" s="139" t="s">
        <v>2060</v>
      </c>
      <c r="AH107" s="103">
        <v>4.58</v>
      </c>
      <c r="AI107" s="12"/>
      <c r="AJ107" s="40"/>
      <c r="AK107" s="40"/>
    </row>
    <row r="108" spans="2:37" s="41" customFormat="1" ht="16.149999999999999" customHeight="1">
      <c r="B108" s="89"/>
      <c r="C108" s="4"/>
      <c r="D108" s="4"/>
      <c r="E108" s="86" t="s">
        <v>558</v>
      </c>
      <c r="F108" s="103">
        <v>2.29</v>
      </c>
      <c r="G108" s="14">
        <f t="shared" si="49"/>
        <v>2290</v>
      </c>
      <c r="H108" s="97">
        <v>1</v>
      </c>
      <c r="I108" s="83" t="s">
        <v>1758</v>
      </c>
      <c r="J108" s="85" t="s">
        <v>1710</v>
      </c>
      <c r="K108" s="82" t="s">
        <v>1754</v>
      </c>
      <c r="L108" s="4"/>
      <c r="M108" s="85" t="s">
        <v>1723</v>
      </c>
      <c r="N108" s="82" t="s">
        <v>1755</v>
      </c>
      <c r="O108" s="4"/>
      <c r="P108" s="4"/>
      <c r="Q108" s="5">
        <v>51750</v>
      </c>
      <c r="R108" s="36"/>
      <c r="S108" s="36"/>
      <c r="T108" s="37"/>
      <c r="U108" s="5">
        <f t="shared" si="50"/>
        <v>51750</v>
      </c>
      <c r="V108" s="5">
        <f t="shared" si="51"/>
        <v>118507.5</v>
      </c>
      <c r="W108" s="5">
        <f t="shared" si="52"/>
        <v>21331.35</v>
      </c>
      <c r="X108" s="5"/>
      <c r="Y108" s="5"/>
      <c r="Z108" s="98"/>
      <c r="AA108" s="23">
        <f t="shared" si="53"/>
        <v>0</v>
      </c>
      <c r="AB108" s="97">
        <f t="shared" si="54"/>
        <v>0</v>
      </c>
      <c r="AC108" s="43"/>
      <c r="AD108" s="46"/>
      <c r="AE108" s="5">
        <f t="shared" si="55"/>
        <v>139838.85</v>
      </c>
      <c r="AF108" s="114">
        <v>624</v>
      </c>
      <c r="AG108" s="139" t="s">
        <v>2060</v>
      </c>
      <c r="AH108" s="103">
        <v>2.29</v>
      </c>
      <c r="AI108" s="12"/>
      <c r="AJ108" s="40"/>
      <c r="AK108" s="40"/>
    </row>
    <row r="109" spans="2:37" s="41" customFormat="1" ht="16.149999999999999" customHeight="1">
      <c r="B109" s="89"/>
      <c r="C109" s="4"/>
      <c r="D109" s="4"/>
      <c r="E109" s="86" t="s">
        <v>558</v>
      </c>
      <c r="F109" s="103">
        <v>34.365000000000002</v>
      </c>
      <c r="G109" s="14">
        <f t="shared" si="49"/>
        <v>34365</v>
      </c>
      <c r="H109" s="97">
        <v>15</v>
      </c>
      <c r="I109" s="83" t="s">
        <v>1761</v>
      </c>
      <c r="J109" s="85" t="s">
        <v>1724</v>
      </c>
      <c r="K109" s="82" t="s">
        <v>1759</v>
      </c>
      <c r="L109" s="4"/>
      <c r="M109" s="85" t="s">
        <v>1723</v>
      </c>
      <c r="N109" s="82" t="s">
        <v>1760</v>
      </c>
      <c r="O109" s="4"/>
      <c r="P109" s="4"/>
      <c r="Q109" s="5">
        <v>51750</v>
      </c>
      <c r="R109" s="36"/>
      <c r="S109" s="36"/>
      <c r="T109" s="37"/>
      <c r="U109" s="5">
        <f t="shared" si="50"/>
        <v>51750</v>
      </c>
      <c r="V109" s="5">
        <f t="shared" si="51"/>
        <v>1778388.75</v>
      </c>
      <c r="W109" s="5">
        <f t="shared" si="52"/>
        <v>320109.97499999998</v>
      </c>
      <c r="X109" s="5"/>
      <c r="Y109" s="5"/>
      <c r="Z109" s="98"/>
      <c r="AA109" s="23">
        <f t="shared" si="53"/>
        <v>0</v>
      </c>
      <c r="AB109" s="97">
        <f t="shared" si="54"/>
        <v>0</v>
      </c>
      <c r="AC109" s="43"/>
      <c r="AD109" s="46"/>
      <c r="AE109" s="5">
        <f t="shared" si="55"/>
        <v>2098498.7250000001</v>
      </c>
      <c r="AF109" s="114">
        <v>625</v>
      </c>
      <c r="AG109" s="139" t="s">
        <v>2060</v>
      </c>
      <c r="AH109" s="103">
        <v>34.365000000000002</v>
      </c>
      <c r="AI109" s="12"/>
      <c r="AJ109" s="40"/>
      <c r="AK109" s="40"/>
    </row>
    <row r="110" spans="2:37" s="41" customFormat="1" ht="16.149999999999999" customHeight="1">
      <c r="B110" s="89"/>
      <c r="C110" s="4"/>
      <c r="D110" s="4"/>
      <c r="E110" s="86" t="s">
        <v>558</v>
      </c>
      <c r="F110" s="103">
        <v>6.3650000000000002</v>
      </c>
      <c r="G110" s="14">
        <f t="shared" si="49"/>
        <v>6365</v>
      </c>
      <c r="H110" s="97">
        <v>3</v>
      </c>
      <c r="I110" s="83" t="s">
        <v>1762</v>
      </c>
      <c r="J110" s="85" t="s">
        <v>1724</v>
      </c>
      <c r="K110" s="82" t="s">
        <v>1759</v>
      </c>
      <c r="L110" s="4"/>
      <c r="M110" s="85" t="s">
        <v>1723</v>
      </c>
      <c r="N110" s="82" t="s">
        <v>1760</v>
      </c>
      <c r="O110" s="4"/>
      <c r="P110" s="4"/>
      <c r="Q110" s="5">
        <v>51750</v>
      </c>
      <c r="R110" s="36"/>
      <c r="S110" s="36"/>
      <c r="T110" s="37"/>
      <c r="U110" s="5">
        <f t="shared" si="50"/>
        <v>51750</v>
      </c>
      <c r="V110" s="5">
        <f t="shared" si="51"/>
        <v>329388.75</v>
      </c>
      <c r="W110" s="5">
        <f t="shared" si="52"/>
        <v>59289.974999999999</v>
      </c>
      <c r="X110" s="5"/>
      <c r="Y110" s="5"/>
      <c r="Z110" s="98"/>
      <c r="AA110" s="23">
        <f t="shared" si="53"/>
        <v>0</v>
      </c>
      <c r="AB110" s="97">
        <f t="shared" si="54"/>
        <v>0</v>
      </c>
      <c r="AC110" s="43"/>
      <c r="AD110" s="46"/>
      <c r="AE110" s="5">
        <f t="shared" si="55"/>
        <v>388678.72499999998</v>
      </c>
      <c r="AF110" s="114">
        <v>626</v>
      </c>
      <c r="AG110" s="139" t="s">
        <v>2060</v>
      </c>
      <c r="AH110" s="103">
        <v>6.3650000000000002</v>
      </c>
      <c r="AI110" s="12"/>
      <c r="AJ110" s="40"/>
      <c r="AK110" s="40"/>
    </row>
    <row r="111" spans="2:37" s="41" customFormat="1" ht="16.149999999999999" customHeight="1">
      <c r="B111" s="89"/>
      <c r="C111" s="4"/>
      <c r="D111" s="4"/>
      <c r="E111" s="86" t="s">
        <v>558</v>
      </c>
      <c r="F111" s="103">
        <v>13.74</v>
      </c>
      <c r="G111" s="14">
        <f t="shared" si="49"/>
        <v>13740</v>
      </c>
      <c r="H111" s="97">
        <v>6</v>
      </c>
      <c r="I111" s="83" t="s">
        <v>1763</v>
      </c>
      <c r="J111" s="85" t="s">
        <v>1724</v>
      </c>
      <c r="K111" s="82" t="s">
        <v>1764</v>
      </c>
      <c r="L111" s="4"/>
      <c r="M111" s="85" t="s">
        <v>1723</v>
      </c>
      <c r="N111" s="82" t="s">
        <v>1765</v>
      </c>
      <c r="O111" s="4"/>
      <c r="P111" s="4"/>
      <c r="Q111" s="5">
        <v>51750</v>
      </c>
      <c r="R111" s="36"/>
      <c r="S111" s="36"/>
      <c r="T111" s="37"/>
      <c r="U111" s="5">
        <f t="shared" si="50"/>
        <v>51750</v>
      </c>
      <c r="V111" s="5">
        <f t="shared" si="51"/>
        <v>711045</v>
      </c>
      <c r="W111" s="5">
        <f t="shared" si="52"/>
        <v>127988.09999999999</v>
      </c>
      <c r="X111" s="5"/>
      <c r="Y111" s="5"/>
      <c r="Z111" s="98"/>
      <c r="AA111" s="23">
        <f t="shared" si="53"/>
        <v>0</v>
      </c>
      <c r="AB111" s="97">
        <f t="shared" si="54"/>
        <v>0</v>
      </c>
      <c r="AC111" s="43"/>
      <c r="AD111" s="46"/>
      <c r="AE111" s="5">
        <f t="shared" si="55"/>
        <v>839033.1</v>
      </c>
      <c r="AF111" s="114">
        <v>627</v>
      </c>
      <c r="AG111" s="139" t="s">
        <v>2060</v>
      </c>
      <c r="AH111" s="103">
        <v>13.74</v>
      </c>
      <c r="AI111" s="12"/>
      <c r="AJ111" s="40"/>
      <c r="AK111" s="40"/>
    </row>
    <row r="112" spans="2:37" s="41" customFormat="1" ht="16.149999999999999" customHeight="1">
      <c r="B112" s="89"/>
      <c r="C112" s="4"/>
      <c r="D112" s="4"/>
      <c r="E112" s="86" t="s">
        <v>558</v>
      </c>
      <c r="F112" s="103">
        <v>18.010000000000002</v>
      </c>
      <c r="G112" s="14">
        <f t="shared" si="49"/>
        <v>18010</v>
      </c>
      <c r="H112" s="97">
        <v>8</v>
      </c>
      <c r="I112" s="83" t="s">
        <v>1766</v>
      </c>
      <c r="J112" s="85" t="s">
        <v>1724</v>
      </c>
      <c r="K112" s="82" t="s">
        <v>1764</v>
      </c>
      <c r="L112" s="4"/>
      <c r="M112" s="85" t="s">
        <v>1723</v>
      </c>
      <c r="N112" s="82" t="s">
        <v>1765</v>
      </c>
      <c r="O112" s="4"/>
      <c r="P112" s="4"/>
      <c r="Q112" s="5">
        <v>51750</v>
      </c>
      <c r="R112" s="36"/>
      <c r="S112" s="36"/>
      <c r="T112" s="37"/>
      <c r="U112" s="5">
        <f t="shared" si="50"/>
        <v>51750</v>
      </c>
      <c r="V112" s="5">
        <f t="shared" si="51"/>
        <v>932017.50000000012</v>
      </c>
      <c r="W112" s="5">
        <f t="shared" si="52"/>
        <v>167763.15000000002</v>
      </c>
      <c r="X112" s="5"/>
      <c r="Y112" s="5"/>
      <c r="Z112" s="98"/>
      <c r="AA112" s="23">
        <f t="shared" si="53"/>
        <v>0</v>
      </c>
      <c r="AB112" s="97">
        <f t="shared" si="54"/>
        <v>0</v>
      </c>
      <c r="AC112" s="43"/>
      <c r="AD112" s="46"/>
      <c r="AE112" s="5">
        <f t="shared" si="55"/>
        <v>1099780.6500000001</v>
      </c>
      <c r="AF112" s="114">
        <v>628</v>
      </c>
      <c r="AG112" s="139" t="s">
        <v>2060</v>
      </c>
      <c r="AH112" s="103">
        <v>18.010000000000002</v>
      </c>
      <c r="AI112" s="12"/>
      <c r="AJ112" s="40"/>
      <c r="AK112" s="40"/>
    </row>
    <row r="113" spans="2:37" s="41" customFormat="1" ht="16.149999999999999" customHeight="1">
      <c r="B113" s="89"/>
      <c r="C113" s="4"/>
      <c r="D113" s="4"/>
      <c r="E113" s="86" t="s">
        <v>558</v>
      </c>
      <c r="F113" s="103">
        <v>2.14</v>
      </c>
      <c r="G113" s="14">
        <f t="shared" si="49"/>
        <v>2140</v>
      </c>
      <c r="H113" s="97">
        <v>1</v>
      </c>
      <c r="I113" s="83" t="s">
        <v>1767</v>
      </c>
      <c r="J113" s="85" t="s">
        <v>1724</v>
      </c>
      <c r="K113" s="82" t="s">
        <v>1768</v>
      </c>
      <c r="L113" s="4"/>
      <c r="M113" s="85" t="s">
        <v>1723</v>
      </c>
      <c r="N113" s="82" t="s">
        <v>1769</v>
      </c>
      <c r="O113" s="4"/>
      <c r="P113" s="4"/>
      <c r="Q113" s="5">
        <v>51750</v>
      </c>
      <c r="R113" s="36"/>
      <c r="S113" s="36"/>
      <c r="T113" s="37"/>
      <c r="U113" s="5">
        <f t="shared" si="50"/>
        <v>51750</v>
      </c>
      <c r="V113" s="5">
        <f t="shared" si="51"/>
        <v>110745</v>
      </c>
      <c r="W113" s="5">
        <f t="shared" si="52"/>
        <v>19934.099999999999</v>
      </c>
      <c r="X113" s="5"/>
      <c r="Y113" s="5"/>
      <c r="Z113" s="98"/>
      <c r="AA113" s="23">
        <f t="shared" si="53"/>
        <v>0</v>
      </c>
      <c r="AB113" s="97">
        <f t="shared" si="54"/>
        <v>0</v>
      </c>
      <c r="AC113" s="43"/>
      <c r="AD113" s="46"/>
      <c r="AE113" s="5">
        <f t="shared" si="55"/>
        <v>130679.1</v>
      </c>
      <c r="AF113" s="114">
        <v>629</v>
      </c>
      <c r="AG113" s="139" t="s">
        <v>2060</v>
      </c>
      <c r="AH113" s="103">
        <v>2.14</v>
      </c>
      <c r="AI113" s="12"/>
      <c r="AJ113" s="40"/>
      <c r="AK113" s="40"/>
    </row>
    <row r="114" spans="2:37" s="41" customFormat="1" ht="16.149999999999999" customHeight="1">
      <c r="B114" s="89"/>
      <c r="C114" s="4"/>
      <c r="D114" s="4"/>
      <c r="E114" s="86" t="s">
        <v>558</v>
      </c>
      <c r="F114" s="103">
        <v>6.87</v>
      </c>
      <c r="G114" s="14">
        <f t="shared" si="49"/>
        <v>6870</v>
      </c>
      <c r="H114" s="97">
        <v>3</v>
      </c>
      <c r="I114" s="83" t="s">
        <v>1770</v>
      </c>
      <c r="J114" s="85" t="s">
        <v>1724</v>
      </c>
      <c r="K114" s="82" t="s">
        <v>1768</v>
      </c>
      <c r="L114" s="4"/>
      <c r="M114" s="85" t="s">
        <v>1723</v>
      </c>
      <c r="N114" s="82" t="s">
        <v>1769</v>
      </c>
      <c r="O114" s="4"/>
      <c r="P114" s="4"/>
      <c r="Q114" s="5">
        <v>51750</v>
      </c>
      <c r="R114" s="36"/>
      <c r="S114" s="36"/>
      <c r="T114" s="37"/>
      <c r="U114" s="5">
        <f t="shared" si="50"/>
        <v>51750</v>
      </c>
      <c r="V114" s="5">
        <f t="shared" si="51"/>
        <v>355522.5</v>
      </c>
      <c r="W114" s="5">
        <f t="shared" si="52"/>
        <v>63994.049999999996</v>
      </c>
      <c r="X114" s="5"/>
      <c r="Y114" s="5"/>
      <c r="Z114" s="98"/>
      <c r="AA114" s="23">
        <f t="shared" si="53"/>
        <v>0</v>
      </c>
      <c r="AB114" s="97">
        <f t="shared" si="54"/>
        <v>0</v>
      </c>
      <c r="AC114" s="43"/>
      <c r="AD114" s="46"/>
      <c r="AE114" s="5">
        <f t="shared" si="55"/>
        <v>419516.55</v>
      </c>
      <c r="AF114" s="114">
        <v>630</v>
      </c>
      <c r="AG114" s="139" t="s">
        <v>2060</v>
      </c>
      <c r="AH114" s="103">
        <v>6.87</v>
      </c>
      <c r="AI114" s="12"/>
      <c r="AJ114" s="40"/>
      <c r="AK114" s="40"/>
    </row>
    <row r="115" spans="2:37" s="41" customFormat="1" ht="16.149999999999999" customHeight="1">
      <c r="B115" s="89"/>
      <c r="C115" s="4"/>
      <c r="D115" s="4"/>
      <c r="E115" s="86" t="s">
        <v>558</v>
      </c>
      <c r="F115" s="103">
        <v>31.86</v>
      </c>
      <c r="G115" s="14">
        <f t="shared" si="49"/>
        <v>31860</v>
      </c>
      <c r="H115" s="97">
        <v>14</v>
      </c>
      <c r="I115" s="83" t="s">
        <v>1771</v>
      </c>
      <c r="J115" s="85" t="s">
        <v>1724</v>
      </c>
      <c r="K115" s="82" t="s">
        <v>1768</v>
      </c>
      <c r="L115" s="4"/>
      <c r="M115" s="85" t="s">
        <v>1723</v>
      </c>
      <c r="N115" s="82" t="s">
        <v>1769</v>
      </c>
      <c r="O115" s="4"/>
      <c r="P115" s="4"/>
      <c r="Q115" s="5">
        <v>51750</v>
      </c>
      <c r="R115" s="36"/>
      <c r="S115" s="36"/>
      <c r="T115" s="37"/>
      <c r="U115" s="5">
        <f t="shared" si="50"/>
        <v>51750</v>
      </c>
      <c r="V115" s="5">
        <f t="shared" si="51"/>
        <v>1648755</v>
      </c>
      <c r="W115" s="5">
        <f t="shared" si="52"/>
        <v>296775.89999999997</v>
      </c>
      <c r="X115" s="5"/>
      <c r="Y115" s="5"/>
      <c r="Z115" s="98"/>
      <c r="AA115" s="23">
        <f t="shared" si="53"/>
        <v>0</v>
      </c>
      <c r="AB115" s="97">
        <f t="shared" si="54"/>
        <v>0</v>
      </c>
      <c r="AC115" s="43"/>
      <c r="AD115" s="46"/>
      <c r="AE115" s="5">
        <f t="shared" si="55"/>
        <v>1945530.9</v>
      </c>
      <c r="AF115" s="114">
        <v>631</v>
      </c>
      <c r="AG115" s="139" t="s">
        <v>2060</v>
      </c>
      <c r="AH115" s="103">
        <v>31.86</v>
      </c>
      <c r="AI115" s="12"/>
      <c r="AJ115" s="40"/>
      <c r="AK115" s="40"/>
    </row>
    <row r="116" spans="2:37" s="41" customFormat="1" ht="16.149999999999999" customHeight="1">
      <c r="B116" s="89"/>
      <c r="C116" s="4"/>
      <c r="D116" s="4"/>
      <c r="E116" s="86" t="s">
        <v>558</v>
      </c>
      <c r="F116" s="103">
        <v>13.406000000000001</v>
      </c>
      <c r="G116" s="14">
        <f t="shared" si="49"/>
        <v>13406</v>
      </c>
      <c r="H116" s="97">
        <v>6</v>
      </c>
      <c r="I116" s="83" t="s">
        <v>1772</v>
      </c>
      <c r="J116" s="85" t="s">
        <v>1724</v>
      </c>
      <c r="K116" s="82" t="s">
        <v>1773</v>
      </c>
      <c r="L116" s="4"/>
      <c r="M116" s="85" t="s">
        <v>1723</v>
      </c>
      <c r="N116" s="82" t="s">
        <v>1774</v>
      </c>
      <c r="O116" s="4"/>
      <c r="P116" s="4"/>
      <c r="Q116" s="5">
        <v>51750</v>
      </c>
      <c r="R116" s="36"/>
      <c r="S116" s="36"/>
      <c r="T116" s="37"/>
      <c r="U116" s="5">
        <f t="shared" si="50"/>
        <v>51750</v>
      </c>
      <c r="V116" s="5">
        <f t="shared" si="51"/>
        <v>693760.5</v>
      </c>
      <c r="W116" s="5">
        <f t="shared" si="52"/>
        <v>124876.89</v>
      </c>
      <c r="X116" s="5"/>
      <c r="Y116" s="5"/>
      <c r="Z116" s="98"/>
      <c r="AA116" s="23">
        <f t="shared" si="53"/>
        <v>0</v>
      </c>
      <c r="AB116" s="97">
        <f t="shared" si="54"/>
        <v>0</v>
      </c>
      <c r="AC116" s="43"/>
      <c r="AD116" s="46"/>
      <c r="AE116" s="5">
        <f t="shared" si="55"/>
        <v>818637.39</v>
      </c>
      <c r="AF116" s="114">
        <v>632</v>
      </c>
      <c r="AG116" s="139" t="s">
        <v>2060</v>
      </c>
      <c r="AH116" s="103">
        <v>13.406000000000001</v>
      </c>
      <c r="AI116" s="12"/>
      <c r="AJ116" s="40"/>
      <c r="AK116" s="40"/>
    </row>
    <row r="117" spans="2:37" s="41" customFormat="1" ht="16.149999999999999" customHeight="1">
      <c r="B117" s="89"/>
      <c r="C117" s="4"/>
      <c r="D117" s="4"/>
      <c r="E117" s="86" t="s">
        <v>558</v>
      </c>
      <c r="F117" s="103">
        <v>16.044</v>
      </c>
      <c r="G117" s="14">
        <f t="shared" si="49"/>
        <v>16044</v>
      </c>
      <c r="H117" s="97">
        <v>7</v>
      </c>
      <c r="I117" s="83" t="s">
        <v>1775</v>
      </c>
      <c r="J117" s="85" t="s">
        <v>1724</v>
      </c>
      <c r="K117" s="82" t="s">
        <v>1773</v>
      </c>
      <c r="L117" s="4"/>
      <c r="M117" s="85" t="s">
        <v>1723</v>
      </c>
      <c r="N117" s="82" t="s">
        <v>1774</v>
      </c>
      <c r="O117" s="4"/>
      <c r="P117" s="4"/>
      <c r="Q117" s="5">
        <v>51750</v>
      </c>
      <c r="R117" s="36"/>
      <c r="S117" s="36"/>
      <c r="T117" s="37"/>
      <c r="U117" s="5">
        <f t="shared" si="50"/>
        <v>51750</v>
      </c>
      <c r="V117" s="5">
        <f t="shared" si="51"/>
        <v>830277</v>
      </c>
      <c r="W117" s="5">
        <f t="shared" si="52"/>
        <v>149449.85999999999</v>
      </c>
      <c r="X117" s="5"/>
      <c r="Y117" s="5"/>
      <c r="Z117" s="98"/>
      <c r="AA117" s="23">
        <f t="shared" si="53"/>
        <v>0</v>
      </c>
      <c r="AB117" s="97">
        <f t="shared" si="54"/>
        <v>0</v>
      </c>
      <c r="AC117" s="43"/>
      <c r="AD117" s="46"/>
      <c r="AE117" s="5">
        <f t="shared" si="55"/>
        <v>979726.86</v>
      </c>
      <c r="AF117" s="114">
        <v>633</v>
      </c>
      <c r="AG117" s="139" t="s">
        <v>2060</v>
      </c>
      <c r="AH117" s="103">
        <v>16.044</v>
      </c>
      <c r="AI117" s="12"/>
      <c r="AJ117" s="40"/>
      <c r="AK117" s="40"/>
    </row>
    <row r="118" spans="2:37" s="41" customFormat="1" ht="16.149999999999999" customHeight="1">
      <c r="B118" s="89"/>
      <c r="C118" s="4"/>
      <c r="D118" s="4"/>
      <c r="E118" s="86" t="s">
        <v>558</v>
      </c>
      <c r="F118" s="103">
        <v>25.097999999999999</v>
      </c>
      <c r="G118" s="14">
        <f t="shared" si="49"/>
        <v>25098</v>
      </c>
      <c r="H118" s="97">
        <v>11</v>
      </c>
      <c r="I118" s="83" t="s">
        <v>1776</v>
      </c>
      <c r="J118" s="85" t="s">
        <v>1777</v>
      </c>
      <c r="K118" s="82" t="s">
        <v>1778</v>
      </c>
      <c r="L118" s="4"/>
      <c r="M118" s="85" t="s">
        <v>1779</v>
      </c>
      <c r="N118" s="82" t="s">
        <v>1780</v>
      </c>
      <c r="O118" s="4"/>
      <c r="P118" s="4"/>
      <c r="Q118" s="5">
        <v>51750</v>
      </c>
      <c r="R118" s="36"/>
      <c r="S118" s="36"/>
      <c r="T118" s="37"/>
      <c r="U118" s="5">
        <f t="shared" si="50"/>
        <v>51750</v>
      </c>
      <c r="V118" s="5">
        <f t="shared" si="51"/>
        <v>1298821.5</v>
      </c>
      <c r="W118" s="5">
        <f t="shared" si="52"/>
        <v>233787.87</v>
      </c>
      <c r="X118" s="5"/>
      <c r="Y118" s="5"/>
      <c r="Z118" s="98"/>
      <c r="AA118" s="23">
        <f t="shared" si="53"/>
        <v>0</v>
      </c>
      <c r="AB118" s="97">
        <f t="shared" si="54"/>
        <v>0</v>
      </c>
      <c r="AC118" s="43"/>
      <c r="AD118" s="46"/>
      <c r="AE118" s="5">
        <f t="shared" si="55"/>
        <v>1532609.37</v>
      </c>
      <c r="AF118" s="114">
        <v>634</v>
      </c>
      <c r="AG118" s="139" t="s">
        <v>2060</v>
      </c>
      <c r="AH118" s="103">
        <v>25.097999999999999</v>
      </c>
      <c r="AI118" s="12"/>
      <c r="AJ118" s="40"/>
      <c r="AK118" s="40"/>
    </row>
    <row r="119" spans="2:37" s="41" customFormat="1" ht="16.149999999999999" customHeight="1">
      <c r="B119" s="89"/>
      <c r="C119" s="4"/>
      <c r="D119" s="4"/>
      <c r="E119" s="86" t="s">
        <v>558</v>
      </c>
      <c r="F119" s="103">
        <v>3.5819999999999999</v>
      </c>
      <c r="G119" s="14">
        <f t="shared" si="49"/>
        <v>3582</v>
      </c>
      <c r="H119" s="97">
        <v>2</v>
      </c>
      <c r="I119" s="83" t="s">
        <v>1781</v>
      </c>
      <c r="J119" s="85" t="s">
        <v>1777</v>
      </c>
      <c r="K119" s="82" t="s">
        <v>1778</v>
      </c>
      <c r="L119" s="4"/>
      <c r="M119" s="85" t="s">
        <v>1779</v>
      </c>
      <c r="N119" s="82" t="s">
        <v>1780</v>
      </c>
      <c r="O119" s="4"/>
      <c r="P119" s="4"/>
      <c r="Q119" s="5">
        <v>51750</v>
      </c>
      <c r="R119" s="36"/>
      <c r="S119" s="36"/>
      <c r="T119" s="37"/>
      <c r="U119" s="5">
        <f t="shared" si="50"/>
        <v>51750</v>
      </c>
      <c r="V119" s="5">
        <f t="shared" si="51"/>
        <v>185368.5</v>
      </c>
      <c r="W119" s="5">
        <f t="shared" si="52"/>
        <v>33366.33</v>
      </c>
      <c r="X119" s="5"/>
      <c r="Y119" s="5"/>
      <c r="Z119" s="98"/>
      <c r="AA119" s="23">
        <f t="shared" si="53"/>
        <v>0</v>
      </c>
      <c r="AB119" s="97">
        <f t="shared" si="54"/>
        <v>0</v>
      </c>
      <c r="AC119" s="43"/>
      <c r="AD119" s="46"/>
      <c r="AE119" s="5">
        <f t="shared" si="55"/>
        <v>218734.83000000002</v>
      </c>
      <c r="AF119" s="114">
        <v>635</v>
      </c>
      <c r="AG119" s="139" t="s">
        <v>2060</v>
      </c>
      <c r="AH119" s="103">
        <v>3.5819999999999999</v>
      </c>
      <c r="AI119" s="12"/>
      <c r="AJ119" s="40"/>
      <c r="AK119" s="40"/>
    </row>
    <row r="120" spans="2:37" s="41" customFormat="1" ht="16.149999999999999" customHeight="1">
      <c r="B120" s="89"/>
      <c r="C120" s="4"/>
      <c r="D120" s="4"/>
      <c r="E120" s="86" t="s">
        <v>558</v>
      </c>
      <c r="F120" s="103">
        <v>6.87</v>
      </c>
      <c r="G120" s="14">
        <f t="shared" si="49"/>
        <v>6870</v>
      </c>
      <c r="H120" s="97">
        <v>3</v>
      </c>
      <c r="I120" s="83" t="s">
        <v>1782</v>
      </c>
      <c r="J120" s="85" t="s">
        <v>1777</v>
      </c>
      <c r="K120" s="82" t="s">
        <v>1778</v>
      </c>
      <c r="L120" s="4"/>
      <c r="M120" s="85" t="s">
        <v>1779</v>
      </c>
      <c r="N120" s="82" t="s">
        <v>1780</v>
      </c>
      <c r="O120" s="4"/>
      <c r="P120" s="4"/>
      <c r="Q120" s="5">
        <v>51750</v>
      </c>
      <c r="R120" s="36"/>
      <c r="S120" s="36"/>
      <c r="T120" s="37"/>
      <c r="U120" s="5">
        <f t="shared" si="50"/>
        <v>51750</v>
      </c>
      <c r="V120" s="5">
        <f t="shared" si="51"/>
        <v>355522.5</v>
      </c>
      <c r="W120" s="5">
        <f t="shared" si="52"/>
        <v>63994.049999999996</v>
      </c>
      <c r="X120" s="5"/>
      <c r="Y120" s="5"/>
      <c r="Z120" s="98"/>
      <c r="AA120" s="23">
        <f t="shared" si="53"/>
        <v>0</v>
      </c>
      <c r="AB120" s="97">
        <f t="shared" si="54"/>
        <v>0</v>
      </c>
      <c r="AC120" s="43"/>
      <c r="AD120" s="46"/>
      <c r="AE120" s="5">
        <f t="shared" si="55"/>
        <v>419516.55</v>
      </c>
      <c r="AF120" s="114">
        <v>636</v>
      </c>
      <c r="AG120" s="139" t="s">
        <v>2060</v>
      </c>
      <c r="AH120" s="103">
        <v>6.87</v>
      </c>
      <c r="AI120" s="12"/>
      <c r="AJ120" s="40"/>
      <c r="AK120" s="40"/>
    </row>
    <row r="121" spans="2:37" s="41" customFormat="1" ht="16.149999999999999" customHeight="1">
      <c r="B121" s="89"/>
      <c r="C121" s="4"/>
      <c r="D121" s="4"/>
      <c r="E121" s="86" t="s">
        <v>558</v>
      </c>
      <c r="F121" s="103">
        <v>11.45</v>
      </c>
      <c r="G121" s="14">
        <f t="shared" si="49"/>
        <v>11450</v>
      </c>
      <c r="H121" s="97">
        <v>5</v>
      </c>
      <c r="I121" s="83" t="s">
        <v>1785</v>
      </c>
      <c r="J121" s="85" t="s">
        <v>1689</v>
      </c>
      <c r="K121" s="82" t="s">
        <v>1783</v>
      </c>
      <c r="L121" s="4"/>
      <c r="M121" s="85" t="s">
        <v>1779</v>
      </c>
      <c r="N121" s="82" t="s">
        <v>1784</v>
      </c>
      <c r="O121" s="4"/>
      <c r="P121" s="4"/>
      <c r="Q121" s="5">
        <v>51750</v>
      </c>
      <c r="R121" s="36"/>
      <c r="S121" s="36"/>
      <c r="T121" s="37"/>
      <c r="U121" s="5">
        <f t="shared" si="50"/>
        <v>51750</v>
      </c>
      <c r="V121" s="5">
        <f t="shared" si="51"/>
        <v>592537.5</v>
      </c>
      <c r="W121" s="5">
        <f t="shared" si="52"/>
        <v>106656.75</v>
      </c>
      <c r="X121" s="5"/>
      <c r="Y121" s="5"/>
      <c r="Z121" s="98"/>
      <c r="AA121" s="23">
        <f t="shared" si="53"/>
        <v>0</v>
      </c>
      <c r="AB121" s="97">
        <f t="shared" si="54"/>
        <v>0</v>
      </c>
      <c r="AC121" s="43"/>
      <c r="AD121" s="46"/>
      <c r="AE121" s="5">
        <f t="shared" si="55"/>
        <v>699194.25</v>
      </c>
      <c r="AF121" s="114">
        <v>637</v>
      </c>
      <c r="AG121" s="139" t="s">
        <v>2060</v>
      </c>
      <c r="AH121" s="103">
        <v>11.45</v>
      </c>
      <c r="AI121" s="12"/>
      <c r="AJ121" s="40"/>
      <c r="AK121" s="40"/>
    </row>
    <row r="122" spans="2:37" s="41" customFormat="1" ht="16.149999999999999" customHeight="1">
      <c r="B122" s="89"/>
      <c r="C122" s="4"/>
      <c r="D122" s="4"/>
      <c r="E122" s="86" t="s">
        <v>558</v>
      </c>
      <c r="F122" s="103">
        <v>29.32</v>
      </c>
      <c r="G122" s="14">
        <f t="shared" si="49"/>
        <v>29320</v>
      </c>
      <c r="H122" s="97">
        <v>13</v>
      </c>
      <c r="I122" s="83" t="s">
        <v>1786</v>
      </c>
      <c r="J122" s="85" t="s">
        <v>1689</v>
      </c>
      <c r="K122" s="82" t="s">
        <v>1783</v>
      </c>
      <c r="L122" s="4"/>
      <c r="M122" s="85" t="s">
        <v>1779</v>
      </c>
      <c r="N122" s="82" t="s">
        <v>1784</v>
      </c>
      <c r="O122" s="4"/>
      <c r="P122" s="4"/>
      <c r="Q122" s="5">
        <v>51750</v>
      </c>
      <c r="R122" s="36"/>
      <c r="S122" s="36"/>
      <c r="T122" s="37"/>
      <c r="U122" s="5">
        <f t="shared" si="50"/>
        <v>51750</v>
      </c>
      <c r="V122" s="5">
        <f t="shared" si="51"/>
        <v>1517310</v>
      </c>
      <c r="W122" s="5">
        <f t="shared" si="52"/>
        <v>273115.8</v>
      </c>
      <c r="X122" s="5"/>
      <c r="Y122" s="5"/>
      <c r="Z122" s="98"/>
      <c r="AA122" s="23">
        <f t="shared" si="53"/>
        <v>0</v>
      </c>
      <c r="AB122" s="97">
        <f t="shared" si="54"/>
        <v>0</v>
      </c>
      <c r="AC122" s="43"/>
      <c r="AD122" s="46"/>
      <c r="AE122" s="5">
        <f t="shared" si="55"/>
        <v>1790425.8</v>
      </c>
      <c r="AF122" s="114">
        <v>638</v>
      </c>
      <c r="AG122" s="139" t="s">
        <v>2060</v>
      </c>
      <c r="AH122" s="103">
        <v>29.32</v>
      </c>
      <c r="AI122" s="12"/>
      <c r="AJ122" s="40"/>
      <c r="AK122" s="40"/>
    </row>
    <row r="123" spans="2:37" s="41" customFormat="1" ht="16.149999999999999" customHeight="1">
      <c r="B123" s="89"/>
      <c r="C123" s="4"/>
      <c r="D123" s="4"/>
      <c r="E123" s="86" t="s">
        <v>558</v>
      </c>
      <c r="F123" s="103">
        <v>15.734999999999999</v>
      </c>
      <c r="G123" s="14">
        <f t="shared" si="49"/>
        <v>15735</v>
      </c>
      <c r="H123" s="97">
        <v>7</v>
      </c>
      <c r="I123" s="83" t="s">
        <v>1787</v>
      </c>
      <c r="J123" s="85" t="s">
        <v>1724</v>
      </c>
      <c r="K123" s="82" t="s">
        <v>1788</v>
      </c>
      <c r="L123" s="4"/>
      <c r="M123" s="85" t="s">
        <v>1779</v>
      </c>
      <c r="N123" s="82" t="s">
        <v>1789</v>
      </c>
      <c r="O123" s="4"/>
      <c r="P123" s="4"/>
      <c r="Q123" s="5">
        <v>51750</v>
      </c>
      <c r="R123" s="36"/>
      <c r="S123" s="36"/>
      <c r="T123" s="37"/>
      <c r="U123" s="5">
        <f t="shared" si="50"/>
        <v>51750</v>
      </c>
      <c r="V123" s="5">
        <f t="shared" si="51"/>
        <v>814286.25</v>
      </c>
      <c r="W123" s="5">
        <f t="shared" si="52"/>
        <v>146571.52499999999</v>
      </c>
      <c r="X123" s="5"/>
      <c r="Y123" s="5"/>
      <c r="Z123" s="98"/>
      <c r="AA123" s="23">
        <f t="shared" si="53"/>
        <v>0</v>
      </c>
      <c r="AB123" s="97">
        <f t="shared" si="54"/>
        <v>0</v>
      </c>
      <c r="AC123" s="43"/>
      <c r="AD123" s="46"/>
      <c r="AE123" s="5">
        <f t="shared" si="55"/>
        <v>960857.77500000002</v>
      </c>
      <c r="AF123" s="114">
        <v>639</v>
      </c>
      <c r="AG123" s="139" t="s">
        <v>2060</v>
      </c>
      <c r="AH123" s="103">
        <v>15.734999999999999</v>
      </c>
      <c r="AI123" s="12"/>
      <c r="AJ123" s="40"/>
      <c r="AK123" s="40"/>
    </row>
    <row r="124" spans="2:37" s="41" customFormat="1" ht="16.149999999999999" customHeight="1">
      <c r="B124" s="89"/>
      <c r="C124" s="4"/>
      <c r="D124" s="4"/>
      <c r="E124" s="86" t="s">
        <v>558</v>
      </c>
      <c r="F124" s="103">
        <v>2.04</v>
      </c>
      <c r="G124" s="14">
        <f t="shared" si="49"/>
        <v>2040</v>
      </c>
      <c r="H124" s="97">
        <v>1</v>
      </c>
      <c r="I124" s="83" t="s">
        <v>1790</v>
      </c>
      <c r="J124" s="85" t="s">
        <v>1724</v>
      </c>
      <c r="K124" s="82" t="s">
        <v>1788</v>
      </c>
      <c r="L124" s="4"/>
      <c r="M124" s="85" t="s">
        <v>1779</v>
      </c>
      <c r="N124" s="82" t="s">
        <v>1789</v>
      </c>
      <c r="O124" s="4"/>
      <c r="P124" s="4"/>
      <c r="Q124" s="5">
        <v>51750</v>
      </c>
      <c r="R124" s="36"/>
      <c r="S124" s="36"/>
      <c r="T124" s="37"/>
      <c r="U124" s="5">
        <f t="shared" si="50"/>
        <v>51750</v>
      </c>
      <c r="V124" s="5">
        <f t="shared" si="51"/>
        <v>105570</v>
      </c>
      <c r="W124" s="5">
        <f t="shared" si="52"/>
        <v>19002.599999999999</v>
      </c>
      <c r="X124" s="5"/>
      <c r="Y124" s="5"/>
      <c r="Z124" s="98"/>
      <c r="AA124" s="23">
        <f t="shared" si="53"/>
        <v>0</v>
      </c>
      <c r="AB124" s="97">
        <f t="shared" si="54"/>
        <v>0</v>
      </c>
      <c r="AC124" s="43"/>
      <c r="AD124" s="46"/>
      <c r="AE124" s="5">
        <f t="shared" si="55"/>
        <v>124572.6</v>
      </c>
      <c r="AF124" s="114">
        <v>640</v>
      </c>
      <c r="AG124" s="139" t="s">
        <v>2060</v>
      </c>
      <c r="AH124" s="103">
        <v>2.04</v>
      </c>
      <c r="AI124" s="12"/>
      <c r="AJ124" s="40"/>
      <c r="AK124" s="40"/>
    </row>
    <row r="125" spans="2:37" s="41" customFormat="1" ht="16.149999999999999" customHeight="1">
      <c r="B125" s="89"/>
      <c r="C125" s="4"/>
      <c r="D125" s="4"/>
      <c r="E125" s="86" t="s">
        <v>558</v>
      </c>
      <c r="F125" s="103">
        <v>2.29</v>
      </c>
      <c r="G125" s="14">
        <f t="shared" si="49"/>
        <v>2290</v>
      </c>
      <c r="H125" s="97">
        <v>1</v>
      </c>
      <c r="I125" s="83" t="s">
        <v>1791</v>
      </c>
      <c r="J125" s="85" t="s">
        <v>1724</v>
      </c>
      <c r="K125" s="82" t="s">
        <v>1788</v>
      </c>
      <c r="L125" s="4"/>
      <c r="M125" s="85" t="s">
        <v>1779</v>
      </c>
      <c r="N125" s="82" t="s">
        <v>1789</v>
      </c>
      <c r="O125" s="4"/>
      <c r="P125" s="4"/>
      <c r="Q125" s="5">
        <v>51750</v>
      </c>
      <c r="R125" s="36"/>
      <c r="S125" s="36"/>
      <c r="T125" s="37"/>
      <c r="U125" s="5">
        <f t="shared" si="50"/>
        <v>51750</v>
      </c>
      <c r="V125" s="5">
        <f t="shared" si="51"/>
        <v>118507.5</v>
      </c>
      <c r="W125" s="5">
        <f t="shared" si="52"/>
        <v>21331.35</v>
      </c>
      <c r="X125" s="5"/>
      <c r="Y125" s="5"/>
      <c r="Z125" s="98"/>
      <c r="AA125" s="23">
        <f t="shared" si="53"/>
        <v>0</v>
      </c>
      <c r="AB125" s="97">
        <f t="shared" si="54"/>
        <v>0</v>
      </c>
      <c r="AC125" s="43"/>
      <c r="AD125" s="46"/>
      <c r="AE125" s="5">
        <f t="shared" si="55"/>
        <v>139838.85</v>
      </c>
      <c r="AF125" s="114">
        <v>641</v>
      </c>
      <c r="AG125" s="139" t="s">
        <v>2060</v>
      </c>
      <c r="AH125" s="103">
        <v>2.29</v>
      </c>
      <c r="AI125" s="12"/>
      <c r="AJ125" s="40"/>
      <c r="AK125" s="40"/>
    </row>
    <row r="126" spans="2:37" s="41" customFormat="1" ht="16.149999999999999" customHeight="1">
      <c r="B126" s="89"/>
      <c r="C126" s="4"/>
      <c r="D126" s="4"/>
      <c r="E126" s="86" t="s">
        <v>558</v>
      </c>
      <c r="F126" s="103">
        <v>1.925</v>
      </c>
      <c r="G126" s="14">
        <f t="shared" si="49"/>
        <v>1925</v>
      </c>
      <c r="H126" s="97">
        <v>1</v>
      </c>
      <c r="I126" s="83" t="s">
        <v>1792</v>
      </c>
      <c r="J126" s="85" t="s">
        <v>1724</v>
      </c>
      <c r="K126" s="82" t="s">
        <v>1788</v>
      </c>
      <c r="L126" s="4"/>
      <c r="M126" s="85" t="s">
        <v>1779</v>
      </c>
      <c r="N126" s="82" t="s">
        <v>1789</v>
      </c>
      <c r="O126" s="4"/>
      <c r="P126" s="4"/>
      <c r="Q126" s="5">
        <v>51750</v>
      </c>
      <c r="R126" s="36"/>
      <c r="S126" s="36"/>
      <c r="T126" s="37"/>
      <c r="U126" s="5">
        <f t="shared" si="50"/>
        <v>51750</v>
      </c>
      <c r="V126" s="5">
        <f t="shared" si="51"/>
        <v>99618.75</v>
      </c>
      <c r="W126" s="5">
        <f t="shared" si="52"/>
        <v>17931.375</v>
      </c>
      <c r="X126" s="5"/>
      <c r="Y126" s="5"/>
      <c r="Z126" s="98"/>
      <c r="AA126" s="23">
        <f t="shared" si="53"/>
        <v>0</v>
      </c>
      <c r="AB126" s="97">
        <f t="shared" si="54"/>
        <v>0</v>
      </c>
      <c r="AC126" s="43"/>
      <c r="AD126" s="46"/>
      <c r="AE126" s="5">
        <f t="shared" si="55"/>
        <v>117550.125</v>
      </c>
      <c r="AF126" s="114">
        <v>642</v>
      </c>
      <c r="AG126" s="139" t="s">
        <v>2060</v>
      </c>
      <c r="AH126" s="103">
        <v>1.925</v>
      </c>
      <c r="AI126" s="12"/>
      <c r="AJ126" s="40"/>
      <c r="AK126" s="40"/>
    </row>
    <row r="127" spans="2:37" s="41" customFormat="1" ht="16.149999999999999" customHeight="1">
      <c r="B127" s="89"/>
      <c r="C127" s="4"/>
      <c r="D127" s="4"/>
      <c r="E127" s="86" t="s">
        <v>558</v>
      </c>
      <c r="F127" s="103">
        <v>20.61</v>
      </c>
      <c r="G127" s="14">
        <f t="shared" si="49"/>
        <v>20610</v>
      </c>
      <c r="H127" s="97">
        <v>9</v>
      </c>
      <c r="I127" s="83" t="s">
        <v>1793</v>
      </c>
      <c r="J127" s="85" t="s">
        <v>1724</v>
      </c>
      <c r="K127" s="82" t="s">
        <v>1788</v>
      </c>
      <c r="L127" s="4"/>
      <c r="M127" s="85" t="s">
        <v>1779</v>
      </c>
      <c r="N127" s="82" t="s">
        <v>1789</v>
      </c>
      <c r="O127" s="4"/>
      <c r="P127" s="4"/>
      <c r="Q127" s="5">
        <v>51750</v>
      </c>
      <c r="R127" s="36"/>
      <c r="S127" s="36"/>
      <c r="T127" s="37"/>
      <c r="U127" s="5">
        <f t="shared" si="50"/>
        <v>51750</v>
      </c>
      <c r="V127" s="5">
        <f t="shared" si="51"/>
        <v>1066567.5</v>
      </c>
      <c r="W127" s="5">
        <f t="shared" si="52"/>
        <v>191982.15</v>
      </c>
      <c r="X127" s="5"/>
      <c r="Y127" s="5"/>
      <c r="Z127" s="98"/>
      <c r="AA127" s="23">
        <f t="shared" si="53"/>
        <v>0</v>
      </c>
      <c r="AB127" s="97">
        <f t="shared" si="54"/>
        <v>0</v>
      </c>
      <c r="AC127" s="43"/>
      <c r="AD127" s="46"/>
      <c r="AE127" s="5">
        <f t="shared" si="55"/>
        <v>1258549.6499999999</v>
      </c>
      <c r="AF127" s="114">
        <v>643</v>
      </c>
      <c r="AG127" s="139" t="s">
        <v>2060</v>
      </c>
      <c r="AH127" s="103">
        <v>20.61</v>
      </c>
      <c r="AI127" s="12"/>
      <c r="AJ127" s="40"/>
      <c r="AK127" s="40"/>
    </row>
    <row r="128" spans="2:37" s="41" customFormat="1" ht="16.149999999999999" customHeight="1">
      <c r="B128" s="89"/>
      <c r="C128" s="4"/>
      <c r="D128" s="4"/>
      <c r="E128" s="86" t="s">
        <v>558</v>
      </c>
      <c r="F128" s="103">
        <v>22.9</v>
      </c>
      <c r="G128" s="14">
        <f t="shared" si="49"/>
        <v>22900</v>
      </c>
      <c r="H128" s="97">
        <v>10</v>
      </c>
      <c r="I128" s="83" t="s">
        <v>1837</v>
      </c>
      <c r="J128" s="85" t="s">
        <v>1777</v>
      </c>
      <c r="K128" s="82" t="s">
        <v>1835</v>
      </c>
      <c r="L128" s="4"/>
      <c r="M128" s="85" t="s">
        <v>1823</v>
      </c>
      <c r="N128" s="82" t="s">
        <v>1836</v>
      </c>
      <c r="O128" s="4"/>
      <c r="P128" s="4"/>
      <c r="Q128" s="5">
        <v>51750</v>
      </c>
      <c r="R128" s="36"/>
      <c r="S128" s="36"/>
      <c r="T128" s="37"/>
      <c r="U128" s="5">
        <f t="shared" si="50"/>
        <v>51750</v>
      </c>
      <c r="V128" s="5">
        <f t="shared" si="51"/>
        <v>1185075</v>
      </c>
      <c r="W128" s="5">
        <f t="shared" si="52"/>
        <v>213313.5</v>
      </c>
      <c r="X128" s="5"/>
      <c r="Y128" s="5"/>
      <c r="Z128" s="98"/>
      <c r="AA128" s="23">
        <f t="shared" si="53"/>
        <v>0</v>
      </c>
      <c r="AB128" s="97">
        <f t="shared" si="54"/>
        <v>0</v>
      </c>
      <c r="AC128" s="43"/>
      <c r="AD128" s="46"/>
      <c r="AE128" s="5">
        <f t="shared" si="55"/>
        <v>1398388.5</v>
      </c>
      <c r="AF128" s="114">
        <v>644</v>
      </c>
      <c r="AG128" s="139" t="s">
        <v>2060</v>
      </c>
      <c r="AH128" s="103">
        <v>22.9</v>
      </c>
      <c r="AI128" s="12"/>
      <c r="AJ128" s="40"/>
      <c r="AK128" s="40"/>
    </row>
    <row r="129" spans="2:37" s="41" customFormat="1" ht="16.149999999999999" customHeight="1">
      <c r="B129" s="89"/>
      <c r="C129" s="4"/>
      <c r="D129" s="4"/>
      <c r="E129" s="86" t="s">
        <v>558</v>
      </c>
      <c r="F129" s="103">
        <v>18.02</v>
      </c>
      <c r="G129" s="14">
        <f t="shared" si="49"/>
        <v>18020</v>
      </c>
      <c r="H129" s="97">
        <v>8</v>
      </c>
      <c r="I129" s="83" t="s">
        <v>1838</v>
      </c>
      <c r="J129" s="85" t="s">
        <v>1777</v>
      </c>
      <c r="K129" s="82" t="s">
        <v>1835</v>
      </c>
      <c r="L129" s="4"/>
      <c r="M129" s="85" t="s">
        <v>1823</v>
      </c>
      <c r="N129" s="82" t="s">
        <v>1836</v>
      </c>
      <c r="O129" s="4"/>
      <c r="P129" s="4"/>
      <c r="Q129" s="5">
        <v>51750</v>
      </c>
      <c r="R129" s="36"/>
      <c r="S129" s="36"/>
      <c r="T129" s="37"/>
      <c r="U129" s="5">
        <f t="shared" si="50"/>
        <v>51750</v>
      </c>
      <c r="V129" s="5">
        <f t="shared" si="51"/>
        <v>932535</v>
      </c>
      <c r="W129" s="5">
        <f t="shared" si="52"/>
        <v>167856.3</v>
      </c>
      <c r="X129" s="5"/>
      <c r="Y129" s="5"/>
      <c r="Z129" s="98"/>
      <c r="AA129" s="23">
        <f t="shared" si="53"/>
        <v>0</v>
      </c>
      <c r="AB129" s="97">
        <f t="shared" si="54"/>
        <v>0</v>
      </c>
      <c r="AC129" s="43"/>
      <c r="AD129" s="46"/>
      <c r="AE129" s="5">
        <f t="shared" si="55"/>
        <v>1100391.3</v>
      </c>
      <c r="AF129" s="114">
        <v>645</v>
      </c>
      <c r="AG129" s="139" t="s">
        <v>2060</v>
      </c>
      <c r="AH129" s="103">
        <v>18.02</v>
      </c>
      <c r="AI129" s="12"/>
      <c r="AJ129" s="40"/>
      <c r="AK129" s="40"/>
    </row>
    <row r="130" spans="2:37" s="41" customFormat="1">
      <c r="B130" s="13"/>
      <c r="C130" s="48"/>
      <c r="D130" s="6"/>
      <c r="E130" s="6"/>
      <c r="F130" s="81">
        <f>SUM(F73:F129)</f>
        <v>985.94600000000003</v>
      </c>
      <c r="G130" s="20">
        <f>SUM(G73:G129)</f>
        <v>985946</v>
      </c>
      <c r="H130" s="21">
        <f>SUM(H73:H129)</f>
        <v>436</v>
      </c>
      <c r="I130" s="2"/>
      <c r="J130" s="7"/>
      <c r="K130" s="7"/>
      <c r="L130" s="7"/>
      <c r="M130" s="2"/>
      <c r="N130" s="6"/>
      <c r="O130" s="6"/>
      <c r="P130" s="6"/>
      <c r="Q130" s="19"/>
      <c r="R130" s="9"/>
      <c r="S130" s="9"/>
      <c r="T130" s="10"/>
      <c r="U130" s="8"/>
      <c r="V130" s="21">
        <f>SUM(V73:V129)</f>
        <v>51022705.5</v>
      </c>
      <c r="W130" s="21">
        <f>SUM(W73:W129)</f>
        <v>9184086.9900000002</v>
      </c>
      <c r="X130" s="21">
        <f>SUM(X73:X129)</f>
        <v>0</v>
      </c>
      <c r="Y130" s="21">
        <f>SUM(Y73:Y129)</f>
        <v>0</v>
      </c>
      <c r="Z130" s="99"/>
      <c r="AA130" s="21">
        <f>SUM(AA73:AA129)</f>
        <v>0</v>
      </c>
      <c r="AB130" s="21">
        <f>SUM(AB73:AB129)</f>
        <v>0</v>
      </c>
      <c r="AC130" s="21"/>
      <c r="AD130" s="21">
        <f>SUM(AD73:AD129)</f>
        <v>0</v>
      </c>
      <c r="AE130" s="21">
        <f>SUM(AE73:AE129)</f>
        <v>60206792.490000002</v>
      </c>
      <c r="AF130" s="21"/>
      <c r="AG130" s="42"/>
      <c r="AH130" s="81">
        <f>SUM(AH73:AH129)</f>
        <v>985.94600000000003</v>
      </c>
      <c r="AI130" s="26">
        <f>AH130-F130</f>
        <v>0</v>
      </c>
      <c r="AJ130" s="41">
        <f>AA130/F130</f>
        <v>0</v>
      </c>
      <c r="AK130" s="40"/>
    </row>
    <row r="131" spans="2:37" s="41" customFormat="1" ht="16.149999999999999" customHeight="1">
      <c r="B131" s="138" t="s">
        <v>764</v>
      </c>
      <c r="C131" s="82" t="s">
        <v>1843</v>
      </c>
      <c r="D131" s="4"/>
      <c r="E131" s="82" t="s">
        <v>35</v>
      </c>
      <c r="F131" s="103">
        <v>10.824</v>
      </c>
      <c r="G131" s="14">
        <f t="shared" ref="G131:G132" si="63">+F131*1000</f>
        <v>10824</v>
      </c>
      <c r="H131" s="97">
        <v>6</v>
      </c>
      <c r="I131" s="83" t="s">
        <v>1957</v>
      </c>
      <c r="J131" s="85" t="s">
        <v>1958</v>
      </c>
      <c r="K131" s="135">
        <v>60965</v>
      </c>
      <c r="L131" s="4"/>
      <c r="M131" s="85" t="s">
        <v>1959</v>
      </c>
      <c r="N131" s="82" t="s">
        <v>1960</v>
      </c>
      <c r="O131" s="4"/>
      <c r="P131" s="4"/>
      <c r="Q131" s="5">
        <v>54300</v>
      </c>
      <c r="R131" s="36"/>
      <c r="S131" s="36"/>
      <c r="T131" s="37"/>
      <c r="U131" s="5">
        <f t="shared" ref="U131:U132" si="64">S131+R131+Q131-T131</f>
        <v>54300</v>
      </c>
      <c r="V131" s="5">
        <f t="shared" ref="V131:V132" si="65">F131*U131</f>
        <v>587743.19999999995</v>
      </c>
      <c r="W131" s="5">
        <f t="shared" ref="W131:W132" si="66">V131*18%</f>
        <v>105793.77599999998</v>
      </c>
      <c r="X131" s="5"/>
      <c r="Y131" s="5"/>
      <c r="Z131" s="98"/>
      <c r="AA131" s="23">
        <f t="shared" ref="AA131:AA132" si="67">F131*Z131</f>
        <v>0</v>
      </c>
      <c r="AB131" s="97">
        <f t="shared" ref="AB131:AB132" si="68">AA131*18%</f>
        <v>0</v>
      </c>
      <c r="AC131" s="43"/>
      <c r="AD131" s="49"/>
      <c r="AE131" s="5">
        <f t="shared" ref="AE131:AE132" si="69">+AB131+AA131+Y131+X131+W131+V131-AC131+AD131</f>
        <v>693536.97599999991</v>
      </c>
      <c r="AF131" s="139">
        <v>646</v>
      </c>
      <c r="AG131" s="139" t="s">
        <v>2060</v>
      </c>
      <c r="AH131" s="103">
        <v>10.824</v>
      </c>
      <c r="AI131" s="12"/>
      <c r="AJ131" s="40"/>
      <c r="AK131" s="40"/>
    </row>
    <row r="132" spans="2:37" s="41" customFormat="1" ht="16.149999999999999" customHeight="1">
      <c r="B132" s="140" t="s">
        <v>918</v>
      </c>
      <c r="C132" s="82" t="s">
        <v>1956</v>
      </c>
      <c r="D132" s="4"/>
      <c r="E132" s="82" t="s">
        <v>35</v>
      </c>
      <c r="F132" s="103">
        <v>30.725000000000001</v>
      </c>
      <c r="G132" s="14">
        <f t="shared" si="63"/>
        <v>30725</v>
      </c>
      <c r="H132" s="97">
        <v>17</v>
      </c>
      <c r="I132" s="83" t="s">
        <v>1963</v>
      </c>
      <c r="J132" s="85" t="s">
        <v>1958</v>
      </c>
      <c r="K132" s="135">
        <v>60963</v>
      </c>
      <c r="L132" s="4"/>
      <c r="M132" s="85" t="s">
        <v>1959</v>
      </c>
      <c r="N132" s="82" t="s">
        <v>1964</v>
      </c>
      <c r="O132" s="4"/>
      <c r="P132" s="4"/>
      <c r="Q132" s="5">
        <v>54300</v>
      </c>
      <c r="R132" s="36"/>
      <c r="S132" s="36"/>
      <c r="T132" s="37"/>
      <c r="U132" s="5">
        <f t="shared" si="64"/>
        <v>54300</v>
      </c>
      <c r="V132" s="5">
        <f t="shared" si="65"/>
        <v>1668367.5</v>
      </c>
      <c r="W132" s="5">
        <f t="shared" si="66"/>
        <v>300306.14999999997</v>
      </c>
      <c r="X132" s="5"/>
      <c r="Y132" s="5"/>
      <c r="Z132" s="98"/>
      <c r="AA132" s="23">
        <f t="shared" si="67"/>
        <v>0</v>
      </c>
      <c r="AB132" s="97">
        <f t="shared" si="68"/>
        <v>0</v>
      </c>
      <c r="AC132" s="43"/>
      <c r="AD132" s="49"/>
      <c r="AE132" s="5">
        <f t="shared" si="69"/>
        <v>1968673.65</v>
      </c>
      <c r="AF132" s="139">
        <v>647</v>
      </c>
      <c r="AG132" s="139" t="s">
        <v>2060</v>
      </c>
      <c r="AH132" s="103">
        <v>30.725000000000001</v>
      </c>
      <c r="AI132" s="12"/>
      <c r="AJ132" s="40"/>
      <c r="AK132" s="40"/>
    </row>
    <row r="133" spans="2:37" s="41" customFormat="1">
      <c r="B133" s="13"/>
      <c r="C133" s="48"/>
      <c r="D133" s="6"/>
      <c r="E133" s="6"/>
      <c r="F133" s="81">
        <f>SUM(F131:F132)</f>
        <v>41.548999999999999</v>
      </c>
      <c r="G133" s="20">
        <f>SUM(G131:G132)</f>
        <v>41549</v>
      </c>
      <c r="H133" s="21">
        <f>SUM(H131:H132)</f>
        <v>23</v>
      </c>
      <c r="I133" s="2"/>
      <c r="J133" s="7"/>
      <c r="K133" s="7"/>
      <c r="L133" s="7"/>
      <c r="M133" s="2"/>
      <c r="N133" s="6"/>
      <c r="O133" s="6"/>
      <c r="P133" s="6"/>
      <c r="Q133" s="19"/>
      <c r="R133" s="9"/>
      <c r="S133" s="9"/>
      <c r="T133" s="10"/>
      <c r="U133" s="8"/>
      <c r="V133" s="21">
        <f>SUM(V131:V132)</f>
        <v>2256110.7000000002</v>
      </c>
      <c r="W133" s="21">
        <f>SUM(W131:W132)</f>
        <v>406099.92599999998</v>
      </c>
      <c r="X133" s="21">
        <f>SUM(X131:X132)</f>
        <v>0</v>
      </c>
      <c r="Y133" s="21">
        <f>SUM(Y131:Y132)</f>
        <v>0</v>
      </c>
      <c r="Z133" s="99"/>
      <c r="AA133" s="21">
        <f>SUM(AA131:AA132)</f>
        <v>0</v>
      </c>
      <c r="AB133" s="21">
        <f>SUM(AB131:AB132)</f>
        <v>0</v>
      </c>
      <c r="AC133" s="21"/>
      <c r="AD133" s="21">
        <f>SUM(AD131:AD132)</f>
        <v>0</v>
      </c>
      <c r="AE133" s="21">
        <f>SUM(AE131:AE132)</f>
        <v>2662210.6259999997</v>
      </c>
      <c r="AF133" s="21"/>
      <c r="AG133" s="42"/>
      <c r="AH133" s="81">
        <f>SUM(AH131:AH132)</f>
        <v>41.548999999999999</v>
      </c>
      <c r="AI133" s="26">
        <f>AH133-F133</f>
        <v>0</v>
      </c>
      <c r="AJ133" s="41">
        <f>AA133/F133</f>
        <v>0</v>
      </c>
      <c r="AK133" s="40"/>
    </row>
    <row r="134" spans="2:37">
      <c r="B134" s="15"/>
      <c r="C134" s="18"/>
      <c r="D134" s="11"/>
      <c r="E134" s="18" t="s">
        <v>16</v>
      </c>
      <c r="F134" s="16">
        <f>SUM(F3:F133)/2</f>
        <v>2825.6549999999984</v>
      </c>
      <c r="G134" s="17">
        <f>SUM(G3:G133)/2</f>
        <v>2825655</v>
      </c>
      <c r="H134" s="17">
        <f>SUM(H3:H133)/2</f>
        <v>1127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7"/>
      <c r="V134" s="17">
        <f>SUM(V3:V133)/2</f>
        <v>150461451.23999995</v>
      </c>
      <c r="W134" s="17">
        <f>SUM(W3:W133)/2</f>
        <v>27083061.223200019</v>
      </c>
      <c r="X134" s="17"/>
      <c r="Y134" s="22"/>
      <c r="Z134" s="17"/>
      <c r="AA134" s="17"/>
      <c r="AB134" s="17"/>
      <c r="AC134" s="22"/>
      <c r="AD134" s="17"/>
      <c r="AE134" s="17">
        <f>SUM(AE3:AE133)/2</f>
        <v>177544512.46319997</v>
      </c>
      <c r="AF134" s="22"/>
      <c r="AG134" s="16"/>
      <c r="AH134" s="17"/>
      <c r="AI134" s="110">
        <f>SUM(AI3:AI133)/2</f>
        <v>0</v>
      </c>
    </row>
    <row r="136" spans="2:37">
      <c r="I136" s="90"/>
    </row>
    <row r="137" spans="2:37">
      <c r="F137" s="90"/>
    </row>
    <row r="142" spans="2:37">
      <c r="F142" s="90"/>
    </row>
  </sheetData>
  <dataConsolidate/>
  <mergeCells count="1">
    <mergeCell ref="AF1:AG1"/>
  </mergeCells>
  <conditionalFormatting sqref="AF3:AF13">
    <cfRule type="duplicateValues" dxfId="5" priority="8"/>
  </conditionalFormatting>
  <conditionalFormatting sqref="AF15:AF16">
    <cfRule type="duplicateValues" dxfId="4" priority="6"/>
  </conditionalFormatting>
  <conditionalFormatting sqref="AF20:AF21">
    <cfRule type="duplicateValues" dxfId="3" priority="4"/>
  </conditionalFormatting>
  <conditionalFormatting sqref="AF25">
    <cfRule type="duplicateValues" dxfId="2" priority="2"/>
  </conditionalFormatting>
  <pageMargins left="0.33" right="0.196850393700787" top="0.2" bottom="0.26" header="0.2" footer="0.31496062992126"/>
  <pageSetup paperSize="9" scale="2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110"/>
  <sheetViews>
    <sheetView showZeros="0" topLeftCell="A37" zoomScale="85" zoomScaleNormal="85" workbookViewId="0">
      <selection activeCell="F101" sqref="F101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hidden="1" customWidth="1"/>
    <col min="13" max="13" width="10.85546875" style="38" bestFit="1" customWidth="1"/>
    <col min="14" max="14" width="18.140625" style="38" customWidth="1"/>
    <col min="15" max="15" width="10.7109375" style="38" hidden="1" customWidth="1"/>
    <col min="16" max="16" width="11.28515625" style="38" hidden="1" customWidth="1"/>
    <col min="17" max="17" width="6.5703125" style="38" customWidth="1"/>
    <col min="18" max="18" width="7.28515625" style="38" hidden="1" customWidth="1"/>
    <col min="19" max="19" width="4.42578125" style="38" hidden="1" customWidth="1"/>
    <col min="20" max="20" width="6.5703125" style="38" hidden="1" customWidth="1"/>
    <col min="21" max="21" width="7.140625" style="38" customWidth="1"/>
    <col min="22" max="22" width="9.85546875" style="39" customWidth="1"/>
    <col min="23" max="23" width="9.140625" style="39" hidden="1" customWidth="1"/>
    <col min="24" max="25" width="9.5703125" style="39" hidden="1" customWidth="1"/>
    <col min="26" max="26" width="7.7109375" style="39" hidden="1" customWidth="1"/>
    <col min="27" max="27" width="10.85546875" style="39" hidden="1" customWidth="1"/>
    <col min="28" max="30" width="9.140625" style="39" hidden="1" customWidth="1"/>
    <col min="31" max="31" width="12.42578125" style="39" hidden="1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50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38" t="s">
        <v>764</v>
      </c>
      <c r="C3" s="82" t="s">
        <v>1566</v>
      </c>
      <c r="D3" s="4"/>
      <c r="E3" s="82" t="s">
        <v>392</v>
      </c>
      <c r="F3" s="103">
        <v>6.1619999999999999</v>
      </c>
      <c r="G3" s="14">
        <f t="shared" ref="G3" si="0">+F3*1000</f>
        <v>6162</v>
      </c>
      <c r="H3" s="97">
        <v>3</v>
      </c>
      <c r="I3" s="83" t="s">
        <v>1938</v>
      </c>
      <c r="J3" s="85" t="s">
        <v>1840</v>
      </c>
      <c r="K3" s="135">
        <v>10242</v>
      </c>
      <c r="L3" s="4"/>
      <c r="M3" s="85" t="s">
        <v>1931</v>
      </c>
      <c r="N3" s="82" t="s">
        <v>1936</v>
      </c>
      <c r="O3" s="4"/>
      <c r="P3" s="4"/>
      <c r="Q3" s="5">
        <v>50480</v>
      </c>
      <c r="R3" s="36"/>
      <c r="S3" s="36"/>
      <c r="T3" s="37"/>
      <c r="U3" s="5">
        <f t="shared" ref="U3:U5" si="1">S3+R3+Q3-T3</f>
        <v>50480</v>
      </c>
      <c r="V3" s="5">
        <f t="shared" ref="V3:V5" si="2">F3*U3</f>
        <v>311057.76</v>
      </c>
      <c r="W3" s="5">
        <f t="shared" ref="W3:W5" si="3">V3*18%</f>
        <v>55990.396800000002</v>
      </c>
      <c r="X3" s="5"/>
      <c r="Y3" s="5"/>
      <c r="Z3" s="98"/>
      <c r="AA3" s="23">
        <f t="shared" ref="AA3:AA5" si="4">F3*Z3</f>
        <v>0</v>
      </c>
      <c r="AB3" s="97">
        <f t="shared" ref="AB3:AB5" si="5">AA3*18%</f>
        <v>0</v>
      </c>
      <c r="AC3" s="43"/>
      <c r="AD3" s="49"/>
      <c r="AE3" s="5">
        <f t="shared" ref="AE3:AE5" si="6">+AB3+AA3+Y3+X3+W3+V3-AC3+AD3</f>
        <v>367048.1568</v>
      </c>
      <c r="AF3" s="139">
        <v>271</v>
      </c>
      <c r="AG3" s="139" t="s">
        <v>1999</v>
      </c>
      <c r="AH3" s="103">
        <v>6.1619999999999999</v>
      </c>
      <c r="AI3" s="12"/>
      <c r="AJ3" s="40"/>
      <c r="AK3" s="40"/>
    </row>
    <row r="4" spans="2:41" s="41" customFormat="1" ht="16.149999999999999" customHeight="1">
      <c r="B4" s="140" t="s">
        <v>108</v>
      </c>
      <c r="C4" s="82" t="s">
        <v>1937</v>
      </c>
      <c r="D4" s="4"/>
      <c r="E4" s="82" t="s">
        <v>392</v>
      </c>
      <c r="F4" s="103">
        <v>17.2</v>
      </c>
      <c r="G4" s="14">
        <f t="shared" ref="G4" si="7">+F4*1000</f>
        <v>17200</v>
      </c>
      <c r="H4" s="97">
        <v>9</v>
      </c>
      <c r="I4" s="83" t="s">
        <v>1943</v>
      </c>
      <c r="J4" s="85" t="s">
        <v>1840</v>
      </c>
      <c r="K4" s="135">
        <v>60952</v>
      </c>
      <c r="L4" s="4"/>
      <c r="M4" s="85" t="s">
        <v>1931</v>
      </c>
      <c r="N4" s="82" t="s">
        <v>1942</v>
      </c>
      <c r="O4" s="4"/>
      <c r="P4" s="4"/>
      <c r="Q4" s="5">
        <v>50480</v>
      </c>
      <c r="R4" s="36"/>
      <c r="S4" s="36"/>
      <c r="T4" s="37"/>
      <c r="U4" s="5">
        <f t="shared" ref="U4" si="8">S4+R4+Q4-T4</f>
        <v>50480</v>
      </c>
      <c r="V4" s="5">
        <f t="shared" ref="V4" si="9">F4*U4</f>
        <v>868256</v>
      </c>
      <c r="W4" s="5">
        <f t="shared" ref="W4" si="10">V4*18%</f>
        <v>156286.07999999999</v>
      </c>
      <c r="X4" s="5"/>
      <c r="Y4" s="5"/>
      <c r="Z4" s="98"/>
      <c r="AA4" s="23">
        <f t="shared" ref="AA4" si="11">F4*Z4</f>
        <v>0</v>
      </c>
      <c r="AB4" s="97">
        <f t="shared" ref="AB4" si="12">AA4*18%</f>
        <v>0</v>
      </c>
      <c r="AC4" s="43"/>
      <c r="AD4" s="49"/>
      <c r="AE4" s="5">
        <f t="shared" ref="AE4" si="13">+AB4+AA4+Y4+X4+W4+V4-AC4+AD4</f>
        <v>1024542.08</v>
      </c>
      <c r="AF4" s="139">
        <v>272</v>
      </c>
      <c r="AG4" s="139" t="s">
        <v>1999</v>
      </c>
      <c r="AH4" s="103">
        <v>17.2</v>
      </c>
      <c r="AI4" s="12"/>
      <c r="AJ4" s="40"/>
      <c r="AK4" s="40"/>
    </row>
    <row r="5" spans="2:41" s="41" customFormat="1" ht="16.149999999999999" customHeight="1">
      <c r="B5" s="89"/>
      <c r="C5" s="140"/>
      <c r="D5" s="4"/>
      <c r="E5" s="82"/>
      <c r="F5" s="103"/>
      <c r="G5" s="14"/>
      <c r="H5" s="97"/>
      <c r="I5" s="83"/>
      <c r="J5" s="85"/>
      <c r="K5" s="135"/>
      <c r="L5" s="4"/>
      <c r="M5" s="85"/>
      <c r="N5" s="82"/>
      <c r="O5" s="4"/>
      <c r="P5" s="4"/>
      <c r="Q5" s="5">
        <v>50480</v>
      </c>
      <c r="R5" s="36"/>
      <c r="S5" s="36"/>
      <c r="T5" s="37"/>
      <c r="U5" s="5">
        <f t="shared" si="1"/>
        <v>50480</v>
      </c>
      <c r="V5" s="5">
        <f t="shared" si="2"/>
        <v>0</v>
      </c>
      <c r="W5" s="5">
        <f t="shared" si="3"/>
        <v>0</v>
      </c>
      <c r="X5" s="5"/>
      <c r="Y5" s="5"/>
      <c r="Z5" s="98"/>
      <c r="AA5" s="23">
        <f t="shared" si="4"/>
        <v>0</v>
      </c>
      <c r="AB5" s="97">
        <f t="shared" si="5"/>
        <v>0</v>
      </c>
      <c r="AC5" s="43"/>
      <c r="AD5" s="49"/>
      <c r="AE5" s="5">
        <f t="shared" si="6"/>
        <v>0</v>
      </c>
      <c r="AF5" s="139"/>
      <c r="AG5" s="139"/>
      <c r="AH5" s="103"/>
      <c r="AI5" s="12"/>
      <c r="AJ5" s="40"/>
      <c r="AK5" s="40"/>
    </row>
    <row r="6" spans="2:41" s="41" customFormat="1">
      <c r="B6" s="13"/>
      <c r="C6" s="48"/>
      <c r="D6" s="6"/>
      <c r="E6" s="6"/>
      <c r="F6" s="81">
        <f>SUM(F3:F5)</f>
        <v>23.361999999999998</v>
      </c>
      <c r="G6" s="20">
        <f>SUM(G3:G5)</f>
        <v>23362</v>
      </c>
      <c r="H6" s="21">
        <f>SUM(H3:H5)</f>
        <v>12</v>
      </c>
      <c r="I6" s="2"/>
      <c r="J6" s="7"/>
      <c r="K6" s="7"/>
      <c r="L6" s="7"/>
      <c r="M6" s="2"/>
      <c r="N6" s="6"/>
      <c r="O6" s="6"/>
      <c r="P6" s="6"/>
      <c r="Q6" s="19"/>
      <c r="R6" s="9"/>
      <c r="S6" s="9"/>
      <c r="T6" s="10"/>
      <c r="U6" s="8"/>
      <c r="V6" s="21">
        <f>SUM(V3:V5)</f>
        <v>1179313.76</v>
      </c>
      <c r="W6" s="21">
        <f>SUM(W3:W5)</f>
        <v>212276.4768</v>
      </c>
      <c r="X6" s="21">
        <f>SUM(X3:X5)</f>
        <v>0</v>
      </c>
      <c r="Y6" s="21">
        <f>SUM(Y3:Y5)</f>
        <v>0</v>
      </c>
      <c r="Z6" s="99"/>
      <c r="AA6" s="21">
        <f>SUM(AA3:AA5)</f>
        <v>0</v>
      </c>
      <c r="AB6" s="21">
        <f>SUM(AB3:AB5)</f>
        <v>0</v>
      </c>
      <c r="AC6" s="21"/>
      <c r="AD6" s="21">
        <f>SUM(AD3:AD5)</f>
        <v>0</v>
      </c>
      <c r="AE6" s="21">
        <f>SUM(AE3:AE5)</f>
        <v>1391590.2368000001</v>
      </c>
      <c r="AF6" s="21"/>
      <c r="AG6" s="42"/>
      <c r="AH6" s="81">
        <f>SUM(AH3:AH5)</f>
        <v>23.361999999999998</v>
      </c>
      <c r="AI6" s="26">
        <f>AH6-F6</f>
        <v>0</v>
      </c>
      <c r="AJ6" s="41">
        <f>AA6/F6</f>
        <v>0</v>
      </c>
      <c r="AK6" s="40"/>
    </row>
    <row r="7" spans="2:41" s="41" customFormat="1" ht="16.149999999999999" customHeight="1">
      <c r="B7" s="138" t="s">
        <v>764</v>
      </c>
      <c r="C7" s="82" t="s">
        <v>1820</v>
      </c>
      <c r="D7" s="4"/>
      <c r="E7" s="82" t="s">
        <v>35</v>
      </c>
      <c r="F7" s="103">
        <v>40.200000000000003</v>
      </c>
      <c r="G7" s="14">
        <f t="shared" ref="G7:G34" si="14">+F7*1000</f>
        <v>40200</v>
      </c>
      <c r="H7" s="97">
        <v>19</v>
      </c>
      <c r="I7" s="83" t="s">
        <v>1822</v>
      </c>
      <c r="J7" s="85" t="s">
        <v>1723</v>
      </c>
      <c r="K7" s="135">
        <v>10233</v>
      </c>
      <c r="L7" s="4"/>
      <c r="M7" s="85" t="s">
        <v>1823</v>
      </c>
      <c r="N7" s="82" t="s">
        <v>1824</v>
      </c>
      <c r="O7" s="4"/>
      <c r="P7" s="4"/>
      <c r="Q7" s="5">
        <v>54300</v>
      </c>
      <c r="R7" s="36"/>
      <c r="S7" s="36"/>
      <c r="T7" s="37"/>
      <c r="U7" s="5">
        <f t="shared" ref="U7:U34" si="15">S7+R7+Q7-T7</f>
        <v>54300</v>
      </c>
      <c r="V7" s="5">
        <f t="shared" ref="V7:V34" si="16">F7*U7</f>
        <v>2182860</v>
      </c>
      <c r="W7" s="5">
        <f t="shared" ref="W7:W34" si="17">V7*18%</f>
        <v>392914.8</v>
      </c>
      <c r="X7" s="5"/>
      <c r="Y7" s="5"/>
      <c r="Z7" s="98"/>
      <c r="AA7" s="23">
        <f t="shared" ref="AA7:AA34" si="18">F7*Z7</f>
        <v>0</v>
      </c>
      <c r="AB7" s="97">
        <f t="shared" ref="AB7:AB34" si="19">AA7*18%</f>
        <v>0</v>
      </c>
      <c r="AC7" s="43"/>
      <c r="AD7" s="49"/>
      <c r="AE7" s="5">
        <f t="shared" ref="AE7:AE34" si="20">+AB7+AA7+Y7+X7+W7+V7-AC7+AD7</f>
        <v>2575774.7999999998</v>
      </c>
      <c r="AF7" s="139">
        <v>273</v>
      </c>
      <c r="AG7" s="139" t="s">
        <v>1999</v>
      </c>
      <c r="AH7" s="103">
        <v>40.200000000000003</v>
      </c>
      <c r="AI7" s="12"/>
      <c r="AJ7" s="40"/>
      <c r="AK7" s="40"/>
    </row>
    <row r="8" spans="2:41" s="41" customFormat="1" ht="16.149999999999999" customHeight="1">
      <c r="B8" s="140" t="s">
        <v>918</v>
      </c>
      <c r="C8" s="82" t="s">
        <v>1821</v>
      </c>
      <c r="D8" s="4"/>
      <c r="E8" s="82" t="s">
        <v>35</v>
      </c>
      <c r="F8" s="103">
        <v>40.1</v>
      </c>
      <c r="G8" s="14">
        <f t="shared" si="14"/>
        <v>40100</v>
      </c>
      <c r="H8" s="97">
        <v>19</v>
      </c>
      <c r="I8" s="83" t="s">
        <v>1825</v>
      </c>
      <c r="J8" s="85" t="s">
        <v>1723</v>
      </c>
      <c r="K8" s="135">
        <v>60932</v>
      </c>
      <c r="L8" s="4"/>
      <c r="M8" s="85" t="s">
        <v>1823</v>
      </c>
      <c r="N8" s="82" t="s">
        <v>1826</v>
      </c>
      <c r="O8" s="4"/>
      <c r="P8" s="4"/>
      <c r="Q8" s="5">
        <v>54300</v>
      </c>
      <c r="R8" s="36"/>
      <c r="S8" s="36"/>
      <c r="T8" s="37"/>
      <c r="U8" s="5">
        <f t="shared" si="15"/>
        <v>54300</v>
      </c>
      <c r="V8" s="5">
        <f t="shared" si="16"/>
        <v>2177430</v>
      </c>
      <c r="W8" s="5">
        <f t="shared" si="17"/>
        <v>391937.39999999997</v>
      </c>
      <c r="X8" s="5"/>
      <c r="Y8" s="5"/>
      <c r="Z8" s="98"/>
      <c r="AA8" s="23">
        <f t="shared" si="18"/>
        <v>0</v>
      </c>
      <c r="AB8" s="97">
        <f t="shared" si="19"/>
        <v>0</v>
      </c>
      <c r="AC8" s="43"/>
      <c r="AD8" s="49"/>
      <c r="AE8" s="5">
        <f t="shared" si="20"/>
        <v>2569367.4</v>
      </c>
      <c r="AF8" s="139">
        <v>274</v>
      </c>
      <c r="AG8" s="139" t="s">
        <v>1999</v>
      </c>
      <c r="AH8" s="103">
        <v>40.1</v>
      </c>
      <c r="AI8" s="12"/>
      <c r="AJ8" s="40"/>
      <c r="AK8" s="40"/>
    </row>
    <row r="9" spans="2:41" s="41" customFormat="1" ht="16.149999999999999" customHeight="1">
      <c r="B9" s="89"/>
      <c r="C9" s="140"/>
      <c r="D9" s="4"/>
      <c r="E9" s="82" t="s">
        <v>35</v>
      </c>
      <c r="F9" s="103">
        <v>40.06</v>
      </c>
      <c r="G9" s="14">
        <f t="shared" si="14"/>
        <v>40060</v>
      </c>
      <c r="H9" s="97">
        <v>19</v>
      </c>
      <c r="I9" s="83" t="s">
        <v>1827</v>
      </c>
      <c r="J9" s="85" t="s">
        <v>1723</v>
      </c>
      <c r="K9" s="135">
        <v>60931</v>
      </c>
      <c r="L9" s="4"/>
      <c r="M9" s="85" t="s">
        <v>1823</v>
      </c>
      <c r="N9" s="82" t="s">
        <v>1828</v>
      </c>
      <c r="O9" s="4"/>
      <c r="P9" s="4"/>
      <c r="Q9" s="5">
        <v>54300</v>
      </c>
      <c r="R9" s="36"/>
      <c r="S9" s="36"/>
      <c r="T9" s="37"/>
      <c r="U9" s="5">
        <f t="shared" si="15"/>
        <v>54300</v>
      </c>
      <c r="V9" s="5">
        <f t="shared" si="16"/>
        <v>2175258</v>
      </c>
      <c r="W9" s="5">
        <f t="shared" si="17"/>
        <v>391546.44</v>
      </c>
      <c r="X9" s="5"/>
      <c r="Y9" s="5"/>
      <c r="Z9" s="98"/>
      <c r="AA9" s="23">
        <f t="shared" si="18"/>
        <v>0</v>
      </c>
      <c r="AB9" s="97">
        <f t="shared" si="19"/>
        <v>0</v>
      </c>
      <c r="AC9" s="43"/>
      <c r="AD9" s="49"/>
      <c r="AE9" s="5">
        <f t="shared" si="20"/>
        <v>2566804.44</v>
      </c>
      <c r="AF9" s="139">
        <v>275</v>
      </c>
      <c r="AG9" s="139" t="s">
        <v>1999</v>
      </c>
      <c r="AH9" s="103">
        <v>40.06</v>
      </c>
      <c r="AI9" s="12"/>
      <c r="AJ9" s="40"/>
      <c r="AK9" s="40"/>
    </row>
    <row r="10" spans="2:41" s="41" customFormat="1" ht="16.149999999999999" customHeight="1">
      <c r="B10" s="89"/>
      <c r="C10" s="4"/>
      <c r="D10" s="4"/>
      <c r="E10" s="82" t="s">
        <v>35</v>
      </c>
      <c r="F10" s="103">
        <v>33.9</v>
      </c>
      <c r="G10" s="14">
        <f t="shared" si="14"/>
        <v>33900</v>
      </c>
      <c r="H10" s="97">
        <v>16</v>
      </c>
      <c r="I10" s="83" t="s">
        <v>1829</v>
      </c>
      <c r="J10" s="85" t="s">
        <v>1723</v>
      </c>
      <c r="K10" s="135">
        <v>60935</v>
      </c>
      <c r="L10" s="4"/>
      <c r="M10" s="85" t="s">
        <v>1823</v>
      </c>
      <c r="N10" s="82" t="s">
        <v>1830</v>
      </c>
      <c r="O10" s="4"/>
      <c r="P10" s="4"/>
      <c r="Q10" s="5">
        <v>54300</v>
      </c>
      <c r="R10" s="36"/>
      <c r="S10" s="36"/>
      <c r="T10" s="37"/>
      <c r="U10" s="5">
        <f t="shared" si="15"/>
        <v>54300</v>
      </c>
      <c r="V10" s="5">
        <f t="shared" si="16"/>
        <v>1840770</v>
      </c>
      <c r="W10" s="5">
        <f t="shared" si="17"/>
        <v>331338.59999999998</v>
      </c>
      <c r="X10" s="5"/>
      <c r="Y10" s="5"/>
      <c r="Z10" s="98"/>
      <c r="AA10" s="23">
        <f t="shared" si="18"/>
        <v>0</v>
      </c>
      <c r="AB10" s="97">
        <f t="shared" si="19"/>
        <v>0</v>
      </c>
      <c r="AC10" s="43"/>
      <c r="AD10" s="49"/>
      <c r="AE10" s="5">
        <f t="shared" si="20"/>
        <v>2172108.6</v>
      </c>
      <c r="AF10" s="139">
        <v>276</v>
      </c>
      <c r="AG10" s="139" t="s">
        <v>1999</v>
      </c>
      <c r="AH10" s="103">
        <v>33.9</v>
      </c>
      <c r="AI10" s="12"/>
      <c r="AJ10" s="40"/>
      <c r="AK10" s="40"/>
    </row>
    <row r="11" spans="2:41" s="41" customFormat="1" ht="16.149999999999999" customHeight="1">
      <c r="B11" s="142"/>
      <c r="C11" s="4"/>
      <c r="D11" s="4"/>
      <c r="E11" s="82" t="s">
        <v>35</v>
      </c>
      <c r="F11" s="103">
        <v>42.44</v>
      </c>
      <c r="G11" s="14">
        <f t="shared" si="14"/>
        <v>42440</v>
      </c>
      <c r="H11" s="97">
        <v>20</v>
      </c>
      <c r="I11" s="83" t="s">
        <v>1831</v>
      </c>
      <c r="J11" s="85" t="s">
        <v>1723</v>
      </c>
      <c r="K11" s="135">
        <v>60933</v>
      </c>
      <c r="L11" s="4"/>
      <c r="M11" s="85" t="s">
        <v>1823</v>
      </c>
      <c r="N11" s="82" t="s">
        <v>1832</v>
      </c>
      <c r="O11" s="4"/>
      <c r="P11" s="4"/>
      <c r="Q11" s="5">
        <v>54300</v>
      </c>
      <c r="R11" s="36"/>
      <c r="S11" s="36"/>
      <c r="T11" s="37"/>
      <c r="U11" s="5">
        <f t="shared" si="15"/>
        <v>54300</v>
      </c>
      <c r="V11" s="5">
        <f t="shared" si="16"/>
        <v>2304492</v>
      </c>
      <c r="W11" s="5">
        <f t="shared" si="17"/>
        <v>414808.56</v>
      </c>
      <c r="X11" s="5"/>
      <c r="Y11" s="5"/>
      <c r="Z11" s="98"/>
      <c r="AA11" s="23">
        <f t="shared" si="18"/>
        <v>0</v>
      </c>
      <c r="AB11" s="97">
        <f t="shared" si="19"/>
        <v>0</v>
      </c>
      <c r="AC11" s="43"/>
      <c r="AD11" s="49"/>
      <c r="AE11" s="5">
        <f t="shared" si="20"/>
        <v>2719300.56</v>
      </c>
      <c r="AF11" s="139">
        <v>277</v>
      </c>
      <c r="AG11" s="139" t="s">
        <v>1999</v>
      </c>
      <c r="AH11" s="103">
        <v>42.44</v>
      </c>
      <c r="AI11" s="12"/>
      <c r="AJ11" s="40"/>
      <c r="AK11" s="40"/>
    </row>
    <row r="12" spans="2:41" s="41" customFormat="1" ht="16.149999999999999" customHeight="1">
      <c r="B12" s="142"/>
      <c r="C12" s="4"/>
      <c r="D12" s="4"/>
      <c r="E12" s="82" t="s">
        <v>35</v>
      </c>
      <c r="F12" s="103">
        <v>40.200000000000003</v>
      </c>
      <c r="G12" s="14">
        <f t="shared" si="14"/>
        <v>40200</v>
      </c>
      <c r="H12" s="97">
        <v>19</v>
      </c>
      <c r="I12" s="83" t="s">
        <v>1833</v>
      </c>
      <c r="J12" s="85" t="s">
        <v>1723</v>
      </c>
      <c r="K12" s="135">
        <v>61657</v>
      </c>
      <c r="L12" s="4"/>
      <c r="M12" s="85" t="s">
        <v>1823</v>
      </c>
      <c r="N12" s="82" t="s">
        <v>1834</v>
      </c>
      <c r="O12" s="4"/>
      <c r="P12" s="4"/>
      <c r="Q12" s="5">
        <v>54300</v>
      </c>
      <c r="R12" s="36"/>
      <c r="S12" s="36"/>
      <c r="T12" s="37"/>
      <c r="U12" s="5">
        <f t="shared" si="15"/>
        <v>54300</v>
      </c>
      <c r="V12" s="5">
        <f t="shared" si="16"/>
        <v>2182860</v>
      </c>
      <c r="W12" s="5">
        <f t="shared" si="17"/>
        <v>392914.8</v>
      </c>
      <c r="X12" s="5"/>
      <c r="Y12" s="5"/>
      <c r="Z12" s="98"/>
      <c r="AA12" s="23">
        <f t="shared" si="18"/>
        <v>0</v>
      </c>
      <c r="AB12" s="97">
        <f t="shared" si="19"/>
        <v>0</v>
      </c>
      <c r="AC12" s="43"/>
      <c r="AD12" s="49"/>
      <c r="AE12" s="5">
        <f t="shared" si="20"/>
        <v>2575774.7999999998</v>
      </c>
      <c r="AF12" s="139">
        <v>278</v>
      </c>
      <c r="AG12" s="139" t="s">
        <v>1999</v>
      </c>
      <c r="AH12" s="103">
        <v>40.200000000000003</v>
      </c>
      <c r="AI12" s="12"/>
      <c r="AJ12" s="40"/>
      <c r="AK12" s="40"/>
    </row>
    <row r="13" spans="2:41" s="41" customFormat="1" ht="16.149999999999999" customHeight="1">
      <c r="B13" s="142"/>
      <c r="C13" s="4"/>
      <c r="D13" s="4"/>
      <c r="E13" s="82" t="s">
        <v>35</v>
      </c>
      <c r="F13" s="103">
        <v>27.54</v>
      </c>
      <c r="G13" s="14">
        <f t="shared" si="14"/>
        <v>27540</v>
      </c>
      <c r="H13" s="97">
        <v>13</v>
      </c>
      <c r="I13" s="83" t="s">
        <v>1839</v>
      </c>
      <c r="J13" s="85" t="s">
        <v>1779</v>
      </c>
      <c r="K13" s="135">
        <v>60937</v>
      </c>
      <c r="L13" s="4"/>
      <c r="M13" s="85" t="s">
        <v>1840</v>
      </c>
      <c r="N13" s="82" t="s">
        <v>985</v>
      </c>
      <c r="O13" s="4"/>
      <c r="P13" s="4"/>
      <c r="Q13" s="5">
        <v>54300</v>
      </c>
      <c r="R13" s="36"/>
      <c r="S13" s="36"/>
      <c r="T13" s="37"/>
      <c r="U13" s="5">
        <f t="shared" si="15"/>
        <v>54300</v>
      </c>
      <c r="V13" s="5">
        <f t="shared" si="16"/>
        <v>1495422</v>
      </c>
      <c r="W13" s="5">
        <f t="shared" si="17"/>
        <v>269175.95999999996</v>
      </c>
      <c r="X13" s="5"/>
      <c r="Y13" s="5"/>
      <c r="Z13" s="98"/>
      <c r="AA13" s="23">
        <f t="shared" si="18"/>
        <v>0</v>
      </c>
      <c r="AB13" s="97">
        <f t="shared" si="19"/>
        <v>0</v>
      </c>
      <c r="AC13" s="43"/>
      <c r="AD13" s="49"/>
      <c r="AE13" s="5">
        <f t="shared" si="20"/>
        <v>1764597.96</v>
      </c>
      <c r="AF13" s="139">
        <v>279</v>
      </c>
      <c r="AG13" s="139" t="s">
        <v>1999</v>
      </c>
      <c r="AH13" s="103">
        <v>27.54</v>
      </c>
      <c r="AI13" s="12"/>
      <c r="AJ13" s="40"/>
      <c r="AK13" s="40"/>
    </row>
    <row r="14" spans="2:41" s="41" customFormat="1" ht="16.149999999999999" customHeight="1">
      <c r="B14" s="142"/>
      <c r="C14" s="4"/>
      <c r="D14" s="4"/>
      <c r="E14" s="82" t="s">
        <v>35</v>
      </c>
      <c r="F14" s="103">
        <v>42.36</v>
      </c>
      <c r="G14" s="14">
        <f t="shared" si="14"/>
        <v>42360</v>
      </c>
      <c r="H14" s="97">
        <v>20</v>
      </c>
      <c r="I14" s="83" t="s">
        <v>1845</v>
      </c>
      <c r="J14" s="85" t="s">
        <v>1779</v>
      </c>
      <c r="K14" s="135">
        <v>10234</v>
      </c>
      <c r="L14" s="4"/>
      <c r="M14" s="85" t="s">
        <v>1840</v>
      </c>
      <c r="N14" s="82" t="s">
        <v>1846</v>
      </c>
      <c r="O14" s="4"/>
      <c r="P14" s="4"/>
      <c r="Q14" s="5">
        <v>54300</v>
      </c>
      <c r="R14" s="36"/>
      <c r="S14" s="36"/>
      <c r="T14" s="37"/>
      <c r="U14" s="5">
        <f t="shared" si="15"/>
        <v>54300</v>
      </c>
      <c r="V14" s="5">
        <f t="shared" si="16"/>
        <v>2300148</v>
      </c>
      <c r="W14" s="5">
        <f t="shared" si="17"/>
        <v>414026.63999999996</v>
      </c>
      <c r="X14" s="5"/>
      <c r="Y14" s="5"/>
      <c r="Z14" s="98"/>
      <c r="AA14" s="23">
        <f t="shared" si="18"/>
        <v>0</v>
      </c>
      <c r="AB14" s="97">
        <f t="shared" si="19"/>
        <v>0</v>
      </c>
      <c r="AC14" s="43"/>
      <c r="AD14" s="49"/>
      <c r="AE14" s="5">
        <f t="shared" si="20"/>
        <v>2714174.64</v>
      </c>
      <c r="AF14" s="139">
        <v>280</v>
      </c>
      <c r="AG14" s="139" t="s">
        <v>1999</v>
      </c>
      <c r="AH14" s="103">
        <v>42.36</v>
      </c>
      <c r="AI14" s="12"/>
      <c r="AJ14" s="40"/>
      <c r="AK14" s="40"/>
    </row>
    <row r="15" spans="2:41" s="41" customFormat="1" ht="16.149999999999999" customHeight="1">
      <c r="B15" s="142"/>
      <c r="C15" s="4"/>
      <c r="D15" s="4"/>
      <c r="E15" s="82" t="s">
        <v>35</v>
      </c>
      <c r="F15" s="103">
        <v>31.6</v>
      </c>
      <c r="G15" s="14">
        <f t="shared" si="14"/>
        <v>31600</v>
      </c>
      <c r="H15" s="97">
        <v>15</v>
      </c>
      <c r="I15" s="83" t="s">
        <v>1847</v>
      </c>
      <c r="J15" s="85" t="s">
        <v>1723</v>
      </c>
      <c r="K15" s="135">
        <v>62179</v>
      </c>
      <c r="L15" s="4"/>
      <c r="M15" s="85" t="s">
        <v>1840</v>
      </c>
      <c r="N15" s="82" t="s">
        <v>1848</v>
      </c>
      <c r="O15" s="4"/>
      <c r="P15" s="4"/>
      <c r="Q15" s="5">
        <v>54300</v>
      </c>
      <c r="R15" s="36"/>
      <c r="S15" s="36"/>
      <c r="T15" s="37"/>
      <c r="U15" s="5">
        <f t="shared" si="15"/>
        <v>54300</v>
      </c>
      <c r="V15" s="5">
        <f t="shared" si="16"/>
        <v>1715880</v>
      </c>
      <c r="W15" s="5">
        <f t="shared" si="17"/>
        <v>308858.39999999997</v>
      </c>
      <c r="X15" s="5"/>
      <c r="Y15" s="5"/>
      <c r="Z15" s="98"/>
      <c r="AA15" s="23">
        <f t="shared" si="18"/>
        <v>0</v>
      </c>
      <c r="AB15" s="97">
        <f t="shared" si="19"/>
        <v>0</v>
      </c>
      <c r="AC15" s="43"/>
      <c r="AD15" s="49"/>
      <c r="AE15" s="5">
        <f t="shared" si="20"/>
        <v>2024738.4</v>
      </c>
      <c r="AF15" s="139">
        <v>281</v>
      </c>
      <c r="AG15" s="139" t="s">
        <v>1999</v>
      </c>
      <c r="AH15" s="103">
        <v>31.6</v>
      </c>
      <c r="AI15" s="12"/>
      <c r="AJ15" s="40"/>
      <c r="AK15" s="40"/>
    </row>
    <row r="16" spans="2:41" s="41" customFormat="1" ht="16.149999999999999" customHeight="1">
      <c r="B16" s="142"/>
      <c r="C16" s="4"/>
      <c r="D16" s="4"/>
      <c r="E16" s="82" t="s">
        <v>35</v>
      </c>
      <c r="F16" s="103">
        <v>27.54</v>
      </c>
      <c r="G16" s="14">
        <f t="shared" si="14"/>
        <v>27540</v>
      </c>
      <c r="H16" s="97">
        <v>13</v>
      </c>
      <c r="I16" s="83" t="s">
        <v>1849</v>
      </c>
      <c r="J16" s="85" t="s">
        <v>1723</v>
      </c>
      <c r="K16" s="135">
        <v>62180</v>
      </c>
      <c r="L16" s="4"/>
      <c r="M16" s="85" t="s">
        <v>1840</v>
      </c>
      <c r="N16" s="82" t="s">
        <v>1850</v>
      </c>
      <c r="O16" s="4"/>
      <c r="P16" s="4"/>
      <c r="Q16" s="5">
        <v>54300</v>
      </c>
      <c r="R16" s="36"/>
      <c r="S16" s="36"/>
      <c r="T16" s="37"/>
      <c r="U16" s="5">
        <f t="shared" si="15"/>
        <v>54300</v>
      </c>
      <c r="V16" s="5">
        <f t="shared" si="16"/>
        <v>1495422</v>
      </c>
      <c r="W16" s="5">
        <f t="shared" si="17"/>
        <v>269175.95999999996</v>
      </c>
      <c r="X16" s="5"/>
      <c r="Y16" s="5"/>
      <c r="Z16" s="98"/>
      <c r="AA16" s="23">
        <f t="shared" si="18"/>
        <v>0</v>
      </c>
      <c r="AB16" s="97">
        <f t="shared" si="19"/>
        <v>0</v>
      </c>
      <c r="AC16" s="43"/>
      <c r="AD16" s="49"/>
      <c r="AE16" s="5">
        <f t="shared" si="20"/>
        <v>1764597.96</v>
      </c>
      <c r="AF16" s="139">
        <v>282</v>
      </c>
      <c r="AG16" s="139" t="s">
        <v>1999</v>
      </c>
      <c r="AH16" s="103">
        <v>27.54</v>
      </c>
      <c r="AI16" s="12"/>
      <c r="AJ16" s="40"/>
      <c r="AK16" s="40"/>
    </row>
    <row r="17" spans="2:37" s="41" customFormat="1" ht="16.149999999999999" customHeight="1">
      <c r="B17" s="142"/>
      <c r="C17" s="4"/>
      <c r="D17" s="4"/>
      <c r="E17" s="82" t="s">
        <v>35</v>
      </c>
      <c r="F17" s="103">
        <v>27.56</v>
      </c>
      <c r="G17" s="14">
        <f t="shared" si="14"/>
        <v>27560</v>
      </c>
      <c r="H17" s="97">
        <v>13</v>
      </c>
      <c r="I17" s="83" t="s">
        <v>1851</v>
      </c>
      <c r="J17" s="85" t="s">
        <v>1723</v>
      </c>
      <c r="K17" s="135">
        <v>60934</v>
      </c>
      <c r="L17" s="4"/>
      <c r="M17" s="85" t="s">
        <v>1840</v>
      </c>
      <c r="N17" s="82" t="s">
        <v>1852</v>
      </c>
      <c r="O17" s="4"/>
      <c r="P17" s="4"/>
      <c r="Q17" s="5">
        <v>54300</v>
      </c>
      <c r="R17" s="36"/>
      <c r="S17" s="36"/>
      <c r="T17" s="37"/>
      <c r="U17" s="5">
        <f t="shared" si="15"/>
        <v>54300</v>
      </c>
      <c r="V17" s="5">
        <f t="shared" si="16"/>
        <v>1496508</v>
      </c>
      <c r="W17" s="5">
        <f t="shared" si="17"/>
        <v>269371.44</v>
      </c>
      <c r="X17" s="5"/>
      <c r="Y17" s="5"/>
      <c r="Z17" s="98"/>
      <c r="AA17" s="23">
        <f t="shared" si="18"/>
        <v>0</v>
      </c>
      <c r="AB17" s="97">
        <f t="shared" si="19"/>
        <v>0</v>
      </c>
      <c r="AC17" s="43"/>
      <c r="AD17" s="49"/>
      <c r="AE17" s="5">
        <f t="shared" si="20"/>
        <v>1765879.44</v>
      </c>
      <c r="AF17" s="139">
        <v>283</v>
      </c>
      <c r="AG17" s="139" t="s">
        <v>1999</v>
      </c>
      <c r="AH17" s="103">
        <v>27.56</v>
      </c>
      <c r="AI17" s="12"/>
      <c r="AJ17" s="40"/>
      <c r="AK17" s="40"/>
    </row>
    <row r="18" spans="2:37" s="41" customFormat="1" ht="16.149999999999999" customHeight="1">
      <c r="B18" s="83"/>
      <c r="C18" s="4"/>
      <c r="D18" s="4"/>
      <c r="E18" s="82" t="s">
        <v>35</v>
      </c>
      <c r="F18" s="103">
        <v>27.56</v>
      </c>
      <c r="G18" s="14">
        <f t="shared" si="14"/>
        <v>27560</v>
      </c>
      <c r="H18" s="97">
        <v>13</v>
      </c>
      <c r="I18" s="83" t="s">
        <v>1853</v>
      </c>
      <c r="J18" s="85" t="s">
        <v>1723</v>
      </c>
      <c r="K18" s="135">
        <v>62181</v>
      </c>
      <c r="L18" s="4"/>
      <c r="M18" s="85" t="s">
        <v>1840</v>
      </c>
      <c r="N18" s="82" t="s">
        <v>1854</v>
      </c>
      <c r="O18" s="4"/>
      <c r="P18" s="4"/>
      <c r="Q18" s="5">
        <v>54300</v>
      </c>
      <c r="R18" s="36"/>
      <c r="S18" s="36"/>
      <c r="T18" s="37"/>
      <c r="U18" s="5">
        <f t="shared" si="15"/>
        <v>54300</v>
      </c>
      <c r="V18" s="5">
        <f t="shared" si="16"/>
        <v>1496508</v>
      </c>
      <c r="W18" s="5">
        <f t="shared" si="17"/>
        <v>269371.44</v>
      </c>
      <c r="X18" s="5"/>
      <c r="Y18" s="5"/>
      <c r="Z18" s="98"/>
      <c r="AA18" s="23">
        <f t="shared" si="18"/>
        <v>0</v>
      </c>
      <c r="AB18" s="97">
        <f t="shared" si="19"/>
        <v>0</v>
      </c>
      <c r="AC18" s="43"/>
      <c r="AD18" s="49"/>
      <c r="AE18" s="5">
        <f t="shared" si="20"/>
        <v>1765879.44</v>
      </c>
      <c r="AF18" s="139">
        <v>284</v>
      </c>
      <c r="AG18" s="139" t="s">
        <v>1999</v>
      </c>
      <c r="AH18" s="103">
        <v>27.56</v>
      </c>
      <c r="AI18" s="12"/>
      <c r="AJ18" s="40"/>
      <c r="AK18" s="40"/>
    </row>
    <row r="19" spans="2:37" s="41" customFormat="1" ht="16.149999999999999" customHeight="1">
      <c r="B19" s="83"/>
      <c r="C19" s="4"/>
      <c r="D19" s="4"/>
      <c r="E19" s="82" t="s">
        <v>35</v>
      </c>
      <c r="F19" s="103">
        <v>42.36</v>
      </c>
      <c r="G19" s="14">
        <f t="shared" si="14"/>
        <v>42360</v>
      </c>
      <c r="H19" s="97">
        <v>20</v>
      </c>
      <c r="I19" s="83" t="s">
        <v>1860</v>
      </c>
      <c r="J19" s="85" t="s">
        <v>1779</v>
      </c>
      <c r="K19" s="135">
        <v>60436</v>
      </c>
      <c r="L19" s="4"/>
      <c r="M19" s="85" t="s">
        <v>1840</v>
      </c>
      <c r="N19" s="82" t="s">
        <v>1861</v>
      </c>
      <c r="O19" s="4"/>
      <c r="P19" s="4"/>
      <c r="Q19" s="5">
        <v>54300</v>
      </c>
      <c r="R19" s="36"/>
      <c r="S19" s="36"/>
      <c r="T19" s="37"/>
      <c r="U19" s="5">
        <f t="shared" si="15"/>
        <v>54300</v>
      </c>
      <c r="V19" s="5">
        <f t="shared" si="16"/>
        <v>2300148</v>
      </c>
      <c r="W19" s="5">
        <f t="shared" si="17"/>
        <v>414026.63999999996</v>
      </c>
      <c r="X19" s="5"/>
      <c r="Y19" s="5"/>
      <c r="Z19" s="98"/>
      <c r="AA19" s="23">
        <f t="shared" si="18"/>
        <v>0</v>
      </c>
      <c r="AB19" s="97">
        <f t="shared" si="19"/>
        <v>0</v>
      </c>
      <c r="AC19" s="43"/>
      <c r="AD19" s="49"/>
      <c r="AE19" s="5">
        <f t="shared" si="20"/>
        <v>2714174.64</v>
      </c>
      <c r="AF19" s="139">
        <v>285</v>
      </c>
      <c r="AG19" s="139" t="s">
        <v>1999</v>
      </c>
      <c r="AH19" s="103">
        <v>42.36</v>
      </c>
      <c r="AI19" s="12"/>
      <c r="AJ19" s="40"/>
      <c r="AK19" s="40"/>
    </row>
    <row r="20" spans="2:37" s="41" customFormat="1" ht="16.149999999999999" customHeight="1">
      <c r="B20" s="83"/>
      <c r="C20" s="4"/>
      <c r="D20" s="4"/>
      <c r="E20" s="82" t="s">
        <v>35</v>
      </c>
      <c r="F20" s="103">
        <v>27.56</v>
      </c>
      <c r="G20" s="14">
        <f t="shared" si="14"/>
        <v>27560</v>
      </c>
      <c r="H20" s="97">
        <v>13</v>
      </c>
      <c r="I20" s="83" t="s">
        <v>1862</v>
      </c>
      <c r="J20" s="85" t="s">
        <v>1779</v>
      </c>
      <c r="K20" s="135">
        <v>60938</v>
      </c>
      <c r="L20" s="4"/>
      <c r="M20" s="85" t="s">
        <v>1840</v>
      </c>
      <c r="N20" s="82" t="s">
        <v>1863</v>
      </c>
      <c r="O20" s="4"/>
      <c r="P20" s="4"/>
      <c r="Q20" s="5">
        <v>54300</v>
      </c>
      <c r="R20" s="36"/>
      <c r="S20" s="36"/>
      <c r="T20" s="37"/>
      <c r="U20" s="5">
        <f t="shared" si="15"/>
        <v>54300</v>
      </c>
      <c r="V20" s="5">
        <f t="shared" si="16"/>
        <v>1496508</v>
      </c>
      <c r="W20" s="5">
        <f t="shared" si="17"/>
        <v>269371.44</v>
      </c>
      <c r="X20" s="5"/>
      <c r="Y20" s="5"/>
      <c r="Z20" s="98"/>
      <c r="AA20" s="23">
        <f t="shared" si="18"/>
        <v>0</v>
      </c>
      <c r="AB20" s="97">
        <f t="shared" si="19"/>
        <v>0</v>
      </c>
      <c r="AC20" s="43"/>
      <c r="AD20" s="49"/>
      <c r="AE20" s="5">
        <f t="shared" si="20"/>
        <v>1765879.44</v>
      </c>
      <c r="AF20" s="139">
        <v>286</v>
      </c>
      <c r="AG20" s="139" t="s">
        <v>1999</v>
      </c>
      <c r="AH20" s="103">
        <v>27.56</v>
      </c>
      <c r="AI20" s="12"/>
      <c r="AJ20" s="40"/>
      <c r="AK20" s="40"/>
    </row>
    <row r="21" spans="2:37" s="41" customFormat="1" ht="16.149999999999999" customHeight="1">
      <c r="B21" s="83"/>
      <c r="C21" s="4"/>
      <c r="D21" s="4"/>
      <c r="E21" s="82" t="s">
        <v>35</v>
      </c>
      <c r="F21" s="103">
        <v>31.72</v>
      </c>
      <c r="G21" s="14">
        <f t="shared" si="14"/>
        <v>31720</v>
      </c>
      <c r="H21" s="97">
        <v>15</v>
      </c>
      <c r="I21" s="83" t="s">
        <v>1868</v>
      </c>
      <c r="J21" s="85" t="s">
        <v>1779</v>
      </c>
      <c r="K21" s="135">
        <v>60441</v>
      </c>
      <c r="L21" s="4"/>
      <c r="M21" s="85" t="s">
        <v>1869</v>
      </c>
      <c r="N21" s="82" t="s">
        <v>1870</v>
      </c>
      <c r="O21" s="4"/>
      <c r="P21" s="4"/>
      <c r="Q21" s="5">
        <v>54300</v>
      </c>
      <c r="R21" s="36"/>
      <c r="S21" s="36"/>
      <c r="T21" s="37"/>
      <c r="U21" s="5">
        <f t="shared" si="15"/>
        <v>54300</v>
      </c>
      <c r="V21" s="5">
        <f t="shared" si="16"/>
        <v>1722396</v>
      </c>
      <c r="W21" s="5">
        <f t="shared" si="17"/>
        <v>310031.27999999997</v>
      </c>
      <c r="X21" s="5"/>
      <c r="Y21" s="5"/>
      <c r="Z21" s="98"/>
      <c r="AA21" s="23">
        <f t="shared" si="18"/>
        <v>0</v>
      </c>
      <c r="AB21" s="97">
        <f t="shared" si="19"/>
        <v>0</v>
      </c>
      <c r="AC21" s="43"/>
      <c r="AD21" s="49"/>
      <c r="AE21" s="5">
        <f t="shared" si="20"/>
        <v>2032427.28</v>
      </c>
      <c r="AF21" s="139">
        <v>287</v>
      </c>
      <c r="AG21" s="139" t="s">
        <v>1999</v>
      </c>
      <c r="AH21" s="103">
        <v>31.72</v>
      </c>
      <c r="AI21" s="12"/>
      <c r="AJ21" s="40"/>
      <c r="AK21" s="40"/>
    </row>
    <row r="22" spans="2:37" s="41" customFormat="1" ht="16.149999999999999" customHeight="1">
      <c r="B22" s="83"/>
      <c r="C22" s="4"/>
      <c r="D22" s="4"/>
      <c r="E22" s="82" t="s">
        <v>35</v>
      </c>
      <c r="F22" s="103">
        <v>27.44</v>
      </c>
      <c r="G22" s="14">
        <f t="shared" si="14"/>
        <v>27440</v>
      </c>
      <c r="H22" s="97">
        <v>13</v>
      </c>
      <c r="I22" s="83" t="s">
        <v>1878</v>
      </c>
      <c r="J22" s="85" t="s">
        <v>1823</v>
      </c>
      <c r="K22" s="135">
        <v>60445</v>
      </c>
      <c r="L22" s="4"/>
      <c r="M22" s="85" t="s">
        <v>1869</v>
      </c>
      <c r="N22" s="145" t="s">
        <v>1879</v>
      </c>
      <c r="O22" s="4"/>
      <c r="P22" s="4"/>
      <c r="Q22" s="5">
        <v>54300</v>
      </c>
      <c r="R22" s="36"/>
      <c r="S22" s="36"/>
      <c r="T22" s="37"/>
      <c r="U22" s="5">
        <f t="shared" si="15"/>
        <v>54300</v>
      </c>
      <c r="V22" s="5">
        <f t="shared" si="16"/>
        <v>1489992</v>
      </c>
      <c r="W22" s="5">
        <f t="shared" si="17"/>
        <v>268198.56</v>
      </c>
      <c r="X22" s="5"/>
      <c r="Y22" s="5"/>
      <c r="Z22" s="98"/>
      <c r="AA22" s="23">
        <f t="shared" si="18"/>
        <v>0</v>
      </c>
      <c r="AB22" s="97">
        <f t="shared" si="19"/>
        <v>0</v>
      </c>
      <c r="AC22" s="43"/>
      <c r="AD22" s="49"/>
      <c r="AE22" s="5">
        <f t="shared" si="20"/>
        <v>1758190.56</v>
      </c>
      <c r="AF22" s="139">
        <v>288</v>
      </c>
      <c r="AG22" s="139" t="s">
        <v>1999</v>
      </c>
      <c r="AH22" s="103">
        <v>27.44</v>
      </c>
      <c r="AI22" s="12"/>
      <c r="AJ22" s="40"/>
      <c r="AK22" s="40"/>
    </row>
    <row r="23" spans="2:37" s="41" customFormat="1" ht="16.149999999999999" customHeight="1">
      <c r="B23" s="83"/>
      <c r="C23" s="4"/>
      <c r="D23" s="4"/>
      <c r="E23" s="82" t="s">
        <v>35</v>
      </c>
      <c r="F23" s="103">
        <v>27.54</v>
      </c>
      <c r="G23" s="14">
        <f t="shared" si="14"/>
        <v>27540</v>
      </c>
      <c r="H23" s="97">
        <v>13</v>
      </c>
      <c r="I23" s="83" t="s">
        <v>1882</v>
      </c>
      <c r="J23" s="85" t="s">
        <v>1779</v>
      </c>
      <c r="K23" s="135">
        <v>60438</v>
      </c>
      <c r="L23" s="4"/>
      <c r="M23" s="85" t="s">
        <v>1869</v>
      </c>
      <c r="N23" s="82" t="s">
        <v>1883</v>
      </c>
      <c r="O23" s="4"/>
      <c r="P23" s="4"/>
      <c r="Q23" s="5">
        <v>54300</v>
      </c>
      <c r="R23" s="36"/>
      <c r="S23" s="36"/>
      <c r="T23" s="37"/>
      <c r="U23" s="5">
        <f t="shared" si="15"/>
        <v>54300</v>
      </c>
      <c r="V23" s="5">
        <f t="shared" si="16"/>
        <v>1495422</v>
      </c>
      <c r="W23" s="5">
        <f t="shared" si="17"/>
        <v>269175.95999999996</v>
      </c>
      <c r="X23" s="5"/>
      <c r="Y23" s="5"/>
      <c r="Z23" s="98"/>
      <c r="AA23" s="23">
        <f t="shared" si="18"/>
        <v>0</v>
      </c>
      <c r="AB23" s="97">
        <f t="shared" si="19"/>
        <v>0</v>
      </c>
      <c r="AC23" s="43"/>
      <c r="AD23" s="49"/>
      <c r="AE23" s="5">
        <f t="shared" si="20"/>
        <v>1764597.96</v>
      </c>
      <c r="AF23" s="139">
        <v>289</v>
      </c>
      <c r="AG23" s="139" t="s">
        <v>1999</v>
      </c>
      <c r="AH23" s="103">
        <v>27.54</v>
      </c>
      <c r="AI23" s="12"/>
      <c r="AJ23" s="40"/>
      <c r="AK23" s="40"/>
    </row>
    <row r="24" spans="2:37" s="41" customFormat="1" ht="16.149999999999999" customHeight="1">
      <c r="B24" s="12"/>
      <c r="C24" s="4"/>
      <c r="D24" s="4"/>
      <c r="E24" s="82" t="s">
        <v>35</v>
      </c>
      <c r="F24" s="103">
        <v>27.52</v>
      </c>
      <c r="G24" s="14">
        <f t="shared" si="14"/>
        <v>27520</v>
      </c>
      <c r="H24" s="97">
        <v>13</v>
      </c>
      <c r="I24" s="83" t="s">
        <v>1884</v>
      </c>
      <c r="J24" s="85" t="s">
        <v>1779</v>
      </c>
      <c r="K24" s="135">
        <v>60437</v>
      </c>
      <c r="L24" s="4"/>
      <c r="M24" s="85" t="s">
        <v>1869</v>
      </c>
      <c r="N24" s="82" t="s">
        <v>1885</v>
      </c>
      <c r="O24" s="4"/>
      <c r="P24" s="4"/>
      <c r="Q24" s="5">
        <v>54300</v>
      </c>
      <c r="R24" s="36"/>
      <c r="S24" s="36"/>
      <c r="T24" s="37"/>
      <c r="U24" s="5">
        <f t="shared" si="15"/>
        <v>54300</v>
      </c>
      <c r="V24" s="5">
        <f t="shared" si="16"/>
        <v>1494336</v>
      </c>
      <c r="W24" s="5">
        <f t="shared" si="17"/>
        <v>268980.47999999998</v>
      </c>
      <c r="X24" s="5"/>
      <c r="Y24" s="5"/>
      <c r="Z24" s="98"/>
      <c r="AA24" s="23">
        <f t="shared" si="18"/>
        <v>0</v>
      </c>
      <c r="AB24" s="97">
        <f t="shared" si="19"/>
        <v>0</v>
      </c>
      <c r="AC24" s="43"/>
      <c r="AD24" s="49"/>
      <c r="AE24" s="5">
        <f t="shared" si="20"/>
        <v>1763316.48</v>
      </c>
      <c r="AF24" s="139">
        <v>290</v>
      </c>
      <c r="AG24" s="139" t="s">
        <v>1999</v>
      </c>
      <c r="AH24" s="103">
        <v>27.52</v>
      </c>
      <c r="AI24" s="12"/>
      <c r="AJ24" s="40"/>
      <c r="AK24" s="40"/>
    </row>
    <row r="25" spans="2:37" s="41" customFormat="1" ht="16.149999999999999" customHeight="1">
      <c r="B25" s="12"/>
      <c r="C25" s="4"/>
      <c r="D25" s="4"/>
      <c r="E25" s="82" t="s">
        <v>35</v>
      </c>
      <c r="F25" s="103">
        <v>25.4</v>
      </c>
      <c r="G25" s="14">
        <f t="shared" si="14"/>
        <v>25400</v>
      </c>
      <c r="H25" s="97">
        <v>12</v>
      </c>
      <c r="I25" s="83" t="s">
        <v>1886</v>
      </c>
      <c r="J25" s="85" t="s">
        <v>1779</v>
      </c>
      <c r="K25" s="135">
        <v>60435</v>
      </c>
      <c r="L25" s="4"/>
      <c r="M25" s="85" t="s">
        <v>1869</v>
      </c>
      <c r="N25" s="82" t="s">
        <v>1887</v>
      </c>
      <c r="O25" s="4"/>
      <c r="P25" s="4"/>
      <c r="Q25" s="5">
        <v>54300</v>
      </c>
      <c r="R25" s="36"/>
      <c r="S25" s="36"/>
      <c r="T25" s="37"/>
      <c r="U25" s="5">
        <f t="shared" si="15"/>
        <v>54300</v>
      </c>
      <c r="V25" s="5">
        <f t="shared" si="16"/>
        <v>1379220</v>
      </c>
      <c r="W25" s="5">
        <f t="shared" si="17"/>
        <v>248259.59999999998</v>
      </c>
      <c r="X25" s="5"/>
      <c r="Y25" s="5"/>
      <c r="Z25" s="98"/>
      <c r="AA25" s="23">
        <f t="shared" si="18"/>
        <v>0</v>
      </c>
      <c r="AB25" s="97">
        <f t="shared" si="19"/>
        <v>0</v>
      </c>
      <c r="AC25" s="43"/>
      <c r="AD25" s="49"/>
      <c r="AE25" s="5">
        <f t="shared" si="20"/>
        <v>1627479.6</v>
      </c>
      <c r="AF25" s="139">
        <v>291</v>
      </c>
      <c r="AG25" s="139" t="s">
        <v>1999</v>
      </c>
      <c r="AH25" s="103">
        <v>25.4</v>
      </c>
      <c r="AI25" s="12"/>
      <c r="AJ25" s="40"/>
      <c r="AK25" s="40"/>
    </row>
    <row r="26" spans="2:37" s="41" customFormat="1" ht="16.149999999999999" customHeight="1">
      <c r="B26" s="12"/>
      <c r="C26" s="4"/>
      <c r="D26" s="4"/>
      <c r="E26" s="82" t="s">
        <v>35</v>
      </c>
      <c r="F26" s="103">
        <v>12.667999999999999</v>
      </c>
      <c r="G26" s="14">
        <f t="shared" si="14"/>
        <v>12668</v>
      </c>
      <c r="H26" s="97">
        <v>6</v>
      </c>
      <c r="I26" s="83" t="s">
        <v>1914</v>
      </c>
      <c r="J26" s="85" t="s">
        <v>1840</v>
      </c>
      <c r="K26" s="135">
        <v>60453</v>
      </c>
      <c r="L26" s="4"/>
      <c r="M26" s="85" t="s">
        <v>1915</v>
      </c>
      <c r="N26" s="82" t="s">
        <v>1916</v>
      </c>
      <c r="O26" s="4"/>
      <c r="P26" s="4"/>
      <c r="Q26" s="5">
        <v>54300</v>
      </c>
      <c r="R26" s="36"/>
      <c r="S26" s="36"/>
      <c r="T26" s="37"/>
      <c r="U26" s="5">
        <f t="shared" si="15"/>
        <v>54300</v>
      </c>
      <c r="V26" s="5">
        <f t="shared" si="16"/>
        <v>687872.39999999991</v>
      </c>
      <c r="W26" s="5">
        <f t="shared" si="17"/>
        <v>123817.03199999998</v>
      </c>
      <c r="X26" s="5"/>
      <c r="Y26" s="5"/>
      <c r="Z26" s="98"/>
      <c r="AA26" s="23">
        <f t="shared" si="18"/>
        <v>0</v>
      </c>
      <c r="AB26" s="97">
        <f t="shared" si="19"/>
        <v>0</v>
      </c>
      <c r="AC26" s="43"/>
      <c r="AD26" s="49"/>
      <c r="AE26" s="5">
        <f t="shared" si="20"/>
        <v>811689.43199999991</v>
      </c>
      <c r="AF26" s="139">
        <v>292</v>
      </c>
      <c r="AG26" s="139" t="s">
        <v>1999</v>
      </c>
      <c r="AH26" s="103">
        <v>12.667999999999999</v>
      </c>
      <c r="AI26" s="12"/>
      <c r="AJ26" s="40"/>
      <c r="AK26" s="40"/>
    </row>
    <row r="27" spans="2:37" s="41" customFormat="1" ht="16.149999999999999" customHeight="1">
      <c r="B27" s="12"/>
      <c r="C27" s="4"/>
      <c r="D27" s="4"/>
      <c r="E27" s="82" t="s">
        <v>35</v>
      </c>
      <c r="F27" s="103">
        <v>14.792</v>
      </c>
      <c r="G27" s="14">
        <f t="shared" si="14"/>
        <v>14792</v>
      </c>
      <c r="H27" s="97">
        <v>8</v>
      </c>
      <c r="I27" s="83" t="s">
        <v>1917</v>
      </c>
      <c r="J27" s="85" t="s">
        <v>1840</v>
      </c>
      <c r="K27" s="135">
        <v>60454</v>
      </c>
      <c r="L27" s="4"/>
      <c r="M27" s="85" t="s">
        <v>1915</v>
      </c>
      <c r="N27" s="82" t="s">
        <v>1916</v>
      </c>
      <c r="O27" s="4"/>
      <c r="P27" s="4"/>
      <c r="Q27" s="5">
        <v>54300</v>
      </c>
      <c r="R27" s="36"/>
      <c r="S27" s="36"/>
      <c r="T27" s="37"/>
      <c r="U27" s="5">
        <f t="shared" si="15"/>
        <v>54300</v>
      </c>
      <c r="V27" s="5">
        <f t="shared" si="16"/>
        <v>803205.6</v>
      </c>
      <c r="W27" s="5">
        <f t="shared" si="17"/>
        <v>144577.008</v>
      </c>
      <c r="X27" s="5"/>
      <c r="Y27" s="5"/>
      <c r="Z27" s="98"/>
      <c r="AA27" s="23">
        <f t="shared" si="18"/>
        <v>0</v>
      </c>
      <c r="AB27" s="97">
        <f t="shared" si="19"/>
        <v>0</v>
      </c>
      <c r="AC27" s="43"/>
      <c r="AD27" s="49"/>
      <c r="AE27" s="5">
        <f t="shared" si="20"/>
        <v>947782.60800000001</v>
      </c>
      <c r="AF27" s="139">
        <v>293</v>
      </c>
      <c r="AG27" s="139" t="s">
        <v>1999</v>
      </c>
      <c r="AH27" s="103">
        <v>14.792</v>
      </c>
      <c r="AI27" s="12"/>
      <c r="AJ27" s="40"/>
      <c r="AK27" s="40"/>
    </row>
    <row r="28" spans="2:37" s="41" customFormat="1" ht="16.149999999999999" customHeight="1">
      <c r="B28" s="12"/>
      <c r="C28" s="4"/>
      <c r="D28" s="4"/>
      <c r="E28" s="82" t="s">
        <v>35</v>
      </c>
      <c r="F28" s="103">
        <v>42.2</v>
      </c>
      <c r="G28" s="14">
        <f t="shared" si="14"/>
        <v>42200</v>
      </c>
      <c r="H28" s="97">
        <v>20</v>
      </c>
      <c r="I28" s="83" t="s">
        <v>1930</v>
      </c>
      <c r="J28" s="85" t="s">
        <v>1723</v>
      </c>
      <c r="K28" s="135">
        <v>60433</v>
      </c>
      <c r="L28" s="4"/>
      <c r="M28" s="85" t="s">
        <v>1931</v>
      </c>
      <c r="N28" s="82" t="s">
        <v>1932</v>
      </c>
      <c r="O28" s="4"/>
      <c r="P28" s="4"/>
      <c r="Q28" s="5">
        <v>54300</v>
      </c>
      <c r="R28" s="36"/>
      <c r="S28" s="36"/>
      <c r="T28" s="37"/>
      <c r="U28" s="5">
        <f t="shared" si="15"/>
        <v>54300</v>
      </c>
      <c r="V28" s="5">
        <f t="shared" si="16"/>
        <v>2291460</v>
      </c>
      <c r="W28" s="5">
        <f t="shared" si="17"/>
        <v>412462.8</v>
      </c>
      <c r="X28" s="5"/>
      <c r="Y28" s="5"/>
      <c r="Z28" s="98"/>
      <c r="AA28" s="23">
        <f t="shared" si="18"/>
        <v>0</v>
      </c>
      <c r="AB28" s="97">
        <f t="shared" si="19"/>
        <v>0</v>
      </c>
      <c r="AC28" s="43"/>
      <c r="AD28" s="49"/>
      <c r="AE28" s="5">
        <f t="shared" si="20"/>
        <v>2703922.8</v>
      </c>
      <c r="AF28" s="139">
        <v>294</v>
      </c>
      <c r="AG28" s="139" t="s">
        <v>1999</v>
      </c>
      <c r="AH28" s="103">
        <v>42.2</v>
      </c>
      <c r="AI28" s="12"/>
      <c r="AJ28" s="40"/>
      <c r="AK28" s="40"/>
    </row>
    <row r="29" spans="2:37" s="41" customFormat="1" ht="16.149999999999999" customHeight="1">
      <c r="B29" s="12"/>
      <c r="C29" s="4"/>
      <c r="D29" s="4"/>
      <c r="E29" s="82" t="s">
        <v>35</v>
      </c>
      <c r="F29" s="103">
        <v>21.198</v>
      </c>
      <c r="G29" s="14">
        <f t="shared" si="14"/>
        <v>21198</v>
      </c>
      <c r="H29" s="97">
        <v>11</v>
      </c>
      <c r="I29" s="83" t="s">
        <v>1935</v>
      </c>
      <c r="J29" s="85" t="s">
        <v>1840</v>
      </c>
      <c r="K29" s="135">
        <v>10243</v>
      </c>
      <c r="L29" s="4"/>
      <c r="M29" s="85" t="s">
        <v>1931</v>
      </c>
      <c r="N29" s="82" t="s">
        <v>1936</v>
      </c>
      <c r="O29" s="4"/>
      <c r="P29" s="4"/>
      <c r="Q29" s="5">
        <v>54300</v>
      </c>
      <c r="R29" s="36"/>
      <c r="S29" s="36"/>
      <c r="T29" s="37"/>
      <c r="U29" s="5">
        <f t="shared" si="15"/>
        <v>54300</v>
      </c>
      <c r="V29" s="5">
        <f t="shared" si="16"/>
        <v>1151051.3999999999</v>
      </c>
      <c r="W29" s="5">
        <f t="shared" si="17"/>
        <v>207189.25199999998</v>
      </c>
      <c r="X29" s="5"/>
      <c r="Y29" s="5"/>
      <c r="Z29" s="98"/>
      <c r="AA29" s="23">
        <f t="shared" si="18"/>
        <v>0</v>
      </c>
      <c r="AB29" s="97">
        <f t="shared" si="19"/>
        <v>0</v>
      </c>
      <c r="AC29" s="43"/>
      <c r="AD29" s="49"/>
      <c r="AE29" s="5">
        <f t="shared" si="20"/>
        <v>1358240.6519999998</v>
      </c>
      <c r="AF29" s="139">
        <v>295</v>
      </c>
      <c r="AG29" s="139" t="s">
        <v>1999</v>
      </c>
      <c r="AH29" s="103">
        <v>21.198</v>
      </c>
      <c r="AI29" s="12"/>
      <c r="AJ29" s="40"/>
      <c r="AK29" s="40"/>
    </row>
    <row r="30" spans="2:37" s="41" customFormat="1" ht="16.149999999999999" customHeight="1">
      <c r="B30" s="12"/>
      <c r="C30" s="4"/>
      <c r="D30" s="4"/>
      <c r="E30" s="82" t="s">
        <v>35</v>
      </c>
      <c r="F30" s="103">
        <v>40.18</v>
      </c>
      <c r="G30" s="14">
        <f t="shared" si="14"/>
        <v>40180</v>
      </c>
      <c r="H30" s="97">
        <v>19</v>
      </c>
      <c r="I30" s="83" t="s">
        <v>1939</v>
      </c>
      <c r="J30" s="85" t="s">
        <v>1779</v>
      </c>
      <c r="K30" s="135">
        <v>60440</v>
      </c>
      <c r="L30" s="4"/>
      <c r="M30" s="85" t="s">
        <v>1931</v>
      </c>
      <c r="N30" s="82" t="s">
        <v>1940</v>
      </c>
      <c r="O30" s="4"/>
      <c r="P30" s="4"/>
      <c r="Q30" s="5">
        <v>54300</v>
      </c>
      <c r="R30" s="36"/>
      <c r="S30" s="36"/>
      <c r="T30" s="37"/>
      <c r="U30" s="5">
        <f t="shared" si="15"/>
        <v>54300</v>
      </c>
      <c r="V30" s="5">
        <f t="shared" si="16"/>
        <v>2181774</v>
      </c>
      <c r="W30" s="5">
        <f t="shared" si="17"/>
        <v>392719.32</v>
      </c>
      <c r="X30" s="5"/>
      <c r="Y30" s="5"/>
      <c r="Z30" s="98"/>
      <c r="AA30" s="23">
        <f t="shared" si="18"/>
        <v>0</v>
      </c>
      <c r="AB30" s="97">
        <f t="shared" si="19"/>
        <v>0</v>
      </c>
      <c r="AC30" s="43"/>
      <c r="AD30" s="49"/>
      <c r="AE30" s="5">
        <f t="shared" si="20"/>
        <v>2574493.3199999998</v>
      </c>
      <c r="AF30" s="139">
        <v>296</v>
      </c>
      <c r="AG30" s="139" t="s">
        <v>1999</v>
      </c>
      <c r="AH30" s="103">
        <v>40.18</v>
      </c>
      <c r="AI30" s="12"/>
      <c r="AJ30" s="40"/>
      <c r="AK30" s="40"/>
    </row>
    <row r="31" spans="2:37" s="41" customFormat="1" ht="16.149999999999999" customHeight="1">
      <c r="B31" s="12"/>
      <c r="C31" s="4"/>
      <c r="D31" s="4"/>
      <c r="E31" s="82" t="s">
        <v>35</v>
      </c>
      <c r="F31" s="103">
        <v>26.56</v>
      </c>
      <c r="G31" s="14">
        <f t="shared" ref="G31:G33" si="21">+F31*1000</f>
        <v>26560</v>
      </c>
      <c r="H31" s="97">
        <v>13</v>
      </c>
      <c r="I31" s="83" t="s">
        <v>1944</v>
      </c>
      <c r="J31" s="85" t="s">
        <v>1840</v>
      </c>
      <c r="K31" s="135">
        <v>60954</v>
      </c>
      <c r="L31" s="4"/>
      <c r="M31" s="85" t="s">
        <v>1931</v>
      </c>
      <c r="N31" s="82" t="s">
        <v>1945</v>
      </c>
      <c r="O31" s="4"/>
      <c r="P31" s="4"/>
      <c r="Q31" s="5">
        <v>54300</v>
      </c>
      <c r="R31" s="36"/>
      <c r="S31" s="36"/>
      <c r="T31" s="37"/>
      <c r="U31" s="5">
        <f t="shared" ref="U31:U33" si="22">S31+R31+Q31-T31</f>
        <v>54300</v>
      </c>
      <c r="V31" s="5">
        <f t="shared" ref="V31:V33" si="23">F31*U31</f>
        <v>1442208</v>
      </c>
      <c r="W31" s="5">
        <f t="shared" ref="W31:W33" si="24">V31*18%</f>
        <v>259597.44</v>
      </c>
      <c r="X31" s="5"/>
      <c r="Y31" s="5"/>
      <c r="Z31" s="98"/>
      <c r="AA31" s="23">
        <f t="shared" ref="AA31:AA33" si="25">F31*Z31</f>
        <v>0</v>
      </c>
      <c r="AB31" s="97">
        <f t="shared" ref="AB31:AB33" si="26">AA31*18%</f>
        <v>0</v>
      </c>
      <c r="AC31" s="43"/>
      <c r="AD31" s="49"/>
      <c r="AE31" s="5">
        <f t="shared" ref="AE31:AE33" si="27">+AB31+AA31+Y31+X31+W31+V31-AC31+AD31</f>
        <v>1701805.44</v>
      </c>
      <c r="AF31" s="139">
        <v>297</v>
      </c>
      <c r="AG31" s="139" t="s">
        <v>1999</v>
      </c>
      <c r="AH31" s="103">
        <v>26.56</v>
      </c>
      <c r="AI31" s="12"/>
      <c r="AJ31" s="40"/>
      <c r="AK31" s="40"/>
    </row>
    <row r="32" spans="2:37" s="41" customFormat="1" ht="16.149999999999999" customHeight="1">
      <c r="B32" s="12"/>
      <c r="C32" s="4"/>
      <c r="D32" s="4"/>
      <c r="E32" s="82" t="s">
        <v>35</v>
      </c>
      <c r="F32" s="103">
        <v>15.512</v>
      </c>
      <c r="G32" s="14">
        <f t="shared" si="21"/>
        <v>15512</v>
      </c>
      <c r="H32" s="97">
        <v>9</v>
      </c>
      <c r="I32" s="83" t="s">
        <v>1961</v>
      </c>
      <c r="J32" s="85" t="s">
        <v>1958</v>
      </c>
      <c r="K32" s="135">
        <v>60966</v>
      </c>
      <c r="L32" s="4"/>
      <c r="M32" s="85" t="s">
        <v>1959</v>
      </c>
      <c r="N32" s="82" t="s">
        <v>1960</v>
      </c>
      <c r="O32" s="4"/>
      <c r="P32" s="4"/>
      <c r="Q32" s="5">
        <v>54300</v>
      </c>
      <c r="R32" s="36"/>
      <c r="S32" s="36"/>
      <c r="T32" s="37"/>
      <c r="U32" s="5">
        <f t="shared" si="22"/>
        <v>54300</v>
      </c>
      <c r="V32" s="5">
        <f t="shared" si="23"/>
        <v>842301.6</v>
      </c>
      <c r="W32" s="5">
        <f t="shared" si="24"/>
        <v>151614.288</v>
      </c>
      <c r="X32" s="5"/>
      <c r="Y32" s="5"/>
      <c r="Z32" s="98"/>
      <c r="AA32" s="23">
        <f t="shared" si="25"/>
        <v>0</v>
      </c>
      <c r="AB32" s="97">
        <f t="shared" si="26"/>
        <v>0</v>
      </c>
      <c r="AC32" s="43"/>
      <c r="AD32" s="49"/>
      <c r="AE32" s="5">
        <f t="shared" si="27"/>
        <v>993915.88800000004</v>
      </c>
      <c r="AF32" s="139">
        <v>298</v>
      </c>
      <c r="AG32" s="139" t="s">
        <v>1999</v>
      </c>
      <c r="AH32" s="103">
        <v>15.512</v>
      </c>
      <c r="AI32" s="12"/>
      <c r="AJ32" s="40"/>
      <c r="AK32" s="40"/>
    </row>
    <row r="33" spans="2:37" s="41" customFormat="1" ht="16.149999999999999" customHeight="1">
      <c r="B33" s="12"/>
      <c r="C33" s="4"/>
      <c r="D33" s="4"/>
      <c r="E33" s="82" t="s">
        <v>35</v>
      </c>
      <c r="F33" s="103">
        <v>14.843999999999999</v>
      </c>
      <c r="G33" s="14">
        <f t="shared" si="21"/>
        <v>14844</v>
      </c>
      <c r="H33" s="97">
        <v>7</v>
      </c>
      <c r="I33" s="83" t="s">
        <v>1962</v>
      </c>
      <c r="J33" s="85" t="s">
        <v>1958</v>
      </c>
      <c r="K33" s="135">
        <v>60967</v>
      </c>
      <c r="L33" s="4"/>
      <c r="M33" s="85" t="s">
        <v>1959</v>
      </c>
      <c r="N33" s="82" t="s">
        <v>1960</v>
      </c>
      <c r="O33" s="4"/>
      <c r="P33" s="4"/>
      <c r="Q33" s="5">
        <v>54300</v>
      </c>
      <c r="R33" s="36"/>
      <c r="S33" s="36"/>
      <c r="T33" s="37"/>
      <c r="U33" s="5">
        <f t="shared" si="22"/>
        <v>54300</v>
      </c>
      <c r="V33" s="5">
        <f t="shared" si="23"/>
        <v>806029.2</v>
      </c>
      <c r="W33" s="5">
        <f t="shared" si="24"/>
        <v>145085.25599999999</v>
      </c>
      <c r="X33" s="5"/>
      <c r="Y33" s="5"/>
      <c r="Z33" s="98"/>
      <c r="AA33" s="23">
        <f t="shared" si="25"/>
        <v>0</v>
      </c>
      <c r="AB33" s="97">
        <f t="shared" si="26"/>
        <v>0</v>
      </c>
      <c r="AC33" s="43"/>
      <c r="AD33" s="49"/>
      <c r="AE33" s="5">
        <f t="shared" si="27"/>
        <v>951114.45600000001</v>
      </c>
      <c r="AF33" s="139">
        <v>299</v>
      </c>
      <c r="AG33" s="139" t="s">
        <v>1999</v>
      </c>
      <c r="AH33" s="103">
        <v>14.843999999999999</v>
      </c>
      <c r="AI33" s="12"/>
      <c r="AJ33" s="40"/>
      <c r="AK33" s="40"/>
    </row>
    <row r="34" spans="2:37" s="41" customFormat="1" ht="16.149999999999999" customHeight="1">
      <c r="B34" s="12"/>
      <c r="C34" s="4"/>
      <c r="D34" s="4"/>
      <c r="E34" s="82" t="s">
        <v>35</v>
      </c>
      <c r="F34" s="103"/>
      <c r="G34" s="14">
        <f t="shared" si="14"/>
        <v>0</v>
      </c>
      <c r="H34" s="97"/>
      <c r="I34" s="83"/>
      <c r="J34" s="85"/>
      <c r="K34" s="135"/>
      <c r="L34" s="4"/>
      <c r="M34" s="85"/>
      <c r="N34" s="82"/>
      <c r="O34" s="4"/>
      <c r="P34" s="4"/>
      <c r="Q34" s="5">
        <v>54300</v>
      </c>
      <c r="R34" s="36"/>
      <c r="S34" s="36"/>
      <c r="T34" s="37"/>
      <c r="U34" s="5">
        <f t="shared" si="15"/>
        <v>54300</v>
      </c>
      <c r="V34" s="5">
        <f t="shared" si="16"/>
        <v>0</v>
      </c>
      <c r="W34" s="5">
        <f t="shared" si="17"/>
        <v>0</v>
      </c>
      <c r="X34" s="5"/>
      <c r="Y34" s="5"/>
      <c r="Z34" s="98"/>
      <c r="AA34" s="23">
        <f t="shared" si="18"/>
        <v>0</v>
      </c>
      <c r="AB34" s="97">
        <f t="shared" si="19"/>
        <v>0</v>
      </c>
      <c r="AC34" s="43"/>
      <c r="AD34" s="49"/>
      <c r="AE34" s="5">
        <f t="shared" si="20"/>
        <v>0</v>
      </c>
      <c r="AF34" s="139"/>
      <c r="AG34" s="139"/>
      <c r="AH34" s="103"/>
      <c r="AI34" s="12"/>
      <c r="AJ34" s="40"/>
      <c r="AK34" s="40"/>
    </row>
    <row r="35" spans="2:37" s="41" customFormat="1">
      <c r="B35" s="13"/>
      <c r="C35" s="48"/>
      <c r="D35" s="6"/>
      <c r="E35" s="6"/>
      <c r="F35" s="81">
        <f>SUM(F7:F34)</f>
        <v>818.55400000000009</v>
      </c>
      <c r="G35" s="20">
        <f>SUM(G7:G34)</f>
        <v>818554</v>
      </c>
      <c r="H35" s="21">
        <f>SUM(H7:H34)</f>
        <v>391</v>
      </c>
      <c r="I35" s="2"/>
      <c r="J35" s="7"/>
      <c r="K35" s="7"/>
      <c r="L35" s="7"/>
      <c r="M35" s="2"/>
      <c r="N35" s="6"/>
      <c r="O35" s="6"/>
      <c r="P35" s="6"/>
      <c r="Q35" s="19"/>
      <c r="R35" s="9"/>
      <c r="S35" s="9"/>
      <c r="T35" s="10"/>
      <c r="U35" s="8"/>
      <c r="V35" s="21">
        <f>SUM(V7:V34)</f>
        <v>44447482.200000003</v>
      </c>
      <c r="W35" s="21">
        <f>SUM(W7:W34)</f>
        <v>8000546.7959999992</v>
      </c>
      <c r="X35" s="21">
        <f>SUM(X7:X34)</f>
        <v>0</v>
      </c>
      <c r="Y35" s="21">
        <f>SUM(Y7:Y34)</f>
        <v>0</v>
      </c>
      <c r="Z35" s="99"/>
      <c r="AA35" s="21">
        <f>SUM(AA7:AA34)</f>
        <v>0</v>
      </c>
      <c r="AB35" s="21">
        <f>SUM(AB7:AB34)</f>
        <v>0</v>
      </c>
      <c r="AC35" s="21"/>
      <c r="AD35" s="21">
        <f>SUM(AD7:AD34)</f>
        <v>0</v>
      </c>
      <c r="AE35" s="21">
        <f>SUM(AE7:AE34)</f>
        <v>52448028.995999999</v>
      </c>
      <c r="AF35" s="21"/>
      <c r="AG35" s="42"/>
      <c r="AH35" s="81">
        <f>SUM(AH7:AH34)</f>
        <v>818.55400000000009</v>
      </c>
      <c r="AI35" s="26">
        <f>AH35-F35</f>
        <v>0</v>
      </c>
      <c r="AJ35" s="41">
        <f>AA35/F35</f>
        <v>0</v>
      </c>
      <c r="AK35" s="40"/>
    </row>
    <row r="36" spans="2:37" s="41" customFormat="1" ht="16.149999999999999" customHeight="1">
      <c r="B36" s="138" t="s">
        <v>764</v>
      </c>
      <c r="C36" s="82" t="s">
        <v>1820</v>
      </c>
      <c r="D36" s="4"/>
      <c r="E36" s="82" t="s">
        <v>392</v>
      </c>
      <c r="F36" s="103">
        <v>27.62</v>
      </c>
      <c r="G36" s="14">
        <f t="shared" ref="G36:G39" si="28">+F36*1000</f>
        <v>27620</v>
      </c>
      <c r="H36" s="97">
        <v>13</v>
      </c>
      <c r="I36" s="83" t="s">
        <v>1919</v>
      </c>
      <c r="J36" s="85" t="s">
        <v>1840</v>
      </c>
      <c r="K36" s="135">
        <v>60452</v>
      </c>
      <c r="L36" s="4"/>
      <c r="M36" s="85" t="s">
        <v>1915</v>
      </c>
      <c r="N36" s="82" t="s">
        <v>1920</v>
      </c>
      <c r="O36" s="4"/>
      <c r="P36" s="4"/>
      <c r="Q36" s="146">
        <v>52300</v>
      </c>
      <c r="R36" s="36"/>
      <c r="S36" s="36"/>
      <c r="T36" s="37"/>
      <c r="U36" s="5">
        <f t="shared" ref="U36:U39" si="29">S36+R36+Q36-T36</f>
        <v>52300</v>
      </c>
      <c r="V36" s="5">
        <f t="shared" ref="V36:V39" si="30">F36*U36</f>
        <v>1444526</v>
      </c>
      <c r="W36" s="5">
        <f t="shared" ref="W36:W39" si="31">V36*18%</f>
        <v>260014.68</v>
      </c>
      <c r="X36" s="5"/>
      <c r="Y36" s="5"/>
      <c r="Z36" s="98"/>
      <c r="AA36" s="23">
        <f t="shared" ref="AA36:AA39" si="32">F36*Z36</f>
        <v>0</v>
      </c>
      <c r="AB36" s="97">
        <f t="shared" ref="AB36:AB39" si="33">AA36*18%</f>
        <v>0</v>
      </c>
      <c r="AC36" s="43"/>
      <c r="AD36" s="49"/>
      <c r="AE36" s="5">
        <f t="shared" ref="AE36:AE39" si="34">+AB36+AA36+Y36+X36+W36+V36-AC36+AD36</f>
        <v>1704540.68</v>
      </c>
      <c r="AF36" s="139">
        <v>300</v>
      </c>
      <c r="AG36" s="139" t="s">
        <v>1999</v>
      </c>
      <c r="AH36" s="103">
        <v>27.62</v>
      </c>
      <c r="AI36" s="12"/>
      <c r="AJ36" s="40"/>
      <c r="AK36" s="40"/>
    </row>
    <row r="37" spans="2:37" s="41" customFormat="1" ht="16.149999999999999" customHeight="1">
      <c r="B37" s="140" t="s">
        <v>918</v>
      </c>
      <c r="C37" s="82" t="s">
        <v>1918</v>
      </c>
      <c r="D37" s="4"/>
      <c r="E37" s="82" t="s">
        <v>392</v>
      </c>
      <c r="F37" s="103">
        <v>10.596</v>
      </c>
      <c r="G37" s="14">
        <f t="shared" si="28"/>
        <v>10596</v>
      </c>
      <c r="H37" s="97">
        <v>5</v>
      </c>
      <c r="I37" s="83" t="s">
        <v>1946</v>
      </c>
      <c r="J37" s="85" t="s">
        <v>1823</v>
      </c>
      <c r="K37" s="135">
        <v>60446</v>
      </c>
      <c r="L37" s="4"/>
      <c r="M37" s="85" t="s">
        <v>1931</v>
      </c>
      <c r="N37" s="82" t="s">
        <v>1947</v>
      </c>
      <c r="O37" s="4"/>
      <c r="P37" s="4"/>
      <c r="Q37" s="5">
        <v>52300</v>
      </c>
      <c r="R37" s="36"/>
      <c r="S37" s="36"/>
      <c r="T37" s="37"/>
      <c r="U37" s="5">
        <f t="shared" si="29"/>
        <v>52300</v>
      </c>
      <c r="V37" s="5">
        <f t="shared" si="30"/>
        <v>554170.80000000005</v>
      </c>
      <c r="W37" s="5">
        <f t="shared" si="31"/>
        <v>99750.744000000006</v>
      </c>
      <c r="X37" s="5"/>
      <c r="Y37" s="5"/>
      <c r="Z37" s="98"/>
      <c r="AA37" s="23">
        <f t="shared" si="32"/>
        <v>0</v>
      </c>
      <c r="AB37" s="97">
        <f t="shared" si="33"/>
        <v>0</v>
      </c>
      <c r="AC37" s="43"/>
      <c r="AD37" s="49"/>
      <c r="AE37" s="5">
        <f t="shared" si="34"/>
        <v>653921.54399999999</v>
      </c>
      <c r="AF37" s="139">
        <v>301</v>
      </c>
      <c r="AG37" s="139" t="s">
        <v>1999</v>
      </c>
      <c r="AH37" s="103">
        <v>10.596</v>
      </c>
      <c r="AI37" s="12"/>
      <c r="AJ37" s="40"/>
      <c r="AK37" s="40"/>
    </row>
    <row r="38" spans="2:37" s="41" customFormat="1" ht="16.149999999999999" customHeight="1">
      <c r="B38" s="89"/>
      <c r="C38" s="140"/>
      <c r="D38" s="4"/>
      <c r="E38" s="82" t="s">
        <v>392</v>
      </c>
      <c r="F38" s="103">
        <v>12.976000000000001</v>
      </c>
      <c r="G38" s="14">
        <f t="shared" si="28"/>
        <v>12976</v>
      </c>
      <c r="H38" s="97">
        <v>7</v>
      </c>
      <c r="I38" s="83" t="s">
        <v>1949</v>
      </c>
      <c r="J38" s="85" t="s">
        <v>1823</v>
      </c>
      <c r="K38" s="135">
        <v>60448</v>
      </c>
      <c r="L38" s="4"/>
      <c r="M38" s="85" t="s">
        <v>1931</v>
      </c>
      <c r="N38" s="82" t="s">
        <v>1947</v>
      </c>
      <c r="O38" s="4"/>
      <c r="P38" s="4"/>
      <c r="Q38" s="5">
        <v>52300</v>
      </c>
      <c r="R38" s="36"/>
      <c r="S38" s="36"/>
      <c r="T38" s="37"/>
      <c r="U38" s="5">
        <f t="shared" si="29"/>
        <v>52300</v>
      </c>
      <c r="V38" s="5">
        <f t="shared" si="30"/>
        <v>678644.8</v>
      </c>
      <c r="W38" s="5">
        <f t="shared" si="31"/>
        <v>122156.064</v>
      </c>
      <c r="X38" s="5"/>
      <c r="Y38" s="5"/>
      <c r="Z38" s="98"/>
      <c r="AA38" s="23">
        <f t="shared" si="32"/>
        <v>0</v>
      </c>
      <c r="AB38" s="97">
        <f t="shared" si="33"/>
        <v>0</v>
      </c>
      <c r="AC38" s="43"/>
      <c r="AD38" s="49"/>
      <c r="AE38" s="5">
        <f t="shared" si="34"/>
        <v>800800.86400000006</v>
      </c>
      <c r="AF38" s="139">
        <v>302</v>
      </c>
      <c r="AG38" s="139" t="s">
        <v>1999</v>
      </c>
      <c r="AH38" s="103">
        <v>12.976000000000001</v>
      </c>
      <c r="AI38" s="12"/>
      <c r="AJ38" s="40"/>
      <c r="AK38" s="40"/>
    </row>
    <row r="39" spans="2:37" s="41" customFormat="1" ht="16.149999999999999" customHeight="1">
      <c r="B39" s="89"/>
      <c r="C39" s="4"/>
      <c r="D39" s="4"/>
      <c r="E39" s="82" t="s">
        <v>392</v>
      </c>
      <c r="F39" s="103">
        <v>27.6</v>
      </c>
      <c r="G39" s="14">
        <f t="shared" si="28"/>
        <v>27600</v>
      </c>
      <c r="H39" s="97">
        <v>13</v>
      </c>
      <c r="I39" s="83" t="s">
        <v>1873</v>
      </c>
      <c r="J39" s="85" t="s">
        <v>1823</v>
      </c>
      <c r="K39" s="135">
        <v>60944</v>
      </c>
      <c r="L39" s="4"/>
      <c r="M39" s="85" t="s">
        <v>1869</v>
      </c>
      <c r="N39" s="82" t="s">
        <v>1874</v>
      </c>
      <c r="O39" s="4"/>
      <c r="P39" s="4"/>
      <c r="Q39" s="5">
        <v>52300</v>
      </c>
      <c r="R39" s="36"/>
      <c r="S39" s="36"/>
      <c r="T39" s="37"/>
      <c r="U39" s="5">
        <f t="shared" si="29"/>
        <v>52300</v>
      </c>
      <c r="V39" s="5">
        <f t="shared" si="30"/>
        <v>1443480</v>
      </c>
      <c r="W39" s="5">
        <f t="shared" si="31"/>
        <v>259826.4</v>
      </c>
      <c r="X39" s="5"/>
      <c r="Y39" s="5"/>
      <c r="Z39" s="98"/>
      <c r="AA39" s="23">
        <f t="shared" si="32"/>
        <v>0</v>
      </c>
      <c r="AB39" s="97">
        <f t="shared" si="33"/>
        <v>0</v>
      </c>
      <c r="AC39" s="43"/>
      <c r="AD39" s="49"/>
      <c r="AE39" s="5">
        <f t="shared" si="34"/>
        <v>1703306.4</v>
      </c>
      <c r="AF39" s="139">
        <v>303</v>
      </c>
      <c r="AG39" s="139" t="s">
        <v>1999</v>
      </c>
      <c r="AH39" s="103">
        <v>27.6</v>
      </c>
      <c r="AI39" s="12"/>
      <c r="AJ39" s="40"/>
      <c r="AK39" s="40"/>
    </row>
    <row r="40" spans="2:37" s="41" customFormat="1">
      <c r="B40" s="13"/>
      <c r="C40" s="48"/>
      <c r="D40" s="6"/>
      <c r="E40" s="6"/>
      <c r="F40" s="81">
        <f>SUM(F36:F39)</f>
        <v>78.792000000000002</v>
      </c>
      <c r="G40" s="20">
        <f>SUM(G36:G39)</f>
        <v>78792</v>
      </c>
      <c r="H40" s="21">
        <f>SUM(H36:H39)</f>
        <v>38</v>
      </c>
      <c r="I40" s="2"/>
      <c r="J40" s="7"/>
      <c r="K40" s="7"/>
      <c r="L40" s="7"/>
      <c r="M40" s="2"/>
      <c r="N40" s="6"/>
      <c r="O40" s="6"/>
      <c r="P40" s="6"/>
      <c r="Q40" s="19"/>
      <c r="R40" s="9"/>
      <c r="S40" s="9"/>
      <c r="T40" s="10"/>
      <c r="U40" s="8"/>
      <c r="V40" s="21">
        <f>SUM(V36:V39)</f>
        <v>4120821.6</v>
      </c>
      <c r="W40" s="21">
        <f>SUM(W36:W39)</f>
        <v>741747.88800000004</v>
      </c>
      <c r="X40" s="21">
        <f>SUM(X36:X39)</f>
        <v>0</v>
      </c>
      <c r="Y40" s="21">
        <f>SUM(Y36:Y39)</f>
        <v>0</v>
      </c>
      <c r="Z40" s="99"/>
      <c r="AA40" s="21">
        <f>SUM(AA36:AA39)</f>
        <v>0</v>
      </c>
      <c r="AB40" s="21">
        <f>SUM(AB36:AB39)</f>
        <v>0</v>
      </c>
      <c r="AC40" s="21"/>
      <c r="AD40" s="21">
        <f>SUM(AD36:AD39)</f>
        <v>0</v>
      </c>
      <c r="AE40" s="21">
        <f>SUM(AE36:AE39)</f>
        <v>4862569.4879999999</v>
      </c>
      <c r="AF40" s="21"/>
      <c r="AG40" s="42"/>
      <c r="AH40" s="81">
        <f>SUM(AH36:AH39)</f>
        <v>78.792000000000002</v>
      </c>
      <c r="AI40" s="26">
        <f>AH40-F40</f>
        <v>0</v>
      </c>
      <c r="AJ40" s="41">
        <f>AA40/F40</f>
        <v>0</v>
      </c>
      <c r="AK40" s="40"/>
    </row>
    <row r="41" spans="2:37" s="41" customFormat="1" ht="16.149999999999999" customHeight="1">
      <c r="B41" s="138" t="s">
        <v>1970</v>
      </c>
      <c r="C41" s="82" t="s">
        <v>1820</v>
      </c>
      <c r="D41" s="4"/>
      <c r="E41" s="82" t="s">
        <v>35</v>
      </c>
      <c r="F41" s="137">
        <f>10.597+0.553</f>
        <v>11.15</v>
      </c>
      <c r="G41" s="14">
        <f t="shared" ref="G41:G42" si="35">+F41*1000</f>
        <v>11150</v>
      </c>
      <c r="H41" s="162">
        <f>5+1</f>
        <v>6</v>
      </c>
      <c r="I41" s="83" t="s">
        <v>1969</v>
      </c>
      <c r="J41" s="85" t="s">
        <v>1723</v>
      </c>
      <c r="K41" s="161" t="s">
        <v>2128</v>
      </c>
      <c r="L41" s="4"/>
      <c r="M41" s="160" t="s">
        <v>2127</v>
      </c>
      <c r="N41" s="159" t="s">
        <v>1504</v>
      </c>
      <c r="O41" s="4"/>
      <c r="P41" s="4"/>
      <c r="Q41" s="5">
        <v>54300</v>
      </c>
      <c r="R41" s="36"/>
      <c r="S41" s="36"/>
      <c r="T41" s="37"/>
      <c r="U41" s="5">
        <f t="shared" ref="U41:U42" si="36">S41+R41+Q41-T41</f>
        <v>54300</v>
      </c>
      <c r="V41" s="5">
        <f t="shared" ref="V41:V42" si="37">F41*U41</f>
        <v>605445</v>
      </c>
      <c r="W41" s="5">
        <f t="shared" ref="W41:W42" si="38">V41*18%</f>
        <v>108980.09999999999</v>
      </c>
      <c r="X41" s="5"/>
      <c r="Y41" s="5"/>
      <c r="Z41" s="98"/>
      <c r="AA41" s="23">
        <f t="shared" ref="AA41:AA42" si="39">F41*Z41</f>
        <v>0</v>
      </c>
      <c r="AB41" s="97">
        <f t="shared" ref="AB41:AB42" si="40">AA41*18%</f>
        <v>0</v>
      </c>
      <c r="AC41" s="43"/>
      <c r="AD41" s="49"/>
      <c r="AE41" s="5">
        <f t="shared" ref="AE41:AE42" si="41">+AB41+AA41+Y41+X41+W41+V41-AC41+AD41</f>
        <v>714425.1</v>
      </c>
      <c r="AF41" s="139">
        <v>389</v>
      </c>
      <c r="AG41" s="139" t="s">
        <v>2264</v>
      </c>
      <c r="AH41" s="13">
        <v>11.15</v>
      </c>
      <c r="AI41" s="12"/>
      <c r="AJ41" s="40"/>
      <c r="AK41" s="40"/>
    </row>
    <row r="42" spans="2:37" s="41" customFormat="1" ht="16.149999999999999" customHeight="1">
      <c r="B42" s="89" t="s">
        <v>2129</v>
      </c>
      <c r="C42" s="82" t="s">
        <v>1968</v>
      </c>
      <c r="D42" s="4"/>
      <c r="E42" s="82" t="s">
        <v>35</v>
      </c>
      <c r="F42" s="103"/>
      <c r="G42" s="14">
        <f t="shared" si="35"/>
        <v>0</v>
      </c>
      <c r="H42" s="97"/>
      <c r="I42" s="83"/>
      <c r="J42" s="85"/>
      <c r="K42" s="135"/>
      <c r="L42" s="4"/>
      <c r="M42" s="85"/>
      <c r="N42" s="82"/>
      <c r="O42" s="4"/>
      <c r="P42" s="4"/>
      <c r="Q42" s="5">
        <v>54300</v>
      </c>
      <c r="R42" s="36"/>
      <c r="S42" s="36"/>
      <c r="T42" s="37"/>
      <c r="U42" s="5">
        <f t="shared" si="36"/>
        <v>54300</v>
      </c>
      <c r="V42" s="5">
        <f t="shared" si="37"/>
        <v>0</v>
      </c>
      <c r="W42" s="5">
        <f t="shared" si="38"/>
        <v>0</v>
      </c>
      <c r="X42" s="5"/>
      <c r="Y42" s="5"/>
      <c r="Z42" s="98"/>
      <c r="AA42" s="23">
        <f t="shared" si="39"/>
        <v>0</v>
      </c>
      <c r="AB42" s="97">
        <f t="shared" si="40"/>
        <v>0</v>
      </c>
      <c r="AC42" s="43"/>
      <c r="AD42" s="49"/>
      <c r="AE42" s="5">
        <f t="shared" si="41"/>
        <v>0</v>
      </c>
      <c r="AF42" s="139"/>
      <c r="AG42" s="139"/>
      <c r="AH42" s="13"/>
      <c r="AI42" s="12"/>
      <c r="AJ42" s="40"/>
      <c r="AK42" s="40"/>
    </row>
    <row r="43" spans="2:37" s="41" customFormat="1">
      <c r="B43" s="13"/>
      <c r="C43" s="48">
        <v>11.15</v>
      </c>
      <c r="D43" s="6"/>
      <c r="E43" s="48">
        <f>C43-F43</f>
        <v>0</v>
      </c>
      <c r="F43" s="81">
        <f>SUM(F41:F42)</f>
        <v>11.15</v>
      </c>
      <c r="G43" s="20">
        <f>SUM(G41:G42)</f>
        <v>11150</v>
      </c>
      <c r="H43" s="21">
        <f>SUM(H41:H42)</f>
        <v>6</v>
      </c>
      <c r="I43" s="2"/>
      <c r="J43" s="7"/>
      <c r="K43" s="7"/>
      <c r="L43" s="7"/>
      <c r="M43" s="2"/>
      <c r="N43" s="6"/>
      <c r="O43" s="6"/>
      <c r="P43" s="6"/>
      <c r="Q43" s="19"/>
      <c r="R43" s="9"/>
      <c r="S43" s="9"/>
      <c r="T43" s="10"/>
      <c r="U43" s="8"/>
      <c r="V43" s="21">
        <f>SUM(V41:V42)</f>
        <v>605445</v>
      </c>
      <c r="W43" s="21">
        <f>SUM(W41:W42)</f>
        <v>108980.09999999999</v>
      </c>
      <c r="X43" s="21">
        <f>SUM(X41:X42)</f>
        <v>0</v>
      </c>
      <c r="Y43" s="21">
        <f>SUM(Y41:Y42)</f>
        <v>0</v>
      </c>
      <c r="Z43" s="99"/>
      <c r="AA43" s="21">
        <f>SUM(AA41:AA42)</f>
        <v>0</v>
      </c>
      <c r="AB43" s="21">
        <f>SUM(AB41:AB42)</f>
        <v>0</v>
      </c>
      <c r="AC43" s="21"/>
      <c r="AD43" s="21">
        <f>SUM(AD41:AD42)</f>
        <v>0</v>
      </c>
      <c r="AE43" s="21">
        <f>SUM(AE41:AE42)</f>
        <v>714425.1</v>
      </c>
      <c r="AF43" s="21"/>
      <c r="AG43" s="42"/>
      <c r="AH43" s="81">
        <f>SUM(AH41:AH42)</f>
        <v>11.15</v>
      </c>
      <c r="AI43" s="26">
        <f>AH43-F43</f>
        <v>0</v>
      </c>
      <c r="AJ43" s="41">
        <f>AA43/F43</f>
        <v>0</v>
      </c>
      <c r="AK43" s="40"/>
    </row>
    <row r="44" spans="2:37" s="41" customFormat="1" ht="16.149999999999999" customHeight="1">
      <c r="B44" s="138" t="s">
        <v>1970</v>
      </c>
      <c r="C44" s="82" t="s">
        <v>1820</v>
      </c>
      <c r="D44" s="4"/>
      <c r="E44" s="82" t="s">
        <v>35</v>
      </c>
      <c r="F44" s="103">
        <v>31.83</v>
      </c>
      <c r="G44" s="14">
        <f t="shared" ref="G44:G71" si="42">+F44*1000</f>
        <v>31830</v>
      </c>
      <c r="H44" s="97">
        <v>15</v>
      </c>
      <c r="I44" s="83" t="s">
        <v>1973</v>
      </c>
      <c r="J44" s="85" t="s">
        <v>1723</v>
      </c>
      <c r="K44" s="135" t="s">
        <v>2123</v>
      </c>
      <c r="L44" s="4"/>
      <c r="M44" s="85" t="s">
        <v>2116</v>
      </c>
      <c r="N44" s="82" t="s">
        <v>2122</v>
      </c>
      <c r="O44" s="4"/>
      <c r="P44" s="4"/>
      <c r="Q44" s="5">
        <v>54300</v>
      </c>
      <c r="R44" s="36"/>
      <c r="S44" s="36"/>
      <c r="T44" s="37"/>
      <c r="U44" s="5">
        <f t="shared" ref="U44:U71" si="43">S44+R44+Q44-T44</f>
        <v>54300</v>
      </c>
      <c r="V44" s="5">
        <f t="shared" ref="V44:V71" si="44">F44*U44</f>
        <v>1728369</v>
      </c>
      <c r="W44" s="5">
        <f t="shared" ref="W44:W71" si="45">V44*18%</f>
        <v>311106.42</v>
      </c>
      <c r="X44" s="5"/>
      <c r="Y44" s="5"/>
      <c r="Z44" s="98"/>
      <c r="AA44" s="23">
        <f t="shared" ref="AA44:AA71" si="46">F44*Z44</f>
        <v>0</v>
      </c>
      <c r="AB44" s="97">
        <f t="shared" ref="AB44:AB71" si="47">AA44*18%</f>
        <v>0</v>
      </c>
      <c r="AC44" s="43"/>
      <c r="AD44" s="49"/>
      <c r="AE44" s="5">
        <f t="shared" ref="AE44:AE71" si="48">+AB44+AA44+Y44+X44+W44+V44-AC44+AD44</f>
        <v>2039475.42</v>
      </c>
      <c r="AF44" s="139">
        <v>390</v>
      </c>
      <c r="AG44" s="139" t="s">
        <v>2264</v>
      </c>
      <c r="AH44" s="13">
        <v>31.83</v>
      </c>
      <c r="AI44" s="12"/>
      <c r="AJ44" s="40"/>
      <c r="AK44" s="40"/>
    </row>
    <row r="45" spans="2:37" s="41" customFormat="1" ht="16.149999999999999" customHeight="1">
      <c r="B45" s="89" t="s">
        <v>1971</v>
      </c>
      <c r="C45" s="82" t="s">
        <v>1974</v>
      </c>
      <c r="D45" s="4"/>
      <c r="E45" s="82" t="s">
        <v>35</v>
      </c>
      <c r="F45" s="103">
        <v>31.82</v>
      </c>
      <c r="G45" s="14">
        <f t="shared" si="42"/>
        <v>31820</v>
      </c>
      <c r="H45" s="97">
        <v>15</v>
      </c>
      <c r="I45" s="83" t="s">
        <v>1973</v>
      </c>
      <c r="J45" s="85" t="s">
        <v>1723</v>
      </c>
      <c r="K45" s="135" t="s">
        <v>2124</v>
      </c>
      <c r="L45" s="4"/>
      <c r="M45" s="85" t="s">
        <v>2116</v>
      </c>
      <c r="N45" s="82" t="s">
        <v>1892</v>
      </c>
      <c r="O45" s="4"/>
      <c r="P45" s="4"/>
      <c r="Q45" s="5">
        <v>54300</v>
      </c>
      <c r="R45" s="36"/>
      <c r="S45" s="36"/>
      <c r="T45" s="37"/>
      <c r="U45" s="5">
        <f t="shared" si="43"/>
        <v>54300</v>
      </c>
      <c r="V45" s="5">
        <f t="shared" si="44"/>
        <v>1727826</v>
      </c>
      <c r="W45" s="5">
        <f t="shared" si="45"/>
        <v>311008.68</v>
      </c>
      <c r="X45" s="5"/>
      <c r="Y45" s="5"/>
      <c r="Z45" s="98"/>
      <c r="AA45" s="23">
        <f t="shared" si="46"/>
        <v>0</v>
      </c>
      <c r="AB45" s="97">
        <f t="shared" si="47"/>
        <v>0</v>
      </c>
      <c r="AC45" s="43"/>
      <c r="AD45" s="49"/>
      <c r="AE45" s="5">
        <f t="shared" si="48"/>
        <v>2038834.68</v>
      </c>
      <c r="AF45" s="139">
        <v>391</v>
      </c>
      <c r="AG45" s="139" t="s">
        <v>2264</v>
      </c>
      <c r="AH45" s="103">
        <v>31.82</v>
      </c>
      <c r="AI45" s="12"/>
      <c r="AJ45" s="40"/>
      <c r="AK45" s="40"/>
    </row>
    <row r="46" spans="2:37" s="41" customFormat="1" ht="16.149999999999999" customHeight="1">
      <c r="B46" s="89" t="s">
        <v>1972</v>
      </c>
      <c r="C46" s="140"/>
      <c r="D46" s="4"/>
      <c r="E46" s="82" t="s">
        <v>35</v>
      </c>
      <c r="F46" s="103">
        <v>25.393999999999998</v>
      </c>
      <c r="G46" s="14">
        <f t="shared" si="42"/>
        <v>25394</v>
      </c>
      <c r="H46" s="97">
        <v>12</v>
      </c>
      <c r="I46" s="83" t="s">
        <v>1973</v>
      </c>
      <c r="J46" s="85" t="s">
        <v>1723</v>
      </c>
      <c r="K46" s="135" t="s">
        <v>2121</v>
      </c>
      <c r="L46" s="4"/>
      <c r="M46" s="85" t="s">
        <v>2116</v>
      </c>
      <c r="N46" s="159" t="s">
        <v>1509</v>
      </c>
      <c r="O46" s="4"/>
      <c r="P46" s="4"/>
      <c r="Q46" s="5">
        <v>54300</v>
      </c>
      <c r="R46" s="36"/>
      <c r="S46" s="36"/>
      <c r="T46" s="37"/>
      <c r="U46" s="5">
        <f t="shared" si="43"/>
        <v>54300</v>
      </c>
      <c r="V46" s="5">
        <f t="shared" si="44"/>
        <v>1378894.2</v>
      </c>
      <c r="W46" s="5">
        <f t="shared" si="45"/>
        <v>248200.95599999998</v>
      </c>
      <c r="X46" s="5"/>
      <c r="Y46" s="5"/>
      <c r="Z46" s="98"/>
      <c r="AA46" s="23">
        <f t="shared" si="46"/>
        <v>0</v>
      </c>
      <c r="AB46" s="97">
        <f t="shared" si="47"/>
        <v>0</v>
      </c>
      <c r="AC46" s="43"/>
      <c r="AD46" s="49"/>
      <c r="AE46" s="5">
        <f t="shared" si="48"/>
        <v>1627095.156</v>
      </c>
      <c r="AF46" s="139">
        <v>392</v>
      </c>
      <c r="AG46" s="139" t="s">
        <v>2264</v>
      </c>
      <c r="AH46" s="103">
        <v>25.393999999999998</v>
      </c>
      <c r="AI46" s="12"/>
      <c r="AJ46" s="40"/>
      <c r="AK46" s="40"/>
    </row>
    <row r="47" spans="2:37" s="41" customFormat="1" ht="16.149999999999999" customHeight="1">
      <c r="B47" s="89"/>
      <c r="C47" s="4"/>
      <c r="D47" s="4"/>
      <c r="E47" s="82" t="s">
        <v>35</v>
      </c>
      <c r="F47" s="103">
        <v>31.75</v>
      </c>
      <c r="G47" s="14">
        <f t="shared" ref="G47:G49" si="49">+F47*1000</f>
        <v>31750</v>
      </c>
      <c r="H47" s="97">
        <v>15</v>
      </c>
      <c r="I47" s="83" t="s">
        <v>1973</v>
      </c>
      <c r="J47" s="85" t="s">
        <v>1723</v>
      </c>
      <c r="K47" s="135" t="s">
        <v>2125</v>
      </c>
      <c r="L47" s="4"/>
      <c r="M47" s="85" t="s">
        <v>2116</v>
      </c>
      <c r="N47" s="82" t="s">
        <v>1275</v>
      </c>
      <c r="O47" s="4"/>
      <c r="P47" s="4"/>
      <c r="Q47" s="5">
        <v>54300</v>
      </c>
      <c r="R47" s="36"/>
      <c r="S47" s="36"/>
      <c r="T47" s="37"/>
      <c r="U47" s="5">
        <f t="shared" ref="U47:U61" si="50">S47+R47+Q47-T47</f>
        <v>54300</v>
      </c>
      <c r="V47" s="5">
        <f t="shared" ref="V47:V61" si="51">F47*U47</f>
        <v>1724025</v>
      </c>
      <c r="W47" s="5">
        <f t="shared" ref="W47:W61" si="52">V47*18%</f>
        <v>310324.5</v>
      </c>
      <c r="X47" s="5"/>
      <c r="Y47" s="5"/>
      <c r="Z47" s="98"/>
      <c r="AA47" s="23">
        <f t="shared" ref="AA47:AA61" si="53">F47*Z47</f>
        <v>0</v>
      </c>
      <c r="AB47" s="97">
        <f t="shared" ref="AB47:AB61" si="54">AA47*18%</f>
        <v>0</v>
      </c>
      <c r="AC47" s="43"/>
      <c r="AD47" s="49"/>
      <c r="AE47" s="5">
        <f t="shared" ref="AE47:AE61" si="55">+AB47+AA47+Y47+X47+W47+V47-AC47+AD47</f>
        <v>2034349.5</v>
      </c>
      <c r="AF47" s="139">
        <v>393</v>
      </c>
      <c r="AG47" s="139" t="s">
        <v>2264</v>
      </c>
      <c r="AH47" s="103">
        <v>31.75</v>
      </c>
      <c r="AI47" s="12"/>
      <c r="AJ47" s="40"/>
      <c r="AK47" s="40"/>
    </row>
    <row r="48" spans="2:37" s="41" customFormat="1" ht="16.149999999999999" customHeight="1">
      <c r="B48" s="89"/>
      <c r="C48" s="4"/>
      <c r="D48" s="4"/>
      <c r="E48" s="82" t="s">
        <v>35</v>
      </c>
      <c r="F48" s="103">
        <v>31.78</v>
      </c>
      <c r="G48" s="14">
        <f t="shared" si="49"/>
        <v>31780</v>
      </c>
      <c r="H48" s="97">
        <v>15</v>
      </c>
      <c r="I48" s="83" t="s">
        <v>1973</v>
      </c>
      <c r="J48" s="85" t="s">
        <v>1723</v>
      </c>
      <c r="K48" s="135" t="s">
        <v>2126</v>
      </c>
      <c r="L48" s="4"/>
      <c r="M48" s="85" t="s">
        <v>2116</v>
      </c>
      <c r="N48" s="82" t="s">
        <v>1671</v>
      </c>
      <c r="O48" s="4"/>
      <c r="P48" s="4"/>
      <c r="Q48" s="5">
        <v>54300</v>
      </c>
      <c r="R48" s="36"/>
      <c r="S48" s="36"/>
      <c r="T48" s="37"/>
      <c r="U48" s="5">
        <f t="shared" si="50"/>
        <v>54300</v>
      </c>
      <c r="V48" s="5">
        <f t="shared" si="51"/>
        <v>1725654</v>
      </c>
      <c r="W48" s="5">
        <f t="shared" si="52"/>
        <v>310617.71999999997</v>
      </c>
      <c r="X48" s="5"/>
      <c r="Y48" s="5"/>
      <c r="Z48" s="98"/>
      <c r="AA48" s="23">
        <f t="shared" si="53"/>
        <v>0</v>
      </c>
      <c r="AB48" s="97">
        <f t="shared" si="54"/>
        <v>0</v>
      </c>
      <c r="AC48" s="43"/>
      <c r="AD48" s="49"/>
      <c r="AE48" s="5">
        <f t="shared" si="55"/>
        <v>2036271.72</v>
      </c>
      <c r="AF48" s="139">
        <v>394</v>
      </c>
      <c r="AG48" s="139" t="s">
        <v>2264</v>
      </c>
      <c r="AH48" s="103">
        <v>31.78</v>
      </c>
      <c r="AI48" s="12"/>
      <c r="AJ48" s="40"/>
      <c r="AK48" s="40"/>
    </row>
    <row r="49" spans="2:37" s="41" customFormat="1" ht="16.149999999999999" customHeight="1">
      <c r="B49" s="89"/>
      <c r="C49" s="4"/>
      <c r="D49" s="4"/>
      <c r="E49" s="82" t="s">
        <v>35</v>
      </c>
      <c r="F49" s="103">
        <v>31.79</v>
      </c>
      <c r="G49" s="14">
        <f t="shared" si="49"/>
        <v>31790</v>
      </c>
      <c r="H49" s="97">
        <v>15</v>
      </c>
      <c r="I49" s="83" t="s">
        <v>1973</v>
      </c>
      <c r="J49" s="85" t="s">
        <v>1723</v>
      </c>
      <c r="K49" s="135" t="s">
        <v>2146</v>
      </c>
      <c r="L49" s="4"/>
      <c r="M49" s="85" t="s">
        <v>2130</v>
      </c>
      <c r="N49" s="82" t="s">
        <v>2147</v>
      </c>
      <c r="O49" s="4"/>
      <c r="P49" s="4"/>
      <c r="Q49" s="5">
        <v>54300</v>
      </c>
      <c r="R49" s="36"/>
      <c r="S49" s="36"/>
      <c r="T49" s="37"/>
      <c r="U49" s="5">
        <f t="shared" si="50"/>
        <v>54300</v>
      </c>
      <c r="V49" s="5">
        <f t="shared" si="51"/>
        <v>1726197</v>
      </c>
      <c r="W49" s="5">
        <f t="shared" si="52"/>
        <v>310715.45999999996</v>
      </c>
      <c r="X49" s="5"/>
      <c r="Y49" s="5"/>
      <c r="Z49" s="98"/>
      <c r="AA49" s="23">
        <f t="shared" si="53"/>
        <v>0</v>
      </c>
      <c r="AB49" s="97">
        <f t="shared" si="54"/>
        <v>0</v>
      </c>
      <c r="AC49" s="43"/>
      <c r="AD49" s="49"/>
      <c r="AE49" s="5">
        <f t="shared" si="55"/>
        <v>2036912.46</v>
      </c>
      <c r="AF49" s="139">
        <v>395</v>
      </c>
      <c r="AG49" s="139" t="s">
        <v>2264</v>
      </c>
      <c r="AH49" s="103">
        <v>31.79</v>
      </c>
      <c r="AI49" s="12"/>
      <c r="AJ49" s="40"/>
      <c r="AK49" s="40"/>
    </row>
    <row r="50" spans="2:37" s="41" customFormat="1" ht="16.149999999999999" customHeight="1">
      <c r="B50" s="89"/>
      <c r="C50" s="4"/>
      <c r="D50" s="4"/>
      <c r="E50" s="82" t="s">
        <v>35</v>
      </c>
      <c r="F50" s="103">
        <v>42.14</v>
      </c>
      <c r="G50" s="14">
        <f t="shared" ref="G50:G69" si="56">+F50*1000</f>
        <v>42140</v>
      </c>
      <c r="H50" s="97">
        <v>20</v>
      </c>
      <c r="I50" s="83" t="s">
        <v>1973</v>
      </c>
      <c r="J50" s="85" t="s">
        <v>1723</v>
      </c>
      <c r="K50" s="135" t="s">
        <v>2131</v>
      </c>
      <c r="L50" s="4"/>
      <c r="M50" s="85" t="s">
        <v>2130</v>
      </c>
      <c r="N50" s="82" t="s">
        <v>1921</v>
      </c>
      <c r="O50" s="4"/>
      <c r="P50" s="4"/>
      <c r="Q50" s="5">
        <v>54300</v>
      </c>
      <c r="R50" s="36"/>
      <c r="S50" s="36"/>
      <c r="T50" s="37"/>
      <c r="U50" s="5">
        <f t="shared" si="50"/>
        <v>54300</v>
      </c>
      <c r="V50" s="5">
        <f t="shared" si="51"/>
        <v>2288202</v>
      </c>
      <c r="W50" s="5">
        <f t="shared" si="52"/>
        <v>411876.36</v>
      </c>
      <c r="X50" s="5"/>
      <c r="Y50" s="5"/>
      <c r="Z50" s="98"/>
      <c r="AA50" s="23">
        <f t="shared" si="53"/>
        <v>0</v>
      </c>
      <c r="AB50" s="97">
        <f t="shared" si="54"/>
        <v>0</v>
      </c>
      <c r="AC50" s="43"/>
      <c r="AD50" s="49"/>
      <c r="AE50" s="5">
        <f t="shared" si="55"/>
        <v>2700078.36</v>
      </c>
      <c r="AF50" s="139">
        <v>396</v>
      </c>
      <c r="AG50" s="139" t="s">
        <v>2264</v>
      </c>
      <c r="AH50" s="103">
        <v>42.14</v>
      </c>
      <c r="AI50" s="12"/>
      <c r="AJ50" s="40"/>
      <c r="AK50" s="40"/>
    </row>
    <row r="51" spans="2:37" s="41" customFormat="1" ht="16.149999999999999" customHeight="1">
      <c r="B51" s="89"/>
      <c r="C51" s="4"/>
      <c r="D51" s="4"/>
      <c r="E51" s="82" t="s">
        <v>35</v>
      </c>
      <c r="F51" s="103">
        <v>31.73</v>
      </c>
      <c r="G51" s="14">
        <f t="shared" si="56"/>
        <v>31730</v>
      </c>
      <c r="H51" s="97">
        <v>15</v>
      </c>
      <c r="I51" s="83" t="s">
        <v>1973</v>
      </c>
      <c r="J51" s="85" t="s">
        <v>1723</v>
      </c>
      <c r="K51" s="135" t="s">
        <v>2132</v>
      </c>
      <c r="L51" s="4"/>
      <c r="M51" s="85" t="s">
        <v>2127</v>
      </c>
      <c r="N51" s="82" t="s">
        <v>52</v>
      </c>
      <c r="O51" s="4"/>
      <c r="P51" s="4"/>
      <c r="Q51" s="5">
        <v>54300</v>
      </c>
      <c r="R51" s="36"/>
      <c r="S51" s="36"/>
      <c r="T51" s="37"/>
      <c r="U51" s="5">
        <f t="shared" ref="U51:U55" si="57">S51+R51+Q51-T51</f>
        <v>54300</v>
      </c>
      <c r="V51" s="5">
        <f t="shared" ref="V51:V55" si="58">F51*U51</f>
        <v>1722939</v>
      </c>
      <c r="W51" s="5">
        <f t="shared" ref="W51:W55" si="59">V51*18%</f>
        <v>310129.01999999996</v>
      </c>
      <c r="X51" s="5"/>
      <c r="Y51" s="5"/>
      <c r="Z51" s="98"/>
      <c r="AA51" s="23">
        <f t="shared" ref="AA51:AA55" si="60">F51*Z51</f>
        <v>0</v>
      </c>
      <c r="AB51" s="97">
        <f t="shared" ref="AB51:AB55" si="61">AA51*18%</f>
        <v>0</v>
      </c>
      <c r="AC51" s="43"/>
      <c r="AD51" s="49"/>
      <c r="AE51" s="5">
        <f t="shared" ref="AE51:AE55" si="62">+AB51+AA51+Y51+X51+W51+V51-AC51+AD51</f>
        <v>2033068.02</v>
      </c>
      <c r="AF51" s="139">
        <v>397</v>
      </c>
      <c r="AG51" s="139" t="s">
        <v>2264</v>
      </c>
      <c r="AH51" s="103">
        <v>31.73</v>
      </c>
      <c r="AI51" s="12"/>
      <c r="AJ51" s="40"/>
      <c r="AK51" s="40"/>
    </row>
    <row r="52" spans="2:37" s="41" customFormat="1" ht="16.149999999999999" customHeight="1">
      <c r="B52" s="89"/>
      <c r="C52" s="4"/>
      <c r="D52" s="4"/>
      <c r="E52" s="82" t="s">
        <v>35</v>
      </c>
      <c r="F52" s="103">
        <v>31.78</v>
      </c>
      <c r="G52" s="14">
        <f t="shared" si="56"/>
        <v>31780</v>
      </c>
      <c r="H52" s="97">
        <v>15</v>
      </c>
      <c r="I52" s="83" t="s">
        <v>1973</v>
      </c>
      <c r="J52" s="85" t="s">
        <v>1723</v>
      </c>
      <c r="K52" s="135" t="s">
        <v>2133</v>
      </c>
      <c r="L52" s="4"/>
      <c r="M52" s="85" t="s">
        <v>2127</v>
      </c>
      <c r="N52" s="82" t="s">
        <v>2122</v>
      </c>
      <c r="O52" s="4"/>
      <c r="P52" s="4"/>
      <c r="Q52" s="5">
        <v>54300</v>
      </c>
      <c r="R52" s="36"/>
      <c r="S52" s="36"/>
      <c r="T52" s="37"/>
      <c r="U52" s="5">
        <f t="shared" si="57"/>
        <v>54300</v>
      </c>
      <c r="V52" s="5">
        <f t="shared" si="58"/>
        <v>1725654</v>
      </c>
      <c r="W52" s="5">
        <f t="shared" si="59"/>
        <v>310617.71999999997</v>
      </c>
      <c r="X52" s="5"/>
      <c r="Y52" s="5"/>
      <c r="Z52" s="98"/>
      <c r="AA52" s="23">
        <f t="shared" si="60"/>
        <v>0</v>
      </c>
      <c r="AB52" s="97">
        <f t="shared" si="61"/>
        <v>0</v>
      </c>
      <c r="AC52" s="43"/>
      <c r="AD52" s="49"/>
      <c r="AE52" s="5">
        <f t="shared" si="62"/>
        <v>2036271.72</v>
      </c>
      <c r="AF52" s="139">
        <v>398</v>
      </c>
      <c r="AG52" s="139" t="s">
        <v>2264</v>
      </c>
      <c r="AH52" s="103">
        <v>31.78</v>
      </c>
      <c r="AI52" s="12"/>
      <c r="AJ52" s="40"/>
      <c r="AK52" s="40"/>
    </row>
    <row r="53" spans="2:37" s="41" customFormat="1" ht="16.149999999999999" customHeight="1">
      <c r="B53" s="89"/>
      <c r="C53" s="4"/>
      <c r="D53" s="4"/>
      <c r="E53" s="82" t="s">
        <v>35</v>
      </c>
      <c r="F53" s="137">
        <v>48</v>
      </c>
      <c r="G53" s="14">
        <f t="shared" si="56"/>
        <v>48000</v>
      </c>
      <c r="H53" s="162">
        <v>22</v>
      </c>
      <c r="I53" s="83" t="s">
        <v>1973</v>
      </c>
      <c r="J53" s="85" t="s">
        <v>1723</v>
      </c>
      <c r="K53" s="161" t="s">
        <v>2128</v>
      </c>
      <c r="L53" s="4"/>
      <c r="M53" s="160" t="s">
        <v>2127</v>
      </c>
      <c r="N53" s="159" t="s">
        <v>1504</v>
      </c>
      <c r="O53" s="4"/>
      <c r="P53" s="4"/>
      <c r="Q53" s="5">
        <v>54300</v>
      </c>
      <c r="R53" s="36"/>
      <c r="S53" s="36"/>
      <c r="T53" s="37"/>
      <c r="U53" s="5">
        <f t="shared" si="57"/>
        <v>54300</v>
      </c>
      <c r="V53" s="5">
        <f t="shared" si="58"/>
        <v>2606400</v>
      </c>
      <c r="W53" s="5">
        <f t="shared" si="59"/>
        <v>469152</v>
      </c>
      <c r="X53" s="5"/>
      <c r="Y53" s="5"/>
      <c r="Z53" s="98"/>
      <c r="AA53" s="23">
        <f t="shared" si="60"/>
        <v>0</v>
      </c>
      <c r="AB53" s="97">
        <f t="shared" si="61"/>
        <v>0</v>
      </c>
      <c r="AC53" s="43"/>
      <c r="AD53" s="49"/>
      <c r="AE53" s="5">
        <f t="shared" si="62"/>
        <v>3075552</v>
      </c>
      <c r="AF53" s="139">
        <v>399</v>
      </c>
      <c r="AG53" s="139" t="s">
        <v>2264</v>
      </c>
      <c r="AH53" s="137">
        <v>48</v>
      </c>
      <c r="AI53" s="12"/>
      <c r="AJ53" s="40"/>
      <c r="AK53" s="40"/>
    </row>
    <row r="54" spans="2:37" s="41" customFormat="1" ht="16.149999999999999" customHeight="1">
      <c r="B54" s="89"/>
      <c r="C54" s="4"/>
      <c r="D54" s="4"/>
      <c r="E54" s="82" t="s">
        <v>35</v>
      </c>
      <c r="F54" s="103">
        <v>31.71</v>
      </c>
      <c r="G54" s="14">
        <f t="shared" si="56"/>
        <v>31710</v>
      </c>
      <c r="H54" s="97">
        <v>15</v>
      </c>
      <c r="I54" s="83" t="s">
        <v>1973</v>
      </c>
      <c r="J54" s="85" t="s">
        <v>1723</v>
      </c>
      <c r="K54" s="135" t="s">
        <v>2134</v>
      </c>
      <c r="L54" s="4"/>
      <c r="M54" s="85" t="s">
        <v>2127</v>
      </c>
      <c r="N54" s="82" t="s">
        <v>1801</v>
      </c>
      <c r="O54" s="4"/>
      <c r="P54" s="4"/>
      <c r="Q54" s="5">
        <v>54300</v>
      </c>
      <c r="R54" s="36"/>
      <c r="S54" s="36"/>
      <c r="T54" s="37"/>
      <c r="U54" s="5">
        <f t="shared" si="57"/>
        <v>54300</v>
      </c>
      <c r="V54" s="5">
        <f t="shared" si="58"/>
        <v>1721853</v>
      </c>
      <c r="W54" s="5">
        <f t="shared" si="59"/>
        <v>309933.53999999998</v>
      </c>
      <c r="X54" s="5"/>
      <c r="Y54" s="5"/>
      <c r="Z54" s="98"/>
      <c r="AA54" s="23">
        <f t="shared" si="60"/>
        <v>0</v>
      </c>
      <c r="AB54" s="97">
        <f t="shared" si="61"/>
        <v>0</v>
      </c>
      <c r="AC54" s="43"/>
      <c r="AD54" s="49"/>
      <c r="AE54" s="5">
        <f t="shared" si="62"/>
        <v>2031786.54</v>
      </c>
      <c r="AF54" s="139">
        <v>400</v>
      </c>
      <c r="AG54" s="139" t="s">
        <v>2264</v>
      </c>
      <c r="AH54" s="103">
        <v>31.71</v>
      </c>
      <c r="AI54" s="12"/>
      <c r="AJ54" s="40"/>
      <c r="AK54" s="40"/>
    </row>
    <row r="55" spans="2:37" s="41" customFormat="1" ht="16.149999999999999" customHeight="1">
      <c r="B55" s="89"/>
      <c r="C55" s="4"/>
      <c r="D55" s="4"/>
      <c r="E55" s="82" t="s">
        <v>35</v>
      </c>
      <c r="F55" s="103">
        <v>31.84</v>
      </c>
      <c r="G55" s="14">
        <f t="shared" si="56"/>
        <v>31840</v>
      </c>
      <c r="H55" s="97">
        <v>15</v>
      </c>
      <c r="I55" s="83" t="s">
        <v>1973</v>
      </c>
      <c r="J55" s="85" t="s">
        <v>1723</v>
      </c>
      <c r="K55" s="135" t="s">
        <v>2135</v>
      </c>
      <c r="L55" s="4"/>
      <c r="M55" s="85" t="s">
        <v>2127</v>
      </c>
      <c r="N55" s="82" t="s">
        <v>2148</v>
      </c>
      <c r="O55" s="4"/>
      <c r="P55" s="4"/>
      <c r="Q55" s="5">
        <v>54300</v>
      </c>
      <c r="R55" s="36"/>
      <c r="S55" s="36"/>
      <c r="T55" s="37"/>
      <c r="U55" s="5">
        <f t="shared" si="57"/>
        <v>54300</v>
      </c>
      <c r="V55" s="5">
        <f t="shared" si="58"/>
        <v>1728912</v>
      </c>
      <c r="W55" s="5">
        <f t="shared" si="59"/>
        <v>311204.15999999997</v>
      </c>
      <c r="X55" s="5"/>
      <c r="Y55" s="5"/>
      <c r="Z55" s="98"/>
      <c r="AA55" s="23">
        <f t="shared" si="60"/>
        <v>0</v>
      </c>
      <c r="AB55" s="97">
        <f t="shared" si="61"/>
        <v>0</v>
      </c>
      <c r="AC55" s="43"/>
      <c r="AD55" s="49"/>
      <c r="AE55" s="5">
        <f t="shared" si="62"/>
        <v>2040116.16</v>
      </c>
      <c r="AF55" s="139">
        <v>401</v>
      </c>
      <c r="AG55" s="139" t="s">
        <v>2264</v>
      </c>
      <c r="AH55" s="103">
        <v>31.84</v>
      </c>
      <c r="AI55" s="12"/>
      <c r="AJ55" s="40"/>
      <c r="AK55" s="40"/>
    </row>
    <row r="56" spans="2:37" s="41" customFormat="1" ht="16.149999999999999" customHeight="1">
      <c r="B56" s="89"/>
      <c r="C56" s="4"/>
      <c r="D56" s="4"/>
      <c r="E56" s="82" t="s">
        <v>35</v>
      </c>
      <c r="F56" s="103">
        <v>31.71</v>
      </c>
      <c r="G56" s="14">
        <f t="shared" si="56"/>
        <v>31710</v>
      </c>
      <c r="H56" s="97">
        <v>15</v>
      </c>
      <c r="I56" s="83" t="s">
        <v>1973</v>
      </c>
      <c r="J56" s="85" t="s">
        <v>1723</v>
      </c>
      <c r="K56" s="135" t="s">
        <v>2136</v>
      </c>
      <c r="L56" s="4"/>
      <c r="M56" s="85" t="s">
        <v>2127</v>
      </c>
      <c r="N56" s="82" t="s">
        <v>2149</v>
      </c>
      <c r="O56" s="4"/>
      <c r="P56" s="4"/>
      <c r="Q56" s="5">
        <v>54300</v>
      </c>
      <c r="R56" s="36"/>
      <c r="S56" s="36"/>
      <c r="T56" s="37"/>
      <c r="U56" s="5">
        <f t="shared" si="50"/>
        <v>54300</v>
      </c>
      <c r="V56" s="5">
        <f t="shared" si="51"/>
        <v>1721853</v>
      </c>
      <c r="W56" s="5">
        <f t="shared" si="52"/>
        <v>309933.53999999998</v>
      </c>
      <c r="X56" s="5"/>
      <c r="Y56" s="5"/>
      <c r="Z56" s="98"/>
      <c r="AA56" s="23">
        <f t="shared" si="53"/>
        <v>0</v>
      </c>
      <c r="AB56" s="97">
        <f t="shared" si="54"/>
        <v>0</v>
      </c>
      <c r="AC56" s="43"/>
      <c r="AD56" s="49"/>
      <c r="AE56" s="5">
        <f t="shared" si="55"/>
        <v>2031786.54</v>
      </c>
      <c r="AF56" s="139">
        <v>402</v>
      </c>
      <c r="AG56" s="139" t="s">
        <v>2264</v>
      </c>
      <c r="AH56" s="103">
        <v>31.71</v>
      </c>
      <c r="AI56" s="12"/>
      <c r="AJ56" s="40"/>
      <c r="AK56" s="40"/>
    </row>
    <row r="57" spans="2:37" s="41" customFormat="1" ht="16.149999999999999" customHeight="1">
      <c r="B57" s="89"/>
      <c r="C57" s="4"/>
      <c r="D57" s="4"/>
      <c r="E57" s="82" t="s">
        <v>35</v>
      </c>
      <c r="F57" s="103">
        <v>33.770000000000003</v>
      </c>
      <c r="G57" s="14">
        <f t="shared" si="56"/>
        <v>33770</v>
      </c>
      <c r="H57" s="97">
        <v>16</v>
      </c>
      <c r="I57" s="83" t="s">
        <v>1973</v>
      </c>
      <c r="J57" s="85" t="s">
        <v>1723</v>
      </c>
      <c r="K57" s="135" t="s">
        <v>2137</v>
      </c>
      <c r="L57" s="4"/>
      <c r="M57" s="85" t="s">
        <v>2127</v>
      </c>
      <c r="N57" s="82" t="s">
        <v>2150</v>
      </c>
      <c r="O57" s="4"/>
      <c r="P57" s="4"/>
      <c r="Q57" s="5">
        <v>54300</v>
      </c>
      <c r="R57" s="36"/>
      <c r="S57" s="36"/>
      <c r="T57" s="37"/>
      <c r="U57" s="5">
        <f t="shared" si="50"/>
        <v>54300</v>
      </c>
      <c r="V57" s="5">
        <f t="shared" si="51"/>
        <v>1833711.0000000002</v>
      </c>
      <c r="W57" s="5">
        <f t="shared" si="52"/>
        <v>330067.98000000004</v>
      </c>
      <c r="X57" s="5"/>
      <c r="Y57" s="5"/>
      <c r="Z57" s="98"/>
      <c r="AA57" s="23">
        <f t="shared" si="53"/>
        <v>0</v>
      </c>
      <c r="AB57" s="97">
        <f t="shared" si="54"/>
        <v>0</v>
      </c>
      <c r="AC57" s="43"/>
      <c r="AD57" s="49"/>
      <c r="AE57" s="5">
        <f t="shared" si="55"/>
        <v>2163778.9800000004</v>
      </c>
      <c r="AF57" s="139">
        <v>403</v>
      </c>
      <c r="AG57" s="139" t="s">
        <v>2264</v>
      </c>
      <c r="AH57" s="103">
        <v>33.770000000000003</v>
      </c>
      <c r="AI57" s="12"/>
      <c r="AJ57" s="40"/>
      <c r="AK57" s="40"/>
    </row>
    <row r="58" spans="2:37" s="41" customFormat="1" ht="16.149999999999999" customHeight="1">
      <c r="B58" s="89"/>
      <c r="C58" s="4"/>
      <c r="D58" s="4"/>
      <c r="E58" s="82" t="s">
        <v>35</v>
      </c>
      <c r="F58" s="103">
        <v>31.83</v>
      </c>
      <c r="G58" s="14">
        <f t="shared" si="56"/>
        <v>31830</v>
      </c>
      <c r="H58" s="97">
        <v>15</v>
      </c>
      <c r="I58" s="83" t="s">
        <v>1973</v>
      </c>
      <c r="J58" s="85" t="s">
        <v>1723</v>
      </c>
      <c r="K58" s="135" t="s">
        <v>2138</v>
      </c>
      <c r="L58" s="4"/>
      <c r="M58" s="85" t="s">
        <v>2127</v>
      </c>
      <c r="N58" s="82" t="s">
        <v>1671</v>
      </c>
      <c r="O58" s="4"/>
      <c r="P58" s="4"/>
      <c r="Q58" s="5">
        <v>54300</v>
      </c>
      <c r="R58" s="36"/>
      <c r="S58" s="36"/>
      <c r="T58" s="37"/>
      <c r="U58" s="5">
        <f t="shared" si="50"/>
        <v>54300</v>
      </c>
      <c r="V58" s="5">
        <f t="shared" si="51"/>
        <v>1728369</v>
      </c>
      <c r="W58" s="5">
        <f t="shared" si="52"/>
        <v>311106.42</v>
      </c>
      <c r="X58" s="5"/>
      <c r="Y58" s="5"/>
      <c r="Z58" s="98"/>
      <c r="AA58" s="23">
        <f t="shared" si="53"/>
        <v>0</v>
      </c>
      <c r="AB58" s="97">
        <f t="shared" si="54"/>
        <v>0</v>
      </c>
      <c r="AC58" s="43"/>
      <c r="AD58" s="49"/>
      <c r="AE58" s="5">
        <f t="shared" si="55"/>
        <v>2039475.42</v>
      </c>
      <c r="AF58" s="139">
        <v>404</v>
      </c>
      <c r="AG58" s="139" t="s">
        <v>2264</v>
      </c>
      <c r="AH58" s="103">
        <v>31.83</v>
      </c>
      <c r="AI58" s="12"/>
      <c r="AJ58" s="40"/>
      <c r="AK58" s="40"/>
    </row>
    <row r="59" spans="2:37" s="41" customFormat="1" ht="16.149999999999999" customHeight="1">
      <c r="B59" s="89"/>
      <c r="C59" s="4"/>
      <c r="D59" s="4"/>
      <c r="E59" s="82" t="s">
        <v>35</v>
      </c>
      <c r="F59" s="103">
        <v>31.76</v>
      </c>
      <c r="G59" s="14">
        <f t="shared" si="56"/>
        <v>31760</v>
      </c>
      <c r="H59" s="97">
        <v>15</v>
      </c>
      <c r="I59" s="83" t="s">
        <v>1973</v>
      </c>
      <c r="J59" s="85" t="s">
        <v>1723</v>
      </c>
      <c r="K59" s="135" t="s">
        <v>2139</v>
      </c>
      <c r="L59" s="4"/>
      <c r="M59" s="85" t="s">
        <v>2127</v>
      </c>
      <c r="N59" s="82" t="s">
        <v>51</v>
      </c>
      <c r="O59" s="4"/>
      <c r="P59" s="4"/>
      <c r="Q59" s="5">
        <v>54300</v>
      </c>
      <c r="R59" s="36"/>
      <c r="S59" s="36"/>
      <c r="T59" s="37"/>
      <c r="U59" s="5">
        <f t="shared" si="50"/>
        <v>54300</v>
      </c>
      <c r="V59" s="5">
        <f t="shared" si="51"/>
        <v>1724568</v>
      </c>
      <c r="W59" s="5">
        <f t="shared" si="52"/>
        <v>310422.24</v>
      </c>
      <c r="X59" s="5"/>
      <c r="Y59" s="5"/>
      <c r="Z59" s="98"/>
      <c r="AA59" s="23">
        <f t="shared" si="53"/>
        <v>0</v>
      </c>
      <c r="AB59" s="97">
        <f t="shared" si="54"/>
        <v>0</v>
      </c>
      <c r="AC59" s="43"/>
      <c r="AD59" s="49"/>
      <c r="AE59" s="5">
        <f t="shared" si="55"/>
        <v>2034990.24</v>
      </c>
      <c r="AF59" s="139">
        <v>405</v>
      </c>
      <c r="AG59" s="139" t="s">
        <v>2264</v>
      </c>
      <c r="AH59" s="103">
        <v>31.76</v>
      </c>
      <c r="AI59" s="12"/>
      <c r="AJ59" s="40"/>
      <c r="AK59" s="40"/>
    </row>
    <row r="60" spans="2:37" s="41" customFormat="1" ht="16.149999999999999" customHeight="1">
      <c r="B60" s="89"/>
      <c r="C60" s="4"/>
      <c r="D60" s="4"/>
      <c r="E60" s="82" t="s">
        <v>35</v>
      </c>
      <c r="F60" s="103">
        <v>42.39</v>
      </c>
      <c r="G60" s="14">
        <f t="shared" si="56"/>
        <v>42390</v>
      </c>
      <c r="H60" s="97">
        <v>20</v>
      </c>
      <c r="I60" s="83" t="s">
        <v>1973</v>
      </c>
      <c r="J60" s="85" t="s">
        <v>1723</v>
      </c>
      <c r="K60" s="135" t="s">
        <v>2140</v>
      </c>
      <c r="L60" s="4"/>
      <c r="M60" s="85" t="s">
        <v>2127</v>
      </c>
      <c r="N60" s="82" t="s">
        <v>1580</v>
      </c>
      <c r="O60" s="4"/>
      <c r="P60" s="4"/>
      <c r="Q60" s="5">
        <v>54300</v>
      </c>
      <c r="R60" s="36"/>
      <c r="S60" s="36"/>
      <c r="T60" s="37"/>
      <c r="U60" s="5">
        <f t="shared" si="50"/>
        <v>54300</v>
      </c>
      <c r="V60" s="5">
        <f t="shared" si="51"/>
        <v>2301777</v>
      </c>
      <c r="W60" s="5">
        <f t="shared" si="52"/>
        <v>414319.86</v>
      </c>
      <c r="X60" s="5"/>
      <c r="Y60" s="5"/>
      <c r="Z60" s="98"/>
      <c r="AA60" s="23">
        <f t="shared" si="53"/>
        <v>0</v>
      </c>
      <c r="AB60" s="97">
        <f t="shared" si="54"/>
        <v>0</v>
      </c>
      <c r="AC60" s="43"/>
      <c r="AD60" s="49"/>
      <c r="AE60" s="5">
        <f t="shared" si="55"/>
        <v>2716096.86</v>
      </c>
      <c r="AF60" s="139">
        <v>406</v>
      </c>
      <c r="AG60" s="139" t="s">
        <v>2264</v>
      </c>
      <c r="AH60" s="103">
        <v>42.39</v>
      </c>
      <c r="AI60" s="12"/>
      <c r="AJ60" s="40"/>
      <c r="AK60" s="40"/>
    </row>
    <row r="61" spans="2:37" s="41" customFormat="1" ht="16.149999999999999" customHeight="1">
      <c r="B61" s="89"/>
      <c r="C61" s="4"/>
      <c r="D61" s="4"/>
      <c r="E61" s="82" t="s">
        <v>35</v>
      </c>
      <c r="F61" s="103">
        <v>31.69</v>
      </c>
      <c r="G61" s="14">
        <f t="shared" si="56"/>
        <v>31690</v>
      </c>
      <c r="H61" s="97">
        <v>15</v>
      </c>
      <c r="I61" s="83" t="s">
        <v>1973</v>
      </c>
      <c r="J61" s="85" t="s">
        <v>1723</v>
      </c>
      <c r="K61" s="135" t="s">
        <v>2141</v>
      </c>
      <c r="L61" s="4"/>
      <c r="M61" s="85" t="s">
        <v>2127</v>
      </c>
      <c r="N61" s="82" t="s">
        <v>42</v>
      </c>
      <c r="O61" s="4"/>
      <c r="P61" s="4"/>
      <c r="Q61" s="5">
        <v>54300</v>
      </c>
      <c r="R61" s="36"/>
      <c r="S61" s="36"/>
      <c r="T61" s="37"/>
      <c r="U61" s="5">
        <f t="shared" si="50"/>
        <v>54300</v>
      </c>
      <c r="V61" s="5">
        <f t="shared" si="51"/>
        <v>1720767</v>
      </c>
      <c r="W61" s="5">
        <f t="shared" si="52"/>
        <v>309738.06</v>
      </c>
      <c r="X61" s="5"/>
      <c r="Y61" s="5"/>
      <c r="Z61" s="98"/>
      <c r="AA61" s="23">
        <f t="shared" si="53"/>
        <v>0</v>
      </c>
      <c r="AB61" s="97">
        <f t="shared" si="54"/>
        <v>0</v>
      </c>
      <c r="AC61" s="43"/>
      <c r="AD61" s="49"/>
      <c r="AE61" s="5">
        <f t="shared" si="55"/>
        <v>2030505.06</v>
      </c>
      <c r="AF61" s="139">
        <v>407</v>
      </c>
      <c r="AG61" s="139" t="s">
        <v>2264</v>
      </c>
      <c r="AH61" s="103">
        <v>31.69</v>
      </c>
      <c r="AI61" s="12"/>
      <c r="AJ61" s="40"/>
      <c r="AK61" s="40"/>
    </row>
    <row r="62" spans="2:37" s="41" customFormat="1" ht="16.149999999999999" customHeight="1">
      <c r="B62" s="89"/>
      <c r="C62" s="4"/>
      <c r="D62" s="4"/>
      <c r="E62" s="82" t="s">
        <v>35</v>
      </c>
      <c r="F62" s="103">
        <v>31.62</v>
      </c>
      <c r="G62" s="14">
        <f t="shared" si="56"/>
        <v>31620</v>
      </c>
      <c r="H62" s="97">
        <v>15</v>
      </c>
      <c r="I62" s="83" t="s">
        <v>1973</v>
      </c>
      <c r="J62" s="85" t="s">
        <v>1723</v>
      </c>
      <c r="K62" s="135" t="s">
        <v>2142</v>
      </c>
      <c r="L62" s="4"/>
      <c r="M62" s="85" t="s">
        <v>2127</v>
      </c>
      <c r="N62" s="82" t="s">
        <v>44</v>
      </c>
      <c r="O62" s="4"/>
      <c r="P62" s="4"/>
      <c r="Q62" s="5">
        <v>54300</v>
      </c>
      <c r="R62" s="36"/>
      <c r="S62" s="36"/>
      <c r="T62" s="37"/>
      <c r="U62" s="5">
        <f t="shared" si="43"/>
        <v>54300</v>
      </c>
      <c r="V62" s="5">
        <f t="shared" si="44"/>
        <v>1716966</v>
      </c>
      <c r="W62" s="5">
        <f t="shared" si="45"/>
        <v>309053.88</v>
      </c>
      <c r="X62" s="5"/>
      <c r="Y62" s="5"/>
      <c r="Z62" s="98"/>
      <c r="AA62" s="23">
        <f t="shared" si="46"/>
        <v>0</v>
      </c>
      <c r="AB62" s="97">
        <f t="shared" si="47"/>
        <v>0</v>
      </c>
      <c r="AC62" s="43"/>
      <c r="AD62" s="49"/>
      <c r="AE62" s="5">
        <f t="shared" si="48"/>
        <v>2026019.88</v>
      </c>
      <c r="AF62" s="139">
        <v>408</v>
      </c>
      <c r="AG62" s="139" t="s">
        <v>2264</v>
      </c>
      <c r="AH62" s="103">
        <v>31.62</v>
      </c>
      <c r="AI62" s="12"/>
      <c r="AJ62" s="40"/>
      <c r="AK62" s="40"/>
    </row>
    <row r="63" spans="2:37" s="41" customFormat="1" ht="16.149999999999999" customHeight="1">
      <c r="B63" s="89"/>
      <c r="C63" s="4"/>
      <c r="D63" s="4"/>
      <c r="E63" s="82" t="s">
        <v>35</v>
      </c>
      <c r="F63" s="103">
        <v>31.86</v>
      </c>
      <c r="G63" s="14">
        <f t="shared" si="56"/>
        <v>31860</v>
      </c>
      <c r="H63" s="97">
        <v>15</v>
      </c>
      <c r="I63" s="83" t="s">
        <v>1973</v>
      </c>
      <c r="J63" s="85" t="s">
        <v>1723</v>
      </c>
      <c r="K63" s="135" t="s">
        <v>2143</v>
      </c>
      <c r="L63" s="4"/>
      <c r="M63" s="85" t="s">
        <v>2127</v>
      </c>
      <c r="N63" s="159" t="s">
        <v>1200</v>
      </c>
      <c r="O63" s="4"/>
      <c r="P63" s="4"/>
      <c r="Q63" s="5">
        <v>54300</v>
      </c>
      <c r="R63" s="36"/>
      <c r="S63" s="36"/>
      <c r="T63" s="37"/>
      <c r="U63" s="5">
        <f t="shared" si="43"/>
        <v>54300</v>
      </c>
      <c r="V63" s="5">
        <f t="shared" si="44"/>
        <v>1729998</v>
      </c>
      <c r="W63" s="5">
        <f t="shared" si="45"/>
        <v>311399.64</v>
      </c>
      <c r="X63" s="5"/>
      <c r="Y63" s="5"/>
      <c r="Z63" s="98"/>
      <c r="AA63" s="23">
        <f t="shared" si="46"/>
        <v>0</v>
      </c>
      <c r="AB63" s="97">
        <f t="shared" si="47"/>
        <v>0</v>
      </c>
      <c r="AC63" s="43"/>
      <c r="AD63" s="49"/>
      <c r="AE63" s="5">
        <f t="shared" si="48"/>
        <v>2041397.6400000001</v>
      </c>
      <c r="AF63" s="139">
        <v>409</v>
      </c>
      <c r="AG63" s="139" t="s">
        <v>2264</v>
      </c>
      <c r="AH63" s="103">
        <v>31.86</v>
      </c>
      <c r="AI63" s="12"/>
      <c r="AJ63" s="40"/>
      <c r="AK63" s="40"/>
    </row>
    <row r="64" spans="2:37" s="41" customFormat="1" ht="16.149999999999999" customHeight="1">
      <c r="B64" s="89"/>
      <c r="C64" s="4"/>
      <c r="D64" s="4"/>
      <c r="E64" s="82" t="s">
        <v>35</v>
      </c>
      <c r="F64" s="103">
        <v>31.65</v>
      </c>
      <c r="G64" s="14">
        <f t="shared" si="56"/>
        <v>31650</v>
      </c>
      <c r="H64" s="97">
        <v>15</v>
      </c>
      <c r="I64" s="83" t="s">
        <v>1973</v>
      </c>
      <c r="J64" s="85" t="s">
        <v>1723</v>
      </c>
      <c r="K64" s="135" t="s">
        <v>2144</v>
      </c>
      <c r="L64" s="4"/>
      <c r="M64" s="85" t="s">
        <v>2127</v>
      </c>
      <c r="N64" s="82" t="s">
        <v>1669</v>
      </c>
      <c r="O64" s="4"/>
      <c r="P64" s="4"/>
      <c r="Q64" s="5">
        <v>54300</v>
      </c>
      <c r="R64" s="36"/>
      <c r="S64" s="36"/>
      <c r="T64" s="37"/>
      <c r="U64" s="5">
        <f t="shared" si="43"/>
        <v>54300</v>
      </c>
      <c r="V64" s="5">
        <f t="shared" si="44"/>
        <v>1718595</v>
      </c>
      <c r="W64" s="5">
        <f t="shared" si="45"/>
        <v>309347.09999999998</v>
      </c>
      <c r="X64" s="5"/>
      <c r="Y64" s="5"/>
      <c r="Z64" s="98"/>
      <c r="AA64" s="23">
        <f t="shared" si="46"/>
        <v>0</v>
      </c>
      <c r="AB64" s="97">
        <f t="shared" si="47"/>
        <v>0</v>
      </c>
      <c r="AC64" s="43"/>
      <c r="AD64" s="49"/>
      <c r="AE64" s="5">
        <f t="shared" si="48"/>
        <v>2027942.1</v>
      </c>
      <c r="AF64" s="139">
        <v>410</v>
      </c>
      <c r="AG64" s="139" t="s">
        <v>2264</v>
      </c>
      <c r="AH64" s="103">
        <v>31.65</v>
      </c>
      <c r="AI64" s="12"/>
      <c r="AJ64" s="40"/>
      <c r="AK64" s="40"/>
    </row>
    <row r="65" spans="2:37" s="41" customFormat="1" ht="16.149999999999999" customHeight="1">
      <c r="B65" s="89"/>
      <c r="C65" s="4"/>
      <c r="D65" s="4"/>
      <c r="E65" s="82" t="s">
        <v>35</v>
      </c>
      <c r="F65" s="103">
        <v>31.7</v>
      </c>
      <c r="G65" s="14">
        <f t="shared" si="56"/>
        <v>31700</v>
      </c>
      <c r="H65" s="97">
        <v>15</v>
      </c>
      <c r="I65" s="83" t="s">
        <v>1973</v>
      </c>
      <c r="J65" s="85" t="s">
        <v>1723</v>
      </c>
      <c r="K65" s="135" t="s">
        <v>2145</v>
      </c>
      <c r="L65" s="4"/>
      <c r="M65" s="85" t="s">
        <v>2127</v>
      </c>
      <c r="N65" s="82" t="s">
        <v>1636</v>
      </c>
      <c r="O65" s="4"/>
      <c r="P65" s="4"/>
      <c r="Q65" s="5">
        <v>54300</v>
      </c>
      <c r="R65" s="36"/>
      <c r="S65" s="36"/>
      <c r="T65" s="37"/>
      <c r="U65" s="5">
        <f t="shared" si="43"/>
        <v>54300</v>
      </c>
      <c r="V65" s="5">
        <f t="shared" si="44"/>
        <v>1721310</v>
      </c>
      <c r="W65" s="5">
        <f t="shared" si="45"/>
        <v>309835.8</v>
      </c>
      <c r="X65" s="5"/>
      <c r="Y65" s="5"/>
      <c r="Z65" s="98"/>
      <c r="AA65" s="23">
        <f t="shared" si="46"/>
        <v>0</v>
      </c>
      <c r="AB65" s="97">
        <f t="shared" si="47"/>
        <v>0</v>
      </c>
      <c r="AC65" s="43"/>
      <c r="AD65" s="49"/>
      <c r="AE65" s="5">
        <f t="shared" si="48"/>
        <v>2031145.8</v>
      </c>
      <c r="AF65" s="139">
        <v>411</v>
      </c>
      <c r="AG65" s="139" t="s">
        <v>2264</v>
      </c>
      <c r="AH65" s="103">
        <v>31.7</v>
      </c>
      <c r="AI65" s="12"/>
      <c r="AJ65" s="40"/>
      <c r="AK65" s="40"/>
    </row>
    <row r="66" spans="2:37" s="41" customFormat="1" ht="16.149999999999999" customHeight="1">
      <c r="B66" s="89"/>
      <c r="C66" s="4"/>
      <c r="D66" s="4"/>
      <c r="E66" s="82" t="s">
        <v>35</v>
      </c>
      <c r="F66" s="103">
        <v>31.69</v>
      </c>
      <c r="G66" s="14">
        <f t="shared" si="56"/>
        <v>31690</v>
      </c>
      <c r="H66" s="97">
        <v>15</v>
      </c>
      <c r="I66" s="83" t="s">
        <v>1973</v>
      </c>
      <c r="J66" s="85" t="s">
        <v>1723</v>
      </c>
      <c r="K66" s="135" t="s">
        <v>2157</v>
      </c>
      <c r="L66" s="4"/>
      <c r="M66" s="85" t="s">
        <v>2127</v>
      </c>
      <c r="N66" s="82" t="s">
        <v>2158</v>
      </c>
      <c r="O66" s="4"/>
      <c r="P66" s="4"/>
      <c r="Q66" s="5">
        <v>54300</v>
      </c>
      <c r="R66" s="36"/>
      <c r="S66" s="36"/>
      <c r="T66" s="37"/>
      <c r="U66" s="5">
        <f t="shared" ref="U66:U69" si="63">S66+R66+Q66-T66</f>
        <v>54300</v>
      </c>
      <c r="V66" s="5">
        <f t="shared" ref="V66:V69" si="64">F66*U66</f>
        <v>1720767</v>
      </c>
      <c r="W66" s="5">
        <f t="shared" ref="W66:W69" si="65">V66*18%</f>
        <v>309738.06</v>
      </c>
      <c r="X66" s="5"/>
      <c r="Y66" s="5"/>
      <c r="Z66" s="98"/>
      <c r="AA66" s="23">
        <f t="shared" ref="AA66:AA69" si="66">F66*Z66</f>
        <v>0</v>
      </c>
      <c r="AB66" s="97">
        <f t="shared" ref="AB66:AB69" si="67">AA66*18%</f>
        <v>0</v>
      </c>
      <c r="AC66" s="43"/>
      <c r="AD66" s="49"/>
      <c r="AE66" s="5">
        <f t="shared" ref="AE66:AE69" si="68">+AB66+AA66+Y66+X66+W66+V66-AC66+AD66</f>
        <v>2030505.06</v>
      </c>
      <c r="AF66" s="139">
        <v>412</v>
      </c>
      <c r="AG66" s="139" t="s">
        <v>2264</v>
      </c>
      <c r="AH66" s="103">
        <v>31.69</v>
      </c>
      <c r="AI66" s="12"/>
      <c r="AJ66" s="40"/>
      <c r="AK66" s="40"/>
    </row>
    <row r="67" spans="2:37" s="41" customFormat="1" ht="16.149999999999999" customHeight="1">
      <c r="B67" s="89"/>
      <c r="C67" s="4"/>
      <c r="D67" s="4"/>
      <c r="E67" s="82" t="s">
        <v>35</v>
      </c>
      <c r="F67" s="103">
        <v>27.41</v>
      </c>
      <c r="G67" s="14">
        <f t="shared" ref="G67:G68" si="69">+F67*1000</f>
        <v>27410</v>
      </c>
      <c r="H67" s="97">
        <v>13</v>
      </c>
      <c r="I67" s="83" t="s">
        <v>1973</v>
      </c>
      <c r="J67" s="85" t="s">
        <v>1723</v>
      </c>
      <c r="K67" s="135" t="s">
        <v>2162</v>
      </c>
      <c r="L67" s="4"/>
      <c r="M67" s="85" t="s">
        <v>2161</v>
      </c>
      <c r="N67" s="82" t="s">
        <v>2159</v>
      </c>
      <c r="O67" s="4"/>
      <c r="P67" s="4"/>
      <c r="Q67" s="5">
        <v>54300</v>
      </c>
      <c r="R67" s="36"/>
      <c r="S67" s="36"/>
      <c r="T67" s="37"/>
      <c r="U67" s="5">
        <f t="shared" ref="U67:U68" si="70">S67+R67+Q67-T67</f>
        <v>54300</v>
      </c>
      <c r="V67" s="5">
        <f t="shared" ref="V67:V68" si="71">F67*U67</f>
        <v>1488363</v>
      </c>
      <c r="W67" s="5">
        <f t="shared" ref="W67:W68" si="72">V67*18%</f>
        <v>267905.33999999997</v>
      </c>
      <c r="X67" s="5"/>
      <c r="Y67" s="5"/>
      <c r="Z67" s="98"/>
      <c r="AA67" s="23">
        <f t="shared" ref="AA67:AA68" si="73">F67*Z67</f>
        <v>0</v>
      </c>
      <c r="AB67" s="97">
        <f t="shared" ref="AB67:AB68" si="74">AA67*18%</f>
        <v>0</v>
      </c>
      <c r="AC67" s="43"/>
      <c r="AD67" s="49"/>
      <c r="AE67" s="5">
        <f t="shared" ref="AE67:AE68" si="75">+AB67+AA67+Y67+X67+W67+V67-AC67+AD67</f>
        <v>1756268.3399999999</v>
      </c>
      <c r="AF67" s="139">
        <v>413</v>
      </c>
      <c r="AG67" s="139" t="s">
        <v>2264</v>
      </c>
      <c r="AH67" s="103">
        <v>27.41</v>
      </c>
      <c r="AI67" s="12"/>
      <c r="AJ67" s="40"/>
      <c r="AK67" s="40"/>
    </row>
    <row r="68" spans="2:37" s="41" customFormat="1" ht="16.149999999999999" customHeight="1">
      <c r="B68" s="89"/>
      <c r="C68" s="4"/>
      <c r="D68" s="4"/>
      <c r="E68" s="82" t="s">
        <v>35</v>
      </c>
      <c r="F68" s="103">
        <v>31.65</v>
      </c>
      <c r="G68" s="14">
        <f t="shared" si="69"/>
        <v>31650</v>
      </c>
      <c r="H68" s="97">
        <v>15</v>
      </c>
      <c r="I68" s="83" t="s">
        <v>1973</v>
      </c>
      <c r="J68" s="85" t="s">
        <v>1723</v>
      </c>
      <c r="K68" s="135" t="s">
        <v>2163</v>
      </c>
      <c r="L68" s="4"/>
      <c r="M68" s="85" t="s">
        <v>2161</v>
      </c>
      <c r="N68" s="82" t="s">
        <v>1597</v>
      </c>
      <c r="O68" s="4"/>
      <c r="P68" s="4"/>
      <c r="Q68" s="5">
        <v>54300</v>
      </c>
      <c r="R68" s="36"/>
      <c r="S68" s="36"/>
      <c r="T68" s="37"/>
      <c r="U68" s="5">
        <f t="shared" si="70"/>
        <v>54300</v>
      </c>
      <c r="V68" s="5">
        <f t="shared" si="71"/>
        <v>1718595</v>
      </c>
      <c r="W68" s="5">
        <f t="shared" si="72"/>
        <v>309347.09999999998</v>
      </c>
      <c r="X68" s="5"/>
      <c r="Y68" s="5"/>
      <c r="Z68" s="98"/>
      <c r="AA68" s="23">
        <f t="shared" si="73"/>
        <v>0</v>
      </c>
      <c r="AB68" s="97">
        <f t="shared" si="74"/>
        <v>0</v>
      </c>
      <c r="AC68" s="43"/>
      <c r="AD68" s="49"/>
      <c r="AE68" s="5">
        <f t="shared" si="75"/>
        <v>2027942.1</v>
      </c>
      <c r="AF68" s="139">
        <v>414</v>
      </c>
      <c r="AG68" s="139" t="s">
        <v>2264</v>
      </c>
      <c r="AH68" s="103">
        <v>31.65</v>
      </c>
      <c r="AI68" s="12"/>
      <c r="AJ68" s="40"/>
      <c r="AK68" s="40"/>
    </row>
    <row r="69" spans="2:37" s="41" customFormat="1" ht="16.149999999999999" customHeight="1">
      <c r="B69" s="89"/>
      <c r="C69" s="4"/>
      <c r="D69" s="4"/>
      <c r="E69" s="82" t="s">
        <v>35</v>
      </c>
      <c r="F69" s="103">
        <v>59.31</v>
      </c>
      <c r="G69" s="14">
        <f t="shared" si="56"/>
        <v>59310</v>
      </c>
      <c r="H69" s="97">
        <v>28</v>
      </c>
      <c r="I69" s="83" t="s">
        <v>1973</v>
      </c>
      <c r="J69" s="85" t="s">
        <v>1723</v>
      </c>
      <c r="K69" s="135" t="s">
        <v>2164</v>
      </c>
      <c r="L69" s="4"/>
      <c r="M69" s="85" t="s">
        <v>2161</v>
      </c>
      <c r="N69" s="82" t="s">
        <v>1503</v>
      </c>
      <c r="O69" s="4"/>
      <c r="P69" s="4"/>
      <c r="Q69" s="5">
        <v>54300</v>
      </c>
      <c r="R69" s="36"/>
      <c r="S69" s="36"/>
      <c r="T69" s="37"/>
      <c r="U69" s="5">
        <f t="shared" si="63"/>
        <v>54300</v>
      </c>
      <c r="V69" s="5">
        <f t="shared" si="64"/>
        <v>3220533</v>
      </c>
      <c r="W69" s="5">
        <f t="shared" si="65"/>
        <v>579695.93999999994</v>
      </c>
      <c r="X69" s="5"/>
      <c r="Y69" s="5"/>
      <c r="Z69" s="98"/>
      <c r="AA69" s="23">
        <f t="shared" si="66"/>
        <v>0</v>
      </c>
      <c r="AB69" s="97">
        <f t="shared" si="67"/>
        <v>0</v>
      </c>
      <c r="AC69" s="43"/>
      <c r="AD69" s="49"/>
      <c r="AE69" s="5">
        <f t="shared" si="68"/>
        <v>3800228.94</v>
      </c>
      <c r="AF69" s="139">
        <v>415</v>
      </c>
      <c r="AG69" s="139" t="s">
        <v>2264</v>
      </c>
      <c r="AH69" s="103">
        <v>59.31</v>
      </c>
      <c r="AI69" s="12"/>
      <c r="AJ69" s="40"/>
      <c r="AK69" s="40"/>
    </row>
    <row r="70" spans="2:37" s="41" customFormat="1" ht="16.149999999999999" customHeight="1">
      <c r="B70" s="89"/>
      <c r="C70" s="4"/>
      <c r="D70" s="4"/>
      <c r="E70" s="82" t="s">
        <v>35</v>
      </c>
      <c r="F70" s="103">
        <v>59.27</v>
      </c>
      <c r="G70" s="14">
        <f t="shared" si="42"/>
        <v>59270</v>
      </c>
      <c r="H70" s="97">
        <v>28</v>
      </c>
      <c r="I70" s="83" t="s">
        <v>1973</v>
      </c>
      <c r="J70" s="85" t="s">
        <v>1723</v>
      </c>
      <c r="K70" s="135" t="s">
        <v>2165</v>
      </c>
      <c r="L70" s="4"/>
      <c r="M70" s="85" t="s">
        <v>2161</v>
      </c>
      <c r="N70" s="82" t="s">
        <v>1504</v>
      </c>
      <c r="O70" s="4"/>
      <c r="P70" s="4"/>
      <c r="Q70" s="5">
        <v>54300</v>
      </c>
      <c r="R70" s="36"/>
      <c r="S70" s="36"/>
      <c r="T70" s="37"/>
      <c r="U70" s="5">
        <f t="shared" si="43"/>
        <v>54300</v>
      </c>
      <c r="V70" s="5">
        <f t="shared" si="44"/>
        <v>3218361</v>
      </c>
      <c r="W70" s="5">
        <f t="shared" si="45"/>
        <v>579304.98</v>
      </c>
      <c r="X70" s="5"/>
      <c r="Y70" s="5"/>
      <c r="Z70" s="98"/>
      <c r="AA70" s="23">
        <f t="shared" si="46"/>
        <v>0</v>
      </c>
      <c r="AB70" s="97">
        <f t="shared" si="47"/>
        <v>0</v>
      </c>
      <c r="AC70" s="43"/>
      <c r="AD70" s="49"/>
      <c r="AE70" s="5">
        <f t="shared" si="48"/>
        <v>3797665.98</v>
      </c>
      <c r="AF70" s="139">
        <v>416</v>
      </c>
      <c r="AG70" s="139" t="s">
        <v>2264</v>
      </c>
      <c r="AH70" s="103">
        <v>59.27</v>
      </c>
      <c r="AI70" s="12"/>
      <c r="AJ70" s="40"/>
      <c r="AK70" s="40"/>
    </row>
    <row r="71" spans="2:37" s="41" customFormat="1" ht="16.149999999999999" customHeight="1">
      <c r="B71" s="89"/>
      <c r="C71" s="4"/>
      <c r="D71" s="4"/>
      <c r="E71" s="82" t="s">
        <v>35</v>
      </c>
      <c r="F71" s="103">
        <f>31.7-8.375</f>
        <v>23.324999999999999</v>
      </c>
      <c r="G71" s="14">
        <f t="shared" si="42"/>
        <v>23325</v>
      </c>
      <c r="H71" s="97">
        <v>15</v>
      </c>
      <c r="I71" s="83" t="s">
        <v>1973</v>
      </c>
      <c r="J71" s="85" t="s">
        <v>1723</v>
      </c>
      <c r="K71" s="135" t="s">
        <v>2166</v>
      </c>
      <c r="L71" s="4"/>
      <c r="M71" s="85" t="s">
        <v>2161</v>
      </c>
      <c r="N71" s="82" t="s">
        <v>2160</v>
      </c>
      <c r="O71" s="4"/>
      <c r="P71" s="4"/>
      <c r="Q71" s="5">
        <v>54300</v>
      </c>
      <c r="R71" s="36"/>
      <c r="S71" s="36"/>
      <c r="T71" s="37"/>
      <c r="U71" s="5">
        <f t="shared" si="43"/>
        <v>54300</v>
      </c>
      <c r="V71" s="5">
        <f t="shared" si="44"/>
        <v>1266547.5</v>
      </c>
      <c r="W71" s="5">
        <f t="shared" si="45"/>
        <v>227978.55</v>
      </c>
      <c r="X71" s="5"/>
      <c r="Y71" s="5"/>
      <c r="Z71" s="98"/>
      <c r="AA71" s="23">
        <f t="shared" si="46"/>
        <v>0</v>
      </c>
      <c r="AB71" s="97">
        <f t="shared" si="47"/>
        <v>0</v>
      </c>
      <c r="AC71" s="43"/>
      <c r="AD71" s="49"/>
      <c r="AE71" s="5">
        <f t="shared" si="48"/>
        <v>1494526.05</v>
      </c>
      <c r="AF71" s="139">
        <v>417</v>
      </c>
      <c r="AG71" s="139" t="s">
        <v>2264</v>
      </c>
      <c r="AH71" s="103">
        <f>31.7-8.375</f>
        <v>23.324999999999999</v>
      </c>
      <c r="AI71" s="12"/>
      <c r="AJ71" s="40"/>
      <c r="AK71" s="40"/>
    </row>
    <row r="72" spans="2:37" s="41" customFormat="1">
      <c r="B72" s="13"/>
      <c r="C72" s="48">
        <v>964.19899999999996</v>
      </c>
      <c r="D72" s="6"/>
      <c r="E72" s="48">
        <f>C72-F72</f>
        <v>0</v>
      </c>
      <c r="F72" s="81">
        <f>SUM(F44:F71)</f>
        <v>964.19900000000007</v>
      </c>
      <c r="G72" s="20">
        <f>SUM(G44:G71)</f>
        <v>964199</v>
      </c>
      <c r="H72" s="21">
        <f>SUM(H44:H71)</f>
        <v>459</v>
      </c>
      <c r="I72" s="2"/>
      <c r="J72" s="7"/>
      <c r="K72" s="7"/>
      <c r="L72" s="7"/>
      <c r="M72" s="2"/>
      <c r="N72" s="6"/>
      <c r="O72" s="6"/>
      <c r="P72" s="6"/>
      <c r="Q72" s="19"/>
      <c r="R72" s="9"/>
      <c r="S72" s="9"/>
      <c r="T72" s="10"/>
      <c r="U72" s="8"/>
      <c r="V72" s="21">
        <f>SUM(V44:V71)</f>
        <v>52356005.700000003</v>
      </c>
      <c r="W72" s="21">
        <f>SUM(W44:W71)</f>
        <v>9424081.0260000005</v>
      </c>
      <c r="X72" s="21">
        <f>SUM(X44:X71)</f>
        <v>0</v>
      </c>
      <c r="Y72" s="21">
        <f>SUM(Y44:Y71)</f>
        <v>0</v>
      </c>
      <c r="Z72" s="99"/>
      <c r="AA72" s="21">
        <f>SUM(AA44:AA71)</f>
        <v>0</v>
      </c>
      <c r="AB72" s="21">
        <f>SUM(AB44:AB71)</f>
        <v>0</v>
      </c>
      <c r="AC72" s="21"/>
      <c r="AD72" s="21">
        <f>SUM(AD44:AD71)</f>
        <v>0</v>
      </c>
      <c r="AE72" s="21">
        <f>SUM(AE44:AE71)</f>
        <v>61780086.725999996</v>
      </c>
      <c r="AF72" s="21"/>
      <c r="AG72" s="42"/>
      <c r="AH72" s="81">
        <f>SUM(AH44:AH71)</f>
        <v>964.19900000000007</v>
      </c>
      <c r="AI72" s="26">
        <f>AH72-F72</f>
        <v>0</v>
      </c>
      <c r="AJ72" s="41">
        <f>AA72/F72</f>
        <v>0</v>
      </c>
      <c r="AK72" s="40"/>
    </row>
    <row r="73" spans="2:37" s="41" customFormat="1" ht="16.149999999999999" customHeight="1">
      <c r="B73" s="138" t="s">
        <v>1970</v>
      </c>
      <c r="C73" s="82" t="s">
        <v>1820</v>
      </c>
      <c r="D73" s="4"/>
      <c r="E73" s="82" t="s">
        <v>35</v>
      </c>
      <c r="F73" s="156">
        <v>33.94</v>
      </c>
      <c r="G73" s="14">
        <f t="shared" ref="G73:G77" si="76">+F73*1000</f>
        <v>33940</v>
      </c>
      <c r="H73" s="97">
        <v>16</v>
      </c>
      <c r="I73" s="83" t="s">
        <v>2066</v>
      </c>
      <c r="J73" s="85" t="s">
        <v>1915</v>
      </c>
      <c r="K73" s="135" t="s">
        <v>2067</v>
      </c>
      <c r="L73" s="4"/>
      <c r="M73" s="85" t="s">
        <v>2060</v>
      </c>
      <c r="N73" s="82" t="s">
        <v>1506</v>
      </c>
      <c r="O73" s="4"/>
      <c r="P73" s="4"/>
      <c r="Q73" s="5">
        <v>56300</v>
      </c>
      <c r="R73" s="36"/>
      <c r="S73" s="36"/>
      <c r="T73" s="37"/>
      <c r="U73" s="5">
        <f t="shared" ref="U73:U77" si="77">S73+R73+Q73-T73</f>
        <v>56300</v>
      </c>
      <c r="V73" s="5">
        <f t="shared" ref="V73:V77" si="78">F73*U73</f>
        <v>1910821.9999999998</v>
      </c>
      <c r="W73" s="5">
        <f t="shared" ref="W73:W77" si="79">V73*18%</f>
        <v>343947.95999999996</v>
      </c>
      <c r="X73" s="5"/>
      <c r="Y73" s="5"/>
      <c r="Z73" s="98"/>
      <c r="AA73" s="23">
        <f t="shared" ref="AA73:AA77" si="80">F73*Z73</f>
        <v>0</v>
      </c>
      <c r="AB73" s="97">
        <f t="shared" ref="AB73:AB77" si="81">AA73*18%</f>
        <v>0</v>
      </c>
      <c r="AC73" s="43"/>
      <c r="AD73" s="49"/>
      <c r="AE73" s="5">
        <f t="shared" ref="AE73:AE77" si="82">+AB73+AA73+Y73+X73+W73+V73-AC73+AD73</f>
        <v>2254769.96</v>
      </c>
      <c r="AF73" s="139">
        <v>418</v>
      </c>
      <c r="AG73" s="139" t="s">
        <v>2264</v>
      </c>
      <c r="AH73" s="13">
        <v>33.94</v>
      </c>
      <c r="AI73" s="12"/>
      <c r="AJ73" s="40"/>
      <c r="AK73" s="40"/>
    </row>
    <row r="74" spans="2:37" s="41" customFormat="1" ht="16.149999999999999" customHeight="1">
      <c r="B74" s="89" t="s">
        <v>2063</v>
      </c>
      <c r="C74" s="82" t="s">
        <v>2065</v>
      </c>
      <c r="D74" s="4"/>
      <c r="E74" s="82" t="s">
        <v>35</v>
      </c>
      <c r="F74" s="156">
        <v>40.340000000000003</v>
      </c>
      <c r="G74" s="14">
        <f t="shared" si="76"/>
        <v>40340</v>
      </c>
      <c r="H74" s="97">
        <v>19</v>
      </c>
      <c r="I74" s="83" t="s">
        <v>2066</v>
      </c>
      <c r="J74" s="85" t="s">
        <v>1915</v>
      </c>
      <c r="K74" s="135" t="s">
        <v>2068</v>
      </c>
      <c r="L74" s="4"/>
      <c r="M74" s="85" t="s">
        <v>2060</v>
      </c>
      <c r="N74" s="82" t="s">
        <v>2072</v>
      </c>
      <c r="O74" s="4"/>
      <c r="P74" s="4"/>
      <c r="Q74" s="5">
        <v>56300</v>
      </c>
      <c r="R74" s="36"/>
      <c r="S74" s="36"/>
      <c r="T74" s="37"/>
      <c r="U74" s="5">
        <f t="shared" si="77"/>
        <v>56300</v>
      </c>
      <c r="V74" s="5">
        <f t="shared" si="78"/>
        <v>2271142</v>
      </c>
      <c r="W74" s="5">
        <f t="shared" si="79"/>
        <v>408805.56</v>
      </c>
      <c r="X74" s="5"/>
      <c r="Y74" s="5"/>
      <c r="Z74" s="98"/>
      <c r="AA74" s="23">
        <f t="shared" si="80"/>
        <v>0</v>
      </c>
      <c r="AB74" s="97">
        <f t="shared" si="81"/>
        <v>0</v>
      </c>
      <c r="AC74" s="43"/>
      <c r="AD74" s="49"/>
      <c r="AE74" s="5">
        <f t="shared" si="82"/>
        <v>2679947.56</v>
      </c>
      <c r="AF74" s="139">
        <v>419</v>
      </c>
      <c r="AG74" s="139" t="s">
        <v>2264</v>
      </c>
      <c r="AH74" s="13">
        <v>40.340000000000003</v>
      </c>
      <c r="AI74" s="12"/>
      <c r="AJ74" s="40"/>
      <c r="AK74" s="40"/>
    </row>
    <row r="75" spans="2:37" s="41" customFormat="1" ht="16.149999999999999" customHeight="1">
      <c r="B75" s="89" t="s">
        <v>2064</v>
      </c>
      <c r="C75" s="140" t="s">
        <v>1179</v>
      </c>
      <c r="D75" s="4"/>
      <c r="E75" s="82" t="s">
        <v>35</v>
      </c>
      <c r="F75" s="156">
        <v>40.31</v>
      </c>
      <c r="G75" s="14">
        <f t="shared" si="76"/>
        <v>40310</v>
      </c>
      <c r="H75" s="97">
        <v>19</v>
      </c>
      <c r="I75" s="83" t="s">
        <v>2066</v>
      </c>
      <c r="J75" s="85" t="s">
        <v>1915</v>
      </c>
      <c r="K75" s="135" t="s">
        <v>2069</v>
      </c>
      <c r="L75" s="4"/>
      <c r="M75" s="85" t="s">
        <v>2060</v>
      </c>
      <c r="N75" s="82" t="s">
        <v>1222</v>
      </c>
      <c r="O75" s="4"/>
      <c r="P75" s="4"/>
      <c r="Q75" s="5">
        <v>56300</v>
      </c>
      <c r="R75" s="36"/>
      <c r="S75" s="36"/>
      <c r="T75" s="37"/>
      <c r="U75" s="5">
        <f t="shared" si="77"/>
        <v>56300</v>
      </c>
      <c r="V75" s="5">
        <f t="shared" si="78"/>
        <v>2269453</v>
      </c>
      <c r="W75" s="5">
        <f t="shared" si="79"/>
        <v>408501.54</v>
      </c>
      <c r="X75" s="5"/>
      <c r="Y75" s="5"/>
      <c r="Z75" s="98"/>
      <c r="AA75" s="23">
        <f t="shared" si="80"/>
        <v>0</v>
      </c>
      <c r="AB75" s="97">
        <f t="shared" si="81"/>
        <v>0</v>
      </c>
      <c r="AC75" s="43"/>
      <c r="AD75" s="49"/>
      <c r="AE75" s="5">
        <f t="shared" si="82"/>
        <v>2677954.54</v>
      </c>
      <c r="AF75" s="139">
        <v>420</v>
      </c>
      <c r="AG75" s="139" t="s">
        <v>2264</v>
      </c>
      <c r="AH75" s="13">
        <v>40.31</v>
      </c>
      <c r="AI75" s="12"/>
      <c r="AJ75" s="40"/>
      <c r="AK75" s="40"/>
    </row>
    <row r="76" spans="2:37" s="41" customFormat="1" ht="16.149999999999999" customHeight="1">
      <c r="B76" s="89"/>
      <c r="C76" s="4"/>
      <c r="D76" s="4"/>
      <c r="E76" s="82" t="s">
        <v>35</v>
      </c>
      <c r="F76" s="156">
        <v>40.26</v>
      </c>
      <c r="G76" s="14">
        <f t="shared" si="76"/>
        <v>40260</v>
      </c>
      <c r="H76" s="97">
        <v>19</v>
      </c>
      <c r="I76" s="83" t="s">
        <v>2066</v>
      </c>
      <c r="J76" s="85" t="s">
        <v>1915</v>
      </c>
      <c r="K76" s="135" t="s">
        <v>2070</v>
      </c>
      <c r="L76" s="4"/>
      <c r="M76" s="85" t="s">
        <v>2060</v>
      </c>
      <c r="N76" s="82" t="s">
        <v>2073</v>
      </c>
      <c r="O76" s="4"/>
      <c r="P76" s="4"/>
      <c r="Q76" s="5">
        <v>56300</v>
      </c>
      <c r="R76" s="36"/>
      <c r="S76" s="36"/>
      <c r="T76" s="37"/>
      <c r="U76" s="5">
        <f t="shared" si="77"/>
        <v>56300</v>
      </c>
      <c r="V76" s="5">
        <f t="shared" si="78"/>
        <v>2266638</v>
      </c>
      <c r="W76" s="5">
        <f t="shared" si="79"/>
        <v>407994.83999999997</v>
      </c>
      <c r="X76" s="5"/>
      <c r="Y76" s="5"/>
      <c r="Z76" s="98"/>
      <c r="AA76" s="23">
        <f t="shared" si="80"/>
        <v>0</v>
      </c>
      <c r="AB76" s="97">
        <f t="shared" si="81"/>
        <v>0</v>
      </c>
      <c r="AC76" s="43"/>
      <c r="AD76" s="49"/>
      <c r="AE76" s="5">
        <f t="shared" si="82"/>
        <v>2674632.84</v>
      </c>
      <c r="AF76" s="139">
        <v>421</v>
      </c>
      <c r="AG76" s="139" t="s">
        <v>2264</v>
      </c>
      <c r="AH76" s="13">
        <v>40.26</v>
      </c>
      <c r="AI76" s="12"/>
      <c r="AJ76" s="40"/>
      <c r="AK76" s="40"/>
    </row>
    <row r="77" spans="2:37" s="41" customFormat="1" ht="16.149999999999999" customHeight="1">
      <c r="B77" s="89"/>
      <c r="C77" s="4"/>
      <c r="D77" s="4"/>
      <c r="E77" s="82" t="s">
        <v>35</v>
      </c>
      <c r="F77" s="156">
        <f>33.98-0.526</f>
        <v>33.453999999999994</v>
      </c>
      <c r="G77" s="14">
        <f t="shared" si="76"/>
        <v>33453.999999999993</v>
      </c>
      <c r="H77" s="97">
        <v>16</v>
      </c>
      <c r="I77" s="83" t="s">
        <v>2066</v>
      </c>
      <c r="J77" s="85" t="s">
        <v>1915</v>
      </c>
      <c r="K77" s="135" t="s">
        <v>2071</v>
      </c>
      <c r="L77" s="4"/>
      <c r="M77" s="85" t="s">
        <v>2060</v>
      </c>
      <c r="N77" s="82" t="s">
        <v>1511</v>
      </c>
      <c r="O77" s="4"/>
      <c r="P77" s="4"/>
      <c r="Q77" s="5">
        <v>56300</v>
      </c>
      <c r="R77" s="36"/>
      <c r="S77" s="36"/>
      <c r="T77" s="37"/>
      <c r="U77" s="5">
        <f t="shared" si="77"/>
        <v>56300</v>
      </c>
      <c r="V77" s="5">
        <f t="shared" si="78"/>
        <v>1883460.1999999997</v>
      </c>
      <c r="W77" s="5">
        <f t="shared" si="79"/>
        <v>339022.83599999995</v>
      </c>
      <c r="X77" s="5"/>
      <c r="Y77" s="5"/>
      <c r="Z77" s="98"/>
      <c r="AA77" s="23">
        <f t="shared" si="80"/>
        <v>0</v>
      </c>
      <c r="AB77" s="97">
        <f t="shared" si="81"/>
        <v>0</v>
      </c>
      <c r="AC77" s="43"/>
      <c r="AD77" s="49"/>
      <c r="AE77" s="5">
        <f t="shared" si="82"/>
        <v>2222483.0359999998</v>
      </c>
      <c r="AF77" s="139">
        <v>422</v>
      </c>
      <c r="AG77" s="139" t="s">
        <v>2264</v>
      </c>
      <c r="AH77" s="13">
        <v>33.454000000000001</v>
      </c>
      <c r="AI77" s="12"/>
      <c r="AJ77" s="40"/>
      <c r="AK77" s="40"/>
    </row>
    <row r="78" spans="2:37" s="41" customFormat="1">
      <c r="B78" s="13"/>
      <c r="C78" s="48">
        <v>188.304</v>
      </c>
      <c r="D78" s="6"/>
      <c r="E78" s="48">
        <f>C78-F78</f>
        <v>0</v>
      </c>
      <c r="F78" s="81">
        <f>SUM(F73:F77)</f>
        <v>188.30399999999997</v>
      </c>
      <c r="G78" s="20">
        <f>SUM(G73:G77)</f>
        <v>188304</v>
      </c>
      <c r="H78" s="21">
        <f>SUM(H73:H77)</f>
        <v>89</v>
      </c>
      <c r="I78" s="2"/>
      <c r="J78" s="7"/>
      <c r="K78" s="7"/>
      <c r="L78" s="7"/>
      <c r="M78" s="2"/>
      <c r="N78" s="6"/>
      <c r="O78" s="6"/>
      <c r="P78" s="6"/>
      <c r="Q78" s="19"/>
      <c r="R78" s="9"/>
      <c r="S78" s="9"/>
      <c r="T78" s="10"/>
      <c r="U78" s="8"/>
      <c r="V78" s="21">
        <f>SUM(V73:V77)</f>
        <v>10601515.199999999</v>
      </c>
      <c r="W78" s="21">
        <f>SUM(W73:W77)</f>
        <v>1908272.7359999998</v>
      </c>
      <c r="X78" s="21">
        <f>SUM(X73:X77)</f>
        <v>0</v>
      </c>
      <c r="Y78" s="21">
        <f>SUM(Y73:Y77)</f>
        <v>0</v>
      </c>
      <c r="Z78" s="99"/>
      <c r="AA78" s="21">
        <f>SUM(AA73:AA77)</f>
        <v>0</v>
      </c>
      <c r="AB78" s="21">
        <f>SUM(AB73:AB77)</f>
        <v>0</v>
      </c>
      <c r="AC78" s="21"/>
      <c r="AD78" s="21">
        <f>SUM(AD73:AD77)</f>
        <v>0</v>
      </c>
      <c r="AE78" s="21">
        <f>SUM(AE73:AE77)</f>
        <v>12509787.935999999</v>
      </c>
      <c r="AF78" s="21"/>
      <c r="AG78" s="42"/>
      <c r="AH78" s="81">
        <f>SUM(AH73:AH77)</f>
        <v>188.304</v>
      </c>
      <c r="AI78" s="26">
        <f>AH78-F78</f>
        <v>0</v>
      </c>
      <c r="AJ78" s="41">
        <f>AA78/F78</f>
        <v>0</v>
      </c>
      <c r="AK78" s="40"/>
    </row>
    <row r="79" spans="2:37" s="41" customFormat="1" ht="16.149999999999999" customHeight="1">
      <c r="B79" s="138" t="s">
        <v>1970</v>
      </c>
      <c r="C79" s="82" t="s">
        <v>1820</v>
      </c>
      <c r="D79" s="4"/>
      <c r="E79" s="82" t="s">
        <v>392</v>
      </c>
      <c r="F79" s="103">
        <v>31.99</v>
      </c>
      <c r="G79" s="14">
        <f t="shared" ref="G79:G100" si="83">+F79*1000</f>
        <v>31990</v>
      </c>
      <c r="H79" s="97">
        <v>15</v>
      </c>
      <c r="I79" s="83" t="s">
        <v>1986</v>
      </c>
      <c r="J79" s="85" t="s">
        <v>1723</v>
      </c>
      <c r="K79" s="135" t="s">
        <v>1987</v>
      </c>
      <c r="L79" s="4"/>
      <c r="M79" s="85" t="s">
        <v>1999</v>
      </c>
      <c r="N79" s="82" t="s">
        <v>1509</v>
      </c>
      <c r="O79" s="4"/>
      <c r="P79" s="4"/>
      <c r="Q79" s="5">
        <v>52300</v>
      </c>
      <c r="R79" s="36"/>
      <c r="S79" s="36"/>
      <c r="T79" s="37"/>
      <c r="U79" s="5">
        <f t="shared" ref="U79:U100" si="84">S79+R79+Q79-T79</f>
        <v>52300</v>
      </c>
      <c r="V79" s="5">
        <f t="shared" ref="V79:V100" si="85">F79*U79</f>
        <v>1673077</v>
      </c>
      <c r="W79" s="5">
        <f t="shared" ref="W79:W100" si="86">V79*18%</f>
        <v>301153.86</v>
      </c>
      <c r="X79" s="5"/>
      <c r="Y79" s="5"/>
      <c r="Z79" s="98"/>
      <c r="AA79" s="23">
        <f t="shared" ref="AA79:AA100" si="87">F79*Z79</f>
        <v>0</v>
      </c>
      <c r="AB79" s="97">
        <f t="shared" ref="AB79:AB100" si="88">AA79*18%</f>
        <v>0</v>
      </c>
      <c r="AC79" s="43"/>
      <c r="AD79" s="49"/>
      <c r="AE79" s="5">
        <f t="shared" ref="AE79:AE100" si="89">+AB79+AA79+Y79+X79+W79+V79-AC79+AD79</f>
        <v>1974230.8599999999</v>
      </c>
      <c r="AF79" s="139">
        <v>423</v>
      </c>
      <c r="AG79" s="139" t="s">
        <v>2264</v>
      </c>
      <c r="AH79" s="13">
        <v>31.99</v>
      </c>
      <c r="AI79" s="12"/>
      <c r="AJ79" s="40"/>
      <c r="AK79" s="40"/>
    </row>
    <row r="80" spans="2:37" s="41" customFormat="1" ht="16.149999999999999" customHeight="1">
      <c r="B80" s="89" t="s">
        <v>1983</v>
      </c>
      <c r="C80" s="82" t="s">
        <v>1985</v>
      </c>
      <c r="D80" s="4"/>
      <c r="E80" s="82" t="s">
        <v>392</v>
      </c>
      <c r="F80" s="103">
        <v>31.95</v>
      </c>
      <c r="G80" s="14">
        <f t="shared" si="83"/>
        <v>31950</v>
      </c>
      <c r="H80" s="97">
        <v>15</v>
      </c>
      <c r="I80" s="83" t="s">
        <v>1986</v>
      </c>
      <c r="J80" s="85" t="s">
        <v>1723</v>
      </c>
      <c r="K80" s="135" t="s">
        <v>1988</v>
      </c>
      <c r="L80" s="4"/>
      <c r="M80" s="85" t="s">
        <v>1999</v>
      </c>
      <c r="N80" s="82" t="s">
        <v>87</v>
      </c>
      <c r="O80" s="4"/>
      <c r="P80" s="4"/>
      <c r="Q80" s="5">
        <v>52300</v>
      </c>
      <c r="R80" s="36"/>
      <c r="S80" s="36"/>
      <c r="T80" s="37"/>
      <c r="U80" s="5">
        <f t="shared" si="84"/>
        <v>52300</v>
      </c>
      <c r="V80" s="5">
        <f t="shared" si="85"/>
        <v>1670985</v>
      </c>
      <c r="W80" s="5">
        <f t="shared" si="86"/>
        <v>300777.3</v>
      </c>
      <c r="X80" s="5"/>
      <c r="Y80" s="5"/>
      <c r="Z80" s="98"/>
      <c r="AA80" s="23">
        <f t="shared" si="87"/>
        <v>0</v>
      </c>
      <c r="AB80" s="97">
        <f t="shared" si="88"/>
        <v>0</v>
      </c>
      <c r="AC80" s="43"/>
      <c r="AD80" s="49"/>
      <c r="AE80" s="5">
        <f t="shared" si="89"/>
        <v>1971762.3</v>
      </c>
      <c r="AF80" s="139">
        <v>424</v>
      </c>
      <c r="AG80" s="139" t="s">
        <v>2264</v>
      </c>
      <c r="AH80" s="13">
        <v>31.95</v>
      </c>
      <c r="AI80" s="12"/>
      <c r="AJ80" s="40"/>
      <c r="AK80" s="40"/>
    </row>
    <row r="81" spans="2:37" s="41" customFormat="1" ht="16.149999999999999" customHeight="1">
      <c r="B81" s="89" t="s">
        <v>1984</v>
      </c>
      <c r="C81" s="140"/>
      <c r="D81" s="4"/>
      <c r="E81" s="82" t="s">
        <v>392</v>
      </c>
      <c r="F81" s="103">
        <v>31.85</v>
      </c>
      <c r="G81" s="14">
        <f t="shared" si="83"/>
        <v>31850</v>
      </c>
      <c r="H81" s="97">
        <v>15</v>
      </c>
      <c r="I81" s="83" t="s">
        <v>1986</v>
      </c>
      <c r="J81" s="85" t="s">
        <v>1723</v>
      </c>
      <c r="K81" s="135" t="s">
        <v>1989</v>
      </c>
      <c r="L81" s="4"/>
      <c r="M81" s="85" t="s">
        <v>1999</v>
      </c>
      <c r="N81" s="82" t="s">
        <v>44</v>
      </c>
      <c r="O81" s="4"/>
      <c r="P81" s="4"/>
      <c r="Q81" s="5">
        <v>52300</v>
      </c>
      <c r="R81" s="36"/>
      <c r="S81" s="36"/>
      <c r="T81" s="37"/>
      <c r="U81" s="5">
        <f t="shared" si="84"/>
        <v>52300</v>
      </c>
      <c r="V81" s="5">
        <f t="shared" si="85"/>
        <v>1665755</v>
      </c>
      <c r="W81" s="5">
        <f t="shared" si="86"/>
        <v>299835.89999999997</v>
      </c>
      <c r="X81" s="5"/>
      <c r="Y81" s="5"/>
      <c r="Z81" s="98"/>
      <c r="AA81" s="23">
        <f t="shared" si="87"/>
        <v>0</v>
      </c>
      <c r="AB81" s="97">
        <f t="shared" si="88"/>
        <v>0</v>
      </c>
      <c r="AC81" s="43"/>
      <c r="AD81" s="49"/>
      <c r="AE81" s="5">
        <f t="shared" si="89"/>
        <v>1965590.9</v>
      </c>
      <c r="AF81" s="139">
        <v>425</v>
      </c>
      <c r="AG81" s="139" t="s">
        <v>2264</v>
      </c>
      <c r="AH81" s="13">
        <v>31.85</v>
      </c>
      <c r="AI81" s="12"/>
      <c r="AJ81" s="40"/>
      <c r="AK81" s="40"/>
    </row>
    <row r="82" spans="2:37" s="41" customFormat="1" ht="16.149999999999999" customHeight="1">
      <c r="B82" s="89"/>
      <c r="C82" s="4"/>
      <c r="D82" s="4"/>
      <c r="E82" s="82" t="s">
        <v>392</v>
      </c>
      <c r="F82" s="103">
        <v>31.89</v>
      </c>
      <c r="G82" s="14">
        <f t="shared" si="83"/>
        <v>31890</v>
      </c>
      <c r="H82" s="97">
        <v>15</v>
      </c>
      <c r="I82" s="83" t="s">
        <v>1986</v>
      </c>
      <c r="J82" s="85" t="s">
        <v>1723</v>
      </c>
      <c r="K82" s="135" t="s">
        <v>1990</v>
      </c>
      <c r="L82" s="4"/>
      <c r="M82" s="85" t="s">
        <v>1999</v>
      </c>
      <c r="N82" s="82" t="s">
        <v>41</v>
      </c>
      <c r="O82" s="4"/>
      <c r="P82" s="4"/>
      <c r="Q82" s="5">
        <v>52300</v>
      </c>
      <c r="R82" s="36"/>
      <c r="S82" s="36"/>
      <c r="T82" s="37"/>
      <c r="U82" s="5">
        <f t="shared" si="84"/>
        <v>52300</v>
      </c>
      <c r="V82" s="5">
        <f t="shared" si="85"/>
        <v>1667847</v>
      </c>
      <c r="W82" s="5">
        <f t="shared" si="86"/>
        <v>300212.45999999996</v>
      </c>
      <c r="X82" s="5"/>
      <c r="Y82" s="5"/>
      <c r="Z82" s="98"/>
      <c r="AA82" s="23">
        <f t="shared" si="87"/>
        <v>0</v>
      </c>
      <c r="AB82" s="97">
        <f t="shared" si="88"/>
        <v>0</v>
      </c>
      <c r="AC82" s="43"/>
      <c r="AD82" s="49"/>
      <c r="AE82" s="5">
        <f t="shared" si="89"/>
        <v>1968059.46</v>
      </c>
      <c r="AF82" s="139">
        <v>426</v>
      </c>
      <c r="AG82" s="139" t="s">
        <v>2264</v>
      </c>
      <c r="AH82" s="13">
        <v>31.89</v>
      </c>
      <c r="AI82" s="12"/>
      <c r="AJ82" s="40"/>
      <c r="AK82" s="40"/>
    </row>
    <row r="83" spans="2:37" s="41" customFormat="1" ht="16.149999999999999" customHeight="1">
      <c r="B83" s="89"/>
      <c r="C83" s="4"/>
      <c r="D83" s="4"/>
      <c r="E83" s="82" t="s">
        <v>392</v>
      </c>
      <c r="F83" s="103">
        <v>31.84</v>
      </c>
      <c r="G83" s="14">
        <f t="shared" si="83"/>
        <v>31840</v>
      </c>
      <c r="H83" s="97">
        <v>15</v>
      </c>
      <c r="I83" s="83" t="s">
        <v>1986</v>
      </c>
      <c r="J83" s="85" t="s">
        <v>1723</v>
      </c>
      <c r="K83" s="135" t="s">
        <v>1991</v>
      </c>
      <c r="L83" s="4"/>
      <c r="M83" s="85" t="s">
        <v>1999</v>
      </c>
      <c r="N83" s="82" t="s">
        <v>48</v>
      </c>
      <c r="O83" s="4"/>
      <c r="P83" s="4"/>
      <c r="Q83" s="5">
        <v>52300</v>
      </c>
      <c r="R83" s="36"/>
      <c r="S83" s="36"/>
      <c r="T83" s="37"/>
      <c r="U83" s="5">
        <f t="shared" si="84"/>
        <v>52300</v>
      </c>
      <c r="V83" s="5">
        <f t="shared" si="85"/>
        <v>1665232</v>
      </c>
      <c r="W83" s="5">
        <f t="shared" si="86"/>
        <v>299741.76</v>
      </c>
      <c r="X83" s="5"/>
      <c r="Y83" s="5"/>
      <c r="Z83" s="98"/>
      <c r="AA83" s="23">
        <f t="shared" si="87"/>
        <v>0</v>
      </c>
      <c r="AB83" s="97">
        <f t="shared" si="88"/>
        <v>0</v>
      </c>
      <c r="AC83" s="43"/>
      <c r="AD83" s="49"/>
      <c r="AE83" s="5">
        <f t="shared" si="89"/>
        <v>1964973.76</v>
      </c>
      <c r="AF83" s="139">
        <v>427</v>
      </c>
      <c r="AG83" s="139" t="s">
        <v>2264</v>
      </c>
      <c r="AH83" s="13">
        <v>31.84</v>
      </c>
      <c r="AI83" s="12"/>
      <c r="AJ83" s="40"/>
      <c r="AK83" s="40"/>
    </row>
    <row r="84" spans="2:37" s="41" customFormat="1" ht="16.149999999999999" customHeight="1">
      <c r="B84" s="89"/>
      <c r="C84" s="4"/>
      <c r="D84" s="4"/>
      <c r="E84" s="82" t="s">
        <v>392</v>
      </c>
      <c r="F84" s="103">
        <f>23.501</f>
        <v>23.501000000000001</v>
      </c>
      <c r="G84" s="14">
        <f t="shared" si="83"/>
        <v>23501</v>
      </c>
      <c r="H84" s="97">
        <f>11</f>
        <v>11</v>
      </c>
      <c r="I84" s="83" t="s">
        <v>1986</v>
      </c>
      <c r="J84" s="85" t="s">
        <v>1723</v>
      </c>
      <c r="K84" s="135" t="s">
        <v>1992</v>
      </c>
      <c r="L84" s="4"/>
      <c r="M84" s="85" t="s">
        <v>1999</v>
      </c>
      <c r="N84" s="82" t="s">
        <v>1238</v>
      </c>
      <c r="O84" s="4"/>
      <c r="P84" s="4"/>
      <c r="Q84" s="5">
        <v>52300</v>
      </c>
      <c r="R84" s="36"/>
      <c r="S84" s="36"/>
      <c r="T84" s="37"/>
      <c r="U84" s="5">
        <f t="shared" si="84"/>
        <v>52300</v>
      </c>
      <c r="V84" s="5">
        <f t="shared" si="85"/>
        <v>1229102.3</v>
      </c>
      <c r="W84" s="5">
        <f t="shared" si="86"/>
        <v>221238.41399999999</v>
      </c>
      <c r="X84" s="5"/>
      <c r="Y84" s="5"/>
      <c r="Z84" s="98"/>
      <c r="AA84" s="23">
        <f t="shared" si="87"/>
        <v>0</v>
      </c>
      <c r="AB84" s="97">
        <f t="shared" si="88"/>
        <v>0</v>
      </c>
      <c r="AC84" s="43"/>
      <c r="AD84" s="49"/>
      <c r="AE84" s="5">
        <f t="shared" si="89"/>
        <v>1450340.7140000002</v>
      </c>
      <c r="AF84" s="139">
        <v>428</v>
      </c>
      <c r="AG84" s="139" t="s">
        <v>2264</v>
      </c>
      <c r="AH84" s="13">
        <v>23.501000000000001</v>
      </c>
      <c r="AI84" s="12"/>
      <c r="AJ84" s="40"/>
      <c r="AK84" s="40"/>
    </row>
    <row r="85" spans="2:37" s="41" customFormat="1" ht="16.149999999999999" customHeight="1">
      <c r="B85" s="89"/>
      <c r="C85" s="4"/>
      <c r="D85" s="4"/>
      <c r="E85" s="82" t="s">
        <v>392</v>
      </c>
      <c r="F85" s="103">
        <v>31.92</v>
      </c>
      <c r="G85" s="14">
        <f t="shared" si="83"/>
        <v>31920</v>
      </c>
      <c r="H85" s="97">
        <v>15</v>
      </c>
      <c r="I85" s="83" t="s">
        <v>1986</v>
      </c>
      <c r="J85" s="85" t="s">
        <v>1723</v>
      </c>
      <c r="K85" s="135" t="s">
        <v>1993</v>
      </c>
      <c r="L85" s="4"/>
      <c r="M85" s="85" t="s">
        <v>1999</v>
      </c>
      <c r="N85" s="82" t="s">
        <v>897</v>
      </c>
      <c r="O85" s="4"/>
      <c r="P85" s="4"/>
      <c r="Q85" s="5">
        <v>52300</v>
      </c>
      <c r="R85" s="36"/>
      <c r="S85" s="36"/>
      <c r="T85" s="37"/>
      <c r="U85" s="5">
        <f t="shared" si="84"/>
        <v>52300</v>
      </c>
      <c r="V85" s="5">
        <f t="shared" si="85"/>
        <v>1669416</v>
      </c>
      <c r="W85" s="5">
        <f t="shared" si="86"/>
        <v>300494.88</v>
      </c>
      <c r="X85" s="5"/>
      <c r="Y85" s="5"/>
      <c r="Z85" s="98"/>
      <c r="AA85" s="23">
        <f t="shared" si="87"/>
        <v>0</v>
      </c>
      <c r="AB85" s="97">
        <f t="shared" si="88"/>
        <v>0</v>
      </c>
      <c r="AC85" s="43"/>
      <c r="AD85" s="49"/>
      <c r="AE85" s="5">
        <f t="shared" si="89"/>
        <v>1969910.88</v>
      </c>
      <c r="AF85" s="139">
        <v>429</v>
      </c>
      <c r="AG85" s="139" t="s">
        <v>2264</v>
      </c>
      <c r="AH85" s="13">
        <v>31.92</v>
      </c>
      <c r="AI85" s="12"/>
      <c r="AJ85" s="40"/>
      <c r="AK85" s="40"/>
    </row>
    <row r="86" spans="2:37" s="41" customFormat="1" ht="16.149999999999999" customHeight="1">
      <c r="B86" s="89"/>
      <c r="C86" s="4"/>
      <c r="D86" s="4"/>
      <c r="E86" s="82" t="s">
        <v>392</v>
      </c>
      <c r="F86" s="103">
        <v>31.87</v>
      </c>
      <c r="G86" s="14">
        <f t="shared" si="83"/>
        <v>31870</v>
      </c>
      <c r="H86" s="97">
        <v>15</v>
      </c>
      <c r="I86" s="83" t="s">
        <v>1986</v>
      </c>
      <c r="J86" s="85" t="s">
        <v>1723</v>
      </c>
      <c r="K86" s="135" t="s">
        <v>1994</v>
      </c>
      <c r="L86" s="4"/>
      <c r="M86" s="85" t="s">
        <v>1999</v>
      </c>
      <c r="N86" s="82" t="s">
        <v>45</v>
      </c>
      <c r="O86" s="4"/>
      <c r="P86" s="4"/>
      <c r="Q86" s="5">
        <v>52300</v>
      </c>
      <c r="R86" s="36"/>
      <c r="S86" s="36"/>
      <c r="T86" s="37"/>
      <c r="U86" s="5">
        <f t="shared" si="84"/>
        <v>52300</v>
      </c>
      <c r="V86" s="5">
        <f t="shared" si="85"/>
        <v>1666801</v>
      </c>
      <c r="W86" s="5">
        <f t="shared" si="86"/>
        <v>300024.18</v>
      </c>
      <c r="X86" s="5"/>
      <c r="Y86" s="5"/>
      <c r="Z86" s="98"/>
      <c r="AA86" s="23">
        <f t="shared" si="87"/>
        <v>0</v>
      </c>
      <c r="AB86" s="97">
        <f t="shared" si="88"/>
        <v>0</v>
      </c>
      <c r="AC86" s="43"/>
      <c r="AD86" s="49"/>
      <c r="AE86" s="5">
        <f t="shared" si="89"/>
        <v>1966825.18</v>
      </c>
      <c r="AF86" s="139">
        <v>430</v>
      </c>
      <c r="AG86" s="139" t="s">
        <v>2264</v>
      </c>
      <c r="AH86" s="13">
        <v>31.87</v>
      </c>
      <c r="AI86" s="12"/>
      <c r="AJ86" s="40"/>
      <c r="AK86" s="40"/>
    </row>
    <row r="87" spans="2:37" s="41" customFormat="1" ht="16.149999999999999" customHeight="1">
      <c r="B87" s="89"/>
      <c r="C87" s="4"/>
      <c r="D87" s="4"/>
      <c r="E87" s="82" t="s">
        <v>392</v>
      </c>
      <c r="F87" s="103">
        <v>32.020000000000003</v>
      </c>
      <c r="G87" s="14">
        <f t="shared" si="83"/>
        <v>32020.000000000004</v>
      </c>
      <c r="H87" s="97">
        <v>15</v>
      </c>
      <c r="I87" s="83" t="s">
        <v>1986</v>
      </c>
      <c r="J87" s="85" t="s">
        <v>1723</v>
      </c>
      <c r="K87" s="135" t="s">
        <v>1995</v>
      </c>
      <c r="L87" s="4"/>
      <c r="M87" s="85" t="s">
        <v>1999</v>
      </c>
      <c r="N87" s="82" t="s">
        <v>57</v>
      </c>
      <c r="O87" s="4"/>
      <c r="P87" s="4"/>
      <c r="Q87" s="5">
        <v>52300</v>
      </c>
      <c r="R87" s="36"/>
      <c r="S87" s="36"/>
      <c r="T87" s="37"/>
      <c r="U87" s="5">
        <f t="shared" si="84"/>
        <v>52300</v>
      </c>
      <c r="V87" s="5">
        <f t="shared" si="85"/>
        <v>1674646.0000000002</v>
      </c>
      <c r="W87" s="5">
        <f t="shared" si="86"/>
        <v>301436.28000000003</v>
      </c>
      <c r="X87" s="5"/>
      <c r="Y87" s="5"/>
      <c r="Z87" s="98"/>
      <c r="AA87" s="23">
        <f t="shared" si="87"/>
        <v>0</v>
      </c>
      <c r="AB87" s="97">
        <f t="shared" si="88"/>
        <v>0</v>
      </c>
      <c r="AC87" s="43"/>
      <c r="AD87" s="49"/>
      <c r="AE87" s="5">
        <f t="shared" si="89"/>
        <v>1976082.2800000003</v>
      </c>
      <c r="AF87" s="139">
        <v>431</v>
      </c>
      <c r="AG87" s="139" t="s">
        <v>2264</v>
      </c>
      <c r="AH87" s="103">
        <v>32.020000000000003</v>
      </c>
      <c r="AI87" s="12"/>
      <c r="AJ87" s="40"/>
      <c r="AK87" s="40"/>
    </row>
    <row r="88" spans="2:37" s="41" customFormat="1" ht="16.149999999999999" customHeight="1">
      <c r="B88" s="89"/>
      <c r="C88" s="4"/>
      <c r="D88" s="4"/>
      <c r="E88" s="82" t="s">
        <v>392</v>
      </c>
      <c r="F88" s="103">
        <v>31.91</v>
      </c>
      <c r="G88" s="14">
        <f t="shared" si="83"/>
        <v>31910</v>
      </c>
      <c r="H88" s="97">
        <v>15</v>
      </c>
      <c r="I88" s="83" t="s">
        <v>1986</v>
      </c>
      <c r="J88" s="85" t="s">
        <v>1723</v>
      </c>
      <c r="K88" s="135" t="s">
        <v>1996</v>
      </c>
      <c r="L88" s="4"/>
      <c r="M88" s="85" t="s">
        <v>1999</v>
      </c>
      <c r="N88" s="82" t="s">
        <v>42</v>
      </c>
      <c r="O88" s="4"/>
      <c r="P88" s="4"/>
      <c r="Q88" s="5">
        <v>52300</v>
      </c>
      <c r="R88" s="36"/>
      <c r="S88" s="36"/>
      <c r="T88" s="37"/>
      <c r="U88" s="5">
        <f t="shared" si="84"/>
        <v>52300</v>
      </c>
      <c r="V88" s="5">
        <f t="shared" si="85"/>
        <v>1668893</v>
      </c>
      <c r="W88" s="5">
        <f t="shared" si="86"/>
        <v>300400.74</v>
      </c>
      <c r="X88" s="5"/>
      <c r="Y88" s="5"/>
      <c r="Z88" s="98"/>
      <c r="AA88" s="23">
        <f t="shared" si="87"/>
        <v>0</v>
      </c>
      <c r="AB88" s="97">
        <f t="shared" si="88"/>
        <v>0</v>
      </c>
      <c r="AC88" s="43"/>
      <c r="AD88" s="49"/>
      <c r="AE88" s="5">
        <f t="shared" si="89"/>
        <v>1969293.74</v>
      </c>
      <c r="AF88" s="139">
        <v>432</v>
      </c>
      <c r="AG88" s="139" t="s">
        <v>2264</v>
      </c>
      <c r="AH88" s="103">
        <v>31.91</v>
      </c>
      <c r="AI88" s="12"/>
      <c r="AJ88" s="40"/>
      <c r="AK88" s="40"/>
    </row>
    <row r="89" spans="2:37" s="41" customFormat="1" ht="16.149999999999999" customHeight="1">
      <c r="B89" s="89"/>
      <c r="C89" s="4"/>
      <c r="D89" s="4"/>
      <c r="E89" s="82" t="s">
        <v>392</v>
      </c>
      <c r="F89" s="103">
        <v>31.88</v>
      </c>
      <c r="G89" s="14">
        <f t="shared" si="83"/>
        <v>31880</v>
      </c>
      <c r="H89" s="97">
        <v>15</v>
      </c>
      <c r="I89" s="83" t="s">
        <v>1986</v>
      </c>
      <c r="J89" s="85" t="s">
        <v>1723</v>
      </c>
      <c r="K89" s="135" t="s">
        <v>1997</v>
      </c>
      <c r="L89" s="4"/>
      <c r="M89" s="85" t="s">
        <v>1999</v>
      </c>
      <c r="N89" s="82" t="s">
        <v>1604</v>
      </c>
      <c r="O89" s="4"/>
      <c r="P89" s="4"/>
      <c r="Q89" s="5">
        <v>52300</v>
      </c>
      <c r="R89" s="36"/>
      <c r="S89" s="36"/>
      <c r="T89" s="37"/>
      <c r="U89" s="5">
        <f t="shared" si="84"/>
        <v>52300</v>
      </c>
      <c r="V89" s="5">
        <f t="shared" si="85"/>
        <v>1667324</v>
      </c>
      <c r="W89" s="5">
        <f t="shared" si="86"/>
        <v>300118.32</v>
      </c>
      <c r="X89" s="5"/>
      <c r="Y89" s="5"/>
      <c r="Z89" s="98"/>
      <c r="AA89" s="23">
        <f t="shared" si="87"/>
        <v>0</v>
      </c>
      <c r="AB89" s="97">
        <f t="shared" si="88"/>
        <v>0</v>
      </c>
      <c r="AC89" s="43"/>
      <c r="AD89" s="49"/>
      <c r="AE89" s="5">
        <f t="shared" si="89"/>
        <v>1967442.32</v>
      </c>
      <c r="AF89" s="139">
        <v>433</v>
      </c>
      <c r="AG89" s="139" t="s">
        <v>2264</v>
      </c>
      <c r="AH89" s="103">
        <v>31.88</v>
      </c>
      <c r="AI89" s="12"/>
      <c r="AJ89" s="40"/>
      <c r="AK89" s="40"/>
    </row>
    <row r="90" spans="2:37" s="41" customFormat="1" ht="16.149999999999999" customHeight="1">
      <c r="B90" s="89"/>
      <c r="C90" s="4"/>
      <c r="D90" s="4"/>
      <c r="E90" s="82" t="s">
        <v>392</v>
      </c>
      <c r="F90" s="103">
        <v>31.92</v>
      </c>
      <c r="G90" s="14">
        <f t="shared" si="83"/>
        <v>31920</v>
      </c>
      <c r="H90" s="97">
        <v>15</v>
      </c>
      <c r="I90" s="83" t="s">
        <v>1986</v>
      </c>
      <c r="J90" s="85" t="s">
        <v>1723</v>
      </c>
      <c r="K90" s="135" t="s">
        <v>1998</v>
      </c>
      <c r="L90" s="4"/>
      <c r="M90" s="85" t="s">
        <v>1999</v>
      </c>
      <c r="N90" s="82" t="s">
        <v>1602</v>
      </c>
      <c r="O90" s="4"/>
      <c r="P90" s="4"/>
      <c r="Q90" s="5">
        <v>52300</v>
      </c>
      <c r="R90" s="36"/>
      <c r="S90" s="36"/>
      <c r="T90" s="37"/>
      <c r="U90" s="5">
        <f t="shared" si="84"/>
        <v>52300</v>
      </c>
      <c r="V90" s="5">
        <f t="shared" si="85"/>
        <v>1669416</v>
      </c>
      <c r="W90" s="5">
        <f t="shared" si="86"/>
        <v>300494.88</v>
      </c>
      <c r="X90" s="5"/>
      <c r="Y90" s="5"/>
      <c r="Z90" s="98"/>
      <c r="AA90" s="23">
        <f t="shared" si="87"/>
        <v>0</v>
      </c>
      <c r="AB90" s="97">
        <f t="shared" si="88"/>
        <v>0</v>
      </c>
      <c r="AC90" s="43"/>
      <c r="AD90" s="49"/>
      <c r="AE90" s="5">
        <f t="shared" si="89"/>
        <v>1969910.88</v>
      </c>
      <c r="AF90" s="139">
        <v>434</v>
      </c>
      <c r="AG90" s="139" t="s">
        <v>2264</v>
      </c>
      <c r="AH90" s="103">
        <v>31.92</v>
      </c>
      <c r="AI90" s="12"/>
      <c r="AJ90" s="40"/>
      <c r="AK90" s="40"/>
    </row>
    <row r="91" spans="2:37" s="41" customFormat="1" ht="16.149999999999999" customHeight="1">
      <c r="B91" s="89"/>
      <c r="C91" s="4"/>
      <c r="D91" s="4"/>
      <c r="E91" s="82" t="s">
        <v>392</v>
      </c>
      <c r="F91" s="103">
        <v>32</v>
      </c>
      <c r="G91" s="14">
        <f t="shared" si="83"/>
        <v>32000</v>
      </c>
      <c r="H91" s="97">
        <v>15</v>
      </c>
      <c r="I91" s="83" t="s">
        <v>1986</v>
      </c>
      <c r="J91" s="85" t="s">
        <v>1723</v>
      </c>
      <c r="K91" s="135" t="s">
        <v>2005</v>
      </c>
      <c r="L91" s="4"/>
      <c r="M91" s="85" t="s">
        <v>2000</v>
      </c>
      <c r="N91" s="82" t="s">
        <v>1608</v>
      </c>
      <c r="O91" s="4"/>
      <c r="P91" s="4"/>
      <c r="Q91" s="5">
        <v>52300</v>
      </c>
      <c r="R91" s="36"/>
      <c r="S91" s="36"/>
      <c r="T91" s="37"/>
      <c r="U91" s="5">
        <f t="shared" si="84"/>
        <v>52300</v>
      </c>
      <c r="V91" s="5">
        <f t="shared" si="85"/>
        <v>1673600</v>
      </c>
      <c r="W91" s="5">
        <f t="shared" si="86"/>
        <v>301248</v>
      </c>
      <c r="X91" s="5"/>
      <c r="Y91" s="5"/>
      <c r="Z91" s="98"/>
      <c r="AA91" s="23">
        <f t="shared" si="87"/>
        <v>0</v>
      </c>
      <c r="AB91" s="97">
        <f t="shared" si="88"/>
        <v>0</v>
      </c>
      <c r="AC91" s="43"/>
      <c r="AD91" s="49"/>
      <c r="AE91" s="5">
        <f t="shared" si="89"/>
        <v>1974848</v>
      </c>
      <c r="AF91" s="139">
        <v>435</v>
      </c>
      <c r="AG91" s="139" t="s">
        <v>2264</v>
      </c>
      <c r="AH91" s="103">
        <v>32</v>
      </c>
      <c r="AI91" s="12"/>
      <c r="AJ91" s="40"/>
      <c r="AK91" s="40"/>
    </row>
    <row r="92" spans="2:37" s="41" customFormat="1" ht="16.149999999999999" customHeight="1">
      <c r="B92" s="89"/>
      <c r="C92" s="4"/>
      <c r="D92" s="4"/>
      <c r="E92" s="82" t="s">
        <v>392</v>
      </c>
      <c r="F92" s="103">
        <v>32.07</v>
      </c>
      <c r="G92" s="14">
        <f t="shared" si="83"/>
        <v>32070</v>
      </c>
      <c r="H92" s="97">
        <v>15</v>
      </c>
      <c r="I92" s="83" t="s">
        <v>1986</v>
      </c>
      <c r="J92" s="85" t="s">
        <v>1723</v>
      </c>
      <c r="K92" s="135" t="s">
        <v>2006</v>
      </c>
      <c r="L92" s="4"/>
      <c r="M92" s="85" t="s">
        <v>2000</v>
      </c>
      <c r="N92" s="82" t="s">
        <v>2001</v>
      </c>
      <c r="O92" s="4"/>
      <c r="P92" s="4"/>
      <c r="Q92" s="5">
        <v>52300</v>
      </c>
      <c r="R92" s="36"/>
      <c r="S92" s="36"/>
      <c r="T92" s="37"/>
      <c r="U92" s="5">
        <f t="shared" si="84"/>
        <v>52300</v>
      </c>
      <c r="V92" s="5">
        <f t="shared" si="85"/>
        <v>1677261</v>
      </c>
      <c r="W92" s="5">
        <f t="shared" si="86"/>
        <v>301906.98</v>
      </c>
      <c r="X92" s="5"/>
      <c r="Y92" s="5"/>
      <c r="Z92" s="98"/>
      <c r="AA92" s="23">
        <f t="shared" si="87"/>
        <v>0</v>
      </c>
      <c r="AB92" s="97">
        <f t="shared" si="88"/>
        <v>0</v>
      </c>
      <c r="AC92" s="43"/>
      <c r="AD92" s="49"/>
      <c r="AE92" s="5">
        <f t="shared" si="89"/>
        <v>1979167.98</v>
      </c>
      <c r="AF92" s="139">
        <v>436</v>
      </c>
      <c r="AG92" s="139" t="s">
        <v>2264</v>
      </c>
      <c r="AH92" s="103">
        <v>32.07</v>
      </c>
      <c r="AI92" s="12"/>
      <c r="AJ92" s="40"/>
      <c r="AK92" s="40"/>
    </row>
    <row r="93" spans="2:37" s="41" customFormat="1" ht="16.149999999999999" customHeight="1">
      <c r="B93" s="89"/>
      <c r="C93" s="4"/>
      <c r="D93" s="4"/>
      <c r="E93" s="82" t="s">
        <v>392</v>
      </c>
      <c r="F93" s="103">
        <v>31.94</v>
      </c>
      <c r="G93" s="14">
        <f t="shared" si="83"/>
        <v>31940</v>
      </c>
      <c r="H93" s="97">
        <v>15</v>
      </c>
      <c r="I93" s="83" t="s">
        <v>1986</v>
      </c>
      <c r="J93" s="85" t="s">
        <v>1723</v>
      </c>
      <c r="K93" s="135" t="s">
        <v>2007</v>
      </c>
      <c r="L93" s="4"/>
      <c r="M93" s="85" t="s">
        <v>2000</v>
      </c>
      <c r="N93" s="82" t="s">
        <v>2002</v>
      </c>
      <c r="O93" s="4"/>
      <c r="P93" s="4"/>
      <c r="Q93" s="5">
        <v>52300</v>
      </c>
      <c r="R93" s="36"/>
      <c r="S93" s="36"/>
      <c r="T93" s="37"/>
      <c r="U93" s="5">
        <f t="shared" si="84"/>
        <v>52300</v>
      </c>
      <c r="V93" s="5">
        <f t="shared" si="85"/>
        <v>1670462</v>
      </c>
      <c r="W93" s="5">
        <f t="shared" si="86"/>
        <v>300683.15999999997</v>
      </c>
      <c r="X93" s="5"/>
      <c r="Y93" s="5"/>
      <c r="Z93" s="98"/>
      <c r="AA93" s="23">
        <f t="shared" si="87"/>
        <v>0</v>
      </c>
      <c r="AB93" s="97">
        <f t="shared" si="88"/>
        <v>0</v>
      </c>
      <c r="AC93" s="43"/>
      <c r="AD93" s="49"/>
      <c r="AE93" s="5">
        <f t="shared" si="89"/>
        <v>1971145.16</v>
      </c>
      <c r="AF93" s="139">
        <v>437</v>
      </c>
      <c r="AG93" s="139" t="s">
        <v>2264</v>
      </c>
      <c r="AH93" s="103">
        <v>31.94</v>
      </c>
      <c r="AI93" s="12"/>
      <c r="AJ93" s="40"/>
      <c r="AK93" s="40"/>
    </row>
    <row r="94" spans="2:37" s="41" customFormat="1" ht="16.149999999999999" customHeight="1">
      <c r="B94" s="89"/>
      <c r="C94" s="4"/>
      <c r="D94" s="4"/>
      <c r="E94" s="82" t="s">
        <v>392</v>
      </c>
      <c r="F94" s="103">
        <v>32.01</v>
      </c>
      <c r="G94" s="14">
        <f t="shared" si="83"/>
        <v>32009.999999999996</v>
      </c>
      <c r="H94" s="97">
        <v>15</v>
      </c>
      <c r="I94" s="83" t="s">
        <v>1986</v>
      </c>
      <c r="J94" s="85" t="s">
        <v>1723</v>
      </c>
      <c r="K94" s="135" t="s">
        <v>2008</v>
      </c>
      <c r="L94" s="4"/>
      <c r="M94" s="85" t="s">
        <v>2000</v>
      </c>
      <c r="N94" s="82" t="s">
        <v>2003</v>
      </c>
      <c r="O94" s="4"/>
      <c r="P94" s="4"/>
      <c r="Q94" s="5">
        <v>52300</v>
      </c>
      <c r="R94" s="36"/>
      <c r="S94" s="36"/>
      <c r="T94" s="37"/>
      <c r="U94" s="5">
        <f t="shared" si="84"/>
        <v>52300</v>
      </c>
      <c r="V94" s="5">
        <f t="shared" si="85"/>
        <v>1674123</v>
      </c>
      <c r="W94" s="5">
        <f t="shared" si="86"/>
        <v>301342.14</v>
      </c>
      <c r="X94" s="5"/>
      <c r="Y94" s="5"/>
      <c r="Z94" s="98"/>
      <c r="AA94" s="23">
        <f t="shared" si="87"/>
        <v>0</v>
      </c>
      <c r="AB94" s="97">
        <f t="shared" si="88"/>
        <v>0</v>
      </c>
      <c r="AC94" s="43"/>
      <c r="AD94" s="49"/>
      <c r="AE94" s="5">
        <f t="shared" si="89"/>
        <v>1975465.1400000001</v>
      </c>
      <c r="AF94" s="139">
        <v>438</v>
      </c>
      <c r="AG94" s="139" t="s">
        <v>2264</v>
      </c>
      <c r="AH94" s="103">
        <v>32.01</v>
      </c>
      <c r="AI94" s="12"/>
      <c r="AJ94" s="40"/>
      <c r="AK94" s="40"/>
    </row>
    <row r="95" spans="2:37" s="41" customFormat="1" ht="16.149999999999999" customHeight="1">
      <c r="B95" s="89"/>
      <c r="C95" s="4"/>
      <c r="D95" s="4"/>
      <c r="E95" s="82" t="s">
        <v>392</v>
      </c>
      <c r="F95" s="103">
        <v>32.06</v>
      </c>
      <c r="G95" s="14">
        <f t="shared" si="83"/>
        <v>32060.000000000004</v>
      </c>
      <c r="H95" s="97">
        <v>15</v>
      </c>
      <c r="I95" s="83" t="s">
        <v>1986</v>
      </c>
      <c r="J95" s="85" t="s">
        <v>1723</v>
      </c>
      <c r="K95" s="135" t="s">
        <v>2009</v>
      </c>
      <c r="L95" s="4"/>
      <c r="M95" s="85" t="s">
        <v>2000</v>
      </c>
      <c r="N95" s="82" t="s">
        <v>1501</v>
      </c>
      <c r="O95" s="4"/>
      <c r="P95" s="4"/>
      <c r="Q95" s="5">
        <v>52300</v>
      </c>
      <c r="R95" s="36"/>
      <c r="S95" s="36"/>
      <c r="T95" s="37"/>
      <c r="U95" s="5">
        <f t="shared" si="84"/>
        <v>52300</v>
      </c>
      <c r="V95" s="5">
        <f t="shared" si="85"/>
        <v>1676738.0000000002</v>
      </c>
      <c r="W95" s="5">
        <f t="shared" si="86"/>
        <v>301812.84000000003</v>
      </c>
      <c r="X95" s="5"/>
      <c r="Y95" s="5"/>
      <c r="Z95" s="98"/>
      <c r="AA95" s="23">
        <f t="shared" si="87"/>
        <v>0</v>
      </c>
      <c r="AB95" s="97">
        <f t="shared" si="88"/>
        <v>0</v>
      </c>
      <c r="AC95" s="43"/>
      <c r="AD95" s="49"/>
      <c r="AE95" s="5">
        <f t="shared" si="89"/>
        <v>1978550.8400000003</v>
      </c>
      <c r="AF95" s="139">
        <v>439</v>
      </c>
      <c r="AG95" s="139" t="s">
        <v>2264</v>
      </c>
      <c r="AH95" s="103">
        <v>32.06</v>
      </c>
      <c r="AI95" s="12"/>
      <c r="AJ95" s="40"/>
      <c r="AK95" s="40"/>
    </row>
    <row r="96" spans="2:37" s="41" customFormat="1" ht="16.149999999999999" customHeight="1">
      <c r="B96" s="89"/>
      <c r="C96" s="4"/>
      <c r="D96" s="4"/>
      <c r="E96" s="82" t="s">
        <v>392</v>
      </c>
      <c r="F96" s="103">
        <v>32.03</v>
      </c>
      <c r="G96" s="14">
        <f t="shared" si="83"/>
        <v>32030</v>
      </c>
      <c r="H96" s="97">
        <v>15</v>
      </c>
      <c r="I96" s="83" t="s">
        <v>1986</v>
      </c>
      <c r="J96" s="85" t="s">
        <v>1723</v>
      </c>
      <c r="K96" s="135" t="s">
        <v>2010</v>
      </c>
      <c r="L96" s="4"/>
      <c r="M96" s="85" t="s">
        <v>2000</v>
      </c>
      <c r="N96" s="82" t="s">
        <v>2004</v>
      </c>
      <c r="O96" s="4"/>
      <c r="P96" s="4"/>
      <c r="Q96" s="5">
        <v>52300</v>
      </c>
      <c r="R96" s="36"/>
      <c r="S96" s="36"/>
      <c r="T96" s="37"/>
      <c r="U96" s="5">
        <f t="shared" si="84"/>
        <v>52300</v>
      </c>
      <c r="V96" s="5">
        <f t="shared" si="85"/>
        <v>1675169</v>
      </c>
      <c r="W96" s="5">
        <f t="shared" si="86"/>
        <v>301530.42</v>
      </c>
      <c r="X96" s="5"/>
      <c r="Y96" s="5"/>
      <c r="Z96" s="98"/>
      <c r="AA96" s="23">
        <f t="shared" si="87"/>
        <v>0</v>
      </c>
      <c r="AB96" s="97">
        <f t="shared" si="88"/>
        <v>0</v>
      </c>
      <c r="AC96" s="43"/>
      <c r="AD96" s="49"/>
      <c r="AE96" s="5">
        <f t="shared" si="89"/>
        <v>1976699.42</v>
      </c>
      <c r="AF96" s="139">
        <v>440</v>
      </c>
      <c r="AG96" s="139" t="s">
        <v>2264</v>
      </c>
      <c r="AH96" s="103">
        <v>32.03</v>
      </c>
      <c r="AI96" s="12"/>
      <c r="AJ96" s="40"/>
      <c r="AK96" s="40"/>
    </row>
    <row r="97" spans="2:37" s="41" customFormat="1" ht="16.149999999999999" customHeight="1">
      <c r="B97" s="89"/>
      <c r="C97" s="4"/>
      <c r="D97" s="4"/>
      <c r="E97" s="82" t="s">
        <v>392</v>
      </c>
      <c r="F97" s="103">
        <v>12.404</v>
      </c>
      <c r="G97" s="14">
        <f t="shared" si="83"/>
        <v>12404</v>
      </c>
      <c r="H97" s="97">
        <f>15-8</f>
        <v>7</v>
      </c>
      <c r="I97" s="83" t="s">
        <v>1986</v>
      </c>
      <c r="J97" s="85" t="s">
        <v>1723</v>
      </c>
      <c r="K97" s="135" t="s">
        <v>2086</v>
      </c>
      <c r="L97" s="4"/>
      <c r="M97" s="85" t="s">
        <v>2075</v>
      </c>
      <c r="N97" s="82" t="s">
        <v>51</v>
      </c>
      <c r="O97" s="4"/>
      <c r="P97" s="4"/>
      <c r="Q97" s="5">
        <v>52300</v>
      </c>
      <c r="R97" s="36"/>
      <c r="S97" s="36"/>
      <c r="T97" s="37"/>
      <c r="U97" s="5">
        <f t="shared" si="84"/>
        <v>52300</v>
      </c>
      <c r="V97" s="5">
        <f t="shared" si="85"/>
        <v>648729.19999999995</v>
      </c>
      <c r="W97" s="5">
        <f t="shared" si="86"/>
        <v>116771.25599999999</v>
      </c>
      <c r="X97" s="5"/>
      <c r="Y97" s="5"/>
      <c r="Z97" s="98"/>
      <c r="AA97" s="23">
        <f t="shared" si="87"/>
        <v>0</v>
      </c>
      <c r="AB97" s="97">
        <f t="shared" si="88"/>
        <v>0</v>
      </c>
      <c r="AC97" s="43"/>
      <c r="AD97" s="49"/>
      <c r="AE97" s="5">
        <f t="shared" si="89"/>
        <v>765500.45600000001</v>
      </c>
      <c r="AF97" s="139">
        <v>441</v>
      </c>
      <c r="AG97" s="139" t="s">
        <v>2264</v>
      </c>
      <c r="AH97" s="103">
        <v>12.404</v>
      </c>
      <c r="AI97" s="12"/>
      <c r="AJ97" s="40"/>
      <c r="AK97" s="40"/>
    </row>
    <row r="98" spans="2:37" s="41" customFormat="1" ht="16.149999999999999" customHeight="1">
      <c r="B98" s="89"/>
      <c r="C98" s="4"/>
      <c r="D98" s="4"/>
      <c r="E98" s="82" t="s">
        <v>392</v>
      </c>
      <c r="F98" s="103">
        <v>40.51</v>
      </c>
      <c r="G98" s="14">
        <f t="shared" si="83"/>
        <v>40510</v>
      </c>
      <c r="H98" s="97">
        <v>19</v>
      </c>
      <c r="I98" s="83" t="s">
        <v>1986</v>
      </c>
      <c r="J98" s="85" t="s">
        <v>1723</v>
      </c>
      <c r="K98" s="135" t="s">
        <v>2087</v>
      </c>
      <c r="L98" s="4"/>
      <c r="M98" s="85" t="s">
        <v>2075</v>
      </c>
      <c r="N98" s="82" t="s">
        <v>1189</v>
      </c>
      <c r="O98" s="4"/>
      <c r="P98" s="4"/>
      <c r="Q98" s="5">
        <v>52300</v>
      </c>
      <c r="R98" s="36"/>
      <c r="S98" s="36"/>
      <c r="T98" s="37"/>
      <c r="U98" s="5">
        <f t="shared" si="84"/>
        <v>52300</v>
      </c>
      <c r="V98" s="5">
        <f t="shared" si="85"/>
        <v>2118673</v>
      </c>
      <c r="W98" s="5">
        <f t="shared" si="86"/>
        <v>381361.14</v>
      </c>
      <c r="X98" s="5"/>
      <c r="Y98" s="5"/>
      <c r="Z98" s="98"/>
      <c r="AA98" s="23">
        <f t="shared" si="87"/>
        <v>0</v>
      </c>
      <c r="AB98" s="97">
        <f t="shared" si="88"/>
        <v>0</v>
      </c>
      <c r="AC98" s="43"/>
      <c r="AD98" s="49"/>
      <c r="AE98" s="5">
        <f t="shared" si="89"/>
        <v>2500034.14</v>
      </c>
      <c r="AF98" s="139">
        <v>442</v>
      </c>
      <c r="AG98" s="139" t="s">
        <v>2264</v>
      </c>
      <c r="AH98" s="103">
        <v>40.51</v>
      </c>
      <c r="AI98" s="12"/>
      <c r="AJ98" s="40"/>
      <c r="AK98" s="40"/>
    </row>
    <row r="99" spans="2:37" s="41" customFormat="1" ht="16.149999999999999" customHeight="1">
      <c r="B99" s="89"/>
      <c r="C99" s="4"/>
      <c r="D99" s="4"/>
      <c r="E99" s="82" t="s">
        <v>392</v>
      </c>
      <c r="F99" s="103">
        <v>40.67</v>
      </c>
      <c r="G99" s="14">
        <f t="shared" si="83"/>
        <v>40670</v>
      </c>
      <c r="H99" s="97">
        <v>19</v>
      </c>
      <c r="I99" s="83" t="s">
        <v>1986</v>
      </c>
      <c r="J99" s="85" t="s">
        <v>1723</v>
      </c>
      <c r="K99" s="135" t="s">
        <v>2088</v>
      </c>
      <c r="L99" s="4"/>
      <c r="M99" s="85" t="s">
        <v>2075</v>
      </c>
      <c r="N99" s="82" t="s">
        <v>1271</v>
      </c>
      <c r="O99" s="4"/>
      <c r="P99" s="4"/>
      <c r="Q99" s="5">
        <v>52300</v>
      </c>
      <c r="R99" s="36"/>
      <c r="S99" s="36"/>
      <c r="T99" s="37"/>
      <c r="U99" s="5">
        <f t="shared" si="84"/>
        <v>52300</v>
      </c>
      <c r="V99" s="5">
        <f t="shared" si="85"/>
        <v>2127041</v>
      </c>
      <c r="W99" s="5">
        <f t="shared" si="86"/>
        <v>382867.38</v>
      </c>
      <c r="X99" s="5"/>
      <c r="Y99" s="5"/>
      <c r="Z99" s="98"/>
      <c r="AA99" s="23">
        <f t="shared" si="87"/>
        <v>0</v>
      </c>
      <c r="AB99" s="97">
        <f t="shared" si="88"/>
        <v>0</v>
      </c>
      <c r="AC99" s="43"/>
      <c r="AD99" s="49"/>
      <c r="AE99" s="5">
        <f t="shared" si="89"/>
        <v>2509908.38</v>
      </c>
      <c r="AF99" s="139">
        <v>443</v>
      </c>
      <c r="AG99" s="139" t="s">
        <v>2264</v>
      </c>
      <c r="AH99" s="103">
        <v>40.67</v>
      </c>
      <c r="AI99" s="12"/>
      <c r="AJ99" s="40"/>
      <c r="AK99" s="40"/>
    </row>
    <row r="100" spans="2:37" s="41" customFormat="1" ht="16.149999999999999" customHeight="1">
      <c r="B100" s="89"/>
      <c r="C100" s="4"/>
      <c r="D100" s="4"/>
      <c r="E100" s="82" t="s">
        <v>392</v>
      </c>
      <c r="F100" s="103">
        <v>32.119999999999997</v>
      </c>
      <c r="G100" s="14">
        <f t="shared" si="83"/>
        <v>32119.999999999996</v>
      </c>
      <c r="H100" s="97">
        <v>15</v>
      </c>
      <c r="I100" s="83" t="s">
        <v>1986</v>
      </c>
      <c r="J100" s="85" t="s">
        <v>1723</v>
      </c>
      <c r="K100" s="135" t="s">
        <v>2089</v>
      </c>
      <c r="L100" s="4"/>
      <c r="M100" s="85" t="s">
        <v>2075</v>
      </c>
      <c r="N100" s="82" t="s">
        <v>54</v>
      </c>
      <c r="O100" s="4"/>
      <c r="P100" s="4"/>
      <c r="Q100" s="5">
        <v>52300</v>
      </c>
      <c r="R100" s="36"/>
      <c r="S100" s="36"/>
      <c r="T100" s="37"/>
      <c r="U100" s="5">
        <f t="shared" si="84"/>
        <v>52300</v>
      </c>
      <c r="V100" s="5">
        <f t="shared" si="85"/>
        <v>1679875.9999999998</v>
      </c>
      <c r="W100" s="5">
        <f t="shared" si="86"/>
        <v>302377.67999999993</v>
      </c>
      <c r="X100" s="5"/>
      <c r="Y100" s="5"/>
      <c r="Z100" s="98"/>
      <c r="AA100" s="23">
        <f t="shared" si="87"/>
        <v>0</v>
      </c>
      <c r="AB100" s="97">
        <f t="shared" si="88"/>
        <v>0</v>
      </c>
      <c r="AC100" s="43"/>
      <c r="AD100" s="49"/>
      <c r="AE100" s="5">
        <f t="shared" si="89"/>
        <v>1982253.6799999997</v>
      </c>
      <c r="AF100" s="139">
        <v>444</v>
      </c>
      <c r="AG100" s="139" t="s">
        <v>2264</v>
      </c>
      <c r="AH100" s="103">
        <v>32.119999999999997</v>
      </c>
      <c r="AI100" s="12"/>
      <c r="AJ100" s="40"/>
      <c r="AK100" s="40"/>
    </row>
    <row r="101" spans="2:37" s="41" customFormat="1">
      <c r="B101" s="13"/>
      <c r="C101" s="48">
        <v>692.35500000000002</v>
      </c>
      <c r="D101" s="6"/>
      <c r="E101" s="48">
        <f>C101-F101</f>
        <v>0</v>
      </c>
      <c r="F101" s="81">
        <f>SUM(F79:F100)</f>
        <v>692.3549999999999</v>
      </c>
      <c r="G101" s="20">
        <f>SUM(G79:G100)</f>
        <v>692355</v>
      </c>
      <c r="H101" s="21">
        <f>SUM(H79:H100)</f>
        <v>326</v>
      </c>
      <c r="I101" s="2"/>
      <c r="J101" s="7"/>
      <c r="K101" s="7"/>
      <c r="L101" s="7"/>
      <c r="M101" s="2"/>
      <c r="N101" s="6"/>
      <c r="O101" s="6"/>
      <c r="P101" s="6"/>
      <c r="Q101" s="19"/>
      <c r="R101" s="9"/>
      <c r="S101" s="9"/>
      <c r="T101" s="10"/>
      <c r="U101" s="8"/>
      <c r="V101" s="21">
        <f>SUM(V79:V100)</f>
        <v>36210166.5</v>
      </c>
      <c r="W101" s="21">
        <f>SUM(W79:W100)</f>
        <v>6517829.9699999988</v>
      </c>
      <c r="X101" s="21">
        <f>SUM(X79:X100)</f>
        <v>0</v>
      </c>
      <c r="Y101" s="21">
        <f>SUM(Y79:Y100)</f>
        <v>0</v>
      </c>
      <c r="Z101" s="99"/>
      <c r="AA101" s="21">
        <f>SUM(AA79:AA100)</f>
        <v>0</v>
      </c>
      <c r="AB101" s="21">
        <f>SUM(AB79:AB100)</f>
        <v>0</v>
      </c>
      <c r="AC101" s="21"/>
      <c r="AD101" s="21">
        <f>SUM(AD79:AD100)</f>
        <v>0</v>
      </c>
      <c r="AE101" s="21">
        <f>SUM(AE79:AE100)</f>
        <v>42727996.470000006</v>
      </c>
      <c r="AF101" s="21"/>
      <c r="AG101" s="42"/>
      <c r="AH101" s="81">
        <f>SUM(AH79:AH100)</f>
        <v>692.3549999999999</v>
      </c>
      <c r="AI101" s="26">
        <f>AH101-F101</f>
        <v>0</v>
      </c>
      <c r="AJ101" s="41">
        <f>AA101/F101</f>
        <v>0</v>
      </c>
      <c r="AK101" s="40"/>
    </row>
    <row r="102" spans="2:37">
      <c r="B102" s="15"/>
      <c r="C102" s="18"/>
      <c r="D102" s="11"/>
      <c r="E102" s="18" t="s">
        <v>16</v>
      </c>
      <c r="F102" s="16">
        <f>SUM(F3:F101)/2</f>
        <v>2776.7160000000008</v>
      </c>
      <c r="G102" s="17">
        <f>SUM(G3:G101)/2</f>
        <v>2776716</v>
      </c>
      <c r="H102" s="17">
        <f>SUM(H3:H101)/2</f>
        <v>1321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7"/>
      <c r="V102" s="17">
        <f>SUM(V3:V101)/2</f>
        <v>149520749.95999998</v>
      </c>
      <c r="W102" s="17">
        <f>SUM(W3:W101)/2</f>
        <v>26913734.992800001</v>
      </c>
      <c r="X102" s="17"/>
      <c r="Y102" s="22"/>
      <c r="Z102" s="17"/>
      <c r="AA102" s="17">
        <f>SUM(AA3:AA101)/2</f>
        <v>0</v>
      </c>
      <c r="AB102" s="17">
        <f>SUM(AB3:AB101)/2</f>
        <v>0</v>
      </c>
      <c r="AC102" s="22"/>
      <c r="AD102" s="17"/>
      <c r="AE102" s="17">
        <f>SUM(AE3:AE101)/2</f>
        <v>176434484.95279995</v>
      </c>
      <c r="AF102" s="17"/>
      <c r="AG102" s="16"/>
      <c r="AH102" s="17"/>
      <c r="AI102" s="26"/>
    </row>
    <row r="105" spans="2:37">
      <c r="F105" s="90"/>
    </row>
    <row r="110" spans="2:37">
      <c r="F110" s="90"/>
    </row>
  </sheetData>
  <dataConsolidate/>
  <mergeCells count="1">
    <mergeCell ref="AF1:AG1"/>
  </mergeCells>
  <pageMargins left="0.31496062992125984" right="0.19685039370078741" top="0.19685039370078741" bottom="0.27559055118110237" header="0.19685039370078741" footer="0.31496062992125984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220"/>
  <sheetViews>
    <sheetView showZeros="0" tabSelected="1" zoomScale="85" zoomScaleNormal="85" workbookViewId="0">
      <pane xSplit="14" ySplit="2" topLeftCell="O70" activePane="bottomRight" state="frozen"/>
      <selection pane="topRight" activeCell="O1" sqref="O1"/>
      <selection pane="bottomLeft" activeCell="A3" sqref="A3"/>
      <selection pane="bottomRight" activeCell="J191" sqref="J191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5.7109375" style="38" customWidth="1"/>
    <col min="6" max="6" width="8.85546875" style="38" customWidth="1"/>
    <col min="7" max="7" width="8.28515625" style="38" customWidth="1"/>
    <col min="8" max="8" width="12.285156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9.7109375" style="38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8.7109375" style="39" customWidth="1"/>
    <col min="27" max="27" width="10.85546875" style="39" customWidth="1"/>
    <col min="28" max="30" width="9.140625" style="39" customWidth="1"/>
    <col min="31" max="31" width="12.42578125" style="39" customWidth="1"/>
    <col min="32" max="32" width="14.5703125" style="39" customWidth="1"/>
    <col min="33" max="33" width="12" style="38" bestFit="1" customWidth="1"/>
    <col min="34" max="34" width="9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f>+F218</f>
        <v>6579.6350000000002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64"/>
    </row>
    <row r="2" spans="2:41" ht="25.5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115" t="s">
        <v>25</v>
      </c>
      <c r="L2" s="116" t="s">
        <v>32</v>
      </c>
      <c r="M2" s="117" t="s">
        <v>6</v>
      </c>
      <c r="N2" s="118" t="s">
        <v>37</v>
      </c>
      <c r="O2" s="119" t="s">
        <v>29</v>
      </c>
      <c r="P2" s="120" t="s">
        <v>30</v>
      </c>
      <c r="Q2" s="121" t="s">
        <v>7</v>
      </c>
      <c r="R2" s="121" t="s">
        <v>8</v>
      </c>
      <c r="S2" s="121" t="s">
        <v>9</v>
      </c>
      <c r="T2" s="121" t="s">
        <v>10</v>
      </c>
      <c r="U2" s="122" t="s">
        <v>11</v>
      </c>
      <c r="V2" s="123" t="s">
        <v>12</v>
      </c>
      <c r="W2" s="123" t="s">
        <v>19</v>
      </c>
      <c r="X2" s="123" t="s">
        <v>17</v>
      </c>
      <c r="Y2" s="123" t="s">
        <v>18</v>
      </c>
      <c r="Z2" s="123" t="s">
        <v>20</v>
      </c>
      <c r="AA2" s="123" t="s">
        <v>21</v>
      </c>
      <c r="AB2" s="124" t="s">
        <v>22</v>
      </c>
      <c r="AC2" s="124" t="s">
        <v>31</v>
      </c>
      <c r="AD2" s="125" t="s">
        <v>33</v>
      </c>
      <c r="AE2" s="123" t="s">
        <v>13</v>
      </c>
      <c r="AF2" s="116" t="s">
        <v>15</v>
      </c>
      <c r="AG2" s="116" t="s">
        <v>34</v>
      </c>
      <c r="AH2" s="116" t="s">
        <v>23</v>
      </c>
      <c r="AI2" s="116" t="s">
        <v>24</v>
      </c>
      <c r="AN2" s="35"/>
      <c r="AO2" s="35"/>
    </row>
    <row r="3" spans="2:41" s="41" customFormat="1" ht="16.149999999999999" customHeight="1">
      <c r="B3" s="138" t="s">
        <v>764</v>
      </c>
      <c r="C3" s="82" t="s">
        <v>1843</v>
      </c>
      <c r="D3" s="4"/>
      <c r="E3" s="82" t="s">
        <v>392</v>
      </c>
      <c r="F3" s="103">
        <v>27.64</v>
      </c>
      <c r="G3" s="14">
        <f t="shared" ref="G3:G13" si="0">+F3*1000</f>
        <v>27640</v>
      </c>
      <c r="H3" s="97">
        <v>13</v>
      </c>
      <c r="I3" s="83" t="s">
        <v>1855</v>
      </c>
      <c r="J3" s="85" t="s">
        <v>1723</v>
      </c>
      <c r="K3" s="135">
        <v>62185</v>
      </c>
      <c r="L3" s="4"/>
      <c r="M3" s="85" t="s">
        <v>1840</v>
      </c>
      <c r="N3" s="149" t="s">
        <v>1856</v>
      </c>
      <c r="O3" s="4"/>
      <c r="P3" s="4"/>
      <c r="Q3" s="146">
        <v>52300</v>
      </c>
      <c r="R3" s="36"/>
      <c r="S3" s="36"/>
      <c r="T3" s="37"/>
      <c r="U3" s="5">
        <f t="shared" ref="U3:U13" si="1">S3+R3+Q3-T3</f>
        <v>52300</v>
      </c>
      <c r="V3" s="5">
        <f t="shared" ref="V3:V13" si="2">F3*U3</f>
        <v>1445572</v>
      </c>
      <c r="W3" s="5">
        <f t="shared" ref="W3:W13" si="3">V3*18%</f>
        <v>260202.96</v>
      </c>
      <c r="X3" s="5"/>
      <c r="Y3" s="5"/>
      <c r="Z3" s="98"/>
      <c r="AA3" s="23">
        <f t="shared" ref="AA3:AA13" si="4">F3*Z3</f>
        <v>0</v>
      </c>
      <c r="AB3" s="97">
        <f t="shared" ref="AB3:AB13" si="5">AA3*18%</f>
        <v>0</v>
      </c>
      <c r="AC3" s="43"/>
      <c r="AD3" s="49"/>
      <c r="AE3" s="5">
        <f t="shared" ref="AE3:AE13" si="6">+AB3+AA3+Y3+X3+W3+V3-AC3+AD3</f>
        <v>1705774.96</v>
      </c>
      <c r="AF3" s="139">
        <v>538</v>
      </c>
      <c r="AG3" s="139" t="s">
        <v>2060</v>
      </c>
      <c r="AH3" s="103">
        <v>27.64</v>
      </c>
      <c r="AI3" s="12"/>
      <c r="AJ3" s="40"/>
      <c r="AK3" s="40"/>
    </row>
    <row r="4" spans="2:41" s="41" customFormat="1" ht="16.149999999999999" customHeight="1">
      <c r="B4" s="140" t="s">
        <v>918</v>
      </c>
      <c r="C4" s="82" t="s">
        <v>1857</v>
      </c>
      <c r="D4" s="4"/>
      <c r="E4" s="82" t="s">
        <v>392</v>
      </c>
      <c r="F4" s="153">
        <v>27.58</v>
      </c>
      <c r="G4" s="14">
        <f t="shared" si="0"/>
        <v>27580</v>
      </c>
      <c r="H4" s="97">
        <v>13</v>
      </c>
      <c r="I4" s="83" t="s">
        <v>1858</v>
      </c>
      <c r="J4" s="85" t="s">
        <v>1723</v>
      </c>
      <c r="K4" s="135">
        <v>62182</v>
      </c>
      <c r="L4" s="4"/>
      <c r="M4" s="85" t="s">
        <v>1840</v>
      </c>
      <c r="N4" s="149" t="s">
        <v>1859</v>
      </c>
      <c r="O4" s="4"/>
      <c r="P4" s="4"/>
      <c r="Q4" s="5">
        <v>52300</v>
      </c>
      <c r="R4" s="36"/>
      <c r="S4" s="36"/>
      <c r="T4" s="37"/>
      <c r="U4" s="5">
        <f t="shared" si="1"/>
        <v>52300</v>
      </c>
      <c r="V4" s="5">
        <f t="shared" si="2"/>
        <v>1442434</v>
      </c>
      <c r="W4" s="5">
        <f t="shared" si="3"/>
        <v>259638.12</v>
      </c>
      <c r="X4" s="5"/>
      <c r="Y4" s="5"/>
      <c r="Z4" s="98"/>
      <c r="AA4" s="23">
        <f t="shared" si="4"/>
        <v>0</v>
      </c>
      <c r="AB4" s="97">
        <f t="shared" si="5"/>
        <v>0</v>
      </c>
      <c r="AC4" s="43"/>
      <c r="AD4" s="49"/>
      <c r="AE4" s="5">
        <f t="shared" si="6"/>
        <v>1702072.12</v>
      </c>
      <c r="AF4" s="139">
        <v>539</v>
      </c>
      <c r="AG4" s="139" t="s">
        <v>2060</v>
      </c>
      <c r="AH4" s="153">
        <v>27.58</v>
      </c>
      <c r="AI4" s="12"/>
      <c r="AJ4" s="40"/>
      <c r="AK4" s="40"/>
    </row>
    <row r="5" spans="2:41" s="41" customFormat="1" ht="16.149999999999999" customHeight="1">
      <c r="B5" s="89"/>
      <c r="C5" s="140"/>
      <c r="D5" s="4"/>
      <c r="E5" s="82" t="s">
        <v>392</v>
      </c>
      <c r="F5" s="153">
        <v>27.72</v>
      </c>
      <c r="G5" s="14">
        <f t="shared" si="0"/>
        <v>27720</v>
      </c>
      <c r="H5" s="97">
        <v>13</v>
      </c>
      <c r="I5" s="83" t="s">
        <v>1864</v>
      </c>
      <c r="J5" s="85" t="s">
        <v>1723</v>
      </c>
      <c r="K5" s="135">
        <v>62183</v>
      </c>
      <c r="L5" s="4"/>
      <c r="M5" s="85" t="s">
        <v>1840</v>
      </c>
      <c r="N5" s="149" t="s">
        <v>1865</v>
      </c>
      <c r="O5" s="4"/>
      <c r="P5" s="4"/>
      <c r="Q5" s="5">
        <v>52300</v>
      </c>
      <c r="R5" s="36"/>
      <c r="S5" s="36"/>
      <c r="T5" s="37"/>
      <c r="U5" s="5">
        <f t="shared" si="1"/>
        <v>52300</v>
      </c>
      <c r="V5" s="5">
        <f t="shared" si="2"/>
        <v>1449756</v>
      </c>
      <c r="W5" s="5">
        <f t="shared" si="3"/>
        <v>260956.08</v>
      </c>
      <c r="X5" s="5"/>
      <c r="Y5" s="5"/>
      <c r="Z5" s="98"/>
      <c r="AA5" s="23">
        <f t="shared" si="4"/>
        <v>0</v>
      </c>
      <c r="AB5" s="97">
        <f t="shared" si="5"/>
        <v>0</v>
      </c>
      <c r="AC5" s="43"/>
      <c r="AD5" s="49"/>
      <c r="AE5" s="5">
        <f t="shared" si="6"/>
        <v>1710712.08</v>
      </c>
      <c r="AF5" s="139">
        <v>540</v>
      </c>
      <c r="AG5" s="139" t="s">
        <v>2060</v>
      </c>
      <c r="AH5" s="153">
        <v>27.72</v>
      </c>
      <c r="AI5" s="12"/>
      <c r="AJ5" s="40"/>
      <c r="AK5" s="40"/>
    </row>
    <row r="6" spans="2:41" s="41" customFormat="1" ht="16.149999999999999" customHeight="1">
      <c r="B6" s="89"/>
      <c r="C6" s="4"/>
      <c r="D6" s="4"/>
      <c r="E6" s="82" t="s">
        <v>392</v>
      </c>
      <c r="F6" s="153">
        <v>27.72</v>
      </c>
      <c r="G6" s="14">
        <f t="shared" si="0"/>
        <v>27720</v>
      </c>
      <c r="H6" s="97">
        <v>13</v>
      </c>
      <c r="I6" s="83" t="s">
        <v>1866</v>
      </c>
      <c r="J6" s="85" t="s">
        <v>1723</v>
      </c>
      <c r="K6" s="135">
        <v>62184</v>
      </c>
      <c r="L6" s="4"/>
      <c r="M6" s="85" t="s">
        <v>1840</v>
      </c>
      <c r="N6" s="149" t="s">
        <v>1867</v>
      </c>
      <c r="O6" s="4"/>
      <c r="P6" s="4"/>
      <c r="Q6" s="5">
        <v>52300</v>
      </c>
      <c r="R6" s="36"/>
      <c r="S6" s="36"/>
      <c r="T6" s="37"/>
      <c r="U6" s="5">
        <f t="shared" si="1"/>
        <v>52300</v>
      </c>
      <c r="V6" s="5">
        <f t="shared" si="2"/>
        <v>1449756</v>
      </c>
      <c r="W6" s="5">
        <f t="shared" si="3"/>
        <v>260956.08</v>
      </c>
      <c r="X6" s="5"/>
      <c r="Y6" s="5"/>
      <c r="Z6" s="98"/>
      <c r="AA6" s="23">
        <f t="shared" si="4"/>
        <v>0</v>
      </c>
      <c r="AB6" s="97">
        <f t="shared" si="5"/>
        <v>0</v>
      </c>
      <c r="AC6" s="43"/>
      <c r="AD6" s="49"/>
      <c r="AE6" s="5">
        <f t="shared" si="6"/>
        <v>1710712.08</v>
      </c>
      <c r="AF6" s="139">
        <v>541</v>
      </c>
      <c r="AG6" s="139" t="s">
        <v>2060</v>
      </c>
      <c r="AH6" s="153">
        <v>27.72</v>
      </c>
      <c r="AI6" s="12"/>
      <c r="AJ6" s="40"/>
      <c r="AK6" s="40"/>
    </row>
    <row r="7" spans="2:41" s="41" customFormat="1" ht="16.149999999999999" customHeight="1">
      <c r="B7" s="142"/>
      <c r="C7" s="4"/>
      <c r="D7" s="4"/>
      <c r="E7" s="82" t="s">
        <v>392</v>
      </c>
      <c r="F7" s="153">
        <v>31.84</v>
      </c>
      <c r="G7" s="14">
        <f t="shared" si="0"/>
        <v>31840</v>
      </c>
      <c r="H7" s="97">
        <v>15</v>
      </c>
      <c r="I7" s="83" t="s">
        <v>1871</v>
      </c>
      <c r="J7" s="85" t="s">
        <v>1779</v>
      </c>
      <c r="K7" s="135">
        <v>62189</v>
      </c>
      <c r="L7" s="4"/>
      <c r="M7" s="85" t="s">
        <v>1869</v>
      </c>
      <c r="N7" s="149" t="s">
        <v>1872</v>
      </c>
      <c r="O7" s="4"/>
      <c r="P7" s="4"/>
      <c r="Q7" s="5">
        <v>52300</v>
      </c>
      <c r="R7" s="36"/>
      <c r="S7" s="36"/>
      <c r="T7" s="37"/>
      <c r="U7" s="5">
        <f t="shared" si="1"/>
        <v>52300</v>
      </c>
      <c r="V7" s="5">
        <f t="shared" si="2"/>
        <v>1665232</v>
      </c>
      <c r="W7" s="5">
        <f t="shared" si="3"/>
        <v>299741.76</v>
      </c>
      <c r="X7" s="5"/>
      <c r="Y7" s="5"/>
      <c r="Z7" s="98"/>
      <c r="AA7" s="23">
        <f t="shared" si="4"/>
        <v>0</v>
      </c>
      <c r="AB7" s="97">
        <f t="shared" si="5"/>
        <v>0</v>
      </c>
      <c r="AC7" s="43"/>
      <c r="AD7" s="49"/>
      <c r="AE7" s="5">
        <f t="shared" si="6"/>
        <v>1964973.76</v>
      </c>
      <c r="AF7" s="139">
        <v>542</v>
      </c>
      <c r="AG7" s="139" t="s">
        <v>2060</v>
      </c>
      <c r="AH7" s="153">
        <v>31.84</v>
      </c>
      <c r="AI7" s="12"/>
      <c r="AJ7" s="40"/>
      <c r="AK7" s="40"/>
    </row>
    <row r="8" spans="2:41" s="41" customFormat="1" ht="16.149999999999999" customHeight="1">
      <c r="B8" s="142"/>
      <c r="C8" s="4"/>
      <c r="D8" s="4"/>
      <c r="E8" s="82" t="s">
        <v>392</v>
      </c>
      <c r="F8" s="153">
        <v>27.54</v>
      </c>
      <c r="G8" s="14">
        <f t="shared" si="0"/>
        <v>27540</v>
      </c>
      <c r="H8" s="97">
        <v>13</v>
      </c>
      <c r="I8" s="83" t="s">
        <v>1875</v>
      </c>
      <c r="J8" s="85" t="s">
        <v>1779</v>
      </c>
      <c r="K8" s="135">
        <v>62199</v>
      </c>
      <c r="L8" s="4"/>
      <c r="M8" s="85" t="s">
        <v>1869</v>
      </c>
      <c r="N8" s="149" t="s">
        <v>1876</v>
      </c>
      <c r="O8" s="4"/>
      <c r="P8" s="4"/>
      <c r="Q8" s="5">
        <v>52300</v>
      </c>
      <c r="R8" s="36"/>
      <c r="S8" s="36"/>
      <c r="T8" s="37"/>
      <c r="U8" s="5">
        <f t="shared" si="1"/>
        <v>52300</v>
      </c>
      <c r="V8" s="5">
        <f t="shared" si="2"/>
        <v>1440342</v>
      </c>
      <c r="W8" s="5">
        <f t="shared" si="3"/>
        <v>259261.56</v>
      </c>
      <c r="X8" s="5"/>
      <c r="Y8" s="5"/>
      <c r="Z8" s="98"/>
      <c r="AA8" s="23">
        <f t="shared" si="4"/>
        <v>0</v>
      </c>
      <c r="AB8" s="97">
        <f t="shared" si="5"/>
        <v>0</v>
      </c>
      <c r="AC8" s="43"/>
      <c r="AD8" s="49"/>
      <c r="AE8" s="5">
        <f t="shared" si="6"/>
        <v>1699603.56</v>
      </c>
      <c r="AF8" s="139">
        <v>543</v>
      </c>
      <c r="AG8" s="139" t="s">
        <v>2060</v>
      </c>
      <c r="AH8" s="153">
        <v>27.54</v>
      </c>
      <c r="AI8" s="12"/>
      <c r="AJ8" s="40"/>
      <c r="AK8" s="40"/>
    </row>
    <row r="9" spans="2:41" s="41" customFormat="1" ht="16.149999999999999" customHeight="1">
      <c r="B9" s="142"/>
      <c r="C9" s="4"/>
      <c r="D9" s="4"/>
      <c r="E9" s="82" t="s">
        <v>392</v>
      </c>
      <c r="F9" s="153">
        <v>40.380000000000003</v>
      </c>
      <c r="G9" s="14">
        <f t="shared" si="0"/>
        <v>40380</v>
      </c>
      <c r="H9" s="97">
        <v>19</v>
      </c>
      <c r="I9" s="83" t="s">
        <v>1877</v>
      </c>
      <c r="J9" s="85" t="s">
        <v>1723</v>
      </c>
      <c r="K9" s="135">
        <v>60936</v>
      </c>
      <c r="L9" s="4"/>
      <c r="M9" s="85" t="s">
        <v>1869</v>
      </c>
      <c r="N9" s="149" t="s">
        <v>671</v>
      </c>
      <c r="O9" s="4"/>
      <c r="P9" s="4"/>
      <c r="Q9" s="5">
        <v>52300</v>
      </c>
      <c r="R9" s="36"/>
      <c r="S9" s="36"/>
      <c r="T9" s="37"/>
      <c r="U9" s="5">
        <f t="shared" si="1"/>
        <v>52300</v>
      </c>
      <c r="V9" s="5">
        <f t="shared" si="2"/>
        <v>2111874</v>
      </c>
      <c r="W9" s="5">
        <f t="shared" si="3"/>
        <v>380137.32</v>
      </c>
      <c r="X9" s="5"/>
      <c r="Y9" s="5"/>
      <c r="Z9" s="98"/>
      <c r="AA9" s="23">
        <f t="shared" si="4"/>
        <v>0</v>
      </c>
      <c r="AB9" s="97">
        <f t="shared" si="5"/>
        <v>0</v>
      </c>
      <c r="AC9" s="43"/>
      <c r="AD9" s="49"/>
      <c r="AE9" s="5">
        <f t="shared" si="6"/>
        <v>2492011.3199999998</v>
      </c>
      <c r="AF9" s="139">
        <v>544</v>
      </c>
      <c r="AG9" s="139" t="s">
        <v>2060</v>
      </c>
      <c r="AH9" s="153">
        <v>40.380000000000003</v>
      </c>
      <c r="AI9" s="12"/>
      <c r="AJ9" s="40"/>
      <c r="AK9" s="40"/>
    </row>
    <row r="10" spans="2:41" s="41" customFormat="1" ht="16.149999999999999" customHeight="1">
      <c r="B10" s="142"/>
      <c r="C10" s="4"/>
      <c r="D10" s="4"/>
      <c r="E10" s="82" t="s">
        <v>392</v>
      </c>
      <c r="F10" s="153">
        <v>28.64</v>
      </c>
      <c r="G10" s="14">
        <f t="shared" si="0"/>
        <v>28640</v>
      </c>
      <c r="H10" s="97">
        <v>14</v>
      </c>
      <c r="I10" s="83" t="s">
        <v>1880</v>
      </c>
      <c r="J10" s="85" t="s">
        <v>1823</v>
      </c>
      <c r="K10" s="135">
        <v>10237</v>
      </c>
      <c r="L10" s="4"/>
      <c r="M10" s="85" t="s">
        <v>1869</v>
      </c>
      <c r="N10" s="149" t="s">
        <v>1881</v>
      </c>
      <c r="O10" s="4"/>
      <c r="P10" s="4"/>
      <c r="Q10" s="5">
        <v>52300</v>
      </c>
      <c r="R10" s="36"/>
      <c r="S10" s="36"/>
      <c r="T10" s="37"/>
      <c r="U10" s="5">
        <f t="shared" si="1"/>
        <v>52300</v>
      </c>
      <c r="V10" s="5">
        <f t="shared" si="2"/>
        <v>1497872</v>
      </c>
      <c r="W10" s="5">
        <f t="shared" si="3"/>
        <v>269616.95999999996</v>
      </c>
      <c r="X10" s="5"/>
      <c r="Y10" s="5"/>
      <c r="Z10" s="98"/>
      <c r="AA10" s="23">
        <f t="shared" si="4"/>
        <v>0</v>
      </c>
      <c r="AB10" s="97">
        <f t="shared" si="5"/>
        <v>0</v>
      </c>
      <c r="AC10" s="43"/>
      <c r="AD10" s="49"/>
      <c r="AE10" s="5">
        <f t="shared" si="6"/>
        <v>1767488.96</v>
      </c>
      <c r="AF10" s="139">
        <v>545</v>
      </c>
      <c r="AG10" s="139" t="s">
        <v>2060</v>
      </c>
      <c r="AH10" s="153">
        <v>28.64</v>
      </c>
      <c r="AI10" s="12"/>
      <c r="AJ10" s="40"/>
      <c r="AK10" s="40"/>
    </row>
    <row r="11" spans="2:41" s="41" customFormat="1" ht="16.149999999999999" customHeight="1">
      <c r="B11" s="142"/>
      <c r="C11" s="4"/>
      <c r="D11" s="4"/>
      <c r="E11" s="82" t="s">
        <v>392</v>
      </c>
      <c r="F11" s="103">
        <v>31.88</v>
      </c>
      <c r="G11" s="14">
        <f t="shared" si="0"/>
        <v>31880</v>
      </c>
      <c r="H11" s="97">
        <v>15</v>
      </c>
      <c r="I11" s="83" t="s">
        <v>1888</v>
      </c>
      <c r="J11" s="85" t="s">
        <v>1779</v>
      </c>
      <c r="K11" s="135">
        <v>60439</v>
      </c>
      <c r="L11" s="4"/>
      <c r="M11" s="85" t="s">
        <v>1869</v>
      </c>
      <c r="N11" s="149" t="s">
        <v>1889</v>
      </c>
      <c r="O11" s="4"/>
      <c r="P11" s="4"/>
      <c r="Q11" s="5">
        <v>52300</v>
      </c>
      <c r="R11" s="36"/>
      <c r="S11" s="36"/>
      <c r="T11" s="37"/>
      <c r="U11" s="5">
        <f t="shared" si="1"/>
        <v>52300</v>
      </c>
      <c r="V11" s="5">
        <f t="shared" si="2"/>
        <v>1667324</v>
      </c>
      <c r="W11" s="5">
        <f t="shared" si="3"/>
        <v>300118.32</v>
      </c>
      <c r="X11" s="5"/>
      <c r="Y11" s="5"/>
      <c r="Z11" s="98"/>
      <c r="AA11" s="23">
        <f t="shared" si="4"/>
        <v>0</v>
      </c>
      <c r="AB11" s="97">
        <f t="shared" si="5"/>
        <v>0</v>
      </c>
      <c r="AC11" s="43"/>
      <c r="AD11" s="49"/>
      <c r="AE11" s="5">
        <f t="shared" si="6"/>
        <v>1967442.32</v>
      </c>
      <c r="AF11" s="139">
        <v>546</v>
      </c>
      <c r="AG11" s="139" t="s">
        <v>2060</v>
      </c>
      <c r="AH11" s="103">
        <v>31.88</v>
      </c>
      <c r="AI11" s="12"/>
      <c r="AJ11" s="40"/>
      <c r="AK11" s="40"/>
    </row>
    <row r="12" spans="2:41" s="41" customFormat="1" ht="16.149999999999999" customHeight="1">
      <c r="B12" s="142"/>
      <c r="C12" s="4"/>
      <c r="D12" s="4"/>
      <c r="E12" s="82" t="s">
        <v>392</v>
      </c>
      <c r="F12" s="103">
        <v>42.6</v>
      </c>
      <c r="G12" s="14">
        <f t="shared" si="0"/>
        <v>42600</v>
      </c>
      <c r="H12" s="97">
        <v>20</v>
      </c>
      <c r="I12" s="83" t="s">
        <v>1933</v>
      </c>
      <c r="J12" s="85" t="s">
        <v>1723</v>
      </c>
      <c r="K12" s="135">
        <v>60434</v>
      </c>
      <c r="L12" s="4"/>
      <c r="M12" s="85" t="s">
        <v>1931</v>
      </c>
      <c r="N12" s="149" t="s">
        <v>1934</v>
      </c>
      <c r="O12" s="4"/>
      <c r="P12" s="4"/>
      <c r="Q12" s="5">
        <v>52300</v>
      </c>
      <c r="R12" s="36"/>
      <c r="S12" s="36"/>
      <c r="T12" s="37"/>
      <c r="U12" s="5">
        <f t="shared" si="1"/>
        <v>52300</v>
      </c>
      <c r="V12" s="5">
        <f t="shared" si="2"/>
        <v>2227980</v>
      </c>
      <c r="W12" s="5">
        <f t="shared" si="3"/>
        <v>401036.39999999997</v>
      </c>
      <c r="X12" s="5"/>
      <c r="Y12" s="5"/>
      <c r="Z12" s="98"/>
      <c r="AA12" s="23">
        <f t="shared" si="4"/>
        <v>0</v>
      </c>
      <c r="AB12" s="97">
        <f t="shared" si="5"/>
        <v>0</v>
      </c>
      <c r="AC12" s="43"/>
      <c r="AD12" s="49"/>
      <c r="AE12" s="5">
        <f t="shared" si="6"/>
        <v>2629016.4</v>
      </c>
      <c r="AF12" s="139">
        <v>547</v>
      </c>
      <c r="AG12" s="139" t="s">
        <v>2060</v>
      </c>
      <c r="AH12" s="103">
        <v>42.6</v>
      </c>
      <c r="AI12" s="12"/>
      <c r="AJ12" s="40"/>
      <c r="AK12" s="40"/>
    </row>
    <row r="13" spans="2:41" s="41" customFormat="1" ht="16.149999999999999" customHeight="1">
      <c r="B13" s="83"/>
      <c r="C13" s="4"/>
      <c r="D13" s="4"/>
      <c r="E13" s="82" t="s">
        <v>392</v>
      </c>
      <c r="F13" s="103">
        <v>8.1880000000000006</v>
      </c>
      <c r="G13" s="14">
        <f t="shared" si="0"/>
        <v>8188.0000000000009</v>
      </c>
      <c r="H13" s="97">
        <v>4</v>
      </c>
      <c r="I13" s="83" t="s">
        <v>1948</v>
      </c>
      <c r="J13" s="85" t="s">
        <v>1823</v>
      </c>
      <c r="K13" s="135">
        <v>60447</v>
      </c>
      <c r="L13" s="4"/>
      <c r="M13" s="85" t="s">
        <v>1931</v>
      </c>
      <c r="N13" s="149" t="s">
        <v>1947</v>
      </c>
      <c r="O13" s="4"/>
      <c r="P13" s="4"/>
      <c r="Q13" s="5">
        <v>52300</v>
      </c>
      <c r="R13" s="36"/>
      <c r="S13" s="36"/>
      <c r="T13" s="37"/>
      <c r="U13" s="5">
        <f t="shared" si="1"/>
        <v>52300</v>
      </c>
      <c r="V13" s="5">
        <f t="shared" si="2"/>
        <v>428232.4</v>
      </c>
      <c r="W13" s="5">
        <f t="shared" si="3"/>
        <v>77081.831999999995</v>
      </c>
      <c r="X13" s="5"/>
      <c r="Y13" s="5"/>
      <c r="Z13" s="98"/>
      <c r="AA13" s="23">
        <f t="shared" si="4"/>
        <v>0</v>
      </c>
      <c r="AB13" s="97">
        <f t="shared" si="5"/>
        <v>0</v>
      </c>
      <c r="AC13" s="43"/>
      <c r="AD13" s="49"/>
      <c r="AE13" s="5">
        <f t="shared" si="6"/>
        <v>505314.23200000002</v>
      </c>
      <c r="AF13" s="139">
        <v>548</v>
      </c>
      <c r="AG13" s="139" t="s">
        <v>2060</v>
      </c>
      <c r="AH13" s="103">
        <v>8.1880000000000006</v>
      </c>
      <c r="AI13" s="12"/>
      <c r="AJ13" s="40"/>
      <c r="AK13" s="40"/>
    </row>
    <row r="14" spans="2:41" s="41" customFormat="1">
      <c r="B14" s="13"/>
      <c r="C14" s="48"/>
      <c r="D14" s="6"/>
      <c r="E14" s="6"/>
      <c r="F14" s="165">
        <f>SUM(F3:F13)</f>
        <v>321.72800000000001</v>
      </c>
      <c r="G14" s="20">
        <f>SUM(G3:G13)</f>
        <v>321728</v>
      </c>
      <c r="H14" s="21">
        <f>SUM(H3:H13)</f>
        <v>152</v>
      </c>
      <c r="I14" s="2"/>
      <c r="J14" s="7"/>
      <c r="K14" s="7"/>
      <c r="L14" s="7"/>
      <c r="M14" s="2"/>
      <c r="N14" s="6"/>
      <c r="O14" s="6"/>
      <c r="P14" s="6"/>
      <c r="Q14" s="19"/>
      <c r="R14" s="9"/>
      <c r="S14" s="9"/>
      <c r="T14" s="10"/>
      <c r="U14" s="8"/>
      <c r="V14" s="21">
        <f>SUM(V3:V13)</f>
        <v>16826374.399999999</v>
      </c>
      <c r="W14" s="21">
        <f>SUM(W3:W13)</f>
        <v>3028747.3919999995</v>
      </c>
      <c r="X14" s="21">
        <f>SUM(X3:X13)</f>
        <v>0</v>
      </c>
      <c r="Y14" s="21">
        <f>SUM(Y3:Y13)</f>
        <v>0</v>
      </c>
      <c r="Z14" s="99"/>
      <c r="AA14" s="21">
        <f>SUM(AA3:AA13)</f>
        <v>0</v>
      </c>
      <c r="AB14" s="21">
        <f>SUM(AB3:AB13)</f>
        <v>0</v>
      </c>
      <c r="AC14" s="21"/>
      <c r="AD14" s="21">
        <f>SUM(AD3:AD13)</f>
        <v>0</v>
      </c>
      <c r="AE14" s="21">
        <f>SUM(AE3:AE13)</f>
        <v>19855121.791999999</v>
      </c>
      <c r="AF14" s="21"/>
      <c r="AG14" s="42"/>
      <c r="AH14" s="81">
        <f>SUM(AH3:AH13)</f>
        <v>321.72800000000001</v>
      </c>
      <c r="AI14" s="26">
        <f>AH14-F14</f>
        <v>0</v>
      </c>
      <c r="AJ14" s="41">
        <f>AA14/F14</f>
        <v>0</v>
      </c>
      <c r="AK14" s="40"/>
    </row>
    <row r="15" spans="2:41" s="41" customFormat="1" ht="16.149999999999999" customHeight="1">
      <c r="B15" s="138" t="s">
        <v>764</v>
      </c>
      <c r="C15" s="82" t="s">
        <v>1843</v>
      </c>
      <c r="D15" s="4"/>
      <c r="E15" s="82" t="s">
        <v>35</v>
      </c>
      <c r="F15" s="103">
        <v>10.535</v>
      </c>
      <c r="G15" s="14">
        <f t="shared" ref="G15:G17" si="7">+F15*1000</f>
        <v>10535</v>
      </c>
      <c r="H15" s="97">
        <v>5</v>
      </c>
      <c r="I15" s="83" t="s">
        <v>1967</v>
      </c>
      <c r="J15" s="85" t="s">
        <v>1958</v>
      </c>
      <c r="K15" s="135">
        <v>60964</v>
      </c>
      <c r="L15" s="4"/>
      <c r="M15" s="85" t="s">
        <v>1959</v>
      </c>
      <c r="N15" s="82" t="s">
        <v>1964</v>
      </c>
      <c r="O15" s="4"/>
      <c r="P15" s="4"/>
      <c r="Q15" s="5">
        <v>56300</v>
      </c>
      <c r="R15" s="36"/>
      <c r="S15" s="36"/>
      <c r="T15" s="37"/>
      <c r="U15" s="5">
        <f t="shared" ref="U15:U17" si="8">S15+R15+Q15-T15</f>
        <v>56300</v>
      </c>
      <c r="V15" s="5">
        <f t="shared" ref="V15:V17" si="9">F15*U15</f>
        <v>593120.5</v>
      </c>
      <c r="W15" s="5">
        <f t="shared" ref="W15:W17" si="10">V15*18%</f>
        <v>106761.69</v>
      </c>
      <c r="X15" s="5"/>
      <c r="Y15" s="5"/>
      <c r="Z15" s="98"/>
      <c r="AA15" s="23">
        <f t="shared" ref="AA15:AA17" si="11">F15*Z15</f>
        <v>0</v>
      </c>
      <c r="AB15" s="97">
        <f t="shared" ref="AB15:AB17" si="12">AA15*18%</f>
        <v>0</v>
      </c>
      <c r="AC15" s="43"/>
      <c r="AD15" s="49"/>
      <c r="AE15" s="5">
        <f t="shared" ref="AE15:AE17" si="13">+AB15+AA15+Y15+X15+W15+V15-AC15+AD15</f>
        <v>699882.19</v>
      </c>
      <c r="AF15" s="139">
        <v>648</v>
      </c>
      <c r="AG15" s="139" t="s">
        <v>2060</v>
      </c>
      <c r="AH15" s="103">
        <v>10.535</v>
      </c>
      <c r="AI15" s="12"/>
      <c r="AJ15" s="40"/>
      <c r="AK15" s="40"/>
    </row>
    <row r="16" spans="2:41" s="41" customFormat="1" ht="16.149999999999999" customHeight="1">
      <c r="B16" s="140" t="s">
        <v>1966</v>
      </c>
      <c r="C16" s="82" t="s">
        <v>1965</v>
      </c>
      <c r="D16" s="4"/>
      <c r="E16" s="82" t="s">
        <v>35</v>
      </c>
      <c r="F16" s="156">
        <v>40.24</v>
      </c>
      <c r="G16" s="14">
        <f t="shared" si="7"/>
        <v>40240</v>
      </c>
      <c r="H16" s="97">
        <v>19</v>
      </c>
      <c r="I16" s="83" t="s">
        <v>2056</v>
      </c>
      <c r="J16" s="85" t="s">
        <v>2053</v>
      </c>
      <c r="K16" s="135">
        <v>61005</v>
      </c>
      <c r="L16" s="4"/>
      <c r="M16" s="85" t="s">
        <v>2057</v>
      </c>
      <c r="N16" s="82" t="s">
        <v>2058</v>
      </c>
      <c r="O16" s="4"/>
      <c r="P16" s="4"/>
      <c r="Q16" s="5">
        <v>56300</v>
      </c>
      <c r="R16" s="36"/>
      <c r="S16" s="36"/>
      <c r="T16" s="37"/>
      <c r="U16" s="5">
        <f t="shared" si="8"/>
        <v>56300</v>
      </c>
      <c r="V16" s="5">
        <f t="shared" si="9"/>
        <v>2265512</v>
      </c>
      <c r="W16" s="5">
        <f t="shared" si="10"/>
        <v>407792.16</v>
      </c>
      <c r="X16" s="5"/>
      <c r="Y16" s="5"/>
      <c r="Z16" s="98"/>
      <c r="AA16" s="23">
        <f t="shared" si="11"/>
        <v>0</v>
      </c>
      <c r="AB16" s="97">
        <f t="shared" si="12"/>
        <v>0</v>
      </c>
      <c r="AC16" s="43"/>
      <c r="AD16" s="49"/>
      <c r="AE16" s="5">
        <f t="shared" si="13"/>
        <v>2673304.16</v>
      </c>
      <c r="AF16" s="139">
        <v>649</v>
      </c>
      <c r="AG16" s="139" t="s">
        <v>2270</v>
      </c>
      <c r="AH16" s="156">
        <v>40.24</v>
      </c>
      <c r="AI16" s="12"/>
      <c r="AJ16" s="40"/>
      <c r="AK16" s="40"/>
    </row>
    <row r="17" spans="2:37" s="41" customFormat="1" ht="16.149999999999999" customHeight="1">
      <c r="B17" s="140"/>
      <c r="C17" s="140" t="s">
        <v>2014</v>
      </c>
      <c r="D17" s="4"/>
      <c r="E17" s="82" t="s">
        <v>35</v>
      </c>
      <c r="F17" s="156">
        <v>38.04</v>
      </c>
      <c r="G17" s="14">
        <f t="shared" si="7"/>
        <v>38040</v>
      </c>
      <c r="H17" s="97">
        <v>18</v>
      </c>
      <c r="I17" s="83" t="s">
        <v>2059</v>
      </c>
      <c r="J17" s="85" t="s">
        <v>2053</v>
      </c>
      <c r="K17" s="135">
        <v>60057</v>
      </c>
      <c r="L17" s="4"/>
      <c r="M17" s="85" t="s">
        <v>2060</v>
      </c>
      <c r="N17" s="82" t="s">
        <v>2061</v>
      </c>
      <c r="O17" s="4"/>
      <c r="P17" s="4"/>
      <c r="Q17" s="5">
        <v>56300</v>
      </c>
      <c r="R17" s="36"/>
      <c r="S17" s="36"/>
      <c r="T17" s="37"/>
      <c r="U17" s="5">
        <f t="shared" si="8"/>
        <v>56300</v>
      </c>
      <c r="V17" s="5">
        <f t="shared" si="9"/>
        <v>2141652</v>
      </c>
      <c r="W17" s="5">
        <f t="shared" si="10"/>
        <v>385497.36</v>
      </c>
      <c r="X17" s="5"/>
      <c r="Y17" s="5"/>
      <c r="Z17" s="98"/>
      <c r="AA17" s="23">
        <f t="shared" si="11"/>
        <v>0</v>
      </c>
      <c r="AB17" s="97">
        <f t="shared" si="12"/>
        <v>0</v>
      </c>
      <c r="AC17" s="43"/>
      <c r="AD17" s="49"/>
      <c r="AE17" s="5">
        <f t="shared" si="13"/>
        <v>2527149.36</v>
      </c>
      <c r="AF17" s="139">
        <v>650</v>
      </c>
      <c r="AG17" s="139" t="s">
        <v>2270</v>
      </c>
      <c r="AH17" s="156">
        <v>38.04</v>
      </c>
      <c r="AI17" s="12"/>
      <c r="AJ17" s="40"/>
      <c r="AK17" s="40"/>
    </row>
    <row r="18" spans="2:37" s="41" customFormat="1">
      <c r="B18" s="13"/>
      <c r="C18" s="48"/>
      <c r="D18" s="6"/>
      <c r="E18" s="6"/>
      <c r="F18" s="165">
        <f>SUM(F15:F17)</f>
        <v>88.814999999999998</v>
      </c>
      <c r="G18" s="20">
        <f>SUM(G15:G17)</f>
        <v>88815</v>
      </c>
      <c r="H18" s="21">
        <f>SUM(H15:H17)</f>
        <v>42</v>
      </c>
      <c r="I18" s="2"/>
      <c r="J18" s="7"/>
      <c r="K18" s="7"/>
      <c r="L18" s="7"/>
      <c r="M18" s="2"/>
      <c r="N18" s="6"/>
      <c r="O18" s="6"/>
      <c r="P18" s="6"/>
      <c r="Q18" s="19"/>
      <c r="R18" s="9"/>
      <c r="S18" s="9"/>
      <c r="T18" s="10"/>
      <c r="U18" s="8"/>
      <c r="V18" s="21">
        <f>SUM(V15:V17)</f>
        <v>5000284.5</v>
      </c>
      <c r="W18" s="21">
        <f>SUM(W15:W17)</f>
        <v>900051.21</v>
      </c>
      <c r="X18" s="21">
        <f>SUM(X15:X17)</f>
        <v>0</v>
      </c>
      <c r="Y18" s="21">
        <f>SUM(Y15:Y17)</f>
        <v>0</v>
      </c>
      <c r="Z18" s="99"/>
      <c r="AA18" s="21">
        <f>SUM(AA15:AA17)</f>
        <v>0</v>
      </c>
      <c r="AB18" s="21">
        <f>SUM(AB15:AB17)</f>
        <v>0</v>
      </c>
      <c r="AC18" s="21"/>
      <c r="AD18" s="21">
        <f>SUM(AD15:AD17)</f>
        <v>0</v>
      </c>
      <c r="AE18" s="21">
        <f>SUM(AE15:AE17)</f>
        <v>5900335.71</v>
      </c>
      <c r="AF18" s="21"/>
      <c r="AG18" s="42"/>
      <c r="AH18" s="81">
        <f>SUM(AH15:AH17)</f>
        <v>88.814999999999998</v>
      </c>
      <c r="AI18" s="26">
        <f>AH18-F18</f>
        <v>0</v>
      </c>
      <c r="AJ18" s="41">
        <f>AA18/F18</f>
        <v>0</v>
      </c>
      <c r="AK18" s="40"/>
    </row>
    <row r="19" spans="2:37" s="41" customFormat="1" ht="16.149999999999999" customHeight="1">
      <c r="B19" s="138" t="s">
        <v>764</v>
      </c>
      <c r="C19" s="82" t="s">
        <v>1843</v>
      </c>
      <c r="D19" s="4"/>
      <c r="E19" s="82" t="s">
        <v>35</v>
      </c>
      <c r="F19" s="103">
        <v>31.68</v>
      </c>
      <c r="G19" s="14">
        <f t="shared" ref="G19:G39" si="14">+F19*1000</f>
        <v>31680</v>
      </c>
      <c r="H19" s="97">
        <v>15</v>
      </c>
      <c r="I19" s="83" t="s">
        <v>1978</v>
      </c>
      <c r="J19" s="85" t="s">
        <v>1723</v>
      </c>
      <c r="K19" s="135" t="s">
        <v>2040</v>
      </c>
      <c r="L19" s="4"/>
      <c r="M19" s="85" t="s">
        <v>2053</v>
      </c>
      <c r="N19" s="82" t="s">
        <v>2034</v>
      </c>
      <c r="O19" s="4"/>
      <c r="P19" s="4"/>
      <c r="Q19" s="5">
        <v>54300</v>
      </c>
      <c r="R19" s="36"/>
      <c r="S19" s="36"/>
      <c r="T19" s="37"/>
      <c r="U19" s="5">
        <f t="shared" ref="U19:U39" si="15">S19+R19+Q19-T19</f>
        <v>54300</v>
      </c>
      <c r="V19" s="5">
        <f t="shared" ref="V19:V39" si="16">F19*U19</f>
        <v>1720224</v>
      </c>
      <c r="W19" s="5">
        <f t="shared" ref="W19:W39" si="17">V19*18%</f>
        <v>309640.32000000001</v>
      </c>
      <c r="X19" s="5"/>
      <c r="Y19" s="5"/>
      <c r="Z19" s="98"/>
      <c r="AA19" s="23">
        <f t="shared" ref="AA19:AA39" si="18">F19*Z19</f>
        <v>0</v>
      </c>
      <c r="AB19" s="97">
        <f t="shared" ref="AB19:AB39" si="19">AA19*18%</f>
        <v>0</v>
      </c>
      <c r="AC19" s="43"/>
      <c r="AD19" s="49"/>
      <c r="AE19" s="5">
        <f t="shared" ref="AE19:AE39" si="20">+AB19+AA19+Y19+X19+W19+V19-AC19+AD19</f>
        <v>2029864.32</v>
      </c>
      <c r="AF19" s="139">
        <v>651</v>
      </c>
      <c r="AG19" s="139" t="s">
        <v>2270</v>
      </c>
      <c r="AH19" s="103">
        <v>31.68</v>
      </c>
      <c r="AI19" s="12"/>
      <c r="AJ19" s="40"/>
      <c r="AK19" s="40"/>
    </row>
    <row r="20" spans="2:37" s="41" customFormat="1" ht="16.149999999999999" customHeight="1">
      <c r="B20" s="140" t="s">
        <v>767</v>
      </c>
      <c r="C20" s="82" t="s">
        <v>1975</v>
      </c>
      <c r="D20" s="4"/>
      <c r="E20" s="82" t="s">
        <v>35</v>
      </c>
      <c r="F20" s="103">
        <v>33.82</v>
      </c>
      <c r="G20" s="14">
        <f t="shared" si="14"/>
        <v>33820</v>
      </c>
      <c r="H20" s="97">
        <v>16</v>
      </c>
      <c r="I20" s="83" t="s">
        <v>1978</v>
      </c>
      <c r="J20" s="85" t="s">
        <v>1723</v>
      </c>
      <c r="K20" s="135" t="s">
        <v>2041</v>
      </c>
      <c r="L20" s="4"/>
      <c r="M20" s="85" t="s">
        <v>2053</v>
      </c>
      <c r="N20" s="82" t="s">
        <v>1506</v>
      </c>
      <c r="O20" s="4"/>
      <c r="P20" s="4"/>
      <c r="Q20" s="5">
        <v>54300</v>
      </c>
      <c r="R20" s="36"/>
      <c r="S20" s="36"/>
      <c r="T20" s="37"/>
      <c r="U20" s="5">
        <f t="shared" si="15"/>
        <v>54300</v>
      </c>
      <c r="V20" s="5">
        <f t="shared" si="16"/>
        <v>1836426</v>
      </c>
      <c r="W20" s="5">
        <f t="shared" si="17"/>
        <v>330556.68</v>
      </c>
      <c r="X20" s="5"/>
      <c r="Y20" s="5"/>
      <c r="Z20" s="98"/>
      <c r="AA20" s="23">
        <f t="shared" si="18"/>
        <v>0</v>
      </c>
      <c r="AB20" s="97">
        <f t="shared" si="19"/>
        <v>0</v>
      </c>
      <c r="AC20" s="43"/>
      <c r="AD20" s="49"/>
      <c r="AE20" s="5">
        <f t="shared" si="20"/>
        <v>2166982.6800000002</v>
      </c>
      <c r="AF20" s="139">
        <v>652</v>
      </c>
      <c r="AG20" s="139" t="s">
        <v>2270</v>
      </c>
      <c r="AH20" s="103">
        <v>33.82</v>
      </c>
      <c r="AI20" s="12"/>
      <c r="AJ20" s="40"/>
      <c r="AK20" s="40"/>
    </row>
    <row r="21" spans="2:37" s="41" customFormat="1" ht="16.149999999999999" customHeight="1">
      <c r="B21" s="89" t="s">
        <v>1976</v>
      </c>
      <c r="C21" s="140"/>
      <c r="D21" s="4"/>
      <c r="E21" s="82" t="s">
        <v>35</v>
      </c>
      <c r="F21" s="103">
        <v>33.83</v>
      </c>
      <c r="G21" s="14">
        <f t="shared" si="14"/>
        <v>33830</v>
      </c>
      <c r="H21" s="97">
        <v>16</v>
      </c>
      <c r="I21" s="83" t="s">
        <v>1978</v>
      </c>
      <c r="J21" s="85" t="s">
        <v>1723</v>
      </c>
      <c r="K21" s="135" t="s">
        <v>2042</v>
      </c>
      <c r="L21" s="4"/>
      <c r="M21" s="85" t="s">
        <v>2053</v>
      </c>
      <c r="N21" s="82" t="s">
        <v>1550</v>
      </c>
      <c r="O21" s="4"/>
      <c r="P21" s="4"/>
      <c r="Q21" s="5">
        <v>54300</v>
      </c>
      <c r="R21" s="36"/>
      <c r="S21" s="36"/>
      <c r="T21" s="37"/>
      <c r="U21" s="5">
        <f t="shared" si="15"/>
        <v>54300</v>
      </c>
      <c r="V21" s="5">
        <f t="shared" si="16"/>
        <v>1836969</v>
      </c>
      <c r="W21" s="5">
        <f t="shared" si="17"/>
        <v>330654.42</v>
      </c>
      <c r="X21" s="5"/>
      <c r="Y21" s="5"/>
      <c r="Z21" s="98"/>
      <c r="AA21" s="23">
        <f t="shared" si="18"/>
        <v>0</v>
      </c>
      <c r="AB21" s="97">
        <f t="shared" si="19"/>
        <v>0</v>
      </c>
      <c r="AC21" s="43"/>
      <c r="AD21" s="49"/>
      <c r="AE21" s="5">
        <f t="shared" si="20"/>
        <v>2167623.42</v>
      </c>
      <c r="AF21" s="139">
        <v>653</v>
      </c>
      <c r="AG21" s="139" t="s">
        <v>2270</v>
      </c>
      <c r="AH21" s="103">
        <v>33.83</v>
      </c>
      <c r="AI21" s="12"/>
      <c r="AJ21" s="40"/>
      <c r="AK21" s="40"/>
    </row>
    <row r="22" spans="2:37" s="41" customFormat="1" ht="16.149999999999999" customHeight="1">
      <c r="B22" s="89" t="s">
        <v>1977</v>
      </c>
      <c r="C22" s="140"/>
      <c r="D22" s="4"/>
      <c r="E22" s="82" t="s">
        <v>35</v>
      </c>
      <c r="F22" s="103">
        <v>31.79</v>
      </c>
      <c r="G22" s="14">
        <f t="shared" si="14"/>
        <v>31790</v>
      </c>
      <c r="H22" s="97">
        <v>15</v>
      </c>
      <c r="I22" s="83" t="s">
        <v>1978</v>
      </c>
      <c r="J22" s="85" t="s">
        <v>1723</v>
      </c>
      <c r="K22" s="135" t="s">
        <v>2043</v>
      </c>
      <c r="L22" s="4"/>
      <c r="M22" s="85" t="s">
        <v>2053</v>
      </c>
      <c r="N22" s="82" t="s">
        <v>1608</v>
      </c>
      <c r="O22" s="4"/>
      <c r="P22" s="4"/>
      <c r="Q22" s="5">
        <v>54300</v>
      </c>
      <c r="R22" s="36"/>
      <c r="S22" s="36"/>
      <c r="T22" s="37"/>
      <c r="U22" s="5">
        <f t="shared" si="15"/>
        <v>54300</v>
      </c>
      <c r="V22" s="5">
        <f t="shared" si="16"/>
        <v>1726197</v>
      </c>
      <c r="W22" s="5">
        <f t="shared" si="17"/>
        <v>310715.45999999996</v>
      </c>
      <c r="X22" s="5"/>
      <c r="Y22" s="5"/>
      <c r="Z22" s="98"/>
      <c r="AA22" s="23">
        <f t="shared" si="18"/>
        <v>0</v>
      </c>
      <c r="AB22" s="97">
        <f t="shared" si="19"/>
        <v>0</v>
      </c>
      <c r="AC22" s="43"/>
      <c r="AD22" s="49"/>
      <c r="AE22" s="5">
        <f t="shared" si="20"/>
        <v>2036912.46</v>
      </c>
      <c r="AF22" s="139">
        <v>654</v>
      </c>
      <c r="AG22" s="139" t="s">
        <v>2270</v>
      </c>
      <c r="AH22" s="103">
        <v>31.79</v>
      </c>
      <c r="AI22" s="12"/>
      <c r="AJ22" s="40"/>
      <c r="AK22" s="40"/>
    </row>
    <row r="23" spans="2:37" s="41" customFormat="1" ht="16.149999999999999" customHeight="1">
      <c r="B23" s="89"/>
      <c r="C23" s="140"/>
      <c r="D23" s="4"/>
      <c r="E23" s="82" t="s">
        <v>35</v>
      </c>
      <c r="F23" s="103">
        <v>40.200000000000003</v>
      </c>
      <c r="G23" s="14">
        <f t="shared" si="14"/>
        <v>40200</v>
      </c>
      <c r="H23" s="97">
        <v>19</v>
      </c>
      <c r="I23" s="83" t="s">
        <v>1978</v>
      </c>
      <c r="J23" s="85" t="s">
        <v>1723</v>
      </c>
      <c r="K23" s="135" t="s">
        <v>2044</v>
      </c>
      <c r="L23" s="4"/>
      <c r="M23" s="85" t="s">
        <v>2053</v>
      </c>
      <c r="N23" s="82" t="s">
        <v>2035</v>
      </c>
      <c r="O23" s="4"/>
      <c r="P23" s="4"/>
      <c r="Q23" s="5">
        <v>54300</v>
      </c>
      <c r="R23" s="36"/>
      <c r="S23" s="36"/>
      <c r="T23" s="37"/>
      <c r="U23" s="5">
        <f t="shared" si="15"/>
        <v>54300</v>
      </c>
      <c r="V23" s="5">
        <f t="shared" si="16"/>
        <v>2182860</v>
      </c>
      <c r="W23" s="5">
        <f t="shared" si="17"/>
        <v>392914.8</v>
      </c>
      <c r="X23" s="5"/>
      <c r="Y23" s="5"/>
      <c r="Z23" s="98"/>
      <c r="AA23" s="23">
        <f t="shared" si="18"/>
        <v>0</v>
      </c>
      <c r="AB23" s="97">
        <f t="shared" si="19"/>
        <v>0</v>
      </c>
      <c r="AC23" s="43"/>
      <c r="AD23" s="49"/>
      <c r="AE23" s="5">
        <f t="shared" si="20"/>
        <v>2575774.7999999998</v>
      </c>
      <c r="AF23" s="139">
        <v>655</v>
      </c>
      <c r="AG23" s="139" t="s">
        <v>2270</v>
      </c>
      <c r="AH23" s="103">
        <v>40.200000000000003</v>
      </c>
      <c r="AI23" s="12"/>
      <c r="AJ23" s="40"/>
      <c r="AK23" s="40"/>
    </row>
    <row r="24" spans="2:37" s="41" customFormat="1" ht="16.149999999999999" customHeight="1">
      <c r="B24" s="89"/>
      <c r="C24" s="140"/>
      <c r="D24" s="4"/>
      <c r="E24" s="82" t="s">
        <v>35</v>
      </c>
      <c r="F24" s="103">
        <v>60.14</v>
      </c>
      <c r="G24" s="14">
        <f t="shared" si="14"/>
        <v>60140</v>
      </c>
      <c r="H24" s="97">
        <v>29</v>
      </c>
      <c r="I24" s="83" t="s">
        <v>1978</v>
      </c>
      <c r="J24" s="85" t="s">
        <v>1723</v>
      </c>
      <c r="K24" s="135" t="s">
        <v>2045</v>
      </c>
      <c r="L24" s="4"/>
      <c r="M24" s="85" t="s">
        <v>2053</v>
      </c>
      <c r="N24" s="82" t="s">
        <v>2036</v>
      </c>
      <c r="O24" s="4"/>
      <c r="P24" s="4"/>
      <c r="Q24" s="5">
        <v>54300</v>
      </c>
      <c r="R24" s="36"/>
      <c r="S24" s="36"/>
      <c r="T24" s="37"/>
      <c r="U24" s="5">
        <f t="shared" si="15"/>
        <v>54300</v>
      </c>
      <c r="V24" s="5">
        <f t="shared" si="16"/>
        <v>3265602</v>
      </c>
      <c r="W24" s="5">
        <f t="shared" si="17"/>
        <v>587808.36</v>
      </c>
      <c r="X24" s="5"/>
      <c r="Y24" s="5"/>
      <c r="Z24" s="98"/>
      <c r="AA24" s="23">
        <f t="shared" si="18"/>
        <v>0</v>
      </c>
      <c r="AB24" s="97">
        <f t="shared" si="19"/>
        <v>0</v>
      </c>
      <c r="AC24" s="43"/>
      <c r="AD24" s="49"/>
      <c r="AE24" s="5">
        <f t="shared" si="20"/>
        <v>3853410.36</v>
      </c>
      <c r="AF24" s="139">
        <v>656</v>
      </c>
      <c r="AG24" s="139" t="s">
        <v>2270</v>
      </c>
      <c r="AH24" s="103">
        <v>60.14</v>
      </c>
      <c r="AI24" s="12"/>
      <c r="AJ24" s="40"/>
      <c r="AK24" s="40"/>
    </row>
    <row r="25" spans="2:37" s="41" customFormat="1" ht="16.149999999999999" customHeight="1">
      <c r="B25" s="89"/>
      <c r="C25" s="140"/>
      <c r="D25" s="4"/>
      <c r="E25" s="82" t="s">
        <v>35</v>
      </c>
      <c r="F25" s="103">
        <v>59.3</v>
      </c>
      <c r="G25" s="14">
        <f t="shared" si="14"/>
        <v>59300</v>
      </c>
      <c r="H25" s="97">
        <v>28</v>
      </c>
      <c r="I25" s="83" t="s">
        <v>1978</v>
      </c>
      <c r="J25" s="85" t="s">
        <v>1723</v>
      </c>
      <c r="K25" s="135" t="s">
        <v>2046</v>
      </c>
      <c r="L25" s="4"/>
      <c r="M25" s="85" t="s">
        <v>2053</v>
      </c>
      <c r="N25" s="82" t="s">
        <v>1651</v>
      </c>
      <c r="O25" s="4"/>
      <c r="P25" s="4"/>
      <c r="Q25" s="5">
        <v>54300</v>
      </c>
      <c r="R25" s="36"/>
      <c r="S25" s="36"/>
      <c r="T25" s="37"/>
      <c r="U25" s="5">
        <f t="shared" si="15"/>
        <v>54300</v>
      </c>
      <c r="V25" s="5">
        <f t="shared" si="16"/>
        <v>3219990</v>
      </c>
      <c r="W25" s="5">
        <f t="shared" si="17"/>
        <v>579598.19999999995</v>
      </c>
      <c r="X25" s="5"/>
      <c r="Y25" s="5"/>
      <c r="Z25" s="98"/>
      <c r="AA25" s="23">
        <f t="shared" si="18"/>
        <v>0</v>
      </c>
      <c r="AB25" s="97">
        <f t="shared" si="19"/>
        <v>0</v>
      </c>
      <c r="AC25" s="43"/>
      <c r="AD25" s="49"/>
      <c r="AE25" s="5">
        <f t="shared" si="20"/>
        <v>3799588.2</v>
      </c>
      <c r="AF25" s="139">
        <v>657</v>
      </c>
      <c r="AG25" s="139" t="s">
        <v>2270</v>
      </c>
      <c r="AH25" s="103">
        <v>59.3</v>
      </c>
      <c r="AI25" s="12"/>
      <c r="AJ25" s="40"/>
      <c r="AK25" s="40"/>
    </row>
    <row r="26" spans="2:37" s="41" customFormat="1" ht="16.149999999999999" customHeight="1">
      <c r="B26" s="89"/>
      <c r="C26" s="140"/>
      <c r="D26" s="4"/>
      <c r="E26" s="82" t="s">
        <v>35</v>
      </c>
      <c r="F26" s="103">
        <v>31.76</v>
      </c>
      <c r="G26" s="14">
        <f t="shared" si="14"/>
        <v>31760</v>
      </c>
      <c r="H26" s="97">
        <v>15</v>
      </c>
      <c r="I26" s="83" t="s">
        <v>1978</v>
      </c>
      <c r="J26" s="85" t="s">
        <v>1723</v>
      </c>
      <c r="K26" s="135" t="s">
        <v>2047</v>
      </c>
      <c r="L26" s="4"/>
      <c r="M26" s="85" t="s">
        <v>2053</v>
      </c>
      <c r="N26" s="82" t="s">
        <v>1200</v>
      </c>
      <c r="O26" s="4"/>
      <c r="P26" s="4"/>
      <c r="Q26" s="5">
        <v>54300</v>
      </c>
      <c r="R26" s="36"/>
      <c r="S26" s="36"/>
      <c r="T26" s="37"/>
      <c r="U26" s="5">
        <f t="shared" si="15"/>
        <v>54300</v>
      </c>
      <c r="V26" s="5">
        <f t="shared" si="16"/>
        <v>1724568</v>
      </c>
      <c r="W26" s="5">
        <f t="shared" si="17"/>
        <v>310422.24</v>
      </c>
      <c r="X26" s="5"/>
      <c r="Y26" s="5"/>
      <c r="Z26" s="98"/>
      <c r="AA26" s="23">
        <f t="shared" si="18"/>
        <v>0</v>
      </c>
      <c r="AB26" s="97">
        <f t="shared" si="19"/>
        <v>0</v>
      </c>
      <c r="AC26" s="43"/>
      <c r="AD26" s="49"/>
      <c r="AE26" s="5">
        <f t="shared" si="20"/>
        <v>2034990.24</v>
      </c>
      <c r="AF26" s="139">
        <v>658</v>
      </c>
      <c r="AG26" s="139" t="s">
        <v>2270</v>
      </c>
      <c r="AH26" s="103">
        <v>31.76</v>
      </c>
      <c r="AI26" s="12"/>
      <c r="AJ26" s="40"/>
      <c r="AK26" s="40"/>
    </row>
    <row r="27" spans="2:37" s="41" customFormat="1" ht="16.149999999999999" customHeight="1">
      <c r="B27" s="89"/>
      <c r="C27" s="140"/>
      <c r="D27" s="4"/>
      <c r="E27" s="82" t="s">
        <v>35</v>
      </c>
      <c r="F27" s="103">
        <v>31.67</v>
      </c>
      <c r="G27" s="14">
        <f t="shared" si="14"/>
        <v>31670</v>
      </c>
      <c r="H27" s="97">
        <v>15</v>
      </c>
      <c r="I27" s="83" t="s">
        <v>1978</v>
      </c>
      <c r="J27" s="85" t="s">
        <v>1723</v>
      </c>
      <c r="K27" s="135" t="s">
        <v>2048</v>
      </c>
      <c r="L27" s="4"/>
      <c r="M27" s="85" t="s">
        <v>2053</v>
      </c>
      <c r="N27" s="82" t="s">
        <v>44</v>
      </c>
      <c r="O27" s="4"/>
      <c r="P27" s="4"/>
      <c r="Q27" s="5">
        <v>54300</v>
      </c>
      <c r="R27" s="36"/>
      <c r="S27" s="36"/>
      <c r="T27" s="37"/>
      <c r="U27" s="5">
        <f t="shared" si="15"/>
        <v>54300</v>
      </c>
      <c r="V27" s="5">
        <f t="shared" si="16"/>
        <v>1719681</v>
      </c>
      <c r="W27" s="5">
        <f t="shared" si="17"/>
        <v>309542.58</v>
      </c>
      <c r="X27" s="5"/>
      <c r="Y27" s="5"/>
      <c r="Z27" s="98"/>
      <c r="AA27" s="23">
        <f t="shared" si="18"/>
        <v>0</v>
      </c>
      <c r="AB27" s="97">
        <f t="shared" si="19"/>
        <v>0</v>
      </c>
      <c r="AC27" s="43"/>
      <c r="AD27" s="49"/>
      <c r="AE27" s="5">
        <f t="shared" si="20"/>
        <v>2029223.58</v>
      </c>
      <c r="AF27" s="139">
        <v>659</v>
      </c>
      <c r="AG27" s="139" t="s">
        <v>2270</v>
      </c>
      <c r="AH27" s="103">
        <v>31.67</v>
      </c>
      <c r="AI27" s="12"/>
      <c r="AJ27" s="40"/>
      <c r="AK27" s="40"/>
    </row>
    <row r="28" spans="2:37" s="41" customFormat="1" ht="16.149999999999999" customHeight="1">
      <c r="B28" s="89"/>
      <c r="C28" s="140"/>
      <c r="D28" s="4"/>
      <c r="E28" s="82" t="s">
        <v>35</v>
      </c>
      <c r="F28" s="103">
        <v>31.76</v>
      </c>
      <c r="G28" s="14">
        <f t="shared" si="14"/>
        <v>31760</v>
      </c>
      <c r="H28" s="97">
        <v>15</v>
      </c>
      <c r="I28" s="83" t="s">
        <v>1978</v>
      </c>
      <c r="J28" s="85" t="s">
        <v>1723</v>
      </c>
      <c r="K28" s="135" t="s">
        <v>2049</v>
      </c>
      <c r="L28" s="4"/>
      <c r="M28" s="85" t="s">
        <v>2053</v>
      </c>
      <c r="N28" s="82" t="s">
        <v>2037</v>
      </c>
      <c r="O28" s="4"/>
      <c r="P28" s="4"/>
      <c r="Q28" s="5">
        <v>54300</v>
      </c>
      <c r="R28" s="36"/>
      <c r="S28" s="36"/>
      <c r="T28" s="37"/>
      <c r="U28" s="5">
        <f t="shared" si="15"/>
        <v>54300</v>
      </c>
      <c r="V28" s="5">
        <f t="shared" si="16"/>
        <v>1724568</v>
      </c>
      <c r="W28" s="5">
        <f t="shared" si="17"/>
        <v>310422.24</v>
      </c>
      <c r="X28" s="5"/>
      <c r="Y28" s="5"/>
      <c r="Z28" s="98"/>
      <c r="AA28" s="23">
        <f t="shared" si="18"/>
        <v>0</v>
      </c>
      <c r="AB28" s="97">
        <f t="shared" si="19"/>
        <v>0</v>
      </c>
      <c r="AC28" s="43"/>
      <c r="AD28" s="49"/>
      <c r="AE28" s="5">
        <f t="shared" si="20"/>
        <v>2034990.24</v>
      </c>
      <c r="AF28" s="139">
        <v>660</v>
      </c>
      <c r="AG28" s="139" t="s">
        <v>2270</v>
      </c>
      <c r="AH28" s="103">
        <v>31.76</v>
      </c>
      <c r="AI28" s="12"/>
      <c r="AJ28" s="40"/>
      <c r="AK28" s="40"/>
    </row>
    <row r="29" spans="2:37" s="41" customFormat="1" ht="16.149999999999999" customHeight="1">
      <c r="B29" s="89"/>
      <c r="C29" s="140"/>
      <c r="D29" s="4"/>
      <c r="E29" s="82" t="s">
        <v>35</v>
      </c>
      <c r="F29" s="103">
        <v>31.76</v>
      </c>
      <c r="G29" s="14">
        <f t="shared" si="14"/>
        <v>31760</v>
      </c>
      <c r="H29" s="97">
        <v>15</v>
      </c>
      <c r="I29" s="83" t="s">
        <v>1978</v>
      </c>
      <c r="J29" s="85" t="s">
        <v>1723</v>
      </c>
      <c r="K29" s="135" t="s">
        <v>2050</v>
      </c>
      <c r="L29" s="4"/>
      <c r="M29" s="85" t="s">
        <v>2053</v>
      </c>
      <c r="N29" s="82" t="s">
        <v>1891</v>
      </c>
      <c r="O29" s="4"/>
      <c r="P29" s="4"/>
      <c r="Q29" s="5">
        <v>54300</v>
      </c>
      <c r="R29" s="36"/>
      <c r="S29" s="36"/>
      <c r="T29" s="37"/>
      <c r="U29" s="5">
        <f t="shared" si="15"/>
        <v>54300</v>
      </c>
      <c r="V29" s="5">
        <f t="shared" si="16"/>
        <v>1724568</v>
      </c>
      <c r="W29" s="5">
        <f t="shared" si="17"/>
        <v>310422.24</v>
      </c>
      <c r="X29" s="5"/>
      <c r="Y29" s="5"/>
      <c r="Z29" s="98"/>
      <c r="AA29" s="23">
        <f t="shared" si="18"/>
        <v>0</v>
      </c>
      <c r="AB29" s="97">
        <f t="shared" si="19"/>
        <v>0</v>
      </c>
      <c r="AC29" s="43"/>
      <c r="AD29" s="49"/>
      <c r="AE29" s="5">
        <f t="shared" si="20"/>
        <v>2034990.24</v>
      </c>
      <c r="AF29" s="139">
        <v>661</v>
      </c>
      <c r="AG29" s="139" t="s">
        <v>2270</v>
      </c>
      <c r="AH29" s="103">
        <v>31.76</v>
      </c>
      <c r="AI29" s="12"/>
      <c r="AJ29" s="40"/>
      <c r="AK29" s="40"/>
    </row>
    <row r="30" spans="2:37" s="41" customFormat="1" ht="16.149999999999999" customHeight="1">
      <c r="B30" s="89"/>
      <c r="C30" s="140"/>
      <c r="D30" s="4"/>
      <c r="E30" s="82" t="s">
        <v>35</v>
      </c>
      <c r="F30" s="103">
        <v>40.29</v>
      </c>
      <c r="G30" s="14">
        <f t="shared" si="14"/>
        <v>40290</v>
      </c>
      <c r="H30" s="97">
        <v>19</v>
      </c>
      <c r="I30" s="83" t="s">
        <v>1978</v>
      </c>
      <c r="J30" s="85" t="s">
        <v>1723</v>
      </c>
      <c r="K30" s="135" t="s">
        <v>2051</v>
      </c>
      <c r="L30" s="4"/>
      <c r="M30" s="85" t="s">
        <v>2053</v>
      </c>
      <c r="N30" s="82" t="s">
        <v>2038</v>
      </c>
      <c r="O30" s="4"/>
      <c r="P30" s="4"/>
      <c r="Q30" s="5">
        <v>54300</v>
      </c>
      <c r="R30" s="36"/>
      <c r="S30" s="36"/>
      <c r="T30" s="37"/>
      <c r="U30" s="5">
        <f t="shared" si="15"/>
        <v>54300</v>
      </c>
      <c r="V30" s="5">
        <f t="shared" si="16"/>
        <v>2187747</v>
      </c>
      <c r="W30" s="5">
        <f t="shared" si="17"/>
        <v>393794.45999999996</v>
      </c>
      <c r="X30" s="5"/>
      <c r="Y30" s="5"/>
      <c r="Z30" s="98"/>
      <c r="AA30" s="23">
        <f t="shared" si="18"/>
        <v>0</v>
      </c>
      <c r="AB30" s="97">
        <f t="shared" si="19"/>
        <v>0</v>
      </c>
      <c r="AC30" s="43"/>
      <c r="AD30" s="49"/>
      <c r="AE30" s="5">
        <f t="shared" si="20"/>
        <v>2581541.46</v>
      </c>
      <c r="AF30" s="139">
        <v>662</v>
      </c>
      <c r="AG30" s="139" t="s">
        <v>2270</v>
      </c>
      <c r="AH30" s="103">
        <v>40.29</v>
      </c>
      <c r="AI30" s="12"/>
      <c r="AJ30" s="40"/>
      <c r="AK30" s="40"/>
    </row>
    <row r="31" spans="2:37" s="41" customFormat="1" ht="16.149999999999999" customHeight="1">
      <c r="B31" s="89"/>
      <c r="C31" s="140"/>
      <c r="D31" s="4"/>
      <c r="E31" s="82" t="s">
        <v>35</v>
      </c>
      <c r="F31" s="103">
        <v>33.869999999999997</v>
      </c>
      <c r="G31" s="14">
        <f t="shared" si="14"/>
        <v>33870</v>
      </c>
      <c r="H31" s="97">
        <v>16</v>
      </c>
      <c r="I31" s="83" t="s">
        <v>1978</v>
      </c>
      <c r="J31" s="85" t="s">
        <v>1723</v>
      </c>
      <c r="K31" s="135" t="s">
        <v>2052</v>
      </c>
      <c r="L31" s="4"/>
      <c r="M31" s="85" t="s">
        <v>2053</v>
      </c>
      <c r="N31" s="82" t="s">
        <v>2039</v>
      </c>
      <c r="O31" s="4"/>
      <c r="P31" s="4"/>
      <c r="Q31" s="5">
        <v>54300</v>
      </c>
      <c r="R31" s="36"/>
      <c r="S31" s="36"/>
      <c r="T31" s="37"/>
      <c r="U31" s="5">
        <f t="shared" si="15"/>
        <v>54300</v>
      </c>
      <c r="V31" s="5">
        <f t="shared" si="16"/>
        <v>1839140.9999999998</v>
      </c>
      <c r="W31" s="5">
        <f t="shared" si="17"/>
        <v>331045.37999999995</v>
      </c>
      <c r="X31" s="5"/>
      <c r="Y31" s="5"/>
      <c r="Z31" s="98"/>
      <c r="AA31" s="23">
        <f t="shared" si="18"/>
        <v>0</v>
      </c>
      <c r="AB31" s="97">
        <f t="shared" si="19"/>
        <v>0</v>
      </c>
      <c r="AC31" s="43"/>
      <c r="AD31" s="49"/>
      <c r="AE31" s="5">
        <f t="shared" si="20"/>
        <v>2170186.38</v>
      </c>
      <c r="AF31" s="139">
        <v>663</v>
      </c>
      <c r="AG31" s="139" t="s">
        <v>2270</v>
      </c>
      <c r="AH31" s="103">
        <v>33.869999999999997</v>
      </c>
      <c r="AI31" s="12"/>
      <c r="AJ31" s="40"/>
      <c r="AK31" s="40"/>
    </row>
    <row r="32" spans="2:37" s="41" customFormat="1" ht="16.149999999999999" customHeight="1">
      <c r="B32" s="89"/>
      <c r="C32" s="140"/>
      <c r="D32" s="4"/>
      <c r="E32" s="82" t="s">
        <v>35</v>
      </c>
      <c r="F32" s="103">
        <v>31.76</v>
      </c>
      <c r="G32" s="14">
        <f t="shared" si="14"/>
        <v>31760</v>
      </c>
      <c r="H32" s="97">
        <v>15</v>
      </c>
      <c r="I32" s="83" t="s">
        <v>1978</v>
      </c>
      <c r="J32" s="85" t="s">
        <v>1723</v>
      </c>
      <c r="K32" s="135" t="s">
        <v>2055</v>
      </c>
      <c r="L32" s="4"/>
      <c r="M32" s="85" t="s">
        <v>2053</v>
      </c>
      <c r="N32" s="82" t="s">
        <v>2054</v>
      </c>
      <c r="O32" s="4"/>
      <c r="P32" s="4"/>
      <c r="Q32" s="5">
        <v>54300</v>
      </c>
      <c r="R32" s="36"/>
      <c r="S32" s="36"/>
      <c r="T32" s="37"/>
      <c r="U32" s="5">
        <f t="shared" si="15"/>
        <v>54300</v>
      </c>
      <c r="V32" s="5">
        <f t="shared" si="16"/>
        <v>1724568</v>
      </c>
      <c r="W32" s="5">
        <f t="shared" si="17"/>
        <v>310422.24</v>
      </c>
      <c r="X32" s="5"/>
      <c r="Y32" s="5"/>
      <c r="Z32" s="98"/>
      <c r="AA32" s="23">
        <f t="shared" si="18"/>
        <v>0</v>
      </c>
      <c r="AB32" s="97">
        <f t="shared" si="19"/>
        <v>0</v>
      </c>
      <c r="AC32" s="43"/>
      <c r="AD32" s="49"/>
      <c r="AE32" s="5">
        <f t="shared" si="20"/>
        <v>2034990.24</v>
      </c>
      <c r="AF32" s="139">
        <v>664</v>
      </c>
      <c r="AG32" s="139" t="s">
        <v>2270</v>
      </c>
      <c r="AH32" s="103">
        <v>31.76</v>
      </c>
      <c r="AI32" s="12"/>
      <c r="AJ32" s="40"/>
      <c r="AK32" s="40"/>
    </row>
    <row r="33" spans="2:37" s="41" customFormat="1" ht="16.149999999999999" customHeight="1">
      <c r="B33" s="89"/>
      <c r="C33" s="140"/>
      <c r="D33" s="4"/>
      <c r="E33" s="82" t="s">
        <v>35</v>
      </c>
      <c r="F33" s="103">
        <v>33.43</v>
      </c>
      <c r="G33" s="14">
        <f t="shared" si="14"/>
        <v>33430</v>
      </c>
      <c r="H33" s="97">
        <v>16</v>
      </c>
      <c r="I33" s="83" t="s">
        <v>1978</v>
      </c>
      <c r="J33" s="85" t="s">
        <v>1723</v>
      </c>
      <c r="K33" s="135" t="s">
        <v>2151</v>
      </c>
      <c r="L33" s="4"/>
      <c r="M33" s="85" t="s">
        <v>2130</v>
      </c>
      <c r="N33" s="82" t="s">
        <v>1509</v>
      </c>
      <c r="O33" s="4"/>
      <c r="P33" s="4"/>
      <c r="Q33" s="5">
        <v>54300</v>
      </c>
      <c r="R33" s="36"/>
      <c r="S33" s="36"/>
      <c r="T33" s="37"/>
      <c r="U33" s="5">
        <f t="shared" si="15"/>
        <v>54300</v>
      </c>
      <c r="V33" s="5">
        <f t="shared" si="16"/>
        <v>1815249</v>
      </c>
      <c r="W33" s="5">
        <f t="shared" si="17"/>
        <v>326744.82</v>
      </c>
      <c r="X33" s="5"/>
      <c r="Y33" s="5"/>
      <c r="Z33" s="98"/>
      <c r="AA33" s="23">
        <f t="shared" si="18"/>
        <v>0</v>
      </c>
      <c r="AB33" s="97">
        <f t="shared" si="19"/>
        <v>0</v>
      </c>
      <c r="AC33" s="43"/>
      <c r="AD33" s="49"/>
      <c r="AE33" s="5">
        <f t="shared" si="20"/>
        <v>2141993.8199999998</v>
      </c>
      <c r="AF33" s="139">
        <v>725</v>
      </c>
      <c r="AG33" s="139" t="s">
        <v>2393</v>
      </c>
      <c r="AH33" s="103">
        <v>33.43</v>
      </c>
      <c r="AI33" s="12"/>
      <c r="AJ33" s="40"/>
      <c r="AK33" s="40"/>
    </row>
    <row r="34" spans="2:37" s="41" customFormat="1" ht="16.149999999999999" customHeight="1">
      <c r="B34" s="89"/>
      <c r="C34" s="140"/>
      <c r="D34" s="4"/>
      <c r="E34" s="82" t="s">
        <v>35</v>
      </c>
      <c r="F34" s="103">
        <v>33.909999999999997</v>
      </c>
      <c r="G34" s="14">
        <f t="shared" si="14"/>
        <v>33910</v>
      </c>
      <c r="H34" s="97">
        <v>16</v>
      </c>
      <c r="I34" s="83" t="s">
        <v>1978</v>
      </c>
      <c r="J34" s="85" t="s">
        <v>1723</v>
      </c>
      <c r="K34" s="135" t="s">
        <v>2152</v>
      </c>
      <c r="L34" s="4"/>
      <c r="M34" s="85" t="s">
        <v>2130</v>
      </c>
      <c r="N34" s="82" t="s">
        <v>2003</v>
      </c>
      <c r="O34" s="4"/>
      <c r="P34" s="4"/>
      <c r="Q34" s="5">
        <v>54300</v>
      </c>
      <c r="R34" s="36"/>
      <c r="S34" s="36"/>
      <c r="T34" s="37"/>
      <c r="U34" s="5">
        <f t="shared" si="15"/>
        <v>54300</v>
      </c>
      <c r="V34" s="5">
        <f t="shared" si="16"/>
        <v>1841312.9999999998</v>
      </c>
      <c r="W34" s="5">
        <f t="shared" si="17"/>
        <v>331436.33999999997</v>
      </c>
      <c r="X34" s="5"/>
      <c r="Y34" s="5"/>
      <c r="Z34" s="98"/>
      <c r="AA34" s="23">
        <f t="shared" si="18"/>
        <v>0</v>
      </c>
      <c r="AB34" s="97">
        <f t="shared" si="19"/>
        <v>0</v>
      </c>
      <c r="AC34" s="43"/>
      <c r="AD34" s="49"/>
      <c r="AE34" s="5">
        <f t="shared" si="20"/>
        <v>2172749.34</v>
      </c>
      <c r="AF34" s="139">
        <v>726</v>
      </c>
      <c r="AG34" s="139" t="s">
        <v>2393</v>
      </c>
      <c r="AH34" s="103">
        <v>33.909999999999997</v>
      </c>
      <c r="AI34" s="12"/>
      <c r="AJ34" s="40"/>
      <c r="AK34" s="40"/>
    </row>
    <row r="35" spans="2:37" s="41" customFormat="1" ht="16.149999999999999" customHeight="1">
      <c r="B35" s="89"/>
      <c r="C35" s="140"/>
      <c r="D35" s="4"/>
      <c r="E35" s="82" t="s">
        <v>35</v>
      </c>
      <c r="F35" s="103">
        <v>40.200000000000003</v>
      </c>
      <c r="G35" s="14">
        <f t="shared" si="14"/>
        <v>40200</v>
      </c>
      <c r="H35" s="97">
        <v>19</v>
      </c>
      <c r="I35" s="83" t="s">
        <v>1978</v>
      </c>
      <c r="J35" s="85" t="s">
        <v>1723</v>
      </c>
      <c r="K35" s="135" t="s">
        <v>2153</v>
      </c>
      <c r="L35" s="4"/>
      <c r="M35" s="85" t="s">
        <v>2130</v>
      </c>
      <c r="N35" s="82" t="s">
        <v>1651</v>
      </c>
      <c r="O35" s="4"/>
      <c r="P35" s="4"/>
      <c r="Q35" s="5">
        <v>54300</v>
      </c>
      <c r="R35" s="36"/>
      <c r="S35" s="36"/>
      <c r="T35" s="37"/>
      <c r="U35" s="5">
        <f t="shared" si="15"/>
        <v>54300</v>
      </c>
      <c r="V35" s="5">
        <f t="shared" si="16"/>
        <v>2182860</v>
      </c>
      <c r="W35" s="5">
        <f t="shared" si="17"/>
        <v>392914.8</v>
      </c>
      <c r="X35" s="5"/>
      <c r="Y35" s="5"/>
      <c r="Z35" s="98"/>
      <c r="AA35" s="23">
        <f t="shared" si="18"/>
        <v>0</v>
      </c>
      <c r="AB35" s="97">
        <f t="shared" si="19"/>
        <v>0</v>
      </c>
      <c r="AC35" s="43"/>
      <c r="AD35" s="49"/>
      <c r="AE35" s="5">
        <f t="shared" si="20"/>
        <v>2575774.7999999998</v>
      </c>
      <c r="AF35" s="139">
        <v>727</v>
      </c>
      <c r="AG35" s="139" t="s">
        <v>2393</v>
      </c>
      <c r="AH35" s="103">
        <v>40.200000000000003</v>
      </c>
      <c r="AI35" s="12"/>
      <c r="AJ35" s="40"/>
      <c r="AK35" s="40"/>
    </row>
    <row r="36" spans="2:37" s="41" customFormat="1" ht="16.149999999999999" customHeight="1">
      <c r="B36" s="89"/>
      <c r="C36" s="140"/>
      <c r="D36" s="4"/>
      <c r="E36" s="82" t="s">
        <v>35</v>
      </c>
      <c r="F36" s="103">
        <v>31.89</v>
      </c>
      <c r="G36" s="14">
        <f t="shared" si="14"/>
        <v>31890</v>
      </c>
      <c r="H36" s="97">
        <v>15</v>
      </c>
      <c r="I36" s="83" t="s">
        <v>1978</v>
      </c>
      <c r="J36" s="85" t="s">
        <v>1723</v>
      </c>
      <c r="K36" s="135" t="s">
        <v>2154</v>
      </c>
      <c r="L36" s="4"/>
      <c r="M36" s="85" t="s">
        <v>2127</v>
      </c>
      <c r="N36" s="82" t="s">
        <v>1608</v>
      </c>
      <c r="O36" s="4"/>
      <c r="P36" s="4"/>
      <c r="Q36" s="5">
        <v>54300</v>
      </c>
      <c r="R36" s="36"/>
      <c r="S36" s="36"/>
      <c r="T36" s="37"/>
      <c r="U36" s="5">
        <f t="shared" si="15"/>
        <v>54300</v>
      </c>
      <c r="V36" s="5">
        <f t="shared" si="16"/>
        <v>1731627</v>
      </c>
      <c r="W36" s="5">
        <f t="shared" si="17"/>
        <v>311692.86</v>
      </c>
      <c r="X36" s="5"/>
      <c r="Y36" s="5"/>
      <c r="Z36" s="98"/>
      <c r="AA36" s="23">
        <f t="shared" si="18"/>
        <v>0</v>
      </c>
      <c r="AB36" s="97">
        <f t="shared" si="19"/>
        <v>0</v>
      </c>
      <c r="AC36" s="43"/>
      <c r="AD36" s="49"/>
      <c r="AE36" s="5">
        <f t="shared" si="20"/>
        <v>2043319.8599999999</v>
      </c>
      <c r="AF36" s="139">
        <v>728</v>
      </c>
      <c r="AG36" s="139" t="s">
        <v>2393</v>
      </c>
      <c r="AH36" s="103">
        <v>31.89</v>
      </c>
      <c r="AI36" s="12"/>
      <c r="AJ36" s="40"/>
      <c r="AK36" s="40"/>
    </row>
    <row r="37" spans="2:37" s="41" customFormat="1" ht="16.149999999999999" customHeight="1">
      <c r="B37" s="89"/>
      <c r="C37" s="140"/>
      <c r="D37" s="4"/>
      <c r="E37" s="82" t="s">
        <v>35</v>
      </c>
      <c r="F37" s="103">
        <v>33.89</v>
      </c>
      <c r="G37" s="14">
        <f t="shared" si="14"/>
        <v>33890</v>
      </c>
      <c r="H37" s="97">
        <v>16</v>
      </c>
      <c r="I37" s="83" t="s">
        <v>1978</v>
      </c>
      <c r="J37" s="85" t="s">
        <v>1723</v>
      </c>
      <c r="K37" s="135" t="s">
        <v>2155</v>
      </c>
      <c r="L37" s="4"/>
      <c r="M37" s="85" t="s">
        <v>2127</v>
      </c>
      <c r="N37" s="82" t="s">
        <v>887</v>
      </c>
      <c r="O37" s="4"/>
      <c r="P37" s="4"/>
      <c r="Q37" s="5">
        <v>54300</v>
      </c>
      <c r="R37" s="36"/>
      <c r="S37" s="36"/>
      <c r="T37" s="37"/>
      <c r="U37" s="5">
        <f t="shared" si="15"/>
        <v>54300</v>
      </c>
      <c r="V37" s="5">
        <f t="shared" si="16"/>
        <v>1840227</v>
      </c>
      <c r="W37" s="5">
        <f t="shared" si="17"/>
        <v>331240.86</v>
      </c>
      <c r="X37" s="5"/>
      <c r="Y37" s="5"/>
      <c r="Z37" s="98"/>
      <c r="AA37" s="23">
        <f t="shared" si="18"/>
        <v>0</v>
      </c>
      <c r="AB37" s="97">
        <f t="shared" si="19"/>
        <v>0</v>
      </c>
      <c r="AC37" s="43"/>
      <c r="AD37" s="49"/>
      <c r="AE37" s="5">
        <f t="shared" si="20"/>
        <v>2171467.86</v>
      </c>
      <c r="AF37" s="139">
        <v>729</v>
      </c>
      <c r="AG37" s="139" t="s">
        <v>2393</v>
      </c>
      <c r="AH37" s="103">
        <v>33.89</v>
      </c>
      <c r="AI37" s="12"/>
      <c r="AJ37" s="40"/>
      <c r="AK37" s="40"/>
    </row>
    <row r="38" spans="2:37" s="41" customFormat="1" ht="16.149999999999999" customHeight="1">
      <c r="B38" s="89"/>
      <c r="C38" s="140"/>
      <c r="D38" s="4"/>
      <c r="E38" s="82" t="s">
        <v>35</v>
      </c>
      <c r="F38" s="103">
        <v>31.86</v>
      </c>
      <c r="G38" s="14">
        <f t="shared" si="14"/>
        <v>31860</v>
      </c>
      <c r="H38" s="97">
        <v>15</v>
      </c>
      <c r="I38" s="83" t="s">
        <v>1978</v>
      </c>
      <c r="J38" s="85" t="s">
        <v>1723</v>
      </c>
      <c r="K38" s="135" t="s">
        <v>2156</v>
      </c>
      <c r="L38" s="4"/>
      <c r="M38" s="85" t="s">
        <v>2127</v>
      </c>
      <c r="N38" s="82" t="s">
        <v>41</v>
      </c>
      <c r="O38" s="4"/>
      <c r="P38" s="4"/>
      <c r="Q38" s="5">
        <v>54300</v>
      </c>
      <c r="R38" s="36"/>
      <c r="S38" s="36"/>
      <c r="T38" s="37"/>
      <c r="U38" s="5">
        <f t="shared" si="15"/>
        <v>54300</v>
      </c>
      <c r="V38" s="5">
        <f t="shared" si="16"/>
        <v>1729998</v>
      </c>
      <c r="W38" s="5">
        <f t="shared" si="17"/>
        <v>311399.64</v>
      </c>
      <c r="X38" s="5"/>
      <c r="Y38" s="5"/>
      <c r="Z38" s="98"/>
      <c r="AA38" s="23">
        <f t="shared" si="18"/>
        <v>0</v>
      </c>
      <c r="AB38" s="97">
        <f t="shared" si="19"/>
        <v>0</v>
      </c>
      <c r="AC38" s="43"/>
      <c r="AD38" s="49"/>
      <c r="AE38" s="5">
        <f t="shared" si="20"/>
        <v>2041397.6400000001</v>
      </c>
      <c r="AF38" s="139">
        <v>730</v>
      </c>
      <c r="AG38" s="139" t="s">
        <v>2393</v>
      </c>
      <c r="AH38" s="103">
        <v>31.86</v>
      </c>
      <c r="AI38" s="12"/>
      <c r="AJ38" s="40"/>
      <c r="AK38" s="40"/>
    </row>
    <row r="39" spans="2:37" s="41" customFormat="1" ht="16.149999999999999" customHeight="1">
      <c r="B39" s="89"/>
      <c r="C39" s="140"/>
      <c r="D39" s="4"/>
      <c r="E39" s="82" t="s">
        <v>35</v>
      </c>
      <c r="F39" s="103">
        <f>8.375+6.141</f>
        <v>14.516</v>
      </c>
      <c r="G39" s="14">
        <f t="shared" si="14"/>
        <v>14516</v>
      </c>
      <c r="H39" s="97">
        <v>5</v>
      </c>
      <c r="I39" s="83" t="s">
        <v>1978</v>
      </c>
      <c r="J39" s="85" t="s">
        <v>1723</v>
      </c>
      <c r="K39" s="135" t="s">
        <v>2166</v>
      </c>
      <c r="L39" s="4"/>
      <c r="M39" s="85" t="s">
        <v>2161</v>
      </c>
      <c r="N39" s="82" t="s">
        <v>2160</v>
      </c>
      <c r="O39" s="4"/>
      <c r="P39" s="4"/>
      <c r="Q39" s="5">
        <v>54300</v>
      </c>
      <c r="R39" s="36"/>
      <c r="S39" s="36"/>
      <c r="T39" s="37"/>
      <c r="U39" s="5">
        <f t="shared" si="15"/>
        <v>54300</v>
      </c>
      <c r="V39" s="5">
        <f t="shared" si="16"/>
        <v>788218.8</v>
      </c>
      <c r="W39" s="5">
        <f t="shared" si="17"/>
        <v>141879.38399999999</v>
      </c>
      <c r="X39" s="5"/>
      <c r="Y39" s="5"/>
      <c r="Z39" s="98"/>
      <c r="AA39" s="23">
        <f t="shared" si="18"/>
        <v>0</v>
      </c>
      <c r="AB39" s="97">
        <f t="shared" si="19"/>
        <v>0</v>
      </c>
      <c r="AC39" s="43"/>
      <c r="AD39" s="49"/>
      <c r="AE39" s="5">
        <f t="shared" si="20"/>
        <v>930098.18400000001</v>
      </c>
      <c r="AF39" s="139">
        <v>731</v>
      </c>
      <c r="AG39" s="139" t="s">
        <v>2393</v>
      </c>
      <c r="AH39" s="103">
        <f>8.375+6.141</f>
        <v>14.516</v>
      </c>
      <c r="AI39" s="12"/>
      <c r="AJ39" s="40"/>
      <c r="AK39" s="40"/>
    </row>
    <row r="40" spans="2:37" s="41" customFormat="1">
      <c r="B40" s="13"/>
      <c r="C40" s="48">
        <v>743.32600000000002</v>
      </c>
      <c r="D40" s="6"/>
      <c r="E40" s="48">
        <f>C40-F40</f>
        <v>0</v>
      </c>
      <c r="F40" s="165">
        <f>SUM(F19:F39)</f>
        <v>743.32599999999991</v>
      </c>
      <c r="G40" s="20">
        <f>SUM(G19:G39)</f>
        <v>743326</v>
      </c>
      <c r="H40" s="21">
        <f>SUM(H19:H39)</f>
        <v>350</v>
      </c>
      <c r="I40" s="2"/>
      <c r="J40" s="7"/>
      <c r="K40" s="7"/>
      <c r="L40" s="7"/>
      <c r="M40" s="2"/>
      <c r="N40" s="6"/>
      <c r="O40" s="6"/>
      <c r="P40" s="6"/>
      <c r="Q40" s="19"/>
      <c r="R40" s="9"/>
      <c r="S40" s="9"/>
      <c r="T40" s="10"/>
      <c r="U40" s="8"/>
      <c r="V40" s="21">
        <f>SUM(V19:V39)</f>
        <v>40362601.799999997</v>
      </c>
      <c r="W40" s="21">
        <f>SUM(W19:W39)</f>
        <v>7265268.324000001</v>
      </c>
      <c r="X40" s="21">
        <f>SUM(X19:X39)</f>
        <v>0</v>
      </c>
      <c r="Y40" s="21">
        <f>SUM(Y19:Y39)</f>
        <v>0</v>
      </c>
      <c r="Z40" s="99"/>
      <c r="AA40" s="21">
        <f>SUM(AA19:AA39)</f>
        <v>0</v>
      </c>
      <c r="AB40" s="21">
        <f>SUM(AB19:AB39)</f>
        <v>0</v>
      </c>
      <c r="AC40" s="21"/>
      <c r="AD40" s="21">
        <f>SUM(AD19:AD39)</f>
        <v>0</v>
      </c>
      <c r="AE40" s="21">
        <f>SUM(AE19:AE39)</f>
        <v>47627870.123999983</v>
      </c>
      <c r="AF40" s="21"/>
      <c r="AG40" s="42"/>
      <c r="AH40" s="81">
        <f>SUM(AH19:AH39)</f>
        <v>743.32599999999991</v>
      </c>
      <c r="AI40" s="26">
        <f>AH40-F40</f>
        <v>0</v>
      </c>
      <c r="AJ40" s="41">
        <f>AA40/F40</f>
        <v>0</v>
      </c>
      <c r="AK40" s="40"/>
    </row>
    <row r="41" spans="2:37" s="41" customFormat="1" ht="16.149999999999999" customHeight="1">
      <c r="B41" s="138" t="s">
        <v>764</v>
      </c>
      <c r="C41" s="82" t="s">
        <v>1843</v>
      </c>
      <c r="D41" s="4"/>
      <c r="E41" s="82" t="s">
        <v>392</v>
      </c>
      <c r="F41" s="103">
        <f>8.579</f>
        <v>8.5790000000000006</v>
      </c>
      <c r="G41" s="14">
        <f t="shared" ref="G41:G54" si="21">+F41*1000</f>
        <v>8579</v>
      </c>
      <c r="H41" s="97">
        <v>4</v>
      </c>
      <c r="I41" s="83" t="s">
        <v>1982</v>
      </c>
      <c r="J41" s="85" t="s">
        <v>1723</v>
      </c>
      <c r="K41" s="135" t="s">
        <v>1992</v>
      </c>
      <c r="L41" s="4"/>
      <c r="M41" s="85" t="s">
        <v>1999</v>
      </c>
      <c r="N41" s="82" t="s">
        <v>1238</v>
      </c>
      <c r="O41" s="4"/>
      <c r="P41" s="4"/>
      <c r="Q41" s="5">
        <v>52300</v>
      </c>
      <c r="R41" s="36"/>
      <c r="S41" s="36"/>
      <c r="T41" s="37"/>
      <c r="U41" s="5">
        <f t="shared" ref="U41:U54" si="22">S41+R41+Q41-T41</f>
        <v>52300</v>
      </c>
      <c r="V41" s="5">
        <f t="shared" ref="V41:V54" si="23">F41*U41</f>
        <v>448681.7</v>
      </c>
      <c r="W41" s="5">
        <f t="shared" ref="W41:W54" si="24">V41*18%</f>
        <v>80762.706000000006</v>
      </c>
      <c r="X41" s="5"/>
      <c r="Y41" s="5"/>
      <c r="Z41" s="98"/>
      <c r="AA41" s="23">
        <f t="shared" ref="AA41:AA54" si="25">F41*Z41</f>
        <v>0</v>
      </c>
      <c r="AB41" s="97">
        <f t="shared" ref="AB41:AB54" si="26">AA41*18%</f>
        <v>0</v>
      </c>
      <c r="AC41" s="43"/>
      <c r="AD41" s="49"/>
      <c r="AE41" s="5">
        <f t="shared" ref="AE41:AE54" si="27">+AB41+AA41+Y41+X41+W41+V41-AC41+AD41</f>
        <v>529444.40599999996</v>
      </c>
      <c r="AF41" s="139">
        <v>665</v>
      </c>
      <c r="AG41" s="139" t="s">
        <v>2270</v>
      </c>
      <c r="AH41" s="103">
        <f>8.579</f>
        <v>8.5790000000000006</v>
      </c>
      <c r="AI41" s="12"/>
      <c r="AJ41" s="40"/>
      <c r="AK41" s="40"/>
    </row>
    <row r="42" spans="2:37" s="41" customFormat="1" ht="16.149999999999999" customHeight="1">
      <c r="B42" s="140" t="s">
        <v>767</v>
      </c>
      <c r="C42" s="82" t="s">
        <v>1981</v>
      </c>
      <c r="D42" s="4"/>
      <c r="E42" s="82" t="s">
        <v>392</v>
      </c>
      <c r="F42" s="157">
        <f>17.136+2.6</f>
        <v>19.736000000000001</v>
      </c>
      <c r="G42" s="14">
        <f t="shared" si="21"/>
        <v>19736</v>
      </c>
      <c r="H42" s="97">
        <v>8</v>
      </c>
      <c r="I42" s="83" t="s">
        <v>1982</v>
      </c>
      <c r="J42" s="85" t="s">
        <v>1723</v>
      </c>
      <c r="K42" s="135" t="s">
        <v>2086</v>
      </c>
      <c r="L42" s="4"/>
      <c r="M42" s="85" t="s">
        <v>2075</v>
      </c>
      <c r="N42" s="82" t="s">
        <v>51</v>
      </c>
      <c r="O42" s="4"/>
      <c r="P42" s="4"/>
      <c r="Q42" s="5">
        <v>52300</v>
      </c>
      <c r="R42" s="36"/>
      <c r="S42" s="36"/>
      <c r="T42" s="37"/>
      <c r="U42" s="5">
        <f t="shared" si="22"/>
        <v>52300</v>
      </c>
      <c r="V42" s="5">
        <f t="shared" si="23"/>
        <v>1032192.8</v>
      </c>
      <c r="W42" s="5">
        <f t="shared" si="24"/>
        <v>185794.704</v>
      </c>
      <c r="X42" s="5"/>
      <c r="Y42" s="5"/>
      <c r="Z42" s="98"/>
      <c r="AA42" s="23">
        <f t="shared" si="25"/>
        <v>0</v>
      </c>
      <c r="AB42" s="97">
        <f t="shared" si="26"/>
        <v>0</v>
      </c>
      <c r="AC42" s="43"/>
      <c r="AD42" s="49"/>
      <c r="AE42" s="5">
        <f t="shared" si="27"/>
        <v>1217987.504</v>
      </c>
      <c r="AF42" s="139">
        <v>666</v>
      </c>
      <c r="AG42" s="139" t="s">
        <v>2270</v>
      </c>
      <c r="AH42" s="157">
        <f>17.136+2.6</f>
        <v>19.736000000000001</v>
      </c>
      <c r="AI42" s="12"/>
      <c r="AJ42" s="40"/>
      <c r="AK42" s="40"/>
    </row>
    <row r="43" spans="2:37" s="41" customFormat="1" ht="16.149999999999999" customHeight="1">
      <c r="B43" s="89" t="s">
        <v>1979</v>
      </c>
      <c r="C43" s="140"/>
      <c r="D43" s="4"/>
      <c r="E43" s="82" t="s">
        <v>392</v>
      </c>
      <c r="F43" s="157">
        <v>19.260000000000002</v>
      </c>
      <c r="G43" s="14">
        <f t="shared" si="21"/>
        <v>19260</v>
      </c>
      <c r="H43" s="97">
        <v>9</v>
      </c>
      <c r="I43" s="83" t="s">
        <v>1982</v>
      </c>
      <c r="J43" s="85" t="s">
        <v>1723</v>
      </c>
      <c r="K43" s="135" t="s">
        <v>2077</v>
      </c>
      <c r="L43" s="4"/>
      <c r="M43" s="85" t="s">
        <v>2075</v>
      </c>
      <c r="N43" s="82" t="s">
        <v>47</v>
      </c>
      <c r="O43" s="4"/>
      <c r="P43" s="4"/>
      <c r="Q43" s="5">
        <v>52300</v>
      </c>
      <c r="R43" s="36"/>
      <c r="S43" s="36"/>
      <c r="T43" s="37"/>
      <c r="U43" s="5">
        <f t="shared" si="22"/>
        <v>52300</v>
      </c>
      <c r="V43" s="5">
        <f t="shared" si="23"/>
        <v>1007298.0000000001</v>
      </c>
      <c r="W43" s="5">
        <f t="shared" si="24"/>
        <v>181313.64</v>
      </c>
      <c r="X43" s="5"/>
      <c r="Y43" s="5"/>
      <c r="Z43" s="98"/>
      <c r="AA43" s="23">
        <f t="shared" si="25"/>
        <v>0</v>
      </c>
      <c r="AB43" s="97">
        <f t="shared" si="26"/>
        <v>0</v>
      </c>
      <c r="AC43" s="43"/>
      <c r="AD43" s="49"/>
      <c r="AE43" s="5">
        <f t="shared" si="27"/>
        <v>1188611.6400000001</v>
      </c>
      <c r="AF43" s="139">
        <v>667</v>
      </c>
      <c r="AG43" s="139" t="s">
        <v>2270</v>
      </c>
      <c r="AH43" s="157">
        <v>19.260000000000002</v>
      </c>
      <c r="AI43" s="12"/>
      <c r="AJ43" s="40"/>
      <c r="AK43" s="40"/>
    </row>
    <row r="44" spans="2:37" s="41" customFormat="1" ht="16.149999999999999" customHeight="1">
      <c r="B44" s="89" t="s">
        <v>1980</v>
      </c>
      <c r="C44" s="140"/>
      <c r="D44" s="4"/>
      <c r="E44" s="82" t="s">
        <v>392</v>
      </c>
      <c r="F44" s="157">
        <v>40.54</v>
      </c>
      <c r="G44" s="14">
        <f t="shared" si="21"/>
        <v>40540</v>
      </c>
      <c r="H44" s="97">
        <v>19</v>
      </c>
      <c r="I44" s="83" t="s">
        <v>1982</v>
      </c>
      <c r="J44" s="85" t="s">
        <v>1723</v>
      </c>
      <c r="K44" s="135" t="s">
        <v>2078</v>
      </c>
      <c r="L44" s="4"/>
      <c r="M44" s="85" t="s">
        <v>2075</v>
      </c>
      <c r="N44" s="82" t="s">
        <v>1254</v>
      </c>
      <c r="O44" s="4"/>
      <c r="P44" s="4"/>
      <c r="Q44" s="5">
        <v>52300</v>
      </c>
      <c r="R44" s="36"/>
      <c r="S44" s="36"/>
      <c r="T44" s="37"/>
      <c r="U44" s="5">
        <f t="shared" si="22"/>
        <v>52300</v>
      </c>
      <c r="V44" s="5">
        <f t="shared" si="23"/>
        <v>2120242</v>
      </c>
      <c r="W44" s="5">
        <f t="shared" si="24"/>
        <v>381643.56</v>
      </c>
      <c r="X44" s="5"/>
      <c r="Y44" s="5"/>
      <c r="Z44" s="98"/>
      <c r="AA44" s="23">
        <f t="shared" si="25"/>
        <v>0</v>
      </c>
      <c r="AB44" s="97">
        <f t="shared" si="26"/>
        <v>0</v>
      </c>
      <c r="AC44" s="43"/>
      <c r="AD44" s="49"/>
      <c r="AE44" s="5">
        <f t="shared" si="27"/>
        <v>2501885.56</v>
      </c>
      <c r="AF44" s="139">
        <v>668</v>
      </c>
      <c r="AG44" s="139" t="s">
        <v>2270</v>
      </c>
      <c r="AH44" s="157">
        <v>40.54</v>
      </c>
      <c r="AI44" s="12"/>
      <c r="AJ44" s="40"/>
      <c r="AK44" s="40"/>
    </row>
    <row r="45" spans="2:37" s="41" customFormat="1" ht="16.149999999999999" customHeight="1">
      <c r="B45" s="89"/>
      <c r="C45" s="140"/>
      <c r="D45" s="4"/>
      <c r="E45" s="82" t="s">
        <v>392</v>
      </c>
      <c r="F45" s="157">
        <v>31.97</v>
      </c>
      <c r="G45" s="14">
        <f t="shared" si="21"/>
        <v>31970</v>
      </c>
      <c r="H45" s="97">
        <v>15</v>
      </c>
      <c r="I45" s="83" t="s">
        <v>1982</v>
      </c>
      <c r="J45" s="85" t="s">
        <v>1723</v>
      </c>
      <c r="K45" s="135" t="s">
        <v>2079</v>
      </c>
      <c r="L45" s="4"/>
      <c r="M45" s="85" t="s">
        <v>2075</v>
      </c>
      <c r="N45" s="82" t="s">
        <v>1502</v>
      </c>
      <c r="O45" s="4"/>
      <c r="P45" s="4"/>
      <c r="Q45" s="5">
        <v>52300</v>
      </c>
      <c r="R45" s="36"/>
      <c r="S45" s="36"/>
      <c r="T45" s="37"/>
      <c r="U45" s="5">
        <f t="shared" si="22"/>
        <v>52300</v>
      </c>
      <c r="V45" s="5">
        <f t="shared" si="23"/>
        <v>1672031</v>
      </c>
      <c r="W45" s="5">
        <f t="shared" si="24"/>
        <v>300965.58</v>
      </c>
      <c r="X45" s="5"/>
      <c r="Y45" s="5"/>
      <c r="Z45" s="98"/>
      <c r="AA45" s="23">
        <f t="shared" si="25"/>
        <v>0</v>
      </c>
      <c r="AB45" s="97">
        <f t="shared" si="26"/>
        <v>0</v>
      </c>
      <c r="AC45" s="43"/>
      <c r="AD45" s="49"/>
      <c r="AE45" s="5">
        <f t="shared" si="27"/>
        <v>1972996.58</v>
      </c>
      <c r="AF45" s="139">
        <v>669</v>
      </c>
      <c r="AG45" s="139" t="s">
        <v>2270</v>
      </c>
      <c r="AH45" s="157">
        <v>31.97</v>
      </c>
      <c r="AI45" s="12"/>
      <c r="AJ45" s="40"/>
      <c r="AK45" s="40"/>
    </row>
    <row r="46" spans="2:37" s="41" customFormat="1" ht="16.149999999999999" customHeight="1">
      <c r="B46" s="89"/>
      <c r="C46" s="140"/>
      <c r="D46" s="4"/>
      <c r="E46" s="82" t="s">
        <v>392</v>
      </c>
      <c r="F46" s="157">
        <v>32.07</v>
      </c>
      <c r="G46" s="14">
        <f t="shared" si="21"/>
        <v>32070</v>
      </c>
      <c r="H46" s="97">
        <v>15</v>
      </c>
      <c r="I46" s="83" t="s">
        <v>1982</v>
      </c>
      <c r="J46" s="85" t="s">
        <v>1723</v>
      </c>
      <c r="K46" s="135" t="s">
        <v>2080</v>
      </c>
      <c r="L46" s="4"/>
      <c r="M46" s="85" t="s">
        <v>2075</v>
      </c>
      <c r="N46" s="82" t="s">
        <v>41</v>
      </c>
      <c r="O46" s="4"/>
      <c r="P46" s="4"/>
      <c r="Q46" s="5">
        <v>52300</v>
      </c>
      <c r="R46" s="36"/>
      <c r="S46" s="36"/>
      <c r="T46" s="37"/>
      <c r="U46" s="5">
        <f t="shared" si="22"/>
        <v>52300</v>
      </c>
      <c r="V46" s="5">
        <f t="shared" si="23"/>
        <v>1677261</v>
      </c>
      <c r="W46" s="5">
        <f t="shared" si="24"/>
        <v>301906.98</v>
      </c>
      <c r="X46" s="5"/>
      <c r="Y46" s="5"/>
      <c r="Z46" s="98"/>
      <c r="AA46" s="23">
        <f t="shared" si="25"/>
        <v>0</v>
      </c>
      <c r="AB46" s="97">
        <f t="shared" si="26"/>
        <v>0</v>
      </c>
      <c r="AC46" s="43"/>
      <c r="AD46" s="49"/>
      <c r="AE46" s="5">
        <f t="shared" si="27"/>
        <v>1979167.98</v>
      </c>
      <c r="AF46" s="139">
        <v>670</v>
      </c>
      <c r="AG46" s="139" t="s">
        <v>2270</v>
      </c>
      <c r="AH46" s="157">
        <v>32.07</v>
      </c>
      <c r="AI46" s="12"/>
      <c r="AJ46" s="40"/>
      <c r="AK46" s="40"/>
    </row>
    <row r="47" spans="2:37" s="41" customFormat="1" ht="16.149999999999999" customHeight="1">
      <c r="B47" s="89"/>
      <c r="C47" s="140"/>
      <c r="D47" s="4"/>
      <c r="E47" s="82" t="s">
        <v>392</v>
      </c>
      <c r="F47" s="157">
        <v>40.69</v>
      </c>
      <c r="G47" s="14">
        <f t="shared" si="21"/>
        <v>40690</v>
      </c>
      <c r="H47" s="97">
        <v>19</v>
      </c>
      <c r="I47" s="83" t="s">
        <v>1982</v>
      </c>
      <c r="J47" s="85" t="s">
        <v>1723</v>
      </c>
      <c r="K47" s="135" t="s">
        <v>2081</v>
      </c>
      <c r="L47" s="4"/>
      <c r="M47" s="85" t="s">
        <v>2075</v>
      </c>
      <c r="N47" s="82" t="s">
        <v>50</v>
      </c>
      <c r="O47" s="4"/>
      <c r="P47" s="4"/>
      <c r="Q47" s="5">
        <v>52300</v>
      </c>
      <c r="R47" s="36"/>
      <c r="S47" s="36"/>
      <c r="T47" s="37"/>
      <c r="U47" s="5">
        <f t="shared" si="22"/>
        <v>52300</v>
      </c>
      <c r="V47" s="5">
        <f t="shared" si="23"/>
        <v>2128087</v>
      </c>
      <c r="W47" s="5">
        <f t="shared" si="24"/>
        <v>383055.66</v>
      </c>
      <c r="X47" s="5"/>
      <c r="Y47" s="5"/>
      <c r="Z47" s="98"/>
      <c r="AA47" s="23">
        <f t="shared" si="25"/>
        <v>0</v>
      </c>
      <c r="AB47" s="97">
        <f t="shared" si="26"/>
        <v>0</v>
      </c>
      <c r="AC47" s="43"/>
      <c r="AD47" s="49"/>
      <c r="AE47" s="5">
        <f t="shared" si="27"/>
        <v>2511142.66</v>
      </c>
      <c r="AF47" s="139">
        <v>671</v>
      </c>
      <c r="AG47" s="139" t="s">
        <v>2270</v>
      </c>
      <c r="AH47" s="157">
        <v>40.69</v>
      </c>
      <c r="AI47" s="12"/>
      <c r="AJ47" s="40"/>
      <c r="AK47" s="40"/>
    </row>
    <row r="48" spans="2:37" s="41" customFormat="1" ht="16.149999999999999" customHeight="1">
      <c r="B48" s="89"/>
      <c r="C48" s="140"/>
      <c r="D48" s="4"/>
      <c r="E48" s="82" t="s">
        <v>392</v>
      </c>
      <c r="F48" s="157">
        <v>32.130000000000003</v>
      </c>
      <c r="G48" s="14">
        <f t="shared" si="21"/>
        <v>32130.000000000004</v>
      </c>
      <c r="H48" s="97">
        <v>15</v>
      </c>
      <c r="I48" s="83" t="s">
        <v>1982</v>
      </c>
      <c r="J48" s="85" t="s">
        <v>1723</v>
      </c>
      <c r="K48" s="135" t="s">
        <v>2082</v>
      </c>
      <c r="L48" s="4"/>
      <c r="M48" s="85" t="s">
        <v>2075</v>
      </c>
      <c r="N48" s="82" t="s">
        <v>44</v>
      </c>
      <c r="O48" s="4"/>
      <c r="P48" s="4"/>
      <c r="Q48" s="5">
        <v>52300</v>
      </c>
      <c r="R48" s="36"/>
      <c r="S48" s="36"/>
      <c r="T48" s="37"/>
      <c r="U48" s="5">
        <f t="shared" si="22"/>
        <v>52300</v>
      </c>
      <c r="V48" s="5">
        <f t="shared" si="23"/>
        <v>1680399.0000000002</v>
      </c>
      <c r="W48" s="5">
        <f t="shared" si="24"/>
        <v>302471.82</v>
      </c>
      <c r="X48" s="5"/>
      <c r="Y48" s="5"/>
      <c r="Z48" s="98"/>
      <c r="AA48" s="23">
        <f t="shared" si="25"/>
        <v>0</v>
      </c>
      <c r="AB48" s="97">
        <f t="shared" si="26"/>
        <v>0</v>
      </c>
      <c r="AC48" s="43"/>
      <c r="AD48" s="49"/>
      <c r="AE48" s="5">
        <f t="shared" si="27"/>
        <v>1982870.8200000003</v>
      </c>
      <c r="AF48" s="139">
        <v>672</v>
      </c>
      <c r="AG48" s="139" t="s">
        <v>2270</v>
      </c>
      <c r="AH48" s="157">
        <v>32.130000000000003</v>
      </c>
      <c r="AI48" s="12"/>
      <c r="AJ48" s="40"/>
      <c r="AK48" s="40"/>
    </row>
    <row r="49" spans="2:37" s="41" customFormat="1" ht="16.149999999999999" customHeight="1">
      <c r="B49" s="89"/>
      <c r="C49" s="140"/>
      <c r="D49" s="4"/>
      <c r="E49" s="82" t="s">
        <v>392</v>
      </c>
      <c r="F49" s="157">
        <v>32.18</v>
      </c>
      <c r="G49" s="14">
        <f t="shared" si="21"/>
        <v>32180</v>
      </c>
      <c r="H49" s="97">
        <v>15</v>
      </c>
      <c r="I49" s="83" t="s">
        <v>1982</v>
      </c>
      <c r="J49" s="85" t="s">
        <v>1723</v>
      </c>
      <c r="K49" s="135" t="s">
        <v>2083</v>
      </c>
      <c r="L49" s="4"/>
      <c r="M49" s="85" t="s">
        <v>2075</v>
      </c>
      <c r="N49" s="82" t="s">
        <v>2076</v>
      </c>
      <c r="O49" s="4"/>
      <c r="P49" s="4"/>
      <c r="Q49" s="5">
        <v>52300</v>
      </c>
      <c r="R49" s="36"/>
      <c r="S49" s="36"/>
      <c r="T49" s="37"/>
      <c r="U49" s="5">
        <f t="shared" si="22"/>
        <v>52300</v>
      </c>
      <c r="V49" s="5">
        <f t="shared" si="23"/>
        <v>1683014</v>
      </c>
      <c r="W49" s="5">
        <f t="shared" si="24"/>
        <v>302942.51999999996</v>
      </c>
      <c r="X49" s="5"/>
      <c r="Y49" s="5"/>
      <c r="Z49" s="98"/>
      <c r="AA49" s="23">
        <f t="shared" si="25"/>
        <v>0</v>
      </c>
      <c r="AB49" s="97">
        <f t="shared" si="26"/>
        <v>0</v>
      </c>
      <c r="AC49" s="43"/>
      <c r="AD49" s="49"/>
      <c r="AE49" s="5">
        <f t="shared" si="27"/>
        <v>1985956.52</v>
      </c>
      <c r="AF49" s="139">
        <v>673</v>
      </c>
      <c r="AG49" s="139" t="s">
        <v>2270</v>
      </c>
      <c r="AH49" s="157">
        <v>32.18</v>
      </c>
      <c r="AI49" s="12"/>
      <c r="AJ49" s="40"/>
      <c r="AK49" s="40"/>
    </row>
    <row r="50" spans="2:37" s="41" customFormat="1" ht="16.149999999999999" customHeight="1">
      <c r="B50" s="89"/>
      <c r="C50" s="140"/>
      <c r="D50" s="4"/>
      <c r="E50" s="82" t="s">
        <v>392</v>
      </c>
      <c r="F50" s="157">
        <v>40.799999999999997</v>
      </c>
      <c r="G50" s="14">
        <f t="shared" si="21"/>
        <v>40800</v>
      </c>
      <c r="H50" s="97">
        <v>19</v>
      </c>
      <c r="I50" s="83" t="s">
        <v>1982</v>
      </c>
      <c r="J50" s="85" t="s">
        <v>1723</v>
      </c>
      <c r="K50" s="135" t="s">
        <v>2084</v>
      </c>
      <c r="L50" s="4"/>
      <c r="M50" s="85" t="s">
        <v>2075</v>
      </c>
      <c r="N50" s="82" t="s">
        <v>1499</v>
      </c>
      <c r="O50" s="4"/>
      <c r="P50" s="4"/>
      <c r="Q50" s="5">
        <v>52300</v>
      </c>
      <c r="R50" s="36"/>
      <c r="S50" s="36"/>
      <c r="T50" s="37"/>
      <c r="U50" s="5">
        <f t="shared" si="22"/>
        <v>52300</v>
      </c>
      <c r="V50" s="5">
        <f t="shared" si="23"/>
        <v>2133840</v>
      </c>
      <c r="W50" s="5">
        <f t="shared" si="24"/>
        <v>384091.2</v>
      </c>
      <c r="X50" s="5"/>
      <c r="Y50" s="5"/>
      <c r="Z50" s="98"/>
      <c r="AA50" s="23">
        <f t="shared" si="25"/>
        <v>0</v>
      </c>
      <c r="AB50" s="97">
        <f t="shared" si="26"/>
        <v>0</v>
      </c>
      <c r="AC50" s="43"/>
      <c r="AD50" s="49"/>
      <c r="AE50" s="5">
        <f t="shared" si="27"/>
        <v>2517931.2000000002</v>
      </c>
      <c r="AF50" s="139">
        <v>674</v>
      </c>
      <c r="AG50" s="139" t="s">
        <v>2270</v>
      </c>
      <c r="AH50" s="157">
        <v>40.799999999999997</v>
      </c>
      <c r="AI50" s="12"/>
      <c r="AJ50" s="40"/>
      <c r="AK50" s="40"/>
    </row>
    <row r="51" spans="2:37" s="41" customFormat="1" ht="16.149999999999999" customHeight="1">
      <c r="B51" s="89"/>
      <c r="C51" s="140"/>
      <c r="D51" s="4"/>
      <c r="E51" s="82" t="s">
        <v>392</v>
      </c>
      <c r="F51" s="157">
        <v>32.020000000000003</v>
      </c>
      <c r="G51" s="14">
        <f t="shared" si="21"/>
        <v>32020.000000000004</v>
      </c>
      <c r="H51" s="97">
        <v>15</v>
      </c>
      <c r="I51" s="83" t="s">
        <v>1982</v>
      </c>
      <c r="J51" s="85" t="s">
        <v>1723</v>
      </c>
      <c r="K51" s="135" t="s">
        <v>2085</v>
      </c>
      <c r="L51" s="4"/>
      <c r="M51" s="85" t="s">
        <v>2075</v>
      </c>
      <c r="N51" s="82" t="s">
        <v>1209</v>
      </c>
      <c r="O51" s="4"/>
      <c r="P51" s="4"/>
      <c r="Q51" s="5">
        <v>52300</v>
      </c>
      <c r="R51" s="36"/>
      <c r="S51" s="36"/>
      <c r="T51" s="37"/>
      <c r="U51" s="5">
        <f t="shared" si="22"/>
        <v>52300</v>
      </c>
      <c r="V51" s="5">
        <f t="shared" si="23"/>
        <v>1674646.0000000002</v>
      </c>
      <c r="W51" s="5">
        <f t="shared" si="24"/>
        <v>301436.28000000003</v>
      </c>
      <c r="X51" s="5"/>
      <c r="Y51" s="5"/>
      <c r="Z51" s="98"/>
      <c r="AA51" s="23">
        <f t="shared" si="25"/>
        <v>0</v>
      </c>
      <c r="AB51" s="97">
        <f t="shared" si="26"/>
        <v>0</v>
      </c>
      <c r="AC51" s="43"/>
      <c r="AD51" s="49"/>
      <c r="AE51" s="5">
        <f t="shared" si="27"/>
        <v>1976082.2800000003</v>
      </c>
      <c r="AF51" s="139">
        <v>675</v>
      </c>
      <c r="AG51" s="139" t="s">
        <v>2270</v>
      </c>
      <c r="AH51" s="157">
        <v>32.020000000000003</v>
      </c>
      <c r="AI51" s="12"/>
      <c r="AJ51" s="40"/>
      <c r="AK51" s="40"/>
    </row>
    <row r="52" spans="2:37" s="41" customFormat="1" ht="16.149999999999999" customHeight="1">
      <c r="B52" s="89"/>
      <c r="C52" s="140"/>
      <c r="D52" s="4"/>
      <c r="E52" s="82" t="s">
        <v>392</v>
      </c>
      <c r="F52" s="103">
        <v>32.049999999999997</v>
      </c>
      <c r="G52" s="14">
        <f t="shared" si="21"/>
        <v>32049.999999999996</v>
      </c>
      <c r="H52" s="97">
        <v>15</v>
      </c>
      <c r="I52" s="83" t="s">
        <v>1982</v>
      </c>
      <c r="J52" s="85" t="s">
        <v>1723</v>
      </c>
      <c r="K52" s="135" t="s">
        <v>2118</v>
      </c>
      <c r="L52" s="4"/>
      <c r="M52" s="85" t="s">
        <v>2116</v>
      </c>
      <c r="N52" s="82" t="s">
        <v>2117</v>
      </c>
      <c r="O52" s="4"/>
      <c r="P52" s="4"/>
      <c r="Q52" s="5">
        <v>52300</v>
      </c>
      <c r="R52" s="36"/>
      <c r="S52" s="36"/>
      <c r="T52" s="37"/>
      <c r="U52" s="5">
        <f t="shared" si="22"/>
        <v>52300</v>
      </c>
      <c r="V52" s="5">
        <f t="shared" si="23"/>
        <v>1676214.9999999998</v>
      </c>
      <c r="W52" s="5">
        <f t="shared" si="24"/>
        <v>301718.69999999995</v>
      </c>
      <c r="X52" s="5"/>
      <c r="Y52" s="5"/>
      <c r="Z52" s="98"/>
      <c r="AA52" s="23">
        <f t="shared" si="25"/>
        <v>0</v>
      </c>
      <c r="AB52" s="97">
        <f t="shared" si="26"/>
        <v>0</v>
      </c>
      <c r="AC52" s="43"/>
      <c r="AD52" s="49"/>
      <c r="AE52" s="5">
        <f t="shared" si="27"/>
        <v>1977933.6999999997</v>
      </c>
      <c r="AF52" s="139">
        <v>676</v>
      </c>
      <c r="AG52" s="139" t="s">
        <v>2270</v>
      </c>
      <c r="AH52" s="103">
        <v>32.049999999999997</v>
      </c>
      <c r="AI52" s="12"/>
      <c r="AJ52" s="40"/>
      <c r="AK52" s="40"/>
    </row>
    <row r="53" spans="2:37" s="41" customFormat="1" ht="16.149999999999999" customHeight="1">
      <c r="B53" s="89"/>
      <c r="C53" s="140"/>
      <c r="D53" s="4"/>
      <c r="E53" s="82" t="s">
        <v>392</v>
      </c>
      <c r="F53" s="103">
        <v>32.06</v>
      </c>
      <c r="G53" s="14">
        <f t="shared" si="21"/>
        <v>32060.000000000004</v>
      </c>
      <c r="H53" s="97">
        <v>15</v>
      </c>
      <c r="I53" s="83" t="s">
        <v>1982</v>
      </c>
      <c r="J53" s="85" t="s">
        <v>1723</v>
      </c>
      <c r="K53" s="135" t="s">
        <v>2119</v>
      </c>
      <c r="L53" s="4"/>
      <c r="M53" s="85" t="s">
        <v>2116</v>
      </c>
      <c r="N53" s="82" t="s">
        <v>52</v>
      </c>
      <c r="O53" s="4"/>
      <c r="P53" s="4"/>
      <c r="Q53" s="5">
        <v>52300</v>
      </c>
      <c r="R53" s="36"/>
      <c r="S53" s="36"/>
      <c r="T53" s="37"/>
      <c r="U53" s="5">
        <f t="shared" si="22"/>
        <v>52300</v>
      </c>
      <c r="V53" s="5">
        <f t="shared" si="23"/>
        <v>1676738.0000000002</v>
      </c>
      <c r="W53" s="5">
        <f t="shared" si="24"/>
        <v>301812.84000000003</v>
      </c>
      <c r="X53" s="5"/>
      <c r="Y53" s="5"/>
      <c r="Z53" s="98"/>
      <c r="AA53" s="23">
        <f t="shared" si="25"/>
        <v>0</v>
      </c>
      <c r="AB53" s="97">
        <f t="shared" si="26"/>
        <v>0</v>
      </c>
      <c r="AC53" s="43"/>
      <c r="AD53" s="49"/>
      <c r="AE53" s="5">
        <f t="shared" si="27"/>
        <v>1978550.8400000003</v>
      </c>
      <c r="AF53" s="139">
        <v>677</v>
      </c>
      <c r="AG53" s="139" t="s">
        <v>2270</v>
      </c>
      <c r="AH53" s="103">
        <v>32.06</v>
      </c>
      <c r="AI53" s="12"/>
      <c r="AJ53" s="40"/>
      <c r="AK53" s="40"/>
    </row>
    <row r="54" spans="2:37" s="41" customFormat="1" ht="16.149999999999999" customHeight="1">
      <c r="B54" s="89"/>
      <c r="C54" s="140"/>
      <c r="D54" s="4"/>
      <c r="E54" s="82" t="s">
        <v>392</v>
      </c>
      <c r="F54" s="103">
        <f>59.81+0.595</f>
        <v>60.405000000000001</v>
      </c>
      <c r="G54" s="14">
        <f t="shared" si="21"/>
        <v>60405</v>
      </c>
      <c r="H54" s="97">
        <f>28+3</f>
        <v>31</v>
      </c>
      <c r="I54" s="83" t="s">
        <v>1982</v>
      </c>
      <c r="J54" s="85" t="s">
        <v>1723</v>
      </c>
      <c r="K54" s="135" t="s">
        <v>2120</v>
      </c>
      <c r="L54" s="4"/>
      <c r="M54" s="85" t="s">
        <v>2116</v>
      </c>
      <c r="N54" s="82" t="s">
        <v>1503</v>
      </c>
      <c r="O54" s="4"/>
      <c r="P54" s="4"/>
      <c r="Q54" s="5">
        <v>52300</v>
      </c>
      <c r="R54" s="36"/>
      <c r="S54" s="36"/>
      <c r="T54" s="37"/>
      <c r="U54" s="5">
        <f t="shared" si="22"/>
        <v>52300</v>
      </c>
      <c r="V54" s="5">
        <f t="shared" si="23"/>
        <v>3159181.5</v>
      </c>
      <c r="W54" s="5">
        <f t="shared" si="24"/>
        <v>568652.66999999993</v>
      </c>
      <c r="X54" s="5"/>
      <c r="Y54" s="5"/>
      <c r="Z54" s="98"/>
      <c r="AA54" s="23">
        <f t="shared" si="25"/>
        <v>0</v>
      </c>
      <c r="AB54" s="97">
        <f t="shared" si="26"/>
        <v>0</v>
      </c>
      <c r="AC54" s="43"/>
      <c r="AD54" s="49"/>
      <c r="AE54" s="5">
        <f t="shared" si="27"/>
        <v>3727834.17</v>
      </c>
      <c r="AF54" s="139">
        <v>678</v>
      </c>
      <c r="AG54" s="139" t="s">
        <v>2270</v>
      </c>
      <c r="AH54" s="103">
        <f>59.81+0.595</f>
        <v>60.405000000000001</v>
      </c>
      <c r="AI54" s="12"/>
      <c r="AJ54" s="40"/>
      <c r="AK54" s="40"/>
    </row>
    <row r="55" spans="2:37" s="41" customFormat="1">
      <c r="B55" s="13"/>
      <c r="C55" s="48">
        <v>454.49</v>
      </c>
      <c r="D55" s="6"/>
      <c r="E55" s="48">
        <f>C55-F55</f>
        <v>0</v>
      </c>
      <c r="F55" s="165">
        <f>SUM(F41:F54)</f>
        <v>454.49</v>
      </c>
      <c r="G55" s="20">
        <f>SUM(G41:G54)</f>
        <v>454490</v>
      </c>
      <c r="H55" s="21">
        <f>SUM(H41:H54)</f>
        <v>214</v>
      </c>
      <c r="I55" s="2"/>
      <c r="J55" s="7"/>
      <c r="K55" s="7"/>
      <c r="L55" s="7"/>
      <c r="M55" s="2"/>
      <c r="N55" s="6"/>
      <c r="O55" s="6"/>
      <c r="P55" s="6"/>
      <c r="Q55" s="19"/>
      <c r="R55" s="9"/>
      <c r="S55" s="9"/>
      <c r="T55" s="10"/>
      <c r="U55" s="8"/>
      <c r="V55" s="21">
        <f>SUM(V41:V54)</f>
        <v>23769827</v>
      </c>
      <c r="W55" s="21">
        <f>SUM(W41:W54)</f>
        <v>4278568.8600000003</v>
      </c>
      <c r="X55" s="21">
        <f>SUM(X41:X54)</f>
        <v>0</v>
      </c>
      <c r="Y55" s="21">
        <f>SUM(Y41:Y54)</f>
        <v>0</v>
      </c>
      <c r="Z55" s="99"/>
      <c r="AA55" s="21">
        <f>SUM(AA41:AA54)</f>
        <v>0</v>
      </c>
      <c r="AB55" s="21">
        <f>SUM(AB41:AB54)</f>
        <v>0</v>
      </c>
      <c r="AC55" s="21"/>
      <c r="AD55" s="21">
        <f>SUM(AD41:AD54)</f>
        <v>0</v>
      </c>
      <c r="AE55" s="21">
        <f>SUM(AE41:AE54)</f>
        <v>28048395.859999999</v>
      </c>
      <c r="AF55" s="21"/>
      <c r="AG55" s="42"/>
      <c r="AH55" s="81">
        <f>SUM(AH41:AH54)</f>
        <v>454.49</v>
      </c>
      <c r="AI55" s="26">
        <f>AH55-F55</f>
        <v>0</v>
      </c>
      <c r="AJ55" s="41">
        <f>AA55/F55</f>
        <v>0</v>
      </c>
      <c r="AK55" s="40"/>
    </row>
    <row r="56" spans="2:37" s="41" customFormat="1" ht="16.149999999999999" customHeight="1">
      <c r="B56" s="138" t="s">
        <v>764</v>
      </c>
      <c r="C56" s="82" t="s">
        <v>1843</v>
      </c>
      <c r="D56" s="4"/>
      <c r="E56" s="82" t="s">
        <v>35</v>
      </c>
      <c r="F56" s="103">
        <v>31.89</v>
      </c>
      <c r="G56" s="14">
        <f t="shared" ref="G56:G67" si="28">+F56*1000</f>
        <v>31890</v>
      </c>
      <c r="H56" s="97">
        <v>15</v>
      </c>
      <c r="I56" s="83" t="s">
        <v>2016</v>
      </c>
      <c r="J56" s="85" t="s">
        <v>1915</v>
      </c>
      <c r="K56" s="135" t="s">
        <v>2023</v>
      </c>
      <c r="L56" s="4"/>
      <c r="M56" s="85" t="s">
        <v>2017</v>
      </c>
      <c r="N56" s="82" t="s">
        <v>2019</v>
      </c>
      <c r="O56" s="4"/>
      <c r="P56" s="4"/>
      <c r="Q56" s="5">
        <v>56300</v>
      </c>
      <c r="R56" s="36"/>
      <c r="S56" s="36"/>
      <c r="T56" s="37"/>
      <c r="U56" s="5">
        <f t="shared" ref="U56:U67" si="29">S56+R56+Q56-T56</f>
        <v>56300</v>
      </c>
      <c r="V56" s="5">
        <f t="shared" ref="V56:V67" si="30">F56*U56</f>
        <v>1795407</v>
      </c>
      <c r="W56" s="5">
        <f t="shared" ref="W56:W67" si="31">V56*18%</f>
        <v>323173.26</v>
      </c>
      <c r="X56" s="5"/>
      <c r="Y56" s="5"/>
      <c r="Z56" s="98"/>
      <c r="AA56" s="23">
        <f t="shared" ref="AA56:AA67" si="32">F56*Z56</f>
        <v>0</v>
      </c>
      <c r="AB56" s="97">
        <f t="shared" ref="AB56:AB67" si="33">AA56*18%</f>
        <v>0</v>
      </c>
      <c r="AC56" s="43"/>
      <c r="AD56" s="49"/>
      <c r="AE56" s="5">
        <f t="shared" ref="AE56:AE67" si="34">+AB56+AA56+Y56+X56+W56+V56-AC56+AD56</f>
        <v>2118580.2599999998</v>
      </c>
      <c r="AF56" s="139">
        <v>679</v>
      </c>
      <c r="AG56" s="139" t="s">
        <v>2270</v>
      </c>
      <c r="AH56" s="103">
        <v>31.89</v>
      </c>
      <c r="AI56" s="12"/>
      <c r="AJ56" s="40"/>
      <c r="AK56" s="40"/>
    </row>
    <row r="57" spans="2:37" s="41" customFormat="1" ht="16.149999999999999" customHeight="1">
      <c r="B57" s="140" t="s">
        <v>2015</v>
      </c>
      <c r="C57" s="82" t="s">
        <v>2011</v>
      </c>
      <c r="D57" s="4"/>
      <c r="E57" s="82" t="s">
        <v>35</v>
      </c>
      <c r="F57" s="103">
        <v>31.83</v>
      </c>
      <c r="G57" s="14">
        <f t="shared" si="28"/>
        <v>31830</v>
      </c>
      <c r="H57" s="97">
        <v>15</v>
      </c>
      <c r="I57" s="83" t="s">
        <v>2016</v>
      </c>
      <c r="J57" s="85" t="s">
        <v>1915</v>
      </c>
      <c r="K57" s="135" t="s">
        <v>2024</v>
      </c>
      <c r="L57" s="4"/>
      <c r="M57" s="85" t="s">
        <v>2018</v>
      </c>
      <c r="N57" s="82" t="s">
        <v>51</v>
      </c>
      <c r="O57" s="4"/>
      <c r="P57" s="4"/>
      <c r="Q57" s="5">
        <v>56300</v>
      </c>
      <c r="R57" s="36"/>
      <c r="S57" s="36"/>
      <c r="T57" s="37"/>
      <c r="U57" s="5">
        <f t="shared" si="29"/>
        <v>56300</v>
      </c>
      <c r="V57" s="5">
        <f t="shared" si="30"/>
        <v>1792029</v>
      </c>
      <c r="W57" s="5">
        <f t="shared" si="31"/>
        <v>322565.21999999997</v>
      </c>
      <c r="X57" s="5"/>
      <c r="Y57" s="5"/>
      <c r="Z57" s="98"/>
      <c r="AA57" s="23">
        <f t="shared" si="32"/>
        <v>0</v>
      </c>
      <c r="AB57" s="97">
        <f t="shared" si="33"/>
        <v>0</v>
      </c>
      <c r="AC57" s="43"/>
      <c r="AD57" s="49"/>
      <c r="AE57" s="5">
        <f t="shared" si="34"/>
        <v>2114594.2199999997</v>
      </c>
      <c r="AF57" s="139">
        <v>680</v>
      </c>
      <c r="AG57" s="139" t="s">
        <v>2270</v>
      </c>
      <c r="AH57" s="103">
        <v>31.83</v>
      </c>
      <c r="AI57" s="12"/>
      <c r="AJ57" s="40"/>
      <c r="AK57" s="40"/>
    </row>
    <row r="58" spans="2:37" s="41" customFormat="1" ht="16.149999999999999" customHeight="1">
      <c r="B58" s="89" t="s">
        <v>2012</v>
      </c>
      <c r="C58" s="140" t="s">
        <v>1179</v>
      </c>
      <c r="D58" s="4"/>
      <c r="E58" s="82" t="s">
        <v>35</v>
      </c>
      <c r="F58" s="103">
        <v>31.85</v>
      </c>
      <c r="G58" s="14">
        <f t="shared" si="28"/>
        <v>31850</v>
      </c>
      <c r="H58" s="97">
        <v>15</v>
      </c>
      <c r="I58" s="83" t="s">
        <v>2016</v>
      </c>
      <c r="J58" s="85" t="s">
        <v>1915</v>
      </c>
      <c r="K58" s="135" t="s">
        <v>2025</v>
      </c>
      <c r="L58" s="4"/>
      <c r="M58" s="85" t="s">
        <v>2018</v>
      </c>
      <c r="N58" s="82" t="s">
        <v>1238</v>
      </c>
      <c r="O58" s="4"/>
      <c r="P58" s="4"/>
      <c r="Q58" s="5">
        <v>56300</v>
      </c>
      <c r="R58" s="36"/>
      <c r="S58" s="36"/>
      <c r="T58" s="37"/>
      <c r="U58" s="5">
        <f t="shared" si="29"/>
        <v>56300</v>
      </c>
      <c r="V58" s="5">
        <f t="shared" si="30"/>
        <v>1793155</v>
      </c>
      <c r="W58" s="5">
        <f t="shared" si="31"/>
        <v>322767.89999999997</v>
      </c>
      <c r="X58" s="5"/>
      <c r="Y58" s="5"/>
      <c r="Z58" s="98"/>
      <c r="AA58" s="23">
        <f t="shared" si="32"/>
        <v>0</v>
      </c>
      <c r="AB58" s="97">
        <f t="shared" si="33"/>
        <v>0</v>
      </c>
      <c r="AC58" s="43"/>
      <c r="AD58" s="49"/>
      <c r="AE58" s="5">
        <f t="shared" si="34"/>
        <v>2115922.9</v>
      </c>
      <c r="AF58" s="139">
        <v>681</v>
      </c>
      <c r="AG58" s="139" t="s">
        <v>2270</v>
      </c>
      <c r="AH58" s="103">
        <v>31.85</v>
      </c>
      <c r="AI58" s="12"/>
      <c r="AJ58" s="40"/>
      <c r="AK58" s="40"/>
    </row>
    <row r="59" spans="2:37" s="41" customFormat="1" ht="16.149999999999999" customHeight="1">
      <c r="B59" s="89" t="s">
        <v>2013</v>
      </c>
      <c r="C59" s="140"/>
      <c r="D59" s="4"/>
      <c r="E59" s="82" t="s">
        <v>35</v>
      </c>
      <c r="F59" s="103">
        <v>31.85</v>
      </c>
      <c r="G59" s="14">
        <f t="shared" si="28"/>
        <v>31850</v>
      </c>
      <c r="H59" s="97">
        <v>15</v>
      </c>
      <c r="I59" s="83" t="s">
        <v>2016</v>
      </c>
      <c r="J59" s="85" t="s">
        <v>1915</v>
      </c>
      <c r="K59" s="135" t="s">
        <v>2026</v>
      </c>
      <c r="L59" s="4"/>
      <c r="M59" s="85" t="s">
        <v>2018</v>
      </c>
      <c r="N59" s="82" t="s">
        <v>2020</v>
      </c>
      <c r="O59" s="4"/>
      <c r="P59" s="4"/>
      <c r="Q59" s="5">
        <v>56300</v>
      </c>
      <c r="R59" s="36"/>
      <c r="S59" s="36"/>
      <c r="T59" s="37"/>
      <c r="U59" s="5">
        <f t="shared" si="29"/>
        <v>56300</v>
      </c>
      <c r="V59" s="5">
        <f t="shared" si="30"/>
        <v>1793155</v>
      </c>
      <c r="W59" s="5">
        <f t="shared" si="31"/>
        <v>322767.89999999997</v>
      </c>
      <c r="X59" s="5"/>
      <c r="Y59" s="5"/>
      <c r="Z59" s="98"/>
      <c r="AA59" s="23">
        <f t="shared" si="32"/>
        <v>0</v>
      </c>
      <c r="AB59" s="97">
        <f t="shared" si="33"/>
        <v>0</v>
      </c>
      <c r="AC59" s="43"/>
      <c r="AD59" s="49"/>
      <c r="AE59" s="5">
        <f t="shared" si="34"/>
        <v>2115922.9</v>
      </c>
      <c r="AF59" s="139">
        <v>682</v>
      </c>
      <c r="AG59" s="139" t="s">
        <v>2270</v>
      </c>
      <c r="AH59" s="103">
        <v>31.85</v>
      </c>
      <c r="AI59" s="12"/>
      <c r="AJ59" s="40"/>
      <c r="AK59" s="40"/>
    </row>
    <row r="60" spans="2:37" s="41" customFormat="1" ht="16.149999999999999" customHeight="1">
      <c r="B60" s="89"/>
      <c r="C60" s="140"/>
      <c r="D60" s="4"/>
      <c r="E60" s="82" t="s">
        <v>35</v>
      </c>
      <c r="F60" s="103">
        <v>31.83</v>
      </c>
      <c r="G60" s="14">
        <f t="shared" si="28"/>
        <v>31830</v>
      </c>
      <c r="H60" s="97">
        <v>15</v>
      </c>
      <c r="I60" s="83" t="s">
        <v>2016</v>
      </c>
      <c r="J60" s="85" t="s">
        <v>1915</v>
      </c>
      <c r="K60" s="135" t="s">
        <v>2027</v>
      </c>
      <c r="L60" s="4"/>
      <c r="M60" s="85" t="s">
        <v>2018</v>
      </c>
      <c r="N60" s="82" t="s">
        <v>1553</v>
      </c>
      <c r="O60" s="4"/>
      <c r="P60" s="4"/>
      <c r="Q60" s="5">
        <v>56300</v>
      </c>
      <c r="R60" s="36"/>
      <c r="S60" s="36"/>
      <c r="T60" s="37"/>
      <c r="U60" s="5">
        <f t="shared" si="29"/>
        <v>56300</v>
      </c>
      <c r="V60" s="5">
        <f t="shared" si="30"/>
        <v>1792029</v>
      </c>
      <c r="W60" s="5">
        <f t="shared" si="31"/>
        <v>322565.21999999997</v>
      </c>
      <c r="X60" s="5"/>
      <c r="Y60" s="5"/>
      <c r="Z60" s="98"/>
      <c r="AA60" s="23">
        <f t="shared" si="32"/>
        <v>0</v>
      </c>
      <c r="AB60" s="97">
        <f t="shared" si="33"/>
        <v>0</v>
      </c>
      <c r="AC60" s="43"/>
      <c r="AD60" s="49"/>
      <c r="AE60" s="5">
        <f t="shared" si="34"/>
        <v>2114594.2199999997</v>
      </c>
      <c r="AF60" s="139">
        <v>683</v>
      </c>
      <c r="AG60" s="139" t="s">
        <v>2270</v>
      </c>
      <c r="AH60" s="103">
        <v>31.83</v>
      </c>
      <c r="AI60" s="12"/>
      <c r="AJ60" s="40"/>
      <c r="AK60" s="40"/>
    </row>
    <row r="61" spans="2:37" s="41" customFormat="1" ht="16.149999999999999" customHeight="1">
      <c r="B61" s="89"/>
      <c r="C61" s="140"/>
      <c r="D61" s="4"/>
      <c r="E61" s="82" t="s">
        <v>35</v>
      </c>
      <c r="F61" s="103">
        <v>31.87</v>
      </c>
      <c r="G61" s="14">
        <f t="shared" si="28"/>
        <v>31870</v>
      </c>
      <c r="H61" s="97">
        <v>15</v>
      </c>
      <c r="I61" s="83" t="s">
        <v>2016</v>
      </c>
      <c r="J61" s="85" t="s">
        <v>1915</v>
      </c>
      <c r="K61" s="135" t="s">
        <v>2028</v>
      </c>
      <c r="L61" s="4"/>
      <c r="M61" s="85" t="s">
        <v>2018</v>
      </c>
      <c r="N61" s="82" t="s">
        <v>2021</v>
      </c>
      <c r="O61" s="4"/>
      <c r="P61" s="4"/>
      <c r="Q61" s="5">
        <v>56300</v>
      </c>
      <c r="R61" s="36"/>
      <c r="S61" s="36"/>
      <c r="T61" s="37"/>
      <c r="U61" s="5">
        <f t="shared" si="29"/>
        <v>56300</v>
      </c>
      <c r="V61" s="5">
        <f t="shared" si="30"/>
        <v>1794281</v>
      </c>
      <c r="W61" s="5">
        <f t="shared" si="31"/>
        <v>322970.58</v>
      </c>
      <c r="X61" s="5"/>
      <c r="Y61" s="5"/>
      <c r="Z61" s="98"/>
      <c r="AA61" s="23">
        <f t="shared" si="32"/>
        <v>0</v>
      </c>
      <c r="AB61" s="97">
        <f t="shared" si="33"/>
        <v>0</v>
      </c>
      <c r="AC61" s="43"/>
      <c r="AD61" s="49"/>
      <c r="AE61" s="5">
        <f t="shared" si="34"/>
        <v>2117251.58</v>
      </c>
      <c r="AF61" s="139">
        <v>684</v>
      </c>
      <c r="AG61" s="139" t="s">
        <v>2270</v>
      </c>
      <c r="AH61" s="103">
        <v>31.87</v>
      </c>
      <c r="AI61" s="12"/>
      <c r="AJ61" s="40"/>
      <c r="AK61" s="40"/>
    </row>
    <row r="62" spans="2:37" s="41" customFormat="1" ht="16.149999999999999" customHeight="1">
      <c r="B62" s="89"/>
      <c r="C62" s="140"/>
      <c r="D62" s="4"/>
      <c r="E62" s="82" t="s">
        <v>35</v>
      </c>
      <c r="F62" s="103">
        <v>31.9</v>
      </c>
      <c r="G62" s="14">
        <f t="shared" si="28"/>
        <v>31900</v>
      </c>
      <c r="H62" s="97">
        <v>15</v>
      </c>
      <c r="I62" s="83" t="s">
        <v>2016</v>
      </c>
      <c r="J62" s="85" t="s">
        <v>1915</v>
      </c>
      <c r="K62" s="135" t="s">
        <v>2029</v>
      </c>
      <c r="L62" s="4"/>
      <c r="M62" s="85" t="s">
        <v>2018</v>
      </c>
      <c r="N62" s="82" t="s">
        <v>54</v>
      </c>
      <c r="O62" s="4"/>
      <c r="P62" s="4"/>
      <c r="Q62" s="5">
        <v>56300</v>
      </c>
      <c r="R62" s="36"/>
      <c r="S62" s="36"/>
      <c r="T62" s="37"/>
      <c r="U62" s="5">
        <f t="shared" si="29"/>
        <v>56300</v>
      </c>
      <c r="V62" s="5">
        <f t="shared" si="30"/>
        <v>1795970</v>
      </c>
      <c r="W62" s="5">
        <f t="shared" si="31"/>
        <v>323274.59999999998</v>
      </c>
      <c r="X62" s="5"/>
      <c r="Y62" s="5"/>
      <c r="Z62" s="98"/>
      <c r="AA62" s="23">
        <f t="shared" si="32"/>
        <v>0</v>
      </c>
      <c r="AB62" s="97">
        <f t="shared" si="33"/>
        <v>0</v>
      </c>
      <c r="AC62" s="43"/>
      <c r="AD62" s="49"/>
      <c r="AE62" s="5">
        <f t="shared" si="34"/>
        <v>2119244.6</v>
      </c>
      <c r="AF62" s="139">
        <v>685</v>
      </c>
      <c r="AG62" s="139" t="s">
        <v>2270</v>
      </c>
      <c r="AH62" s="103">
        <v>31.9</v>
      </c>
      <c r="AI62" s="12"/>
      <c r="AJ62" s="40"/>
      <c r="AK62" s="40"/>
    </row>
    <row r="63" spans="2:37" s="41" customFormat="1" ht="16.149999999999999" customHeight="1">
      <c r="B63" s="89"/>
      <c r="C63" s="140"/>
      <c r="D63" s="4"/>
      <c r="E63" s="82" t="s">
        <v>35</v>
      </c>
      <c r="F63" s="103">
        <v>31.85</v>
      </c>
      <c r="G63" s="14">
        <f t="shared" si="28"/>
        <v>31850</v>
      </c>
      <c r="H63" s="97">
        <v>15</v>
      </c>
      <c r="I63" s="83" t="s">
        <v>2016</v>
      </c>
      <c r="J63" s="85" t="s">
        <v>1915</v>
      </c>
      <c r="K63" s="135" t="s">
        <v>2030</v>
      </c>
      <c r="L63" s="4"/>
      <c r="M63" s="85" t="s">
        <v>2018</v>
      </c>
      <c r="N63" s="82" t="s">
        <v>2022</v>
      </c>
      <c r="O63" s="4"/>
      <c r="P63" s="4"/>
      <c r="Q63" s="5">
        <v>56300</v>
      </c>
      <c r="R63" s="36"/>
      <c r="S63" s="36"/>
      <c r="T63" s="37"/>
      <c r="U63" s="5">
        <f t="shared" si="29"/>
        <v>56300</v>
      </c>
      <c r="V63" s="5">
        <f t="shared" si="30"/>
        <v>1793155</v>
      </c>
      <c r="W63" s="5">
        <f t="shared" si="31"/>
        <v>322767.89999999997</v>
      </c>
      <c r="X63" s="5"/>
      <c r="Y63" s="5"/>
      <c r="Z63" s="98"/>
      <c r="AA63" s="23">
        <f t="shared" si="32"/>
        <v>0</v>
      </c>
      <c r="AB63" s="97">
        <f t="shared" si="33"/>
        <v>0</v>
      </c>
      <c r="AC63" s="43"/>
      <c r="AD63" s="49"/>
      <c r="AE63" s="5">
        <f t="shared" si="34"/>
        <v>2115922.9</v>
      </c>
      <c r="AF63" s="139">
        <v>686</v>
      </c>
      <c r="AG63" s="139" t="s">
        <v>2270</v>
      </c>
      <c r="AH63" s="103">
        <v>31.85</v>
      </c>
      <c r="AI63" s="12"/>
      <c r="AJ63" s="40"/>
      <c r="AK63" s="40"/>
    </row>
    <row r="64" spans="2:37" s="41" customFormat="1" ht="16.149999999999999" customHeight="1">
      <c r="B64" s="89"/>
      <c r="C64" s="140"/>
      <c r="D64" s="4"/>
      <c r="E64" s="82" t="s">
        <v>35</v>
      </c>
      <c r="F64" s="103">
        <v>31.82</v>
      </c>
      <c r="G64" s="14">
        <f t="shared" si="28"/>
        <v>31820</v>
      </c>
      <c r="H64" s="97">
        <v>15</v>
      </c>
      <c r="I64" s="83" t="s">
        <v>2016</v>
      </c>
      <c r="J64" s="85" t="s">
        <v>1915</v>
      </c>
      <c r="K64" s="135" t="s">
        <v>2031</v>
      </c>
      <c r="L64" s="4"/>
      <c r="M64" s="85" t="s">
        <v>2018</v>
      </c>
      <c r="N64" s="82" t="s">
        <v>1217</v>
      </c>
      <c r="O64" s="4"/>
      <c r="P64" s="4"/>
      <c r="Q64" s="5">
        <v>56300</v>
      </c>
      <c r="R64" s="36"/>
      <c r="S64" s="36"/>
      <c r="T64" s="37"/>
      <c r="U64" s="5">
        <f t="shared" si="29"/>
        <v>56300</v>
      </c>
      <c r="V64" s="5">
        <f t="shared" si="30"/>
        <v>1791466</v>
      </c>
      <c r="W64" s="5">
        <f t="shared" si="31"/>
        <v>322463.88</v>
      </c>
      <c r="X64" s="5"/>
      <c r="Y64" s="5"/>
      <c r="Z64" s="98"/>
      <c r="AA64" s="23">
        <f t="shared" si="32"/>
        <v>0</v>
      </c>
      <c r="AB64" s="97">
        <f t="shared" si="33"/>
        <v>0</v>
      </c>
      <c r="AC64" s="43"/>
      <c r="AD64" s="49"/>
      <c r="AE64" s="5">
        <f t="shared" si="34"/>
        <v>2113929.88</v>
      </c>
      <c r="AF64" s="139">
        <v>687</v>
      </c>
      <c r="AG64" s="139" t="s">
        <v>2270</v>
      </c>
      <c r="AH64" s="103">
        <v>31.82</v>
      </c>
      <c r="AI64" s="12"/>
      <c r="AJ64" s="40"/>
      <c r="AK64" s="40"/>
    </row>
    <row r="65" spans="2:37" s="41" customFormat="1" ht="16.149999999999999" customHeight="1">
      <c r="B65" s="89"/>
      <c r="C65" s="140"/>
      <c r="D65" s="4"/>
      <c r="E65" s="82" t="s">
        <v>35</v>
      </c>
      <c r="F65" s="103">
        <v>31.78</v>
      </c>
      <c r="G65" s="14">
        <f t="shared" si="28"/>
        <v>31780</v>
      </c>
      <c r="H65" s="97">
        <v>15</v>
      </c>
      <c r="I65" s="83" t="s">
        <v>2016</v>
      </c>
      <c r="J65" s="85" t="s">
        <v>1915</v>
      </c>
      <c r="K65" s="135" t="s">
        <v>2032</v>
      </c>
      <c r="L65" s="4"/>
      <c r="M65" s="85" t="s">
        <v>2018</v>
      </c>
      <c r="N65" s="82" t="s">
        <v>1274</v>
      </c>
      <c r="O65" s="4"/>
      <c r="P65" s="4"/>
      <c r="Q65" s="5">
        <v>56300</v>
      </c>
      <c r="R65" s="36"/>
      <c r="S65" s="36"/>
      <c r="T65" s="37"/>
      <c r="U65" s="5">
        <f t="shared" si="29"/>
        <v>56300</v>
      </c>
      <c r="V65" s="5">
        <f t="shared" si="30"/>
        <v>1789214</v>
      </c>
      <c r="W65" s="5">
        <f t="shared" si="31"/>
        <v>322058.51999999996</v>
      </c>
      <c r="X65" s="5"/>
      <c r="Y65" s="5"/>
      <c r="Z65" s="98"/>
      <c r="AA65" s="23">
        <f t="shared" si="32"/>
        <v>0</v>
      </c>
      <c r="AB65" s="97">
        <f t="shared" si="33"/>
        <v>0</v>
      </c>
      <c r="AC65" s="43"/>
      <c r="AD65" s="49"/>
      <c r="AE65" s="5">
        <f t="shared" si="34"/>
        <v>2111272.52</v>
      </c>
      <c r="AF65" s="139">
        <v>688</v>
      </c>
      <c r="AG65" s="139" t="s">
        <v>2270</v>
      </c>
      <c r="AH65" s="103">
        <v>31.78</v>
      </c>
      <c r="AI65" s="12"/>
      <c r="AJ65" s="40"/>
      <c r="AK65" s="40"/>
    </row>
    <row r="66" spans="2:37" s="41" customFormat="1" ht="16.149999999999999" customHeight="1">
      <c r="B66" s="89"/>
      <c r="C66" s="140"/>
      <c r="D66" s="4"/>
      <c r="E66" s="82" t="s">
        <v>35</v>
      </c>
      <c r="F66" s="103">
        <v>31.75</v>
      </c>
      <c r="G66" s="14">
        <f t="shared" si="28"/>
        <v>31750</v>
      </c>
      <c r="H66" s="97">
        <v>15</v>
      </c>
      <c r="I66" s="83" t="s">
        <v>2016</v>
      </c>
      <c r="J66" s="85" t="s">
        <v>1915</v>
      </c>
      <c r="K66" s="135" t="s">
        <v>2033</v>
      </c>
      <c r="L66" s="4"/>
      <c r="M66" s="85" t="s">
        <v>2018</v>
      </c>
      <c r="N66" s="82" t="s">
        <v>1218</v>
      </c>
      <c r="O66" s="4"/>
      <c r="P66" s="4"/>
      <c r="Q66" s="5">
        <v>56300</v>
      </c>
      <c r="R66" s="36"/>
      <c r="S66" s="36"/>
      <c r="T66" s="37"/>
      <c r="U66" s="5">
        <f t="shared" si="29"/>
        <v>56300</v>
      </c>
      <c r="V66" s="5">
        <f t="shared" si="30"/>
        <v>1787525</v>
      </c>
      <c r="W66" s="5">
        <f t="shared" si="31"/>
        <v>321754.5</v>
      </c>
      <c r="X66" s="5"/>
      <c r="Y66" s="5"/>
      <c r="Z66" s="98"/>
      <c r="AA66" s="23">
        <f t="shared" si="32"/>
        <v>0</v>
      </c>
      <c r="AB66" s="97">
        <f t="shared" si="33"/>
        <v>0</v>
      </c>
      <c r="AC66" s="43"/>
      <c r="AD66" s="49"/>
      <c r="AE66" s="5">
        <f t="shared" si="34"/>
        <v>2109279.5</v>
      </c>
      <c r="AF66" s="139">
        <v>689</v>
      </c>
      <c r="AG66" s="139" t="s">
        <v>2270</v>
      </c>
      <c r="AH66" s="103">
        <v>31.75</v>
      </c>
      <c r="AI66" s="12"/>
      <c r="AJ66" s="40"/>
      <c r="AK66" s="40"/>
    </row>
    <row r="67" spans="2:37" s="41" customFormat="1" ht="16.149999999999999" customHeight="1">
      <c r="B67" s="89"/>
      <c r="C67" s="140"/>
      <c r="D67" s="4"/>
      <c r="E67" s="82" t="s">
        <v>35</v>
      </c>
      <c r="F67" s="156">
        <v>32.735999999999997</v>
      </c>
      <c r="G67" s="14">
        <f t="shared" si="28"/>
        <v>32735.999999999996</v>
      </c>
      <c r="H67" s="97">
        <v>16</v>
      </c>
      <c r="I67" s="83" t="s">
        <v>2016</v>
      </c>
      <c r="J67" s="85" t="s">
        <v>1915</v>
      </c>
      <c r="K67" s="135" t="s">
        <v>2062</v>
      </c>
      <c r="L67" s="4"/>
      <c r="M67" s="85" t="s">
        <v>2060</v>
      </c>
      <c r="N67" s="82" t="s">
        <v>2003</v>
      </c>
      <c r="O67" s="4"/>
      <c r="P67" s="4"/>
      <c r="Q67" s="5">
        <v>56300</v>
      </c>
      <c r="R67" s="36"/>
      <c r="S67" s="36"/>
      <c r="T67" s="37"/>
      <c r="U67" s="5">
        <f t="shared" si="29"/>
        <v>56300</v>
      </c>
      <c r="V67" s="5">
        <f t="shared" si="30"/>
        <v>1843036.7999999998</v>
      </c>
      <c r="W67" s="5">
        <f t="shared" si="31"/>
        <v>331746.62399999995</v>
      </c>
      <c r="X67" s="5"/>
      <c r="Y67" s="5"/>
      <c r="Z67" s="98"/>
      <c r="AA67" s="23">
        <f t="shared" si="32"/>
        <v>0</v>
      </c>
      <c r="AB67" s="97">
        <f t="shared" si="33"/>
        <v>0</v>
      </c>
      <c r="AC67" s="43"/>
      <c r="AD67" s="49"/>
      <c r="AE67" s="5">
        <f t="shared" si="34"/>
        <v>2174783.4239999996</v>
      </c>
      <c r="AF67" s="139">
        <v>690</v>
      </c>
      <c r="AG67" s="139" t="s">
        <v>2270</v>
      </c>
      <c r="AH67" s="156">
        <v>32.735999999999997</v>
      </c>
      <c r="AI67" s="12"/>
      <c r="AJ67" s="40"/>
      <c r="AK67" s="40"/>
    </row>
    <row r="68" spans="2:37" s="41" customFormat="1">
      <c r="B68" s="13"/>
      <c r="C68" s="48">
        <v>382.95600000000002</v>
      </c>
      <c r="D68" s="6"/>
      <c r="E68" s="48">
        <f>C68-F68</f>
        <v>0</v>
      </c>
      <c r="F68" s="165">
        <f>SUM(F56:F67)</f>
        <v>382.95600000000002</v>
      </c>
      <c r="G68" s="20">
        <f>SUM(G56:G67)</f>
        <v>382956</v>
      </c>
      <c r="H68" s="21">
        <f>SUM(H56:H67)</f>
        <v>181</v>
      </c>
      <c r="I68" s="2"/>
      <c r="J68" s="7"/>
      <c r="K68" s="7"/>
      <c r="L68" s="7"/>
      <c r="M68" s="2"/>
      <c r="N68" s="6"/>
      <c r="O68" s="6"/>
      <c r="P68" s="6"/>
      <c r="Q68" s="19"/>
      <c r="R68" s="9"/>
      <c r="S68" s="9"/>
      <c r="T68" s="10"/>
      <c r="U68" s="8"/>
      <c r="V68" s="21">
        <f>SUM(V56:V67)</f>
        <v>21560422.800000001</v>
      </c>
      <c r="W68" s="21">
        <f>SUM(W56:W67)</f>
        <v>3880876.1039999994</v>
      </c>
      <c r="X68" s="21">
        <f>SUM(X56:X67)</f>
        <v>0</v>
      </c>
      <c r="Y68" s="21">
        <f>SUM(Y56:Y67)</f>
        <v>0</v>
      </c>
      <c r="Z68" s="99"/>
      <c r="AA68" s="21">
        <f>SUM(AA56:AA67)</f>
        <v>0</v>
      </c>
      <c r="AB68" s="21">
        <f>SUM(AB56:AB67)</f>
        <v>0</v>
      </c>
      <c r="AC68" s="21"/>
      <c r="AD68" s="21">
        <f>SUM(AD56:AD67)</f>
        <v>0</v>
      </c>
      <c r="AE68" s="21">
        <f>SUM(AE56:AE67)</f>
        <v>25441298.903999995</v>
      </c>
      <c r="AF68" s="21"/>
      <c r="AG68" s="42"/>
      <c r="AH68" s="81">
        <f>SUM(AH56:AH67)</f>
        <v>382.95600000000002</v>
      </c>
      <c r="AI68" s="26">
        <f>AH68-F68</f>
        <v>0</v>
      </c>
      <c r="AJ68" s="41">
        <f>AA68/F68</f>
        <v>0</v>
      </c>
      <c r="AK68" s="40"/>
    </row>
    <row r="69" spans="2:37" s="41" customFormat="1" ht="16.149999999999999" customHeight="1">
      <c r="B69" s="138" t="s">
        <v>2090</v>
      </c>
      <c r="C69" s="82" t="s">
        <v>2229</v>
      </c>
      <c r="D69" s="4"/>
      <c r="E69" s="82" t="s">
        <v>2231</v>
      </c>
      <c r="F69" s="103">
        <v>64</v>
      </c>
      <c r="G69" s="14">
        <f t="shared" ref="G69:G71" si="35">+F69*1000</f>
        <v>64000</v>
      </c>
      <c r="H69" s="97">
        <v>24</v>
      </c>
      <c r="I69" s="83" t="s">
        <v>2232</v>
      </c>
      <c r="J69" s="85" t="s">
        <v>2233</v>
      </c>
      <c r="K69" s="135" t="s">
        <v>2268</v>
      </c>
      <c r="L69" s="4"/>
      <c r="M69" s="85" t="s">
        <v>2255</v>
      </c>
      <c r="N69" s="82" t="s">
        <v>2234</v>
      </c>
      <c r="O69" s="4"/>
      <c r="P69" s="4"/>
      <c r="Q69" s="5">
        <v>56000</v>
      </c>
      <c r="R69" s="36">
        <v>4000</v>
      </c>
      <c r="S69" s="36"/>
      <c r="T69" s="37">
        <v>11500</v>
      </c>
      <c r="U69" s="5">
        <f t="shared" ref="U69:U71" si="36">S69+R69+Q69-T69</f>
        <v>48500</v>
      </c>
      <c r="V69" s="5">
        <f t="shared" ref="V69:V71" si="37">F69*U69</f>
        <v>3104000</v>
      </c>
      <c r="W69" s="5"/>
      <c r="X69" s="5">
        <f>V69*9%</f>
        <v>279360</v>
      </c>
      <c r="Y69" s="5">
        <f>V69*9%</f>
        <v>279360</v>
      </c>
      <c r="Z69" s="98">
        <v>2488.39</v>
      </c>
      <c r="AA69" s="23">
        <f t="shared" ref="AA69:AA71" si="38">F69*Z69</f>
        <v>159256.95999999999</v>
      </c>
      <c r="AB69" s="97">
        <f t="shared" ref="AB69:AB71" si="39">AA69*18%</f>
        <v>28666.252799999998</v>
      </c>
      <c r="AC69" s="43"/>
      <c r="AD69" s="49"/>
      <c r="AE69" s="5">
        <f t="shared" ref="AE69:AE71" si="40">+AB69+AA69+Y69+X69+W69+V69-AC69+AD69</f>
        <v>3850643.2127999999</v>
      </c>
      <c r="AF69" s="139" t="s">
        <v>2301</v>
      </c>
      <c r="AG69" s="139" t="s">
        <v>2270</v>
      </c>
      <c r="AH69" s="13">
        <f>32+32</f>
        <v>64</v>
      </c>
      <c r="AI69" s="12"/>
      <c r="AJ69" s="40"/>
      <c r="AK69" s="40"/>
    </row>
    <row r="70" spans="2:37" s="41" customFormat="1" ht="16.149999999999999" customHeight="1">
      <c r="B70" s="89"/>
      <c r="C70" s="82" t="s">
        <v>2230</v>
      </c>
      <c r="D70" s="4"/>
      <c r="E70" s="82" t="s">
        <v>2231</v>
      </c>
      <c r="F70" s="103">
        <v>62.2</v>
      </c>
      <c r="G70" s="14">
        <f t="shared" si="35"/>
        <v>62200</v>
      </c>
      <c r="H70" s="97">
        <v>24</v>
      </c>
      <c r="I70" s="83" t="s">
        <v>2235</v>
      </c>
      <c r="J70" s="85" t="s">
        <v>2233</v>
      </c>
      <c r="K70" s="135" t="s">
        <v>2269</v>
      </c>
      <c r="L70" s="4"/>
      <c r="M70" s="85" t="s">
        <v>2270</v>
      </c>
      <c r="N70" s="82" t="s">
        <v>2237</v>
      </c>
      <c r="O70" s="4"/>
      <c r="P70" s="4"/>
      <c r="Q70" s="5">
        <v>56000</v>
      </c>
      <c r="R70" s="36">
        <v>4000</v>
      </c>
      <c r="S70" s="36"/>
      <c r="T70" s="37">
        <v>11500</v>
      </c>
      <c r="U70" s="5">
        <f t="shared" si="36"/>
        <v>48500</v>
      </c>
      <c r="V70" s="5">
        <f t="shared" si="37"/>
        <v>3016700</v>
      </c>
      <c r="W70" s="5"/>
      <c r="X70" s="5">
        <f t="shared" ref="X70:X71" si="41">V70*9%</f>
        <v>271503</v>
      </c>
      <c r="Y70" s="5">
        <f t="shared" ref="Y70:Y71" si="42">V70*9%</f>
        <v>271503</v>
      </c>
      <c r="Z70" s="98">
        <v>2560.4</v>
      </c>
      <c r="AA70" s="23">
        <f t="shared" si="38"/>
        <v>159256.88</v>
      </c>
      <c r="AB70" s="97">
        <f t="shared" si="39"/>
        <v>28666.238399999998</v>
      </c>
      <c r="AC70" s="43"/>
      <c r="AD70" s="49"/>
      <c r="AE70" s="5">
        <f t="shared" si="40"/>
        <v>3747629.1184</v>
      </c>
      <c r="AF70" s="139" t="s">
        <v>2302</v>
      </c>
      <c r="AG70" s="139" t="s">
        <v>2270</v>
      </c>
      <c r="AH70" s="13">
        <f>31.1+31.1</f>
        <v>62.2</v>
      </c>
      <c r="AI70" s="12"/>
      <c r="AJ70" s="40"/>
      <c r="AK70" s="40"/>
    </row>
    <row r="71" spans="2:37" s="41" customFormat="1" ht="16.149999999999999" customHeight="1">
      <c r="B71" s="89"/>
      <c r="C71" s="140"/>
      <c r="D71" s="4"/>
      <c r="E71" s="82" t="s">
        <v>2231</v>
      </c>
      <c r="F71" s="103">
        <v>62.7</v>
      </c>
      <c r="G71" s="14">
        <f t="shared" si="35"/>
        <v>62700</v>
      </c>
      <c r="H71" s="97">
        <v>24</v>
      </c>
      <c r="I71" s="83" t="s">
        <v>2236</v>
      </c>
      <c r="J71" s="85" t="s">
        <v>2233</v>
      </c>
      <c r="K71" s="135" t="s">
        <v>2271</v>
      </c>
      <c r="L71" s="4"/>
      <c r="M71" s="85" t="s">
        <v>2270</v>
      </c>
      <c r="N71" s="82" t="s">
        <v>2238</v>
      </c>
      <c r="O71" s="4"/>
      <c r="P71" s="4"/>
      <c r="Q71" s="5">
        <v>56000</v>
      </c>
      <c r="R71" s="36">
        <v>4000</v>
      </c>
      <c r="S71" s="36"/>
      <c r="T71" s="37">
        <v>11500</v>
      </c>
      <c r="U71" s="5">
        <f t="shared" si="36"/>
        <v>48500</v>
      </c>
      <c r="V71" s="5">
        <f t="shared" si="37"/>
        <v>3040950</v>
      </c>
      <c r="W71" s="5"/>
      <c r="X71" s="5">
        <f t="shared" si="41"/>
        <v>273685.5</v>
      </c>
      <c r="Y71" s="5">
        <f t="shared" si="42"/>
        <v>273685.5</v>
      </c>
      <c r="Z71" s="98">
        <v>2539.98</v>
      </c>
      <c r="AA71" s="23">
        <f t="shared" si="38"/>
        <v>159256.74600000001</v>
      </c>
      <c r="AB71" s="97">
        <f t="shared" si="39"/>
        <v>28666.21428</v>
      </c>
      <c r="AC71" s="43"/>
      <c r="AD71" s="49"/>
      <c r="AE71" s="5">
        <f t="shared" si="40"/>
        <v>3776243.9602800002</v>
      </c>
      <c r="AF71" s="139" t="s">
        <v>2303</v>
      </c>
      <c r="AG71" s="139" t="s">
        <v>2270</v>
      </c>
      <c r="AH71" s="103">
        <f>31.35+31.35</f>
        <v>62.7</v>
      </c>
      <c r="AI71" s="12"/>
      <c r="AJ71" s="40"/>
      <c r="AK71" s="40"/>
    </row>
    <row r="72" spans="2:37" s="41" customFormat="1">
      <c r="B72" s="13"/>
      <c r="C72" s="48">
        <v>188.9</v>
      </c>
      <c r="D72" s="6"/>
      <c r="E72" s="48">
        <f>C72-F72</f>
        <v>0</v>
      </c>
      <c r="F72" s="165">
        <f>SUM(F69:F71)</f>
        <v>188.9</v>
      </c>
      <c r="G72" s="20">
        <f>SUM(G69:G71)</f>
        <v>188900</v>
      </c>
      <c r="H72" s="21">
        <f>SUM(H69:H71)</f>
        <v>72</v>
      </c>
      <c r="I72" s="2"/>
      <c r="J72" s="7"/>
      <c r="K72" s="7"/>
      <c r="L72" s="7"/>
      <c r="M72" s="2"/>
      <c r="N72" s="6"/>
      <c r="O72" s="6"/>
      <c r="P72" s="6"/>
      <c r="Q72" s="19"/>
      <c r="R72" s="9"/>
      <c r="S72" s="9"/>
      <c r="T72" s="10"/>
      <c r="U72" s="8"/>
      <c r="V72" s="21">
        <f>SUM(V69:V71)</f>
        <v>9161650</v>
      </c>
      <c r="W72" s="21">
        <f>SUM(W69:W71)</f>
        <v>0</v>
      </c>
      <c r="X72" s="21">
        <f>SUM(X69:X71)</f>
        <v>824548.5</v>
      </c>
      <c r="Y72" s="21">
        <f>SUM(Y69:Y71)</f>
        <v>824548.5</v>
      </c>
      <c r="Z72" s="99"/>
      <c r="AA72" s="21">
        <f>SUM(AA69:AA71)</f>
        <v>477770.58600000001</v>
      </c>
      <c r="AB72" s="21">
        <f>SUM(AB69:AB71)</f>
        <v>85998.705480000004</v>
      </c>
      <c r="AC72" s="21"/>
      <c r="AD72" s="21">
        <f>SUM(AD69:AD71)</f>
        <v>0</v>
      </c>
      <c r="AE72" s="21">
        <f>SUM(AE69:AE71)</f>
        <v>11374516.291480001</v>
      </c>
      <c r="AF72" s="21"/>
      <c r="AG72" s="42"/>
      <c r="AH72" s="81">
        <f>SUM(AH69:AH71)</f>
        <v>188.9</v>
      </c>
      <c r="AI72" s="26">
        <f>AH72-F72</f>
        <v>0</v>
      </c>
      <c r="AJ72" s="41">
        <f>AA72/F72</f>
        <v>2529.224912652197</v>
      </c>
      <c r="AK72" s="40"/>
    </row>
    <row r="73" spans="2:37" s="41" customFormat="1" ht="16.149999999999999" customHeight="1">
      <c r="B73" s="138" t="s">
        <v>2090</v>
      </c>
      <c r="C73" s="82" t="s">
        <v>2229</v>
      </c>
      <c r="D73" s="4"/>
      <c r="E73" s="82" t="s">
        <v>2231</v>
      </c>
      <c r="F73" s="103">
        <v>61.4</v>
      </c>
      <c r="G73" s="14">
        <f t="shared" ref="G73:G75" si="43">+F73*1000</f>
        <v>61400</v>
      </c>
      <c r="H73" s="97">
        <v>24</v>
      </c>
      <c r="I73" s="83" t="s">
        <v>2239</v>
      </c>
      <c r="J73" s="85" t="s">
        <v>2233</v>
      </c>
      <c r="K73" s="135" t="s">
        <v>2272</v>
      </c>
      <c r="L73" s="4"/>
      <c r="M73" s="85" t="s">
        <v>2259</v>
      </c>
      <c r="N73" s="82" t="s">
        <v>2240</v>
      </c>
      <c r="O73" s="4"/>
      <c r="P73" s="4"/>
      <c r="Q73" s="5">
        <v>56000</v>
      </c>
      <c r="R73" s="36">
        <v>4000</v>
      </c>
      <c r="S73" s="36"/>
      <c r="T73" s="37">
        <v>11500</v>
      </c>
      <c r="U73" s="5">
        <f t="shared" ref="U73:U75" si="44">S73+R73+Q73-T73</f>
        <v>48500</v>
      </c>
      <c r="V73" s="5">
        <f t="shared" ref="V73:V75" si="45">F73*U73</f>
        <v>2977900</v>
      </c>
      <c r="W73" s="5"/>
      <c r="X73" s="5">
        <f>V73*9%</f>
        <v>268011</v>
      </c>
      <c r="Y73" s="5">
        <f>V73*9%</f>
        <v>268011</v>
      </c>
      <c r="Z73" s="98">
        <v>2593.7600000000002</v>
      </c>
      <c r="AA73" s="23">
        <f t="shared" ref="AA73:AA75" si="46">F73*Z73</f>
        <v>159256.864</v>
      </c>
      <c r="AB73" s="97">
        <f t="shared" ref="AB73:AB75" si="47">AA73*18%</f>
        <v>28666.235519999998</v>
      </c>
      <c r="AC73" s="43"/>
      <c r="AD73" s="49"/>
      <c r="AE73" s="5">
        <f t="shared" ref="AE73:AE75" si="48">+AB73+AA73+Y73+X73+W73+V73-AC73+AD73</f>
        <v>3701845.0995199997</v>
      </c>
      <c r="AF73" s="139" t="s">
        <v>2307</v>
      </c>
      <c r="AG73" s="139" t="s">
        <v>2259</v>
      </c>
      <c r="AH73" s="103">
        <f>30.7+30.7</f>
        <v>61.4</v>
      </c>
      <c r="AI73" s="12"/>
      <c r="AJ73" s="40"/>
      <c r="AK73" s="40"/>
    </row>
    <row r="74" spans="2:37" s="41" customFormat="1" ht="16.149999999999999" customHeight="1">
      <c r="B74" s="89"/>
      <c r="C74" s="82" t="s">
        <v>2241</v>
      </c>
      <c r="D74" s="4"/>
      <c r="E74" s="82" t="s">
        <v>2231</v>
      </c>
      <c r="F74" s="103">
        <v>63.5</v>
      </c>
      <c r="G74" s="14">
        <f t="shared" si="43"/>
        <v>63500</v>
      </c>
      <c r="H74" s="97">
        <v>24</v>
      </c>
      <c r="I74" s="83" t="s">
        <v>2242</v>
      </c>
      <c r="J74" s="85" t="s">
        <v>2233</v>
      </c>
      <c r="K74" s="135" t="s">
        <v>2273</v>
      </c>
      <c r="L74" s="4"/>
      <c r="M74" s="85" t="s">
        <v>2264</v>
      </c>
      <c r="N74" s="82" t="s">
        <v>2243</v>
      </c>
      <c r="O74" s="4"/>
      <c r="P74" s="4"/>
      <c r="Q74" s="5">
        <v>56000</v>
      </c>
      <c r="R74" s="36">
        <v>4000</v>
      </c>
      <c r="S74" s="36"/>
      <c r="T74" s="37">
        <v>11500</v>
      </c>
      <c r="U74" s="5">
        <f t="shared" si="44"/>
        <v>48500</v>
      </c>
      <c r="V74" s="5">
        <f t="shared" si="45"/>
        <v>3079750</v>
      </c>
      <c r="W74" s="5"/>
      <c r="X74" s="5">
        <f t="shared" ref="X74:X75" si="49">V74*9%</f>
        <v>277177.5</v>
      </c>
      <c r="Y74" s="5">
        <f t="shared" ref="Y74:Y75" si="50">V74*9%</f>
        <v>277177.5</v>
      </c>
      <c r="Z74" s="98">
        <v>2507.98</v>
      </c>
      <c r="AA74" s="23">
        <f t="shared" si="46"/>
        <v>159256.73000000001</v>
      </c>
      <c r="AB74" s="97">
        <f t="shared" si="47"/>
        <v>28666.2114</v>
      </c>
      <c r="AC74" s="43"/>
      <c r="AD74" s="49"/>
      <c r="AE74" s="5">
        <f t="shared" si="48"/>
        <v>3822027.9413999999</v>
      </c>
      <c r="AF74" s="139" t="s">
        <v>2304</v>
      </c>
      <c r="AG74" s="139" t="s">
        <v>2264</v>
      </c>
      <c r="AH74" s="13">
        <f>31.75+31.75</f>
        <v>63.5</v>
      </c>
      <c r="AI74" s="12"/>
      <c r="AJ74" s="40"/>
      <c r="AK74" s="40"/>
    </row>
    <row r="75" spans="2:37" s="41" customFormat="1" ht="16.149999999999999" customHeight="1">
      <c r="B75" s="89"/>
      <c r="C75" s="140"/>
      <c r="D75" s="4"/>
      <c r="E75" s="82"/>
      <c r="F75" s="103"/>
      <c r="G75" s="14">
        <f t="shared" si="43"/>
        <v>0</v>
      </c>
      <c r="H75" s="97"/>
      <c r="I75" s="83"/>
      <c r="J75" s="85"/>
      <c r="K75" s="135"/>
      <c r="L75" s="4"/>
      <c r="M75" s="85"/>
      <c r="N75" s="82"/>
      <c r="O75" s="4"/>
      <c r="P75" s="4"/>
      <c r="Q75" s="5">
        <v>56000</v>
      </c>
      <c r="R75" s="36">
        <v>4000</v>
      </c>
      <c r="S75" s="36"/>
      <c r="T75" s="37">
        <v>11500</v>
      </c>
      <c r="U75" s="5">
        <f t="shared" si="44"/>
        <v>48500</v>
      </c>
      <c r="V75" s="5">
        <f t="shared" si="45"/>
        <v>0</v>
      </c>
      <c r="W75" s="5"/>
      <c r="X75" s="5">
        <f t="shared" si="49"/>
        <v>0</v>
      </c>
      <c r="Y75" s="5">
        <f t="shared" si="50"/>
        <v>0</v>
      </c>
      <c r="Z75" s="98"/>
      <c r="AA75" s="23">
        <f t="shared" si="46"/>
        <v>0</v>
      </c>
      <c r="AB75" s="97">
        <f t="shared" si="47"/>
        <v>0</v>
      </c>
      <c r="AC75" s="43"/>
      <c r="AD75" s="49"/>
      <c r="AE75" s="5">
        <f t="shared" si="48"/>
        <v>0</v>
      </c>
      <c r="AF75" s="139"/>
      <c r="AG75" s="139"/>
      <c r="AH75" s="13"/>
      <c r="AI75" s="12"/>
      <c r="AJ75" s="40"/>
      <c r="AK75" s="40"/>
    </row>
    <row r="76" spans="2:37" s="41" customFormat="1">
      <c r="B76" s="13"/>
      <c r="C76" s="48">
        <v>124.9</v>
      </c>
      <c r="D76" s="6"/>
      <c r="E76" s="48">
        <f>C76-F76</f>
        <v>0</v>
      </c>
      <c r="F76" s="165">
        <f>SUM(F73:F75)</f>
        <v>124.9</v>
      </c>
      <c r="G76" s="20">
        <f>SUM(G73:G75)</f>
        <v>124900</v>
      </c>
      <c r="H76" s="21">
        <f>SUM(H73:H75)</f>
        <v>48</v>
      </c>
      <c r="I76" s="2"/>
      <c r="J76" s="7"/>
      <c r="K76" s="7"/>
      <c r="L76" s="7"/>
      <c r="M76" s="2"/>
      <c r="N76" s="6"/>
      <c r="O76" s="6"/>
      <c r="P76" s="6"/>
      <c r="Q76" s="19"/>
      <c r="R76" s="9"/>
      <c r="S76" s="9"/>
      <c r="T76" s="10"/>
      <c r="U76" s="8"/>
      <c r="V76" s="21">
        <f>SUM(V73:V75)</f>
        <v>6057650</v>
      </c>
      <c r="W76" s="21">
        <f>SUM(W73:W75)</f>
        <v>0</v>
      </c>
      <c r="X76" s="21">
        <f>SUM(X73:X75)</f>
        <v>545188.5</v>
      </c>
      <c r="Y76" s="21">
        <f>SUM(Y73:Y75)</f>
        <v>545188.5</v>
      </c>
      <c r="Z76" s="99"/>
      <c r="AA76" s="21">
        <f>SUM(AA73:AA75)</f>
        <v>318513.59400000004</v>
      </c>
      <c r="AB76" s="21">
        <f>SUM(AB73:AB75)</f>
        <v>57332.446920000002</v>
      </c>
      <c r="AC76" s="21"/>
      <c r="AD76" s="21">
        <f>SUM(AD73:AD75)</f>
        <v>0</v>
      </c>
      <c r="AE76" s="21">
        <f>SUM(AE73:AE75)</f>
        <v>7523873.0409199996</v>
      </c>
      <c r="AF76" s="21"/>
      <c r="AG76" s="42"/>
      <c r="AH76" s="81">
        <f>SUM(AH73:AH75)</f>
        <v>124.9</v>
      </c>
      <c r="AI76" s="26">
        <f>AH76-F76</f>
        <v>0</v>
      </c>
      <c r="AJ76" s="41">
        <f>AA76/F76</f>
        <v>2550.1488710968779</v>
      </c>
      <c r="AK76" s="40"/>
    </row>
    <row r="77" spans="2:37" s="41" customFormat="1" ht="16.149999999999999" customHeight="1">
      <c r="B77" s="138" t="s">
        <v>2244</v>
      </c>
      <c r="C77" s="82" t="s">
        <v>2229</v>
      </c>
      <c r="D77" s="4"/>
      <c r="E77" s="82" t="s">
        <v>35</v>
      </c>
      <c r="F77" s="103">
        <v>65.540000000000006</v>
      </c>
      <c r="G77" s="14">
        <f t="shared" ref="G77:G80" si="51">+F77*1000</f>
        <v>65540</v>
      </c>
      <c r="H77" s="97">
        <v>31</v>
      </c>
      <c r="I77" s="83" t="s">
        <v>2246</v>
      </c>
      <c r="J77" s="85" t="s">
        <v>2233</v>
      </c>
      <c r="K77" s="135" t="s">
        <v>2263</v>
      </c>
      <c r="L77" s="4"/>
      <c r="M77" s="85" t="s">
        <v>2264</v>
      </c>
      <c r="N77" s="82" t="s">
        <v>2250</v>
      </c>
      <c r="O77" s="4"/>
      <c r="P77" s="4"/>
      <c r="Q77" s="5">
        <v>56000</v>
      </c>
      <c r="R77" s="36">
        <v>4000</v>
      </c>
      <c r="S77" s="36"/>
      <c r="T77" s="37">
        <v>11500</v>
      </c>
      <c r="U77" s="5">
        <f t="shared" ref="U77:U80" si="52">S77+R77+Q77-T77</f>
        <v>48500</v>
      </c>
      <c r="V77" s="5">
        <f t="shared" ref="V77:V80" si="53">F77*U77</f>
        <v>3178690.0000000005</v>
      </c>
      <c r="W77" s="5"/>
      <c r="X77" s="5">
        <f>V77*9%</f>
        <v>286082.10000000003</v>
      </c>
      <c r="Y77" s="5">
        <f>V77*9%</f>
        <v>286082.10000000003</v>
      </c>
      <c r="Z77" s="98">
        <v>2468.31</v>
      </c>
      <c r="AA77" s="23">
        <f t="shared" ref="AA77:AA80" si="54">F77*Z77</f>
        <v>161773.0374</v>
      </c>
      <c r="AB77" s="97">
        <f t="shared" ref="AB77:AB80" si="55">AA77*18%</f>
        <v>29119.146731999997</v>
      </c>
      <c r="AC77" s="43"/>
      <c r="AD77" s="49"/>
      <c r="AE77" s="5">
        <f t="shared" ref="AE77:AE80" si="56">+AB77+AA77+Y77+X77+W77+V77-AC77+AD77</f>
        <v>3941746.3841320006</v>
      </c>
      <c r="AF77" s="139" t="s">
        <v>2309</v>
      </c>
      <c r="AG77" s="139" t="s">
        <v>2264</v>
      </c>
      <c r="AH77" s="103">
        <f>33.827+31.713</f>
        <v>65.539999999999992</v>
      </c>
      <c r="AI77" s="12"/>
      <c r="AJ77" s="40"/>
      <c r="AK77" s="40"/>
    </row>
    <row r="78" spans="2:37" s="41" customFormat="1" ht="16.149999999999999" customHeight="1">
      <c r="B78" s="89"/>
      <c r="C78" s="82" t="s">
        <v>2245</v>
      </c>
      <c r="D78" s="4"/>
      <c r="E78" s="82" t="s">
        <v>35</v>
      </c>
      <c r="F78" s="103">
        <v>65.22</v>
      </c>
      <c r="G78" s="14">
        <f t="shared" si="51"/>
        <v>65220</v>
      </c>
      <c r="H78" s="97">
        <v>31</v>
      </c>
      <c r="I78" s="83" t="s">
        <v>2247</v>
      </c>
      <c r="J78" s="85" t="s">
        <v>2233</v>
      </c>
      <c r="K78" s="135" t="s">
        <v>2265</v>
      </c>
      <c r="L78" s="4"/>
      <c r="M78" s="85" t="s">
        <v>2264</v>
      </c>
      <c r="N78" s="82" t="s">
        <v>2251</v>
      </c>
      <c r="O78" s="4"/>
      <c r="P78" s="4"/>
      <c r="Q78" s="5">
        <v>56000</v>
      </c>
      <c r="R78" s="36">
        <v>4000</v>
      </c>
      <c r="S78" s="36"/>
      <c r="T78" s="37">
        <v>11500</v>
      </c>
      <c r="U78" s="5">
        <f t="shared" si="52"/>
        <v>48500</v>
      </c>
      <c r="V78" s="5">
        <f t="shared" si="53"/>
        <v>3163170</v>
      </c>
      <c r="W78" s="5"/>
      <c r="X78" s="5">
        <f t="shared" ref="X78:X80" si="57">V78*9%</f>
        <v>284685.3</v>
      </c>
      <c r="Y78" s="5">
        <f t="shared" ref="Y78:Y80" si="58">V78*9%</f>
        <v>284685.3</v>
      </c>
      <c r="Z78" s="98">
        <v>2480.42</v>
      </c>
      <c r="AA78" s="23">
        <f t="shared" si="54"/>
        <v>161772.99239999999</v>
      </c>
      <c r="AB78" s="97">
        <f t="shared" si="55"/>
        <v>29119.138631999998</v>
      </c>
      <c r="AC78" s="43"/>
      <c r="AD78" s="49"/>
      <c r="AE78" s="5">
        <f t="shared" si="56"/>
        <v>3923432.7310319999</v>
      </c>
      <c r="AF78" s="139" t="s">
        <v>2306</v>
      </c>
      <c r="AG78" s="139" t="s">
        <v>2264</v>
      </c>
      <c r="AH78" s="103">
        <f>33.662+31.558</f>
        <v>65.22</v>
      </c>
      <c r="AI78" s="12"/>
      <c r="AJ78" s="40"/>
      <c r="AK78" s="40"/>
    </row>
    <row r="79" spans="2:37" s="41" customFormat="1" ht="16.149999999999999" customHeight="1">
      <c r="B79" s="89"/>
      <c r="C79" s="140"/>
      <c r="D79" s="4"/>
      <c r="E79" s="82" t="s">
        <v>35</v>
      </c>
      <c r="F79" s="103">
        <v>65.040000000000006</v>
      </c>
      <c r="G79" s="14">
        <f t="shared" si="51"/>
        <v>65040.000000000007</v>
      </c>
      <c r="H79" s="97">
        <v>30</v>
      </c>
      <c r="I79" s="83" t="s">
        <v>2248</v>
      </c>
      <c r="J79" s="85" t="s">
        <v>2233</v>
      </c>
      <c r="K79" s="135" t="s">
        <v>2266</v>
      </c>
      <c r="L79" s="4"/>
      <c r="M79" s="85" t="s">
        <v>2264</v>
      </c>
      <c r="N79" s="82" t="s">
        <v>2252</v>
      </c>
      <c r="O79" s="4"/>
      <c r="P79" s="4"/>
      <c r="Q79" s="5">
        <v>56000</v>
      </c>
      <c r="R79" s="36">
        <v>4000</v>
      </c>
      <c r="S79" s="36"/>
      <c r="T79" s="37">
        <v>11500</v>
      </c>
      <c r="U79" s="5">
        <f t="shared" si="52"/>
        <v>48500</v>
      </c>
      <c r="V79" s="5">
        <f t="shared" si="53"/>
        <v>3154440.0000000005</v>
      </c>
      <c r="W79" s="5"/>
      <c r="X79" s="5">
        <f t="shared" si="57"/>
        <v>283899.60000000003</v>
      </c>
      <c r="Y79" s="5">
        <f t="shared" si="58"/>
        <v>283899.60000000003</v>
      </c>
      <c r="Z79" s="98">
        <v>2487.2800000000002</v>
      </c>
      <c r="AA79" s="23">
        <f t="shared" si="54"/>
        <v>161772.69120000003</v>
      </c>
      <c r="AB79" s="97">
        <f t="shared" si="55"/>
        <v>29119.084416000005</v>
      </c>
      <c r="AC79" s="43"/>
      <c r="AD79" s="49"/>
      <c r="AE79" s="5">
        <f t="shared" si="56"/>
        <v>3913130.9756160006</v>
      </c>
      <c r="AF79" s="139" t="s">
        <v>2308</v>
      </c>
      <c r="AG79" s="139" t="s">
        <v>2264</v>
      </c>
      <c r="AH79" s="103">
        <f>32.52+32.52</f>
        <v>65.040000000000006</v>
      </c>
      <c r="AI79" s="12"/>
      <c r="AJ79" s="40"/>
      <c r="AK79" s="40"/>
    </row>
    <row r="80" spans="2:37" s="41" customFormat="1" ht="16.149999999999999" customHeight="1">
      <c r="B80" s="89"/>
      <c r="C80" s="140"/>
      <c r="D80" s="4"/>
      <c r="E80" s="82" t="s">
        <v>35</v>
      </c>
      <c r="F80" s="103">
        <v>65.099999999999994</v>
      </c>
      <c r="G80" s="14">
        <f t="shared" si="51"/>
        <v>65099.999999999993</v>
      </c>
      <c r="H80" s="97">
        <v>31</v>
      </c>
      <c r="I80" s="83" t="s">
        <v>2249</v>
      </c>
      <c r="J80" s="85" t="s">
        <v>2233</v>
      </c>
      <c r="K80" s="135" t="s">
        <v>2267</v>
      </c>
      <c r="L80" s="4"/>
      <c r="M80" s="85" t="s">
        <v>2264</v>
      </c>
      <c r="N80" s="82" t="s">
        <v>2253</v>
      </c>
      <c r="O80" s="4"/>
      <c r="P80" s="4"/>
      <c r="Q80" s="5">
        <v>56000</v>
      </c>
      <c r="R80" s="36">
        <v>4000</v>
      </c>
      <c r="S80" s="36"/>
      <c r="T80" s="37">
        <v>11500</v>
      </c>
      <c r="U80" s="5">
        <f t="shared" si="52"/>
        <v>48500</v>
      </c>
      <c r="V80" s="5">
        <f t="shared" si="53"/>
        <v>3157349.9999999995</v>
      </c>
      <c r="W80" s="5"/>
      <c r="X80" s="5">
        <f t="shared" si="57"/>
        <v>284161.49999999994</v>
      </c>
      <c r="Y80" s="5">
        <f t="shared" si="58"/>
        <v>284161.49999999994</v>
      </c>
      <c r="Z80" s="98">
        <v>2484.9899999999998</v>
      </c>
      <c r="AA80" s="23">
        <f t="shared" si="54"/>
        <v>161772.84899999996</v>
      </c>
      <c r="AB80" s="97">
        <f t="shared" si="55"/>
        <v>29119.112819999991</v>
      </c>
      <c r="AC80" s="43"/>
      <c r="AD80" s="49"/>
      <c r="AE80" s="5">
        <f t="shared" si="56"/>
        <v>3916564.9618199994</v>
      </c>
      <c r="AF80" s="139" t="s">
        <v>2305</v>
      </c>
      <c r="AG80" s="139" t="s">
        <v>2264</v>
      </c>
      <c r="AH80" s="103">
        <f>33.6+31.5</f>
        <v>65.099999999999994</v>
      </c>
      <c r="AI80" s="12"/>
      <c r="AJ80" s="40"/>
      <c r="AK80" s="40"/>
    </row>
    <row r="81" spans="2:37" s="41" customFormat="1">
      <c r="B81" s="13"/>
      <c r="C81" s="48">
        <v>260.89999999999998</v>
      </c>
      <c r="D81" s="6"/>
      <c r="E81" s="48">
        <f>C81-F81</f>
        <v>0</v>
      </c>
      <c r="F81" s="165">
        <f>SUM(F77:F80)</f>
        <v>260.89999999999998</v>
      </c>
      <c r="G81" s="20">
        <f>SUM(G77:G80)</f>
        <v>260900</v>
      </c>
      <c r="H81" s="21">
        <f>SUM(H77:H80)</f>
        <v>123</v>
      </c>
      <c r="I81" s="2"/>
      <c r="J81" s="7"/>
      <c r="K81" s="7"/>
      <c r="L81" s="7"/>
      <c r="M81" s="2"/>
      <c r="N81" s="6"/>
      <c r="O81" s="6"/>
      <c r="P81" s="6"/>
      <c r="Q81" s="19"/>
      <c r="R81" s="9"/>
      <c r="S81" s="9"/>
      <c r="T81" s="10"/>
      <c r="U81" s="8"/>
      <c r="V81" s="21">
        <f>SUM(V77:V80)</f>
        <v>12653650</v>
      </c>
      <c r="W81" s="21">
        <f>SUM(W77:W80)</f>
        <v>0</v>
      </c>
      <c r="X81" s="21">
        <f>SUM(X77:X80)</f>
        <v>1138828.5</v>
      </c>
      <c r="Y81" s="21">
        <f>SUM(Y77:Y80)</f>
        <v>1138828.5</v>
      </c>
      <c r="Z81" s="99"/>
      <c r="AA81" s="21">
        <f>SUM(AA77:AA80)</f>
        <v>647091.56999999995</v>
      </c>
      <c r="AB81" s="21">
        <f>SUM(AB77:AB80)</f>
        <v>116476.4826</v>
      </c>
      <c r="AC81" s="21"/>
      <c r="AD81" s="21">
        <f>SUM(AD77:AD80)</f>
        <v>0</v>
      </c>
      <c r="AE81" s="21">
        <f>SUM(AE77:AE80)</f>
        <v>15694875.0526</v>
      </c>
      <c r="AF81" s="21"/>
      <c r="AG81" s="42"/>
      <c r="AH81" s="81">
        <f>SUM(AH77:AH80)</f>
        <v>260.89999999999998</v>
      </c>
      <c r="AI81" s="26">
        <f>AH81-F81</f>
        <v>0</v>
      </c>
      <c r="AJ81" s="41">
        <f>AA81/F81</f>
        <v>2480.2283250287464</v>
      </c>
      <c r="AK81" s="40"/>
    </row>
    <row r="82" spans="2:37" s="41" customFormat="1" ht="16.149999999999999" customHeight="1">
      <c r="B82" s="138" t="s">
        <v>2244</v>
      </c>
      <c r="C82" s="82" t="s">
        <v>2229</v>
      </c>
      <c r="D82" s="4"/>
      <c r="E82" s="108" t="s">
        <v>35</v>
      </c>
      <c r="F82" s="103">
        <v>32.46</v>
      </c>
      <c r="G82" s="14">
        <f t="shared" ref="G82:G87" si="59">+F82*1000</f>
        <v>32460</v>
      </c>
      <c r="H82" s="97">
        <v>16</v>
      </c>
      <c r="I82" s="166" t="s">
        <v>2314</v>
      </c>
      <c r="J82" s="85" t="s">
        <v>2319</v>
      </c>
      <c r="K82" s="135">
        <v>1285</v>
      </c>
      <c r="L82" s="4"/>
      <c r="M82" s="169" t="s">
        <v>2321</v>
      </c>
      <c r="N82" s="170" t="s">
        <v>2327</v>
      </c>
      <c r="O82" s="4"/>
      <c r="P82" s="4"/>
      <c r="Q82" s="5">
        <v>56000</v>
      </c>
      <c r="R82" s="36">
        <v>4500</v>
      </c>
      <c r="S82" s="36"/>
      <c r="T82" s="37">
        <v>11500</v>
      </c>
      <c r="U82" s="5">
        <f t="shared" ref="U82:U87" si="60">S82+R82+Q82-T82</f>
        <v>49000</v>
      </c>
      <c r="V82" s="5">
        <f t="shared" ref="V82:V87" si="61">F82*U82</f>
        <v>1590540</v>
      </c>
      <c r="W82" s="5"/>
      <c r="X82" s="5">
        <f t="shared" ref="X82:X87" si="62">V82*9%</f>
        <v>143148.6</v>
      </c>
      <c r="Y82" s="5">
        <f t="shared" ref="Y82:Y87" si="63">V82*9%</f>
        <v>143148.6</v>
      </c>
      <c r="Z82" s="98">
        <v>2275.27</v>
      </c>
      <c r="AA82" s="23">
        <f t="shared" ref="AA82:AA87" si="64">F82*Z82</f>
        <v>73855.264200000005</v>
      </c>
      <c r="AB82" s="97">
        <f t="shared" ref="AB82:AB87" si="65">AA82*18%</f>
        <v>13293.947556000001</v>
      </c>
      <c r="AC82" s="43"/>
      <c r="AD82" s="49"/>
      <c r="AE82" s="5">
        <f t="shared" ref="AE82:AE87" si="66">+AB82+AA82+Y82+X82+W82+V82-AC82+AD82</f>
        <v>1963986.411756</v>
      </c>
      <c r="AF82" s="139">
        <v>717</v>
      </c>
      <c r="AG82" s="139" t="s">
        <v>2333</v>
      </c>
      <c r="AH82" s="103">
        <v>32.46</v>
      </c>
      <c r="AI82" s="12"/>
      <c r="AJ82" s="40"/>
      <c r="AK82" s="40"/>
    </row>
    <row r="83" spans="2:37" s="41" customFormat="1" ht="16.149999999999999" customHeight="1">
      <c r="B83" s="89"/>
      <c r="C83" s="82" t="s">
        <v>2310</v>
      </c>
      <c r="D83" s="4"/>
      <c r="E83" s="108" t="s">
        <v>35</v>
      </c>
      <c r="F83" s="103">
        <v>32.46</v>
      </c>
      <c r="G83" s="14">
        <f t="shared" si="59"/>
        <v>32460</v>
      </c>
      <c r="H83" s="97">
        <v>15</v>
      </c>
      <c r="I83" s="166" t="s">
        <v>2314</v>
      </c>
      <c r="J83" s="85" t="s">
        <v>2319</v>
      </c>
      <c r="K83" s="135">
        <v>1286</v>
      </c>
      <c r="L83" s="4"/>
      <c r="M83" s="169" t="s">
        <v>2321</v>
      </c>
      <c r="N83" s="170" t="s">
        <v>2327</v>
      </c>
      <c r="O83" s="4"/>
      <c r="P83" s="4"/>
      <c r="Q83" s="5">
        <v>56000</v>
      </c>
      <c r="R83" s="36">
        <v>4500</v>
      </c>
      <c r="S83" s="36"/>
      <c r="T83" s="37">
        <v>11500</v>
      </c>
      <c r="U83" s="5">
        <f t="shared" si="60"/>
        <v>49000</v>
      </c>
      <c r="V83" s="5">
        <f t="shared" si="61"/>
        <v>1590540</v>
      </c>
      <c r="W83" s="5"/>
      <c r="X83" s="5">
        <f t="shared" si="62"/>
        <v>143148.6</v>
      </c>
      <c r="Y83" s="5">
        <f t="shared" si="63"/>
        <v>143148.6</v>
      </c>
      <c r="Z83" s="98">
        <v>2275.27</v>
      </c>
      <c r="AA83" s="23">
        <f t="shared" si="64"/>
        <v>73855.264200000005</v>
      </c>
      <c r="AB83" s="97">
        <f t="shared" si="65"/>
        <v>13293.947556000001</v>
      </c>
      <c r="AC83" s="43"/>
      <c r="AD83" s="49"/>
      <c r="AE83" s="5">
        <f t="shared" si="66"/>
        <v>1963986.411756</v>
      </c>
      <c r="AF83" s="139">
        <v>718</v>
      </c>
      <c r="AG83" s="139" t="s">
        <v>2333</v>
      </c>
      <c r="AH83" s="103">
        <v>32.46</v>
      </c>
      <c r="AI83" s="12"/>
      <c r="AJ83" s="40"/>
      <c r="AK83" s="40"/>
    </row>
    <row r="84" spans="2:37" s="41" customFormat="1" ht="16.149999999999999" customHeight="1">
      <c r="B84" s="89"/>
      <c r="C84" s="140"/>
      <c r="D84" s="4"/>
      <c r="E84" s="82" t="s">
        <v>35</v>
      </c>
      <c r="F84" s="103">
        <v>32.44</v>
      </c>
      <c r="G84" s="14">
        <f t="shared" si="59"/>
        <v>32439.999999999996</v>
      </c>
      <c r="H84" s="97">
        <v>16</v>
      </c>
      <c r="I84" s="166" t="s">
        <v>2315</v>
      </c>
      <c r="J84" s="85" t="s">
        <v>2319</v>
      </c>
      <c r="K84" s="135">
        <v>1307</v>
      </c>
      <c r="L84" s="4"/>
      <c r="M84" s="169" t="s">
        <v>2322</v>
      </c>
      <c r="N84" s="170" t="s">
        <v>2328</v>
      </c>
      <c r="O84" s="4"/>
      <c r="P84" s="4"/>
      <c r="Q84" s="5">
        <v>56000</v>
      </c>
      <c r="R84" s="36">
        <v>4500</v>
      </c>
      <c r="S84" s="36"/>
      <c r="T84" s="37">
        <v>11500</v>
      </c>
      <c r="U84" s="5">
        <f t="shared" si="60"/>
        <v>49000</v>
      </c>
      <c r="V84" s="5">
        <f t="shared" si="61"/>
        <v>1589560</v>
      </c>
      <c r="W84" s="5"/>
      <c r="X84" s="5">
        <f t="shared" si="62"/>
        <v>143060.4</v>
      </c>
      <c r="Y84" s="5">
        <f t="shared" si="63"/>
        <v>143060.4</v>
      </c>
      <c r="Z84" s="98">
        <v>2276.67</v>
      </c>
      <c r="AA84" s="23">
        <f t="shared" si="64"/>
        <v>73855.174799999993</v>
      </c>
      <c r="AB84" s="97">
        <f t="shared" si="65"/>
        <v>13293.931463999998</v>
      </c>
      <c r="AC84" s="43"/>
      <c r="AD84" s="49"/>
      <c r="AE84" s="5">
        <f t="shared" si="66"/>
        <v>1962829.9062640001</v>
      </c>
      <c r="AF84" s="139">
        <v>719</v>
      </c>
      <c r="AG84" s="139" t="s">
        <v>2333</v>
      </c>
      <c r="AH84" s="103">
        <v>32.44</v>
      </c>
      <c r="AI84" s="12"/>
      <c r="AJ84" s="40"/>
      <c r="AK84" s="40"/>
    </row>
    <row r="85" spans="2:37" s="41" customFormat="1" ht="16.149999999999999" customHeight="1">
      <c r="B85" s="89"/>
      <c r="C85" s="140"/>
      <c r="D85" s="4"/>
      <c r="E85" s="82" t="s">
        <v>35</v>
      </c>
      <c r="F85" s="103">
        <v>32.44</v>
      </c>
      <c r="G85" s="14">
        <f t="shared" si="59"/>
        <v>32439.999999999996</v>
      </c>
      <c r="H85" s="97">
        <v>15</v>
      </c>
      <c r="I85" s="166" t="s">
        <v>2315</v>
      </c>
      <c r="J85" s="85" t="s">
        <v>2319</v>
      </c>
      <c r="K85" s="135">
        <v>1308</v>
      </c>
      <c r="L85" s="4"/>
      <c r="M85" s="169" t="s">
        <v>2322</v>
      </c>
      <c r="N85" s="170" t="s">
        <v>2328</v>
      </c>
      <c r="O85" s="4"/>
      <c r="P85" s="4"/>
      <c r="Q85" s="5">
        <v>56000</v>
      </c>
      <c r="R85" s="36">
        <v>4500</v>
      </c>
      <c r="S85" s="36"/>
      <c r="T85" s="37">
        <v>11500</v>
      </c>
      <c r="U85" s="5">
        <f t="shared" si="60"/>
        <v>49000</v>
      </c>
      <c r="V85" s="5">
        <f t="shared" si="61"/>
        <v>1589560</v>
      </c>
      <c r="W85" s="5"/>
      <c r="X85" s="5">
        <f t="shared" si="62"/>
        <v>143060.4</v>
      </c>
      <c r="Y85" s="5">
        <f t="shared" si="63"/>
        <v>143060.4</v>
      </c>
      <c r="Z85" s="98">
        <v>2276.67</v>
      </c>
      <c r="AA85" s="23">
        <f t="shared" si="64"/>
        <v>73855.174799999993</v>
      </c>
      <c r="AB85" s="97">
        <f t="shared" si="65"/>
        <v>13293.931463999998</v>
      </c>
      <c r="AC85" s="43"/>
      <c r="AD85" s="49"/>
      <c r="AE85" s="5">
        <f t="shared" si="66"/>
        <v>1962829.9062640001</v>
      </c>
      <c r="AF85" s="139">
        <v>720</v>
      </c>
      <c r="AG85" s="139" t="s">
        <v>2333</v>
      </c>
      <c r="AH85" s="103">
        <v>32.44</v>
      </c>
      <c r="AI85" s="12"/>
      <c r="AJ85" s="40"/>
      <c r="AK85" s="40"/>
    </row>
    <row r="86" spans="2:37" s="41" customFormat="1" ht="16.149999999999999" customHeight="1">
      <c r="B86" s="89"/>
      <c r="C86" s="140"/>
      <c r="D86" s="4"/>
      <c r="E86" s="82" t="s">
        <v>35</v>
      </c>
      <c r="F86" s="103">
        <v>32.520000000000003</v>
      </c>
      <c r="G86" s="14">
        <f t="shared" si="59"/>
        <v>32520.000000000004</v>
      </c>
      <c r="H86" s="97">
        <v>15</v>
      </c>
      <c r="I86" s="166" t="s">
        <v>2316</v>
      </c>
      <c r="J86" s="85" t="s">
        <v>2319</v>
      </c>
      <c r="K86" s="135">
        <v>1292</v>
      </c>
      <c r="L86" s="4"/>
      <c r="M86" s="169" t="s">
        <v>2321</v>
      </c>
      <c r="N86" s="170" t="s">
        <v>2329</v>
      </c>
      <c r="O86" s="4"/>
      <c r="P86" s="4"/>
      <c r="Q86" s="5">
        <v>56000</v>
      </c>
      <c r="R86" s="36">
        <v>4500</v>
      </c>
      <c r="S86" s="36"/>
      <c r="T86" s="37">
        <v>11500</v>
      </c>
      <c r="U86" s="5">
        <f t="shared" si="60"/>
        <v>49000</v>
      </c>
      <c r="V86" s="5">
        <f t="shared" si="61"/>
        <v>1593480.0000000002</v>
      </c>
      <c r="W86" s="5"/>
      <c r="X86" s="5">
        <f t="shared" si="62"/>
        <v>143413.20000000001</v>
      </c>
      <c r="Y86" s="5">
        <f t="shared" si="63"/>
        <v>143413.20000000001</v>
      </c>
      <c r="Z86" s="98">
        <v>2271.0700000000002</v>
      </c>
      <c r="AA86" s="23">
        <f t="shared" si="64"/>
        <v>73855.196400000015</v>
      </c>
      <c r="AB86" s="97">
        <f t="shared" si="65"/>
        <v>13293.935352000002</v>
      </c>
      <c r="AC86" s="43"/>
      <c r="AD86" s="49"/>
      <c r="AE86" s="5">
        <f t="shared" si="66"/>
        <v>1967455.5317520003</v>
      </c>
      <c r="AF86" s="139">
        <v>721</v>
      </c>
      <c r="AG86" s="139" t="s">
        <v>2333</v>
      </c>
      <c r="AH86" s="103">
        <v>32.520000000000003</v>
      </c>
      <c r="AI86" s="12"/>
      <c r="AJ86" s="40"/>
      <c r="AK86" s="40"/>
    </row>
    <row r="87" spans="2:37" s="41" customFormat="1" ht="16.149999999999999" customHeight="1">
      <c r="B87" s="89"/>
      <c r="C87" s="140"/>
      <c r="D87" s="4"/>
      <c r="E87" s="82" t="s">
        <v>35</v>
      </c>
      <c r="F87" s="103">
        <v>32.520000000000003</v>
      </c>
      <c r="G87" s="14">
        <f t="shared" si="59"/>
        <v>32520.000000000004</v>
      </c>
      <c r="H87" s="97">
        <v>16</v>
      </c>
      <c r="I87" s="166" t="s">
        <v>2316</v>
      </c>
      <c r="J87" s="85" t="s">
        <v>2319</v>
      </c>
      <c r="K87" s="135">
        <v>1293</v>
      </c>
      <c r="L87" s="4"/>
      <c r="M87" s="169" t="s">
        <v>2321</v>
      </c>
      <c r="N87" s="170" t="s">
        <v>2329</v>
      </c>
      <c r="O87" s="4"/>
      <c r="P87" s="4"/>
      <c r="Q87" s="5">
        <v>56000</v>
      </c>
      <c r="R87" s="36">
        <v>4500</v>
      </c>
      <c r="S87" s="36"/>
      <c r="T87" s="37">
        <v>11500</v>
      </c>
      <c r="U87" s="5">
        <f t="shared" si="60"/>
        <v>49000</v>
      </c>
      <c r="V87" s="5">
        <f t="shared" si="61"/>
        <v>1593480.0000000002</v>
      </c>
      <c r="W87" s="5"/>
      <c r="X87" s="5">
        <f t="shared" si="62"/>
        <v>143413.20000000001</v>
      </c>
      <c r="Y87" s="5">
        <f t="shared" si="63"/>
        <v>143413.20000000001</v>
      </c>
      <c r="Z87" s="98">
        <v>2271.0700000000002</v>
      </c>
      <c r="AA87" s="23">
        <f t="shared" si="64"/>
        <v>73855.196400000015</v>
      </c>
      <c r="AB87" s="97">
        <f t="shared" si="65"/>
        <v>13293.935352000002</v>
      </c>
      <c r="AC87" s="43"/>
      <c r="AD87" s="49"/>
      <c r="AE87" s="5">
        <f t="shared" si="66"/>
        <v>1967455.5317520003</v>
      </c>
      <c r="AF87" s="139">
        <v>722</v>
      </c>
      <c r="AG87" s="139" t="s">
        <v>2333</v>
      </c>
      <c r="AH87" s="103">
        <v>32.520000000000003</v>
      </c>
      <c r="AI87" s="12"/>
      <c r="AJ87" s="40"/>
      <c r="AK87" s="40"/>
    </row>
    <row r="88" spans="2:37" s="41" customFormat="1">
      <c r="B88" s="13"/>
      <c r="C88" s="48"/>
      <c r="D88" s="6"/>
      <c r="E88" s="48"/>
      <c r="F88" s="165">
        <f>SUM(F82:F87)</f>
        <v>194.84000000000003</v>
      </c>
      <c r="G88" s="20">
        <f>SUM(G82:G87)</f>
        <v>194840</v>
      </c>
      <c r="H88" s="21">
        <f>SUM(H82:H87)</f>
        <v>93</v>
      </c>
      <c r="I88" s="2"/>
      <c r="J88" s="7"/>
      <c r="K88" s="7"/>
      <c r="L88" s="7"/>
      <c r="M88" s="2"/>
      <c r="N88" s="6"/>
      <c r="O88" s="6"/>
      <c r="P88" s="6"/>
      <c r="Q88" s="19"/>
      <c r="R88" s="9"/>
      <c r="S88" s="9"/>
      <c r="T88" s="10"/>
      <c r="U88" s="8"/>
      <c r="V88" s="21">
        <f>SUM(V82:V87)</f>
        <v>9547160</v>
      </c>
      <c r="W88" s="21">
        <f>SUM(W82:W87)</f>
        <v>0</v>
      </c>
      <c r="X88" s="21">
        <f>SUM(X82:X87)</f>
        <v>859244.39999999991</v>
      </c>
      <c r="Y88" s="21">
        <f>SUM(Y82:Y87)</f>
        <v>859244.39999999991</v>
      </c>
      <c r="Z88" s="99"/>
      <c r="AA88" s="21">
        <f>SUM(AA82:AA87)</f>
        <v>443131.2708</v>
      </c>
      <c r="AB88" s="21">
        <f>SUM(AB82:AB87)</f>
        <v>79763.628744000001</v>
      </c>
      <c r="AC88" s="21"/>
      <c r="AD88" s="21">
        <f>SUM(AD82:AD87)</f>
        <v>0</v>
      </c>
      <c r="AE88" s="21">
        <f>SUM(AE82:AE87)</f>
        <v>11788543.699544</v>
      </c>
      <c r="AF88" s="21"/>
      <c r="AG88" s="42"/>
      <c r="AH88" s="81">
        <f>SUM(AH82:AH87)</f>
        <v>194.84000000000003</v>
      </c>
      <c r="AI88" s="26">
        <f>AH88-F88</f>
        <v>0</v>
      </c>
      <c r="AJ88" s="41">
        <f>AA88/F88</f>
        <v>2274.3341757339354</v>
      </c>
      <c r="AK88" s="40"/>
    </row>
    <row r="89" spans="2:37" s="41" customFormat="1" ht="16.149999999999999" customHeight="1">
      <c r="B89" s="138" t="s">
        <v>2244</v>
      </c>
      <c r="C89" s="82" t="s">
        <v>2229</v>
      </c>
      <c r="D89" s="4"/>
      <c r="E89" s="82" t="s">
        <v>35</v>
      </c>
      <c r="F89" s="103">
        <v>31.67</v>
      </c>
      <c r="G89" s="14">
        <f>+F89*1000</f>
        <v>31670</v>
      </c>
      <c r="H89" s="97">
        <v>15</v>
      </c>
      <c r="I89" s="166" t="s">
        <v>2311</v>
      </c>
      <c r="J89" s="85" t="s">
        <v>2319</v>
      </c>
      <c r="K89" s="135">
        <v>1279</v>
      </c>
      <c r="L89" s="4"/>
      <c r="M89" s="169" t="s">
        <v>2320</v>
      </c>
      <c r="N89" s="170" t="s">
        <v>2324</v>
      </c>
      <c r="O89" s="4"/>
      <c r="P89" s="4"/>
      <c r="Q89" s="5">
        <v>56000</v>
      </c>
      <c r="R89" s="36">
        <v>4000</v>
      </c>
      <c r="S89" s="36"/>
      <c r="T89" s="37">
        <v>11500</v>
      </c>
      <c r="U89" s="5">
        <f t="shared" ref="U89:U98" si="67">S89+R89+Q89-T89</f>
        <v>48500</v>
      </c>
      <c r="V89" s="5">
        <f t="shared" ref="V89:V98" si="68">F89*U89</f>
        <v>1535995</v>
      </c>
      <c r="W89" s="5"/>
      <c r="X89" s="5">
        <f>V89*9%</f>
        <v>138239.54999999999</v>
      </c>
      <c r="Y89" s="5">
        <f>V89*9%</f>
        <v>138239.54999999999</v>
      </c>
      <c r="Z89" s="98">
        <v>2332.02</v>
      </c>
      <c r="AA89" s="23">
        <f t="shared" ref="AA89:AA98" si="69">F89*Z89</f>
        <v>73855.073400000008</v>
      </c>
      <c r="AB89" s="97">
        <f t="shared" ref="AB89:AB98" si="70">AA89*18%</f>
        <v>13293.913212000001</v>
      </c>
      <c r="AC89" s="43"/>
      <c r="AD89" s="49"/>
      <c r="AE89" s="5">
        <f t="shared" ref="AE89:AE98" si="71">+AB89+AA89+Y89+X89+W89+V89-AC89+AD89</f>
        <v>1899623.0866120001</v>
      </c>
      <c r="AF89" s="139">
        <v>711</v>
      </c>
      <c r="AG89" s="139" t="s">
        <v>2333</v>
      </c>
      <c r="AH89" s="103">
        <v>31.67</v>
      </c>
      <c r="AI89" s="12"/>
      <c r="AJ89" s="40"/>
      <c r="AK89" s="40"/>
    </row>
    <row r="90" spans="2:37" s="41" customFormat="1" ht="16.149999999999999" customHeight="1">
      <c r="B90" s="89"/>
      <c r="C90" s="82" t="s">
        <v>2310</v>
      </c>
      <c r="D90" s="4"/>
      <c r="E90" s="82" t="s">
        <v>35</v>
      </c>
      <c r="F90" s="103">
        <v>31.67</v>
      </c>
      <c r="G90" s="14">
        <f t="shared" ref="G90:G98" si="72">+F90*1000</f>
        <v>31670</v>
      </c>
      <c r="H90" s="97">
        <v>15</v>
      </c>
      <c r="I90" s="166" t="s">
        <v>2311</v>
      </c>
      <c r="J90" s="85" t="s">
        <v>2319</v>
      </c>
      <c r="K90" s="135">
        <v>1284</v>
      </c>
      <c r="L90" s="4"/>
      <c r="M90" s="169" t="s">
        <v>2321</v>
      </c>
      <c r="N90" s="170" t="s">
        <v>2324</v>
      </c>
      <c r="O90" s="4"/>
      <c r="P90" s="4"/>
      <c r="Q90" s="5">
        <v>56000</v>
      </c>
      <c r="R90" s="36">
        <v>4000</v>
      </c>
      <c r="S90" s="36"/>
      <c r="T90" s="37">
        <v>11500</v>
      </c>
      <c r="U90" s="5">
        <f t="shared" si="67"/>
        <v>48500</v>
      </c>
      <c r="V90" s="5">
        <f t="shared" si="68"/>
        <v>1535995</v>
      </c>
      <c r="W90" s="5"/>
      <c r="X90" s="5">
        <f t="shared" ref="X90:X97" si="73">V90*9%</f>
        <v>138239.54999999999</v>
      </c>
      <c r="Y90" s="5">
        <f t="shared" ref="Y90:Y98" si="74">V90*9%</f>
        <v>138239.54999999999</v>
      </c>
      <c r="Z90" s="98">
        <v>2332.02</v>
      </c>
      <c r="AA90" s="23">
        <f t="shared" si="69"/>
        <v>73855.073400000008</v>
      </c>
      <c r="AB90" s="97">
        <f t="shared" si="70"/>
        <v>13293.913212000001</v>
      </c>
      <c r="AC90" s="43"/>
      <c r="AD90" s="49"/>
      <c r="AE90" s="5">
        <f t="shared" si="71"/>
        <v>1899623.0866120001</v>
      </c>
      <c r="AF90" s="139">
        <v>712</v>
      </c>
      <c r="AG90" s="139" t="s">
        <v>2333</v>
      </c>
      <c r="AH90" s="103">
        <v>31.67</v>
      </c>
      <c r="AI90" s="12"/>
      <c r="AJ90" s="40"/>
      <c r="AK90" s="40"/>
    </row>
    <row r="91" spans="2:37" s="41" customFormat="1" ht="16.149999999999999" customHeight="1">
      <c r="B91" s="89"/>
      <c r="C91" s="140"/>
      <c r="D91" s="4"/>
      <c r="E91" s="82" t="s">
        <v>35</v>
      </c>
      <c r="F91" s="103">
        <v>32.67</v>
      </c>
      <c r="G91" s="14">
        <f t="shared" si="72"/>
        <v>32670</v>
      </c>
      <c r="H91" s="97">
        <v>16</v>
      </c>
      <c r="I91" s="166" t="s">
        <v>2312</v>
      </c>
      <c r="J91" s="85" t="s">
        <v>2319</v>
      </c>
      <c r="K91" s="135">
        <v>1309</v>
      </c>
      <c r="L91" s="4"/>
      <c r="M91" s="169" t="s">
        <v>2322</v>
      </c>
      <c r="N91" s="170" t="s">
        <v>2325</v>
      </c>
      <c r="O91" s="4"/>
      <c r="P91" s="4"/>
      <c r="Q91" s="5">
        <v>56000</v>
      </c>
      <c r="R91" s="36">
        <v>4000</v>
      </c>
      <c r="S91" s="36"/>
      <c r="T91" s="37">
        <v>11500</v>
      </c>
      <c r="U91" s="5">
        <f t="shared" si="67"/>
        <v>48500</v>
      </c>
      <c r="V91" s="5">
        <f t="shared" si="68"/>
        <v>1584495</v>
      </c>
      <c r="W91" s="5"/>
      <c r="X91" s="5">
        <f t="shared" si="73"/>
        <v>142604.54999999999</v>
      </c>
      <c r="Y91" s="5">
        <f t="shared" si="74"/>
        <v>142604.54999999999</v>
      </c>
      <c r="Z91" s="98">
        <v>2260.64</v>
      </c>
      <c r="AA91" s="23">
        <f t="shared" si="69"/>
        <v>73855.108800000002</v>
      </c>
      <c r="AB91" s="97">
        <f t="shared" si="70"/>
        <v>13293.919583999999</v>
      </c>
      <c r="AC91" s="43"/>
      <c r="AD91" s="49"/>
      <c r="AE91" s="5">
        <f t="shared" si="71"/>
        <v>1956853.1283839999</v>
      </c>
      <c r="AF91" s="139">
        <v>713</v>
      </c>
      <c r="AG91" s="139" t="s">
        <v>2333</v>
      </c>
      <c r="AH91" s="103">
        <v>32.67</v>
      </c>
      <c r="AI91" s="12"/>
      <c r="AJ91" s="40"/>
      <c r="AK91" s="40"/>
    </row>
    <row r="92" spans="2:37" s="41" customFormat="1" ht="16.149999999999999" customHeight="1">
      <c r="B92" s="89"/>
      <c r="C92" s="140"/>
      <c r="D92" s="4"/>
      <c r="E92" s="82" t="s">
        <v>35</v>
      </c>
      <c r="F92" s="103">
        <v>32.67</v>
      </c>
      <c r="G92" s="14">
        <f t="shared" si="72"/>
        <v>32670</v>
      </c>
      <c r="H92" s="97">
        <v>15</v>
      </c>
      <c r="I92" s="166" t="s">
        <v>2312</v>
      </c>
      <c r="J92" s="85" t="s">
        <v>2319</v>
      </c>
      <c r="K92" s="135">
        <v>1310</v>
      </c>
      <c r="L92" s="4"/>
      <c r="M92" s="169" t="s">
        <v>2322</v>
      </c>
      <c r="N92" s="170" t="s">
        <v>2325</v>
      </c>
      <c r="O92" s="4"/>
      <c r="P92" s="4"/>
      <c r="Q92" s="5">
        <v>56000</v>
      </c>
      <c r="R92" s="36">
        <v>4000</v>
      </c>
      <c r="S92" s="36"/>
      <c r="T92" s="37">
        <v>11500</v>
      </c>
      <c r="U92" s="5">
        <f t="shared" si="67"/>
        <v>48500</v>
      </c>
      <c r="V92" s="5">
        <f t="shared" si="68"/>
        <v>1584495</v>
      </c>
      <c r="W92" s="5"/>
      <c r="X92" s="5">
        <f t="shared" si="73"/>
        <v>142604.54999999999</v>
      </c>
      <c r="Y92" s="5">
        <f t="shared" si="74"/>
        <v>142604.54999999999</v>
      </c>
      <c r="Z92" s="98">
        <v>2260.64</v>
      </c>
      <c r="AA92" s="23">
        <f t="shared" si="69"/>
        <v>73855.108800000002</v>
      </c>
      <c r="AB92" s="97">
        <f t="shared" si="70"/>
        <v>13293.919583999999</v>
      </c>
      <c r="AC92" s="43"/>
      <c r="AD92" s="49"/>
      <c r="AE92" s="5">
        <f t="shared" si="71"/>
        <v>1956853.1283839999</v>
      </c>
      <c r="AF92" s="139">
        <v>714</v>
      </c>
      <c r="AG92" s="139" t="s">
        <v>2333</v>
      </c>
      <c r="AH92" s="103">
        <v>32.67</v>
      </c>
      <c r="AI92" s="12"/>
      <c r="AJ92" s="40"/>
      <c r="AK92" s="40"/>
    </row>
    <row r="93" spans="2:37" s="41" customFormat="1" ht="16.149999999999999" customHeight="1">
      <c r="B93" s="89"/>
      <c r="C93" s="140"/>
      <c r="D93" s="4"/>
      <c r="E93" s="82" t="s">
        <v>35</v>
      </c>
      <c r="F93" s="103">
        <v>32.630000000000003</v>
      </c>
      <c r="G93" s="14">
        <f t="shared" si="72"/>
        <v>32630.000000000004</v>
      </c>
      <c r="H93" s="97">
        <v>15</v>
      </c>
      <c r="I93" s="166" t="s">
        <v>2313</v>
      </c>
      <c r="J93" s="85" t="s">
        <v>2319</v>
      </c>
      <c r="K93" s="135">
        <v>1276</v>
      </c>
      <c r="L93" s="4"/>
      <c r="M93" s="169" t="s">
        <v>2320</v>
      </c>
      <c r="N93" s="170" t="s">
        <v>2326</v>
      </c>
      <c r="O93" s="4"/>
      <c r="P93" s="4"/>
      <c r="Q93" s="5">
        <v>56000</v>
      </c>
      <c r="R93" s="36">
        <v>4000</v>
      </c>
      <c r="S93" s="36"/>
      <c r="T93" s="37">
        <v>11500</v>
      </c>
      <c r="U93" s="5">
        <f t="shared" si="67"/>
        <v>48500</v>
      </c>
      <c r="V93" s="5">
        <f t="shared" si="68"/>
        <v>1582555.0000000002</v>
      </c>
      <c r="W93" s="5"/>
      <c r="X93" s="5">
        <f t="shared" si="73"/>
        <v>142429.95000000001</v>
      </c>
      <c r="Y93" s="5">
        <f t="shared" si="74"/>
        <v>142429.95000000001</v>
      </c>
      <c r="Z93" s="98">
        <v>2263.41</v>
      </c>
      <c r="AA93" s="23">
        <f t="shared" si="69"/>
        <v>73855.068299999999</v>
      </c>
      <c r="AB93" s="97">
        <f t="shared" si="70"/>
        <v>13293.912294</v>
      </c>
      <c r="AC93" s="43"/>
      <c r="AD93" s="49"/>
      <c r="AE93" s="5">
        <f t="shared" si="71"/>
        <v>1954563.8805940002</v>
      </c>
      <c r="AF93" s="139">
        <v>716</v>
      </c>
      <c r="AG93" s="139" t="s">
        <v>2333</v>
      </c>
      <c r="AH93" s="103">
        <v>32.630000000000003</v>
      </c>
      <c r="AI93" s="12"/>
      <c r="AJ93" s="40"/>
      <c r="AK93" s="40"/>
    </row>
    <row r="94" spans="2:37" s="41" customFormat="1" ht="16.149999999999999" customHeight="1">
      <c r="B94" s="89"/>
      <c r="C94" s="140"/>
      <c r="D94" s="4"/>
      <c r="E94" s="82" t="s">
        <v>35</v>
      </c>
      <c r="F94" s="103">
        <v>32.630000000000003</v>
      </c>
      <c r="G94" s="14">
        <f t="shared" si="72"/>
        <v>32630.000000000004</v>
      </c>
      <c r="H94" s="97">
        <v>16</v>
      </c>
      <c r="I94" s="166" t="s">
        <v>2313</v>
      </c>
      <c r="J94" s="85" t="s">
        <v>2319</v>
      </c>
      <c r="K94" s="135">
        <v>1277</v>
      </c>
      <c r="L94" s="4"/>
      <c r="M94" s="169" t="s">
        <v>2320</v>
      </c>
      <c r="N94" s="170" t="s">
        <v>2326</v>
      </c>
      <c r="O94" s="4"/>
      <c r="P94" s="4"/>
      <c r="Q94" s="5">
        <v>56000</v>
      </c>
      <c r="R94" s="36">
        <v>4000</v>
      </c>
      <c r="S94" s="36"/>
      <c r="T94" s="37">
        <v>11500</v>
      </c>
      <c r="U94" s="5">
        <f t="shared" si="67"/>
        <v>48500</v>
      </c>
      <c r="V94" s="5">
        <f t="shared" si="68"/>
        <v>1582555.0000000002</v>
      </c>
      <c r="W94" s="5"/>
      <c r="X94" s="5">
        <f t="shared" si="73"/>
        <v>142429.95000000001</v>
      </c>
      <c r="Y94" s="5">
        <f t="shared" si="74"/>
        <v>142429.95000000001</v>
      </c>
      <c r="Z94" s="98">
        <v>2263.41</v>
      </c>
      <c r="AA94" s="23">
        <f t="shared" si="69"/>
        <v>73855.068299999999</v>
      </c>
      <c r="AB94" s="97">
        <f t="shared" si="70"/>
        <v>13293.912294</v>
      </c>
      <c r="AC94" s="43"/>
      <c r="AD94" s="49"/>
      <c r="AE94" s="5">
        <f t="shared" si="71"/>
        <v>1954563.8805940002</v>
      </c>
      <c r="AF94" s="139">
        <v>715</v>
      </c>
      <c r="AG94" s="139" t="s">
        <v>2333</v>
      </c>
      <c r="AH94" s="103">
        <v>32.630000000000003</v>
      </c>
      <c r="AI94" s="12"/>
      <c r="AJ94" s="40"/>
      <c r="AK94" s="40"/>
    </row>
    <row r="95" spans="2:37" s="41" customFormat="1" ht="16.149999999999999" customHeight="1">
      <c r="B95" s="89"/>
      <c r="C95" s="140"/>
      <c r="D95" s="4"/>
      <c r="E95" s="82" t="s">
        <v>35</v>
      </c>
      <c r="F95" s="103">
        <v>32.659999999999997</v>
      </c>
      <c r="G95" s="14">
        <f t="shared" si="72"/>
        <v>32659.999999999996</v>
      </c>
      <c r="H95" s="97">
        <v>15</v>
      </c>
      <c r="I95" s="166" t="s">
        <v>2317</v>
      </c>
      <c r="J95" s="85" t="s">
        <v>2319</v>
      </c>
      <c r="K95" s="135">
        <v>1320</v>
      </c>
      <c r="L95" s="4"/>
      <c r="M95" s="169" t="s">
        <v>2322</v>
      </c>
      <c r="N95" s="171" t="s">
        <v>2330</v>
      </c>
      <c r="O95" s="4"/>
      <c r="P95" s="4"/>
      <c r="Q95" s="5">
        <v>56000</v>
      </c>
      <c r="R95" s="36">
        <v>4000</v>
      </c>
      <c r="S95" s="36"/>
      <c r="T95" s="37">
        <v>11500</v>
      </c>
      <c r="U95" s="5">
        <f t="shared" si="67"/>
        <v>48500</v>
      </c>
      <c r="V95" s="5">
        <f t="shared" si="68"/>
        <v>1584009.9999999998</v>
      </c>
      <c r="W95" s="5"/>
      <c r="X95" s="5">
        <f t="shared" si="73"/>
        <v>142560.89999999997</v>
      </c>
      <c r="Y95" s="5">
        <f t="shared" si="74"/>
        <v>142560.89999999997</v>
      </c>
      <c r="Z95" s="98">
        <v>2261.33</v>
      </c>
      <c r="AA95" s="23">
        <f t="shared" si="69"/>
        <v>73855.037799999991</v>
      </c>
      <c r="AB95" s="97">
        <f t="shared" si="70"/>
        <v>13293.906803999998</v>
      </c>
      <c r="AC95" s="43"/>
      <c r="AD95" s="49"/>
      <c r="AE95" s="5">
        <f t="shared" si="71"/>
        <v>1956280.7446039997</v>
      </c>
      <c r="AF95" s="139">
        <v>723</v>
      </c>
      <c r="AG95" s="139" t="s">
        <v>2333</v>
      </c>
      <c r="AH95" s="103">
        <v>32.659999999999997</v>
      </c>
      <c r="AI95" s="12"/>
      <c r="AJ95" s="40"/>
      <c r="AK95" s="40"/>
    </row>
    <row r="96" spans="2:37" s="41" customFormat="1" ht="16.149999999999999" customHeight="1">
      <c r="B96" s="89"/>
      <c r="C96" s="140"/>
      <c r="D96" s="4"/>
      <c r="E96" s="82" t="s">
        <v>35</v>
      </c>
      <c r="F96" s="103">
        <v>32.659999999999997</v>
      </c>
      <c r="G96" s="14">
        <f t="shared" si="72"/>
        <v>32659.999999999996</v>
      </c>
      <c r="H96" s="97">
        <v>16</v>
      </c>
      <c r="I96" s="166" t="s">
        <v>2317</v>
      </c>
      <c r="J96" s="85" t="s">
        <v>2319</v>
      </c>
      <c r="K96" s="135">
        <v>1319</v>
      </c>
      <c r="L96" s="4"/>
      <c r="M96" s="169" t="s">
        <v>2323</v>
      </c>
      <c r="N96" s="171" t="s">
        <v>2330</v>
      </c>
      <c r="O96" s="4"/>
      <c r="P96" s="4"/>
      <c r="Q96" s="5">
        <v>56000</v>
      </c>
      <c r="R96" s="36">
        <v>4000</v>
      </c>
      <c r="S96" s="36"/>
      <c r="T96" s="37">
        <v>11500</v>
      </c>
      <c r="U96" s="5">
        <f t="shared" si="67"/>
        <v>48500</v>
      </c>
      <c r="V96" s="5">
        <f t="shared" si="68"/>
        <v>1584009.9999999998</v>
      </c>
      <c r="W96" s="5"/>
      <c r="X96" s="5">
        <f t="shared" si="73"/>
        <v>142560.89999999997</v>
      </c>
      <c r="Y96" s="5">
        <f t="shared" si="74"/>
        <v>142560.89999999997</v>
      </c>
      <c r="Z96" s="98">
        <v>2261.33</v>
      </c>
      <c r="AA96" s="23">
        <f t="shared" si="69"/>
        <v>73855.037799999991</v>
      </c>
      <c r="AB96" s="97">
        <f t="shared" si="70"/>
        <v>13293.906803999998</v>
      </c>
      <c r="AC96" s="43"/>
      <c r="AD96" s="49"/>
      <c r="AE96" s="5">
        <f t="shared" si="71"/>
        <v>1956280.7446039997</v>
      </c>
      <c r="AF96" s="139">
        <v>724</v>
      </c>
      <c r="AG96" s="139" t="s">
        <v>2333</v>
      </c>
      <c r="AH96" s="103">
        <v>32.659999999999997</v>
      </c>
      <c r="AI96" s="12"/>
      <c r="AJ96" s="40"/>
      <c r="AK96" s="40"/>
    </row>
    <row r="97" spans="2:37" s="41" customFormat="1" ht="16.149999999999999" customHeight="1">
      <c r="B97" s="89"/>
      <c r="C97" s="140"/>
      <c r="D97" s="4"/>
      <c r="E97" s="82" t="s">
        <v>35</v>
      </c>
      <c r="F97" s="103">
        <v>31.712903225806453</v>
      </c>
      <c r="G97" s="14">
        <f t="shared" si="72"/>
        <v>31712.903225806454</v>
      </c>
      <c r="H97" s="97">
        <v>15</v>
      </c>
      <c r="I97" s="166" t="s">
        <v>2318</v>
      </c>
      <c r="J97" s="85" t="s">
        <v>2319</v>
      </c>
      <c r="K97" s="135">
        <v>1271</v>
      </c>
      <c r="L97" s="4"/>
      <c r="M97" s="169" t="s">
        <v>2320</v>
      </c>
      <c r="N97" s="171" t="s">
        <v>2331</v>
      </c>
      <c r="O97" s="4"/>
      <c r="P97" s="4"/>
      <c r="Q97" s="5">
        <v>56000</v>
      </c>
      <c r="R97" s="36">
        <v>4000</v>
      </c>
      <c r="S97" s="36"/>
      <c r="T97" s="37">
        <v>11500</v>
      </c>
      <c r="U97" s="5">
        <f t="shared" si="67"/>
        <v>48500</v>
      </c>
      <c r="V97" s="5">
        <f t="shared" si="68"/>
        <v>1538075.8064516131</v>
      </c>
      <c r="W97" s="5"/>
      <c r="X97" s="5">
        <f t="shared" si="73"/>
        <v>138426.82258064518</v>
      </c>
      <c r="Y97" s="5">
        <f t="shared" si="74"/>
        <v>138426.82258064518</v>
      </c>
      <c r="Z97" s="98">
        <v>2253.7399999999998</v>
      </c>
      <c r="AA97" s="23">
        <f t="shared" si="69"/>
        <v>71472.638516129024</v>
      </c>
      <c r="AB97" s="97">
        <f t="shared" si="70"/>
        <v>12865.074932903224</v>
      </c>
      <c r="AC97" s="43"/>
      <c r="AD97" s="49"/>
      <c r="AE97" s="5">
        <f t="shared" si="71"/>
        <v>1899267.1650619358</v>
      </c>
      <c r="AF97" s="139">
        <v>709</v>
      </c>
      <c r="AG97" s="139" t="s">
        <v>2320</v>
      </c>
      <c r="AH97" s="103">
        <v>31.712903225806453</v>
      </c>
      <c r="AI97" s="12"/>
      <c r="AJ97" s="40"/>
      <c r="AK97" s="40"/>
    </row>
    <row r="98" spans="2:37" s="41" customFormat="1" ht="16.149999999999999" customHeight="1">
      <c r="B98" s="89"/>
      <c r="C98" s="140"/>
      <c r="D98" s="4"/>
      <c r="E98" s="82" t="s">
        <v>35</v>
      </c>
      <c r="F98" s="103">
        <v>33.827096774193549</v>
      </c>
      <c r="G98" s="14">
        <f t="shared" si="72"/>
        <v>33827.096774193553</v>
      </c>
      <c r="H98" s="97">
        <v>16</v>
      </c>
      <c r="I98" s="166" t="s">
        <v>2318</v>
      </c>
      <c r="J98" s="85" t="s">
        <v>2319</v>
      </c>
      <c r="K98" s="135">
        <v>1272</v>
      </c>
      <c r="L98" s="4"/>
      <c r="M98" s="169" t="s">
        <v>2320</v>
      </c>
      <c r="N98" s="171" t="s">
        <v>2331</v>
      </c>
      <c r="O98" s="4"/>
      <c r="P98" s="4"/>
      <c r="Q98" s="5">
        <v>56000</v>
      </c>
      <c r="R98" s="36">
        <v>4000</v>
      </c>
      <c r="S98" s="36"/>
      <c r="T98" s="37">
        <v>11500</v>
      </c>
      <c r="U98" s="5">
        <f t="shared" si="67"/>
        <v>48500</v>
      </c>
      <c r="V98" s="5">
        <f t="shared" si="68"/>
        <v>1640614.1935483871</v>
      </c>
      <c r="W98" s="5"/>
      <c r="X98" s="5">
        <f>V98*9%</f>
        <v>147655.27741935482</v>
      </c>
      <c r="Y98" s="5">
        <f t="shared" si="74"/>
        <v>147655.27741935482</v>
      </c>
      <c r="Z98" s="98">
        <v>2253.7399999999998</v>
      </c>
      <c r="AA98" s="23">
        <f t="shared" si="69"/>
        <v>76237.481083870967</v>
      </c>
      <c r="AB98" s="97">
        <f t="shared" si="70"/>
        <v>13722.746595096774</v>
      </c>
      <c r="AC98" s="43"/>
      <c r="AD98" s="49"/>
      <c r="AE98" s="5">
        <f t="shared" si="71"/>
        <v>2025884.9760660646</v>
      </c>
      <c r="AF98" s="139">
        <v>710</v>
      </c>
      <c r="AG98" s="139" t="s">
        <v>2320</v>
      </c>
      <c r="AH98" s="103">
        <v>33.827096774193549</v>
      </c>
      <c r="AI98" s="12"/>
      <c r="AJ98" s="40"/>
      <c r="AK98" s="40"/>
    </row>
    <row r="99" spans="2:37" s="41" customFormat="1">
      <c r="B99" s="13"/>
      <c r="C99" s="48"/>
      <c r="D99" s="6"/>
      <c r="E99" s="48"/>
      <c r="F99" s="165">
        <f>SUM(F89:F98)</f>
        <v>324.79999999999995</v>
      </c>
      <c r="G99" s="20">
        <f>SUM(G89:G98)</f>
        <v>324800</v>
      </c>
      <c r="H99" s="21">
        <f>SUM(H89:H98)</f>
        <v>154</v>
      </c>
      <c r="I99" s="2"/>
      <c r="J99" s="7"/>
      <c r="K99" s="7"/>
      <c r="L99" s="7"/>
      <c r="M99" s="2"/>
      <c r="N99" s="6"/>
      <c r="O99" s="6"/>
      <c r="P99" s="6"/>
      <c r="Q99" s="19"/>
      <c r="R99" s="9"/>
      <c r="S99" s="9"/>
      <c r="T99" s="10"/>
      <c r="U99" s="8"/>
      <c r="V99" s="21">
        <f>SUM(V89:V98)</f>
        <v>15752800</v>
      </c>
      <c r="W99" s="21">
        <f>SUM(W89:W98)</f>
        <v>0</v>
      </c>
      <c r="X99" s="21">
        <f>SUM(X89:X98)</f>
        <v>1417751.9999999995</v>
      </c>
      <c r="Y99" s="21">
        <f>SUM(Y89:Y98)</f>
        <v>1417751.9999999995</v>
      </c>
      <c r="Z99" s="99"/>
      <c r="AA99" s="21">
        <f>SUM(AA89:AA98)</f>
        <v>738550.69620000001</v>
      </c>
      <c r="AB99" s="21">
        <f>SUM(AB89:AB98)</f>
        <v>132939.12531599999</v>
      </c>
      <c r="AC99" s="21"/>
      <c r="AD99" s="21">
        <f>SUM(AD89:AD98)</f>
        <v>0</v>
      </c>
      <c r="AE99" s="21">
        <f>SUM(AE89:AE98)</f>
        <v>19459793.821515996</v>
      </c>
      <c r="AF99" s="21"/>
      <c r="AG99" s="42"/>
      <c r="AH99" s="81">
        <f>SUM(AH89:AH98)</f>
        <v>324.79999999999995</v>
      </c>
      <c r="AI99" s="26">
        <f>AH99-F99</f>
        <v>0</v>
      </c>
      <c r="AJ99" s="41">
        <f>AA99/F99</f>
        <v>2273.8629809113304</v>
      </c>
      <c r="AK99" s="40"/>
    </row>
    <row r="100" spans="2:37" s="41" customFormat="1" ht="16.149999999999999" customHeight="1">
      <c r="B100" s="138" t="s">
        <v>2090</v>
      </c>
      <c r="C100" s="82" t="s">
        <v>2394</v>
      </c>
      <c r="D100" s="4"/>
      <c r="E100" s="82" t="s">
        <v>1430</v>
      </c>
      <c r="F100" s="177">
        <v>33</v>
      </c>
      <c r="G100" s="14">
        <v>33000</v>
      </c>
      <c r="H100" s="185">
        <v>32</v>
      </c>
      <c r="I100" s="171" t="s">
        <v>2375</v>
      </c>
      <c r="J100" s="85" t="s">
        <v>2374</v>
      </c>
      <c r="K100" s="172">
        <v>1392</v>
      </c>
      <c r="L100" s="4"/>
      <c r="M100" s="167" t="s">
        <v>2397</v>
      </c>
      <c r="N100" s="170" t="s">
        <v>2391</v>
      </c>
      <c r="O100" s="4"/>
      <c r="P100" s="4"/>
      <c r="Q100" s="182">
        <v>56000</v>
      </c>
      <c r="R100" s="36">
        <v>4000</v>
      </c>
      <c r="S100" s="36"/>
      <c r="T100" s="37">
        <v>12500</v>
      </c>
      <c r="U100" s="5">
        <v>47500</v>
      </c>
      <c r="V100" s="5">
        <v>1567500</v>
      </c>
      <c r="W100" s="5"/>
      <c r="X100" s="5">
        <v>141075</v>
      </c>
      <c r="Y100" s="5">
        <v>141075</v>
      </c>
      <c r="Z100" s="181">
        <v>2450.1</v>
      </c>
      <c r="AA100" s="5">
        <v>80853.3</v>
      </c>
      <c r="AB100" s="181">
        <v>14553.593999999999</v>
      </c>
      <c r="AC100" s="43"/>
      <c r="AD100" s="5"/>
      <c r="AE100" s="5">
        <v>1945056.8939999999</v>
      </c>
      <c r="AF100" s="183">
        <v>732</v>
      </c>
      <c r="AG100" s="139" t="s">
        <v>2398</v>
      </c>
      <c r="AH100" s="177">
        <v>33</v>
      </c>
      <c r="AI100" s="12"/>
      <c r="AJ100" s="40"/>
      <c r="AK100" s="40"/>
    </row>
    <row r="101" spans="2:37" s="41" customFormat="1" ht="16.149999999999999" customHeight="1">
      <c r="B101" s="138"/>
      <c r="C101" s="82" t="s">
        <v>2395</v>
      </c>
      <c r="D101" s="4"/>
      <c r="E101" s="82" t="s">
        <v>1430</v>
      </c>
      <c r="F101" s="177">
        <v>33</v>
      </c>
      <c r="G101" s="14">
        <v>33000</v>
      </c>
      <c r="H101" s="184">
        <v>28</v>
      </c>
      <c r="I101" s="174" t="s">
        <v>2375</v>
      </c>
      <c r="J101" s="175" t="s">
        <v>2374</v>
      </c>
      <c r="K101" s="173">
        <v>1391</v>
      </c>
      <c r="L101" s="4"/>
      <c r="M101" s="167" t="s">
        <v>2397</v>
      </c>
      <c r="N101" s="82" t="s">
        <v>2391</v>
      </c>
      <c r="O101" s="4"/>
      <c r="P101" s="4"/>
      <c r="Q101" s="179">
        <v>56000</v>
      </c>
      <c r="R101" s="180">
        <v>4000</v>
      </c>
      <c r="S101" s="82">
        <v>0</v>
      </c>
      <c r="T101" s="180">
        <v>12500</v>
      </c>
      <c r="U101" s="180">
        <v>47500</v>
      </c>
      <c r="V101" s="180">
        <v>1567500</v>
      </c>
      <c r="W101" s="5"/>
      <c r="X101" s="5">
        <v>141075</v>
      </c>
      <c r="Y101" s="5">
        <v>141075</v>
      </c>
      <c r="Z101" s="181">
        <v>2450.1</v>
      </c>
      <c r="AA101" s="5">
        <v>80853.3</v>
      </c>
      <c r="AB101" s="181">
        <v>14553.593999999999</v>
      </c>
      <c r="AC101" s="43"/>
      <c r="AD101" s="5"/>
      <c r="AE101" s="5">
        <v>1945056.8939999999</v>
      </c>
      <c r="AF101" s="183">
        <v>733</v>
      </c>
      <c r="AG101" s="139" t="s">
        <v>2398</v>
      </c>
      <c r="AH101" s="177">
        <v>33</v>
      </c>
      <c r="AI101" s="12"/>
      <c r="AJ101" s="40"/>
      <c r="AK101" s="40"/>
    </row>
    <row r="102" spans="2:37" s="41" customFormat="1" ht="16.149999999999999" customHeight="1">
      <c r="B102" s="89"/>
      <c r="C102" s="82"/>
      <c r="D102" s="4"/>
      <c r="E102" s="82" t="s">
        <v>1430</v>
      </c>
      <c r="F102" s="178">
        <v>32.200000000000003</v>
      </c>
      <c r="G102" s="14">
        <v>32200.000000000004</v>
      </c>
      <c r="H102" s="185">
        <v>30</v>
      </c>
      <c r="I102" s="171" t="s">
        <v>2376</v>
      </c>
      <c r="J102" s="85" t="s">
        <v>2374</v>
      </c>
      <c r="K102" s="172">
        <v>1385</v>
      </c>
      <c r="L102" s="4"/>
      <c r="M102" s="167" t="s">
        <v>2398</v>
      </c>
      <c r="N102" s="170" t="s">
        <v>2392</v>
      </c>
      <c r="O102" s="4"/>
      <c r="P102" s="4"/>
      <c r="Q102" s="182">
        <v>56000</v>
      </c>
      <c r="R102" s="36">
        <v>4000</v>
      </c>
      <c r="S102" s="36"/>
      <c r="T102" s="37">
        <v>12500</v>
      </c>
      <c r="U102" s="5">
        <v>47500</v>
      </c>
      <c r="V102" s="5">
        <v>1529500.0000000002</v>
      </c>
      <c r="W102" s="5"/>
      <c r="X102" s="5">
        <v>137655.00000000003</v>
      </c>
      <c r="Y102" s="5">
        <v>137655.00000000003</v>
      </c>
      <c r="Z102" s="181">
        <v>2472.9299999999998</v>
      </c>
      <c r="AA102" s="5">
        <v>79628.346000000005</v>
      </c>
      <c r="AB102" s="181">
        <v>14333.102280000001</v>
      </c>
      <c r="AC102" s="43"/>
      <c r="AD102" s="5"/>
      <c r="AE102" s="5">
        <v>1898771.4482800004</v>
      </c>
      <c r="AF102" s="183">
        <v>734</v>
      </c>
      <c r="AG102" s="139" t="s">
        <v>2398</v>
      </c>
      <c r="AH102" s="178">
        <v>32.200000000000003</v>
      </c>
      <c r="AI102" s="12"/>
      <c r="AJ102" s="40"/>
      <c r="AK102" s="40"/>
    </row>
    <row r="103" spans="2:37" s="41" customFormat="1" ht="16.149999999999999" customHeight="1">
      <c r="B103" s="89"/>
      <c r="C103" s="82"/>
      <c r="D103" s="4"/>
      <c r="E103" s="82" t="s">
        <v>1430</v>
      </c>
      <c r="F103" s="176">
        <v>32.200000000000003</v>
      </c>
      <c r="G103" s="14">
        <v>32200.000000000004</v>
      </c>
      <c r="H103" s="184">
        <v>30</v>
      </c>
      <c r="I103" s="174" t="s">
        <v>2376</v>
      </c>
      <c r="J103" s="175" t="s">
        <v>2374</v>
      </c>
      <c r="K103" s="173">
        <v>1386</v>
      </c>
      <c r="L103" s="4"/>
      <c r="M103" s="167" t="s">
        <v>2398</v>
      </c>
      <c r="N103" s="82" t="s">
        <v>2392</v>
      </c>
      <c r="O103" s="4"/>
      <c r="P103" s="4"/>
      <c r="Q103" s="179">
        <v>56000</v>
      </c>
      <c r="R103" s="180">
        <v>4000</v>
      </c>
      <c r="S103" s="82">
        <v>0</v>
      </c>
      <c r="T103" s="180">
        <v>12500</v>
      </c>
      <c r="U103" s="180">
        <v>47500</v>
      </c>
      <c r="V103" s="180">
        <v>1529500.0000000002</v>
      </c>
      <c r="W103" s="5"/>
      <c r="X103" s="5">
        <v>137655.00000000003</v>
      </c>
      <c r="Y103" s="5">
        <v>137655.00000000003</v>
      </c>
      <c r="Z103" s="181">
        <v>2472.9299999999998</v>
      </c>
      <c r="AA103" s="5">
        <v>79628.346000000005</v>
      </c>
      <c r="AB103" s="181">
        <v>14333.102280000001</v>
      </c>
      <c r="AC103" s="43"/>
      <c r="AD103" s="5"/>
      <c r="AE103" s="5">
        <v>1898771.4482800004</v>
      </c>
      <c r="AF103" s="183">
        <v>735</v>
      </c>
      <c r="AG103" s="139" t="s">
        <v>2398</v>
      </c>
      <c r="AH103" s="176">
        <v>32.200000000000003</v>
      </c>
      <c r="AI103" s="12"/>
      <c r="AJ103" s="40"/>
      <c r="AK103" s="40"/>
    </row>
    <row r="104" spans="2:37" s="41" customFormat="1" ht="16.149999999999999" customHeight="1">
      <c r="B104" s="89"/>
      <c r="C104" s="140"/>
      <c r="D104" s="4"/>
      <c r="E104" s="82" t="s">
        <v>1430</v>
      </c>
      <c r="F104" s="178">
        <v>32.85</v>
      </c>
      <c r="G104" s="14">
        <v>32850</v>
      </c>
      <c r="H104" s="185">
        <v>30</v>
      </c>
      <c r="I104" s="171" t="s">
        <v>2377</v>
      </c>
      <c r="J104" s="85" t="s">
        <v>2374</v>
      </c>
      <c r="K104" s="172">
        <v>1380</v>
      </c>
      <c r="L104" s="4"/>
      <c r="M104" s="167" t="s">
        <v>2398</v>
      </c>
      <c r="N104" s="170" t="s">
        <v>2384</v>
      </c>
      <c r="O104" s="4"/>
      <c r="P104" s="4"/>
      <c r="Q104" s="182">
        <v>56000</v>
      </c>
      <c r="R104" s="36">
        <v>4000</v>
      </c>
      <c r="S104" s="36"/>
      <c r="T104" s="37">
        <v>12500</v>
      </c>
      <c r="U104" s="5">
        <v>47500</v>
      </c>
      <c r="V104" s="5">
        <v>1560375</v>
      </c>
      <c r="W104" s="5"/>
      <c r="X104" s="5">
        <v>140433.75</v>
      </c>
      <c r="Y104" s="5">
        <v>140433.75</v>
      </c>
      <c r="Z104" s="181">
        <v>2450.1</v>
      </c>
      <c r="AA104" s="5">
        <v>80485.785000000003</v>
      </c>
      <c r="AB104" s="181">
        <v>14487.4413</v>
      </c>
      <c r="AC104" s="43"/>
      <c r="AD104" s="5"/>
      <c r="AE104" s="5">
        <v>1936215.7263</v>
      </c>
      <c r="AF104" s="183">
        <v>736</v>
      </c>
      <c r="AG104" s="139" t="s">
        <v>2398</v>
      </c>
      <c r="AH104" s="178">
        <v>32.85</v>
      </c>
      <c r="AI104" s="12"/>
      <c r="AJ104" s="40"/>
      <c r="AK104" s="40"/>
    </row>
    <row r="105" spans="2:37" s="41" customFormat="1" ht="16.149999999999999" customHeight="1">
      <c r="B105" s="89"/>
      <c r="C105" s="140"/>
      <c r="D105" s="4"/>
      <c r="E105" s="82" t="s">
        <v>1430</v>
      </c>
      <c r="F105" s="176">
        <v>32.85</v>
      </c>
      <c r="G105" s="14">
        <v>32850</v>
      </c>
      <c r="H105" s="184">
        <v>30</v>
      </c>
      <c r="I105" s="174" t="s">
        <v>2377</v>
      </c>
      <c r="J105" s="175" t="s">
        <v>2374</v>
      </c>
      <c r="K105" s="173">
        <v>1381</v>
      </c>
      <c r="L105" s="4"/>
      <c r="M105" s="167" t="s">
        <v>2398</v>
      </c>
      <c r="N105" s="82" t="s">
        <v>2384</v>
      </c>
      <c r="O105" s="4"/>
      <c r="P105" s="4"/>
      <c r="Q105" s="179">
        <v>56000</v>
      </c>
      <c r="R105" s="180">
        <v>4000</v>
      </c>
      <c r="S105" s="82">
        <v>0</v>
      </c>
      <c r="T105" s="180">
        <v>12500</v>
      </c>
      <c r="U105" s="180">
        <v>47500</v>
      </c>
      <c r="V105" s="180">
        <v>1560375</v>
      </c>
      <c r="W105" s="5"/>
      <c r="X105" s="5">
        <v>140433.75</v>
      </c>
      <c r="Y105" s="5">
        <v>140433.75</v>
      </c>
      <c r="Z105" s="181">
        <v>2450.1</v>
      </c>
      <c r="AA105" s="5">
        <v>80485.785000000003</v>
      </c>
      <c r="AB105" s="181">
        <v>14487.4413</v>
      </c>
      <c r="AC105" s="43"/>
      <c r="AD105" s="5"/>
      <c r="AE105" s="5">
        <v>1936215.7263</v>
      </c>
      <c r="AF105" s="183">
        <v>737</v>
      </c>
      <c r="AG105" s="139" t="s">
        <v>2398</v>
      </c>
      <c r="AH105" s="176">
        <v>32.85</v>
      </c>
      <c r="AI105" s="12"/>
      <c r="AJ105" s="40"/>
      <c r="AK105" s="40"/>
    </row>
    <row r="106" spans="2:37" s="41" customFormat="1" ht="16.149999999999999" customHeight="1">
      <c r="B106" s="89"/>
      <c r="C106" s="140"/>
      <c r="D106" s="4"/>
      <c r="E106" s="82" t="s">
        <v>1430</v>
      </c>
      <c r="F106" s="178">
        <v>32.450000000000003</v>
      </c>
      <c r="G106" s="14">
        <v>32450.000000000004</v>
      </c>
      <c r="H106" s="185">
        <v>30</v>
      </c>
      <c r="I106" s="171" t="s">
        <v>2378</v>
      </c>
      <c r="J106" s="85" t="s">
        <v>2374</v>
      </c>
      <c r="K106" s="172">
        <v>1379</v>
      </c>
      <c r="L106" s="4"/>
      <c r="M106" s="167" t="s">
        <v>2398</v>
      </c>
      <c r="N106" s="170" t="s">
        <v>2385</v>
      </c>
      <c r="O106" s="4"/>
      <c r="P106" s="4"/>
      <c r="Q106" s="182">
        <v>56000</v>
      </c>
      <c r="R106" s="36">
        <v>4000</v>
      </c>
      <c r="S106" s="36"/>
      <c r="T106" s="37">
        <v>12500</v>
      </c>
      <c r="U106" s="5">
        <v>47500</v>
      </c>
      <c r="V106" s="5">
        <v>1541375.0000000002</v>
      </c>
      <c r="W106" s="5"/>
      <c r="X106" s="5">
        <v>138723.75000000003</v>
      </c>
      <c r="Y106" s="5">
        <v>138723.75000000003</v>
      </c>
      <c r="Z106" s="181">
        <v>2453.88</v>
      </c>
      <c r="AA106" s="5">
        <v>79628.406000000017</v>
      </c>
      <c r="AB106" s="181">
        <v>14333.113080000003</v>
      </c>
      <c r="AC106" s="43"/>
      <c r="AD106" s="5"/>
      <c r="AE106" s="5">
        <v>1912784.0190800005</v>
      </c>
      <c r="AF106" s="183">
        <v>738</v>
      </c>
      <c r="AG106" s="139" t="s">
        <v>2398</v>
      </c>
      <c r="AH106" s="178">
        <v>32.450000000000003</v>
      </c>
      <c r="AI106" s="12"/>
      <c r="AJ106" s="40"/>
      <c r="AK106" s="40"/>
    </row>
    <row r="107" spans="2:37" s="41" customFormat="1" ht="16.149999999999999" customHeight="1">
      <c r="B107" s="89"/>
      <c r="C107" s="140"/>
      <c r="D107" s="4"/>
      <c r="E107" s="82" t="s">
        <v>1430</v>
      </c>
      <c r="F107" s="176">
        <v>32.450000000000003</v>
      </c>
      <c r="G107" s="14">
        <v>32450.000000000004</v>
      </c>
      <c r="H107" s="184">
        <v>30</v>
      </c>
      <c r="I107" s="174" t="s">
        <v>2378</v>
      </c>
      <c r="J107" s="175" t="s">
        <v>2374</v>
      </c>
      <c r="K107" s="173">
        <v>1387</v>
      </c>
      <c r="L107" s="4"/>
      <c r="M107" s="167" t="s">
        <v>2397</v>
      </c>
      <c r="N107" s="82" t="s">
        <v>2385</v>
      </c>
      <c r="O107" s="4"/>
      <c r="P107" s="4"/>
      <c r="Q107" s="179">
        <v>56000</v>
      </c>
      <c r="R107" s="180">
        <v>4000</v>
      </c>
      <c r="S107" s="82">
        <v>0</v>
      </c>
      <c r="T107" s="180">
        <v>12500</v>
      </c>
      <c r="U107" s="180">
        <v>47500</v>
      </c>
      <c r="V107" s="180">
        <v>1541375.0000000002</v>
      </c>
      <c r="W107" s="5"/>
      <c r="X107" s="5">
        <v>138723.75000000003</v>
      </c>
      <c r="Y107" s="5">
        <v>138723.75000000003</v>
      </c>
      <c r="Z107" s="181">
        <v>2453.88</v>
      </c>
      <c r="AA107" s="5">
        <v>79628.406000000017</v>
      </c>
      <c r="AB107" s="181">
        <v>14333.113080000003</v>
      </c>
      <c r="AC107" s="43"/>
      <c r="AD107" s="5"/>
      <c r="AE107" s="5">
        <v>1912784.0190800005</v>
      </c>
      <c r="AF107" s="183">
        <v>739</v>
      </c>
      <c r="AG107" s="139" t="s">
        <v>2398</v>
      </c>
      <c r="AH107" s="176">
        <v>32.450000000000003</v>
      </c>
      <c r="AI107" s="12"/>
      <c r="AJ107" s="40"/>
      <c r="AK107" s="40"/>
    </row>
    <row r="108" spans="2:37" s="41" customFormat="1" ht="16.149999999999999" customHeight="1">
      <c r="B108" s="89"/>
      <c r="C108" s="140"/>
      <c r="D108" s="4"/>
      <c r="E108" s="82" t="s">
        <v>1430</v>
      </c>
      <c r="F108" s="178">
        <v>32.65</v>
      </c>
      <c r="G108" s="14">
        <v>32650</v>
      </c>
      <c r="H108" s="185">
        <v>30</v>
      </c>
      <c r="I108" s="171" t="s">
        <v>2379</v>
      </c>
      <c r="J108" s="85" t="s">
        <v>2374</v>
      </c>
      <c r="K108" s="172">
        <v>1382</v>
      </c>
      <c r="L108" s="4"/>
      <c r="M108" s="167" t="s">
        <v>2398</v>
      </c>
      <c r="N108" s="170" t="s">
        <v>2386</v>
      </c>
      <c r="O108" s="4"/>
      <c r="P108" s="4"/>
      <c r="Q108" s="182">
        <v>56000</v>
      </c>
      <c r="R108" s="36">
        <v>4000</v>
      </c>
      <c r="S108" s="36"/>
      <c r="T108" s="37">
        <v>12500</v>
      </c>
      <c r="U108" s="5">
        <v>47500</v>
      </c>
      <c r="V108" s="5">
        <v>1550875</v>
      </c>
      <c r="W108" s="5"/>
      <c r="X108" s="5">
        <v>139578.75</v>
      </c>
      <c r="Y108" s="5">
        <v>139578.75</v>
      </c>
      <c r="Z108" s="181">
        <v>2450.1</v>
      </c>
      <c r="AA108" s="5">
        <v>79995.764999999999</v>
      </c>
      <c r="AB108" s="181">
        <v>14399.2377</v>
      </c>
      <c r="AC108" s="43"/>
      <c r="AD108" s="5"/>
      <c r="AE108" s="5">
        <v>1924427.5027000001</v>
      </c>
      <c r="AF108" s="183">
        <v>740</v>
      </c>
      <c r="AG108" s="139" t="s">
        <v>2398</v>
      </c>
      <c r="AH108" s="178">
        <v>32.65</v>
      </c>
      <c r="AI108" s="12"/>
      <c r="AJ108" s="40"/>
      <c r="AK108" s="40"/>
    </row>
    <row r="109" spans="2:37" s="41" customFormat="1" ht="16.149999999999999" customHeight="1">
      <c r="B109" s="89"/>
      <c r="C109" s="140"/>
      <c r="D109" s="4"/>
      <c r="E109" s="82" t="s">
        <v>1430</v>
      </c>
      <c r="F109" s="176">
        <v>32.65</v>
      </c>
      <c r="G109" s="14">
        <v>32650</v>
      </c>
      <c r="H109" s="184">
        <v>30</v>
      </c>
      <c r="I109" s="174" t="s">
        <v>2379</v>
      </c>
      <c r="J109" s="175" t="s">
        <v>2374</v>
      </c>
      <c r="K109" s="173">
        <v>1388</v>
      </c>
      <c r="L109" s="4"/>
      <c r="M109" s="167" t="s">
        <v>2397</v>
      </c>
      <c r="N109" s="82" t="s">
        <v>2386</v>
      </c>
      <c r="O109" s="4"/>
      <c r="P109" s="4"/>
      <c r="Q109" s="179">
        <v>56000</v>
      </c>
      <c r="R109" s="180">
        <v>4000</v>
      </c>
      <c r="S109" s="82">
        <v>0</v>
      </c>
      <c r="T109" s="180">
        <v>12500</v>
      </c>
      <c r="U109" s="180">
        <v>47500</v>
      </c>
      <c r="V109" s="180">
        <v>1550875</v>
      </c>
      <c r="W109" s="5"/>
      <c r="X109" s="5">
        <v>139578.75</v>
      </c>
      <c r="Y109" s="5">
        <v>139578.75</v>
      </c>
      <c r="Z109" s="181">
        <v>2450.1</v>
      </c>
      <c r="AA109" s="5">
        <v>79995.764999999999</v>
      </c>
      <c r="AB109" s="181">
        <v>14399.2377</v>
      </c>
      <c r="AC109" s="43"/>
      <c r="AD109" s="5"/>
      <c r="AE109" s="5">
        <v>1924427.5027000001</v>
      </c>
      <c r="AF109" s="183">
        <v>741</v>
      </c>
      <c r="AG109" s="139" t="s">
        <v>2398</v>
      </c>
      <c r="AH109" s="176">
        <v>32.65</v>
      </c>
      <c r="AI109" s="12"/>
      <c r="AJ109" s="40"/>
      <c r="AK109" s="40"/>
    </row>
    <row r="110" spans="2:37" s="41" customFormat="1" ht="16.149999999999999" customHeight="1">
      <c r="B110" s="89"/>
      <c r="C110" s="140"/>
      <c r="D110" s="4"/>
      <c r="E110" s="82" t="s">
        <v>1430</v>
      </c>
      <c r="F110" s="178">
        <v>32.799999999999997</v>
      </c>
      <c r="G110" s="14">
        <v>32800</v>
      </c>
      <c r="H110" s="185">
        <v>30</v>
      </c>
      <c r="I110" s="171" t="s">
        <v>2380</v>
      </c>
      <c r="J110" s="85" t="s">
        <v>2374</v>
      </c>
      <c r="K110" s="172">
        <v>1394</v>
      </c>
      <c r="L110" s="4"/>
      <c r="M110" s="167" t="s">
        <v>2397</v>
      </c>
      <c r="N110" s="170" t="s">
        <v>2387</v>
      </c>
      <c r="O110" s="4"/>
      <c r="P110" s="4"/>
      <c r="Q110" s="182">
        <v>56000</v>
      </c>
      <c r="R110" s="36">
        <v>4000</v>
      </c>
      <c r="S110" s="36"/>
      <c r="T110" s="37">
        <v>12500</v>
      </c>
      <c r="U110" s="5">
        <v>47500</v>
      </c>
      <c r="V110" s="5">
        <v>1557999.9999999998</v>
      </c>
      <c r="W110" s="5"/>
      <c r="X110" s="5">
        <v>140219.99999999997</v>
      </c>
      <c r="Y110" s="5">
        <v>140219.99999999997</v>
      </c>
      <c r="Z110" s="181">
        <v>2450.1</v>
      </c>
      <c r="AA110" s="5">
        <v>80363.279999999984</v>
      </c>
      <c r="AB110" s="181">
        <v>14465.390399999997</v>
      </c>
      <c r="AC110" s="43"/>
      <c r="AD110" s="5"/>
      <c r="AE110" s="5">
        <v>1933268.6703999997</v>
      </c>
      <c r="AF110" s="183">
        <v>742</v>
      </c>
      <c r="AG110" s="139" t="s">
        <v>2398</v>
      </c>
      <c r="AH110" s="178">
        <v>32.799999999999997</v>
      </c>
      <c r="AI110" s="12"/>
      <c r="AJ110" s="40"/>
      <c r="AK110" s="40"/>
    </row>
    <row r="111" spans="2:37" s="41" customFormat="1" ht="16.149999999999999" customHeight="1">
      <c r="B111" s="89"/>
      <c r="C111" s="140"/>
      <c r="D111" s="4"/>
      <c r="E111" s="82" t="s">
        <v>1430</v>
      </c>
      <c r="F111" s="176">
        <v>32.799999999999997</v>
      </c>
      <c r="G111" s="14">
        <v>32800</v>
      </c>
      <c r="H111" s="184">
        <v>30</v>
      </c>
      <c r="I111" s="174" t="s">
        <v>2380</v>
      </c>
      <c r="J111" s="175" t="s">
        <v>2374</v>
      </c>
      <c r="K111" s="173">
        <v>1395</v>
      </c>
      <c r="L111" s="4"/>
      <c r="M111" s="167" t="s">
        <v>2397</v>
      </c>
      <c r="N111" s="82" t="s">
        <v>2387</v>
      </c>
      <c r="O111" s="4"/>
      <c r="P111" s="4"/>
      <c r="Q111" s="179">
        <v>56000</v>
      </c>
      <c r="R111" s="180">
        <v>4000</v>
      </c>
      <c r="S111" s="82">
        <v>0</v>
      </c>
      <c r="T111" s="180">
        <v>12500</v>
      </c>
      <c r="U111" s="180">
        <v>47500</v>
      </c>
      <c r="V111" s="180">
        <v>1557999.9999999998</v>
      </c>
      <c r="W111" s="5"/>
      <c r="X111" s="5">
        <v>140219.99999999997</v>
      </c>
      <c r="Y111" s="5">
        <v>140219.99999999997</v>
      </c>
      <c r="Z111" s="181">
        <v>2450.1</v>
      </c>
      <c r="AA111" s="5">
        <v>80363.279999999984</v>
      </c>
      <c r="AB111" s="181">
        <v>14465.390399999997</v>
      </c>
      <c r="AC111" s="43"/>
      <c r="AD111" s="5"/>
      <c r="AE111" s="5">
        <v>1933268.6703999997</v>
      </c>
      <c r="AF111" s="183">
        <v>743</v>
      </c>
      <c r="AG111" s="139" t="s">
        <v>2398</v>
      </c>
      <c r="AH111" s="176">
        <v>32.799999999999997</v>
      </c>
      <c r="AI111" s="12"/>
      <c r="AJ111" s="40"/>
      <c r="AK111" s="40"/>
    </row>
    <row r="112" spans="2:37" s="41" customFormat="1" ht="16.149999999999999" customHeight="1">
      <c r="B112" s="89"/>
      <c r="C112" s="140"/>
      <c r="D112" s="4"/>
      <c r="E112" s="82" t="s">
        <v>1430</v>
      </c>
      <c r="F112" s="178">
        <v>32.549999999999997</v>
      </c>
      <c r="G112" s="14">
        <v>32549.999999999996</v>
      </c>
      <c r="H112" s="185">
        <v>30</v>
      </c>
      <c r="I112" s="171" t="s">
        <v>2381</v>
      </c>
      <c r="J112" s="85" t="s">
        <v>2374</v>
      </c>
      <c r="K112" s="172">
        <v>1393</v>
      </c>
      <c r="L112" s="4"/>
      <c r="M112" s="167" t="s">
        <v>2397</v>
      </c>
      <c r="N112" s="170" t="s">
        <v>2388</v>
      </c>
      <c r="O112" s="4"/>
      <c r="P112" s="4"/>
      <c r="Q112" s="182">
        <v>56000</v>
      </c>
      <c r="R112" s="36">
        <v>4000</v>
      </c>
      <c r="S112" s="36"/>
      <c r="T112" s="37">
        <v>12500</v>
      </c>
      <c r="U112" s="5">
        <v>47500</v>
      </c>
      <c r="V112" s="5">
        <v>1546124.9999999998</v>
      </c>
      <c r="W112" s="5"/>
      <c r="X112" s="5">
        <v>139151.24999999997</v>
      </c>
      <c r="Y112" s="5">
        <v>139151.24999999997</v>
      </c>
      <c r="Z112" s="181">
        <v>2450.1</v>
      </c>
      <c r="AA112" s="5">
        <v>79750.75499999999</v>
      </c>
      <c r="AB112" s="181">
        <v>14355.135899999997</v>
      </c>
      <c r="AC112" s="43"/>
      <c r="AD112" s="5"/>
      <c r="AE112" s="5">
        <v>1918533.3908999995</v>
      </c>
      <c r="AF112" s="183">
        <v>744</v>
      </c>
      <c r="AG112" s="139" t="s">
        <v>2398</v>
      </c>
      <c r="AH112" s="178">
        <v>32.549999999999997</v>
      </c>
      <c r="AI112" s="12"/>
      <c r="AJ112" s="40"/>
      <c r="AK112" s="40"/>
    </row>
    <row r="113" spans="2:37" s="41" customFormat="1" ht="16.149999999999999" customHeight="1">
      <c r="B113" s="89"/>
      <c r="C113" s="140"/>
      <c r="D113" s="4"/>
      <c r="E113" s="82" t="s">
        <v>1430</v>
      </c>
      <c r="F113" s="176">
        <v>32.549999999999997</v>
      </c>
      <c r="G113" s="14">
        <v>32549.999999999996</v>
      </c>
      <c r="H113" s="184">
        <v>30</v>
      </c>
      <c r="I113" s="174" t="s">
        <v>2381</v>
      </c>
      <c r="J113" s="175" t="s">
        <v>2374</v>
      </c>
      <c r="K113" s="173">
        <v>1396</v>
      </c>
      <c r="L113" s="4"/>
      <c r="M113" s="167" t="s">
        <v>2397</v>
      </c>
      <c r="N113" s="82" t="s">
        <v>2388</v>
      </c>
      <c r="O113" s="4"/>
      <c r="P113" s="4"/>
      <c r="Q113" s="179">
        <v>56000</v>
      </c>
      <c r="R113" s="180">
        <v>4000</v>
      </c>
      <c r="S113" s="82">
        <v>0</v>
      </c>
      <c r="T113" s="180">
        <v>12500</v>
      </c>
      <c r="U113" s="180">
        <v>47500</v>
      </c>
      <c r="V113" s="180">
        <v>1546124.9999999998</v>
      </c>
      <c r="W113" s="5"/>
      <c r="X113" s="5">
        <v>139151.24999999997</v>
      </c>
      <c r="Y113" s="5">
        <v>139151.24999999997</v>
      </c>
      <c r="Z113" s="181">
        <v>2450.1</v>
      </c>
      <c r="AA113" s="5">
        <v>79750.75499999999</v>
      </c>
      <c r="AB113" s="181">
        <v>14355.135899999997</v>
      </c>
      <c r="AC113" s="43"/>
      <c r="AD113" s="5"/>
      <c r="AE113" s="5">
        <v>1918533.3908999995</v>
      </c>
      <c r="AF113" s="183">
        <v>745</v>
      </c>
      <c r="AG113" s="139" t="s">
        <v>2398</v>
      </c>
      <c r="AH113" s="176">
        <v>32.549999999999997</v>
      </c>
      <c r="AI113" s="12"/>
      <c r="AJ113" s="40"/>
      <c r="AK113" s="40"/>
    </row>
    <row r="114" spans="2:37" s="41" customFormat="1" ht="16.149999999999999" customHeight="1">
      <c r="B114" s="89"/>
      <c r="C114" s="140"/>
      <c r="D114" s="4"/>
      <c r="E114" s="82" t="s">
        <v>1430</v>
      </c>
      <c r="F114" s="178">
        <v>32.25</v>
      </c>
      <c r="G114" s="14">
        <v>32250</v>
      </c>
      <c r="H114" s="185">
        <v>29</v>
      </c>
      <c r="I114" s="171" t="s">
        <v>2383</v>
      </c>
      <c r="J114" s="85" t="s">
        <v>2374</v>
      </c>
      <c r="K114" s="172">
        <v>1389</v>
      </c>
      <c r="L114" s="4"/>
      <c r="M114" s="167" t="s">
        <v>2398</v>
      </c>
      <c r="N114" s="170" t="s">
        <v>2390</v>
      </c>
      <c r="O114" s="4"/>
      <c r="P114" s="4"/>
      <c r="Q114" s="182">
        <v>56000</v>
      </c>
      <c r="R114" s="36">
        <v>4000</v>
      </c>
      <c r="S114" s="36"/>
      <c r="T114" s="37">
        <v>12500</v>
      </c>
      <c r="U114" s="5">
        <v>47500</v>
      </c>
      <c r="V114" s="5">
        <v>1531875</v>
      </c>
      <c r="W114" s="5"/>
      <c r="X114" s="5">
        <v>137868.75</v>
      </c>
      <c r="Y114" s="5">
        <v>137868.75</v>
      </c>
      <c r="Z114" s="181">
        <v>2469.1</v>
      </c>
      <c r="AA114" s="5">
        <v>79628.474999999991</v>
      </c>
      <c r="AB114" s="181">
        <v>14333.1255</v>
      </c>
      <c r="AC114" s="43"/>
      <c r="AD114" s="5"/>
      <c r="AE114" s="5">
        <v>1901574.1004999999</v>
      </c>
      <c r="AF114" s="139">
        <v>748</v>
      </c>
      <c r="AG114" s="139" t="s">
        <v>2398</v>
      </c>
      <c r="AH114" s="178">
        <v>32.25</v>
      </c>
      <c r="AI114" s="12"/>
      <c r="AJ114" s="40"/>
      <c r="AK114" s="40"/>
    </row>
    <row r="115" spans="2:37" s="41" customFormat="1" ht="16.149999999999999" customHeight="1">
      <c r="B115" s="89"/>
      <c r="C115" s="140"/>
      <c r="D115" s="4"/>
      <c r="E115" s="82" t="s">
        <v>1430</v>
      </c>
      <c r="F115" s="176">
        <v>32.25</v>
      </c>
      <c r="G115" s="14">
        <v>32250</v>
      </c>
      <c r="H115" s="184">
        <v>31</v>
      </c>
      <c r="I115" s="174" t="s">
        <v>2383</v>
      </c>
      <c r="J115" s="175" t="s">
        <v>2374</v>
      </c>
      <c r="K115" s="173">
        <v>1390</v>
      </c>
      <c r="L115" s="4"/>
      <c r="M115" s="167" t="s">
        <v>2397</v>
      </c>
      <c r="N115" s="82" t="s">
        <v>2390</v>
      </c>
      <c r="O115" s="4"/>
      <c r="P115" s="4"/>
      <c r="Q115" s="179">
        <v>56000</v>
      </c>
      <c r="R115" s="180">
        <v>4000</v>
      </c>
      <c r="S115" s="82">
        <v>0</v>
      </c>
      <c r="T115" s="180">
        <v>12500</v>
      </c>
      <c r="U115" s="180">
        <v>47500</v>
      </c>
      <c r="V115" s="180">
        <v>1531875</v>
      </c>
      <c r="W115" s="5"/>
      <c r="X115" s="5">
        <v>137868.75</v>
      </c>
      <c r="Y115" s="5">
        <v>137868.75</v>
      </c>
      <c r="Z115" s="181">
        <v>2469.1</v>
      </c>
      <c r="AA115" s="5">
        <v>79628.474999999991</v>
      </c>
      <c r="AB115" s="181">
        <v>14333.125499999998</v>
      </c>
      <c r="AC115" s="43"/>
      <c r="AD115" s="5"/>
      <c r="AE115" s="5">
        <v>1901574.1004999999</v>
      </c>
      <c r="AF115" s="139">
        <v>749</v>
      </c>
      <c r="AG115" s="139" t="s">
        <v>2398</v>
      </c>
      <c r="AH115" s="176">
        <v>32.25</v>
      </c>
      <c r="AI115" s="12"/>
      <c r="AJ115" s="40"/>
      <c r="AK115" s="40"/>
    </row>
    <row r="116" spans="2:37" s="41" customFormat="1">
      <c r="B116" s="13"/>
      <c r="C116" s="48"/>
      <c r="D116" s="6"/>
      <c r="E116" s="48"/>
      <c r="F116" s="81">
        <f>SUM(F100:F115)</f>
        <v>521.5</v>
      </c>
      <c r="G116" s="20">
        <f>SUM(G100:G115)</f>
        <v>521500</v>
      </c>
      <c r="H116" s="21">
        <f>SUM(H100:H115)</f>
        <v>480</v>
      </c>
      <c r="I116" s="2"/>
      <c r="J116" s="7"/>
      <c r="K116" s="7"/>
      <c r="L116" s="7"/>
      <c r="M116" s="2"/>
      <c r="N116" s="6"/>
      <c r="O116" s="6"/>
      <c r="P116" s="6"/>
      <c r="Q116" s="19"/>
      <c r="R116" s="9"/>
      <c r="S116" s="9"/>
      <c r="T116" s="10"/>
      <c r="U116" s="8"/>
      <c r="V116" s="21">
        <f>SUM(V100:V115)</f>
        <v>24771250</v>
      </c>
      <c r="W116" s="21">
        <f>SUM(W100:W114)</f>
        <v>0</v>
      </c>
      <c r="X116" s="21">
        <f>SUM(X100:X115)</f>
        <v>2229412.5</v>
      </c>
      <c r="Y116" s="21">
        <f>SUM(Y100:Y115)</f>
        <v>2229412.5</v>
      </c>
      <c r="Z116" s="99"/>
      <c r="AA116" s="21">
        <f>SUM(AA100:AA115)</f>
        <v>1280668.2240000004</v>
      </c>
      <c r="AB116" s="21">
        <f>SUM(AB100:AB115)</f>
        <v>230520.28031999999</v>
      </c>
      <c r="AC116" s="21"/>
      <c r="AD116" s="21">
        <f>SUM(AD100:AD114)</f>
        <v>0</v>
      </c>
      <c r="AE116" s="21">
        <f>SUM(AE100:AE115)</f>
        <v>30741263.504320003</v>
      </c>
      <c r="AF116" s="21"/>
      <c r="AG116" s="42"/>
      <c r="AH116" s="81">
        <f>SUM(AH100:AH115)</f>
        <v>521.5</v>
      </c>
      <c r="AI116" s="26">
        <f>AH116-F116</f>
        <v>0</v>
      </c>
      <c r="AJ116" s="41">
        <f>AA116/F116</f>
        <v>2455.7396433365302</v>
      </c>
      <c r="AK116" s="40"/>
    </row>
    <row r="117" spans="2:37" s="41" customFormat="1" ht="16.149999999999999" customHeight="1">
      <c r="B117" s="138" t="s">
        <v>2090</v>
      </c>
      <c r="C117" s="82" t="s">
        <v>2394</v>
      </c>
      <c r="D117" s="4"/>
      <c r="E117" s="82" t="s">
        <v>505</v>
      </c>
      <c r="F117" s="178">
        <v>31.8</v>
      </c>
      <c r="G117" s="14">
        <f t="shared" ref="G117:G143" si="75">+F117*1000</f>
        <v>31800</v>
      </c>
      <c r="H117" s="185">
        <v>31</v>
      </c>
      <c r="I117" s="171" t="s">
        <v>2382</v>
      </c>
      <c r="J117" s="85" t="s">
        <v>2374</v>
      </c>
      <c r="K117" s="172">
        <v>1383</v>
      </c>
      <c r="L117" s="4"/>
      <c r="M117" s="167" t="s">
        <v>2398</v>
      </c>
      <c r="N117" s="170" t="s">
        <v>2389</v>
      </c>
      <c r="O117" s="4"/>
      <c r="P117" s="4"/>
      <c r="Q117" s="182">
        <v>56000</v>
      </c>
      <c r="R117" s="36">
        <v>2500</v>
      </c>
      <c r="S117" s="36"/>
      <c r="T117" s="37">
        <v>13000</v>
      </c>
      <c r="U117" s="5">
        <f t="shared" ref="U117" si="76">S117+R117+Q117-T117</f>
        <v>45500</v>
      </c>
      <c r="V117" s="5">
        <f t="shared" ref="V117" si="77">F117*U117</f>
        <v>1446900</v>
      </c>
      <c r="W117" s="5"/>
      <c r="X117" s="5">
        <f>V117*9%</f>
        <v>130221</v>
      </c>
      <c r="Y117" s="5">
        <f t="shared" ref="Y117" si="78">V117*9%</f>
        <v>130221</v>
      </c>
      <c r="Z117" s="181">
        <v>2504.0300000000002</v>
      </c>
      <c r="AA117" s="5">
        <f t="shared" ref="AA117:AA118" si="79">F117*Z117</f>
        <v>79628.15400000001</v>
      </c>
      <c r="AB117" s="181">
        <f>AA117*18%</f>
        <v>14333.067720000001</v>
      </c>
      <c r="AC117" s="43"/>
      <c r="AD117" s="5"/>
      <c r="AE117" s="5">
        <f t="shared" ref="AE117:AE118" si="80">+AB117+AA117+Y117+X117+W117+V117-AC117+AD117</f>
        <v>1801303.22172</v>
      </c>
      <c r="AF117" s="139">
        <v>746</v>
      </c>
      <c r="AG117" s="139" t="s">
        <v>2398</v>
      </c>
      <c r="AH117" s="178">
        <v>31.8</v>
      </c>
      <c r="AI117" s="12"/>
      <c r="AJ117" s="40"/>
      <c r="AK117" s="40"/>
    </row>
    <row r="118" spans="2:37" s="41" customFormat="1" ht="16.149999999999999" customHeight="1">
      <c r="B118" s="138"/>
      <c r="C118" s="82" t="s">
        <v>2395</v>
      </c>
      <c r="D118" s="4"/>
      <c r="E118" s="82" t="str">
        <f>+E117</f>
        <v>MS-125X125</v>
      </c>
      <c r="F118" s="176">
        <v>31.8</v>
      </c>
      <c r="G118" s="14">
        <f t="shared" si="75"/>
        <v>31800</v>
      </c>
      <c r="H118" s="184">
        <v>29</v>
      </c>
      <c r="I118" s="174" t="s">
        <v>2382</v>
      </c>
      <c r="J118" s="85" t="s">
        <v>2374</v>
      </c>
      <c r="K118" s="173">
        <v>1384</v>
      </c>
      <c r="L118" s="4"/>
      <c r="M118" s="167" t="s">
        <v>2398</v>
      </c>
      <c r="N118" s="170" t="s">
        <v>2389</v>
      </c>
      <c r="O118" s="4"/>
      <c r="P118" s="4"/>
      <c r="Q118" s="182">
        <v>56000</v>
      </c>
      <c r="R118" s="36">
        <v>2500</v>
      </c>
      <c r="S118" s="36"/>
      <c r="T118" s="37">
        <v>13000</v>
      </c>
      <c r="U118" s="5">
        <f t="shared" ref="U118" si="81">S118+R118+Q118-T118</f>
        <v>45500</v>
      </c>
      <c r="V118" s="5">
        <f t="shared" ref="V118" si="82">F118*U118</f>
        <v>1446900</v>
      </c>
      <c r="W118" s="5"/>
      <c r="X118" s="5">
        <f>V118*9%</f>
        <v>130221</v>
      </c>
      <c r="Y118" s="5">
        <f t="shared" ref="Y118" si="83">V118*9%</f>
        <v>130221</v>
      </c>
      <c r="Z118" s="181">
        <v>2504.0300000000002</v>
      </c>
      <c r="AA118" s="5">
        <f t="shared" si="79"/>
        <v>79628.15400000001</v>
      </c>
      <c r="AB118" s="181">
        <f>AA118*18%</f>
        <v>14333.067720000001</v>
      </c>
      <c r="AC118" s="43"/>
      <c r="AD118" s="5"/>
      <c r="AE118" s="5">
        <f t="shared" si="80"/>
        <v>1801303.22172</v>
      </c>
      <c r="AF118" s="139">
        <v>747</v>
      </c>
      <c r="AG118" s="139" t="s">
        <v>2398</v>
      </c>
      <c r="AH118" s="176">
        <v>31.8</v>
      </c>
      <c r="AI118" s="12"/>
      <c r="AJ118" s="40"/>
      <c r="AK118" s="40"/>
    </row>
    <row r="119" spans="2:37" s="41" customFormat="1">
      <c r="B119" s="13"/>
      <c r="C119" s="48"/>
      <c r="D119" s="6"/>
      <c r="E119" s="48"/>
      <c r="F119" s="81">
        <f>SUM(F117:F118)</f>
        <v>63.6</v>
      </c>
      <c r="G119" s="20">
        <f>SUM(G117:G118)</f>
        <v>63600</v>
      </c>
      <c r="H119" s="21">
        <f>SUM(H117:H118)</f>
        <v>60</v>
      </c>
      <c r="I119" s="2"/>
      <c r="J119" s="7"/>
      <c r="K119" s="7"/>
      <c r="L119" s="7"/>
      <c r="M119" s="2"/>
      <c r="N119" s="6"/>
      <c r="O119" s="6"/>
      <c r="P119" s="6"/>
      <c r="Q119" s="19"/>
      <c r="R119" s="9"/>
      <c r="S119" s="9"/>
      <c r="T119" s="10"/>
      <c r="U119" s="8"/>
      <c r="V119" s="21">
        <f>SUM(V117:V118)</f>
        <v>2893800</v>
      </c>
      <c r="W119" s="21">
        <f>SUM(W117:W118)</f>
        <v>0</v>
      </c>
      <c r="X119" s="21">
        <f>SUM(X117:X118)</f>
        <v>260442</v>
      </c>
      <c r="Y119" s="21">
        <f>SUM(Y117:Y118)</f>
        <v>260442</v>
      </c>
      <c r="Z119" s="99"/>
      <c r="AA119" s="21">
        <f>SUM(AA117:AA118)</f>
        <v>159256.30800000002</v>
      </c>
      <c r="AB119" s="21">
        <f>SUM(AB117:AB118)</f>
        <v>28666.135440000002</v>
      </c>
      <c r="AC119" s="21"/>
      <c r="AD119" s="21">
        <f>SUM(AD117:AD118)</f>
        <v>0</v>
      </c>
      <c r="AE119" s="21">
        <f>SUM(AE117:AE118)</f>
        <v>3602606.4434400001</v>
      </c>
      <c r="AF119" s="21"/>
      <c r="AG119" s="42"/>
      <c r="AH119" s="81">
        <f>SUM(AH117:AH118)</f>
        <v>63.6</v>
      </c>
      <c r="AI119" s="26">
        <f>AH119-F119</f>
        <v>0</v>
      </c>
      <c r="AJ119" s="41">
        <f>AA119/F119</f>
        <v>2504.0300000000002</v>
      </c>
      <c r="AK119" s="40"/>
    </row>
    <row r="120" spans="2:37" s="41" customFormat="1" ht="16.149999999999999" customHeight="1">
      <c r="B120" s="138" t="s">
        <v>2090</v>
      </c>
      <c r="C120" s="82" t="s">
        <v>2394</v>
      </c>
      <c r="D120" s="4"/>
      <c r="E120" s="82" t="s">
        <v>505</v>
      </c>
      <c r="F120" s="178">
        <v>32.75</v>
      </c>
      <c r="G120" s="14">
        <f t="shared" ref="G120:G125" si="84">+F120*1000</f>
        <v>32750</v>
      </c>
      <c r="H120" s="185">
        <v>30</v>
      </c>
      <c r="I120" s="174" t="s">
        <v>2437</v>
      </c>
      <c r="J120" s="167" t="s">
        <v>2399</v>
      </c>
      <c r="K120" s="172">
        <v>1508</v>
      </c>
      <c r="L120" s="4"/>
      <c r="M120" s="167" t="s">
        <v>2399</v>
      </c>
      <c r="N120" s="168" t="s">
        <v>2400</v>
      </c>
      <c r="O120" s="4"/>
      <c r="P120" s="4"/>
      <c r="Q120" s="179">
        <v>56000</v>
      </c>
      <c r="R120" s="180">
        <v>2500</v>
      </c>
      <c r="S120" s="82"/>
      <c r="T120" s="180">
        <v>13000</v>
      </c>
      <c r="U120" s="5">
        <f t="shared" ref="U120:U121" si="85">S120+R120+Q120-T120</f>
        <v>45500</v>
      </c>
      <c r="V120" s="5">
        <f>F120*U120</f>
        <v>1490125</v>
      </c>
      <c r="W120" s="5"/>
      <c r="X120" s="5">
        <f t="shared" ref="X120:X124" si="86">V120*9%</f>
        <v>134111.25</v>
      </c>
      <c r="Y120" s="5">
        <f t="shared" ref="Y120:Y124" si="87">V120*9%</f>
        <v>134111.25</v>
      </c>
      <c r="Z120" s="181">
        <v>2450.1</v>
      </c>
      <c r="AA120" s="5">
        <f t="shared" ref="AA120:AA124" si="88">F120*Z120</f>
        <v>80240.774999999994</v>
      </c>
      <c r="AB120" s="181">
        <f t="shared" ref="AB120:AB125" si="89">AA120*18%</f>
        <v>14443.339499999998</v>
      </c>
      <c r="AC120" s="43"/>
      <c r="AD120" s="5"/>
      <c r="AE120" s="5">
        <f t="shared" ref="AE120:AE124" si="90">+AB120+AA120+Y120+X120+W120+V120-AC120+AD120</f>
        <v>1853031.6145000001</v>
      </c>
      <c r="AF120" s="139">
        <v>750</v>
      </c>
      <c r="AG120" s="139" t="s">
        <v>2399</v>
      </c>
      <c r="AH120" s="178">
        <v>32.75</v>
      </c>
      <c r="AI120" s="12"/>
      <c r="AJ120" s="40"/>
      <c r="AK120" s="40"/>
    </row>
    <row r="121" spans="2:37" s="41" customFormat="1" ht="16.149999999999999" customHeight="1">
      <c r="B121" s="138"/>
      <c r="C121" s="82" t="s">
        <v>2396</v>
      </c>
      <c r="D121" s="4"/>
      <c r="E121" s="82" t="s">
        <v>505</v>
      </c>
      <c r="F121" s="176">
        <v>32.75</v>
      </c>
      <c r="G121" s="14">
        <f t="shared" si="84"/>
        <v>32750</v>
      </c>
      <c r="H121" s="184">
        <v>31</v>
      </c>
      <c r="I121" s="174" t="s">
        <v>2437</v>
      </c>
      <c r="J121" s="167" t="s">
        <v>2399</v>
      </c>
      <c r="K121" s="173">
        <v>1509</v>
      </c>
      <c r="L121" s="4"/>
      <c r="M121" s="167" t="s">
        <v>2399</v>
      </c>
      <c r="N121" s="168" t="s">
        <v>2400</v>
      </c>
      <c r="O121" s="4"/>
      <c r="P121" s="4"/>
      <c r="Q121" s="179">
        <v>56000</v>
      </c>
      <c r="R121" s="180">
        <v>2500</v>
      </c>
      <c r="S121" s="82"/>
      <c r="T121" s="180">
        <v>13000</v>
      </c>
      <c r="U121" s="5">
        <f t="shared" si="85"/>
        <v>45500</v>
      </c>
      <c r="V121" s="5">
        <f t="shared" ref="V121:V124" si="91">F121*U121</f>
        <v>1490125</v>
      </c>
      <c r="W121" s="5"/>
      <c r="X121" s="5">
        <f t="shared" si="86"/>
        <v>134111.25</v>
      </c>
      <c r="Y121" s="5">
        <f t="shared" si="87"/>
        <v>134111.25</v>
      </c>
      <c r="Z121" s="181">
        <v>2450.1</v>
      </c>
      <c r="AA121" s="5">
        <f t="shared" si="88"/>
        <v>80240.774999999994</v>
      </c>
      <c r="AB121" s="181">
        <f t="shared" si="89"/>
        <v>14443.339499999998</v>
      </c>
      <c r="AC121" s="43"/>
      <c r="AD121" s="5"/>
      <c r="AE121" s="5">
        <f t="shared" si="90"/>
        <v>1853031.6145000001</v>
      </c>
      <c r="AF121" s="139">
        <v>751</v>
      </c>
      <c r="AG121" s="139" t="s">
        <v>2399</v>
      </c>
      <c r="AH121" s="176">
        <v>32.75</v>
      </c>
      <c r="AI121" s="12"/>
      <c r="AJ121" s="40"/>
      <c r="AK121" s="40"/>
    </row>
    <row r="122" spans="2:37" s="41" customFormat="1" ht="16.149999999999999" customHeight="1">
      <c r="B122" s="138"/>
      <c r="C122" s="82"/>
      <c r="D122" s="4"/>
      <c r="E122" s="82" t="s">
        <v>505</v>
      </c>
      <c r="F122" s="176">
        <v>32.4</v>
      </c>
      <c r="G122" s="14">
        <f t="shared" si="84"/>
        <v>32400</v>
      </c>
      <c r="H122" s="185">
        <v>30</v>
      </c>
      <c r="I122" s="174" t="s">
        <v>2439</v>
      </c>
      <c r="J122" s="167" t="s">
        <v>2399</v>
      </c>
      <c r="K122" s="172">
        <v>1400</v>
      </c>
      <c r="L122" s="4"/>
      <c r="M122" s="167" t="s">
        <v>2399</v>
      </c>
      <c r="N122" s="168" t="s">
        <v>2401</v>
      </c>
      <c r="O122" s="4"/>
      <c r="P122" s="4"/>
      <c r="Q122" s="179">
        <v>56000</v>
      </c>
      <c r="R122" s="180">
        <v>2500</v>
      </c>
      <c r="S122" s="82"/>
      <c r="T122" s="180">
        <v>13000</v>
      </c>
      <c r="U122" s="5">
        <f t="shared" ref="U122" si="92">S122+R122+Q122-T122</f>
        <v>45500</v>
      </c>
      <c r="V122" s="5">
        <f t="shared" si="91"/>
        <v>1474200</v>
      </c>
      <c r="W122" s="5"/>
      <c r="X122" s="5">
        <f t="shared" si="86"/>
        <v>132678</v>
      </c>
      <c r="Y122" s="5">
        <f t="shared" si="87"/>
        <v>132678</v>
      </c>
      <c r="Z122" s="181">
        <v>2457.66</v>
      </c>
      <c r="AA122" s="5">
        <f t="shared" si="88"/>
        <v>79628.183999999994</v>
      </c>
      <c r="AB122" s="181">
        <f t="shared" si="89"/>
        <v>14333.073119999999</v>
      </c>
      <c r="AC122" s="43"/>
      <c r="AD122" s="5"/>
      <c r="AE122" s="5">
        <f t="shared" si="90"/>
        <v>1833517.25712</v>
      </c>
      <c r="AF122" s="139">
        <v>752</v>
      </c>
      <c r="AG122" s="139" t="s">
        <v>2399</v>
      </c>
      <c r="AH122" s="176">
        <v>32.4</v>
      </c>
      <c r="AI122" s="12"/>
      <c r="AJ122" s="40"/>
      <c r="AK122" s="40"/>
    </row>
    <row r="123" spans="2:37" s="41" customFormat="1" ht="16.149999999999999" customHeight="1">
      <c r="B123" s="138"/>
      <c r="C123" s="82"/>
      <c r="D123" s="4"/>
      <c r="E123" s="82" t="s">
        <v>505</v>
      </c>
      <c r="F123" s="176">
        <v>32.4</v>
      </c>
      <c r="G123" s="14">
        <f t="shared" si="84"/>
        <v>32400</v>
      </c>
      <c r="H123" s="185">
        <v>30</v>
      </c>
      <c r="I123" s="174" t="s">
        <v>2439</v>
      </c>
      <c r="J123" s="167" t="s">
        <v>2399</v>
      </c>
      <c r="K123" s="172">
        <v>1501</v>
      </c>
      <c r="L123" s="4"/>
      <c r="M123" s="167" t="s">
        <v>2399</v>
      </c>
      <c r="N123" s="168" t="s">
        <v>2401</v>
      </c>
      <c r="O123" s="4"/>
      <c r="P123" s="4"/>
      <c r="Q123" s="179">
        <v>56000</v>
      </c>
      <c r="R123" s="180">
        <v>2500</v>
      </c>
      <c r="S123" s="82"/>
      <c r="T123" s="180">
        <v>13000</v>
      </c>
      <c r="U123" s="5">
        <f t="shared" ref="U123:U125" si="93">S123+R123+Q123-T123</f>
        <v>45500</v>
      </c>
      <c r="V123" s="5">
        <f t="shared" ref="V123" si="94">F123*U123</f>
        <v>1474200</v>
      </c>
      <c r="W123" s="5"/>
      <c r="X123" s="5">
        <f t="shared" ref="X123" si="95">V123*9%</f>
        <v>132678</v>
      </c>
      <c r="Y123" s="5">
        <f t="shared" ref="Y123" si="96">V123*9%</f>
        <v>132678</v>
      </c>
      <c r="Z123" s="181">
        <v>2457.66</v>
      </c>
      <c r="AA123" s="5">
        <f t="shared" ref="AA123" si="97">F123*Z123</f>
        <v>79628.183999999994</v>
      </c>
      <c r="AB123" s="181">
        <f t="shared" si="89"/>
        <v>14333.073119999999</v>
      </c>
      <c r="AC123" s="43"/>
      <c r="AD123" s="5"/>
      <c r="AE123" s="5">
        <f t="shared" si="90"/>
        <v>1833517.25712</v>
      </c>
      <c r="AF123" s="139">
        <v>753</v>
      </c>
      <c r="AG123" s="139" t="s">
        <v>2399</v>
      </c>
      <c r="AH123" s="176">
        <v>32.4</v>
      </c>
      <c r="AI123" s="12"/>
      <c r="AJ123" s="40"/>
      <c r="AK123" s="40"/>
    </row>
    <row r="124" spans="2:37" s="41" customFormat="1" ht="16.149999999999999" customHeight="1">
      <c r="B124" s="138"/>
      <c r="C124" s="82"/>
      <c r="D124" s="4"/>
      <c r="E124" s="82" t="s">
        <v>505</v>
      </c>
      <c r="F124" s="176">
        <v>31.85</v>
      </c>
      <c r="G124" s="14">
        <f t="shared" si="84"/>
        <v>31850</v>
      </c>
      <c r="H124" s="185">
        <v>30</v>
      </c>
      <c r="I124" s="174" t="s">
        <v>2438</v>
      </c>
      <c r="J124" s="167" t="s">
        <v>2399</v>
      </c>
      <c r="K124" s="172">
        <v>1502</v>
      </c>
      <c r="L124" s="4"/>
      <c r="M124" s="167" t="s">
        <v>2399</v>
      </c>
      <c r="N124" s="168" t="s">
        <v>2402</v>
      </c>
      <c r="O124" s="4"/>
      <c r="P124" s="4"/>
      <c r="Q124" s="179">
        <v>56000</v>
      </c>
      <c r="R124" s="180">
        <v>2500</v>
      </c>
      <c r="S124" s="82"/>
      <c r="T124" s="180">
        <v>13000</v>
      </c>
      <c r="U124" s="5">
        <f t="shared" si="93"/>
        <v>45500</v>
      </c>
      <c r="V124" s="5">
        <f t="shared" si="91"/>
        <v>1449175</v>
      </c>
      <c r="W124" s="5"/>
      <c r="X124" s="5">
        <f t="shared" si="86"/>
        <v>130425.75</v>
      </c>
      <c r="Y124" s="5">
        <f t="shared" si="87"/>
        <v>130425.75</v>
      </c>
      <c r="Z124" s="181">
        <v>2500.11</v>
      </c>
      <c r="AA124" s="5">
        <f t="shared" si="88"/>
        <v>79628.503500000006</v>
      </c>
      <c r="AB124" s="181">
        <f t="shared" si="89"/>
        <v>14333.130630000001</v>
      </c>
      <c r="AC124" s="43"/>
      <c r="AD124" s="5"/>
      <c r="AE124" s="5">
        <f t="shared" si="90"/>
        <v>1803988.1341300001</v>
      </c>
      <c r="AF124" s="139">
        <v>754</v>
      </c>
      <c r="AG124" s="139" t="s">
        <v>2399</v>
      </c>
      <c r="AH124" s="176">
        <v>31.85</v>
      </c>
      <c r="AI124" s="12"/>
      <c r="AJ124" s="40"/>
      <c r="AK124" s="40"/>
    </row>
    <row r="125" spans="2:37" s="41" customFormat="1" ht="16.149999999999999" customHeight="1">
      <c r="B125" s="138"/>
      <c r="C125" s="82"/>
      <c r="D125" s="4"/>
      <c r="E125" s="82" t="s">
        <v>505</v>
      </c>
      <c r="F125" s="176">
        <v>31.85</v>
      </c>
      <c r="G125" s="14">
        <f t="shared" si="84"/>
        <v>31850</v>
      </c>
      <c r="H125" s="184">
        <v>30</v>
      </c>
      <c r="I125" s="174" t="s">
        <v>2438</v>
      </c>
      <c r="J125" s="167" t="s">
        <v>2399</v>
      </c>
      <c r="K125" s="173">
        <v>1510</v>
      </c>
      <c r="L125" s="4"/>
      <c r="M125" s="167" t="s">
        <v>2399</v>
      </c>
      <c r="N125" s="168" t="s">
        <v>2402</v>
      </c>
      <c r="O125" s="4"/>
      <c r="P125" s="4"/>
      <c r="Q125" s="179">
        <v>56000</v>
      </c>
      <c r="R125" s="180">
        <v>2500</v>
      </c>
      <c r="S125" s="82"/>
      <c r="T125" s="180">
        <v>13000</v>
      </c>
      <c r="U125" s="5">
        <f t="shared" si="93"/>
        <v>45500</v>
      </c>
      <c r="V125" s="5">
        <f t="shared" ref="V125" si="98">F125*U125</f>
        <v>1449175</v>
      </c>
      <c r="W125" s="5"/>
      <c r="X125" s="5">
        <f t="shared" ref="X125" si="99">V125*9%</f>
        <v>130425.75</v>
      </c>
      <c r="Y125" s="5">
        <f t="shared" ref="Y125" si="100">V125*9%</f>
        <v>130425.75</v>
      </c>
      <c r="Z125" s="181">
        <v>2500.11</v>
      </c>
      <c r="AA125" s="5">
        <f t="shared" ref="AA125" si="101">F125*Z125</f>
        <v>79628.503500000006</v>
      </c>
      <c r="AB125" s="181">
        <f t="shared" si="89"/>
        <v>14333.130630000001</v>
      </c>
      <c r="AC125" s="43"/>
      <c r="AD125" s="5"/>
      <c r="AE125" s="5">
        <f t="shared" ref="AE125" si="102">+AB125+AA125+Y125+X125+W125+V125-AC125+AD125</f>
        <v>1803988.1341300001</v>
      </c>
      <c r="AF125" s="139">
        <v>755</v>
      </c>
      <c r="AG125" s="139" t="s">
        <v>2399</v>
      </c>
      <c r="AH125" s="176">
        <v>31.85</v>
      </c>
      <c r="AI125" s="12"/>
      <c r="AJ125" s="40"/>
      <c r="AK125" s="40"/>
    </row>
    <row r="126" spans="2:37" s="41" customFormat="1">
      <c r="B126" s="13"/>
      <c r="C126" s="48"/>
      <c r="D126" s="6"/>
      <c r="E126" s="48"/>
      <c r="F126" s="81">
        <f>SUM(F120:F125)</f>
        <v>194</v>
      </c>
      <c r="G126" s="20">
        <f>SUM(G120:G125)</f>
        <v>194000</v>
      </c>
      <c r="H126" s="21">
        <f>SUM(H120:H125)</f>
        <v>181</v>
      </c>
      <c r="I126" s="2"/>
      <c r="J126" s="7"/>
      <c r="K126" s="7"/>
      <c r="L126" s="7"/>
      <c r="M126" s="2"/>
      <c r="N126" s="6"/>
      <c r="O126" s="6"/>
      <c r="P126" s="6"/>
      <c r="Q126" s="19"/>
      <c r="R126" s="9"/>
      <c r="S126" s="9"/>
      <c r="T126" s="10"/>
      <c r="U126" s="8"/>
      <c r="V126" s="21">
        <f>SUM(V120:V125)</f>
        <v>8827000</v>
      </c>
      <c r="W126" s="21">
        <f>SUM(W120:W125)</f>
        <v>0</v>
      </c>
      <c r="X126" s="21">
        <f>SUM(X120:X125)</f>
        <v>794430</v>
      </c>
      <c r="Y126" s="21">
        <f>SUM(Y120:Y125)</f>
        <v>794430</v>
      </c>
      <c r="Z126" s="99"/>
      <c r="AA126" s="21">
        <f>SUM(AA120:AA125)</f>
        <v>478994.92499999999</v>
      </c>
      <c r="AB126" s="21">
        <f>SUM(AB120:AB125)</f>
        <v>86219.086500000005</v>
      </c>
      <c r="AC126" s="21"/>
      <c r="AD126" s="21">
        <f>SUM(AD120:AD125)</f>
        <v>0</v>
      </c>
      <c r="AE126" s="21">
        <f>SUM(AE120:AE125)</f>
        <v>10981074.011500001</v>
      </c>
      <c r="AF126" s="21"/>
      <c r="AG126" s="42"/>
      <c r="AH126" s="81">
        <f>SUM(AH120:AH125)</f>
        <v>194</v>
      </c>
      <c r="AI126" s="26">
        <f>AH126-F126</f>
        <v>0</v>
      </c>
      <c r="AJ126" s="41">
        <f>AA126/F126</f>
        <v>2469.0460051546393</v>
      </c>
      <c r="AK126" s="40"/>
    </row>
    <row r="127" spans="2:37" s="41" customFormat="1" ht="16.149999999999999" customHeight="1">
      <c r="B127" s="138" t="s">
        <v>2244</v>
      </c>
      <c r="C127" s="82" t="s">
        <v>2394</v>
      </c>
      <c r="D127" s="4"/>
      <c r="E127" s="82" t="s">
        <v>35</v>
      </c>
      <c r="F127" s="188">
        <v>31.72</v>
      </c>
      <c r="G127" s="14">
        <f t="shared" si="75"/>
        <v>31720</v>
      </c>
      <c r="H127" s="185">
        <v>15</v>
      </c>
      <c r="I127" s="171" t="s">
        <v>2404</v>
      </c>
      <c r="J127" s="167" t="s">
        <v>2398</v>
      </c>
      <c r="K127" s="172">
        <v>1524</v>
      </c>
      <c r="L127" s="4"/>
      <c r="M127" s="172" t="s">
        <v>2499</v>
      </c>
      <c r="N127" s="168" t="s">
        <v>2406</v>
      </c>
      <c r="O127" s="4"/>
      <c r="P127" s="4"/>
      <c r="Q127" s="182">
        <v>56000</v>
      </c>
      <c r="R127" s="36">
        <v>4000</v>
      </c>
      <c r="S127" s="36"/>
      <c r="T127" s="37">
        <v>12500</v>
      </c>
      <c r="U127" s="5">
        <f t="shared" ref="U127" si="103">S127+R127+Q127-T127</f>
        <v>47500</v>
      </c>
      <c r="V127" s="5">
        <f>F127*U127</f>
        <v>1506700</v>
      </c>
      <c r="W127" s="5"/>
      <c r="X127" s="5">
        <f t="shared" ref="X127" si="104">V127*9%</f>
        <v>135603</v>
      </c>
      <c r="Y127" s="5">
        <f t="shared" ref="Y127" si="105">V127*9%</f>
        <v>135603</v>
      </c>
      <c r="Z127" s="181">
        <v>2318.9699999999998</v>
      </c>
      <c r="AA127" s="5">
        <f t="shared" ref="AA127" si="106">F127*Z127</f>
        <v>73557.728399999993</v>
      </c>
      <c r="AB127" s="181">
        <f t="shared" ref="AB127" si="107">AA127*18%</f>
        <v>13240.391111999998</v>
      </c>
      <c r="AC127" s="43"/>
      <c r="AD127" s="5"/>
      <c r="AE127" s="5">
        <f t="shared" ref="AE127" si="108">+AB127+AA127+Y127+X127+W127+V127-AC127+AD127</f>
        <v>1864704.1195120001</v>
      </c>
      <c r="AF127" s="139"/>
      <c r="AG127" s="139"/>
      <c r="AH127" s="178"/>
      <c r="AI127" s="12"/>
      <c r="AJ127" s="40"/>
      <c r="AK127" s="40"/>
    </row>
    <row r="128" spans="2:37" s="41" customFormat="1" ht="16.149999999999999" customHeight="1">
      <c r="B128" s="138"/>
      <c r="C128" s="82" t="s">
        <v>2403</v>
      </c>
      <c r="D128" s="4"/>
      <c r="E128" s="82" t="s">
        <v>35</v>
      </c>
      <c r="F128" s="189">
        <v>31.72</v>
      </c>
      <c r="G128" s="14">
        <f t="shared" ref="G128" si="109">+F128*1000</f>
        <v>31720</v>
      </c>
      <c r="H128" s="184"/>
      <c r="I128" s="171" t="s">
        <v>2404</v>
      </c>
      <c r="J128" s="167" t="s">
        <v>2398</v>
      </c>
      <c r="K128" s="173"/>
      <c r="L128" s="4"/>
      <c r="M128" s="173"/>
      <c r="N128" s="168" t="s">
        <v>2406</v>
      </c>
      <c r="O128" s="4"/>
      <c r="P128" s="4"/>
      <c r="Q128" s="182">
        <v>56000</v>
      </c>
      <c r="R128" s="36">
        <v>4000</v>
      </c>
      <c r="S128" s="36"/>
      <c r="T128" s="37">
        <v>12500</v>
      </c>
      <c r="U128" s="5">
        <f t="shared" ref="U128" si="110">S128+R128+Q128-T128</f>
        <v>47500</v>
      </c>
      <c r="V128" s="5">
        <f>F128*U128</f>
        <v>1506700</v>
      </c>
      <c r="W128" s="5"/>
      <c r="X128" s="5">
        <f t="shared" ref="X128" si="111">V128*9%</f>
        <v>135603</v>
      </c>
      <c r="Y128" s="5">
        <f t="shared" ref="Y128" si="112">V128*9%</f>
        <v>135603</v>
      </c>
      <c r="Z128" s="181">
        <v>2318.9699999999998</v>
      </c>
      <c r="AA128" s="5">
        <f t="shared" ref="AA128" si="113">F128*Z128</f>
        <v>73557.728399999993</v>
      </c>
      <c r="AB128" s="181">
        <f t="shared" ref="AB128" si="114">AA128*18%</f>
        <v>13240.391111999998</v>
      </c>
      <c r="AC128" s="43"/>
      <c r="AD128" s="5"/>
      <c r="AE128" s="5">
        <f t="shared" ref="AE128" si="115">+AB128+AA128+Y128+X128+W128+V128-AC128+AD128</f>
        <v>1864704.1195120001</v>
      </c>
      <c r="AF128" s="139"/>
      <c r="AG128" s="139"/>
      <c r="AH128" s="178"/>
      <c r="AI128" s="12"/>
      <c r="AJ128" s="40"/>
      <c r="AK128" s="40"/>
    </row>
    <row r="129" spans="2:37" s="41" customFormat="1" ht="16.149999999999999" customHeight="1">
      <c r="B129" s="138"/>
      <c r="C129" s="82"/>
      <c r="D129" s="4"/>
      <c r="E129" s="82" t="s">
        <v>35</v>
      </c>
      <c r="F129" s="188">
        <v>31.8</v>
      </c>
      <c r="G129" s="14">
        <f t="shared" si="75"/>
        <v>31800</v>
      </c>
      <c r="H129" s="185">
        <v>15</v>
      </c>
      <c r="I129" s="171" t="s">
        <v>2405</v>
      </c>
      <c r="J129" s="167" t="s">
        <v>2398</v>
      </c>
      <c r="K129" s="172">
        <v>1521</v>
      </c>
      <c r="L129" s="4"/>
      <c r="M129" s="172" t="s">
        <v>2500</v>
      </c>
      <c r="N129" s="168" t="s">
        <v>2407</v>
      </c>
      <c r="O129" s="4"/>
      <c r="P129" s="4"/>
      <c r="Q129" s="182">
        <v>56000</v>
      </c>
      <c r="R129" s="36">
        <v>4000</v>
      </c>
      <c r="S129" s="36"/>
      <c r="T129" s="37">
        <v>12500</v>
      </c>
      <c r="U129" s="5">
        <f t="shared" ref="U129:U143" si="116">S129+R129+Q129-T129</f>
        <v>47500</v>
      </c>
      <c r="V129" s="5">
        <f t="shared" ref="V129:V143" si="117">F129*U129</f>
        <v>1510500</v>
      </c>
      <c r="W129" s="5"/>
      <c r="X129" s="5">
        <f t="shared" ref="X129:X143" si="118">V129*9%</f>
        <v>135945</v>
      </c>
      <c r="Y129" s="5">
        <f t="shared" ref="Y129:Y143" si="119">V129*9%</f>
        <v>135945</v>
      </c>
      <c r="Z129" s="181">
        <v>2313.14</v>
      </c>
      <c r="AA129" s="5">
        <f t="shared" ref="AA129:AA143" si="120">F129*Z129</f>
        <v>73557.851999999999</v>
      </c>
      <c r="AB129" s="181">
        <f t="shared" ref="AB129:AB143" si="121">AA129*18%</f>
        <v>13240.413359999999</v>
      </c>
      <c r="AC129" s="43"/>
      <c r="AD129" s="5"/>
      <c r="AE129" s="5">
        <f t="shared" ref="AE129:AE143" si="122">+AB129+AA129+Y129+X129+W129+V129-AC129+AD129</f>
        <v>1869188.2653600001</v>
      </c>
      <c r="AF129" s="139"/>
      <c r="AG129" s="139"/>
      <c r="AH129" s="176"/>
      <c r="AI129" s="12"/>
      <c r="AJ129" s="40"/>
      <c r="AK129" s="40"/>
    </row>
    <row r="130" spans="2:37" s="41" customFormat="1" ht="16.149999999999999" customHeight="1">
      <c r="B130" s="138"/>
      <c r="C130" s="82"/>
      <c r="D130" s="4"/>
      <c r="E130" s="82" t="s">
        <v>35</v>
      </c>
      <c r="F130" s="189">
        <v>31.8</v>
      </c>
      <c r="G130" s="14">
        <f t="shared" ref="G130" si="123">+F130*1000</f>
        <v>31800</v>
      </c>
      <c r="H130" s="184">
        <v>15</v>
      </c>
      <c r="I130" s="171" t="s">
        <v>2405</v>
      </c>
      <c r="J130" s="167" t="s">
        <v>2398</v>
      </c>
      <c r="K130" s="173">
        <v>1520</v>
      </c>
      <c r="L130" s="4"/>
      <c r="M130" s="173" t="s">
        <v>2500</v>
      </c>
      <c r="N130" s="168" t="s">
        <v>2407</v>
      </c>
      <c r="O130" s="4"/>
      <c r="P130" s="4"/>
      <c r="Q130" s="182">
        <v>56000</v>
      </c>
      <c r="R130" s="36">
        <v>4000</v>
      </c>
      <c r="S130" s="36"/>
      <c r="T130" s="37">
        <v>12500</v>
      </c>
      <c r="U130" s="5">
        <f t="shared" ref="U130" si="124">S130+R130+Q130-T130</f>
        <v>47500</v>
      </c>
      <c r="V130" s="5">
        <f t="shared" ref="V130" si="125">F130*U130</f>
        <v>1510500</v>
      </c>
      <c r="W130" s="5"/>
      <c r="X130" s="5">
        <f t="shared" ref="X130" si="126">V130*9%</f>
        <v>135945</v>
      </c>
      <c r="Y130" s="5">
        <f t="shared" ref="Y130" si="127">V130*9%</f>
        <v>135945</v>
      </c>
      <c r="Z130" s="181">
        <v>2313.14</v>
      </c>
      <c r="AA130" s="5">
        <f t="shared" ref="AA130" si="128">F130*Z130</f>
        <v>73557.851999999999</v>
      </c>
      <c r="AB130" s="181">
        <f t="shared" ref="AB130" si="129">AA130*18%</f>
        <v>13240.413359999999</v>
      </c>
      <c r="AC130" s="43"/>
      <c r="AD130" s="5"/>
      <c r="AE130" s="5">
        <f t="shared" ref="AE130" si="130">+AB130+AA130+Y130+X130+W130+V130-AC130+AD130</f>
        <v>1869188.2653600001</v>
      </c>
      <c r="AF130" s="139"/>
      <c r="AG130" s="139"/>
      <c r="AH130" s="176"/>
      <c r="AI130" s="12"/>
      <c r="AJ130" s="40"/>
      <c r="AK130" s="40"/>
    </row>
    <row r="131" spans="2:37" s="41" customFormat="1" ht="16.149999999999999" customHeight="1">
      <c r="B131" s="138"/>
      <c r="C131" s="82"/>
      <c r="D131" s="4"/>
      <c r="E131" s="82" t="s">
        <v>35</v>
      </c>
      <c r="F131" s="188">
        <v>31.79</v>
      </c>
      <c r="G131" s="14">
        <f t="shared" si="75"/>
        <v>31790</v>
      </c>
      <c r="H131" s="185">
        <v>15</v>
      </c>
      <c r="I131" s="171" t="s">
        <v>2408</v>
      </c>
      <c r="J131" s="167" t="s">
        <v>2398</v>
      </c>
      <c r="K131" s="172">
        <v>1522</v>
      </c>
      <c r="L131" s="4"/>
      <c r="M131" s="172" t="s">
        <v>2499</v>
      </c>
      <c r="N131" s="168" t="s">
        <v>2409</v>
      </c>
      <c r="O131" s="4"/>
      <c r="P131" s="4"/>
      <c r="Q131" s="182">
        <v>56000</v>
      </c>
      <c r="R131" s="36">
        <v>4000</v>
      </c>
      <c r="S131" s="36"/>
      <c r="T131" s="37">
        <v>12500</v>
      </c>
      <c r="U131" s="5">
        <f t="shared" si="116"/>
        <v>47500</v>
      </c>
      <c r="V131" s="5">
        <f t="shared" si="117"/>
        <v>1510025</v>
      </c>
      <c r="W131" s="5"/>
      <c r="X131" s="5">
        <f t="shared" si="118"/>
        <v>135902.25</v>
      </c>
      <c r="Y131" s="5">
        <f t="shared" si="119"/>
        <v>135902.25</v>
      </c>
      <c r="Z131" s="181">
        <v>2313.87</v>
      </c>
      <c r="AA131" s="5">
        <f t="shared" si="120"/>
        <v>73557.927299999996</v>
      </c>
      <c r="AB131" s="181">
        <f t="shared" si="121"/>
        <v>13240.426913999998</v>
      </c>
      <c r="AC131" s="43"/>
      <c r="AD131" s="5"/>
      <c r="AE131" s="5">
        <f t="shared" si="122"/>
        <v>1868627.854214</v>
      </c>
      <c r="AF131" s="139"/>
      <c r="AG131" s="139"/>
      <c r="AH131" s="176"/>
      <c r="AI131" s="12"/>
      <c r="AJ131" s="40"/>
      <c r="AK131" s="40"/>
    </row>
    <row r="132" spans="2:37" s="41" customFormat="1" ht="16.149999999999999" customHeight="1">
      <c r="B132" s="138"/>
      <c r="C132" s="82"/>
      <c r="D132" s="4"/>
      <c r="E132" s="82" t="s">
        <v>35</v>
      </c>
      <c r="F132" s="189">
        <v>31.79</v>
      </c>
      <c r="G132" s="14">
        <f t="shared" ref="G132" si="131">+F132*1000</f>
        <v>31790</v>
      </c>
      <c r="H132" s="184">
        <v>15</v>
      </c>
      <c r="I132" s="171" t="s">
        <v>2408</v>
      </c>
      <c r="J132" s="167" t="s">
        <v>2398</v>
      </c>
      <c r="K132" s="173">
        <v>1523</v>
      </c>
      <c r="L132" s="4"/>
      <c r="M132" s="173" t="s">
        <v>2499</v>
      </c>
      <c r="N132" s="168" t="s">
        <v>2409</v>
      </c>
      <c r="O132" s="4"/>
      <c r="P132" s="4"/>
      <c r="Q132" s="182">
        <v>56000</v>
      </c>
      <c r="R132" s="36">
        <v>4000</v>
      </c>
      <c r="S132" s="36"/>
      <c r="T132" s="37">
        <v>12500</v>
      </c>
      <c r="U132" s="5">
        <f t="shared" ref="U132" si="132">S132+R132+Q132-T132</f>
        <v>47500</v>
      </c>
      <c r="V132" s="5">
        <f t="shared" ref="V132" si="133">F132*U132</f>
        <v>1510025</v>
      </c>
      <c r="W132" s="5"/>
      <c r="X132" s="5">
        <f t="shared" ref="X132" si="134">V132*9%</f>
        <v>135902.25</v>
      </c>
      <c r="Y132" s="5">
        <f t="shared" ref="Y132" si="135">V132*9%</f>
        <v>135902.25</v>
      </c>
      <c r="Z132" s="181">
        <v>2313.87</v>
      </c>
      <c r="AA132" s="5">
        <f t="shared" ref="AA132" si="136">F132*Z132</f>
        <v>73557.927299999996</v>
      </c>
      <c r="AB132" s="181">
        <f t="shared" ref="AB132" si="137">AA132*18%</f>
        <v>13240.426913999998</v>
      </c>
      <c r="AC132" s="43"/>
      <c r="AD132" s="5"/>
      <c r="AE132" s="5">
        <f t="shared" ref="AE132" si="138">+AB132+AA132+Y132+X132+W132+V132-AC132+AD132</f>
        <v>1868627.854214</v>
      </c>
      <c r="AF132" s="139"/>
      <c r="AG132" s="139"/>
      <c r="AH132" s="176"/>
      <c r="AI132" s="12"/>
      <c r="AJ132" s="40"/>
      <c r="AK132" s="40"/>
    </row>
    <row r="133" spans="2:37" s="41" customFormat="1" ht="16.149999999999999" customHeight="1">
      <c r="B133" s="138"/>
      <c r="C133" s="82"/>
      <c r="D133" s="4"/>
      <c r="E133" s="82" t="s">
        <v>35</v>
      </c>
      <c r="F133" s="188">
        <v>31.76</v>
      </c>
      <c r="G133" s="14">
        <f t="shared" ref="G133:G141" si="139">+F133*1000</f>
        <v>31760</v>
      </c>
      <c r="H133" s="185">
        <v>15</v>
      </c>
      <c r="I133" s="171" t="s">
        <v>2410</v>
      </c>
      <c r="J133" s="167" t="s">
        <v>2398</v>
      </c>
      <c r="K133" s="172">
        <v>1526</v>
      </c>
      <c r="L133" s="4"/>
      <c r="M133" s="172" t="s">
        <v>2499</v>
      </c>
      <c r="N133" s="168" t="s">
        <v>2411</v>
      </c>
      <c r="O133" s="4"/>
      <c r="P133" s="4"/>
      <c r="Q133" s="182">
        <v>56000</v>
      </c>
      <c r="R133" s="36">
        <v>4000</v>
      </c>
      <c r="S133" s="36"/>
      <c r="T133" s="37">
        <v>12500</v>
      </c>
      <c r="U133" s="5">
        <f t="shared" si="116"/>
        <v>47500</v>
      </c>
      <c r="V133" s="5">
        <f t="shared" si="117"/>
        <v>1508600</v>
      </c>
      <c r="W133" s="5"/>
      <c r="X133" s="5">
        <f t="shared" si="118"/>
        <v>135774</v>
      </c>
      <c r="Y133" s="5">
        <f t="shared" si="119"/>
        <v>135774</v>
      </c>
      <c r="Z133" s="181">
        <v>2316.0500000000002</v>
      </c>
      <c r="AA133" s="5">
        <f t="shared" si="120"/>
        <v>73557.748000000007</v>
      </c>
      <c r="AB133" s="181">
        <f t="shared" si="121"/>
        <v>13240.39464</v>
      </c>
      <c r="AC133" s="43"/>
      <c r="AD133" s="5"/>
      <c r="AE133" s="5">
        <f t="shared" si="122"/>
        <v>1866946.14264</v>
      </c>
      <c r="AF133" s="139"/>
      <c r="AG133" s="139"/>
      <c r="AH133" s="176"/>
      <c r="AI133" s="12"/>
      <c r="AJ133" s="40"/>
      <c r="AK133" s="40"/>
    </row>
    <row r="134" spans="2:37" s="41" customFormat="1" ht="16.149999999999999" customHeight="1">
      <c r="B134" s="138"/>
      <c r="C134" s="82"/>
      <c r="D134" s="4"/>
      <c r="E134" s="82" t="s">
        <v>35</v>
      </c>
      <c r="F134" s="189">
        <v>31.76</v>
      </c>
      <c r="G134" s="14">
        <f t="shared" ref="G134" si="140">+F134*1000</f>
        <v>31760</v>
      </c>
      <c r="H134" s="184">
        <v>15</v>
      </c>
      <c r="I134" s="171" t="s">
        <v>2410</v>
      </c>
      <c r="J134" s="167" t="s">
        <v>2398</v>
      </c>
      <c r="K134" s="173">
        <v>1525</v>
      </c>
      <c r="L134" s="4"/>
      <c r="M134" s="173" t="s">
        <v>2499</v>
      </c>
      <c r="N134" s="168" t="s">
        <v>2411</v>
      </c>
      <c r="O134" s="4"/>
      <c r="P134" s="4"/>
      <c r="Q134" s="182">
        <v>56000</v>
      </c>
      <c r="R134" s="36">
        <v>4000</v>
      </c>
      <c r="S134" s="36"/>
      <c r="T134" s="37">
        <v>12500</v>
      </c>
      <c r="U134" s="5">
        <f t="shared" ref="U134" si="141">S134+R134+Q134-T134</f>
        <v>47500</v>
      </c>
      <c r="V134" s="5">
        <f t="shared" ref="V134" si="142">F134*U134</f>
        <v>1508600</v>
      </c>
      <c r="W134" s="5"/>
      <c r="X134" s="5">
        <f t="shared" ref="X134" si="143">V134*9%</f>
        <v>135774</v>
      </c>
      <c r="Y134" s="5">
        <f t="shared" ref="Y134" si="144">V134*9%</f>
        <v>135774</v>
      </c>
      <c r="Z134" s="181">
        <v>2316.0500000000002</v>
      </c>
      <c r="AA134" s="5">
        <f t="shared" ref="AA134" si="145">F134*Z134</f>
        <v>73557.748000000007</v>
      </c>
      <c r="AB134" s="181">
        <f t="shared" ref="AB134" si="146">AA134*18%</f>
        <v>13240.39464</v>
      </c>
      <c r="AC134" s="43"/>
      <c r="AD134" s="5"/>
      <c r="AE134" s="5">
        <f t="shared" ref="AE134" si="147">+AB134+AA134+Y134+X134+W134+V134-AC134+AD134</f>
        <v>1866946.14264</v>
      </c>
      <c r="AF134" s="139"/>
      <c r="AG134" s="139"/>
      <c r="AH134" s="176"/>
      <c r="AI134" s="12"/>
      <c r="AJ134" s="40"/>
      <c r="AK134" s="40"/>
    </row>
    <row r="135" spans="2:37" s="41" customFormat="1" ht="16.149999999999999" customHeight="1">
      <c r="B135" s="138"/>
      <c r="C135" s="82"/>
      <c r="D135" s="4"/>
      <c r="E135" s="82" t="s">
        <v>35</v>
      </c>
      <c r="F135" s="188">
        <v>31.87</v>
      </c>
      <c r="G135" s="14">
        <f t="shared" si="139"/>
        <v>31870</v>
      </c>
      <c r="H135" s="185">
        <v>15</v>
      </c>
      <c r="I135" s="171" t="s">
        <v>2412</v>
      </c>
      <c r="J135" s="167" t="s">
        <v>2398</v>
      </c>
      <c r="K135" s="172">
        <v>1515</v>
      </c>
      <c r="L135" s="4"/>
      <c r="M135" s="172" t="s">
        <v>2500</v>
      </c>
      <c r="N135" s="168" t="s">
        <v>2413</v>
      </c>
      <c r="O135" s="4"/>
      <c r="P135" s="4"/>
      <c r="Q135" s="182">
        <v>56000</v>
      </c>
      <c r="R135" s="36">
        <v>4000</v>
      </c>
      <c r="S135" s="36"/>
      <c r="T135" s="37">
        <v>12500</v>
      </c>
      <c r="U135" s="5">
        <f t="shared" si="116"/>
        <v>47500</v>
      </c>
      <c r="V135" s="5">
        <f t="shared" si="117"/>
        <v>1513825</v>
      </c>
      <c r="W135" s="5"/>
      <c r="X135" s="5">
        <f t="shared" si="118"/>
        <v>136244.25</v>
      </c>
      <c r="Y135" s="5">
        <f t="shared" si="119"/>
        <v>136244.25</v>
      </c>
      <c r="Z135" s="181">
        <v>2308.06</v>
      </c>
      <c r="AA135" s="5">
        <f t="shared" si="120"/>
        <v>73557.872199999998</v>
      </c>
      <c r="AB135" s="181">
        <f t="shared" si="121"/>
        <v>13240.416996</v>
      </c>
      <c r="AC135" s="43"/>
      <c r="AD135" s="5"/>
      <c r="AE135" s="5">
        <f t="shared" si="122"/>
        <v>1873111.789196</v>
      </c>
      <c r="AF135" s="139"/>
      <c r="AG135" s="139"/>
      <c r="AH135" s="176"/>
      <c r="AI135" s="12"/>
      <c r="AJ135" s="40"/>
      <c r="AK135" s="40"/>
    </row>
    <row r="136" spans="2:37" s="41" customFormat="1" ht="16.149999999999999" customHeight="1">
      <c r="B136" s="138"/>
      <c r="C136" s="82"/>
      <c r="D136" s="4"/>
      <c r="E136" s="82" t="s">
        <v>35</v>
      </c>
      <c r="F136" s="189">
        <v>31.87</v>
      </c>
      <c r="G136" s="14">
        <f t="shared" ref="G136" si="148">+F136*1000</f>
        <v>31870</v>
      </c>
      <c r="H136" s="184">
        <v>15</v>
      </c>
      <c r="I136" s="171" t="s">
        <v>2412</v>
      </c>
      <c r="J136" s="167" t="s">
        <v>2398</v>
      </c>
      <c r="K136" s="173">
        <v>1516</v>
      </c>
      <c r="L136" s="4"/>
      <c r="M136" s="172" t="s">
        <v>2500</v>
      </c>
      <c r="N136" s="168" t="s">
        <v>2413</v>
      </c>
      <c r="O136" s="4"/>
      <c r="P136" s="4"/>
      <c r="Q136" s="182">
        <v>56000</v>
      </c>
      <c r="R136" s="36">
        <v>4000</v>
      </c>
      <c r="S136" s="36"/>
      <c r="T136" s="37">
        <v>12500</v>
      </c>
      <c r="U136" s="5">
        <f t="shared" ref="U136" si="149">S136+R136+Q136-T136</f>
        <v>47500</v>
      </c>
      <c r="V136" s="5">
        <f t="shared" ref="V136" si="150">F136*U136</f>
        <v>1513825</v>
      </c>
      <c r="W136" s="5"/>
      <c r="X136" s="5">
        <f t="shared" ref="X136" si="151">V136*9%</f>
        <v>136244.25</v>
      </c>
      <c r="Y136" s="5">
        <f t="shared" ref="Y136" si="152">V136*9%</f>
        <v>136244.25</v>
      </c>
      <c r="Z136" s="181">
        <v>2308.06</v>
      </c>
      <c r="AA136" s="5">
        <f t="shared" ref="AA136" si="153">F136*Z136</f>
        <v>73557.872199999998</v>
      </c>
      <c r="AB136" s="181">
        <f t="shared" ref="AB136" si="154">AA136*18%</f>
        <v>13240.416996</v>
      </c>
      <c r="AC136" s="43"/>
      <c r="AD136" s="5"/>
      <c r="AE136" s="5">
        <f t="shared" ref="AE136" si="155">+AB136+AA136+Y136+X136+W136+V136-AC136+AD136</f>
        <v>1873111.789196</v>
      </c>
      <c r="AF136" s="139"/>
      <c r="AG136" s="139"/>
      <c r="AH136" s="176"/>
      <c r="AI136" s="12"/>
      <c r="AJ136" s="40"/>
      <c r="AK136" s="40"/>
    </row>
    <row r="137" spans="2:37" s="41" customFormat="1" ht="16.149999999999999" customHeight="1">
      <c r="B137" s="138"/>
      <c r="C137" s="82"/>
      <c r="D137" s="4"/>
      <c r="E137" s="82" t="s">
        <v>35</v>
      </c>
      <c r="F137" s="188">
        <v>31.59</v>
      </c>
      <c r="G137" s="14">
        <f t="shared" si="139"/>
        <v>31590</v>
      </c>
      <c r="H137" s="185">
        <v>15</v>
      </c>
      <c r="I137" s="171" t="s">
        <v>2414</v>
      </c>
      <c r="J137" s="167" t="s">
        <v>2398</v>
      </c>
      <c r="K137" s="172">
        <v>1532</v>
      </c>
      <c r="L137" s="4"/>
      <c r="M137" s="172" t="s">
        <v>2499</v>
      </c>
      <c r="N137" s="168" t="s">
        <v>2415</v>
      </c>
      <c r="O137" s="4"/>
      <c r="P137" s="4"/>
      <c r="Q137" s="182">
        <v>56000</v>
      </c>
      <c r="R137" s="36">
        <v>4000</v>
      </c>
      <c r="S137" s="36"/>
      <c r="T137" s="37">
        <v>12500</v>
      </c>
      <c r="U137" s="5">
        <f t="shared" si="116"/>
        <v>47500</v>
      </c>
      <c r="V137" s="5">
        <f t="shared" si="117"/>
        <v>1500525</v>
      </c>
      <c r="W137" s="5"/>
      <c r="X137" s="5">
        <f t="shared" si="118"/>
        <v>135047.25</v>
      </c>
      <c r="Y137" s="5">
        <f t="shared" si="119"/>
        <v>135047.25</v>
      </c>
      <c r="Z137" s="181">
        <v>2328.52</v>
      </c>
      <c r="AA137" s="5">
        <f t="shared" si="120"/>
        <v>73557.946800000005</v>
      </c>
      <c r="AB137" s="181">
        <f t="shared" si="121"/>
        <v>13240.430424</v>
      </c>
      <c r="AC137" s="43"/>
      <c r="AD137" s="5"/>
      <c r="AE137" s="5">
        <f t="shared" si="122"/>
        <v>1857417.8772239999</v>
      </c>
      <c r="AF137" s="139"/>
      <c r="AG137" s="139"/>
      <c r="AH137" s="176"/>
      <c r="AI137" s="12"/>
      <c r="AJ137" s="40"/>
      <c r="AK137" s="40"/>
    </row>
    <row r="138" spans="2:37" s="41" customFormat="1" ht="16.149999999999999" customHeight="1">
      <c r="B138" s="138"/>
      <c r="C138" s="82"/>
      <c r="D138" s="4"/>
      <c r="E138" s="82" t="s">
        <v>35</v>
      </c>
      <c r="F138" s="189">
        <v>31.59</v>
      </c>
      <c r="G138" s="14">
        <f t="shared" ref="G138" si="156">+F138*1000</f>
        <v>31590</v>
      </c>
      <c r="H138" s="184">
        <v>15</v>
      </c>
      <c r="I138" s="171" t="s">
        <v>2414</v>
      </c>
      <c r="J138" s="167" t="s">
        <v>2398</v>
      </c>
      <c r="K138" s="173">
        <v>1533</v>
      </c>
      <c r="L138" s="4"/>
      <c r="M138" s="173" t="s">
        <v>2499</v>
      </c>
      <c r="N138" s="168" t="s">
        <v>2415</v>
      </c>
      <c r="O138" s="4"/>
      <c r="P138" s="4"/>
      <c r="Q138" s="182">
        <v>56000</v>
      </c>
      <c r="R138" s="36">
        <v>4000</v>
      </c>
      <c r="S138" s="36"/>
      <c r="T138" s="37">
        <v>12500</v>
      </c>
      <c r="U138" s="5">
        <f t="shared" ref="U138" si="157">S138+R138+Q138-T138</f>
        <v>47500</v>
      </c>
      <c r="V138" s="5">
        <f t="shared" ref="V138" si="158">F138*U138</f>
        <v>1500525</v>
      </c>
      <c r="W138" s="5"/>
      <c r="X138" s="5">
        <f t="shared" ref="X138" si="159">V138*9%</f>
        <v>135047.25</v>
      </c>
      <c r="Y138" s="5">
        <f t="shared" ref="Y138" si="160">V138*9%</f>
        <v>135047.25</v>
      </c>
      <c r="Z138" s="181">
        <v>2328.52</v>
      </c>
      <c r="AA138" s="5">
        <f t="shared" ref="AA138" si="161">F138*Z138</f>
        <v>73557.946800000005</v>
      </c>
      <c r="AB138" s="181">
        <f t="shared" ref="AB138" si="162">AA138*18%</f>
        <v>13240.430424</v>
      </c>
      <c r="AC138" s="43"/>
      <c r="AD138" s="5"/>
      <c r="AE138" s="5">
        <f t="shared" ref="AE138" si="163">+AB138+AA138+Y138+X138+W138+V138-AC138+AD138</f>
        <v>1857417.8772239999</v>
      </c>
      <c r="AF138" s="139"/>
      <c r="AG138" s="139"/>
      <c r="AH138" s="176"/>
      <c r="AI138" s="12"/>
      <c r="AJ138" s="40"/>
      <c r="AK138" s="40"/>
    </row>
    <row r="139" spans="2:37" s="41" customFormat="1" ht="16.149999999999999" customHeight="1">
      <c r="B139" s="138"/>
      <c r="C139" s="82"/>
      <c r="D139" s="4"/>
      <c r="E139" s="82" t="s">
        <v>35</v>
      </c>
      <c r="F139" s="188">
        <v>31.69</v>
      </c>
      <c r="G139" s="14">
        <f t="shared" si="139"/>
        <v>31690</v>
      </c>
      <c r="H139" s="185">
        <v>15</v>
      </c>
      <c r="I139" s="171" t="s">
        <v>2416</v>
      </c>
      <c r="J139" s="167" t="s">
        <v>2398</v>
      </c>
      <c r="K139" s="172">
        <v>1518</v>
      </c>
      <c r="L139" s="4"/>
      <c r="M139" s="172" t="s">
        <v>2500</v>
      </c>
      <c r="N139" s="168" t="s">
        <v>2417</v>
      </c>
      <c r="O139" s="4"/>
      <c r="P139" s="4"/>
      <c r="Q139" s="182">
        <v>56000</v>
      </c>
      <c r="R139" s="36">
        <v>4000</v>
      </c>
      <c r="S139" s="36"/>
      <c r="T139" s="37">
        <v>12500</v>
      </c>
      <c r="U139" s="5">
        <f t="shared" si="116"/>
        <v>47500</v>
      </c>
      <c r="V139" s="5">
        <f t="shared" si="117"/>
        <v>1505275</v>
      </c>
      <c r="W139" s="5"/>
      <c r="X139" s="5">
        <f t="shared" si="118"/>
        <v>135474.75</v>
      </c>
      <c r="Y139" s="5">
        <f t="shared" si="119"/>
        <v>135474.75</v>
      </c>
      <c r="Z139" s="181">
        <v>2321.17</v>
      </c>
      <c r="AA139" s="5">
        <f t="shared" si="120"/>
        <v>73557.877300000007</v>
      </c>
      <c r="AB139" s="181">
        <f t="shared" si="121"/>
        <v>13240.417914000001</v>
      </c>
      <c r="AC139" s="43"/>
      <c r="AD139" s="5"/>
      <c r="AE139" s="5">
        <f t="shared" si="122"/>
        <v>1863022.7952140002</v>
      </c>
      <c r="AF139" s="139"/>
      <c r="AG139" s="139"/>
      <c r="AH139" s="176"/>
      <c r="AI139" s="12"/>
      <c r="AJ139" s="40"/>
      <c r="AK139" s="40"/>
    </row>
    <row r="140" spans="2:37" s="41" customFormat="1" ht="16.149999999999999" customHeight="1">
      <c r="B140" s="138"/>
      <c r="C140" s="82"/>
      <c r="D140" s="4"/>
      <c r="E140" s="82" t="s">
        <v>35</v>
      </c>
      <c r="F140" s="189">
        <v>31.69</v>
      </c>
      <c r="G140" s="14">
        <f t="shared" ref="G140" si="164">+F140*1000</f>
        <v>31690</v>
      </c>
      <c r="H140" s="184">
        <v>15</v>
      </c>
      <c r="I140" s="171" t="s">
        <v>2416</v>
      </c>
      <c r="J140" s="167" t="s">
        <v>2398</v>
      </c>
      <c r="K140" s="173">
        <v>1531</v>
      </c>
      <c r="L140" s="4"/>
      <c r="M140" s="173" t="s">
        <v>2499</v>
      </c>
      <c r="N140" s="168" t="s">
        <v>2417</v>
      </c>
      <c r="O140" s="4"/>
      <c r="P140" s="4"/>
      <c r="Q140" s="182">
        <v>56000</v>
      </c>
      <c r="R140" s="36">
        <v>4000</v>
      </c>
      <c r="S140" s="36"/>
      <c r="T140" s="37">
        <v>12500</v>
      </c>
      <c r="U140" s="5">
        <f t="shared" ref="U140" si="165">S140+R140+Q140-T140</f>
        <v>47500</v>
      </c>
      <c r="V140" s="5">
        <f t="shared" ref="V140" si="166">F140*U140</f>
        <v>1505275</v>
      </c>
      <c r="W140" s="5"/>
      <c r="X140" s="5">
        <f t="shared" ref="X140" si="167">V140*9%</f>
        <v>135474.75</v>
      </c>
      <c r="Y140" s="5">
        <f t="shared" ref="Y140" si="168">V140*9%</f>
        <v>135474.75</v>
      </c>
      <c r="Z140" s="181">
        <v>2321.17</v>
      </c>
      <c r="AA140" s="5">
        <f t="shared" ref="AA140" si="169">F140*Z140</f>
        <v>73557.877300000007</v>
      </c>
      <c r="AB140" s="181">
        <f t="shared" ref="AB140" si="170">AA140*18%</f>
        <v>13240.417914000001</v>
      </c>
      <c r="AC140" s="43"/>
      <c r="AD140" s="5"/>
      <c r="AE140" s="5">
        <f t="shared" ref="AE140" si="171">+AB140+AA140+Y140+X140+W140+V140-AC140+AD140</f>
        <v>1863022.7952140002</v>
      </c>
      <c r="AF140" s="139"/>
      <c r="AG140" s="139"/>
      <c r="AH140" s="176"/>
      <c r="AI140" s="12"/>
      <c r="AJ140" s="40"/>
      <c r="AK140" s="40"/>
    </row>
    <row r="141" spans="2:37" s="41" customFormat="1" ht="16.149999999999999" customHeight="1">
      <c r="B141" s="138"/>
      <c r="C141" s="82"/>
      <c r="D141" s="4"/>
      <c r="E141" s="82" t="s">
        <v>35</v>
      </c>
      <c r="F141" s="188">
        <v>32.67</v>
      </c>
      <c r="G141" s="14">
        <f t="shared" si="139"/>
        <v>32670</v>
      </c>
      <c r="H141" s="185">
        <v>16</v>
      </c>
      <c r="I141" s="171" t="s">
        <v>2418</v>
      </c>
      <c r="J141" s="167" t="s">
        <v>2398</v>
      </c>
      <c r="K141" s="172">
        <v>1534</v>
      </c>
      <c r="L141" s="4"/>
      <c r="M141" s="172" t="s">
        <v>2499</v>
      </c>
      <c r="N141" s="168" t="s">
        <v>2419</v>
      </c>
      <c r="O141" s="4"/>
      <c r="P141" s="4"/>
      <c r="Q141" s="182">
        <v>56000</v>
      </c>
      <c r="R141" s="36">
        <v>4000</v>
      </c>
      <c r="S141" s="36"/>
      <c r="T141" s="37">
        <v>12500</v>
      </c>
      <c r="U141" s="5">
        <f t="shared" si="116"/>
        <v>47500</v>
      </c>
      <c r="V141" s="5">
        <f t="shared" si="117"/>
        <v>1551825</v>
      </c>
      <c r="W141" s="5"/>
      <c r="X141" s="5">
        <f t="shared" si="118"/>
        <v>139664.25</v>
      </c>
      <c r="Y141" s="5">
        <f t="shared" si="119"/>
        <v>139664.25</v>
      </c>
      <c r="Z141" s="181">
        <v>2251.54</v>
      </c>
      <c r="AA141" s="5">
        <f t="shared" si="120"/>
        <v>73557.811799999996</v>
      </c>
      <c r="AB141" s="181">
        <f t="shared" si="121"/>
        <v>13240.406123999999</v>
      </c>
      <c r="AC141" s="43"/>
      <c r="AD141" s="5"/>
      <c r="AE141" s="5">
        <f t="shared" si="122"/>
        <v>1917951.717924</v>
      </c>
      <c r="AF141" s="139"/>
      <c r="AG141" s="139"/>
      <c r="AH141" s="176"/>
      <c r="AI141" s="12"/>
      <c r="AJ141" s="40"/>
      <c r="AK141" s="40"/>
    </row>
    <row r="142" spans="2:37" s="41" customFormat="1" ht="16.149999999999999" customHeight="1">
      <c r="B142" s="138"/>
      <c r="C142" s="82"/>
      <c r="D142" s="4"/>
      <c r="E142" s="82" t="s">
        <v>35</v>
      </c>
      <c r="F142" s="189">
        <v>32.67</v>
      </c>
      <c r="G142" s="14">
        <f t="shared" ref="G142" si="172">+F142*1000</f>
        <v>32670</v>
      </c>
      <c r="H142" s="184">
        <v>15</v>
      </c>
      <c r="I142" s="171" t="s">
        <v>2418</v>
      </c>
      <c r="J142" s="167" t="s">
        <v>2398</v>
      </c>
      <c r="K142" s="173">
        <v>1535</v>
      </c>
      <c r="L142" s="4"/>
      <c r="M142" s="173" t="s">
        <v>2499</v>
      </c>
      <c r="N142" s="168" t="s">
        <v>2419</v>
      </c>
      <c r="O142" s="4"/>
      <c r="P142" s="4"/>
      <c r="Q142" s="182">
        <v>56000</v>
      </c>
      <c r="R142" s="36">
        <v>4000</v>
      </c>
      <c r="S142" s="36"/>
      <c r="T142" s="37">
        <v>12500</v>
      </c>
      <c r="U142" s="5">
        <f t="shared" ref="U142" si="173">S142+R142+Q142-T142</f>
        <v>47500</v>
      </c>
      <c r="V142" s="5">
        <f t="shared" ref="V142" si="174">F142*U142</f>
        <v>1551825</v>
      </c>
      <c r="W142" s="5"/>
      <c r="X142" s="5">
        <f t="shared" ref="X142" si="175">V142*9%</f>
        <v>139664.25</v>
      </c>
      <c r="Y142" s="5">
        <f t="shared" ref="Y142" si="176">V142*9%</f>
        <v>139664.25</v>
      </c>
      <c r="Z142" s="181">
        <v>2251.54</v>
      </c>
      <c r="AA142" s="5">
        <f t="shared" ref="AA142" si="177">F142*Z142</f>
        <v>73557.811799999996</v>
      </c>
      <c r="AB142" s="181">
        <f t="shared" ref="AB142" si="178">AA142*18%</f>
        <v>13240.406123999999</v>
      </c>
      <c r="AC142" s="43"/>
      <c r="AD142" s="5"/>
      <c r="AE142" s="5">
        <f t="shared" ref="AE142" si="179">+AB142+AA142+Y142+X142+W142+V142-AC142+AD142</f>
        <v>1917951.717924</v>
      </c>
      <c r="AF142" s="139"/>
      <c r="AG142" s="139"/>
      <c r="AH142" s="176"/>
      <c r="AI142" s="12"/>
      <c r="AJ142" s="40"/>
      <c r="AK142" s="40"/>
    </row>
    <row r="143" spans="2:37" s="41" customFormat="1" ht="16.149999999999999" customHeight="1">
      <c r="B143" s="138"/>
      <c r="C143" s="82"/>
      <c r="D143" s="4"/>
      <c r="E143" s="82" t="s">
        <v>35</v>
      </c>
      <c r="F143" s="188">
        <v>32.700000000000003</v>
      </c>
      <c r="G143" s="14">
        <f t="shared" si="75"/>
        <v>32700.000000000004</v>
      </c>
      <c r="H143" s="185"/>
      <c r="I143" s="171" t="s">
        <v>2420</v>
      </c>
      <c r="J143" s="167" t="s">
        <v>2398</v>
      </c>
      <c r="K143" s="172"/>
      <c r="L143" s="4"/>
      <c r="M143" s="172"/>
      <c r="N143" s="168" t="s">
        <v>2421</v>
      </c>
      <c r="O143" s="4"/>
      <c r="P143" s="4"/>
      <c r="Q143" s="182">
        <v>56000</v>
      </c>
      <c r="R143" s="36">
        <v>4000</v>
      </c>
      <c r="S143" s="36"/>
      <c r="T143" s="37">
        <v>12500</v>
      </c>
      <c r="U143" s="5">
        <f t="shared" si="116"/>
        <v>47500</v>
      </c>
      <c r="V143" s="5">
        <f t="shared" si="117"/>
        <v>1553250.0000000002</v>
      </c>
      <c r="W143" s="5"/>
      <c r="X143" s="5">
        <f t="shared" si="118"/>
        <v>139792.50000000003</v>
      </c>
      <c r="Y143" s="5">
        <f t="shared" si="119"/>
        <v>139792.50000000003</v>
      </c>
      <c r="Z143" s="181">
        <v>2249.48</v>
      </c>
      <c r="AA143" s="5">
        <f t="shared" si="120"/>
        <v>73557.996000000014</v>
      </c>
      <c r="AB143" s="181">
        <f t="shared" si="121"/>
        <v>13240.439280000002</v>
      </c>
      <c r="AC143" s="43"/>
      <c r="AD143" s="5"/>
      <c r="AE143" s="5">
        <f t="shared" si="122"/>
        <v>1919633.4352800003</v>
      </c>
      <c r="AF143" s="139"/>
      <c r="AG143" s="139"/>
      <c r="AH143" s="176"/>
      <c r="AI143" s="12"/>
      <c r="AJ143" s="40"/>
      <c r="AK143" s="40"/>
    </row>
    <row r="144" spans="2:37" s="41" customFormat="1" ht="16.149999999999999" customHeight="1">
      <c r="B144" s="138"/>
      <c r="C144" s="82"/>
      <c r="D144" s="4"/>
      <c r="E144" s="82" t="s">
        <v>35</v>
      </c>
      <c r="F144" s="189">
        <v>32.700000000000003</v>
      </c>
      <c r="G144" s="14">
        <f t="shared" ref="G144" si="180">+F144*1000</f>
        <v>32700.000000000004</v>
      </c>
      <c r="H144" s="184"/>
      <c r="I144" s="171" t="s">
        <v>2420</v>
      </c>
      <c r="J144" s="167" t="s">
        <v>2398</v>
      </c>
      <c r="K144" s="173"/>
      <c r="L144" s="4"/>
      <c r="M144" s="173"/>
      <c r="N144" s="168" t="s">
        <v>2421</v>
      </c>
      <c r="O144" s="4"/>
      <c r="P144" s="4"/>
      <c r="Q144" s="182">
        <v>56000</v>
      </c>
      <c r="R144" s="36">
        <v>4000</v>
      </c>
      <c r="S144" s="36"/>
      <c r="T144" s="37">
        <v>12500</v>
      </c>
      <c r="U144" s="5">
        <f t="shared" ref="U144" si="181">S144+R144+Q144-T144</f>
        <v>47500</v>
      </c>
      <c r="V144" s="5">
        <f t="shared" ref="V144" si="182">F144*U144</f>
        <v>1553250.0000000002</v>
      </c>
      <c r="W144" s="5"/>
      <c r="X144" s="5">
        <f t="shared" ref="X144" si="183">V144*9%</f>
        <v>139792.50000000003</v>
      </c>
      <c r="Y144" s="5">
        <f t="shared" ref="Y144" si="184">V144*9%</f>
        <v>139792.50000000003</v>
      </c>
      <c r="Z144" s="181">
        <v>2249.48</v>
      </c>
      <c r="AA144" s="5">
        <f t="shared" ref="AA144" si="185">F144*Z144</f>
        <v>73557.996000000014</v>
      </c>
      <c r="AB144" s="181">
        <f t="shared" ref="AB144" si="186">AA144*18%</f>
        <v>13240.439280000002</v>
      </c>
      <c r="AC144" s="43"/>
      <c r="AD144" s="5"/>
      <c r="AE144" s="5">
        <f t="shared" ref="AE144" si="187">+AB144+AA144+Y144+X144+W144+V144-AC144+AD144</f>
        <v>1919633.4352800003</v>
      </c>
      <c r="AF144" s="139"/>
      <c r="AG144" s="139"/>
      <c r="AH144" s="176"/>
      <c r="AI144" s="12"/>
      <c r="AJ144" s="40"/>
      <c r="AK144" s="40"/>
    </row>
    <row r="145" spans="2:37" s="41" customFormat="1" ht="16.149999999999999" customHeight="1">
      <c r="B145" s="138"/>
      <c r="C145" s="82"/>
      <c r="D145" s="4"/>
      <c r="E145" s="82" t="s">
        <v>35</v>
      </c>
      <c r="F145" s="188">
        <v>32.67</v>
      </c>
      <c r="G145" s="14">
        <f t="shared" ref="G145:G151" si="188">+F145*1000</f>
        <v>32670</v>
      </c>
      <c r="H145" s="185">
        <v>16</v>
      </c>
      <c r="I145" s="171" t="s">
        <v>2422</v>
      </c>
      <c r="J145" s="167" t="s">
        <v>2398</v>
      </c>
      <c r="K145" s="172">
        <v>1536</v>
      </c>
      <c r="L145" s="4"/>
      <c r="M145" s="172" t="s">
        <v>2499</v>
      </c>
      <c r="N145" s="168" t="s">
        <v>2423</v>
      </c>
      <c r="O145" s="4"/>
      <c r="P145" s="4"/>
      <c r="Q145" s="182">
        <v>56000</v>
      </c>
      <c r="R145" s="36">
        <v>4000</v>
      </c>
      <c r="S145" s="36"/>
      <c r="T145" s="37">
        <v>12500</v>
      </c>
      <c r="U145" s="5">
        <f t="shared" ref="U145:U151" si="189">S145+R145+Q145-T145</f>
        <v>47500</v>
      </c>
      <c r="V145" s="5">
        <f t="shared" ref="V145:V151" si="190">F145*U145</f>
        <v>1551825</v>
      </c>
      <c r="W145" s="5"/>
      <c r="X145" s="5">
        <f t="shared" ref="X145:X151" si="191">V145*9%</f>
        <v>139664.25</v>
      </c>
      <c r="Y145" s="5">
        <f t="shared" ref="Y145:Y151" si="192">V145*9%</f>
        <v>139664.25</v>
      </c>
      <c r="Z145" s="181">
        <v>2251.54</v>
      </c>
      <c r="AA145" s="5">
        <f t="shared" ref="AA145:AA151" si="193">F145*Z145</f>
        <v>73557.811799999996</v>
      </c>
      <c r="AB145" s="181">
        <f t="shared" ref="AB145:AB151" si="194">AA145*18%</f>
        <v>13240.406123999999</v>
      </c>
      <c r="AC145" s="43"/>
      <c r="AD145" s="5"/>
      <c r="AE145" s="5">
        <f t="shared" ref="AE145:AE151" si="195">+AB145+AA145+Y145+X145+W145+V145-AC145+AD145</f>
        <v>1917951.717924</v>
      </c>
      <c r="AF145" s="139"/>
      <c r="AG145" s="139"/>
      <c r="AH145" s="176"/>
      <c r="AI145" s="12"/>
      <c r="AJ145" s="40"/>
      <c r="AK145" s="40"/>
    </row>
    <row r="146" spans="2:37" s="41" customFormat="1" ht="16.149999999999999" customHeight="1">
      <c r="B146" s="138"/>
      <c r="C146" s="82"/>
      <c r="D146" s="4"/>
      <c r="E146" s="82" t="s">
        <v>35</v>
      </c>
      <c r="F146" s="189">
        <v>32.67</v>
      </c>
      <c r="G146" s="14">
        <f t="shared" ref="G146" si="196">+F146*1000</f>
        <v>32670</v>
      </c>
      <c r="H146" s="184">
        <v>15</v>
      </c>
      <c r="I146" s="171" t="s">
        <v>2422</v>
      </c>
      <c r="J146" s="167" t="s">
        <v>2398</v>
      </c>
      <c r="K146" s="173">
        <v>1537</v>
      </c>
      <c r="L146" s="4"/>
      <c r="M146" s="173" t="s">
        <v>2498</v>
      </c>
      <c r="N146" s="168" t="s">
        <v>2423</v>
      </c>
      <c r="O146" s="4"/>
      <c r="P146" s="4"/>
      <c r="Q146" s="182">
        <v>56000</v>
      </c>
      <c r="R146" s="36">
        <v>4000</v>
      </c>
      <c r="S146" s="36"/>
      <c r="T146" s="37">
        <v>12500</v>
      </c>
      <c r="U146" s="5">
        <f t="shared" ref="U146" si="197">S146+R146+Q146-T146</f>
        <v>47500</v>
      </c>
      <c r="V146" s="5">
        <f t="shared" ref="V146" si="198">F146*U146</f>
        <v>1551825</v>
      </c>
      <c r="W146" s="5"/>
      <c r="X146" s="5">
        <f t="shared" ref="X146" si="199">V146*9%</f>
        <v>139664.25</v>
      </c>
      <c r="Y146" s="5">
        <f t="shared" ref="Y146" si="200">V146*9%</f>
        <v>139664.25</v>
      </c>
      <c r="Z146" s="181">
        <v>2251.54</v>
      </c>
      <c r="AA146" s="5">
        <f t="shared" ref="AA146" si="201">F146*Z146</f>
        <v>73557.811799999996</v>
      </c>
      <c r="AB146" s="181">
        <f t="shared" ref="AB146" si="202">AA146*18%</f>
        <v>13240.406123999999</v>
      </c>
      <c r="AC146" s="43"/>
      <c r="AD146" s="5"/>
      <c r="AE146" s="5">
        <f t="shared" ref="AE146" si="203">+AB146+AA146+Y146+X146+W146+V146-AC146+AD146</f>
        <v>1917951.717924</v>
      </c>
      <c r="AF146" s="139"/>
      <c r="AG146" s="139"/>
      <c r="AH146" s="176"/>
      <c r="AI146" s="12"/>
      <c r="AJ146" s="40"/>
      <c r="AK146" s="40"/>
    </row>
    <row r="147" spans="2:37" s="41" customFormat="1" ht="16.149999999999999" customHeight="1">
      <c r="B147" s="138"/>
      <c r="C147" s="82"/>
      <c r="D147" s="4"/>
      <c r="E147" s="82" t="s">
        <v>35</v>
      </c>
      <c r="F147" s="188">
        <v>31.72</v>
      </c>
      <c r="G147" s="14">
        <f t="shared" si="188"/>
        <v>31720</v>
      </c>
      <c r="H147" s="185">
        <v>15</v>
      </c>
      <c r="I147" s="171" t="s">
        <v>2424</v>
      </c>
      <c r="J147" s="167" t="s">
        <v>2398</v>
      </c>
      <c r="K147" s="172">
        <v>1527</v>
      </c>
      <c r="L147" s="4"/>
      <c r="M147" s="172" t="s">
        <v>2499</v>
      </c>
      <c r="N147" s="168" t="s">
        <v>2425</v>
      </c>
      <c r="O147" s="4"/>
      <c r="P147" s="4"/>
      <c r="Q147" s="182">
        <v>56000</v>
      </c>
      <c r="R147" s="36">
        <v>4000</v>
      </c>
      <c r="S147" s="36"/>
      <c r="T147" s="37">
        <v>12500</v>
      </c>
      <c r="U147" s="5">
        <f t="shared" si="189"/>
        <v>47500</v>
      </c>
      <c r="V147" s="5">
        <f t="shared" si="190"/>
        <v>1506700</v>
      </c>
      <c r="W147" s="5"/>
      <c r="X147" s="5">
        <f t="shared" si="191"/>
        <v>135603</v>
      </c>
      <c r="Y147" s="5">
        <f t="shared" si="192"/>
        <v>135603</v>
      </c>
      <c r="Z147" s="181">
        <v>2318.9699999999998</v>
      </c>
      <c r="AA147" s="5">
        <f t="shared" si="193"/>
        <v>73557.728399999993</v>
      </c>
      <c r="AB147" s="181">
        <f t="shared" si="194"/>
        <v>13240.391111999998</v>
      </c>
      <c r="AC147" s="43"/>
      <c r="AD147" s="5"/>
      <c r="AE147" s="5">
        <f t="shared" si="195"/>
        <v>1864704.1195120001</v>
      </c>
      <c r="AF147" s="139"/>
      <c r="AG147" s="139"/>
      <c r="AH147" s="176"/>
      <c r="AI147" s="12"/>
      <c r="AJ147" s="40"/>
      <c r="AK147" s="40"/>
    </row>
    <row r="148" spans="2:37" s="41" customFormat="1" ht="16.149999999999999" customHeight="1">
      <c r="B148" s="138"/>
      <c r="C148" s="82"/>
      <c r="D148" s="4"/>
      <c r="E148" s="82" t="s">
        <v>35</v>
      </c>
      <c r="F148" s="189">
        <v>31.72</v>
      </c>
      <c r="G148" s="14">
        <f t="shared" ref="G148" si="204">+F148*1000</f>
        <v>31720</v>
      </c>
      <c r="H148" s="184">
        <v>15</v>
      </c>
      <c r="I148" s="171" t="s">
        <v>2424</v>
      </c>
      <c r="J148" s="167" t="s">
        <v>2398</v>
      </c>
      <c r="K148" s="173">
        <v>1528</v>
      </c>
      <c r="L148" s="4"/>
      <c r="M148" s="173" t="s">
        <v>2499</v>
      </c>
      <c r="N148" s="168" t="s">
        <v>2425</v>
      </c>
      <c r="O148" s="4"/>
      <c r="P148" s="4"/>
      <c r="Q148" s="182">
        <v>56000</v>
      </c>
      <c r="R148" s="36">
        <v>4000</v>
      </c>
      <c r="S148" s="36"/>
      <c r="T148" s="37">
        <v>12500</v>
      </c>
      <c r="U148" s="5">
        <f t="shared" ref="U148" si="205">S148+R148+Q148-T148</f>
        <v>47500</v>
      </c>
      <c r="V148" s="5">
        <f t="shared" ref="V148" si="206">F148*U148</f>
        <v>1506700</v>
      </c>
      <c r="W148" s="5"/>
      <c r="X148" s="5">
        <f t="shared" ref="X148" si="207">V148*9%</f>
        <v>135603</v>
      </c>
      <c r="Y148" s="5">
        <f t="shared" ref="Y148" si="208">V148*9%</f>
        <v>135603</v>
      </c>
      <c r="Z148" s="181">
        <v>2318.9699999999998</v>
      </c>
      <c r="AA148" s="5">
        <f t="shared" ref="AA148" si="209">F148*Z148</f>
        <v>73557.728399999993</v>
      </c>
      <c r="AB148" s="181">
        <f t="shared" ref="AB148" si="210">AA148*18%</f>
        <v>13240.391111999998</v>
      </c>
      <c r="AC148" s="43"/>
      <c r="AD148" s="5"/>
      <c r="AE148" s="5">
        <f t="shared" ref="AE148" si="211">+AB148+AA148+Y148+X148+W148+V148-AC148+AD148</f>
        <v>1864704.1195120001</v>
      </c>
      <c r="AF148" s="139"/>
      <c r="AG148" s="139"/>
      <c r="AH148" s="176"/>
      <c r="AI148" s="12"/>
      <c r="AJ148" s="40"/>
      <c r="AK148" s="40"/>
    </row>
    <row r="149" spans="2:37" s="41" customFormat="1" ht="16.149999999999999" customHeight="1">
      <c r="B149" s="138"/>
      <c r="C149" s="82"/>
      <c r="D149" s="4"/>
      <c r="E149" s="82" t="s">
        <v>35</v>
      </c>
      <c r="F149" s="188">
        <v>32.72</v>
      </c>
      <c r="G149" s="14">
        <f t="shared" si="188"/>
        <v>32720</v>
      </c>
      <c r="H149" s="185"/>
      <c r="I149" s="171" t="s">
        <v>2426</v>
      </c>
      <c r="J149" s="167" t="s">
        <v>2398</v>
      </c>
      <c r="K149" s="172"/>
      <c r="L149" s="4"/>
      <c r="M149" s="172"/>
      <c r="N149" s="168" t="s">
        <v>2427</v>
      </c>
      <c r="O149" s="4"/>
      <c r="P149" s="4"/>
      <c r="Q149" s="182">
        <v>56000</v>
      </c>
      <c r="R149" s="36">
        <v>4000</v>
      </c>
      <c r="S149" s="36"/>
      <c r="T149" s="37">
        <v>12500</v>
      </c>
      <c r="U149" s="5">
        <f t="shared" si="189"/>
        <v>47500</v>
      </c>
      <c r="V149" s="5">
        <f t="shared" si="190"/>
        <v>1554200</v>
      </c>
      <c r="W149" s="5"/>
      <c r="X149" s="5">
        <f t="shared" si="191"/>
        <v>139878</v>
      </c>
      <c r="Y149" s="5">
        <f t="shared" si="192"/>
        <v>139878</v>
      </c>
      <c r="Z149" s="181">
        <v>2248.1</v>
      </c>
      <c r="AA149" s="5">
        <f t="shared" si="193"/>
        <v>73557.831999999995</v>
      </c>
      <c r="AB149" s="181">
        <f t="shared" si="194"/>
        <v>13240.409759999999</v>
      </c>
      <c r="AC149" s="43"/>
      <c r="AD149" s="5"/>
      <c r="AE149" s="5">
        <f t="shared" si="195"/>
        <v>1920754.2417600001</v>
      </c>
      <c r="AF149" s="139"/>
      <c r="AG149" s="139"/>
      <c r="AH149" s="176"/>
      <c r="AI149" s="12"/>
      <c r="AJ149" s="40"/>
      <c r="AK149" s="40"/>
    </row>
    <row r="150" spans="2:37" s="41" customFormat="1" ht="16.149999999999999" customHeight="1">
      <c r="B150" s="138"/>
      <c r="C150" s="82"/>
      <c r="D150" s="4"/>
      <c r="E150" s="82" t="s">
        <v>35</v>
      </c>
      <c r="F150" s="189">
        <v>32.72</v>
      </c>
      <c r="G150" s="14">
        <f t="shared" ref="G150" si="212">+F150*1000</f>
        <v>32720</v>
      </c>
      <c r="H150" s="184"/>
      <c r="I150" s="171" t="s">
        <v>2426</v>
      </c>
      <c r="J150" s="167" t="s">
        <v>2398</v>
      </c>
      <c r="K150" s="173"/>
      <c r="L150" s="4"/>
      <c r="M150" s="173"/>
      <c r="N150" s="168" t="s">
        <v>2427</v>
      </c>
      <c r="O150" s="4"/>
      <c r="P150" s="4"/>
      <c r="Q150" s="182">
        <v>56000</v>
      </c>
      <c r="R150" s="36">
        <v>4000</v>
      </c>
      <c r="S150" s="36"/>
      <c r="T150" s="37">
        <v>12500</v>
      </c>
      <c r="U150" s="5">
        <f t="shared" ref="U150" si="213">S150+R150+Q150-T150</f>
        <v>47500</v>
      </c>
      <c r="V150" s="5">
        <f t="shared" ref="V150" si="214">F150*U150</f>
        <v>1554200</v>
      </c>
      <c r="W150" s="5"/>
      <c r="X150" s="5">
        <f t="shared" ref="X150" si="215">V150*9%</f>
        <v>139878</v>
      </c>
      <c r="Y150" s="5">
        <f t="shared" ref="Y150" si="216">V150*9%</f>
        <v>139878</v>
      </c>
      <c r="Z150" s="181">
        <v>2248.1</v>
      </c>
      <c r="AA150" s="5">
        <f t="shared" ref="AA150" si="217">F150*Z150</f>
        <v>73557.831999999995</v>
      </c>
      <c r="AB150" s="181">
        <f t="shared" ref="AB150" si="218">AA150*18%</f>
        <v>13240.409759999999</v>
      </c>
      <c r="AC150" s="43"/>
      <c r="AD150" s="5"/>
      <c r="AE150" s="5">
        <f t="shared" ref="AE150" si="219">+AB150+AA150+Y150+X150+W150+V150-AC150+AD150</f>
        <v>1920754.2417600001</v>
      </c>
      <c r="AF150" s="139"/>
      <c r="AG150" s="139"/>
      <c r="AH150" s="176"/>
      <c r="AI150" s="12"/>
      <c r="AJ150" s="40"/>
      <c r="AK150" s="40"/>
    </row>
    <row r="151" spans="2:37" s="41" customFormat="1" ht="16.149999999999999" customHeight="1">
      <c r="B151" s="138"/>
      <c r="C151" s="82"/>
      <c r="D151" s="4"/>
      <c r="E151" s="82" t="s">
        <v>35</v>
      </c>
      <c r="F151" s="188">
        <v>31.7</v>
      </c>
      <c r="G151" s="14">
        <f t="shared" si="188"/>
        <v>31700</v>
      </c>
      <c r="H151" s="185">
        <v>15</v>
      </c>
      <c r="I151" s="171" t="s">
        <v>2428</v>
      </c>
      <c r="J151" s="167" t="s">
        <v>2398</v>
      </c>
      <c r="K151" s="172">
        <v>1519</v>
      </c>
      <c r="L151" s="4"/>
      <c r="M151" s="172" t="s">
        <v>2500</v>
      </c>
      <c r="N151" s="168" t="s">
        <v>2429</v>
      </c>
      <c r="O151" s="4"/>
      <c r="P151" s="4"/>
      <c r="Q151" s="182">
        <v>56000</v>
      </c>
      <c r="R151" s="36">
        <v>4000</v>
      </c>
      <c r="S151" s="36"/>
      <c r="T151" s="37">
        <v>12500</v>
      </c>
      <c r="U151" s="5">
        <f t="shared" si="189"/>
        <v>47500</v>
      </c>
      <c r="V151" s="5">
        <f t="shared" si="190"/>
        <v>1505750</v>
      </c>
      <c r="W151" s="5"/>
      <c r="X151" s="5">
        <f t="shared" si="191"/>
        <v>135517.5</v>
      </c>
      <c r="Y151" s="5">
        <f t="shared" si="192"/>
        <v>135517.5</v>
      </c>
      <c r="Z151" s="181">
        <v>2320.44</v>
      </c>
      <c r="AA151" s="5">
        <f t="shared" si="193"/>
        <v>73557.948000000004</v>
      </c>
      <c r="AB151" s="181">
        <f t="shared" si="194"/>
        <v>13240.43064</v>
      </c>
      <c r="AC151" s="43"/>
      <c r="AD151" s="5"/>
      <c r="AE151" s="5">
        <f t="shared" si="195"/>
        <v>1863583.37864</v>
      </c>
      <c r="AF151" s="139"/>
      <c r="AG151" s="139"/>
      <c r="AH151" s="176"/>
      <c r="AI151" s="12"/>
      <c r="AJ151" s="40"/>
      <c r="AK151" s="40"/>
    </row>
    <row r="152" spans="2:37" s="41" customFormat="1" ht="16.149999999999999" customHeight="1">
      <c r="B152" s="138"/>
      <c r="C152" s="82"/>
      <c r="D152" s="4"/>
      <c r="E152" s="82" t="s">
        <v>35</v>
      </c>
      <c r="F152" s="189">
        <v>31.7</v>
      </c>
      <c r="G152" s="14">
        <f t="shared" ref="G152" si="220">+F152*1000</f>
        <v>31700</v>
      </c>
      <c r="H152" s="184">
        <v>15</v>
      </c>
      <c r="I152" s="171" t="s">
        <v>2428</v>
      </c>
      <c r="J152" s="167" t="s">
        <v>2398</v>
      </c>
      <c r="K152" s="173">
        <v>1517</v>
      </c>
      <c r="L152" s="4"/>
      <c r="M152" s="173" t="s">
        <v>2500</v>
      </c>
      <c r="N152" s="168" t="s">
        <v>2429</v>
      </c>
      <c r="O152" s="4"/>
      <c r="P152" s="4"/>
      <c r="Q152" s="182">
        <v>56000</v>
      </c>
      <c r="R152" s="36">
        <v>4000</v>
      </c>
      <c r="S152" s="36"/>
      <c r="T152" s="37">
        <v>12500</v>
      </c>
      <c r="U152" s="5">
        <f t="shared" ref="U152" si="221">S152+R152+Q152-T152</f>
        <v>47500</v>
      </c>
      <c r="V152" s="5">
        <f t="shared" ref="V152" si="222">F152*U152</f>
        <v>1505750</v>
      </c>
      <c r="W152" s="5"/>
      <c r="X152" s="5">
        <f t="shared" ref="X152" si="223">V152*9%</f>
        <v>135517.5</v>
      </c>
      <c r="Y152" s="5">
        <f t="shared" ref="Y152" si="224">V152*9%</f>
        <v>135517.5</v>
      </c>
      <c r="Z152" s="181">
        <v>2320.44</v>
      </c>
      <c r="AA152" s="5">
        <f t="shared" ref="AA152" si="225">F152*Z152</f>
        <v>73557.948000000004</v>
      </c>
      <c r="AB152" s="181">
        <f t="shared" ref="AB152" si="226">AA152*18%</f>
        <v>13240.43064</v>
      </c>
      <c r="AC152" s="43"/>
      <c r="AD152" s="5"/>
      <c r="AE152" s="5">
        <f t="shared" ref="AE152" si="227">+AB152+AA152+Y152+X152+W152+V152-AC152+AD152</f>
        <v>1863583.37864</v>
      </c>
      <c r="AF152" s="139"/>
      <c r="AG152" s="139"/>
      <c r="AH152" s="176"/>
      <c r="AI152" s="12"/>
      <c r="AJ152" s="40"/>
      <c r="AK152" s="40"/>
    </row>
    <row r="153" spans="2:37" s="41" customFormat="1">
      <c r="B153" s="13"/>
      <c r="C153" s="48"/>
      <c r="D153" s="6"/>
      <c r="E153" s="48"/>
      <c r="F153" s="81">
        <f>SUM(F127:F152)</f>
        <v>832.80000000000007</v>
      </c>
      <c r="G153" s="20">
        <f>SUM(G127:G152)</f>
        <v>832800</v>
      </c>
      <c r="H153" s="21">
        <f>SUM(H127:H152)</f>
        <v>317</v>
      </c>
      <c r="I153" s="2"/>
      <c r="J153" s="7"/>
      <c r="K153" s="7"/>
      <c r="L153" s="7"/>
      <c r="M153" s="2"/>
      <c r="N153" s="6"/>
      <c r="O153" s="6"/>
      <c r="P153" s="6"/>
      <c r="Q153" s="19"/>
      <c r="R153" s="9"/>
      <c r="S153" s="9"/>
      <c r="T153" s="10"/>
      <c r="U153" s="8"/>
      <c r="V153" s="21">
        <f>SUM(V127:V152)</f>
        <v>39558000</v>
      </c>
      <c r="W153" s="21">
        <f>SUM(W127:W152)</f>
        <v>0</v>
      </c>
      <c r="X153" s="21">
        <f>SUM(X127:X152)</f>
        <v>3560220</v>
      </c>
      <c r="Y153" s="21">
        <f>SUM(Y127:Y152)</f>
        <v>3560220</v>
      </c>
      <c r="Z153" s="99"/>
      <c r="AA153" s="21">
        <f>SUM(AA127:AA152)</f>
        <v>1912504.1600000001</v>
      </c>
      <c r="AB153" s="21">
        <f>SUM(AB127:AB152)</f>
        <v>344250.74879999988</v>
      </c>
      <c r="AC153" s="21"/>
      <c r="AD153" s="21">
        <f>SUM(AD127:AD152)</f>
        <v>0</v>
      </c>
      <c r="AE153" s="21">
        <f>SUM(AE127:AE152)</f>
        <v>48935194.908799998</v>
      </c>
      <c r="AF153" s="21"/>
      <c r="AG153" s="42"/>
      <c r="AH153" s="81">
        <f>SUM(AH127:AH152)</f>
        <v>0</v>
      </c>
      <c r="AI153" s="26">
        <f>AH153-F153</f>
        <v>-832.80000000000007</v>
      </c>
      <c r="AJ153" s="41">
        <f>AA153/F153</f>
        <v>2296.4747358309319</v>
      </c>
      <c r="AK153" s="40"/>
    </row>
    <row r="154" spans="2:37" s="41" customFormat="1" ht="16.149999999999999" customHeight="1">
      <c r="B154" s="138" t="s">
        <v>2244</v>
      </c>
      <c r="C154" s="82" t="s">
        <v>2394</v>
      </c>
      <c r="D154" s="4"/>
      <c r="E154" s="82" t="s">
        <v>35</v>
      </c>
      <c r="F154" s="188">
        <v>31.94</v>
      </c>
      <c r="G154" s="14">
        <f t="shared" ref="G154:G155" si="228">+F154*1000</f>
        <v>31940</v>
      </c>
      <c r="H154" s="185">
        <v>15</v>
      </c>
      <c r="I154" s="171" t="s">
        <v>2431</v>
      </c>
      <c r="J154" s="167" t="s">
        <v>2432</v>
      </c>
      <c r="K154" s="172">
        <v>1529</v>
      </c>
      <c r="L154" s="4"/>
      <c r="M154" s="167" t="s">
        <v>2499</v>
      </c>
      <c r="N154" s="168" t="s">
        <v>2433</v>
      </c>
      <c r="O154" s="4"/>
      <c r="P154" s="4"/>
      <c r="Q154" s="182">
        <v>56000</v>
      </c>
      <c r="R154" s="36">
        <v>4000</v>
      </c>
      <c r="S154" s="36"/>
      <c r="T154" s="37">
        <v>12500</v>
      </c>
      <c r="U154" s="5">
        <f t="shared" ref="U154:U155" si="229">S154+R154+Q154-T154</f>
        <v>47500</v>
      </c>
      <c r="V154" s="5">
        <f>F154*U154</f>
        <v>1517150</v>
      </c>
      <c r="W154" s="5"/>
      <c r="X154" s="5">
        <f t="shared" ref="X154:X155" si="230">V154*9%</f>
        <v>136543.5</v>
      </c>
      <c r="Y154" s="5">
        <f t="shared" ref="Y154:Y155" si="231">V154*9%</f>
        <v>136543.5</v>
      </c>
      <c r="Z154" s="181">
        <v>2298.98</v>
      </c>
      <c r="AA154" s="5">
        <f t="shared" ref="AA154:AA155" si="232">F154*Z154</f>
        <v>73429.421199999997</v>
      </c>
      <c r="AB154" s="181">
        <f t="shared" ref="AB154:AB155" si="233">AA154*18%</f>
        <v>13217.295816</v>
      </c>
      <c r="AC154" s="43"/>
      <c r="AD154" s="5"/>
      <c r="AE154" s="5">
        <f t="shared" ref="AE154:AE155" si="234">+AB154+AA154+Y154+X154+W154+V154-AC154+AD154</f>
        <v>1876883.7170160001</v>
      </c>
      <c r="AF154" s="139"/>
      <c r="AG154" s="139"/>
      <c r="AH154" s="178"/>
      <c r="AI154" s="12"/>
      <c r="AJ154" s="40"/>
      <c r="AK154" s="40"/>
    </row>
    <row r="155" spans="2:37" s="41" customFormat="1" ht="16.149999999999999" customHeight="1">
      <c r="B155" s="138"/>
      <c r="C155" s="82" t="s">
        <v>2430</v>
      </c>
      <c r="D155" s="4"/>
      <c r="E155" s="82" t="s">
        <v>35</v>
      </c>
      <c r="F155" s="188">
        <v>31.94</v>
      </c>
      <c r="G155" s="14">
        <f t="shared" si="228"/>
        <v>31940</v>
      </c>
      <c r="H155" s="184">
        <v>15</v>
      </c>
      <c r="I155" s="171" t="s">
        <v>2431</v>
      </c>
      <c r="J155" s="167" t="s">
        <v>2432</v>
      </c>
      <c r="K155" s="173">
        <v>1530</v>
      </c>
      <c r="L155" s="4"/>
      <c r="M155" s="167" t="s">
        <v>2499</v>
      </c>
      <c r="N155" s="168" t="s">
        <v>2433</v>
      </c>
      <c r="O155" s="4"/>
      <c r="P155" s="4"/>
      <c r="Q155" s="182">
        <v>56000</v>
      </c>
      <c r="R155" s="36">
        <v>4000</v>
      </c>
      <c r="S155" s="36"/>
      <c r="T155" s="37">
        <v>12500</v>
      </c>
      <c r="U155" s="5">
        <f t="shared" si="229"/>
        <v>47500</v>
      </c>
      <c r="V155" s="5">
        <f>F155*U155</f>
        <v>1517150</v>
      </c>
      <c r="W155" s="5"/>
      <c r="X155" s="5">
        <f t="shared" si="230"/>
        <v>136543.5</v>
      </c>
      <c r="Y155" s="5">
        <f t="shared" si="231"/>
        <v>136543.5</v>
      </c>
      <c r="Z155" s="181">
        <v>2298.98</v>
      </c>
      <c r="AA155" s="5">
        <f t="shared" si="232"/>
        <v>73429.421199999997</v>
      </c>
      <c r="AB155" s="181">
        <f t="shared" si="233"/>
        <v>13217.295816</v>
      </c>
      <c r="AC155" s="43"/>
      <c r="AD155" s="5"/>
      <c r="AE155" s="5">
        <f t="shared" si="234"/>
        <v>1876883.7170160001</v>
      </c>
      <c r="AF155" s="139"/>
      <c r="AG155" s="139"/>
      <c r="AH155" s="178"/>
      <c r="AI155" s="12"/>
      <c r="AJ155" s="40"/>
      <c r="AK155" s="40"/>
    </row>
    <row r="156" spans="2:37" s="41" customFormat="1">
      <c r="B156" s="13"/>
      <c r="C156" s="48"/>
      <c r="D156" s="6"/>
      <c r="E156" s="48"/>
      <c r="F156" s="81">
        <f>SUM(F154:F155)</f>
        <v>63.88</v>
      </c>
      <c r="G156" s="20">
        <f>SUM(G154:G155)</f>
        <v>63880</v>
      </c>
      <c r="H156" s="21">
        <f>SUM(H154:H155)</f>
        <v>30</v>
      </c>
      <c r="I156" s="2"/>
      <c r="J156" s="7"/>
      <c r="K156" s="7"/>
      <c r="L156" s="7"/>
      <c r="M156" s="2"/>
      <c r="N156" s="6"/>
      <c r="O156" s="6"/>
      <c r="P156" s="6"/>
      <c r="Q156" s="19"/>
      <c r="R156" s="9"/>
      <c r="S156" s="9"/>
      <c r="T156" s="10"/>
      <c r="U156" s="8"/>
      <c r="V156" s="21">
        <f>SUM(V154:V155)</f>
        <v>3034300</v>
      </c>
      <c r="W156" s="21">
        <f>SUM(W154:W155)</f>
        <v>0</v>
      </c>
      <c r="X156" s="21">
        <f>SUM(X154:X155)</f>
        <v>273087</v>
      </c>
      <c r="Y156" s="21">
        <f>SUM(Y154:Y155)</f>
        <v>273087</v>
      </c>
      <c r="Z156" s="99"/>
      <c r="AA156" s="21">
        <f>SUM(AA154:AA155)</f>
        <v>146858.84239999999</v>
      </c>
      <c r="AB156" s="21">
        <f>SUM(AB154:AB155)</f>
        <v>26434.591632</v>
      </c>
      <c r="AC156" s="21"/>
      <c r="AD156" s="21">
        <f>SUM(AD154:AD155)</f>
        <v>0</v>
      </c>
      <c r="AE156" s="21">
        <f>SUM(AE154:AE155)</f>
        <v>3753767.4340320001</v>
      </c>
      <c r="AF156" s="21"/>
      <c r="AG156" s="42"/>
      <c r="AH156" s="81">
        <f>SUM(AH154:AH155)</f>
        <v>0</v>
      </c>
      <c r="AI156" s="26">
        <f>AH156-F156</f>
        <v>-63.88</v>
      </c>
      <c r="AJ156" s="41">
        <f>AA156/F156</f>
        <v>2298.98</v>
      </c>
      <c r="AK156" s="40"/>
    </row>
    <row r="157" spans="2:37" s="41" customFormat="1" ht="16.149999999999999" customHeight="1">
      <c r="B157" s="138" t="s">
        <v>2244</v>
      </c>
      <c r="C157" s="82" t="s">
        <v>2394</v>
      </c>
      <c r="D157" s="4"/>
      <c r="E157" s="82" t="s">
        <v>35</v>
      </c>
      <c r="F157" s="186">
        <v>31.73</v>
      </c>
      <c r="G157" s="14">
        <f t="shared" ref="G157:G158" si="235">+F157*1000</f>
        <v>31730</v>
      </c>
      <c r="H157" s="185">
        <v>15</v>
      </c>
      <c r="I157" s="171" t="s">
        <v>2434</v>
      </c>
      <c r="J157" s="167" t="s">
        <v>2435</v>
      </c>
      <c r="K157" s="172">
        <v>1540</v>
      </c>
      <c r="L157" s="4"/>
      <c r="M157" s="167" t="s">
        <v>2498</v>
      </c>
      <c r="N157" s="168" t="s">
        <v>2436</v>
      </c>
      <c r="O157" s="4"/>
      <c r="P157" s="4"/>
      <c r="Q157" s="182">
        <v>56000</v>
      </c>
      <c r="R157" s="36">
        <v>4000</v>
      </c>
      <c r="S157" s="36"/>
      <c r="T157" s="37">
        <v>12500</v>
      </c>
      <c r="U157" s="5">
        <f t="shared" ref="U157:U163" si="236">S157+R157+Q157-T157</f>
        <v>47500</v>
      </c>
      <c r="V157" s="5">
        <f>F157*U157</f>
        <v>1507175</v>
      </c>
      <c r="W157" s="5"/>
      <c r="X157" s="5">
        <f t="shared" ref="X157:X158" si="237">V157*9%</f>
        <v>135645.75</v>
      </c>
      <c r="Y157" s="5">
        <f t="shared" ref="Y157:Y158" si="238">V157*9%</f>
        <v>135645.75</v>
      </c>
      <c r="Z157" s="181">
        <v>2540.5300000000002</v>
      </c>
      <c r="AA157" s="5">
        <f t="shared" ref="AA157:AA158" si="239">F157*Z157</f>
        <v>80611.016900000002</v>
      </c>
      <c r="AB157" s="181">
        <f t="shared" ref="AB157:AB158" si="240">AA157*18%</f>
        <v>14509.983042</v>
      </c>
      <c r="AC157" s="43"/>
      <c r="AD157" s="5"/>
      <c r="AE157" s="5">
        <f t="shared" ref="AE157:AE158" si="241">+AB157+AA157+Y157+X157+W157+V157-AC157+AD157</f>
        <v>1873587.499942</v>
      </c>
      <c r="AF157" s="139"/>
      <c r="AG157" s="139"/>
      <c r="AH157" s="178"/>
      <c r="AI157" s="12"/>
      <c r="AJ157" s="40"/>
      <c r="AK157" s="40"/>
    </row>
    <row r="158" spans="2:37" s="41" customFormat="1" ht="16.149999999999999" customHeight="1">
      <c r="B158" s="138"/>
      <c r="C158" s="82" t="s">
        <v>2403</v>
      </c>
      <c r="D158" s="4"/>
      <c r="E158" s="82" t="s">
        <v>35</v>
      </c>
      <c r="F158" s="187">
        <v>31.73</v>
      </c>
      <c r="G158" s="14">
        <f t="shared" si="235"/>
        <v>31730</v>
      </c>
      <c r="H158" s="184">
        <v>15</v>
      </c>
      <c r="I158" s="171" t="s">
        <v>2434</v>
      </c>
      <c r="J158" s="167" t="s">
        <v>2435</v>
      </c>
      <c r="K158" s="173">
        <v>1541</v>
      </c>
      <c r="L158" s="4"/>
      <c r="M158" s="167" t="s">
        <v>2498</v>
      </c>
      <c r="N158" s="168" t="s">
        <v>2436</v>
      </c>
      <c r="O158" s="4"/>
      <c r="P158" s="4"/>
      <c r="Q158" s="182">
        <v>56000</v>
      </c>
      <c r="R158" s="36">
        <v>4000</v>
      </c>
      <c r="S158" s="36"/>
      <c r="T158" s="37">
        <v>12500</v>
      </c>
      <c r="U158" s="5">
        <f t="shared" si="236"/>
        <v>47500</v>
      </c>
      <c r="V158" s="5">
        <f>F158*U158</f>
        <v>1507175</v>
      </c>
      <c r="W158" s="5"/>
      <c r="X158" s="5">
        <f t="shared" si="237"/>
        <v>135645.75</v>
      </c>
      <c r="Y158" s="5">
        <f t="shared" si="238"/>
        <v>135645.75</v>
      </c>
      <c r="Z158" s="181">
        <v>2540.5300000000002</v>
      </c>
      <c r="AA158" s="5">
        <f t="shared" si="239"/>
        <v>80611.016900000002</v>
      </c>
      <c r="AB158" s="181">
        <f t="shared" si="240"/>
        <v>14509.983042</v>
      </c>
      <c r="AC158" s="43"/>
      <c r="AD158" s="5"/>
      <c r="AE158" s="5">
        <f t="shared" si="241"/>
        <v>1873587.499942</v>
      </c>
      <c r="AF158" s="139"/>
      <c r="AG158" s="139"/>
      <c r="AH158" s="178"/>
      <c r="AI158" s="12"/>
      <c r="AJ158" s="40"/>
      <c r="AK158" s="40"/>
    </row>
    <row r="159" spans="2:37" s="41" customFormat="1">
      <c r="B159" s="13"/>
      <c r="C159" s="48"/>
      <c r="D159" s="6"/>
      <c r="E159" s="48"/>
      <c r="F159" s="81">
        <f>SUM(F157:F158)</f>
        <v>63.46</v>
      </c>
      <c r="G159" s="20">
        <f>SUM(G157:G158)</f>
        <v>63460</v>
      </c>
      <c r="H159" s="21">
        <f>SUM(H157:H158)</f>
        <v>30</v>
      </c>
      <c r="I159" s="2"/>
      <c r="J159" s="7"/>
      <c r="K159" s="7"/>
      <c r="L159" s="7"/>
      <c r="M159" s="2"/>
      <c r="N159" s="6"/>
      <c r="O159" s="6"/>
      <c r="P159" s="6"/>
      <c r="Q159" s="19"/>
      <c r="R159" s="9"/>
      <c r="S159" s="9"/>
      <c r="T159" s="10"/>
      <c r="U159" s="8"/>
      <c r="V159" s="21">
        <f>SUM(V157:V158)</f>
        <v>3014350</v>
      </c>
      <c r="W159" s="21">
        <f>SUM(W157:W158)</f>
        <v>0</v>
      </c>
      <c r="X159" s="21">
        <f>SUM(X157:X158)</f>
        <v>271291.5</v>
      </c>
      <c r="Y159" s="21">
        <f>SUM(Y157:Y158)</f>
        <v>271291.5</v>
      </c>
      <c r="Z159" s="99"/>
      <c r="AA159" s="21">
        <f>SUM(AA157:AA158)</f>
        <v>161222.0338</v>
      </c>
      <c r="AB159" s="21">
        <f>SUM(AB157:AB158)</f>
        <v>29019.966084</v>
      </c>
      <c r="AC159" s="21"/>
      <c r="AD159" s="21">
        <f>SUM(AD157:AD158)</f>
        <v>0</v>
      </c>
      <c r="AE159" s="21">
        <f>SUM(AE157:AE158)</f>
        <v>3747174.999884</v>
      </c>
      <c r="AF159" s="21"/>
      <c r="AG159" s="42"/>
      <c r="AH159" s="81">
        <f>SUM(AH157:AH158)</f>
        <v>0</v>
      </c>
      <c r="AI159" s="26">
        <f>AH159-F159</f>
        <v>-63.46</v>
      </c>
      <c r="AJ159" s="41">
        <f>AA159/F159</f>
        <v>2540.5300000000002</v>
      </c>
      <c r="AK159" s="40"/>
    </row>
    <row r="160" spans="2:37" s="41" customFormat="1" ht="16.149999999999999" customHeight="1">
      <c r="B160" s="138" t="s">
        <v>2090</v>
      </c>
      <c r="C160" s="82" t="s">
        <v>2394</v>
      </c>
      <c r="D160" s="4"/>
      <c r="E160" s="190" t="s">
        <v>2231</v>
      </c>
      <c r="F160" s="191">
        <v>31.2</v>
      </c>
      <c r="G160" s="14">
        <f t="shared" ref="G160:G163" si="242">+F160*1000</f>
        <v>31200</v>
      </c>
      <c r="H160" s="185"/>
      <c r="I160" s="166" t="s">
        <v>2441</v>
      </c>
      <c r="J160" s="167" t="s">
        <v>2435</v>
      </c>
      <c r="K160" s="172"/>
      <c r="L160" s="4"/>
      <c r="M160" s="167"/>
      <c r="N160" s="168" t="s">
        <v>2443</v>
      </c>
      <c r="O160" s="4"/>
      <c r="P160" s="4"/>
      <c r="Q160" s="182">
        <v>56000</v>
      </c>
      <c r="R160" s="36">
        <v>4000</v>
      </c>
      <c r="S160" s="36"/>
      <c r="T160" s="37">
        <v>12500</v>
      </c>
      <c r="U160" s="5">
        <f t="shared" si="236"/>
        <v>47500</v>
      </c>
      <c r="V160" s="5">
        <f>F160*U160</f>
        <v>1482000</v>
      </c>
      <c r="W160" s="5"/>
      <c r="X160" s="5">
        <f t="shared" ref="X160:X163" si="243">V160*9%</f>
        <v>133380</v>
      </c>
      <c r="Y160" s="5">
        <f t="shared" ref="Y160:Y163" si="244">V160*9%</f>
        <v>133380</v>
      </c>
      <c r="Z160" s="181">
        <v>2552.19</v>
      </c>
      <c r="AA160" s="5">
        <f t="shared" ref="AA160:AA163" si="245">F160*Z160</f>
        <v>79628.327999999994</v>
      </c>
      <c r="AB160" s="181">
        <f t="shared" ref="AB160:AB163" si="246">AA160*18%</f>
        <v>14333.099039999999</v>
      </c>
      <c r="AC160" s="43"/>
      <c r="AD160" s="5"/>
      <c r="AE160" s="5">
        <f t="shared" ref="AE160:AE163" si="247">+AB160+AA160+Y160+X160+W160+V160-AC160+AD160</f>
        <v>1842721.42704</v>
      </c>
      <c r="AF160" s="139"/>
      <c r="AG160" s="139"/>
      <c r="AH160" s="178"/>
      <c r="AI160" s="12"/>
      <c r="AJ160" s="40"/>
      <c r="AK160" s="40"/>
    </row>
    <row r="161" spans="2:37" s="41" customFormat="1" ht="16.149999999999999" customHeight="1">
      <c r="B161" s="138"/>
      <c r="C161" s="82" t="s">
        <v>2440</v>
      </c>
      <c r="D161" s="4"/>
      <c r="E161" s="190" t="s">
        <v>2231</v>
      </c>
      <c r="F161" s="192">
        <v>31.2</v>
      </c>
      <c r="G161" s="14">
        <f t="shared" si="242"/>
        <v>31200</v>
      </c>
      <c r="H161" s="185"/>
      <c r="I161" s="166" t="s">
        <v>2441</v>
      </c>
      <c r="J161" s="167" t="s">
        <v>2435</v>
      </c>
      <c r="K161" s="172"/>
      <c r="L161" s="4"/>
      <c r="M161" s="167"/>
      <c r="N161" s="168" t="s">
        <v>2443</v>
      </c>
      <c r="O161" s="4"/>
      <c r="P161" s="4"/>
      <c r="Q161" s="182">
        <v>56000</v>
      </c>
      <c r="R161" s="36">
        <v>4000</v>
      </c>
      <c r="S161" s="36"/>
      <c r="T161" s="37">
        <v>12500</v>
      </c>
      <c r="U161" s="5">
        <f t="shared" si="236"/>
        <v>47500</v>
      </c>
      <c r="V161" s="5">
        <f t="shared" ref="V161:V162" si="248">F161*U161</f>
        <v>1482000</v>
      </c>
      <c r="W161" s="5"/>
      <c r="X161" s="5">
        <f t="shared" si="243"/>
        <v>133380</v>
      </c>
      <c r="Y161" s="5">
        <f t="shared" si="244"/>
        <v>133380</v>
      </c>
      <c r="Z161" s="181">
        <v>2552.19</v>
      </c>
      <c r="AA161" s="5">
        <f t="shared" si="245"/>
        <v>79628.327999999994</v>
      </c>
      <c r="AB161" s="181">
        <f t="shared" si="246"/>
        <v>14333.099039999999</v>
      </c>
      <c r="AC161" s="43"/>
      <c r="AD161" s="5"/>
      <c r="AE161" s="5">
        <f t="shared" si="247"/>
        <v>1842721.42704</v>
      </c>
      <c r="AF161" s="139"/>
      <c r="AG161" s="139"/>
      <c r="AH161" s="178"/>
      <c r="AI161" s="12"/>
      <c r="AJ161" s="40"/>
      <c r="AK161" s="40"/>
    </row>
    <row r="162" spans="2:37" s="41" customFormat="1" ht="16.149999999999999" customHeight="1">
      <c r="B162" s="138"/>
      <c r="C162" s="82"/>
      <c r="D162" s="4"/>
      <c r="E162" s="190" t="s">
        <v>2231</v>
      </c>
      <c r="F162" s="191">
        <v>31.75</v>
      </c>
      <c r="G162" s="14">
        <f t="shared" si="242"/>
        <v>31750</v>
      </c>
      <c r="H162" s="185"/>
      <c r="I162" s="166" t="s">
        <v>2442</v>
      </c>
      <c r="J162" s="167" t="s">
        <v>2435</v>
      </c>
      <c r="K162" s="172"/>
      <c r="L162" s="4"/>
      <c r="M162" s="167"/>
      <c r="N162" s="168" t="s">
        <v>2444</v>
      </c>
      <c r="O162" s="4"/>
      <c r="P162" s="4"/>
      <c r="Q162" s="182">
        <v>56000</v>
      </c>
      <c r="R162" s="36">
        <v>4000</v>
      </c>
      <c r="S162" s="36"/>
      <c r="T162" s="37">
        <v>12500</v>
      </c>
      <c r="U162" s="5">
        <f t="shared" si="236"/>
        <v>47500</v>
      </c>
      <c r="V162" s="5">
        <f t="shared" si="248"/>
        <v>1508125</v>
      </c>
      <c r="W162" s="5"/>
      <c r="X162" s="5">
        <f t="shared" si="243"/>
        <v>135731.25</v>
      </c>
      <c r="Y162" s="5">
        <f t="shared" si="244"/>
        <v>135731.25</v>
      </c>
      <c r="Z162" s="181">
        <v>2552.19</v>
      </c>
      <c r="AA162" s="5">
        <f t="shared" si="245"/>
        <v>81032.032500000001</v>
      </c>
      <c r="AB162" s="181">
        <f t="shared" si="246"/>
        <v>14585.76585</v>
      </c>
      <c r="AC162" s="43"/>
      <c r="AD162" s="5"/>
      <c r="AE162" s="5">
        <f t="shared" si="247"/>
        <v>1875205.2983500001</v>
      </c>
      <c r="AF162" s="139"/>
      <c r="AG162" s="139"/>
      <c r="AH162" s="178"/>
      <c r="AI162" s="12"/>
      <c r="AJ162" s="40"/>
      <c r="AK162" s="40"/>
    </row>
    <row r="163" spans="2:37" s="41" customFormat="1" ht="16.149999999999999" customHeight="1">
      <c r="B163" s="138"/>
      <c r="C163" s="82"/>
      <c r="D163" s="4"/>
      <c r="E163" s="190" t="s">
        <v>2231</v>
      </c>
      <c r="F163" s="192">
        <v>31.75</v>
      </c>
      <c r="G163" s="14">
        <f t="shared" si="242"/>
        <v>31750</v>
      </c>
      <c r="H163" s="185"/>
      <c r="I163" s="166" t="s">
        <v>2442</v>
      </c>
      <c r="J163" s="167" t="s">
        <v>2435</v>
      </c>
      <c r="K163" s="172"/>
      <c r="L163" s="4"/>
      <c r="M163" s="167"/>
      <c r="N163" s="168" t="s">
        <v>2444</v>
      </c>
      <c r="O163" s="4"/>
      <c r="P163" s="4"/>
      <c r="Q163" s="182">
        <v>56000</v>
      </c>
      <c r="R163" s="36">
        <v>4000</v>
      </c>
      <c r="S163" s="36"/>
      <c r="T163" s="37">
        <v>12500</v>
      </c>
      <c r="U163" s="5">
        <f t="shared" si="236"/>
        <v>47500</v>
      </c>
      <c r="V163" s="5">
        <f>F163*U163</f>
        <v>1508125</v>
      </c>
      <c r="W163" s="5"/>
      <c r="X163" s="5">
        <f t="shared" si="243"/>
        <v>135731.25</v>
      </c>
      <c r="Y163" s="5">
        <f t="shared" si="244"/>
        <v>135731.25</v>
      </c>
      <c r="Z163" s="181">
        <v>2552.19</v>
      </c>
      <c r="AA163" s="5">
        <f t="shared" si="245"/>
        <v>81032.032500000001</v>
      </c>
      <c r="AB163" s="181">
        <f t="shared" si="246"/>
        <v>14585.76585</v>
      </c>
      <c r="AC163" s="43"/>
      <c r="AD163" s="5"/>
      <c r="AE163" s="5">
        <f t="shared" si="247"/>
        <v>1875205.2983500001</v>
      </c>
      <c r="AF163" s="139"/>
      <c r="AG163" s="139"/>
      <c r="AH163" s="178"/>
      <c r="AI163" s="12"/>
      <c r="AJ163" s="40"/>
      <c r="AK163" s="40"/>
    </row>
    <row r="164" spans="2:37" s="41" customFormat="1">
      <c r="B164" s="13"/>
      <c r="C164" s="48"/>
      <c r="D164" s="6"/>
      <c r="E164" s="48"/>
      <c r="F164" s="81">
        <f>SUM(F160:F163)</f>
        <v>125.9</v>
      </c>
      <c r="G164" s="20">
        <f>SUM(G160:G163)</f>
        <v>125900</v>
      </c>
      <c r="H164" s="21">
        <f>SUM(H160:H163)</f>
        <v>0</v>
      </c>
      <c r="I164" s="2"/>
      <c r="J164" s="7"/>
      <c r="K164" s="7"/>
      <c r="L164" s="7"/>
      <c r="M164" s="2"/>
      <c r="N164" s="6"/>
      <c r="O164" s="6"/>
      <c r="P164" s="6"/>
      <c r="Q164" s="19"/>
      <c r="R164" s="9"/>
      <c r="S164" s="9"/>
      <c r="T164" s="10"/>
      <c r="U164" s="8"/>
      <c r="V164" s="21">
        <f>SUM(V160:V163)</f>
        <v>5980250</v>
      </c>
      <c r="W164" s="21">
        <f>SUM(W160:W163)</f>
        <v>0</v>
      </c>
      <c r="X164" s="21">
        <f>SUM(X160:X163)</f>
        <v>538222.5</v>
      </c>
      <c r="Y164" s="21">
        <f>SUM(Y160:Y163)</f>
        <v>538222.5</v>
      </c>
      <c r="Z164" s="99"/>
      <c r="AA164" s="21">
        <f>SUM(AA160:AA163)</f>
        <v>321320.72100000002</v>
      </c>
      <c r="AB164" s="21">
        <f>SUM(AB160:AB163)</f>
        <v>57837.729779999994</v>
      </c>
      <c r="AC164" s="21"/>
      <c r="AD164" s="21">
        <f>SUM(AD160:AD163)</f>
        <v>0</v>
      </c>
      <c r="AE164" s="21">
        <f>SUM(AE160:AE163)</f>
        <v>7435853.4507799996</v>
      </c>
      <c r="AF164" s="21"/>
      <c r="AG164" s="42"/>
      <c r="AH164" s="81">
        <f>SUM(AH160:AH163)</f>
        <v>0</v>
      </c>
      <c r="AI164" s="26">
        <f>AH164-F164</f>
        <v>-125.9</v>
      </c>
      <c r="AJ164" s="41">
        <f>AA164/F164</f>
        <v>2552.19</v>
      </c>
      <c r="AK164" s="40"/>
    </row>
    <row r="165" spans="2:37" s="41" customFormat="1" ht="16.149999999999999" customHeight="1">
      <c r="B165" s="138" t="s">
        <v>2090</v>
      </c>
      <c r="C165" s="82" t="s">
        <v>2394</v>
      </c>
      <c r="D165" s="4"/>
      <c r="E165" s="193" t="s">
        <v>1430</v>
      </c>
      <c r="F165" s="186">
        <v>32.299999999999997</v>
      </c>
      <c r="G165" s="14">
        <f t="shared" ref="G165:G188" si="249">+F165*1000</f>
        <v>32299.999999999996</v>
      </c>
      <c r="H165" s="185">
        <v>30</v>
      </c>
      <c r="I165" s="171" t="s">
        <v>2445</v>
      </c>
      <c r="J165" s="167" t="s">
        <v>2435</v>
      </c>
      <c r="K165" s="172">
        <v>1549</v>
      </c>
      <c r="L165" s="4"/>
      <c r="M165" s="172" t="s">
        <v>2498</v>
      </c>
      <c r="N165" s="168" t="s">
        <v>2457</v>
      </c>
      <c r="O165" s="4"/>
      <c r="P165" s="4"/>
      <c r="Q165" s="182">
        <v>56000</v>
      </c>
      <c r="R165" s="36">
        <v>4000</v>
      </c>
      <c r="S165" s="36"/>
      <c r="T165" s="37">
        <v>12500</v>
      </c>
      <c r="U165" s="5">
        <f t="shared" ref="U165:U188" si="250">S165+R165+Q165-T165</f>
        <v>47500</v>
      </c>
      <c r="V165" s="5">
        <f t="shared" ref="V165:V188" si="251">F165*U165</f>
        <v>1534249.9999999998</v>
      </c>
      <c r="W165" s="5"/>
      <c r="X165" s="5">
        <f t="shared" ref="X165:X188" si="252">V165*9%</f>
        <v>138082.49999999997</v>
      </c>
      <c r="Y165" s="5">
        <f t="shared" ref="Y165:Y188" si="253">V165*9%</f>
        <v>138082.49999999997</v>
      </c>
      <c r="Z165" s="181">
        <v>2465.2800000000002</v>
      </c>
      <c r="AA165" s="5">
        <f t="shared" ref="AA165:AA188" si="254">F165*Z165</f>
        <v>79628.543999999994</v>
      </c>
      <c r="AB165" s="181">
        <f t="shared" ref="AB165:AB188" si="255">AA165*18%</f>
        <v>14333.137919999999</v>
      </c>
      <c r="AC165" s="43"/>
      <c r="AD165" s="5"/>
      <c r="AE165" s="5">
        <f t="shared" ref="AE165:AE188" si="256">+AB165+AA165+Y165+X165+W165+V165-AC165+AD165</f>
        <v>1904376.6819199997</v>
      </c>
      <c r="AF165" s="139"/>
      <c r="AG165" s="139"/>
      <c r="AH165" s="178"/>
      <c r="AI165" s="12"/>
      <c r="AJ165" s="40"/>
      <c r="AK165" s="40"/>
    </row>
    <row r="166" spans="2:37" s="41" customFormat="1" ht="16.149999999999999" customHeight="1">
      <c r="B166" s="138"/>
      <c r="C166" s="82" t="s">
        <v>2440</v>
      </c>
      <c r="D166" s="4"/>
      <c r="E166" s="193" t="s">
        <v>1430</v>
      </c>
      <c r="F166" s="187">
        <v>32.299999999999997</v>
      </c>
      <c r="G166" s="14">
        <f t="shared" si="249"/>
        <v>32299.999999999996</v>
      </c>
      <c r="H166" s="184">
        <v>30</v>
      </c>
      <c r="I166" s="171" t="s">
        <v>2445</v>
      </c>
      <c r="J166" s="167" t="s">
        <v>2435</v>
      </c>
      <c r="K166" s="173">
        <v>1550</v>
      </c>
      <c r="L166" s="4"/>
      <c r="M166" s="173" t="s">
        <v>2498</v>
      </c>
      <c r="N166" s="168" t="s">
        <v>2457</v>
      </c>
      <c r="O166" s="4"/>
      <c r="P166" s="4"/>
      <c r="Q166" s="182">
        <v>56000</v>
      </c>
      <c r="R166" s="36">
        <v>4000</v>
      </c>
      <c r="S166" s="36"/>
      <c r="T166" s="37">
        <v>12500</v>
      </c>
      <c r="U166" s="5">
        <f t="shared" si="250"/>
        <v>47500</v>
      </c>
      <c r="V166" s="5">
        <f t="shared" si="251"/>
        <v>1534249.9999999998</v>
      </c>
      <c r="W166" s="5"/>
      <c r="X166" s="5">
        <f t="shared" si="252"/>
        <v>138082.49999999997</v>
      </c>
      <c r="Y166" s="5">
        <f t="shared" si="253"/>
        <v>138082.49999999997</v>
      </c>
      <c r="Z166" s="181">
        <v>2465.2800000000002</v>
      </c>
      <c r="AA166" s="5">
        <f t="shared" si="254"/>
        <v>79628.543999999994</v>
      </c>
      <c r="AB166" s="181">
        <f t="shared" si="255"/>
        <v>14333.137919999999</v>
      </c>
      <c r="AC166" s="43"/>
      <c r="AD166" s="5"/>
      <c r="AE166" s="5">
        <f t="shared" si="256"/>
        <v>1904376.6819199997</v>
      </c>
      <c r="AF166" s="139"/>
      <c r="AG166" s="139"/>
      <c r="AH166" s="178"/>
      <c r="AI166" s="12"/>
      <c r="AJ166" s="40"/>
      <c r="AK166" s="40"/>
    </row>
    <row r="167" spans="2:37" s="41" customFormat="1" ht="16.149999999999999" customHeight="1">
      <c r="B167" s="138"/>
      <c r="C167" s="82"/>
      <c r="D167" s="4"/>
      <c r="E167" s="193" t="s">
        <v>1430</v>
      </c>
      <c r="F167" s="186">
        <v>32.549999999999997</v>
      </c>
      <c r="G167" s="14">
        <f t="shared" si="249"/>
        <v>32549.999999999996</v>
      </c>
      <c r="H167" s="185">
        <v>28</v>
      </c>
      <c r="I167" s="171" t="s">
        <v>2446</v>
      </c>
      <c r="J167" s="167" t="s">
        <v>2435</v>
      </c>
      <c r="K167" s="172">
        <v>1554</v>
      </c>
      <c r="L167" s="4"/>
      <c r="M167" s="172" t="s">
        <v>2498</v>
      </c>
      <c r="N167" s="168" t="s">
        <v>2458</v>
      </c>
      <c r="O167" s="4"/>
      <c r="P167" s="4"/>
      <c r="Q167" s="182">
        <v>56000</v>
      </c>
      <c r="R167" s="36">
        <v>4000</v>
      </c>
      <c r="S167" s="36"/>
      <c r="T167" s="37">
        <v>12500</v>
      </c>
      <c r="U167" s="5">
        <f t="shared" si="250"/>
        <v>47500</v>
      </c>
      <c r="V167" s="5">
        <f t="shared" si="251"/>
        <v>1546124.9999999998</v>
      </c>
      <c r="W167" s="5"/>
      <c r="X167" s="5">
        <f t="shared" si="252"/>
        <v>139151.24999999997</v>
      </c>
      <c r="Y167" s="5">
        <f t="shared" si="253"/>
        <v>139151.24999999997</v>
      </c>
      <c r="Z167" s="181">
        <v>2450.1</v>
      </c>
      <c r="AA167" s="5">
        <f t="shared" si="254"/>
        <v>79750.75499999999</v>
      </c>
      <c r="AB167" s="181">
        <f t="shared" si="255"/>
        <v>14355.135899999997</v>
      </c>
      <c r="AC167" s="43"/>
      <c r="AD167" s="5"/>
      <c r="AE167" s="5">
        <f t="shared" si="256"/>
        <v>1918533.3908999995</v>
      </c>
      <c r="AF167" s="139"/>
      <c r="AG167" s="139"/>
      <c r="AH167" s="178"/>
      <c r="AI167" s="12"/>
      <c r="AJ167" s="40"/>
      <c r="AK167" s="40"/>
    </row>
    <row r="168" spans="2:37" s="41" customFormat="1" ht="16.149999999999999" customHeight="1">
      <c r="B168" s="138"/>
      <c r="C168" s="82"/>
      <c r="D168" s="4"/>
      <c r="E168" s="193" t="s">
        <v>1430</v>
      </c>
      <c r="F168" s="187">
        <v>32.549999999999997</v>
      </c>
      <c r="G168" s="14">
        <f t="shared" si="249"/>
        <v>32549.999999999996</v>
      </c>
      <c r="H168" s="184">
        <v>32</v>
      </c>
      <c r="I168" s="171" t="s">
        <v>2446</v>
      </c>
      <c r="J168" s="167" t="s">
        <v>2435</v>
      </c>
      <c r="K168" s="173">
        <v>1555</v>
      </c>
      <c r="L168" s="4"/>
      <c r="M168" s="173" t="s">
        <v>2498</v>
      </c>
      <c r="N168" s="168" t="s">
        <v>2458</v>
      </c>
      <c r="O168" s="4"/>
      <c r="P168" s="4"/>
      <c r="Q168" s="182">
        <v>56000</v>
      </c>
      <c r="R168" s="36">
        <v>4000</v>
      </c>
      <c r="S168" s="36"/>
      <c r="T168" s="37">
        <v>12500</v>
      </c>
      <c r="U168" s="5">
        <f t="shared" si="250"/>
        <v>47500</v>
      </c>
      <c r="V168" s="5">
        <f t="shared" si="251"/>
        <v>1546124.9999999998</v>
      </c>
      <c r="W168" s="5"/>
      <c r="X168" s="5">
        <f t="shared" si="252"/>
        <v>139151.24999999997</v>
      </c>
      <c r="Y168" s="5">
        <f t="shared" si="253"/>
        <v>139151.24999999997</v>
      </c>
      <c r="Z168" s="181">
        <v>2450.1</v>
      </c>
      <c r="AA168" s="5">
        <f t="shared" si="254"/>
        <v>79750.75499999999</v>
      </c>
      <c r="AB168" s="181">
        <f t="shared" si="255"/>
        <v>14355.135899999997</v>
      </c>
      <c r="AC168" s="43"/>
      <c r="AD168" s="5"/>
      <c r="AE168" s="5">
        <f t="shared" si="256"/>
        <v>1918533.3908999995</v>
      </c>
      <c r="AF168" s="139"/>
      <c r="AG168" s="139"/>
      <c r="AH168" s="178"/>
      <c r="AI168" s="12"/>
      <c r="AJ168" s="40"/>
      <c r="AK168" s="40"/>
    </row>
    <row r="169" spans="2:37" s="41" customFormat="1" ht="16.149999999999999" customHeight="1">
      <c r="B169" s="138"/>
      <c r="C169" s="82"/>
      <c r="D169" s="4"/>
      <c r="E169" s="193" t="s">
        <v>1430</v>
      </c>
      <c r="F169" s="186">
        <v>32.5</v>
      </c>
      <c r="G169" s="14">
        <f t="shared" si="249"/>
        <v>32500</v>
      </c>
      <c r="H169" s="185">
        <v>30</v>
      </c>
      <c r="I169" s="171" t="s">
        <v>2447</v>
      </c>
      <c r="J169" s="167" t="s">
        <v>2435</v>
      </c>
      <c r="K169" s="172">
        <v>1545</v>
      </c>
      <c r="L169" s="4"/>
      <c r="M169" s="172" t="s">
        <v>2498</v>
      </c>
      <c r="N169" s="168" t="s">
        <v>2459</v>
      </c>
      <c r="O169" s="4"/>
      <c r="P169" s="4"/>
      <c r="Q169" s="182">
        <v>56000</v>
      </c>
      <c r="R169" s="36">
        <v>4000</v>
      </c>
      <c r="S169" s="36"/>
      <c r="T169" s="37">
        <v>12500</v>
      </c>
      <c r="U169" s="5">
        <f t="shared" si="250"/>
        <v>47500</v>
      </c>
      <c r="V169" s="5">
        <f t="shared" si="251"/>
        <v>1543750</v>
      </c>
      <c r="W169" s="5"/>
      <c r="X169" s="5">
        <f t="shared" si="252"/>
        <v>138937.5</v>
      </c>
      <c r="Y169" s="5">
        <f t="shared" si="253"/>
        <v>138937.5</v>
      </c>
      <c r="Z169" s="181">
        <v>2450.1</v>
      </c>
      <c r="AA169" s="5">
        <f t="shared" si="254"/>
        <v>79628.25</v>
      </c>
      <c r="AB169" s="181">
        <f t="shared" si="255"/>
        <v>14333.084999999999</v>
      </c>
      <c r="AC169" s="43"/>
      <c r="AD169" s="5"/>
      <c r="AE169" s="5">
        <f t="shared" si="256"/>
        <v>1915586.335</v>
      </c>
      <c r="AF169" s="139"/>
      <c r="AG169" s="139"/>
      <c r="AH169" s="178"/>
      <c r="AI169" s="12"/>
      <c r="AJ169" s="40"/>
      <c r="AK169" s="40"/>
    </row>
    <row r="170" spans="2:37" s="41" customFormat="1" ht="16.149999999999999" customHeight="1">
      <c r="B170" s="138"/>
      <c r="C170" s="82"/>
      <c r="D170" s="4"/>
      <c r="E170" s="193" t="s">
        <v>1430</v>
      </c>
      <c r="F170" s="187">
        <v>32.5</v>
      </c>
      <c r="G170" s="14">
        <f t="shared" si="249"/>
        <v>32500</v>
      </c>
      <c r="H170" s="185"/>
      <c r="I170" s="171" t="s">
        <v>2447</v>
      </c>
      <c r="J170" s="167" t="s">
        <v>2435</v>
      </c>
      <c r="K170" s="172"/>
      <c r="L170" s="4"/>
      <c r="M170" s="167"/>
      <c r="N170" s="168" t="s">
        <v>2459</v>
      </c>
      <c r="O170" s="4"/>
      <c r="P170" s="4"/>
      <c r="Q170" s="182">
        <v>56000</v>
      </c>
      <c r="R170" s="36">
        <v>4000</v>
      </c>
      <c r="S170" s="36"/>
      <c r="T170" s="37">
        <v>12500</v>
      </c>
      <c r="U170" s="5">
        <f t="shared" si="250"/>
        <v>47500</v>
      </c>
      <c r="V170" s="5">
        <f t="shared" si="251"/>
        <v>1543750</v>
      </c>
      <c r="W170" s="5"/>
      <c r="X170" s="5">
        <f t="shared" si="252"/>
        <v>138937.5</v>
      </c>
      <c r="Y170" s="5">
        <f t="shared" si="253"/>
        <v>138937.5</v>
      </c>
      <c r="Z170" s="181">
        <v>2450.1</v>
      </c>
      <c r="AA170" s="5">
        <f t="shared" si="254"/>
        <v>79628.25</v>
      </c>
      <c r="AB170" s="181">
        <f t="shared" si="255"/>
        <v>14333.084999999999</v>
      </c>
      <c r="AC170" s="43"/>
      <c r="AD170" s="5"/>
      <c r="AE170" s="5">
        <f t="shared" si="256"/>
        <v>1915586.335</v>
      </c>
      <c r="AF170" s="139"/>
      <c r="AG170" s="139"/>
      <c r="AH170" s="178"/>
      <c r="AI170" s="12"/>
      <c r="AJ170" s="40"/>
      <c r="AK170" s="40"/>
    </row>
    <row r="171" spans="2:37" s="41" customFormat="1" ht="16.149999999999999" customHeight="1">
      <c r="B171" s="138"/>
      <c r="C171" s="82"/>
      <c r="D171" s="4"/>
      <c r="E171" s="193" t="s">
        <v>1430</v>
      </c>
      <c r="F171" s="186">
        <v>32.549999999999997</v>
      </c>
      <c r="G171" s="14">
        <f t="shared" si="249"/>
        <v>32549.999999999996</v>
      </c>
      <c r="H171" s="185">
        <v>30</v>
      </c>
      <c r="I171" s="171" t="s">
        <v>2448</v>
      </c>
      <c r="J171" s="167" t="s">
        <v>2435</v>
      </c>
      <c r="K171" s="172">
        <v>1538</v>
      </c>
      <c r="L171" s="4"/>
      <c r="M171" s="172" t="s">
        <v>2498</v>
      </c>
      <c r="N171" s="168" t="s">
        <v>2460</v>
      </c>
      <c r="O171" s="4"/>
      <c r="P171" s="4"/>
      <c r="Q171" s="182">
        <v>56000</v>
      </c>
      <c r="R171" s="36">
        <v>4000</v>
      </c>
      <c r="S171" s="36"/>
      <c r="T171" s="37">
        <v>12500</v>
      </c>
      <c r="U171" s="5">
        <f t="shared" si="250"/>
        <v>47500</v>
      </c>
      <c r="V171" s="5">
        <f t="shared" si="251"/>
        <v>1546124.9999999998</v>
      </c>
      <c r="W171" s="5"/>
      <c r="X171" s="5">
        <f t="shared" si="252"/>
        <v>139151.24999999997</v>
      </c>
      <c r="Y171" s="5">
        <f t="shared" si="253"/>
        <v>139151.24999999997</v>
      </c>
      <c r="Z171" s="181">
        <v>2450.1</v>
      </c>
      <c r="AA171" s="5">
        <f t="shared" si="254"/>
        <v>79750.75499999999</v>
      </c>
      <c r="AB171" s="181">
        <f t="shared" si="255"/>
        <v>14355.135899999997</v>
      </c>
      <c r="AC171" s="43"/>
      <c r="AD171" s="5"/>
      <c r="AE171" s="5">
        <f t="shared" si="256"/>
        <v>1918533.3908999995</v>
      </c>
      <c r="AF171" s="139"/>
      <c r="AG171" s="139"/>
      <c r="AH171" s="178"/>
      <c r="AI171" s="12"/>
      <c r="AJ171" s="40"/>
      <c r="AK171" s="40"/>
    </row>
    <row r="172" spans="2:37" s="41" customFormat="1" ht="16.149999999999999" customHeight="1">
      <c r="B172" s="138"/>
      <c r="C172" s="82"/>
      <c r="D172" s="4"/>
      <c r="E172" s="193" t="s">
        <v>1430</v>
      </c>
      <c r="F172" s="187">
        <v>32.549999999999997</v>
      </c>
      <c r="G172" s="14">
        <f t="shared" si="249"/>
        <v>32549.999999999996</v>
      </c>
      <c r="H172" s="184">
        <v>30</v>
      </c>
      <c r="I172" s="171" t="s">
        <v>2448</v>
      </c>
      <c r="J172" s="167" t="s">
        <v>2435</v>
      </c>
      <c r="K172" s="173">
        <v>1539</v>
      </c>
      <c r="L172" s="4"/>
      <c r="M172" s="173" t="s">
        <v>2498</v>
      </c>
      <c r="N172" s="168" t="s">
        <v>2460</v>
      </c>
      <c r="O172" s="4"/>
      <c r="P172" s="4"/>
      <c r="Q172" s="182">
        <v>56000</v>
      </c>
      <c r="R172" s="36">
        <v>4000</v>
      </c>
      <c r="S172" s="36"/>
      <c r="T172" s="37">
        <v>12500</v>
      </c>
      <c r="U172" s="5">
        <f t="shared" si="250"/>
        <v>47500</v>
      </c>
      <c r="V172" s="5">
        <f t="shared" si="251"/>
        <v>1546124.9999999998</v>
      </c>
      <c r="W172" s="5"/>
      <c r="X172" s="5">
        <f t="shared" si="252"/>
        <v>139151.24999999997</v>
      </c>
      <c r="Y172" s="5">
        <f t="shared" si="253"/>
        <v>139151.24999999997</v>
      </c>
      <c r="Z172" s="181">
        <v>2450.1</v>
      </c>
      <c r="AA172" s="5">
        <f t="shared" si="254"/>
        <v>79750.75499999999</v>
      </c>
      <c r="AB172" s="181">
        <f t="shared" si="255"/>
        <v>14355.135899999997</v>
      </c>
      <c r="AC172" s="43"/>
      <c r="AD172" s="5"/>
      <c r="AE172" s="5">
        <f t="shared" si="256"/>
        <v>1918533.3908999995</v>
      </c>
      <c r="AF172" s="139"/>
      <c r="AG172" s="139"/>
      <c r="AH172" s="178"/>
      <c r="AI172" s="12"/>
      <c r="AJ172" s="40"/>
      <c r="AK172" s="40"/>
    </row>
    <row r="173" spans="2:37" s="41" customFormat="1" ht="16.149999999999999" customHeight="1">
      <c r="B173" s="138"/>
      <c r="C173" s="82"/>
      <c r="D173" s="4"/>
      <c r="E173" s="193" t="s">
        <v>1430</v>
      </c>
      <c r="F173" s="186">
        <v>32.1</v>
      </c>
      <c r="G173" s="14">
        <f t="shared" si="249"/>
        <v>32100</v>
      </c>
      <c r="H173" s="185"/>
      <c r="I173" s="171" t="s">
        <v>2449</v>
      </c>
      <c r="J173" s="167" t="s">
        <v>2435</v>
      </c>
      <c r="K173" s="172"/>
      <c r="L173" s="4"/>
      <c r="M173" s="167"/>
      <c r="N173" s="168" t="s">
        <v>2461</v>
      </c>
      <c r="O173" s="4"/>
      <c r="P173" s="4"/>
      <c r="Q173" s="182">
        <v>56000</v>
      </c>
      <c r="R173" s="36">
        <v>4000</v>
      </c>
      <c r="S173" s="36"/>
      <c r="T173" s="37">
        <v>12500</v>
      </c>
      <c r="U173" s="5">
        <f t="shared" si="250"/>
        <v>47500</v>
      </c>
      <c r="V173" s="5">
        <f t="shared" si="251"/>
        <v>1524750</v>
      </c>
      <c r="W173" s="5"/>
      <c r="X173" s="5">
        <f t="shared" si="252"/>
        <v>137227.5</v>
      </c>
      <c r="Y173" s="5">
        <f t="shared" si="253"/>
        <v>137227.5</v>
      </c>
      <c r="Z173" s="181">
        <v>2480.63</v>
      </c>
      <c r="AA173" s="5">
        <f t="shared" si="254"/>
        <v>79628.223000000013</v>
      </c>
      <c r="AB173" s="181">
        <f t="shared" si="255"/>
        <v>14333.080140000002</v>
      </c>
      <c r="AC173" s="43"/>
      <c r="AD173" s="5"/>
      <c r="AE173" s="5">
        <f t="shared" si="256"/>
        <v>1893166.30314</v>
      </c>
      <c r="AF173" s="139"/>
      <c r="AG173" s="139"/>
      <c r="AH173" s="178"/>
      <c r="AI173" s="12"/>
      <c r="AJ173" s="40"/>
      <c r="AK173" s="40"/>
    </row>
    <row r="174" spans="2:37" s="41" customFormat="1" ht="16.149999999999999" customHeight="1">
      <c r="B174" s="138"/>
      <c r="C174" s="82"/>
      <c r="D174" s="4"/>
      <c r="E174" s="193" t="s">
        <v>1430</v>
      </c>
      <c r="F174" s="187">
        <v>32.1</v>
      </c>
      <c r="G174" s="14">
        <f t="shared" si="249"/>
        <v>32100</v>
      </c>
      <c r="H174" s="185"/>
      <c r="I174" s="171" t="s">
        <v>2449</v>
      </c>
      <c r="J174" s="167" t="s">
        <v>2435</v>
      </c>
      <c r="K174" s="172"/>
      <c r="L174" s="4"/>
      <c r="M174" s="167"/>
      <c r="N174" s="168" t="s">
        <v>2461</v>
      </c>
      <c r="O174" s="4"/>
      <c r="P174" s="4"/>
      <c r="Q174" s="182">
        <v>56000</v>
      </c>
      <c r="R174" s="36">
        <v>4000</v>
      </c>
      <c r="S174" s="36"/>
      <c r="T174" s="37">
        <v>12500</v>
      </c>
      <c r="U174" s="5">
        <f t="shared" si="250"/>
        <v>47500</v>
      </c>
      <c r="V174" s="5">
        <f t="shared" si="251"/>
        <v>1524750</v>
      </c>
      <c r="W174" s="5"/>
      <c r="X174" s="5">
        <f t="shared" si="252"/>
        <v>137227.5</v>
      </c>
      <c r="Y174" s="5">
        <f t="shared" si="253"/>
        <v>137227.5</v>
      </c>
      <c r="Z174" s="181">
        <v>2480.63</v>
      </c>
      <c r="AA174" s="5">
        <f t="shared" si="254"/>
        <v>79628.223000000013</v>
      </c>
      <c r="AB174" s="181">
        <f t="shared" si="255"/>
        <v>14333.080140000002</v>
      </c>
      <c r="AC174" s="43"/>
      <c r="AD174" s="5"/>
      <c r="AE174" s="5">
        <f t="shared" si="256"/>
        <v>1893166.30314</v>
      </c>
      <c r="AF174" s="139"/>
      <c r="AG174" s="139"/>
      <c r="AH174" s="178"/>
      <c r="AI174" s="12"/>
      <c r="AJ174" s="40"/>
      <c r="AK174" s="40"/>
    </row>
    <row r="175" spans="2:37" s="41" customFormat="1" ht="16.149999999999999" customHeight="1">
      <c r="B175" s="138"/>
      <c r="C175" s="82"/>
      <c r="D175" s="4"/>
      <c r="E175" s="193" t="s">
        <v>1430</v>
      </c>
      <c r="F175" s="186">
        <v>32.15</v>
      </c>
      <c r="G175" s="14">
        <f t="shared" si="249"/>
        <v>32150</v>
      </c>
      <c r="H175" s="185"/>
      <c r="I175" s="171" t="s">
        <v>2450</v>
      </c>
      <c r="J175" s="167" t="s">
        <v>2435</v>
      </c>
      <c r="K175" s="172"/>
      <c r="L175" s="4"/>
      <c r="M175" s="167"/>
      <c r="N175" s="168" t="s">
        <v>2462</v>
      </c>
      <c r="O175" s="4"/>
      <c r="P175" s="4"/>
      <c r="Q175" s="182">
        <v>56000</v>
      </c>
      <c r="R175" s="36">
        <v>4000</v>
      </c>
      <c r="S175" s="36"/>
      <c r="T175" s="37">
        <v>12500</v>
      </c>
      <c r="U175" s="5">
        <f t="shared" si="250"/>
        <v>47500</v>
      </c>
      <c r="V175" s="5">
        <f t="shared" si="251"/>
        <v>1527125</v>
      </c>
      <c r="W175" s="5"/>
      <c r="X175" s="5">
        <f t="shared" si="252"/>
        <v>137441.25</v>
      </c>
      <c r="Y175" s="5">
        <f t="shared" si="253"/>
        <v>137441.25</v>
      </c>
      <c r="Z175" s="181">
        <v>2476.77</v>
      </c>
      <c r="AA175" s="5">
        <f t="shared" si="254"/>
        <v>79628.155499999993</v>
      </c>
      <c r="AB175" s="181">
        <f t="shared" si="255"/>
        <v>14333.067989999998</v>
      </c>
      <c r="AC175" s="43"/>
      <c r="AD175" s="5"/>
      <c r="AE175" s="5">
        <f t="shared" si="256"/>
        <v>1895968.72349</v>
      </c>
      <c r="AF175" s="139"/>
      <c r="AG175" s="139"/>
      <c r="AH175" s="178"/>
      <c r="AI175" s="12"/>
      <c r="AJ175" s="40"/>
      <c r="AK175" s="40"/>
    </row>
    <row r="176" spans="2:37" s="41" customFormat="1" ht="16.149999999999999" customHeight="1">
      <c r="B176" s="138"/>
      <c r="C176" s="82"/>
      <c r="D176" s="4"/>
      <c r="E176" s="193" t="s">
        <v>1430</v>
      </c>
      <c r="F176" s="187">
        <v>32.15</v>
      </c>
      <c r="G176" s="14">
        <f t="shared" si="249"/>
        <v>32150</v>
      </c>
      <c r="H176" s="185"/>
      <c r="I176" s="171" t="s">
        <v>2450</v>
      </c>
      <c r="J176" s="167" t="s">
        <v>2435</v>
      </c>
      <c r="K176" s="172"/>
      <c r="L176" s="4"/>
      <c r="M176" s="167"/>
      <c r="N176" s="168" t="s">
        <v>2462</v>
      </c>
      <c r="O176" s="4"/>
      <c r="P176" s="4"/>
      <c r="Q176" s="182">
        <v>56000</v>
      </c>
      <c r="R176" s="36">
        <v>4000</v>
      </c>
      <c r="S176" s="36"/>
      <c r="T176" s="37">
        <v>12500</v>
      </c>
      <c r="U176" s="5">
        <f t="shared" si="250"/>
        <v>47500</v>
      </c>
      <c r="V176" s="5">
        <f t="shared" si="251"/>
        <v>1527125</v>
      </c>
      <c r="W176" s="5"/>
      <c r="X176" s="5">
        <f t="shared" si="252"/>
        <v>137441.25</v>
      </c>
      <c r="Y176" s="5">
        <f t="shared" si="253"/>
        <v>137441.25</v>
      </c>
      <c r="Z176" s="181">
        <v>2476.77</v>
      </c>
      <c r="AA176" s="5">
        <f t="shared" si="254"/>
        <v>79628.155499999993</v>
      </c>
      <c r="AB176" s="181">
        <f t="shared" si="255"/>
        <v>14333.067989999998</v>
      </c>
      <c r="AC176" s="43"/>
      <c r="AD176" s="5"/>
      <c r="AE176" s="5">
        <f t="shared" si="256"/>
        <v>1895968.72349</v>
      </c>
      <c r="AF176" s="139"/>
      <c r="AG176" s="139"/>
      <c r="AH176" s="178"/>
      <c r="AI176" s="12"/>
      <c r="AJ176" s="40"/>
      <c r="AK176" s="40"/>
    </row>
    <row r="177" spans="2:37" s="41" customFormat="1" ht="16.149999999999999" customHeight="1">
      <c r="B177" s="138"/>
      <c r="C177" s="82"/>
      <c r="D177" s="4"/>
      <c r="E177" s="193" t="s">
        <v>1430</v>
      </c>
      <c r="F177" s="186">
        <v>31.95</v>
      </c>
      <c r="G177" s="14">
        <f t="shared" si="249"/>
        <v>31950</v>
      </c>
      <c r="H177" s="185"/>
      <c r="I177" s="171" t="s">
        <v>2451</v>
      </c>
      <c r="J177" s="167" t="s">
        <v>2435</v>
      </c>
      <c r="K177" s="172"/>
      <c r="L177" s="4"/>
      <c r="M177" s="167"/>
      <c r="N177" s="168" t="s">
        <v>2463</v>
      </c>
      <c r="O177" s="4"/>
      <c r="P177" s="4"/>
      <c r="Q177" s="182">
        <v>56000</v>
      </c>
      <c r="R177" s="36">
        <v>4000</v>
      </c>
      <c r="S177" s="36"/>
      <c r="T177" s="37">
        <v>12500</v>
      </c>
      <c r="U177" s="5">
        <f t="shared" si="250"/>
        <v>47500</v>
      </c>
      <c r="V177" s="5">
        <f t="shared" si="251"/>
        <v>1517625</v>
      </c>
      <c r="W177" s="5"/>
      <c r="X177" s="5">
        <f t="shared" si="252"/>
        <v>136586.25</v>
      </c>
      <c r="Y177" s="5">
        <f t="shared" si="253"/>
        <v>136586.25</v>
      </c>
      <c r="Z177" s="181">
        <v>2492.2800000000002</v>
      </c>
      <c r="AA177" s="5">
        <f t="shared" si="254"/>
        <v>79628.346000000005</v>
      </c>
      <c r="AB177" s="181">
        <f t="shared" si="255"/>
        <v>14333.102280000001</v>
      </c>
      <c r="AC177" s="43"/>
      <c r="AD177" s="5"/>
      <c r="AE177" s="5">
        <f t="shared" si="256"/>
        <v>1884758.9482800001</v>
      </c>
      <c r="AF177" s="139"/>
      <c r="AG177" s="139"/>
      <c r="AH177" s="178"/>
      <c r="AI177" s="12"/>
      <c r="AJ177" s="40"/>
      <c r="AK177" s="40"/>
    </row>
    <row r="178" spans="2:37" s="41" customFormat="1" ht="16.149999999999999" customHeight="1">
      <c r="B178" s="138"/>
      <c r="C178" s="82"/>
      <c r="D178" s="4"/>
      <c r="E178" s="193" t="s">
        <v>1430</v>
      </c>
      <c r="F178" s="187">
        <v>31.95</v>
      </c>
      <c r="G178" s="14">
        <f t="shared" si="249"/>
        <v>31950</v>
      </c>
      <c r="H178" s="185"/>
      <c r="I178" s="171" t="s">
        <v>2451</v>
      </c>
      <c r="J178" s="167" t="s">
        <v>2435</v>
      </c>
      <c r="K178" s="172"/>
      <c r="L178" s="4"/>
      <c r="M178" s="167"/>
      <c r="N178" s="168" t="s">
        <v>2463</v>
      </c>
      <c r="O178" s="4"/>
      <c r="P178" s="4"/>
      <c r="Q178" s="182">
        <v>56000</v>
      </c>
      <c r="R178" s="36">
        <v>4000</v>
      </c>
      <c r="S178" s="36"/>
      <c r="T178" s="37">
        <v>12500</v>
      </c>
      <c r="U178" s="5">
        <f t="shared" si="250"/>
        <v>47500</v>
      </c>
      <c r="V178" s="5">
        <f t="shared" si="251"/>
        <v>1517625</v>
      </c>
      <c r="W178" s="5"/>
      <c r="X178" s="5">
        <f t="shared" si="252"/>
        <v>136586.25</v>
      </c>
      <c r="Y178" s="5">
        <f t="shared" si="253"/>
        <v>136586.25</v>
      </c>
      <c r="Z178" s="181">
        <v>2492.2800000000002</v>
      </c>
      <c r="AA178" s="5">
        <f t="shared" si="254"/>
        <v>79628.346000000005</v>
      </c>
      <c r="AB178" s="181">
        <f t="shared" si="255"/>
        <v>14333.102280000001</v>
      </c>
      <c r="AC178" s="43"/>
      <c r="AD178" s="5"/>
      <c r="AE178" s="5">
        <f t="shared" si="256"/>
        <v>1884758.9482800001</v>
      </c>
      <c r="AF178" s="139"/>
      <c r="AG178" s="139"/>
      <c r="AH178" s="178"/>
      <c r="AI178" s="12"/>
      <c r="AJ178" s="40"/>
      <c r="AK178" s="40"/>
    </row>
    <row r="179" spans="2:37" s="41" customFormat="1" ht="16.149999999999999" customHeight="1">
      <c r="B179" s="138"/>
      <c r="C179" s="82"/>
      <c r="D179" s="4"/>
      <c r="E179" s="193" t="s">
        <v>1430</v>
      </c>
      <c r="F179" s="186">
        <v>32.75</v>
      </c>
      <c r="G179" s="14">
        <f t="shared" si="249"/>
        <v>32750</v>
      </c>
      <c r="H179" s="185"/>
      <c r="I179" s="171" t="s">
        <v>2452</v>
      </c>
      <c r="J179" s="167" t="s">
        <v>2435</v>
      </c>
      <c r="K179" s="172"/>
      <c r="L179" s="4"/>
      <c r="M179" s="167"/>
      <c r="N179" s="168" t="s">
        <v>2464</v>
      </c>
      <c r="O179" s="4"/>
      <c r="P179" s="4"/>
      <c r="Q179" s="182">
        <v>56000</v>
      </c>
      <c r="R179" s="36">
        <v>4000</v>
      </c>
      <c r="S179" s="36"/>
      <c r="T179" s="37">
        <v>12500</v>
      </c>
      <c r="U179" s="5">
        <f t="shared" si="250"/>
        <v>47500</v>
      </c>
      <c r="V179" s="5">
        <f t="shared" si="251"/>
        <v>1555625</v>
      </c>
      <c r="W179" s="5"/>
      <c r="X179" s="5">
        <f t="shared" si="252"/>
        <v>140006.25</v>
      </c>
      <c r="Y179" s="5">
        <f t="shared" si="253"/>
        <v>140006.25</v>
      </c>
      <c r="Z179" s="181">
        <v>2450.1</v>
      </c>
      <c r="AA179" s="5">
        <f t="shared" si="254"/>
        <v>80240.774999999994</v>
      </c>
      <c r="AB179" s="181">
        <f t="shared" si="255"/>
        <v>14443.339499999998</v>
      </c>
      <c r="AC179" s="43"/>
      <c r="AD179" s="5"/>
      <c r="AE179" s="5">
        <f t="shared" si="256"/>
        <v>1930321.6145000001</v>
      </c>
      <c r="AF179" s="139"/>
      <c r="AG179" s="139"/>
      <c r="AH179" s="178"/>
      <c r="AI179" s="12"/>
      <c r="AJ179" s="40"/>
      <c r="AK179" s="40"/>
    </row>
    <row r="180" spans="2:37" s="41" customFormat="1" ht="16.149999999999999" customHeight="1">
      <c r="B180" s="138"/>
      <c r="C180" s="82"/>
      <c r="D180" s="4"/>
      <c r="E180" s="193" t="s">
        <v>1430</v>
      </c>
      <c r="F180" s="187">
        <v>32.75</v>
      </c>
      <c r="G180" s="14">
        <f t="shared" si="249"/>
        <v>32750</v>
      </c>
      <c r="H180" s="185"/>
      <c r="I180" s="171" t="s">
        <v>2452</v>
      </c>
      <c r="J180" s="167" t="s">
        <v>2435</v>
      </c>
      <c r="K180" s="172"/>
      <c r="L180" s="4"/>
      <c r="M180" s="167"/>
      <c r="N180" s="168" t="s">
        <v>2464</v>
      </c>
      <c r="O180" s="4"/>
      <c r="P180" s="4"/>
      <c r="Q180" s="182">
        <v>56000</v>
      </c>
      <c r="R180" s="36">
        <v>4000</v>
      </c>
      <c r="S180" s="36"/>
      <c r="T180" s="37">
        <v>12500</v>
      </c>
      <c r="U180" s="5">
        <f t="shared" si="250"/>
        <v>47500</v>
      </c>
      <c r="V180" s="5">
        <f t="shared" si="251"/>
        <v>1555625</v>
      </c>
      <c r="W180" s="5"/>
      <c r="X180" s="5">
        <f t="shared" si="252"/>
        <v>140006.25</v>
      </c>
      <c r="Y180" s="5">
        <f t="shared" si="253"/>
        <v>140006.25</v>
      </c>
      <c r="Z180" s="181">
        <v>2450.1</v>
      </c>
      <c r="AA180" s="5">
        <f t="shared" si="254"/>
        <v>80240.774999999994</v>
      </c>
      <c r="AB180" s="181">
        <f t="shared" si="255"/>
        <v>14443.339499999998</v>
      </c>
      <c r="AC180" s="43"/>
      <c r="AD180" s="5"/>
      <c r="AE180" s="5">
        <f t="shared" si="256"/>
        <v>1930321.6145000001</v>
      </c>
      <c r="AF180" s="139"/>
      <c r="AG180" s="139"/>
      <c r="AH180" s="178"/>
      <c r="AI180" s="12"/>
      <c r="AJ180" s="40"/>
      <c r="AK180" s="40"/>
    </row>
    <row r="181" spans="2:37" s="41" customFormat="1" ht="16.149999999999999" customHeight="1">
      <c r="B181" s="138"/>
      <c r="C181" s="82"/>
      <c r="D181" s="4"/>
      <c r="E181" s="193" t="s">
        <v>1430</v>
      </c>
      <c r="F181" s="186">
        <v>32.9</v>
      </c>
      <c r="G181" s="14">
        <f t="shared" si="249"/>
        <v>32900</v>
      </c>
      <c r="H181" s="185">
        <v>29</v>
      </c>
      <c r="I181" s="171" t="s">
        <v>2453</v>
      </c>
      <c r="J181" s="167" t="s">
        <v>2435</v>
      </c>
      <c r="K181" s="172">
        <v>1542</v>
      </c>
      <c r="L181" s="4"/>
      <c r="M181" s="172" t="s">
        <v>2498</v>
      </c>
      <c r="N181" s="168" t="s">
        <v>2465</v>
      </c>
      <c r="O181" s="4"/>
      <c r="P181" s="4"/>
      <c r="Q181" s="182">
        <v>56000</v>
      </c>
      <c r="R181" s="36">
        <v>4000</v>
      </c>
      <c r="S181" s="36"/>
      <c r="T181" s="37">
        <v>12500</v>
      </c>
      <c r="U181" s="5">
        <f t="shared" si="250"/>
        <v>47500</v>
      </c>
      <c r="V181" s="5">
        <f t="shared" si="251"/>
        <v>1562750</v>
      </c>
      <c r="W181" s="5"/>
      <c r="X181" s="5">
        <f t="shared" si="252"/>
        <v>140647.5</v>
      </c>
      <c r="Y181" s="5">
        <f t="shared" si="253"/>
        <v>140647.5</v>
      </c>
      <c r="Z181" s="181">
        <v>2450.1</v>
      </c>
      <c r="AA181" s="5">
        <f t="shared" si="254"/>
        <v>80608.289999999994</v>
      </c>
      <c r="AB181" s="181">
        <f t="shared" si="255"/>
        <v>14509.492199999999</v>
      </c>
      <c r="AC181" s="43"/>
      <c r="AD181" s="5"/>
      <c r="AE181" s="5">
        <f t="shared" si="256"/>
        <v>1939162.7822</v>
      </c>
      <c r="AF181" s="139"/>
      <c r="AG181" s="139"/>
      <c r="AH181" s="178"/>
      <c r="AI181" s="12"/>
      <c r="AJ181" s="40"/>
      <c r="AK181" s="40"/>
    </row>
    <row r="182" spans="2:37" s="41" customFormat="1" ht="16.149999999999999" customHeight="1">
      <c r="B182" s="138"/>
      <c r="C182" s="82"/>
      <c r="D182" s="4"/>
      <c r="E182" s="193" t="s">
        <v>1430</v>
      </c>
      <c r="F182" s="187">
        <v>32.9</v>
      </c>
      <c r="G182" s="14">
        <f t="shared" si="249"/>
        <v>32900</v>
      </c>
      <c r="H182" s="184">
        <v>32</v>
      </c>
      <c r="I182" s="171" t="s">
        <v>2453</v>
      </c>
      <c r="J182" s="167" t="s">
        <v>2435</v>
      </c>
      <c r="K182" s="173">
        <v>1553</v>
      </c>
      <c r="L182" s="4"/>
      <c r="M182" s="173" t="s">
        <v>2498</v>
      </c>
      <c r="N182" s="168" t="s">
        <v>2465</v>
      </c>
      <c r="O182" s="4"/>
      <c r="P182" s="4"/>
      <c r="Q182" s="182">
        <v>56000</v>
      </c>
      <c r="R182" s="36">
        <v>4000</v>
      </c>
      <c r="S182" s="36"/>
      <c r="T182" s="37">
        <v>12500</v>
      </c>
      <c r="U182" s="5">
        <f t="shared" si="250"/>
        <v>47500</v>
      </c>
      <c r="V182" s="5">
        <f t="shared" si="251"/>
        <v>1562750</v>
      </c>
      <c r="W182" s="5"/>
      <c r="X182" s="5">
        <f t="shared" si="252"/>
        <v>140647.5</v>
      </c>
      <c r="Y182" s="5">
        <f t="shared" si="253"/>
        <v>140647.5</v>
      </c>
      <c r="Z182" s="181">
        <v>2450.1</v>
      </c>
      <c r="AA182" s="5">
        <f t="shared" si="254"/>
        <v>80608.289999999994</v>
      </c>
      <c r="AB182" s="181">
        <f t="shared" si="255"/>
        <v>14509.492199999999</v>
      </c>
      <c r="AC182" s="43"/>
      <c r="AD182" s="5"/>
      <c r="AE182" s="5">
        <f t="shared" si="256"/>
        <v>1939162.7822</v>
      </c>
      <c r="AF182" s="139"/>
      <c r="AG182" s="139"/>
      <c r="AH182" s="178"/>
      <c r="AI182" s="12"/>
      <c r="AJ182" s="40"/>
      <c r="AK182" s="40"/>
    </row>
    <row r="183" spans="2:37" s="41" customFormat="1" ht="16.149999999999999" customHeight="1">
      <c r="B183" s="138"/>
      <c r="C183" s="82"/>
      <c r="D183" s="4"/>
      <c r="E183" s="193" t="s">
        <v>1430</v>
      </c>
      <c r="F183" s="186">
        <v>32.15</v>
      </c>
      <c r="G183" s="14">
        <f t="shared" si="249"/>
        <v>32150</v>
      </c>
      <c r="H183" s="185"/>
      <c r="I183" s="171" t="s">
        <v>2454</v>
      </c>
      <c r="J183" s="167" t="s">
        <v>2435</v>
      </c>
      <c r="K183" s="172"/>
      <c r="L183" s="4"/>
      <c r="M183" s="167"/>
      <c r="N183" s="168" t="s">
        <v>2466</v>
      </c>
      <c r="O183" s="4"/>
      <c r="P183" s="4"/>
      <c r="Q183" s="182">
        <v>56000</v>
      </c>
      <c r="R183" s="36">
        <v>4000</v>
      </c>
      <c r="S183" s="36"/>
      <c r="T183" s="37">
        <v>12500</v>
      </c>
      <c r="U183" s="5">
        <f t="shared" si="250"/>
        <v>47500</v>
      </c>
      <c r="V183" s="5">
        <f t="shared" si="251"/>
        <v>1527125</v>
      </c>
      <c r="W183" s="5"/>
      <c r="X183" s="5">
        <f t="shared" si="252"/>
        <v>137441.25</v>
      </c>
      <c r="Y183" s="5">
        <f t="shared" si="253"/>
        <v>137441.25</v>
      </c>
      <c r="Z183" s="181">
        <v>2476.77</v>
      </c>
      <c r="AA183" s="5">
        <f t="shared" si="254"/>
        <v>79628.155499999993</v>
      </c>
      <c r="AB183" s="181">
        <f t="shared" si="255"/>
        <v>14333.067989999998</v>
      </c>
      <c r="AC183" s="43"/>
      <c r="AD183" s="5"/>
      <c r="AE183" s="5">
        <f t="shared" si="256"/>
        <v>1895968.72349</v>
      </c>
      <c r="AF183" s="139"/>
      <c r="AG183" s="139"/>
      <c r="AH183" s="178"/>
      <c r="AI183" s="12"/>
      <c r="AJ183" s="40"/>
      <c r="AK183" s="40"/>
    </row>
    <row r="184" spans="2:37" s="41" customFormat="1" ht="16.149999999999999" customHeight="1">
      <c r="B184" s="138"/>
      <c r="C184" s="82"/>
      <c r="D184" s="4"/>
      <c r="E184" s="193" t="s">
        <v>1430</v>
      </c>
      <c r="F184" s="187">
        <v>32.15</v>
      </c>
      <c r="G184" s="14">
        <f t="shared" si="249"/>
        <v>32150</v>
      </c>
      <c r="H184" s="185"/>
      <c r="I184" s="171" t="s">
        <v>2454</v>
      </c>
      <c r="J184" s="167" t="s">
        <v>2435</v>
      </c>
      <c r="K184" s="172"/>
      <c r="L184" s="4"/>
      <c r="M184" s="167"/>
      <c r="N184" s="168" t="s">
        <v>2466</v>
      </c>
      <c r="O184" s="4"/>
      <c r="P184" s="4"/>
      <c r="Q184" s="182">
        <v>56000</v>
      </c>
      <c r="R184" s="36">
        <v>4000</v>
      </c>
      <c r="S184" s="36"/>
      <c r="T184" s="37">
        <v>12500</v>
      </c>
      <c r="U184" s="5">
        <f t="shared" si="250"/>
        <v>47500</v>
      </c>
      <c r="V184" s="5">
        <f t="shared" si="251"/>
        <v>1527125</v>
      </c>
      <c r="W184" s="5"/>
      <c r="X184" s="5">
        <f t="shared" si="252"/>
        <v>137441.25</v>
      </c>
      <c r="Y184" s="5">
        <f t="shared" si="253"/>
        <v>137441.25</v>
      </c>
      <c r="Z184" s="181">
        <v>2476.77</v>
      </c>
      <c r="AA184" s="5">
        <f t="shared" si="254"/>
        <v>79628.155499999993</v>
      </c>
      <c r="AB184" s="181">
        <f t="shared" si="255"/>
        <v>14333.067989999998</v>
      </c>
      <c r="AC184" s="43"/>
      <c r="AD184" s="5"/>
      <c r="AE184" s="5">
        <f t="shared" si="256"/>
        <v>1895968.72349</v>
      </c>
      <c r="AF184" s="139"/>
      <c r="AG184" s="139"/>
      <c r="AH184" s="178"/>
      <c r="AI184" s="12"/>
      <c r="AJ184" s="40"/>
      <c r="AK184" s="40"/>
    </row>
    <row r="185" spans="2:37" s="41" customFormat="1" ht="16.149999999999999" customHeight="1">
      <c r="B185" s="138"/>
      <c r="C185" s="82"/>
      <c r="D185" s="4"/>
      <c r="E185" s="193" t="s">
        <v>1430</v>
      </c>
      <c r="F185" s="186">
        <v>32.85</v>
      </c>
      <c r="G185" s="14">
        <f t="shared" si="249"/>
        <v>32850</v>
      </c>
      <c r="H185" s="185"/>
      <c r="I185" s="171" t="s">
        <v>2455</v>
      </c>
      <c r="J185" s="167" t="s">
        <v>2435</v>
      </c>
      <c r="K185" s="172"/>
      <c r="L185" s="4"/>
      <c r="M185" s="167"/>
      <c r="N185" s="168" t="s">
        <v>2467</v>
      </c>
      <c r="O185" s="4"/>
      <c r="P185" s="4"/>
      <c r="Q185" s="182">
        <v>56000</v>
      </c>
      <c r="R185" s="36">
        <v>4000</v>
      </c>
      <c r="S185" s="36"/>
      <c r="T185" s="37">
        <v>12500</v>
      </c>
      <c r="U185" s="5">
        <f t="shared" si="250"/>
        <v>47500</v>
      </c>
      <c r="V185" s="5">
        <f t="shared" si="251"/>
        <v>1560375</v>
      </c>
      <c r="W185" s="5"/>
      <c r="X185" s="5">
        <f t="shared" si="252"/>
        <v>140433.75</v>
      </c>
      <c r="Y185" s="5">
        <f t="shared" si="253"/>
        <v>140433.75</v>
      </c>
      <c r="Z185" s="181">
        <v>2450.1</v>
      </c>
      <c r="AA185" s="5">
        <f t="shared" si="254"/>
        <v>80485.785000000003</v>
      </c>
      <c r="AB185" s="181">
        <f t="shared" si="255"/>
        <v>14487.4413</v>
      </c>
      <c r="AC185" s="43"/>
      <c r="AD185" s="5"/>
      <c r="AE185" s="5">
        <f t="shared" si="256"/>
        <v>1936215.7263</v>
      </c>
      <c r="AF185" s="139"/>
      <c r="AG185" s="139"/>
      <c r="AH185" s="178"/>
      <c r="AI185" s="12"/>
      <c r="AJ185" s="40"/>
      <c r="AK185" s="40"/>
    </row>
    <row r="186" spans="2:37" s="41" customFormat="1" ht="16.149999999999999" customHeight="1">
      <c r="B186" s="138"/>
      <c r="C186" s="82"/>
      <c r="D186" s="4"/>
      <c r="E186" s="193" t="s">
        <v>1430</v>
      </c>
      <c r="F186" s="187">
        <v>32.85</v>
      </c>
      <c r="G186" s="14">
        <f t="shared" si="249"/>
        <v>32850</v>
      </c>
      <c r="H186" s="185"/>
      <c r="I186" s="171" t="s">
        <v>2455</v>
      </c>
      <c r="J186" s="167" t="s">
        <v>2435</v>
      </c>
      <c r="K186" s="173"/>
      <c r="L186" s="4"/>
      <c r="M186" s="167"/>
      <c r="N186" s="168" t="s">
        <v>2467</v>
      </c>
      <c r="O186" s="4"/>
      <c r="P186" s="4"/>
      <c r="Q186" s="182">
        <v>56000</v>
      </c>
      <c r="R186" s="36">
        <v>4000</v>
      </c>
      <c r="S186" s="36"/>
      <c r="T186" s="37">
        <v>12500</v>
      </c>
      <c r="U186" s="5">
        <f t="shared" si="250"/>
        <v>47500</v>
      </c>
      <c r="V186" s="5">
        <f t="shared" si="251"/>
        <v>1560375</v>
      </c>
      <c r="W186" s="5"/>
      <c r="X186" s="5">
        <f t="shared" si="252"/>
        <v>140433.75</v>
      </c>
      <c r="Y186" s="5">
        <f t="shared" si="253"/>
        <v>140433.75</v>
      </c>
      <c r="Z186" s="181">
        <v>2450.1</v>
      </c>
      <c r="AA186" s="5">
        <f t="shared" si="254"/>
        <v>80485.785000000003</v>
      </c>
      <c r="AB186" s="181">
        <f t="shared" si="255"/>
        <v>14487.4413</v>
      </c>
      <c r="AC186" s="43"/>
      <c r="AD186" s="5"/>
      <c r="AE186" s="5">
        <f t="shared" si="256"/>
        <v>1936215.7263</v>
      </c>
      <c r="AF186" s="139"/>
      <c r="AG186" s="139"/>
      <c r="AH186" s="178"/>
      <c r="AI186" s="12"/>
      <c r="AJ186" s="40"/>
      <c r="AK186" s="40"/>
    </row>
    <row r="187" spans="2:37" s="41" customFormat="1" ht="16.149999999999999" customHeight="1">
      <c r="B187" s="138"/>
      <c r="C187" s="82"/>
      <c r="D187" s="4"/>
      <c r="E187" s="193" t="s">
        <v>1430</v>
      </c>
      <c r="F187" s="186">
        <v>32.85</v>
      </c>
      <c r="G187" s="14">
        <f t="shared" si="249"/>
        <v>32850</v>
      </c>
      <c r="H187" s="185"/>
      <c r="I187" s="171" t="s">
        <v>2456</v>
      </c>
      <c r="J187" s="167" t="s">
        <v>2435</v>
      </c>
      <c r="K187" s="172">
        <v>1543</v>
      </c>
      <c r="L187" s="4"/>
      <c r="M187" s="172" t="s">
        <v>2498</v>
      </c>
      <c r="N187" s="168" t="s">
        <v>2468</v>
      </c>
      <c r="O187" s="4"/>
      <c r="P187" s="4"/>
      <c r="Q187" s="182">
        <v>56000</v>
      </c>
      <c r="R187" s="36">
        <v>4000</v>
      </c>
      <c r="S187" s="36"/>
      <c r="T187" s="37">
        <v>12500</v>
      </c>
      <c r="U187" s="5">
        <f t="shared" si="250"/>
        <v>47500</v>
      </c>
      <c r="V187" s="5">
        <f t="shared" si="251"/>
        <v>1560375</v>
      </c>
      <c r="W187" s="5"/>
      <c r="X187" s="5">
        <f t="shared" si="252"/>
        <v>140433.75</v>
      </c>
      <c r="Y187" s="5">
        <f t="shared" si="253"/>
        <v>140433.75</v>
      </c>
      <c r="Z187" s="181">
        <v>2450.1</v>
      </c>
      <c r="AA187" s="5">
        <f t="shared" si="254"/>
        <v>80485.785000000003</v>
      </c>
      <c r="AB187" s="181">
        <f t="shared" si="255"/>
        <v>14487.4413</v>
      </c>
      <c r="AC187" s="43"/>
      <c r="AD187" s="5"/>
      <c r="AE187" s="5">
        <f t="shared" si="256"/>
        <v>1936215.7263</v>
      </c>
      <c r="AF187" s="139"/>
      <c r="AG187" s="139"/>
      <c r="AH187" s="178"/>
      <c r="AI187" s="12"/>
      <c r="AJ187" s="40"/>
      <c r="AK187" s="40"/>
    </row>
    <row r="188" spans="2:37" s="41" customFormat="1" ht="16.149999999999999" customHeight="1">
      <c r="B188" s="138"/>
      <c r="C188" s="82"/>
      <c r="D188" s="4"/>
      <c r="E188" s="193" t="s">
        <v>1430</v>
      </c>
      <c r="F188" s="187">
        <v>32.85</v>
      </c>
      <c r="G188" s="14">
        <f t="shared" si="249"/>
        <v>32850</v>
      </c>
      <c r="H188" s="185"/>
      <c r="I188" s="171" t="s">
        <v>2456</v>
      </c>
      <c r="J188" s="167" t="s">
        <v>2435</v>
      </c>
      <c r="K188" s="172"/>
      <c r="L188" s="4"/>
      <c r="M188" s="167"/>
      <c r="N188" s="168" t="s">
        <v>2468</v>
      </c>
      <c r="O188" s="4"/>
      <c r="P188" s="4"/>
      <c r="Q188" s="182">
        <v>56000</v>
      </c>
      <c r="R188" s="36">
        <v>4000</v>
      </c>
      <c r="S188" s="36"/>
      <c r="T188" s="37">
        <v>12500</v>
      </c>
      <c r="U188" s="5">
        <f t="shared" si="250"/>
        <v>47500</v>
      </c>
      <c r="V188" s="5">
        <f t="shared" si="251"/>
        <v>1560375</v>
      </c>
      <c r="W188" s="5"/>
      <c r="X188" s="5">
        <f t="shared" si="252"/>
        <v>140433.75</v>
      </c>
      <c r="Y188" s="5">
        <f t="shared" si="253"/>
        <v>140433.75</v>
      </c>
      <c r="Z188" s="181">
        <v>2450.1</v>
      </c>
      <c r="AA188" s="5">
        <f t="shared" si="254"/>
        <v>80485.785000000003</v>
      </c>
      <c r="AB188" s="181">
        <f t="shared" si="255"/>
        <v>14487.4413</v>
      </c>
      <c r="AC188" s="43"/>
      <c r="AD188" s="5"/>
      <c r="AE188" s="5">
        <f t="shared" si="256"/>
        <v>1936215.7263</v>
      </c>
      <c r="AF188" s="139"/>
      <c r="AG188" s="139"/>
      <c r="AH188" s="178"/>
      <c r="AI188" s="12"/>
      <c r="AJ188" s="40"/>
      <c r="AK188" s="40"/>
    </row>
    <row r="189" spans="2:37" s="41" customFormat="1">
      <c r="B189" s="13"/>
      <c r="C189" s="48"/>
      <c r="D189" s="6"/>
      <c r="E189" s="48"/>
      <c r="F189" s="81">
        <f>SUM(F165:F188)</f>
        <v>779.2</v>
      </c>
      <c r="G189" s="20">
        <f>SUM(G165:G188)</f>
        <v>779200</v>
      </c>
      <c r="H189" s="21">
        <f>SUM(H165:H188)</f>
        <v>271</v>
      </c>
      <c r="I189" s="2"/>
      <c r="J189" s="7"/>
      <c r="K189" s="7"/>
      <c r="L189" s="7"/>
      <c r="M189" s="2"/>
      <c r="N189" s="6"/>
      <c r="O189" s="6"/>
      <c r="P189" s="6"/>
      <c r="Q189" s="19"/>
      <c r="R189" s="9"/>
      <c r="S189" s="9"/>
      <c r="T189" s="10"/>
      <c r="U189" s="8"/>
      <c r="V189" s="21">
        <f>SUM(V165:V188)</f>
        <v>37012000</v>
      </c>
      <c r="W189" s="21">
        <f>SUM(W165:W188)</f>
        <v>0</v>
      </c>
      <c r="X189" s="21">
        <f>SUM(X165:X188)</f>
        <v>3331080</v>
      </c>
      <c r="Y189" s="21">
        <f>SUM(Y165:Y188)</f>
        <v>3331080</v>
      </c>
      <c r="Z189" s="99"/>
      <c r="AA189" s="21">
        <f>SUM(AA165:AA188)</f>
        <v>1918183.6379999993</v>
      </c>
      <c r="AB189" s="21">
        <f>SUM(AB165:AB188)</f>
        <v>345273.05484000006</v>
      </c>
      <c r="AC189" s="21"/>
      <c r="AD189" s="21">
        <f>SUM(AD165:AD188)</f>
        <v>0</v>
      </c>
      <c r="AE189" s="21">
        <f>SUM(AE165:AE188)</f>
        <v>45937616.692840002</v>
      </c>
      <c r="AF189" s="21"/>
      <c r="AG189" s="42"/>
      <c r="AH189" s="81">
        <f>SUM(AH165:AH188)</f>
        <v>0</v>
      </c>
      <c r="AI189" s="26">
        <f>AH189-F189</f>
        <v>-779.2</v>
      </c>
      <c r="AJ189" s="41">
        <f>AA189/F189</f>
        <v>2461.7346483572887</v>
      </c>
      <c r="AK189" s="40"/>
    </row>
    <row r="190" spans="2:37" s="41" customFormat="1" ht="16.149999999999999" customHeight="1">
      <c r="B190" s="138" t="s">
        <v>2090</v>
      </c>
      <c r="C190" s="82" t="s">
        <v>2394</v>
      </c>
      <c r="D190" s="4"/>
      <c r="E190" s="193" t="s">
        <v>505</v>
      </c>
      <c r="F190" s="186">
        <v>32</v>
      </c>
      <c r="G190" s="14">
        <f t="shared" ref="G190:G191" si="257">+F190*1000</f>
        <v>32000</v>
      </c>
      <c r="H190" s="185"/>
      <c r="I190" s="171" t="s">
        <v>2470</v>
      </c>
      <c r="J190" s="167" t="s">
        <v>2501</v>
      </c>
      <c r="K190" s="172"/>
      <c r="L190" s="4"/>
      <c r="M190" s="167"/>
      <c r="N190" s="168" t="s">
        <v>2471</v>
      </c>
      <c r="O190" s="4"/>
      <c r="P190" s="4"/>
      <c r="Q190" s="182">
        <v>56000</v>
      </c>
      <c r="R190" s="36">
        <v>2500</v>
      </c>
      <c r="S190" s="36"/>
      <c r="T190" s="37">
        <v>13000</v>
      </c>
      <c r="U190" s="5">
        <f t="shared" ref="U190:U191" si="258">S190+R190+Q190-T190</f>
        <v>45500</v>
      </c>
      <c r="V190" s="5">
        <f t="shared" ref="V190:V191" si="259">F190*U190</f>
        <v>1456000</v>
      </c>
      <c r="W190" s="5"/>
      <c r="X190" s="5">
        <f t="shared" ref="X190:X191" si="260">V190*9%</f>
        <v>131040</v>
      </c>
      <c r="Y190" s="5">
        <f t="shared" ref="Y190:Y191" si="261">V190*9%</f>
        <v>131040</v>
      </c>
      <c r="Z190" s="181">
        <v>2488.39</v>
      </c>
      <c r="AA190" s="5">
        <f t="shared" ref="AA190:AA191" si="262">F190*Z190</f>
        <v>79628.479999999996</v>
      </c>
      <c r="AB190" s="181">
        <f t="shared" ref="AB190:AB191" si="263">AA190*18%</f>
        <v>14333.126399999999</v>
      </c>
      <c r="AC190" s="43"/>
      <c r="AD190" s="5"/>
      <c r="AE190" s="5">
        <f t="shared" ref="AE190:AE191" si="264">+AB190+AA190+Y190+X190+W190+V190-AC190+AD190</f>
        <v>1812041.6063999999</v>
      </c>
      <c r="AF190" s="139"/>
      <c r="AG190" s="139"/>
      <c r="AH190" s="178"/>
      <c r="AI190" s="12"/>
      <c r="AJ190" s="40"/>
      <c r="AK190" s="40"/>
    </row>
    <row r="191" spans="2:37" s="41" customFormat="1" ht="16.149999999999999" customHeight="1">
      <c r="B191" s="138"/>
      <c r="C191" s="82" t="s">
        <v>2469</v>
      </c>
      <c r="D191" s="4"/>
      <c r="E191" s="193" t="s">
        <v>505</v>
      </c>
      <c r="F191" s="187">
        <v>32</v>
      </c>
      <c r="G191" s="14">
        <f t="shared" si="257"/>
        <v>32000</v>
      </c>
      <c r="H191" s="185"/>
      <c r="I191" s="171" t="s">
        <v>2470</v>
      </c>
      <c r="J191" s="167" t="s">
        <v>2501</v>
      </c>
      <c r="K191" s="172"/>
      <c r="L191" s="4"/>
      <c r="M191" s="167"/>
      <c r="N191" s="168" t="s">
        <v>2471</v>
      </c>
      <c r="O191" s="4"/>
      <c r="P191" s="4"/>
      <c r="Q191" s="182">
        <v>56000</v>
      </c>
      <c r="R191" s="36">
        <v>2500</v>
      </c>
      <c r="S191" s="36"/>
      <c r="T191" s="37">
        <v>13000</v>
      </c>
      <c r="U191" s="5">
        <f t="shared" si="258"/>
        <v>45500</v>
      </c>
      <c r="V191" s="5">
        <f t="shared" si="259"/>
        <v>1456000</v>
      </c>
      <c r="W191" s="5"/>
      <c r="X191" s="5">
        <f t="shared" si="260"/>
        <v>131040</v>
      </c>
      <c r="Y191" s="5">
        <f t="shared" si="261"/>
        <v>131040</v>
      </c>
      <c r="Z191" s="181">
        <v>2488.39</v>
      </c>
      <c r="AA191" s="5">
        <f t="shared" si="262"/>
        <v>79628.479999999996</v>
      </c>
      <c r="AB191" s="181">
        <f t="shared" si="263"/>
        <v>14333.126399999999</v>
      </c>
      <c r="AC191" s="43"/>
      <c r="AD191" s="5"/>
      <c r="AE191" s="5">
        <f t="shared" si="264"/>
        <v>1812041.6063999999</v>
      </c>
      <c r="AF191" s="139"/>
      <c r="AG191" s="139"/>
      <c r="AH191" s="178"/>
      <c r="AI191" s="12"/>
      <c r="AJ191" s="40"/>
      <c r="AK191" s="40"/>
    </row>
    <row r="192" spans="2:37" s="41" customFormat="1">
      <c r="B192" s="13"/>
      <c r="C192" s="48"/>
      <c r="D192" s="6"/>
      <c r="E192" s="48"/>
      <c r="F192" s="81">
        <f>SUM(F190:F191)</f>
        <v>64</v>
      </c>
      <c r="G192" s="20">
        <f>SUM(G190:G191)</f>
        <v>64000</v>
      </c>
      <c r="H192" s="21">
        <f>SUM(H190:H191)</f>
        <v>0</v>
      </c>
      <c r="I192" s="2"/>
      <c r="J192" s="7"/>
      <c r="K192" s="7"/>
      <c r="L192" s="7"/>
      <c r="M192" s="2"/>
      <c r="N192" s="6"/>
      <c r="O192" s="6"/>
      <c r="P192" s="6"/>
      <c r="Q192" s="19"/>
      <c r="R192" s="9"/>
      <c r="S192" s="9"/>
      <c r="T192" s="10"/>
      <c r="U192" s="8"/>
      <c r="V192" s="21">
        <f>SUM(V190:V191)</f>
        <v>2912000</v>
      </c>
      <c r="W192" s="21">
        <f>SUM(W190:W191)</f>
        <v>0</v>
      </c>
      <c r="X192" s="21">
        <f>SUM(X190:X191)</f>
        <v>262080</v>
      </c>
      <c r="Y192" s="21">
        <f>SUM(Y190:Y191)</f>
        <v>262080</v>
      </c>
      <c r="Z192" s="99"/>
      <c r="AA192" s="21">
        <f>SUM(AA190:AA191)</f>
        <v>159256.95999999999</v>
      </c>
      <c r="AB192" s="21">
        <f>SUM(AB190:AB191)</f>
        <v>28666.252799999998</v>
      </c>
      <c r="AC192" s="21"/>
      <c r="AD192" s="21">
        <f>SUM(AD190:AD191)</f>
        <v>0</v>
      </c>
      <c r="AE192" s="21">
        <f>SUM(AE190:AE191)</f>
        <v>3624083.2127999999</v>
      </c>
      <c r="AF192" s="21"/>
      <c r="AG192" s="42"/>
      <c r="AH192" s="81">
        <f>SUM(AH190:AH191)</f>
        <v>0</v>
      </c>
      <c r="AI192" s="26">
        <f>AH192-F192</f>
        <v>-64</v>
      </c>
      <c r="AJ192" s="41">
        <f>AA192/F192</f>
        <v>2488.39</v>
      </c>
      <c r="AK192" s="40"/>
    </row>
    <row r="193" spans="2:37" s="41" customFormat="1" ht="16.149999999999999" customHeight="1">
      <c r="B193" s="138" t="s">
        <v>2244</v>
      </c>
      <c r="C193" s="82" t="s">
        <v>2472</v>
      </c>
      <c r="D193" s="4"/>
      <c r="E193" s="193" t="s">
        <v>35</v>
      </c>
      <c r="F193" s="186">
        <v>32.770000000000003</v>
      </c>
      <c r="G193" s="14">
        <f t="shared" ref="G193:G216" si="265">+F193*1000</f>
        <v>32770</v>
      </c>
      <c r="H193" s="185"/>
      <c r="I193" s="171" t="s">
        <v>2474</v>
      </c>
      <c r="J193" s="167" t="s">
        <v>2500</v>
      </c>
      <c r="K193" s="172"/>
      <c r="L193" s="4"/>
      <c r="M193" s="167"/>
      <c r="N193" s="168" t="s">
        <v>2486</v>
      </c>
      <c r="O193" s="4"/>
      <c r="P193" s="4"/>
      <c r="Q193" s="182">
        <v>56000</v>
      </c>
      <c r="R193" s="36">
        <v>4000</v>
      </c>
      <c r="S193" s="36"/>
      <c r="T193" s="37">
        <v>12500</v>
      </c>
      <c r="U193" s="5">
        <f t="shared" ref="U193" si="266">S193+R193+Q193-T193</f>
        <v>47500</v>
      </c>
      <c r="V193" s="5">
        <f t="shared" ref="V193" si="267">F193*U193</f>
        <v>1556575.0000000002</v>
      </c>
      <c r="W193" s="5"/>
      <c r="X193" s="5">
        <f t="shared" ref="X193" si="268">V193*9%</f>
        <v>140091.75000000003</v>
      </c>
      <c r="Y193" s="5">
        <f t="shared" ref="Y193" si="269">V193*9%</f>
        <v>140091.75000000003</v>
      </c>
      <c r="Z193" s="181">
        <v>2477.34</v>
      </c>
      <c r="AA193" s="5">
        <f t="shared" ref="AA193" si="270">F193*Z193</f>
        <v>81182.431800000006</v>
      </c>
      <c r="AB193" s="181">
        <f t="shared" ref="AB193" si="271">AA193*18%</f>
        <v>14612.837724000001</v>
      </c>
      <c r="AC193" s="43"/>
      <c r="AD193" s="5"/>
      <c r="AE193" s="5">
        <f t="shared" ref="AE193" si="272">+AB193+AA193+Y193+X193+W193+V193-AC193+AD193</f>
        <v>1932553.7695240004</v>
      </c>
      <c r="AF193" s="139"/>
      <c r="AG193" s="139"/>
      <c r="AH193" s="178"/>
      <c r="AI193" s="12"/>
      <c r="AJ193" s="40"/>
      <c r="AK193" s="40"/>
    </row>
    <row r="194" spans="2:37" s="41" customFormat="1" ht="16.149999999999999" customHeight="1">
      <c r="B194" s="138"/>
      <c r="C194" s="82" t="s">
        <v>2473</v>
      </c>
      <c r="D194" s="4"/>
      <c r="E194" s="193" t="s">
        <v>35</v>
      </c>
      <c r="F194" s="187">
        <v>32.770000000000003</v>
      </c>
      <c r="G194" s="14">
        <f t="shared" si="265"/>
        <v>32770</v>
      </c>
      <c r="H194" s="185"/>
      <c r="I194" s="171" t="s">
        <v>2474</v>
      </c>
      <c r="J194" s="167" t="s">
        <v>2500</v>
      </c>
      <c r="K194" s="172"/>
      <c r="L194" s="4"/>
      <c r="M194" s="167"/>
      <c r="N194" s="168" t="s">
        <v>2486</v>
      </c>
      <c r="O194" s="4"/>
      <c r="P194" s="4"/>
      <c r="Q194" s="182">
        <v>56000</v>
      </c>
      <c r="R194" s="36">
        <v>4000</v>
      </c>
      <c r="S194" s="36"/>
      <c r="T194" s="37">
        <v>12500</v>
      </c>
      <c r="U194" s="5">
        <f t="shared" ref="U194:U216" si="273">S194+R194+Q194-T194</f>
        <v>47500</v>
      </c>
      <c r="V194" s="5">
        <f t="shared" ref="V194:V216" si="274">F194*U194</f>
        <v>1556575.0000000002</v>
      </c>
      <c r="W194" s="5"/>
      <c r="X194" s="5">
        <f t="shared" ref="X194:X216" si="275">V194*9%</f>
        <v>140091.75000000003</v>
      </c>
      <c r="Y194" s="5">
        <f t="shared" ref="Y194:Y216" si="276">V194*9%</f>
        <v>140091.75000000003</v>
      </c>
      <c r="Z194" s="181">
        <v>2477.34</v>
      </c>
      <c r="AA194" s="5">
        <f t="shared" ref="AA194:AA216" si="277">F194*Z194</f>
        <v>81182.431800000006</v>
      </c>
      <c r="AB194" s="181">
        <f t="shared" ref="AB194:AB216" si="278">AA194*18%</f>
        <v>14612.837724000001</v>
      </c>
      <c r="AC194" s="43"/>
      <c r="AD194" s="5"/>
      <c r="AE194" s="5">
        <f t="shared" ref="AE194:AE216" si="279">+AB194+AA194+Y194+X194+W194+V194-AC194+AD194</f>
        <v>1932553.7695240004</v>
      </c>
      <c r="AF194" s="139"/>
      <c r="AG194" s="139"/>
      <c r="AH194" s="178"/>
      <c r="AI194" s="12"/>
      <c r="AJ194" s="40"/>
      <c r="AK194" s="40"/>
    </row>
    <row r="195" spans="2:37" s="41" customFormat="1" ht="16.149999999999999" customHeight="1">
      <c r="B195" s="138"/>
      <c r="C195" s="82"/>
      <c r="D195" s="4"/>
      <c r="E195" s="193" t="s">
        <v>35</v>
      </c>
      <c r="F195" s="187">
        <v>32.72</v>
      </c>
      <c r="G195" s="14">
        <f t="shared" si="265"/>
        <v>32720</v>
      </c>
      <c r="H195" s="185"/>
      <c r="I195" s="171" t="s">
        <v>2475</v>
      </c>
      <c r="J195" s="167" t="s">
        <v>2500</v>
      </c>
      <c r="K195" s="172"/>
      <c r="L195" s="4"/>
      <c r="M195" s="167"/>
      <c r="N195" s="168" t="s">
        <v>2487</v>
      </c>
      <c r="O195" s="4"/>
      <c r="P195" s="4"/>
      <c r="Q195" s="182">
        <v>56000</v>
      </c>
      <c r="R195" s="36">
        <v>4000</v>
      </c>
      <c r="S195" s="36"/>
      <c r="T195" s="37">
        <v>12500</v>
      </c>
      <c r="U195" s="5">
        <f t="shared" si="273"/>
        <v>47500</v>
      </c>
      <c r="V195" s="5">
        <f t="shared" si="274"/>
        <v>1554200</v>
      </c>
      <c r="W195" s="5"/>
      <c r="X195" s="5">
        <f t="shared" si="275"/>
        <v>139878</v>
      </c>
      <c r="Y195" s="5">
        <f t="shared" si="276"/>
        <v>139878</v>
      </c>
      <c r="Z195" s="181">
        <v>2481.13</v>
      </c>
      <c r="AA195" s="5">
        <f t="shared" si="277"/>
        <v>81182.573600000003</v>
      </c>
      <c r="AB195" s="181">
        <f t="shared" si="278"/>
        <v>14612.863248</v>
      </c>
      <c r="AC195" s="43"/>
      <c r="AD195" s="5"/>
      <c r="AE195" s="5">
        <f t="shared" si="279"/>
        <v>1929751.4368479999</v>
      </c>
      <c r="AF195" s="139"/>
      <c r="AG195" s="139"/>
      <c r="AH195" s="178"/>
      <c r="AI195" s="12"/>
      <c r="AJ195" s="40"/>
      <c r="AK195" s="40"/>
    </row>
    <row r="196" spans="2:37" s="41" customFormat="1" ht="16.149999999999999" customHeight="1">
      <c r="B196" s="138"/>
      <c r="C196" s="82"/>
      <c r="D196" s="4"/>
      <c r="E196" s="193" t="s">
        <v>35</v>
      </c>
      <c r="F196" s="187">
        <v>32.72</v>
      </c>
      <c r="G196" s="14">
        <f t="shared" si="265"/>
        <v>32720</v>
      </c>
      <c r="H196" s="185"/>
      <c r="I196" s="171" t="s">
        <v>2475</v>
      </c>
      <c r="J196" s="167" t="s">
        <v>2500</v>
      </c>
      <c r="K196" s="172"/>
      <c r="L196" s="4"/>
      <c r="M196" s="167"/>
      <c r="N196" s="168" t="s">
        <v>2487</v>
      </c>
      <c r="O196" s="4"/>
      <c r="P196" s="4"/>
      <c r="Q196" s="182">
        <v>56000</v>
      </c>
      <c r="R196" s="36">
        <v>4000</v>
      </c>
      <c r="S196" s="36"/>
      <c r="T196" s="37">
        <v>12500</v>
      </c>
      <c r="U196" s="5">
        <f t="shared" si="273"/>
        <v>47500</v>
      </c>
      <c r="V196" s="5">
        <f t="shared" si="274"/>
        <v>1554200</v>
      </c>
      <c r="W196" s="5"/>
      <c r="X196" s="5">
        <f t="shared" si="275"/>
        <v>139878</v>
      </c>
      <c r="Y196" s="5">
        <f t="shared" si="276"/>
        <v>139878</v>
      </c>
      <c r="Z196" s="181">
        <v>2481.13</v>
      </c>
      <c r="AA196" s="5">
        <f t="shared" si="277"/>
        <v>81182.573600000003</v>
      </c>
      <c r="AB196" s="181">
        <f t="shared" si="278"/>
        <v>14612.863248</v>
      </c>
      <c r="AC196" s="43"/>
      <c r="AD196" s="5"/>
      <c r="AE196" s="5">
        <f t="shared" si="279"/>
        <v>1929751.4368479999</v>
      </c>
      <c r="AF196" s="139"/>
      <c r="AG196" s="139"/>
      <c r="AH196" s="178"/>
      <c r="AI196" s="12"/>
      <c r="AJ196" s="40"/>
      <c r="AK196" s="40"/>
    </row>
    <row r="197" spans="2:37" s="41" customFormat="1" ht="16.149999999999999" customHeight="1">
      <c r="B197" s="138"/>
      <c r="C197" s="82"/>
      <c r="D197" s="4"/>
      <c r="E197" s="193" t="s">
        <v>35</v>
      </c>
      <c r="F197" s="187">
        <v>32.659999999999997</v>
      </c>
      <c r="G197" s="14">
        <f t="shared" si="265"/>
        <v>32659.999999999996</v>
      </c>
      <c r="H197" s="185"/>
      <c r="I197" s="171" t="s">
        <v>2476</v>
      </c>
      <c r="J197" s="167" t="s">
        <v>2500</v>
      </c>
      <c r="K197" s="172"/>
      <c r="L197" s="4"/>
      <c r="M197" s="167"/>
      <c r="N197" s="168" t="s">
        <v>2488</v>
      </c>
      <c r="O197" s="4"/>
      <c r="P197" s="4"/>
      <c r="Q197" s="182">
        <v>56000</v>
      </c>
      <c r="R197" s="36">
        <v>4000</v>
      </c>
      <c r="S197" s="36"/>
      <c r="T197" s="37">
        <v>12500</v>
      </c>
      <c r="U197" s="5">
        <f t="shared" si="273"/>
        <v>47500</v>
      </c>
      <c r="V197" s="5">
        <f t="shared" si="274"/>
        <v>1551349.9999999998</v>
      </c>
      <c r="W197" s="5"/>
      <c r="X197" s="5">
        <f t="shared" si="275"/>
        <v>139621.49999999997</v>
      </c>
      <c r="Y197" s="5">
        <f t="shared" si="276"/>
        <v>139621.49999999997</v>
      </c>
      <c r="Z197" s="181">
        <v>2485.6799999999998</v>
      </c>
      <c r="AA197" s="5">
        <f t="shared" si="277"/>
        <v>81182.308799999984</v>
      </c>
      <c r="AB197" s="181">
        <f t="shared" si="278"/>
        <v>14612.815583999996</v>
      </c>
      <c r="AC197" s="43"/>
      <c r="AD197" s="5"/>
      <c r="AE197" s="5">
        <f t="shared" si="279"/>
        <v>1926388.1243839997</v>
      </c>
      <c r="AF197" s="139"/>
      <c r="AG197" s="139"/>
      <c r="AH197" s="178"/>
      <c r="AI197" s="12"/>
      <c r="AJ197" s="40"/>
      <c r="AK197" s="40"/>
    </row>
    <row r="198" spans="2:37" s="41" customFormat="1" ht="16.149999999999999" customHeight="1">
      <c r="B198" s="138"/>
      <c r="C198" s="82"/>
      <c r="D198" s="4"/>
      <c r="E198" s="193" t="s">
        <v>35</v>
      </c>
      <c r="F198" s="187">
        <v>32.659999999999997</v>
      </c>
      <c r="G198" s="14">
        <f t="shared" si="265"/>
        <v>32659.999999999996</v>
      </c>
      <c r="H198" s="185"/>
      <c r="I198" s="171" t="s">
        <v>2476</v>
      </c>
      <c r="J198" s="167" t="s">
        <v>2500</v>
      </c>
      <c r="K198" s="172"/>
      <c r="L198" s="4"/>
      <c r="M198" s="167"/>
      <c r="N198" s="168" t="s">
        <v>2488</v>
      </c>
      <c r="O198" s="4"/>
      <c r="P198" s="4"/>
      <c r="Q198" s="182">
        <v>56000</v>
      </c>
      <c r="R198" s="36">
        <v>4000</v>
      </c>
      <c r="S198" s="36"/>
      <c r="T198" s="37">
        <v>12500</v>
      </c>
      <c r="U198" s="5">
        <f t="shared" si="273"/>
        <v>47500</v>
      </c>
      <c r="V198" s="5">
        <f t="shared" si="274"/>
        <v>1551349.9999999998</v>
      </c>
      <c r="W198" s="5"/>
      <c r="X198" s="5">
        <f t="shared" si="275"/>
        <v>139621.49999999997</v>
      </c>
      <c r="Y198" s="5">
        <f t="shared" si="276"/>
        <v>139621.49999999997</v>
      </c>
      <c r="Z198" s="181">
        <v>2485.6799999999998</v>
      </c>
      <c r="AA198" s="5">
        <f t="shared" si="277"/>
        <v>81182.308799999984</v>
      </c>
      <c r="AB198" s="181">
        <f t="shared" si="278"/>
        <v>14612.815583999996</v>
      </c>
      <c r="AC198" s="43"/>
      <c r="AD198" s="5"/>
      <c r="AE198" s="5">
        <f t="shared" si="279"/>
        <v>1926388.1243839997</v>
      </c>
      <c r="AF198" s="139"/>
      <c r="AG198" s="139"/>
      <c r="AH198" s="178"/>
      <c r="AI198" s="12"/>
      <c r="AJ198" s="40"/>
      <c r="AK198" s="40"/>
    </row>
    <row r="199" spans="2:37" s="41" customFormat="1" ht="16.149999999999999" customHeight="1">
      <c r="B199" s="138"/>
      <c r="C199" s="82"/>
      <c r="D199" s="4"/>
      <c r="E199" s="193" t="s">
        <v>35</v>
      </c>
      <c r="F199" s="187">
        <v>32.68</v>
      </c>
      <c r="G199" s="14">
        <f t="shared" si="265"/>
        <v>32680</v>
      </c>
      <c r="H199" s="185"/>
      <c r="I199" s="171" t="s">
        <v>2477</v>
      </c>
      <c r="J199" s="167" t="s">
        <v>2500</v>
      </c>
      <c r="K199" s="172"/>
      <c r="L199" s="4"/>
      <c r="M199" s="167"/>
      <c r="N199" s="168" t="s">
        <v>2489</v>
      </c>
      <c r="O199" s="4"/>
      <c r="P199" s="4"/>
      <c r="Q199" s="182">
        <v>56000</v>
      </c>
      <c r="R199" s="36">
        <v>4000</v>
      </c>
      <c r="S199" s="36"/>
      <c r="T199" s="37">
        <v>12500</v>
      </c>
      <c r="U199" s="5">
        <f t="shared" si="273"/>
        <v>47500</v>
      </c>
      <c r="V199" s="5">
        <f t="shared" si="274"/>
        <v>1552300</v>
      </c>
      <c r="W199" s="5"/>
      <c r="X199" s="5">
        <f t="shared" si="275"/>
        <v>139707</v>
      </c>
      <c r="Y199" s="5">
        <f t="shared" si="276"/>
        <v>139707</v>
      </c>
      <c r="Z199" s="181">
        <v>2484.16</v>
      </c>
      <c r="AA199" s="5">
        <f t="shared" si="277"/>
        <v>81182.348799999992</v>
      </c>
      <c r="AB199" s="181">
        <f t="shared" si="278"/>
        <v>14612.822783999998</v>
      </c>
      <c r="AC199" s="43"/>
      <c r="AD199" s="5"/>
      <c r="AE199" s="5">
        <f t="shared" si="279"/>
        <v>1927509.1715839999</v>
      </c>
      <c r="AF199" s="139"/>
      <c r="AG199" s="139"/>
      <c r="AH199" s="178"/>
      <c r="AI199" s="12"/>
      <c r="AJ199" s="40"/>
      <c r="AK199" s="40"/>
    </row>
    <row r="200" spans="2:37" s="41" customFormat="1" ht="16.149999999999999" customHeight="1">
      <c r="B200" s="138"/>
      <c r="C200" s="82"/>
      <c r="D200" s="4"/>
      <c r="E200" s="193" t="s">
        <v>35</v>
      </c>
      <c r="F200" s="187">
        <v>32.68</v>
      </c>
      <c r="G200" s="14">
        <f t="shared" si="265"/>
        <v>32680</v>
      </c>
      <c r="H200" s="185"/>
      <c r="I200" s="171" t="s">
        <v>2477</v>
      </c>
      <c r="J200" s="167" t="s">
        <v>2500</v>
      </c>
      <c r="K200" s="172"/>
      <c r="L200" s="4"/>
      <c r="M200" s="167"/>
      <c r="N200" s="168" t="s">
        <v>2489</v>
      </c>
      <c r="O200" s="4"/>
      <c r="P200" s="4"/>
      <c r="Q200" s="182">
        <v>56000</v>
      </c>
      <c r="R200" s="36">
        <v>4000</v>
      </c>
      <c r="S200" s="36"/>
      <c r="T200" s="37">
        <v>12500</v>
      </c>
      <c r="U200" s="5">
        <f t="shared" si="273"/>
        <v>47500</v>
      </c>
      <c r="V200" s="5">
        <f t="shared" si="274"/>
        <v>1552300</v>
      </c>
      <c r="W200" s="5"/>
      <c r="X200" s="5">
        <f t="shared" si="275"/>
        <v>139707</v>
      </c>
      <c r="Y200" s="5">
        <f t="shared" si="276"/>
        <v>139707</v>
      </c>
      <c r="Z200" s="181">
        <v>2484.16</v>
      </c>
      <c r="AA200" s="5">
        <f t="shared" si="277"/>
        <v>81182.348799999992</v>
      </c>
      <c r="AB200" s="181">
        <f t="shared" si="278"/>
        <v>14612.822783999998</v>
      </c>
      <c r="AC200" s="43"/>
      <c r="AD200" s="5"/>
      <c r="AE200" s="5">
        <f t="shared" si="279"/>
        <v>1927509.1715839999</v>
      </c>
      <c r="AF200" s="139"/>
      <c r="AG200" s="139"/>
      <c r="AH200" s="178"/>
      <c r="AI200" s="12"/>
      <c r="AJ200" s="40"/>
      <c r="AK200" s="40"/>
    </row>
    <row r="201" spans="2:37" s="41" customFormat="1" ht="16.149999999999999" customHeight="1">
      <c r="B201" s="138"/>
      <c r="C201" s="82"/>
      <c r="D201" s="4"/>
      <c r="E201" s="193" t="s">
        <v>35</v>
      </c>
      <c r="F201" s="187">
        <v>32.61</v>
      </c>
      <c r="G201" s="14">
        <f t="shared" si="265"/>
        <v>32610</v>
      </c>
      <c r="H201" s="185"/>
      <c r="I201" s="171" t="s">
        <v>2478</v>
      </c>
      <c r="J201" s="167" t="s">
        <v>2500</v>
      </c>
      <c r="K201" s="172"/>
      <c r="L201" s="4"/>
      <c r="M201" s="167"/>
      <c r="N201" s="168" t="s">
        <v>2490</v>
      </c>
      <c r="O201" s="4"/>
      <c r="P201" s="4"/>
      <c r="Q201" s="182">
        <v>56000</v>
      </c>
      <c r="R201" s="36">
        <v>4000</v>
      </c>
      <c r="S201" s="36"/>
      <c r="T201" s="37">
        <v>12500</v>
      </c>
      <c r="U201" s="5">
        <f t="shared" si="273"/>
        <v>47500</v>
      </c>
      <c r="V201" s="5">
        <f t="shared" si="274"/>
        <v>1548975</v>
      </c>
      <c r="W201" s="5"/>
      <c r="X201" s="5">
        <f t="shared" si="275"/>
        <v>139407.75</v>
      </c>
      <c r="Y201" s="5">
        <f t="shared" si="276"/>
        <v>139407.75</v>
      </c>
      <c r="Z201" s="181">
        <v>2489.5</v>
      </c>
      <c r="AA201" s="5">
        <f t="shared" si="277"/>
        <v>81182.595000000001</v>
      </c>
      <c r="AB201" s="181">
        <f t="shared" si="278"/>
        <v>14612.867099999999</v>
      </c>
      <c r="AC201" s="43"/>
      <c r="AD201" s="5"/>
      <c r="AE201" s="5">
        <f t="shared" si="279"/>
        <v>1923585.9621000001</v>
      </c>
      <c r="AF201" s="139"/>
      <c r="AG201" s="139"/>
      <c r="AH201" s="178"/>
      <c r="AI201" s="12"/>
      <c r="AJ201" s="40"/>
      <c r="AK201" s="40"/>
    </row>
    <row r="202" spans="2:37" s="41" customFormat="1" ht="16.149999999999999" customHeight="1">
      <c r="B202" s="138"/>
      <c r="C202" s="82"/>
      <c r="D202" s="4"/>
      <c r="E202" s="193" t="s">
        <v>35</v>
      </c>
      <c r="F202" s="187">
        <v>32.61</v>
      </c>
      <c r="G202" s="14">
        <f t="shared" si="265"/>
        <v>32610</v>
      </c>
      <c r="H202" s="185"/>
      <c r="I202" s="171" t="s">
        <v>2478</v>
      </c>
      <c r="J202" s="167" t="s">
        <v>2500</v>
      </c>
      <c r="K202" s="172"/>
      <c r="L202" s="4"/>
      <c r="M202" s="167"/>
      <c r="N202" s="168" t="s">
        <v>2490</v>
      </c>
      <c r="O202" s="4"/>
      <c r="P202" s="4"/>
      <c r="Q202" s="182">
        <v>56000</v>
      </c>
      <c r="R202" s="36">
        <v>4000</v>
      </c>
      <c r="S202" s="36"/>
      <c r="T202" s="37">
        <v>12500</v>
      </c>
      <c r="U202" s="5">
        <f t="shared" si="273"/>
        <v>47500</v>
      </c>
      <c r="V202" s="5">
        <f t="shared" si="274"/>
        <v>1548975</v>
      </c>
      <c r="W202" s="5"/>
      <c r="X202" s="5">
        <f t="shared" si="275"/>
        <v>139407.75</v>
      </c>
      <c r="Y202" s="5">
        <f t="shared" si="276"/>
        <v>139407.75</v>
      </c>
      <c r="Z202" s="181">
        <v>2489.5</v>
      </c>
      <c r="AA202" s="5">
        <f t="shared" si="277"/>
        <v>81182.595000000001</v>
      </c>
      <c r="AB202" s="181">
        <f t="shared" si="278"/>
        <v>14612.867099999999</v>
      </c>
      <c r="AC202" s="43"/>
      <c r="AD202" s="5"/>
      <c r="AE202" s="5">
        <f t="shared" si="279"/>
        <v>1923585.9621000001</v>
      </c>
      <c r="AF202" s="139"/>
      <c r="AG202" s="139"/>
      <c r="AH202" s="178"/>
      <c r="AI202" s="12"/>
      <c r="AJ202" s="40"/>
      <c r="AK202" s="40"/>
    </row>
    <row r="203" spans="2:37" s="41" customFormat="1" ht="16.149999999999999" customHeight="1">
      <c r="B203" s="138"/>
      <c r="C203" s="82"/>
      <c r="D203" s="4"/>
      <c r="E203" s="193" t="s">
        <v>35</v>
      </c>
      <c r="F203" s="187">
        <v>32.659999999999997</v>
      </c>
      <c r="G203" s="14">
        <f t="shared" si="265"/>
        <v>32659.999999999996</v>
      </c>
      <c r="H203" s="185"/>
      <c r="I203" s="171" t="s">
        <v>2479</v>
      </c>
      <c r="J203" s="167" t="s">
        <v>2500</v>
      </c>
      <c r="K203" s="172"/>
      <c r="L203" s="4"/>
      <c r="M203" s="167"/>
      <c r="N203" s="168" t="s">
        <v>2491</v>
      </c>
      <c r="O203" s="4"/>
      <c r="P203" s="4"/>
      <c r="Q203" s="182">
        <v>56000</v>
      </c>
      <c r="R203" s="36">
        <v>4000</v>
      </c>
      <c r="S203" s="36"/>
      <c r="T203" s="37">
        <v>12500</v>
      </c>
      <c r="U203" s="5">
        <f t="shared" si="273"/>
        <v>47500</v>
      </c>
      <c r="V203" s="5">
        <f t="shared" si="274"/>
        <v>1551349.9999999998</v>
      </c>
      <c r="W203" s="5"/>
      <c r="X203" s="5">
        <f t="shared" si="275"/>
        <v>139621.49999999997</v>
      </c>
      <c r="Y203" s="5">
        <f t="shared" si="276"/>
        <v>139621.49999999997</v>
      </c>
      <c r="Z203" s="181">
        <v>2485.6799999999998</v>
      </c>
      <c r="AA203" s="5">
        <f t="shared" si="277"/>
        <v>81182.308799999984</v>
      </c>
      <c r="AB203" s="181">
        <f t="shared" si="278"/>
        <v>14612.815583999996</v>
      </c>
      <c r="AC203" s="43"/>
      <c r="AD203" s="5"/>
      <c r="AE203" s="5">
        <f t="shared" si="279"/>
        <v>1926388.1243839997</v>
      </c>
      <c r="AF203" s="139"/>
      <c r="AG203" s="139"/>
      <c r="AH203" s="178"/>
      <c r="AI203" s="12"/>
      <c r="AJ203" s="40"/>
      <c r="AK203" s="40"/>
    </row>
    <row r="204" spans="2:37" s="41" customFormat="1" ht="16.149999999999999" customHeight="1">
      <c r="B204" s="138"/>
      <c r="C204" s="82"/>
      <c r="D204" s="4"/>
      <c r="E204" s="193" t="s">
        <v>35</v>
      </c>
      <c r="F204" s="187">
        <v>32.659999999999997</v>
      </c>
      <c r="G204" s="14">
        <f t="shared" si="265"/>
        <v>32659.999999999996</v>
      </c>
      <c r="H204" s="185"/>
      <c r="I204" s="171" t="s">
        <v>2479</v>
      </c>
      <c r="J204" s="167" t="s">
        <v>2500</v>
      </c>
      <c r="K204" s="172"/>
      <c r="L204" s="4"/>
      <c r="M204" s="167"/>
      <c r="N204" s="168" t="s">
        <v>2491</v>
      </c>
      <c r="O204" s="4"/>
      <c r="P204" s="4"/>
      <c r="Q204" s="182">
        <v>56000</v>
      </c>
      <c r="R204" s="36">
        <v>4000</v>
      </c>
      <c r="S204" s="36"/>
      <c r="T204" s="37">
        <v>12500</v>
      </c>
      <c r="U204" s="5">
        <f t="shared" si="273"/>
        <v>47500</v>
      </c>
      <c r="V204" s="5">
        <f t="shared" si="274"/>
        <v>1551349.9999999998</v>
      </c>
      <c r="W204" s="5"/>
      <c r="X204" s="5">
        <f t="shared" si="275"/>
        <v>139621.49999999997</v>
      </c>
      <c r="Y204" s="5">
        <f t="shared" si="276"/>
        <v>139621.49999999997</v>
      </c>
      <c r="Z204" s="181">
        <v>2485.6799999999998</v>
      </c>
      <c r="AA204" s="5">
        <f t="shared" si="277"/>
        <v>81182.308799999984</v>
      </c>
      <c r="AB204" s="181">
        <f t="shared" si="278"/>
        <v>14612.815583999996</v>
      </c>
      <c r="AC204" s="43"/>
      <c r="AD204" s="5"/>
      <c r="AE204" s="5">
        <f t="shared" si="279"/>
        <v>1926388.1243839997</v>
      </c>
      <c r="AF204" s="139"/>
      <c r="AG204" s="139"/>
      <c r="AH204" s="178"/>
      <c r="AI204" s="12"/>
      <c r="AJ204" s="40"/>
      <c r="AK204" s="40"/>
    </row>
    <row r="205" spans="2:37" s="41" customFormat="1" ht="16.149999999999999" customHeight="1">
      <c r="B205" s="138"/>
      <c r="C205" s="82"/>
      <c r="D205" s="4"/>
      <c r="E205" s="193" t="s">
        <v>35</v>
      </c>
      <c r="F205" s="187">
        <v>32.75</v>
      </c>
      <c r="G205" s="14">
        <f t="shared" si="265"/>
        <v>32750</v>
      </c>
      <c r="H205" s="185"/>
      <c r="I205" s="171" t="s">
        <v>2480</v>
      </c>
      <c r="J205" s="167" t="s">
        <v>2500</v>
      </c>
      <c r="K205" s="172"/>
      <c r="L205" s="4"/>
      <c r="M205" s="167"/>
      <c r="N205" s="168" t="s">
        <v>2492</v>
      </c>
      <c r="O205" s="4"/>
      <c r="P205" s="4"/>
      <c r="Q205" s="182">
        <v>56000</v>
      </c>
      <c r="R205" s="36">
        <v>4000</v>
      </c>
      <c r="S205" s="36"/>
      <c r="T205" s="37">
        <v>12500</v>
      </c>
      <c r="U205" s="5">
        <f t="shared" si="273"/>
        <v>47500</v>
      </c>
      <c r="V205" s="5">
        <f t="shared" si="274"/>
        <v>1555625</v>
      </c>
      <c r="W205" s="5"/>
      <c r="X205" s="5">
        <f t="shared" si="275"/>
        <v>140006.25</v>
      </c>
      <c r="Y205" s="5">
        <f t="shared" si="276"/>
        <v>140006.25</v>
      </c>
      <c r="Z205" s="181">
        <v>2478.85</v>
      </c>
      <c r="AA205" s="5">
        <f t="shared" si="277"/>
        <v>81182.337499999994</v>
      </c>
      <c r="AB205" s="181">
        <f t="shared" si="278"/>
        <v>14612.820749999999</v>
      </c>
      <c r="AC205" s="43"/>
      <c r="AD205" s="5"/>
      <c r="AE205" s="5">
        <f t="shared" si="279"/>
        <v>1931432.6582499999</v>
      </c>
      <c r="AF205" s="139"/>
      <c r="AG205" s="139"/>
      <c r="AH205" s="178"/>
      <c r="AI205" s="12"/>
      <c r="AJ205" s="40"/>
      <c r="AK205" s="40"/>
    </row>
    <row r="206" spans="2:37" s="41" customFormat="1" ht="16.149999999999999" customHeight="1">
      <c r="B206" s="138"/>
      <c r="C206" s="82"/>
      <c r="D206" s="4"/>
      <c r="E206" s="193" t="s">
        <v>35</v>
      </c>
      <c r="F206" s="187">
        <v>32.75</v>
      </c>
      <c r="G206" s="14">
        <f t="shared" si="265"/>
        <v>32750</v>
      </c>
      <c r="H206" s="185"/>
      <c r="I206" s="171" t="s">
        <v>2480</v>
      </c>
      <c r="J206" s="167" t="s">
        <v>2500</v>
      </c>
      <c r="K206" s="172"/>
      <c r="L206" s="4"/>
      <c r="M206" s="167"/>
      <c r="N206" s="168" t="s">
        <v>2492</v>
      </c>
      <c r="O206" s="4"/>
      <c r="P206" s="4"/>
      <c r="Q206" s="182">
        <v>56000</v>
      </c>
      <c r="R206" s="36">
        <v>4000</v>
      </c>
      <c r="S206" s="36"/>
      <c r="T206" s="37">
        <v>12500</v>
      </c>
      <c r="U206" s="5">
        <f t="shared" si="273"/>
        <v>47500</v>
      </c>
      <c r="V206" s="5">
        <f t="shared" si="274"/>
        <v>1555625</v>
      </c>
      <c r="W206" s="5"/>
      <c r="X206" s="5">
        <f t="shared" si="275"/>
        <v>140006.25</v>
      </c>
      <c r="Y206" s="5">
        <f t="shared" si="276"/>
        <v>140006.25</v>
      </c>
      <c r="Z206" s="181">
        <v>2478.85</v>
      </c>
      <c r="AA206" s="5">
        <f t="shared" si="277"/>
        <v>81182.337499999994</v>
      </c>
      <c r="AB206" s="181">
        <f t="shared" si="278"/>
        <v>14612.820749999999</v>
      </c>
      <c r="AC206" s="43"/>
      <c r="AD206" s="5"/>
      <c r="AE206" s="5">
        <f t="shared" si="279"/>
        <v>1931432.6582499999</v>
      </c>
      <c r="AF206" s="139"/>
      <c r="AG206" s="139"/>
      <c r="AH206" s="178"/>
      <c r="AI206" s="12"/>
      <c r="AJ206" s="40"/>
      <c r="AK206" s="40"/>
    </row>
    <row r="207" spans="2:37" s="41" customFormat="1" ht="16.149999999999999" customHeight="1">
      <c r="B207" s="138"/>
      <c r="C207" s="82"/>
      <c r="D207" s="4"/>
      <c r="E207" s="193" t="s">
        <v>35</v>
      </c>
      <c r="F207" s="187">
        <v>32.840000000000003</v>
      </c>
      <c r="G207" s="14">
        <f t="shared" si="265"/>
        <v>32840</v>
      </c>
      <c r="H207" s="185"/>
      <c r="I207" s="171" t="s">
        <v>2481</v>
      </c>
      <c r="J207" s="167" t="s">
        <v>2500</v>
      </c>
      <c r="K207" s="172"/>
      <c r="L207" s="4"/>
      <c r="M207" s="167"/>
      <c r="N207" s="168" t="s">
        <v>2493</v>
      </c>
      <c r="O207" s="4"/>
      <c r="P207" s="4"/>
      <c r="Q207" s="182">
        <v>56000</v>
      </c>
      <c r="R207" s="36">
        <v>4000</v>
      </c>
      <c r="S207" s="36"/>
      <c r="T207" s="37">
        <v>12500</v>
      </c>
      <c r="U207" s="5">
        <f t="shared" si="273"/>
        <v>47500</v>
      </c>
      <c r="V207" s="5">
        <f t="shared" si="274"/>
        <v>1559900.0000000002</v>
      </c>
      <c r="W207" s="5"/>
      <c r="X207" s="5">
        <f t="shared" si="275"/>
        <v>140391.00000000003</v>
      </c>
      <c r="Y207" s="5">
        <f t="shared" si="276"/>
        <v>140391.00000000003</v>
      </c>
      <c r="Z207" s="181">
        <v>2472.06</v>
      </c>
      <c r="AA207" s="5">
        <f t="shared" si="277"/>
        <v>81182.450400000002</v>
      </c>
      <c r="AB207" s="181">
        <f t="shared" si="278"/>
        <v>14612.841071999999</v>
      </c>
      <c r="AC207" s="43"/>
      <c r="AD207" s="5"/>
      <c r="AE207" s="5">
        <f t="shared" si="279"/>
        <v>1936477.2914720003</v>
      </c>
      <c r="AF207" s="139"/>
      <c r="AG207" s="139"/>
      <c r="AH207" s="178"/>
      <c r="AI207" s="12"/>
      <c r="AJ207" s="40"/>
      <c r="AK207" s="40"/>
    </row>
    <row r="208" spans="2:37" s="41" customFormat="1" ht="16.149999999999999" customHeight="1">
      <c r="B208" s="138"/>
      <c r="C208" s="82"/>
      <c r="D208" s="4"/>
      <c r="E208" s="193" t="s">
        <v>35</v>
      </c>
      <c r="F208" s="187">
        <v>32.840000000000003</v>
      </c>
      <c r="G208" s="14">
        <f t="shared" si="265"/>
        <v>32840</v>
      </c>
      <c r="H208" s="185"/>
      <c r="I208" s="171" t="s">
        <v>2481</v>
      </c>
      <c r="J208" s="167" t="s">
        <v>2500</v>
      </c>
      <c r="K208" s="172"/>
      <c r="L208" s="4"/>
      <c r="M208" s="167"/>
      <c r="N208" s="168" t="s">
        <v>2493</v>
      </c>
      <c r="O208" s="4"/>
      <c r="P208" s="4"/>
      <c r="Q208" s="182">
        <v>56000</v>
      </c>
      <c r="R208" s="36">
        <v>4000</v>
      </c>
      <c r="S208" s="36"/>
      <c r="T208" s="37">
        <v>12500</v>
      </c>
      <c r="U208" s="5">
        <f t="shared" si="273"/>
        <v>47500</v>
      </c>
      <c r="V208" s="5">
        <f t="shared" si="274"/>
        <v>1559900.0000000002</v>
      </c>
      <c r="W208" s="5"/>
      <c r="X208" s="5">
        <f t="shared" si="275"/>
        <v>140391.00000000003</v>
      </c>
      <c r="Y208" s="5">
        <f t="shared" si="276"/>
        <v>140391.00000000003</v>
      </c>
      <c r="Z208" s="181">
        <v>2472.06</v>
      </c>
      <c r="AA208" s="5">
        <f t="shared" si="277"/>
        <v>81182.450400000002</v>
      </c>
      <c r="AB208" s="181">
        <f t="shared" si="278"/>
        <v>14612.841071999999</v>
      </c>
      <c r="AC208" s="43"/>
      <c r="AD208" s="5"/>
      <c r="AE208" s="5">
        <f t="shared" si="279"/>
        <v>1936477.2914720003</v>
      </c>
      <c r="AF208" s="139"/>
      <c r="AG208" s="139"/>
      <c r="AH208" s="178"/>
      <c r="AI208" s="12"/>
      <c r="AJ208" s="40"/>
      <c r="AK208" s="40"/>
    </row>
    <row r="209" spans="2:37" s="41" customFormat="1" ht="16.149999999999999" customHeight="1">
      <c r="B209" s="138"/>
      <c r="C209" s="82"/>
      <c r="D209" s="4"/>
      <c r="E209" s="193" t="s">
        <v>35</v>
      </c>
      <c r="F209" s="187">
        <v>32.74</v>
      </c>
      <c r="G209" s="14">
        <f t="shared" si="265"/>
        <v>32740.000000000004</v>
      </c>
      <c r="H209" s="185"/>
      <c r="I209" s="171" t="s">
        <v>2482</v>
      </c>
      <c r="J209" s="167" t="s">
        <v>2500</v>
      </c>
      <c r="K209" s="172"/>
      <c r="L209" s="4"/>
      <c r="M209" s="167"/>
      <c r="N209" s="168" t="s">
        <v>2494</v>
      </c>
      <c r="O209" s="4"/>
      <c r="P209" s="4"/>
      <c r="Q209" s="182">
        <v>56000</v>
      </c>
      <c r="R209" s="36">
        <v>4000</v>
      </c>
      <c r="S209" s="36"/>
      <c r="T209" s="37">
        <v>12500</v>
      </c>
      <c r="U209" s="5">
        <f t="shared" si="273"/>
        <v>47500</v>
      </c>
      <c r="V209" s="5">
        <f t="shared" si="274"/>
        <v>1555150</v>
      </c>
      <c r="W209" s="5"/>
      <c r="X209" s="5">
        <f t="shared" si="275"/>
        <v>139963.5</v>
      </c>
      <c r="Y209" s="5">
        <f t="shared" si="276"/>
        <v>139963.5</v>
      </c>
      <c r="Z209" s="181">
        <v>2479.61</v>
      </c>
      <c r="AA209" s="5">
        <f t="shared" si="277"/>
        <v>81182.431400000016</v>
      </c>
      <c r="AB209" s="181">
        <f t="shared" si="278"/>
        <v>14612.837652000002</v>
      </c>
      <c r="AC209" s="43"/>
      <c r="AD209" s="5"/>
      <c r="AE209" s="5">
        <f t="shared" si="279"/>
        <v>1930872.269052</v>
      </c>
      <c r="AF209" s="139"/>
      <c r="AG209" s="139"/>
      <c r="AH209" s="178"/>
      <c r="AI209" s="12"/>
      <c r="AJ209" s="40"/>
      <c r="AK209" s="40"/>
    </row>
    <row r="210" spans="2:37" s="41" customFormat="1" ht="16.149999999999999" customHeight="1">
      <c r="B210" s="138"/>
      <c r="C210" s="82"/>
      <c r="D210" s="4"/>
      <c r="E210" s="193" t="s">
        <v>35</v>
      </c>
      <c r="F210" s="187">
        <v>32.74</v>
      </c>
      <c r="G210" s="14">
        <f t="shared" si="265"/>
        <v>32740.000000000004</v>
      </c>
      <c r="H210" s="185"/>
      <c r="I210" s="171" t="s">
        <v>2482</v>
      </c>
      <c r="J210" s="167" t="s">
        <v>2500</v>
      </c>
      <c r="K210" s="172"/>
      <c r="L210" s="4"/>
      <c r="M210" s="167"/>
      <c r="N210" s="168" t="s">
        <v>2494</v>
      </c>
      <c r="O210" s="4"/>
      <c r="P210" s="4"/>
      <c r="Q210" s="182">
        <v>56000</v>
      </c>
      <c r="R210" s="36">
        <v>4000</v>
      </c>
      <c r="S210" s="36"/>
      <c r="T210" s="37">
        <v>12500</v>
      </c>
      <c r="U210" s="5">
        <f t="shared" si="273"/>
        <v>47500</v>
      </c>
      <c r="V210" s="5">
        <f t="shared" si="274"/>
        <v>1555150</v>
      </c>
      <c r="W210" s="5"/>
      <c r="X210" s="5">
        <f t="shared" si="275"/>
        <v>139963.5</v>
      </c>
      <c r="Y210" s="5">
        <f t="shared" si="276"/>
        <v>139963.5</v>
      </c>
      <c r="Z210" s="181">
        <v>2479.61</v>
      </c>
      <c r="AA210" s="5">
        <f t="shared" si="277"/>
        <v>81182.431400000016</v>
      </c>
      <c r="AB210" s="181">
        <f t="shared" si="278"/>
        <v>14612.837652000002</v>
      </c>
      <c r="AC210" s="43"/>
      <c r="AD210" s="5"/>
      <c r="AE210" s="5">
        <f t="shared" si="279"/>
        <v>1930872.269052</v>
      </c>
      <c r="AF210" s="139"/>
      <c r="AG210" s="139"/>
      <c r="AH210" s="178"/>
      <c r="AI210" s="12"/>
      <c r="AJ210" s="40"/>
      <c r="AK210" s="40"/>
    </row>
    <row r="211" spans="2:37" s="41" customFormat="1" ht="16.149999999999999" customHeight="1">
      <c r="B211" s="138"/>
      <c r="C211" s="82"/>
      <c r="D211" s="4"/>
      <c r="E211" s="193" t="s">
        <v>35</v>
      </c>
      <c r="F211" s="187">
        <v>32.78</v>
      </c>
      <c r="G211" s="14">
        <f t="shared" si="265"/>
        <v>32780</v>
      </c>
      <c r="H211" s="185"/>
      <c r="I211" s="171" t="s">
        <v>2483</v>
      </c>
      <c r="J211" s="167" t="s">
        <v>2500</v>
      </c>
      <c r="K211" s="172"/>
      <c r="L211" s="4"/>
      <c r="M211" s="167"/>
      <c r="N211" s="168" t="s">
        <v>2495</v>
      </c>
      <c r="O211" s="4"/>
      <c r="P211" s="4"/>
      <c r="Q211" s="182">
        <v>56000</v>
      </c>
      <c r="R211" s="36">
        <v>4000</v>
      </c>
      <c r="S211" s="36"/>
      <c r="T211" s="37">
        <v>12500</v>
      </c>
      <c r="U211" s="5">
        <f t="shared" si="273"/>
        <v>47500</v>
      </c>
      <c r="V211" s="5">
        <f t="shared" si="274"/>
        <v>1557050</v>
      </c>
      <c r="W211" s="5"/>
      <c r="X211" s="5">
        <f t="shared" si="275"/>
        <v>140134.5</v>
      </c>
      <c r="Y211" s="5">
        <f t="shared" si="276"/>
        <v>140134.5</v>
      </c>
      <c r="Z211" s="181">
        <v>2476.59</v>
      </c>
      <c r="AA211" s="5">
        <f t="shared" si="277"/>
        <v>81182.620200000005</v>
      </c>
      <c r="AB211" s="181">
        <f t="shared" si="278"/>
        <v>14612.871636</v>
      </c>
      <c r="AC211" s="43"/>
      <c r="AD211" s="5"/>
      <c r="AE211" s="5">
        <f t="shared" si="279"/>
        <v>1933114.491836</v>
      </c>
      <c r="AF211" s="139"/>
      <c r="AG211" s="139"/>
      <c r="AH211" s="178"/>
      <c r="AI211" s="12"/>
      <c r="AJ211" s="40"/>
      <c r="AK211" s="40"/>
    </row>
    <row r="212" spans="2:37" s="41" customFormat="1" ht="16.149999999999999" customHeight="1">
      <c r="B212" s="138"/>
      <c r="C212" s="82"/>
      <c r="D212" s="4"/>
      <c r="E212" s="193" t="s">
        <v>35</v>
      </c>
      <c r="F212" s="187">
        <v>32.78</v>
      </c>
      <c r="G212" s="14">
        <f t="shared" si="265"/>
        <v>32780</v>
      </c>
      <c r="H212" s="185"/>
      <c r="I212" s="171" t="s">
        <v>2483</v>
      </c>
      <c r="J212" s="167" t="s">
        <v>2500</v>
      </c>
      <c r="K212" s="172"/>
      <c r="L212" s="4"/>
      <c r="M212" s="167"/>
      <c r="N212" s="168" t="s">
        <v>2495</v>
      </c>
      <c r="O212" s="4"/>
      <c r="P212" s="4"/>
      <c r="Q212" s="182">
        <v>56000</v>
      </c>
      <c r="R212" s="36">
        <v>4000</v>
      </c>
      <c r="S212" s="36"/>
      <c r="T212" s="37">
        <v>12500</v>
      </c>
      <c r="U212" s="5">
        <f t="shared" si="273"/>
        <v>47500</v>
      </c>
      <c r="V212" s="5">
        <f t="shared" si="274"/>
        <v>1557050</v>
      </c>
      <c r="W212" s="5"/>
      <c r="X212" s="5">
        <f t="shared" si="275"/>
        <v>140134.5</v>
      </c>
      <c r="Y212" s="5">
        <f t="shared" si="276"/>
        <v>140134.5</v>
      </c>
      <c r="Z212" s="181">
        <v>2476.59</v>
      </c>
      <c r="AA212" s="5">
        <f t="shared" si="277"/>
        <v>81182.620200000005</v>
      </c>
      <c r="AB212" s="181">
        <f t="shared" si="278"/>
        <v>14612.871636</v>
      </c>
      <c r="AC212" s="43"/>
      <c r="AD212" s="5"/>
      <c r="AE212" s="5">
        <f t="shared" si="279"/>
        <v>1933114.491836</v>
      </c>
      <c r="AF212" s="139"/>
      <c r="AG212" s="139"/>
      <c r="AH212" s="178"/>
      <c r="AI212" s="12"/>
      <c r="AJ212" s="40"/>
      <c r="AK212" s="40"/>
    </row>
    <row r="213" spans="2:37" s="41" customFormat="1" ht="16.149999999999999" customHeight="1">
      <c r="B213" s="138"/>
      <c r="C213" s="82"/>
      <c r="D213" s="4"/>
      <c r="E213" s="193" t="s">
        <v>35</v>
      </c>
      <c r="F213" s="187">
        <v>32.78</v>
      </c>
      <c r="G213" s="14">
        <f t="shared" si="265"/>
        <v>32780</v>
      </c>
      <c r="H213" s="185"/>
      <c r="I213" s="171" t="s">
        <v>2484</v>
      </c>
      <c r="J213" s="167" t="s">
        <v>2500</v>
      </c>
      <c r="K213" s="172"/>
      <c r="L213" s="4"/>
      <c r="M213" s="167"/>
      <c r="N213" s="168" t="s">
        <v>2496</v>
      </c>
      <c r="O213" s="4"/>
      <c r="P213" s="4"/>
      <c r="Q213" s="182">
        <v>56000</v>
      </c>
      <c r="R213" s="36">
        <v>4000</v>
      </c>
      <c r="S213" s="36"/>
      <c r="T213" s="37">
        <v>12500</v>
      </c>
      <c r="U213" s="5">
        <f t="shared" si="273"/>
        <v>47500</v>
      </c>
      <c r="V213" s="5">
        <f t="shared" si="274"/>
        <v>1557050</v>
      </c>
      <c r="W213" s="5"/>
      <c r="X213" s="5">
        <f t="shared" si="275"/>
        <v>140134.5</v>
      </c>
      <c r="Y213" s="5">
        <f t="shared" si="276"/>
        <v>140134.5</v>
      </c>
      <c r="Z213" s="181">
        <v>2476.59</v>
      </c>
      <c r="AA213" s="5">
        <f t="shared" si="277"/>
        <v>81182.620200000005</v>
      </c>
      <c r="AB213" s="181">
        <f t="shared" si="278"/>
        <v>14612.871636</v>
      </c>
      <c r="AC213" s="43"/>
      <c r="AD213" s="5"/>
      <c r="AE213" s="5">
        <f t="shared" si="279"/>
        <v>1933114.491836</v>
      </c>
      <c r="AF213" s="139"/>
      <c r="AG213" s="139"/>
      <c r="AH213" s="178"/>
      <c r="AI213" s="12"/>
      <c r="AJ213" s="40"/>
      <c r="AK213" s="40"/>
    </row>
    <row r="214" spans="2:37" s="41" customFormat="1" ht="16.149999999999999" customHeight="1">
      <c r="B214" s="138"/>
      <c r="C214" s="82"/>
      <c r="D214" s="4"/>
      <c r="E214" s="193" t="s">
        <v>35</v>
      </c>
      <c r="F214" s="187">
        <v>32.78</v>
      </c>
      <c r="G214" s="14">
        <f t="shared" si="265"/>
        <v>32780</v>
      </c>
      <c r="H214" s="185"/>
      <c r="I214" s="171" t="s">
        <v>2484</v>
      </c>
      <c r="J214" s="167" t="s">
        <v>2500</v>
      </c>
      <c r="K214" s="172"/>
      <c r="L214" s="4"/>
      <c r="M214" s="167"/>
      <c r="N214" s="168" t="s">
        <v>2496</v>
      </c>
      <c r="O214" s="4"/>
      <c r="P214" s="4"/>
      <c r="Q214" s="182">
        <v>56000</v>
      </c>
      <c r="R214" s="36">
        <v>4000</v>
      </c>
      <c r="S214" s="36"/>
      <c r="T214" s="37">
        <v>12500</v>
      </c>
      <c r="U214" s="5">
        <f t="shared" si="273"/>
        <v>47500</v>
      </c>
      <c r="V214" s="5">
        <f t="shared" si="274"/>
        <v>1557050</v>
      </c>
      <c r="W214" s="5"/>
      <c r="X214" s="5">
        <f t="shared" si="275"/>
        <v>140134.5</v>
      </c>
      <c r="Y214" s="5">
        <f t="shared" si="276"/>
        <v>140134.5</v>
      </c>
      <c r="Z214" s="181">
        <v>2476.59</v>
      </c>
      <c r="AA214" s="5">
        <f t="shared" si="277"/>
        <v>81182.620200000005</v>
      </c>
      <c r="AB214" s="181">
        <f t="shared" si="278"/>
        <v>14612.871636</v>
      </c>
      <c r="AC214" s="43"/>
      <c r="AD214" s="5"/>
      <c r="AE214" s="5">
        <f t="shared" si="279"/>
        <v>1933114.491836</v>
      </c>
      <c r="AF214" s="139"/>
      <c r="AG214" s="139"/>
      <c r="AH214" s="178"/>
      <c r="AI214" s="12"/>
      <c r="AJ214" s="40"/>
      <c r="AK214" s="40"/>
    </row>
    <row r="215" spans="2:37" s="41" customFormat="1" ht="16.149999999999999" customHeight="1">
      <c r="B215" s="138"/>
      <c r="C215" s="82"/>
      <c r="D215" s="4"/>
      <c r="E215" s="193" t="s">
        <v>35</v>
      </c>
      <c r="F215" s="187">
        <v>32.83</v>
      </c>
      <c r="G215" s="14">
        <f t="shared" si="265"/>
        <v>32830</v>
      </c>
      <c r="H215" s="185"/>
      <c r="I215" s="171" t="s">
        <v>2485</v>
      </c>
      <c r="J215" s="167" t="s">
        <v>2500</v>
      </c>
      <c r="K215" s="172"/>
      <c r="L215" s="4"/>
      <c r="M215" s="167"/>
      <c r="N215" s="168" t="s">
        <v>2497</v>
      </c>
      <c r="O215" s="4"/>
      <c r="P215" s="4"/>
      <c r="Q215" s="182">
        <v>56000</v>
      </c>
      <c r="R215" s="36">
        <v>4000</v>
      </c>
      <c r="S215" s="36"/>
      <c r="T215" s="37">
        <v>12500</v>
      </c>
      <c r="U215" s="5">
        <f t="shared" si="273"/>
        <v>47500</v>
      </c>
      <c r="V215" s="5">
        <f t="shared" si="274"/>
        <v>1559425</v>
      </c>
      <c r="W215" s="5"/>
      <c r="X215" s="5">
        <f t="shared" si="275"/>
        <v>140348.25</v>
      </c>
      <c r="Y215" s="5">
        <f t="shared" si="276"/>
        <v>140348.25</v>
      </c>
      <c r="Z215" s="181">
        <v>2472.81</v>
      </c>
      <c r="AA215" s="5">
        <f t="shared" si="277"/>
        <v>81182.352299999999</v>
      </c>
      <c r="AB215" s="181">
        <f t="shared" si="278"/>
        <v>14612.823413999999</v>
      </c>
      <c r="AC215" s="43"/>
      <c r="AD215" s="5"/>
      <c r="AE215" s="5">
        <f t="shared" si="279"/>
        <v>1935916.6757140001</v>
      </c>
      <c r="AF215" s="139"/>
      <c r="AG215" s="139"/>
      <c r="AH215" s="178"/>
      <c r="AI215" s="12"/>
      <c r="AJ215" s="40"/>
      <c r="AK215" s="40"/>
    </row>
    <row r="216" spans="2:37" s="41" customFormat="1" ht="16.149999999999999" customHeight="1">
      <c r="B216" s="138"/>
      <c r="C216" s="82"/>
      <c r="D216" s="4"/>
      <c r="E216" s="193" t="s">
        <v>35</v>
      </c>
      <c r="F216" s="187">
        <v>32.83</v>
      </c>
      <c r="G216" s="14">
        <f t="shared" si="265"/>
        <v>32830</v>
      </c>
      <c r="H216" s="185"/>
      <c r="I216" s="171" t="s">
        <v>2485</v>
      </c>
      <c r="J216" s="167" t="s">
        <v>2500</v>
      </c>
      <c r="K216" s="172"/>
      <c r="L216" s="4"/>
      <c r="M216" s="167"/>
      <c r="N216" s="168" t="s">
        <v>2497</v>
      </c>
      <c r="O216" s="4"/>
      <c r="P216" s="4"/>
      <c r="Q216" s="182">
        <v>56000</v>
      </c>
      <c r="R216" s="36">
        <v>4000</v>
      </c>
      <c r="S216" s="36"/>
      <c r="T216" s="37">
        <v>12500</v>
      </c>
      <c r="U216" s="5">
        <f t="shared" si="273"/>
        <v>47500</v>
      </c>
      <c r="V216" s="5">
        <f t="shared" si="274"/>
        <v>1559425</v>
      </c>
      <c r="W216" s="5"/>
      <c r="X216" s="5">
        <f t="shared" si="275"/>
        <v>140348.25</v>
      </c>
      <c r="Y216" s="5">
        <f t="shared" si="276"/>
        <v>140348.25</v>
      </c>
      <c r="Z216" s="181">
        <v>2472.81</v>
      </c>
      <c r="AA216" s="5">
        <f t="shared" si="277"/>
        <v>81182.352299999999</v>
      </c>
      <c r="AB216" s="181">
        <f t="shared" si="278"/>
        <v>14612.823413999999</v>
      </c>
      <c r="AC216" s="43"/>
      <c r="AD216" s="5"/>
      <c r="AE216" s="5">
        <f t="shared" si="279"/>
        <v>1935916.6757140001</v>
      </c>
      <c r="AF216" s="139"/>
      <c r="AG216" s="139"/>
      <c r="AH216" s="178"/>
      <c r="AI216" s="12"/>
      <c r="AJ216" s="40"/>
      <c r="AK216" s="40"/>
    </row>
    <row r="217" spans="2:37" s="41" customFormat="1">
      <c r="B217" s="13"/>
      <c r="C217" s="48"/>
      <c r="D217" s="6"/>
      <c r="E217" s="48"/>
      <c r="F217" s="81">
        <f>SUM(F193:F216)</f>
        <v>785.6400000000001</v>
      </c>
      <c r="G217" s="20">
        <f>SUM(G193:G216)</f>
        <v>785640</v>
      </c>
      <c r="H217" s="21">
        <f>SUM(H193:H216)</f>
        <v>0</v>
      </c>
      <c r="I217" s="2"/>
      <c r="J217" s="7"/>
      <c r="K217" s="7"/>
      <c r="L217" s="7"/>
      <c r="M217" s="2"/>
      <c r="N217" s="6"/>
      <c r="O217" s="6"/>
      <c r="P217" s="6"/>
      <c r="Q217" s="19"/>
      <c r="R217" s="9"/>
      <c r="S217" s="9"/>
      <c r="T217" s="10"/>
      <c r="U217" s="8"/>
      <c r="V217" s="21">
        <f>SUM(V193:V216)</f>
        <v>37317900</v>
      </c>
      <c r="W217" s="21">
        <f>SUM(W193:W216)</f>
        <v>0</v>
      </c>
      <c r="X217" s="21">
        <f>SUM(X193:X216)</f>
        <v>3358611</v>
      </c>
      <c r="Y217" s="21">
        <f>SUM(Y193:Y216)</f>
        <v>3358611</v>
      </c>
      <c r="Z217" s="99"/>
      <c r="AA217" s="21">
        <f>SUM(AA193:AA216)</f>
        <v>1948378.7575999999</v>
      </c>
      <c r="AB217" s="21">
        <f>SUM(AB193:AB216)</f>
        <v>350708.17636800004</v>
      </c>
      <c r="AC217" s="21"/>
      <c r="AD217" s="21">
        <f>SUM(AD193:AD216)</f>
        <v>0</v>
      </c>
      <c r="AE217" s="21">
        <f>SUM(AE193:AE216)</f>
        <v>46334208.933967985</v>
      </c>
      <c r="AF217" s="21"/>
      <c r="AG217" s="42"/>
      <c r="AH217" s="81">
        <f>SUM(AH193:AH216)</f>
        <v>0</v>
      </c>
      <c r="AI217" s="26">
        <f>AH217-F217</f>
        <v>-785.6400000000001</v>
      </c>
      <c r="AJ217" s="41">
        <f>AA217/F217</f>
        <v>2479.9892541112972</v>
      </c>
      <c r="AK217" s="40"/>
    </row>
    <row r="218" spans="2:37">
      <c r="B218" s="15"/>
      <c r="C218" s="18"/>
      <c r="D218" s="11"/>
      <c r="E218" s="18" t="s">
        <v>16</v>
      </c>
      <c r="F218" s="16">
        <f>SUM(F3:F217)/2</f>
        <v>6579.6350000000002</v>
      </c>
      <c r="G218" s="17">
        <f>SUM(G3:G217)/2</f>
        <v>6579635</v>
      </c>
      <c r="H218" s="22">
        <f>SUM(H3:H217)/2</f>
        <v>2798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7"/>
      <c r="V218" s="17">
        <f>SUM(V3:V217)/2</f>
        <v>326013270.5</v>
      </c>
      <c r="W218" s="17">
        <f>SUM(W3:W217)/2</f>
        <v>19353511.889999997</v>
      </c>
      <c r="X218" s="17"/>
      <c r="Y218" s="22"/>
      <c r="Z218" s="17"/>
      <c r="AA218" s="17"/>
      <c r="AB218" s="17"/>
      <c r="AC218" s="22"/>
      <c r="AD218" s="17"/>
      <c r="AE218" s="17">
        <f>SUM(AE3:AE217)/2</f>
        <v>397807467.8884241</v>
      </c>
      <c r="AF218" s="22"/>
      <c r="AG218" s="16"/>
      <c r="AH218" s="17"/>
      <c r="AI218" s="110">
        <f>SUM(AI3:AI217)/2</f>
        <v>-1357.44</v>
      </c>
    </row>
    <row r="220" spans="2:37">
      <c r="I220" s="90"/>
    </row>
  </sheetData>
  <dataConsolidate/>
  <mergeCells count="1">
    <mergeCell ref="AF1:AG1"/>
  </mergeCells>
  <conditionalFormatting sqref="N112 N114 N82:N87 N89:N94 N100 N102 N104 N106 N108 N110 N120:N125 N127:N152 N154:N155 N117:N118 N157:N158 N160:N163 N165:N188 N193:N216 N190:N191">
    <cfRule type="cellIs" dxfId="1" priority="28" operator="equal">
      <formula>"SEC174514A"</formula>
    </cfRule>
  </conditionalFormatting>
  <pageMargins left="0.31496062992125984" right="0.19685039370078741" top="0.19685039370078741" bottom="0.27559055118110237" header="0.19685039370078741" footer="0.31496062992125984"/>
  <pageSetup paperSize="9" scale="8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O84"/>
  <sheetViews>
    <sheetView showZeros="0" zoomScale="85" zoomScaleNormal="85" workbookViewId="0">
      <pane xSplit="14" ySplit="2" topLeftCell="O9" activePane="bottomRight" state="frozen"/>
      <selection pane="topRight" activeCell="O1" sqref="O1"/>
      <selection pane="bottomLeft" activeCell="A3" sqref="A3"/>
      <selection pane="bottomRight" activeCell="F75" sqref="F75"/>
    </sheetView>
  </sheetViews>
  <sheetFormatPr defaultRowHeight="15"/>
  <cols>
    <col min="1" max="1" width="2" style="38" customWidth="1"/>
    <col min="2" max="2" width="28.85546875" style="38" bestFit="1" customWidth="1"/>
    <col min="3" max="3" width="19.28515625" style="38" bestFit="1" customWidth="1"/>
    <col min="4" max="4" width="11.28515625" style="38" hidden="1" customWidth="1"/>
    <col min="5" max="5" width="14.140625" style="38" customWidth="1"/>
    <col min="6" max="6" width="8.85546875" style="38" customWidth="1"/>
    <col min="7" max="7" width="8.28515625" style="38" customWidth="1"/>
    <col min="8" max="8" width="7.42578125" style="62" customWidth="1"/>
    <col min="9" max="9" width="16.7109375" style="38" customWidth="1"/>
    <col min="10" max="10" width="10.7109375" style="38" customWidth="1"/>
    <col min="11" max="11" width="15.42578125" style="38" customWidth="1"/>
    <col min="12" max="12" width="10.28515625" style="38" customWidth="1"/>
    <col min="13" max="13" width="10.85546875" style="38" bestFit="1" customWidth="1"/>
    <col min="14" max="14" width="18.140625" style="38" customWidth="1"/>
    <col min="15" max="15" width="10.7109375" style="38" customWidth="1"/>
    <col min="16" max="16" width="11.28515625" style="38" customWidth="1"/>
    <col min="17" max="17" width="6.5703125" style="38" customWidth="1"/>
    <col min="18" max="18" width="7.28515625" style="38" customWidth="1"/>
    <col min="19" max="19" width="4.42578125" style="38" customWidth="1"/>
    <col min="20" max="20" width="6.5703125" style="38" customWidth="1"/>
    <col min="21" max="21" width="7.140625" style="38" customWidth="1"/>
    <col min="22" max="22" width="9.85546875" style="39" customWidth="1"/>
    <col min="23" max="23" width="9.140625" style="39" customWidth="1"/>
    <col min="24" max="25" width="9.5703125" style="39" customWidth="1"/>
    <col min="26" max="26" width="7.7109375" style="39" customWidth="1"/>
    <col min="27" max="27" width="10.85546875" style="39" customWidth="1"/>
    <col min="28" max="28" width="9.140625" style="39" customWidth="1"/>
    <col min="29" max="30" width="9.140625" style="39" hidden="1" customWidth="1"/>
    <col min="31" max="31" width="12.42578125" style="39" customWidth="1"/>
    <col min="32" max="32" width="14.5703125" style="38" customWidth="1"/>
    <col min="33" max="33" width="12" style="38" bestFit="1" customWidth="1"/>
    <col min="34" max="34" width="8.7109375" style="38" bestFit="1" customWidth="1"/>
    <col min="35" max="35" width="18" style="38" customWidth="1"/>
    <col min="36" max="36" width="8.85546875" style="38" customWidth="1"/>
    <col min="37" max="37" width="11.7109375" style="38" bestFit="1" customWidth="1"/>
    <col min="38" max="16384" width="9.140625" style="38"/>
  </cols>
  <sheetData>
    <row r="1" spans="2:41" ht="15.75" thickBot="1">
      <c r="D1" s="29" t="s">
        <v>26</v>
      </c>
      <c r="F1" s="59">
        <v>0</v>
      </c>
      <c r="L1" t="s">
        <v>36</v>
      </c>
      <c r="O1" s="29" t="s">
        <v>26</v>
      </c>
      <c r="P1" s="29" t="s">
        <v>26</v>
      </c>
      <c r="AF1" s="194" t="s">
        <v>14</v>
      </c>
      <c r="AG1" s="194"/>
      <c r="AH1" s="164"/>
    </row>
    <row r="2" spans="2:41" ht="26.25" thickBot="1">
      <c r="B2" s="24" t="s">
        <v>0</v>
      </c>
      <c r="C2" s="53" t="s">
        <v>1</v>
      </c>
      <c r="D2" s="24" t="s">
        <v>27</v>
      </c>
      <c r="E2" s="53" t="s">
        <v>2</v>
      </c>
      <c r="F2" s="54" t="s">
        <v>3</v>
      </c>
      <c r="G2" s="54" t="s">
        <v>28</v>
      </c>
      <c r="H2" s="65" t="s">
        <v>60</v>
      </c>
      <c r="I2" s="53" t="s">
        <v>4</v>
      </c>
      <c r="J2" s="55" t="s">
        <v>5</v>
      </c>
      <c r="K2" s="56" t="s">
        <v>25</v>
      </c>
      <c r="L2" s="25" t="s">
        <v>32</v>
      </c>
      <c r="M2" s="53" t="s">
        <v>6</v>
      </c>
      <c r="N2" s="79" t="s">
        <v>37</v>
      </c>
      <c r="O2" s="30" t="s">
        <v>29</v>
      </c>
      <c r="P2" s="34" t="s">
        <v>30</v>
      </c>
      <c r="Q2" s="24" t="s">
        <v>7</v>
      </c>
      <c r="R2" s="24" t="s">
        <v>8</v>
      </c>
      <c r="S2" s="24" t="s">
        <v>9</v>
      </c>
      <c r="T2" s="24" t="s">
        <v>10</v>
      </c>
      <c r="U2" s="31" t="s">
        <v>11</v>
      </c>
      <c r="V2" s="32" t="s">
        <v>12</v>
      </c>
      <c r="W2" s="32" t="s">
        <v>19</v>
      </c>
      <c r="X2" s="32" t="s">
        <v>17</v>
      </c>
      <c r="Y2" s="32" t="s">
        <v>18</v>
      </c>
      <c r="Z2" s="32" t="s">
        <v>20</v>
      </c>
      <c r="AA2" s="32" t="s">
        <v>21</v>
      </c>
      <c r="AB2" s="33" t="s">
        <v>22</v>
      </c>
      <c r="AC2" s="33" t="s">
        <v>31</v>
      </c>
      <c r="AD2" s="45" t="s">
        <v>33</v>
      </c>
      <c r="AE2" s="32" t="s">
        <v>13</v>
      </c>
      <c r="AF2" s="25" t="s">
        <v>15</v>
      </c>
      <c r="AG2" s="25" t="s">
        <v>34</v>
      </c>
      <c r="AH2" s="25" t="s">
        <v>23</v>
      </c>
      <c r="AI2" s="25" t="s">
        <v>24</v>
      </c>
      <c r="AN2" s="35"/>
      <c r="AO2" s="35"/>
    </row>
    <row r="3" spans="2:41" s="41" customFormat="1" ht="16.149999999999999" customHeight="1">
      <c r="B3" s="138" t="s">
        <v>2090</v>
      </c>
      <c r="C3" s="82" t="s">
        <v>2093</v>
      </c>
      <c r="D3" s="4"/>
      <c r="E3" s="82" t="s">
        <v>1430</v>
      </c>
      <c r="F3" s="103">
        <v>65.8</v>
      </c>
      <c r="G3" s="14">
        <f t="shared" ref="G3:G9" si="0">+F3*1000</f>
        <v>65800</v>
      </c>
      <c r="H3" s="97">
        <v>60</v>
      </c>
      <c r="I3" s="83" t="s">
        <v>2094</v>
      </c>
      <c r="J3" s="85" t="s">
        <v>2095</v>
      </c>
      <c r="K3" s="135" t="s">
        <v>2168</v>
      </c>
      <c r="L3" s="4"/>
      <c r="M3" s="85" t="s">
        <v>2116</v>
      </c>
      <c r="N3" s="82" t="s">
        <v>2097</v>
      </c>
      <c r="O3" s="4"/>
      <c r="P3" s="4"/>
      <c r="Q3" s="5">
        <v>56000</v>
      </c>
      <c r="R3" s="36">
        <v>4000</v>
      </c>
      <c r="S3" s="36"/>
      <c r="T3" s="37">
        <v>11500</v>
      </c>
      <c r="U3" s="5">
        <f>S3+R3+Q3-T3</f>
        <v>48500</v>
      </c>
      <c r="V3" s="5">
        <f t="shared" ref="V3:V9" si="1">F3*U3</f>
        <v>3191300</v>
      </c>
      <c r="W3" s="5">
        <f t="shared" ref="W3:W9" si="2">V3*18%</f>
        <v>574434</v>
      </c>
      <c r="X3" s="5"/>
      <c r="Y3" s="5"/>
      <c r="Z3" s="98">
        <v>2450.1</v>
      </c>
      <c r="AA3" s="23">
        <f t="shared" ref="AA3:AA9" si="3">F3*Z3</f>
        <v>161216.57999999999</v>
      </c>
      <c r="AB3" s="97">
        <f t="shared" ref="AB3:AB9" si="4">AA3*18%</f>
        <v>29018.984399999998</v>
      </c>
      <c r="AC3" s="43"/>
      <c r="AD3" s="49"/>
      <c r="AE3" s="5">
        <f t="shared" ref="AE3:AE9" si="5">+AB3+AA3+Y3+X3+W3+V3-AC3+AD3</f>
        <v>3955969.5644</v>
      </c>
      <c r="AF3" s="139" t="s">
        <v>2275</v>
      </c>
      <c r="AG3" s="139" t="s">
        <v>2116</v>
      </c>
      <c r="AH3" s="103">
        <f>32.9+32.9</f>
        <v>65.8</v>
      </c>
      <c r="AI3" s="12"/>
      <c r="AJ3" s="40"/>
      <c r="AK3" s="40"/>
    </row>
    <row r="4" spans="2:41" s="41" customFormat="1" ht="16.149999999999999" customHeight="1">
      <c r="B4" s="89"/>
      <c r="C4" s="82" t="s">
        <v>2091</v>
      </c>
      <c r="D4" s="4"/>
      <c r="E4" s="82" t="s">
        <v>1430</v>
      </c>
      <c r="F4" s="103">
        <v>65.8</v>
      </c>
      <c r="G4" s="14">
        <f t="shared" si="0"/>
        <v>65800</v>
      </c>
      <c r="H4" s="97">
        <v>60</v>
      </c>
      <c r="I4" s="83" t="s">
        <v>2096</v>
      </c>
      <c r="J4" s="85" t="s">
        <v>2095</v>
      </c>
      <c r="K4" s="135" t="s">
        <v>2169</v>
      </c>
      <c r="L4" s="4"/>
      <c r="M4" s="85" t="s">
        <v>2170</v>
      </c>
      <c r="N4" s="82" t="s">
        <v>2098</v>
      </c>
      <c r="O4" s="4"/>
      <c r="P4" s="4"/>
      <c r="Q4" s="5">
        <v>56000</v>
      </c>
      <c r="R4" s="36">
        <v>4000</v>
      </c>
      <c r="S4" s="36"/>
      <c r="T4" s="37">
        <v>11500</v>
      </c>
      <c r="U4" s="5">
        <f t="shared" ref="U4:U9" si="6">S4+R4+Q4-T4</f>
        <v>48500</v>
      </c>
      <c r="V4" s="5">
        <f t="shared" si="1"/>
        <v>3191300</v>
      </c>
      <c r="W4" s="5">
        <f t="shared" si="2"/>
        <v>574434</v>
      </c>
      <c r="X4" s="5"/>
      <c r="Y4" s="5"/>
      <c r="Z4" s="98">
        <v>2450.11</v>
      </c>
      <c r="AA4" s="23">
        <f t="shared" si="3"/>
        <v>161217.23800000001</v>
      </c>
      <c r="AB4" s="97">
        <f t="shared" si="4"/>
        <v>29019.10284</v>
      </c>
      <c r="AC4" s="43"/>
      <c r="AD4" s="49"/>
      <c r="AE4" s="5">
        <f t="shared" si="5"/>
        <v>3955970.3408399997</v>
      </c>
      <c r="AF4" s="139" t="s">
        <v>2276</v>
      </c>
      <c r="AG4" s="139" t="s">
        <v>2116</v>
      </c>
      <c r="AH4" s="13">
        <f>33.997+31.803</f>
        <v>65.8</v>
      </c>
      <c r="AI4" s="12"/>
      <c r="AJ4" s="40"/>
      <c r="AK4" s="40"/>
    </row>
    <row r="5" spans="2:41" s="41" customFormat="1" ht="16.149999999999999" customHeight="1">
      <c r="B5" s="89"/>
      <c r="C5" s="82" t="s">
        <v>2092</v>
      </c>
      <c r="D5" s="4"/>
      <c r="E5" s="82" t="s">
        <v>1430</v>
      </c>
      <c r="F5" s="103">
        <v>66</v>
      </c>
      <c r="G5" s="14">
        <f t="shared" si="0"/>
        <v>66000</v>
      </c>
      <c r="H5" s="97">
        <v>60</v>
      </c>
      <c r="I5" s="83" t="s">
        <v>2099</v>
      </c>
      <c r="J5" s="85" t="s">
        <v>2095</v>
      </c>
      <c r="K5" s="135" t="s">
        <v>2171</v>
      </c>
      <c r="L5" s="4"/>
      <c r="M5" s="85" t="s">
        <v>2116</v>
      </c>
      <c r="N5" s="82" t="s">
        <v>2104</v>
      </c>
      <c r="O5" s="4"/>
      <c r="P5" s="4"/>
      <c r="Q5" s="5">
        <v>56000</v>
      </c>
      <c r="R5" s="36">
        <v>4000</v>
      </c>
      <c r="S5" s="36"/>
      <c r="T5" s="37">
        <v>11500</v>
      </c>
      <c r="U5" s="5">
        <f t="shared" si="6"/>
        <v>48500</v>
      </c>
      <c r="V5" s="5">
        <f t="shared" si="1"/>
        <v>3201000</v>
      </c>
      <c r="W5" s="5">
        <f t="shared" si="2"/>
        <v>576180</v>
      </c>
      <c r="X5" s="5"/>
      <c r="Y5" s="5"/>
      <c r="Z5" s="98">
        <v>2450.1</v>
      </c>
      <c r="AA5" s="23">
        <f t="shared" si="3"/>
        <v>161706.6</v>
      </c>
      <c r="AB5" s="97">
        <f t="shared" si="4"/>
        <v>29107.187999999998</v>
      </c>
      <c r="AC5" s="43"/>
      <c r="AD5" s="49"/>
      <c r="AE5" s="5">
        <f t="shared" si="5"/>
        <v>3967993.7879999997</v>
      </c>
      <c r="AF5" s="139" t="s">
        <v>2274</v>
      </c>
      <c r="AG5" s="139" t="s">
        <v>2116</v>
      </c>
      <c r="AH5" s="13">
        <f>33+33</f>
        <v>66</v>
      </c>
      <c r="AI5" s="12"/>
      <c r="AJ5" s="40"/>
      <c r="AK5" s="40"/>
    </row>
    <row r="6" spans="2:41" s="41" customFormat="1" ht="16.149999999999999" customHeight="1">
      <c r="B6" s="89"/>
      <c r="C6" s="4"/>
      <c r="D6" s="4"/>
      <c r="E6" s="82" t="s">
        <v>1430</v>
      </c>
      <c r="F6" s="103">
        <v>65.7</v>
      </c>
      <c r="G6" s="14">
        <f t="shared" si="0"/>
        <v>65700</v>
      </c>
      <c r="H6" s="97">
        <v>60</v>
      </c>
      <c r="I6" s="83" t="s">
        <v>2100</v>
      </c>
      <c r="J6" s="85" t="s">
        <v>2095</v>
      </c>
      <c r="K6" s="135" t="s">
        <v>2172</v>
      </c>
      <c r="L6" s="4"/>
      <c r="M6" s="85" t="s">
        <v>2161</v>
      </c>
      <c r="N6" s="82" t="s">
        <v>2105</v>
      </c>
      <c r="O6" s="4"/>
      <c r="P6" s="4"/>
      <c r="Q6" s="5">
        <v>56000</v>
      </c>
      <c r="R6" s="36">
        <v>4000</v>
      </c>
      <c r="S6" s="36"/>
      <c r="T6" s="37">
        <v>11500</v>
      </c>
      <c r="U6" s="5">
        <f t="shared" si="6"/>
        <v>48500</v>
      </c>
      <c r="V6" s="5">
        <f t="shared" si="1"/>
        <v>3186450</v>
      </c>
      <c r="W6" s="5">
        <f t="shared" si="2"/>
        <v>573561</v>
      </c>
      <c r="X6" s="5"/>
      <c r="Y6" s="5"/>
      <c r="Z6" s="98">
        <v>2450.1</v>
      </c>
      <c r="AA6" s="23">
        <f t="shared" si="3"/>
        <v>160971.57</v>
      </c>
      <c r="AB6" s="97">
        <f t="shared" si="4"/>
        <v>28974.882600000001</v>
      </c>
      <c r="AC6" s="43"/>
      <c r="AD6" s="49"/>
      <c r="AE6" s="5">
        <f t="shared" si="5"/>
        <v>3949957.4526</v>
      </c>
      <c r="AF6" s="139" t="s">
        <v>2283</v>
      </c>
      <c r="AG6" s="139" t="s">
        <v>2161</v>
      </c>
      <c r="AH6" s="103">
        <f>32.85+32.85</f>
        <v>65.7</v>
      </c>
      <c r="AI6" s="12"/>
      <c r="AJ6" s="40"/>
      <c r="AK6" s="40"/>
    </row>
    <row r="7" spans="2:41" s="41" customFormat="1" ht="16.149999999999999" customHeight="1">
      <c r="B7" s="89"/>
      <c r="C7" s="4"/>
      <c r="D7" s="4"/>
      <c r="E7" s="82" t="s">
        <v>1430</v>
      </c>
      <c r="F7" s="103">
        <v>66</v>
      </c>
      <c r="G7" s="14">
        <f t="shared" si="0"/>
        <v>66000</v>
      </c>
      <c r="H7" s="97">
        <v>60</v>
      </c>
      <c r="I7" s="83" t="s">
        <v>2101</v>
      </c>
      <c r="J7" s="85" t="s">
        <v>2095</v>
      </c>
      <c r="K7" s="135" t="s">
        <v>2173</v>
      </c>
      <c r="L7" s="4"/>
      <c r="M7" s="85" t="s">
        <v>2130</v>
      </c>
      <c r="N7" s="82" t="s">
        <v>2106</v>
      </c>
      <c r="O7" s="4"/>
      <c r="P7" s="4"/>
      <c r="Q7" s="5">
        <v>56000</v>
      </c>
      <c r="R7" s="36">
        <v>4000</v>
      </c>
      <c r="S7" s="36"/>
      <c r="T7" s="37">
        <v>11500</v>
      </c>
      <c r="U7" s="5">
        <f t="shared" si="6"/>
        <v>48500</v>
      </c>
      <c r="V7" s="5">
        <f t="shared" si="1"/>
        <v>3201000</v>
      </c>
      <c r="W7" s="5">
        <f t="shared" si="2"/>
        <v>576180</v>
      </c>
      <c r="X7" s="5"/>
      <c r="Y7" s="5"/>
      <c r="Z7" s="98">
        <v>2450.1</v>
      </c>
      <c r="AA7" s="23">
        <f t="shared" si="3"/>
        <v>161706.6</v>
      </c>
      <c r="AB7" s="97">
        <f t="shared" si="4"/>
        <v>29107.187999999998</v>
      </c>
      <c r="AC7" s="43"/>
      <c r="AD7" s="49"/>
      <c r="AE7" s="5">
        <f t="shared" si="5"/>
        <v>3967993.7879999997</v>
      </c>
      <c r="AF7" s="139" t="s">
        <v>2278</v>
      </c>
      <c r="AG7" s="139" t="s">
        <v>2130</v>
      </c>
      <c r="AH7" s="13">
        <f>34.1+31.9</f>
        <v>66</v>
      </c>
      <c r="AI7" s="12"/>
      <c r="AJ7" s="40"/>
      <c r="AK7" s="40"/>
    </row>
    <row r="8" spans="2:41" s="41" customFormat="1" ht="16.149999999999999" customHeight="1">
      <c r="B8" s="89"/>
      <c r="C8" s="4"/>
      <c r="D8" s="4"/>
      <c r="E8" s="82" t="s">
        <v>1430</v>
      </c>
      <c r="F8" s="103">
        <v>65.599999999999994</v>
      </c>
      <c r="G8" s="14">
        <f t="shared" si="0"/>
        <v>65600</v>
      </c>
      <c r="H8" s="97">
        <v>60</v>
      </c>
      <c r="I8" s="83" t="s">
        <v>2102</v>
      </c>
      <c r="J8" s="85" t="s">
        <v>2095</v>
      </c>
      <c r="K8" s="135" t="s">
        <v>2174</v>
      </c>
      <c r="L8" s="4"/>
      <c r="M8" s="85" t="s">
        <v>2130</v>
      </c>
      <c r="N8" s="82" t="s">
        <v>2107</v>
      </c>
      <c r="O8" s="4"/>
      <c r="P8" s="4"/>
      <c r="Q8" s="5">
        <v>56000</v>
      </c>
      <c r="R8" s="36">
        <v>4000</v>
      </c>
      <c r="S8" s="36"/>
      <c r="T8" s="37">
        <v>11500</v>
      </c>
      <c r="U8" s="5">
        <f t="shared" si="6"/>
        <v>48500</v>
      </c>
      <c r="V8" s="5">
        <f t="shared" si="1"/>
        <v>3181599.9999999995</v>
      </c>
      <c r="W8" s="5">
        <f t="shared" si="2"/>
        <v>572687.99999999988</v>
      </c>
      <c r="X8" s="5"/>
      <c r="Y8" s="5"/>
      <c r="Z8" s="98">
        <v>2450.1</v>
      </c>
      <c r="AA8" s="23">
        <f t="shared" si="3"/>
        <v>160726.55999999997</v>
      </c>
      <c r="AB8" s="97">
        <f t="shared" si="4"/>
        <v>28930.780799999993</v>
      </c>
      <c r="AC8" s="43"/>
      <c r="AD8" s="49"/>
      <c r="AE8" s="5">
        <f t="shared" si="5"/>
        <v>3943945.3407999994</v>
      </c>
      <c r="AF8" s="139" t="s">
        <v>2280</v>
      </c>
      <c r="AG8" s="139" t="s">
        <v>2130</v>
      </c>
      <c r="AH8" s="103">
        <f>36.08+29.52</f>
        <v>65.599999999999994</v>
      </c>
      <c r="AI8" s="12"/>
      <c r="AJ8" s="40"/>
      <c r="AK8" s="40"/>
    </row>
    <row r="9" spans="2:41" s="41" customFormat="1" ht="16.149999999999999" customHeight="1">
      <c r="B9" s="89"/>
      <c r="C9" s="4"/>
      <c r="D9" s="4"/>
      <c r="E9" s="82" t="s">
        <v>1430</v>
      </c>
      <c r="F9" s="103">
        <v>65.400000000000006</v>
      </c>
      <c r="G9" s="14">
        <f t="shared" si="0"/>
        <v>65400.000000000007</v>
      </c>
      <c r="H9" s="97">
        <v>60</v>
      </c>
      <c r="I9" s="83" t="s">
        <v>2103</v>
      </c>
      <c r="J9" s="85" t="s">
        <v>2095</v>
      </c>
      <c r="K9" s="135" t="s">
        <v>2175</v>
      </c>
      <c r="L9" s="4"/>
      <c r="M9" s="85" t="s">
        <v>2161</v>
      </c>
      <c r="N9" s="82" t="s">
        <v>2108</v>
      </c>
      <c r="O9" s="4"/>
      <c r="P9" s="4"/>
      <c r="Q9" s="5">
        <v>56000</v>
      </c>
      <c r="R9" s="36">
        <v>4000</v>
      </c>
      <c r="S9" s="36"/>
      <c r="T9" s="37">
        <v>11500</v>
      </c>
      <c r="U9" s="5">
        <f t="shared" si="6"/>
        <v>48500</v>
      </c>
      <c r="V9" s="5">
        <f t="shared" si="1"/>
        <v>3171900.0000000005</v>
      </c>
      <c r="W9" s="5">
        <f t="shared" si="2"/>
        <v>570942.00000000012</v>
      </c>
      <c r="X9" s="5"/>
      <c r="Y9" s="5"/>
      <c r="Z9" s="98">
        <v>2450.1</v>
      </c>
      <c r="AA9" s="23">
        <f t="shared" si="3"/>
        <v>160236.54</v>
      </c>
      <c r="AB9" s="97">
        <f t="shared" si="4"/>
        <v>28842.5772</v>
      </c>
      <c r="AC9" s="43"/>
      <c r="AD9" s="49"/>
      <c r="AE9" s="5">
        <f t="shared" si="5"/>
        <v>3931921.1172000007</v>
      </c>
      <c r="AF9" s="139" t="s">
        <v>2282</v>
      </c>
      <c r="AG9" s="139" t="s">
        <v>2161</v>
      </c>
      <c r="AH9" s="13">
        <f>33.79+31.61</f>
        <v>65.400000000000006</v>
      </c>
      <c r="AI9" s="12"/>
      <c r="AJ9" s="40"/>
      <c r="AK9" s="40"/>
    </row>
    <row r="10" spans="2:41" s="41" customFormat="1">
      <c r="B10" s="13"/>
      <c r="C10" s="48"/>
      <c r="D10" s="6"/>
      <c r="E10" s="48"/>
      <c r="F10" s="81">
        <f>SUM(F3:F9)</f>
        <v>460.29999999999995</v>
      </c>
      <c r="G10" s="20">
        <f>SUM(G3:G9)</f>
        <v>460300</v>
      </c>
      <c r="H10" s="21">
        <f>SUM(H3:H9)</f>
        <v>420</v>
      </c>
      <c r="I10" s="2"/>
      <c r="J10" s="7"/>
      <c r="K10" s="7"/>
      <c r="L10" s="7"/>
      <c r="M10" s="2"/>
      <c r="N10" s="6"/>
      <c r="O10" s="6"/>
      <c r="P10" s="6"/>
      <c r="Q10" s="19"/>
      <c r="R10" s="9"/>
      <c r="S10" s="9"/>
      <c r="T10" s="10"/>
      <c r="U10" s="8"/>
      <c r="V10" s="21">
        <f>SUM(V3:V9)</f>
        <v>22324550</v>
      </c>
      <c r="W10" s="21">
        <f>SUM(W3:W9)</f>
        <v>4018419</v>
      </c>
      <c r="X10" s="21">
        <f>SUM(X3:X9)</f>
        <v>0</v>
      </c>
      <c r="Y10" s="21">
        <f>SUM(Y3:Y9)</f>
        <v>0</v>
      </c>
      <c r="Z10" s="99"/>
      <c r="AA10" s="21">
        <f>SUM(AA3:AA9)</f>
        <v>1127781.6879999998</v>
      </c>
      <c r="AB10" s="21">
        <f>SUM(AB3:AB9)</f>
        <v>203000.70383999997</v>
      </c>
      <c r="AC10" s="21"/>
      <c r="AD10" s="21">
        <f>SUM(AD3:AD9)</f>
        <v>0</v>
      </c>
      <c r="AE10" s="21">
        <f>SUM(AE3:AE9)</f>
        <v>27673751.39184</v>
      </c>
      <c r="AF10" s="21"/>
      <c r="AG10" s="42"/>
      <c r="AH10" s="81">
        <f>SUM(AH3:AH9)</f>
        <v>460.29999999999995</v>
      </c>
      <c r="AI10" s="26">
        <f>AH10-F10</f>
        <v>0</v>
      </c>
      <c r="AJ10" s="41">
        <f>AA10/F10</f>
        <v>2450.1014295024984</v>
      </c>
      <c r="AK10" s="40"/>
    </row>
    <row r="11" spans="2:41" s="41" customFormat="1" ht="16.149999999999999" customHeight="1">
      <c r="B11" s="138" t="s">
        <v>2090</v>
      </c>
      <c r="C11" s="82" t="s">
        <v>2093</v>
      </c>
      <c r="D11" s="4"/>
      <c r="E11" s="82" t="s">
        <v>505</v>
      </c>
      <c r="F11" s="103">
        <v>65.599999999999994</v>
      </c>
      <c r="G11" s="14">
        <f t="shared" ref="G11:G13" si="7">+F11*1000</f>
        <v>65600</v>
      </c>
      <c r="H11" s="97">
        <v>60</v>
      </c>
      <c r="I11" s="83" t="s">
        <v>2109</v>
      </c>
      <c r="J11" s="85" t="s">
        <v>2095</v>
      </c>
      <c r="K11" s="135" t="s">
        <v>2176</v>
      </c>
      <c r="L11" s="4"/>
      <c r="M11" s="85" t="s">
        <v>2130</v>
      </c>
      <c r="N11" s="82" t="s">
        <v>2112</v>
      </c>
      <c r="O11" s="4"/>
      <c r="P11" s="4"/>
      <c r="Q11" s="5">
        <v>56000</v>
      </c>
      <c r="R11" s="36">
        <v>1900</v>
      </c>
      <c r="S11" s="36"/>
      <c r="T11" s="37">
        <v>11400</v>
      </c>
      <c r="U11" s="5">
        <f t="shared" ref="U11:U13" si="8">S11+R11+Q11-T11</f>
        <v>46500</v>
      </c>
      <c r="V11" s="5">
        <f t="shared" ref="V11:V13" si="9">F11*U11</f>
        <v>3050399.9999999995</v>
      </c>
      <c r="W11" s="5">
        <f t="shared" ref="W11:W13" si="10">V11*18%</f>
        <v>549071.99999999988</v>
      </c>
      <c r="X11" s="5"/>
      <c r="Y11" s="5"/>
      <c r="Z11" s="98">
        <v>2450.1</v>
      </c>
      <c r="AA11" s="23">
        <f t="shared" ref="AA11:AA13" si="11">F11*Z11</f>
        <v>160726.55999999997</v>
      </c>
      <c r="AB11" s="97">
        <f t="shared" ref="AB11:AB13" si="12">AA11*18%</f>
        <v>28930.780799999993</v>
      </c>
      <c r="AC11" s="43"/>
      <c r="AD11" s="49"/>
      <c r="AE11" s="5">
        <f t="shared" ref="AE11:AE13" si="13">+AB11+AA11+Y11+X11+W11+V11-AC11+AD11</f>
        <v>3789129.3407999994</v>
      </c>
      <c r="AF11" s="139" t="s">
        <v>2281</v>
      </c>
      <c r="AG11" s="139" t="s">
        <v>2130</v>
      </c>
      <c r="AH11" s="13">
        <f>30.613+34.987</f>
        <v>65.599999999999994</v>
      </c>
      <c r="AI11" s="12"/>
      <c r="AJ11" s="40"/>
      <c r="AK11" s="40"/>
    </row>
    <row r="12" spans="2:41" s="41" customFormat="1" ht="16.149999999999999" customHeight="1">
      <c r="B12" s="89"/>
      <c r="C12" s="82" t="s">
        <v>2091</v>
      </c>
      <c r="D12" s="4"/>
      <c r="E12" s="82" t="s">
        <v>505</v>
      </c>
      <c r="F12" s="103">
        <v>64.8</v>
      </c>
      <c r="G12" s="14">
        <f t="shared" si="7"/>
        <v>64800</v>
      </c>
      <c r="H12" s="97">
        <v>60</v>
      </c>
      <c r="I12" s="83" t="s">
        <v>2110</v>
      </c>
      <c r="J12" s="85" t="s">
        <v>2095</v>
      </c>
      <c r="K12" s="135" t="s">
        <v>2177</v>
      </c>
      <c r="L12" s="4"/>
      <c r="M12" s="85" t="s">
        <v>2130</v>
      </c>
      <c r="N12" s="82" t="s">
        <v>2113</v>
      </c>
      <c r="O12" s="4"/>
      <c r="P12" s="4"/>
      <c r="Q12" s="5">
        <v>56000</v>
      </c>
      <c r="R12" s="36">
        <v>1900</v>
      </c>
      <c r="S12" s="36"/>
      <c r="T12" s="37">
        <v>11400</v>
      </c>
      <c r="U12" s="5">
        <f t="shared" si="8"/>
        <v>46500</v>
      </c>
      <c r="V12" s="5">
        <f t="shared" si="9"/>
        <v>3013200</v>
      </c>
      <c r="W12" s="5">
        <f t="shared" si="10"/>
        <v>542376</v>
      </c>
      <c r="X12" s="5"/>
      <c r="Y12" s="5"/>
      <c r="Z12" s="98">
        <v>2457.66</v>
      </c>
      <c r="AA12" s="23">
        <f t="shared" si="11"/>
        <v>159256.36799999999</v>
      </c>
      <c r="AB12" s="97">
        <f t="shared" si="12"/>
        <v>28666.146239999998</v>
      </c>
      <c r="AC12" s="43"/>
      <c r="AD12" s="49"/>
      <c r="AE12" s="5">
        <f t="shared" si="13"/>
        <v>3743498.5142399999</v>
      </c>
      <c r="AF12" s="139" t="s">
        <v>2279</v>
      </c>
      <c r="AG12" s="139" t="s">
        <v>2130</v>
      </c>
      <c r="AH12" s="103">
        <f>31.32+33.48</f>
        <v>64.8</v>
      </c>
      <c r="AI12" s="12"/>
      <c r="AJ12" s="40"/>
      <c r="AK12" s="40"/>
    </row>
    <row r="13" spans="2:41" s="41" customFormat="1" ht="16.149999999999999" customHeight="1">
      <c r="B13" s="89"/>
      <c r="C13" s="82" t="s">
        <v>2092</v>
      </c>
      <c r="D13" s="4"/>
      <c r="E13" s="82" t="s">
        <v>505</v>
      </c>
      <c r="F13" s="103">
        <v>65.5</v>
      </c>
      <c r="G13" s="14">
        <f t="shared" si="7"/>
        <v>65500</v>
      </c>
      <c r="H13" s="97">
        <v>60</v>
      </c>
      <c r="I13" s="83" t="s">
        <v>2111</v>
      </c>
      <c r="J13" s="85" t="s">
        <v>2095</v>
      </c>
      <c r="K13" s="135" t="s">
        <v>2178</v>
      </c>
      <c r="L13" s="4"/>
      <c r="M13" s="85" t="s">
        <v>2130</v>
      </c>
      <c r="N13" s="82" t="s">
        <v>2114</v>
      </c>
      <c r="O13" s="4"/>
      <c r="P13" s="4"/>
      <c r="Q13" s="5">
        <v>56000</v>
      </c>
      <c r="R13" s="36">
        <v>1900</v>
      </c>
      <c r="S13" s="36"/>
      <c r="T13" s="37">
        <v>11400</v>
      </c>
      <c r="U13" s="5">
        <f t="shared" si="8"/>
        <v>46500</v>
      </c>
      <c r="V13" s="5">
        <f t="shared" si="9"/>
        <v>3045750</v>
      </c>
      <c r="W13" s="5">
        <f t="shared" si="10"/>
        <v>548235</v>
      </c>
      <c r="X13" s="5"/>
      <c r="Y13" s="5"/>
      <c r="Z13" s="98">
        <v>2450.1</v>
      </c>
      <c r="AA13" s="23">
        <f t="shared" si="11"/>
        <v>160481.54999999999</v>
      </c>
      <c r="AB13" s="97">
        <f t="shared" si="12"/>
        <v>28886.678999999996</v>
      </c>
      <c r="AC13" s="43"/>
      <c r="AD13" s="49"/>
      <c r="AE13" s="5">
        <f t="shared" si="13"/>
        <v>3783353.2290000003</v>
      </c>
      <c r="AF13" s="139" t="s">
        <v>2277</v>
      </c>
      <c r="AG13" s="139" t="s">
        <v>2130</v>
      </c>
      <c r="AH13" s="13">
        <f>33.842+31.658</f>
        <v>65.5</v>
      </c>
      <c r="AI13" s="12"/>
      <c r="AJ13" s="40"/>
      <c r="AK13" s="40"/>
    </row>
    <row r="14" spans="2:41" s="41" customFormat="1">
      <c r="B14" s="13"/>
      <c r="C14" s="48"/>
      <c r="D14" s="6"/>
      <c r="E14" s="48"/>
      <c r="F14" s="81">
        <f>SUM(F11:F13)</f>
        <v>195.89999999999998</v>
      </c>
      <c r="G14" s="20">
        <f>SUM(G11:G13)</f>
        <v>195900</v>
      </c>
      <c r="H14" s="21">
        <f>SUM(H11:H13)</f>
        <v>180</v>
      </c>
      <c r="I14" s="2"/>
      <c r="J14" s="7"/>
      <c r="K14" s="7"/>
      <c r="L14" s="7"/>
      <c r="M14" s="2"/>
      <c r="N14" s="6"/>
      <c r="O14" s="6"/>
      <c r="P14" s="6"/>
      <c r="Q14" s="19"/>
      <c r="R14" s="9"/>
      <c r="S14" s="9"/>
      <c r="T14" s="10"/>
      <c r="U14" s="8"/>
      <c r="V14" s="21">
        <f>SUM(V11:V13)</f>
        <v>9109350</v>
      </c>
      <c r="W14" s="21">
        <f>SUM(W11:W13)</f>
        <v>1639683</v>
      </c>
      <c r="X14" s="21">
        <f>SUM(X11:X13)</f>
        <v>0</v>
      </c>
      <c r="Y14" s="21">
        <f>SUM(Y11:Y13)</f>
        <v>0</v>
      </c>
      <c r="Z14" s="99"/>
      <c r="AA14" s="21">
        <f>SUM(AA11:AA13)</f>
        <v>480464.47799999994</v>
      </c>
      <c r="AB14" s="21">
        <f>SUM(AB11:AB13)</f>
        <v>86483.606039999984</v>
      </c>
      <c r="AC14" s="21"/>
      <c r="AD14" s="21">
        <f>SUM(AD11:AD13)</f>
        <v>0</v>
      </c>
      <c r="AE14" s="21">
        <f>SUM(AE11:AE13)</f>
        <v>11315981.084039999</v>
      </c>
      <c r="AF14" s="21"/>
      <c r="AG14" s="42"/>
      <c r="AH14" s="81">
        <f>SUM(AH11:AH13)</f>
        <v>195.89999999999998</v>
      </c>
      <c r="AI14" s="26">
        <f>AH14-F14</f>
        <v>0</v>
      </c>
      <c r="AJ14" s="41">
        <f>AA14/F14</f>
        <v>2452.6007044410412</v>
      </c>
      <c r="AK14" s="40"/>
    </row>
    <row r="15" spans="2:41" s="41" customFormat="1" ht="16.149999999999999" customHeight="1">
      <c r="B15" s="138" t="s">
        <v>2090</v>
      </c>
      <c r="C15" s="82" t="s">
        <v>2093</v>
      </c>
      <c r="D15" s="4"/>
      <c r="E15" s="82" t="s">
        <v>1430</v>
      </c>
      <c r="F15" s="103">
        <v>62.6</v>
      </c>
      <c r="G15" s="14">
        <f t="shared" ref="G15:G16" si="14">+F15*1000</f>
        <v>62600</v>
      </c>
      <c r="H15" s="97">
        <v>60</v>
      </c>
      <c r="I15" s="83" t="s">
        <v>2179</v>
      </c>
      <c r="J15" s="85" t="s">
        <v>2127</v>
      </c>
      <c r="K15" s="135" t="s">
        <v>2203</v>
      </c>
      <c r="L15" s="4"/>
      <c r="M15" s="85" t="s">
        <v>2204</v>
      </c>
      <c r="N15" s="82" t="s">
        <v>2180</v>
      </c>
      <c r="O15" s="4"/>
      <c r="P15" s="4"/>
      <c r="Q15" s="5">
        <v>56000</v>
      </c>
      <c r="R15" s="36">
        <v>4000</v>
      </c>
      <c r="S15" s="36"/>
      <c r="T15" s="37">
        <v>11500</v>
      </c>
      <c r="U15" s="5">
        <f>S15+R15+Q15-T15</f>
        <v>48500</v>
      </c>
      <c r="V15" s="5">
        <f t="shared" ref="V15:V16" si="15">F15*U15</f>
        <v>3036100</v>
      </c>
      <c r="W15" s="5">
        <f t="shared" ref="W15:W16" si="16">V15*18%</f>
        <v>546498</v>
      </c>
      <c r="X15" s="5"/>
      <c r="Y15" s="5"/>
      <c r="Z15" s="98">
        <v>2314.6</v>
      </c>
      <c r="AA15" s="23">
        <f t="shared" ref="AA15:AA16" si="17">F15*Z15</f>
        <v>144893.96</v>
      </c>
      <c r="AB15" s="97">
        <f t="shared" ref="AB15:AB16" si="18">AA15*18%</f>
        <v>26080.912799999998</v>
      </c>
      <c r="AC15" s="43"/>
      <c r="AD15" s="49"/>
      <c r="AE15" s="5">
        <f t="shared" ref="AE15:AE16" si="19">+AB15+AA15+Y15+X15+W15+V15-AC15+AD15</f>
        <v>3753572.8728</v>
      </c>
      <c r="AF15" s="139" t="s">
        <v>2294</v>
      </c>
      <c r="AG15" s="139" t="s">
        <v>2204</v>
      </c>
      <c r="AH15" s="13">
        <f>30.257+32.343</f>
        <v>62.600000000000009</v>
      </c>
      <c r="AI15" s="12"/>
      <c r="AJ15" s="40"/>
      <c r="AK15" s="40"/>
    </row>
    <row r="16" spans="2:41" s="41" customFormat="1" ht="16.149999999999999" customHeight="1">
      <c r="B16" s="89"/>
      <c r="C16" s="82" t="s">
        <v>2182</v>
      </c>
      <c r="D16" s="4"/>
      <c r="E16" s="82" t="s">
        <v>1430</v>
      </c>
      <c r="F16" s="103">
        <v>63.3</v>
      </c>
      <c r="G16" s="14">
        <f t="shared" si="14"/>
        <v>63300</v>
      </c>
      <c r="H16" s="97">
        <v>59</v>
      </c>
      <c r="I16" s="83" t="s">
        <v>2215</v>
      </c>
      <c r="J16" s="85" t="s">
        <v>2127</v>
      </c>
      <c r="K16" s="135" t="s">
        <v>2201</v>
      </c>
      <c r="L16" s="4"/>
      <c r="M16" s="85" t="s">
        <v>2202</v>
      </c>
      <c r="N16" s="82" t="s">
        <v>2181</v>
      </c>
      <c r="O16" s="4"/>
      <c r="P16" s="4"/>
      <c r="Q16" s="5">
        <v>56000</v>
      </c>
      <c r="R16" s="36">
        <v>4000</v>
      </c>
      <c r="S16" s="36"/>
      <c r="T16" s="37">
        <v>11500</v>
      </c>
      <c r="U16" s="5">
        <f t="shared" ref="U16" si="20">S16+R16+Q16-T16</f>
        <v>48500</v>
      </c>
      <c r="V16" s="5">
        <f t="shared" si="15"/>
        <v>3070050</v>
      </c>
      <c r="W16" s="5">
        <f t="shared" si="16"/>
        <v>552609</v>
      </c>
      <c r="X16" s="5"/>
      <c r="Y16" s="5"/>
      <c r="Z16" s="98">
        <v>2289</v>
      </c>
      <c r="AA16" s="23">
        <f t="shared" si="17"/>
        <v>144893.69999999998</v>
      </c>
      <c r="AB16" s="97">
        <f t="shared" si="18"/>
        <v>26080.865999999995</v>
      </c>
      <c r="AC16" s="43"/>
      <c r="AD16" s="49"/>
      <c r="AE16" s="5">
        <f t="shared" si="19"/>
        <v>3793633.5660000001</v>
      </c>
      <c r="AF16" s="139" t="s">
        <v>2284</v>
      </c>
      <c r="AG16" s="139" t="s">
        <v>2202</v>
      </c>
      <c r="AH16" s="13">
        <f>31.65+31.65</f>
        <v>63.3</v>
      </c>
      <c r="AI16" s="12"/>
      <c r="AJ16" s="40"/>
      <c r="AK16" s="40"/>
    </row>
    <row r="17" spans="2:37" s="41" customFormat="1">
      <c r="B17" s="13"/>
      <c r="C17" s="48"/>
      <c r="D17" s="6"/>
      <c r="E17" s="48"/>
      <c r="F17" s="81">
        <f>SUM(F15:F16)</f>
        <v>125.9</v>
      </c>
      <c r="G17" s="20">
        <f>SUM(G15:G16)</f>
        <v>125900</v>
      </c>
      <c r="H17" s="21">
        <f>SUM(H15:H16)</f>
        <v>119</v>
      </c>
      <c r="I17" s="2"/>
      <c r="J17" s="7"/>
      <c r="K17" s="7"/>
      <c r="L17" s="7"/>
      <c r="M17" s="2"/>
      <c r="N17" s="6"/>
      <c r="O17" s="6"/>
      <c r="P17" s="6"/>
      <c r="Q17" s="19"/>
      <c r="R17" s="9"/>
      <c r="S17" s="9"/>
      <c r="T17" s="10"/>
      <c r="U17" s="8"/>
      <c r="V17" s="21">
        <f>SUM(V15:V16)</f>
        <v>6106150</v>
      </c>
      <c r="W17" s="21">
        <f>SUM(W15:W16)</f>
        <v>1099107</v>
      </c>
      <c r="X17" s="21">
        <f>SUM(X15:X16)</f>
        <v>0</v>
      </c>
      <c r="Y17" s="21">
        <f>SUM(Y15:Y16)</f>
        <v>0</v>
      </c>
      <c r="Z17" s="99"/>
      <c r="AA17" s="21">
        <f>SUM(AA15:AA16)</f>
        <v>289787.65999999997</v>
      </c>
      <c r="AB17" s="21">
        <f>SUM(AB15:AB16)</f>
        <v>52161.778799999993</v>
      </c>
      <c r="AC17" s="21"/>
      <c r="AD17" s="21">
        <f>SUM(AD15:AD16)</f>
        <v>0</v>
      </c>
      <c r="AE17" s="21">
        <f>SUM(AE15:AE16)</f>
        <v>7547206.4387999997</v>
      </c>
      <c r="AF17" s="21"/>
      <c r="AG17" s="42"/>
      <c r="AH17" s="81">
        <f>SUM(AH15:AH16)</f>
        <v>125.9</v>
      </c>
      <c r="AI17" s="26">
        <f>AH17-F17</f>
        <v>0</v>
      </c>
      <c r="AJ17" s="41">
        <f>AA17/F17</f>
        <v>2301.7288324066717</v>
      </c>
      <c r="AK17" s="40"/>
    </row>
    <row r="18" spans="2:37" s="41" customFormat="1" ht="16.149999999999999" customHeight="1">
      <c r="B18" s="138" t="s">
        <v>2090</v>
      </c>
      <c r="C18" s="82" t="s">
        <v>2093</v>
      </c>
      <c r="D18" s="4"/>
      <c r="E18" s="82" t="s">
        <v>505</v>
      </c>
      <c r="F18" s="103">
        <v>65.5</v>
      </c>
      <c r="G18" s="14">
        <f t="shared" ref="G18:G26" si="21">+F18*1000</f>
        <v>65500</v>
      </c>
      <c r="H18" s="97">
        <f>28+17</f>
        <v>45</v>
      </c>
      <c r="I18" s="83" t="s">
        <v>2183</v>
      </c>
      <c r="J18" s="85" t="s">
        <v>2130</v>
      </c>
      <c r="K18" s="163" t="s">
        <v>2205</v>
      </c>
      <c r="L18" s="4"/>
      <c r="M18" s="85" t="s">
        <v>2202</v>
      </c>
      <c r="N18" s="82" t="s">
        <v>2184</v>
      </c>
      <c r="O18" s="4"/>
      <c r="P18" s="4"/>
      <c r="Q18" s="5">
        <v>56000</v>
      </c>
      <c r="R18" s="36">
        <v>1900</v>
      </c>
      <c r="S18" s="36"/>
      <c r="T18" s="37">
        <v>11400</v>
      </c>
      <c r="U18" s="5">
        <f t="shared" ref="U18:U26" si="22">S18+R18+Q18-T18</f>
        <v>46500</v>
      </c>
      <c r="V18" s="5">
        <f t="shared" ref="V18:V26" si="23">F18*U18</f>
        <v>3045750</v>
      </c>
      <c r="W18" s="5">
        <f t="shared" ref="W18:W26" si="24">V18*18%</f>
        <v>548235</v>
      </c>
      <c r="X18" s="5"/>
      <c r="Y18" s="5"/>
      <c r="Z18" s="98">
        <v>2229.13</v>
      </c>
      <c r="AA18" s="23">
        <f t="shared" ref="AA18:AA26" si="25">F18*Z18</f>
        <v>146008.01500000001</v>
      </c>
      <c r="AB18" s="97">
        <f t="shared" ref="AB18:AB26" si="26">AA18*18%</f>
        <v>26281.442700000003</v>
      </c>
      <c r="AC18" s="43"/>
      <c r="AD18" s="49"/>
      <c r="AE18" s="5">
        <f t="shared" ref="AE18:AE26" si="27">+AB18+AA18+Y18+X18+W18+V18-AC18+AD18</f>
        <v>3766274.4577000001</v>
      </c>
      <c r="AF18" s="139" t="s">
        <v>2287</v>
      </c>
      <c r="AG18" s="139" t="s">
        <v>2202</v>
      </c>
      <c r="AH18" s="13">
        <f>30.567+34.933</f>
        <v>65.5</v>
      </c>
      <c r="AI18" s="12"/>
      <c r="AJ18" s="40"/>
      <c r="AK18" s="40"/>
    </row>
    <row r="19" spans="2:37" s="41" customFormat="1" ht="16.149999999999999" customHeight="1">
      <c r="B19" s="89"/>
      <c r="C19" s="82"/>
      <c r="D19" s="4"/>
      <c r="E19" s="82" t="s">
        <v>505</v>
      </c>
      <c r="F19" s="103">
        <v>65.2</v>
      </c>
      <c r="G19" s="14">
        <f t="shared" si="21"/>
        <v>65200</v>
      </c>
      <c r="H19" s="97">
        <v>45</v>
      </c>
      <c r="I19" s="83" t="s">
        <v>2185</v>
      </c>
      <c r="J19" s="85" t="s">
        <v>2130</v>
      </c>
      <c r="K19" s="135" t="s">
        <v>2206</v>
      </c>
      <c r="L19" s="4"/>
      <c r="M19" s="85" t="s">
        <v>2202</v>
      </c>
      <c r="N19" s="82" t="s">
        <v>2186</v>
      </c>
      <c r="O19" s="4"/>
      <c r="P19" s="4"/>
      <c r="Q19" s="5">
        <v>56000</v>
      </c>
      <c r="R19" s="36">
        <v>1900</v>
      </c>
      <c r="S19" s="36"/>
      <c r="T19" s="37">
        <v>11400</v>
      </c>
      <c r="U19" s="5">
        <f t="shared" si="22"/>
        <v>46500</v>
      </c>
      <c r="V19" s="5">
        <f t="shared" si="23"/>
        <v>3031800</v>
      </c>
      <c r="W19" s="5">
        <f t="shared" si="24"/>
        <v>545724</v>
      </c>
      <c r="X19" s="5"/>
      <c r="Y19" s="5"/>
      <c r="Z19" s="98">
        <v>2229.13</v>
      </c>
      <c r="AA19" s="23">
        <f t="shared" si="25"/>
        <v>145339.27600000001</v>
      </c>
      <c r="AB19" s="97">
        <f t="shared" si="26"/>
        <v>26161.069680000001</v>
      </c>
      <c r="AC19" s="43"/>
      <c r="AD19" s="49"/>
      <c r="AE19" s="5">
        <f t="shared" si="27"/>
        <v>3749024.3456800003</v>
      </c>
      <c r="AF19" s="139" t="s">
        <v>2288</v>
      </c>
      <c r="AG19" s="139" t="s">
        <v>2202</v>
      </c>
      <c r="AH19" s="13">
        <f>31.876+33.324</f>
        <v>65.2</v>
      </c>
      <c r="AI19" s="12"/>
      <c r="AJ19" s="40"/>
      <c r="AK19" s="40"/>
    </row>
    <row r="20" spans="2:37" s="41" customFormat="1" ht="16.149999999999999" customHeight="1">
      <c r="B20" s="89"/>
      <c r="C20" s="82"/>
      <c r="D20" s="4"/>
      <c r="E20" s="82" t="s">
        <v>505</v>
      </c>
      <c r="F20" s="103">
        <v>65</v>
      </c>
      <c r="G20" s="14">
        <f t="shared" si="21"/>
        <v>65000</v>
      </c>
      <c r="H20" s="97">
        <v>57</v>
      </c>
      <c r="I20" s="83" t="s">
        <v>2187</v>
      </c>
      <c r="J20" s="85" t="s">
        <v>2130</v>
      </c>
      <c r="K20" s="135" t="s">
        <v>2207</v>
      </c>
      <c r="L20" s="4"/>
      <c r="M20" s="85" t="s">
        <v>2208</v>
      </c>
      <c r="N20" s="82" t="s">
        <v>2194</v>
      </c>
      <c r="O20" s="4"/>
      <c r="P20" s="4"/>
      <c r="Q20" s="5">
        <v>56000</v>
      </c>
      <c r="R20" s="36">
        <v>1900</v>
      </c>
      <c r="S20" s="36"/>
      <c r="T20" s="37">
        <v>11400</v>
      </c>
      <c r="U20" s="5">
        <f t="shared" si="22"/>
        <v>46500</v>
      </c>
      <c r="V20" s="5">
        <f t="shared" si="23"/>
        <v>3022500</v>
      </c>
      <c r="W20" s="5">
        <f t="shared" si="24"/>
        <v>544050</v>
      </c>
      <c r="X20" s="5"/>
      <c r="Y20" s="5"/>
      <c r="Z20" s="98">
        <v>2229.13</v>
      </c>
      <c r="AA20" s="23">
        <f t="shared" si="25"/>
        <v>144893.45000000001</v>
      </c>
      <c r="AB20" s="97">
        <f t="shared" si="26"/>
        <v>26080.821</v>
      </c>
      <c r="AC20" s="43"/>
      <c r="AD20" s="49"/>
      <c r="AE20" s="5">
        <f t="shared" si="27"/>
        <v>3737524.2709999997</v>
      </c>
      <c r="AF20" s="139" t="s">
        <v>2293</v>
      </c>
      <c r="AG20" s="139" t="s">
        <v>2208</v>
      </c>
      <c r="AH20" s="13">
        <f>32.5+32.5</f>
        <v>65</v>
      </c>
      <c r="AI20" s="12"/>
      <c r="AJ20" s="40"/>
      <c r="AK20" s="40"/>
    </row>
    <row r="21" spans="2:37" s="41" customFormat="1" ht="16.149999999999999" customHeight="1">
      <c r="B21" s="89"/>
      <c r="C21" s="82"/>
      <c r="D21" s="4"/>
      <c r="E21" s="82" t="s">
        <v>505</v>
      </c>
      <c r="F21" s="103">
        <v>65.099999999999994</v>
      </c>
      <c r="G21" s="14">
        <f t="shared" si="21"/>
        <v>65099.999999999993</v>
      </c>
      <c r="H21" s="97">
        <v>60</v>
      </c>
      <c r="I21" s="83" t="s">
        <v>2188</v>
      </c>
      <c r="J21" s="85" t="s">
        <v>2130</v>
      </c>
      <c r="K21" s="135" t="s">
        <v>2209</v>
      </c>
      <c r="L21" s="4"/>
      <c r="M21" s="85" t="s">
        <v>2208</v>
      </c>
      <c r="N21" s="82" t="s">
        <v>2195</v>
      </c>
      <c r="O21" s="4"/>
      <c r="P21" s="4"/>
      <c r="Q21" s="5">
        <v>56000</v>
      </c>
      <c r="R21" s="36">
        <v>1900</v>
      </c>
      <c r="S21" s="36"/>
      <c r="T21" s="37">
        <v>11400</v>
      </c>
      <c r="U21" s="5">
        <f t="shared" si="22"/>
        <v>46500</v>
      </c>
      <c r="V21" s="5">
        <f t="shared" si="23"/>
        <v>3027149.9999999995</v>
      </c>
      <c r="W21" s="5">
        <f t="shared" si="24"/>
        <v>544886.99999999988</v>
      </c>
      <c r="X21" s="5"/>
      <c r="Y21" s="5"/>
      <c r="Z21" s="98">
        <v>2229.13</v>
      </c>
      <c r="AA21" s="23">
        <f t="shared" si="25"/>
        <v>145116.36299999998</v>
      </c>
      <c r="AB21" s="97">
        <f t="shared" si="26"/>
        <v>26120.945339999995</v>
      </c>
      <c r="AC21" s="43"/>
      <c r="AD21" s="49"/>
      <c r="AE21" s="5">
        <f t="shared" si="27"/>
        <v>3743274.3083399995</v>
      </c>
      <c r="AF21" s="139" t="s">
        <v>2289</v>
      </c>
      <c r="AG21" s="139" t="s">
        <v>2208</v>
      </c>
      <c r="AH21" s="13">
        <f>35.805+29.295</f>
        <v>65.099999999999994</v>
      </c>
      <c r="AI21" s="12"/>
      <c r="AJ21" s="40"/>
      <c r="AK21" s="40"/>
    </row>
    <row r="22" spans="2:37" s="41" customFormat="1" ht="16.149999999999999" customHeight="1">
      <c r="B22" s="89"/>
      <c r="C22" s="82"/>
      <c r="D22" s="4"/>
      <c r="E22" s="82" t="s">
        <v>505</v>
      </c>
      <c r="F22" s="103">
        <v>65.400000000000006</v>
      </c>
      <c r="G22" s="14">
        <f t="shared" si="21"/>
        <v>65400.000000000007</v>
      </c>
      <c r="H22" s="97">
        <v>60</v>
      </c>
      <c r="I22" s="83" t="s">
        <v>2189</v>
      </c>
      <c r="J22" s="85" t="s">
        <v>2130</v>
      </c>
      <c r="K22" s="135" t="s">
        <v>2210</v>
      </c>
      <c r="L22" s="4"/>
      <c r="M22" s="85" t="s">
        <v>2202</v>
      </c>
      <c r="N22" s="82" t="s">
        <v>2196</v>
      </c>
      <c r="O22" s="4"/>
      <c r="P22" s="4"/>
      <c r="Q22" s="5">
        <v>56000</v>
      </c>
      <c r="R22" s="36">
        <v>1900</v>
      </c>
      <c r="S22" s="36"/>
      <c r="T22" s="37">
        <v>11400</v>
      </c>
      <c r="U22" s="5">
        <f t="shared" si="22"/>
        <v>46500</v>
      </c>
      <c r="V22" s="5">
        <f t="shared" si="23"/>
        <v>3041100.0000000005</v>
      </c>
      <c r="W22" s="5">
        <f t="shared" si="24"/>
        <v>547398.00000000012</v>
      </c>
      <c r="X22" s="5"/>
      <c r="Y22" s="5"/>
      <c r="Z22" s="98">
        <v>2229.13</v>
      </c>
      <c r="AA22" s="23">
        <f t="shared" si="25"/>
        <v>145785.10200000001</v>
      </c>
      <c r="AB22" s="97">
        <f t="shared" si="26"/>
        <v>26241.318360000001</v>
      </c>
      <c r="AC22" s="43"/>
      <c r="AD22" s="49"/>
      <c r="AE22" s="5">
        <f t="shared" si="27"/>
        <v>3760524.4203600008</v>
      </c>
      <c r="AF22" s="139" t="s">
        <v>2285</v>
      </c>
      <c r="AG22" s="139" t="s">
        <v>2202</v>
      </c>
      <c r="AH22" s="13">
        <f>31.61+33.79</f>
        <v>65.400000000000006</v>
      </c>
      <c r="AI22" s="12"/>
      <c r="AJ22" s="40"/>
      <c r="AK22" s="40"/>
    </row>
    <row r="23" spans="2:37" s="41" customFormat="1" ht="16.149999999999999" customHeight="1">
      <c r="B23" s="89"/>
      <c r="C23" s="82"/>
      <c r="D23" s="4"/>
      <c r="E23" s="82" t="s">
        <v>505</v>
      </c>
      <c r="F23" s="103">
        <v>65.2</v>
      </c>
      <c r="G23" s="14">
        <f t="shared" si="21"/>
        <v>65200</v>
      </c>
      <c r="H23" s="97">
        <v>60</v>
      </c>
      <c r="I23" s="83" t="s">
        <v>2190</v>
      </c>
      <c r="J23" s="85" t="s">
        <v>2130</v>
      </c>
      <c r="K23" s="135" t="s">
        <v>2211</v>
      </c>
      <c r="L23" s="4"/>
      <c r="M23" s="85" t="s">
        <v>2202</v>
      </c>
      <c r="N23" s="82" t="s">
        <v>2197</v>
      </c>
      <c r="O23" s="4"/>
      <c r="P23" s="4"/>
      <c r="Q23" s="5">
        <v>56000</v>
      </c>
      <c r="R23" s="36">
        <v>1900</v>
      </c>
      <c r="S23" s="36"/>
      <c r="T23" s="37">
        <v>11400</v>
      </c>
      <c r="U23" s="5">
        <f t="shared" si="22"/>
        <v>46500</v>
      </c>
      <c r="V23" s="5">
        <f t="shared" si="23"/>
        <v>3031800</v>
      </c>
      <c r="W23" s="5">
        <f t="shared" si="24"/>
        <v>545724</v>
      </c>
      <c r="X23" s="5"/>
      <c r="Y23" s="5"/>
      <c r="Z23" s="98">
        <v>2229.14</v>
      </c>
      <c r="AA23" s="23">
        <f t="shared" si="25"/>
        <v>145339.92799999999</v>
      </c>
      <c r="AB23" s="97">
        <f t="shared" si="26"/>
        <v>26161.187039999997</v>
      </c>
      <c r="AC23" s="43"/>
      <c r="AD23" s="49"/>
      <c r="AE23" s="5">
        <f t="shared" si="27"/>
        <v>3749025.1150400001</v>
      </c>
      <c r="AF23" s="139" t="s">
        <v>2286</v>
      </c>
      <c r="AG23" s="139" t="s">
        <v>2202</v>
      </c>
      <c r="AH23" s="13">
        <f>33.153+32.047</f>
        <v>65.199999999999989</v>
      </c>
      <c r="AI23" s="12"/>
      <c r="AJ23" s="40"/>
      <c r="AK23" s="40"/>
    </row>
    <row r="24" spans="2:37" s="41" customFormat="1" ht="16.149999999999999" customHeight="1">
      <c r="B24" s="89"/>
      <c r="C24" s="82"/>
      <c r="D24" s="4"/>
      <c r="E24" s="82" t="s">
        <v>505</v>
      </c>
      <c r="F24" s="103">
        <v>65.099999999999994</v>
      </c>
      <c r="G24" s="14">
        <f t="shared" si="21"/>
        <v>65099.999999999993</v>
      </c>
      <c r="H24" s="97">
        <v>60</v>
      </c>
      <c r="I24" s="83" t="s">
        <v>2191</v>
      </c>
      <c r="J24" s="85" t="s">
        <v>2130</v>
      </c>
      <c r="K24" s="135" t="s">
        <v>2212</v>
      </c>
      <c r="L24" s="4"/>
      <c r="M24" s="85" t="s">
        <v>2202</v>
      </c>
      <c r="N24" s="82" t="s">
        <v>2198</v>
      </c>
      <c r="O24" s="4"/>
      <c r="P24" s="4"/>
      <c r="Q24" s="5">
        <v>56000</v>
      </c>
      <c r="R24" s="36">
        <v>1900</v>
      </c>
      <c r="S24" s="36"/>
      <c r="T24" s="37">
        <v>11400</v>
      </c>
      <c r="U24" s="5">
        <f t="shared" si="22"/>
        <v>46500</v>
      </c>
      <c r="V24" s="5">
        <f t="shared" si="23"/>
        <v>3027149.9999999995</v>
      </c>
      <c r="W24" s="5">
        <f t="shared" si="24"/>
        <v>544886.99999999988</v>
      </c>
      <c r="X24" s="5"/>
      <c r="Y24" s="5"/>
      <c r="Z24" s="98">
        <v>2229.13</v>
      </c>
      <c r="AA24" s="23">
        <f t="shared" si="25"/>
        <v>145116.36299999998</v>
      </c>
      <c r="AB24" s="97">
        <f t="shared" si="26"/>
        <v>26120.945339999995</v>
      </c>
      <c r="AC24" s="43"/>
      <c r="AD24" s="49"/>
      <c r="AE24" s="5">
        <f t="shared" si="27"/>
        <v>3743274.3083399995</v>
      </c>
      <c r="AF24" s="139" t="s">
        <v>2292</v>
      </c>
      <c r="AG24" s="139" t="s">
        <v>2202</v>
      </c>
      <c r="AH24" s="13">
        <f>33.635+31.465</f>
        <v>65.099999999999994</v>
      </c>
      <c r="AI24" s="12"/>
      <c r="AJ24" s="40"/>
      <c r="AK24" s="40"/>
    </row>
    <row r="25" spans="2:37" s="41" customFormat="1" ht="16.149999999999999" customHeight="1">
      <c r="B25" s="89"/>
      <c r="C25" s="82"/>
      <c r="D25" s="4"/>
      <c r="E25" s="82" t="s">
        <v>505</v>
      </c>
      <c r="F25" s="103">
        <v>65.8</v>
      </c>
      <c r="G25" s="14">
        <f t="shared" si="21"/>
        <v>65800</v>
      </c>
      <c r="H25" s="97">
        <v>60</v>
      </c>
      <c r="I25" s="83" t="s">
        <v>2192</v>
      </c>
      <c r="J25" s="85" t="s">
        <v>2130</v>
      </c>
      <c r="K25" s="135" t="s">
        <v>2213</v>
      </c>
      <c r="L25" s="4"/>
      <c r="M25" s="85" t="s">
        <v>2208</v>
      </c>
      <c r="N25" s="82" t="s">
        <v>2199</v>
      </c>
      <c r="O25" s="4"/>
      <c r="P25" s="4"/>
      <c r="Q25" s="5">
        <v>56000</v>
      </c>
      <c r="R25" s="36">
        <v>1900</v>
      </c>
      <c r="S25" s="36"/>
      <c r="T25" s="37">
        <v>11400</v>
      </c>
      <c r="U25" s="5">
        <f t="shared" si="22"/>
        <v>46500</v>
      </c>
      <c r="V25" s="5">
        <f t="shared" si="23"/>
        <v>3059700</v>
      </c>
      <c r="W25" s="5">
        <f t="shared" si="24"/>
        <v>550746</v>
      </c>
      <c r="X25" s="5"/>
      <c r="Y25" s="5"/>
      <c r="Z25" s="98">
        <v>2229.13</v>
      </c>
      <c r="AA25" s="23">
        <f t="shared" si="25"/>
        <v>146676.75400000002</v>
      </c>
      <c r="AB25" s="97">
        <f t="shared" si="26"/>
        <v>26401.815720000002</v>
      </c>
      <c r="AC25" s="43"/>
      <c r="AD25" s="49"/>
      <c r="AE25" s="5">
        <f t="shared" si="27"/>
        <v>3783524.56972</v>
      </c>
      <c r="AF25" s="139" t="s">
        <v>2291</v>
      </c>
      <c r="AG25" s="139" t="s">
        <v>2208</v>
      </c>
      <c r="AH25" s="13">
        <f>32.9+32.9</f>
        <v>65.8</v>
      </c>
      <c r="AI25" s="12"/>
      <c r="AJ25" s="40"/>
      <c r="AK25" s="40"/>
    </row>
    <row r="26" spans="2:37" s="41" customFormat="1" ht="16.149999999999999" customHeight="1">
      <c r="B26" s="89"/>
      <c r="C26" s="82"/>
      <c r="D26" s="4"/>
      <c r="E26" s="82" t="s">
        <v>505</v>
      </c>
      <c r="F26" s="103">
        <v>64.400000000000006</v>
      </c>
      <c r="G26" s="14">
        <f t="shared" si="21"/>
        <v>64400.000000000007</v>
      </c>
      <c r="H26" s="97">
        <v>60</v>
      </c>
      <c r="I26" s="83" t="s">
        <v>2193</v>
      </c>
      <c r="J26" s="85" t="s">
        <v>2130</v>
      </c>
      <c r="K26" s="135" t="s">
        <v>2214</v>
      </c>
      <c r="L26" s="4"/>
      <c r="M26" s="85" t="s">
        <v>2208</v>
      </c>
      <c r="N26" s="82" t="s">
        <v>2200</v>
      </c>
      <c r="O26" s="4"/>
      <c r="P26" s="4"/>
      <c r="Q26" s="5">
        <v>56000</v>
      </c>
      <c r="R26" s="36">
        <v>1900</v>
      </c>
      <c r="S26" s="36"/>
      <c r="T26" s="37">
        <v>11400</v>
      </c>
      <c r="U26" s="5">
        <f t="shared" si="22"/>
        <v>46500</v>
      </c>
      <c r="V26" s="5">
        <f t="shared" si="23"/>
        <v>2994600.0000000005</v>
      </c>
      <c r="W26" s="5">
        <f t="shared" si="24"/>
        <v>539028.00000000012</v>
      </c>
      <c r="X26" s="5"/>
      <c r="Y26" s="5"/>
      <c r="Z26" s="98">
        <v>2249.9</v>
      </c>
      <c r="AA26" s="23">
        <f t="shared" si="25"/>
        <v>144893.56000000003</v>
      </c>
      <c r="AB26" s="97">
        <f t="shared" si="26"/>
        <v>26080.840800000005</v>
      </c>
      <c r="AC26" s="43"/>
      <c r="AD26" s="49"/>
      <c r="AE26" s="5">
        <f t="shared" si="27"/>
        <v>3704602.4008000009</v>
      </c>
      <c r="AF26" s="139" t="s">
        <v>2290</v>
      </c>
      <c r="AG26" s="139" t="s">
        <v>2208</v>
      </c>
      <c r="AH26" s="13">
        <f>32.2+32.2</f>
        <v>64.400000000000006</v>
      </c>
      <c r="AI26" s="12"/>
      <c r="AJ26" s="40"/>
      <c r="AK26" s="40"/>
    </row>
    <row r="27" spans="2:37" s="41" customFormat="1">
      <c r="B27" s="13"/>
      <c r="C27" s="48"/>
      <c r="D27" s="6"/>
      <c r="E27" s="48"/>
      <c r="F27" s="81">
        <f>SUM(F18:F26)</f>
        <v>586.69999999999982</v>
      </c>
      <c r="G27" s="20">
        <f>SUM(G18:G26)</f>
        <v>586700</v>
      </c>
      <c r="H27" s="21">
        <f>SUM(H18:H26)</f>
        <v>507</v>
      </c>
      <c r="I27" s="2"/>
      <c r="J27" s="7"/>
      <c r="K27" s="7"/>
      <c r="L27" s="7"/>
      <c r="M27" s="2"/>
      <c r="N27" s="6"/>
      <c r="O27" s="6"/>
      <c r="P27" s="6"/>
      <c r="Q27" s="19"/>
      <c r="R27" s="9"/>
      <c r="S27" s="9"/>
      <c r="T27" s="10"/>
      <c r="U27" s="8"/>
      <c r="V27" s="21">
        <f>SUM(V18:V26)</f>
        <v>27281550</v>
      </c>
      <c r="W27" s="21">
        <f>SUM(W18:W26)</f>
        <v>4910679</v>
      </c>
      <c r="X27" s="21">
        <f>SUM(X18:X26)</f>
        <v>0</v>
      </c>
      <c r="Y27" s="21">
        <f>SUM(Y18:Y26)</f>
        <v>0</v>
      </c>
      <c r="Z27" s="99"/>
      <c r="AA27" s="21">
        <f>SUM(AA18:AA26)</f>
        <v>1309168.811</v>
      </c>
      <c r="AB27" s="21">
        <f>SUM(AB18:AB26)</f>
        <v>235650.38598000002</v>
      </c>
      <c r="AC27" s="21"/>
      <c r="AD27" s="21">
        <f>SUM(AD18:AD26)</f>
        <v>0</v>
      </c>
      <c r="AE27" s="21">
        <f>SUM(AE18:AE26)</f>
        <v>33737048.19698</v>
      </c>
      <c r="AF27" s="21"/>
      <c r="AG27" s="42"/>
      <c r="AH27" s="81">
        <f>SUM(AH18:AH26)</f>
        <v>586.69999999999982</v>
      </c>
      <c r="AI27" s="26">
        <f>AH27-F27</f>
        <v>0</v>
      </c>
      <c r="AJ27" s="41">
        <f>AA27/F27</f>
        <v>2231.4109613090172</v>
      </c>
      <c r="AK27" s="40"/>
    </row>
    <row r="28" spans="2:37" s="41" customFormat="1" ht="16.149999999999999" customHeight="1">
      <c r="B28" s="138" t="s">
        <v>2090</v>
      </c>
      <c r="C28" s="82" t="s">
        <v>2093</v>
      </c>
      <c r="D28" s="4"/>
      <c r="E28" s="82" t="s">
        <v>1430</v>
      </c>
      <c r="F28" s="103">
        <v>61.8</v>
      </c>
      <c r="G28" s="14">
        <f t="shared" ref="G28:G33" si="28">+F28*1000</f>
        <v>61800</v>
      </c>
      <c r="H28" s="97">
        <v>60</v>
      </c>
      <c r="I28" s="83" t="s">
        <v>2217</v>
      </c>
      <c r="J28" s="85" t="s">
        <v>2161</v>
      </c>
      <c r="K28" s="135" t="s">
        <v>2254</v>
      </c>
      <c r="L28" s="4"/>
      <c r="M28" s="85" t="s">
        <v>2255</v>
      </c>
      <c r="N28" s="82" t="s">
        <v>2223</v>
      </c>
      <c r="O28" s="4"/>
      <c r="P28" s="4"/>
      <c r="Q28" s="5">
        <v>56000</v>
      </c>
      <c r="R28" s="36">
        <v>4000</v>
      </c>
      <c r="S28" s="36"/>
      <c r="T28" s="37">
        <v>11500</v>
      </c>
      <c r="U28" s="5">
        <f>S28+R28+Q28-T28</f>
        <v>48500</v>
      </c>
      <c r="V28" s="5">
        <f t="shared" ref="V28:V33" si="29">F28*U28</f>
        <v>2997300</v>
      </c>
      <c r="W28" s="5">
        <f t="shared" ref="W28:W33" si="30">V28*18%</f>
        <v>539514</v>
      </c>
      <c r="X28" s="5"/>
      <c r="Y28" s="5"/>
      <c r="Z28" s="98">
        <v>2344.5700000000002</v>
      </c>
      <c r="AA28" s="23">
        <f t="shared" ref="AA28:AA33" si="31">F28*Z28</f>
        <v>144894.42600000001</v>
      </c>
      <c r="AB28" s="97">
        <f t="shared" ref="AB28:AB33" si="32">AA28*18%</f>
        <v>26080.99668</v>
      </c>
      <c r="AC28" s="43"/>
      <c r="AD28" s="49"/>
      <c r="AE28" s="5">
        <f t="shared" ref="AE28:AE33" si="33">+AB28+AA28+Y28+X28+W28+V28-AC28+AD28</f>
        <v>3707789.4226799998</v>
      </c>
      <c r="AF28" s="139" t="s">
        <v>2297</v>
      </c>
      <c r="AG28" s="139" t="s">
        <v>1959</v>
      </c>
      <c r="AH28" s="13">
        <f>31.442+30.358</f>
        <v>61.8</v>
      </c>
      <c r="AI28" s="12"/>
      <c r="AJ28" s="40"/>
      <c r="AK28" s="40"/>
    </row>
    <row r="29" spans="2:37" s="41" customFormat="1" ht="16.149999999999999" customHeight="1">
      <c r="B29" s="89"/>
      <c r="C29" s="82" t="s">
        <v>2216</v>
      </c>
      <c r="D29" s="4"/>
      <c r="E29" s="82" t="s">
        <v>1430</v>
      </c>
      <c r="F29" s="103">
        <v>65.5</v>
      </c>
      <c r="G29" s="14">
        <f t="shared" si="28"/>
        <v>65500</v>
      </c>
      <c r="H29" s="97">
        <v>60</v>
      </c>
      <c r="I29" s="83" t="s">
        <v>2218</v>
      </c>
      <c r="J29" s="85" t="s">
        <v>2161</v>
      </c>
      <c r="K29" s="135" t="s">
        <v>2256</v>
      </c>
      <c r="L29" s="4"/>
      <c r="M29" s="85" t="s">
        <v>2255</v>
      </c>
      <c r="N29" s="82" t="s">
        <v>2224</v>
      </c>
      <c r="O29" s="4"/>
      <c r="P29" s="4"/>
      <c r="Q29" s="5">
        <v>56000</v>
      </c>
      <c r="R29" s="36">
        <v>4000</v>
      </c>
      <c r="S29" s="36"/>
      <c r="T29" s="37">
        <v>11500</v>
      </c>
      <c r="U29" s="5">
        <f t="shared" ref="U29:U33" si="34">S29+R29+Q29-T29</f>
        <v>48500</v>
      </c>
      <c r="V29" s="5">
        <f t="shared" si="29"/>
        <v>3176750</v>
      </c>
      <c r="W29" s="5">
        <f t="shared" si="30"/>
        <v>571815</v>
      </c>
      <c r="X29" s="5"/>
      <c r="Y29" s="5"/>
      <c r="Z29" s="98">
        <v>2229.13</v>
      </c>
      <c r="AA29" s="23">
        <f t="shared" si="31"/>
        <v>146008.01500000001</v>
      </c>
      <c r="AB29" s="97">
        <f t="shared" si="32"/>
        <v>26281.442700000003</v>
      </c>
      <c r="AC29" s="43"/>
      <c r="AD29" s="49"/>
      <c r="AE29" s="5">
        <f t="shared" si="33"/>
        <v>3920854.4577000001</v>
      </c>
      <c r="AF29" s="139" t="s">
        <v>2300</v>
      </c>
      <c r="AG29" s="139" t="s">
        <v>2255</v>
      </c>
      <c r="AH29" s="13">
        <f>31.658+33.842</f>
        <v>65.5</v>
      </c>
      <c r="AI29" s="12"/>
      <c r="AJ29" s="40"/>
      <c r="AK29" s="40"/>
    </row>
    <row r="30" spans="2:37" s="41" customFormat="1" ht="16.149999999999999" customHeight="1">
      <c r="B30" s="89"/>
      <c r="C30" s="82"/>
      <c r="D30" s="4"/>
      <c r="E30" s="82" t="s">
        <v>1430</v>
      </c>
      <c r="F30" s="103">
        <v>65.5</v>
      </c>
      <c r="G30" s="14">
        <f t="shared" si="28"/>
        <v>65500</v>
      </c>
      <c r="H30" s="97">
        <v>60</v>
      </c>
      <c r="I30" s="83" t="s">
        <v>2219</v>
      </c>
      <c r="J30" s="85" t="s">
        <v>2161</v>
      </c>
      <c r="K30" s="135" t="s">
        <v>2257</v>
      </c>
      <c r="L30" s="4"/>
      <c r="M30" s="85" t="s">
        <v>2255</v>
      </c>
      <c r="N30" s="82" t="s">
        <v>2225</v>
      </c>
      <c r="O30" s="4"/>
      <c r="P30" s="4"/>
      <c r="Q30" s="5">
        <v>56000</v>
      </c>
      <c r="R30" s="36">
        <v>4000</v>
      </c>
      <c r="S30" s="36"/>
      <c r="T30" s="37">
        <v>11500</v>
      </c>
      <c r="U30" s="5">
        <f t="shared" si="34"/>
        <v>48500</v>
      </c>
      <c r="V30" s="5">
        <f t="shared" si="29"/>
        <v>3176750</v>
      </c>
      <c r="W30" s="5">
        <f t="shared" si="30"/>
        <v>571815</v>
      </c>
      <c r="X30" s="5"/>
      <c r="Y30" s="5"/>
      <c r="Z30" s="98">
        <v>2229.13</v>
      </c>
      <c r="AA30" s="23">
        <f t="shared" si="31"/>
        <v>146008.01500000001</v>
      </c>
      <c r="AB30" s="97">
        <f t="shared" si="32"/>
        <v>26281.442700000003</v>
      </c>
      <c r="AC30" s="43"/>
      <c r="AD30" s="49"/>
      <c r="AE30" s="5">
        <f t="shared" si="33"/>
        <v>3920854.4577000001</v>
      </c>
      <c r="AF30" s="139" t="s">
        <v>2299</v>
      </c>
      <c r="AG30" s="139" t="s">
        <v>1959</v>
      </c>
      <c r="AH30" s="13">
        <f>31.658+33.842</f>
        <v>65.5</v>
      </c>
      <c r="AI30" s="12"/>
      <c r="AJ30" s="40"/>
      <c r="AK30" s="40"/>
    </row>
    <row r="31" spans="2:37" s="41" customFormat="1" ht="16.149999999999999" customHeight="1">
      <c r="B31" s="89"/>
      <c r="C31" s="82"/>
      <c r="D31" s="4"/>
      <c r="E31" s="82" t="s">
        <v>1430</v>
      </c>
      <c r="F31" s="103">
        <v>65.400000000000006</v>
      </c>
      <c r="G31" s="14">
        <f t="shared" si="28"/>
        <v>65400.000000000007</v>
      </c>
      <c r="H31" s="97">
        <v>60</v>
      </c>
      <c r="I31" s="83" t="s">
        <v>2220</v>
      </c>
      <c r="J31" s="85" t="s">
        <v>2161</v>
      </c>
      <c r="K31" s="135" t="s">
        <v>2258</v>
      </c>
      <c r="L31" s="4"/>
      <c r="M31" s="85" t="s">
        <v>2259</v>
      </c>
      <c r="N31" s="82" t="s">
        <v>2226</v>
      </c>
      <c r="O31" s="4"/>
      <c r="P31" s="4"/>
      <c r="Q31" s="5">
        <v>56000</v>
      </c>
      <c r="R31" s="36">
        <v>4000</v>
      </c>
      <c r="S31" s="36"/>
      <c r="T31" s="37">
        <v>11500</v>
      </c>
      <c r="U31" s="5">
        <f t="shared" si="34"/>
        <v>48500</v>
      </c>
      <c r="V31" s="5">
        <f t="shared" si="29"/>
        <v>3171900.0000000005</v>
      </c>
      <c r="W31" s="5">
        <f t="shared" si="30"/>
        <v>570942.00000000012</v>
      </c>
      <c r="X31" s="5"/>
      <c r="Y31" s="5"/>
      <c r="Z31" s="98">
        <v>2229.13</v>
      </c>
      <c r="AA31" s="23">
        <f t="shared" si="31"/>
        <v>145785.10200000001</v>
      </c>
      <c r="AB31" s="97">
        <f t="shared" si="32"/>
        <v>26241.318360000001</v>
      </c>
      <c r="AC31" s="43"/>
      <c r="AD31" s="49"/>
      <c r="AE31" s="5">
        <f t="shared" si="33"/>
        <v>3914868.4203600008</v>
      </c>
      <c r="AF31" s="139" t="s">
        <v>2296</v>
      </c>
      <c r="AG31" s="139" t="s">
        <v>2259</v>
      </c>
      <c r="AH31" s="13">
        <f>32.7+32.7</f>
        <v>65.400000000000006</v>
      </c>
      <c r="AI31" s="12"/>
      <c r="AJ31" s="40"/>
      <c r="AK31" s="40"/>
    </row>
    <row r="32" spans="2:37" s="41" customFormat="1" ht="16.149999999999999" customHeight="1">
      <c r="B32" s="89"/>
      <c r="C32" s="82"/>
      <c r="D32" s="4"/>
      <c r="E32" s="82" t="s">
        <v>1430</v>
      </c>
      <c r="F32" s="103">
        <v>65.400000000000006</v>
      </c>
      <c r="G32" s="14">
        <f t="shared" si="28"/>
        <v>65400.000000000007</v>
      </c>
      <c r="H32" s="97">
        <v>60</v>
      </c>
      <c r="I32" s="83" t="s">
        <v>2221</v>
      </c>
      <c r="J32" s="85" t="s">
        <v>2161</v>
      </c>
      <c r="K32" s="135" t="s">
        <v>2260</v>
      </c>
      <c r="L32" s="4"/>
      <c r="M32" s="85" t="s">
        <v>2255</v>
      </c>
      <c r="N32" s="82" t="s">
        <v>2227</v>
      </c>
      <c r="O32" s="4"/>
      <c r="P32" s="4"/>
      <c r="Q32" s="5">
        <v>56000</v>
      </c>
      <c r="R32" s="36">
        <v>4000</v>
      </c>
      <c r="S32" s="36"/>
      <c r="T32" s="37">
        <v>11500</v>
      </c>
      <c r="U32" s="5">
        <f t="shared" si="34"/>
        <v>48500</v>
      </c>
      <c r="V32" s="5">
        <f t="shared" si="29"/>
        <v>3171900.0000000005</v>
      </c>
      <c r="W32" s="5">
        <f t="shared" si="30"/>
        <v>570942.00000000012</v>
      </c>
      <c r="X32" s="5"/>
      <c r="Y32" s="5"/>
      <c r="Z32" s="98">
        <v>2229.13</v>
      </c>
      <c r="AA32" s="23">
        <f t="shared" si="31"/>
        <v>145785.10200000001</v>
      </c>
      <c r="AB32" s="97">
        <f t="shared" si="32"/>
        <v>26241.318360000001</v>
      </c>
      <c r="AC32" s="43"/>
      <c r="AD32" s="49"/>
      <c r="AE32" s="5">
        <f t="shared" si="33"/>
        <v>3914868.4203600008</v>
      </c>
      <c r="AF32" s="139" t="s">
        <v>2298</v>
      </c>
      <c r="AG32" s="139" t="s">
        <v>2255</v>
      </c>
      <c r="AH32" s="13">
        <f>31.61+33.79</f>
        <v>65.400000000000006</v>
      </c>
      <c r="AI32" s="12"/>
      <c r="AJ32" s="40"/>
      <c r="AK32" s="40"/>
    </row>
    <row r="33" spans="2:37" s="41" customFormat="1" ht="16.149999999999999" customHeight="1">
      <c r="B33" s="89"/>
      <c r="C33" s="82"/>
      <c r="D33" s="4"/>
      <c r="E33" s="82" t="s">
        <v>1430</v>
      </c>
      <c r="F33" s="103">
        <v>64.2</v>
      </c>
      <c r="G33" s="14">
        <f t="shared" si="28"/>
        <v>64200</v>
      </c>
      <c r="H33" s="97">
        <v>60</v>
      </c>
      <c r="I33" s="83" t="s">
        <v>2222</v>
      </c>
      <c r="J33" s="85" t="s">
        <v>2161</v>
      </c>
      <c r="K33" s="135" t="s">
        <v>2261</v>
      </c>
      <c r="L33" s="4"/>
      <c r="M33" s="85" t="s">
        <v>2262</v>
      </c>
      <c r="N33" s="82" t="s">
        <v>2228</v>
      </c>
      <c r="O33" s="4"/>
      <c r="P33" s="4"/>
      <c r="Q33" s="5">
        <v>56000</v>
      </c>
      <c r="R33" s="36">
        <v>4000</v>
      </c>
      <c r="S33" s="36"/>
      <c r="T33" s="37">
        <v>11500</v>
      </c>
      <c r="U33" s="5">
        <f t="shared" si="34"/>
        <v>48500</v>
      </c>
      <c r="V33" s="5">
        <f t="shared" si="29"/>
        <v>3113700</v>
      </c>
      <c r="W33" s="5">
        <f t="shared" si="30"/>
        <v>560466</v>
      </c>
      <c r="X33" s="5"/>
      <c r="Y33" s="5"/>
      <c r="Z33" s="98">
        <v>2256.91</v>
      </c>
      <c r="AA33" s="23">
        <f t="shared" si="31"/>
        <v>144893.622</v>
      </c>
      <c r="AB33" s="97">
        <f t="shared" si="32"/>
        <v>26080.85196</v>
      </c>
      <c r="AC33" s="43"/>
      <c r="AD33" s="49"/>
      <c r="AE33" s="5">
        <f t="shared" si="33"/>
        <v>3845140.4739600001</v>
      </c>
      <c r="AF33" s="139" t="s">
        <v>2295</v>
      </c>
      <c r="AG33" s="139" t="s">
        <v>2259</v>
      </c>
      <c r="AH33" s="13">
        <f>31.03+33.17</f>
        <v>64.2</v>
      </c>
      <c r="AI33" s="12"/>
      <c r="AJ33" s="40"/>
      <c r="AK33" s="40"/>
    </row>
    <row r="34" spans="2:37" s="41" customFormat="1">
      <c r="B34" s="89"/>
      <c r="C34" s="48"/>
      <c r="D34" s="6"/>
      <c r="E34" s="48"/>
      <c r="F34" s="81">
        <f>SUM(F28:F33)</f>
        <v>387.8</v>
      </c>
      <c r="G34" s="20">
        <f>SUM(G28:G33)</f>
        <v>387800</v>
      </c>
      <c r="H34" s="21">
        <f>SUM(H28:H33)</f>
        <v>360</v>
      </c>
      <c r="I34" s="2"/>
      <c r="J34" s="7"/>
      <c r="K34" s="7"/>
      <c r="L34" s="7"/>
      <c r="M34" s="2"/>
      <c r="N34" s="6"/>
      <c r="O34" s="6"/>
      <c r="P34" s="6"/>
      <c r="Q34" s="19"/>
      <c r="R34" s="9"/>
      <c r="S34" s="9"/>
      <c r="T34" s="10"/>
      <c r="U34" s="8"/>
      <c r="V34" s="21">
        <f>SUM(V28:V33)</f>
        <v>18808300</v>
      </c>
      <c r="W34" s="21">
        <f>SUM(W28:W33)</f>
        <v>3385494</v>
      </c>
      <c r="X34" s="21">
        <f>SUM(X28:X33)</f>
        <v>0</v>
      </c>
      <c r="Y34" s="21">
        <f>SUM(Y28:Y33)</f>
        <v>0</v>
      </c>
      <c r="Z34" s="99"/>
      <c r="AA34" s="21">
        <f>SUM(AA28:AA33)</f>
        <v>873374.28199999989</v>
      </c>
      <c r="AB34" s="21">
        <f>SUM(AB28:AB33)</f>
        <v>157207.37076000002</v>
      </c>
      <c r="AC34" s="21"/>
      <c r="AD34" s="21">
        <f>SUM(AD28:AD33)</f>
        <v>0</v>
      </c>
      <c r="AE34" s="21">
        <f>SUM(AE28:AE33)</f>
        <v>23224375.652760003</v>
      </c>
      <c r="AF34" s="21"/>
      <c r="AG34" s="42"/>
      <c r="AH34" s="81">
        <f>SUM(AH28:AH33)</f>
        <v>387.8</v>
      </c>
      <c r="AI34" s="26">
        <f>AH34-F34</f>
        <v>0</v>
      </c>
      <c r="AJ34" s="41">
        <f>AA34/F34</f>
        <v>2252.1255337802986</v>
      </c>
      <c r="AK34" s="40"/>
    </row>
    <row r="35" spans="2:37" s="41" customFormat="1" ht="16.149999999999999" customHeight="1">
      <c r="B35" s="138" t="s">
        <v>2244</v>
      </c>
      <c r="C35" s="82" t="s">
        <v>2332</v>
      </c>
      <c r="D35" s="4"/>
      <c r="E35" s="82" t="s">
        <v>35</v>
      </c>
      <c r="F35" s="103">
        <v>32.43</v>
      </c>
      <c r="G35" s="14">
        <f t="shared" ref="G35" si="35">+F35*1000</f>
        <v>32430</v>
      </c>
      <c r="H35" s="172"/>
      <c r="I35" s="166" t="s">
        <v>2334</v>
      </c>
      <c r="J35" s="85" t="s">
        <v>2319</v>
      </c>
      <c r="K35" s="135">
        <v>1294</v>
      </c>
      <c r="L35" s="4"/>
      <c r="M35" s="167" t="s">
        <v>2321</v>
      </c>
      <c r="N35" s="168" t="s">
        <v>2354</v>
      </c>
      <c r="O35" s="4"/>
      <c r="P35" s="4"/>
      <c r="Q35" s="5">
        <v>56000</v>
      </c>
      <c r="R35" s="36">
        <v>4000</v>
      </c>
      <c r="S35" s="36"/>
      <c r="T35" s="37">
        <v>11500</v>
      </c>
      <c r="U35" s="5">
        <f>S35+R35+Q35-T35</f>
        <v>48500</v>
      </c>
      <c r="V35" s="5">
        <f t="shared" ref="V35" si="36">F35*U35</f>
        <v>1572855</v>
      </c>
      <c r="W35" s="5">
        <f t="shared" ref="W35" si="37">V35*18%</f>
        <v>283113.89999999997</v>
      </c>
      <c r="X35" s="5"/>
      <c r="Y35" s="5"/>
      <c r="Z35" s="98">
        <v>2277.37</v>
      </c>
      <c r="AA35" s="23">
        <f t="shared" ref="AA35" si="38">F35*Z35</f>
        <v>73855.109100000001</v>
      </c>
      <c r="AB35" s="97">
        <f t="shared" ref="AB35" si="39">AA35*18%</f>
        <v>13293.919637999999</v>
      </c>
      <c r="AC35" s="43"/>
      <c r="AD35" s="49"/>
      <c r="AE35" s="5">
        <f t="shared" ref="AE35" si="40">+AB35+AA35+Y35+X35+W35+V35-AC35+AD35</f>
        <v>1943117.9287379999</v>
      </c>
      <c r="AF35" s="139">
        <v>470</v>
      </c>
      <c r="AG35" s="139" t="s">
        <v>2321</v>
      </c>
      <c r="AH35" s="103">
        <v>32.43</v>
      </c>
      <c r="AI35" s="12"/>
      <c r="AJ35" s="40"/>
      <c r="AK35" s="40"/>
    </row>
    <row r="36" spans="2:37" s="41" customFormat="1" ht="16.149999999999999" customHeight="1">
      <c r="B36" s="89"/>
      <c r="C36" s="82" t="s">
        <v>2310</v>
      </c>
      <c r="D36" s="4"/>
      <c r="E36" s="82" t="s">
        <v>35</v>
      </c>
      <c r="F36" s="103">
        <v>32.43</v>
      </c>
      <c r="G36" s="14">
        <f t="shared" ref="G36" si="41">+F36*1000</f>
        <v>32430</v>
      </c>
      <c r="H36" s="173"/>
      <c r="I36" s="166" t="s">
        <v>2334</v>
      </c>
      <c r="J36" s="85" t="s">
        <v>2319</v>
      </c>
      <c r="K36" s="135">
        <v>1295</v>
      </c>
      <c r="L36" s="4"/>
      <c r="M36" s="167" t="s">
        <v>2321</v>
      </c>
      <c r="N36" s="168" t="s">
        <v>2354</v>
      </c>
      <c r="O36" s="4"/>
      <c r="P36" s="4"/>
      <c r="Q36" s="5">
        <v>56000</v>
      </c>
      <c r="R36" s="36">
        <v>4000</v>
      </c>
      <c r="S36" s="36"/>
      <c r="T36" s="37">
        <v>11500</v>
      </c>
      <c r="U36" s="5">
        <f t="shared" ref="U36" si="42">S36+R36+Q36-T36</f>
        <v>48500</v>
      </c>
      <c r="V36" s="5">
        <f t="shared" ref="V36" si="43">F36*U36</f>
        <v>1572855</v>
      </c>
      <c r="W36" s="5">
        <f t="shared" ref="W36:W41" si="44">V36*18%</f>
        <v>283113.89999999997</v>
      </c>
      <c r="X36" s="5"/>
      <c r="Y36" s="5"/>
      <c r="Z36" s="98">
        <v>2277.37</v>
      </c>
      <c r="AA36" s="23">
        <f t="shared" ref="AA36" si="45">F36*Z36</f>
        <v>73855.109100000001</v>
      </c>
      <c r="AB36" s="97">
        <f t="shared" ref="AB36" si="46">AA36*18%</f>
        <v>13293.919637999999</v>
      </c>
      <c r="AC36" s="43"/>
      <c r="AD36" s="49"/>
      <c r="AE36" s="5">
        <f t="shared" ref="AE36" si="47">+AB36+AA36+Y36+X36+W36+V36-AC36+AD36</f>
        <v>1943117.9287379999</v>
      </c>
      <c r="AF36" s="139">
        <v>469</v>
      </c>
      <c r="AG36" s="139" t="s">
        <v>2321</v>
      </c>
      <c r="AH36" s="103">
        <v>32.43</v>
      </c>
      <c r="AI36" s="12"/>
      <c r="AJ36" s="40"/>
      <c r="AK36" s="40"/>
    </row>
    <row r="37" spans="2:37" s="41" customFormat="1" ht="16.149999999999999" customHeight="1">
      <c r="B37" s="89"/>
      <c r="C37" s="82"/>
      <c r="D37" s="4"/>
      <c r="E37" s="82" t="s">
        <v>35</v>
      </c>
      <c r="F37" s="103">
        <v>32.85</v>
      </c>
      <c r="G37" s="14">
        <f t="shared" ref="G37:G56" si="48">+F37*1000</f>
        <v>32850</v>
      </c>
      <c r="H37" s="97"/>
      <c r="I37" s="166" t="s">
        <v>2335</v>
      </c>
      <c r="J37" s="85" t="s">
        <v>2319</v>
      </c>
      <c r="K37" s="135">
        <v>1282</v>
      </c>
      <c r="L37" s="4"/>
      <c r="M37" s="167" t="s">
        <v>2320</v>
      </c>
      <c r="N37" s="168" t="s">
        <v>2355</v>
      </c>
      <c r="O37" s="4"/>
      <c r="P37" s="4"/>
      <c r="Q37" s="5">
        <v>56000</v>
      </c>
      <c r="R37" s="36">
        <v>4000</v>
      </c>
      <c r="S37" s="36"/>
      <c r="T37" s="37">
        <v>11500</v>
      </c>
      <c r="U37" s="5">
        <f t="shared" ref="U37:U56" si="49">S37+R37+Q37-T37</f>
        <v>48500</v>
      </c>
      <c r="V37" s="5">
        <f t="shared" ref="V37:V56" si="50">F37*U37</f>
        <v>1593225</v>
      </c>
      <c r="W37" s="5">
        <f t="shared" si="44"/>
        <v>286780.5</v>
      </c>
      <c r="X37" s="5"/>
      <c r="Y37" s="5"/>
      <c r="Z37" s="98">
        <v>2248.25</v>
      </c>
      <c r="AA37" s="23">
        <f t="shared" ref="AA37:AA56" si="51">F37*Z37</f>
        <v>73855.012499999997</v>
      </c>
      <c r="AB37" s="97">
        <f t="shared" ref="AB37:AB56" si="52">AA37*18%</f>
        <v>13293.902249999999</v>
      </c>
      <c r="AC37" s="43"/>
      <c r="AD37" s="49"/>
      <c r="AE37" s="5">
        <f t="shared" ref="AE37:AE56" si="53">+AB37+AA37+Y37+X37+W37+V37-AC37+AD37</f>
        <v>1967154.41475</v>
      </c>
      <c r="AF37" s="139">
        <v>471</v>
      </c>
      <c r="AG37" s="139" t="s">
        <v>2321</v>
      </c>
      <c r="AH37" s="103">
        <v>32.85</v>
      </c>
      <c r="AI37" s="12"/>
      <c r="AJ37" s="40"/>
      <c r="AK37" s="40"/>
    </row>
    <row r="38" spans="2:37" s="41" customFormat="1" ht="16.149999999999999" customHeight="1">
      <c r="B38" s="89"/>
      <c r="C38" s="82"/>
      <c r="D38" s="4"/>
      <c r="E38" s="82" t="s">
        <v>35</v>
      </c>
      <c r="F38" s="103">
        <v>32.85</v>
      </c>
      <c r="G38" s="14">
        <f t="shared" ref="G38:G40" si="54">+F38*1000</f>
        <v>32850</v>
      </c>
      <c r="H38" s="97"/>
      <c r="I38" s="166" t="s">
        <v>2335</v>
      </c>
      <c r="J38" s="85" t="s">
        <v>2319</v>
      </c>
      <c r="K38" s="135">
        <v>1283</v>
      </c>
      <c r="L38" s="4"/>
      <c r="M38" s="167" t="s">
        <v>2320</v>
      </c>
      <c r="N38" s="168" t="s">
        <v>2355</v>
      </c>
      <c r="O38" s="4"/>
      <c r="P38" s="4"/>
      <c r="Q38" s="5">
        <v>56000</v>
      </c>
      <c r="R38" s="36">
        <v>4000</v>
      </c>
      <c r="S38" s="36"/>
      <c r="T38" s="37">
        <v>11500</v>
      </c>
      <c r="U38" s="5">
        <f t="shared" ref="U38:U40" si="55">S38+R38+Q38-T38</f>
        <v>48500</v>
      </c>
      <c r="V38" s="5">
        <f t="shared" ref="V38:V40" si="56">F38*U38</f>
        <v>1593225</v>
      </c>
      <c r="W38" s="5">
        <f t="shared" si="44"/>
        <v>286780.5</v>
      </c>
      <c r="X38" s="5"/>
      <c r="Y38" s="5"/>
      <c r="Z38" s="98">
        <v>2248.25</v>
      </c>
      <c r="AA38" s="23">
        <f t="shared" ref="AA38:AA40" si="57">F38*Z38</f>
        <v>73855.012499999997</v>
      </c>
      <c r="AB38" s="97">
        <f t="shared" ref="AB38:AB40" si="58">AA38*18%</f>
        <v>13293.902249999999</v>
      </c>
      <c r="AC38" s="43"/>
      <c r="AD38" s="49"/>
      <c r="AE38" s="5">
        <f t="shared" ref="AE38:AE40" si="59">+AB38+AA38+Y38+X38+W38+V38-AC38+AD38</f>
        <v>1967154.41475</v>
      </c>
      <c r="AF38" s="139">
        <v>472</v>
      </c>
      <c r="AG38" s="139" t="s">
        <v>2321</v>
      </c>
      <c r="AH38" s="103">
        <v>32.85</v>
      </c>
      <c r="AI38" s="12"/>
      <c r="AJ38" s="40"/>
      <c r="AK38" s="40"/>
    </row>
    <row r="39" spans="2:37" s="41" customFormat="1" ht="16.149999999999999" customHeight="1">
      <c r="B39" s="89"/>
      <c r="C39" s="82"/>
      <c r="D39" s="4"/>
      <c r="E39" s="82" t="s">
        <v>35</v>
      </c>
      <c r="F39" s="103">
        <v>32.630000000000003</v>
      </c>
      <c r="G39" s="14">
        <f t="shared" si="54"/>
        <v>32630.000000000004</v>
      </c>
      <c r="H39" s="97"/>
      <c r="I39" s="166" t="s">
        <v>2336</v>
      </c>
      <c r="J39" s="85" t="s">
        <v>2319</v>
      </c>
      <c r="K39" s="135">
        <v>1323</v>
      </c>
      <c r="L39" s="4"/>
      <c r="M39" s="167" t="s">
        <v>2323</v>
      </c>
      <c r="N39" s="168" t="s">
        <v>2356</v>
      </c>
      <c r="O39" s="4"/>
      <c r="P39" s="4"/>
      <c r="Q39" s="5">
        <v>56000</v>
      </c>
      <c r="R39" s="36">
        <v>4000</v>
      </c>
      <c r="S39" s="36"/>
      <c r="T39" s="37">
        <v>11500</v>
      </c>
      <c r="U39" s="5">
        <f t="shared" si="55"/>
        <v>48500</v>
      </c>
      <c r="V39" s="5">
        <f t="shared" si="56"/>
        <v>1582555.0000000002</v>
      </c>
      <c r="W39" s="5">
        <f t="shared" si="44"/>
        <v>284859.90000000002</v>
      </c>
      <c r="X39" s="5"/>
      <c r="Y39" s="5"/>
      <c r="Z39" s="98">
        <v>2263.41</v>
      </c>
      <c r="AA39" s="23">
        <f t="shared" si="57"/>
        <v>73855.068299999999</v>
      </c>
      <c r="AB39" s="97">
        <f t="shared" si="58"/>
        <v>13293.912294</v>
      </c>
      <c r="AC39" s="43"/>
      <c r="AD39" s="49"/>
      <c r="AE39" s="5">
        <f t="shared" si="59"/>
        <v>1954563.8805940002</v>
      </c>
      <c r="AF39" s="139">
        <v>473</v>
      </c>
      <c r="AG39" s="139" t="s">
        <v>2321</v>
      </c>
      <c r="AH39" s="103">
        <v>32.630000000000003</v>
      </c>
      <c r="AI39" s="12"/>
      <c r="AJ39" s="40"/>
      <c r="AK39" s="40"/>
    </row>
    <row r="40" spans="2:37" s="41" customFormat="1" ht="16.149999999999999" customHeight="1">
      <c r="B40" s="89"/>
      <c r="C40" s="82"/>
      <c r="D40" s="4"/>
      <c r="E40" s="82" t="s">
        <v>35</v>
      </c>
      <c r="F40" s="103">
        <v>32.630000000000003</v>
      </c>
      <c r="G40" s="14">
        <f t="shared" si="54"/>
        <v>32630.000000000004</v>
      </c>
      <c r="H40" s="97"/>
      <c r="I40" s="166" t="s">
        <v>2336</v>
      </c>
      <c r="J40" s="85" t="s">
        <v>2319</v>
      </c>
      <c r="K40" s="135">
        <v>1324</v>
      </c>
      <c r="L40" s="4"/>
      <c r="M40" s="167" t="s">
        <v>2323</v>
      </c>
      <c r="N40" s="168" t="s">
        <v>2356</v>
      </c>
      <c r="O40" s="4"/>
      <c r="P40" s="4"/>
      <c r="Q40" s="5">
        <v>56000</v>
      </c>
      <c r="R40" s="36">
        <v>4000</v>
      </c>
      <c r="S40" s="36"/>
      <c r="T40" s="37">
        <v>11500</v>
      </c>
      <c r="U40" s="5">
        <f t="shared" si="55"/>
        <v>48500</v>
      </c>
      <c r="V40" s="5">
        <f t="shared" si="56"/>
        <v>1582555.0000000002</v>
      </c>
      <c r="W40" s="5">
        <f t="shared" si="44"/>
        <v>284859.90000000002</v>
      </c>
      <c r="X40" s="5"/>
      <c r="Y40" s="5"/>
      <c r="Z40" s="98">
        <v>2263.41</v>
      </c>
      <c r="AA40" s="23">
        <f t="shared" si="57"/>
        <v>73855.068299999999</v>
      </c>
      <c r="AB40" s="97">
        <f t="shared" si="58"/>
        <v>13293.912294</v>
      </c>
      <c r="AC40" s="43"/>
      <c r="AD40" s="49"/>
      <c r="AE40" s="5">
        <f t="shared" si="59"/>
        <v>1954563.8805940002</v>
      </c>
      <c r="AF40" s="139">
        <v>474</v>
      </c>
      <c r="AG40" s="139" t="s">
        <v>2321</v>
      </c>
      <c r="AH40" s="103">
        <v>32.630000000000003</v>
      </c>
      <c r="AI40" s="12"/>
      <c r="AJ40" s="40"/>
      <c r="AK40" s="40"/>
    </row>
    <row r="41" spans="2:37" s="41" customFormat="1" ht="16.149999999999999" customHeight="1">
      <c r="B41" s="89"/>
      <c r="C41" s="82"/>
      <c r="D41" s="4"/>
      <c r="E41" s="82" t="s">
        <v>35</v>
      </c>
      <c r="F41" s="103">
        <v>31.625806451612902</v>
      </c>
      <c r="G41" s="14">
        <f t="shared" si="48"/>
        <v>31625.806451612902</v>
      </c>
      <c r="H41" s="97"/>
      <c r="I41" s="166" t="s">
        <v>2337</v>
      </c>
      <c r="J41" s="85" t="s">
        <v>2319</v>
      </c>
      <c r="K41" s="135">
        <v>1273</v>
      </c>
      <c r="L41" s="4"/>
      <c r="M41" s="167" t="s">
        <v>2320</v>
      </c>
      <c r="N41" s="168" t="s">
        <v>2357</v>
      </c>
      <c r="O41" s="4"/>
      <c r="P41" s="4"/>
      <c r="Q41" s="5">
        <v>56000</v>
      </c>
      <c r="R41" s="36">
        <v>4000</v>
      </c>
      <c r="S41" s="36"/>
      <c r="T41" s="37">
        <v>11500</v>
      </c>
      <c r="U41" s="5">
        <f t="shared" si="49"/>
        <v>48500</v>
      </c>
      <c r="V41" s="5">
        <f t="shared" si="50"/>
        <v>1533851.6129032257</v>
      </c>
      <c r="W41" s="5">
        <f t="shared" si="44"/>
        <v>276093.29032258061</v>
      </c>
      <c r="X41" s="5"/>
      <c r="Y41" s="5"/>
      <c r="Z41" s="98">
        <v>2259.9499999999998</v>
      </c>
      <c r="AA41" s="23">
        <f t="shared" si="51"/>
        <v>71472.741290322578</v>
      </c>
      <c r="AB41" s="97">
        <f t="shared" si="52"/>
        <v>12865.093432258063</v>
      </c>
      <c r="AC41" s="43"/>
      <c r="AD41" s="49"/>
      <c r="AE41" s="5">
        <f t="shared" si="53"/>
        <v>1894282.7379483869</v>
      </c>
      <c r="AF41" s="139">
        <v>452</v>
      </c>
      <c r="AG41" s="139" t="s">
        <v>2320</v>
      </c>
      <c r="AH41" s="103">
        <v>31.625806451612902</v>
      </c>
      <c r="AI41" s="12"/>
      <c r="AJ41" s="40"/>
      <c r="AK41" s="40"/>
    </row>
    <row r="42" spans="2:37" s="41" customFormat="1" ht="16.149999999999999" customHeight="1">
      <c r="B42" s="89"/>
      <c r="C42" s="82"/>
      <c r="D42" s="4"/>
      <c r="E42" s="82" t="s">
        <v>35</v>
      </c>
      <c r="F42" s="103">
        <v>33.734193548387097</v>
      </c>
      <c r="G42" s="14">
        <f t="shared" si="48"/>
        <v>33734.193548387098</v>
      </c>
      <c r="H42" s="97"/>
      <c r="I42" s="166" t="s">
        <v>2337</v>
      </c>
      <c r="J42" s="85" t="s">
        <v>2319</v>
      </c>
      <c r="K42" s="135">
        <v>1274</v>
      </c>
      <c r="L42" s="4"/>
      <c r="M42" s="167" t="s">
        <v>2320</v>
      </c>
      <c r="N42" s="168" t="s">
        <v>2357</v>
      </c>
      <c r="O42" s="4"/>
      <c r="P42" s="4"/>
      <c r="Q42" s="5">
        <v>56000</v>
      </c>
      <c r="R42" s="36">
        <v>4000</v>
      </c>
      <c r="S42" s="36"/>
      <c r="T42" s="37">
        <v>11500</v>
      </c>
      <c r="U42" s="5">
        <f t="shared" si="49"/>
        <v>48500</v>
      </c>
      <c r="V42" s="5">
        <f t="shared" si="50"/>
        <v>1636108.3870967743</v>
      </c>
      <c r="W42" s="5">
        <f t="shared" ref="W42:W56" si="60">V42*18%</f>
        <v>294499.50967741938</v>
      </c>
      <c r="X42" s="5"/>
      <c r="Y42" s="5"/>
      <c r="Z42" s="98">
        <v>2259.9499999999998</v>
      </c>
      <c r="AA42" s="23">
        <f t="shared" si="51"/>
        <v>76237.590709677417</v>
      </c>
      <c r="AB42" s="97">
        <f t="shared" si="52"/>
        <v>13722.766327741934</v>
      </c>
      <c r="AC42" s="43"/>
      <c r="AD42" s="49"/>
      <c r="AE42" s="5">
        <f t="shared" si="53"/>
        <v>2020568.253811613</v>
      </c>
      <c r="AF42" s="139">
        <v>453</v>
      </c>
      <c r="AG42" s="139" t="s">
        <v>2320</v>
      </c>
      <c r="AH42" s="103">
        <v>33.734193548387097</v>
      </c>
      <c r="AI42" s="12"/>
      <c r="AJ42" s="40"/>
      <c r="AK42" s="40"/>
    </row>
    <row r="43" spans="2:37" s="41" customFormat="1" ht="16.149999999999999" customHeight="1">
      <c r="B43" s="89"/>
      <c r="C43" s="82"/>
      <c r="D43" s="4"/>
      <c r="E43" s="82" t="s">
        <v>35</v>
      </c>
      <c r="F43" s="103">
        <v>32.68</v>
      </c>
      <c r="G43" s="14">
        <f t="shared" si="48"/>
        <v>32680</v>
      </c>
      <c r="H43" s="97"/>
      <c r="I43" s="166" t="s">
        <v>2338</v>
      </c>
      <c r="J43" s="85" t="s">
        <v>2319</v>
      </c>
      <c r="K43" s="135">
        <v>1325</v>
      </c>
      <c r="L43" s="4"/>
      <c r="M43" s="167" t="s">
        <v>2323</v>
      </c>
      <c r="N43" s="168" t="s">
        <v>2358</v>
      </c>
      <c r="O43" s="4"/>
      <c r="P43" s="4"/>
      <c r="Q43" s="5">
        <v>56000</v>
      </c>
      <c r="R43" s="36">
        <v>4000</v>
      </c>
      <c r="S43" s="36"/>
      <c r="T43" s="37">
        <v>11500</v>
      </c>
      <c r="U43" s="5">
        <f t="shared" si="49"/>
        <v>48500</v>
      </c>
      <c r="V43" s="5">
        <f t="shared" si="50"/>
        <v>1584980</v>
      </c>
      <c r="W43" s="5">
        <f t="shared" si="60"/>
        <v>285296.39999999997</v>
      </c>
      <c r="X43" s="5"/>
      <c r="Y43" s="5"/>
      <c r="Z43" s="98">
        <v>2259.9499999999998</v>
      </c>
      <c r="AA43" s="23">
        <f t="shared" si="51"/>
        <v>73855.165999999997</v>
      </c>
      <c r="AB43" s="97">
        <f t="shared" si="52"/>
        <v>13293.92988</v>
      </c>
      <c r="AC43" s="43"/>
      <c r="AD43" s="49"/>
      <c r="AE43" s="5">
        <f t="shared" si="53"/>
        <v>1957425.4958799998</v>
      </c>
      <c r="AF43" s="139">
        <v>475</v>
      </c>
      <c r="AG43" s="139" t="s">
        <v>2321</v>
      </c>
      <c r="AH43" s="103">
        <v>32.68</v>
      </c>
      <c r="AI43" s="12"/>
      <c r="AJ43" s="40"/>
      <c r="AK43" s="40"/>
    </row>
    <row r="44" spans="2:37" s="41" customFormat="1" ht="16.149999999999999" customHeight="1">
      <c r="B44" s="89"/>
      <c r="C44" s="82"/>
      <c r="D44" s="4"/>
      <c r="E44" s="82" t="s">
        <v>35</v>
      </c>
      <c r="F44" s="103">
        <v>32.68</v>
      </c>
      <c r="G44" s="14">
        <f t="shared" si="48"/>
        <v>32680</v>
      </c>
      <c r="H44" s="97"/>
      <c r="I44" s="166" t="s">
        <v>2338</v>
      </c>
      <c r="J44" s="85" t="s">
        <v>2319</v>
      </c>
      <c r="K44" s="135">
        <v>1326</v>
      </c>
      <c r="L44" s="4"/>
      <c r="M44" s="167" t="s">
        <v>2323</v>
      </c>
      <c r="N44" s="168" t="s">
        <v>2358</v>
      </c>
      <c r="O44" s="4"/>
      <c r="P44" s="4"/>
      <c r="Q44" s="5">
        <v>56000</v>
      </c>
      <c r="R44" s="36">
        <v>4000</v>
      </c>
      <c r="S44" s="36"/>
      <c r="T44" s="37">
        <v>11500</v>
      </c>
      <c r="U44" s="5">
        <f t="shared" si="49"/>
        <v>48500</v>
      </c>
      <c r="V44" s="5">
        <f t="shared" si="50"/>
        <v>1584980</v>
      </c>
      <c r="W44" s="5">
        <f t="shared" si="60"/>
        <v>285296.39999999997</v>
      </c>
      <c r="X44" s="5"/>
      <c r="Y44" s="5"/>
      <c r="Z44" s="98">
        <v>2259.9499999999998</v>
      </c>
      <c r="AA44" s="23">
        <f t="shared" si="51"/>
        <v>73855.165999999997</v>
      </c>
      <c r="AB44" s="97">
        <f t="shared" si="52"/>
        <v>13293.92988</v>
      </c>
      <c r="AC44" s="43"/>
      <c r="AD44" s="49"/>
      <c r="AE44" s="5">
        <f t="shared" si="53"/>
        <v>1957425.4958799998</v>
      </c>
      <c r="AF44" s="139">
        <v>476</v>
      </c>
      <c r="AG44" s="139" t="s">
        <v>2321</v>
      </c>
      <c r="AH44" s="103">
        <v>32.68</v>
      </c>
      <c r="AI44" s="12"/>
      <c r="AJ44" s="40"/>
      <c r="AK44" s="40"/>
    </row>
    <row r="45" spans="2:37" s="41" customFormat="1" ht="16.149999999999999" customHeight="1">
      <c r="B45" s="89"/>
      <c r="C45" s="82"/>
      <c r="D45" s="4"/>
      <c r="E45" s="82" t="s">
        <v>35</v>
      </c>
      <c r="F45" s="103">
        <v>32.729999999999997</v>
      </c>
      <c r="G45" s="14">
        <f t="shared" si="48"/>
        <v>32729.999999999996</v>
      </c>
      <c r="H45" s="97"/>
      <c r="I45" s="166" t="s">
        <v>2339</v>
      </c>
      <c r="J45" s="85" t="s">
        <v>2319</v>
      </c>
      <c r="K45" s="135">
        <v>1321</v>
      </c>
      <c r="L45" s="4"/>
      <c r="M45" s="167" t="s">
        <v>2323</v>
      </c>
      <c r="N45" s="168" t="s">
        <v>2359</v>
      </c>
      <c r="O45" s="4"/>
      <c r="P45" s="4"/>
      <c r="Q45" s="5">
        <v>56000</v>
      </c>
      <c r="R45" s="36">
        <v>4000</v>
      </c>
      <c r="S45" s="36"/>
      <c r="T45" s="37">
        <v>11500</v>
      </c>
      <c r="U45" s="5">
        <f t="shared" si="49"/>
        <v>48500</v>
      </c>
      <c r="V45" s="5">
        <f t="shared" si="50"/>
        <v>1587404.9999999998</v>
      </c>
      <c r="W45" s="5">
        <f t="shared" si="60"/>
        <v>285732.89999999997</v>
      </c>
      <c r="X45" s="5"/>
      <c r="Y45" s="5"/>
      <c r="Z45" s="98">
        <v>2256.5</v>
      </c>
      <c r="AA45" s="23">
        <f t="shared" si="51"/>
        <v>73855.244999999995</v>
      </c>
      <c r="AB45" s="97">
        <f t="shared" si="52"/>
        <v>13293.944099999999</v>
      </c>
      <c r="AC45" s="43"/>
      <c r="AD45" s="49"/>
      <c r="AE45" s="5">
        <f t="shared" si="53"/>
        <v>1960287.0890999998</v>
      </c>
      <c r="AF45" s="139">
        <v>477</v>
      </c>
      <c r="AG45" s="139" t="s">
        <v>2321</v>
      </c>
      <c r="AH45" s="103">
        <v>32.729999999999997</v>
      </c>
      <c r="AI45" s="12"/>
      <c r="AJ45" s="40"/>
      <c r="AK45" s="40"/>
    </row>
    <row r="46" spans="2:37" s="41" customFormat="1" ht="16.149999999999999" customHeight="1">
      <c r="B46" s="89"/>
      <c r="C46" s="82"/>
      <c r="D46" s="4"/>
      <c r="E46" s="82" t="s">
        <v>35</v>
      </c>
      <c r="F46" s="103">
        <v>32.729999999999997</v>
      </c>
      <c r="G46" s="14">
        <f t="shared" si="48"/>
        <v>32729.999999999996</v>
      </c>
      <c r="H46" s="97"/>
      <c r="I46" s="166" t="s">
        <v>2339</v>
      </c>
      <c r="J46" s="85" t="s">
        <v>2319</v>
      </c>
      <c r="K46" s="135">
        <v>1322</v>
      </c>
      <c r="L46" s="4"/>
      <c r="M46" s="167" t="s">
        <v>2323</v>
      </c>
      <c r="N46" s="168" t="s">
        <v>2359</v>
      </c>
      <c r="O46" s="4"/>
      <c r="P46" s="4"/>
      <c r="Q46" s="5">
        <v>56000</v>
      </c>
      <c r="R46" s="36">
        <v>4000</v>
      </c>
      <c r="S46" s="36"/>
      <c r="T46" s="37">
        <v>11500</v>
      </c>
      <c r="U46" s="5">
        <f t="shared" si="49"/>
        <v>48500</v>
      </c>
      <c r="V46" s="5">
        <f t="shared" si="50"/>
        <v>1587404.9999999998</v>
      </c>
      <c r="W46" s="5">
        <f t="shared" si="60"/>
        <v>285732.89999999997</v>
      </c>
      <c r="X46" s="5"/>
      <c r="Y46" s="5"/>
      <c r="Z46" s="98">
        <v>2256.5</v>
      </c>
      <c r="AA46" s="23">
        <f t="shared" si="51"/>
        <v>73855.244999999995</v>
      </c>
      <c r="AB46" s="97">
        <f t="shared" si="52"/>
        <v>13293.944099999999</v>
      </c>
      <c r="AC46" s="43"/>
      <c r="AD46" s="49"/>
      <c r="AE46" s="5">
        <f t="shared" si="53"/>
        <v>1960287.0890999998</v>
      </c>
      <c r="AF46" s="139">
        <v>478</v>
      </c>
      <c r="AG46" s="139" t="s">
        <v>2321</v>
      </c>
      <c r="AH46" s="103">
        <v>32.729999999999997</v>
      </c>
      <c r="AI46" s="12"/>
      <c r="AJ46" s="40"/>
      <c r="AK46" s="40"/>
    </row>
    <row r="47" spans="2:37" s="41" customFormat="1" ht="16.149999999999999" customHeight="1">
      <c r="B47" s="89"/>
      <c r="C47" s="82"/>
      <c r="D47" s="4"/>
      <c r="E47" s="82" t="s">
        <v>35</v>
      </c>
      <c r="F47" s="103">
        <v>32.68</v>
      </c>
      <c r="G47" s="14">
        <f t="shared" si="48"/>
        <v>32680</v>
      </c>
      <c r="H47" s="97"/>
      <c r="I47" s="166" t="s">
        <v>2340</v>
      </c>
      <c r="J47" s="85" t="s">
        <v>2319</v>
      </c>
      <c r="K47" s="135">
        <v>1318</v>
      </c>
      <c r="L47" s="4"/>
      <c r="M47" s="167" t="s">
        <v>2322</v>
      </c>
      <c r="N47" s="166" t="s">
        <v>2360</v>
      </c>
      <c r="O47" s="4"/>
      <c r="P47" s="4"/>
      <c r="Q47" s="5">
        <v>56000</v>
      </c>
      <c r="R47" s="36">
        <v>4000</v>
      </c>
      <c r="S47" s="36"/>
      <c r="T47" s="37">
        <v>11500</v>
      </c>
      <c r="U47" s="5">
        <f t="shared" si="49"/>
        <v>48500</v>
      </c>
      <c r="V47" s="5">
        <f t="shared" si="50"/>
        <v>1584980</v>
      </c>
      <c r="W47" s="5">
        <f t="shared" si="60"/>
        <v>285296.39999999997</v>
      </c>
      <c r="X47" s="5"/>
      <c r="Y47" s="5"/>
      <c r="Z47" s="98">
        <v>2259.9499999999998</v>
      </c>
      <c r="AA47" s="23">
        <f t="shared" si="51"/>
        <v>73855.165999999997</v>
      </c>
      <c r="AB47" s="97">
        <f t="shared" si="52"/>
        <v>13293.92988</v>
      </c>
      <c r="AC47" s="43"/>
      <c r="AD47" s="49"/>
      <c r="AE47" s="5">
        <f t="shared" si="53"/>
        <v>1957425.4958799998</v>
      </c>
      <c r="AF47" s="139">
        <v>479</v>
      </c>
      <c r="AG47" s="139" t="s">
        <v>2321</v>
      </c>
      <c r="AH47" s="103">
        <v>32.68</v>
      </c>
      <c r="AI47" s="12"/>
      <c r="AJ47" s="40"/>
      <c r="AK47" s="40"/>
    </row>
    <row r="48" spans="2:37" s="41" customFormat="1" ht="16.149999999999999" customHeight="1">
      <c r="B48" s="89"/>
      <c r="C48" s="82"/>
      <c r="D48" s="4"/>
      <c r="E48" s="82" t="s">
        <v>35</v>
      </c>
      <c r="F48" s="103">
        <v>32.68</v>
      </c>
      <c r="G48" s="14">
        <f t="shared" si="48"/>
        <v>32680</v>
      </c>
      <c r="H48" s="97"/>
      <c r="I48" s="166" t="s">
        <v>2340</v>
      </c>
      <c r="J48" s="85" t="s">
        <v>2319</v>
      </c>
      <c r="K48" s="135">
        <v>1317</v>
      </c>
      <c r="L48" s="4"/>
      <c r="M48" s="167" t="s">
        <v>2323</v>
      </c>
      <c r="N48" s="166" t="s">
        <v>2360</v>
      </c>
      <c r="O48" s="4"/>
      <c r="P48" s="4"/>
      <c r="Q48" s="5">
        <v>56000</v>
      </c>
      <c r="R48" s="36">
        <v>4000</v>
      </c>
      <c r="S48" s="36"/>
      <c r="T48" s="37">
        <v>11500</v>
      </c>
      <c r="U48" s="5">
        <f t="shared" si="49"/>
        <v>48500</v>
      </c>
      <c r="V48" s="5">
        <f t="shared" si="50"/>
        <v>1584980</v>
      </c>
      <c r="W48" s="5">
        <f t="shared" si="60"/>
        <v>285296.39999999997</v>
      </c>
      <c r="X48" s="5"/>
      <c r="Y48" s="5"/>
      <c r="Z48" s="98">
        <v>2259.9499999999998</v>
      </c>
      <c r="AA48" s="23">
        <f t="shared" si="51"/>
        <v>73855.165999999997</v>
      </c>
      <c r="AB48" s="97">
        <f t="shared" si="52"/>
        <v>13293.92988</v>
      </c>
      <c r="AC48" s="43"/>
      <c r="AD48" s="49"/>
      <c r="AE48" s="5">
        <f t="shared" si="53"/>
        <v>1957425.4958799998</v>
      </c>
      <c r="AF48" s="139">
        <v>480</v>
      </c>
      <c r="AG48" s="139" t="s">
        <v>2321</v>
      </c>
      <c r="AH48" s="103">
        <v>32.68</v>
      </c>
      <c r="AI48" s="12"/>
      <c r="AJ48" s="40"/>
      <c r="AK48" s="40"/>
    </row>
    <row r="49" spans="2:37" s="41" customFormat="1" ht="16.149999999999999" customHeight="1">
      <c r="B49" s="89"/>
      <c r="C49" s="82"/>
      <c r="D49" s="4"/>
      <c r="E49" s="82" t="s">
        <v>35</v>
      </c>
      <c r="F49" s="103">
        <v>32.76</v>
      </c>
      <c r="G49" s="14">
        <f t="shared" si="48"/>
        <v>32759.999999999996</v>
      </c>
      <c r="H49" s="97"/>
      <c r="I49" s="166" t="s">
        <v>2341</v>
      </c>
      <c r="J49" s="85" t="s">
        <v>2319</v>
      </c>
      <c r="K49" s="135">
        <v>1313</v>
      </c>
      <c r="L49" s="4"/>
      <c r="M49" s="167" t="s">
        <v>2322</v>
      </c>
      <c r="N49" s="166" t="s">
        <v>2361</v>
      </c>
      <c r="O49" s="4"/>
      <c r="P49" s="4"/>
      <c r="Q49" s="5">
        <v>56000</v>
      </c>
      <c r="R49" s="36">
        <v>4000</v>
      </c>
      <c r="S49" s="36"/>
      <c r="T49" s="37">
        <v>11500</v>
      </c>
      <c r="U49" s="5">
        <f t="shared" si="49"/>
        <v>48500</v>
      </c>
      <c r="V49" s="5">
        <f t="shared" si="50"/>
        <v>1588860</v>
      </c>
      <c r="W49" s="5">
        <f t="shared" si="60"/>
        <v>285994.8</v>
      </c>
      <c r="X49" s="5"/>
      <c r="Y49" s="5"/>
      <c r="Z49" s="98">
        <v>2254.4299999999998</v>
      </c>
      <c r="AA49" s="23">
        <f t="shared" si="51"/>
        <v>73855.126799999984</v>
      </c>
      <c r="AB49" s="97">
        <f t="shared" si="52"/>
        <v>13293.922823999996</v>
      </c>
      <c r="AC49" s="43"/>
      <c r="AD49" s="49"/>
      <c r="AE49" s="5">
        <f t="shared" si="53"/>
        <v>1962003.849624</v>
      </c>
      <c r="AF49" s="139">
        <v>481</v>
      </c>
      <c r="AG49" s="139" t="s">
        <v>2321</v>
      </c>
      <c r="AH49" s="103">
        <v>32.76</v>
      </c>
      <c r="AI49" s="12"/>
      <c r="AJ49" s="40"/>
      <c r="AK49" s="40"/>
    </row>
    <row r="50" spans="2:37" s="41" customFormat="1" ht="16.149999999999999" customHeight="1">
      <c r="B50" s="89"/>
      <c r="C50" s="82"/>
      <c r="D50" s="4"/>
      <c r="E50" s="82" t="s">
        <v>35</v>
      </c>
      <c r="F50" s="103">
        <v>32.76</v>
      </c>
      <c r="G50" s="14">
        <f t="shared" si="48"/>
        <v>32759.999999999996</v>
      </c>
      <c r="H50" s="97"/>
      <c r="I50" s="166" t="s">
        <v>2341</v>
      </c>
      <c r="J50" s="85" t="s">
        <v>2319</v>
      </c>
      <c r="K50" s="135">
        <v>1314</v>
      </c>
      <c r="L50" s="4"/>
      <c r="M50" s="167" t="s">
        <v>2322</v>
      </c>
      <c r="N50" s="166" t="s">
        <v>2361</v>
      </c>
      <c r="O50" s="4"/>
      <c r="P50" s="4"/>
      <c r="Q50" s="5">
        <v>56000</v>
      </c>
      <c r="R50" s="36">
        <v>4000</v>
      </c>
      <c r="S50" s="36"/>
      <c r="T50" s="37">
        <v>11500</v>
      </c>
      <c r="U50" s="5">
        <f t="shared" si="49"/>
        <v>48500</v>
      </c>
      <c r="V50" s="5">
        <f t="shared" si="50"/>
        <v>1588860</v>
      </c>
      <c r="W50" s="5">
        <f t="shared" si="60"/>
        <v>285994.8</v>
      </c>
      <c r="X50" s="5"/>
      <c r="Y50" s="5"/>
      <c r="Z50" s="98">
        <v>2254.4299999999998</v>
      </c>
      <c r="AA50" s="23">
        <f t="shared" si="51"/>
        <v>73855.126799999984</v>
      </c>
      <c r="AB50" s="97">
        <f t="shared" si="52"/>
        <v>13293.922823999996</v>
      </c>
      <c r="AC50" s="43"/>
      <c r="AD50" s="49"/>
      <c r="AE50" s="5">
        <f t="shared" si="53"/>
        <v>1962003.849624</v>
      </c>
      <c r="AF50" s="139">
        <v>482</v>
      </c>
      <c r="AG50" s="139" t="s">
        <v>2321</v>
      </c>
      <c r="AH50" s="103">
        <v>32.76</v>
      </c>
      <c r="AI50" s="12"/>
      <c r="AJ50" s="40"/>
      <c r="AK50" s="40"/>
    </row>
    <row r="51" spans="2:37" s="41" customFormat="1" ht="16.149999999999999" customHeight="1">
      <c r="B51" s="89"/>
      <c r="C51" s="82"/>
      <c r="D51" s="4"/>
      <c r="E51" s="82" t="s">
        <v>35</v>
      </c>
      <c r="F51" s="103">
        <v>32.799999999999997</v>
      </c>
      <c r="G51" s="14">
        <f t="shared" si="48"/>
        <v>32800</v>
      </c>
      <c r="H51" s="97"/>
      <c r="I51" s="166" t="s">
        <v>2342</v>
      </c>
      <c r="J51" s="85" t="s">
        <v>2319</v>
      </c>
      <c r="K51" s="135">
        <v>1291</v>
      </c>
      <c r="L51" s="4"/>
      <c r="M51" s="167" t="s">
        <v>2321</v>
      </c>
      <c r="N51" s="168" t="s">
        <v>2362</v>
      </c>
      <c r="O51" s="4"/>
      <c r="P51" s="4"/>
      <c r="Q51" s="5">
        <v>56000</v>
      </c>
      <c r="R51" s="36">
        <v>4000</v>
      </c>
      <c r="S51" s="36"/>
      <c r="T51" s="37">
        <v>11500</v>
      </c>
      <c r="U51" s="5">
        <f t="shared" si="49"/>
        <v>48500</v>
      </c>
      <c r="V51" s="5">
        <f t="shared" si="50"/>
        <v>1590799.9999999998</v>
      </c>
      <c r="W51" s="5">
        <f t="shared" si="60"/>
        <v>286343.99999999994</v>
      </c>
      <c r="X51" s="5"/>
      <c r="Y51" s="5"/>
      <c r="Z51" s="98">
        <v>2251.6799999999998</v>
      </c>
      <c r="AA51" s="23">
        <f t="shared" si="51"/>
        <v>73855.103999999992</v>
      </c>
      <c r="AB51" s="97">
        <f t="shared" si="52"/>
        <v>13293.918719999998</v>
      </c>
      <c r="AC51" s="43"/>
      <c r="AD51" s="49"/>
      <c r="AE51" s="5">
        <f t="shared" si="53"/>
        <v>1964293.0227199998</v>
      </c>
      <c r="AF51" s="139">
        <v>483</v>
      </c>
      <c r="AG51" s="139" t="s">
        <v>2321</v>
      </c>
      <c r="AH51" s="103">
        <v>32.799999999999997</v>
      </c>
      <c r="AI51" s="12"/>
      <c r="AJ51" s="40"/>
      <c r="AK51" s="40"/>
    </row>
    <row r="52" spans="2:37" s="41" customFormat="1" ht="16.149999999999999" customHeight="1">
      <c r="B52" s="89"/>
      <c r="C52" s="82"/>
      <c r="D52" s="4"/>
      <c r="E52" s="82" t="s">
        <v>35</v>
      </c>
      <c r="F52" s="103">
        <v>32.799999999999997</v>
      </c>
      <c r="G52" s="14">
        <f t="shared" si="48"/>
        <v>32800</v>
      </c>
      <c r="H52" s="97"/>
      <c r="I52" s="166" t="s">
        <v>2342</v>
      </c>
      <c r="J52" s="85" t="s">
        <v>2319</v>
      </c>
      <c r="K52" s="135">
        <v>1290</v>
      </c>
      <c r="L52" s="4"/>
      <c r="M52" s="167" t="s">
        <v>2321</v>
      </c>
      <c r="N52" s="168" t="s">
        <v>2362</v>
      </c>
      <c r="O52" s="4"/>
      <c r="P52" s="4"/>
      <c r="Q52" s="5">
        <v>56000</v>
      </c>
      <c r="R52" s="36">
        <v>4000</v>
      </c>
      <c r="S52" s="36"/>
      <c r="T52" s="37">
        <v>11500</v>
      </c>
      <c r="U52" s="5">
        <f t="shared" si="49"/>
        <v>48500</v>
      </c>
      <c r="V52" s="5">
        <f t="shared" si="50"/>
        <v>1590799.9999999998</v>
      </c>
      <c r="W52" s="5">
        <f t="shared" si="60"/>
        <v>286343.99999999994</v>
      </c>
      <c r="X52" s="5"/>
      <c r="Y52" s="5"/>
      <c r="Z52" s="98">
        <v>2251.6799999999998</v>
      </c>
      <c r="AA52" s="23">
        <f t="shared" si="51"/>
        <v>73855.103999999992</v>
      </c>
      <c r="AB52" s="97">
        <f t="shared" si="52"/>
        <v>13293.918719999998</v>
      </c>
      <c r="AC52" s="43"/>
      <c r="AD52" s="49"/>
      <c r="AE52" s="5">
        <f t="shared" si="53"/>
        <v>1964293.0227199998</v>
      </c>
      <c r="AF52" s="139">
        <v>484</v>
      </c>
      <c r="AG52" s="139" t="s">
        <v>2321</v>
      </c>
      <c r="AH52" s="103">
        <v>32.799999999999997</v>
      </c>
      <c r="AI52" s="12"/>
      <c r="AJ52" s="40"/>
      <c r="AK52" s="40"/>
    </row>
    <row r="53" spans="2:37" s="41" customFormat="1" ht="16.149999999999999" customHeight="1">
      <c r="B53" s="89"/>
      <c r="C53" s="82"/>
      <c r="D53" s="4"/>
      <c r="E53" s="82" t="s">
        <v>35</v>
      </c>
      <c r="F53" s="103">
        <v>32.76</v>
      </c>
      <c r="G53" s="14">
        <f t="shared" si="48"/>
        <v>32759.999999999996</v>
      </c>
      <c r="H53" s="97"/>
      <c r="I53" s="166" t="s">
        <v>2343</v>
      </c>
      <c r="J53" s="85" t="s">
        <v>2319</v>
      </c>
      <c r="K53" s="135">
        <v>1289</v>
      </c>
      <c r="L53" s="4"/>
      <c r="M53" s="167" t="s">
        <v>2321</v>
      </c>
      <c r="N53" s="168" t="s">
        <v>2363</v>
      </c>
      <c r="O53" s="4"/>
      <c r="P53" s="4"/>
      <c r="Q53" s="5">
        <v>56000</v>
      </c>
      <c r="R53" s="36">
        <v>4000</v>
      </c>
      <c r="S53" s="36"/>
      <c r="T53" s="37">
        <v>11500</v>
      </c>
      <c r="U53" s="5">
        <f t="shared" si="49"/>
        <v>48500</v>
      </c>
      <c r="V53" s="5">
        <f t="shared" si="50"/>
        <v>1588860</v>
      </c>
      <c r="W53" s="5">
        <f t="shared" si="60"/>
        <v>285994.8</v>
      </c>
      <c r="X53" s="5"/>
      <c r="Y53" s="5"/>
      <c r="Z53" s="98">
        <v>2254.4299999999998</v>
      </c>
      <c r="AA53" s="23">
        <f t="shared" si="51"/>
        <v>73855.126799999984</v>
      </c>
      <c r="AB53" s="97">
        <f t="shared" si="52"/>
        <v>13293.922823999996</v>
      </c>
      <c r="AC53" s="43"/>
      <c r="AD53" s="49"/>
      <c r="AE53" s="5">
        <f t="shared" si="53"/>
        <v>1962003.849624</v>
      </c>
      <c r="AF53" s="139">
        <v>485</v>
      </c>
      <c r="AG53" s="139" t="s">
        <v>2321</v>
      </c>
      <c r="AH53" s="103">
        <v>32.76</v>
      </c>
      <c r="AI53" s="12"/>
      <c r="AJ53" s="40"/>
      <c r="AK53" s="40"/>
    </row>
    <row r="54" spans="2:37" s="41" customFormat="1" ht="16.149999999999999" customHeight="1">
      <c r="B54" s="89"/>
      <c r="C54" s="82"/>
      <c r="D54" s="4"/>
      <c r="E54" s="82" t="s">
        <v>35</v>
      </c>
      <c r="F54" s="103">
        <v>32.76</v>
      </c>
      <c r="G54" s="14">
        <f t="shared" si="48"/>
        <v>32759.999999999996</v>
      </c>
      <c r="H54" s="97"/>
      <c r="I54" s="166" t="s">
        <v>2343</v>
      </c>
      <c r="J54" s="85" t="s">
        <v>2319</v>
      </c>
      <c r="K54" s="135">
        <v>1288</v>
      </c>
      <c r="L54" s="4"/>
      <c r="M54" s="167" t="s">
        <v>2321</v>
      </c>
      <c r="N54" s="168" t="s">
        <v>2363</v>
      </c>
      <c r="O54" s="4"/>
      <c r="P54" s="4"/>
      <c r="Q54" s="5">
        <v>56000</v>
      </c>
      <c r="R54" s="36">
        <v>4000</v>
      </c>
      <c r="S54" s="36"/>
      <c r="T54" s="37">
        <v>11500</v>
      </c>
      <c r="U54" s="5">
        <f t="shared" si="49"/>
        <v>48500</v>
      </c>
      <c r="V54" s="5">
        <f t="shared" si="50"/>
        <v>1588860</v>
      </c>
      <c r="W54" s="5">
        <f t="shared" si="60"/>
        <v>285994.8</v>
      </c>
      <c r="X54" s="5"/>
      <c r="Y54" s="5"/>
      <c r="Z54" s="98">
        <v>2254.4299999999998</v>
      </c>
      <c r="AA54" s="23">
        <f t="shared" si="51"/>
        <v>73855.126799999984</v>
      </c>
      <c r="AB54" s="97">
        <f t="shared" si="52"/>
        <v>13293.922823999996</v>
      </c>
      <c r="AC54" s="43"/>
      <c r="AD54" s="49"/>
      <c r="AE54" s="5">
        <f t="shared" si="53"/>
        <v>1962003.849624</v>
      </c>
      <c r="AF54" s="139">
        <v>486</v>
      </c>
      <c r="AG54" s="139" t="s">
        <v>2321</v>
      </c>
      <c r="AH54" s="103">
        <v>32.76</v>
      </c>
      <c r="AI54" s="12"/>
      <c r="AJ54" s="40"/>
      <c r="AK54" s="40"/>
    </row>
    <row r="55" spans="2:37" s="41" customFormat="1" ht="16.149999999999999" customHeight="1">
      <c r="B55" s="89"/>
      <c r="C55" s="82"/>
      <c r="D55" s="4"/>
      <c r="E55" s="82" t="s">
        <v>35</v>
      </c>
      <c r="F55" s="103">
        <v>32.79</v>
      </c>
      <c r="G55" s="14">
        <f t="shared" si="48"/>
        <v>32790</v>
      </c>
      <c r="H55" s="97"/>
      <c r="I55" s="166" t="s">
        <v>2344</v>
      </c>
      <c r="J55" s="85" t="s">
        <v>2319</v>
      </c>
      <c r="K55" s="135">
        <v>1278</v>
      </c>
      <c r="L55" s="4"/>
      <c r="M55" s="167" t="s">
        <v>2320</v>
      </c>
      <c r="N55" s="168" t="s">
        <v>2364</v>
      </c>
      <c r="O55" s="4"/>
      <c r="P55" s="4"/>
      <c r="Q55" s="5">
        <v>56000</v>
      </c>
      <c r="R55" s="36">
        <v>4000</v>
      </c>
      <c r="S55" s="36"/>
      <c r="T55" s="37">
        <v>11500</v>
      </c>
      <c r="U55" s="5">
        <f t="shared" si="49"/>
        <v>48500</v>
      </c>
      <c r="V55" s="5">
        <f t="shared" si="50"/>
        <v>1590315</v>
      </c>
      <c r="W55" s="5">
        <f t="shared" si="60"/>
        <v>286256.7</v>
      </c>
      <c r="X55" s="5"/>
      <c r="Y55" s="5"/>
      <c r="Z55" s="98">
        <v>2252.37</v>
      </c>
      <c r="AA55" s="23">
        <f t="shared" si="51"/>
        <v>73855.212299999999</v>
      </c>
      <c r="AB55" s="97">
        <f t="shared" si="52"/>
        <v>13293.938214</v>
      </c>
      <c r="AC55" s="43"/>
      <c r="AD55" s="49"/>
      <c r="AE55" s="5">
        <f t="shared" si="53"/>
        <v>1963720.850514</v>
      </c>
      <c r="AF55" s="139">
        <v>487</v>
      </c>
      <c r="AG55" s="139" t="s">
        <v>2321</v>
      </c>
      <c r="AH55" s="103">
        <v>32.79</v>
      </c>
      <c r="AI55" s="12"/>
      <c r="AJ55" s="40"/>
      <c r="AK55" s="40"/>
    </row>
    <row r="56" spans="2:37" s="41" customFormat="1" ht="16.149999999999999" customHeight="1">
      <c r="B56" s="89"/>
      <c r="C56" s="82"/>
      <c r="D56" s="4"/>
      <c r="E56" s="82" t="s">
        <v>35</v>
      </c>
      <c r="F56" s="103">
        <v>32.79</v>
      </c>
      <c r="G56" s="14">
        <f t="shared" si="48"/>
        <v>32790</v>
      </c>
      <c r="H56" s="97"/>
      <c r="I56" s="166" t="s">
        <v>2344</v>
      </c>
      <c r="J56" s="85" t="s">
        <v>2319</v>
      </c>
      <c r="K56" s="135">
        <v>1302</v>
      </c>
      <c r="L56" s="4"/>
      <c r="M56" s="167" t="s">
        <v>2322</v>
      </c>
      <c r="N56" s="168" t="s">
        <v>2364</v>
      </c>
      <c r="O56" s="4"/>
      <c r="P56" s="4"/>
      <c r="Q56" s="5">
        <v>56000</v>
      </c>
      <c r="R56" s="36">
        <v>4000</v>
      </c>
      <c r="S56" s="36"/>
      <c r="T56" s="37">
        <v>11500</v>
      </c>
      <c r="U56" s="5">
        <f t="shared" si="49"/>
        <v>48500</v>
      </c>
      <c r="V56" s="5">
        <f t="shared" si="50"/>
        <v>1590315</v>
      </c>
      <c r="W56" s="5">
        <f t="shared" si="60"/>
        <v>286256.7</v>
      </c>
      <c r="X56" s="5"/>
      <c r="Y56" s="5"/>
      <c r="Z56" s="98">
        <v>2252.37</v>
      </c>
      <c r="AA56" s="23">
        <f t="shared" si="51"/>
        <v>73855.212299999999</v>
      </c>
      <c r="AB56" s="97">
        <f t="shared" si="52"/>
        <v>13293.938214</v>
      </c>
      <c r="AC56" s="43"/>
      <c r="AD56" s="49"/>
      <c r="AE56" s="5">
        <f t="shared" si="53"/>
        <v>1963720.850514</v>
      </c>
      <c r="AF56" s="139">
        <v>488</v>
      </c>
      <c r="AG56" s="139" t="s">
        <v>2321</v>
      </c>
      <c r="AH56" s="103">
        <v>32.79</v>
      </c>
      <c r="AI56" s="12"/>
      <c r="AJ56" s="40"/>
      <c r="AK56" s="40"/>
    </row>
    <row r="57" spans="2:37" s="41" customFormat="1" ht="16.149999999999999" customHeight="1">
      <c r="B57" s="89"/>
      <c r="C57" s="82"/>
      <c r="D57" s="4"/>
      <c r="E57" s="82" t="s">
        <v>35</v>
      </c>
      <c r="F57" s="103">
        <v>32.89</v>
      </c>
      <c r="G57" s="14">
        <f t="shared" ref="G57:G74" si="61">+F57*1000</f>
        <v>32890</v>
      </c>
      <c r="H57" s="97"/>
      <c r="I57" s="166" t="s">
        <v>2345</v>
      </c>
      <c r="J57" s="85" t="s">
        <v>2319</v>
      </c>
      <c r="K57" s="135">
        <v>1312</v>
      </c>
      <c r="L57" s="4"/>
      <c r="M57" s="167" t="s">
        <v>2322</v>
      </c>
      <c r="N57" s="168" t="s">
        <v>2365</v>
      </c>
      <c r="O57" s="4"/>
      <c r="P57" s="4"/>
      <c r="Q57" s="5">
        <v>56000</v>
      </c>
      <c r="R57" s="36">
        <v>4000</v>
      </c>
      <c r="S57" s="36"/>
      <c r="T57" s="37">
        <v>11500</v>
      </c>
      <c r="U57" s="5">
        <f t="shared" ref="U57:U74" si="62">S57+R57+Q57-T57</f>
        <v>48500</v>
      </c>
      <c r="V57" s="5">
        <f t="shared" ref="V57:V74" si="63">F57*U57</f>
        <v>1595165</v>
      </c>
      <c r="W57" s="5">
        <f t="shared" ref="W57:W74" si="64">V57*18%</f>
        <v>287129.7</v>
      </c>
      <c r="X57" s="5"/>
      <c r="Y57" s="5"/>
      <c r="Z57" s="98">
        <v>2245.52</v>
      </c>
      <c r="AA57" s="23">
        <f t="shared" ref="AA57:AA74" si="65">F57*Z57</f>
        <v>73855.152799999996</v>
      </c>
      <c r="AB57" s="97">
        <f t="shared" ref="AB57:AB74" si="66">AA57*18%</f>
        <v>13293.927503999999</v>
      </c>
      <c r="AC57" s="43"/>
      <c r="AD57" s="49"/>
      <c r="AE57" s="5">
        <f t="shared" ref="AE57:AE74" si="67">+AB57+AA57+Y57+X57+W57+V57-AC57+AD57</f>
        <v>1969443.780304</v>
      </c>
      <c r="AF57" s="139">
        <v>489</v>
      </c>
      <c r="AG57" s="139" t="s">
        <v>2321</v>
      </c>
      <c r="AH57" s="103">
        <v>32.89</v>
      </c>
      <c r="AI57" s="12"/>
      <c r="AJ57" s="40"/>
      <c r="AK57" s="40"/>
    </row>
    <row r="58" spans="2:37" s="41" customFormat="1" ht="16.149999999999999" customHeight="1">
      <c r="B58" s="89"/>
      <c r="C58" s="82"/>
      <c r="D58" s="4"/>
      <c r="E58" s="82" t="s">
        <v>35</v>
      </c>
      <c r="F58" s="103">
        <v>32.89</v>
      </c>
      <c r="G58" s="14">
        <f t="shared" si="61"/>
        <v>32890</v>
      </c>
      <c r="H58" s="97"/>
      <c r="I58" s="166" t="s">
        <v>2345</v>
      </c>
      <c r="J58" s="85" t="s">
        <v>2319</v>
      </c>
      <c r="K58" s="135">
        <v>1311</v>
      </c>
      <c r="L58" s="4"/>
      <c r="M58" s="167" t="s">
        <v>2322</v>
      </c>
      <c r="N58" s="168" t="s">
        <v>2365</v>
      </c>
      <c r="O58" s="4"/>
      <c r="P58" s="4"/>
      <c r="Q58" s="5">
        <v>56000</v>
      </c>
      <c r="R58" s="36">
        <v>4000</v>
      </c>
      <c r="S58" s="36"/>
      <c r="T58" s="37">
        <v>11500</v>
      </c>
      <c r="U58" s="5">
        <f t="shared" si="62"/>
        <v>48500</v>
      </c>
      <c r="V58" s="5">
        <f t="shared" si="63"/>
        <v>1595165</v>
      </c>
      <c r="W58" s="5">
        <f t="shared" si="64"/>
        <v>287129.7</v>
      </c>
      <c r="X58" s="5"/>
      <c r="Y58" s="5"/>
      <c r="Z58" s="98">
        <v>2245.52</v>
      </c>
      <c r="AA58" s="23">
        <f t="shared" si="65"/>
        <v>73855.152799999996</v>
      </c>
      <c r="AB58" s="97">
        <f t="shared" si="66"/>
        <v>13293.927503999999</v>
      </c>
      <c r="AC58" s="43"/>
      <c r="AD58" s="49"/>
      <c r="AE58" s="5">
        <f t="shared" si="67"/>
        <v>1969443.780304</v>
      </c>
      <c r="AF58" s="139">
        <v>490</v>
      </c>
      <c r="AG58" s="139" t="s">
        <v>2321</v>
      </c>
      <c r="AH58" s="103">
        <v>32.89</v>
      </c>
      <c r="AI58" s="12"/>
      <c r="AJ58" s="40"/>
      <c r="AK58" s="40"/>
    </row>
    <row r="59" spans="2:37" s="41" customFormat="1" ht="16.149999999999999" customHeight="1">
      <c r="B59" s="89"/>
      <c r="C59" s="82"/>
      <c r="D59" s="4"/>
      <c r="E59" s="82" t="s">
        <v>35</v>
      </c>
      <c r="F59" s="103">
        <v>32.770000000000003</v>
      </c>
      <c r="G59" s="14">
        <f t="shared" si="61"/>
        <v>32770</v>
      </c>
      <c r="H59" s="97"/>
      <c r="I59" s="166" t="s">
        <v>2346</v>
      </c>
      <c r="J59" s="85" t="s">
        <v>2319</v>
      </c>
      <c r="K59" s="135">
        <v>1298</v>
      </c>
      <c r="L59" s="4"/>
      <c r="M59" s="167" t="s">
        <v>2321</v>
      </c>
      <c r="N59" s="168" t="s">
        <v>2366</v>
      </c>
      <c r="O59" s="4"/>
      <c r="P59" s="4"/>
      <c r="Q59" s="5">
        <v>56000</v>
      </c>
      <c r="R59" s="36">
        <v>4000</v>
      </c>
      <c r="S59" s="36"/>
      <c r="T59" s="37">
        <v>11500</v>
      </c>
      <c r="U59" s="5">
        <f t="shared" si="62"/>
        <v>48500</v>
      </c>
      <c r="V59" s="5">
        <f t="shared" si="63"/>
        <v>1589345.0000000002</v>
      </c>
      <c r="W59" s="5">
        <f t="shared" si="64"/>
        <v>286082.10000000003</v>
      </c>
      <c r="X59" s="5"/>
      <c r="Y59" s="5"/>
      <c r="Z59" s="98">
        <v>2253.7399999999998</v>
      </c>
      <c r="AA59" s="23">
        <f t="shared" si="65"/>
        <v>73855.059800000003</v>
      </c>
      <c r="AB59" s="97">
        <f t="shared" si="66"/>
        <v>13293.910764</v>
      </c>
      <c r="AC59" s="43"/>
      <c r="AD59" s="49"/>
      <c r="AE59" s="5">
        <f t="shared" si="67"/>
        <v>1962576.0705640004</v>
      </c>
      <c r="AF59" s="139">
        <v>491</v>
      </c>
      <c r="AG59" s="139" t="s">
        <v>2321</v>
      </c>
      <c r="AH59" s="103">
        <v>32.770000000000003</v>
      </c>
      <c r="AI59" s="12"/>
      <c r="AJ59" s="40"/>
      <c r="AK59" s="40"/>
    </row>
    <row r="60" spans="2:37" s="41" customFormat="1" ht="16.149999999999999" customHeight="1">
      <c r="B60" s="89"/>
      <c r="C60" s="82"/>
      <c r="D60" s="4"/>
      <c r="E60" s="82" t="s">
        <v>35</v>
      </c>
      <c r="F60" s="103">
        <v>32.770000000000003</v>
      </c>
      <c r="G60" s="14">
        <f t="shared" si="61"/>
        <v>32770</v>
      </c>
      <c r="H60" s="97"/>
      <c r="I60" s="166" t="s">
        <v>2346</v>
      </c>
      <c r="J60" s="85" t="s">
        <v>2319</v>
      </c>
      <c r="K60" s="135">
        <v>1299</v>
      </c>
      <c r="L60" s="4"/>
      <c r="M60" s="167" t="s">
        <v>2321</v>
      </c>
      <c r="N60" s="168" t="s">
        <v>2366</v>
      </c>
      <c r="O60" s="4"/>
      <c r="P60" s="4"/>
      <c r="Q60" s="5">
        <v>56000</v>
      </c>
      <c r="R60" s="36">
        <v>4000</v>
      </c>
      <c r="S60" s="36"/>
      <c r="T60" s="37">
        <v>11500</v>
      </c>
      <c r="U60" s="5">
        <f t="shared" si="62"/>
        <v>48500</v>
      </c>
      <c r="V60" s="5">
        <f t="shared" si="63"/>
        <v>1589345.0000000002</v>
      </c>
      <c r="W60" s="5">
        <f t="shared" si="64"/>
        <v>286082.10000000003</v>
      </c>
      <c r="X60" s="5"/>
      <c r="Y60" s="5"/>
      <c r="Z60" s="98">
        <v>2253.7399999999998</v>
      </c>
      <c r="AA60" s="23">
        <f t="shared" si="65"/>
        <v>73855.059800000003</v>
      </c>
      <c r="AB60" s="97">
        <f t="shared" si="66"/>
        <v>13293.910764</v>
      </c>
      <c r="AC60" s="43"/>
      <c r="AD60" s="49"/>
      <c r="AE60" s="5">
        <f t="shared" si="67"/>
        <v>1962576.0705640004</v>
      </c>
      <c r="AF60" s="139">
        <v>492</v>
      </c>
      <c r="AG60" s="139" t="s">
        <v>2321</v>
      </c>
      <c r="AH60" s="103">
        <v>32.770000000000003</v>
      </c>
      <c r="AI60" s="12"/>
      <c r="AJ60" s="40"/>
      <c r="AK60" s="40"/>
    </row>
    <row r="61" spans="2:37" s="41" customFormat="1" ht="16.149999999999999" customHeight="1">
      <c r="B61" s="89"/>
      <c r="C61" s="82"/>
      <c r="D61" s="4"/>
      <c r="E61" s="82" t="s">
        <v>35</v>
      </c>
      <c r="F61" s="103">
        <v>32.729999999999997</v>
      </c>
      <c r="G61" s="14">
        <f t="shared" si="61"/>
        <v>32729.999999999996</v>
      </c>
      <c r="H61" s="97"/>
      <c r="I61" s="166" t="s">
        <v>2347</v>
      </c>
      <c r="J61" s="85" t="s">
        <v>2319</v>
      </c>
      <c r="K61" s="135">
        <v>1301</v>
      </c>
      <c r="L61" s="4"/>
      <c r="M61" s="167" t="s">
        <v>2321</v>
      </c>
      <c r="N61" s="168" t="s">
        <v>2367</v>
      </c>
      <c r="O61" s="4"/>
      <c r="P61" s="4"/>
      <c r="Q61" s="5">
        <v>56000</v>
      </c>
      <c r="R61" s="36">
        <v>4000</v>
      </c>
      <c r="S61" s="36"/>
      <c r="T61" s="37">
        <v>11500</v>
      </c>
      <c r="U61" s="5">
        <f t="shared" si="62"/>
        <v>48500</v>
      </c>
      <c r="V61" s="5">
        <f t="shared" si="63"/>
        <v>1587404.9999999998</v>
      </c>
      <c r="W61" s="5">
        <f t="shared" si="64"/>
        <v>285732.89999999997</v>
      </c>
      <c r="X61" s="5"/>
      <c r="Y61" s="5"/>
      <c r="Z61" s="98">
        <v>2256.5</v>
      </c>
      <c r="AA61" s="23">
        <f t="shared" si="65"/>
        <v>73855.244999999995</v>
      </c>
      <c r="AB61" s="97">
        <f t="shared" si="66"/>
        <v>13293.944099999999</v>
      </c>
      <c r="AC61" s="43"/>
      <c r="AD61" s="49"/>
      <c r="AE61" s="5">
        <f t="shared" si="67"/>
        <v>1960287.0890999998</v>
      </c>
      <c r="AF61" s="139">
        <v>493</v>
      </c>
      <c r="AG61" s="139" t="s">
        <v>2321</v>
      </c>
      <c r="AH61" s="103">
        <v>32.729999999999997</v>
      </c>
      <c r="AI61" s="12"/>
      <c r="AJ61" s="40"/>
      <c r="AK61" s="40"/>
    </row>
    <row r="62" spans="2:37" s="41" customFormat="1" ht="16.149999999999999" customHeight="1">
      <c r="B62" s="89"/>
      <c r="C62" s="82"/>
      <c r="D62" s="4"/>
      <c r="E62" s="82" t="s">
        <v>35</v>
      </c>
      <c r="F62" s="103">
        <v>32.729999999999997</v>
      </c>
      <c r="G62" s="14">
        <f t="shared" si="61"/>
        <v>32729.999999999996</v>
      </c>
      <c r="H62" s="97"/>
      <c r="I62" s="166" t="s">
        <v>2347</v>
      </c>
      <c r="J62" s="85" t="s">
        <v>2319</v>
      </c>
      <c r="K62" s="135">
        <v>1300</v>
      </c>
      <c r="L62" s="4"/>
      <c r="M62" s="167" t="s">
        <v>2322</v>
      </c>
      <c r="N62" s="168" t="s">
        <v>2367</v>
      </c>
      <c r="O62" s="4"/>
      <c r="P62" s="4"/>
      <c r="Q62" s="5">
        <v>56000</v>
      </c>
      <c r="R62" s="36">
        <v>4000</v>
      </c>
      <c r="S62" s="36"/>
      <c r="T62" s="37">
        <v>11500</v>
      </c>
      <c r="U62" s="5">
        <f t="shared" si="62"/>
        <v>48500</v>
      </c>
      <c r="V62" s="5">
        <f t="shared" si="63"/>
        <v>1587404.9999999998</v>
      </c>
      <c r="W62" s="5">
        <f t="shared" si="64"/>
        <v>285732.89999999997</v>
      </c>
      <c r="X62" s="5"/>
      <c r="Y62" s="5"/>
      <c r="Z62" s="98">
        <v>2256.5</v>
      </c>
      <c r="AA62" s="23">
        <f t="shared" si="65"/>
        <v>73855.244999999995</v>
      </c>
      <c r="AB62" s="97">
        <f t="shared" si="66"/>
        <v>13293.944099999999</v>
      </c>
      <c r="AC62" s="43"/>
      <c r="AD62" s="49"/>
      <c r="AE62" s="5">
        <f t="shared" si="67"/>
        <v>1960287.0890999998</v>
      </c>
      <c r="AF62" s="139">
        <v>494</v>
      </c>
      <c r="AG62" s="139" t="s">
        <v>2321</v>
      </c>
      <c r="AH62" s="103">
        <v>32.729999999999997</v>
      </c>
      <c r="AI62" s="12"/>
      <c r="AJ62" s="40"/>
      <c r="AK62" s="40"/>
    </row>
    <row r="63" spans="2:37" s="41" customFormat="1" ht="16.149999999999999" customHeight="1">
      <c r="B63" s="89"/>
      <c r="C63" s="82"/>
      <c r="D63" s="4"/>
      <c r="E63" s="82" t="s">
        <v>35</v>
      </c>
      <c r="F63" s="103">
        <v>32.71</v>
      </c>
      <c r="G63" s="14">
        <f t="shared" si="61"/>
        <v>32710</v>
      </c>
      <c r="H63" s="97"/>
      <c r="I63" s="166" t="s">
        <v>2348</v>
      </c>
      <c r="J63" s="85" t="s">
        <v>2319</v>
      </c>
      <c r="K63" s="135">
        <v>1304</v>
      </c>
      <c r="L63" s="4"/>
      <c r="M63" s="167" t="s">
        <v>2322</v>
      </c>
      <c r="N63" s="168" t="s">
        <v>2368</v>
      </c>
      <c r="O63" s="4"/>
      <c r="P63" s="4"/>
      <c r="Q63" s="5">
        <v>56000</v>
      </c>
      <c r="R63" s="36">
        <v>4000</v>
      </c>
      <c r="S63" s="36"/>
      <c r="T63" s="37">
        <v>11500</v>
      </c>
      <c r="U63" s="5">
        <f t="shared" si="62"/>
        <v>48500</v>
      </c>
      <c r="V63" s="5">
        <f t="shared" si="63"/>
        <v>1586435</v>
      </c>
      <c r="W63" s="5">
        <f t="shared" si="64"/>
        <v>285558.3</v>
      </c>
      <c r="X63" s="5"/>
      <c r="Y63" s="5"/>
      <c r="Z63" s="98">
        <v>2257.88</v>
      </c>
      <c r="AA63" s="23">
        <f t="shared" si="65"/>
        <v>73855.25480000001</v>
      </c>
      <c r="AB63" s="97">
        <f t="shared" si="66"/>
        <v>13293.945864000001</v>
      </c>
      <c r="AC63" s="43"/>
      <c r="AD63" s="49"/>
      <c r="AE63" s="5">
        <f t="shared" si="67"/>
        <v>1959142.5006639999</v>
      </c>
      <c r="AF63" s="139">
        <v>495</v>
      </c>
      <c r="AG63" s="139" t="s">
        <v>2321</v>
      </c>
      <c r="AH63" s="103">
        <v>32.71</v>
      </c>
      <c r="AI63" s="12"/>
      <c r="AJ63" s="40"/>
      <c r="AK63" s="40"/>
    </row>
    <row r="64" spans="2:37" s="41" customFormat="1" ht="16.149999999999999" customHeight="1">
      <c r="B64" s="89"/>
      <c r="C64" s="82"/>
      <c r="D64" s="4"/>
      <c r="E64" s="82" t="s">
        <v>35</v>
      </c>
      <c r="F64" s="103">
        <v>32.71</v>
      </c>
      <c r="G64" s="14">
        <f t="shared" si="61"/>
        <v>32710</v>
      </c>
      <c r="H64" s="97"/>
      <c r="I64" s="166" t="s">
        <v>2348</v>
      </c>
      <c r="J64" s="85" t="s">
        <v>2319</v>
      </c>
      <c r="K64" s="135">
        <v>1303</v>
      </c>
      <c r="L64" s="4"/>
      <c r="M64" s="167" t="s">
        <v>2322</v>
      </c>
      <c r="N64" s="168" t="s">
        <v>2368</v>
      </c>
      <c r="O64" s="4"/>
      <c r="P64" s="4"/>
      <c r="Q64" s="5">
        <v>56000</v>
      </c>
      <c r="R64" s="36">
        <v>4000</v>
      </c>
      <c r="S64" s="36"/>
      <c r="T64" s="37">
        <v>11500</v>
      </c>
      <c r="U64" s="5">
        <f t="shared" si="62"/>
        <v>48500</v>
      </c>
      <c r="V64" s="5">
        <f t="shared" si="63"/>
        <v>1586435</v>
      </c>
      <c r="W64" s="5">
        <f t="shared" si="64"/>
        <v>285558.3</v>
      </c>
      <c r="X64" s="5"/>
      <c r="Y64" s="5"/>
      <c r="Z64" s="98">
        <v>2257.88</v>
      </c>
      <c r="AA64" s="23">
        <f t="shared" si="65"/>
        <v>73855.25480000001</v>
      </c>
      <c r="AB64" s="97">
        <f t="shared" si="66"/>
        <v>13293.945864000001</v>
      </c>
      <c r="AC64" s="43"/>
      <c r="AD64" s="49"/>
      <c r="AE64" s="5">
        <f t="shared" si="67"/>
        <v>1959142.5006639999</v>
      </c>
      <c r="AF64" s="139">
        <v>496</v>
      </c>
      <c r="AG64" s="139" t="s">
        <v>2321</v>
      </c>
      <c r="AH64" s="103">
        <v>32.71</v>
      </c>
      <c r="AI64" s="12"/>
      <c r="AJ64" s="40"/>
      <c r="AK64" s="40"/>
    </row>
    <row r="65" spans="2:37" s="41" customFormat="1" ht="16.149999999999999" customHeight="1">
      <c r="B65" s="89"/>
      <c r="C65" s="82"/>
      <c r="D65" s="4"/>
      <c r="E65" s="82" t="s">
        <v>35</v>
      </c>
      <c r="F65" s="103">
        <v>31.732258064516124</v>
      </c>
      <c r="G65" s="14">
        <f t="shared" si="61"/>
        <v>31732.258064516125</v>
      </c>
      <c r="H65" s="97"/>
      <c r="I65" s="166" t="s">
        <v>2349</v>
      </c>
      <c r="J65" s="85" t="s">
        <v>2319</v>
      </c>
      <c r="K65" s="135">
        <v>1275</v>
      </c>
      <c r="L65" s="4"/>
      <c r="M65" s="167" t="s">
        <v>2320</v>
      </c>
      <c r="N65" s="168" t="s">
        <v>2369</v>
      </c>
      <c r="O65" s="4"/>
      <c r="P65" s="4"/>
      <c r="Q65" s="5">
        <v>56000</v>
      </c>
      <c r="R65" s="36">
        <v>4000</v>
      </c>
      <c r="S65" s="36"/>
      <c r="T65" s="37">
        <v>11500</v>
      </c>
      <c r="U65" s="5">
        <f t="shared" si="62"/>
        <v>48500</v>
      </c>
      <c r="V65" s="5">
        <f t="shared" si="63"/>
        <v>1539014.516129032</v>
      </c>
      <c r="W65" s="5">
        <f t="shared" si="64"/>
        <v>277022.61290322576</v>
      </c>
      <c r="X65" s="5"/>
      <c r="Y65" s="5"/>
      <c r="Z65" s="98">
        <v>2252.37</v>
      </c>
      <c r="AA65" s="23">
        <f t="shared" si="65"/>
        <v>71472.786096774173</v>
      </c>
      <c r="AB65" s="97">
        <f t="shared" si="66"/>
        <v>12865.101497419351</v>
      </c>
      <c r="AC65" s="43"/>
      <c r="AD65" s="49"/>
      <c r="AE65" s="5">
        <f t="shared" si="67"/>
        <v>1900375.0166264512</v>
      </c>
      <c r="AF65" s="139">
        <v>454</v>
      </c>
      <c r="AG65" s="139" t="s">
        <v>2320</v>
      </c>
      <c r="AH65" s="103">
        <v>31.732258064516124</v>
      </c>
      <c r="AI65" s="12"/>
      <c r="AJ65" s="40"/>
      <c r="AK65" s="40"/>
    </row>
    <row r="66" spans="2:37" s="41" customFormat="1" ht="16.149999999999999" customHeight="1">
      <c r="B66" s="89"/>
      <c r="C66" s="82"/>
      <c r="D66" s="4"/>
      <c r="E66" s="82" t="s">
        <v>35</v>
      </c>
      <c r="F66" s="103">
        <v>33.847741935483867</v>
      </c>
      <c r="G66" s="14">
        <f t="shared" si="61"/>
        <v>33847.741935483864</v>
      </c>
      <c r="H66" s="97"/>
      <c r="I66" s="166" t="s">
        <v>2349</v>
      </c>
      <c r="J66" s="85" t="s">
        <v>2319</v>
      </c>
      <c r="K66" s="135">
        <v>1287</v>
      </c>
      <c r="L66" s="4"/>
      <c r="M66" s="167" t="s">
        <v>2321</v>
      </c>
      <c r="N66" s="168" t="s">
        <v>2369</v>
      </c>
      <c r="O66" s="4"/>
      <c r="P66" s="4"/>
      <c r="Q66" s="5">
        <v>56000</v>
      </c>
      <c r="R66" s="36">
        <v>4000</v>
      </c>
      <c r="S66" s="36"/>
      <c r="T66" s="37">
        <v>11500</v>
      </c>
      <c r="U66" s="5">
        <f t="shared" si="62"/>
        <v>48500</v>
      </c>
      <c r="V66" s="5">
        <f t="shared" si="63"/>
        <v>1641615.4838709675</v>
      </c>
      <c r="W66" s="5">
        <f t="shared" si="64"/>
        <v>295490.78709677415</v>
      </c>
      <c r="X66" s="5"/>
      <c r="Y66" s="5"/>
      <c r="Z66" s="98">
        <v>2252.37</v>
      </c>
      <c r="AA66" s="23">
        <f t="shared" si="65"/>
        <v>76237.638503225797</v>
      </c>
      <c r="AB66" s="97">
        <f t="shared" si="66"/>
        <v>13722.774930580643</v>
      </c>
      <c r="AC66" s="43"/>
      <c r="AD66" s="49"/>
      <c r="AE66" s="5">
        <f t="shared" si="67"/>
        <v>2027066.684401548</v>
      </c>
      <c r="AF66" s="139">
        <v>468</v>
      </c>
      <c r="AG66" s="139" t="s">
        <v>2374</v>
      </c>
      <c r="AH66" s="103">
        <v>33.847741935483867</v>
      </c>
      <c r="AI66" s="12"/>
      <c r="AJ66" s="40"/>
      <c r="AK66" s="40"/>
    </row>
    <row r="67" spans="2:37" s="41" customFormat="1" ht="16.149999999999999" customHeight="1">
      <c r="B67" s="89"/>
      <c r="C67" s="82"/>
      <c r="D67" s="4"/>
      <c r="E67" s="82" t="s">
        <v>35</v>
      </c>
      <c r="F67" s="103">
        <v>32.72</v>
      </c>
      <c r="G67" s="14">
        <f t="shared" si="61"/>
        <v>32720</v>
      </c>
      <c r="H67" s="97"/>
      <c r="I67" s="166" t="s">
        <v>2350</v>
      </c>
      <c r="J67" s="85" t="s">
        <v>2319</v>
      </c>
      <c r="K67" s="135">
        <v>1306</v>
      </c>
      <c r="L67" s="4"/>
      <c r="M67" s="167" t="s">
        <v>2322</v>
      </c>
      <c r="N67" s="168" t="s">
        <v>2370</v>
      </c>
      <c r="O67" s="4"/>
      <c r="P67" s="4"/>
      <c r="Q67" s="5">
        <v>56000</v>
      </c>
      <c r="R67" s="36">
        <v>4000</v>
      </c>
      <c r="S67" s="36"/>
      <c r="T67" s="37">
        <v>11500</v>
      </c>
      <c r="U67" s="5">
        <f t="shared" si="62"/>
        <v>48500</v>
      </c>
      <c r="V67" s="5">
        <f t="shared" si="63"/>
        <v>1586920</v>
      </c>
      <c r="W67" s="5">
        <f t="shared" si="64"/>
        <v>285645.59999999998</v>
      </c>
      <c r="X67" s="5"/>
      <c r="Y67" s="5"/>
      <c r="Z67" s="98">
        <v>2257.19</v>
      </c>
      <c r="AA67" s="23">
        <f t="shared" si="65"/>
        <v>73855.256800000003</v>
      </c>
      <c r="AB67" s="97">
        <f t="shared" si="66"/>
        <v>13293.946223999999</v>
      </c>
      <c r="AC67" s="43"/>
      <c r="AD67" s="49"/>
      <c r="AE67" s="5">
        <f t="shared" si="67"/>
        <v>1959714.803024</v>
      </c>
      <c r="AF67" s="139">
        <v>497</v>
      </c>
      <c r="AG67" s="139" t="s">
        <v>2374</v>
      </c>
      <c r="AH67" s="103">
        <v>32.72</v>
      </c>
      <c r="AI67" s="12"/>
      <c r="AJ67" s="40"/>
      <c r="AK67" s="40"/>
    </row>
    <row r="68" spans="2:37" s="41" customFormat="1" ht="16.149999999999999" customHeight="1">
      <c r="B68" s="89"/>
      <c r="C68" s="82"/>
      <c r="D68" s="4"/>
      <c r="E68" s="82" t="s">
        <v>35</v>
      </c>
      <c r="F68" s="103">
        <v>32.72</v>
      </c>
      <c r="G68" s="14">
        <f t="shared" si="61"/>
        <v>32720</v>
      </c>
      <c r="H68" s="97"/>
      <c r="I68" s="166" t="s">
        <v>2350</v>
      </c>
      <c r="J68" s="85" t="s">
        <v>2319</v>
      </c>
      <c r="K68" s="135">
        <v>1305</v>
      </c>
      <c r="L68" s="4"/>
      <c r="M68" s="167" t="s">
        <v>2322</v>
      </c>
      <c r="N68" s="168" t="s">
        <v>2370</v>
      </c>
      <c r="O68" s="4"/>
      <c r="P68" s="4"/>
      <c r="Q68" s="5">
        <v>56000</v>
      </c>
      <c r="R68" s="36">
        <v>4000</v>
      </c>
      <c r="S68" s="36"/>
      <c r="T68" s="37">
        <v>11500</v>
      </c>
      <c r="U68" s="5">
        <f t="shared" si="62"/>
        <v>48500</v>
      </c>
      <c r="V68" s="5">
        <f t="shared" si="63"/>
        <v>1586920</v>
      </c>
      <c r="W68" s="5">
        <f t="shared" si="64"/>
        <v>285645.59999999998</v>
      </c>
      <c r="X68" s="5"/>
      <c r="Y68" s="5"/>
      <c r="Z68" s="98">
        <v>2257.19</v>
      </c>
      <c r="AA68" s="23">
        <f t="shared" si="65"/>
        <v>73855.256800000003</v>
      </c>
      <c r="AB68" s="97">
        <f t="shared" si="66"/>
        <v>13293.946223999999</v>
      </c>
      <c r="AC68" s="43"/>
      <c r="AD68" s="49"/>
      <c r="AE68" s="5">
        <f t="shared" si="67"/>
        <v>1959714.803024</v>
      </c>
      <c r="AF68" s="139">
        <v>498</v>
      </c>
      <c r="AG68" s="139" t="s">
        <v>2374</v>
      </c>
      <c r="AH68" s="103">
        <v>32.72</v>
      </c>
      <c r="AI68" s="12"/>
      <c r="AJ68" s="40"/>
      <c r="AK68" s="40"/>
    </row>
    <row r="69" spans="2:37" s="41" customFormat="1" ht="16.149999999999999" customHeight="1">
      <c r="B69" s="89"/>
      <c r="C69" s="82"/>
      <c r="D69" s="4"/>
      <c r="E69" s="82" t="s">
        <v>35</v>
      </c>
      <c r="F69" s="103">
        <v>32.72</v>
      </c>
      <c r="G69" s="14">
        <f t="shared" si="61"/>
        <v>32720</v>
      </c>
      <c r="H69" s="97"/>
      <c r="I69" s="166" t="s">
        <v>2351</v>
      </c>
      <c r="J69" s="85" t="s">
        <v>2319</v>
      </c>
      <c r="K69" s="135">
        <v>1296</v>
      </c>
      <c r="L69" s="4"/>
      <c r="M69" s="167" t="s">
        <v>2321</v>
      </c>
      <c r="N69" s="168" t="s">
        <v>2371</v>
      </c>
      <c r="O69" s="4"/>
      <c r="P69" s="4"/>
      <c r="Q69" s="5">
        <v>56000</v>
      </c>
      <c r="R69" s="36">
        <v>4000</v>
      </c>
      <c r="S69" s="36"/>
      <c r="T69" s="37">
        <v>11500</v>
      </c>
      <c r="U69" s="5">
        <f t="shared" si="62"/>
        <v>48500</v>
      </c>
      <c r="V69" s="5">
        <f t="shared" si="63"/>
        <v>1586920</v>
      </c>
      <c r="W69" s="5">
        <f t="shared" si="64"/>
        <v>285645.59999999998</v>
      </c>
      <c r="X69" s="5"/>
      <c r="Y69" s="5"/>
      <c r="Z69" s="98">
        <v>2257.19</v>
      </c>
      <c r="AA69" s="23">
        <f t="shared" si="65"/>
        <v>73855.256800000003</v>
      </c>
      <c r="AB69" s="97">
        <f t="shared" si="66"/>
        <v>13293.946223999999</v>
      </c>
      <c r="AC69" s="43"/>
      <c r="AD69" s="49"/>
      <c r="AE69" s="5">
        <f t="shared" si="67"/>
        <v>1959714.803024</v>
      </c>
      <c r="AF69" s="139">
        <v>499</v>
      </c>
      <c r="AG69" s="139" t="s">
        <v>2374</v>
      </c>
      <c r="AH69" s="103">
        <v>32.72</v>
      </c>
      <c r="AI69" s="12"/>
      <c r="AJ69" s="40"/>
      <c r="AK69" s="40"/>
    </row>
    <row r="70" spans="2:37" s="41" customFormat="1" ht="16.149999999999999" customHeight="1">
      <c r="B70" s="89"/>
      <c r="C70" s="82"/>
      <c r="D70" s="4"/>
      <c r="E70" s="82" t="s">
        <v>35</v>
      </c>
      <c r="F70" s="103">
        <v>32.72</v>
      </c>
      <c r="G70" s="14">
        <f t="shared" si="61"/>
        <v>32720</v>
      </c>
      <c r="H70" s="97"/>
      <c r="I70" s="166" t="s">
        <v>2351</v>
      </c>
      <c r="J70" s="85" t="s">
        <v>2319</v>
      </c>
      <c r="K70" s="135">
        <v>1297</v>
      </c>
      <c r="L70" s="4"/>
      <c r="M70" s="167" t="s">
        <v>2321</v>
      </c>
      <c r="N70" s="168" t="s">
        <v>2371</v>
      </c>
      <c r="O70" s="4"/>
      <c r="P70" s="4"/>
      <c r="Q70" s="5">
        <v>56000</v>
      </c>
      <c r="R70" s="36">
        <v>4000</v>
      </c>
      <c r="S70" s="36"/>
      <c r="T70" s="37">
        <v>11500</v>
      </c>
      <c r="U70" s="5">
        <f t="shared" si="62"/>
        <v>48500</v>
      </c>
      <c r="V70" s="5">
        <f t="shared" si="63"/>
        <v>1586920</v>
      </c>
      <c r="W70" s="5">
        <f t="shared" si="64"/>
        <v>285645.59999999998</v>
      </c>
      <c r="X70" s="5"/>
      <c r="Y70" s="5"/>
      <c r="Z70" s="98">
        <v>2257.19</v>
      </c>
      <c r="AA70" s="23">
        <f t="shared" si="65"/>
        <v>73855.256800000003</v>
      </c>
      <c r="AB70" s="97">
        <f t="shared" si="66"/>
        <v>13293.946223999999</v>
      </c>
      <c r="AC70" s="43"/>
      <c r="AD70" s="49"/>
      <c r="AE70" s="5">
        <f t="shared" si="67"/>
        <v>1959714.803024</v>
      </c>
      <c r="AF70" s="139">
        <v>500</v>
      </c>
      <c r="AG70" s="139" t="s">
        <v>2374</v>
      </c>
      <c r="AH70" s="103">
        <v>32.72</v>
      </c>
      <c r="AI70" s="12"/>
      <c r="AJ70" s="40"/>
      <c r="AK70" s="40"/>
    </row>
    <row r="71" spans="2:37" s="41" customFormat="1" ht="16.149999999999999" customHeight="1">
      <c r="B71" s="89"/>
      <c r="C71" s="82"/>
      <c r="D71" s="4"/>
      <c r="E71" s="82" t="s">
        <v>35</v>
      </c>
      <c r="F71" s="103">
        <v>32.72</v>
      </c>
      <c r="G71" s="14">
        <f t="shared" si="61"/>
        <v>32720</v>
      </c>
      <c r="H71" s="97"/>
      <c r="I71" s="166" t="s">
        <v>2352</v>
      </c>
      <c r="J71" s="85" t="s">
        <v>2319</v>
      </c>
      <c r="K71" s="135">
        <v>1315</v>
      </c>
      <c r="L71" s="4"/>
      <c r="M71" s="167" t="s">
        <v>2322</v>
      </c>
      <c r="N71" s="168" t="s">
        <v>2372</v>
      </c>
      <c r="O71" s="4"/>
      <c r="P71" s="4"/>
      <c r="Q71" s="5">
        <v>56000</v>
      </c>
      <c r="R71" s="36">
        <v>4000</v>
      </c>
      <c r="S71" s="36"/>
      <c r="T71" s="37">
        <v>11500</v>
      </c>
      <c r="U71" s="5">
        <f t="shared" si="62"/>
        <v>48500</v>
      </c>
      <c r="V71" s="5">
        <f t="shared" si="63"/>
        <v>1586920</v>
      </c>
      <c r="W71" s="5">
        <f t="shared" si="64"/>
        <v>285645.59999999998</v>
      </c>
      <c r="X71" s="5"/>
      <c r="Y71" s="5"/>
      <c r="Z71" s="98">
        <v>2257.19</v>
      </c>
      <c r="AA71" s="23">
        <f t="shared" si="65"/>
        <v>73855.256800000003</v>
      </c>
      <c r="AB71" s="97">
        <f t="shared" si="66"/>
        <v>13293.946223999999</v>
      </c>
      <c r="AC71" s="43"/>
      <c r="AD71" s="49"/>
      <c r="AE71" s="5">
        <f t="shared" si="67"/>
        <v>1959714.803024</v>
      </c>
      <c r="AF71" s="139">
        <v>501</v>
      </c>
      <c r="AG71" s="139" t="s">
        <v>2374</v>
      </c>
      <c r="AH71" s="103">
        <v>32.72</v>
      </c>
      <c r="AI71" s="12"/>
      <c r="AJ71" s="40"/>
      <c r="AK71" s="40"/>
    </row>
    <row r="72" spans="2:37" s="41" customFormat="1" ht="16.149999999999999" customHeight="1">
      <c r="B72" s="89"/>
      <c r="C72" s="82"/>
      <c r="D72" s="4"/>
      <c r="E72" s="82" t="s">
        <v>35</v>
      </c>
      <c r="F72" s="103">
        <v>32.72</v>
      </c>
      <c r="G72" s="14">
        <f t="shared" si="61"/>
        <v>32720</v>
      </c>
      <c r="H72" s="97"/>
      <c r="I72" s="166" t="s">
        <v>2352</v>
      </c>
      <c r="J72" s="85" t="s">
        <v>2319</v>
      </c>
      <c r="K72" s="135">
        <v>1316</v>
      </c>
      <c r="L72" s="4"/>
      <c r="M72" s="167" t="s">
        <v>2322</v>
      </c>
      <c r="N72" s="168" t="s">
        <v>2372</v>
      </c>
      <c r="O72" s="4"/>
      <c r="P72" s="4"/>
      <c r="Q72" s="5">
        <v>56000</v>
      </c>
      <c r="R72" s="36">
        <v>4000</v>
      </c>
      <c r="S72" s="36"/>
      <c r="T72" s="37">
        <v>11500</v>
      </c>
      <c r="U72" s="5">
        <f t="shared" si="62"/>
        <v>48500</v>
      </c>
      <c r="V72" s="5">
        <f t="shared" si="63"/>
        <v>1586920</v>
      </c>
      <c r="W72" s="5">
        <f t="shared" si="64"/>
        <v>285645.59999999998</v>
      </c>
      <c r="X72" s="5"/>
      <c r="Y72" s="5"/>
      <c r="Z72" s="98">
        <v>2257.19</v>
      </c>
      <c r="AA72" s="23">
        <f t="shared" si="65"/>
        <v>73855.256800000003</v>
      </c>
      <c r="AB72" s="97">
        <f t="shared" si="66"/>
        <v>13293.946223999999</v>
      </c>
      <c r="AC72" s="43"/>
      <c r="AD72" s="49"/>
      <c r="AE72" s="5">
        <f t="shared" si="67"/>
        <v>1959714.803024</v>
      </c>
      <c r="AF72" s="139">
        <v>502</v>
      </c>
      <c r="AG72" s="139" t="s">
        <v>2374</v>
      </c>
      <c r="AH72" s="103">
        <v>32.72</v>
      </c>
      <c r="AI72" s="12"/>
      <c r="AJ72" s="40"/>
      <c r="AK72" s="40"/>
    </row>
    <row r="73" spans="2:37" s="41" customFormat="1" ht="16.149999999999999" customHeight="1">
      <c r="B73" s="89"/>
      <c r="C73" s="82"/>
      <c r="D73" s="4"/>
      <c r="E73" s="82" t="s">
        <v>35</v>
      </c>
      <c r="F73" s="103">
        <v>32.700000000000003</v>
      </c>
      <c r="G73" s="14">
        <f t="shared" si="61"/>
        <v>32700.000000000004</v>
      </c>
      <c r="H73" s="97"/>
      <c r="I73" s="166" t="s">
        <v>2353</v>
      </c>
      <c r="J73" s="85" t="s">
        <v>2319</v>
      </c>
      <c r="K73" s="135">
        <v>1280</v>
      </c>
      <c r="L73" s="4"/>
      <c r="M73" s="167" t="s">
        <v>2320</v>
      </c>
      <c r="N73" s="168" t="s">
        <v>2373</v>
      </c>
      <c r="O73" s="4"/>
      <c r="P73" s="4"/>
      <c r="Q73" s="5">
        <v>56000</v>
      </c>
      <c r="R73" s="36">
        <v>4000</v>
      </c>
      <c r="S73" s="36"/>
      <c r="T73" s="37">
        <v>11500</v>
      </c>
      <c r="U73" s="5">
        <f t="shared" si="62"/>
        <v>48500</v>
      </c>
      <c r="V73" s="5">
        <f t="shared" si="63"/>
        <v>1585950.0000000002</v>
      </c>
      <c r="W73" s="5">
        <f t="shared" si="64"/>
        <v>285471.00000000006</v>
      </c>
      <c r="X73" s="5"/>
      <c r="Y73" s="5"/>
      <c r="Z73" s="98">
        <v>2258.5700000000002</v>
      </c>
      <c r="AA73" s="23">
        <f t="shared" si="65"/>
        <v>73855.239000000016</v>
      </c>
      <c r="AB73" s="97">
        <f t="shared" si="66"/>
        <v>13293.943020000002</v>
      </c>
      <c r="AC73" s="43"/>
      <c r="AD73" s="49"/>
      <c r="AE73" s="5">
        <f t="shared" si="67"/>
        <v>1958570.1820200002</v>
      </c>
      <c r="AF73" s="139">
        <v>503</v>
      </c>
      <c r="AG73" s="139" t="s">
        <v>2374</v>
      </c>
      <c r="AH73" s="103">
        <v>32.700000000000003</v>
      </c>
      <c r="AI73" s="12"/>
      <c r="AJ73" s="40"/>
      <c r="AK73" s="40"/>
    </row>
    <row r="74" spans="2:37" s="41" customFormat="1" ht="16.149999999999999" customHeight="1">
      <c r="B74" s="89"/>
      <c r="C74" s="82"/>
      <c r="D74" s="4"/>
      <c r="E74" s="82" t="s">
        <v>35</v>
      </c>
      <c r="F74" s="103">
        <v>32.700000000000003</v>
      </c>
      <c r="G74" s="14">
        <f t="shared" si="61"/>
        <v>32700.000000000004</v>
      </c>
      <c r="H74" s="97"/>
      <c r="I74" s="166" t="s">
        <v>2353</v>
      </c>
      <c r="J74" s="85" t="s">
        <v>2319</v>
      </c>
      <c r="K74" s="135">
        <v>1281</v>
      </c>
      <c r="L74" s="4"/>
      <c r="M74" s="167" t="s">
        <v>2320</v>
      </c>
      <c r="N74" s="168" t="s">
        <v>2373</v>
      </c>
      <c r="O74" s="4"/>
      <c r="P74" s="4"/>
      <c r="Q74" s="5">
        <v>56000</v>
      </c>
      <c r="R74" s="36">
        <v>4000</v>
      </c>
      <c r="S74" s="36"/>
      <c r="T74" s="37">
        <v>11500</v>
      </c>
      <c r="U74" s="5">
        <f t="shared" si="62"/>
        <v>48500</v>
      </c>
      <c r="V74" s="5">
        <f t="shared" si="63"/>
        <v>1585950.0000000002</v>
      </c>
      <c r="W74" s="5">
        <f t="shared" si="64"/>
        <v>285471.00000000006</v>
      </c>
      <c r="X74" s="5"/>
      <c r="Y74" s="5"/>
      <c r="Z74" s="98">
        <v>2258.5700000000002</v>
      </c>
      <c r="AA74" s="23">
        <f t="shared" si="65"/>
        <v>73855.239000000016</v>
      </c>
      <c r="AB74" s="97">
        <f t="shared" si="66"/>
        <v>13293.943020000002</v>
      </c>
      <c r="AC74" s="43"/>
      <c r="AD74" s="49"/>
      <c r="AE74" s="5">
        <f t="shared" si="67"/>
        <v>1958570.1820200002</v>
      </c>
      <c r="AF74" s="139">
        <v>504</v>
      </c>
      <c r="AG74" s="139" t="s">
        <v>2374</v>
      </c>
      <c r="AH74" s="103">
        <v>32.700000000000003</v>
      </c>
      <c r="AI74" s="12"/>
      <c r="AJ74" s="40"/>
      <c r="AK74" s="40"/>
    </row>
    <row r="75" spans="2:37" s="41" customFormat="1">
      <c r="B75" s="89"/>
      <c r="C75" s="48"/>
      <c r="D75" s="6"/>
      <c r="E75" s="48"/>
      <c r="F75" s="81">
        <f>SUM(F35:F74)</f>
        <v>1309.0800000000002</v>
      </c>
      <c r="G75" s="20">
        <f>SUM(G35:G74)</f>
        <v>1309080</v>
      </c>
      <c r="H75" s="21">
        <v>620</v>
      </c>
      <c r="I75" s="2"/>
      <c r="J75" s="7"/>
      <c r="K75" s="7"/>
      <c r="L75" s="7"/>
      <c r="M75" s="2"/>
      <c r="N75" s="6"/>
      <c r="O75" s="6"/>
      <c r="P75" s="6"/>
      <c r="Q75" s="19"/>
      <c r="R75" s="9"/>
      <c r="S75" s="9"/>
      <c r="T75" s="10"/>
      <c r="U75" s="8"/>
      <c r="V75" s="21">
        <f>SUM(V35:V74)</f>
        <v>63490380</v>
      </c>
      <c r="W75" s="21">
        <f>SUM(W35:W74)</f>
        <v>11428268.399999997</v>
      </c>
      <c r="X75" s="21">
        <f>SUM(X35:X74)</f>
        <v>0</v>
      </c>
      <c r="Y75" s="21">
        <f>SUM(Y35:Y74)</f>
        <v>0</v>
      </c>
      <c r="Z75" s="99"/>
      <c r="AA75" s="21">
        <f>SUM(AA35:AA74)</f>
        <v>2954206.8738000011</v>
      </c>
      <c r="AB75" s="21">
        <f>SUM(AB35:AB74)</f>
        <v>531757.23728400015</v>
      </c>
      <c r="AC75" s="21"/>
      <c r="AD75" s="21">
        <f>SUM(AD35:AD74)</f>
        <v>0</v>
      </c>
      <c r="AE75" s="21">
        <f>SUM(AE35:AE74)</f>
        <v>78404612.511084005</v>
      </c>
      <c r="AF75" s="21"/>
      <c r="AG75" s="42"/>
      <c r="AH75" s="81">
        <f>SUM(AH35:AH74)</f>
        <v>1309.0800000000002</v>
      </c>
      <c r="AI75" s="26">
        <f>AH75-F75</f>
        <v>0</v>
      </c>
      <c r="AJ75" s="41">
        <f>AA75/F75</f>
        <v>2256.7046122467691</v>
      </c>
      <c r="AK75" s="40"/>
    </row>
    <row r="76" spans="2:37">
      <c r="B76" s="15"/>
      <c r="C76" s="18"/>
      <c r="D76" s="11"/>
      <c r="E76" s="18" t="s">
        <v>16</v>
      </c>
      <c r="F76" s="16">
        <f>SUM(F3:F75)/2</f>
        <v>3065.6800000000007</v>
      </c>
      <c r="G76" s="17">
        <f>SUM(G3:G75)/2</f>
        <v>3065680</v>
      </c>
      <c r="H76" s="17">
        <f>SUM(H3:H75)/2</f>
        <v>1896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17"/>
      <c r="V76" s="17">
        <f>SUM(V3:V75)/2</f>
        <v>147120280</v>
      </c>
      <c r="W76" s="17">
        <f>SUM(W3:W75)/2</f>
        <v>26481650.399999991</v>
      </c>
      <c r="X76" s="17"/>
      <c r="Y76" s="22"/>
      <c r="Z76" s="17"/>
      <c r="AA76" s="17">
        <f>SUM(AA3:AA75)/2</f>
        <v>7034783.7927999962</v>
      </c>
      <c r="AB76" s="17">
        <f>SUM(AB3:AB75)/2</f>
        <v>1266261.0827039999</v>
      </c>
      <c r="AC76" s="22"/>
      <c r="AD76" s="17"/>
      <c r="AE76" s="17">
        <f>SUM(AE3:AE75)/2</f>
        <v>181902975.27550408</v>
      </c>
      <c r="AF76" s="17"/>
      <c r="AG76" s="16"/>
      <c r="AH76" s="17"/>
      <c r="AI76" s="26"/>
    </row>
    <row r="79" spans="2:37">
      <c r="F79" s="90"/>
    </row>
    <row r="84" spans="6:6">
      <c r="F84" s="90"/>
    </row>
  </sheetData>
  <dataConsolidate/>
  <mergeCells count="1">
    <mergeCell ref="AF1:AG1"/>
  </mergeCells>
  <conditionalFormatting sqref="N35:N46 N51:N74">
    <cfRule type="cellIs" dxfId="0" priority="1" operator="equal">
      <formula>"SEC174514A"</formula>
    </cfRule>
  </conditionalFormatting>
  <pageMargins left="0.31496062992125984" right="0.19685039370078741" top="0.19685039370078741" bottom="0.27559055118110237" header="0.19685039370078741" footer="0.31496062992125984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KEC BUB APRIL-23 </vt:lpstr>
      <vt:lpstr>KEC BUB May-23</vt:lpstr>
      <vt:lpstr>KEC BUB JUN-23</vt:lpstr>
      <vt:lpstr>KEC BUB JULY-23  </vt:lpstr>
      <vt:lpstr>KEC BUB AUG-23</vt:lpstr>
      <vt:lpstr>KEC JBP AUG-23</vt:lpstr>
      <vt:lpstr>KEC BUB SEP-23 </vt:lpstr>
      <vt:lpstr>KEC JBP SEP-23 </vt:lpstr>
      <vt:lpstr>KEC BUB OCT-23</vt:lpstr>
      <vt:lpstr>KEC JBP OCT-23</vt:lpstr>
      <vt:lpstr>KEC BUB Nov-23 </vt:lpstr>
      <vt:lpstr>KEC JBP NOV-23 </vt:lpstr>
      <vt:lpstr>KEC BUB DEC-23</vt:lpstr>
      <vt:lpstr>KEC JBP DEC-23</vt:lpstr>
      <vt:lpstr>'KEC BUB AUG-23'!Print_Area</vt:lpstr>
      <vt:lpstr>'KEC BUB DEC-23'!Print_Area</vt:lpstr>
      <vt:lpstr>'KEC BUB JULY-23  '!Print_Area</vt:lpstr>
      <vt:lpstr>'KEC BUB JUN-23'!Print_Area</vt:lpstr>
      <vt:lpstr>'KEC BUB May-23'!Print_Area</vt:lpstr>
      <vt:lpstr>'KEC BUB SEP-23 '!Print_Area</vt:lpstr>
      <vt:lpstr>'KEC JBP AUG-23'!Print_Area</vt:lpstr>
      <vt:lpstr>'KEC JBP DEC-23'!Print_Area</vt:lpstr>
      <vt:lpstr>'KEC JBP NOV-23 '!Print_Area</vt:lpstr>
      <vt:lpstr>'KEC JBP SEP-23 '!Print_Area</vt:lpstr>
      <vt:lpstr>'KEC BUB APRIL-23 '!Print_Titles</vt:lpstr>
      <vt:lpstr>'KEC BUB AUG-23'!Print_Titles</vt:lpstr>
      <vt:lpstr>'KEC BUB DEC-23'!Print_Titles</vt:lpstr>
      <vt:lpstr>'KEC BUB JULY-23  '!Print_Titles</vt:lpstr>
      <vt:lpstr>'KEC BUB JUN-23'!Print_Titles</vt:lpstr>
      <vt:lpstr>'KEC BUB May-23'!Print_Titles</vt:lpstr>
      <vt:lpstr>'KEC BUB Nov-23 '!Print_Titles</vt:lpstr>
      <vt:lpstr>'KEC BUB OCT-23'!Print_Titles</vt:lpstr>
      <vt:lpstr>'KEC BUB SEP-23 '!Print_Titles</vt:lpstr>
      <vt:lpstr>'KEC JBP AUG-23'!Print_Titles</vt:lpstr>
      <vt:lpstr>'KEC JBP DEC-23'!Print_Titles</vt:lpstr>
      <vt:lpstr>'KEC JBP NOV-23 '!Print_Titles</vt:lpstr>
      <vt:lpstr>'KEC JBP OCT-23'!Print_Titles</vt:lpstr>
      <vt:lpstr>'KEC JBP SEP-23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vermavp</dc:creator>
  <cp:lastModifiedBy>deep</cp:lastModifiedBy>
  <cp:lastPrinted>2024-01-01T05:45:56Z</cp:lastPrinted>
  <dcterms:created xsi:type="dcterms:W3CDTF">2015-07-07T06:22:52Z</dcterms:created>
  <dcterms:modified xsi:type="dcterms:W3CDTF">2024-01-05T11:15:17Z</dcterms:modified>
</cp:coreProperties>
</file>