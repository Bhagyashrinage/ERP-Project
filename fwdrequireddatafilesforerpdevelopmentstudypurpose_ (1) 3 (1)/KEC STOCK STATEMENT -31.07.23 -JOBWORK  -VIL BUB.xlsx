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HorizontalScroll="0" showVerticalScroll="0" xWindow="240" yWindow="72" windowWidth="12120" windowHeight="9120" tabRatio="601"/>
  </bookViews>
  <sheets>
    <sheet name="sheet" sheetId="16" r:id="rId1"/>
  </sheets>
  <definedNames>
    <definedName name="_xlnm.Print_Area" localSheetId="0">sheet!$A$3:$P$126</definedName>
  </definedNames>
  <calcPr calcId="124519"/>
</workbook>
</file>

<file path=xl/calcChain.xml><?xml version="1.0" encoding="utf-8"?>
<calcChain xmlns="http://schemas.openxmlformats.org/spreadsheetml/2006/main">
  <c r="N13" i="16"/>
  <c r="J13"/>
  <c r="J12"/>
  <c r="P77"/>
  <c r="N77"/>
  <c r="K12"/>
  <c r="K13" s="1"/>
  <c r="E92" l="1"/>
  <c r="I91"/>
  <c r="L91" s="1"/>
  <c r="L92" s="1"/>
  <c r="H91"/>
  <c r="F91"/>
  <c r="F92" s="1"/>
  <c r="E91"/>
  <c r="G91" s="1"/>
  <c r="G92" s="1"/>
  <c r="C91"/>
  <c r="O91" s="1"/>
  <c r="O92" s="1"/>
  <c r="B91"/>
  <c r="O55"/>
  <c r="L55"/>
  <c r="J55"/>
  <c r="I55"/>
  <c r="H55"/>
  <c r="G55"/>
  <c r="F55"/>
  <c r="E55"/>
  <c r="O54"/>
  <c r="L54"/>
  <c r="K54"/>
  <c r="M54" s="1"/>
  <c r="M55" s="1"/>
  <c r="J54"/>
  <c r="G54"/>
  <c r="C54"/>
  <c r="B54"/>
  <c r="N54" s="1"/>
  <c r="P54" s="1"/>
  <c r="I13"/>
  <c r="H13"/>
  <c r="F13"/>
  <c r="E13"/>
  <c r="L12"/>
  <c r="L13" s="1"/>
  <c r="G12"/>
  <c r="G13" s="1"/>
  <c r="C12"/>
  <c r="B12"/>
  <c r="N12" s="1"/>
  <c r="M12" l="1"/>
  <c r="M13" s="1"/>
  <c r="O12"/>
  <c r="O13" s="1"/>
  <c r="P13"/>
  <c r="N55"/>
  <c r="J91"/>
  <c r="J92" s="1"/>
  <c r="I92"/>
  <c r="K91"/>
  <c r="K92" s="1"/>
  <c r="H92"/>
  <c r="M91"/>
  <c r="M92" s="1"/>
  <c r="D91"/>
  <c r="K55"/>
  <c r="D12"/>
  <c r="P12" l="1"/>
  <c r="N91"/>
  <c r="K53"/>
  <c r="N92" l="1"/>
  <c r="P91"/>
  <c r="J53"/>
  <c r="P41" l="1"/>
  <c r="J11"/>
  <c r="J10"/>
  <c r="J9"/>
  <c r="F11" l="1"/>
  <c r="J52" l="1"/>
  <c r="J51"/>
  <c r="P38" l="1"/>
  <c r="I90" l="1"/>
  <c r="L90" s="1"/>
  <c r="H90"/>
  <c r="F90"/>
  <c r="E90"/>
  <c r="C90"/>
  <c r="O90" s="1"/>
  <c r="B90"/>
  <c r="O53"/>
  <c r="L53"/>
  <c r="M53"/>
  <c r="G53"/>
  <c r="C53"/>
  <c r="B53"/>
  <c r="B11"/>
  <c r="L11"/>
  <c r="K11"/>
  <c r="G11"/>
  <c r="C11"/>
  <c r="O11" s="1"/>
  <c r="N11"/>
  <c r="O124"/>
  <c r="N124"/>
  <c r="P123"/>
  <c r="P124" s="1"/>
  <c r="O120"/>
  <c r="N120"/>
  <c r="P119"/>
  <c r="P120" s="1"/>
  <c r="O116"/>
  <c r="N116"/>
  <c r="P115"/>
  <c r="P116" s="1"/>
  <c r="O113"/>
  <c r="N113"/>
  <c r="P111"/>
  <c r="P113" s="1"/>
  <c r="O109"/>
  <c r="N109"/>
  <c r="P108"/>
  <c r="P109" s="1"/>
  <c r="O105"/>
  <c r="N105"/>
  <c r="P104"/>
  <c r="P105" s="1"/>
  <c r="O102"/>
  <c r="N102"/>
  <c r="P101"/>
  <c r="P102" s="1"/>
  <c r="O99"/>
  <c r="N99"/>
  <c r="P98"/>
  <c r="P99" s="1"/>
  <c r="O96"/>
  <c r="N96"/>
  <c r="P95"/>
  <c r="P96" s="1"/>
  <c r="L89"/>
  <c r="I89"/>
  <c r="H89"/>
  <c r="K89" s="1"/>
  <c r="M89" s="1"/>
  <c r="F89"/>
  <c r="E89"/>
  <c r="G89" s="1"/>
  <c r="I88"/>
  <c r="L88" s="1"/>
  <c r="H88"/>
  <c r="K88" s="1"/>
  <c r="E88"/>
  <c r="C88"/>
  <c r="B88"/>
  <c r="O75"/>
  <c r="N75"/>
  <c r="P74"/>
  <c r="P75" s="1"/>
  <c r="O71"/>
  <c r="N71"/>
  <c r="P70"/>
  <c r="P71" s="1"/>
  <c r="O68"/>
  <c r="N68"/>
  <c r="P67"/>
  <c r="P68" s="1"/>
  <c r="O65"/>
  <c r="N65"/>
  <c r="P64"/>
  <c r="P65" s="1"/>
  <c r="O62"/>
  <c r="P62" s="1"/>
  <c r="N62"/>
  <c r="P61"/>
  <c r="O59"/>
  <c r="N59"/>
  <c r="P58"/>
  <c r="P59" s="1"/>
  <c r="C55"/>
  <c r="C92" s="1"/>
  <c r="B55"/>
  <c r="B92" s="1"/>
  <c r="D92" s="1"/>
  <c r="L52"/>
  <c r="K52"/>
  <c r="M52" s="1"/>
  <c r="G52"/>
  <c r="N51"/>
  <c r="B52" s="1"/>
  <c r="L51"/>
  <c r="K51"/>
  <c r="M51" s="1"/>
  <c r="G51"/>
  <c r="O39"/>
  <c r="N39"/>
  <c r="P39"/>
  <c r="O36"/>
  <c r="N36"/>
  <c r="P35"/>
  <c r="P36" s="1"/>
  <c r="O33"/>
  <c r="N33"/>
  <c r="P31"/>
  <c r="P33" s="1"/>
  <c r="O29"/>
  <c r="N29"/>
  <c r="P28"/>
  <c r="P29" s="1"/>
  <c r="O26"/>
  <c r="N26"/>
  <c r="P25"/>
  <c r="P26" s="1"/>
  <c r="O23"/>
  <c r="N23"/>
  <c r="P22"/>
  <c r="P23" s="1"/>
  <c r="O20"/>
  <c r="N20"/>
  <c r="P19"/>
  <c r="P20" s="1"/>
  <c r="O17"/>
  <c r="N17"/>
  <c r="P16"/>
  <c r="P17" s="1"/>
  <c r="C13"/>
  <c r="B13"/>
  <c r="D13" s="1"/>
  <c r="L10"/>
  <c r="K10"/>
  <c r="M10" s="1"/>
  <c r="G10"/>
  <c r="O9"/>
  <c r="C10" s="1"/>
  <c r="O10" s="1"/>
  <c r="L9"/>
  <c r="K9"/>
  <c r="N9" s="1"/>
  <c r="G9"/>
  <c r="F9"/>
  <c r="F88" s="1"/>
  <c r="D9"/>
  <c r="N88" l="1"/>
  <c r="N53"/>
  <c r="J90"/>
  <c r="K90"/>
  <c r="O41"/>
  <c r="G90"/>
  <c r="D90"/>
  <c r="M11"/>
  <c r="P11"/>
  <c r="D11"/>
  <c r="P9"/>
  <c r="B10"/>
  <c r="N52"/>
  <c r="O88"/>
  <c r="P88" s="1"/>
  <c r="G88"/>
  <c r="M88"/>
  <c r="J89"/>
  <c r="M9"/>
  <c r="O51"/>
  <c r="C52" s="1"/>
  <c r="D55"/>
  <c r="D88"/>
  <c r="J88"/>
  <c r="P53" l="1"/>
  <c r="M90"/>
  <c r="N90"/>
  <c r="N10"/>
  <c r="D10"/>
  <c r="C89"/>
  <c r="O89" s="1"/>
  <c r="O126" s="1"/>
  <c r="O52"/>
  <c r="O77" s="1"/>
  <c r="P51"/>
  <c r="B89"/>
  <c r="P55" l="1"/>
  <c r="P90"/>
  <c r="N89"/>
  <c r="D89"/>
  <c r="P10"/>
  <c r="P52"/>
  <c r="N41" l="1"/>
  <c r="P89"/>
  <c r="P92" l="1"/>
  <c r="P126" s="1"/>
  <c r="N126"/>
</calcChain>
</file>

<file path=xl/sharedStrings.xml><?xml version="1.0" encoding="utf-8"?>
<sst xmlns="http://schemas.openxmlformats.org/spreadsheetml/2006/main" count="129" uniqueCount="34">
  <si>
    <t>MONTH</t>
  </si>
  <si>
    <t xml:space="preserve">MS </t>
  </si>
  <si>
    <t>HT</t>
  </si>
  <si>
    <t>TOTAL</t>
  </si>
  <si>
    <t>MS</t>
  </si>
  <si>
    <t>DETAILS OF BILLETS/BLOOMS/ANGLES MOVEMENT A/C KEC INTL.LTD.</t>
  </si>
  <si>
    <t>(A)</t>
  </si>
  <si>
    <t>ADD :</t>
  </si>
  <si>
    <t>NET CLOSING BALANCE OF BILLET STOCK</t>
  </si>
  <si>
    <t>(A+B)</t>
  </si>
  <si>
    <t>KEC BUTIBORI, (NAGPUR)</t>
  </si>
  <si>
    <t>(CONSOLIDATED)</t>
  </si>
  <si>
    <t>KEC BUTIBORI+KEC JABALPUR</t>
  </si>
  <si>
    <t>BILLET CLOSING BALANCE (MT)</t>
  </si>
  <si>
    <t>BILLET RECEIPTS (MT)</t>
  </si>
  <si>
    <t>ANGLE DISPATCH * (MT)</t>
  </si>
  <si>
    <t>OPENING BALANCE (MT)</t>
  </si>
  <si>
    <t>LESS :-</t>
  </si>
  <si>
    <t>JOBWORK  A/C</t>
  </si>
  <si>
    <t>REMARKS :</t>
  </si>
  <si>
    <t>KEC JABALPUR</t>
  </si>
  <si>
    <t>(B)</t>
  </si>
  <si>
    <t>ANGLE DISPATCH  (MT)</t>
  </si>
  <si>
    <t xml:space="preserve">BILLET CONSUM.(8%) OF ANGLE (MT) </t>
  </si>
  <si>
    <t>VINAR ISPAT LTD., BUTIBORI</t>
  </si>
  <si>
    <t xml:space="preserve">BILLET RETURN TO KEC </t>
  </si>
  <si>
    <t>BILLET TRANSFERRED FROM VIL CHANDRAPUR</t>
  </si>
  <si>
    <t>BILLET TRANSFERRED TO KEC JBP FOR THE MONTH OF FEB,23</t>
  </si>
  <si>
    <t>BILLET TRANSFERRED  FROM KEC BUB FOR THE MONTH OF FEB,23</t>
  </si>
  <si>
    <t>APR-23</t>
  </si>
  <si>
    <t>MAY-23</t>
  </si>
  <si>
    <t>JUN-23</t>
  </si>
  <si>
    <t>STATUS AS ON : 31.07.2023 (Closing)</t>
  </si>
  <si>
    <t>JUL-23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</si>
</sst>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  <font>
      <b/>
      <sz val="10"/>
      <color theme="0"/>
      <name val="Arial"/>
      <family val="2"/>
    </font>
    <font>
      <u/>
      <sz val="10"/>
      <name val="Times New Roman"/>
      <family val="1"/>
    </font>
    <font>
      <u/>
      <sz val="10"/>
      <name val="Arial"/>
      <family val="2"/>
    </font>
    <font>
      <b/>
      <u/>
      <sz val="10"/>
      <name val="Times New Roman"/>
      <family val="1"/>
    </font>
    <font>
      <b/>
      <sz val="10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6">
    <xf numFmtId="0" fontId="0" fillId="0" borderId="0" xfId="0"/>
    <xf numFmtId="0" fontId="4" fillId="0" borderId="0" xfId="0" applyFont="1"/>
    <xf numFmtId="164" fontId="5" fillId="0" borderId="1" xfId="0" applyNumberFormat="1" applyFont="1" applyBorder="1"/>
    <xf numFmtId="0" fontId="5" fillId="0" borderId="0" xfId="0" applyFont="1"/>
    <xf numFmtId="164" fontId="5" fillId="0" borderId="0" xfId="0" applyNumberFormat="1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164" fontId="5" fillId="0" borderId="0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164" fontId="5" fillId="0" borderId="0" xfId="0" quotePrefix="1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164" fontId="5" fillId="0" borderId="10" xfId="0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9" fillId="0" borderId="0" xfId="0" applyFont="1"/>
    <xf numFmtId="0" fontId="6" fillId="0" borderId="2" xfId="0" applyFont="1" applyBorder="1"/>
    <xf numFmtId="164" fontId="6" fillId="0" borderId="12" xfId="0" applyNumberFormat="1" applyFont="1" applyBorder="1" applyAlignment="1">
      <alignment horizontal="right"/>
    </xf>
    <xf numFmtId="0" fontId="10" fillId="0" borderId="0" xfId="0" applyFont="1"/>
    <xf numFmtId="0" fontId="6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64" fontId="7" fillId="4" borderId="0" xfId="0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11" fillId="0" borderId="0" xfId="0" applyFont="1"/>
    <xf numFmtId="0" fontId="12" fillId="0" borderId="1" xfId="0" applyFont="1" applyBorder="1"/>
    <xf numFmtId="0" fontId="5" fillId="0" borderId="13" xfId="0" applyFont="1" applyBorder="1"/>
    <xf numFmtId="164" fontId="5" fillId="0" borderId="14" xfId="0" applyNumberFormat="1" applyFont="1" applyBorder="1" applyAlignment="1">
      <alignment horizontal="right"/>
    </xf>
    <xf numFmtId="164" fontId="5" fillId="2" borderId="14" xfId="0" applyNumberFormat="1" applyFont="1" applyFill="1" applyBorder="1" applyAlignment="1">
      <alignment horizontal="right"/>
    </xf>
    <xf numFmtId="164" fontId="5" fillId="0" borderId="15" xfId="0" applyNumberFormat="1" applyFont="1" applyBorder="1" applyAlignment="1">
      <alignment horizontal="right"/>
    </xf>
    <xf numFmtId="164" fontId="5" fillId="2" borderId="15" xfId="0" applyNumberFormat="1" applyFont="1" applyFill="1" applyBorder="1" applyAlignment="1">
      <alignment horizontal="right"/>
    </xf>
    <xf numFmtId="164" fontId="5" fillId="0" borderId="11" xfId="0" applyNumberFormat="1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7" fillId="0" borderId="17" xfId="0" applyFont="1" applyBorder="1"/>
    <xf numFmtId="164" fontId="5" fillId="0" borderId="18" xfId="0" applyNumberFormat="1" applyFont="1" applyBorder="1" applyAlignment="1">
      <alignment horizontal="right"/>
    </xf>
    <xf numFmtId="164" fontId="5" fillId="0" borderId="19" xfId="0" applyNumberFormat="1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164" fontId="7" fillId="5" borderId="0" xfId="0" applyNumberFormat="1" applyFont="1" applyFill="1" applyBorder="1" applyAlignment="1">
      <alignment horizontal="right"/>
    </xf>
    <xf numFmtId="164" fontId="7" fillId="5" borderId="20" xfId="0" applyNumberFormat="1" applyFont="1" applyFill="1" applyBorder="1" applyAlignment="1"/>
    <xf numFmtId="0" fontId="12" fillId="0" borderId="8" xfId="0" applyFont="1" applyBorder="1"/>
    <xf numFmtId="0" fontId="4" fillId="0" borderId="0" xfId="0" applyFont="1" applyBorder="1"/>
    <xf numFmtId="164" fontId="5" fillId="2" borderId="10" xfId="0" applyNumberFormat="1" applyFont="1" applyFill="1" applyBorder="1" applyAlignment="1">
      <alignment horizontal="right"/>
    </xf>
    <xf numFmtId="164" fontId="5" fillId="2" borderId="0" xfId="0" applyNumberFormat="1" applyFont="1" applyFill="1" applyBorder="1" applyAlignment="1">
      <alignment horizontal="right"/>
    </xf>
    <xf numFmtId="0" fontId="4" fillId="0" borderId="1" xfId="0" applyFont="1" applyBorder="1"/>
    <xf numFmtId="164" fontId="5" fillId="0" borderId="21" xfId="0" applyNumberFormat="1" applyFont="1" applyBorder="1" applyAlignment="1">
      <alignment horizontal="right"/>
    </xf>
    <xf numFmtId="0" fontId="9" fillId="0" borderId="1" xfId="0" applyFont="1" applyBorder="1"/>
    <xf numFmtId="164" fontId="5" fillId="0" borderId="0" xfId="0" applyNumberFormat="1" applyFont="1" applyBorder="1" applyAlignment="1">
      <alignment vertical="center"/>
    </xf>
    <xf numFmtId="0" fontId="14" fillId="6" borderId="13" xfId="1" applyFont="1" applyFill="1" applyBorder="1" applyAlignment="1">
      <alignment vertical="top"/>
    </xf>
    <xf numFmtId="0" fontId="14" fillId="6" borderId="14" xfId="1" applyFont="1" applyFill="1" applyBorder="1" applyAlignment="1">
      <alignment vertical="top"/>
    </xf>
    <xf numFmtId="0" fontId="14" fillId="6" borderId="3" xfId="1" applyFont="1" applyFill="1" applyBorder="1" applyAlignment="1">
      <alignment vertical="top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164" fontId="4" fillId="0" borderId="0" xfId="0" applyNumberFormat="1" applyFont="1"/>
    <xf numFmtId="0" fontId="9" fillId="0" borderId="1" xfId="0" applyFont="1" applyBorder="1" applyAlignment="1">
      <alignment horizontal="right"/>
    </xf>
    <xf numFmtId="0" fontId="7" fillId="2" borderId="0" xfId="0" applyFont="1" applyFill="1" applyBorder="1"/>
    <xf numFmtId="164" fontId="4" fillId="0" borderId="1" xfId="0" applyNumberFormat="1" applyFont="1" applyBorder="1"/>
    <xf numFmtId="16" fontId="5" fillId="0" borderId="0" xfId="0" applyNumberFormat="1" applyFont="1" applyBorder="1" applyAlignment="1">
      <alignment horizontal="left" vertical="center"/>
    </xf>
    <xf numFmtId="164" fontId="5" fillId="0" borderId="0" xfId="0" applyNumberFormat="1" applyFont="1"/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" fontId="5" fillId="0" borderId="22" xfId="0" quotePrefix="1" applyNumberFormat="1" applyFont="1" applyBorder="1" applyAlignment="1">
      <alignment horizontal="left" vertical="center"/>
    </xf>
    <xf numFmtId="2" fontId="5" fillId="0" borderId="0" xfId="0" applyNumberFormat="1" applyFont="1" applyBorder="1"/>
    <xf numFmtId="164" fontId="4" fillId="0" borderId="0" xfId="0" applyNumberFormat="1" applyFont="1" applyBorder="1"/>
    <xf numFmtId="0" fontId="5" fillId="0" borderId="13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64" fontId="5" fillId="0" borderId="27" xfId="0" applyNumberFormat="1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64" fontId="5" fillId="2" borderId="1" xfId="0" applyNumberFormat="1" applyFont="1" applyFill="1" applyBorder="1"/>
    <xf numFmtId="0" fontId="0" fillId="2" borderId="15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64" fontId="5" fillId="0" borderId="0" xfId="0" applyNumberFormat="1" applyFont="1" applyBorder="1" applyAlignment="1">
      <alignment vertical="center" wrapText="1"/>
    </xf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19" fillId="2" borderId="0" xfId="0" applyNumberFormat="1" applyFont="1" applyFill="1"/>
    <xf numFmtId="0" fontId="12" fillId="0" borderId="4" xfId="0" applyFont="1" applyBorder="1"/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164" fontId="4" fillId="2" borderId="1" xfId="0" applyNumberFormat="1" applyFont="1" applyFill="1" applyBorder="1"/>
    <xf numFmtId="164" fontId="9" fillId="0" borderId="0" xfId="0" applyNumberFormat="1" applyFont="1"/>
    <xf numFmtId="0" fontId="4" fillId="2" borderId="0" xfId="0" applyFont="1" applyFill="1" applyBorder="1"/>
    <xf numFmtId="0" fontId="6" fillId="2" borderId="0" xfId="0" applyFont="1" applyFill="1" applyBorder="1" applyAlignment="1">
      <alignment horizontal="center"/>
    </xf>
    <xf numFmtId="164" fontId="9" fillId="2" borderId="0" xfId="0" applyNumberFormat="1" applyFont="1" applyFill="1" applyBorder="1"/>
    <xf numFmtId="0" fontId="9" fillId="2" borderId="0" xfId="0" applyFont="1" applyFill="1" applyBorder="1"/>
    <xf numFmtId="0" fontId="4" fillId="2" borderId="0" xfId="0" applyFont="1" applyFill="1"/>
    <xf numFmtId="0" fontId="4" fillId="0" borderId="13" xfId="0" applyFont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0" borderId="14" xfId="0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24" xfId="0" applyFont="1" applyBorder="1"/>
    <xf numFmtId="164" fontId="5" fillId="0" borderId="25" xfId="0" applyNumberFormat="1" applyFont="1" applyBorder="1" applyAlignment="1">
      <alignment horizontal="right"/>
    </xf>
    <xf numFmtId="164" fontId="5" fillId="2" borderId="25" xfId="0" applyNumberFormat="1" applyFont="1" applyFill="1" applyBorder="1" applyAlignment="1">
      <alignment horizontal="right"/>
    </xf>
    <xf numFmtId="164" fontId="5" fillId="0" borderId="26" xfId="0" applyNumberFormat="1" applyFont="1" applyBorder="1" applyAlignment="1">
      <alignment horizontal="right"/>
    </xf>
    <xf numFmtId="16" fontId="5" fillId="0" borderId="1" xfId="0" quotePrefix="1" applyNumberFormat="1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right"/>
    </xf>
    <xf numFmtId="164" fontId="4" fillId="2" borderId="0" xfId="0" applyNumberFormat="1" applyFont="1" applyFill="1" applyBorder="1"/>
    <xf numFmtId="0" fontId="4" fillId="0" borderId="13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applyBorder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17" fillId="3" borderId="0" xfId="0" applyNumberFormat="1" applyFont="1" applyFill="1" applyBorder="1" applyAlignment="1">
      <alignment horizontal="center"/>
    </xf>
    <xf numFmtId="164" fontId="7" fillId="4" borderId="0" xfId="0" applyNumberFormat="1" applyFont="1" applyFill="1" applyBorder="1" applyAlignment="1">
      <alignment horizontal="left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4" fillId="6" borderId="13" xfId="1" applyFont="1" applyFill="1" applyBorder="1" applyAlignment="1">
      <alignment horizontal="left" vertical="top"/>
    </xf>
    <xf numFmtId="0" fontId="14" fillId="6" borderId="14" xfId="1" applyFont="1" applyFill="1" applyBorder="1" applyAlignment="1">
      <alignment horizontal="left" vertical="top"/>
    </xf>
    <xf numFmtId="0" fontId="4" fillId="2" borderId="13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14" fillId="6" borderId="1" xfId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5" fillId="7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5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0" fontId="14" fillId="6" borderId="3" xfId="1" applyFont="1" applyFill="1" applyBorder="1" applyAlignment="1">
      <alignment horizontal="left" vertical="top"/>
    </xf>
    <xf numFmtId="0" fontId="14" fillId="2" borderId="13" xfId="1" applyFont="1" applyFill="1" applyBorder="1" applyAlignment="1">
      <alignment horizontal="left" vertical="top"/>
    </xf>
    <xf numFmtId="0" fontId="14" fillId="2" borderId="14" xfId="1" applyFont="1" applyFill="1" applyBorder="1" applyAlignment="1">
      <alignment horizontal="left" vertical="top"/>
    </xf>
    <xf numFmtId="0" fontId="14" fillId="2" borderId="3" xfId="1" applyFont="1" applyFill="1" applyBorder="1" applyAlignment="1">
      <alignment horizontal="left" vertical="top"/>
    </xf>
    <xf numFmtId="164" fontId="7" fillId="5" borderId="0" xfId="0" applyNumberFormat="1" applyFont="1" applyFill="1" applyBorder="1" applyAlignment="1">
      <alignment horizontal="left"/>
    </xf>
  </cellXfs>
  <cellStyles count="10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6" xfId="6"/>
    <cellStyle name="Normal 7" xfId="7"/>
    <cellStyle name="Normal 8" xfId="8"/>
    <cellStyle name="Normal 9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154"/>
  <sheetViews>
    <sheetView tabSelected="1" topLeftCell="A4" zoomScale="75" zoomScaleNormal="75" zoomScalePageLayoutView="75" workbookViewId="0">
      <selection activeCell="A3" sqref="A3:P3"/>
    </sheetView>
  </sheetViews>
  <sheetFormatPr defaultColWidth="9.109375" defaultRowHeight="13.2"/>
  <cols>
    <col min="1" max="1" width="13.44140625" style="1" customWidth="1"/>
    <col min="2" max="2" width="11.5546875" style="1" customWidth="1"/>
    <col min="3" max="3" width="14.88671875" style="1" customWidth="1"/>
    <col min="4" max="4" width="11.5546875" style="1" customWidth="1"/>
    <col min="5" max="5" width="14.109375" style="1" bestFit="1" customWidth="1"/>
    <col min="6" max="6" width="13.88671875" style="1" bestFit="1" customWidth="1"/>
    <col min="7" max="7" width="14.33203125" style="1" bestFit="1" customWidth="1"/>
    <col min="8" max="8" width="11.5546875" style="1" customWidth="1"/>
    <col min="9" max="9" width="11.6640625" style="1" customWidth="1"/>
    <col min="10" max="10" width="14.109375" style="1" bestFit="1" customWidth="1"/>
    <col min="11" max="11" width="11.33203125" style="1" customWidth="1"/>
    <col min="12" max="12" width="13.88671875" style="1" bestFit="1" customWidth="1"/>
    <col min="13" max="13" width="20.5546875" style="1" customWidth="1"/>
    <col min="14" max="14" width="17.5546875" style="1" customWidth="1"/>
    <col min="15" max="15" width="12.109375" style="1" customWidth="1"/>
    <col min="16" max="16" width="13.33203125" style="1" bestFit="1" customWidth="1"/>
    <col min="17" max="18" width="9.88671875" style="1" bestFit="1" customWidth="1"/>
    <col min="19" max="19" width="9.109375" style="1"/>
    <col min="20" max="20" width="9.6640625" style="1" bestFit="1" customWidth="1"/>
    <col min="21" max="21" width="9.44140625" style="1" bestFit="1" customWidth="1"/>
    <col min="22" max="16384" width="9.109375" style="1"/>
  </cols>
  <sheetData>
    <row r="2" spans="1:16">
      <c r="A2" s="3"/>
      <c r="B2" s="3"/>
      <c r="N2" s="92"/>
      <c r="O2" s="92"/>
    </row>
    <row r="3" spans="1:16" ht="20.399999999999999">
      <c r="A3" s="111" t="s">
        <v>24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ht="15.6">
      <c r="A4" s="112" t="s">
        <v>5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1:16" ht="15.6">
      <c r="A5" s="29" t="s">
        <v>32</v>
      </c>
      <c r="B5" s="3"/>
      <c r="C5" s="3"/>
      <c r="D5" s="113" t="s">
        <v>18</v>
      </c>
      <c r="E5" s="113"/>
      <c r="F5" s="113"/>
      <c r="G5" s="3"/>
      <c r="I5" s="14"/>
      <c r="J5" s="14"/>
      <c r="K5" s="4"/>
      <c r="L5" s="27" t="s">
        <v>6</v>
      </c>
      <c r="M5" s="114" t="s">
        <v>10</v>
      </c>
      <c r="N5" s="114"/>
      <c r="O5" s="114"/>
      <c r="P5" s="114"/>
    </row>
    <row r="6" spans="1:16" ht="16.2" thickBot="1">
      <c r="A6" s="8"/>
      <c r="B6" s="7"/>
      <c r="C6" s="7"/>
      <c r="D6" s="7"/>
      <c r="E6" s="7"/>
      <c r="F6" s="7"/>
      <c r="G6" s="7"/>
      <c r="H6" s="7"/>
      <c r="I6" s="4"/>
      <c r="J6" s="7"/>
      <c r="K6" s="7"/>
      <c r="L6" s="28"/>
      <c r="M6" s="28"/>
      <c r="N6" s="28"/>
      <c r="O6" s="28"/>
      <c r="P6" s="28"/>
    </row>
    <row r="7" spans="1:16" ht="13.8">
      <c r="A7" s="115" t="s">
        <v>0</v>
      </c>
      <c r="B7" s="117" t="s">
        <v>16</v>
      </c>
      <c r="C7" s="118"/>
      <c r="D7" s="119"/>
      <c r="E7" s="117" t="s">
        <v>14</v>
      </c>
      <c r="F7" s="118"/>
      <c r="G7" s="119"/>
      <c r="H7" s="117" t="s">
        <v>22</v>
      </c>
      <c r="I7" s="118"/>
      <c r="J7" s="119"/>
      <c r="K7" s="117" t="s">
        <v>23</v>
      </c>
      <c r="L7" s="118"/>
      <c r="M7" s="119"/>
      <c r="N7" s="117" t="s">
        <v>13</v>
      </c>
      <c r="O7" s="118"/>
      <c r="P7" s="119"/>
    </row>
    <row r="8" spans="1:16" ht="13.8">
      <c r="A8" s="116"/>
      <c r="B8" s="24" t="s">
        <v>1</v>
      </c>
      <c r="C8" s="25" t="s">
        <v>2</v>
      </c>
      <c r="D8" s="26" t="s">
        <v>3</v>
      </c>
      <c r="E8" s="24" t="s">
        <v>4</v>
      </c>
      <c r="F8" s="25" t="s">
        <v>2</v>
      </c>
      <c r="G8" s="26" t="s">
        <v>3</v>
      </c>
      <c r="H8" s="24" t="s">
        <v>4</v>
      </c>
      <c r="I8" s="25" t="s">
        <v>2</v>
      </c>
      <c r="J8" s="26" t="s">
        <v>3</v>
      </c>
      <c r="K8" s="24" t="s">
        <v>4</v>
      </c>
      <c r="L8" s="25" t="s">
        <v>2</v>
      </c>
      <c r="M8" s="26" t="s">
        <v>3</v>
      </c>
      <c r="N8" s="24" t="s">
        <v>1</v>
      </c>
      <c r="O8" s="25" t="s">
        <v>2</v>
      </c>
      <c r="P8" s="26" t="s">
        <v>3</v>
      </c>
    </row>
    <row r="9" spans="1:16" ht="15" customHeight="1">
      <c r="A9" s="104" t="s">
        <v>29</v>
      </c>
      <c r="B9" s="9">
        <v>131.21634782608697</v>
      </c>
      <c r="C9" s="9">
        <v>399.84409945652311</v>
      </c>
      <c r="D9" s="10">
        <f>B9+C9</f>
        <v>531.06044728261008</v>
      </c>
      <c r="E9" s="9">
        <v>0</v>
      </c>
      <c r="F9" s="9">
        <f>3283.345-1704.715</f>
        <v>1578.6299999999999</v>
      </c>
      <c r="G9" s="10">
        <f>SUM(E9:F9)</f>
        <v>1578.6299999999999</v>
      </c>
      <c r="H9" s="9">
        <v>114.67</v>
      </c>
      <c r="I9" s="9">
        <v>1672.395</v>
      </c>
      <c r="J9" s="81">
        <f>SUM(H9:I9)</f>
        <v>1787.0650000000001</v>
      </c>
      <c r="K9" s="9">
        <f t="shared" ref="K9:L11" si="0">H9/0.92</f>
        <v>124.64130434782608</v>
      </c>
      <c r="L9" s="9">
        <f t="shared" si="0"/>
        <v>1817.820652173913</v>
      </c>
      <c r="M9" s="10">
        <f>K9+L9</f>
        <v>1942.461956521739</v>
      </c>
      <c r="N9" s="9">
        <f t="shared" ref="N9:O11" si="1">B9+E9-K9</f>
        <v>6.5750434782608949</v>
      </c>
      <c r="O9" s="9">
        <f t="shared" si="1"/>
        <v>160.65344728260993</v>
      </c>
      <c r="P9" s="10">
        <f>N9+O9</f>
        <v>167.22849076087084</v>
      </c>
    </row>
    <row r="10" spans="1:16" ht="15" customHeight="1">
      <c r="A10" s="104" t="s">
        <v>30</v>
      </c>
      <c r="B10" s="9">
        <f t="shared" ref="B10:C12" si="2">+N9</f>
        <v>6.5750434782608949</v>
      </c>
      <c r="C10" s="9">
        <f t="shared" si="2"/>
        <v>160.65344728260993</v>
      </c>
      <c r="D10" s="10">
        <f>B10+C10</f>
        <v>167.22849076087084</v>
      </c>
      <c r="E10" s="9">
        <v>767.1</v>
      </c>
      <c r="F10" s="9">
        <v>3219.2350000000001</v>
      </c>
      <c r="G10" s="10">
        <f>SUM(E10:F10)</f>
        <v>3986.335</v>
      </c>
      <c r="H10" s="9">
        <v>5.1929999999999996</v>
      </c>
      <c r="I10" s="9">
        <v>776.82899999999995</v>
      </c>
      <c r="J10" s="81">
        <f>SUM(H10:I10)</f>
        <v>782.02199999999993</v>
      </c>
      <c r="K10" s="9">
        <f t="shared" si="0"/>
        <v>5.6445652173913041</v>
      </c>
      <c r="L10" s="9">
        <f t="shared" si="0"/>
        <v>844.37934782608681</v>
      </c>
      <c r="M10" s="10">
        <f>K10+L10</f>
        <v>850.02391304347816</v>
      </c>
      <c r="N10" s="9">
        <f t="shared" si="1"/>
        <v>768.03047826086959</v>
      </c>
      <c r="O10" s="9">
        <f t="shared" si="1"/>
        <v>2535.5090994565235</v>
      </c>
      <c r="P10" s="10">
        <f>N10+O10</f>
        <v>3303.5395777173931</v>
      </c>
    </row>
    <row r="11" spans="1:16" ht="15" customHeight="1">
      <c r="A11" s="104" t="s">
        <v>31</v>
      </c>
      <c r="B11" s="9">
        <f t="shared" si="2"/>
        <v>768.03047826086959</v>
      </c>
      <c r="C11" s="9">
        <f t="shared" si="2"/>
        <v>2535.5090994565235</v>
      </c>
      <c r="D11" s="10">
        <f>B11+C11</f>
        <v>3303.5395777173931</v>
      </c>
      <c r="E11" s="9">
        <v>512.5</v>
      </c>
      <c r="F11" s="9">
        <f>1017.89+54.391+2.125</f>
        <v>1074.4059999999999</v>
      </c>
      <c r="G11" s="10">
        <f>SUM(E11:F11)</f>
        <v>1586.9059999999999</v>
      </c>
      <c r="H11" s="9">
        <v>267.81</v>
      </c>
      <c r="I11" s="9">
        <v>1802.982</v>
      </c>
      <c r="J11" s="81">
        <f>SUM(H11:I11)</f>
        <v>2070.7919999999999</v>
      </c>
      <c r="K11" s="9">
        <f t="shared" si="0"/>
        <v>291.0978260869565</v>
      </c>
      <c r="L11" s="9">
        <f t="shared" si="0"/>
        <v>1959.7630434782607</v>
      </c>
      <c r="M11" s="10">
        <f>K11+L11</f>
        <v>2250.8608695652174</v>
      </c>
      <c r="N11" s="9">
        <f t="shared" si="1"/>
        <v>989.43265217391308</v>
      </c>
      <c r="O11" s="9">
        <f t="shared" si="1"/>
        <v>1650.1520559782628</v>
      </c>
      <c r="P11" s="10">
        <f>N11+O11</f>
        <v>2639.5847081521761</v>
      </c>
    </row>
    <row r="12" spans="1:16" ht="15" customHeight="1">
      <c r="A12" s="104" t="s">
        <v>33</v>
      </c>
      <c r="B12" s="9">
        <f t="shared" si="2"/>
        <v>989.43265217391308</v>
      </c>
      <c r="C12" s="9">
        <f t="shared" si="2"/>
        <v>1650.1520559782628</v>
      </c>
      <c r="D12" s="10">
        <f>B12+C12</f>
        <v>2639.5847081521761</v>
      </c>
      <c r="E12" s="9">
        <v>470.02800000000002</v>
      </c>
      <c r="F12" s="9">
        <v>2254.3419999999996</v>
      </c>
      <c r="G12" s="10">
        <f>SUM(E12:F12)</f>
        <v>2724.37</v>
      </c>
      <c r="H12" s="9">
        <v>313.17599999999999</v>
      </c>
      <c r="I12" s="9">
        <v>1825.0070000000001</v>
      </c>
      <c r="J12" s="81">
        <f>SUM(H12:I12)</f>
        <v>2138.183</v>
      </c>
      <c r="K12" s="9">
        <f>H12/0.92</f>
        <v>340.40869565217389</v>
      </c>
      <c r="L12" s="9">
        <f t="shared" ref="L12" si="3">I12/0.92</f>
        <v>1983.7032608695652</v>
      </c>
      <c r="M12" s="10">
        <f>K12+L12</f>
        <v>2324.1119565217391</v>
      </c>
      <c r="N12" s="9">
        <f t="shared" ref="N12" si="4">B12+E12-K12</f>
        <v>1119.0519565217392</v>
      </c>
      <c r="O12" s="9">
        <f t="shared" ref="O12" si="5">C12+F12-L12</f>
        <v>1920.7907951086975</v>
      </c>
      <c r="P12" s="10">
        <f>N12+O12</f>
        <v>3039.8427516304364</v>
      </c>
    </row>
    <row r="13" spans="1:16" s="23" customFormat="1" ht="13.8">
      <c r="A13" s="84"/>
      <c r="B13" s="85">
        <f>+B9</f>
        <v>131.21634782608697</v>
      </c>
      <c r="C13" s="85">
        <f>+C9</f>
        <v>399.84409945652311</v>
      </c>
      <c r="D13" s="10">
        <f>B13+C13</f>
        <v>531.06044728261008</v>
      </c>
      <c r="E13" s="85">
        <f>SUM(E9:E12)</f>
        <v>1749.6279999999999</v>
      </c>
      <c r="F13" s="85">
        <f t="shared" ref="F13:M13" si="6">SUM(F9:F12)</f>
        <v>8126.6129999999994</v>
      </c>
      <c r="G13" s="85">
        <f t="shared" si="6"/>
        <v>9876.241</v>
      </c>
      <c r="H13" s="85">
        <f t="shared" si="6"/>
        <v>700.84899999999993</v>
      </c>
      <c r="I13" s="85">
        <f t="shared" si="6"/>
        <v>6077.2129999999997</v>
      </c>
      <c r="J13" s="85">
        <f>SUM(J9:J12)</f>
        <v>6778.0619999999999</v>
      </c>
      <c r="K13" s="85">
        <f>SUM(K9:K12)</f>
        <v>761.7923913043478</v>
      </c>
      <c r="L13" s="85">
        <f t="shared" si="6"/>
        <v>6605.6663043478256</v>
      </c>
      <c r="M13" s="85">
        <f t="shared" si="6"/>
        <v>7367.4586956521744</v>
      </c>
      <c r="N13" s="85">
        <f>+N12</f>
        <v>1119.0519565217392</v>
      </c>
      <c r="O13" s="85">
        <f>+O12</f>
        <v>1920.7907951086975</v>
      </c>
      <c r="P13" s="10">
        <f>N13+O13</f>
        <v>3039.8427516304364</v>
      </c>
    </row>
    <row r="14" spans="1:16" ht="15.6">
      <c r="A14" s="83"/>
      <c r="B14" s="100"/>
      <c r="C14" s="101"/>
      <c r="D14" s="101"/>
      <c r="E14" s="101"/>
      <c r="F14" s="101"/>
      <c r="G14" s="101"/>
      <c r="H14" s="101"/>
      <c r="I14" s="102"/>
      <c r="J14" s="101"/>
      <c r="K14" s="101"/>
      <c r="L14" s="101"/>
      <c r="M14" s="103"/>
      <c r="N14" s="19"/>
      <c r="O14" s="19"/>
      <c r="P14" s="17"/>
    </row>
    <row r="15" spans="1:16">
      <c r="A15" s="3" t="s">
        <v>17</v>
      </c>
      <c r="B15" s="120" t="s">
        <v>25</v>
      </c>
      <c r="C15" s="121"/>
      <c r="D15" s="121"/>
      <c r="E15" s="121"/>
      <c r="F15" s="121"/>
      <c r="G15" s="121"/>
      <c r="H15" s="121"/>
    </row>
    <row r="16" spans="1:16">
      <c r="A16" s="11"/>
      <c r="B16" s="122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4"/>
      <c r="N16" s="80"/>
      <c r="O16" s="80"/>
      <c r="P16" s="81">
        <f>SUM(N16:O16)</f>
        <v>0</v>
      </c>
    </row>
    <row r="17" spans="1:16">
      <c r="A17" s="11"/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10"/>
      <c r="N17" s="10">
        <f>SUM(N16:N16)</f>
        <v>0</v>
      </c>
      <c r="O17" s="10">
        <f>SUM(O16:O16)</f>
        <v>0</v>
      </c>
      <c r="P17" s="10">
        <f>SUM(P16:P16)</f>
        <v>0</v>
      </c>
    </row>
    <row r="18" spans="1:16">
      <c r="A18" s="3" t="s">
        <v>17</v>
      </c>
      <c r="B18" s="125" t="s">
        <v>27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</row>
    <row r="19" spans="1:16">
      <c r="A19" s="11"/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0"/>
      <c r="N19" s="9"/>
      <c r="O19" s="9"/>
      <c r="P19" s="10">
        <f>SUM(N19:O19)</f>
        <v>0</v>
      </c>
    </row>
    <row r="20" spans="1:16">
      <c r="A20" s="49"/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0"/>
      <c r="N20" s="2">
        <f>SUM(N19:N19)</f>
        <v>0</v>
      </c>
      <c r="O20" s="2">
        <f>SUM(O19:O19)</f>
        <v>0</v>
      </c>
      <c r="P20" s="2">
        <f>SUM(P19:P19)</f>
        <v>0</v>
      </c>
    </row>
    <row r="21" spans="1:16" ht="12.75" customHeight="1">
      <c r="A21" s="3" t="s">
        <v>17</v>
      </c>
      <c r="B21" s="120"/>
      <c r="C21" s="121"/>
      <c r="D21" s="121"/>
      <c r="E21" s="121"/>
      <c r="F21" s="121"/>
    </row>
    <row r="22" spans="1:16">
      <c r="A22" s="11"/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10"/>
      <c r="N22" s="9"/>
      <c r="O22" s="9"/>
      <c r="P22" s="10">
        <f>SUM(N22:O22)</f>
        <v>0</v>
      </c>
    </row>
    <row r="23" spans="1:16">
      <c r="A23" s="49"/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10"/>
      <c r="N23" s="2">
        <f>SUM(N22:N22)</f>
        <v>0</v>
      </c>
      <c r="O23" s="2">
        <f>SUM(O22:O22)</f>
        <v>0</v>
      </c>
      <c r="P23" s="2">
        <f>SUM(P22:P22)</f>
        <v>0</v>
      </c>
    </row>
    <row r="24" spans="1:16" ht="12.75" customHeight="1">
      <c r="A24" s="3" t="s">
        <v>17</v>
      </c>
      <c r="B24" s="120"/>
      <c r="C24" s="121"/>
      <c r="D24" s="121"/>
      <c r="E24" s="121"/>
      <c r="F24" s="121"/>
    </row>
    <row r="25" spans="1:16">
      <c r="A25" s="11"/>
      <c r="B25" s="10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9"/>
      <c r="N25" s="9"/>
      <c r="O25" s="9"/>
      <c r="P25" s="10">
        <f>SUM(N25:O25)</f>
        <v>0</v>
      </c>
    </row>
    <row r="26" spans="1:16">
      <c r="A26" s="49"/>
      <c r="B26" s="130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2"/>
      <c r="N26" s="2">
        <f>SUM(N25:N25)</f>
        <v>0</v>
      </c>
      <c r="O26" s="2">
        <f t="shared" ref="O26" si="7">SUM(O25:O25)</f>
        <v>0</v>
      </c>
      <c r="P26" s="2">
        <f>SUM(P25:P25)</f>
        <v>0</v>
      </c>
    </row>
    <row r="27" spans="1:16">
      <c r="A27" s="3" t="s">
        <v>17</v>
      </c>
      <c r="B27" s="133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5"/>
    </row>
    <row r="28" spans="1:16">
      <c r="A28" s="11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  <c r="N28" s="9"/>
      <c r="O28" s="9"/>
      <c r="P28" s="10">
        <f>SUM(N28:O28)</f>
        <v>0</v>
      </c>
    </row>
    <row r="29" spans="1:16">
      <c r="A29" s="49"/>
      <c r="B29" s="136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2">
        <f>SUM(N28:N28)</f>
        <v>0</v>
      </c>
      <c r="O29" s="2">
        <f>SUM(O28:O28)</f>
        <v>0</v>
      </c>
      <c r="P29" s="2">
        <f>SUM(P28:P28)</f>
        <v>0</v>
      </c>
    </row>
    <row r="30" spans="1:16">
      <c r="A30" s="49"/>
      <c r="B30" s="138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40"/>
      <c r="N30" s="2"/>
      <c r="O30" s="2"/>
      <c r="P30" s="2"/>
    </row>
    <row r="31" spans="1:16">
      <c r="A31" s="11" t="s">
        <v>17</v>
      </c>
      <c r="B31" s="141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3"/>
      <c r="N31" s="79"/>
      <c r="O31" s="80"/>
      <c r="P31" s="81">
        <f>SUM(N31:O31)</f>
        <v>0</v>
      </c>
    </row>
    <row r="32" spans="1:16">
      <c r="A32" s="11"/>
      <c r="B32" s="144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80"/>
      <c r="O32" s="80"/>
      <c r="P32" s="81"/>
    </row>
    <row r="33" spans="1:21">
      <c r="A33" s="49"/>
      <c r="B33" s="126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75">
        <f>SUM(N31:N32)</f>
        <v>0</v>
      </c>
      <c r="O33" s="75">
        <f>SUM(O31:O32)</f>
        <v>0</v>
      </c>
      <c r="P33" s="75">
        <f>SUM(P31:P32)</f>
        <v>0</v>
      </c>
      <c r="R33" s="58"/>
    </row>
    <row r="34" spans="1:21" ht="15.6">
      <c r="A34" s="30" t="s">
        <v>7</v>
      </c>
      <c r="B34" s="125" t="s">
        <v>26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0"/>
      <c r="N34" s="9"/>
      <c r="O34" s="9"/>
      <c r="P34" s="10"/>
    </row>
    <row r="35" spans="1:21" ht="15.6">
      <c r="A35" s="59"/>
      <c r="B35" s="108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10"/>
      <c r="N35" s="80"/>
      <c r="O35" s="80"/>
      <c r="P35" s="81">
        <f>SUM(N35:O35)</f>
        <v>0</v>
      </c>
    </row>
    <row r="36" spans="1:21" ht="15.6">
      <c r="A36" s="51"/>
      <c r="B36" s="147" t="s">
        <v>3</v>
      </c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0">
        <f>SUM(N35:N35)</f>
        <v>0</v>
      </c>
      <c r="O36" s="10">
        <f>SUM(O35:O35)</f>
        <v>0</v>
      </c>
      <c r="P36" s="10">
        <f>SUM(P35:P35)</f>
        <v>0</v>
      </c>
    </row>
    <row r="37" spans="1:21" ht="15.6">
      <c r="A37" s="30" t="s">
        <v>7</v>
      </c>
      <c r="B37" s="12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6"/>
      <c r="N37" s="9"/>
      <c r="O37" s="9"/>
      <c r="P37" s="10"/>
    </row>
    <row r="38" spans="1:21" ht="15.6">
      <c r="A38" s="59"/>
      <c r="B38" s="108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10"/>
      <c r="N38" s="9"/>
      <c r="O38" s="9"/>
      <c r="P38" s="10">
        <f>SUM(N38:O38)</f>
        <v>0</v>
      </c>
    </row>
    <row r="39" spans="1:21" ht="15.6">
      <c r="A39" s="51"/>
      <c r="B39" s="147" t="s">
        <v>3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0">
        <f>SUM(N38:N38)</f>
        <v>0</v>
      </c>
      <c r="O39" s="10">
        <f>SUM(O38:O38)</f>
        <v>0</v>
      </c>
      <c r="P39" s="10">
        <f>SUM(P38:P38)</f>
        <v>0</v>
      </c>
      <c r="Q39" s="148"/>
      <c r="R39" s="148"/>
      <c r="S39" s="88"/>
      <c r="T39" s="88"/>
      <c r="U39" s="88"/>
    </row>
    <row r="40" spans="1:21" ht="16.2" thickBot="1">
      <c r="A40" s="60"/>
      <c r="B40" s="149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2"/>
      <c r="O40" s="12"/>
      <c r="P40" s="12"/>
      <c r="Q40" s="87"/>
      <c r="R40" s="90"/>
      <c r="S40" s="89"/>
      <c r="T40" s="89"/>
      <c r="U40" s="89"/>
    </row>
    <row r="41" spans="1:21" s="20" customFormat="1" ht="16.2" thickBot="1">
      <c r="A41" s="42"/>
      <c r="B41" s="5"/>
      <c r="C41" s="12"/>
      <c r="D41" s="12"/>
      <c r="E41" s="12"/>
      <c r="F41" s="12"/>
      <c r="G41" s="12"/>
      <c r="H41" s="12"/>
      <c r="J41" s="38" t="s">
        <v>8</v>
      </c>
      <c r="K41" s="39"/>
      <c r="L41" s="39"/>
      <c r="M41" s="40"/>
      <c r="N41" s="37">
        <f>N13-N17-N20-N23+N36-N26-N29+N39-N33</f>
        <v>1119.0519565217392</v>
      </c>
      <c r="O41" s="37">
        <f>O13-O17-O20-O23+O36-O26-O29+O39-O33</f>
        <v>1920.7907951086975</v>
      </c>
      <c r="P41" s="37">
        <f>P13-P17-P20-P23+P36-P26-P29+P39-P33</f>
        <v>3039.8427516304364</v>
      </c>
      <c r="Q41" s="87"/>
      <c r="R41" s="90"/>
      <c r="S41" s="91"/>
      <c r="T41" s="91"/>
      <c r="U41" s="91"/>
    </row>
    <row r="42" spans="1:21" ht="12.75" customHeight="1">
      <c r="A42" s="41" t="s">
        <v>19</v>
      </c>
      <c r="B42" s="62"/>
      <c r="C42" s="13"/>
      <c r="D42" s="13"/>
      <c r="E42" s="13"/>
      <c r="F42" s="12"/>
      <c r="G42" s="12"/>
      <c r="H42" s="46"/>
      <c r="I42" s="46"/>
      <c r="J42" s="46"/>
      <c r="K42" s="41"/>
      <c r="L42" s="41"/>
      <c r="M42" s="12"/>
      <c r="N42" s="13"/>
      <c r="O42" s="13"/>
      <c r="P42" s="13"/>
      <c r="T42" s="58"/>
      <c r="U42" s="58"/>
    </row>
    <row r="43" spans="1:21" ht="12.75" customHeight="1">
      <c r="A43" s="41"/>
      <c r="B43" s="62"/>
      <c r="C43" s="13"/>
      <c r="D43" s="13"/>
      <c r="E43" s="13"/>
      <c r="F43" s="12"/>
      <c r="G43" s="12"/>
      <c r="H43" s="46"/>
      <c r="I43" s="46"/>
      <c r="J43" s="46"/>
      <c r="K43" s="41"/>
      <c r="L43" s="41"/>
      <c r="M43" s="12"/>
      <c r="N43" s="13"/>
      <c r="O43" s="13"/>
      <c r="P43" s="12"/>
      <c r="Q43" s="13"/>
      <c r="T43" s="58"/>
      <c r="U43" s="58"/>
    </row>
    <row r="44" spans="1:21" ht="12.75" customHeight="1">
      <c r="A44" s="41"/>
      <c r="B44" s="62"/>
      <c r="C44" s="13"/>
      <c r="D44" s="13"/>
      <c r="E44" s="13"/>
      <c r="F44" s="12"/>
      <c r="G44" s="12"/>
      <c r="H44" s="46"/>
      <c r="I44" s="46"/>
      <c r="J44" s="46"/>
      <c r="K44" s="41"/>
      <c r="L44" s="41"/>
      <c r="M44" s="12"/>
      <c r="N44" s="13"/>
      <c r="O44" s="13"/>
      <c r="P44" s="12"/>
      <c r="R44" s="58"/>
      <c r="T44" s="58"/>
      <c r="U44" s="58"/>
    </row>
    <row r="45" spans="1:21" ht="12.75" customHeight="1">
      <c r="A45" s="41"/>
      <c r="B45" s="62"/>
      <c r="C45" s="13"/>
      <c r="D45" s="13"/>
      <c r="E45" s="13"/>
      <c r="F45" s="12"/>
      <c r="G45" s="12"/>
      <c r="H45" s="46"/>
      <c r="I45" s="46"/>
      <c r="J45" s="46"/>
      <c r="K45" s="41"/>
      <c r="L45" s="41"/>
      <c r="M45" s="12"/>
      <c r="N45" s="13"/>
      <c r="O45" s="13"/>
      <c r="P45" s="13"/>
      <c r="T45" s="58"/>
      <c r="U45" s="58"/>
    </row>
    <row r="46" spans="1:21" ht="12.75" customHeight="1">
      <c r="A46" s="41"/>
      <c r="B46" s="62"/>
      <c r="C46" s="13"/>
      <c r="D46" s="13"/>
      <c r="E46" s="13"/>
      <c r="F46" s="12"/>
      <c r="G46" s="12"/>
      <c r="H46" s="52"/>
      <c r="I46" s="46"/>
      <c r="J46" s="46"/>
      <c r="K46" s="41"/>
      <c r="L46" s="41"/>
      <c r="M46" s="12"/>
      <c r="N46" s="13"/>
      <c r="O46" s="13"/>
      <c r="P46" s="13"/>
    </row>
    <row r="47" spans="1:21" ht="12.75" customHeight="1">
      <c r="A47" s="41"/>
      <c r="B47" s="62"/>
      <c r="C47" s="13"/>
      <c r="D47" s="13"/>
      <c r="E47" s="13"/>
      <c r="F47" s="12"/>
      <c r="G47" s="12"/>
      <c r="H47" s="52"/>
      <c r="K47" s="41"/>
      <c r="L47" s="27" t="s">
        <v>21</v>
      </c>
      <c r="M47" s="114" t="s">
        <v>20</v>
      </c>
      <c r="N47" s="114"/>
      <c r="O47" s="114"/>
      <c r="P47" s="114"/>
    </row>
    <row r="48" spans="1:21" ht="16.2" thickBot="1">
      <c r="A48" s="29" t="s">
        <v>5</v>
      </c>
      <c r="S48" s="3"/>
    </row>
    <row r="49" spans="1:16" ht="13.8">
      <c r="A49" s="115" t="s">
        <v>0</v>
      </c>
      <c r="B49" s="117" t="s">
        <v>16</v>
      </c>
      <c r="C49" s="118"/>
      <c r="D49" s="119"/>
      <c r="E49" s="117" t="s">
        <v>14</v>
      </c>
      <c r="F49" s="118"/>
      <c r="G49" s="119"/>
      <c r="H49" s="117" t="s">
        <v>15</v>
      </c>
      <c r="I49" s="118"/>
      <c r="J49" s="119"/>
      <c r="K49" s="117" t="s">
        <v>23</v>
      </c>
      <c r="L49" s="118"/>
      <c r="M49" s="119"/>
      <c r="N49" s="117" t="s">
        <v>13</v>
      </c>
      <c r="O49" s="118"/>
      <c r="P49" s="119"/>
    </row>
    <row r="50" spans="1:16" ht="15" customHeight="1">
      <c r="A50" s="116"/>
      <c r="B50" s="24" t="s">
        <v>1</v>
      </c>
      <c r="C50" s="25" t="s">
        <v>2</v>
      </c>
      <c r="D50" s="26" t="s">
        <v>3</v>
      </c>
      <c r="E50" s="24" t="s">
        <v>4</v>
      </c>
      <c r="F50" s="25" t="s">
        <v>2</v>
      </c>
      <c r="G50" s="26" t="s">
        <v>3</v>
      </c>
      <c r="H50" s="24" t="s">
        <v>4</v>
      </c>
      <c r="I50" s="25" t="s">
        <v>2</v>
      </c>
      <c r="J50" s="26" t="s">
        <v>3</v>
      </c>
      <c r="K50" s="24" t="s">
        <v>4</v>
      </c>
      <c r="L50" s="25" t="s">
        <v>2</v>
      </c>
      <c r="M50" s="26" t="s">
        <v>3</v>
      </c>
      <c r="N50" s="24" t="s">
        <v>1</v>
      </c>
      <c r="O50" s="25" t="s">
        <v>2</v>
      </c>
      <c r="P50" s="26" t="s">
        <v>3</v>
      </c>
    </row>
    <row r="51" spans="1:16">
      <c r="A51" s="66" t="s">
        <v>29</v>
      </c>
      <c r="B51" s="9">
        <v>501.52752173913058</v>
      </c>
      <c r="C51" s="9">
        <v>4.2834847826084967</v>
      </c>
      <c r="D51" s="10">
        <v>505.81100652173905</v>
      </c>
      <c r="E51" s="9">
        <v>0</v>
      </c>
      <c r="F51" s="9">
        <v>0</v>
      </c>
      <c r="G51" s="10">
        <f t="shared" ref="G51" si="8">SUM(E51:F51)</f>
        <v>0</v>
      </c>
      <c r="H51" s="9">
        <v>0</v>
      </c>
      <c r="I51" s="9">
        <v>0</v>
      </c>
      <c r="J51" s="81">
        <f>SUM(H51:I51)</f>
        <v>0</v>
      </c>
      <c r="K51" s="9">
        <f t="shared" ref="K51:L52" si="9">H51/0.92</f>
        <v>0</v>
      </c>
      <c r="L51" s="9">
        <f t="shared" si="9"/>
        <v>0</v>
      </c>
      <c r="M51" s="10">
        <f t="shared" ref="M51:M52" si="10">K51+L51</f>
        <v>0</v>
      </c>
      <c r="N51" s="9">
        <f>B51+E51-K51</f>
        <v>501.52752173913058</v>
      </c>
      <c r="O51" s="9">
        <f t="shared" ref="O51:O52" si="11">C51+F51-L51</f>
        <v>4.2834847826084967</v>
      </c>
      <c r="P51" s="10">
        <f t="shared" ref="P51:P52" si="12">N51+O51</f>
        <v>505.81100652173905</v>
      </c>
    </row>
    <row r="52" spans="1:16">
      <c r="A52" s="66" t="s">
        <v>30</v>
      </c>
      <c r="B52" s="9">
        <f t="shared" ref="B52:C54" si="13">+N51</f>
        <v>501.52752173913058</v>
      </c>
      <c r="C52" s="9">
        <f t="shared" si="13"/>
        <v>4.2834847826084967</v>
      </c>
      <c r="D52" s="10">
        <v>505.81100652173905</v>
      </c>
      <c r="E52" s="9">
        <v>0</v>
      </c>
      <c r="F52" s="9">
        <v>0</v>
      </c>
      <c r="G52" s="10">
        <f t="shared" ref="G52" si="14">SUM(E52:F52)</f>
        <v>0</v>
      </c>
      <c r="H52" s="9">
        <v>0</v>
      </c>
      <c r="I52" s="9">
        <v>0</v>
      </c>
      <c r="J52" s="81">
        <f>SUM(H52:I52)</f>
        <v>0</v>
      </c>
      <c r="K52" s="9">
        <f t="shared" si="9"/>
        <v>0</v>
      </c>
      <c r="L52" s="9">
        <f t="shared" si="9"/>
        <v>0</v>
      </c>
      <c r="M52" s="10">
        <f t="shared" si="10"/>
        <v>0</v>
      </c>
      <c r="N52" s="9">
        <f>B52+E52-K52</f>
        <v>501.52752173913058</v>
      </c>
      <c r="O52" s="9">
        <f t="shared" si="11"/>
        <v>4.2834847826084967</v>
      </c>
      <c r="P52" s="10">
        <f t="shared" si="12"/>
        <v>505.81100652173905</v>
      </c>
    </row>
    <row r="53" spans="1:16">
      <c r="A53" s="66" t="s">
        <v>31</v>
      </c>
      <c r="B53" s="9">
        <f t="shared" si="13"/>
        <v>501.52752173913058</v>
      </c>
      <c r="C53" s="9">
        <f t="shared" si="13"/>
        <v>4.2834847826084967</v>
      </c>
      <c r="D53" s="10">
        <v>505.81100652173905</v>
      </c>
      <c r="E53" s="9">
        <v>0</v>
      </c>
      <c r="F53" s="9">
        <v>0</v>
      </c>
      <c r="G53" s="10">
        <f t="shared" ref="G53" si="15">SUM(E53:F53)</f>
        <v>0</v>
      </c>
      <c r="H53" s="9">
        <v>281.81799999999998</v>
      </c>
      <c r="I53" s="9">
        <v>0</v>
      </c>
      <c r="J53" s="81">
        <f>SUM(H53:I53)</f>
        <v>281.81799999999998</v>
      </c>
      <c r="K53" s="9">
        <f>H53/0.92</f>
        <v>306.32391304347823</v>
      </c>
      <c r="L53" s="9">
        <f t="shared" ref="L53" si="16">I53/0.92</f>
        <v>0</v>
      </c>
      <c r="M53" s="10">
        <f t="shared" ref="M53" si="17">K53+L53</f>
        <v>306.32391304347823</v>
      </c>
      <c r="N53" s="9">
        <f>B53+E53-K53</f>
        <v>195.20360869565235</v>
      </c>
      <c r="O53" s="9">
        <f t="shared" ref="O53" si="18">C53+F53-L53</f>
        <v>4.2834847826084967</v>
      </c>
      <c r="P53" s="10">
        <f t="shared" ref="P53" si="19">N53+O53</f>
        <v>199.48709347826085</v>
      </c>
    </row>
    <row r="54" spans="1:16">
      <c r="A54" s="66" t="s">
        <v>33</v>
      </c>
      <c r="B54" s="9">
        <f t="shared" si="13"/>
        <v>195.20360869565235</v>
      </c>
      <c r="C54" s="9">
        <f t="shared" si="13"/>
        <v>4.2834847826084967</v>
      </c>
      <c r="D54" s="10">
        <v>505.81100652173905</v>
      </c>
      <c r="E54" s="9">
        <v>0</v>
      </c>
      <c r="F54" s="9">
        <v>0</v>
      </c>
      <c r="G54" s="10">
        <f t="shared" ref="G54" si="20">SUM(E54:F54)</f>
        <v>0</v>
      </c>
      <c r="H54" s="9">
        <v>110.06799999999998</v>
      </c>
      <c r="I54" s="9">
        <v>0</v>
      </c>
      <c r="J54" s="81">
        <f>SUM(H54:I54)</f>
        <v>110.06799999999998</v>
      </c>
      <c r="K54" s="9">
        <f>H54/0.92</f>
        <v>119.63913043478259</v>
      </c>
      <c r="L54" s="9">
        <f t="shared" ref="L54" si="21">I54/0.92</f>
        <v>0</v>
      </c>
      <c r="M54" s="10">
        <f t="shared" ref="M54" si="22">K54+L54</f>
        <v>119.63913043478259</v>
      </c>
      <c r="N54" s="9">
        <f>B54+E54-K54</f>
        <v>75.564478260869762</v>
      </c>
      <c r="O54" s="9">
        <f t="shared" ref="O54" si="23">C54+F54-L54</f>
        <v>4.2834847826084967</v>
      </c>
      <c r="P54" s="10">
        <f t="shared" ref="P54" si="24">N54+O54</f>
        <v>79.847963043478259</v>
      </c>
    </row>
    <row r="55" spans="1:16" s="23" customFormat="1" ht="13.8">
      <c r="A55" s="84"/>
      <c r="B55" s="85">
        <f>+B51</f>
        <v>501.52752173913058</v>
      </c>
      <c r="C55" s="85">
        <f>+C51</f>
        <v>4.2834847826084967</v>
      </c>
      <c r="D55" s="10">
        <f>B55+C55</f>
        <v>505.81100652173905</v>
      </c>
      <c r="E55" s="85">
        <f>SUM(E51:E54)</f>
        <v>0</v>
      </c>
      <c r="F55" s="85">
        <f t="shared" ref="F55:M55" si="25">SUM(F51:F54)</f>
        <v>0</v>
      </c>
      <c r="G55" s="85">
        <f t="shared" si="25"/>
        <v>0</v>
      </c>
      <c r="H55" s="85">
        <f t="shared" si="25"/>
        <v>391.88599999999997</v>
      </c>
      <c r="I55" s="85">
        <f t="shared" si="25"/>
        <v>0</v>
      </c>
      <c r="J55" s="85">
        <f t="shared" si="25"/>
        <v>391.88599999999997</v>
      </c>
      <c r="K55" s="85">
        <f t="shared" si="25"/>
        <v>425.96304347826083</v>
      </c>
      <c r="L55" s="85">
        <f t="shared" si="25"/>
        <v>0</v>
      </c>
      <c r="M55" s="85">
        <f t="shared" si="25"/>
        <v>425.96304347826083</v>
      </c>
      <c r="N55" s="85">
        <f>+N54</f>
        <v>75.564478260869762</v>
      </c>
      <c r="O55" s="85">
        <f>+O54</f>
        <v>4.2834847826084967</v>
      </c>
      <c r="P55" s="10">
        <f>N55+O55</f>
        <v>79.847963043478259</v>
      </c>
    </row>
    <row r="56" spans="1:16" ht="15.6">
      <c r="A56" s="8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spans="1:16" ht="15.6">
      <c r="A57" s="30" t="s">
        <v>7</v>
      </c>
      <c r="B57" s="125" t="s">
        <v>26</v>
      </c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0"/>
      <c r="N57" s="10"/>
      <c r="O57" s="10"/>
      <c r="P57" s="10"/>
    </row>
    <row r="58" spans="1:16">
      <c r="A58" s="11"/>
      <c r="B58" s="108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10"/>
      <c r="N58" s="86"/>
      <c r="O58" s="86"/>
      <c r="P58" s="75">
        <f>+O58+N58</f>
        <v>0</v>
      </c>
    </row>
    <row r="59" spans="1:16">
      <c r="A59" s="11"/>
      <c r="B59" s="138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40"/>
      <c r="N59" s="2">
        <f>SUM(N58:N58)</f>
        <v>0</v>
      </c>
      <c r="O59" s="2">
        <f>SUM(O58:O58)</f>
        <v>0</v>
      </c>
      <c r="P59" s="2">
        <f>SUM(P58:P58)</f>
        <v>0</v>
      </c>
    </row>
    <row r="60" spans="1:16" ht="15.6">
      <c r="A60" s="30" t="s">
        <v>7</v>
      </c>
      <c r="B60" s="120" t="s">
        <v>28</v>
      </c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51"/>
      <c r="N60" s="10"/>
      <c r="O60" s="10"/>
      <c r="P60" s="10"/>
    </row>
    <row r="61" spans="1:16">
      <c r="A61" s="11"/>
      <c r="B61" s="108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10"/>
      <c r="N61" s="2"/>
      <c r="O61" s="61"/>
      <c r="P61" s="2">
        <f t="shared" ref="P61" si="26">+O61+N61</f>
        <v>0</v>
      </c>
    </row>
    <row r="62" spans="1:16">
      <c r="A62" s="11"/>
      <c r="B62" s="138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40"/>
      <c r="N62" s="10">
        <f>SUM(N61:N61)</f>
        <v>0</v>
      </c>
      <c r="O62" s="10">
        <f>SUM(O61:O61)</f>
        <v>0</v>
      </c>
      <c r="P62" s="2">
        <f>+O62+N62</f>
        <v>0</v>
      </c>
    </row>
    <row r="63" spans="1:16" ht="15.6">
      <c r="A63" s="30" t="s">
        <v>7</v>
      </c>
      <c r="B63" s="133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5"/>
      <c r="N63" s="10"/>
      <c r="O63" s="10"/>
      <c r="P63" s="10"/>
    </row>
    <row r="64" spans="1:16" ht="15.6">
      <c r="A64" s="30"/>
      <c r="B64" s="152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4"/>
      <c r="N64" s="10"/>
      <c r="O64" s="10"/>
      <c r="P64" s="10">
        <f>SUM(N64:O64)</f>
        <v>0</v>
      </c>
    </row>
    <row r="65" spans="1:18">
      <c r="A65" s="11"/>
      <c r="B65" s="138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40"/>
      <c r="N65" s="2">
        <f t="shared" ref="N65:O65" si="27">SUM(N64:N64)</f>
        <v>0</v>
      </c>
      <c r="O65" s="2">
        <f t="shared" si="27"/>
        <v>0</v>
      </c>
      <c r="P65" s="2">
        <f>SUM(P64:P64)</f>
        <v>0</v>
      </c>
    </row>
    <row r="66" spans="1:18" ht="12.75" customHeight="1">
      <c r="A66" s="3" t="s">
        <v>17</v>
      </c>
      <c r="B66" s="120"/>
      <c r="C66" s="121"/>
      <c r="D66" s="121"/>
      <c r="E66" s="121"/>
      <c r="F66" s="121"/>
      <c r="G66" s="121"/>
      <c r="H66" s="121"/>
      <c r="I66" s="121"/>
    </row>
    <row r="67" spans="1:18">
      <c r="A67" s="11"/>
      <c r="B67" s="108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10"/>
      <c r="N67" s="9"/>
      <c r="O67" s="9"/>
      <c r="P67" s="10">
        <f>SUM(N67:O67)</f>
        <v>0</v>
      </c>
    </row>
    <row r="68" spans="1:18">
      <c r="A68" s="49"/>
      <c r="B68" s="108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10"/>
      <c r="N68" s="2">
        <f>SUM(N67:N67)</f>
        <v>0</v>
      </c>
      <c r="O68" s="2">
        <f>SUM(O67:O67)</f>
        <v>0</v>
      </c>
      <c r="P68" s="2">
        <f>SUM(P67:P67)</f>
        <v>0</v>
      </c>
    </row>
    <row r="69" spans="1:18" ht="12.75" customHeight="1">
      <c r="A69" s="3" t="s">
        <v>17</v>
      </c>
      <c r="B69" s="120"/>
      <c r="C69" s="121"/>
      <c r="D69" s="121"/>
      <c r="E69" s="121"/>
      <c r="F69" s="121"/>
    </row>
    <row r="70" spans="1:18">
      <c r="A70" s="11"/>
      <c r="B70" s="108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10"/>
      <c r="N70" s="9"/>
      <c r="O70" s="9"/>
      <c r="P70" s="10">
        <f>SUM(N70:O70)</f>
        <v>0</v>
      </c>
    </row>
    <row r="71" spans="1:18">
      <c r="A71" s="49"/>
      <c r="B71" s="108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10"/>
      <c r="N71" s="2">
        <f>SUM(N70:N70)</f>
        <v>0</v>
      </c>
      <c r="O71" s="2">
        <f>SUM(O70:O70)</f>
        <v>0</v>
      </c>
      <c r="P71" s="2">
        <f>SUM(P70:P70)</f>
        <v>0</v>
      </c>
    </row>
    <row r="72" spans="1:18" ht="15.6">
      <c r="A72" s="20"/>
      <c r="B72" s="5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6"/>
      <c r="N72" s="9"/>
      <c r="O72" s="10"/>
      <c r="P72" s="2"/>
    </row>
    <row r="73" spans="1:18" ht="12.75" customHeight="1">
      <c r="A73" s="3" t="s">
        <v>17</v>
      </c>
      <c r="B73" s="120" t="s">
        <v>25</v>
      </c>
      <c r="C73" s="121"/>
      <c r="D73" s="121"/>
      <c r="E73" s="121"/>
      <c r="F73" s="121"/>
    </row>
    <row r="74" spans="1:18">
      <c r="A74" s="11"/>
      <c r="B74" s="122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4"/>
      <c r="N74" s="80"/>
      <c r="O74" s="80"/>
      <c r="P74" s="81">
        <f>SUM(N74:O74)</f>
        <v>0</v>
      </c>
    </row>
    <row r="75" spans="1:18">
      <c r="A75" s="49"/>
      <c r="B75" s="108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10"/>
      <c r="N75" s="2">
        <f>SUM(N74:N74)</f>
        <v>0</v>
      </c>
      <c r="O75" s="2">
        <f>SUM(O74:O74)</f>
        <v>0</v>
      </c>
      <c r="P75" s="2">
        <f>SUM(P74:P74)</f>
        <v>0</v>
      </c>
    </row>
    <row r="76" spans="1:18" ht="13.8" thickBot="1">
      <c r="A76" s="46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2"/>
      <c r="O76" s="72"/>
      <c r="P76" s="72"/>
    </row>
    <row r="77" spans="1:18" ht="16.2" thickBot="1">
      <c r="A77" s="42"/>
      <c r="B77" s="5"/>
      <c r="C77" s="12"/>
      <c r="D77" s="12"/>
      <c r="E77" s="12"/>
      <c r="F77" s="12"/>
      <c r="G77" s="12"/>
      <c r="H77" s="12"/>
      <c r="I77" s="20"/>
      <c r="J77" s="38" t="s">
        <v>8</v>
      </c>
      <c r="K77" s="39"/>
      <c r="L77" s="39"/>
      <c r="M77" s="40"/>
      <c r="N77" s="37">
        <f>N55+N59+N62+N65-N68-N71-N75</f>
        <v>75.564478260869762</v>
      </c>
      <c r="O77" s="37">
        <f>O55+O59+O62+O65-O68-O71-O75</f>
        <v>4.2834847826084967</v>
      </c>
      <c r="P77" s="37">
        <f>P55+P59+P62+P65-P68-P71-P75</f>
        <v>79.847963043478259</v>
      </c>
      <c r="Q77" s="58"/>
      <c r="R77" s="58"/>
    </row>
    <row r="78" spans="1:18">
      <c r="A78" s="41" t="s">
        <v>19</v>
      </c>
      <c r="B78" s="62"/>
      <c r="C78" s="13"/>
      <c r="D78" s="13"/>
      <c r="E78" s="13"/>
      <c r="F78" s="12"/>
      <c r="G78" s="12"/>
      <c r="H78" s="46"/>
      <c r="I78" s="46"/>
      <c r="J78" s="6"/>
      <c r="K78" s="6"/>
      <c r="L78" s="6"/>
      <c r="M78" s="6"/>
      <c r="N78" s="13"/>
      <c r="O78" s="13"/>
      <c r="P78" s="13"/>
    </row>
    <row r="79" spans="1:18">
      <c r="A79" s="41"/>
      <c r="B79" s="62"/>
      <c r="C79" s="13"/>
      <c r="D79" s="13"/>
      <c r="E79" s="13"/>
      <c r="F79" s="12"/>
      <c r="G79" s="12"/>
      <c r="H79" s="46"/>
      <c r="I79" s="46"/>
      <c r="J79" s="6"/>
      <c r="K79" s="6"/>
      <c r="L79" s="105"/>
      <c r="M79" s="48"/>
      <c r="N79" s="106"/>
      <c r="O79" s="106"/>
      <c r="P79" s="48"/>
    </row>
    <row r="80" spans="1:18">
      <c r="A80" s="41"/>
      <c r="B80" s="62"/>
      <c r="C80" s="13"/>
      <c r="D80" s="13"/>
      <c r="E80" s="13"/>
      <c r="F80" s="12"/>
      <c r="G80" s="12"/>
      <c r="H80" s="46"/>
      <c r="I80" s="46"/>
      <c r="J80" s="6"/>
      <c r="K80" s="6"/>
      <c r="L80" s="105"/>
      <c r="M80" s="48"/>
      <c r="N80" s="106"/>
      <c r="O80" s="106"/>
      <c r="P80" s="48"/>
    </row>
    <row r="81" spans="1:16">
      <c r="A81" s="41"/>
      <c r="B81" s="62"/>
      <c r="C81" s="13"/>
      <c r="D81" s="13"/>
      <c r="E81" s="13"/>
      <c r="F81" s="12"/>
      <c r="G81" s="12"/>
      <c r="H81" s="46"/>
      <c r="I81" s="46"/>
      <c r="J81" s="6"/>
      <c r="K81" s="6"/>
      <c r="L81" s="105"/>
      <c r="M81" s="48"/>
      <c r="N81" s="106"/>
      <c r="O81" s="106"/>
      <c r="P81" s="106"/>
    </row>
    <row r="82" spans="1:16">
      <c r="A82" s="41"/>
      <c r="B82" s="62"/>
      <c r="C82" s="13"/>
      <c r="D82" s="13"/>
      <c r="E82" s="13"/>
      <c r="F82" s="12"/>
      <c r="G82" s="12"/>
      <c r="H82" s="46"/>
      <c r="I82" s="46"/>
      <c r="J82" s="6"/>
      <c r="K82" s="6"/>
      <c r="L82" s="105"/>
      <c r="M82" s="105"/>
      <c r="N82" s="106"/>
      <c r="O82" s="106"/>
      <c r="P82" s="106"/>
    </row>
    <row r="83" spans="1:16">
      <c r="A83" s="41"/>
      <c r="B83" s="62"/>
      <c r="C83" s="13"/>
      <c r="D83" s="13"/>
      <c r="E83" s="13"/>
      <c r="F83" s="12"/>
      <c r="G83" s="12"/>
      <c r="H83" s="46"/>
      <c r="I83" s="46"/>
      <c r="J83" s="6"/>
      <c r="K83" s="6"/>
      <c r="L83" s="105"/>
      <c r="M83" s="105"/>
      <c r="N83" s="107"/>
      <c r="O83" s="88"/>
      <c r="P83" s="88"/>
    </row>
    <row r="84" spans="1:16" ht="15.6">
      <c r="B84" s="62"/>
      <c r="C84" s="13"/>
      <c r="D84" s="13"/>
      <c r="E84" s="13"/>
      <c r="F84" s="12"/>
      <c r="G84" s="12"/>
      <c r="H84" s="46"/>
      <c r="I84" s="46"/>
      <c r="L84" s="43" t="s">
        <v>9</v>
      </c>
      <c r="M84" s="155" t="s">
        <v>12</v>
      </c>
      <c r="N84" s="155"/>
      <c r="O84" s="155"/>
      <c r="P84" s="155"/>
    </row>
    <row r="85" spans="1:16" ht="16.2" thickBot="1">
      <c r="A85" s="29" t="s">
        <v>5</v>
      </c>
      <c r="M85" s="44" t="s">
        <v>11</v>
      </c>
      <c r="N85" s="44"/>
      <c r="O85" s="44"/>
      <c r="P85" s="10"/>
    </row>
    <row r="86" spans="1:16" ht="13.8">
      <c r="A86" s="115" t="s">
        <v>0</v>
      </c>
      <c r="B86" s="117" t="s">
        <v>16</v>
      </c>
      <c r="C86" s="118"/>
      <c r="D86" s="119"/>
      <c r="E86" s="117" t="s">
        <v>14</v>
      </c>
      <c r="F86" s="118"/>
      <c r="G86" s="119"/>
      <c r="H86" s="117" t="s">
        <v>15</v>
      </c>
      <c r="I86" s="118"/>
      <c r="J86" s="119"/>
      <c r="K86" s="117" t="s">
        <v>23</v>
      </c>
      <c r="L86" s="118"/>
      <c r="M86" s="119"/>
      <c r="N86" s="117" t="s">
        <v>13</v>
      </c>
      <c r="O86" s="118"/>
      <c r="P86" s="119"/>
    </row>
    <row r="87" spans="1:16" ht="13.8">
      <c r="A87" s="116"/>
      <c r="B87" s="24" t="s">
        <v>1</v>
      </c>
      <c r="C87" s="25" t="s">
        <v>2</v>
      </c>
      <c r="D87" s="26" t="s">
        <v>3</v>
      </c>
      <c r="E87" s="24" t="s">
        <v>4</v>
      </c>
      <c r="F87" s="25" t="s">
        <v>2</v>
      </c>
      <c r="G87" s="26" t="s">
        <v>3</v>
      </c>
      <c r="H87" s="24" t="s">
        <v>4</v>
      </c>
      <c r="I87" s="25" t="s">
        <v>2</v>
      </c>
      <c r="J87" s="26" t="s">
        <v>3</v>
      </c>
      <c r="K87" s="24" t="s">
        <v>4</v>
      </c>
      <c r="L87" s="25" t="s">
        <v>2</v>
      </c>
      <c r="M87" s="26" t="s">
        <v>3</v>
      </c>
      <c r="N87" s="24" t="s">
        <v>1</v>
      </c>
      <c r="O87" s="25" t="s">
        <v>2</v>
      </c>
      <c r="P87" s="26" t="s">
        <v>3</v>
      </c>
    </row>
    <row r="88" spans="1:16">
      <c r="A88" s="66" t="s">
        <v>29</v>
      </c>
      <c r="B88" s="15">
        <f t="shared" ref="B88:C91" si="28">+B51+B9</f>
        <v>632.74386956521755</v>
      </c>
      <c r="C88" s="9">
        <f t="shared" si="28"/>
        <v>404.12758423913158</v>
      </c>
      <c r="D88" s="18">
        <f t="shared" ref="D88:D92" si="29">B88+C88</f>
        <v>1036.8714538043491</v>
      </c>
      <c r="E88" s="15">
        <f t="shared" ref="E88:F91" si="30">+E51+E9</f>
        <v>0</v>
      </c>
      <c r="F88" s="9">
        <f t="shared" si="30"/>
        <v>1578.6299999999999</v>
      </c>
      <c r="G88" s="18">
        <f t="shared" ref="G88" si="31">SUM(E88:F88)</f>
        <v>1578.6299999999999</v>
      </c>
      <c r="H88" s="15">
        <f t="shared" ref="H88:I91" si="32">+H51+H9</f>
        <v>114.67</v>
      </c>
      <c r="I88" s="9">
        <f t="shared" si="32"/>
        <v>1672.395</v>
      </c>
      <c r="J88" s="47">
        <f t="shared" ref="J88:J89" si="33">SUM(H88:I88)</f>
        <v>1787.0650000000001</v>
      </c>
      <c r="K88" s="15">
        <f t="shared" ref="K88:L89" si="34">H88/0.92</f>
        <v>124.64130434782608</v>
      </c>
      <c r="L88" s="15">
        <f t="shared" si="34"/>
        <v>1817.820652173913</v>
      </c>
      <c r="M88" s="18">
        <f t="shared" ref="M88:M89" si="35">K88+L88</f>
        <v>1942.461956521739</v>
      </c>
      <c r="N88" s="15">
        <f t="shared" ref="N88:O89" si="36">B88+E88-K88</f>
        <v>508.10256521739149</v>
      </c>
      <c r="O88" s="9">
        <f t="shared" si="36"/>
        <v>164.93693206521857</v>
      </c>
      <c r="P88" s="18">
        <f t="shared" ref="P88:P89" si="37">N88+O88</f>
        <v>673.03949728261</v>
      </c>
    </row>
    <row r="89" spans="1:16">
      <c r="A89" s="66" t="s">
        <v>30</v>
      </c>
      <c r="B89" s="15">
        <f t="shared" si="28"/>
        <v>508.10256521739149</v>
      </c>
      <c r="C89" s="9">
        <f t="shared" si="28"/>
        <v>164.93693206521843</v>
      </c>
      <c r="D89" s="18">
        <f t="shared" si="29"/>
        <v>673.03949728260989</v>
      </c>
      <c r="E89" s="15">
        <f t="shared" si="30"/>
        <v>767.1</v>
      </c>
      <c r="F89" s="9">
        <f t="shared" si="30"/>
        <v>3219.2350000000001</v>
      </c>
      <c r="G89" s="18">
        <f t="shared" ref="G89" si="38">SUM(E89:F89)</f>
        <v>3986.335</v>
      </c>
      <c r="H89" s="15">
        <f t="shared" si="32"/>
        <v>5.1929999999999996</v>
      </c>
      <c r="I89" s="9">
        <f t="shared" si="32"/>
        <v>776.82899999999995</v>
      </c>
      <c r="J89" s="47">
        <f t="shared" si="33"/>
        <v>782.02199999999993</v>
      </c>
      <c r="K89" s="15">
        <f t="shared" si="34"/>
        <v>5.6445652173913041</v>
      </c>
      <c r="L89" s="15">
        <f t="shared" si="34"/>
        <v>844.37934782608681</v>
      </c>
      <c r="M89" s="18">
        <f t="shared" si="35"/>
        <v>850.02391304347816</v>
      </c>
      <c r="N89" s="15">
        <f t="shared" si="36"/>
        <v>1269.5580000000002</v>
      </c>
      <c r="O89" s="9">
        <f t="shared" si="36"/>
        <v>2539.7925842391319</v>
      </c>
      <c r="P89" s="18">
        <f t="shared" si="37"/>
        <v>3809.3505842391323</v>
      </c>
    </row>
    <row r="90" spans="1:16">
      <c r="A90" s="66" t="s">
        <v>31</v>
      </c>
      <c r="B90" s="15">
        <f t="shared" si="28"/>
        <v>1269.5580000000002</v>
      </c>
      <c r="C90" s="9">
        <f t="shared" si="28"/>
        <v>2539.7925842391319</v>
      </c>
      <c r="D90" s="18">
        <f t="shared" ref="D90" si="39">B90+C90</f>
        <v>3809.3505842391323</v>
      </c>
      <c r="E90" s="15">
        <f t="shared" si="30"/>
        <v>512.5</v>
      </c>
      <c r="F90" s="9">
        <f t="shared" si="30"/>
        <v>1074.4059999999999</v>
      </c>
      <c r="G90" s="18">
        <f t="shared" ref="G90" si="40">SUM(E90:F90)</f>
        <v>1586.9059999999999</v>
      </c>
      <c r="H90" s="15">
        <f t="shared" si="32"/>
        <v>549.62799999999993</v>
      </c>
      <c r="I90" s="9">
        <f t="shared" si="32"/>
        <v>1802.982</v>
      </c>
      <c r="J90" s="47">
        <f t="shared" ref="J90" si="41">SUM(H90:I90)</f>
        <v>2352.6099999999997</v>
      </c>
      <c r="K90" s="15">
        <f t="shared" ref="K90" si="42">H90/0.92</f>
        <v>597.42173913043473</v>
      </c>
      <c r="L90" s="15">
        <f t="shared" ref="L90" si="43">I90/0.92</f>
        <v>1959.7630434782607</v>
      </c>
      <c r="M90" s="18">
        <f t="shared" ref="M90" si="44">K90+L90</f>
        <v>2557.1847826086955</v>
      </c>
      <c r="N90" s="15">
        <f t="shared" ref="N90" si="45">B90+E90-K90</f>
        <v>1184.6362608695654</v>
      </c>
      <c r="O90" s="9">
        <f t="shared" ref="O90" si="46">C90+F90-L90</f>
        <v>1654.4355407608712</v>
      </c>
      <c r="P90" s="18">
        <f t="shared" ref="P90" si="47">N90+O90</f>
        <v>2839.0718016304363</v>
      </c>
    </row>
    <row r="91" spans="1:16" ht="13.8" thickBot="1">
      <c r="A91" s="66" t="s">
        <v>33</v>
      </c>
      <c r="B91" s="15">
        <f t="shared" si="28"/>
        <v>1184.6362608695654</v>
      </c>
      <c r="C91" s="9">
        <f t="shared" si="28"/>
        <v>1654.4355407608712</v>
      </c>
      <c r="D91" s="18">
        <f t="shared" ref="D91" si="48">B91+C91</f>
        <v>2839.0718016304363</v>
      </c>
      <c r="E91" s="15">
        <f t="shared" si="30"/>
        <v>470.02800000000002</v>
      </c>
      <c r="F91" s="9">
        <f t="shared" si="30"/>
        <v>2254.3419999999996</v>
      </c>
      <c r="G91" s="18">
        <f t="shared" ref="G91" si="49">SUM(E91:F91)</f>
        <v>2724.37</v>
      </c>
      <c r="H91" s="15">
        <f t="shared" si="32"/>
        <v>423.24399999999997</v>
      </c>
      <c r="I91" s="9">
        <f t="shared" si="32"/>
        <v>1825.0070000000001</v>
      </c>
      <c r="J91" s="47">
        <f t="shared" ref="J91" si="50">SUM(H91:I91)</f>
        <v>2248.2510000000002</v>
      </c>
      <c r="K91" s="15">
        <f t="shared" ref="K91" si="51">H91/0.92</f>
        <v>460.04782608695649</v>
      </c>
      <c r="L91" s="15">
        <f t="shared" ref="L91" si="52">I91/0.92</f>
        <v>1983.7032608695652</v>
      </c>
      <c r="M91" s="18">
        <f t="shared" ref="M91" si="53">K91+L91</f>
        <v>2443.7510869565217</v>
      </c>
      <c r="N91" s="15">
        <f t="shared" ref="N91" si="54">B91+E91-K91</f>
        <v>1194.6164347826088</v>
      </c>
      <c r="O91" s="9">
        <f t="shared" ref="O91" si="55">C91+F91-L91</f>
        <v>1925.0742798913054</v>
      </c>
      <c r="P91" s="18">
        <f t="shared" ref="P91" si="56">N91+O91</f>
        <v>3119.690714673914</v>
      </c>
    </row>
    <row r="92" spans="1:16" ht="14.4" thickBot="1">
      <c r="A92" s="21"/>
      <c r="B92" s="16">
        <f t="shared" ref="B92:C92" si="57">+B55+B13</f>
        <v>632.74386956521755</v>
      </c>
      <c r="C92" s="16">
        <f t="shared" si="57"/>
        <v>404.12758423913158</v>
      </c>
      <c r="D92" s="18">
        <f t="shared" si="29"/>
        <v>1036.8714538043491</v>
      </c>
      <c r="E92" s="22">
        <f>SUM(E88:E91)</f>
        <v>1749.6279999999999</v>
      </c>
      <c r="F92" s="22">
        <f t="shared" ref="F92:M92" si="58">SUM(F88:F91)</f>
        <v>8126.6129999999994</v>
      </c>
      <c r="G92" s="22">
        <f t="shared" si="58"/>
        <v>9876.241</v>
      </c>
      <c r="H92" s="22">
        <f t="shared" si="58"/>
        <v>1092.7349999999999</v>
      </c>
      <c r="I92" s="22">
        <f t="shared" si="58"/>
        <v>6077.2129999999997</v>
      </c>
      <c r="J92" s="22">
        <f t="shared" si="58"/>
        <v>7169.9480000000003</v>
      </c>
      <c r="K92" s="22">
        <f t="shared" si="58"/>
        <v>1187.7554347826085</v>
      </c>
      <c r="L92" s="22">
        <f t="shared" si="58"/>
        <v>6605.6663043478256</v>
      </c>
      <c r="M92" s="22">
        <f t="shared" si="58"/>
        <v>7793.4217391304337</v>
      </c>
      <c r="N92" s="22">
        <f>+N91</f>
        <v>1194.6164347826088</v>
      </c>
      <c r="O92" s="22">
        <f>+O91</f>
        <v>1925.0742798913054</v>
      </c>
      <c r="P92" s="18">
        <f>N92+O92</f>
        <v>3119.690714673914</v>
      </c>
    </row>
    <row r="93" spans="1:16" ht="15.6">
      <c r="A93" s="45"/>
      <c r="B93" s="31"/>
      <c r="C93" s="32"/>
      <c r="D93" s="32"/>
      <c r="E93" s="32"/>
      <c r="F93" s="32"/>
      <c r="G93" s="32"/>
      <c r="H93" s="32"/>
      <c r="I93" s="33"/>
      <c r="J93" s="32"/>
      <c r="K93" s="32"/>
      <c r="L93" s="32"/>
      <c r="M93" s="16"/>
      <c r="N93" s="19"/>
      <c r="O93" s="19"/>
      <c r="P93" s="17"/>
    </row>
    <row r="94" spans="1:16">
      <c r="A94" s="3" t="s">
        <v>17</v>
      </c>
      <c r="B94" s="120" t="s">
        <v>25</v>
      </c>
      <c r="C94" s="121"/>
      <c r="D94" s="121"/>
      <c r="E94" s="121"/>
      <c r="F94" s="121"/>
      <c r="G94" s="121"/>
      <c r="H94" s="121"/>
    </row>
    <row r="95" spans="1:16">
      <c r="A95" s="11"/>
      <c r="B95" s="122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4"/>
      <c r="N95" s="80"/>
      <c r="O95" s="80"/>
      <c r="P95" s="81">
        <f>SUM(N95:O95)</f>
        <v>0</v>
      </c>
    </row>
    <row r="96" spans="1:16">
      <c r="A96" s="11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0">
        <f>SUM(N95:N95)</f>
        <v>0</v>
      </c>
      <c r="O96" s="10">
        <f>SUM(O95:O95)</f>
        <v>0</v>
      </c>
      <c r="P96" s="10">
        <f>SUM(P95:P95)</f>
        <v>0</v>
      </c>
    </row>
    <row r="97" spans="1:18">
      <c r="A97" s="3" t="s">
        <v>17</v>
      </c>
      <c r="B97" s="53"/>
      <c r="C97" s="54"/>
      <c r="D97" s="55"/>
    </row>
    <row r="98" spans="1:18">
      <c r="A98" s="11"/>
      <c r="B98" s="108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10"/>
      <c r="N98" s="9"/>
      <c r="O98" s="9"/>
      <c r="P98" s="10">
        <f>SUM(N98:O98)</f>
        <v>0</v>
      </c>
    </row>
    <row r="99" spans="1:18">
      <c r="A99" s="49"/>
      <c r="B99" s="108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10"/>
      <c r="N99" s="2">
        <f>SUM(N98:N98)</f>
        <v>0</v>
      </c>
      <c r="O99" s="2">
        <f>SUM(O98:O98)</f>
        <v>0</v>
      </c>
      <c r="P99" s="2">
        <f>SUM(P98:P98)</f>
        <v>0</v>
      </c>
    </row>
    <row r="100" spans="1:18" ht="12.75" customHeight="1">
      <c r="A100" s="3" t="s">
        <v>17</v>
      </c>
      <c r="B100" s="120"/>
      <c r="C100" s="121"/>
      <c r="D100" s="121"/>
      <c r="E100" s="121"/>
      <c r="F100" s="121"/>
    </row>
    <row r="101" spans="1:18">
      <c r="A101" s="11"/>
      <c r="B101" s="108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10"/>
      <c r="N101" s="9"/>
      <c r="O101" s="9"/>
      <c r="P101" s="10">
        <f>SUM(N101:O101)</f>
        <v>0</v>
      </c>
    </row>
    <row r="102" spans="1:18">
      <c r="A102" s="49"/>
      <c r="B102" s="108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10"/>
      <c r="N102" s="2">
        <f>SUM(N101:N101)</f>
        <v>0</v>
      </c>
      <c r="O102" s="2">
        <f>SUM(O101:O101)</f>
        <v>0</v>
      </c>
      <c r="P102" s="2">
        <f>SUM(P101:P101)</f>
        <v>0</v>
      </c>
    </row>
    <row r="103" spans="1:18">
      <c r="A103" s="3" t="s">
        <v>17</v>
      </c>
      <c r="B103" s="53"/>
    </row>
    <row r="104" spans="1:18">
      <c r="A104" s="11"/>
      <c r="B104" s="10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9"/>
      <c r="N104" s="9"/>
      <c r="O104" s="9"/>
      <c r="P104" s="10">
        <f>SUM(N104:O104)</f>
        <v>0</v>
      </c>
    </row>
    <row r="105" spans="1:18">
      <c r="A105" s="11"/>
      <c r="B105" s="108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10"/>
      <c r="N105" s="2">
        <f>SUM(N104:N104)</f>
        <v>0</v>
      </c>
      <c r="O105" s="2">
        <f>SUM(O104:O104)</f>
        <v>0</v>
      </c>
      <c r="P105" s="10">
        <f>SUM(P104:P104)</f>
        <v>0</v>
      </c>
    </row>
    <row r="106" spans="1:18">
      <c r="A106" s="5"/>
      <c r="B106" s="99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5"/>
      <c r="N106" s="2"/>
      <c r="O106" s="2"/>
      <c r="P106" s="10"/>
      <c r="R106" s="58"/>
    </row>
    <row r="107" spans="1:18">
      <c r="A107" s="3" t="s">
        <v>17</v>
      </c>
      <c r="B107" s="10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9"/>
      <c r="N107" s="49"/>
      <c r="O107" s="49"/>
      <c r="P107" s="49"/>
    </row>
    <row r="108" spans="1:18">
      <c r="A108" s="11"/>
      <c r="B108" s="130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2"/>
      <c r="N108" s="9"/>
      <c r="O108" s="9"/>
      <c r="P108" s="10">
        <f>SUM(N108:O108)</f>
        <v>0</v>
      </c>
    </row>
    <row r="109" spans="1:18">
      <c r="A109" s="11"/>
      <c r="B109" s="93"/>
      <c r="C109" s="96"/>
      <c r="D109" s="96"/>
      <c r="E109" s="96"/>
      <c r="F109" s="96"/>
      <c r="G109" s="96"/>
      <c r="H109" s="96"/>
      <c r="I109" s="56"/>
      <c r="J109" s="56"/>
      <c r="K109" s="56"/>
      <c r="L109" s="56"/>
      <c r="M109" s="57"/>
      <c r="N109" s="10">
        <f>SUM(N108:N108)</f>
        <v>0</v>
      </c>
      <c r="O109" s="10">
        <f>SUM(O108:O108)</f>
        <v>0</v>
      </c>
      <c r="P109" s="10">
        <f>SUM(P108:P108)</f>
        <v>0</v>
      </c>
    </row>
    <row r="110" spans="1:18">
      <c r="A110" s="11"/>
      <c r="B110" s="93"/>
      <c r="C110" s="96"/>
      <c r="D110" s="96"/>
      <c r="E110" s="96"/>
      <c r="F110" s="96"/>
      <c r="G110" s="96"/>
      <c r="H110" s="96"/>
      <c r="I110" s="56"/>
      <c r="J110" s="56"/>
      <c r="K110" s="56"/>
      <c r="L110" s="56"/>
      <c r="M110" s="57"/>
      <c r="N110" s="9"/>
      <c r="O110" s="9"/>
      <c r="P110" s="10"/>
    </row>
    <row r="111" spans="1:18" ht="12.75" customHeight="1">
      <c r="A111" s="3" t="s">
        <v>17</v>
      </c>
      <c r="B111" s="141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3"/>
      <c r="N111" s="79"/>
      <c r="O111" s="80"/>
      <c r="P111" s="81">
        <f>SUM(N111:O111)</f>
        <v>0</v>
      </c>
    </row>
    <row r="112" spans="1:18" ht="24.75" customHeight="1">
      <c r="A112" s="11"/>
      <c r="B112" s="144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6"/>
      <c r="N112" s="80"/>
      <c r="O112" s="80"/>
      <c r="P112" s="81"/>
    </row>
    <row r="113" spans="1:18">
      <c r="A113" s="11"/>
      <c r="B113" s="126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75">
        <f>SUM(N111:N112)</f>
        <v>0</v>
      </c>
      <c r="O113" s="75">
        <f>SUM(O111:O112)</f>
        <v>0</v>
      </c>
      <c r="P113" s="75">
        <f>SUM(P111:P112)</f>
        <v>0</v>
      </c>
    </row>
    <row r="114" spans="1:18">
      <c r="A114" s="5"/>
      <c r="B114" s="94"/>
      <c r="C114" s="95"/>
      <c r="D114" s="95"/>
      <c r="E114" s="95"/>
      <c r="F114" s="95"/>
      <c r="G114" s="95"/>
      <c r="H114" s="95"/>
      <c r="I114" s="76"/>
      <c r="J114" s="76"/>
      <c r="K114" s="76"/>
      <c r="L114" s="76"/>
      <c r="M114" s="77"/>
      <c r="N114" s="75"/>
      <c r="O114" s="75"/>
      <c r="P114" s="75"/>
    </row>
    <row r="115" spans="1:18">
      <c r="A115" s="3" t="s">
        <v>17</v>
      </c>
      <c r="B115" s="120"/>
      <c r="C115" s="121"/>
      <c r="D115" s="121"/>
      <c r="E115" s="121"/>
      <c r="F115" s="32"/>
      <c r="G115" s="32"/>
      <c r="H115" s="32"/>
      <c r="I115" s="35"/>
      <c r="J115" s="34"/>
      <c r="K115" s="34"/>
      <c r="L115" s="34"/>
      <c r="M115" s="36"/>
      <c r="N115" s="9"/>
      <c r="O115" s="9"/>
      <c r="P115" s="10">
        <f>SUM(N115:O115)</f>
        <v>0</v>
      </c>
    </row>
    <row r="116" spans="1:18" ht="15.6">
      <c r="A116" s="51"/>
      <c r="B116" s="10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9"/>
      <c r="N116" s="10">
        <f>SUM(N115:N115)</f>
        <v>0</v>
      </c>
      <c r="O116" s="10">
        <f>SUM(O115:O115)</f>
        <v>0</v>
      </c>
      <c r="P116" s="10">
        <f>SUM(P115:P115)</f>
        <v>0</v>
      </c>
    </row>
    <row r="117" spans="1:18" ht="15.6">
      <c r="A117" s="51"/>
      <c r="B117" s="69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1"/>
      <c r="N117" s="10"/>
      <c r="O117" s="10"/>
      <c r="P117" s="10"/>
    </row>
    <row r="118" spans="1:18" ht="15.6">
      <c r="A118" s="30" t="s">
        <v>7</v>
      </c>
      <c r="B118" s="125" t="s">
        <v>26</v>
      </c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0"/>
      <c r="N118" s="9"/>
      <c r="O118" s="9"/>
      <c r="P118" s="10"/>
    </row>
    <row r="119" spans="1:18" ht="15.6">
      <c r="A119" s="59"/>
      <c r="B119" s="108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10"/>
      <c r="N119" s="9"/>
      <c r="O119" s="9"/>
      <c r="P119" s="18">
        <f>N119+O119</f>
        <v>0</v>
      </c>
    </row>
    <row r="120" spans="1:18" ht="15.6">
      <c r="A120" s="51"/>
      <c r="B120" s="147" t="s">
        <v>3</v>
      </c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0">
        <f>SUM(N119:N119)</f>
        <v>0</v>
      </c>
      <c r="O120" s="10">
        <f>SUM(O119:O119)</f>
        <v>0</v>
      </c>
      <c r="P120" s="10">
        <f>SUM(P119:P119)</f>
        <v>0</v>
      </c>
    </row>
    <row r="121" spans="1:18">
      <c r="A121" s="5"/>
      <c r="B121" s="46"/>
      <c r="C121" s="12"/>
      <c r="D121" s="12"/>
      <c r="E121" s="12"/>
      <c r="F121" s="12"/>
      <c r="G121" s="12"/>
      <c r="H121" s="12"/>
      <c r="I121" s="48"/>
      <c r="J121" s="12"/>
      <c r="K121" s="12"/>
      <c r="L121" s="12"/>
      <c r="M121" s="12"/>
      <c r="N121" s="13"/>
      <c r="O121" s="13"/>
      <c r="P121" s="50"/>
    </row>
    <row r="122" spans="1:18" ht="15.6">
      <c r="A122" s="30" t="s">
        <v>7</v>
      </c>
      <c r="B122" s="120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6"/>
      <c r="N122" s="9"/>
      <c r="O122" s="9"/>
      <c r="P122" s="10"/>
      <c r="R122" s="58"/>
    </row>
    <row r="123" spans="1:18" ht="15.6">
      <c r="A123" s="59"/>
      <c r="B123" s="108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10"/>
      <c r="N123" s="9"/>
      <c r="O123" s="9"/>
      <c r="P123" s="10">
        <f>SUM(N123:O123)</f>
        <v>0</v>
      </c>
      <c r="R123" s="58"/>
    </row>
    <row r="124" spans="1:18" ht="15.6">
      <c r="A124" s="51"/>
      <c r="B124" s="147" t="s">
        <v>3</v>
      </c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0">
        <f>SUM(N123:N123)</f>
        <v>0</v>
      </c>
      <c r="O124" s="10">
        <f>SUM(O123:O123)</f>
        <v>0</v>
      </c>
      <c r="P124" s="10">
        <f>SUM(P123:P123)</f>
        <v>0</v>
      </c>
    </row>
    <row r="125" spans="1:18" ht="16.2" thickBot="1">
      <c r="A125" s="60"/>
      <c r="B125" s="149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2"/>
      <c r="O125" s="12"/>
      <c r="P125" s="12"/>
    </row>
    <row r="126" spans="1:18" ht="16.2" thickBot="1">
      <c r="A126" s="42"/>
      <c r="B126" s="5"/>
      <c r="C126" s="12"/>
      <c r="D126" s="12"/>
      <c r="E126" s="12"/>
      <c r="F126" s="12"/>
      <c r="G126" s="12"/>
      <c r="H126" s="12"/>
      <c r="I126" s="20"/>
      <c r="J126" s="38" t="s">
        <v>8</v>
      </c>
      <c r="K126" s="39"/>
      <c r="L126" s="39"/>
      <c r="M126" s="40"/>
      <c r="N126" s="37">
        <f>N92-N96-N99-N102-N105-N116+N120-N109+N124-N113</f>
        <v>1194.6164347826088</v>
      </c>
      <c r="O126" s="37">
        <f>O92-O96-O99-O102-O105-O116+O120-O109+O124-O113</f>
        <v>1925.0742798913054</v>
      </c>
      <c r="P126" s="37">
        <f>P92-P96-P99-P102-P105-P116+P120-P109+P124-P113</f>
        <v>3119.690714673914</v>
      </c>
      <c r="R126" s="58"/>
    </row>
    <row r="127" spans="1:18" ht="15.6">
      <c r="A127" s="60"/>
      <c r="B127" s="97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P127" s="63"/>
    </row>
    <row r="128" spans="1:18">
      <c r="A128" s="41" t="s">
        <v>19</v>
      </c>
      <c r="B128" s="62"/>
      <c r="C128" s="13"/>
      <c r="D128" s="13"/>
      <c r="E128" s="13"/>
      <c r="F128" s="12"/>
      <c r="G128" s="12"/>
      <c r="H128" s="46"/>
      <c r="I128" s="98"/>
      <c r="J128" s="98"/>
      <c r="K128" s="98"/>
      <c r="L128" s="98"/>
      <c r="M128" s="4"/>
      <c r="N128" s="4"/>
      <c r="O128" s="4"/>
      <c r="P128" s="4"/>
    </row>
    <row r="129" spans="1:16" ht="15.6">
      <c r="A129" s="60"/>
      <c r="B129" s="62"/>
      <c r="C129" s="13"/>
      <c r="D129" s="13"/>
      <c r="E129" s="13"/>
      <c r="F129" s="12"/>
      <c r="G129" s="12"/>
      <c r="H129" s="46"/>
      <c r="I129" s="46"/>
      <c r="J129" s="98"/>
      <c r="K129" s="98"/>
      <c r="L129" s="98"/>
      <c r="M129" s="46"/>
      <c r="N129" s="46"/>
      <c r="O129" s="82"/>
      <c r="P129" s="4"/>
    </row>
    <row r="130" spans="1:16">
      <c r="A130" s="41"/>
      <c r="B130" s="62"/>
      <c r="C130" s="13"/>
      <c r="D130" s="13"/>
      <c r="E130" s="13"/>
      <c r="F130" s="12"/>
      <c r="G130" s="12"/>
      <c r="H130" s="46"/>
      <c r="I130" s="46"/>
      <c r="J130" s="46"/>
      <c r="K130" s="41"/>
      <c r="L130" s="41"/>
      <c r="M130" s="12"/>
      <c r="N130" s="4"/>
      <c r="O130" s="4"/>
      <c r="P130" s="4"/>
    </row>
    <row r="131" spans="1:16">
      <c r="A131" s="41"/>
      <c r="B131" s="62"/>
      <c r="C131" s="13"/>
      <c r="D131" s="13"/>
      <c r="E131" s="13"/>
      <c r="F131" s="12"/>
      <c r="G131" s="12"/>
      <c r="H131" s="46"/>
      <c r="I131" s="46"/>
      <c r="J131" s="46"/>
      <c r="K131" s="41"/>
      <c r="L131" s="52"/>
      <c r="M131" s="12"/>
      <c r="N131" s="4"/>
      <c r="O131" s="4"/>
      <c r="P131" s="12"/>
    </row>
    <row r="132" spans="1:16">
      <c r="A132" s="41"/>
      <c r="B132" s="62"/>
      <c r="C132" s="13"/>
      <c r="D132" s="13"/>
      <c r="E132" s="13"/>
      <c r="F132" s="12"/>
      <c r="G132" s="12"/>
      <c r="H132" s="46"/>
      <c r="I132" s="46"/>
      <c r="J132" s="46"/>
      <c r="K132" s="41"/>
      <c r="L132" s="41"/>
      <c r="M132" s="12"/>
      <c r="N132" s="4"/>
      <c r="O132" s="4"/>
      <c r="P132" s="12"/>
    </row>
    <row r="133" spans="1:16">
      <c r="A133" s="41"/>
      <c r="B133" s="62"/>
      <c r="C133" s="13"/>
      <c r="D133" s="13"/>
      <c r="E133" s="13"/>
      <c r="F133" s="12"/>
      <c r="G133" s="12"/>
      <c r="H133" s="52"/>
      <c r="I133" s="46"/>
      <c r="J133" s="46"/>
      <c r="K133" s="41"/>
      <c r="L133" s="41"/>
      <c r="M133" s="78"/>
      <c r="N133" s="78"/>
      <c r="O133" s="4"/>
      <c r="P133" s="4"/>
    </row>
    <row r="134" spans="1:16">
      <c r="A134" s="41"/>
      <c r="B134" s="62"/>
      <c r="C134" s="13"/>
      <c r="D134" s="13"/>
      <c r="E134" s="13"/>
      <c r="F134" s="12"/>
      <c r="G134" s="12"/>
      <c r="H134" s="52"/>
      <c r="I134" s="46"/>
      <c r="J134" s="46"/>
      <c r="K134" s="41"/>
      <c r="L134" s="41"/>
      <c r="M134" s="12"/>
      <c r="N134" s="4"/>
      <c r="O134" s="4"/>
      <c r="P134" s="12"/>
    </row>
    <row r="135" spans="1:16">
      <c r="A135" s="41"/>
      <c r="B135" s="62"/>
      <c r="C135" s="13"/>
      <c r="D135" s="13"/>
      <c r="E135" s="13"/>
      <c r="F135" s="12"/>
      <c r="G135" s="12"/>
      <c r="H135" s="46"/>
      <c r="I135" s="46"/>
      <c r="M135" s="5"/>
      <c r="N135" s="5"/>
      <c r="O135" s="46"/>
      <c r="P135" s="12"/>
    </row>
    <row r="136" spans="1:16">
      <c r="A136" s="41"/>
      <c r="B136" s="62"/>
      <c r="C136" s="13"/>
      <c r="D136" s="13"/>
      <c r="E136" s="13"/>
      <c r="F136" s="12"/>
      <c r="G136" s="12"/>
      <c r="H136" s="46"/>
      <c r="I136" s="46"/>
      <c r="M136" s="46"/>
      <c r="N136" s="67"/>
      <c r="O136" s="67"/>
      <c r="P136" s="12"/>
    </row>
    <row r="137" spans="1:16">
      <c r="B137" s="62"/>
      <c r="C137" s="13"/>
      <c r="D137" s="13"/>
      <c r="E137" s="13"/>
      <c r="F137" s="12"/>
      <c r="G137" s="12"/>
      <c r="H137" s="52"/>
      <c r="M137" s="46"/>
      <c r="N137" s="46"/>
      <c r="O137" s="46"/>
      <c r="P137" s="4"/>
    </row>
    <row r="138" spans="1:16">
      <c r="B138" s="62"/>
      <c r="C138" s="13"/>
      <c r="D138" s="13"/>
      <c r="E138" s="13"/>
      <c r="F138" s="12"/>
      <c r="G138" s="12"/>
      <c r="H138" s="52"/>
      <c r="N138" s="58"/>
      <c r="O138" s="68"/>
      <c r="P138" s="12"/>
    </row>
    <row r="139" spans="1:16">
      <c r="B139" s="62"/>
      <c r="C139" s="13"/>
      <c r="D139" s="13"/>
      <c r="E139" s="13"/>
      <c r="F139" s="12"/>
      <c r="G139" s="12"/>
      <c r="H139" s="52"/>
      <c r="K139" s="3"/>
      <c r="O139" s="46"/>
      <c r="P139" s="4"/>
    </row>
    <row r="140" spans="1:16">
      <c r="O140" s="46"/>
      <c r="P140" s="4"/>
    </row>
    <row r="141" spans="1:16">
      <c r="P141" s="63"/>
    </row>
    <row r="142" spans="1:16">
      <c r="P142" s="63"/>
    </row>
    <row r="143" spans="1:16">
      <c r="K143" s="3"/>
      <c r="O143" s="3"/>
      <c r="P143" s="63"/>
    </row>
    <row r="144" spans="1:16">
      <c r="N144" s="3"/>
      <c r="O144" s="3"/>
      <c r="P144" s="63"/>
    </row>
    <row r="145" spans="11:16">
      <c r="K145" s="63"/>
      <c r="P145" s="63"/>
    </row>
    <row r="146" spans="11:16">
      <c r="P146" s="58"/>
    </row>
    <row r="147" spans="11:16">
      <c r="P147" s="58"/>
    </row>
    <row r="148" spans="11:16">
      <c r="P148" s="58"/>
    </row>
    <row r="151" spans="11:16">
      <c r="P151" s="63"/>
    </row>
    <row r="153" spans="11:16">
      <c r="P153" s="63"/>
    </row>
    <row r="154" spans="11:16">
      <c r="P154" s="63"/>
    </row>
  </sheetData>
  <mergeCells count="91">
    <mergeCell ref="B120:M120"/>
    <mergeCell ref="B122:L122"/>
    <mergeCell ref="B123:M123"/>
    <mergeCell ref="B124:M124"/>
    <mergeCell ref="B125:M125"/>
    <mergeCell ref="B119:M119"/>
    <mergeCell ref="B101:M101"/>
    <mergeCell ref="B102:M102"/>
    <mergeCell ref="B104:M104"/>
    <mergeCell ref="B105:M105"/>
    <mergeCell ref="B107:M107"/>
    <mergeCell ref="B108:M108"/>
    <mergeCell ref="B111:M112"/>
    <mergeCell ref="B113:M113"/>
    <mergeCell ref="B115:E115"/>
    <mergeCell ref="B116:M116"/>
    <mergeCell ref="B118:L118"/>
    <mergeCell ref="B100:F100"/>
    <mergeCell ref="M84:P84"/>
    <mergeCell ref="A86:A87"/>
    <mergeCell ref="B86:D86"/>
    <mergeCell ref="E86:G86"/>
    <mergeCell ref="H86:J86"/>
    <mergeCell ref="K86:M86"/>
    <mergeCell ref="N86:P86"/>
    <mergeCell ref="B94:H94"/>
    <mergeCell ref="B95:M95"/>
    <mergeCell ref="B96:M96"/>
    <mergeCell ref="B98:M98"/>
    <mergeCell ref="B99:M99"/>
    <mergeCell ref="B75:M75"/>
    <mergeCell ref="B63:M63"/>
    <mergeCell ref="B64:M64"/>
    <mergeCell ref="B65:M65"/>
    <mergeCell ref="B66:I66"/>
    <mergeCell ref="B67:M67"/>
    <mergeCell ref="B68:M68"/>
    <mergeCell ref="B69:F69"/>
    <mergeCell ref="B70:M70"/>
    <mergeCell ref="B71:M71"/>
    <mergeCell ref="B73:F73"/>
    <mergeCell ref="B74:M74"/>
    <mergeCell ref="B62:M62"/>
    <mergeCell ref="Q39:R39"/>
    <mergeCell ref="B40:M40"/>
    <mergeCell ref="M47:P47"/>
    <mergeCell ref="A49:A50"/>
    <mergeCell ref="B49:D49"/>
    <mergeCell ref="E49:G49"/>
    <mergeCell ref="H49:J49"/>
    <mergeCell ref="K49:M49"/>
    <mergeCell ref="N49:P49"/>
    <mergeCell ref="B39:M39"/>
    <mergeCell ref="B57:L57"/>
    <mergeCell ref="B58:M58"/>
    <mergeCell ref="B59:M59"/>
    <mergeCell ref="B60:M60"/>
    <mergeCell ref="B61:M61"/>
    <mergeCell ref="B34:L34"/>
    <mergeCell ref="B35:M35"/>
    <mergeCell ref="B36:M36"/>
    <mergeCell ref="B37:L37"/>
    <mergeCell ref="B38:M38"/>
    <mergeCell ref="B33:M33"/>
    <mergeCell ref="B21:F21"/>
    <mergeCell ref="B22:M22"/>
    <mergeCell ref="B23:M23"/>
    <mergeCell ref="B24:F24"/>
    <mergeCell ref="B25:M25"/>
    <mergeCell ref="B26:M26"/>
    <mergeCell ref="B27:M27"/>
    <mergeCell ref="B28:M28"/>
    <mergeCell ref="B29:M29"/>
    <mergeCell ref="B30:M30"/>
    <mergeCell ref="B31:M32"/>
    <mergeCell ref="B20:M20"/>
    <mergeCell ref="A3:P3"/>
    <mergeCell ref="A4:P4"/>
    <mergeCell ref="D5:F5"/>
    <mergeCell ref="M5:P5"/>
    <mergeCell ref="A7:A8"/>
    <mergeCell ref="B7:D7"/>
    <mergeCell ref="E7:G7"/>
    <mergeCell ref="H7:J7"/>
    <mergeCell ref="K7:M7"/>
    <mergeCell ref="N7:P7"/>
    <mergeCell ref="B15:H15"/>
    <mergeCell ref="B16:M16"/>
    <mergeCell ref="B17:M17"/>
    <mergeCell ref="B18:L18"/>
    <mergeCell ref="B19:M19"/>
  </mergeCells>
  <pageMargins left="0.24" right="0" top="0" bottom="0" header="0.16" footer="0.17"/>
  <pageSetup paperSize="9" scale="60" orientation="landscape" verticalDpi="0" r:id="rId1"/>
  <rowBreaks count="2" manualBreakCount="2">
    <brk id="41" max="15" man="1"/>
    <brk id="77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vijaywargiaap</dc:creator>
  <cp:lastModifiedBy>LENOVO</cp:lastModifiedBy>
  <cp:lastPrinted>2023-05-31T11:38:41Z</cp:lastPrinted>
  <dcterms:created xsi:type="dcterms:W3CDTF">2009-04-03T10:00:40Z</dcterms:created>
  <dcterms:modified xsi:type="dcterms:W3CDTF">2024-01-10T10:31:22Z</dcterms:modified>
</cp:coreProperties>
</file>