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0490" windowHeight="7200"/>
  </bookViews>
  <sheets>
    <sheet name="Sheet 1" sheetId="3" r:id="rId1"/>
  </sheets>
  <definedNames>
    <definedName name="_xlnm._FilterDatabase" localSheetId="0" hidden="1">'Sheet 1'!$A$7:$O$50</definedName>
    <definedName name="_xlnm.Print_Area" localSheetId="0">'Sheet 1'!$A$1:$O$61</definedName>
  </definedNames>
  <calcPr calcId="124519"/>
</workbook>
</file>

<file path=xl/calcChain.xml><?xml version="1.0" encoding="utf-8"?>
<calcChain xmlns="http://schemas.openxmlformats.org/spreadsheetml/2006/main">
  <c r="L41" i="3"/>
  <c r="L40"/>
  <c r="L39"/>
  <c r="L38"/>
  <c r="L37"/>
  <c r="L36"/>
  <c r="L29"/>
  <c r="L28"/>
  <c r="L27"/>
  <c r="L26"/>
  <c r="L35" l="1"/>
  <c r="L34"/>
  <c r="L46"/>
  <c r="L45"/>
  <c r="L44"/>
  <c r="L43"/>
  <c r="L42"/>
  <c r="L31" l="1"/>
  <c r="L30"/>
  <c r="L32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M57" l="1"/>
  <c r="M59" s="1"/>
  <c r="I57"/>
  <c r="K53"/>
  <c r="I53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58" l="1"/>
  <c r="M61" s="1"/>
  <c r="M53"/>
</calcChain>
</file>

<file path=xl/sharedStrings.xml><?xml version="1.0" encoding="utf-8"?>
<sst xmlns="http://schemas.openxmlformats.org/spreadsheetml/2006/main" count="375" uniqueCount="66">
  <si>
    <t>VINAR ISPAT LIMITED</t>
  </si>
  <si>
    <t>Works : PLOT NO J-3, MIDC IND.AREA, BUTIBORI</t>
  </si>
  <si>
    <t>Job Work Charges Bill From 02.01.2024 to 02.01.2024</t>
  </si>
  <si>
    <t>KEC International Ltd. BUTIBORI</t>
  </si>
  <si>
    <t>Invoice No.</t>
  </si>
  <si>
    <t>Jobwork Challan No.</t>
  </si>
  <si>
    <t>Piecemeal Challan No.</t>
  </si>
  <si>
    <t>Dispatched Date</t>
  </si>
  <si>
    <t>PO No.</t>
  </si>
  <si>
    <t>Lorry No.</t>
  </si>
  <si>
    <t>Customer</t>
  </si>
  <si>
    <t>Item Description</t>
  </si>
  <si>
    <t>Qty (Mt)</t>
  </si>
  <si>
    <t>Order Length</t>
  </si>
  <si>
    <t>Pices</t>
  </si>
  <si>
    <t>Job Work Rate</t>
  </si>
  <si>
    <t>Job Work Charges</t>
  </si>
  <si>
    <t>REMARKS</t>
  </si>
  <si>
    <t>REMARK</t>
  </si>
  <si>
    <t>VIL/23-24/1814</t>
  </si>
  <si>
    <t>02.01.2024</t>
  </si>
  <si>
    <t>K/B/LOI-1131/N</t>
  </si>
  <si>
    <t>MH40Y4944</t>
  </si>
  <si>
    <t>KEC INTERNATIONAL LTD.,BUTIBORI</t>
  </si>
  <si>
    <t>HT ANGLE 100 * 100 * 10 MM</t>
  </si>
  <si>
    <t>355J2</t>
  </si>
  <si>
    <t>NEW RATE</t>
  </si>
  <si>
    <t>HT ANGLE 110 * 110 * 8 MM</t>
  </si>
  <si>
    <t>HT ANGLE 130 * 130 * 8 MM</t>
  </si>
  <si>
    <t>HT ANGLE 75 * 75 * 5 MM</t>
  </si>
  <si>
    <t>MS ANGLE 130 * 130 * 10 MM</t>
  </si>
  <si>
    <t>275J2</t>
  </si>
  <si>
    <t>MS ANGLE 110 * 110 * 7 MM</t>
  </si>
  <si>
    <t>VIL/23-24/1815</t>
  </si>
  <si>
    <t>K/B/LOI-1356/N</t>
  </si>
  <si>
    <t>VIL/23-24/1816</t>
  </si>
  <si>
    <t>K/B/LOI-1047/N</t>
  </si>
  <si>
    <t>MS ANGLE 100 * 100 * 12 MM</t>
  </si>
  <si>
    <t>VIL/23-24/1817</t>
  </si>
  <si>
    <t>K/B/LOI-645/N</t>
  </si>
  <si>
    <t>HT ANGLE 150 * 150 * 12 MM</t>
  </si>
  <si>
    <t>VIL/23-24/1821</t>
  </si>
  <si>
    <t>K/B/LOI-643/N</t>
  </si>
  <si>
    <t>MH40Y3944</t>
  </si>
  <si>
    <t>HT ANGLE 75 * 75 * 4 MM</t>
  </si>
  <si>
    <t>VIL/23-24/1822</t>
  </si>
  <si>
    <t>HT ANGLE 120 * 120 * 8 MM</t>
  </si>
  <si>
    <t>VIL/23-24/1823</t>
  </si>
  <si>
    <t>MS ANGLE 130 * 130 * 12 MM</t>
  </si>
  <si>
    <t>E250A</t>
  </si>
  <si>
    <t>MS ANGLE 90 * 90 * 7 MM</t>
  </si>
  <si>
    <t>MS ANGLE 75 * 75 * 6 MM</t>
  </si>
  <si>
    <t>MS ANGLE 110 * 110 * 10 MM</t>
  </si>
  <si>
    <t>RANDOM LENGTH LESS RS 250/- FOR 50X50X TO 150X150 &amp; LESS Rs.200/- for 45x45 SECTION</t>
  </si>
  <si>
    <t>TOTAL</t>
  </si>
  <si>
    <t>Rs. 500 EXTRA ASTM Grade JIS 540/GR60</t>
  </si>
  <si>
    <t>Rs.100 Extra for rolling of HT/MS ASTM Grade Charpy impact test i.e.(J2)Thicknes 6 mm &amp; above</t>
  </si>
  <si>
    <t>HT</t>
  </si>
  <si>
    <t>Rs. 300 Extra for rolling of Jordan (Arabic embossing)</t>
  </si>
  <si>
    <t>MS</t>
  </si>
  <si>
    <t xml:space="preserve">Rs.100 Extra for rolling of HT/MS 350/250 Grade Charpy impact test i.e.(C) </t>
  </si>
  <si>
    <t>Total :</t>
  </si>
  <si>
    <t>CGST @ 9%</t>
  </si>
  <si>
    <t>SGST @ 9%</t>
  </si>
  <si>
    <t>GRAND TOTAL</t>
  </si>
  <si>
    <t>OLD RATE</t>
  </si>
</sst>
</file>

<file path=xl/styles.xml><?xml version="1.0" encoding="utf-8"?>
<styleSheet xmlns="http://schemas.openxmlformats.org/spreadsheetml/2006/main">
  <numFmts count="2">
    <numFmt numFmtId="164" formatCode="[$-14009]dd/mm/yyyy;@"/>
    <numFmt numFmtId="165" formatCode="0.000"/>
  </numFmts>
  <fonts count="1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ourier New"/>
      <family val="3"/>
    </font>
    <font>
      <b/>
      <sz val="10"/>
      <name val="Courier New"/>
      <family val="3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32706686605426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</cellStyleXfs>
  <cellXfs count="127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 applyFill="1" applyAlignment="1"/>
    <xf numFmtId="0" fontId="2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/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3" fillId="0" borderId="0" xfId="0" applyFont="1" applyFill="1" applyAlignment="1">
      <alignment horizontal="left"/>
    </xf>
    <xf numFmtId="0" fontId="4" fillId="0" borderId="1" xfId="0" applyFont="1" applyFill="1" applyBorder="1" applyAlignment="1">
      <alignment horizontal="justify" vertical="center" readingOrder="1"/>
    </xf>
    <xf numFmtId="0" fontId="4" fillId="0" borderId="1" xfId="0" applyFont="1" applyFill="1" applyBorder="1" applyAlignment="1">
      <alignment horizontal="left" vertical="center" readingOrder="1"/>
    </xf>
    <xf numFmtId="0" fontId="4" fillId="0" borderId="1" xfId="0" applyFont="1" applyFill="1" applyBorder="1" applyAlignment="1">
      <alignment horizontal="center" vertical="center" readingOrder="1"/>
    </xf>
    <xf numFmtId="0" fontId="5" fillId="0" borderId="1" xfId="0" applyFont="1" applyFill="1" applyBorder="1" applyAlignment="1">
      <alignment horizontal="justify" vertical="center" readingOrder="1"/>
    </xf>
    <xf numFmtId="0" fontId="0" fillId="0" borderId="1" xfId="12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readingOrder="1"/>
    </xf>
    <xf numFmtId="0" fontId="2" fillId="0" borderId="0" xfId="0" applyFont="1" applyBorder="1" applyAlignment="1">
      <alignment horizontal="left"/>
    </xf>
    <xf numFmtId="0" fontId="4" fillId="2" borderId="2" xfId="0" applyFont="1" applyFill="1" applyBorder="1" applyAlignment="1">
      <alignment readingOrder="1"/>
    </xf>
    <xf numFmtId="0" fontId="4" fillId="2" borderId="1" xfId="0" applyFont="1" applyFill="1" applyBorder="1" applyAlignment="1">
      <alignment readingOrder="1"/>
    </xf>
    <xf numFmtId="0" fontId="4" fillId="2" borderId="1" xfId="0" applyFont="1" applyFill="1" applyBorder="1" applyAlignment="1">
      <alignment horizontal="left" readingOrder="1"/>
    </xf>
    <xf numFmtId="0" fontId="5" fillId="4" borderId="1" xfId="0" applyFont="1" applyFill="1" applyBorder="1" applyAlignment="1">
      <alignment horizontal="left" readingOrder="1"/>
    </xf>
    <xf numFmtId="0" fontId="4" fillId="5" borderId="1" xfId="0" applyFont="1" applyFill="1" applyBorder="1" applyAlignment="1">
      <alignment readingOrder="1"/>
    </xf>
    <xf numFmtId="0" fontId="4" fillId="5" borderId="1" xfId="0" applyFont="1" applyFill="1" applyBorder="1" applyAlignment="1">
      <alignment horizontal="left" readingOrder="1"/>
    </xf>
    <xf numFmtId="0" fontId="4" fillId="6" borderId="1" xfId="0" applyFont="1" applyFill="1" applyBorder="1" applyAlignment="1">
      <alignment horizontal="left" readingOrder="1"/>
    </xf>
    <xf numFmtId="0" fontId="4" fillId="7" borderId="1" xfId="0" applyFont="1" applyFill="1" applyBorder="1" applyAlignment="1">
      <alignment horizontal="left" readingOrder="1"/>
    </xf>
    <xf numFmtId="0" fontId="5" fillId="0" borderId="2" xfId="0" applyFont="1" applyFill="1" applyBorder="1" applyAlignment="1">
      <alignment horizontal="left" readingOrder="1"/>
    </xf>
    <xf numFmtId="0" fontId="4" fillId="8" borderId="1" xfId="0" applyFont="1" applyFill="1" applyBorder="1" applyAlignment="1">
      <alignment readingOrder="1"/>
    </xf>
    <xf numFmtId="0" fontId="4" fillId="8" borderId="1" xfId="0" applyFont="1" applyFill="1" applyBorder="1" applyAlignment="1">
      <alignment horizontal="left" readingOrder="1"/>
    </xf>
    <xf numFmtId="0" fontId="5" fillId="0" borderId="1" xfId="0" applyFont="1" applyFill="1" applyBorder="1" applyAlignment="1">
      <alignment horizontal="left" readingOrder="1"/>
    </xf>
    <xf numFmtId="0" fontId="4" fillId="7" borderId="1" xfId="0" applyFont="1" applyFill="1" applyBorder="1" applyAlignment="1">
      <alignment readingOrder="1"/>
    </xf>
    <xf numFmtId="165" fontId="2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left"/>
    </xf>
    <xf numFmtId="0" fontId="3" fillId="0" borderId="0" xfId="0" applyFont="1" applyFill="1" applyBorder="1" applyAlignment="1"/>
    <xf numFmtId="0" fontId="2" fillId="0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/>
    <xf numFmtId="0" fontId="6" fillId="0" borderId="1" xfId="0" applyFont="1" applyFill="1" applyBorder="1" applyAlignment="1">
      <alignment horizontal="right" vertical="center"/>
    </xf>
    <xf numFmtId="1" fontId="6" fillId="0" borderId="1" xfId="0" applyNumberFormat="1" applyFont="1" applyFill="1" applyBorder="1" applyAlignment="1">
      <alignment horizontal="right" readingOrder="1"/>
    </xf>
    <xf numFmtId="0" fontId="3" fillId="0" borderId="1" xfId="0" applyFont="1" applyFill="1" applyBorder="1"/>
    <xf numFmtId="165" fontId="9" fillId="0" borderId="1" xfId="0" applyNumberFormat="1" applyFont="1" applyFill="1" applyBorder="1" applyAlignment="1">
      <alignment horizontal="center"/>
    </xf>
    <xf numFmtId="2" fontId="10" fillId="0" borderId="2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right"/>
    </xf>
    <xf numFmtId="165" fontId="9" fillId="0" borderId="2" xfId="0" applyNumberFormat="1" applyFont="1" applyFill="1" applyBorder="1" applyAlignment="1">
      <alignment horizontal="center"/>
    </xf>
    <xf numFmtId="165" fontId="10" fillId="0" borderId="2" xfId="0" applyNumberFormat="1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4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right" readingOrder="1"/>
    </xf>
    <xf numFmtId="1" fontId="4" fillId="4" borderId="1" xfId="0" applyNumberFormat="1" applyFont="1" applyFill="1" applyBorder="1" applyAlignment="1">
      <alignment horizontal="right"/>
    </xf>
    <xf numFmtId="0" fontId="2" fillId="0" borderId="1" xfId="0" applyFont="1" applyBorder="1"/>
    <xf numFmtId="165" fontId="3" fillId="0" borderId="0" xfId="0" applyNumberFormat="1" applyFont="1" applyFill="1"/>
    <xf numFmtId="1" fontId="4" fillId="3" borderId="1" xfId="0" applyNumberFormat="1" applyFont="1" applyFill="1" applyBorder="1" applyAlignment="1">
      <alignment horizontal="right" readingOrder="1"/>
    </xf>
    <xf numFmtId="1" fontId="2" fillId="0" borderId="1" xfId="0" applyNumberFormat="1" applyFont="1" applyBorder="1"/>
    <xf numFmtId="1" fontId="2" fillId="0" borderId="0" xfId="0" applyNumberFormat="1" applyFont="1"/>
    <xf numFmtId="0" fontId="4" fillId="0" borderId="2" xfId="0" applyFont="1" applyFill="1" applyBorder="1" applyAlignment="1">
      <alignment horizontal="right" readingOrder="1"/>
    </xf>
    <xf numFmtId="1" fontId="4" fillId="0" borderId="2" xfId="0" applyNumberFormat="1" applyFont="1" applyFill="1" applyBorder="1" applyAlignment="1">
      <alignment horizontal="right" readingOrder="1"/>
    </xf>
    <xf numFmtId="1" fontId="2" fillId="0" borderId="2" xfId="0" applyNumberFormat="1" applyFont="1" applyBorder="1"/>
    <xf numFmtId="0" fontId="2" fillId="0" borderId="2" xfId="0" applyFont="1" applyBorder="1"/>
    <xf numFmtId="0" fontId="4" fillId="0" borderId="1" xfId="0" applyFont="1" applyFill="1" applyBorder="1" applyAlignment="1">
      <alignment horizontal="right" readingOrder="1"/>
    </xf>
    <xf numFmtId="1" fontId="4" fillId="0" borderId="1" xfId="0" applyNumberFormat="1" applyFont="1" applyFill="1" applyBorder="1" applyAlignment="1">
      <alignment horizontal="right" readingOrder="1"/>
    </xf>
    <xf numFmtId="0" fontId="2" fillId="0" borderId="1" xfId="0" applyFont="1" applyBorder="1" applyAlignment="1"/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readingOrder="1"/>
    </xf>
    <xf numFmtId="165" fontId="4" fillId="0" borderId="1" xfId="0" applyNumberFormat="1" applyFont="1" applyFill="1" applyBorder="1" applyAlignment="1">
      <alignment readingOrder="1"/>
    </xf>
    <xf numFmtId="165" fontId="5" fillId="0" borderId="1" xfId="0" applyNumberFormat="1" applyFont="1" applyFill="1" applyBorder="1" applyAlignment="1">
      <alignment readingOrder="1"/>
    </xf>
    <xf numFmtId="0" fontId="4" fillId="0" borderId="1" xfId="0" applyFont="1" applyFill="1" applyBorder="1" applyAlignment="1">
      <alignment readingOrder="1"/>
    </xf>
    <xf numFmtId="1" fontId="5" fillId="0" borderId="1" xfId="0" applyNumberFormat="1" applyFont="1" applyFill="1" applyBorder="1" applyAlignment="1">
      <alignment horizontal="left" readingOrder="1"/>
    </xf>
    <xf numFmtId="1" fontId="2" fillId="3" borderId="0" xfId="0" applyNumberFormat="1" applyFont="1" applyFill="1" applyAlignment="1">
      <alignment horizontal="right"/>
    </xf>
    <xf numFmtId="165" fontId="3" fillId="0" borderId="0" xfId="0" applyNumberFormat="1" applyFont="1" applyFill="1" applyAlignment="1"/>
    <xf numFmtId="165" fontId="2" fillId="0" borderId="0" xfId="0" applyNumberFormat="1" applyFont="1" applyFill="1" applyAlignment="1"/>
    <xf numFmtId="0" fontId="0" fillId="7" borderId="1" xfId="12" applyFont="1" applyFill="1" applyBorder="1" applyAlignment="1">
      <alignment vertical="center"/>
    </xf>
    <xf numFmtId="0" fontId="6" fillId="7" borderId="2" xfId="0" applyFont="1" applyFill="1" applyBorder="1" applyAlignment="1">
      <alignment horizontal="center" vertical="center"/>
    </xf>
    <xf numFmtId="164" fontId="6" fillId="7" borderId="2" xfId="0" applyNumberFormat="1" applyFont="1" applyFill="1" applyBorder="1" applyAlignment="1">
      <alignment vertical="center"/>
    </xf>
    <xf numFmtId="0" fontId="6" fillId="7" borderId="1" xfId="0" applyFont="1" applyFill="1" applyBorder="1" applyAlignment="1">
      <alignment vertical="center"/>
    </xf>
    <xf numFmtId="0" fontId="6" fillId="7" borderId="2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left" readingOrder="1"/>
    </xf>
    <xf numFmtId="165" fontId="7" fillId="7" borderId="1" xfId="0" applyNumberFormat="1" applyFont="1" applyFill="1" applyBorder="1" applyAlignment="1">
      <alignment horizontal="center"/>
    </xf>
    <xf numFmtId="165" fontId="8" fillId="7" borderId="1" xfId="0" applyNumberFormat="1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right" vertical="center"/>
    </xf>
    <xf numFmtId="1" fontId="6" fillId="7" borderId="1" xfId="0" applyNumberFormat="1" applyFont="1" applyFill="1" applyBorder="1" applyAlignment="1">
      <alignment horizontal="right" readingOrder="1"/>
    </xf>
    <xf numFmtId="0" fontId="0" fillId="7" borderId="1" xfId="0" applyFont="1" applyFill="1" applyBorder="1" applyAlignment="1">
      <alignment horizontal="right"/>
    </xf>
    <xf numFmtId="165" fontId="7" fillId="7" borderId="2" xfId="0" applyNumberFormat="1" applyFont="1" applyFill="1" applyBorder="1" applyAlignment="1">
      <alignment horizontal="center"/>
    </xf>
    <xf numFmtId="165" fontId="8" fillId="7" borderId="2" xfId="0" applyNumberFormat="1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165" fontId="7" fillId="3" borderId="2" xfId="0" applyNumberFormat="1" applyFont="1" applyFill="1" applyBorder="1" applyAlignment="1">
      <alignment horizontal="center"/>
    </xf>
    <xf numFmtId="165" fontId="8" fillId="3" borderId="2" xfId="0" applyNumberFormat="1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right" vertical="center"/>
    </xf>
    <xf numFmtId="1" fontId="6" fillId="3" borderId="1" xfId="0" applyNumberFormat="1" applyFont="1" applyFill="1" applyBorder="1" applyAlignment="1">
      <alignment horizontal="right" readingOrder="1"/>
    </xf>
    <xf numFmtId="0" fontId="1" fillId="3" borderId="1" xfId="0" applyFont="1" applyFill="1" applyBorder="1" applyAlignment="1">
      <alignment horizontal="right"/>
    </xf>
    <xf numFmtId="0" fontId="0" fillId="3" borderId="1" xfId="12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/>
    </xf>
    <xf numFmtId="164" fontId="6" fillId="3" borderId="2" xfId="0" applyNumberFormat="1" applyFont="1" applyFill="1" applyBorder="1" applyAlignment="1">
      <alignment vertical="center"/>
    </xf>
    <xf numFmtId="0" fontId="6" fillId="3" borderId="2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readingOrder="1"/>
    </xf>
    <xf numFmtId="0" fontId="0" fillId="3" borderId="1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165" fontId="7" fillId="0" borderId="2" xfId="0" applyNumberFormat="1" applyFont="1" applyFill="1" applyBorder="1" applyAlignment="1">
      <alignment horizontal="center"/>
    </xf>
    <xf numFmtId="165" fontId="8" fillId="0" borderId="2" xfId="0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right"/>
    </xf>
    <xf numFmtId="0" fontId="3" fillId="9" borderId="1" xfId="0" applyFont="1" applyFill="1" applyBorder="1"/>
    <xf numFmtId="165" fontId="7" fillId="0" borderId="1" xfId="0" applyNumberFormat="1" applyFont="1" applyFill="1" applyBorder="1" applyAlignment="1">
      <alignment horizontal="center"/>
    </xf>
    <xf numFmtId="165" fontId="8" fillId="0" borderId="1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 wrapText="1"/>
    </xf>
    <xf numFmtId="0" fontId="0" fillId="9" borderId="1" xfId="12" applyFont="1" applyFill="1" applyBorder="1" applyAlignment="1">
      <alignment vertical="center"/>
    </xf>
    <xf numFmtId="0" fontId="4" fillId="4" borderId="0" xfId="0" applyFont="1" applyFill="1" applyBorder="1" applyAlignment="1">
      <alignment horizontal="center" readingOrder="1"/>
    </xf>
    <xf numFmtId="0" fontId="4" fillId="0" borderId="0" xfId="0" applyFont="1" applyFill="1" applyBorder="1" applyAlignment="1">
      <alignment horizontal="center" readingOrder="1"/>
    </xf>
    <xf numFmtId="0" fontId="4" fillId="7" borderId="1" xfId="0" applyFont="1" applyFill="1" applyBorder="1" applyAlignment="1">
      <alignment horizontal="left" readingOrder="1"/>
    </xf>
  </cellXfs>
  <cellStyles count="13">
    <cellStyle name="Normal" xfId="0" builtinId="0"/>
    <cellStyle name="Normal 2" xfId="1"/>
    <cellStyle name="Normal 2 2" xfId="2"/>
    <cellStyle name="Normal 2 3" xfId="3"/>
    <cellStyle name="Normal 2 3 2" xfId="4"/>
    <cellStyle name="Normal 2 4" xfId="5"/>
    <cellStyle name="Normal 3" xfId="6"/>
    <cellStyle name="Normal 3 2" xfId="7"/>
    <cellStyle name="Normal 3 2 2" xfId="8"/>
    <cellStyle name="Normal 4" xfId="9"/>
    <cellStyle name="Normal 5" xfId="10"/>
    <cellStyle name="Normal 5 2" xfId="11"/>
    <cellStyle name="Normal 6 2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P66"/>
  <sheetViews>
    <sheetView tabSelected="1" topLeftCell="A42" zoomScale="85" zoomScaleNormal="85" workbookViewId="0">
      <selection activeCell="M63" sqref="M63"/>
    </sheetView>
  </sheetViews>
  <sheetFormatPr defaultColWidth="9.140625" defaultRowHeight="15"/>
  <cols>
    <col min="1" max="1" width="17.85546875" style="4" customWidth="1"/>
    <col min="2" max="2" width="10.7109375" style="5" customWidth="1"/>
    <col min="3" max="3" width="12.28515625" style="5" customWidth="1"/>
    <col min="4" max="4" width="11.28515625" style="6" customWidth="1"/>
    <col min="5" max="5" width="15" style="6" customWidth="1"/>
    <col min="6" max="6" width="14.28515625" style="6" customWidth="1"/>
    <col min="7" max="7" width="33.85546875" style="6" customWidth="1"/>
    <col min="8" max="8" width="26.140625" style="7" customWidth="1"/>
    <col min="9" max="9" width="9" style="8" customWidth="1"/>
    <col min="10" max="10" width="8.140625" style="9" customWidth="1"/>
    <col min="11" max="11" width="8.140625" style="10" customWidth="1"/>
    <col min="12" max="12" width="11" style="6" customWidth="1"/>
    <col min="13" max="13" width="11.7109375" style="11" customWidth="1"/>
    <col min="14" max="14" width="10.85546875" style="12" customWidth="1"/>
    <col min="15" max="15" width="10.42578125" style="12" customWidth="1"/>
    <col min="16" max="16" width="11.7109375" style="12" customWidth="1"/>
    <col min="17" max="16384" width="9.140625" style="12"/>
  </cols>
  <sheetData>
    <row r="1" spans="1:15">
      <c r="A1" s="13"/>
      <c r="B1" s="14"/>
      <c r="C1" s="14"/>
      <c r="D1" s="15"/>
      <c r="E1" s="15"/>
      <c r="F1" s="15"/>
      <c r="G1" s="15"/>
      <c r="H1" s="16"/>
      <c r="I1" s="46"/>
      <c r="J1" s="14"/>
      <c r="K1" s="47"/>
      <c r="L1" s="15"/>
      <c r="M1" s="48"/>
    </row>
    <row r="2" spans="1:15">
      <c r="A2" s="124" t="s">
        <v>0</v>
      </c>
      <c r="B2" s="124"/>
      <c r="C2" s="124"/>
      <c r="D2" s="124"/>
      <c r="E2" s="124"/>
      <c r="F2" s="124"/>
      <c r="G2" s="124"/>
      <c r="H2" s="124"/>
      <c r="I2" s="125"/>
      <c r="J2" s="125"/>
      <c r="K2" s="125"/>
      <c r="L2" s="124"/>
      <c r="M2" s="124"/>
      <c r="N2" s="124"/>
      <c r="O2" s="124"/>
    </row>
    <row r="3" spans="1:15">
      <c r="A3" s="124" t="s">
        <v>1</v>
      </c>
      <c r="B3" s="124"/>
      <c r="C3" s="124"/>
      <c r="D3" s="124"/>
      <c r="E3" s="124"/>
      <c r="F3" s="124"/>
      <c r="G3" s="124"/>
      <c r="H3" s="124"/>
      <c r="I3" s="125"/>
      <c r="J3" s="125"/>
      <c r="K3" s="125"/>
      <c r="L3" s="124"/>
      <c r="M3" s="124"/>
      <c r="N3" s="124"/>
      <c r="O3" s="124"/>
    </row>
    <row r="4" spans="1:15" s="1" customFormat="1">
      <c r="A4" s="125" t="s">
        <v>2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</row>
    <row r="5" spans="1:15">
      <c r="A5" s="124" t="s">
        <v>3</v>
      </c>
      <c r="B5" s="124"/>
      <c r="C5" s="124"/>
      <c r="D5" s="124"/>
      <c r="E5" s="124"/>
      <c r="F5" s="124"/>
      <c r="G5" s="124"/>
      <c r="H5" s="124"/>
      <c r="I5" s="125"/>
      <c r="J5" s="125"/>
      <c r="K5" s="125"/>
      <c r="L5" s="124"/>
      <c r="M5" s="124"/>
      <c r="N5" s="124"/>
      <c r="O5" s="124"/>
    </row>
    <row r="6" spans="1:15" ht="6" customHeight="1">
      <c r="A6" s="17"/>
      <c r="B6" s="9"/>
      <c r="C6" s="9"/>
      <c r="D6" s="18"/>
      <c r="E6" s="18"/>
      <c r="F6" s="18"/>
      <c r="G6" s="18"/>
      <c r="H6" s="19"/>
      <c r="L6" s="18"/>
    </row>
    <row r="7" spans="1:15" s="1" customFormat="1" ht="38.25" customHeight="1">
      <c r="A7" s="20" t="s">
        <v>4</v>
      </c>
      <c r="B7" s="20" t="s">
        <v>5</v>
      </c>
      <c r="C7" s="20" t="s">
        <v>6</v>
      </c>
      <c r="D7" s="20" t="s">
        <v>7</v>
      </c>
      <c r="E7" s="20" t="s">
        <v>8</v>
      </c>
      <c r="F7" s="21" t="s">
        <v>9</v>
      </c>
      <c r="G7" s="22" t="s">
        <v>10</v>
      </c>
      <c r="H7" s="23" t="s">
        <v>11</v>
      </c>
      <c r="I7" s="23" t="s">
        <v>12</v>
      </c>
      <c r="J7" s="20" t="s">
        <v>13</v>
      </c>
      <c r="K7" s="49" t="s">
        <v>14</v>
      </c>
      <c r="L7" s="20" t="s">
        <v>15</v>
      </c>
      <c r="M7" s="20" t="s">
        <v>16</v>
      </c>
      <c r="N7" s="50" t="s">
        <v>17</v>
      </c>
      <c r="O7" s="51" t="s">
        <v>18</v>
      </c>
    </row>
    <row r="8" spans="1:15" s="2" customFormat="1" ht="15.75" customHeight="1">
      <c r="A8" s="86" t="s">
        <v>19</v>
      </c>
      <c r="B8" s="87">
        <v>1782</v>
      </c>
      <c r="C8" s="87">
        <v>662</v>
      </c>
      <c r="D8" s="88" t="s">
        <v>20</v>
      </c>
      <c r="E8" s="89" t="s">
        <v>21</v>
      </c>
      <c r="F8" s="90" t="s">
        <v>22</v>
      </c>
      <c r="G8" s="91" t="s">
        <v>23</v>
      </c>
      <c r="H8" s="89" t="s">
        <v>24</v>
      </c>
      <c r="I8" s="92">
        <v>0.09</v>
      </c>
      <c r="J8" s="93">
        <v>6</v>
      </c>
      <c r="K8" s="94">
        <v>1</v>
      </c>
      <c r="L8" s="95">
        <f>4320+100</f>
        <v>4420</v>
      </c>
      <c r="M8" s="96">
        <f>I8*L8</f>
        <v>397.8</v>
      </c>
      <c r="N8" s="97" t="s">
        <v>25</v>
      </c>
      <c r="O8" s="119" t="s">
        <v>26</v>
      </c>
    </row>
    <row r="9" spans="1:15" s="2" customFormat="1" ht="15.75" customHeight="1">
      <c r="A9" s="86" t="s">
        <v>19</v>
      </c>
      <c r="B9" s="87">
        <v>1782</v>
      </c>
      <c r="C9" s="87">
        <v>662</v>
      </c>
      <c r="D9" s="88" t="s">
        <v>20</v>
      </c>
      <c r="E9" s="89" t="s">
        <v>21</v>
      </c>
      <c r="F9" s="90" t="s">
        <v>22</v>
      </c>
      <c r="G9" s="91" t="s">
        <v>23</v>
      </c>
      <c r="H9" s="89" t="s">
        <v>24</v>
      </c>
      <c r="I9" s="98">
        <v>0.18</v>
      </c>
      <c r="J9" s="99">
        <v>12</v>
      </c>
      <c r="K9" s="100">
        <v>1</v>
      </c>
      <c r="L9" s="95">
        <f>4320+100</f>
        <v>4420</v>
      </c>
      <c r="M9" s="96">
        <f>I9*L9</f>
        <v>795.6</v>
      </c>
      <c r="N9" s="97" t="s">
        <v>25</v>
      </c>
      <c r="O9" s="119" t="s">
        <v>26</v>
      </c>
    </row>
    <row r="10" spans="1:15" s="2" customFormat="1" ht="15.75" customHeight="1">
      <c r="A10" s="86" t="s">
        <v>19</v>
      </c>
      <c r="B10" s="87">
        <v>1782</v>
      </c>
      <c r="C10" s="87">
        <v>662</v>
      </c>
      <c r="D10" s="88" t="s">
        <v>20</v>
      </c>
      <c r="E10" s="89" t="s">
        <v>21</v>
      </c>
      <c r="F10" s="90" t="s">
        <v>22</v>
      </c>
      <c r="G10" s="91" t="s">
        <v>23</v>
      </c>
      <c r="H10" s="89" t="s">
        <v>27</v>
      </c>
      <c r="I10" s="98">
        <v>0.54300000000000004</v>
      </c>
      <c r="J10" s="99">
        <v>8.1</v>
      </c>
      <c r="K10" s="100">
        <v>5</v>
      </c>
      <c r="L10" s="95">
        <f t="shared" ref="L10:L26" si="0">4520+100</f>
        <v>4620</v>
      </c>
      <c r="M10" s="96">
        <f>I10*L10</f>
        <v>2508.6600000000003</v>
      </c>
      <c r="N10" s="97" t="s">
        <v>25</v>
      </c>
      <c r="O10" s="119" t="s">
        <v>26</v>
      </c>
    </row>
    <row r="11" spans="1:15" s="2" customFormat="1" ht="15.75" customHeight="1">
      <c r="A11" s="86" t="s">
        <v>19</v>
      </c>
      <c r="B11" s="87">
        <v>1782</v>
      </c>
      <c r="C11" s="87">
        <v>662</v>
      </c>
      <c r="D11" s="88" t="s">
        <v>20</v>
      </c>
      <c r="E11" s="89" t="s">
        <v>21</v>
      </c>
      <c r="F11" s="90" t="s">
        <v>22</v>
      </c>
      <c r="G11" s="91" t="s">
        <v>23</v>
      </c>
      <c r="H11" s="89" t="s">
        <v>27</v>
      </c>
      <c r="I11" s="98">
        <v>0.222</v>
      </c>
      <c r="J11" s="99">
        <v>8.3000000000000007</v>
      </c>
      <c r="K11" s="100">
        <v>2</v>
      </c>
      <c r="L11" s="95">
        <f t="shared" si="0"/>
        <v>4620</v>
      </c>
      <c r="M11" s="96">
        <f>I11*L11</f>
        <v>1025.6400000000001</v>
      </c>
      <c r="N11" s="97" t="s">
        <v>25</v>
      </c>
      <c r="O11" s="119" t="s">
        <v>26</v>
      </c>
    </row>
    <row r="12" spans="1:15" s="2" customFormat="1" ht="15.75" customHeight="1">
      <c r="A12" s="86" t="s">
        <v>19</v>
      </c>
      <c r="B12" s="87">
        <v>1782</v>
      </c>
      <c r="C12" s="87">
        <v>662</v>
      </c>
      <c r="D12" s="88" t="s">
        <v>20</v>
      </c>
      <c r="E12" s="89" t="s">
        <v>21</v>
      </c>
      <c r="F12" s="90" t="s">
        <v>22</v>
      </c>
      <c r="G12" s="91" t="s">
        <v>23</v>
      </c>
      <c r="H12" s="89" t="s">
        <v>27</v>
      </c>
      <c r="I12" s="98">
        <v>0.114</v>
      </c>
      <c r="J12" s="99">
        <v>8.5</v>
      </c>
      <c r="K12" s="100">
        <v>1</v>
      </c>
      <c r="L12" s="95">
        <f t="shared" si="0"/>
        <v>4620</v>
      </c>
      <c r="M12" s="96">
        <f>I12*L12</f>
        <v>526.68000000000006</v>
      </c>
      <c r="N12" s="97" t="s">
        <v>25</v>
      </c>
      <c r="O12" s="119" t="s">
        <v>26</v>
      </c>
    </row>
    <row r="13" spans="1:15" s="2" customFormat="1" ht="15.75" customHeight="1">
      <c r="A13" s="86" t="s">
        <v>19</v>
      </c>
      <c r="B13" s="87">
        <v>1782</v>
      </c>
      <c r="C13" s="87">
        <v>662</v>
      </c>
      <c r="D13" s="88" t="s">
        <v>20</v>
      </c>
      <c r="E13" s="89" t="s">
        <v>21</v>
      </c>
      <c r="F13" s="90" t="s">
        <v>22</v>
      </c>
      <c r="G13" s="91" t="s">
        <v>23</v>
      </c>
      <c r="H13" s="89" t="s">
        <v>27</v>
      </c>
      <c r="I13" s="98">
        <v>0.35199999999999998</v>
      </c>
      <c r="J13" s="99">
        <v>8.75</v>
      </c>
      <c r="K13" s="100">
        <v>3</v>
      </c>
      <c r="L13" s="95">
        <f t="shared" si="0"/>
        <v>4620</v>
      </c>
      <c r="M13" s="96">
        <f t="shared" ref="M13:M44" si="1">I13*L13</f>
        <v>1626.24</v>
      </c>
      <c r="N13" s="97" t="s">
        <v>25</v>
      </c>
      <c r="O13" s="119" t="s">
        <v>26</v>
      </c>
    </row>
    <row r="14" spans="1:15" s="2" customFormat="1" ht="15.75" customHeight="1">
      <c r="A14" s="86" t="s">
        <v>19</v>
      </c>
      <c r="B14" s="87">
        <v>1782</v>
      </c>
      <c r="C14" s="87">
        <v>662</v>
      </c>
      <c r="D14" s="88" t="s">
        <v>20</v>
      </c>
      <c r="E14" s="89" t="s">
        <v>21</v>
      </c>
      <c r="F14" s="90" t="s">
        <v>22</v>
      </c>
      <c r="G14" s="91" t="s">
        <v>23</v>
      </c>
      <c r="H14" s="89" t="s">
        <v>27</v>
      </c>
      <c r="I14" s="98">
        <v>0.26800000000000002</v>
      </c>
      <c r="J14" s="99">
        <v>10</v>
      </c>
      <c r="K14" s="100">
        <v>2</v>
      </c>
      <c r="L14" s="95">
        <f t="shared" si="0"/>
        <v>4620</v>
      </c>
      <c r="M14" s="96">
        <f t="shared" si="1"/>
        <v>1238.1600000000001</v>
      </c>
      <c r="N14" s="97" t="s">
        <v>25</v>
      </c>
      <c r="O14" s="119" t="s">
        <v>26</v>
      </c>
    </row>
    <row r="15" spans="1:15" s="2" customFormat="1" ht="15.75" customHeight="1">
      <c r="A15" s="86" t="s">
        <v>19</v>
      </c>
      <c r="B15" s="87">
        <v>1782</v>
      </c>
      <c r="C15" s="87">
        <v>662</v>
      </c>
      <c r="D15" s="88" t="s">
        <v>20</v>
      </c>
      <c r="E15" s="89" t="s">
        <v>21</v>
      </c>
      <c r="F15" s="90" t="s">
        <v>22</v>
      </c>
      <c r="G15" s="91" t="s">
        <v>23</v>
      </c>
      <c r="H15" s="89" t="s">
        <v>27</v>
      </c>
      <c r="I15" s="98">
        <v>0.13900000000000001</v>
      </c>
      <c r="J15" s="99">
        <v>10.4</v>
      </c>
      <c r="K15" s="100">
        <v>1</v>
      </c>
      <c r="L15" s="95">
        <f t="shared" si="0"/>
        <v>4620</v>
      </c>
      <c r="M15" s="96">
        <f t="shared" si="1"/>
        <v>642.18000000000006</v>
      </c>
      <c r="N15" s="97" t="s">
        <v>25</v>
      </c>
      <c r="O15" s="119" t="s">
        <v>26</v>
      </c>
    </row>
    <row r="16" spans="1:15" s="2" customFormat="1" ht="15.75" customHeight="1">
      <c r="A16" s="86" t="s">
        <v>19</v>
      </c>
      <c r="B16" s="87">
        <v>1782</v>
      </c>
      <c r="C16" s="87">
        <v>662</v>
      </c>
      <c r="D16" s="88" t="s">
        <v>20</v>
      </c>
      <c r="E16" s="89" t="s">
        <v>21</v>
      </c>
      <c r="F16" s="90" t="s">
        <v>22</v>
      </c>
      <c r="G16" s="91" t="s">
        <v>23</v>
      </c>
      <c r="H16" s="89" t="s">
        <v>27</v>
      </c>
      <c r="I16" s="98">
        <v>0.157</v>
      </c>
      <c r="J16" s="99">
        <v>11.7</v>
      </c>
      <c r="K16" s="100">
        <v>1</v>
      </c>
      <c r="L16" s="95">
        <f t="shared" si="0"/>
        <v>4620</v>
      </c>
      <c r="M16" s="96">
        <f t="shared" si="1"/>
        <v>725.34</v>
      </c>
      <c r="N16" s="97" t="s">
        <v>25</v>
      </c>
      <c r="O16" s="119" t="s">
        <v>26</v>
      </c>
    </row>
    <row r="17" spans="1:15" s="2" customFormat="1" ht="15.75" customHeight="1">
      <c r="A17" s="86" t="s">
        <v>19</v>
      </c>
      <c r="B17" s="87">
        <v>1782</v>
      </c>
      <c r="C17" s="87">
        <v>662</v>
      </c>
      <c r="D17" s="88" t="s">
        <v>20</v>
      </c>
      <c r="E17" s="89" t="s">
        <v>21</v>
      </c>
      <c r="F17" s="90" t="s">
        <v>22</v>
      </c>
      <c r="G17" s="91" t="s">
        <v>23</v>
      </c>
      <c r="H17" s="89" t="s">
        <v>28</v>
      </c>
      <c r="I17" s="98">
        <v>0.107</v>
      </c>
      <c r="J17" s="99">
        <v>6.7</v>
      </c>
      <c r="K17" s="100">
        <v>1</v>
      </c>
      <c r="L17" s="95">
        <f t="shared" si="0"/>
        <v>4620</v>
      </c>
      <c r="M17" s="96">
        <f t="shared" si="1"/>
        <v>494.34</v>
      </c>
      <c r="N17" s="97" t="s">
        <v>25</v>
      </c>
      <c r="O17" s="119" t="s">
        <v>26</v>
      </c>
    </row>
    <row r="18" spans="1:15" s="2" customFormat="1" ht="15.75" customHeight="1">
      <c r="A18" s="86" t="s">
        <v>19</v>
      </c>
      <c r="B18" s="87">
        <v>1782</v>
      </c>
      <c r="C18" s="87">
        <v>662</v>
      </c>
      <c r="D18" s="88" t="s">
        <v>20</v>
      </c>
      <c r="E18" s="89" t="s">
        <v>21</v>
      </c>
      <c r="F18" s="90" t="s">
        <v>22</v>
      </c>
      <c r="G18" s="91" t="s">
        <v>23</v>
      </c>
      <c r="H18" s="89" t="s">
        <v>28</v>
      </c>
      <c r="I18" s="98">
        <v>0.22700000000000001</v>
      </c>
      <c r="J18" s="99">
        <v>7.1</v>
      </c>
      <c r="K18" s="100">
        <v>2</v>
      </c>
      <c r="L18" s="95">
        <f t="shared" si="0"/>
        <v>4620</v>
      </c>
      <c r="M18" s="96">
        <f t="shared" si="1"/>
        <v>1048.74</v>
      </c>
      <c r="N18" s="97" t="s">
        <v>25</v>
      </c>
      <c r="O18" s="119" t="s">
        <v>26</v>
      </c>
    </row>
    <row r="19" spans="1:15" s="2" customFormat="1" ht="15.75" customHeight="1">
      <c r="A19" s="86" t="s">
        <v>19</v>
      </c>
      <c r="B19" s="87">
        <v>1782</v>
      </c>
      <c r="C19" s="87">
        <v>662</v>
      </c>
      <c r="D19" s="88" t="s">
        <v>20</v>
      </c>
      <c r="E19" s="89" t="s">
        <v>21</v>
      </c>
      <c r="F19" s="90" t="s">
        <v>22</v>
      </c>
      <c r="G19" s="91" t="s">
        <v>23</v>
      </c>
      <c r="H19" s="89" t="s">
        <v>28</v>
      </c>
      <c r="I19" s="98">
        <v>0.11700000000000001</v>
      </c>
      <c r="J19" s="99">
        <v>7.3</v>
      </c>
      <c r="K19" s="100">
        <v>1</v>
      </c>
      <c r="L19" s="95">
        <f t="shared" si="0"/>
        <v>4620</v>
      </c>
      <c r="M19" s="96">
        <f t="shared" si="1"/>
        <v>540.54000000000008</v>
      </c>
      <c r="N19" s="97" t="s">
        <v>25</v>
      </c>
      <c r="O19" s="119" t="s">
        <v>26</v>
      </c>
    </row>
    <row r="20" spans="1:15" s="2" customFormat="1" ht="15.75" customHeight="1">
      <c r="A20" s="86" t="s">
        <v>19</v>
      </c>
      <c r="B20" s="87">
        <v>1782</v>
      </c>
      <c r="C20" s="87">
        <v>662</v>
      </c>
      <c r="D20" s="88" t="s">
        <v>20</v>
      </c>
      <c r="E20" s="89" t="s">
        <v>21</v>
      </c>
      <c r="F20" s="90" t="s">
        <v>22</v>
      </c>
      <c r="G20" s="91" t="s">
        <v>23</v>
      </c>
      <c r="H20" s="89" t="s">
        <v>28</v>
      </c>
      <c r="I20" s="98">
        <v>0.253</v>
      </c>
      <c r="J20" s="99">
        <v>7.9</v>
      </c>
      <c r="K20" s="100">
        <v>2</v>
      </c>
      <c r="L20" s="95">
        <f t="shared" si="0"/>
        <v>4620</v>
      </c>
      <c r="M20" s="96">
        <f t="shared" si="1"/>
        <v>1168.8599999999999</v>
      </c>
      <c r="N20" s="97" t="s">
        <v>25</v>
      </c>
      <c r="O20" s="119" t="s">
        <v>26</v>
      </c>
    </row>
    <row r="21" spans="1:15" s="2" customFormat="1" ht="15.75" customHeight="1">
      <c r="A21" s="86" t="s">
        <v>19</v>
      </c>
      <c r="B21" s="87">
        <v>1782</v>
      </c>
      <c r="C21" s="87">
        <v>662</v>
      </c>
      <c r="D21" s="88" t="s">
        <v>20</v>
      </c>
      <c r="E21" s="89" t="s">
        <v>21</v>
      </c>
      <c r="F21" s="90" t="s">
        <v>22</v>
      </c>
      <c r="G21" s="91" t="s">
        <v>23</v>
      </c>
      <c r="H21" s="89" t="s">
        <v>28</v>
      </c>
      <c r="I21" s="98">
        <v>0.17</v>
      </c>
      <c r="J21" s="99">
        <v>10.6</v>
      </c>
      <c r="K21" s="100">
        <v>1</v>
      </c>
      <c r="L21" s="95">
        <f t="shared" si="0"/>
        <v>4620</v>
      </c>
      <c r="M21" s="96">
        <f t="shared" si="1"/>
        <v>785.40000000000009</v>
      </c>
      <c r="N21" s="97" t="s">
        <v>25</v>
      </c>
      <c r="O21" s="119" t="s">
        <v>26</v>
      </c>
    </row>
    <row r="22" spans="1:15" s="2" customFormat="1" ht="15.75" customHeight="1">
      <c r="A22" s="86" t="s">
        <v>19</v>
      </c>
      <c r="B22" s="87">
        <v>1782</v>
      </c>
      <c r="C22" s="87">
        <v>662</v>
      </c>
      <c r="D22" s="88" t="s">
        <v>20</v>
      </c>
      <c r="E22" s="89" t="s">
        <v>21</v>
      </c>
      <c r="F22" s="90" t="s">
        <v>22</v>
      </c>
      <c r="G22" s="91" t="s">
        <v>23</v>
      </c>
      <c r="H22" s="89" t="s">
        <v>28</v>
      </c>
      <c r="I22" s="98">
        <v>0.16</v>
      </c>
      <c r="J22" s="99">
        <v>10</v>
      </c>
      <c r="K22" s="100">
        <v>1</v>
      </c>
      <c r="L22" s="95">
        <f t="shared" si="0"/>
        <v>4620</v>
      </c>
      <c r="M22" s="96">
        <f t="shared" si="1"/>
        <v>739.2</v>
      </c>
      <c r="N22" s="97" t="s">
        <v>25</v>
      </c>
      <c r="O22" s="119" t="s">
        <v>26</v>
      </c>
    </row>
    <row r="23" spans="1:15" s="2" customFormat="1" ht="15.75" customHeight="1">
      <c r="A23" s="86" t="s">
        <v>19</v>
      </c>
      <c r="B23" s="87">
        <v>1782</v>
      </c>
      <c r="C23" s="87">
        <v>662</v>
      </c>
      <c r="D23" s="88" t="s">
        <v>20</v>
      </c>
      <c r="E23" s="89" t="s">
        <v>21</v>
      </c>
      <c r="F23" s="90" t="s">
        <v>22</v>
      </c>
      <c r="G23" s="91" t="s">
        <v>23</v>
      </c>
      <c r="H23" s="89" t="s">
        <v>28</v>
      </c>
      <c r="I23" s="98">
        <v>0.17100000000000001</v>
      </c>
      <c r="J23" s="99">
        <v>10.7</v>
      </c>
      <c r="K23" s="100">
        <v>1</v>
      </c>
      <c r="L23" s="95">
        <f t="shared" si="0"/>
        <v>4620</v>
      </c>
      <c r="M23" s="96">
        <f t="shared" si="1"/>
        <v>790.0200000000001</v>
      </c>
      <c r="N23" s="97" t="s">
        <v>25</v>
      </c>
      <c r="O23" s="119" t="s">
        <v>26</v>
      </c>
    </row>
    <row r="24" spans="1:15" s="2" customFormat="1" ht="15.75" customHeight="1">
      <c r="A24" s="86" t="s">
        <v>19</v>
      </c>
      <c r="B24" s="87">
        <v>1782</v>
      </c>
      <c r="C24" s="87">
        <v>662</v>
      </c>
      <c r="D24" s="88" t="s">
        <v>20</v>
      </c>
      <c r="E24" s="89" t="s">
        <v>21</v>
      </c>
      <c r="F24" s="90" t="s">
        <v>22</v>
      </c>
      <c r="G24" s="91" t="s">
        <v>23</v>
      </c>
      <c r="H24" s="89" t="s">
        <v>28</v>
      </c>
      <c r="I24" s="98">
        <v>0.17599999999999999</v>
      </c>
      <c r="J24" s="99">
        <v>11</v>
      </c>
      <c r="K24" s="100">
        <v>1</v>
      </c>
      <c r="L24" s="95">
        <f t="shared" si="0"/>
        <v>4620</v>
      </c>
      <c r="M24" s="96">
        <f t="shared" si="1"/>
        <v>813.12</v>
      </c>
      <c r="N24" s="97" t="s">
        <v>25</v>
      </c>
      <c r="O24" s="119" t="s">
        <v>26</v>
      </c>
    </row>
    <row r="25" spans="1:15" s="2" customFormat="1" ht="15.75" customHeight="1">
      <c r="A25" s="86" t="s">
        <v>19</v>
      </c>
      <c r="B25" s="87">
        <v>1782</v>
      </c>
      <c r="C25" s="87">
        <v>662</v>
      </c>
      <c r="D25" s="88" t="s">
        <v>20</v>
      </c>
      <c r="E25" s="89" t="s">
        <v>21</v>
      </c>
      <c r="F25" s="90" t="s">
        <v>22</v>
      </c>
      <c r="G25" s="91" t="s">
        <v>23</v>
      </c>
      <c r="H25" s="89" t="s">
        <v>28</v>
      </c>
      <c r="I25" s="98">
        <v>0.14599999999999999</v>
      </c>
      <c r="J25" s="99">
        <v>9.1</v>
      </c>
      <c r="K25" s="100">
        <v>1</v>
      </c>
      <c r="L25" s="95">
        <f t="shared" si="0"/>
        <v>4620</v>
      </c>
      <c r="M25" s="96">
        <f t="shared" si="1"/>
        <v>674.52</v>
      </c>
      <c r="N25" s="97" t="s">
        <v>25</v>
      </c>
      <c r="O25" s="119" t="s">
        <v>26</v>
      </c>
    </row>
    <row r="26" spans="1:15" s="2" customFormat="1" ht="15.75" customHeight="1">
      <c r="A26" s="86" t="s">
        <v>19</v>
      </c>
      <c r="B26" s="87">
        <v>1782</v>
      </c>
      <c r="C26" s="87">
        <v>662</v>
      </c>
      <c r="D26" s="88" t="s">
        <v>20</v>
      </c>
      <c r="E26" s="89" t="s">
        <v>21</v>
      </c>
      <c r="F26" s="90" t="s">
        <v>22</v>
      </c>
      <c r="G26" s="91" t="s">
        <v>23</v>
      </c>
      <c r="H26" s="89" t="s">
        <v>28</v>
      </c>
      <c r="I26" s="98">
        <v>0.17299999999999999</v>
      </c>
      <c r="J26" s="99">
        <v>10.8</v>
      </c>
      <c r="K26" s="100">
        <v>1</v>
      </c>
      <c r="L26" s="95">
        <f t="shared" si="0"/>
        <v>4620</v>
      </c>
      <c r="M26" s="96">
        <f t="shared" si="1"/>
        <v>799.26</v>
      </c>
      <c r="N26" s="97" t="s">
        <v>25</v>
      </c>
      <c r="O26" s="119" t="s">
        <v>26</v>
      </c>
    </row>
    <row r="27" spans="1:15" s="2" customFormat="1" ht="15.75" customHeight="1">
      <c r="A27" s="24" t="s">
        <v>19</v>
      </c>
      <c r="B27" s="25">
        <v>1782</v>
      </c>
      <c r="C27" s="25">
        <v>662</v>
      </c>
      <c r="D27" s="26" t="s">
        <v>20</v>
      </c>
      <c r="E27" s="27" t="s">
        <v>21</v>
      </c>
      <c r="F27" s="28" t="s">
        <v>22</v>
      </c>
      <c r="G27" s="29" t="s">
        <v>23</v>
      </c>
      <c r="H27" s="27" t="s">
        <v>29</v>
      </c>
      <c r="I27" s="115">
        <v>5.8999999999999997E-2</v>
      </c>
      <c r="J27" s="116">
        <v>10.3</v>
      </c>
      <c r="K27" s="117">
        <v>1</v>
      </c>
      <c r="L27" s="52">
        <f>4320</f>
        <v>4320</v>
      </c>
      <c r="M27" s="53">
        <f t="shared" si="1"/>
        <v>254.88</v>
      </c>
      <c r="N27" s="118" t="s">
        <v>25</v>
      </c>
      <c r="O27" s="119" t="s">
        <v>26</v>
      </c>
    </row>
    <row r="28" spans="1:15" s="2" customFormat="1" ht="15.75" customHeight="1">
      <c r="A28" s="24" t="s">
        <v>19</v>
      </c>
      <c r="B28" s="25">
        <v>1782</v>
      </c>
      <c r="C28" s="25">
        <v>662</v>
      </c>
      <c r="D28" s="26" t="s">
        <v>20</v>
      </c>
      <c r="E28" s="27" t="s">
        <v>21</v>
      </c>
      <c r="F28" s="28" t="s">
        <v>22</v>
      </c>
      <c r="G28" s="29" t="s">
        <v>23</v>
      </c>
      <c r="H28" s="27" t="s">
        <v>29</v>
      </c>
      <c r="I28" s="115">
        <v>5.6000000000000001E-2</v>
      </c>
      <c r="J28" s="116">
        <v>9.8000000000000007</v>
      </c>
      <c r="K28" s="117">
        <v>1</v>
      </c>
      <c r="L28" s="52">
        <f>4320</f>
        <v>4320</v>
      </c>
      <c r="M28" s="53">
        <f t="shared" si="1"/>
        <v>241.92000000000002</v>
      </c>
      <c r="N28" s="118" t="s">
        <v>25</v>
      </c>
      <c r="O28" s="119" t="s">
        <v>26</v>
      </c>
    </row>
    <row r="29" spans="1:15" s="2" customFormat="1" ht="15.75" customHeight="1">
      <c r="A29" s="24" t="s">
        <v>19</v>
      </c>
      <c r="B29" s="25">
        <v>1782</v>
      </c>
      <c r="C29" s="25">
        <v>662</v>
      </c>
      <c r="D29" s="26" t="s">
        <v>20</v>
      </c>
      <c r="E29" s="27" t="s">
        <v>21</v>
      </c>
      <c r="F29" s="28" t="s">
        <v>22</v>
      </c>
      <c r="G29" s="29" t="s">
        <v>23</v>
      </c>
      <c r="H29" s="27" t="s">
        <v>29</v>
      </c>
      <c r="I29" s="115">
        <v>0.44700000000000001</v>
      </c>
      <c r="J29" s="116">
        <v>9.6999999999999993</v>
      </c>
      <c r="K29" s="117">
        <v>8</v>
      </c>
      <c r="L29" s="52">
        <f>4320</f>
        <v>4320</v>
      </c>
      <c r="M29" s="53">
        <f t="shared" si="1"/>
        <v>1931.04</v>
      </c>
      <c r="N29" s="118" t="s">
        <v>25</v>
      </c>
      <c r="O29" s="119" t="s">
        <v>26</v>
      </c>
    </row>
    <row r="30" spans="1:15" s="2" customFormat="1" ht="15.75" customHeight="1">
      <c r="A30" s="86" t="s">
        <v>19</v>
      </c>
      <c r="B30" s="87">
        <v>1782</v>
      </c>
      <c r="C30" s="87">
        <v>662</v>
      </c>
      <c r="D30" s="88" t="s">
        <v>20</v>
      </c>
      <c r="E30" s="89" t="s">
        <v>21</v>
      </c>
      <c r="F30" s="90" t="s">
        <v>22</v>
      </c>
      <c r="G30" s="91" t="s">
        <v>23</v>
      </c>
      <c r="H30" s="89" t="s">
        <v>30</v>
      </c>
      <c r="I30" s="98">
        <v>0.11899999999999999</v>
      </c>
      <c r="J30" s="99">
        <v>6</v>
      </c>
      <c r="K30" s="100">
        <v>1</v>
      </c>
      <c r="L30" s="95">
        <f>4320+100</f>
        <v>4420</v>
      </c>
      <c r="M30" s="96">
        <f t="shared" si="1"/>
        <v>525.98</v>
      </c>
      <c r="N30" s="97" t="s">
        <v>31</v>
      </c>
      <c r="O30" s="119" t="s">
        <v>26</v>
      </c>
    </row>
    <row r="31" spans="1:15" s="2" customFormat="1" ht="15.75" customHeight="1">
      <c r="A31" s="86" t="s">
        <v>19</v>
      </c>
      <c r="B31" s="87">
        <v>1782</v>
      </c>
      <c r="C31" s="87">
        <v>662</v>
      </c>
      <c r="D31" s="88" t="s">
        <v>20</v>
      </c>
      <c r="E31" s="89" t="s">
        <v>21</v>
      </c>
      <c r="F31" s="90" t="s">
        <v>22</v>
      </c>
      <c r="G31" s="91" t="s">
        <v>23</v>
      </c>
      <c r="H31" s="89" t="s">
        <v>32</v>
      </c>
      <c r="I31" s="98">
        <v>0.439</v>
      </c>
      <c r="J31" s="99">
        <v>9.3000000000000007</v>
      </c>
      <c r="K31" s="100">
        <v>4</v>
      </c>
      <c r="L31" s="95">
        <f>4320+100</f>
        <v>4420</v>
      </c>
      <c r="M31" s="96">
        <f t="shared" si="1"/>
        <v>1940.38</v>
      </c>
      <c r="N31" s="97" t="s">
        <v>31</v>
      </c>
      <c r="O31" s="119" t="s">
        <v>26</v>
      </c>
    </row>
    <row r="32" spans="1:15" s="2" customFormat="1" ht="15.75" customHeight="1">
      <c r="A32" s="86" t="s">
        <v>33</v>
      </c>
      <c r="B32" s="87">
        <v>1782</v>
      </c>
      <c r="C32" s="87">
        <v>662</v>
      </c>
      <c r="D32" s="88" t="s">
        <v>20</v>
      </c>
      <c r="E32" s="89" t="s">
        <v>34</v>
      </c>
      <c r="F32" s="90" t="s">
        <v>22</v>
      </c>
      <c r="G32" s="91" t="s">
        <v>23</v>
      </c>
      <c r="H32" s="89" t="s">
        <v>27</v>
      </c>
      <c r="I32" s="98">
        <v>0.109</v>
      </c>
      <c r="J32" s="99">
        <v>8.1</v>
      </c>
      <c r="K32" s="100">
        <v>1</v>
      </c>
      <c r="L32" s="95">
        <f>4520+100</f>
        <v>4620</v>
      </c>
      <c r="M32" s="96">
        <f t="shared" si="1"/>
        <v>503.58</v>
      </c>
      <c r="N32" s="97" t="s">
        <v>25</v>
      </c>
      <c r="O32" s="119" t="s">
        <v>26</v>
      </c>
    </row>
    <row r="33" spans="1:16" s="2" customFormat="1" ht="15.75" customHeight="1">
      <c r="A33" s="24" t="s">
        <v>35</v>
      </c>
      <c r="B33" s="25">
        <v>1782</v>
      </c>
      <c r="C33" s="25">
        <v>662</v>
      </c>
      <c r="D33" s="26" t="s">
        <v>20</v>
      </c>
      <c r="E33" s="27" t="s">
        <v>36</v>
      </c>
      <c r="F33" s="28" t="s">
        <v>22</v>
      </c>
      <c r="G33" s="29" t="s">
        <v>23</v>
      </c>
      <c r="H33" s="101" t="s">
        <v>37</v>
      </c>
      <c r="I33" s="102">
        <v>0.41</v>
      </c>
      <c r="J33" s="103">
        <v>11.5</v>
      </c>
      <c r="K33" s="104">
        <v>2</v>
      </c>
      <c r="L33" s="105">
        <v>4120</v>
      </c>
      <c r="M33" s="106">
        <f t="shared" si="1"/>
        <v>1689.1999999999998</v>
      </c>
      <c r="N33" s="107" t="s">
        <v>49</v>
      </c>
      <c r="O33" s="119" t="s">
        <v>26</v>
      </c>
    </row>
    <row r="34" spans="1:16" s="2" customFormat="1" ht="15.75" customHeight="1">
      <c r="A34" s="86" t="s">
        <v>38</v>
      </c>
      <c r="B34" s="87">
        <v>1782</v>
      </c>
      <c r="C34" s="87">
        <v>662</v>
      </c>
      <c r="D34" s="88" t="s">
        <v>20</v>
      </c>
      <c r="E34" s="89" t="s">
        <v>39</v>
      </c>
      <c r="F34" s="90" t="s">
        <v>22</v>
      </c>
      <c r="G34" s="91" t="s">
        <v>23</v>
      </c>
      <c r="H34" s="89" t="s">
        <v>40</v>
      </c>
      <c r="I34" s="98">
        <v>3.98</v>
      </c>
      <c r="J34" s="99">
        <v>8.1</v>
      </c>
      <c r="K34" s="100">
        <v>18</v>
      </c>
      <c r="L34" s="95">
        <f>4620+100</f>
        <v>4720</v>
      </c>
      <c r="M34" s="96">
        <f t="shared" si="1"/>
        <v>18785.599999999999</v>
      </c>
      <c r="N34" s="97" t="s">
        <v>25</v>
      </c>
      <c r="O34" s="54" t="s">
        <v>65</v>
      </c>
    </row>
    <row r="35" spans="1:16" s="3" customFormat="1" ht="15.75" customHeight="1">
      <c r="A35" s="86" t="s">
        <v>38</v>
      </c>
      <c r="B35" s="87">
        <v>1782</v>
      </c>
      <c r="C35" s="87">
        <v>662</v>
      </c>
      <c r="D35" s="88" t="s">
        <v>20</v>
      </c>
      <c r="E35" s="89" t="s">
        <v>39</v>
      </c>
      <c r="F35" s="90" t="s">
        <v>22</v>
      </c>
      <c r="G35" s="91" t="s">
        <v>23</v>
      </c>
      <c r="H35" s="89" t="s">
        <v>40</v>
      </c>
      <c r="I35" s="98">
        <v>22.887</v>
      </c>
      <c r="J35" s="99">
        <v>12.15</v>
      </c>
      <c r="K35" s="100">
        <v>69</v>
      </c>
      <c r="L35" s="95">
        <f>4620+100</f>
        <v>4720</v>
      </c>
      <c r="M35" s="96">
        <f t="shared" si="1"/>
        <v>108026.64</v>
      </c>
      <c r="N35" s="97" t="s">
        <v>25</v>
      </c>
      <c r="O35" s="54" t="s">
        <v>65</v>
      </c>
      <c r="P35" s="2"/>
    </row>
    <row r="36" spans="1:16" s="2" customFormat="1" ht="15.75" customHeight="1">
      <c r="A36" s="24" t="s">
        <v>41</v>
      </c>
      <c r="B36" s="25">
        <v>1785</v>
      </c>
      <c r="C36" s="25">
        <v>668</v>
      </c>
      <c r="D36" s="26" t="s">
        <v>20</v>
      </c>
      <c r="E36" s="27" t="s">
        <v>42</v>
      </c>
      <c r="F36" s="28" t="s">
        <v>43</v>
      </c>
      <c r="G36" s="29" t="s">
        <v>23</v>
      </c>
      <c r="H36" s="27" t="s">
        <v>44</v>
      </c>
      <c r="I36" s="120">
        <v>6.8970000000000002</v>
      </c>
      <c r="J36" s="121">
        <v>10.3</v>
      </c>
      <c r="K36" s="122">
        <v>144</v>
      </c>
      <c r="L36" s="52">
        <f>4020</f>
        <v>4020</v>
      </c>
      <c r="M36" s="53">
        <f t="shared" si="1"/>
        <v>27725.940000000002</v>
      </c>
      <c r="N36" s="118" t="s">
        <v>25</v>
      </c>
      <c r="O36" s="54" t="s">
        <v>65</v>
      </c>
    </row>
    <row r="37" spans="1:16" s="2" customFormat="1" ht="15.75" customHeight="1">
      <c r="A37" s="24" t="s">
        <v>41</v>
      </c>
      <c r="B37" s="25">
        <v>1785</v>
      </c>
      <c r="C37" s="25">
        <v>668</v>
      </c>
      <c r="D37" s="26" t="s">
        <v>20</v>
      </c>
      <c r="E37" s="27" t="s">
        <v>42</v>
      </c>
      <c r="F37" s="28" t="s">
        <v>43</v>
      </c>
      <c r="G37" s="29" t="s">
        <v>23</v>
      </c>
      <c r="H37" s="27" t="s">
        <v>44</v>
      </c>
      <c r="I37" s="115">
        <v>6.0359999999999996</v>
      </c>
      <c r="J37" s="116">
        <v>11</v>
      </c>
      <c r="K37" s="117">
        <v>118</v>
      </c>
      <c r="L37" s="52">
        <f>4020</f>
        <v>4020</v>
      </c>
      <c r="M37" s="53">
        <f t="shared" si="1"/>
        <v>24264.719999999998</v>
      </c>
      <c r="N37" s="118" t="s">
        <v>25</v>
      </c>
      <c r="O37" s="54" t="s">
        <v>65</v>
      </c>
    </row>
    <row r="38" spans="1:16" s="2" customFormat="1" ht="15.75" customHeight="1">
      <c r="A38" s="24" t="s">
        <v>41</v>
      </c>
      <c r="B38" s="25">
        <v>1785</v>
      </c>
      <c r="C38" s="25">
        <v>668</v>
      </c>
      <c r="D38" s="26" t="s">
        <v>20</v>
      </c>
      <c r="E38" s="27" t="s">
        <v>42</v>
      </c>
      <c r="F38" s="28" t="s">
        <v>43</v>
      </c>
      <c r="G38" s="29" t="s">
        <v>23</v>
      </c>
      <c r="H38" s="27" t="s">
        <v>44</v>
      </c>
      <c r="I38" s="115">
        <v>4.3520000000000003</v>
      </c>
      <c r="J38" s="116">
        <v>12</v>
      </c>
      <c r="K38" s="117">
        <v>78</v>
      </c>
      <c r="L38" s="52">
        <f>4020</f>
        <v>4020</v>
      </c>
      <c r="M38" s="53">
        <f t="shared" si="1"/>
        <v>17495.04</v>
      </c>
      <c r="N38" s="118" t="s">
        <v>25</v>
      </c>
      <c r="O38" s="54" t="s">
        <v>65</v>
      </c>
    </row>
    <row r="39" spans="1:16" s="2" customFormat="1" ht="15.75" customHeight="1">
      <c r="A39" s="24" t="s">
        <v>41</v>
      </c>
      <c r="B39" s="25">
        <v>1785</v>
      </c>
      <c r="C39" s="25">
        <v>668</v>
      </c>
      <c r="D39" s="26" t="s">
        <v>20</v>
      </c>
      <c r="E39" s="27" t="s">
        <v>42</v>
      </c>
      <c r="F39" s="28" t="s">
        <v>43</v>
      </c>
      <c r="G39" s="29" t="s">
        <v>23</v>
      </c>
      <c r="H39" s="27" t="s">
        <v>44</v>
      </c>
      <c r="I39" s="115">
        <v>0.74399999999999999</v>
      </c>
      <c r="J39" s="116">
        <v>10</v>
      </c>
      <c r="K39" s="117">
        <v>16</v>
      </c>
      <c r="L39" s="52">
        <f>4020</f>
        <v>4020</v>
      </c>
      <c r="M39" s="53">
        <f t="shared" si="1"/>
        <v>2990.88</v>
      </c>
      <c r="N39" s="118" t="s">
        <v>25</v>
      </c>
      <c r="O39" s="54" t="s">
        <v>65</v>
      </c>
    </row>
    <row r="40" spans="1:16" s="2" customFormat="1" ht="15.75" customHeight="1">
      <c r="A40" s="24" t="s">
        <v>41</v>
      </c>
      <c r="B40" s="25">
        <v>1785</v>
      </c>
      <c r="C40" s="25">
        <v>668</v>
      </c>
      <c r="D40" s="26" t="s">
        <v>20</v>
      </c>
      <c r="E40" s="27" t="s">
        <v>42</v>
      </c>
      <c r="F40" s="28" t="s">
        <v>43</v>
      </c>
      <c r="G40" s="29" t="s">
        <v>23</v>
      </c>
      <c r="H40" s="27" t="s">
        <v>44</v>
      </c>
      <c r="I40" s="115">
        <v>0.24399999999999999</v>
      </c>
      <c r="J40" s="116">
        <v>10.5</v>
      </c>
      <c r="K40" s="117">
        <v>5</v>
      </c>
      <c r="L40" s="52">
        <f>4020</f>
        <v>4020</v>
      </c>
      <c r="M40" s="53">
        <f t="shared" si="1"/>
        <v>980.88</v>
      </c>
      <c r="N40" s="118" t="s">
        <v>25</v>
      </c>
      <c r="O40" s="54" t="s">
        <v>65</v>
      </c>
    </row>
    <row r="41" spans="1:16" s="2" customFormat="1" ht="15.75" customHeight="1">
      <c r="A41" s="24" t="s">
        <v>41</v>
      </c>
      <c r="B41" s="25">
        <v>1785</v>
      </c>
      <c r="C41" s="25">
        <v>668</v>
      </c>
      <c r="D41" s="26" t="s">
        <v>20</v>
      </c>
      <c r="E41" s="27" t="s">
        <v>42</v>
      </c>
      <c r="F41" s="28" t="s">
        <v>43</v>
      </c>
      <c r="G41" s="29" t="s">
        <v>23</v>
      </c>
      <c r="H41" s="27" t="s">
        <v>44</v>
      </c>
      <c r="I41" s="115">
        <v>0.90900000000000003</v>
      </c>
      <c r="J41" s="116">
        <v>11.5</v>
      </c>
      <c r="K41" s="117">
        <v>17</v>
      </c>
      <c r="L41" s="52">
        <f>4020</f>
        <v>4020</v>
      </c>
      <c r="M41" s="53">
        <f t="shared" si="1"/>
        <v>3654.1800000000003</v>
      </c>
      <c r="N41" s="118" t="s">
        <v>25</v>
      </c>
      <c r="O41" s="54" t="s">
        <v>65</v>
      </c>
    </row>
    <row r="42" spans="1:16" s="2" customFormat="1" ht="15.75" customHeight="1">
      <c r="A42" s="86" t="s">
        <v>45</v>
      </c>
      <c r="B42" s="87">
        <v>1785</v>
      </c>
      <c r="C42" s="87">
        <v>668</v>
      </c>
      <c r="D42" s="88" t="s">
        <v>20</v>
      </c>
      <c r="E42" s="89" t="s">
        <v>39</v>
      </c>
      <c r="F42" s="90" t="s">
        <v>43</v>
      </c>
      <c r="G42" s="91" t="s">
        <v>23</v>
      </c>
      <c r="H42" s="89" t="s">
        <v>46</v>
      </c>
      <c r="I42" s="98">
        <v>2.2709999999999999</v>
      </c>
      <c r="J42" s="99">
        <v>10.3</v>
      </c>
      <c r="K42" s="100">
        <v>15</v>
      </c>
      <c r="L42" s="95">
        <f>4220+100</f>
        <v>4320</v>
      </c>
      <c r="M42" s="96">
        <f t="shared" si="1"/>
        <v>9810.7199999999993</v>
      </c>
      <c r="N42" s="97" t="s">
        <v>25</v>
      </c>
      <c r="O42" s="54" t="s">
        <v>65</v>
      </c>
    </row>
    <row r="43" spans="1:16" s="2" customFormat="1" ht="15.75" customHeight="1">
      <c r="A43" s="86" t="s">
        <v>45</v>
      </c>
      <c r="B43" s="87">
        <v>1785</v>
      </c>
      <c r="C43" s="87">
        <v>668</v>
      </c>
      <c r="D43" s="88" t="s">
        <v>20</v>
      </c>
      <c r="E43" s="89" t="s">
        <v>39</v>
      </c>
      <c r="F43" s="90" t="s">
        <v>43</v>
      </c>
      <c r="G43" s="91" t="s">
        <v>23</v>
      </c>
      <c r="H43" s="89" t="s">
        <v>46</v>
      </c>
      <c r="I43" s="98">
        <v>1.323</v>
      </c>
      <c r="J43" s="99">
        <v>9</v>
      </c>
      <c r="K43" s="100">
        <v>10</v>
      </c>
      <c r="L43" s="95">
        <f>4220+100</f>
        <v>4320</v>
      </c>
      <c r="M43" s="96">
        <f t="shared" si="1"/>
        <v>5715.36</v>
      </c>
      <c r="N43" s="97" t="s">
        <v>25</v>
      </c>
      <c r="O43" s="54" t="s">
        <v>65</v>
      </c>
    </row>
    <row r="44" spans="1:16" s="2" customFormat="1" ht="15.75" customHeight="1">
      <c r="A44" s="86" t="s">
        <v>45</v>
      </c>
      <c r="B44" s="87">
        <v>1785</v>
      </c>
      <c r="C44" s="87">
        <v>668</v>
      </c>
      <c r="D44" s="88" t="s">
        <v>20</v>
      </c>
      <c r="E44" s="89" t="s">
        <v>39</v>
      </c>
      <c r="F44" s="90" t="s">
        <v>43</v>
      </c>
      <c r="G44" s="91" t="s">
        <v>23</v>
      </c>
      <c r="H44" s="89" t="s">
        <v>46</v>
      </c>
      <c r="I44" s="98">
        <v>2.1019999999999999</v>
      </c>
      <c r="J44" s="99">
        <v>11</v>
      </c>
      <c r="K44" s="100">
        <v>13</v>
      </c>
      <c r="L44" s="95">
        <f>4220+100</f>
        <v>4320</v>
      </c>
      <c r="M44" s="96">
        <f t="shared" si="1"/>
        <v>9080.64</v>
      </c>
      <c r="N44" s="97" t="s">
        <v>25</v>
      </c>
      <c r="O44" s="54" t="s">
        <v>65</v>
      </c>
    </row>
    <row r="45" spans="1:16" s="2" customFormat="1" ht="15.75" customHeight="1">
      <c r="A45" s="86" t="s">
        <v>45</v>
      </c>
      <c r="B45" s="87">
        <v>1785</v>
      </c>
      <c r="C45" s="87">
        <v>668</v>
      </c>
      <c r="D45" s="88" t="s">
        <v>20</v>
      </c>
      <c r="E45" s="89" t="s">
        <v>39</v>
      </c>
      <c r="F45" s="90" t="s">
        <v>43</v>
      </c>
      <c r="G45" s="91" t="s">
        <v>23</v>
      </c>
      <c r="H45" s="89" t="s">
        <v>46</v>
      </c>
      <c r="I45" s="98">
        <v>1.032</v>
      </c>
      <c r="J45" s="99">
        <v>11.7</v>
      </c>
      <c r="K45" s="100">
        <v>6</v>
      </c>
      <c r="L45" s="95">
        <f>4220+100</f>
        <v>4320</v>
      </c>
      <c r="M45" s="96">
        <f t="shared" ref="M45:M50" si="2">I45*L45</f>
        <v>4458.24</v>
      </c>
      <c r="N45" s="97" t="s">
        <v>25</v>
      </c>
      <c r="O45" s="54" t="s">
        <v>65</v>
      </c>
    </row>
    <row r="46" spans="1:16" s="2" customFormat="1" ht="15.75" customHeight="1">
      <c r="A46" s="86" t="s">
        <v>45</v>
      </c>
      <c r="B46" s="87">
        <v>1785</v>
      </c>
      <c r="C46" s="87">
        <v>668</v>
      </c>
      <c r="D46" s="88" t="s">
        <v>20</v>
      </c>
      <c r="E46" s="89" t="s">
        <v>39</v>
      </c>
      <c r="F46" s="90" t="s">
        <v>43</v>
      </c>
      <c r="G46" s="91" t="s">
        <v>23</v>
      </c>
      <c r="H46" s="89" t="s">
        <v>46</v>
      </c>
      <c r="I46" s="98">
        <v>4.5110000000000001</v>
      </c>
      <c r="J46" s="99">
        <v>9.3000000000000007</v>
      </c>
      <c r="K46" s="100">
        <v>33</v>
      </c>
      <c r="L46" s="95">
        <f>4220+100</f>
        <v>4320</v>
      </c>
      <c r="M46" s="96">
        <f t="shared" si="2"/>
        <v>19487.52</v>
      </c>
      <c r="N46" s="97" t="s">
        <v>25</v>
      </c>
      <c r="O46" s="54" t="s">
        <v>65</v>
      </c>
    </row>
    <row r="47" spans="1:16" s="2" customFormat="1" ht="15.75" customHeight="1">
      <c r="A47" s="108" t="s">
        <v>47</v>
      </c>
      <c r="B47" s="109">
        <v>1785</v>
      </c>
      <c r="C47" s="109">
        <v>668</v>
      </c>
      <c r="D47" s="110" t="s">
        <v>20</v>
      </c>
      <c r="E47" s="101" t="s">
        <v>36</v>
      </c>
      <c r="F47" s="111" t="s">
        <v>43</v>
      </c>
      <c r="G47" s="112" t="s">
        <v>23</v>
      </c>
      <c r="H47" s="101" t="s">
        <v>48</v>
      </c>
      <c r="I47" s="102">
        <v>0.16400000000000001</v>
      </c>
      <c r="J47" s="103">
        <v>7</v>
      </c>
      <c r="K47" s="104">
        <v>1</v>
      </c>
      <c r="L47" s="105">
        <v>4320</v>
      </c>
      <c r="M47" s="106">
        <f t="shared" si="2"/>
        <v>708.48</v>
      </c>
      <c r="N47" s="113" t="s">
        <v>49</v>
      </c>
      <c r="O47" s="119" t="s">
        <v>26</v>
      </c>
    </row>
    <row r="48" spans="1:16" s="2" customFormat="1" ht="15.75" customHeight="1">
      <c r="A48" s="108" t="s">
        <v>47</v>
      </c>
      <c r="B48" s="109">
        <v>1785</v>
      </c>
      <c r="C48" s="109">
        <v>668</v>
      </c>
      <c r="D48" s="110" t="s">
        <v>20</v>
      </c>
      <c r="E48" s="101" t="s">
        <v>36</v>
      </c>
      <c r="F48" s="111" t="s">
        <v>43</v>
      </c>
      <c r="G48" s="112" t="s">
        <v>23</v>
      </c>
      <c r="H48" s="101" t="s">
        <v>50</v>
      </c>
      <c r="I48" s="102">
        <v>0.115</v>
      </c>
      <c r="J48" s="103">
        <v>12</v>
      </c>
      <c r="K48" s="104">
        <v>1</v>
      </c>
      <c r="L48" s="105">
        <v>4120</v>
      </c>
      <c r="M48" s="106">
        <f t="shared" si="2"/>
        <v>473.8</v>
      </c>
      <c r="N48" s="113" t="s">
        <v>49</v>
      </c>
      <c r="O48" s="119" t="s">
        <v>26</v>
      </c>
    </row>
    <row r="49" spans="1:16" s="2" customFormat="1" ht="15.75" customHeight="1">
      <c r="A49" s="108" t="s">
        <v>47</v>
      </c>
      <c r="B49" s="109">
        <v>1785</v>
      </c>
      <c r="C49" s="109">
        <v>668</v>
      </c>
      <c r="D49" s="110" t="s">
        <v>20</v>
      </c>
      <c r="E49" s="101" t="s">
        <v>36</v>
      </c>
      <c r="F49" s="111" t="s">
        <v>43</v>
      </c>
      <c r="G49" s="112" t="s">
        <v>23</v>
      </c>
      <c r="H49" s="101" t="s">
        <v>51</v>
      </c>
      <c r="I49" s="102">
        <v>1.1519999999999999</v>
      </c>
      <c r="J49" s="103">
        <v>12</v>
      </c>
      <c r="K49" s="104">
        <v>14</v>
      </c>
      <c r="L49" s="105">
        <v>4120</v>
      </c>
      <c r="M49" s="106">
        <f t="shared" si="2"/>
        <v>4746.24</v>
      </c>
      <c r="N49" s="113" t="s">
        <v>49</v>
      </c>
      <c r="O49" s="119" t="s">
        <v>26</v>
      </c>
    </row>
    <row r="50" spans="1:16" s="3" customFormat="1" ht="15.75" customHeight="1">
      <c r="A50" s="108" t="s">
        <v>47</v>
      </c>
      <c r="B50" s="109">
        <v>1785</v>
      </c>
      <c r="C50" s="109">
        <v>668</v>
      </c>
      <c r="D50" s="110" t="s">
        <v>20</v>
      </c>
      <c r="E50" s="101" t="s">
        <v>36</v>
      </c>
      <c r="F50" s="111" t="s">
        <v>43</v>
      </c>
      <c r="G50" s="112" t="s">
        <v>23</v>
      </c>
      <c r="H50" s="101" t="s">
        <v>52</v>
      </c>
      <c r="I50" s="102">
        <v>0.17399999999999999</v>
      </c>
      <c r="J50" s="103">
        <v>10.5</v>
      </c>
      <c r="K50" s="104">
        <v>1</v>
      </c>
      <c r="L50" s="105">
        <v>4320</v>
      </c>
      <c r="M50" s="106">
        <f t="shared" si="2"/>
        <v>751.68</v>
      </c>
      <c r="N50" s="114" t="s">
        <v>49</v>
      </c>
      <c r="O50" s="123" t="s">
        <v>26</v>
      </c>
      <c r="P50" s="2"/>
    </row>
    <row r="51" spans="1:16" s="2" customFormat="1" ht="15.75" customHeight="1">
      <c r="A51" s="24"/>
      <c r="B51" s="25"/>
      <c r="C51" s="25"/>
      <c r="D51" s="26"/>
      <c r="E51" s="27"/>
      <c r="F51" s="28"/>
      <c r="G51" s="29"/>
      <c r="H51" s="27"/>
      <c r="I51" s="55"/>
      <c r="J51" s="56"/>
      <c r="K51" s="57"/>
      <c r="L51" s="52"/>
      <c r="M51" s="53"/>
      <c r="N51" s="58"/>
      <c r="O51" s="54"/>
    </row>
    <row r="52" spans="1:16" s="2" customFormat="1" ht="15.75" customHeight="1">
      <c r="A52" s="24"/>
      <c r="B52" s="25"/>
      <c r="C52" s="25"/>
      <c r="D52" s="26"/>
      <c r="E52" s="27"/>
      <c r="F52" s="28"/>
      <c r="G52" s="29"/>
      <c r="H52" s="27"/>
      <c r="I52" s="59"/>
      <c r="J52" s="60"/>
      <c r="K52" s="61"/>
      <c r="L52" s="52"/>
      <c r="M52" s="53"/>
      <c r="N52" s="58"/>
      <c r="O52" s="54"/>
    </row>
    <row r="53" spans="1:16">
      <c r="A53" s="30"/>
      <c r="B53" s="31" t="s">
        <v>53</v>
      </c>
      <c r="C53" s="32"/>
      <c r="D53" s="33"/>
      <c r="E53" s="33"/>
      <c r="F53" s="33"/>
      <c r="G53" s="33"/>
      <c r="H53" s="34" t="s">
        <v>54</v>
      </c>
      <c r="I53" s="59">
        <f>SUM(I8:I52)</f>
        <v>64.297000000000011</v>
      </c>
      <c r="J53" s="60"/>
      <c r="K53" s="62">
        <f>SUM(K8:K52)</f>
        <v>606</v>
      </c>
      <c r="L53" s="63"/>
      <c r="M53" s="64">
        <f>SUM(M8:M52)</f>
        <v>283583.83999999997</v>
      </c>
      <c r="N53" s="65"/>
      <c r="O53" s="65"/>
      <c r="P53" s="66"/>
    </row>
    <row r="54" spans="1:16">
      <c r="A54" s="30"/>
      <c r="B54" s="35" t="s">
        <v>55</v>
      </c>
      <c r="C54" s="35"/>
      <c r="D54" s="36"/>
      <c r="E54" s="37"/>
      <c r="F54" s="36"/>
      <c r="G54" s="36"/>
      <c r="H54" s="34"/>
      <c r="I54" s="59"/>
      <c r="J54" s="60"/>
      <c r="K54" s="61"/>
      <c r="L54" s="63"/>
      <c r="M54" s="67"/>
      <c r="N54" s="68"/>
      <c r="O54" s="65"/>
      <c r="P54" s="69"/>
    </row>
    <row r="55" spans="1:16">
      <c r="A55" s="30"/>
      <c r="B55" s="126" t="s">
        <v>56</v>
      </c>
      <c r="C55" s="126"/>
      <c r="D55" s="126"/>
      <c r="E55" s="126"/>
      <c r="F55" s="126"/>
      <c r="G55" s="126"/>
      <c r="H55" s="39" t="s">
        <v>57</v>
      </c>
      <c r="I55" s="59">
        <v>61.723999999999997</v>
      </c>
      <c r="J55" s="60"/>
      <c r="K55" s="61"/>
      <c r="L55" s="70"/>
      <c r="M55" s="71">
        <v>272748</v>
      </c>
      <c r="N55" s="72"/>
      <c r="O55" s="73"/>
      <c r="P55" s="69"/>
    </row>
    <row r="56" spans="1:16">
      <c r="B56" s="40" t="s">
        <v>58</v>
      </c>
      <c r="C56" s="40"/>
      <c r="D56" s="41"/>
      <c r="E56" s="41"/>
      <c r="F56" s="41"/>
      <c r="G56" s="41"/>
      <c r="H56" s="42" t="s">
        <v>59</v>
      </c>
      <c r="I56" s="59">
        <v>2.573</v>
      </c>
      <c r="J56" s="60"/>
      <c r="K56" s="61"/>
      <c r="L56" s="74"/>
      <c r="M56" s="75">
        <v>10836</v>
      </c>
      <c r="N56" s="65"/>
      <c r="O56" s="65"/>
      <c r="P56" s="69"/>
    </row>
    <row r="57" spans="1:16">
      <c r="B57" s="43" t="s">
        <v>60</v>
      </c>
      <c r="C57" s="43"/>
      <c r="D57" s="38"/>
      <c r="E57" s="38"/>
      <c r="F57" s="38"/>
      <c r="G57" s="38"/>
      <c r="H57" s="42" t="s">
        <v>61</v>
      </c>
      <c r="I57" s="59">
        <f>SUM(I55:I56)</f>
        <v>64.296999999999997</v>
      </c>
      <c r="J57" s="76"/>
      <c r="K57" s="77"/>
      <c r="L57" s="74"/>
      <c r="M57" s="75">
        <f>M55+M56</f>
        <v>283584</v>
      </c>
      <c r="N57" s="68"/>
      <c r="O57" s="65"/>
      <c r="P57" s="69"/>
    </row>
    <row r="58" spans="1:16">
      <c r="H58" s="42" t="s">
        <v>62</v>
      </c>
      <c r="I58" s="78"/>
      <c r="J58" s="79"/>
      <c r="K58" s="77"/>
      <c r="L58" s="74"/>
      <c r="M58" s="75">
        <f>+M57*9%</f>
        <v>25522.559999999998</v>
      </c>
      <c r="N58" s="65"/>
      <c r="O58" s="65"/>
      <c r="P58" s="69"/>
    </row>
    <row r="59" spans="1:16">
      <c r="H59" s="42" t="s">
        <v>63</v>
      </c>
      <c r="I59" s="80"/>
      <c r="J59" s="81"/>
      <c r="K59" s="77"/>
      <c r="L59" s="74"/>
      <c r="M59" s="75">
        <f>+M57*9%</f>
        <v>25522.559999999998</v>
      </c>
      <c r="N59" s="65"/>
      <c r="O59" s="65"/>
      <c r="P59" s="69"/>
    </row>
    <row r="60" spans="1:16">
      <c r="H60" s="42"/>
      <c r="I60" s="82"/>
      <c r="J60" s="81"/>
      <c r="K60" s="77"/>
      <c r="L60" s="74"/>
      <c r="M60" s="75"/>
      <c r="N60" s="65"/>
      <c r="O60" s="65"/>
      <c r="P60" s="69"/>
    </row>
    <row r="61" spans="1:16">
      <c r="G61" s="44"/>
      <c r="H61" s="42" t="s">
        <v>64</v>
      </c>
      <c r="I61" s="78"/>
      <c r="J61" s="81"/>
      <c r="K61" s="77"/>
      <c r="L61" s="74"/>
      <c r="M61" s="75">
        <f>+M57+M58+M59</f>
        <v>334629.12</v>
      </c>
      <c r="N61" s="65"/>
      <c r="O61" s="65"/>
      <c r="P61" s="69"/>
    </row>
    <row r="62" spans="1:16">
      <c r="M62" s="83"/>
      <c r="P62" s="69"/>
    </row>
    <row r="63" spans="1:16">
      <c r="H63" s="45"/>
      <c r="I63" s="84"/>
      <c r="M63" s="83"/>
      <c r="P63" s="69"/>
    </row>
    <row r="64" spans="1:16">
      <c r="I64" s="84"/>
      <c r="J64" s="85"/>
      <c r="M64" s="83"/>
      <c r="N64" s="69"/>
    </row>
    <row r="65" spans="9:13">
      <c r="I65" s="84"/>
      <c r="M65" s="83"/>
    </row>
    <row r="66" spans="9:13">
      <c r="I66" s="84"/>
      <c r="M66" s="83"/>
    </row>
  </sheetData>
  <autoFilter ref="A7:O50">
    <filterColumn colId="7"/>
  </autoFilter>
  <mergeCells count="5">
    <mergeCell ref="A2:O2"/>
    <mergeCell ref="A3:O3"/>
    <mergeCell ref="A4:O4"/>
    <mergeCell ref="A5:O5"/>
    <mergeCell ref="B55:G55"/>
  </mergeCells>
  <pageMargins left="0.41" right="0.23622047244094499" top="0.17" bottom="0.15748031496063" header="0.118110236220472" footer="0.15748031496063"/>
  <pageSetup paperSize="9" scale="63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 1</vt:lpstr>
      <vt:lpstr>'Sheet 1'!Print_Area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 Ram</dc:creator>
  <cp:lastModifiedBy>Chetan</cp:lastModifiedBy>
  <cp:lastPrinted>2023-12-25T07:21:00Z</cp:lastPrinted>
  <dcterms:created xsi:type="dcterms:W3CDTF">2014-12-26T19:16:00Z</dcterms:created>
  <dcterms:modified xsi:type="dcterms:W3CDTF">2024-01-04T05:31:11Z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B7D781F589004BE986B8F26F0B7B5D86</vt:lpwstr>
  </property>
  <property fmtid="{D5CDD505-2E9C-101B-9397-08002B2CF9AE}" pid="3" name="KSOProductBuildVer">
    <vt:lpwstr>1033-12.2.0.13359</vt:lpwstr>
  </property>
</Properties>
</file>