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tabRatio="786"/>
  </bookViews>
  <sheets>
    <sheet name="SUMMERY JAN-22 TO DEC-22  " sheetId="21" r:id="rId1"/>
  </sheets>
  <definedNames>
    <definedName name="_xlnm._FilterDatabase" localSheetId="0" hidden="1">'SUMMERY JAN-22 TO DEC-22  '!$J$4:$U$21</definedName>
    <definedName name="_xlnm.Print_Area" localSheetId="0">'SUMMERY JAN-22 TO DEC-22  '!$A$2:$U$24</definedName>
  </definedNames>
  <calcPr calcId="124519"/>
</workbook>
</file>

<file path=xl/calcChain.xml><?xml version="1.0" encoding="utf-8"?>
<calcChain xmlns="http://schemas.openxmlformats.org/spreadsheetml/2006/main">
  <c r="L18" i="21"/>
  <c r="L17"/>
  <c r="L14"/>
  <c r="J14"/>
  <c r="T20" l="1"/>
  <c r="N20"/>
  <c r="C20"/>
  <c r="T19"/>
  <c r="N19"/>
  <c r="E19"/>
  <c r="G19" s="1"/>
  <c r="C19"/>
  <c r="T18"/>
  <c r="N18"/>
  <c r="E18"/>
  <c r="C18"/>
  <c r="T17"/>
  <c r="N17"/>
  <c r="E17"/>
  <c r="C17"/>
  <c r="X20"/>
  <c r="T16"/>
  <c r="N16"/>
  <c r="E16"/>
  <c r="C16"/>
  <c r="T15"/>
  <c r="N15"/>
  <c r="E15"/>
  <c r="C15"/>
  <c r="T14"/>
  <c r="N14"/>
  <c r="E14"/>
  <c r="C14"/>
  <c r="T13"/>
  <c r="N13"/>
  <c r="E13"/>
  <c r="C13"/>
  <c r="T12"/>
  <c r="N12"/>
  <c r="E12"/>
  <c r="C12"/>
  <c r="T11"/>
  <c r="N11"/>
  <c r="E11"/>
  <c r="C11"/>
  <c r="T10"/>
  <c r="N10"/>
  <c r="E10"/>
  <c r="C10"/>
  <c r="T9"/>
  <c r="N9"/>
  <c r="E9"/>
  <c r="C9"/>
  <c r="T8"/>
  <c r="N8"/>
  <c r="E8"/>
  <c r="C8"/>
  <c r="R21"/>
  <c r="P21"/>
  <c r="N7"/>
  <c r="J21"/>
  <c r="E7"/>
  <c r="C7"/>
  <c r="C21" l="1"/>
  <c r="G9"/>
  <c r="G11"/>
  <c r="G13"/>
  <c r="G8"/>
  <c r="G10"/>
  <c r="G12"/>
  <c r="G14"/>
  <c r="G16"/>
  <c r="G17"/>
  <c r="G18"/>
  <c r="G15"/>
  <c r="N21"/>
  <c r="O9" s="1"/>
  <c r="S19"/>
  <c r="S18"/>
  <c r="S17"/>
  <c r="O8"/>
  <c r="D20"/>
  <c r="D17"/>
  <c r="K17"/>
  <c r="K20"/>
  <c r="Q19"/>
  <c r="Q18"/>
  <c r="Q17"/>
  <c r="Q20"/>
  <c r="D8"/>
  <c r="K8"/>
  <c r="Q8"/>
  <c r="D9"/>
  <c r="K9"/>
  <c r="Q9"/>
  <c r="D10"/>
  <c r="K10"/>
  <c r="Q10"/>
  <c r="D11"/>
  <c r="K11"/>
  <c r="Q11"/>
  <c r="D12"/>
  <c r="K12"/>
  <c r="Q12"/>
  <c r="D13"/>
  <c r="K13"/>
  <c r="Q13"/>
  <c r="D14"/>
  <c r="K14"/>
  <c r="Q14"/>
  <c r="D15"/>
  <c r="K15"/>
  <c r="Q15"/>
  <c r="D16"/>
  <c r="K16"/>
  <c r="Q16"/>
  <c r="D18"/>
  <c r="K18"/>
  <c r="D19"/>
  <c r="K19"/>
  <c r="D7"/>
  <c r="K7"/>
  <c r="Q7"/>
  <c r="S7"/>
  <c r="S8"/>
  <c r="S9"/>
  <c r="S10"/>
  <c r="S11"/>
  <c r="S12"/>
  <c r="S13"/>
  <c r="S14"/>
  <c r="S15"/>
  <c r="S16"/>
  <c r="E20"/>
  <c r="S20"/>
  <c r="L21"/>
  <c r="M18" s="1"/>
  <c r="G7"/>
  <c r="T7"/>
  <c r="O16" l="1"/>
  <c r="O12"/>
  <c r="O17"/>
  <c r="O19"/>
  <c r="O14"/>
  <c r="O10"/>
  <c r="M15"/>
  <c r="M19"/>
  <c r="O18"/>
  <c r="O15"/>
  <c r="O13"/>
  <c r="O11"/>
  <c r="T21"/>
  <c r="N23" s="1"/>
  <c r="M20"/>
  <c r="M17"/>
  <c r="G20"/>
  <c r="G21" s="1"/>
  <c r="H7" s="1"/>
  <c r="O20"/>
  <c r="M16"/>
  <c r="M14"/>
  <c r="M12"/>
  <c r="M10"/>
  <c r="M8"/>
  <c r="M7"/>
  <c r="M13"/>
  <c r="M11"/>
  <c r="M9"/>
  <c r="E21"/>
  <c r="F20" s="1"/>
  <c r="O7"/>
  <c r="H9" l="1"/>
  <c r="H11"/>
  <c r="H13"/>
  <c r="H15"/>
  <c r="H18"/>
  <c r="H19"/>
  <c r="H8"/>
  <c r="H10"/>
  <c r="H12"/>
  <c r="H14"/>
  <c r="H16"/>
  <c r="H17"/>
  <c r="U9"/>
  <c r="U11"/>
  <c r="U13"/>
  <c r="U15"/>
  <c r="U20"/>
  <c r="U18"/>
  <c r="U8"/>
  <c r="U10"/>
  <c r="U12"/>
  <c r="U14"/>
  <c r="U16"/>
  <c r="U17"/>
  <c r="U19"/>
  <c r="F17"/>
  <c r="F8"/>
  <c r="F10"/>
  <c r="F12"/>
  <c r="F14"/>
  <c r="F16"/>
  <c r="C23"/>
  <c r="F7"/>
  <c r="F9"/>
  <c r="F11"/>
  <c r="F13"/>
  <c r="F15"/>
  <c r="F18"/>
  <c r="F19"/>
  <c r="H20"/>
  <c r="U7"/>
</calcChain>
</file>

<file path=xl/sharedStrings.xml><?xml version="1.0" encoding="utf-8"?>
<sst xmlns="http://schemas.openxmlformats.org/spreadsheetml/2006/main" count="60" uniqueCount="40">
  <si>
    <t>SECTION</t>
  </si>
  <si>
    <t>KEC BB</t>
  </si>
  <si>
    <t>KEC JBP</t>
  </si>
  <si>
    <t>TOTAL</t>
  </si>
  <si>
    <t>QTY</t>
  </si>
  <si>
    <t>%</t>
  </si>
  <si>
    <t>45X45</t>
  </si>
  <si>
    <t>50X50</t>
  </si>
  <si>
    <t>55X55</t>
  </si>
  <si>
    <t>60X60</t>
  </si>
  <si>
    <t>65X65</t>
  </si>
  <si>
    <t>70X70</t>
  </si>
  <si>
    <t>75X75</t>
  </si>
  <si>
    <t>80X80</t>
  </si>
  <si>
    <t>90X90</t>
  </si>
  <si>
    <t>100X100</t>
  </si>
  <si>
    <t>110X110</t>
  </si>
  <si>
    <t>120X120</t>
  </si>
  <si>
    <t>130X130</t>
  </si>
  <si>
    <t>150X150</t>
  </si>
  <si>
    <t>Total</t>
  </si>
  <si>
    <t>NO.</t>
  </si>
  <si>
    <t>SR.</t>
  </si>
  <si>
    <t>MS</t>
  </si>
  <si>
    <t>HT</t>
  </si>
  <si>
    <t xml:space="preserve">MS </t>
  </si>
  <si>
    <t xml:space="preserve">HT </t>
  </si>
  <si>
    <t xml:space="preserve">TOTAL </t>
  </si>
  <si>
    <t>Grand Total</t>
  </si>
  <si>
    <t>MS %</t>
  </si>
  <si>
    <t>MS QTY</t>
  </si>
  <si>
    <t>HT QTY</t>
  </si>
  <si>
    <t>HT %</t>
  </si>
  <si>
    <t>JOB WORK-</t>
  </si>
  <si>
    <t>OWN</t>
  </si>
  <si>
    <t>KEC BB &amp; JBP</t>
  </si>
  <si>
    <t>KEC Jaipur</t>
  </si>
  <si>
    <t>31.12.21 END STRAT 01.01.22</t>
  </si>
  <si>
    <t xml:space="preserve"> SECTION WISE  SUPPLY DETAILS JAN -22 TO DEC- 2022</t>
  </si>
  <si>
    <t>JAN-22 TO DEC-22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</si>
</sst>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6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0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0" borderId="0" xfId="0" applyFont="1" applyBorder="1"/>
    <xf numFmtId="0" fontId="2" fillId="0" borderId="1" xfId="0" applyFont="1" applyBorder="1" applyAlignment="1">
      <alignment vertical="center"/>
    </xf>
    <xf numFmtId="165" fontId="2" fillId="0" borderId="1" xfId="1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1" fontId="1" fillId="0" borderId="0" xfId="0" applyNumberFormat="1" applyFont="1" applyBorder="1" applyAlignment="1">
      <alignment vertical="center"/>
    </xf>
    <xf numFmtId="1" fontId="2" fillId="0" borderId="0" xfId="0" applyNumberFormat="1" applyFont="1" applyBorder="1" applyAlignment="1">
      <alignment vertical="center"/>
    </xf>
    <xf numFmtId="0" fontId="0" fillId="2" borderId="0" xfId="0" applyFill="1"/>
    <xf numFmtId="0" fontId="5" fillId="0" borderId="0" xfId="0" applyFont="1" applyBorder="1" applyAlignment="1"/>
    <xf numFmtId="1" fontId="0" fillId="0" borderId="1" xfId="0" applyNumberFormat="1" applyBorder="1"/>
    <xf numFmtId="1" fontId="1" fillId="0" borderId="0" xfId="0" applyNumberFormat="1" applyFont="1" applyBorder="1" applyAlignment="1">
      <alignment horizontal="center" vertical="center"/>
    </xf>
    <xf numFmtId="0" fontId="0" fillId="0" borderId="0" xfId="0" applyBorder="1"/>
    <xf numFmtId="1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" fontId="0" fillId="0" borderId="0" xfId="0" applyNumberFormat="1" applyBorder="1"/>
    <xf numFmtId="1" fontId="0" fillId="0" borderId="0" xfId="0" applyNumberFormat="1"/>
    <xf numFmtId="2" fontId="0" fillId="0" borderId="0" xfId="0" applyNumberFormat="1"/>
    <xf numFmtId="1" fontId="0" fillId="3" borderId="1" xfId="0" applyNumberFormat="1" applyFill="1" applyBorder="1"/>
    <xf numFmtId="0" fontId="3" fillId="0" borderId="0" xfId="0" applyFont="1"/>
    <xf numFmtId="1" fontId="3" fillId="0" borderId="0" xfId="0" applyNumberFormat="1" applyFont="1"/>
    <xf numFmtId="164" fontId="3" fillId="0" borderId="0" xfId="0" applyNumberFormat="1" applyFont="1"/>
    <xf numFmtId="1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right" vertical="center"/>
    </xf>
    <xf numFmtId="1" fontId="1" fillId="0" borderId="2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A31"/>
  <sheetViews>
    <sheetView tabSelected="1" zoomScale="85" zoomScaleNormal="85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O29" sqref="O29"/>
    </sheetView>
  </sheetViews>
  <sheetFormatPr defaultRowHeight="15"/>
  <cols>
    <col min="1" max="1" width="7.28515625" customWidth="1"/>
    <col min="2" max="2" width="12.7109375" customWidth="1"/>
    <col min="3" max="3" width="10" customWidth="1"/>
    <col min="4" max="4" width="8.5703125" customWidth="1"/>
    <col min="5" max="5" width="8.85546875" customWidth="1"/>
    <col min="6" max="6" width="9" customWidth="1"/>
    <col min="8" max="8" width="10.42578125" customWidth="1"/>
    <col min="9" max="9" width="3" customWidth="1"/>
    <col min="10" max="11" width="8.42578125" customWidth="1"/>
    <col min="12" max="13" width="11" customWidth="1"/>
    <col min="14" max="14" width="9.5703125" bestFit="1" customWidth="1"/>
    <col min="15" max="15" width="11.28515625" customWidth="1"/>
    <col min="16" max="16" width="9.42578125" bestFit="1" customWidth="1"/>
    <col min="17" max="17" width="9.28515625" customWidth="1"/>
    <col min="18" max="18" width="9.28515625" bestFit="1" customWidth="1"/>
    <col min="19" max="19" width="9.28515625" customWidth="1"/>
    <col min="20" max="20" width="9.5703125" bestFit="1" customWidth="1"/>
    <col min="21" max="21" width="8.85546875" customWidth="1"/>
    <col min="23" max="23" width="13.140625" customWidth="1"/>
    <col min="24" max="24" width="10.7109375" bestFit="1" customWidth="1"/>
    <col min="26" max="26" width="9.7109375" bestFit="1" customWidth="1"/>
    <col min="27" max="27" width="12.28515625" customWidth="1"/>
  </cols>
  <sheetData>
    <row r="2" spans="1:25" ht="15.75">
      <c r="A2" s="36" t="s">
        <v>38</v>
      </c>
      <c r="B2" s="36"/>
      <c r="C2" s="36"/>
      <c r="D2" s="36"/>
      <c r="E2" s="36"/>
      <c r="F2" s="36"/>
      <c r="G2" s="36"/>
      <c r="H2" s="36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5">
      <c r="A3" s="3"/>
      <c r="B3" s="1"/>
    </row>
    <row r="4" spans="1:25">
      <c r="A4" s="37" t="s">
        <v>39</v>
      </c>
      <c r="B4" s="37"/>
      <c r="C4" s="37"/>
      <c r="D4" s="37"/>
      <c r="E4" s="37"/>
      <c r="F4" s="37"/>
      <c r="G4" s="37"/>
      <c r="H4" s="37"/>
      <c r="J4" s="38" t="s">
        <v>39</v>
      </c>
      <c r="K4" s="38"/>
      <c r="L4" s="38"/>
      <c r="M4" s="38"/>
      <c r="N4" s="38"/>
      <c r="O4" s="38"/>
      <c r="P4" s="38"/>
      <c r="Q4" s="38"/>
      <c r="R4" s="38"/>
      <c r="S4" s="38"/>
      <c r="T4" s="38"/>
    </row>
    <row r="5" spans="1:25">
      <c r="A5" s="8" t="s">
        <v>22</v>
      </c>
      <c r="B5" s="8" t="s">
        <v>0</v>
      </c>
      <c r="C5" s="8" t="s">
        <v>23</v>
      </c>
      <c r="D5" s="8" t="s">
        <v>25</v>
      </c>
      <c r="E5" s="8" t="s">
        <v>24</v>
      </c>
      <c r="F5" s="8" t="s">
        <v>26</v>
      </c>
      <c r="G5" s="8" t="s">
        <v>3</v>
      </c>
      <c r="H5" s="8" t="s">
        <v>27</v>
      </c>
      <c r="I5" s="16"/>
      <c r="J5" s="39" t="s">
        <v>1</v>
      </c>
      <c r="K5" s="39"/>
      <c r="L5" s="39"/>
      <c r="M5" s="39"/>
      <c r="N5" s="39"/>
      <c r="O5" s="8" t="s">
        <v>3</v>
      </c>
      <c r="P5" s="39" t="s">
        <v>2</v>
      </c>
      <c r="Q5" s="39"/>
      <c r="R5" s="39"/>
      <c r="S5" s="39"/>
      <c r="T5" s="39"/>
      <c r="U5" s="8" t="s">
        <v>3</v>
      </c>
    </row>
    <row r="6" spans="1:25">
      <c r="A6" s="8" t="s">
        <v>21</v>
      </c>
      <c r="B6" s="8"/>
      <c r="C6" s="8" t="s">
        <v>4</v>
      </c>
      <c r="D6" s="8" t="s">
        <v>5</v>
      </c>
      <c r="E6" s="8" t="s">
        <v>4</v>
      </c>
      <c r="F6" s="8" t="s">
        <v>5</v>
      </c>
      <c r="G6" s="8" t="s">
        <v>4</v>
      </c>
      <c r="H6" s="8" t="s">
        <v>5</v>
      </c>
      <c r="I6" s="16"/>
      <c r="J6" s="8" t="s">
        <v>30</v>
      </c>
      <c r="K6" s="8" t="s">
        <v>29</v>
      </c>
      <c r="L6" s="8" t="s">
        <v>31</v>
      </c>
      <c r="M6" s="8" t="s">
        <v>32</v>
      </c>
      <c r="N6" s="8" t="s">
        <v>27</v>
      </c>
      <c r="O6" s="8" t="s">
        <v>5</v>
      </c>
      <c r="P6" s="8" t="s">
        <v>30</v>
      </c>
      <c r="Q6" s="8" t="s">
        <v>29</v>
      </c>
      <c r="R6" s="8" t="s">
        <v>31</v>
      </c>
      <c r="S6" s="8" t="s">
        <v>32</v>
      </c>
      <c r="T6" s="8" t="s">
        <v>27</v>
      </c>
      <c r="U6" s="8" t="s">
        <v>5</v>
      </c>
    </row>
    <row r="7" spans="1:25">
      <c r="A7" s="7">
        <v>1</v>
      </c>
      <c r="B7" s="7" t="s">
        <v>6</v>
      </c>
      <c r="C7" s="10">
        <f>+J7+P7</f>
        <v>0</v>
      </c>
      <c r="D7" s="5">
        <f>C7/C21</f>
        <v>0</v>
      </c>
      <c r="E7" s="10">
        <f>+L7+R7</f>
        <v>0</v>
      </c>
      <c r="F7" s="5">
        <f>E7/E21</f>
        <v>0</v>
      </c>
      <c r="G7" s="10">
        <f>+E7+C7</f>
        <v>0</v>
      </c>
      <c r="H7" s="5">
        <f>G7/G21</f>
        <v>0</v>
      </c>
      <c r="I7" s="16"/>
      <c r="J7" s="18"/>
      <c r="K7" s="5">
        <f>J7/J21</f>
        <v>0</v>
      </c>
      <c r="L7" s="18"/>
      <c r="M7" s="5">
        <f>L7/L21</f>
        <v>0</v>
      </c>
      <c r="N7" s="18">
        <f>+L7+J7</f>
        <v>0</v>
      </c>
      <c r="O7" s="5">
        <f>N7/N21</f>
        <v>0</v>
      </c>
      <c r="P7" s="18"/>
      <c r="Q7" s="5">
        <f>P7/P21</f>
        <v>0</v>
      </c>
      <c r="R7" s="18"/>
      <c r="S7" s="5">
        <f>R7/R21</f>
        <v>0</v>
      </c>
      <c r="T7" s="18">
        <f>R7+P7</f>
        <v>0</v>
      </c>
      <c r="U7" s="5">
        <f>T7/T21</f>
        <v>0</v>
      </c>
      <c r="W7" s="24"/>
    </row>
    <row r="8" spans="1:25">
      <c r="A8" s="7">
        <v>2</v>
      </c>
      <c r="B8" s="7" t="s">
        <v>7</v>
      </c>
      <c r="C8" s="10">
        <f t="shared" ref="C8:C19" si="0">+J8+P8</f>
        <v>0</v>
      </c>
      <c r="D8" s="5">
        <f>C8/C21</f>
        <v>0</v>
      </c>
      <c r="E8" s="10">
        <f t="shared" ref="E8:E19" si="1">+L8+R8</f>
        <v>0</v>
      </c>
      <c r="F8" s="5">
        <f>E8/E21</f>
        <v>0</v>
      </c>
      <c r="G8" s="10">
        <f t="shared" ref="G8:G18" si="2">+E8+C8</f>
        <v>0</v>
      </c>
      <c r="H8" s="5">
        <f>G8/G21</f>
        <v>0</v>
      </c>
      <c r="I8" s="16"/>
      <c r="J8" s="18"/>
      <c r="K8" s="5">
        <f>J8/J21</f>
        <v>0</v>
      </c>
      <c r="L8" s="18"/>
      <c r="M8" s="5">
        <f>L8/L21</f>
        <v>0</v>
      </c>
      <c r="N8" s="18">
        <f t="shared" ref="N8:N20" si="3">+L8+J8</f>
        <v>0</v>
      </c>
      <c r="O8" s="5">
        <f>N8/N21</f>
        <v>0</v>
      </c>
      <c r="P8" s="18"/>
      <c r="Q8" s="5">
        <f>P8/P21</f>
        <v>0</v>
      </c>
      <c r="R8" s="18"/>
      <c r="S8" s="5">
        <f>R8/R21</f>
        <v>0</v>
      </c>
      <c r="T8" s="18">
        <f t="shared" ref="T8:T19" si="4">R8+P8</f>
        <v>0</v>
      </c>
      <c r="U8" s="5">
        <f>T8/T21</f>
        <v>0</v>
      </c>
      <c r="W8" s="24"/>
    </row>
    <row r="9" spans="1:25">
      <c r="A9" s="7">
        <v>3</v>
      </c>
      <c r="B9" s="7" t="s">
        <v>8</v>
      </c>
      <c r="C9" s="10">
        <f t="shared" si="0"/>
        <v>0</v>
      </c>
      <c r="D9" s="5">
        <f>C9/C21</f>
        <v>0</v>
      </c>
      <c r="E9" s="10">
        <f t="shared" si="1"/>
        <v>0</v>
      </c>
      <c r="F9" s="5">
        <f>E9/E21</f>
        <v>0</v>
      </c>
      <c r="G9" s="10">
        <f t="shared" si="2"/>
        <v>0</v>
      </c>
      <c r="H9" s="5">
        <f>G9/G21</f>
        <v>0</v>
      </c>
      <c r="I9" s="16"/>
      <c r="J9" s="18"/>
      <c r="K9" s="5">
        <f>J9/J21</f>
        <v>0</v>
      </c>
      <c r="L9" s="18"/>
      <c r="M9" s="5">
        <f>L9/L21</f>
        <v>0</v>
      </c>
      <c r="N9" s="18">
        <f t="shared" si="3"/>
        <v>0</v>
      </c>
      <c r="O9" s="5">
        <f>N9/N21</f>
        <v>0</v>
      </c>
      <c r="P9" s="18"/>
      <c r="Q9" s="5">
        <f>P9/P21</f>
        <v>0</v>
      </c>
      <c r="R9" s="18"/>
      <c r="S9" s="5">
        <f>R9/R21</f>
        <v>0</v>
      </c>
      <c r="T9" s="18">
        <f t="shared" si="4"/>
        <v>0</v>
      </c>
      <c r="U9" s="5">
        <f>T9/T21</f>
        <v>0</v>
      </c>
      <c r="W9" s="24"/>
    </row>
    <row r="10" spans="1:25">
      <c r="A10" s="7">
        <v>4</v>
      </c>
      <c r="B10" s="7" t="s">
        <v>9</v>
      </c>
      <c r="C10" s="10">
        <f>+J10+P10</f>
        <v>0</v>
      </c>
      <c r="D10" s="5">
        <f>C10/C21</f>
        <v>0</v>
      </c>
      <c r="E10" s="10">
        <f>+L10+R10</f>
        <v>0</v>
      </c>
      <c r="F10" s="5">
        <f>E10/E21</f>
        <v>0</v>
      </c>
      <c r="G10" s="10">
        <f>+E10+C10</f>
        <v>0</v>
      </c>
      <c r="H10" s="5">
        <f>G10/G21</f>
        <v>0</v>
      </c>
      <c r="I10" s="16"/>
      <c r="J10" s="18"/>
      <c r="K10" s="5">
        <f>J10/J21</f>
        <v>0</v>
      </c>
      <c r="L10" s="18"/>
      <c r="M10" s="5">
        <f>L10/L21</f>
        <v>0</v>
      </c>
      <c r="N10" s="18">
        <f>+L10+J10</f>
        <v>0</v>
      </c>
      <c r="O10" s="5">
        <f>N10/N21</f>
        <v>0</v>
      </c>
      <c r="P10" s="18"/>
      <c r="Q10" s="5">
        <f>P10/P21</f>
        <v>0</v>
      </c>
      <c r="R10" s="18"/>
      <c r="S10" s="5">
        <f>R10/R21</f>
        <v>0</v>
      </c>
      <c r="T10" s="18">
        <f t="shared" si="4"/>
        <v>0</v>
      </c>
      <c r="U10" s="5">
        <f>T10/T21</f>
        <v>0</v>
      </c>
      <c r="W10" s="24"/>
    </row>
    <row r="11" spans="1:25">
      <c r="A11" s="7">
        <v>5</v>
      </c>
      <c r="B11" s="7" t="s">
        <v>10</v>
      </c>
      <c r="C11" s="10">
        <f t="shared" si="0"/>
        <v>0</v>
      </c>
      <c r="D11" s="5">
        <f>C11/C21</f>
        <v>0</v>
      </c>
      <c r="E11" s="10">
        <f t="shared" si="1"/>
        <v>0</v>
      </c>
      <c r="F11" s="5">
        <f>E11/E21</f>
        <v>0</v>
      </c>
      <c r="G11" s="10">
        <f t="shared" si="2"/>
        <v>0</v>
      </c>
      <c r="H11" s="5">
        <f>G11/G21</f>
        <v>0</v>
      </c>
      <c r="I11" s="16"/>
      <c r="J11" s="18"/>
      <c r="K11" s="5">
        <f>J11/J21</f>
        <v>0</v>
      </c>
      <c r="L11" s="18"/>
      <c r="M11" s="5">
        <f>L11/L21</f>
        <v>0</v>
      </c>
      <c r="N11" s="18">
        <f t="shared" si="3"/>
        <v>0</v>
      </c>
      <c r="O11" s="5">
        <f>N11/N21</f>
        <v>0</v>
      </c>
      <c r="P11" s="18"/>
      <c r="Q11" s="5">
        <f>P11/P21</f>
        <v>0</v>
      </c>
      <c r="R11" s="18"/>
      <c r="S11" s="5">
        <f>R11/R21</f>
        <v>0</v>
      </c>
      <c r="T11" s="18">
        <f t="shared" si="4"/>
        <v>0</v>
      </c>
      <c r="U11" s="5">
        <f>T11/T21</f>
        <v>0</v>
      </c>
      <c r="W11" s="24"/>
    </row>
    <row r="12" spans="1:25">
      <c r="A12" s="7">
        <v>6</v>
      </c>
      <c r="B12" s="7" t="s">
        <v>11</v>
      </c>
      <c r="C12" s="10">
        <f t="shared" si="0"/>
        <v>47.792000000000002</v>
      </c>
      <c r="D12" s="5">
        <f>C12/C21</f>
        <v>7.6832677681193909E-2</v>
      </c>
      <c r="E12" s="10">
        <f t="shared" si="1"/>
        <v>31.393000000000001</v>
      </c>
      <c r="F12" s="5">
        <f>E12/E21</f>
        <v>2.1612411319442769E-2</v>
      </c>
      <c r="G12" s="10">
        <f t="shared" si="2"/>
        <v>79.185000000000002</v>
      </c>
      <c r="H12" s="5">
        <f>G12/G21</f>
        <v>3.8169318779970048E-2</v>
      </c>
      <c r="I12" s="16"/>
      <c r="J12" s="18">
        <v>31.808</v>
      </c>
      <c r="K12" s="5">
        <f>J12/J21</f>
        <v>5.7083070871087521E-2</v>
      </c>
      <c r="L12" s="18">
        <v>0.72799999999999998</v>
      </c>
      <c r="M12" s="5">
        <f>L12/L21</f>
        <v>9.0178585806534718E-4</v>
      </c>
      <c r="N12" s="18">
        <f t="shared" si="3"/>
        <v>32.536000000000001</v>
      </c>
      <c r="O12" s="5">
        <f>N12/N21</f>
        <v>2.384445698455856E-2</v>
      </c>
      <c r="P12" s="18">
        <v>15.984</v>
      </c>
      <c r="Q12" s="5">
        <f>P12/P21</f>
        <v>0.24665144126905747</v>
      </c>
      <c r="R12" s="18">
        <v>30.664999999999999</v>
      </c>
      <c r="S12" s="5">
        <f>R12/R21</f>
        <v>4.7523626208431362E-2</v>
      </c>
      <c r="T12" s="18">
        <f t="shared" si="4"/>
        <v>46.649000000000001</v>
      </c>
      <c r="U12" s="5">
        <f>T12/T21</f>
        <v>6.56970799732981E-2</v>
      </c>
    </row>
    <row r="13" spans="1:25">
      <c r="A13" s="7">
        <v>7</v>
      </c>
      <c r="B13" s="7" t="s">
        <v>12</v>
      </c>
      <c r="C13" s="10">
        <f>+J13+P13</f>
        <v>198.364</v>
      </c>
      <c r="D13" s="5">
        <f>C13/C21</f>
        <v>0.3188993403823307</v>
      </c>
      <c r="E13" s="10">
        <f>+L13+R13</f>
        <v>65.114000000000004</v>
      </c>
      <c r="F13" s="5">
        <f>E13/E21</f>
        <v>4.4827526858031937E-2</v>
      </c>
      <c r="G13" s="10">
        <f t="shared" si="2"/>
        <v>263.47800000000001</v>
      </c>
      <c r="H13" s="5">
        <f>G13/G21</f>
        <v>0.12700354579161391</v>
      </c>
      <c r="I13" s="16"/>
      <c r="J13" s="18">
        <v>198.364</v>
      </c>
      <c r="K13" s="5">
        <f>J13/J21</f>
        <v>0.35598674139437897</v>
      </c>
      <c r="L13" s="18">
        <v>9.7430000000000003</v>
      </c>
      <c r="M13" s="5">
        <f>L13/L21</f>
        <v>1.206881815265203E-2</v>
      </c>
      <c r="N13" s="18">
        <f t="shared" si="3"/>
        <v>208.107</v>
      </c>
      <c r="O13" s="5">
        <f>N13/N21</f>
        <v>0.15251408930678412</v>
      </c>
      <c r="P13" s="18"/>
      <c r="Q13" s="5">
        <f>P13/P21</f>
        <v>0</v>
      </c>
      <c r="R13" s="18">
        <v>55.371000000000002</v>
      </c>
      <c r="S13" s="5">
        <f>R13/R21</f>
        <v>8.5812186753205705E-2</v>
      </c>
      <c r="T13" s="18">
        <f t="shared" si="4"/>
        <v>55.371000000000002</v>
      </c>
      <c r="U13" s="5">
        <f>T13/T21</f>
        <v>7.798051437761773E-2</v>
      </c>
    </row>
    <row r="14" spans="1:25">
      <c r="A14" s="7">
        <v>8</v>
      </c>
      <c r="B14" s="7" t="s">
        <v>13</v>
      </c>
      <c r="C14" s="10">
        <f t="shared" si="0"/>
        <v>194.614</v>
      </c>
      <c r="D14" s="5">
        <f>C14/C21</f>
        <v>0.31287066317056983</v>
      </c>
      <c r="E14" s="10">
        <f>+L14+R14</f>
        <v>53.908000000000001</v>
      </c>
      <c r="F14" s="5">
        <f>E14/E21</f>
        <v>3.7112791686316086E-2</v>
      </c>
      <c r="G14" s="10">
        <f t="shared" si="2"/>
        <v>248.52199999999999</v>
      </c>
      <c r="H14" s="5">
        <f>G14/G21</f>
        <v>0.11979434794261179</v>
      </c>
      <c r="I14" s="16"/>
      <c r="J14" s="18">
        <f>112.015+82.599</f>
        <v>194.614</v>
      </c>
      <c r="K14" s="5">
        <f>J14/J21</f>
        <v>0.34925694021962483</v>
      </c>
      <c r="L14" s="18">
        <f>0.61+7.35</f>
        <v>7.96</v>
      </c>
      <c r="M14" s="5">
        <f>L14/L21</f>
        <v>9.86018603049473E-3</v>
      </c>
      <c r="N14" s="18">
        <f t="shared" si="3"/>
        <v>202.57400000000001</v>
      </c>
      <c r="O14" s="5">
        <f>N14/N21</f>
        <v>0.14845915383544278</v>
      </c>
      <c r="P14" s="18"/>
      <c r="Q14" s="5">
        <f>P14/P21</f>
        <v>0</v>
      </c>
      <c r="R14" s="18">
        <v>45.948</v>
      </c>
      <c r="S14" s="5">
        <f>R14/R21</f>
        <v>7.1208725812000787E-2</v>
      </c>
      <c r="T14" s="18">
        <f t="shared" si="4"/>
        <v>45.948</v>
      </c>
      <c r="U14" s="5">
        <f>T14/T21</f>
        <v>6.4709842239128415E-2</v>
      </c>
      <c r="W14" s="24"/>
    </row>
    <row r="15" spans="1:25">
      <c r="A15" s="7">
        <v>9</v>
      </c>
      <c r="B15" s="7" t="s">
        <v>14</v>
      </c>
      <c r="C15" s="10">
        <f t="shared" si="0"/>
        <v>0</v>
      </c>
      <c r="D15" s="5">
        <f>C15/C21</f>
        <v>0</v>
      </c>
      <c r="E15" s="10">
        <f>+L15+R15</f>
        <v>125.29300000000001</v>
      </c>
      <c r="F15" s="5">
        <f>E15/E21</f>
        <v>8.625756861233215E-2</v>
      </c>
      <c r="G15" s="10">
        <f t="shared" si="2"/>
        <v>125.29300000000001</v>
      </c>
      <c r="H15" s="5">
        <f>G15/G21</f>
        <v>6.0394625975863953E-2</v>
      </c>
      <c r="I15" s="16"/>
      <c r="J15" s="18"/>
      <c r="K15" s="5">
        <f>J15/J21</f>
        <v>0</v>
      </c>
      <c r="L15" s="18">
        <v>125.29300000000001</v>
      </c>
      <c r="M15" s="5">
        <f>L15/L21</f>
        <v>0.15520254878376588</v>
      </c>
      <c r="N15" s="18">
        <f t="shared" si="3"/>
        <v>125.29300000000001</v>
      </c>
      <c r="O15" s="5">
        <f>N15/N21</f>
        <v>9.182270558662084E-2</v>
      </c>
      <c r="P15" s="18"/>
      <c r="Q15" s="5">
        <f>P15/P21</f>
        <v>0</v>
      </c>
      <c r="R15" s="18"/>
      <c r="S15" s="5">
        <f>R15/R21</f>
        <v>0</v>
      </c>
      <c r="T15" s="18">
        <f t="shared" si="4"/>
        <v>0</v>
      </c>
      <c r="U15" s="5">
        <f>T15/T21</f>
        <v>0</v>
      </c>
      <c r="W15" s="24"/>
    </row>
    <row r="16" spans="1:25">
      <c r="A16" s="7">
        <v>10</v>
      </c>
      <c r="B16" s="7" t="s">
        <v>15</v>
      </c>
      <c r="C16" s="10">
        <f t="shared" si="0"/>
        <v>141.26500000000001</v>
      </c>
      <c r="D16" s="5">
        <f>C16/C21</f>
        <v>0.22710428968517449</v>
      </c>
      <c r="E16" s="10">
        <f t="shared" si="1"/>
        <v>581.21800000000007</v>
      </c>
      <c r="F16" s="5">
        <f>E16/E21</f>
        <v>0.4001376893659061</v>
      </c>
      <c r="G16" s="10">
        <f t="shared" si="2"/>
        <v>722.48300000000006</v>
      </c>
      <c r="H16" s="5">
        <f>G16/G21</f>
        <v>0.34825641144293867</v>
      </c>
      <c r="I16" s="16"/>
      <c r="J16" s="18">
        <v>94.763000000000005</v>
      </c>
      <c r="K16" s="5">
        <f>J16/J21</f>
        <v>0.17006297299285925</v>
      </c>
      <c r="L16" s="18">
        <v>348.20100000000002</v>
      </c>
      <c r="M16" s="5">
        <f>L16/L21</f>
        <v>0.4313224417090824</v>
      </c>
      <c r="N16" s="18">
        <f t="shared" si="3"/>
        <v>442.96400000000006</v>
      </c>
      <c r="O16" s="5">
        <f>N16/N21</f>
        <v>0.32463228558237028</v>
      </c>
      <c r="P16" s="18">
        <v>46.502000000000002</v>
      </c>
      <c r="Q16" s="5">
        <f>P16/P21</f>
        <v>0.71757916178013703</v>
      </c>
      <c r="R16" s="18">
        <v>233.017</v>
      </c>
      <c r="S16" s="5">
        <f>R16/R21</f>
        <v>0.36112221777955489</v>
      </c>
      <c r="T16" s="18">
        <f>R16+P16</f>
        <v>279.51900000000001</v>
      </c>
      <c r="U16" s="5">
        <f>T16/T21</f>
        <v>0.39365435694347817</v>
      </c>
      <c r="W16" s="28" t="s">
        <v>33</v>
      </c>
      <c r="Y16" t="s">
        <v>35</v>
      </c>
    </row>
    <row r="17" spans="1:27">
      <c r="A17" s="7">
        <v>11</v>
      </c>
      <c r="B17" s="7" t="s">
        <v>16</v>
      </c>
      <c r="C17" s="10">
        <f t="shared" si="0"/>
        <v>24.612000000000002</v>
      </c>
      <c r="D17" s="5">
        <f>C17/C21</f>
        <v>3.9567414276229174E-2</v>
      </c>
      <c r="E17" s="10">
        <f t="shared" si="1"/>
        <v>105.681</v>
      </c>
      <c r="F17" s="5">
        <f>E17/E21</f>
        <v>7.2755749391585106E-2</v>
      </c>
      <c r="G17" s="10">
        <f t="shared" si="2"/>
        <v>130.29300000000001</v>
      </c>
      <c r="H17" s="5">
        <f>G17/G21</f>
        <v>6.2804761656862246E-2</v>
      </c>
      <c r="I17" s="16"/>
      <c r="J17" s="18">
        <v>22.294</v>
      </c>
      <c r="K17" s="5">
        <f>J17/J21</f>
        <v>4.0009116637324739E-2</v>
      </c>
      <c r="L17" s="18">
        <f>45.083+3.743</f>
        <v>48.826000000000001</v>
      </c>
      <c r="M17" s="5">
        <f>L17/L21</f>
        <v>6.048158833227836E-2</v>
      </c>
      <c r="N17" s="18">
        <f t="shared" si="3"/>
        <v>71.12</v>
      </c>
      <c r="O17" s="5">
        <f>N17/N21</f>
        <v>5.2121274303596164E-2</v>
      </c>
      <c r="P17" s="18">
        <v>2.3180000000000001</v>
      </c>
      <c r="Q17" s="5">
        <f>P17/P21</f>
        <v>3.5769396950805506E-2</v>
      </c>
      <c r="R17" s="18">
        <v>56.854999999999997</v>
      </c>
      <c r="S17" s="5">
        <f>R17/R21</f>
        <v>8.8112042004903468E-2</v>
      </c>
      <c r="T17" s="18">
        <f t="shared" si="4"/>
        <v>59.172999999999995</v>
      </c>
      <c r="U17" s="5">
        <f>T17/T21</f>
        <v>8.3334976382344064E-2</v>
      </c>
      <c r="W17" s="28" t="s">
        <v>34</v>
      </c>
      <c r="Y17" t="s">
        <v>2</v>
      </c>
      <c r="Z17">
        <v>1</v>
      </c>
    </row>
    <row r="18" spans="1:27">
      <c r="A18" s="7">
        <v>12</v>
      </c>
      <c r="B18" s="7" t="s">
        <v>17</v>
      </c>
      <c r="C18" s="10">
        <f t="shared" si="0"/>
        <v>0</v>
      </c>
      <c r="D18" s="5">
        <f>C18/C21</f>
        <v>0</v>
      </c>
      <c r="E18" s="10">
        <f t="shared" si="1"/>
        <v>453.25299999999999</v>
      </c>
      <c r="F18" s="5">
        <f>E18/E21</f>
        <v>0.31204059082506908</v>
      </c>
      <c r="G18" s="10">
        <f t="shared" si="2"/>
        <v>453.25299999999999</v>
      </c>
      <c r="H18" s="5">
        <f>G18/G21</f>
        <v>0.2184802455639043</v>
      </c>
      <c r="I18" s="16"/>
      <c r="J18" s="18"/>
      <c r="K18" s="5">
        <f>J18/J21</f>
        <v>0</v>
      </c>
      <c r="L18" s="18">
        <f>257.132+4.32</f>
        <v>261.452</v>
      </c>
      <c r="M18" s="5">
        <f>L18/L21</f>
        <v>0.32386499472925984</v>
      </c>
      <c r="N18" s="18">
        <f t="shared" si="3"/>
        <v>261.452</v>
      </c>
      <c r="O18" s="5">
        <f>N18/N21</f>
        <v>0.19160870935354082</v>
      </c>
      <c r="P18" s="18"/>
      <c r="Q18" s="5">
        <f>P18/P21</f>
        <v>0</v>
      </c>
      <c r="R18" s="26">
        <v>191.80099999999999</v>
      </c>
      <c r="S18" s="5">
        <f>R18/R21</f>
        <v>0.29724699267579791</v>
      </c>
      <c r="T18" s="18">
        <f t="shared" si="4"/>
        <v>191.80099999999999</v>
      </c>
      <c r="U18" s="5">
        <f>T18/T21</f>
        <v>0.27011866569398163</v>
      </c>
      <c r="W18" s="28" t="s">
        <v>34</v>
      </c>
      <c r="Y18" t="s">
        <v>1</v>
      </c>
      <c r="Z18" s="31">
        <v>2</v>
      </c>
    </row>
    <row r="19" spans="1:27">
      <c r="A19" s="7">
        <v>13</v>
      </c>
      <c r="B19" s="7" t="s">
        <v>18</v>
      </c>
      <c r="C19" s="10">
        <f t="shared" si="0"/>
        <v>15.38</v>
      </c>
      <c r="D19" s="5">
        <f>C19/C21</f>
        <v>2.4725614804502059E-2</v>
      </c>
      <c r="E19" s="10">
        <f t="shared" si="1"/>
        <v>36.685000000000002</v>
      </c>
      <c r="F19" s="5">
        <f>E19/E21</f>
        <v>2.5255671941316792E-2</v>
      </c>
      <c r="G19" s="10">
        <f>+E19+C19</f>
        <v>52.065000000000005</v>
      </c>
      <c r="H19" s="5">
        <f>G19/G21</f>
        <v>2.5096742846235278E-2</v>
      </c>
      <c r="I19" s="16"/>
      <c r="J19" s="18">
        <v>15.38</v>
      </c>
      <c r="K19" s="5">
        <f>J19/J21</f>
        <v>2.7601157884724791E-2</v>
      </c>
      <c r="L19" s="18">
        <v>5.0839999999999996</v>
      </c>
      <c r="M19" s="5">
        <f>L19/L21</f>
        <v>6.2976364044014079E-3</v>
      </c>
      <c r="N19" s="18">
        <f t="shared" si="3"/>
        <v>20.463999999999999</v>
      </c>
      <c r="O19" s="5">
        <f>N19/N21</f>
        <v>1.4997325047086498E-2</v>
      </c>
      <c r="P19" s="18"/>
      <c r="Q19" s="5">
        <f>P19/P21</f>
        <v>0</v>
      </c>
      <c r="R19" s="18">
        <v>31.600999999999999</v>
      </c>
      <c r="S19" s="5">
        <f>R19/R21</f>
        <v>4.8974208766105962E-2</v>
      </c>
      <c r="T19" s="18">
        <f t="shared" si="4"/>
        <v>31.600999999999999</v>
      </c>
      <c r="U19" s="5">
        <f>T19/T21</f>
        <v>4.4504564390151845E-2</v>
      </c>
      <c r="W19" s="28" t="s">
        <v>34</v>
      </c>
      <c r="Y19" t="s">
        <v>36</v>
      </c>
      <c r="Z19" s="31"/>
    </row>
    <row r="20" spans="1:27">
      <c r="A20" s="7">
        <v>14</v>
      </c>
      <c r="B20" s="7" t="s">
        <v>19</v>
      </c>
      <c r="C20" s="10">
        <f>+J20+P20</f>
        <v>0</v>
      </c>
      <c r="D20" s="5">
        <f>C20/C21</f>
        <v>0</v>
      </c>
      <c r="E20" s="10">
        <f>+L20+R20</f>
        <v>0</v>
      </c>
      <c r="F20" s="5">
        <f>E20/E21</f>
        <v>0</v>
      </c>
      <c r="G20" s="10">
        <f>+E20+C20</f>
        <v>0</v>
      </c>
      <c r="H20" s="5">
        <f>G20/G21</f>
        <v>0</v>
      </c>
      <c r="I20" s="16"/>
      <c r="J20" s="18"/>
      <c r="K20" s="5">
        <f>J20/J21</f>
        <v>0</v>
      </c>
      <c r="L20" s="18"/>
      <c r="M20" s="5">
        <f>L20/L21</f>
        <v>0</v>
      </c>
      <c r="N20" s="18">
        <f t="shared" si="3"/>
        <v>0</v>
      </c>
      <c r="O20" s="5">
        <f>N20/N21</f>
        <v>0</v>
      </c>
      <c r="P20" s="18"/>
      <c r="Q20" s="5">
        <f>P20/P21</f>
        <v>0</v>
      </c>
      <c r="R20" s="18"/>
      <c r="S20" s="5">
        <f>R20/R21</f>
        <v>0</v>
      </c>
      <c r="T20" s="18">
        <f>R20+P20</f>
        <v>0</v>
      </c>
      <c r="U20" s="5">
        <f>T20/T21</f>
        <v>0</v>
      </c>
      <c r="W20" s="28" t="s">
        <v>3</v>
      </c>
      <c r="X20" s="29">
        <f>SUM(X16:X19)</f>
        <v>0</v>
      </c>
      <c r="Z20" s="1"/>
      <c r="AA20" s="1"/>
    </row>
    <row r="21" spans="1:27">
      <c r="A21" s="4"/>
      <c r="B21" s="6" t="s">
        <v>20</v>
      </c>
      <c r="C21" s="13">
        <f>SUM(C7:C20)</f>
        <v>622.02699999999993</v>
      </c>
      <c r="D21" s="9"/>
      <c r="E21" s="13">
        <f>SUM(E7:E20)</f>
        <v>1452.5450000000001</v>
      </c>
      <c r="F21" s="4"/>
      <c r="G21" s="13">
        <f>SUM(G7:G20)</f>
        <v>2074.5719999999997</v>
      </c>
      <c r="H21" s="4"/>
      <c r="I21" s="16"/>
      <c r="J21" s="13">
        <f>SUM(J7:J20)</f>
        <v>557.22299999999996</v>
      </c>
      <c r="K21" s="13"/>
      <c r="L21" s="13">
        <f>SUM(L7:L20)</f>
        <v>807.28700000000003</v>
      </c>
      <c r="M21" s="13"/>
      <c r="N21" s="13">
        <f>SUM(N7:N20)</f>
        <v>1364.51</v>
      </c>
      <c r="O21" s="13"/>
      <c r="P21" s="13">
        <f>SUM(P7:P20)</f>
        <v>64.804000000000002</v>
      </c>
      <c r="Q21" s="13"/>
      <c r="R21" s="13">
        <f>SUM(R7:R20)</f>
        <v>645.25799999999992</v>
      </c>
      <c r="S21" s="13"/>
      <c r="T21" s="13">
        <f>SUM(T7:T20)</f>
        <v>710.06200000000001</v>
      </c>
      <c r="U21" s="2"/>
      <c r="W21" s="28" t="s">
        <v>37</v>
      </c>
      <c r="X21" s="24"/>
      <c r="Y21" s="24"/>
    </row>
    <row r="22" spans="1:27">
      <c r="A22" s="11"/>
      <c r="B22" s="12"/>
      <c r="C22" s="14"/>
      <c r="D22" s="15"/>
      <c r="E22" s="14"/>
      <c r="F22" s="11"/>
      <c r="G22" s="11"/>
      <c r="H22" s="11"/>
      <c r="I22" s="1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7">
      <c r="A23" s="4"/>
      <c r="B23" s="6" t="s">
        <v>28</v>
      </c>
      <c r="C23" s="32">
        <f>+C21+E21</f>
        <v>2074.5720000000001</v>
      </c>
      <c r="D23" s="33"/>
      <c r="E23" s="34"/>
      <c r="F23" s="4"/>
      <c r="G23" s="4"/>
      <c r="H23" s="4"/>
      <c r="I23" s="16"/>
      <c r="J23" s="2"/>
      <c r="K23" s="2"/>
      <c r="L23" s="2"/>
      <c r="M23" s="2"/>
      <c r="N23" s="35">
        <f>+N21+T21</f>
        <v>2074.5720000000001</v>
      </c>
      <c r="O23" s="35"/>
      <c r="P23" s="35"/>
      <c r="Q23" s="30"/>
      <c r="R23" s="2"/>
      <c r="S23" s="2"/>
      <c r="T23" s="2"/>
      <c r="U23" s="2"/>
      <c r="W23" s="24"/>
    </row>
    <row r="24" spans="1:27">
      <c r="A24" s="11"/>
      <c r="B24" s="12"/>
      <c r="C24" s="19"/>
      <c r="D24" s="19"/>
      <c r="E24" s="19"/>
      <c r="F24" s="11"/>
      <c r="G24" s="11"/>
      <c r="H24" s="11"/>
      <c r="I24" s="16"/>
      <c r="J24" s="23"/>
      <c r="K24" s="20"/>
      <c r="L24" s="23"/>
      <c r="M24" s="20"/>
      <c r="N24" s="21"/>
      <c r="O24" s="22"/>
      <c r="P24" s="22"/>
      <c r="Q24" s="22"/>
      <c r="R24" s="20"/>
      <c r="S24" s="20"/>
      <c r="T24" s="20"/>
      <c r="U24" s="20"/>
      <c r="X24" s="24"/>
    </row>
    <row r="25" spans="1:27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7">
      <c r="AA26">
        <v>0</v>
      </c>
    </row>
    <row r="28" spans="1:27">
      <c r="O28" s="1"/>
      <c r="P28" s="25"/>
    </row>
    <row r="29" spans="1:27">
      <c r="C29" s="24"/>
      <c r="E29" s="24"/>
      <c r="G29" s="24"/>
      <c r="J29" s="24"/>
      <c r="L29" s="24"/>
      <c r="N29" s="24"/>
      <c r="P29" s="24"/>
      <c r="R29" s="24"/>
      <c r="T29" s="24"/>
    </row>
    <row r="31" spans="1:27">
      <c r="F31" s="27"/>
    </row>
  </sheetData>
  <mergeCells count="8">
    <mergeCell ref="Z18:Z19"/>
    <mergeCell ref="C23:E23"/>
    <mergeCell ref="N23:P23"/>
    <mergeCell ref="A2:H2"/>
    <mergeCell ref="A4:H4"/>
    <mergeCell ref="J4:T4"/>
    <mergeCell ref="J5:N5"/>
    <mergeCell ref="P5:T5"/>
  </mergeCells>
  <pageMargins left="0.24" right="0.16" top="0.32" bottom="0.25" header="0.3" footer="0.3"/>
  <pageSetup paperSize="9"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SUMMERY JAN-22 TO DEC-22  </vt:lpstr>
      <vt:lpstr>'SUMMERY JAN-22 TO DEC-22  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2022-08-20T06:52:48Z</dcterms:modified>
</cp:coreProperties>
</file>