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3240" windowWidth="11940" windowHeight="3396"/>
  </bookViews>
  <sheets>
    <sheet name="SHEET" sheetId="314" r:id="rId1"/>
  </sheets>
  <externalReferences>
    <externalReference r:id="rId2"/>
  </externalReferences>
  <definedNames>
    <definedName name="_xlnm._FilterDatabase" localSheetId="0" hidden="1">SHEET!$A$216:$G$221</definedName>
    <definedName name="_xlnm.Print_Area" localSheetId="0">SHEET!$A$164:$P$221</definedName>
  </definedNames>
  <calcPr calcId="124519"/>
</workbook>
</file>

<file path=xl/calcChain.xml><?xml version="1.0" encoding="utf-8"?>
<calcChain xmlns="http://schemas.openxmlformats.org/spreadsheetml/2006/main">
  <c r="G220" i="314"/>
  <c r="G219"/>
  <c r="G221" s="1"/>
  <c r="G218"/>
  <c r="C197"/>
  <c r="C196"/>
  <c r="E196" s="1"/>
  <c r="C221"/>
  <c r="N215"/>
  <c r="M216"/>
  <c r="M210"/>
  <c r="I187"/>
  <c r="I195" s="1"/>
  <c r="L197"/>
  <c r="M197"/>
  <c r="D166" l="1"/>
  <c r="C184"/>
  <c r="E184" s="1"/>
  <c r="D197"/>
  <c r="E197" s="1"/>
  <c r="C185" l="1"/>
  <c r="E185" l="1"/>
  <c r="C183"/>
  <c r="J198" l="1"/>
  <c r="M217" l="1"/>
  <c r="K216"/>
  <c r="N216" s="1"/>
  <c r="N217" s="1"/>
  <c r="E205"/>
  <c r="E204"/>
  <c r="E203"/>
  <c r="C213"/>
  <c r="D213"/>
  <c r="K212"/>
  <c r="G206" l="1"/>
  <c r="F205"/>
  <c r="E206"/>
  <c r="I178"/>
  <c r="I177"/>
  <c r="I175"/>
  <c r="I173"/>
  <c r="I172"/>
  <c r="I170"/>
  <c r="I169"/>
  <c r="I168"/>
  <c r="I167"/>
  <c r="I166"/>
  <c r="I165"/>
  <c r="E166"/>
  <c r="I206"/>
  <c r="F203"/>
  <c r="F206" l="1"/>
  <c r="I181"/>
  <c r="N212" l="1"/>
  <c r="N211"/>
  <c r="N210"/>
  <c r="N213" l="1"/>
  <c r="G213" l="1"/>
  <c r="F213"/>
  <c r="E212"/>
  <c r="E211"/>
  <c r="E210"/>
  <c r="F214" l="1"/>
  <c r="E213"/>
  <c r="D167" l="1"/>
  <c r="B213" l="1"/>
  <c r="B221" l="1"/>
  <c r="N205" l="1"/>
  <c r="P205" s="1"/>
  <c r="N204"/>
  <c r="P204" s="1"/>
  <c r="N203"/>
  <c r="P203" s="1"/>
  <c r="C206"/>
  <c r="D206"/>
  <c r="P206" l="1"/>
  <c r="N206"/>
  <c r="E181" l="1"/>
  <c r="D181"/>
  <c r="E167" l="1"/>
  <c r="D221" l="1"/>
  <c r="M206" l="1"/>
  <c r="M213"/>
  <c r="L217" l="1"/>
  <c r="L213"/>
  <c r="K217" l="1"/>
  <c r="F221"/>
  <c r="O206" l="1"/>
  <c r="C146" l="1"/>
  <c r="C155" l="1"/>
  <c r="C158"/>
  <c r="C149" l="1"/>
  <c r="D149"/>
  <c r="D158"/>
  <c r="M159" l="1"/>
  <c r="K159"/>
  <c r="J159"/>
  <c r="H159"/>
  <c r="G159"/>
  <c r="F159"/>
  <c r="D159"/>
  <c r="C159"/>
  <c r="L158"/>
  <c r="I158"/>
  <c r="E158"/>
  <c r="L157"/>
  <c r="I157"/>
  <c r="E157"/>
  <c r="M156"/>
  <c r="M160" s="1"/>
  <c r="J156"/>
  <c r="H156"/>
  <c r="G156"/>
  <c r="F156"/>
  <c r="C156"/>
  <c r="K156"/>
  <c r="D156"/>
  <c r="L155"/>
  <c r="L154"/>
  <c r="I154"/>
  <c r="E154"/>
  <c r="E156" s="1"/>
  <c r="K146"/>
  <c r="K137"/>
  <c r="D137"/>
  <c r="K132"/>
  <c r="K126"/>
  <c r="K117"/>
  <c r="C160" l="1"/>
  <c r="G160"/>
  <c r="L156"/>
  <c r="E159"/>
  <c r="E160" s="1"/>
  <c r="K160"/>
  <c r="L159"/>
  <c r="F160"/>
  <c r="H160"/>
  <c r="I159"/>
  <c r="J160"/>
  <c r="D160"/>
  <c r="I155"/>
  <c r="I156" s="1"/>
  <c r="L160" l="1"/>
  <c r="I160"/>
  <c r="D132"/>
  <c r="D126"/>
  <c r="D117"/>
  <c r="K108" l="1"/>
  <c r="E108"/>
  <c r="D108"/>
  <c r="C137" l="1"/>
  <c r="K133" l="1"/>
  <c r="M127"/>
  <c r="M118" l="1"/>
  <c r="C132" l="1"/>
  <c r="L132" s="1"/>
  <c r="C126" l="1"/>
  <c r="C108" l="1"/>
  <c r="C99"/>
  <c r="C150"/>
  <c r="M133"/>
  <c r="J133"/>
  <c r="H133"/>
  <c r="G133"/>
  <c r="F133"/>
  <c r="D133"/>
  <c r="C133"/>
  <c r="I132"/>
  <c r="L131"/>
  <c r="I131"/>
  <c r="E131"/>
  <c r="E133" s="1"/>
  <c r="M141"/>
  <c r="J141"/>
  <c r="H141"/>
  <c r="G141"/>
  <c r="F141"/>
  <c r="L140"/>
  <c r="K141"/>
  <c r="E140"/>
  <c r="D141"/>
  <c r="C141"/>
  <c r="L139"/>
  <c r="I139"/>
  <c r="E139"/>
  <c r="M138"/>
  <c r="J138"/>
  <c r="H138"/>
  <c r="G138"/>
  <c r="F138"/>
  <c r="D138"/>
  <c r="C138"/>
  <c r="L137"/>
  <c r="K138"/>
  <c r="I137"/>
  <c r="L136"/>
  <c r="I136"/>
  <c r="I138" s="1"/>
  <c r="E136"/>
  <c r="E138" s="1"/>
  <c r="I133" l="1"/>
  <c r="L133"/>
  <c r="J142"/>
  <c r="G142"/>
  <c r="M142"/>
  <c r="L138"/>
  <c r="F142"/>
  <c r="H142"/>
  <c r="K142"/>
  <c r="E141"/>
  <c r="E142" s="1"/>
  <c r="L141"/>
  <c r="D142"/>
  <c r="C142"/>
  <c r="I140"/>
  <c r="I141" s="1"/>
  <c r="I142" s="1"/>
  <c r="L142" l="1"/>
  <c r="K114" l="1"/>
  <c r="K99" l="1"/>
  <c r="I99"/>
  <c r="C117" l="1"/>
  <c r="I117" s="1"/>
  <c r="D114" l="1"/>
  <c r="C114" l="1"/>
  <c r="M150"/>
  <c r="K150"/>
  <c r="J150"/>
  <c r="H150"/>
  <c r="G150"/>
  <c r="F150"/>
  <c r="D150"/>
  <c r="L149"/>
  <c r="I149"/>
  <c r="L148"/>
  <c r="I148"/>
  <c r="E148"/>
  <c r="E150" s="1"/>
  <c r="M147"/>
  <c r="K147"/>
  <c r="J147"/>
  <c r="H147"/>
  <c r="G147"/>
  <c r="F147"/>
  <c r="D147"/>
  <c r="C147"/>
  <c r="L146"/>
  <c r="I146"/>
  <c r="L145"/>
  <c r="L147" s="1"/>
  <c r="I145"/>
  <c r="I147" s="1"/>
  <c r="E145"/>
  <c r="E147" s="1"/>
  <c r="K127"/>
  <c r="J127"/>
  <c r="H127"/>
  <c r="G127"/>
  <c r="F127"/>
  <c r="D127"/>
  <c r="C127"/>
  <c r="L126"/>
  <c r="I126"/>
  <c r="L125"/>
  <c r="L127" s="1"/>
  <c r="I125"/>
  <c r="I127" s="1"/>
  <c r="E125"/>
  <c r="E127" s="1"/>
  <c r="M124"/>
  <c r="K124"/>
  <c r="J124"/>
  <c r="H124"/>
  <c r="G124"/>
  <c r="F124"/>
  <c r="D124"/>
  <c r="C124"/>
  <c r="L123"/>
  <c r="I123"/>
  <c r="L122"/>
  <c r="L124" s="1"/>
  <c r="I122"/>
  <c r="I124" s="1"/>
  <c r="E122"/>
  <c r="E124" s="1"/>
  <c r="C151" l="1"/>
  <c r="L150"/>
  <c r="L151" s="1"/>
  <c r="I150"/>
  <c r="I151" s="1"/>
  <c r="I163" s="1"/>
  <c r="K151"/>
  <c r="G151"/>
  <c r="M151"/>
  <c r="H128"/>
  <c r="K128"/>
  <c r="F151"/>
  <c r="H151"/>
  <c r="D151"/>
  <c r="J151"/>
  <c r="C128"/>
  <c r="G128"/>
  <c r="F128"/>
  <c r="I128"/>
  <c r="E151"/>
  <c r="M128"/>
  <c r="J128"/>
  <c r="D128"/>
  <c r="E128"/>
  <c r="L128"/>
  <c r="K105" l="1"/>
  <c r="J118" l="1"/>
  <c r="H118"/>
  <c r="G118"/>
  <c r="F118"/>
  <c r="L117"/>
  <c r="K118"/>
  <c r="D118"/>
  <c r="C118"/>
  <c r="L116"/>
  <c r="L118" s="1"/>
  <c r="I116"/>
  <c r="E116"/>
  <c r="M115"/>
  <c r="K115"/>
  <c r="K161" s="1"/>
  <c r="J115"/>
  <c r="J161" s="1"/>
  <c r="H115"/>
  <c r="H161" s="1"/>
  <c r="G115"/>
  <c r="G161" s="1"/>
  <c r="F115"/>
  <c r="F161" s="1"/>
  <c r="D115"/>
  <c r="D161" s="1"/>
  <c r="C115"/>
  <c r="C161" s="1"/>
  <c r="L114"/>
  <c r="I114"/>
  <c r="L113"/>
  <c r="L115" s="1"/>
  <c r="L161" s="1"/>
  <c r="I113"/>
  <c r="I115" s="1"/>
  <c r="I161" s="1"/>
  <c r="E113"/>
  <c r="E115" s="1"/>
  <c r="E161" s="1"/>
  <c r="M119" l="1"/>
  <c r="M161"/>
  <c r="L119"/>
  <c r="H119"/>
  <c r="G119"/>
  <c r="J119"/>
  <c r="F119"/>
  <c r="C119"/>
  <c r="K119"/>
  <c r="E118"/>
  <c r="E119" s="1"/>
  <c r="D119"/>
  <c r="I118"/>
  <c r="I119" s="1"/>
  <c r="J106" l="1"/>
  <c r="M109" l="1"/>
  <c r="J109"/>
  <c r="H109"/>
  <c r="G109"/>
  <c r="F109"/>
  <c r="C109"/>
  <c r="L108"/>
  <c r="K109"/>
  <c r="D109"/>
  <c r="L107"/>
  <c r="I107"/>
  <c r="E107"/>
  <c r="M106"/>
  <c r="K106"/>
  <c r="H106"/>
  <c r="G106"/>
  <c r="F106"/>
  <c r="D106"/>
  <c r="C106"/>
  <c r="L105"/>
  <c r="I105"/>
  <c r="L104"/>
  <c r="I104"/>
  <c r="E104"/>
  <c r="E106" s="1"/>
  <c r="C110" l="1"/>
  <c r="L106"/>
  <c r="L109"/>
  <c r="F110"/>
  <c r="H110"/>
  <c r="E109"/>
  <c r="E110" s="1"/>
  <c r="M110"/>
  <c r="K110"/>
  <c r="G110"/>
  <c r="D110"/>
  <c r="I106"/>
  <c r="J110"/>
  <c r="I108"/>
  <c r="I109" s="1"/>
  <c r="L110" l="1"/>
  <c r="I110"/>
  <c r="K72" l="1"/>
  <c r="D72"/>
  <c r="C72"/>
  <c r="D67" l="1"/>
  <c r="C67"/>
  <c r="K67"/>
  <c r="K68" s="1"/>
  <c r="K51" l="1"/>
  <c r="M51"/>
  <c r="J51"/>
  <c r="H51"/>
  <c r="G51"/>
  <c r="F51"/>
  <c r="D51"/>
  <c r="C51"/>
  <c r="L50"/>
  <c r="I50"/>
  <c r="E50"/>
  <c r="L49"/>
  <c r="I49"/>
  <c r="E49"/>
  <c r="M48"/>
  <c r="K48"/>
  <c r="J48"/>
  <c r="J52" s="1"/>
  <c r="H48"/>
  <c r="H52" s="1"/>
  <c r="G48"/>
  <c r="F48"/>
  <c r="F52" s="1"/>
  <c r="D48"/>
  <c r="C48"/>
  <c r="L47"/>
  <c r="I47"/>
  <c r="L46"/>
  <c r="L48" s="1"/>
  <c r="I46"/>
  <c r="I48" s="1"/>
  <c r="E46"/>
  <c r="E48" s="1"/>
  <c r="M43"/>
  <c r="K43"/>
  <c r="J43"/>
  <c r="H43"/>
  <c r="G43"/>
  <c r="F43"/>
  <c r="D43"/>
  <c r="C43"/>
  <c r="L42"/>
  <c r="I42"/>
  <c r="E42"/>
  <c r="L41"/>
  <c r="I41"/>
  <c r="E41"/>
  <c r="M40"/>
  <c r="K40"/>
  <c r="J40"/>
  <c r="J44" s="1"/>
  <c r="H40"/>
  <c r="H44" s="1"/>
  <c r="G40"/>
  <c r="F40"/>
  <c r="F44" s="1"/>
  <c r="D40"/>
  <c r="D44" s="1"/>
  <c r="C40"/>
  <c r="L39"/>
  <c r="I39"/>
  <c r="L38"/>
  <c r="L40" s="1"/>
  <c r="I38"/>
  <c r="I40" s="1"/>
  <c r="E38"/>
  <c r="E40" s="1"/>
  <c r="M35"/>
  <c r="K35"/>
  <c r="J35"/>
  <c r="H35"/>
  <c r="G35"/>
  <c r="F35"/>
  <c r="D35"/>
  <c r="C35"/>
  <c r="L34"/>
  <c r="I34"/>
  <c r="E34"/>
  <c r="L33"/>
  <c r="I33"/>
  <c r="E33"/>
  <c r="M32"/>
  <c r="K32"/>
  <c r="J32"/>
  <c r="J36" s="1"/>
  <c r="H32"/>
  <c r="H36" s="1"/>
  <c r="G32"/>
  <c r="F32"/>
  <c r="F36" s="1"/>
  <c r="D32"/>
  <c r="D36" s="1"/>
  <c r="C32"/>
  <c r="L31"/>
  <c r="I31"/>
  <c r="L30"/>
  <c r="L32" s="1"/>
  <c r="I30"/>
  <c r="I32" s="1"/>
  <c r="E30"/>
  <c r="E32" s="1"/>
  <c r="K27"/>
  <c r="M27"/>
  <c r="J27"/>
  <c r="H27"/>
  <c r="G27"/>
  <c r="F27"/>
  <c r="D27"/>
  <c r="C27"/>
  <c r="L26"/>
  <c r="I26"/>
  <c r="E26"/>
  <c r="L25"/>
  <c r="I25"/>
  <c r="E25"/>
  <c r="M24"/>
  <c r="K24"/>
  <c r="J24"/>
  <c r="H24"/>
  <c r="G24"/>
  <c r="G28" s="1"/>
  <c r="F24"/>
  <c r="D24"/>
  <c r="C24"/>
  <c r="L23"/>
  <c r="I23"/>
  <c r="L22"/>
  <c r="L24" s="1"/>
  <c r="I22"/>
  <c r="I24" s="1"/>
  <c r="E22"/>
  <c r="E24" s="1"/>
  <c r="M28" l="1"/>
  <c r="E35"/>
  <c r="E36" s="1"/>
  <c r="L35"/>
  <c r="I35"/>
  <c r="I36" s="1"/>
  <c r="K52"/>
  <c r="L27"/>
  <c r="L28" s="1"/>
  <c r="L36"/>
  <c r="K44"/>
  <c r="J28"/>
  <c r="K28"/>
  <c r="E27"/>
  <c r="E28" s="1"/>
  <c r="F28"/>
  <c r="H28"/>
  <c r="G36"/>
  <c r="M36"/>
  <c r="E43"/>
  <c r="E44" s="1"/>
  <c r="I43"/>
  <c r="E51"/>
  <c r="E52" s="1"/>
  <c r="I51"/>
  <c r="I52" s="1"/>
  <c r="M52"/>
  <c r="G44"/>
  <c r="M44"/>
  <c r="G52"/>
  <c r="D52"/>
  <c r="L51"/>
  <c r="L52" s="1"/>
  <c r="C52"/>
  <c r="L43"/>
  <c r="L44" s="1"/>
  <c r="C44"/>
  <c r="I44"/>
  <c r="K36"/>
  <c r="C36"/>
  <c r="C28"/>
  <c r="I27"/>
  <c r="I28" s="1"/>
  <c r="D28"/>
  <c r="E99" l="1"/>
  <c r="M100"/>
  <c r="K100"/>
  <c r="J100"/>
  <c r="H100"/>
  <c r="G100"/>
  <c r="F100"/>
  <c r="D100"/>
  <c r="C100"/>
  <c r="L99"/>
  <c r="L98"/>
  <c r="I98"/>
  <c r="E98"/>
  <c r="M97"/>
  <c r="K97"/>
  <c r="J97"/>
  <c r="H97"/>
  <c r="H101" s="1"/>
  <c r="G97"/>
  <c r="F97"/>
  <c r="D97"/>
  <c r="C97"/>
  <c r="L96"/>
  <c r="I96"/>
  <c r="L95"/>
  <c r="L97" s="1"/>
  <c r="I95"/>
  <c r="I97" s="1"/>
  <c r="E95"/>
  <c r="E97" s="1"/>
  <c r="M92"/>
  <c r="J92"/>
  <c r="H92"/>
  <c r="G92"/>
  <c r="F92"/>
  <c r="K92"/>
  <c r="E91"/>
  <c r="D92"/>
  <c r="L91"/>
  <c r="L90"/>
  <c r="I90"/>
  <c r="E90"/>
  <c r="M89"/>
  <c r="K89"/>
  <c r="J89"/>
  <c r="H89"/>
  <c r="G89"/>
  <c r="F89"/>
  <c r="D89"/>
  <c r="C89"/>
  <c r="L88"/>
  <c r="I88"/>
  <c r="L87"/>
  <c r="L89" s="1"/>
  <c r="I87"/>
  <c r="I89" s="1"/>
  <c r="E87"/>
  <c r="E89" s="1"/>
  <c r="M101" l="1"/>
  <c r="D101"/>
  <c r="J101"/>
  <c r="H93"/>
  <c r="G93"/>
  <c r="J93"/>
  <c r="D93"/>
  <c r="E92"/>
  <c r="E93" s="1"/>
  <c r="F93"/>
  <c r="M93"/>
  <c r="I100"/>
  <c r="I101" s="1"/>
  <c r="C101"/>
  <c r="K101"/>
  <c r="K93"/>
  <c r="L100"/>
  <c r="L101" s="1"/>
  <c r="G101"/>
  <c r="E100"/>
  <c r="E101" s="1"/>
  <c r="F101"/>
  <c r="L92"/>
  <c r="L93" s="1"/>
  <c r="C92"/>
  <c r="C93" s="1"/>
  <c r="I91"/>
  <c r="I92" s="1"/>
  <c r="I93" s="1"/>
  <c r="E75" l="1"/>
  <c r="E67"/>
  <c r="E64"/>
  <c r="E59"/>
  <c r="E56"/>
  <c r="E74"/>
  <c r="M60" l="1"/>
  <c r="K60"/>
  <c r="J60"/>
  <c r="H60"/>
  <c r="G60"/>
  <c r="F60"/>
  <c r="D60"/>
  <c r="C60"/>
  <c r="L59"/>
  <c r="I59"/>
  <c r="L58"/>
  <c r="I58"/>
  <c r="E58"/>
  <c r="M57"/>
  <c r="K57"/>
  <c r="J57"/>
  <c r="H57"/>
  <c r="G57"/>
  <c r="F57"/>
  <c r="D57"/>
  <c r="C57"/>
  <c r="L56"/>
  <c r="I56"/>
  <c r="L55"/>
  <c r="L57" s="1"/>
  <c r="I55"/>
  <c r="E55"/>
  <c r="E57" s="1"/>
  <c r="D61" l="1"/>
  <c r="J61"/>
  <c r="I60"/>
  <c r="F61"/>
  <c r="H61"/>
  <c r="G61"/>
  <c r="K61"/>
  <c r="I57"/>
  <c r="E60"/>
  <c r="E61" s="1"/>
  <c r="L60"/>
  <c r="L61" s="1"/>
  <c r="M61"/>
  <c r="C61"/>
  <c r="E83"/>
  <c r="I61" l="1"/>
  <c r="D195"/>
  <c r="M84" l="1"/>
  <c r="K84"/>
  <c r="J84"/>
  <c r="H84"/>
  <c r="G84"/>
  <c r="F84"/>
  <c r="D84"/>
  <c r="C84"/>
  <c r="L83"/>
  <c r="I83"/>
  <c r="L82"/>
  <c r="I82"/>
  <c r="E82"/>
  <c r="E84" s="1"/>
  <c r="M81"/>
  <c r="K81"/>
  <c r="J81"/>
  <c r="H81"/>
  <c r="G81"/>
  <c r="F81"/>
  <c r="D81"/>
  <c r="C81"/>
  <c r="L80"/>
  <c r="I80"/>
  <c r="L79"/>
  <c r="I79"/>
  <c r="I81" s="1"/>
  <c r="E79"/>
  <c r="E81" s="1"/>
  <c r="F85" l="1"/>
  <c r="H85"/>
  <c r="J85"/>
  <c r="E85"/>
  <c r="D85"/>
  <c r="L81"/>
  <c r="M85"/>
  <c r="I84"/>
  <c r="I85" s="1"/>
  <c r="G85"/>
  <c r="L84"/>
  <c r="K85"/>
  <c r="C85"/>
  <c r="L85" l="1"/>
  <c r="D183"/>
  <c r="E183" s="1"/>
  <c r="C195" l="1"/>
  <c r="E195" s="1"/>
  <c r="K11" l="1"/>
  <c r="E71" l="1"/>
  <c r="E73" s="1"/>
  <c r="E66"/>
  <c r="E63"/>
  <c r="E10"/>
  <c r="E9"/>
  <c r="E7"/>
  <c r="E6"/>
  <c r="E76" l="1"/>
  <c r="E77" s="1"/>
  <c r="M68" l="1"/>
  <c r="M76" l="1"/>
  <c r="K76"/>
  <c r="J76"/>
  <c r="H76"/>
  <c r="G76"/>
  <c r="F76"/>
  <c r="D76"/>
  <c r="C76"/>
  <c r="L75"/>
  <c r="I75"/>
  <c r="L74"/>
  <c r="L76" s="1"/>
  <c r="I74"/>
  <c r="M73"/>
  <c r="K73"/>
  <c r="J73"/>
  <c r="J77" s="1"/>
  <c r="H73"/>
  <c r="H77" s="1"/>
  <c r="G73"/>
  <c r="F73"/>
  <c r="D73"/>
  <c r="D77" s="1"/>
  <c r="C73"/>
  <c r="L72"/>
  <c r="I72"/>
  <c r="L71"/>
  <c r="L73" s="1"/>
  <c r="I71"/>
  <c r="C68"/>
  <c r="J68"/>
  <c r="H68"/>
  <c r="G68"/>
  <c r="F68"/>
  <c r="D68"/>
  <c r="L67"/>
  <c r="E68"/>
  <c r="L66"/>
  <c r="I66"/>
  <c r="M65"/>
  <c r="K65"/>
  <c r="K69" s="1"/>
  <c r="J65"/>
  <c r="H65"/>
  <c r="G65"/>
  <c r="F65"/>
  <c r="E65"/>
  <c r="D65"/>
  <c r="C65"/>
  <c r="L64"/>
  <c r="I64"/>
  <c r="L63"/>
  <c r="I63"/>
  <c r="I65" s="1"/>
  <c r="L65" l="1"/>
  <c r="F77"/>
  <c r="F69"/>
  <c r="H69"/>
  <c r="H102" s="1"/>
  <c r="I76"/>
  <c r="C69"/>
  <c r="D69"/>
  <c r="D102" s="1"/>
  <c r="E69"/>
  <c r="E102" s="1"/>
  <c r="I73"/>
  <c r="I77" s="1"/>
  <c r="K77"/>
  <c r="M69"/>
  <c r="M77"/>
  <c r="G77"/>
  <c r="J69"/>
  <c r="J102" s="1"/>
  <c r="G69"/>
  <c r="C77"/>
  <c r="C102" s="1"/>
  <c r="L77"/>
  <c r="I68"/>
  <c r="I69" s="1"/>
  <c r="L68"/>
  <c r="M102" l="1"/>
  <c r="F102"/>
  <c r="C111"/>
  <c r="C120" s="1"/>
  <c r="C129" s="1"/>
  <c r="H111"/>
  <c r="H120" s="1"/>
  <c r="H129" s="1"/>
  <c r="D111"/>
  <c r="D120" s="1"/>
  <c r="D129" s="1"/>
  <c r="F111"/>
  <c r="F120" s="1"/>
  <c r="F129" s="1"/>
  <c r="M111"/>
  <c r="M120" s="1"/>
  <c r="M129" s="1"/>
  <c r="J111"/>
  <c r="J120" s="1"/>
  <c r="J129" s="1"/>
  <c r="E111"/>
  <c r="E120" s="1"/>
  <c r="E129" s="1"/>
  <c r="G102"/>
  <c r="I102"/>
  <c r="K102"/>
  <c r="L69"/>
  <c r="L102" s="1"/>
  <c r="E152" l="1"/>
  <c r="E134"/>
  <c r="E143"/>
  <c r="J152"/>
  <c r="J134"/>
  <c r="J143"/>
  <c r="F152"/>
  <c r="F134"/>
  <c r="F143"/>
  <c r="M152"/>
  <c r="M134"/>
  <c r="M143"/>
  <c r="D152"/>
  <c r="D134"/>
  <c r="D143"/>
  <c r="H134"/>
  <c r="H143"/>
  <c r="H152"/>
  <c r="C152"/>
  <c r="C134"/>
  <c r="C143"/>
  <c r="G111"/>
  <c r="G120" s="1"/>
  <c r="G129" s="1"/>
  <c r="I111"/>
  <c r="I120" s="1"/>
  <c r="I129" s="1"/>
  <c r="K111"/>
  <c r="K120" s="1"/>
  <c r="K129" s="1"/>
  <c r="L111"/>
  <c r="L120" s="1"/>
  <c r="L129" s="1"/>
  <c r="I7"/>
  <c r="I9"/>
  <c r="L152" l="1"/>
  <c r="L134"/>
  <c r="L143"/>
  <c r="I152"/>
  <c r="I134"/>
  <c r="I143"/>
  <c r="K152"/>
  <c r="K134"/>
  <c r="K143"/>
  <c r="G152"/>
  <c r="G134"/>
  <c r="G143"/>
  <c r="I10"/>
  <c r="F197" l="1"/>
  <c r="F196"/>
  <c r="F195" l="1"/>
  <c r="F185" l="1"/>
  <c r="F184"/>
  <c r="F183" l="1"/>
  <c r="M19" l="1"/>
  <c r="K19"/>
  <c r="J19"/>
  <c r="H19"/>
  <c r="G19"/>
  <c r="F19"/>
  <c r="D19"/>
  <c r="E18"/>
  <c r="L18"/>
  <c r="L17"/>
  <c r="I17"/>
  <c r="E17"/>
  <c r="M16"/>
  <c r="J16"/>
  <c r="H16"/>
  <c r="G16"/>
  <c r="F16"/>
  <c r="K16"/>
  <c r="D16"/>
  <c r="L15"/>
  <c r="L14"/>
  <c r="I14"/>
  <c r="E14"/>
  <c r="E16" s="1"/>
  <c r="E19" l="1"/>
  <c r="E20" s="1"/>
  <c r="J20"/>
  <c r="F20"/>
  <c r="H20"/>
  <c r="L16"/>
  <c r="D20"/>
  <c r="L19"/>
  <c r="L20" s="1"/>
  <c r="G20"/>
  <c r="M20"/>
  <c r="K20"/>
  <c r="C16"/>
  <c r="I18"/>
  <c r="I19" s="1"/>
  <c r="C19"/>
  <c r="C20" s="1"/>
  <c r="I15"/>
  <c r="I16" s="1"/>
  <c r="I20" l="1"/>
  <c r="M8" l="1"/>
  <c r="C11" l="1"/>
  <c r="M11" l="1"/>
  <c r="M12" s="1"/>
  <c r="M53" s="1"/>
  <c r="M163" s="1"/>
  <c r="J11"/>
  <c r="H11"/>
  <c r="G11"/>
  <c r="F11"/>
  <c r="L10"/>
  <c r="L9"/>
  <c r="D11"/>
  <c r="J8"/>
  <c r="H8"/>
  <c r="G8"/>
  <c r="F8"/>
  <c r="C8"/>
  <c r="C12" s="1"/>
  <c r="C53" s="1"/>
  <c r="C163" s="1"/>
  <c r="K8"/>
  <c r="K12" s="1"/>
  <c r="K53" s="1"/>
  <c r="K163" s="1"/>
  <c r="L7"/>
  <c r="L6"/>
  <c r="D8"/>
  <c r="E8" l="1"/>
  <c r="J12"/>
  <c r="J53" s="1"/>
  <c r="J163" s="1"/>
  <c r="H12"/>
  <c r="H53" s="1"/>
  <c r="H163" s="1"/>
  <c r="F12"/>
  <c r="F53" s="1"/>
  <c r="F163" s="1"/>
  <c r="L8"/>
  <c r="E11"/>
  <c r="G12"/>
  <c r="G53" s="1"/>
  <c r="G163" s="1"/>
  <c r="D12"/>
  <c r="D53" s="1"/>
  <c r="D163" s="1"/>
  <c r="L11"/>
  <c r="I6"/>
  <c r="I8" s="1"/>
  <c r="I11"/>
  <c r="E12" l="1"/>
  <c r="E53" s="1"/>
  <c r="E163" s="1"/>
  <c r="L12"/>
  <c r="L53" s="1"/>
  <c r="L163" s="1"/>
  <c r="I12"/>
  <c r="I53" s="1"/>
  <c r="F191" l="1"/>
  <c r="E221" l="1"/>
  <c r="L206" l="1"/>
  <c r="J206" l="1"/>
  <c r="K206" l="1"/>
  <c r="K213" l="1"/>
</calcChain>
</file>

<file path=xl/sharedStrings.xml><?xml version="1.0" encoding="utf-8"?>
<sst xmlns="http://schemas.openxmlformats.org/spreadsheetml/2006/main" count="230" uniqueCount="116">
  <si>
    <t>Order Qty.</t>
  </si>
  <si>
    <t>Dispatched</t>
  </si>
  <si>
    <t>BUCKET</t>
  </si>
  <si>
    <t>Rolled qty</t>
  </si>
  <si>
    <t>Offered Qty</t>
  </si>
  <si>
    <t>Bal to roll</t>
  </si>
  <si>
    <t>PG</t>
  </si>
  <si>
    <t>NPG</t>
  </si>
  <si>
    <t>Balance to supply</t>
  </si>
  <si>
    <t xml:space="preserve">BUCKET STATUS </t>
  </si>
  <si>
    <t>Ready for Dispatch</t>
  </si>
  <si>
    <t>Under Stragghtening</t>
  </si>
  <si>
    <t>Total</t>
  </si>
  <si>
    <t>Under Inspection</t>
  </si>
  <si>
    <t>RFD</t>
  </si>
  <si>
    <t xml:space="preserve">PG </t>
  </si>
  <si>
    <t>TOTAL</t>
  </si>
  <si>
    <t>BB</t>
  </si>
  <si>
    <t>JBP</t>
  </si>
  <si>
    <t>PRODUCTION-----&gt;</t>
  </si>
  <si>
    <t>UNDER INSPECTION</t>
  </si>
  <si>
    <t>DISPATCHED-----&gt;</t>
  </si>
  <si>
    <t>BILLET STOCK----&gt;</t>
  </si>
  <si>
    <t>ANGLE  STOCK----&gt;</t>
  </si>
  <si>
    <t>BTR</t>
  </si>
  <si>
    <t>Billet receipt</t>
  </si>
  <si>
    <t>MS</t>
  </si>
  <si>
    <t>HT</t>
  </si>
  <si>
    <t>Jobwork A/c ---&gt;</t>
  </si>
  <si>
    <t>Jobwork</t>
  </si>
  <si>
    <t>RANDAM LENGTH/REWORK/AVAILABLE MATERIALS</t>
  </si>
  <si>
    <t>BTO/ UNDER STRAINGTENING (NPG)</t>
  </si>
  <si>
    <t>Randam/short rolling</t>
  </si>
  <si>
    <t>Location</t>
  </si>
  <si>
    <t>Rework/Randon/Offered from stock</t>
  </si>
  <si>
    <t>Allocated from stock</t>
  </si>
  <si>
    <t>Trading</t>
  </si>
  <si>
    <t>TRADING A/C</t>
  </si>
  <si>
    <t>G. TOTAL</t>
  </si>
  <si>
    <t>KEC(job)</t>
  </si>
  <si>
    <t>KEC(Tradin)</t>
  </si>
  <si>
    <t>KEC (Tra)</t>
  </si>
  <si>
    <t>Railway call raised</t>
  </si>
  <si>
    <t>PG call raised</t>
  </si>
  <si>
    <t>VINAR ISPAT LTD,BUTIBORI</t>
  </si>
  <si>
    <t>20 '' Mil</t>
  </si>
  <si>
    <t>Mar 01-07</t>
  </si>
  <si>
    <t>Mar 08-15</t>
  </si>
  <si>
    <t>Mar 24-31</t>
  </si>
  <si>
    <t>Mar 16-23</t>
  </si>
  <si>
    <t>Jan 24-31</t>
  </si>
  <si>
    <t>Jan 16-23</t>
  </si>
  <si>
    <t>Feb 01-07</t>
  </si>
  <si>
    <t>Feb 08-15</t>
  </si>
  <si>
    <t>Feb 16-23</t>
  </si>
  <si>
    <t>Feb 24-28</t>
  </si>
  <si>
    <t>Jan 01-07</t>
  </si>
  <si>
    <t>Jan 08-15</t>
  </si>
  <si>
    <t>Bal to Offer Qty/Under/Str</t>
  </si>
  <si>
    <t>DUBAI</t>
  </si>
  <si>
    <t>Mar 01-07(22)</t>
  </si>
  <si>
    <t>Mar 08-15(22)</t>
  </si>
  <si>
    <t>Mar 16-23(22)</t>
  </si>
  <si>
    <t>Mar 24-31(22)</t>
  </si>
  <si>
    <t>Apr 08-15(22)</t>
  </si>
  <si>
    <t>Apr 16-23(22)</t>
  </si>
  <si>
    <t>May 01-07(22)</t>
  </si>
  <si>
    <t>May 08-15(22)</t>
  </si>
  <si>
    <t>Dec 01-07(22)</t>
  </si>
  <si>
    <t>Dec 08-15(22)</t>
  </si>
  <si>
    <t>2021-22</t>
  </si>
  <si>
    <t>Dec 16-23(22)</t>
  </si>
  <si>
    <t>Dec 24-31(22)</t>
  </si>
  <si>
    <t>2022-23</t>
  </si>
  <si>
    <t>Apr 01-07</t>
  </si>
  <si>
    <t>Apr 08-15</t>
  </si>
  <si>
    <t>Apr 16-23</t>
  </si>
  <si>
    <t>May 01-07</t>
  </si>
  <si>
    <t>May 08-15</t>
  </si>
  <si>
    <t>Jun 24-30</t>
  </si>
  <si>
    <t>May 16-23</t>
  </si>
  <si>
    <t>Jun 16-23</t>
  </si>
  <si>
    <t>Jun 01-07</t>
  </si>
  <si>
    <t>Jun 08-15</t>
  </si>
  <si>
    <t>May 24-31</t>
  </si>
  <si>
    <t>Rework/Grinding-New</t>
  </si>
  <si>
    <t>Railway</t>
  </si>
  <si>
    <t>1st Priority</t>
  </si>
  <si>
    <t>2nd Priority</t>
  </si>
  <si>
    <t>Jul 01-07</t>
  </si>
  <si>
    <t>Jul 08-15</t>
  </si>
  <si>
    <t>22.06.23</t>
  </si>
  <si>
    <t>BB/jaipur</t>
  </si>
  <si>
    <t>3rd Priority</t>
  </si>
  <si>
    <t>railway</t>
  </si>
  <si>
    <t>OCT,23</t>
  </si>
  <si>
    <t>BILL  RAISED 01.10 To 02.10.23</t>
  </si>
  <si>
    <t>BILL   RAISED 03.10 To 05.10.23</t>
  </si>
  <si>
    <t>BILL   RAISED 06.10 To 09.10.23</t>
  </si>
  <si>
    <t>BILL  RAISED 10.10 To 12.10.23</t>
  </si>
  <si>
    <t>BILL  RAISED 13.10 To 16.10.23</t>
  </si>
  <si>
    <t>BILL   RAISED 16.10 To 19.10.23</t>
  </si>
  <si>
    <t>BILL  RAISED 19.10 To 19.10.23</t>
  </si>
  <si>
    <t>BILL  RAISED 20.10 To 20.10.23</t>
  </si>
  <si>
    <t>BILL   RAISED 21.10 To 22.10.23</t>
  </si>
  <si>
    <t>BILL   RAISED 21.10 To 27.10.23</t>
  </si>
  <si>
    <t>BILL   RAISED 23.10 To 27.10.23</t>
  </si>
  <si>
    <t>BILL    RAISED 28.10 To 30.10.23</t>
  </si>
  <si>
    <t>Nov,23</t>
  </si>
  <si>
    <t>BILL   RAISED 28.10 To 31.10.23</t>
  </si>
  <si>
    <t>BILL  RAISED 28.10 To 31.10.23</t>
  </si>
  <si>
    <t>BILL  RAISED 01.11.23 To 01.11.23</t>
  </si>
  <si>
    <t>BILL   RAISED 01.11.23 To 02.11.23</t>
  </si>
  <si>
    <t>Bill tobe raised ----&gt;</t>
  </si>
  <si>
    <t>05.11.23</t>
  </si>
  <si>
    <t>BILL tobe  RAISED 01.11.23 To 04.11.23</t>
  </si>
</sst>
</file>

<file path=xl/styles.xml><?xml version="1.0" encoding="utf-8"?>
<styleSheet xmlns="http://schemas.openxmlformats.org/spreadsheetml/2006/main">
  <numFmts count="1">
    <numFmt numFmtId="164" formatCode="0.00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Times New Roman"/>
      <family val="1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rgb="FFFF000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4" fillId="0" borderId="1" xfId="0" applyFont="1" applyBorder="1" applyAlignment="1"/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9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/>
    <xf numFmtId="0" fontId="4" fillId="0" borderId="5" xfId="0" applyFont="1" applyBorder="1"/>
    <xf numFmtId="164" fontId="3" fillId="0" borderId="5" xfId="0" applyNumberFormat="1" applyFont="1" applyBorder="1"/>
    <xf numFmtId="0" fontId="4" fillId="0" borderId="5" xfId="0" applyFont="1" applyBorder="1" applyAlignment="1"/>
    <xf numFmtId="164" fontId="3" fillId="0" borderId="5" xfId="0" applyNumberFormat="1" applyFont="1" applyBorder="1" applyAlignment="1"/>
    <xf numFmtId="0" fontId="0" fillId="0" borderId="5" xfId="0" applyBorder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1" fontId="5" fillId="0" borderId="0" xfId="0" applyNumberFormat="1" applyFont="1"/>
    <xf numFmtId="0" fontId="6" fillId="0" borderId="0" xfId="0" applyFont="1" applyAlignment="1">
      <alignment horizontal="center"/>
    </xf>
    <xf numFmtId="0" fontId="10" fillId="3" borderId="0" xfId="0" applyFont="1" applyFill="1"/>
    <xf numFmtId="0" fontId="11" fillId="3" borderId="0" xfId="0" applyFont="1" applyFill="1" applyBorder="1"/>
    <xf numFmtId="0" fontId="10" fillId="3" borderId="0" xfId="0" applyFont="1" applyFill="1" applyBorder="1"/>
    <xf numFmtId="0" fontId="11" fillId="3" borderId="0" xfId="0" applyFont="1" applyFill="1"/>
    <xf numFmtId="0" fontId="12" fillId="3" borderId="1" xfId="0" applyFont="1" applyFill="1" applyBorder="1" applyAlignment="1">
      <alignment horizontal="right"/>
    </xf>
    <xf numFmtId="0" fontId="10" fillId="3" borderId="1" xfId="0" applyFont="1" applyFill="1" applyBorder="1"/>
    <xf numFmtId="2" fontId="10" fillId="3" borderId="1" xfId="0" applyNumberFormat="1" applyFont="1" applyFill="1" applyBorder="1"/>
    <xf numFmtId="2" fontId="12" fillId="3" borderId="1" xfId="0" applyNumberFormat="1" applyFont="1" applyFill="1" applyBorder="1"/>
    <xf numFmtId="14" fontId="8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 applyAlignment="1">
      <alignment horizontal="center"/>
    </xf>
    <xf numFmtId="2" fontId="12" fillId="3" borderId="0" xfId="0" applyNumberFormat="1" applyFont="1" applyFill="1" applyBorder="1"/>
    <xf numFmtId="0" fontId="6" fillId="0" borderId="0" xfId="0" applyFont="1" applyBorder="1"/>
    <xf numFmtId="0" fontId="12" fillId="3" borderId="0" xfId="0" applyFont="1" applyFill="1" applyBorder="1" applyAlignment="1">
      <alignment horizontal="right"/>
    </xf>
    <xf numFmtId="2" fontId="10" fillId="3" borderId="0" xfId="0" applyNumberFormat="1" applyFont="1" applyFill="1" applyBorder="1"/>
    <xf numFmtId="0" fontId="8" fillId="0" borderId="0" xfId="0" applyFont="1"/>
    <xf numFmtId="0" fontId="2" fillId="0" borderId="0" xfId="0" applyFont="1"/>
    <xf numFmtId="0" fontId="6" fillId="0" borderId="1" xfId="0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10" fillId="3" borderId="5" xfId="0" applyFont="1" applyFill="1" applyBorder="1"/>
    <xf numFmtId="0" fontId="12" fillId="3" borderId="1" xfId="0" applyFont="1" applyFill="1" applyBorder="1"/>
    <xf numFmtId="164" fontId="8" fillId="0" borderId="0" xfId="0" applyNumberFormat="1" applyFont="1"/>
    <xf numFmtId="2" fontId="10" fillId="3" borderId="1" xfId="0" applyNumberFormat="1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2" fontId="12" fillId="3" borderId="0" xfId="0" applyNumberFormat="1" applyFont="1" applyFill="1" applyAlignment="1">
      <alignment horizontal="center"/>
    </xf>
    <xf numFmtId="0" fontId="6" fillId="3" borderId="0" xfId="0" applyFont="1" applyFill="1"/>
    <xf numFmtId="164" fontId="6" fillId="0" borderId="0" xfId="0" applyNumberFormat="1" applyFont="1" applyBorder="1"/>
    <xf numFmtId="164" fontId="6" fillId="3" borderId="0" xfId="0" applyNumberFormat="1" applyFont="1" applyFill="1"/>
    <xf numFmtId="0" fontId="12" fillId="3" borderId="6" xfId="0" applyFont="1" applyFill="1" applyBorder="1" applyAlignment="1">
      <alignment horizontal="right"/>
    </xf>
    <xf numFmtId="0" fontId="12" fillId="3" borderId="1" xfId="0" applyFont="1" applyFill="1" applyBorder="1" applyAlignment="1">
      <alignment horizontal="center"/>
    </xf>
    <xf numFmtId="164" fontId="6" fillId="0" borderId="0" xfId="0" applyNumberFormat="1" applyFont="1" applyAlignment="1">
      <alignment horizontal="right"/>
    </xf>
    <xf numFmtId="2" fontId="5" fillId="0" borderId="1" xfId="0" applyNumberFormat="1" applyFont="1" applyBorder="1" applyAlignment="1">
      <alignment horizontal="center"/>
    </xf>
    <xf numFmtId="0" fontId="12" fillId="3" borderId="1" xfId="0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top" wrapText="1"/>
    </xf>
    <xf numFmtId="2" fontId="6" fillId="3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6" fontId="5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/>
    <xf numFmtId="0" fontId="13" fillId="0" borderId="1" xfId="0" applyFont="1" applyBorder="1"/>
    <xf numFmtId="0" fontId="13" fillId="3" borderId="1" xfId="0" applyFont="1" applyFill="1" applyBorder="1"/>
    <xf numFmtId="0" fontId="14" fillId="3" borderId="1" xfId="0" applyFont="1" applyFill="1" applyBorder="1" applyAlignment="1">
      <alignment horizontal="right"/>
    </xf>
    <xf numFmtId="2" fontId="14" fillId="3" borderId="1" xfId="0" applyNumberFormat="1" applyFont="1" applyFill="1" applyBorder="1"/>
    <xf numFmtId="0" fontId="16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164" fontId="14" fillId="3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/>
    <xf numFmtId="0" fontId="0" fillId="0" borderId="0" xfId="0" applyAlignment="1">
      <alignment horizontal="center"/>
    </xf>
    <xf numFmtId="0" fontId="10" fillId="3" borderId="0" xfId="0" applyFont="1" applyFill="1" applyAlignment="1">
      <alignment horizontal="center"/>
    </xf>
    <xf numFmtId="0" fontId="17" fillId="3" borderId="1" xfId="0" applyFont="1" applyFill="1" applyBorder="1"/>
    <xf numFmtId="0" fontId="10" fillId="3" borderId="1" xfId="0" applyFont="1" applyFill="1" applyBorder="1" applyAlignment="1">
      <alignment horizontal="center" vertical="top" wrapText="1"/>
    </xf>
    <xf numFmtId="164" fontId="8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5" fillId="3" borderId="0" xfId="0" applyNumberFormat="1" applyFont="1" applyFill="1"/>
    <xf numFmtId="164" fontId="5" fillId="0" borderId="0" xfId="0" applyNumberFormat="1" applyFont="1" applyBorder="1"/>
    <xf numFmtId="164" fontId="12" fillId="3" borderId="6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2" fontId="10" fillId="3" borderId="6" xfId="0" applyNumberFormat="1" applyFont="1" applyFill="1" applyBorder="1" applyAlignment="1">
      <alignment horizontal="center"/>
    </xf>
    <xf numFmtId="16" fontId="12" fillId="3" borderId="1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0" borderId="10" xfId="0" applyFont="1" applyBorder="1" applyAlignment="1"/>
    <xf numFmtId="164" fontId="3" fillId="0" borderId="10" xfId="0" applyNumberFormat="1" applyFont="1" applyBorder="1" applyAlignment="1"/>
    <xf numFmtId="0" fontId="4" fillId="0" borderId="4" xfId="0" applyFont="1" applyBorder="1" applyAlignment="1"/>
    <xf numFmtId="164" fontId="3" fillId="0" borderId="4" xfId="0" applyNumberFormat="1" applyFont="1" applyBorder="1" applyAlignment="1"/>
    <xf numFmtId="0" fontId="3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/>
    <xf numFmtId="164" fontId="3" fillId="4" borderId="12" xfId="0" applyNumberFormat="1" applyFont="1" applyFill="1" applyBorder="1" applyAlignment="1"/>
    <xf numFmtId="0" fontId="4" fillId="4" borderId="5" xfId="0" applyFont="1" applyFill="1" applyBorder="1" applyAlignment="1"/>
    <xf numFmtId="164" fontId="3" fillId="4" borderId="5" xfId="0" applyNumberFormat="1" applyFont="1" applyFill="1" applyBorder="1" applyAlignment="1"/>
    <xf numFmtId="164" fontId="16" fillId="3" borderId="1" xfId="0" applyNumberFormat="1" applyFont="1" applyFill="1" applyBorder="1"/>
    <xf numFmtId="164" fontId="16" fillId="0" borderId="1" xfId="0" applyNumberFormat="1" applyFont="1" applyBorder="1"/>
    <xf numFmtId="164" fontId="4" fillId="3" borderId="1" xfId="0" applyNumberFormat="1" applyFont="1" applyFill="1" applyBorder="1" applyAlignment="1">
      <alignment horizontal="right"/>
    </xf>
    <xf numFmtId="164" fontId="10" fillId="3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2" fontId="12" fillId="3" borderId="1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10" fillId="3" borderId="0" xfId="0" applyNumberFormat="1" applyFont="1" applyFill="1" applyBorder="1" applyAlignment="1">
      <alignment horizontal="center"/>
    </xf>
    <xf numFmtId="2" fontId="12" fillId="3" borderId="0" xfId="0" applyNumberFormat="1" applyFont="1" applyFill="1" applyBorder="1" applyAlignment="1">
      <alignment horizontal="center"/>
    </xf>
    <xf numFmtId="0" fontId="0" fillId="0" borderId="0" xfId="0" applyBorder="1"/>
    <xf numFmtId="2" fontId="12" fillId="3" borderId="6" xfId="0" applyNumberFormat="1" applyFont="1" applyFill="1" applyBorder="1" applyAlignment="1">
      <alignment horizontal="center"/>
    </xf>
    <xf numFmtId="164" fontId="15" fillId="3" borderId="1" xfId="0" applyNumberFormat="1" applyFont="1" applyFill="1" applyBorder="1" applyAlignment="1">
      <alignment horizontal="center"/>
    </xf>
    <xf numFmtId="0" fontId="18" fillId="3" borderId="0" xfId="0" applyFont="1" applyFill="1"/>
    <xf numFmtId="164" fontId="10" fillId="3" borderId="1" xfId="0" applyNumberFormat="1" applyFont="1" applyFill="1" applyBorder="1"/>
    <xf numFmtId="0" fontId="12" fillId="3" borderId="8" xfId="0" applyFont="1" applyFill="1" applyBorder="1" applyAlignment="1">
      <alignment horizontal="left" vertical="top"/>
    </xf>
    <xf numFmtId="0" fontId="12" fillId="3" borderId="13" xfId="0" applyFont="1" applyFill="1" applyBorder="1" applyAlignment="1">
      <alignment horizontal="center" vertical="top"/>
    </xf>
    <xf numFmtId="0" fontId="6" fillId="5" borderId="0" xfId="0" applyFont="1" applyFill="1"/>
    <xf numFmtId="164" fontId="10" fillId="3" borderId="6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0" fontId="8" fillId="4" borderId="0" xfId="0" applyFont="1" applyFill="1"/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4" fontId="5" fillId="0" borderId="0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4" xfId="0" applyFont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2" fillId="3" borderId="4" xfId="0" applyFont="1" applyFill="1" applyBorder="1" applyAlignment="1">
      <alignment horizontal="right" vertical="top" wrapText="1"/>
    </xf>
    <xf numFmtId="0" fontId="12" fillId="3" borderId="8" xfId="0" applyFont="1" applyFill="1" applyBorder="1" applyAlignment="1">
      <alignment horizontal="right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Billet%20stock%20APR,23%20Onward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R,23 "/>
      <sheetName val="APR,23 "/>
      <sheetName val="MAY,23  "/>
      <sheetName val="JUN,23  "/>
      <sheetName val="JUL,23 "/>
      <sheetName val="AUG,23  "/>
      <sheetName val="SEP,23"/>
      <sheetName val="OCT,23 "/>
      <sheetName val="NOV,23 "/>
      <sheetName val="DEC,23  "/>
      <sheetName val="JAN,24"/>
      <sheetName val="Sheet2"/>
      <sheetName val="24.09.23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R221"/>
  <sheetViews>
    <sheetView tabSelected="1" zoomScale="75" zoomScaleNormal="75" workbookViewId="0">
      <pane xSplit="1" ySplit="5" topLeftCell="B54" activePane="bottomRight" state="frozen"/>
      <selection pane="topRight" activeCell="B1" sqref="B1"/>
      <selection pane="bottomLeft" activeCell="A6" sqref="A6"/>
      <selection pane="bottomRight" activeCell="P133" sqref="P133"/>
    </sheetView>
  </sheetViews>
  <sheetFormatPr defaultRowHeight="13.2"/>
  <cols>
    <col min="1" max="1" width="12.5546875" customWidth="1"/>
    <col min="2" max="2" width="11.6640625" customWidth="1"/>
    <col min="3" max="3" width="22.88671875" customWidth="1"/>
    <col min="4" max="4" width="13.33203125" customWidth="1"/>
    <col min="5" max="5" width="14.6640625" customWidth="1"/>
    <col min="6" max="6" width="15.88671875" customWidth="1"/>
    <col min="7" max="7" width="14.44140625" customWidth="1"/>
    <col min="8" max="8" width="9.88671875" hidden="1" customWidth="1"/>
    <col min="9" max="9" width="12.33203125" customWidth="1"/>
    <col min="10" max="10" width="12" customWidth="1"/>
    <col min="11" max="11" width="13" customWidth="1"/>
    <col min="12" max="12" width="12" customWidth="1"/>
    <col min="13" max="13" width="13.33203125" customWidth="1"/>
    <col min="14" max="14" width="12.5546875" customWidth="1"/>
    <col min="15" max="15" width="7.109375" customWidth="1"/>
    <col min="16" max="16" width="11.109375" customWidth="1"/>
    <col min="17" max="17" width="12.6640625" customWidth="1"/>
  </cols>
  <sheetData>
    <row r="2" spans="1:14">
      <c r="A2" s="5" t="s">
        <v>44</v>
      </c>
    </row>
    <row r="3" spans="1:14">
      <c r="A3" s="5" t="s">
        <v>9</v>
      </c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35" t="s">
        <v>91</v>
      </c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8"/>
    </row>
    <row r="5" spans="1:14" ht="39.6">
      <c r="A5" s="9" t="s">
        <v>2</v>
      </c>
      <c r="B5" s="146" t="s">
        <v>0</v>
      </c>
      <c r="C5" s="146"/>
      <c r="D5" s="13" t="s">
        <v>3</v>
      </c>
      <c r="E5" s="7" t="s">
        <v>4</v>
      </c>
      <c r="F5" s="7" t="s">
        <v>13</v>
      </c>
      <c r="G5" s="7" t="s">
        <v>58</v>
      </c>
      <c r="H5" s="10" t="s">
        <v>11</v>
      </c>
      <c r="I5" s="7" t="s">
        <v>5</v>
      </c>
      <c r="J5" s="13" t="s">
        <v>34</v>
      </c>
      <c r="K5" s="13" t="s">
        <v>1</v>
      </c>
      <c r="L5" s="7" t="s">
        <v>8</v>
      </c>
      <c r="M5" s="13" t="s">
        <v>10</v>
      </c>
      <c r="N5" s="2"/>
    </row>
    <row r="6" spans="1:14" hidden="1">
      <c r="A6" s="136" t="s">
        <v>60</v>
      </c>
      <c r="B6" s="1" t="s">
        <v>6</v>
      </c>
      <c r="C6" s="3">
        <v>0</v>
      </c>
      <c r="D6" s="3">
        <v>0</v>
      </c>
      <c r="E6" s="3">
        <f>+F6+J6+K6+M6</f>
        <v>0</v>
      </c>
      <c r="F6" s="3">
        <v>0</v>
      </c>
      <c r="G6" s="3">
        <v>0</v>
      </c>
      <c r="H6" s="11"/>
      <c r="I6" s="3">
        <f>C6-D6</f>
        <v>0</v>
      </c>
      <c r="J6" s="3">
        <v>0</v>
      </c>
      <c r="K6" s="3">
        <v>0</v>
      </c>
      <c r="L6" s="3">
        <f>C6-K6</f>
        <v>0</v>
      </c>
      <c r="M6" s="3">
        <v>0</v>
      </c>
      <c r="N6" s="12"/>
    </row>
    <row r="7" spans="1:14" hidden="1">
      <c r="A7" s="137"/>
      <c r="B7" s="1" t="s">
        <v>7</v>
      </c>
      <c r="C7" s="3">
        <v>884.6</v>
      </c>
      <c r="D7" s="3">
        <v>884.6</v>
      </c>
      <c r="E7" s="3">
        <f>+F7+J7+K7+M7</f>
        <v>884.6</v>
      </c>
      <c r="F7" s="3">
        <v>0</v>
      </c>
      <c r="G7" s="3">
        <v>0</v>
      </c>
      <c r="H7" s="11"/>
      <c r="I7" s="3">
        <f>C7-D7</f>
        <v>0</v>
      </c>
      <c r="J7" s="3">
        <v>0</v>
      </c>
      <c r="K7" s="3">
        <v>884.6</v>
      </c>
      <c r="L7" s="3">
        <f>C7-K7</f>
        <v>0</v>
      </c>
      <c r="M7" s="3">
        <v>0</v>
      </c>
      <c r="N7" s="81"/>
    </row>
    <row r="8" spans="1:14" hidden="1">
      <c r="A8" s="138"/>
      <c r="B8" s="1"/>
      <c r="C8" s="4">
        <f>SUM(C6:C7)</f>
        <v>884.6</v>
      </c>
      <c r="D8" s="4">
        <f t="shared" ref="D8:H8" si="0">SUM(D6:D7)</f>
        <v>884.6</v>
      </c>
      <c r="E8" s="4">
        <f t="shared" si="0"/>
        <v>884.6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>SUM(I6:I7)</f>
        <v>0</v>
      </c>
      <c r="J8" s="4">
        <f t="shared" ref="J8:K8" si="1">SUM(J6:J7)</f>
        <v>0</v>
      </c>
      <c r="K8" s="4">
        <f t="shared" si="1"/>
        <v>884.6</v>
      </c>
      <c r="L8" s="4">
        <f>SUM(L6:L7)</f>
        <v>0</v>
      </c>
      <c r="M8" s="4">
        <f>SUM(M6:M7)</f>
        <v>0</v>
      </c>
      <c r="N8" s="12"/>
    </row>
    <row r="9" spans="1:14" hidden="1">
      <c r="A9" s="136" t="s">
        <v>61</v>
      </c>
      <c r="B9" s="1" t="s">
        <v>6</v>
      </c>
      <c r="C9" s="3">
        <v>0</v>
      </c>
      <c r="D9" s="3">
        <v>0</v>
      </c>
      <c r="E9" s="3">
        <f>+F9+J9+K9+M9</f>
        <v>0</v>
      </c>
      <c r="F9" s="3">
        <v>0</v>
      </c>
      <c r="G9" s="3">
        <v>0</v>
      </c>
      <c r="H9" s="11"/>
      <c r="I9" s="3">
        <f>C9-D9</f>
        <v>0</v>
      </c>
      <c r="J9" s="3">
        <v>0</v>
      </c>
      <c r="K9" s="3">
        <v>0</v>
      </c>
      <c r="L9" s="3">
        <f>C9-K9</f>
        <v>0</v>
      </c>
      <c r="M9" s="3">
        <v>0</v>
      </c>
      <c r="N9" s="12"/>
    </row>
    <row r="10" spans="1:14" hidden="1">
      <c r="A10" s="137"/>
      <c r="B10" s="1" t="s">
        <v>7</v>
      </c>
      <c r="C10" s="3">
        <v>28.513999999999999</v>
      </c>
      <c r="D10" s="3">
        <v>28.513999999999999</v>
      </c>
      <c r="E10" s="3">
        <f>+F10+J10+K10+M10</f>
        <v>28.513999999999999</v>
      </c>
      <c r="F10" s="3">
        <v>0</v>
      </c>
      <c r="G10" s="3">
        <v>0</v>
      </c>
      <c r="H10" s="11"/>
      <c r="I10" s="3">
        <f>C10-D10</f>
        <v>0</v>
      </c>
      <c r="J10" s="3">
        <v>0</v>
      </c>
      <c r="K10" s="3">
        <v>28.513999999999999</v>
      </c>
      <c r="L10" s="3">
        <f>C10-K10</f>
        <v>0</v>
      </c>
      <c r="M10" s="3">
        <v>0</v>
      </c>
      <c r="N10" s="81"/>
    </row>
    <row r="11" spans="1:14" hidden="1">
      <c r="A11" s="138"/>
      <c r="B11" s="1"/>
      <c r="C11" s="4">
        <f>SUM(C9:C10)</f>
        <v>28.513999999999999</v>
      </c>
      <c r="D11" s="4">
        <f t="shared" ref="D11:H11" si="2">SUM(D9:D10)</f>
        <v>28.513999999999999</v>
      </c>
      <c r="E11" s="4">
        <f t="shared" si="2"/>
        <v>28.513999999999999</v>
      </c>
      <c r="F11" s="4">
        <f t="shared" si="2"/>
        <v>0</v>
      </c>
      <c r="G11" s="4">
        <f t="shared" si="2"/>
        <v>0</v>
      </c>
      <c r="H11" s="4">
        <f t="shared" si="2"/>
        <v>0</v>
      </c>
      <c r="I11" s="4">
        <f>SUM(I9:I10)</f>
        <v>0</v>
      </c>
      <c r="J11" s="4">
        <f t="shared" ref="J11" si="3">SUM(J9:J10)</f>
        <v>0</v>
      </c>
      <c r="K11" s="4">
        <f>SUM(K9:K10)</f>
        <v>28.513999999999999</v>
      </c>
      <c r="L11" s="4">
        <f>SUM(L9:L10)</f>
        <v>0</v>
      </c>
      <c r="M11" s="4">
        <f>SUM(M9:M10)</f>
        <v>0</v>
      </c>
      <c r="N11" s="12"/>
    </row>
    <row r="12" spans="1:14" hidden="1">
      <c r="A12" s="14"/>
      <c r="B12" s="18"/>
      <c r="C12" s="19">
        <f>+C11+C8</f>
        <v>913.11400000000003</v>
      </c>
      <c r="D12" s="19">
        <f t="shared" ref="D12:H12" si="4">+D11+D8</f>
        <v>913.11400000000003</v>
      </c>
      <c r="E12" s="19">
        <f t="shared" si="4"/>
        <v>913.11400000000003</v>
      </c>
      <c r="F12" s="19">
        <f t="shared" si="4"/>
        <v>0</v>
      </c>
      <c r="G12" s="19">
        <f t="shared" si="4"/>
        <v>0</v>
      </c>
      <c r="H12" s="19">
        <f t="shared" si="4"/>
        <v>0</v>
      </c>
      <c r="I12" s="19">
        <f>+I11+I8</f>
        <v>0</v>
      </c>
      <c r="J12" s="19">
        <f t="shared" ref="J12" si="5">+J11+J8</f>
        <v>0</v>
      </c>
      <c r="K12" s="19">
        <f>+K11+K8</f>
        <v>913.11400000000003</v>
      </c>
      <c r="L12" s="19">
        <f>+L11+L8</f>
        <v>0</v>
      </c>
      <c r="M12" s="19">
        <f>+M11+M8</f>
        <v>0</v>
      </c>
      <c r="N12" s="20"/>
    </row>
    <row r="13" spans="1:14" hidden="1">
      <c r="A13" s="14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hidden="1">
      <c r="A14" s="136" t="s">
        <v>62</v>
      </c>
      <c r="B14" s="1" t="s">
        <v>6</v>
      </c>
      <c r="C14" s="3">
        <v>0</v>
      </c>
      <c r="D14" s="3">
        <v>0</v>
      </c>
      <c r="E14" s="3">
        <f t="shared" ref="E14" si="6">+F14+J14+K14+M14</f>
        <v>0</v>
      </c>
      <c r="F14" s="3">
        <v>0</v>
      </c>
      <c r="G14" s="3">
        <v>0</v>
      </c>
      <c r="H14" s="11"/>
      <c r="I14" s="3">
        <f>C14-D14</f>
        <v>0</v>
      </c>
      <c r="J14" s="3">
        <v>0</v>
      </c>
      <c r="K14" s="3">
        <v>0</v>
      </c>
      <c r="L14" s="3">
        <f>C14-K14</f>
        <v>0</v>
      </c>
      <c r="M14" s="3">
        <v>0</v>
      </c>
      <c r="N14" s="12"/>
    </row>
    <row r="15" spans="1:14" hidden="1">
      <c r="A15" s="137"/>
      <c r="B15" s="1" t="s">
        <v>7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11"/>
      <c r="I15" s="3">
        <f>C15-D15</f>
        <v>0</v>
      </c>
      <c r="J15" s="3">
        <v>0</v>
      </c>
      <c r="K15" s="3">
        <v>0</v>
      </c>
      <c r="L15" s="3">
        <f>C15-K15</f>
        <v>0</v>
      </c>
      <c r="M15" s="3">
        <v>0</v>
      </c>
      <c r="N15" s="81"/>
    </row>
    <row r="16" spans="1:14" hidden="1">
      <c r="A16" s="138"/>
      <c r="B16" s="1"/>
      <c r="C16" s="4">
        <f>SUM(C14:C15)</f>
        <v>0</v>
      </c>
      <c r="D16" s="4">
        <f t="shared" ref="D16:H16" si="7">SUM(D14:D15)</f>
        <v>0</v>
      </c>
      <c r="E16" s="4">
        <f t="shared" si="7"/>
        <v>0</v>
      </c>
      <c r="F16" s="4">
        <f t="shared" si="7"/>
        <v>0</v>
      </c>
      <c r="G16" s="4">
        <f t="shared" si="7"/>
        <v>0</v>
      </c>
      <c r="H16" s="4">
        <f t="shared" si="7"/>
        <v>0</v>
      </c>
      <c r="I16" s="4">
        <f>SUM(I14:I15)</f>
        <v>0</v>
      </c>
      <c r="J16" s="4">
        <f t="shared" ref="J16:K16" si="8">SUM(J14:J15)</f>
        <v>0</v>
      </c>
      <c r="K16" s="4">
        <f t="shared" si="8"/>
        <v>0</v>
      </c>
      <c r="L16" s="4">
        <f>SUM(L14:L15)</f>
        <v>0</v>
      </c>
      <c r="M16" s="4">
        <f>SUM(M14:M15)</f>
        <v>0</v>
      </c>
      <c r="N16" s="12"/>
    </row>
    <row r="17" spans="1:14" hidden="1">
      <c r="A17" s="136" t="s">
        <v>63</v>
      </c>
      <c r="B17" s="1" t="s">
        <v>6</v>
      </c>
      <c r="C17" s="3">
        <v>0</v>
      </c>
      <c r="D17" s="3">
        <v>0</v>
      </c>
      <c r="E17" s="3">
        <f t="shared" ref="E17:E18" si="9">+F17+J17+K17+M17</f>
        <v>0</v>
      </c>
      <c r="F17" s="3">
        <v>0</v>
      </c>
      <c r="G17" s="3">
        <v>0</v>
      </c>
      <c r="H17" s="11"/>
      <c r="I17" s="3">
        <f>C17-D17</f>
        <v>0</v>
      </c>
      <c r="J17" s="3">
        <v>0</v>
      </c>
      <c r="K17" s="3">
        <v>0</v>
      </c>
      <c r="L17" s="3">
        <f>C17-K17</f>
        <v>0</v>
      </c>
      <c r="M17" s="3">
        <v>0</v>
      </c>
      <c r="N17" s="12"/>
    </row>
    <row r="18" spans="1:14" hidden="1">
      <c r="A18" s="137"/>
      <c r="B18" s="1" t="s">
        <v>7</v>
      </c>
      <c r="C18" s="3">
        <v>6.7569999999999997</v>
      </c>
      <c r="D18" s="3">
        <v>6.7569999999999997</v>
      </c>
      <c r="E18" s="3">
        <f t="shared" si="9"/>
        <v>6.7569999999999997</v>
      </c>
      <c r="F18" s="3">
        <v>0</v>
      </c>
      <c r="G18" s="3">
        <v>0</v>
      </c>
      <c r="H18" s="11"/>
      <c r="I18" s="3">
        <f>C18-D18</f>
        <v>0</v>
      </c>
      <c r="J18" s="3">
        <v>0</v>
      </c>
      <c r="K18" s="3">
        <v>6.7569999999999997</v>
      </c>
      <c r="L18" s="3">
        <f>C18-K18</f>
        <v>0</v>
      </c>
      <c r="M18" s="3">
        <v>0</v>
      </c>
      <c r="N18" s="81"/>
    </row>
    <row r="19" spans="1:14" hidden="1">
      <c r="A19" s="138"/>
      <c r="B19" s="1"/>
      <c r="C19" s="4">
        <f>SUM(C17:C18)</f>
        <v>6.7569999999999997</v>
      </c>
      <c r="D19" s="4">
        <f t="shared" ref="D19:H19" si="10">SUM(D17:D18)</f>
        <v>6.7569999999999997</v>
      </c>
      <c r="E19" s="4">
        <f t="shared" si="10"/>
        <v>6.7569999999999997</v>
      </c>
      <c r="F19" s="4">
        <f t="shared" si="10"/>
        <v>0</v>
      </c>
      <c r="G19" s="4">
        <f t="shared" si="10"/>
        <v>0</v>
      </c>
      <c r="H19" s="4">
        <f t="shared" si="10"/>
        <v>0</v>
      </c>
      <c r="I19" s="4">
        <f>SUM(I17:I18)</f>
        <v>0</v>
      </c>
      <c r="J19" s="4">
        <f t="shared" ref="J19:K19" si="11">SUM(J17:J18)</f>
        <v>0</v>
      </c>
      <c r="K19" s="4">
        <f t="shared" si="11"/>
        <v>6.7569999999999997</v>
      </c>
      <c r="L19" s="4">
        <f>SUM(L17:L18)</f>
        <v>0</v>
      </c>
      <c r="M19" s="4">
        <f>SUM(M17:M18)</f>
        <v>0</v>
      </c>
      <c r="N19" s="12"/>
    </row>
    <row r="20" spans="1:14" hidden="1">
      <c r="A20" s="14"/>
      <c r="B20" s="18"/>
      <c r="C20" s="19">
        <f>+C19+C16</f>
        <v>6.7569999999999997</v>
      </c>
      <c r="D20" s="19">
        <f t="shared" ref="D20:H20" si="12">+D19+D16</f>
        <v>6.7569999999999997</v>
      </c>
      <c r="E20" s="19">
        <f t="shared" si="12"/>
        <v>6.7569999999999997</v>
      </c>
      <c r="F20" s="19">
        <f t="shared" si="12"/>
        <v>0</v>
      </c>
      <c r="G20" s="19">
        <f t="shared" si="12"/>
        <v>0</v>
      </c>
      <c r="H20" s="19">
        <f t="shared" si="12"/>
        <v>0</v>
      </c>
      <c r="I20" s="19">
        <f>+I19+I16</f>
        <v>0</v>
      </c>
      <c r="J20" s="19">
        <f t="shared" ref="J20:K20" si="13">+J19+J16</f>
        <v>0</v>
      </c>
      <c r="K20" s="19">
        <f t="shared" si="13"/>
        <v>6.7569999999999997</v>
      </c>
      <c r="L20" s="19">
        <f>+L19+L16</f>
        <v>0</v>
      </c>
      <c r="M20" s="19">
        <f>+M19+M16</f>
        <v>0</v>
      </c>
      <c r="N20" s="20"/>
    </row>
    <row r="21" spans="1:14" hidden="1">
      <c r="A21" s="14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0"/>
    </row>
    <row r="22" spans="1:14" hidden="1">
      <c r="A22" s="136" t="s">
        <v>64</v>
      </c>
      <c r="B22" s="1" t="s">
        <v>6</v>
      </c>
      <c r="C22" s="3">
        <v>0</v>
      </c>
      <c r="D22" s="3">
        <v>0</v>
      </c>
      <c r="E22" s="3">
        <f t="shared" ref="E22" si="14">+F22+J22+K22+M22</f>
        <v>0</v>
      </c>
      <c r="F22" s="3">
        <v>0</v>
      </c>
      <c r="G22" s="3">
        <v>0</v>
      </c>
      <c r="H22" s="11"/>
      <c r="I22" s="3">
        <f>C22-D22</f>
        <v>0</v>
      </c>
      <c r="J22" s="3">
        <v>0</v>
      </c>
      <c r="K22" s="3">
        <v>0</v>
      </c>
      <c r="L22" s="3">
        <f>C22-K22</f>
        <v>0</v>
      </c>
      <c r="M22" s="3">
        <v>0</v>
      </c>
      <c r="N22" s="12"/>
    </row>
    <row r="23" spans="1:14" hidden="1">
      <c r="A23" s="137"/>
      <c r="B23" s="1" t="s">
        <v>7</v>
      </c>
      <c r="C23" s="3">
        <v>853.55399999999997</v>
      </c>
      <c r="D23" s="3">
        <v>853.55399999999997</v>
      </c>
      <c r="E23" s="3">
        <v>0</v>
      </c>
      <c r="F23" s="3">
        <v>0</v>
      </c>
      <c r="G23" s="3">
        <v>0</v>
      </c>
      <c r="H23" s="11"/>
      <c r="I23" s="3">
        <f>C23-D23</f>
        <v>0</v>
      </c>
      <c r="J23" s="3">
        <v>0</v>
      </c>
      <c r="K23" s="3">
        <v>853.55399999999997</v>
      </c>
      <c r="L23" s="3">
        <f>C23-K23</f>
        <v>0</v>
      </c>
      <c r="M23" s="3">
        <v>0</v>
      </c>
      <c r="N23" s="81"/>
    </row>
    <row r="24" spans="1:14" hidden="1">
      <c r="A24" s="138"/>
      <c r="B24" s="1"/>
      <c r="C24" s="4">
        <f>SUM(C22:C23)</f>
        <v>853.55399999999997</v>
      </c>
      <c r="D24" s="4">
        <f t="shared" ref="D24:H24" si="15">SUM(D22:D23)</f>
        <v>853.55399999999997</v>
      </c>
      <c r="E24" s="4">
        <f t="shared" si="15"/>
        <v>0</v>
      </c>
      <c r="F24" s="4">
        <f t="shared" si="15"/>
        <v>0</v>
      </c>
      <c r="G24" s="4">
        <f t="shared" si="15"/>
        <v>0</v>
      </c>
      <c r="H24" s="4">
        <f t="shared" si="15"/>
        <v>0</v>
      </c>
      <c r="I24" s="4">
        <f>SUM(I22:I23)</f>
        <v>0</v>
      </c>
      <c r="J24" s="4">
        <f t="shared" ref="J24:K24" si="16">SUM(J22:J23)</f>
        <v>0</v>
      </c>
      <c r="K24" s="4">
        <f t="shared" si="16"/>
        <v>853.55399999999997</v>
      </c>
      <c r="L24" s="4">
        <f>SUM(L22:L23)</f>
        <v>0</v>
      </c>
      <c r="M24" s="4">
        <f>SUM(M22:M23)</f>
        <v>0</v>
      </c>
      <c r="N24" s="12"/>
    </row>
    <row r="25" spans="1:14" hidden="1">
      <c r="A25" s="136" t="s">
        <v>65</v>
      </c>
      <c r="B25" s="1" t="s">
        <v>6</v>
      </c>
      <c r="C25" s="3">
        <v>0</v>
      </c>
      <c r="D25" s="3">
        <v>0</v>
      </c>
      <c r="E25" s="3">
        <f t="shared" ref="E25:E26" si="17">+F25+J25+K25+M25</f>
        <v>0</v>
      </c>
      <c r="F25" s="3">
        <v>0</v>
      </c>
      <c r="G25" s="3">
        <v>0</v>
      </c>
      <c r="H25" s="11"/>
      <c r="I25" s="3">
        <f>C25-D25</f>
        <v>0</v>
      </c>
      <c r="J25" s="3">
        <v>0</v>
      </c>
      <c r="K25" s="3">
        <v>0</v>
      </c>
      <c r="L25" s="3">
        <f>C25-K25</f>
        <v>0</v>
      </c>
      <c r="M25" s="3">
        <v>0</v>
      </c>
      <c r="N25" s="12"/>
    </row>
    <row r="26" spans="1:14" hidden="1">
      <c r="A26" s="137"/>
      <c r="B26" s="1" t="s">
        <v>7</v>
      </c>
      <c r="C26" s="3">
        <v>247.61099999999999</v>
      </c>
      <c r="D26" s="3">
        <v>247.61099999999999</v>
      </c>
      <c r="E26" s="3">
        <f t="shared" si="17"/>
        <v>247.61099999999999</v>
      </c>
      <c r="F26" s="3">
        <v>0</v>
      </c>
      <c r="G26" s="3">
        <v>0</v>
      </c>
      <c r="H26" s="11"/>
      <c r="I26" s="3">
        <f>C26-D26</f>
        <v>0</v>
      </c>
      <c r="J26" s="3">
        <v>0</v>
      </c>
      <c r="K26" s="3">
        <v>247.61099999999999</v>
      </c>
      <c r="L26" s="3">
        <f>C26-K26</f>
        <v>0</v>
      </c>
      <c r="M26" s="3">
        <v>0</v>
      </c>
      <c r="N26" s="81"/>
    </row>
    <row r="27" spans="1:14" hidden="1">
      <c r="A27" s="138"/>
      <c r="B27" s="1"/>
      <c r="C27" s="4">
        <f>SUM(C25:C26)</f>
        <v>247.61099999999999</v>
      </c>
      <c r="D27" s="4">
        <f t="shared" ref="D27:H27" si="18">SUM(D25:D26)</f>
        <v>247.61099999999999</v>
      </c>
      <c r="E27" s="4">
        <f t="shared" si="18"/>
        <v>247.61099999999999</v>
      </c>
      <c r="F27" s="4">
        <f t="shared" si="18"/>
        <v>0</v>
      </c>
      <c r="G27" s="4">
        <f t="shared" si="18"/>
        <v>0</v>
      </c>
      <c r="H27" s="4">
        <f t="shared" si="18"/>
        <v>0</v>
      </c>
      <c r="I27" s="4">
        <f>SUM(I25:I26)</f>
        <v>0</v>
      </c>
      <c r="J27" s="4">
        <f t="shared" ref="J27" si="19">SUM(J25:J26)</f>
        <v>0</v>
      </c>
      <c r="K27" s="4">
        <f>SUM(K25:K26)</f>
        <v>247.61099999999999</v>
      </c>
      <c r="L27" s="4">
        <f>SUM(L25:L26)</f>
        <v>0</v>
      </c>
      <c r="M27" s="4">
        <f>SUM(M25:M26)</f>
        <v>0</v>
      </c>
      <c r="N27" s="12"/>
    </row>
    <row r="28" spans="1:14" hidden="1">
      <c r="A28" s="14"/>
      <c r="B28" s="18"/>
      <c r="C28" s="19">
        <f>+C27+C24</f>
        <v>1101.165</v>
      </c>
      <c r="D28" s="19">
        <f t="shared" ref="D28:H28" si="20">+D27+D24</f>
        <v>1101.165</v>
      </c>
      <c r="E28" s="19">
        <f t="shared" si="20"/>
        <v>247.61099999999999</v>
      </c>
      <c r="F28" s="19">
        <f t="shared" si="20"/>
        <v>0</v>
      </c>
      <c r="G28" s="19">
        <f t="shared" si="20"/>
        <v>0</v>
      </c>
      <c r="H28" s="19">
        <f t="shared" si="20"/>
        <v>0</v>
      </c>
      <c r="I28" s="19">
        <f>+I27+I24</f>
        <v>0</v>
      </c>
      <c r="J28" s="19">
        <f t="shared" ref="J28:K28" si="21">+J27+J24</f>
        <v>0</v>
      </c>
      <c r="K28" s="19">
        <f t="shared" si="21"/>
        <v>1101.165</v>
      </c>
      <c r="L28" s="19">
        <f>+L27+L24</f>
        <v>0</v>
      </c>
      <c r="M28" s="19">
        <f>+M27+M24</f>
        <v>0</v>
      </c>
      <c r="N28" s="20"/>
    </row>
    <row r="29" spans="1:14" hidden="1">
      <c r="A29" s="14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20"/>
    </row>
    <row r="30" spans="1:14" hidden="1">
      <c r="A30" s="136" t="s">
        <v>66</v>
      </c>
      <c r="B30" s="1" t="s">
        <v>6</v>
      </c>
      <c r="C30" s="3">
        <v>0</v>
      </c>
      <c r="D30" s="3">
        <v>0</v>
      </c>
      <c r="E30" s="3">
        <f t="shared" ref="E30" si="22">+F30+J30+K30+M30</f>
        <v>0</v>
      </c>
      <c r="F30" s="3">
        <v>0</v>
      </c>
      <c r="G30" s="3">
        <v>0</v>
      </c>
      <c r="H30" s="11"/>
      <c r="I30" s="3">
        <f>C30-D30</f>
        <v>0</v>
      </c>
      <c r="J30" s="3">
        <v>0</v>
      </c>
      <c r="K30" s="3">
        <v>0</v>
      </c>
      <c r="L30" s="3">
        <f>C30-K30</f>
        <v>0</v>
      </c>
      <c r="M30" s="3">
        <v>0</v>
      </c>
      <c r="N30" s="12"/>
    </row>
    <row r="31" spans="1:14" hidden="1">
      <c r="A31" s="137"/>
      <c r="B31" s="1" t="s">
        <v>7</v>
      </c>
      <c r="C31" s="3">
        <v>39.186</v>
      </c>
      <c r="D31" s="3">
        <v>39.186</v>
      </c>
      <c r="E31" s="3">
        <v>0</v>
      </c>
      <c r="F31" s="3">
        <v>0</v>
      </c>
      <c r="G31" s="3">
        <v>0</v>
      </c>
      <c r="H31" s="11"/>
      <c r="I31" s="3">
        <f>C31-D31</f>
        <v>0</v>
      </c>
      <c r="J31" s="3">
        <v>0</v>
      </c>
      <c r="K31" s="3">
        <v>39.186</v>
      </c>
      <c r="L31" s="3">
        <f>C31-K31</f>
        <v>0</v>
      </c>
      <c r="M31" s="3">
        <v>0</v>
      </c>
      <c r="N31" s="81"/>
    </row>
    <row r="32" spans="1:14" hidden="1">
      <c r="A32" s="138"/>
      <c r="B32" s="1"/>
      <c r="C32" s="4">
        <f>SUM(C30:C31)</f>
        <v>39.186</v>
      </c>
      <c r="D32" s="4">
        <f t="shared" ref="D32:H32" si="23">SUM(D30:D31)</f>
        <v>39.186</v>
      </c>
      <c r="E32" s="4">
        <f t="shared" si="23"/>
        <v>0</v>
      </c>
      <c r="F32" s="4">
        <f t="shared" si="23"/>
        <v>0</v>
      </c>
      <c r="G32" s="4">
        <f t="shared" si="23"/>
        <v>0</v>
      </c>
      <c r="H32" s="4">
        <f t="shared" si="23"/>
        <v>0</v>
      </c>
      <c r="I32" s="4">
        <f>SUM(I30:I31)</f>
        <v>0</v>
      </c>
      <c r="J32" s="4">
        <f t="shared" ref="J32:K32" si="24">SUM(J30:J31)</f>
        <v>0</v>
      </c>
      <c r="K32" s="4">
        <f t="shared" si="24"/>
        <v>39.186</v>
      </c>
      <c r="L32" s="4">
        <f>SUM(L30:L31)</f>
        <v>0</v>
      </c>
      <c r="M32" s="4">
        <f>SUM(M30:M31)</f>
        <v>0</v>
      </c>
      <c r="N32" s="12"/>
    </row>
    <row r="33" spans="1:14" hidden="1">
      <c r="A33" s="136" t="s">
        <v>67</v>
      </c>
      <c r="B33" s="1" t="s">
        <v>6</v>
      </c>
      <c r="C33" s="3">
        <v>0</v>
      </c>
      <c r="D33" s="3">
        <v>0</v>
      </c>
      <c r="E33" s="3">
        <f t="shared" ref="E33:E34" si="25">+F33+J33+K33+M33</f>
        <v>0</v>
      </c>
      <c r="F33" s="3">
        <v>0</v>
      </c>
      <c r="G33" s="3">
        <v>0</v>
      </c>
      <c r="H33" s="11"/>
      <c r="I33" s="3">
        <f>C33-D33</f>
        <v>0</v>
      </c>
      <c r="J33" s="3">
        <v>0</v>
      </c>
      <c r="K33" s="3">
        <v>0</v>
      </c>
      <c r="L33" s="3">
        <f>C33-K33</f>
        <v>0</v>
      </c>
      <c r="M33" s="3">
        <v>0</v>
      </c>
      <c r="N33" s="12"/>
    </row>
    <row r="34" spans="1:14" hidden="1">
      <c r="A34" s="137"/>
      <c r="B34" s="1" t="s">
        <v>7</v>
      </c>
      <c r="C34" s="3">
        <v>2.02</v>
      </c>
      <c r="D34" s="3">
        <v>2.02</v>
      </c>
      <c r="E34" s="3">
        <f t="shared" si="25"/>
        <v>2.02</v>
      </c>
      <c r="F34" s="3">
        <v>0</v>
      </c>
      <c r="G34" s="3">
        <v>0</v>
      </c>
      <c r="H34" s="11"/>
      <c r="I34" s="3">
        <f>C34-D34</f>
        <v>0</v>
      </c>
      <c r="J34" s="3">
        <v>0</v>
      </c>
      <c r="K34" s="3">
        <v>2.02</v>
      </c>
      <c r="L34" s="3">
        <f>C34-K34</f>
        <v>0</v>
      </c>
      <c r="M34" s="3">
        <v>0</v>
      </c>
      <c r="N34" s="81"/>
    </row>
    <row r="35" spans="1:14" hidden="1">
      <c r="A35" s="138"/>
      <c r="B35" s="1"/>
      <c r="C35" s="4">
        <f>SUM(C33:C34)</f>
        <v>2.02</v>
      </c>
      <c r="D35" s="4">
        <f t="shared" ref="D35:H35" si="26">SUM(D33:D34)</f>
        <v>2.02</v>
      </c>
      <c r="E35" s="4">
        <f t="shared" si="26"/>
        <v>2.02</v>
      </c>
      <c r="F35" s="4">
        <f t="shared" si="26"/>
        <v>0</v>
      </c>
      <c r="G35" s="4">
        <f t="shared" si="26"/>
        <v>0</v>
      </c>
      <c r="H35" s="4">
        <f t="shared" si="26"/>
        <v>0</v>
      </c>
      <c r="I35" s="4">
        <f>SUM(I33:I34)</f>
        <v>0</v>
      </c>
      <c r="J35" s="4">
        <f t="shared" ref="J35" si="27">SUM(J33:J34)</f>
        <v>0</v>
      </c>
      <c r="K35" s="4">
        <f>SUM(K33:K34)</f>
        <v>2.02</v>
      </c>
      <c r="L35" s="4">
        <f>SUM(L33:L34)</f>
        <v>0</v>
      </c>
      <c r="M35" s="4">
        <f>SUM(M33:M34)</f>
        <v>0</v>
      </c>
      <c r="N35" s="12"/>
    </row>
    <row r="36" spans="1:14" hidden="1">
      <c r="A36" s="14"/>
      <c r="B36" s="18"/>
      <c r="C36" s="19">
        <f>+C35+C32</f>
        <v>41.206000000000003</v>
      </c>
      <c r="D36" s="19">
        <f t="shared" ref="D36:H36" si="28">+D35+D32</f>
        <v>41.206000000000003</v>
      </c>
      <c r="E36" s="19">
        <f t="shared" si="28"/>
        <v>2.02</v>
      </c>
      <c r="F36" s="19">
        <f t="shared" si="28"/>
        <v>0</v>
      </c>
      <c r="G36" s="19">
        <f t="shared" si="28"/>
        <v>0</v>
      </c>
      <c r="H36" s="19">
        <f t="shared" si="28"/>
        <v>0</v>
      </c>
      <c r="I36" s="19">
        <f>+I35+I32</f>
        <v>0</v>
      </c>
      <c r="J36" s="19">
        <f t="shared" ref="J36:K36" si="29">+J35+J32</f>
        <v>0</v>
      </c>
      <c r="K36" s="19">
        <f t="shared" si="29"/>
        <v>41.206000000000003</v>
      </c>
      <c r="L36" s="19">
        <f>+L35+L32</f>
        <v>0</v>
      </c>
      <c r="M36" s="19">
        <f>+M35+M32</f>
        <v>0</v>
      </c>
      <c r="N36" s="20"/>
    </row>
    <row r="37" spans="1:14" hidden="1">
      <c r="A37" s="14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spans="1:14" hidden="1">
      <c r="A38" s="136" t="s">
        <v>68</v>
      </c>
      <c r="B38" s="1" t="s">
        <v>6</v>
      </c>
      <c r="C38" s="3">
        <v>0</v>
      </c>
      <c r="D38" s="3">
        <v>0</v>
      </c>
      <c r="E38" s="3">
        <f t="shared" ref="E38" si="30">+F38+J38+K38+M38</f>
        <v>0</v>
      </c>
      <c r="F38" s="3">
        <v>0</v>
      </c>
      <c r="G38" s="3">
        <v>0</v>
      </c>
      <c r="H38" s="11"/>
      <c r="I38" s="3">
        <f>C38-D38</f>
        <v>0</v>
      </c>
      <c r="J38" s="3">
        <v>0</v>
      </c>
      <c r="K38" s="3">
        <v>0</v>
      </c>
      <c r="L38" s="3">
        <f>C38-K38</f>
        <v>0</v>
      </c>
      <c r="M38" s="3">
        <v>0</v>
      </c>
      <c r="N38" s="12"/>
    </row>
    <row r="39" spans="1:14" hidden="1">
      <c r="A39" s="137"/>
      <c r="B39" s="1" t="s">
        <v>7</v>
      </c>
      <c r="C39" s="3">
        <v>1825.6959999999999</v>
      </c>
      <c r="D39" s="3">
        <v>1825.6959999999999</v>
      </c>
      <c r="E39" s="3">
        <v>0</v>
      </c>
      <c r="F39" s="3">
        <v>0</v>
      </c>
      <c r="G39" s="3">
        <v>0</v>
      </c>
      <c r="H39" s="11"/>
      <c r="I39" s="3">
        <f>C39-D39</f>
        <v>0</v>
      </c>
      <c r="J39" s="3">
        <v>0</v>
      </c>
      <c r="K39" s="3">
        <v>1825.6959999999999</v>
      </c>
      <c r="L39" s="3">
        <f>C39-K39</f>
        <v>0</v>
      </c>
      <c r="M39" s="3">
        <v>0</v>
      </c>
      <c r="N39" s="81"/>
    </row>
    <row r="40" spans="1:14" hidden="1">
      <c r="A40" s="138"/>
      <c r="B40" s="1"/>
      <c r="C40" s="4">
        <f>SUM(C38:C39)</f>
        <v>1825.6959999999999</v>
      </c>
      <c r="D40" s="4">
        <f t="shared" ref="D40:H40" si="31">SUM(D38:D39)</f>
        <v>1825.6959999999999</v>
      </c>
      <c r="E40" s="4">
        <f t="shared" si="31"/>
        <v>0</v>
      </c>
      <c r="F40" s="4">
        <f t="shared" si="31"/>
        <v>0</v>
      </c>
      <c r="G40" s="4">
        <f t="shared" si="31"/>
        <v>0</v>
      </c>
      <c r="H40" s="4">
        <f t="shared" si="31"/>
        <v>0</v>
      </c>
      <c r="I40" s="4">
        <f>SUM(I38:I39)</f>
        <v>0</v>
      </c>
      <c r="J40" s="4">
        <f t="shared" ref="J40:K40" si="32">SUM(J38:J39)</f>
        <v>0</v>
      </c>
      <c r="K40" s="4">
        <f t="shared" si="32"/>
        <v>1825.6959999999999</v>
      </c>
      <c r="L40" s="4">
        <f>SUM(L38:L39)</f>
        <v>0</v>
      </c>
      <c r="M40" s="4">
        <f>SUM(M38:M39)</f>
        <v>0</v>
      </c>
      <c r="N40" s="12"/>
    </row>
    <row r="41" spans="1:14" hidden="1">
      <c r="A41" s="136" t="s">
        <v>69</v>
      </c>
      <c r="B41" s="1" t="s">
        <v>6</v>
      </c>
      <c r="C41" s="3">
        <v>0</v>
      </c>
      <c r="D41" s="3">
        <v>0</v>
      </c>
      <c r="E41" s="3">
        <f t="shared" ref="E41:E42" si="33">+F41+J41+K41+M41</f>
        <v>0</v>
      </c>
      <c r="F41" s="3">
        <v>0</v>
      </c>
      <c r="G41" s="3">
        <v>0</v>
      </c>
      <c r="H41" s="11"/>
      <c r="I41" s="3">
        <f>C41-D41</f>
        <v>0</v>
      </c>
      <c r="J41" s="3">
        <v>0</v>
      </c>
      <c r="K41" s="3">
        <v>0</v>
      </c>
      <c r="L41" s="3">
        <f>C41-K41</f>
        <v>0</v>
      </c>
      <c r="M41" s="3">
        <v>0</v>
      </c>
      <c r="N41" s="12"/>
    </row>
    <row r="42" spans="1:14" hidden="1">
      <c r="A42" s="137"/>
      <c r="B42" s="1" t="s">
        <v>7</v>
      </c>
      <c r="C42" s="3">
        <v>126.277</v>
      </c>
      <c r="D42" s="3">
        <v>126.277</v>
      </c>
      <c r="E42" s="3">
        <f t="shared" si="33"/>
        <v>126.277</v>
      </c>
      <c r="F42" s="3">
        <v>0</v>
      </c>
      <c r="G42" s="3">
        <v>0</v>
      </c>
      <c r="H42" s="11"/>
      <c r="I42" s="3">
        <f>C42-D42</f>
        <v>0</v>
      </c>
      <c r="J42" s="3">
        <v>0</v>
      </c>
      <c r="K42" s="3">
        <v>126.277</v>
      </c>
      <c r="L42" s="3">
        <f>C42-K42</f>
        <v>0</v>
      </c>
      <c r="M42" s="3">
        <v>0</v>
      </c>
      <c r="N42" s="81"/>
    </row>
    <row r="43" spans="1:14" hidden="1">
      <c r="A43" s="138"/>
      <c r="B43" s="1"/>
      <c r="C43" s="4">
        <f>SUM(C41:C42)</f>
        <v>126.277</v>
      </c>
      <c r="D43" s="4">
        <f t="shared" ref="D43:H43" si="34">SUM(D41:D42)</f>
        <v>126.277</v>
      </c>
      <c r="E43" s="4">
        <f t="shared" si="34"/>
        <v>126.277</v>
      </c>
      <c r="F43" s="4">
        <f t="shared" si="34"/>
        <v>0</v>
      </c>
      <c r="G43" s="4">
        <f t="shared" si="34"/>
        <v>0</v>
      </c>
      <c r="H43" s="4">
        <f t="shared" si="34"/>
        <v>0</v>
      </c>
      <c r="I43" s="4">
        <f>SUM(I41:I42)</f>
        <v>0</v>
      </c>
      <c r="J43" s="4">
        <f t="shared" ref="J43" si="35">SUM(J41:J42)</f>
        <v>0</v>
      </c>
      <c r="K43" s="4">
        <f>SUM(K41:K42)</f>
        <v>126.277</v>
      </c>
      <c r="L43" s="4">
        <f>SUM(L41:L42)</f>
        <v>0</v>
      </c>
      <c r="M43" s="4">
        <f>SUM(M41:M42)</f>
        <v>0</v>
      </c>
      <c r="N43" s="12"/>
    </row>
    <row r="44" spans="1:14" hidden="1">
      <c r="A44" s="102"/>
      <c r="B44" s="103"/>
      <c r="C44" s="104">
        <f>+C43+C40</f>
        <v>1951.973</v>
      </c>
      <c r="D44" s="104">
        <f t="shared" ref="D44:H44" si="36">+D43+D40</f>
        <v>1951.973</v>
      </c>
      <c r="E44" s="104">
        <f t="shared" si="36"/>
        <v>126.277</v>
      </c>
      <c r="F44" s="104">
        <f t="shared" si="36"/>
        <v>0</v>
      </c>
      <c r="G44" s="104">
        <f t="shared" si="36"/>
        <v>0</v>
      </c>
      <c r="H44" s="104">
        <f t="shared" si="36"/>
        <v>0</v>
      </c>
      <c r="I44" s="104">
        <f>+I43+I40</f>
        <v>0</v>
      </c>
      <c r="J44" s="104">
        <f t="shared" ref="J44" si="37">+J43+J40</f>
        <v>0</v>
      </c>
      <c r="K44" s="104">
        <f>+K43+K40</f>
        <v>1951.973</v>
      </c>
      <c r="L44" s="104">
        <f>+L43+L40</f>
        <v>0</v>
      </c>
      <c r="M44" s="104">
        <f>+M43+M40</f>
        <v>0</v>
      </c>
      <c r="N44" s="20"/>
    </row>
    <row r="45" spans="1:14" hidden="1">
      <c r="A45" s="102"/>
      <c r="B45" s="103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20"/>
    </row>
    <row r="46" spans="1:14" hidden="1">
      <c r="A46" s="136" t="s">
        <v>71</v>
      </c>
      <c r="B46" s="1" t="s">
        <v>6</v>
      </c>
      <c r="C46" s="3">
        <v>0</v>
      </c>
      <c r="D46" s="3">
        <v>0</v>
      </c>
      <c r="E46" s="3">
        <f t="shared" ref="E46" si="38">+F46+J46+K46+M46</f>
        <v>0</v>
      </c>
      <c r="F46" s="3">
        <v>0</v>
      </c>
      <c r="G46" s="3">
        <v>0</v>
      </c>
      <c r="H46" s="11"/>
      <c r="I46" s="3">
        <f>C46-D46</f>
        <v>0</v>
      </c>
      <c r="J46" s="3">
        <v>0</v>
      </c>
      <c r="K46" s="3">
        <v>0</v>
      </c>
      <c r="L46" s="3">
        <f>C46-K46</f>
        <v>0</v>
      </c>
      <c r="M46" s="3">
        <v>0</v>
      </c>
      <c r="N46" s="12"/>
    </row>
    <row r="47" spans="1:14" hidden="1">
      <c r="A47" s="137"/>
      <c r="B47" s="1" t="s">
        <v>7</v>
      </c>
      <c r="C47" s="3">
        <v>37.591000000000001</v>
      </c>
      <c r="D47" s="3">
        <v>37.591000000000001</v>
      </c>
      <c r="E47" s="3">
        <v>0</v>
      </c>
      <c r="F47" s="3">
        <v>0</v>
      </c>
      <c r="G47" s="3">
        <v>0</v>
      </c>
      <c r="H47" s="11"/>
      <c r="I47" s="3">
        <f>C47-D47</f>
        <v>0</v>
      </c>
      <c r="J47" s="3">
        <v>0</v>
      </c>
      <c r="K47" s="3">
        <v>37.591000000000001</v>
      </c>
      <c r="L47" s="3">
        <f>C47-K47</f>
        <v>0</v>
      </c>
      <c r="M47" s="3">
        <v>0</v>
      </c>
      <c r="N47" s="81"/>
    </row>
    <row r="48" spans="1:14" hidden="1">
      <c r="A48" s="138"/>
      <c r="B48" s="1"/>
      <c r="C48" s="4">
        <f>SUM(C46:C47)</f>
        <v>37.591000000000001</v>
      </c>
      <c r="D48" s="4">
        <f t="shared" ref="D48:H48" si="39">SUM(D46:D47)</f>
        <v>37.591000000000001</v>
      </c>
      <c r="E48" s="4">
        <f t="shared" si="39"/>
        <v>0</v>
      </c>
      <c r="F48" s="4">
        <f t="shared" si="39"/>
        <v>0</v>
      </c>
      <c r="G48" s="4">
        <f t="shared" si="39"/>
        <v>0</v>
      </c>
      <c r="H48" s="4">
        <f t="shared" si="39"/>
        <v>0</v>
      </c>
      <c r="I48" s="4">
        <f>SUM(I46:I47)</f>
        <v>0</v>
      </c>
      <c r="J48" s="4">
        <f t="shared" ref="J48:K48" si="40">SUM(J46:J47)</f>
        <v>0</v>
      </c>
      <c r="K48" s="4">
        <f t="shared" si="40"/>
        <v>37.591000000000001</v>
      </c>
      <c r="L48" s="4">
        <f>SUM(L46:L47)</f>
        <v>0</v>
      </c>
      <c r="M48" s="4">
        <f>SUM(M46:M47)</f>
        <v>0</v>
      </c>
      <c r="N48" s="12"/>
    </row>
    <row r="49" spans="1:14" hidden="1">
      <c r="A49" s="136" t="s">
        <v>72</v>
      </c>
      <c r="B49" s="1" t="s">
        <v>6</v>
      </c>
      <c r="C49" s="3">
        <v>0</v>
      </c>
      <c r="D49" s="3">
        <v>0</v>
      </c>
      <c r="E49" s="3">
        <f t="shared" ref="E49:E50" si="41">+F49+J49+K49+M49</f>
        <v>0</v>
      </c>
      <c r="F49" s="3">
        <v>0</v>
      </c>
      <c r="G49" s="3">
        <v>0</v>
      </c>
      <c r="H49" s="11"/>
      <c r="I49" s="3">
        <f>C49-D49</f>
        <v>0</v>
      </c>
      <c r="J49" s="3">
        <v>0</v>
      </c>
      <c r="K49" s="3">
        <v>0</v>
      </c>
      <c r="L49" s="3">
        <f>C49-K49</f>
        <v>0</v>
      </c>
      <c r="M49" s="3">
        <v>0</v>
      </c>
      <c r="N49" s="12"/>
    </row>
    <row r="50" spans="1:14" hidden="1">
      <c r="A50" s="137"/>
      <c r="B50" s="1" t="s">
        <v>7</v>
      </c>
      <c r="C50" s="3">
        <v>1194.971</v>
      </c>
      <c r="D50" s="3">
        <v>1194.971</v>
      </c>
      <c r="E50" s="3">
        <f t="shared" si="41"/>
        <v>1194.971</v>
      </c>
      <c r="F50" s="3">
        <v>0</v>
      </c>
      <c r="G50" s="3">
        <v>0</v>
      </c>
      <c r="H50" s="11"/>
      <c r="I50" s="3">
        <f>C50-D50</f>
        <v>0</v>
      </c>
      <c r="J50" s="3">
        <v>0</v>
      </c>
      <c r="K50" s="3">
        <v>1194.971</v>
      </c>
      <c r="L50" s="3">
        <f>C50-K50</f>
        <v>0</v>
      </c>
      <c r="M50" s="3">
        <v>0</v>
      </c>
      <c r="N50" s="81"/>
    </row>
    <row r="51" spans="1:14" hidden="1">
      <c r="A51" s="138"/>
      <c r="B51" s="1"/>
      <c r="C51" s="4">
        <f>SUM(C49:C50)</f>
        <v>1194.971</v>
      </c>
      <c r="D51" s="4">
        <f t="shared" ref="D51:H51" si="42">SUM(D49:D50)</f>
        <v>1194.971</v>
      </c>
      <c r="E51" s="4">
        <f t="shared" si="42"/>
        <v>1194.971</v>
      </c>
      <c r="F51" s="4">
        <f t="shared" si="42"/>
        <v>0</v>
      </c>
      <c r="G51" s="4">
        <f t="shared" si="42"/>
        <v>0</v>
      </c>
      <c r="H51" s="4">
        <f t="shared" si="42"/>
        <v>0</v>
      </c>
      <c r="I51" s="4">
        <f>SUM(I49:I50)</f>
        <v>0</v>
      </c>
      <c r="J51" s="4">
        <f t="shared" ref="J51" si="43">SUM(J49:J50)</f>
        <v>0</v>
      </c>
      <c r="K51" s="4">
        <f>SUM(K49:K50)</f>
        <v>1194.971</v>
      </c>
      <c r="L51" s="4">
        <f>SUM(L49:L50)</f>
        <v>0</v>
      </c>
      <c r="M51" s="4">
        <f>SUM(M49:M50)</f>
        <v>0</v>
      </c>
      <c r="N51" s="12"/>
    </row>
    <row r="52" spans="1:14" ht="13.8" hidden="1" thickBot="1">
      <c r="A52" s="102"/>
      <c r="B52" s="103"/>
      <c r="C52" s="104">
        <f>+C51+C48</f>
        <v>1232.5619999999999</v>
      </c>
      <c r="D52" s="104">
        <f t="shared" ref="D52:H52" si="44">+D51+D48</f>
        <v>1232.5619999999999</v>
      </c>
      <c r="E52" s="104">
        <f t="shared" si="44"/>
        <v>1194.971</v>
      </c>
      <c r="F52" s="104">
        <f t="shared" si="44"/>
        <v>0</v>
      </c>
      <c r="G52" s="104">
        <f t="shared" si="44"/>
        <v>0</v>
      </c>
      <c r="H52" s="104">
        <f t="shared" si="44"/>
        <v>0</v>
      </c>
      <c r="I52" s="104">
        <f>+I51+I48</f>
        <v>0</v>
      </c>
      <c r="J52" s="104">
        <f t="shared" ref="J52" si="45">+J51+J48</f>
        <v>0</v>
      </c>
      <c r="K52" s="104">
        <f>+K51+K48</f>
        <v>1232.5619999999999</v>
      </c>
      <c r="L52" s="104">
        <f>+L51+L48</f>
        <v>0</v>
      </c>
      <c r="M52" s="104">
        <f>+M51+M48</f>
        <v>0</v>
      </c>
      <c r="N52" s="20"/>
    </row>
    <row r="53" spans="1:14" ht="13.8" hidden="1" thickBot="1">
      <c r="A53" s="107" t="s">
        <v>70</v>
      </c>
      <c r="B53" s="108"/>
      <c r="C53" s="109">
        <f>+C44+C36+C28+C20+C12+C52</f>
        <v>5246.777</v>
      </c>
      <c r="D53" s="109">
        <f t="shared" ref="D53:M53" si="46">+D44+D36+D28+D20+D12+D52</f>
        <v>5246.777</v>
      </c>
      <c r="E53" s="109">
        <f t="shared" si="46"/>
        <v>2490.75</v>
      </c>
      <c r="F53" s="109">
        <f t="shared" si="46"/>
        <v>0</v>
      </c>
      <c r="G53" s="109">
        <f t="shared" si="46"/>
        <v>0</v>
      </c>
      <c r="H53" s="109">
        <f t="shared" si="46"/>
        <v>0</v>
      </c>
      <c r="I53" s="109">
        <f t="shared" si="46"/>
        <v>0</v>
      </c>
      <c r="J53" s="109">
        <f t="shared" si="46"/>
        <v>0</v>
      </c>
      <c r="K53" s="109">
        <f>+K44+K36+K28+K20+K12+K52</f>
        <v>5246.777</v>
      </c>
      <c r="L53" s="109">
        <f t="shared" si="46"/>
        <v>0</v>
      </c>
      <c r="M53" s="109">
        <f t="shared" si="46"/>
        <v>0</v>
      </c>
      <c r="N53" s="20"/>
    </row>
    <row r="54" spans="1:14">
      <c r="A54" s="14"/>
      <c r="B54" s="105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20"/>
    </row>
    <row r="55" spans="1:14" hidden="1">
      <c r="A55" s="136" t="s">
        <v>56</v>
      </c>
      <c r="B55" s="1" t="s">
        <v>6</v>
      </c>
      <c r="C55" s="3">
        <v>0</v>
      </c>
      <c r="D55" s="3">
        <v>0</v>
      </c>
      <c r="E55" s="3">
        <f>+F55+J55+K55+M55</f>
        <v>0</v>
      </c>
      <c r="F55" s="3">
        <v>0</v>
      </c>
      <c r="G55" s="3">
        <v>0</v>
      </c>
      <c r="H55" s="11"/>
      <c r="I55" s="3">
        <f>C55-D55</f>
        <v>0</v>
      </c>
      <c r="J55" s="3">
        <v>0</v>
      </c>
      <c r="K55" s="3">
        <v>0</v>
      </c>
      <c r="L55" s="3">
        <f>C55-K55</f>
        <v>0</v>
      </c>
      <c r="M55" s="3">
        <v>0</v>
      </c>
      <c r="N55" s="12"/>
    </row>
    <row r="56" spans="1:14" hidden="1">
      <c r="A56" s="137"/>
      <c r="B56" s="1" t="s">
        <v>7</v>
      </c>
      <c r="C56" s="3">
        <v>117.986</v>
      </c>
      <c r="D56" s="3">
        <v>117.986</v>
      </c>
      <c r="E56" s="3">
        <f>+F56+J56+K56+M56</f>
        <v>117.986</v>
      </c>
      <c r="F56" s="3">
        <v>0</v>
      </c>
      <c r="G56" s="3">
        <v>0</v>
      </c>
      <c r="H56" s="11"/>
      <c r="I56" s="3">
        <f>C56-D56</f>
        <v>0</v>
      </c>
      <c r="J56" s="3">
        <v>0</v>
      </c>
      <c r="K56" s="3">
        <v>117.986</v>
      </c>
      <c r="L56" s="3">
        <f>C56-K56</f>
        <v>0</v>
      </c>
      <c r="M56" s="3">
        <v>0</v>
      </c>
      <c r="N56" s="81"/>
    </row>
    <row r="57" spans="1:14" hidden="1">
      <c r="A57" s="138"/>
      <c r="B57" s="1"/>
      <c r="C57" s="4">
        <f>SUM(C55:C56)</f>
        <v>117.986</v>
      </c>
      <c r="D57" s="4">
        <f t="shared" ref="D57:H57" si="47">SUM(D55:D56)</f>
        <v>117.986</v>
      </c>
      <c r="E57" s="4">
        <f t="shared" si="47"/>
        <v>117.986</v>
      </c>
      <c r="F57" s="4">
        <f t="shared" si="47"/>
        <v>0</v>
      </c>
      <c r="G57" s="4">
        <f t="shared" si="47"/>
        <v>0</v>
      </c>
      <c r="H57" s="4">
        <f t="shared" si="47"/>
        <v>0</v>
      </c>
      <c r="I57" s="4">
        <f>SUM(I55:I56)</f>
        <v>0</v>
      </c>
      <c r="J57" s="4">
        <f t="shared" ref="J57:K57" si="48">SUM(J55:J56)</f>
        <v>0</v>
      </c>
      <c r="K57" s="4">
        <f t="shared" si="48"/>
        <v>117.986</v>
      </c>
      <c r="L57" s="4">
        <f>SUM(L55:L56)</f>
        <v>0</v>
      </c>
      <c r="M57" s="4">
        <f>SUM(M55:M56)</f>
        <v>0</v>
      </c>
      <c r="N57" s="12"/>
    </row>
    <row r="58" spans="1:14" hidden="1">
      <c r="A58" s="136" t="s">
        <v>57</v>
      </c>
      <c r="B58" s="1" t="s">
        <v>6</v>
      </c>
      <c r="C58" s="3">
        <v>0</v>
      </c>
      <c r="D58" s="3">
        <v>0</v>
      </c>
      <c r="E58" s="3">
        <f>+F58+J58+K58+M58</f>
        <v>0</v>
      </c>
      <c r="F58" s="3">
        <v>0</v>
      </c>
      <c r="G58" s="3">
        <v>0</v>
      </c>
      <c r="H58" s="11"/>
      <c r="I58" s="3">
        <f>C58-D58</f>
        <v>0</v>
      </c>
      <c r="J58" s="3">
        <v>0</v>
      </c>
      <c r="K58" s="3">
        <v>0</v>
      </c>
      <c r="L58" s="3">
        <f>C58-K58</f>
        <v>0</v>
      </c>
      <c r="M58" s="3">
        <v>0</v>
      </c>
      <c r="N58" s="12"/>
    </row>
    <row r="59" spans="1:14" hidden="1">
      <c r="A59" s="137"/>
      <c r="B59" s="1" t="s">
        <v>7</v>
      </c>
      <c r="C59" s="3">
        <v>17.151</v>
      </c>
      <c r="D59" s="3">
        <v>17.151</v>
      </c>
      <c r="E59" s="3">
        <f>+F59+J59+K59+M59</f>
        <v>17.151</v>
      </c>
      <c r="F59" s="3">
        <v>0</v>
      </c>
      <c r="G59" s="3">
        <v>0</v>
      </c>
      <c r="H59" s="11"/>
      <c r="I59" s="3">
        <f>C59-D59</f>
        <v>0</v>
      </c>
      <c r="J59" s="3">
        <v>0</v>
      </c>
      <c r="K59" s="3">
        <v>17.151</v>
      </c>
      <c r="L59" s="3">
        <f>C59-K59</f>
        <v>0</v>
      </c>
      <c r="M59" s="3">
        <v>0</v>
      </c>
      <c r="N59" s="81"/>
    </row>
    <row r="60" spans="1:14" hidden="1">
      <c r="A60" s="138"/>
      <c r="B60" s="1"/>
      <c r="C60" s="4">
        <f>SUM(C58:C59)</f>
        <v>17.151</v>
      </c>
      <c r="D60" s="4">
        <f t="shared" ref="D60:H60" si="49">SUM(D58:D59)</f>
        <v>17.151</v>
      </c>
      <c r="E60" s="4">
        <f t="shared" si="49"/>
        <v>17.151</v>
      </c>
      <c r="F60" s="4">
        <f t="shared" si="49"/>
        <v>0</v>
      </c>
      <c r="G60" s="4">
        <f t="shared" si="49"/>
        <v>0</v>
      </c>
      <c r="H60" s="4">
        <f t="shared" si="49"/>
        <v>0</v>
      </c>
      <c r="I60" s="4">
        <f>SUM(I58:I59)</f>
        <v>0</v>
      </c>
      <c r="J60" s="4">
        <f t="shared" ref="J60:K60" si="50">SUM(J58:J59)</f>
        <v>0</v>
      </c>
      <c r="K60" s="4">
        <f t="shared" si="50"/>
        <v>17.151</v>
      </c>
      <c r="L60" s="4">
        <f>SUM(L58:L59)</f>
        <v>0</v>
      </c>
      <c r="M60" s="4">
        <f>SUM(M58:M59)</f>
        <v>0</v>
      </c>
      <c r="N60" s="12"/>
    </row>
    <row r="61" spans="1:14" hidden="1">
      <c r="A61" s="14"/>
      <c r="B61" s="18"/>
      <c r="C61" s="19">
        <f>+C60+C57</f>
        <v>135.137</v>
      </c>
      <c r="D61" s="19">
        <f t="shared" ref="D61:H61" si="51">+D60+D57</f>
        <v>135.137</v>
      </c>
      <c r="E61" s="19">
        <f t="shared" si="51"/>
        <v>135.137</v>
      </c>
      <c r="F61" s="19">
        <f t="shared" si="51"/>
        <v>0</v>
      </c>
      <c r="G61" s="19">
        <f t="shared" si="51"/>
        <v>0</v>
      </c>
      <c r="H61" s="19">
        <f t="shared" si="51"/>
        <v>0</v>
      </c>
      <c r="I61" s="19">
        <f>+I60+I57</f>
        <v>0</v>
      </c>
      <c r="J61" s="19">
        <f t="shared" ref="J61:K61" si="52">+J60+J57</f>
        <v>0</v>
      </c>
      <c r="K61" s="19">
        <f t="shared" si="52"/>
        <v>135.137</v>
      </c>
      <c r="L61" s="19">
        <f>+L60+L57</f>
        <v>0</v>
      </c>
      <c r="M61" s="19">
        <f>+M60+M57</f>
        <v>0</v>
      </c>
      <c r="N61" s="20"/>
    </row>
    <row r="62" spans="1:14" hidden="1">
      <c r="A62" s="14"/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0"/>
    </row>
    <row r="63" spans="1:14" hidden="1">
      <c r="A63" s="136" t="s">
        <v>51</v>
      </c>
      <c r="B63" s="1" t="s">
        <v>6</v>
      </c>
      <c r="C63" s="3">
        <v>0</v>
      </c>
      <c r="D63" s="3">
        <v>0</v>
      </c>
      <c r="E63" s="3">
        <f>+F63+J63+K63+M63</f>
        <v>0</v>
      </c>
      <c r="F63" s="3">
        <v>0</v>
      </c>
      <c r="G63" s="3">
        <v>0</v>
      </c>
      <c r="H63" s="11"/>
      <c r="I63" s="3">
        <f>C63-D63</f>
        <v>0</v>
      </c>
      <c r="J63" s="3">
        <v>0</v>
      </c>
      <c r="K63" s="3">
        <v>0</v>
      </c>
      <c r="L63" s="3">
        <f>C63-K63</f>
        <v>0</v>
      </c>
      <c r="M63" s="3">
        <v>0</v>
      </c>
      <c r="N63" s="12"/>
    </row>
    <row r="64" spans="1:14" hidden="1">
      <c r="A64" s="137"/>
      <c r="B64" s="1" t="s">
        <v>7</v>
      </c>
      <c r="C64" s="3">
        <v>1225.7950000000001</v>
      </c>
      <c r="D64" s="3">
        <v>1225.7950000000001</v>
      </c>
      <c r="E64" s="3">
        <f>+F64+J64+K64+M64</f>
        <v>1225.7950000000001</v>
      </c>
      <c r="F64" s="3">
        <v>0</v>
      </c>
      <c r="G64" s="3">
        <v>0</v>
      </c>
      <c r="H64" s="11"/>
      <c r="I64" s="3">
        <f>C64-D64</f>
        <v>0</v>
      </c>
      <c r="J64" s="3">
        <v>0</v>
      </c>
      <c r="K64" s="3">
        <v>1225.7950000000001</v>
      </c>
      <c r="L64" s="3">
        <f>C64-K64</f>
        <v>0</v>
      </c>
      <c r="M64" s="3">
        <v>0</v>
      </c>
      <c r="N64" s="81"/>
    </row>
    <row r="65" spans="1:14" hidden="1">
      <c r="A65" s="138"/>
      <c r="B65" s="1"/>
      <c r="C65" s="4">
        <f>SUM(C63:C64)</f>
        <v>1225.7950000000001</v>
      </c>
      <c r="D65" s="4">
        <f t="shared" ref="D65:H65" si="53">SUM(D63:D64)</f>
        <v>1225.7950000000001</v>
      </c>
      <c r="E65" s="4">
        <f t="shared" si="53"/>
        <v>1225.7950000000001</v>
      </c>
      <c r="F65" s="4">
        <f t="shared" si="53"/>
        <v>0</v>
      </c>
      <c r="G65" s="4">
        <f t="shared" si="53"/>
        <v>0</v>
      </c>
      <c r="H65" s="4">
        <f t="shared" si="53"/>
        <v>0</v>
      </c>
      <c r="I65" s="4">
        <f>SUM(I63:I64)</f>
        <v>0</v>
      </c>
      <c r="J65" s="4">
        <f t="shared" ref="J65:K65" si="54">SUM(J63:J64)</f>
        <v>0</v>
      </c>
      <c r="K65" s="4">
        <f t="shared" si="54"/>
        <v>1225.7950000000001</v>
      </c>
      <c r="L65" s="4">
        <f>SUM(L63:L64)</f>
        <v>0</v>
      </c>
      <c r="M65" s="4">
        <f>SUM(M63:M64)</f>
        <v>0</v>
      </c>
      <c r="N65" s="12"/>
    </row>
    <row r="66" spans="1:14" hidden="1">
      <c r="A66" s="136" t="s">
        <v>50</v>
      </c>
      <c r="B66" s="1" t="s">
        <v>6</v>
      </c>
      <c r="C66" s="3">
        <v>0</v>
      </c>
      <c r="D66" s="3">
        <v>0</v>
      </c>
      <c r="E66" s="3">
        <f>+F66+J66+K66+M66</f>
        <v>0</v>
      </c>
      <c r="F66" s="3">
        <v>0</v>
      </c>
      <c r="G66" s="3">
        <v>0</v>
      </c>
      <c r="H66" s="11"/>
      <c r="I66" s="3">
        <f>C66-D66</f>
        <v>0</v>
      </c>
      <c r="J66" s="3">
        <v>0</v>
      </c>
      <c r="K66" s="3">
        <v>0</v>
      </c>
      <c r="L66" s="3">
        <f>C66-K66</f>
        <v>0</v>
      </c>
      <c r="M66" s="3">
        <v>0</v>
      </c>
      <c r="N66" s="12"/>
    </row>
    <row r="67" spans="1:14" hidden="1">
      <c r="A67" s="137"/>
      <c r="B67" s="1" t="s">
        <v>7</v>
      </c>
      <c r="C67" s="3">
        <f>2170.025+6.839</f>
        <v>2176.864</v>
      </c>
      <c r="D67" s="3">
        <f>2170.025+6.839</f>
        <v>2176.864</v>
      </c>
      <c r="E67" s="3">
        <f>+F67+J67+K67+M67</f>
        <v>2176.864</v>
      </c>
      <c r="F67" s="3">
        <v>0</v>
      </c>
      <c r="G67" s="3">
        <v>0</v>
      </c>
      <c r="H67" s="11"/>
      <c r="I67" s="3">
        <v>0</v>
      </c>
      <c r="J67" s="3">
        <v>0</v>
      </c>
      <c r="K67" s="3">
        <f>2170.025+6.839</f>
        <v>2176.864</v>
      </c>
      <c r="L67" s="3">
        <f>C67-K67</f>
        <v>0</v>
      </c>
      <c r="M67" s="3">
        <v>0</v>
      </c>
      <c r="N67" s="81"/>
    </row>
    <row r="68" spans="1:14" hidden="1">
      <c r="A68" s="138"/>
      <c r="B68" s="1"/>
      <c r="C68" s="4">
        <f>SUM(C66:C67)</f>
        <v>2176.864</v>
      </c>
      <c r="D68" s="4">
        <f t="shared" ref="D68:H68" si="55">SUM(D66:D67)</f>
        <v>2176.864</v>
      </c>
      <c r="E68" s="4">
        <f t="shared" si="55"/>
        <v>2176.864</v>
      </c>
      <c r="F68" s="4">
        <f t="shared" si="55"/>
        <v>0</v>
      </c>
      <c r="G68" s="4">
        <f t="shared" si="55"/>
        <v>0</v>
      </c>
      <c r="H68" s="4">
        <f t="shared" si="55"/>
        <v>0</v>
      </c>
      <c r="I68" s="4">
        <f>SUM(I66:I67)</f>
        <v>0</v>
      </c>
      <c r="J68" s="4">
        <f t="shared" ref="J68" si="56">SUM(J66:J67)</f>
        <v>0</v>
      </c>
      <c r="K68" s="4">
        <f>SUM(K66:K67)</f>
        <v>2176.864</v>
      </c>
      <c r="L68" s="4">
        <f>SUM(L66:L67)</f>
        <v>0</v>
      </c>
      <c r="M68" s="4">
        <f>SUM(M66:M67)</f>
        <v>0</v>
      </c>
      <c r="N68" s="12"/>
    </row>
    <row r="69" spans="1:14" hidden="1">
      <c r="A69" s="14"/>
      <c r="B69" s="18"/>
      <c r="C69" s="19">
        <f>+C68+C65</f>
        <v>3402.6590000000001</v>
      </c>
      <c r="D69" s="19">
        <f t="shared" ref="D69:H69" si="57">+D68+D65</f>
        <v>3402.6590000000001</v>
      </c>
      <c r="E69" s="19">
        <f t="shared" si="57"/>
        <v>3402.6590000000001</v>
      </c>
      <c r="F69" s="19">
        <f t="shared" si="57"/>
        <v>0</v>
      </c>
      <c r="G69" s="19">
        <f t="shared" si="57"/>
        <v>0</v>
      </c>
      <c r="H69" s="19">
        <f t="shared" si="57"/>
        <v>0</v>
      </c>
      <c r="I69" s="19">
        <f>+I68+I65</f>
        <v>0</v>
      </c>
      <c r="J69" s="19">
        <f t="shared" ref="J69" si="58">+J68+J65</f>
        <v>0</v>
      </c>
      <c r="K69" s="19">
        <f>+K68+K65</f>
        <v>3402.6590000000001</v>
      </c>
      <c r="L69" s="19">
        <f>+L68+L65</f>
        <v>0</v>
      </c>
      <c r="M69" s="19">
        <f>+M68+M65</f>
        <v>0</v>
      </c>
      <c r="N69" s="20"/>
    </row>
    <row r="70" spans="1:14" hidden="1">
      <c r="A70" s="14"/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0"/>
    </row>
    <row r="71" spans="1:14" hidden="1">
      <c r="A71" s="136" t="s">
        <v>52</v>
      </c>
      <c r="B71" s="1" t="s">
        <v>6</v>
      </c>
      <c r="C71" s="3">
        <v>0</v>
      </c>
      <c r="D71" s="3">
        <v>0</v>
      </c>
      <c r="E71" s="3">
        <f>+F71+J71+K71+M71</f>
        <v>0</v>
      </c>
      <c r="F71" s="3">
        <v>0</v>
      </c>
      <c r="G71" s="3">
        <v>0</v>
      </c>
      <c r="H71" s="11"/>
      <c r="I71" s="3">
        <f>C71-D71</f>
        <v>0</v>
      </c>
      <c r="J71" s="3">
        <v>0</v>
      </c>
      <c r="K71" s="3">
        <v>0</v>
      </c>
      <c r="L71" s="3">
        <f>C71-K71</f>
        <v>0</v>
      </c>
      <c r="M71" s="3">
        <v>0</v>
      </c>
      <c r="N71" s="12"/>
    </row>
    <row r="72" spans="1:14" hidden="1">
      <c r="A72" s="137"/>
      <c r="B72" s="1" t="s">
        <v>7</v>
      </c>
      <c r="C72" s="3">
        <f>985.913+7.92</f>
        <v>993.83299999999997</v>
      </c>
      <c r="D72" s="3">
        <f>985.913+7.92</f>
        <v>993.83299999999997</v>
      </c>
      <c r="E72" s="3">
        <v>0</v>
      </c>
      <c r="F72" s="3">
        <v>0</v>
      </c>
      <c r="G72" s="3">
        <v>0</v>
      </c>
      <c r="H72" s="11"/>
      <c r="I72" s="3">
        <f>C72-D72</f>
        <v>0</v>
      </c>
      <c r="J72" s="3">
        <v>0</v>
      </c>
      <c r="K72" s="3">
        <f>985.913+7.92</f>
        <v>993.83299999999997</v>
      </c>
      <c r="L72" s="3">
        <f>C72-K72</f>
        <v>0</v>
      </c>
      <c r="M72" s="3">
        <v>0</v>
      </c>
      <c r="N72" s="81"/>
    </row>
    <row r="73" spans="1:14" hidden="1">
      <c r="A73" s="138"/>
      <c r="B73" s="1"/>
      <c r="C73" s="4">
        <f>SUM(C71:C72)</f>
        <v>993.83299999999997</v>
      </c>
      <c r="D73" s="4">
        <f t="shared" ref="D73:H73" si="59">SUM(D71:D72)</f>
        <v>993.83299999999997</v>
      </c>
      <c r="E73" s="4">
        <f>SUM(E71:E72)</f>
        <v>0</v>
      </c>
      <c r="F73" s="4">
        <f t="shared" si="59"/>
        <v>0</v>
      </c>
      <c r="G73" s="4">
        <f t="shared" si="59"/>
        <v>0</v>
      </c>
      <c r="H73" s="4">
        <f t="shared" si="59"/>
        <v>0</v>
      </c>
      <c r="I73" s="4">
        <f>SUM(I71:I72)</f>
        <v>0</v>
      </c>
      <c r="J73" s="4">
        <f t="shared" ref="J73:K73" si="60">SUM(J71:J72)</f>
        <v>0</v>
      </c>
      <c r="K73" s="4">
        <f t="shared" si="60"/>
        <v>993.83299999999997</v>
      </c>
      <c r="L73" s="4">
        <f>SUM(L71:L72)</f>
        <v>0</v>
      </c>
      <c r="M73" s="4">
        <f>SUM(M71:M72)</f>
        <v>0</v>
      </c>
      <c r="N73" s="12"/>
    </row>
    <row r="74" spans="1:14" hidden="1">
      <c r="A74" s="136" t="s">
        <v>53</v>
      </c>
      <c r="B74" s="1" t="s">
        <v>6</v>
      </c>
      <c r="C74" s="3">
        <v>0</v>
      </c>
      <c r="D74" s="3">
        <v>0</v>
      </c>
      <c r="E74" s="3">
        <f>+F74+J74+K74+M74</f>
        <v>0</v>
      </c>
      <c r="F74" s="3">
        <v>0</v>
      </c>
      <c r="G74" s="3">
        <v>0</v>
      </c>
      <c r="H74" s="11"/>
      <c r="I74" s="3">
        <f>C74-D74</f>
        <v>0</v>
      </c>
      <c r="J74" s="3">
        <v>0</v>
      </c>
      <c r="K74" s="3">
        <v>0</v>
      </c>
      <c r="L74" s="3">
        <f>C74-K74</f>
        <v>0</v>
      </c>
      <c r="M74" s="3">
        <v>0</v>
      </c>
      <c r="N74" s="12"/>
    </row>
    <row r="75" spans="1:14" hidden="1">
      <c r="A75" s="137"/>
      <c r="B75" s="1" t="s">
        <v>7</v>
      </c>
      <c r="C75" s="3">
        <v>262.52499999999998</v>
      </c>
      <c r="D75" s="3">
        <v>262.52499999999998</v>
      </c>
      <c r="E75" s="3">
        <f>+F75+J75+K75+M75</f>
        <v>262.52499999999998</v>
      </c>
      <c r="F75" s="3">
        <v>0</v>
      </c>
      <c r="G75" s="3">
        <v>0</v>
      </c>
      <c r="H75" s="11"/>
      <c r="I75" s="3">
        <f>C75-D75</f>
        <v>0</v>
      </c>
      <c r="J75" s="3">
        <v>0</v>
      </c>
      <c r="K75" s="3">
        <v>262.52499999999998</v>
      </c>
      <c r="L75" s="3">
        <f>C75-K75</f>
        <v>0</v>
      </c>
      <c r="M75" s="3">
        <v>0</v>
      </c>
      <c r="N75" s="81"/>
    </row>
    <row r="76" spans="1:14" hidden="1">
      <c r="A76" s="138"/>
      <c r="B76" s="1"/>
      <c r="C76" s="4">
        <f>SUM(C74:C75)</f>
        <v>262.52499999999998</v>
      </c>
      <c r="D76" s="4">
        <f t="shared" ref="D76:H76" si="61">SUM(D74:D75)</f>
        <v>262.52499999999998</v>
      </c>
      <c r="E76" s="4">
        <f>SUM(E74:E75)</f>
        <v>262.52499999999998</v>
      </c>
      <c r="F76" s="4">
        <f t="shared" si="61"/>
        <v>0</v>
      </c>
      <c r="G76" s="4">
        <f t="shared" si="61"/>
        <v>0</v>
      </c>
      <c r="H76" s="4">
        <f t="shared" si="61"/>
        <v>0</v>
      </c>
      <c r="I76" s="4">
        <f>SUM(I74:I75)</f>
        <v>0</v>
      </c>
      <c r="J76" s="4">
        <f t="shared" ref="J76:K76" si="62">SUM(J74:J75)</f>
        <v>0</v>
      </c>
      <c r="K76" s="4">
        <f t="shared" si="62"/>
        <v>262.52499999999998</v>
      </c>
      <c r="L76" s="4">
        <f>SUM(L74:L75)</f>
        <v>0</v>
      </c>
      <c r="M76" s="4">
        <f>SUM(M74:M75)</f>
        <v>0</v>
      </c>
      <c r="N76" s="12"/>
    </row>
    <row r="77" spans="1:14" hidden="1">
      <c r="A77" s="14"/>
      <c r="B77" s="18"/>
      <c r="C77" s="19">
        <f>+C76+C73</f>
        <v>1256.3579999999999</v>
      </c>
      <c r="D77" s="19">
        <f t="shared" ref="D77:H77" si="63">+D76+D73</f>
        <v>1256.3579999999999</v>
      </c>
      <c r="E77" s="19">
        <f>+E76+E73</f>
        <v>262.52499999999998</v>
      </c>
      <c r="F77" s="19">
        <f t="shared" si="63"/>
        <v>0</v>
      </c>
      <c r="G77" s="19">
        <f t="shared" si="63"/>
        <v>0</v>
      </c>
      <c r="H77" s="19">
        <f t="shared" si="63"/>
        <v>0</v>
      </c>
      <c r="I77" s="19">
        <f>+I76+I73</f>
        <v>0</v>
      </c>
      <c r="J77" s="19">
        <f t="shared" ref="J77:K77" si="64">+J76+J73</f>
        <v>0</v>
      </c>
      <c r="K77" s="19">
        <f t="shared" si="64"/>
        <v>1256.3579999999999</v>
      </c>
      <c r="L77" s="19">
        <f>+L76+L73</f>
        <v>0</v>
      </c>
      <c r="M77" s="19">
        <f>+M76+M73</f>
        <v>0</v>
      </c>
      <c r="N77" s="20"/>
    </row>
    <row r="78" spans="1:14" hidden="1">
      <c r="A78" s="14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0"/>
    </row>
    <row r="79" spans="1:14" hidden="1">
      <c r="A79" s="136" t="s">
        <v>54</v>
      </c>
      <c r="B79" s="1" t="s">
        <v>6</v>
      </c>
      <c r="C79" s="3">
        <v>0</v>
      </c>
      <c r="D79" s="3">
        <v>0</v>
      </c>
      <c r="E79" s="3">
        <f>+F79+J79+K79+M79</f>
        <v>0</v>
      </c>
      <c r="F79" s="3">
        <v>0</v>
      </c>
      <c r="G79" s="3">
        <v>0</v>
      </c>
      <c r="H79" s="11"/>
      <c r="I79" s="3">
        <f>C79-D79</f>
        <v>0</v>
      </c>
      <c r="J79" s="3">
        <v>0</v>
      </c>
      <c r="K79" s="3">
        <v>0</v>
      </c>
      <c r="L79" s="3">
        <f>C79-K79</f>
        <v>0</v>
      </c>
      <c r="M79" s="3">
        <v>0</v>
      </c>
      <c r="N79" s="12"/>
    </row>
    <row r="80" spans="1:14" hidden="1">
      <c r="A80" s="137"/>
      <c r="B80" s="1" t="s">
        <v>7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11"/>
      <c r="I80" s="3">
        <f>C80-D80</f>
        <v>0</v>
      </c>
      <c r="J80" s="3">
        <v>0</v>
      </c>
      <c r="K80" s="3">
        <v>0</v>
      </c>
      <c r="L80" s="3">
        <f>C80-K80</f>
        <v>0</v>
      </c>
      <c r="M80" s="3">
        <v>0</v>
      </c>
      <c r="N80" s="81"/>
    </row>
    <row r="81" spans="1:14" hidden="1">
      <c r="A81" s="138"/>
      <c r="B81" s="1"/>
      <c r="C81" s="4">
        <f>SUM(C79:C80)</f>
        <v>0</v>
      </c>
      <c r="D81" s="4">
        <f t="shared" ref="D81:H81" si="65">SUM(D79:D80)</f>
        <v>0</v>
      </c>
      <c r="E81" s="4">
        <f t="shared" si="65"/>
        <v>0</v>
      </c>
      <c r="F81" s="4">
        <f t="shared" si="65"/>
        <v>0</v>
      </c>
      <c r="G81" s="4">
        <f t="shared" si="65"/>
        <v>0</v>
      </c>
      <c r="H81" s="4">
        <f t="shared" si="65"/>
        <v>0</v>
      </c>
      <c r="I81" s="4">
        <f>SUM(I79:I80)</f>
        <v>0</v>
      </c>
      <c r="J81" s="4">
        <f t="shared" ref="J81:K81" si="66">SUM(J79:J80)</f>
        <v>0</v>
      </c>
      <c r="K81" s="4">
        <f t="shared" si="66"/>
        <v>0</v>
      </c>
      <c r="L81" s="4">
        <f>SUM(L79:L80)</f>
        <v>0</v>
      </c>
      <c r="M81" s="4">
        <f>SUM(M79:M80)</f>
        <v>0</v>
      </c>
      <c r="N81" s="12"/>
    </row>
    <row r="82" spans="1:14" hidden="1">
      <c r="A82" s="136" t="s">
        <v>55</v>
      </c>
      <c r="B82" s="1" t="s">
        <v>6</v>
      </c>
      <c r="C82" s="3">
        <v>0</v>
      </c>
      <c r="D82" s="3">
        <v>0</v>
      </c>
      <c r="E82" s="3">
        <f>+F82+J82+K82+M82</f>
        <v>0</v>
      </c>
      <c r="F82" s="3">
        <v>0</v>
      </c>
      <c r="G82" s="3">
        <v>0</v>
      </c>
      <c r="H82" s="11"/>
      <c r="I82" s="3">
        <f>C82-D82</f>
        <v>0</v>
      </c>
      <c r="J82" s="3">
        <v>0</v>
      </c>
      <c r="K82" s="3">
        <v>0</v>
      </c>
      <c r="L82" s="3">
        <f>C82-K82</f>
        <v>0</v>
      </c>
      <c r="M82" s="3">
        <v>0</v>
      </c>
      <c r="N82" s="12"/>
    </row>
    <row r="83" spans="1:14" hidden="1">
      <c r="A83" s="137"/>
      <c r="B83" s="1" t="s">
        <v>7</v>
      </c>
      <c r="C83" s="3">
        <v>939.16399999999999</v>
      </c>
      <c r="D83" s="3">
        <v>939.16399999999999</v>
      </c>
      <c r="E83" s="3">
        <f>+F83+J83+K83+M83</f>
        <v>939.16399999999999</v>
      </c>
      <c r="F83" s="3">
        <v>0</v>
      </c>
      <c r="G83" s="3">
        <v>0</v>
      </c>
      <c r="H83" s="11"/>
      <c r="I83" s="3">
        <f>C83-D83</f>
        <v>0</v>
      </c>
      <c r="J83" s="3">
        <v>0</v>
      </c>
      <c r="K83" s="3">
        <v>939.16399999999999</v>
      </c>
      <c r="L83" s="3">
        <f>C83-K83</f>
        <v>0</v>
      </c>
      <c r="M83" s="3">
        <v>0</v>
      </c>
      <c r="N83" s="81"/>
    </row>
    <row r="84" spans="1:14" hidden="1">
      <c r="A84" s="138"/>
      <c r="B84" s="1"/>
      <c r="C84" s="4">
        <f>SUM(C82:C83)</f>
        <v>939.16399999999999</v>
      </c>
      <c r="D84" s="4">
        <f t="shared" ref="D84:H84" si="67">SUM(D82:D83)</f>
        <v>939.16399999999999</v>
      </c>
      <c r="E84" s="4">
        <f t="shared" si="67"/>
        <v>939.16399999999999</v>
      </c>
      <c r="F84" s="4">
        <f t="shared" si="67"/>
        <v>0</v>
      </c>
      <c r="G84" s="4">
        <f t="shared" si="67"/>
        <v>0</v>
      </c>
      <c r="H84" s="4">
        <f t="shared" si="67"/>
        <v>0</v>
      </c>
      <c r="I84" s="4">
        <f>SUM(I82:I83)</f>
        <v>0</v>
      </c>
      <c r="J84" s="4">
        <f t="shared" ref="J84:K84" si="68">SUM(J82:J83)</f>
        <v>0</v>
      </c>
      <c r="K84" s="4">
        <f t="shared" si="68"/>
        <v>939.16399999999999</v>
      </c>
      <c r="L84" s="4">
        <f>SUM(L82:L83)</f>
        <v>0</v>
      </c>
      <c r="M84" s="4">
        <f>SUM(M82:M83)</f>
        <v>0</v>
      </c>
      <c r="N84" s="12"/>
    </row>
    <row r="85" spans="1:14" hidden="1">
      <c r="A85" s="14"/>
      <c r="B85" s="18"/>
      <c r="C85" s="19">
        <f>+C84+C81</f>
        <v>939.16399999999999</v>
      </c>
      <c r="D85" s="19">
        <f t="shared" ref="D85:H85" si="69">+D84+D81</f>
        <v>939.16399999999999</v>
      </c>
      <c r="E85" s="19">
        <f t="shared" si="69"/>
        <v>939.16399999999999</v>
      </c>
      <c r="F85" s="19">
        <f t="shared" si="69"/>
        <v>0</v>
      </c>
      <c r="G85" s="19">
        <f t="shared" si="69"/>
        <v>0</v>
      </c>
      <c r="H85" s="19">
        <f t="shared" si="69"/>
        <v>0</v>
      </c>
      <c r="I85" s="19">
        <f>+I84+I81</f>
        <v>0</v>
      </c>
      <c r="J85" s="19">
        <f t="shared" ref="J85:K85" si="70">+J84+J81</f>
        <v>0</v>
      </c>
      <c r="K85" s="19">
        <f t="shared" si="70"/>
        <v>939.16399999999999</v>
      </c>
      <c r="L85" s="19">
        <f>+L84+L81</f>
        <v>0</v>
      </c>
      <c r="M85" s="19">
        <f>+M84+M81</f>
        <v>0</v>
      </c>
      <c r="N85" s="20"/>
    </row>
    <row r="86" spans="1:14" hidden="1">
      <c r="A86" s="14"/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0"/>
    </row>
    <row r="87" spans="1:14" hidden="1">
      <c r="A87" s="136" t="s">
        <v>46</v>
      </c>
      <c r="B87" s="1" t="s">
        <v>6</v>
      </c>
      <c r="C87" s="3">
        <v>0</v>
      </c>
      <c r="D87" s="3">
        <v>0</v>
      </c>
      <c r="E87" s="3">
        <f>+F87+J87+K87+M87</f>
        <v>0</v>
      </c>
      <c r="F87" s="3">
        <v>0</v>
      </c>
      <c r="G87" s="3">
        <v>0</v>
      </c>
      <c r="H87" s="11"/>
      <c r="I87" s="3">
        <f>C87-D87</f>
        <v>0</v>
      </c>
      <c r="J87" s="3">
        <v>0</v>
      </c>
      <c r="K87" s="3">
        <v>0</v>
      </c>
      <c r="L87" s="3">
        <f>C87-K87</f>
        <v>0</v>
      </c>
      <c r="M87" s="3">
        <v>0</v>
      </c>
      <c r="N87" s="12"/>
    </row>
    <row r="88" spans="1:14" hidden="1">
      <c r="A88" s="137"/>
      <c r="B88" s="1" t="s">
        <v>7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11"/>
      <c r="I88" s="3">
        <f>C88-D88</f>
        <v>0</v>
      </c>
      <c r="J88" s="3">
        <v>0</v>
      </c>
      <c r="K88" s="3">
        <v>0</v>
      </c>
      <c r="L88" s="3">
        <f>C88-K88</f>
        <v>0</v>
      </c>
      <c r="M88" s="3">
        <v>0</v>
      </c>
      <c r="N88" s="81"/>
    </row>
    <row r="89" spans="1:14" hidden="1">
      <c r="A89" s="138"/>
      <c r="B89" s="1"/>
      <c r="C89" s="4">
        <f>SUM(C87:C88)</f>
        <v>0</v>
      </c>
      <c r="D89" s="4">
        <f t="shared" ref="D89:H89" si="71">SUM(D87:D88)</f>
        <v>0</v>
      </c>
      <c r="E89" s="4">
        <f t="shared" si="71"/>
        <v>0</v>
      </c>
      <c r="F89" s="4">
        <f t="shared" si="71"/>
        <v>0</v>
      </c>
      <c r="G89" s="4">
        <f t="shared" si="71"/>
        <v>0</v>
      </c>
      <c r="H89" s="4">
        <f t="shared" si="71"/>
        <v>0</v>
      </c>
      <c r="I89" s="4">
        <f>SUM(I87:I88)</f>
        <v>0</v>
      </c>
      <c r="J89" s="4">
        <f t="shared" ref="J89:K89" si="72">SUM(J87:J88)</f>
        <v>0</v>
      </c>
      <c r="K89" s="4">
        <f t="shared" si="72"/>
        <v>0</v>
      </c>
      <c r="L89" s="4">
        <f>SUM(L87:L88)</f>
        <v>0</v>
      </c>
      <c r="M89" s="4">
        <f>SUM(M87:M88)</f>
        <v>0</v>
      </c>
      <c r="N89" s="12"/>
    </row>
    <row r="90" spans="1:14" hidden="1">
      <c r="A90" s="136" t="s">
        <v>47</v>
      </c>
      <c r="B90" s="1" t="s">
        <v>6</v>
      </c>
      <c r="C90" s="3">
        <v>0</v>
      </c>
      <c r="D90" s="3">
        <v>0</v>
      </c>
      <c r="E90" s="3">
        <f>+F90+J90+K90+M90</f>
        <v>0</v>
      </c>
      <c r="F90" s="3">
        <v>0</v>
      </c>
      <c r="G90" s="3">
        <v>0</v>
      </c>
      <c r="H90" s="11"/>
      <c r="I90" s="3">
        <f>C90-D90</f>
        <v>0</v>
      </c>
      <c r="J90" s="3">
        <v>0</v>
      </c>
      <c r="K90" s="3">
        <v>0</v>
      </c>
      <c r="L90" s="3">
        <f>C90-K90</f>
        <v>0</v>
      </c>
      <c r="M90" s="3">
        <v>0</v>
      </c>
      <c r="N90" s="12"/>
    </row>
    <row r="91" spans="1:14" hidden="1">
      <c r="A91" s="137"/>
      <c r="B91" s="1" t="s">
        <v>7</v>
      </c>
      <c r="C91" s="3">
        <v>0</v>
      </c>
      <c r="D91" s="3">
        <v>0</v>
      </c>
      <c r="E91" s="3">
        <f>+F91+J91+K91+M91</f>
        <v>0</v>
      </c>
      <c r="F91" s="3">
        <v>0</v>
      </c>
      <c r="G91" s="3">
        <v>0</v>
      </c>
      <c r="H91" s="11"/>
      <c r="I91" s="3">
        <f>C91-D91</f>
        <v>0</v>
      </c>
      <c r="J91" s="3">
        <v>0</v>
      </c>
      <c r="K91" s="3">
        <v>0</v>
      </c>
      <c r="L91" s="3">
        <f>C91-K91</f>
        <v>0</v>
      </c>
      <c r="M91" s="3">
        <v>0</v>
      </c>
      <c r="N91" s="81"/>
    </row>
    <row r="92" spans="1:14" hidden="1">
      <c r="A92" s="138"/>
      <c r="B92" s="1"/>
      <c r="C92" s="4">
        <f>SUM(C90:C91)</f>
        <v>0</v>
      </c>
      <c r="D92" s="4">
        <f t="shared" ref="D92:H92" si="73">SUM(D90:D91)</f>
        <v>0</v>
      </c>
      <c r="E92" s="4">
        <f t="shared" si="73"/>
        <v>0</v>
      </c>
      <c r="F92" s="4">
        <f t="shared" si="73"/>
        <v>0</v>
      </c>
      <c r="G92" s="4">
        <f t="shared" si="73"/>
        <v>0</v>
      </c>
      <c r="H92" s="4">
        <f t="shared" si="73"/>
        <v>0</v>
      </c>
      <c r="I92" s="4">
        <f>SUM(I90:I91)</f>
        <v>0</v>
      </c>
      <c r="J92" s="4">
        <f t="shared" ref="J92:K92" si="74">SUM(J90:J91)</f>
        <v>0</v>
      </c>
      <c r="K92" s="4">
        <f t="shared" si="74"/>
        <v>0</v>
      </c>
      <c r="L92" s="4">
        <f>SUM(L90:L91)</f>
        <v>0</v>
      </c>
      <c r="M92" s="4">
        <f>SUM(M90:M91)</f>
        <v>0</v>
      </c>
      <c r="N92" s="12"/>
    </row>
    <row r="93" spans="1:14" hidden="1">
      <c r="A93" s="14"/>
      <c r="B93" s="18"/>
      <c r="C93" s="19">
        <f>+C92+C89</f>
        <v>0</v>
      </c>
      <c r="D93" s="19">
        <f t="shared" ref="D93:H93" si="75">+D92+D89</f>
        <v>0</v>
      </c>
      <c r="E93" s="19">
        <f t="shared" si="75"/>
        <v>0</v>
      </c>
      <c r="F93" s="19">
        <f t="shared" si="75"/>
        <v>0</v>
      </c>
      <c r="G93" s="19">
        <f t="shared" si="75"/>
        <v>0</v>
      </c>
      <c r="H93" s="19">
        <f t="shared" si="75"/>
        <v>0</v>
      </c>
      <c r="I93" s="19">
        <f>+I92+I89</f>
        <v>0</v>
      </c>
      <c r="J93" s="19">
        <f t="shared" ref="J93:K93" si="76">+J92+J89</f>
        <v>0</v>
      </c>
      <c r="K93" s="19">
        <f t="shared" si="76"/>
        <v>0</v>
      </c>
      <c r="L93" s="19">
        <f>+L92+L89</f>
        <v>0</v>
      </c>
      <c r="M93" s="19">
        <f>+M92+M89</f>
        <v>0</v>
      </c>
      <c r="N93" s="20"/>
    </row>
    <row r="94" spans="1:14">
      <c r="A94" s="14"/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0"/>
    </row>
    <row r="95" spans="1:14" hidden="1">
      <c r="A95" s="136" t="s">
        <v>49</v>
      </c>
      <c r="B95" s="1" t="s">
        <v>6</v>
      </c>
      <c r="C95" s="3">
        <v>0</v>
      </c>
      <c r="D95" s="3">
        <v>0</v>
      </c>
      <c r="E95" s="3">
        <f>+F95+J95+K95+M95</f>
        <v>0</v>
      </c>
      <c r="F95" s="3">
        <v>0</v>
      </c>
      <c r="G95" s="3">
        <v>0</v>
      </c>
      <c r="H95" s="11"/>
      <c r="I95" s="3">
        <f>C95-D95</f>
        <v>0</v>
      </c>
      <c r="J95" s="3">
        <v>0</v>
      </c>
      <c r="K95" s="3">
        <v>0</v>
      </c>
      <c r="L95" s="3">
        <f>C95-K95</f>
        <v>0</v>
      </c>
      <c r="M95" s="3">
        <v>0</v>
      </c>
      <c r="N95" s="12"/>
    </row>
    <row r="96" spans="1:14" hidden="1">
      <c r="A96" s="137"/>
      <c r="B96" s="1" t="s">
        <v>7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11"/>
      <c r="I96" s="3">
        <f>C96-D96</f>
        <v>0</v>
      </c>
      <c r="J96" s="3">
        <v>0</v>
      </c>
      <c r="K96" s="3">
        <v>0</v>
      </c>
      <c r="L96" s="3">
        <f>C96-K96</f>
        <v>0</v>
      </c>
      <c r="M96" s="3">
        <v>0</v>
      </c>
      <c r="N96" s="81"/>
    </row>
    <row r="97" spans="1:14" hidden="1">
      <c r="A97" s="138"/>
      <c r="B97" s="1"/>
      <c r="C97" s="4">
        <f>SUM(C95:C96)</f>
        <v>0</v>
      </c>
      <c r="D97" s="4">
        <f t="shared" ref="D97:H97" si="77">SUM(D95:D96)</f>
        <v>0</v>
      </c>
      <c r="E97" s="4">
        <f t="shared" si="77"/>
        <v>0</v>
      </c>
      <c r="F97" s="4">
        <f t="shared" si="77"/>
        <v>0</v>
      </c>
      <c r="G97" s="4">
        <f t="shared" si="77"/>
        <v>0</v>
      </c>
      <c r="H97" s="4">
        <f t="shared" si="77"/>
        <v>0</v>
      </c>
      <c r="I97" s="4">
        <f>SUM(I95:I96)</f>
        <v>0</v>
      </c>
      <c r="J97" s="4">
        <f t="shared" ref="J97:K97" si="78">SUM(J95:J96)</f>
        <v>0</v>
      </c>
      <c r="K97" s="4">
        <f t="shared" si="78"/>
        <v>0</v>
      </c>
      <c r="L97" s="4">
        <f>SUM(L95:L96)</f>
        <v>0</v>
      </c>
      <c r="M97" s="4">
        <f>SUM(M95:M96)</f>
        <v>0</v>
      </c>
      <c r="N97" s="12"/>
    </row>
    <row r="98" spans="1:14" hidden="1">
      <c r="A98" s="136" t="s">
        <v>48</v>
      </c>
      <c r="B98" s="1" t="s">
        <v>6</v>
      </c>
      <c r="C98" s="3">
        <v>0</v>
      </c>
      <c r="D98" s="3">
        <v>0</v>
      </c>
      <c r="E98" s="3">
        <f>+F98+J98+K98+M98</f>
        <v>0</v>
      </c>
      <c r="F98" s="3">
        <v>0</v>
      </c>
      <c r="G98" s="3">
        <v>0</v>
      </c>
      <c r="H98" s="11"/>
      <c r="I98" s="3">
        <f>C98-D98</f>
        <v>0</v>
      </c>
      <c r="J98" s="3">
        <v>0</v>
      </c>
      <c r="K98" s="3">
        <v>0</v>
      </c>
      <c r="L98" s="3">
        <f>C98-K98</f>
        <v>0</v>
      </c>
      <c r="M98" s="3">
        <v>0</v>
      </c>
      <c r="N98" s="12"/>
    </row>
    <row r="99" spans="1:14" hidden="1">
      <c r="A99" s="137"/>
      <c r="B99" s="1" t="s">
        <v>7</v>
      </c>
      <c r="C99" s="3">
        <f>1221.346-26.046</f>
        <v>1195.3</v>
      </c>
      <c r="D99" s="3">
        <v>1195.3</v>
      </c>
      <c r="E99" s="3">
        <f>+F99+J99+K99+M99</f>
        <v>1195.3000000000002</v>
      </c>
      <c r="F99" s="3">
        <v>0</v>
      </c>
      <c r="G99" s="3">
        <v>0</v>
      </c>
      <c r="H99" s="11"/>
      <c r="I99" s="114">
        <f>C99-D99</f>
        <v>0</v>
      </c>
      <c r="J99" s="3">
        <v>0</v>
      </c>
      <c r="K99" s="3">
        <f>23.134+42.094+147.179+99.09+98.553+73.864+173.646+48.959+124.028+197.583+25.072+49.833+25.143+24.738+21.609+20.775</f>
        <v>1195.3000000000002</v>
      </c>
      <c r="L99" s="3">
        <f>C99-K99</f>
        <v>0</v>
      </c>
      <c r="M99" s="3">
        <v>0</v>
      </c>
      <c r="N99" s="81"/>
    </row>
    <row r="100" spans="1:14" hidden="1">
      <c r="A100" s="138"/>
      <c r="B100" s="1"/>
      <c r="C100" s="4">
        <f>SUM(C98:C99)</f>
        <v>1195.3</v>
      </c>
      <c r="D100" s="4">
        <f t="shared" ref="D100:H100" si="79">SUM(D98:D99)</f>
        <v>1195.3</v>
      </c>
      <c r="E100" s="4">
        <f t="shared" si="79"/>
        <v>1195.3000000000002</v>
      </c>
      <c r="F100" s="4">
        <f t="shared" si="79"/>
        <v>0</v>
      </c>
      <c r="G100" s="4">
        <f t="shared" si="79"/>
        <v>0</v>
      </c>
      <c r="H100" s="4">
        <f t="shared" si="79"/>
        <v>0</v>
      </c>
      <c r="I100" s="4">
        <f>SUM(I98:I99)</f>
        <v>0</v>
      </c>
      <c r="J100" s="4">
        <f t="shared" ref="J100:K100" si="80">SUM(J98:J99)</f>
        <v>0</v>
      </c>
      <c r="K100" s="4">
        <f t="shared" si="80"/>
        <v>1195.3000000000002</v>
      </c>
      <c r="L100" s="4">
        <f>SUM(L98:L99)</f>
        <v>0</v>
      </c>
      <c r="M100" s="4">
        <f>SUM(M98:M99)</f>
        <v>0</v>
      </c>
      <c r="N100" s="12"/>
    </row>
    <row r="101" spans="1:14" hidden="1">
      <c r="A101" s="14"/>
      <c r="B101" s="18"/>
      <c r="C101" s="19">
        <f>+C100+C97</f>
        <v>1195.3</v>
      </c>
      <c r="D101" s="19">
        <f t="shared" ref="D101:H101" si="81">+D100+D97</f>
        <v>1195.3</v>
      </c>
      <c r="E101" s="19">
        <f t="shared" si="81"/>
        <v>1195.3000000000002</v>
      </c>
      <c r="F101" s="19">
        <f t="shared" si="81"/>
        <v>0</v>
      </c>
      <c r="G101" s="19">
        <f t="shared" si="81"/>
        <v>0</v>
      </c>
      <c r="H101" s="19">
        <f t="shared" si="81"/>
        <v>0</v>
      </c>
      <c r="I101" s="19">
        <f>+I100+I97</f>
        <v>0</v>
      </c>
      <c r="J101" s="19">
        <f t="shared" ref="J101:K101" si="82">+J100+J97</f>
        <v>0</v>
      </c>
      <c r="K101" s="19">
        <f t="shared" si="82"/>
        <v>1195.3000000000002</v>
      </c>
      <c r="L101" s="19">
        <f>+L100+L97</f>
        <v>0</v>
      </c>
      <c r="M101" s="19">
        <f>+M100+M97</f>
        <v>0</v>
      </c>
      <c r="N101" s="20"/>
    </row>
    <row r="102" spans="1:14" ht="13.8" hidden="1" thickBot="1">
      <c r="A102" s="107" t="s">
        <v>73</v>
      </c>
      <c r="B102" s="110"/>
      <c r="C102" s="111">
        <f>+C101+C93+C85+C77+C69+C61</f>
        <v>6928.6179999999995</v>
      </c>
      <c r="D102" s="111">
        <f t="shared" ref="D102:M102" si="83">+D101+D93+D85+D77+D69+D61</f>
        <v>6928.6179999999995</v>
      </c>
      <c r="E102" s="111">
        <f t="shared" si="83"/>
        <v>5934.7849999999999</v>
      </c>
      <c r="F102" s="111">
        <f t="shared" si="83"/>
        <v>0</v>
      </c>
      <c r="G102" s="111">
        <f t="shared" si="83"/>
        <v>0</v>
      </c>
      <c r="H102" s="111">
        <f t="shared" si="83"/>
        <v>0</v>
      </c>
      <c r="I102" s="111">
        <f t="shared" si="83"/>
        <v>0</v>
      </c>
      <c r="J102" s="111">
        <f t="shared" si="83"/>
        <v>0</v>
      </c>
      <c r="K102" s="111">
        <f t="shared" si="83"/>
        <v>6928.6179999999995</v>
      </c>
      <c r="L102" s="111">
        <f t="shared" si="83"/>
        <v>0</v>
      </c>
      <c r="M102" s="111">
        <f t="shared" si="83"/>
        <v>0</v>
      </c>
      <c r="N102" s="20"/>
    </row>
    <row r="103" spans="1:14" hidden="1">
      <c r="A103" s="14"/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0"/>
    </row>
    <row r="104" spans="1:14" hidden="1">
      <c r="A104" s="136" t="s">
        <v>74</v>
      </c>
      <c r="B104" s="1" t="s">
        <v>6</v>
      </c>
      <c r="C104" s="3">
        <v>0</v>
      </c>
      <c r="D104" s="3">
        <v>0</v>
      </c>
      <c r="E104" s="3">
        <f>+F104+J104+K104+M104</f>
        <v>0</v>
      </c>
      <c r="F104" s="3">
        <v>0</v>
      </c>
      <c r="G104" s="3">
        <v>0</v>
      </c>
      <c r="H104" s="11"/>
      <c r="I104" s="3">
        <f>C104-D104</f>
        <v>0</v>
      </c>
      <c r="J104" s="3">
        <v>0</v>
      </c>
      <c r="K104" s="3">
        <v>0</v>
      </c>
      <c r="L104" s="3">
        <f>C104-K104</f>
        <v>0</v>
      </c>
      <c r="M104" s="3">
        <v>0</v>
      </c>
      <c r="N104" s="12"/>
    </row>
    <row r="105" spans="1:14" hidden="1">
      <c r="A105" s="137"/>
      <c r="B105" s="1" t="s">
        <v>7</v>
      </c>
      <c r="C105" s="3">
        <v>5.048</v>
      </c>
      <c r="D105" s="3">
        <v>5.048</v>
      </c>
      <c r="E105" s="3">
        <v>0</v>
      </c>
      <c r="F105" s="3">
        <v>0</v>
      </c>
      <c r="G105" s="3">
        <v>0</v>
      </c>
      <c r="H105" s="11"/>
      <c r="I105" s="3">
        <f>C105-D105</f>
        <v>0</v>
      </c>
      <c r="J105" s="3">
        <v>0</v>
      </c>
      <c r="K105" s="3">
        <f>0.605+2.39+1.892+0.161</f>
        <v>5.048</v>
      </c>
      <c r="L105" s="3">
        <f>C105-K105</f>
        <v>0</v>
      </c>
      <c r="M105" s="3">
        <v>0</v>
      </c>
      <c r="N105" s="81"/>
    </row>
    <row r="106" spans="1:14" hidden="1">
      <c r="A106" s="138"/>
      <c r="B106" s="1"/>
      <c r="C106" s="4">
        <f>SUM(C104:C105)</f>
        <v>5.048</v>
      </c>
      <c r="D106" s="4">
        <f t="shared" ref="D106:H106" si="84">SUM(D104:D105)</f>
        <v>5.048</v>
      </c>
      <c r="E106" s="4">
        <f t="shared" si="84"/>
        <v>0</v>
      </c>
      <c r="F106" s="4">
        <f t="shared" si="84"/>
        <v>0</v>
      </c>
      <c r="G106" s="4">
        <f t="shared" si="84"/>
        <v>0</v>
      </c>
      <c r="H106" s="4">
        <f t="shared" si="84"/>
        <v>0</v>
      </c>
      <c r="I106" s="4">
        <f>SUM(I104:I105)</f>
        <v>0</v>
      </c>
      <c r="J106" s="4">
        <f>SUM(J104:J105)</f>
        <v>0</v>
      </c>
      <c r="K106" s="4">
        <f t="shared" ref="K106" si="85">SUM(K104:K105)</f>
        <v>5.048</v>
      </c>
      <c r="L106" s="4">
        <f>SUM(L104:L105)</f>
        <v>0</v>
      </c>
      <c r="M106" s="4">
        <f>SUM(M104:M105)</f>
        <v>0</v>
      </c>
      <c r="N106" s="12"/>
    </row>
    <row r="107" spans="1:14" hidden="1">
      <c r="A107" s="136" t="s">
        <v>75</v>
      </c>
      <c r="B107" s="1" t="s">
        <v>6</v>
      </c>
      <c r="C107" s="3">
        <v>0</v>
      </c>
      <c r="D107" s="3">
        <v>0</v>
      </c>
      <c r="E107" s="3">
        <f>+F107+J107+K107+M107</f>
        <v>0</v>
      </c>
      <c r="F107" s="3">
        <v>0</v>
      </c>
      <c r="G107" s="3">
        <v>0</v>
      </c>
      <c r="H107" s="11"/>
      <c r="I107" s="3">
        <f>C107-D107</f>
        <v>0</v>
      </c>
      <c r="J107" s="3">
        <v>0</v>
      </c>
      <c r="K107" s="3">
        <v>0</v>
      </c>
      <c r="L107" s="3">
        <f>C107-K107</f>
        <v>0</v>
      </c>
      <c r="M107" s="3">
        <v>0</v>
      </c>
      <c r="N107" s="12"/>
    </row>
    <row r="108" spans="1:14" hidden="1">
      <c r="A108" s="137"/>
      <c r="B108" s="1" t="s">
        <v>7</v>
      </c>
      <c r="C108" s="3">
        <f>553.671+1040.99-2.016</f>
        <v>1592.645</v>
      </c>
      <c r="D108" s="3">
        <f>553.671+1040.99-2.016</f>
        <v>1592.645</v>
      </c>
      <c r="E108" s="3">
        <f>553.671+1040.99-2.016</f>
        <v>1592.645</v>
      </c>
      <c r="F108" s="3">
        <v>0</v>
      </c>
      <c r="G108" s="3">
        <v>0</v>
      </c>
      <c r="H108" s="11"/>
      <c r="I108" s="3">
        <f>C108-D108</f>
        <v>0</v>
      </c>
      <c r="J108" s="3">
        <v>0</v>
      </c>
      <c r="K108" s="3">
        <f>553.671+1040.99-2.016</f>
        <v>1592.645</v>
      </c>
      <c r="L108" s="3">
        <f>C108-K108</f>
        <v>0</v>
      </c>
      <c r="M108" s="3">
        <v>0</v>
      </c>
      <c r="N108" s="81"/>
    </row>
    <row r="109" spans="1:14" hidden="1">
      <c r="A109" s="138"/>
      <c r="B109" s="1"/>
      <c r="C109" s="4">
        <f>SUM(C107:C108)</f>
        <v>1592.645</v>
      </c>
      <c r="D109" s="4">
        <f t="shared" ref="D109:H109" si="86">SUM(D107:D108)</f>
        <v>1592.645</v>
      </c>
      <c r="E109" s="4">
        <f t="shared" si="86"/>
        <v>1592.645</v>
      </c>
      <c r="F109" s="4">
        <f t="shared" si="86"/>
        <v>0</v>
      </c>
      <c r="G109" s="4">
        <f t="shared" si="86"/>
        <v>0</v>
      </c>
      <c r="H109" s="4">
        <f t="shared" si="86"/>
        <v>0</v>
      </c>
      <c r="I109" s="4">
        <f>SUM(I107:I108)</f>
        <v>0</v>
      </c>
      <c r="J109" s="4">
        <f t="shared" ref="J109:K109" si="87">SUM(J107:J108)</f>
        <v>0</v>
      </c>
      <c r="K109" s="4">
        <f t="shared" si="87"/>
        <v>1592.645</v>
      </c>
      <c r="L109" s="4">
        <f>SUM(L107:L108)</f>
        <v>0</v>
      </c>
      <c r="M109" s="4">
        <f>SUM(M107:M108)</f>
        <v>0</v>
      </c>
      <c r="N109" s="12"/>
    </row>
    <row r="110" spans="1:14" hidden="1">
      <c r="A110" s="14"/>
      <c r="B110" s="18"/>
      <c r="C110" s="19">
        <f>+C109+C106</f>
        <v>1597.693</v>
      </c>
      <c r="D110" s="19">
        <f t="shared" ref="D110:H110" si="88">+D109+D106</f>
        <v>1597.693</v>
      </c>
      <c r="E110" s="19">
        <f t="shared" si="88"/>
        <v>1592.645</v>
      </c>
      <c r="F110" s="19">
        <f t="shared" si="88"/>
        <v>0</v>
      </c>
      <c r="G110" s="19">
        <f t="shared" si="88"/>
        <v>0</v>
      </c>
      <c r="H110" s="19">
        <f t="shared" si="88"/>
        <v>0</v>
      </c>
      <c r="I110" s="19">
        <f>+I109+I106</f>
        <v>0</v>
      </c>
      <c r="J110" s="19">
        <f t="shared" ref="J110:K110" si="89">+J109+J106</f>
        <v>0</v>
      </c>
      <c r="K110" s="19">
        <f t="shared" si="89"/>
        <v>1597.693</v>
      </c>
      <c r="L110" s="19">
        <f>+L109+L106</f>
        <v>0</v>
      </c>
      <c r="M110" s="19">
        <f>+M109+M106</f>
        <v>0</v>
      </c>
      <c r="N110" s="20"/>
    </row>
    <row r="111" spans="1:14" ht="13.8" hidden="1" thickBot="1">
      <c r="A111" s="107" t="s">
        <v>73</v>
      </c>
      <c r="B111" s="110"/>
      <c r="C111" s="111">
        <f>+C110+C102+C94+C86+C78+C70</f>
        <v>8526.3109999999997</v>
      </c>
      <c r="D111" s="111">
        <f t="shared" ref="D111:M111" si="90">+D110+D102+D94+D86+D78+D70</f>
        <v>8526.3109999999997</v>
      </c>
      <c r="E111" s="111">
        <f t="shared" si="90"/>
        <v>7527.43</v>
      </c>
      <c r="F111" s="111">
        <f t="shared" si="90"/>
        <v>0</v>
      </c>
      <c r="G111" s="111">
        <f t="shared" si="90"/>
        <v>0</v>
      </c>
      <c r="H111" s="111">
        <f t="shared" si="90"/>
        <v>0</v>
      </c>
      <c r="I111" s="111">
        <f t="shared" si="90"/>
        <v>0</v>
      </c>
      <c r="J111" s="111">
        <f t="shared" si="90"/>
        <v>0</v>
      </c>
      <c r="K111" s="111">
        <f t="shared" si="90"/>
        <v>8526.3109999999997</v>
      </c>
      <c r="L111" s="111">
        <f t="shared" si="90"/>
        <v>0</v>
      </c>
      <c r="M111" s="111">
        <f t="shared" si="90"/>
        <v>0</v>
      </c>
      <c r="N111" s="20"/>
    </row>
    <row r="112" spans="1:14" hidden="1">
      <c r="A112" s="14"/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0"/>
    </row>
    <row r="113" spans="1:14">
      <c r="A113" s="136" t="s">
        <v>76</v>
      </c>
      <c r="B113" s="1" t="s">
        <v>6</v>
      </c>
      <c r="C113" s="3">
        <v>0</v>
      </c>
      <c r="D113" s="3">
        <v>0</v>
      </c>
      <c r="E113" s="3">
        <f>+F113+J113+K113+M113</f>
        <v>0</v>
      </c>
      <c r="F113" s="3">
        <v>0</v>
      </c>
      <c r="G113" s="3">
        <v>0</v>
      </c>
      <c r="H113" s="11"/>
      <c r="I113" s="3">
        <f>C113-D113</f>
        <v>0</v>
      </c>
      <c r="J113" s="3">
        <v>0</v>
      </c>
      <c r="K113" s="3">
        <v>0</v>
      </c>
      <c r="L113" s="3">
        <f>C113-K113</f>
        <v>0</v>
      </c>
      <c r="M113" s="3">
        <v>0</v>
      </c>
      <c r="N113" s="12"/>
    </row>
    <row r="114" spans="1:14">
      <c r="A114" s="137"/>
      <c r="B114" s="1" t="s">
        <v>7</v>
      </c>
      <c r="C114" s="3">
        <f>4.36+2.411</f>
        <v>6.7710000000000008</v>
      </c>
      <c r="D114" s="3">
        <f>4.36+2.411</f>
        <v>6.7710000000000008</v>
      </c>
      <c r="E114" s="3">
        <v>0</v>
      </c>
      <c r="F114" s="3">
        <v>0</v>
      </c>
      <c r="G114" s="3">
        <v>0</v>
      </c>
      <c r="H114" s="11"/>
      <c r="I114" s="3">
        <f>C114-D114</f>
        <v>0</v>
      </c>
      <c r="J114" s="3">
        <v>0</v>
      </c>
      <c r="K114" s="3">
        <f>3.098+2.411+0.127+0.324+0.811</f>
        <v>6.7709999999999999</v>
      </c>
      <c r="L114" s="3">
        <f>C114-K114</f>
        <v>0</v>
      </c>
      <c r="M114" s="3">
        <v>0</v>
      </c>
      <c r="N114" s="81"/>
    </row>
    <row r="115" spans="1:14">
      <c r="A115" s="138"/>
      <c r="B115" s="1"/>
      <c r="C115" s="4">
        <f>SUM(C113:C114)</f>
        <v>6.7710000000000008</v>
      </c>
      <c r="D115" s="4">
        <f t="shared" ref="D115:H115" si="91">SUM(D113:D114)</f>
        <v>6.7710000000000008</v>
      </c>
      <c r="E115" s="4">
        <f t="shared" si="91"/>
        <v>0</v>
      </c>
      <c r="F115" s="4">
        <f t="shared" si="91"/>
        <v>0</v>
      </c>
      <c r="G115" s="4">
        <f t="shared" si="91"/>
        <v>0</v>
      </c>
      <c r="H115" s="4">
        <f t="shared" si="91"/>
        <v>0</v>
      </c>
      <c r="I115" s="4">
        <f>SUM(I113:I114)</f>
        <v>0</v>
      </c>
      <c r="J115" s="4">
        <f>SUM(J113:J114)</f>
        <v>0</v>
      </c>
      <c r="K115" s="4">
        <f t="shared" ref="K115" si="92">SUM(K113:K114)</f>
        <v>6.7709999999999999</v>
      </c>
      <c r="L115" s="4">
        <f>SUM(L113:L114)</f>
        <v>0</v>
      </c>
      <c r="M115" s="4">
        <f>SUM(M113:M114)</f>
        <v>0</v>
      </c>
      <c r="N115" s="12"/>
    </row>
    <row r="116" spans="1:14">
      <c r="A116" s="136" t="s">
        <v>77</v>
      </c>
      <c r="B116" s="1" t="s">
        <v>6</v>
      </c>
      <c r="C116" s="3">
        <v>0</v>
      </c>
      <c r="D116" s="3">
        <v>0</v>
      </c>
      <c r="E116" s="3">
        <f>+F116+J116+K116+M116</f>
        <v>0</v>
      </c>
      <c r="F116" s="3">
        <v>0</v>
      </c>
      <c r="G116" s="3">
        <v>0</v>
      </c>
      <c r="H116" s="11"/>
      <c r="I116" s="3">
        <f>C116-D116</f>
        <v>0</v>
      </c>
      <c r="J116" s="3">
        <v>0</v>
      </c>
      <c r="K116" s="3">
        <v>0</v>
      </c>
      <c r="L116" s="3">
        <f>C116-K116</f>
        <v>0</v>
      </c>
      <c r="M116" s="3">
        <v>0</v>
      </c>
      <c r="N116" s="12"/>
    </row>
    <row r="117" spans="1:14">
      <c r="A117" s="137"/>
      <c r="B117" s="1" t="s">
        <v>7</v>
      </c>
      <c r="C117" s="3">
        <f>2.037+344.42+314.1</f>
        <v>660.55700000000002</v>
      </c>
      <c r="D117" s="3">
        <f>2.037+344.42+314.1</f>
        <v>660.55700000000002</v>
      </c>
      <c r="E117" s="3">
        <v>0</v>
      </c>
      <c r="F117" s="3">
        <v>0</v>
      </c>
      <c r="G117" s="3">
        <v>0</v>
      </c>
      <c r="H117" s="11"/>
      <c r="I117" s="3">
        <f>C117-D117</f>
        <v>0</v>
      </c>
      <c r="J117" s="3">
        <v>3.4260000000000002</v>
      </c>
      <c r="K117" s="3">
        <f>1.872+0.164+38.926+38.789+46.177-0.662-0.375+0.75+11.771+30.051+43.952+50.169+33.185+0.06+43.066-22.154+40.095+12.321+40.835+94.025+40.063+38.975-16.626+23.62+42.771+17.926</f>
        <v>649.74600000000009</v>
      </c>
      <c r="L117" s="3">
        <f>C117-K117</f>
        <v>10.810999999999922</v>
      </c>
      <c r="M117" s="3">
        <v>7.3849999999999998</v>
      </c>
      <c r="N117" s="81"/>
    </row>
    <row r="118" spans="1:14">
      <c r="A118" s="138"/>
      <c r="B118" s="1"/>
      <c r="C118" s="4">
        <f>SUM(C116:C117)</f>
        <v>660.55700000000002</v>
      </c>
      <c r="D118" s="4">
        <f t="shared" ref="D118:H118" si="93">SUM(D116:D117)</f>
        <v>660.55700000000002</v>
      </c>
      <c r="E118" s="4">
        <f t="shared" si="93"/>
        <v>0</v>
      </c>
      <c r="F118" s="4">
        <f t="shared" si="93"/>
        <v>0</v>
      </c>
      <c r="G118" s="4">
        <f t="shared" si="93"/>
        <v>0</v>
      </c>
      <c r="H118" s="4">
        <f t="shared" si="93"/>
        <v>0</v>
      </c>
      <c r="I118" s="4">
        <f>SUM(I116:I117)</f>
        <v>0</v>
      </c>
      <c r="J118" s="4">
        <f t="shared" ref="J118:K118" si="94">SUM(J116:J117)</f>
        <v>3.4260000000000002</v>
      </c>
      <c r="K118" s="4">
        <f t="shared" si="94"/>
        <v>649.74600000000009</v>
      </c>
      <c r="L118" s="4">
        <f>SUM(L116:L117)</f>
        <v>10.810999999999922</v>
      </c>
      <c r="M118" s="4">
        <f>SUM(M116:M117)</f>
        <v>7.3849999999999998</v>
      </c>
      <c r="N118" s="12"/>
    </row>
    <row r="119" spans="1:14">
      <c r="A119" s="14"/>
      <c r="B119" s="18"/>
      <c r="C119" s="19">
        <f>+C118+C115</f>
        <v>667.32799999999997</v>
      </c>
      <c r="D119" s="19">
        <f t="shared" ref="D119:H119" si="95">+D118+D115</f>
        <v>667.32799999999997</v>
      </c>
      <c r="E119" s="19">
        <f t="shared" si="95"/>
        <v>0</v>
      </c>
      <c r="F119" s="19">
        <f t="shared" si="95"/>
        <v>0</v>
      </c>
      <c r="G119" s="19">
        <f t="shared" si="95"/>
        <v>0</v>
      </c>
      <c r="H119" s="19">
        <f t="shared" si="95"/>
        <v>0</v>
      </c>
      <c r="I119" s="19">
        <f>+I118+I115</f>
        <v>0</v>
      </c>
      <c r="J119" s="19">
        <f t="shared" ref="J119:K119" si="96">+J118+J115</f>
        <v>3.4260000000000002</v>
      </c>
      <c r="K119" s="19">
        <f t="shared" si="96"/>
        <v>656.51700000000005</v>
      </c>
      <c r="L119" s="19">
        <f>+L118+L115</f>
        <v>10.810999999999922</v>
      </c>
      <c r="M119" s="19">
        <f>+M118+M115</f>
        <v>7.3849999999999998</v>
      </c>
      <c r="N119" s="20"/>
    </row>
    <row r="120" spans="1:14" ht="13.8" hidden="1" thickBot="1">
      <c r="A120" s="107" t="s">
        <v>73</v>
      </c>
      <c r="B120" s="110"/>
      <c r="C120" s="111">
        <f>+C119+C111+C103+C95+C87+C79</f>
        <v>9193.6389999999992</v>
      </c>
      <c r="D120" s="111">
        <f t="shared" ref="D120:M120" si="97">+D119+D111+D103+D95+D87+D79</f>
        <v>9193.6389999999992</v>
      </c>
      <c r="E120" s="111">
        <f t="shared" si="97"/>
        <v>7527.43</v>
      </c>
      <c r="F120" s="111">
        <f t="shared" si="97"/>
        <v>0</v>
      </c>
      <c r="G120" s="111">
        <f t="shared" si="97"/>
        <v>0</v>
      </c>
      <c r="H120" s="111">
        <f t="shared" si="97"/>
        <v>0</v>
      </c>
      <c r="I120" s="111">
        <f t="shared" si="97"/>
        <v>0</v>
      </c>
      <c r="J120" s="111">
        <f t="shared" si="97"/>
        <v>3.4260000000000002</v>
      </c>
      <c r="K120" s="111">
        <f t="shared" si="97"/>
        <v>9182.8279999999995</v>
      </c>
      <c r="L120" s="111">
        <f t="shared" si="97"/>
        <v>10.810999999999922</v>
      </c>
      <c r="M120" s="111">
        <f t="shared" si="97"/>
        <v>7.3849999999999998</v>
      </c>
      <c r="N120" s="20"/>
    </row>
    <row r="121" spans="1:14">
      <c r="A121" s="14"/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20"/>
    </row>
    <row r="122" spans="1:14">
      <c r="A122" s="136" t="s">
        <v>78</v>
      </c>
      <c r="B122" s="1" t="s">
        <v>6</v>
      </c>
      <c r="C122" s="3">
        <v>0</v>
      </c>
      <c r="D122" s="3">
        <v>0</v>
      </c>
      <c r="E122" s="3">
        <f>+F122+J122+K122+M122</f>
        <v>0</v>
      </c>
      <c r="F122" s="3">
        <v>0</v>
      </c>
      <c r="G122" s="3">
        <v>0</v>
      </c>
      <c r="H122" s="11"/>
      <c r="I122" s="3">
        <f>C122-D122</f>
        <v>0</v>
      </c>
      <c r="J122" s="3">
        <v>0</v>
      </c>
      <c r="K122" s="3">
        <v>0</v>
      </c>
      <c r="L122" s="3">
        <f>C122-K122</f>
        <v>0</v>
      </c>
      <c r="M122" s="3">
        <v>0</v>
      </c>
      <c r="N122" s="12"/>
    </row>
    <row r="123" spans="1:14">
      <c r="A123" s="137"/>
      <c r="B123" s="1" t="s">
        <v>7</v>
      </c>
      <c r="C123" s="3">
        <v>3.8</v>
      </c>
      <c r="D123" s="3">
        <v>3.8</v>
      </c>
      <c r="E123" s="3">
        <v>0</v>
      </c>
      <c r="F123" s="3">
        <v>0</v>
      </c>
      <c r="G123" s="3">
        <v>0</v>
      </c>
      <c r="H123" s="11"/>
      <c r="I123" s="3">
        <f>C123-D123</f>
        <v>0</v>
      </c>
      <c r="J123" s="3">
        <v>0</v>
      </c>
      <c r="K123" s="3">
        <v>3.8</v>
      </c>
      <c r="L123" s="3">
        <f>C123-K123</f>
        <v>0</v>
      </c>
      <c r="M123" s="3">
        <v>0</v>
      </c>
      <c r="N123" s="81"/>
    </row>
    <row r="124" spans="1:14">
      <c r="A124" s="138"/>
      <c r="B124" s="1"/>
      <c r="C124" s="4">
        <f>SUM(C122:C123)</f>
        <v>3.8</v>
      </c>
      <c r="D124" s="4">
        <f t="shared" ref="D124:H124" si="98">SUM(D122:D123)</f>
        <v>3.8</v>
      </c>
      <c r="E124" s="4">
        <f t="shared" si="98"/>
        <v>0</v>
      </c>
      <c r="F124" s="4">
        <f t="shared" si="98"/>
        <v>0</v>
      </c>
      <c r="G124" s="4">
        <f t="shared" si="98"/>
        <v>0</v>
      </c>
      <c r="H124" s="4">
        <f t="shared" si="98"/>
        <v>0</v>
      </c>
      <c r="I124" s="4">
        <f>SUM(I122:I123)</f>
        <v>0</v>
      </c>
      <c r="J124" s="4">
        <f>SUM(J122:J123)</f>
        <v>0</v>
      </c>
      <c r="K124" s="4">
        <f t="shared" ref="K124" si="99">SUM(K122:K123)</f>
        <v>3.8</v>
      </c>
      <c r="L124" s="4">
        <f>SUM(L122:L123)</f>
        <v>0</v>
      </c>
      <c r="M124" s="4">
        <f>SUM(M122:M123)</f>
        <v>0</v>
      </c>
      <c r="N124" s="12"/>
    </row>
    <row r="125" spans="1:14">
      <c r="A125" s="136" t="s">
        <v>80</v>
      </c>
      <c r="B125" s="1" t="s">
        <v>6</v>
      </c>
      <c r="C125" s="3">
        <v>0</v>
      </c>
      <c r="D125" s="3">
        <v>0</v>
      </c>
      <c r="E125" s="3">
        <f>+F125+J125+K125+M125</f>
        <v>0</v>
      </c>
      <c r="F125" s="3">
        <v>0</v>
      </c>
      <c r="G125" s="3">
        <v>0</v>
      </c>
      <c r="H125" s="11"/>
      <c r="I125" s="3">
        <f>C125-D125</f>
        <v>0</v>
      </c>
      <c r="J125" s="3">
        <v>0</v>
      </c>
      <c r="K125" s="3">
        <v>0</v>
      </c>
      <c r="L125" s="3">
        <f>C125-K125</f>
        <v>0</v>
      </c>
      <c r="M125" s="3">
        <v>0</v>
      </c>
      <c r="N125" s="12"/>
    </row>
    <row r="126" spans="1:14">
      <c r="A126" s="137"/>
      <c r="B126" s="1" t="s">
        <v>7</v>
      </c>
      <c r="C126" s="3">
        <f>123.192+276.71+124.33-1.29</f>
        <v>522.94200000000001</v>
      </c>
      <c r="D126" s="3">
        <f>123.192+276.71+124.33-1.29</f>
        <v>522.94200000000001</v>
      </c>
      <c r="E126" s="3">
        <v>0</v>
      </c>
      <c r="F126" s="3">
        <v>2.129</v>
      </c>
      <c r="G126" s="3">
        <v>0</v>
      </c>
      <c r="H126" s="11"/>
      <c r="I126" s="3">
        <f>C126-D126</f>
        <v>0</v>
      </c>
      <c r="J126" s="3">
        <v>7.6079999999999997</v>
      </c>
      <c r="K126" s="3">
        <f>34.9+11.229+3.293+1.29+12.414+10.671+48.491-0.976+15.008+63.305+52.071+45.99+11.279+36.844+9.284+4.828+2.175+2.344+14.541+10.748+89.102</f>
        <v>478.8309999999999</v>
      </c>
      <c r="L126" s="3">
        <f>C126-K126</f>
        <v>44.111000000000104</v>
      </c>
      <c r="M126" s="3">
        <v>34.374000000000002</v>
      </c>
      <c r="N126" s="81"/>
    </row>
    <row r="127" spans="1:14">
      <c r="A127" s="138"/>
      <c r="B127" s="1"/>
      <c r="C127" s="4">
        <f>SUM(C125:C126)</f>
        <v>522.94200000000001</v>
      </c>
      <c r="D127" s="4">
        <f t="shared" ref="D127:H127" si="100">SUM(D125:D126)</f>
        <v>522.94200000000001</v>
      </c>
      <c r="E127" s="4">
        <f t="shared" si="100"/>
        <v>0</v>
      </c>
      <c r="F127" s="4">
        <f t="shared" si="100"/>
        <v>2.129</v>
      </c>
      <c r="G127" s="4">
        <f t="shared" si="100"/>
        <v>0</v>
      </c>
      <c r="H127" s="4">
        <f t="shared" si="100"/>
        <v>0</v>
      </c>
      <c r="I127" s="4">
        <f>SUM(I125:I126)</f>
        <v>0</v>
      </c>
      <c r="J127" s="4">
        <f t="shared" ref="J127:K127" si="101">SUM(J125:J126)</f>
        <v>7.6079999999999997</v>
      </c>
      <c r="K127" s="4">
        <f t="shared" si="101"/>
        <v>478.8309999999999</v>
      </c>
      <c r="L127" s="4">
        <f>SUM(L125:L126)</f>
        <v>44.111000000000104</v>
      </c>
      <c r="M127" s="4">
        <f>SUM(M125:M126)</f>
        <v>34.374000000000002</v>
      </c>
      <c r="N127" s="12"/>
    </row>
    <row r="128" spans="1:14">
      <c r="A128" s="14"/>
      <c r="B128" s="18"/>
      <c r="C128" s="19">
        <f>+C127+C124</f>
        <v>526.74199999999996</v>
      </c>
      <c r="D128" s="19">
        <f t="shared" ref="D128:H128" si="102">+D127+D124</f>
        <v>526.74199999999996</v>
      </c>
      <c r="E128" s="19">
        <f t="shared" si="102"/>
        <v>0</v>
      </c>
      <c r="F128" s="19">
        <f t="shared" si="102"/>
        <v>2.129</v>
      </c>
      <c r="G128" s="19">
        <f t="shared" si="102"/>
        <v>0</v>
      </c>
      <c r="H128" s="19">
        <f t="shared" si="102"/>
        <v>0</v>
      </c>
      <c r="I128" s="19">
        <f>+I127+I124</f>
        <v>0</v>
      </c>
      <c r="J128" s="19">
        <f t="shared" ref="J128:K128" si="103">+J127+J124</f>
        <v>7.6079999999999997</v>
      </c>
      <c r="K128" s="19">
        <f t="shared" si="103"/>
        <v>482.63099999999991</v>
      </c>
      <c r="L128" s="19">
        <f>+L127+L124</f>
        <v>44.111000000000104</v>
      </c>
      <c r="M128" s="19">
        <f>+M127+M124</f>
        <v>34.374000000000002</v>
      </c>
      <c r="N128" s="20"/>
    </row>
    <row r="129" spans="1:14" ht="13.8" hidden="1" thickBot="1">
      <c r="A129" s="107" t="s">
        <v>73</v>
      </c>
      <c r="B129" s="110"/>
      <c r="C129" s="111">
        <f>+C128+C120+C112+C104+C96+C88</f>
        <v>9720.3809999999994</v>
      </c>
      <c r="D129" s="111">
        <f t="shared" ref="D129:M129" si="104">+D128+D120+D112+D104+D96+D88</f>
        <v>9720.3809999999994</v>
      </c>
      <c r="E129" s="111">
        <f t="shared" si="104"/>
        <v>7527.43</v>
      </c>
      <c r="F129" s="111">
        <f t="shared" si="104"/>
        <v>2.129</v>
      </c>
      <c r="G129" s="111">
        <f t="shared" si="104"/>
        <v>0</v>
      </c>
      <c r="H129" s="111">
        <f t="shared" si="104"/>
        <v>0</v>
      </c>
      <c r="I129" s="111">
        <f t="shared" si="104"/>
        <v>0</v>
      </c>
      <c r="J129" s="111">
        <f t="shared" si="104"/>
        <v>11.033999999999999</v>
      </c>
      <c r="K129" s="111">
        <f t="shared" si="104"/>
        <v>9665.4589999999989</v>
      </c>
      <c r="L129" s="111">
        <f t="shared" si="104"/>
        <v>54.922000000000025</v>
      </c>
      <c r="M129" s="111">
        <f t="shared" si="104"/>
        <v>41.759</v>
      </c>
      <c r="N129" s="20"/>
    </row>
    <row r="130" spans="1:14">
      <c r="A130" s="14"/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20"/>
    </row>
    <row r="131" spans="1:14">
      <c r="A131" s="136" t="s">
        <v>84</v>
      </c>
      <c r="B131" s="1" t="s">
        <v>6</v>
      </c>
      <c r="C131" s="3">
        <v>0</v>
      </c>
      <c r="D131" s="3">
        <v>0</v>
      </c>
      <c r="E131" s="3">
        <f>+F131+J131+K131+M131</f>
        <v>0</v>
      </c>
      <c r="F131" s="3">
        <v>0</v>
      </c>
      <c r="G131" s="3">
        <v>0</v>
      </c>
      <c r="H131" s="11"/>
      <c r="I131" s="3">
        <f>C131-D131</f>
        <v>0</v>
      </c>
      <c r="J131" s="3">
        <v>0</v>
      </c>
      <c r="K131" s="3">
        <v>0</v>
      </c>
      <c r="L131" s="3">
        <f>C131-K131</f>
        <v>0</v>
      </c>
      <c r="M131" s="3">
        <v>0</v>
      </c>
      <c r="N131" s="12"/>
    </row>
    <row r="132" spans="1:14">
      <c r="A132" s="137"/>
      <c r="B132" s="1" t="s">
        <v>7</v>
      </c>
      <c r="C132" s="3">
        <f>231.56+15.56</f>
        <v>247.12</v>
      </c>
      <c r="D132" s="3">
        <f>231.56+15.56</f>
        <v>247.12</v>
      </c>
      <c r="E132" s="3">
        <v>0</v>
      </c>
      <c r="F132" s="3">
        <v>0</v>
      </c>
      <c r="G132" s="3">
        <v>0</v>
      </c>
      <c r="H132" s="11"/>
      <c r="I132" s="3">
        <f>C132-D132</f>
        <v>0</v>
      </c>
      <c r="J132" s="3">
        <v>4.2030000000000003</v>
      </c>
      <c r="K132" s="3">
        <f>2.689+3.557+2.293+85.603+109.784+31.971+3.348+3.672</f>
        <v>242.917</v>
      </c>
      <c r="L132" s="3">
        <f>C132-K132</f>
        <v>4.203000000000003</v>
      </c>
      <c r="M132" s="3">
        <v>0</v>
      </c>
      <c r="N132" s="81"/>
    </row>
    <row r="133" spans="1:14">
      <c r="A133" s="138"/>
      <c r="B133" s="1"/>
      <c r="C133" s="4">
        <f>SUM(C131:C132)</f>
        <v>247.12</v>
      </c>
      <c r="D133" s="4">
        <f t="shared" ref="D133:H133" si="105">SUM(D131:D132)</f>
        <v>247.12</v>
      </c>
      <c r="E133" s="4">
        <f t="shared" si="105"/>
        <v>0</v>
      </c>
      <c r="F133" s="4">
        <f t="shared" si="105"/>
        <v>0</v>
      </c>
      <c r="G133" s="4">
        <f t="shared" si="105"/>
        <v>0</v>
      </c>
      <c r="H133" s="4">
        <f t="shared" si="105"/>
        <v>0</v>
      </c>
      <c r="I133" s="4">
        <f>SUM(I131:I132)</f>
        <v>0</v>
      </c>
      <c r="J133" s="4">
        <f>SUM(J131:J132)</f>
        <v>4.2030000000000003</v>
      </c>
      <c r="K133" s="4">
        <f>SUM(K131:K132)</f>
        <v>242.917</v>
      </c>
      <c r="L133" s="4">
        <f>SUM(L131:L132)</f>
        <v>4.203000000000003</v>
      </c>
      <c r="M133" s="4">
        <f>SUM(M131:M132)</f>
        <v>0</v>
      </c>
      <c r="N133" s="12"/>
    </row>
    <row r="134" spans="1:14" ht="13.8" hidden="1" thickBot="1">
      <c r="A134" s="107" t="s">
        <v>73</v>
      </c>
      <c r="B134" s="110"/>
      <c r="C134" s="111" t="e">
        <f>+#REF!+C129+C121+C113+C105+C97</f>
        <v>#REF!</v>
      </c>
      <c r="D134" s="111" t="e">
        <f>+#REF!+D129+D121+D113+D105+D97</f>
        <v>#REF!</v>
      </c>
      <c r="E134" s="111" t="e">
        <f>+#REF!+E129+E121+E113+E105+E97</f>
        <v>#REF!</v>
      </c>
      <c r="F134" s="111" t="e">
        <f>+#REF!+F129+F121+F113+F105+F97</f>
        <v>#REF!</v>
      </c>
      <c r="G134" s="111" t="e">
        <f>+#REF!+G129+G121+G113+G105+G97</f>
        <v>#REF!</v>
      </c>
      <c r="H134" s="111" t="e">
        <f>+#REF!+H129+H121+H113+H105+H97</f>
        <v>#REF!</v>
      </c>
      <c r="I134" s="111" t="e">
        <f>+#REF!+I129+I121+I113+I105+I97</f>
        <v>#REF!</v>
      </c>
      <c r="J134" s="111" t="e">
        <f>+#REF!+J129+J121+J113+J105+J97</f>
        <v>#REF!</v>
      </c>
      <c r="K134" s="111" t="e">
        <f>+#REF!+K129+K121+K113+K105+K97</f>
        <v>#REF!</v>
      </c>
      <c r="L134" s="111" t="e">
        <f>+#REF!+L129+L121+L113+L105+L97</f>
        <v>#REF!</v>
      </c>
      <c r="M134" s="111" t="e">
        <f>+#REF!+M129+M121+M113+M105+M97</f>
        <v>#REF!</v>
      </c>
      <c r="N134" s="20"/>
    </row>
    <row r="135" spans="1:14">
      <c r="A135" s="14"/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20"/>
    </row>
    <row r="136" spans="1:14">
      <c r="A136" s="136" t="s">
        <v>82</v>
      </c>
      <c r="B136" s="1" t="s">
        <v>6</v>
      </c>
      <c r="C136" s="3">
        <v>0</v>
      </c>
      <c r="D136" s="3">
        <v>0</v>
      </c>
      <c r="E136" s="3">
        <f>+F136+J136+K136+M136</f>
        <v>0</v>
      </c>
      <c r="F136" s="3">
        <v>0</v>
      </c>
      <c r="G136" s="3">
        <v>0</v>
      </c>
      <c r="H136" s="11"/>
      <c r="I136" s="3">
        <f>C136-D136</f>
        <v>0</v>
      </c>
      <c r="J136" s="3">
        <v>0</v>
      </c>
      <c r="K136" s="3">
        <v>0</v>
      </c>
      <c r="L136" s="3">
        <f>C136-K136</f>
        <v>0</v>
      </c>
      <c r="M136" s="3">
        <v>0</v>
      </c>
      <c r="N136" s="12"/>
    </row>
    <row r="137" spans="1:14">
      <c r="A137" s="137"/>
      <c r="B137" s="1" t="s">
        <v>7</v>
      </c>
      <c r="C137" s="3">
        <f>141.09+78.031+45.6+27.11+0.34</f>
        <v>292.17099999999999</v>
      </c>
      <c r="D137" s="3">
        <f>141.09+78.031+45.6+27.11+0.34</f>
        <v>292.17099999999999</v>
      </c>
      <c r="E137" s="3">
        <v>0</v>
      </c>
      <c r="F137" s="3">
        <v>148.386</v>
      </c>
      <c r="G137" s="3">
        <v>2.3610000000000002</v>
      </c>
      <c r="H137" s="11"/>
      <c r="I137" s="3">
        <f>C137-D137</f>
        <v>0</v>
      </c>
      <c r="J137" s="3">
        <v>2.57</v>
      </c>
      <c r="K137" s="3">
        <f>19.248+15.284+0.802+1.125-0.841+20.925+33.425+5.292+15.08+24.149</f>
        <v>134.489</v>
      </c>
      <c r="L137" s="3">
        <f>C137-K137</f>
        <v>157.68199999999999</v>
      </c>
      <c r="M137" s="3">
        <v>4.3650000000000002</v>
      </c>
      <c r="N137" s="81"/>
    </row>
    <row r="138" spans="1:14">
      <c r="A138" s="138"/>
      <c r="B138" s="1"/>
      <c r="C138" s="4">
        <f>SUM(C136:C137)</f>
        <v>292.17099999999999</v>
      </c>
      <c r="D138" s="4">
        <f t="shared" ref="D138:H138" si="106">SUM(D136:D137)</f>
        <v>292.17099999999999</v>
      </c>
      <c r="E138" s="4">
        <f t="shared" si="106"/>
        <v>0</v>
      </c>
      <c r="F138" s="4">
        <f t="shared" si="106"/>
        <v>148.386</v>
      </c>
      <c r="G138" s="4">
        <f t="shared" si="106"/>
        <v>2.3610000000000002</v>
      </c>
      <c r="H138" s="4">
        <f t="shared" si="106"/>
        <v>0</v>
      </c>
      <c r="I138" s="4">
        <f>SUM(I136:I137)</f>
        <v>0</v>
      </c>
      <c r="J138" s="4">
        <f>SUM(J136:J137)</f>
        <v>2.57</v>
      </c>
      <c r="K138" s="4">
        <f t="shared" ref="K138" si="107">SUM(K136:K137)</f>
        <v>134.489</v>
      </c>
      <c r="L138" s="4">
        <f>SUM(L136:L137)</f>
        <v>157.68199999999999</v>
      </c>
      <c r="M138" s="4">
        <f>SUM(M136:M137)</f>
        <v>4.3650000000000002</v>
      </c>
      <c r="N138" s="12"/>
    </row>
    <row r="139" spans="1:14">
      <c r="A139" s="136" t="s">
        <v>83</v>
      </c>
      <c r="B139" s="1" t="s">
        <v>6</v>
      </c>
      <c r="C139" s="3">
        <v>0</v>
      </c>
      <c r="D139" s="3">
        <v>0</v>
      </c>
      <c r="E139" s="3">
        <f>+F139+J139+K139+M139</f>
        <v>0</v>
      </c>
      <c r="F139" s="3">
        <v>0</v>
      </c>
      <c r="G139" s="3">
        <v>0</v>
      </c>
      <c r="H139" s="11"/>
      <c r="I139" s="3">
        <f>C139-D139</f>
        <v>0</v>
      </c>
      <c r="J139" s="3">
        <v>0</v>
      </c>
      <c r="K139" s="3">
        <v>0</v>
      </c>
      <c r="L139" s="3">
        <f>C139-K139</f>
        <v>0</v>
      </c>
      <c r="M139" s="3">
        <v>0</v>
      </c>
      <c r="N139" s="12"/>
    </row>
    <row r="140" spans="1:14">
      <c r="A140" s="137"/>
      <c r="B140" s="1" t="s">
        <v>7</v>
      </c>
      <c r="C140" s="3">
        <v>0</v>
      </c>
      <c r="D140" s="3">
        <v>0</v>
      </c>
      <c r="E140" s="3">
        <f>+F140+J140+K140+M140</f>
        <v>0</v>
      </c>
      <c r="F140" s="3">
        <v>0</v>
      </c>
      <c r="G140" s="3">
        <v>0</v>
      </c>
      <c r="H140" s="11"/>
      <c r="I140" s="3">
        <f>C140-D140</f>
        <v>0</v>
      </c>
      <c r="J140" s="3">
        <v>0</v>
      </c>
      <c r="K140" s="3">
        <v>0</v>
      </c>
      <c r="L140" s="3">
        <f>C140-K140</f>
        <v>0</v>
      </c>
      <c r="M140" s="3">
        <v>0</v>
      </c>
      <c r="N140" s="81"/>
    </row>
    <row r="141" spans="1:14">
      <c r="A141" s="138"/>
      <c r="B141" s="1"/>
      <c r="C141" s="4">
        <f>SUM(C139:C140)</f>
        <v>0</v>
      </c>
      <c r="D141" s="4">
        <f t="shared" ref="D141:H141" si="108">SUM(D139:D140)</f>
        <v>0</v>
      </c>
      <c r="E141" s="4">
        <f t="shared" si="108"/>
        <v>0</v>
      </c>
      <c r="F141" s="4">
        <f t="shared" si="108"/>
        <v>0</v>
      </c>
      <c r="G141" s="4">
        <f t="shared" si="108"/>
        <v>0</v>
      </c>
      <c r="H141" s="4">
        <f t="shared" si="108"/>
        <v>0</v>
      </c>
      <c r="I141" s="4">
        <f>SUM(I139:I140)</f>
        <v>0</v>
      </c>
      <c r="J141" s="4">
        <f t="shared" ref="J141:K141" si="109">SUM(J139:J140)</f>
        <v>0</v>
      </c>
      <c r="K141" s="4">
        <f t="shared" si="109"/>
        <v>0</v>
      </c>
      <c r="L141" s="4">
        <f>SUM(L139:L140)</f>
        <v>0</v>
      </c>
      <c r="M141" s="4">
        <f>SUM(M139:M140)</f>
        <v>0</v>
      </c>
      <c r="N141" s="12"/>
    </row>
    <row r="142" spans="1:14">
      <c r="A142" s="14"/>
      <c r="B142" s="18"/>
      <c r="C142" s="19">
        <f>+C141+C138</f>
        <v>292.17099999999999</v>
      </c>
      <c r="D142" s="19">
        <f t="shared" ref="D142:H142" si="110">+D141+D138</f>
        <v>292.17099999999999</v>
      </c>
      <c r="E142" s="19">
        <f t="shared" si="110"/>
        <v>0</v>
      </c>
      <c r="F142" s="19">
        <f t="shared" si="110"/>
        <v>148.386</v>
      </c>
      <c r="G142" s="19">
        <f t="shared" si="110"/>
        <v>2.3610000000000002</v>
      </c>
      <c r="H142" s="19">
        <f t="shared" si="110"/>
        <v>0</v>
      </c>
      <c r="I142" s="19">
        <f>+I141+I138</f>
        <v>0</v>
      </c>
      <c r="J142" s="19">
        <f t="shared" ref="J142:K142" si="111">+J141+J138</f>
        <v>2.57</v>
      </c>
      <c r="K142" s="19">
        <f t="shared" si="111"/>
        <v>134.489</v>
      </c>
      <c r="L142" s="19">
        <f>+L141+L138</f>
        <v>157.68199999999999</v>
      </c>
      <c r="M142" s="19">
        <f>+M141+M138</f>
        <v>4.3650000000000002</v>
      </c>
      <c r="N142" s="20"/>
    </row>
    <row r="143" spans="1:14" ht="13.8" hidden="1" thickBot="1">
      <c r="A143" s="107" t="s">
        <v>73</v>
      </c>
      <c r="B143" s="110"/>
      <c r="C143" s="111">
        <f t="shared" ref="C143:M143" si="112">+C142+C129+C121+C113+C105+C97</f>
        <v>10017.6</v>
      </c>
      <c r="D143" s="111">
        <f t="shared" si="112"/>
        <v>10017.6</v>
      </c>
      <c r="E143" s="111">
        <f t="shared" si="112"/>
        <v>7527.43</v>
      </c>
      <c r="F143" s="111">
        <f t="shared" si="112"/>
        <v>150.51499999999999</v>
      </c>
      <c r="G143" s="111">
        <f t="shared" si="112"/>
        <v>2.3610000000000002</v>
      </c>
      <c r="H143" s="111">
        <f t="shared" si="112"/>
        <v>0</v>
      </c>
      <c r="I143" s="111">
        <f t="shared" si="112"/>
        <v>0</v>
      </c>
      <c r="J143" s="111">
        <f t="shared" si="112"/>
        <v>13.603999999999999</v>
      </c>
      <c r="K143" s="111">
        <f t="shared" si="112"/>
        <v>9804.9959999999992</v>
      </c>
      <c r="L143" s="111">
        <f t="shared" si="112"/>
        <v>212.60400000000001</v>
      </c>
      <c r="M143" s="111">
        <f t="shared" si="112"/>
        <v>46.124000000000002</v>
      </c>
      <c r="N143" s="20"/>
    </row>
    <row r="144" spans="1:14">
      <c r="A144" s="14"/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20"/>
    </row>
    <row r="145" spans="1:14">
      <c r="A145" s="136" t="s">
        <v>81</v>
      </c>
      <c r="B145" s="1" t="s">
        <v>6</v>
      </c>
      <c r="C145" s="3">
        <v>0</v>
      </c>
      <c r="D145" s="3">
        <v>0</v>
      </c>
      <c r="E145" s="3">
        <f>+F145+J145+K145+M145</f>
        <v>0</v>
      </c>
      <c r="F145" s="3">
        <v>0</v>
      </c>
      <c r="G145" s="3">
        <v>0</v>
      </c>
      <c r="H145" s="11"/>
      <c r="I145" s="3">
        <f>C145-D145</f>
        <v>0</v>
      </c>
      <c r="J145" s="3">
        <v>0</v>
      </c>
      <c r="K145" s="3">
        <v>0</v>
      </c>
      <c r="L145" s="3">
        <f>C145-K145</f>
        <v>0</v>
      </c>
      <c r="M145" s="3">
        <v>0</v>
      </c>
      <c r="N145" s="12"/>
    </row>
    <row r="146" spans="1:14">
      <c r="A146" s="137"/>
      <c r="B146" s="1" t="s">
        <v>7</v>
      </c>
      <c r="C146" s="3">
        <f>193.917+19.576</f>
        <v>213.49299999999999</v>
      </c>
      <c r="D146" s="3">
        <v>193.917</v>
      </c>
      <c r="E146" s="3">
        <v>0</v>
      </c>
      <c r="F146" s="3">
        <v>0.152</v>
      </c>
      <c r="G146" s="3">
        <v>1.0620000000000001</v>
      </c>
      <c r="H146" s="11"/>
      <c r="I146" s="3">
        <f>C146-D146</f>
        <v>19.575999999999993</v>
      </c>
      <c r="J146" s="3">
        <v>3.46</v>
      </c>
      <c r="K146" s="3">
        <f>7.231+1.675+25.196+48.262+24.088+14.032+17.417+1.527</f>
        <v>139.428</v>
      </c>
      <c r="L146" s="3">
        <f>C146-K146</f>
        <v>74.064999999999998</v>
      </c>
      <c r="M146" s="3">
        <v>49.814999999999998</v>
      </c>
      <c r="N146" s="81"/>
    </row>
    <row r="147" spans="1:14">
      <c r="A147" s="138"/>
      <c r="B147" s="1"/>
      <c r="C147" s="4">
        <f>SUM(C145:C146)</f>
        <v>213.49299999999999</v>
      </c>
      <c r="D147" s="4">
        <f t="shared" ref="D147:H147" si="113">SUM(D145:D146)</f>
        <v>193.917</v>
      </c>
      <c r="E147" s="4">
        <f t="shared" si="113"/>
        <v>0</v>
      </c>
      <c r="F147" s="4">
        <f t="shared" si="113"/>
        <v>0.152</v>
      </c>
      <c r="G147" s="4">
        <f t="shared" si="113"/>
        <v>1.0620000000000001</v>
      </c>
      <c r="H147" s="4">
        <f t="shared" si="113"/>
        <v>0</v>
      </c>
      <c r="I147" s="4">
        <f>SUM(I145:I146)</f>
        <v>19.575999999999993</v>
      </c>
      <c r="J147" s="4">
        <f>SUM(J145:J146)</f>
        <v>3.46</v>
      </c>
      <c r="K147" s="4">
        <f t="shared" ref="K147" si="114">SUM(K145:K146)</f>
        <v>139.428</v>
      </c>
      <c r="L147" s="4">
        <f>SUM(L145:L146)</f>
        <v>74.064999999999998</v>
      </c>
      <c r="M147" s="4">
        <f>SUM(M145:M146)</f>
        <v>49.814999999999998</v>
      </c>
      <c r="N147" s="12"/>
    </row>
    <row r="148" spans="1:14">
      <c r="A148" s="136" t="s">
        <v>79</v>
      </c>
      <c r="B148" s="1" t="s">
        <v>6</v>
      </c>
      <c r="C148" s="3">
        <v>0</v>
      </c>
      <c r="D148" s="3">
        <v>0</v>
      </c>
      <c r="E148" s="3">
        <f>+F148+J148+K148+M148</f>
        <v>0</v>
      </c>
      <c r="F148" s="3">
        <v>0</v>
      </c>
      <c r="G148" s="3">
        <v>0</v>
      </c>
      <c r="H148" s="11"/>
      <c r="I148" s="3">
        <f>C148-D148</f>
        <v>0</v>
      </c>
      <c r="J148" s="3">
        <v>0</v>
      </c>
      <c r="K148" s="3">
        <v>0</v>
      </c>
      <c r="L148" s="3">
        <f>C148-K148</f>
        <v>0</v>
      </c>
      <c r="M148" s="3">
        <v>0</v>
      </c>
      <c r="N148" s="12"/>
    </row>
    <row r="149" spans="1:14">
      <c r="A149" s="137"/>
      <c r="B149" s="1" t="s">
        <v>7</v>
      </c>
      <c r="C149" s="3">
        <f>639.998+4.18+1.972-23.9</f>
        <v>622.25</v>
      </c>
      <c r="D149" s="3">
        <f>593.411-23.9-3.923</f>
        <v>565.58799999999997</v>
      </c>
      <c r="E149" s="3">
        <v>0</v>
      </c>
      <c r="F149" s="3">
        <v>186.05199999999999</v>
      </c>
      <c r="G149" s="3">
        <v>120.792</v>
      </c>
      <c r="H149" s="11"/>
      <c r="I149" s="3">
        <f>C149-D149</f>
        <v>56.662000000000035</v>
      </c>
      <c r="J149" s="3">
        <v>41.850999999999999</v>
      </c>
      <c r="K149" s="3">
        <v>124.42700000000001</v>
      </c>
      <c r="L149" s="3">
        <f>C149-K149</f>
        <v>497.82299999999998</v>
      </c>
      <c r="M149" s="3">
        <v>92.465999999999994</v>
      </c>
      <c r="N149" s="81"/>
    </row>
    <row r="150" spans="1:14">
      <c r="A150" s="138"/>
      <c r="B150" s="1"/>
      <c r="C150" s="4">
        <f>SUM(C148:C149)</f>
        <v>622.25</v>
      </c>
      <c r="D150" s="4">
        <f t="shared" ref="D150:H150" si="115">SUM(D148:D149)</f>
        <v>565.58799999999997</v>
      </c>
      <c r="E150" s="4">
        <f t="shared" si="115"/>
        <v>0</v>
      </c>
      <c r="F150" s="4">
        <f t="shared" si="115"/>
        <v>186.05199999999999</v>
      </c>
      <c r="G150" s="4">
        <f t="shared" si="115"/>
        <v>120.792</v>
      </c>
      <c r="H150" s="4">
        <f t="shared" si="115"/>
        <v>0</v>
      </c>
      <c r="I150" s="4">
        <f>SUM(I148:I149)</f>
        <v>56.662000000000035</v>
      </c>
      <c r="J150" s="4">
        <f t="shared" ref="J150:K150" si="116">SUM(J148:J149)</f>
        <v>41.850999999999999</v>
      </c>
      <c r="K150" s="4">
        <f t="shared" si="116"/>
        <v>124.42700000000001</v>
      </c>
      <c r="L150" s="4">
        <f>SUM(L148:L149)</f>
        <v>497.82299999999998</v>
      </c>
      <c r="M150" s="4">
        <f>SUM(M148:M149)</f>
        <v>92.465999999999994</v>
      </c>
      <c r="N150" s="12"/>
    </row>
    <row r="151" spans="1:14">
      <c r="A151" s="14"/>
      <c r="B151" s="18"/>
      <c r="C151" s="19">
        <f>+C150+C147</f>
        <v>835.74299999999994</v>
      </c>
      <c r="D151" s="19">
        <f t="shared" ref="D151:H151" si="117">+D150+D147</f>
        <v>759.505</v>
      </c>
      <c r="E151" s="19">
        <f t="shared" si="117"/>
        <v>0</v>
      </c>
      <c r="F151" s="19">
        <f t="shared" si="117"/>
        <v>186.20399999999998</v>
      </c>
      <c r="G151" s="19">
        <f t="shared" si="117"/>
        <v>121.854</v>
      </c>
      <c r="H151" s="19">
        <f t="shared" si="117"/>
        <v>0</v>
      </c>
      <c r="I151" s="19">
        <f>+I150+I147</f>
        <v>76.238000000000028</v>
      </c>
      <c r="J151" s="19">
        <f t="shared" ref="J151:K151" si="118">+J150+J147</f>
        <v>45.311</v>
      </c>
      <c r="K151" s="19">
        <f t="shared" si="118"/>
        <v>263.85500000000002</v>
      </c>
      <c r="L151" s="19">
        <f>+L150+L147</f>
        <v>571.88799999999992</v>
      </c>
      <c r="M151" s="19">
        <f>+M150+M147</f>
        <v>142.28100000000001</v>
      </c>
      <c r="N151" s="20"/>
    </row>
    <row r="152" spans="1:14" ht="13.8" hidden="1" thickBot="1">
      <c r="A152" s="107" t="s">
        <v>73</v>
      </c>
      <c r="B152" s="110"/>
      <c r="C152" s="111">
        <f t="shared" ref="C152:M152" si="119">+C151+C129+C121+C113+C105+C97</f>
        <v>10561.172</v>
      </c>
      <c r="D152" s="111">
        <f t="shared" si="119"/>
        <v>10484.933999999999</v>
      </c>
      <c r="E152" s="111">
        <f t="shared" si="119"/>
        <v>7527.43</v>
      </c>
      <c r="F152" s="111">
        <f t="shared" si="119"/>
        <v>188.33299999999997</v>
      </c>
      <c r="G152" s="111">
        <f t="shared" si="119"/>
        <v>121.854</v>
      </c>
      <c r="H152" s="111">
        <f t="shared" si="119"/>
        <v>0</v>
      </c>
      <c r="I152" s="111">
        <f t="shared" si="119"/>
        <v>76.238000000000028</v>
      </c>
      <c r="J152" s="111">
        <f t="shared" si="119"/>
        <v>56.344999999999999</v>
      </c>
      <c r="K152" s="111">
        <f t="shared" si="119"/>
        <v>9934.3619999999992</v>
      </c>
      <c r="L152" s="111">
        <f t="shared" si="119"/>
        <v>626.80999999999995</v>
      </c>
      <c r="M152" s="111">
        <f t="shared" si="119"/>
        <v>184.04000000000002</v>
      </c>
      <c r="N152" s="20"/>
    </row>
    <row r="153" spans="1:14">
      <c r="A153" s="14"/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20"/>
    </row>
    <row r="154" spans="1:14">
      <c r="A154" s="136" t="s">
        <v>89</v>
      </c>
      <c r="B154" s="1" t="s">
        <v>6</v>
      </c>
      <c r="C154" s="3">
        <v>0</v>
      </c>
      <c r="D154" s="3">
        <v>0</v>
      </c>
      <c r="E154" s="3">
        <f>+F154+J154+K154+M154</f>
        <v>0</v>
      </c>
      <c r="F154" s="3">
        <v>0</v>
      </c>
      <c r="G154" s="3">
        <v>0</v>
      </c>
      <c r="H154" s="11"/>
      <c r="I154" s="3">
        <f>C154-D154</f>
        <v>0</v>
      </c>
      <c r="J154" s="3">
        <v>0</v>
      </c>
      <c r="K154" s="3">
        <v>0</v>
      </c>
      <c r="L154" s="3">
        <f>C154-K154</f>
        <v>0</v>
      </c>
      <c r="M154" s="3">
        <v>0</v>
      </c>
      <c r="N154" s="12"/>
    </row>
    <row r="155" spans="1:14">
      <c r="A155" s="137"/>
      <c r="B155" s="1" t="s">
        <v>7</v>
      </c>
      <c r="C155" s="3">
        <f>172.914+843.738</f>
        <v>1016.652</v>
      </c>
      <c r="D155" s="3">
        <v>27.815999999999999</v>
      </c>
      <c r="E155" s="3">
        <v>0</v>
      </c>
      <c r="F155" s="3">
        <v>27.815999999999999</v>
      </c>
      <c r="G155" s="3">
        <v>0</v>
      </c>
      <c r="H155" s="11"/>
      <c r="I155" s="3">
        <f>C155-D155</f>
        <v>988.83600000000001</v>
      </c>
      <c r="J155" s="3">
        <v>0</v>
      </c>
      <c r="K155" s="3">
        <v>0</v>
      </c>
      <c r="L155" s="3">
        <f>C155-K155</f>
        <v>1016.652</v>
      </c>
      <c r="M155" s="3">
        <v>0</v>
      </c>
      <c r="N155" s="81"/>
    </row>
    <row r="156" spans="1:14">
      <c r="A156" s="138"/>
      <c r="B156" s="1"/>
      <c r="C156" s="4">
        <f>SUM(C154:C155)</f>
        <v>1016.652</v>
      </c>
      <c r="D156" s="4">
        <f t="shared" ref="D156:H156" si="120">SUM(D154:D155)</f>
        <v>27.815999999999999</v>
      </c>
      <c r="E156" s="4">
        <f t="shared" si="120"/>
        <v>0</v>
      </c>
      <c r="F156" s="4">
        <f t="shared" si="120"/>
        <v>27.815999999999999</v>
      </c>
      <c r="G156" s="4">
        <f t="shared" si="120"/>
        <v>0</v>
      </c>
      <c r="H156" s="4">
        <f t="shared" si="120"/>
        <v>0</v>
      </c>
      <c r="I156" s="4">
        <f>SUM(I154:I155)</f>
        <v>988.83600000000001</v>
      </c>
      <c r="J156" s="4">
        <f>SUM(J154:J155)</f>
        <v>0</v>
      </c>
      <c r="K156" s="4">
        <f t="shared" ref="K156" si="121">SUM(K154:K155)</f>
        <v>0</v>
      </c>
      <c r="L156" s="4">
        <f>SUM(L154:L155)</f>
        <v>1016.652</v>
      </c>
      <c r="M156" s="4">
        <f>SUM(M154:M155)</f>
        <v>0</v>
      </c>
      <c r="N156" s="12"/>
    </row>
    <row r="157" spans="1:14">
      <c r="A157" s="136" t="s">
        <v>90</v>
      </c>
      <c r="B157" s="1" t="s">
        <v>6</v>
      </c>
      <c r="C157" s="3">
        <v>0</v>
      </c>
      <c r="D157" s="3">
        <v>0</v>
      </c>
      <c r="E157" s="3">
        <f>+F157+J157+K157+M157</f>
        <v>0</v>
      </c>
      <c r="F157" s="3">
        <v>0</v>
      </c>
      <c r="G157" s="3">
        <v>0</v>
      </c>
      <c r="H157" s="11"/>
      <c r="I157" s="3">
        <f>C157-D157</f>
        <v>0</v>
      </c>
      <c r="J157" s="3">
        <v>0</v>
      </c>
      <c r="K157" s="3">
        <v>0</v>
      </c>
      <c r="L157" s="3">
        <f>C157-K157</f>
        <v>0</v>
      </c>
      <c r="M157" s="3">
        <v>0</v>
      </c>
      <c r="N157" s="12"/>
    </row>
    <row r="158" spans="1:14">
      <c r="A158" s="137"/>
      <c r="B158" s="1" t="s">
        <v>7</v>
      </c>
      <c r="C158" s="3">
        <f>961.51-843.738</f>
        <v>117.77199999999993</v>
      </c>
      <c r="D158" s="3">
        <f>25.32+36.646</f>
        <v>61.966000000000001</v>
      </c>
      <c r="E158" s="3">
        <f>+F158+J158+K158+M158</f>
        <v>25.32</v>
      </c>
      <c r="F158" s="3">
        <v>25.32</v>
      </c>
      <c r="G158" s="3">
        <v>36.646000000000001</v>
      </c>
      <c r="H158" s="11"/>
      <c r="I158" s="3">
        <f>C158-D158</f>
        <v>55.805999999999933</v>
      </c>
      <c r="J158" s="3">
        <v>0</v>
      </c>
      <c r="K158" s="3">
        <v>0</v>
      </c>
      <c r="L158" s="3">
        <f>C158-K158</f>
        <v>117.77199999999993</v>
      </c>
      <c r="M158" s="3">
        <v>0</v>
      </c>
      <c r="N158" s="81"/>
    </row>
    <row r="159" spans="1:14">
      <c r="A159" s="138"/>
      <c r="B159" s="1"/>
      <c r="C159" s="4">
        <f>SUM(C157:C158)</f>
        <v>117.77199999999993</v>
      </c>
      <c r="D159" s="4">
        <f t="shared" ref="D159:H159" si="122">SUM(D157:D158)</f>
        <v>61.966000000000001</v>
      </c>
      <c r="E159" s="4">
        <f t="shared" si="122"/>
        <v>25.32</v>
      </c>
      <c r="F159" s="4">
        <f t="shared" si="122"/>
        <v>25.32</v>
      </c>
      <c r="G159" s="4">
        <f t="shared" si="122"/>
        <v>36.646000000000001</v>
      </c>
      <c r="H159" s="4">
        <f t="shared" si="122"/>
        <v>0</v>
      </c>
      <c r="I159" s="4">
        <f>SUM(I157:I158)</f>
        <v>55.805999999999933</v>
      </c>
      <c r="J159" s="4">
        <f t="shared" ref="J159:K159" si="123">SUM(J157:J158)</f>
        <v>0</v>
      </c>
      <c r="K159" s="4">
        <f t="shared" si="123"/>
        <v>0</v>
      </c>
      <c r="L159" s="4">
        <f>SUM(L157:L158)</f>
        <v>117.77199999999993</v>
      </c>
      <c r="M159" s="4">
        <f>SUM(M157:M158)</f>
        <v>0</v>
      </c>
      <c r="N159" s="12"/>
    </row>
    <row r="160" spans="1:14">
      <c r="A160" s="14"/>
      <c r="B160" s="18"/>
      <c r="C160" s="19">
        <f>+C159+C156</f>
        <v>1134.424</v>
      </c>
      <c r="D160" s="19">
        <f t="shared" ref="D160:H160" si="124">+D159+D156</f>
        <v>89.781999999999996</v>
      </c>
      <c r="E160" s="19">
        <f t="shared" si="124"/>
        <v>25.32</v>
      </c>
      <c r="F160" s="19">
        <f t="shared" si="124"/>
        <v>53.135999999999996</v>
      </c>
      <c r="G160" s="19">
        <f t="shared" si="124"/>
        <v>36.646000000000001</v>
      </c>
      <c r="H160" s="19">
        <f t="shared" si="124"/>
        <v>0</v>
      </c>
      <c r="I160" s="19">
        <f>+I159+I156</f>
        <v>1044.6420000000001</v>
      </c>
      <c r="J160" s="19">
        <f t="shared" ref="J160:K160" si="125">+J159+J156</f>
        <v>0</v>
      </c>
      <c r="K160" s="19">
        <f t="shared" si="125"/>
        <v>0</v>
      </c>
      <c r="L160" s="19">
        <f>+L159+L156</f>
        <v>1134.424</v>
      </c>
      <c r="M160" s="19">
        <f>+M159+M156</f>
        <v>0</v>
      </c>
      <c r="N160" s="20"/>
    </row>
    <row r="161" spans="1:18" ht="13.8" hidden="1" thickBot="1">
      <c r="A161" s="107" t="s">
        <v>73</v>
      </c>
      <c r="B161" s="110"/>
      <c r="C161" s="111">
        <f t="shared" ref="C161:M161" si="126">+C160+C147+C139+C131+C123+C115</f>
        <v>1358.4879999999998</v>
      </c>
      <c r="D161" s="111">
        <f t="shared" si="126"/>
        <v>294.27000000000004</v>
      </c>
      <c r="E161" s="111">
        <f t="shared" si="126"/>
        <v>25.32</v>
      </c>
      <c r="F161" s="111">
        <f t="shared" si="126"/>
        <v>53.287999999999997</v>
      </c>
      <c r="G161" s="111">
        <f t="shared" si="126"/>
        <v>37.707999999999998</v>
      </c>
      <c r="H161" s="111">
        <f t="shared" si="126"/>
        <v>0</v>
      </c>
      <c r="I161" s="111">
        <f t="shared" si="126"/>
        <v>1064.2180000000001</v>
      </c>
      <c r="J161" s="111">
        <f t="shared" si="126"/>
        <v>3.46</v>
      </c>
      <c r="K161" s="111">
        <f t="shared" si="126"/>
        <v>149.999</v>
      </c>
      <c r="L161" s="111">
        <f t="shared" si="126"/>
        <v>1208.489</v>
      </c>
      <c r="M161" s="111">
        <f t="shared" si="126"/>
        <v>49.814999999999998</v>
      </c>
      <c r="N161" s="20"/>
    </row>
    <row r="162" spans="1:18">
      <c r="A162" s="14"/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20"/>
    </row>
    <row r="163" spans="1:18" ht="15">
      <c r="A163" s="15" t="s">
        <v>12</v>
      </c>
      <c r="B163" s="16"/>
      <c r="C163" s="17">
        <f>+C102+C53+C110+C11+C119+C151+C128+C141+C138+C133+C160</f>
        <v>17505.13</v>
      </c>
      <c r="D163" s="17">
        <f t="shared" ref="D163:L163" si="127">+D102+D53+D110+D11+D119+D151+D128+D141+D138+D133+D160</f>
        <v>16384.25</v>
      </c>
      <c r="E163" s="17">
        <f t="shared" si="127"/>
        <v>10072.013999999999</v>
      </c>
      <c r="F163" s="17">
        <f t="shared" si="127"/>
        <v>389.8549999999999</v>
      </c>
      <c r="G163" s="17">
        <f t="shared" si="127"/>
        <v>160.86099999999999</v>
      </c>
      <c r="H163" s="17">
        <f t="shared" si="127"/>
        <v>0</v>
      </c>
      <c r="I163" s="17">
        <f>+I160+I151</f>
        <v>1120.8800000000001</v>
      </c>
      <c r="J163" s="17">
        <f t="shared" si="127"/>
        <v>63.118000000000002</v>
      </c>
      <c r="K163" s="17">
        <f t="shared" si="127"/>
        <v>15582.010999999997</v>
      </c>
      <c r="L163" s="17">
        <f t="shared" si="127"/>
        <v>1923.1189999999999</v>
      </c>
      <c r="M163" s="17">
        <f>+M102+M53+M110+M11+M119+M151+M128+M141+M138+M133+M160</f>
        <v>188.405</v>
      </c>
      <c r="N163" s="16"/>
      <c r="Q163" s="58"/>
    </row>
    <row r="164" spans="1:18" ht="15">
      <c r="D164" s="42" t="s">
        <v>108</v>
      </c>
      <c r="E164" s="42" t="s">
        <v>95</v>
      </c>
      <c r="F164" s="22" t="s">
        <v>21</v>
      </c>
      <c r="G164" s="22"/>
      <c r="I164" s="135" t="s">
        <v>95</v>
      </c>
      <c r="N164" s="35" t="s">
        <v>114</v>
      </c>
    </row>
    <row r="165" spans="1:18" ht="15.6">
      <c r="A165" s="21" t="s">
        <v>19</v>
      </c>
      <c r="B165" s="22"/>
      <c r="C165" s="37"/>
      <c r="D165" s="23"/>
      <c r="E165" s="23"/>
      <c r="F165" s="21" t="s">
        <v>28</v>
      </c>
      <c r="G165" s="42"/>
      <c r="H165" s="22"/>
      <c r="I165" s="55">
        <f>89.416+227.973</f>
        <v>317.38900000000001</v>
      </c>
      <c r="J165" s="53" t="s">
        <v>96</v>
      </c>
      <c r="K165" s="53"/>
      <c r="L165" s="53"/>
      <c r="M165" s="53"/>
      <c r="N165" s="53"/>
      <c r="O165" s="43"/>
      <c r="P165" s="45"/>
      <c r="R165" s="45"/>
    </row>
    <row r="166" spans="1:18" ht="15.6">
      <c r="A166" s="21"/>
      <c r="B166" s="22"/>
      <c r="C166" s="37" t="s">
        <v>45</v>
      </c>
      <c r="D166" s="55">
        <f>211.295+239.505+175.31</f>
        <v>626.1099999999999</v>
      </c>
      <c r="E166" s="55">
        <f>161.61+151.92+331.86+157.45+148.02+127.74+156.11+392.02+206.41+156.23+178.08+202.7+188.25+215.17+141.445+197.55+171.865+200.12+161.065+301.51</f>
        <v>3947.125</v>
      </c>
      <c r="F166" s="22"/>
      <c r="G166" s="22"/>
      <c r="H166" s="22"/>
      <c r="I166" s="55">
        <f>275.464+63.52-27.477</f>
        <v>311.50700000000001</v>
      </c>
      <c r="J166" s="53" t="s">
        <v>97</v>
      </c>
      <c r="K166" s="53"/>
      <c r="L166" s="53"/>
      <c r="M166" s="53"/>
      <c r="N166" s="53"/>
      <c r="O166" s="43"/>
      <c r="P166" s="45"/>
      <c r="R166" s="45"/>
    </row>
    <row r="167" spans="1:18" ht="15.6">
      <c r="A167" s="21"/>
      <c r="B167" s="22"/>
      <c r="C167" s="23"/>
      <c r="D167" s="36">
        <f>SUM(D165:D166)</f>
        <v>626.1099999999999</v>
      </c>
      <c r="E167" s="36">
        <f>SUM(E165:E166)</f>
        <v>3947.125</v>
      </c>
      <c r="F167" s="22"/>
      <c r="G167" s="22"/>
      <c r="H167" s="22"/>
      <c r="I167" s="55">
        <f>60.49+27.477+130.825+28.721+32.807+72.511</f>
        <v>352.83100000000002</v>
      </c>
      <c r="J167" s="53" t="s">
        <v>98</v>
      </c>
      <c r="K167" s="53"/>
      <c r="L167" s="53"/>
      <c r="M167" s="53"/>
      <c r="N167" s="53"/>
      <c r="P167" s="45"/>
      <c r="Q167" s="45"/>
    </row>
    <row r="168" spans="1:18" ht="15.6">
      <c r="A168" s="21"/>
      <c r="B168" s="22"/>
      <c r="C168" s="23"/>
      <c r="D168" s="42"/>
      <c r="E168" s="55"/>
      <c r="F168" s="22"/>
      <c r="G168" s="22"/>
      <c r="H168" s="22"/>
      <c r="I168" s="55">
        <f>97.835+97.163+24.325+64.805</f>
        <v>284.12799999999999</v>
      </c>
      <c r="J168" s="53" t="s">
        <v>99</v>
      </c>
      <c r="K168" s="53"/>
      <c r="L168" s="53"/>
      <c r="M168" s="53"/>
      <c r="N168" s="53"/>
      <c r="P168" s="45"/>
    </row>
    <row r="169" spans="1:18" ht="15.6">
      <c r="A169" s="21"/>
      <c r="B169" s="22"/>
      <c r="C169" s="23"/>
      <c r="D169" s="42"/>
      <c r="E169" s="23"/>
      <c r="F169" s="21"/>
      <c r="G169" s="43"/>
      <c r="H169" s="22"/>
      <c r="I169" s="55">
        <f>64.044+32.737+96.938</f>
        <v>193.71899999999999</v>
      </c>
      <c r="J169" s="53" t="s">
        <v>100</v>
      </c>
      <c r="K169" s="53"/>
      <c r="L169" s="53"/>
      <c r="M169" s="53"/>
      <c r="N169" s="128"/>
      <c r="P169" s="45"/>
    </row>
    <row r="170" spans="1:18" ht="15.6">
      <c r="A170" s="21" t="s">
        <v>25</v>
      </c>
      <c r="B170" s="22"/>
      <c r="C170" s="22" t="s">
        <v>39</v>
      </c>
      <c r="D170" s="37">
        <v>465.56</v>
      </c>
      <c r="E170" s="23">
        <v>7413.3459999999995</v>
      </c>
      <c r="F170" s="21"/>
      <c r="G170" s="43"/>
      <c r="H170" s="22"/>
      <c r="I170" s="55">
        <f>13.61+122.187+32.661+162.714</f>
        <v>331.17200000000003</v>
      </c>
      <c r="J170" s="53" t="s">
        <v>101</v>
      </c>
      <c r="K170" s="53"/>
      <c r="L170" s="53"/>
      <c r="M170" s="53"/>
      <c r="N170" s="128"/>
      <c r="P170" s="45"/>
    </row>
    <row r="171" spans="1:18" ht="15.6">
      <c r="A171" s="21"/>
      <c r="B171" s="22"/>
      <c r="C171" s="22" t="s">
        <v>41</v>
      </c>
      <c r="D171" s="23"/>
      <c r="E171" s="23"/>
      <c r="F171" s="21"/>
      <c r="G171" s="43"/>
      <c r="H171" s="22"/>
      <c r="I171" s="55">
        <v>292.54199999999997</v>
      </c>
      <c r="J171" s="53" t="s">
        <v>103</v>
      </c>
      <c r="K171" s="53"/>
      <c r="L171" s="53"/>
      <c r="M171" s="53"/>
      <c r="N171" s="128"/>
      <c r="P171" s="45"/>
    </row>
    <row r="172" spans="1:18" ht="15.6">
      <c r="A172" s="21"/>
      <c r="B172" s="22"/>
      <c r="C172" s="22"/>
      <c r="D172" s="22"/>
      <c r="E172" s="22"/>
      <c r="F172" s="21"/>
      <c r="G172" s="42"/>
      <c r="H172" s="22"/>
      <c r="I172" s="55">
        <f>87.719+32.731+146.836-32.731</f>
        <v>234.55500000000001</v>
      </c>
      <c r="J172" s="53" t="s">
        <v>104</v>
      </c>
      <c r="K172" s="53"/>
      <c r="L172" s="53"/>
      <c r="M172" s="53"/>
      <c r="N172" s="128"/>
    </row>
    <row r="173" spans="1:18" ht="15.6">
      <c r="A173" s="21"/>
      <c r="B173" s="22"/>
      <c r="C173" s="22"/>
      <c r="D173" s="22"/>
      <c r="E173" s="22"/>
      <c r="F173" s="21"/>
      <c r="G173" s="42"/>
      <c r="H173" s="22"/>
      <c r="I173" s="55">
        <f>32.731+96.46+37.329</f>
        <v>166.52</v>
      </c>
      <c r="J173" s="53" t="s">
        <v>105</v>
      </c>
      <c r="K173" s="53"/>
      <c r="L173" s="53"/>
      <c r="M173" s="53"/>
      <c r="N173" s="128"/>
    </row>
    <row r="174" spans="1:18" ht="15.6">
      <c r="A174" s="21"/>
      <c r="B174" s="22"/>
      <c r="C174" s="22"/>
      <c r="D174" s="22"/>
      <c r="E174" s="22"/>
      <c r="F174" s="21"/>
      <c r="G174" s="21"/>
      <c r="H174" s="22"/>
      <c r="I174" s="55">
        <v>200.71899999999999</v>
      </c>
      <c r="J174" s="53" t="s">
        <v>107</v>
      </c>
      <c r="K174" s="53"/>
      <c r="L174" s="53"/>
      <c r="M174" s="53"/>
      <c r="N174" s="128"/>
    </row>
    <row r="175" spans="1:18" ht="15.6">
      <c r="A175" s="21"/>
      <c r="B175" s="22"/>
      <c r="C175" s="22"/>
      <c r="D175" s="22"/>
      <c r="E175" s="22"/>
      <c r="F175" s="21"/>
      <c r="G175" s="42"/>
      <c r="H175" s="22"/>
      <c r="I175" s="55">
        <f>31.908+32.651+97.217+129.583+71.594+129.271+118.934-200.719</f>
        <v>410.43900000000002</v>
      </c>
      <c r="J175" s="53" t="s">
        <v>109</v>
      </c>
      <c r="K175" s="53"/>
      <c r="L175" s="53"/>
      <c r="M175" s="53"/>
      <c r="N175" s="22"/>
    </row>
    <row r="176" spans="1:18" ht="15.6">
      <c r="A176" s="21"/>
      <c r="B176" s="22"/>
      <c r="C176" s="22"/>
      <c r="D176" s="22"/>
      <c r="E176" s="22"/>
      <c r="F176" s="21"/>
      <c r="G176" s="21" t="s">
        <v>37</v>
      </c>
      <c r="H176" s="22"/>
      <c r="I176" s="55">
        <v>65.218999999999994</v>
      </c>
      <c r="J176" s="53" t="s">
        <v>102</v>
      </c>
      <c r="K176" s="53"/>
      <c r="L176" s="53"/>
      <c r="M176" s="53"/>
      <c r="N176" s="53"/>
    </row>
    <row r="177" spans="1:18" ht="15.6">
      <c r="A177" s="21"/>
      <c r="B177" s="22"/>
      <c r="C177" s="22"/>
      <c r="D177" s="22"/>
      <c r="E177" s="22"/>
      <c r="F177" s="21"/>
      <c r="G177" s="42"/>
      <c r="H177" s="22"/>
      <c r="I177" s="55">
        <f>113.205+48.572</f>
        <v>161.77699999999999</v>
      </c>
      <c r="J177" s="53" t="s">
        <v>104</v>
      </c>
      <c r="K177" s="53"/>
      <c r="L177" s="53"/>
      <c r="M177" s="53"/>
      <c r="N177" s="53"/>
    </row>
    <row r="178" spans="1:18" ht="15.6">
      <c r="A178" s="21"/>
      <c r="B178" s="22"/>
      <c r="C178" s="22"/>
      <c r="D178" s="22"/>
      <c r="E178" s="22"/>
      <c r="F178" s="21"/>
      <c r="G178" s="42"/>
      <c r="H178" s="22"/>
      <c r="I178" s="55">
        <f>1.433+40.045+1.571</f>
        <v>43.048999999999999</v>
      </c>
      <c r="J178" s="53" t="s">
        <v>106</v>
      </c>
      <c r="K178" s="53"/>
      <c r="L178" s="53"/>
      <c r="M178" s="53"/>
      <c r="N178" s="53"/>
    </row>
    <row r="179" spans="1:18" ht="15.6">
      <c r="A179" s="21"/>
      <c r="B179" s="22"/>
      <c r="C179" s="22"/>
      <c r="D179" s="22"/>
      <c r="E179" s="22"/>
      <c r="F179" s="21"/>
      <c r="G179" s="42"/>
      <c r="H179" s="22"/>
      <c r="I179" s="55">
        <v>0.16900000000000001</v>
      </c>
      <c r="J179" s="53" t="s">
        <v>110</v>
      </c>
      <c r="K179" s="53"/>
      <c r="L179" s="53"/>
      <c r="M179" s="53"/>
      <c r="N179" s="53"/>
    </row>
    <row r="180" spans="1:18" ht="15.6">
      <c r="A180" s="21"/>
      <c r="B180" s="22"/>
      <c r="C180" s="22"/>
      <c r="D180" s="22"/>
      <c r="E180" s="22"/>
      <c r="F180" s="22"/>
      <c r="G180" s="42"/>
      <c r="H180" s="22"/>
      <c r="I180" s="55"/>
      <c r="J180" s="53"/>
      <c r="K180" s="53"/>
      <c r="L180" s="53"/>
      <c r="M180" s="53"/>
      <c r="N180" s="53"/>
    </row>
    <row r="181" spans="1:18" ht="15.6">
      <c r="A181" s="21"/>
      <c r="B181" s="22"/>
      <c r="C181" s="36"/>
      <c r="D181" s="36">
        <f>SUM(D170:D180)</f>
        <v>465.56</v>
      </c>
      <c r="E181" s="36">
        <f>SUM(E170:E180)</f>
        <v>7413.3459999999995</v>
      </c>
      <c r="F181" s="22"/>
      <c r="G181" s="22"/>
      <c r="H181" s="22"/>
      <c r="I181" s="36">
        <f>SUM(I165:I180)</f>
        <v>3365.7349999999997</v>
      </c>
      <c r="J181" s="22"/>
      <c r="K181" s="22"/>
      <c r="L181" s="22"/>
      <c r="M181" s="22"/>
      <c r="N181" s="22"/>
      <c r="O181" s="49"/>
      <c r="P181" s="43"/>
    </row>
    <row r="182" spans="1:18" ht="15">
      <c r="A182" s="26"/>
      <c r="B182" s="22"/>
      <c r="C182" s="26" t="s">
        <v>39</v>
      </c>
      <c r="D182" s="26" t="s">
        <v>40</v>
      </c>
      <c r="E182" s="26"/>
      <c r="F182" s="26" t="s">
        <v>16</v>
      </c>
      <c r="G182" s="22" t="s">
        <v>21</v>
      </c>
      <c r="H182" s="22"/>
      <c r="I182" s="23"/>
      <c r="J182" s="22"/>
      <c r="K182" s="22"/>
      <c r="L182" s="22"/>
      <c r="M182" s="22"/>
      <c r="N182" s="22"/>
      <c r="O182" s="43"/>
    </row>
    <row r="183" spans="1:18" ht="15.6">
      <c r="A183" s="21" t="s">
        <v>22</v>
      </c>
      <c r="B183" s="21"/>
      <c r="C183" s="97">
        <f>+C184+C185</f>
        <v>-160</v>
      </c>
      <c r="D183" s="98">
        <f>+D184+D185</f>
        <v>161</v>
      </c>
      <c r="E183" s="97">
        <f>+D183+C183</f>
        <v>1</v>
      </c>
      <c r="F183" s="25">
        <f>+F184+F185</f>
        <v>2</v>
      </c>
      <c r="G183" s="135" t="s">
        <v>108</v>
      </c>
      <c r="H183" s="22"/>
      <c r="I183" s="55"/>
      <c r="J183" s="53"/>
      <c r="K183" s="53"/>
      <c r="L183" s="53"/>
      <c r="M183" s="53"/>
      <c r="N183" s="22"/>
    </row>
    <row r="184" spans="1:18" ht="15.6">
      <c r="A184" s="21"/>
      <c r="B184" s="21" t="s">
        <v>26</v>
      </c>
      <c r="C184" s="37">
        <f>+'[1]NOV,23 '!$L$168-160</f>
        <v>-160</v>
      </c>
      <c r="D184" s="37">
        <v>161</v>
      </c>
      <c r="E184" s="97">
        <f>+D184+C184</f>
        <v>1</v>
      </c>
      <c r="F184" s="25">
        <f>SUM(C184:E184)</f>
        <v>2</v>
      </c>
      <c r="G184" s="21" t="s">
        <v>28</v>
      </c>
      <c r="H184" s="22"/>
      <c r="I184" s="55"/>
      <c r="J184" s="53"/>
      <c r="K184" s="53"/>
      <c r="L184" s="53"/>
      <c r="M184" s="53"/>
      <c r="N184" s="22"/>
      <c r="O184" s="49"/>
      <c r="Q184" s="79"/>
      <c r="R184" s="79"/>
    </row>
    <row r="185" spans="1:18" ht="15.6">
      <c r="A185" s="21"/>
      <c r="B185" s="21" t="s">
        <v>27</v>
      </c>
      <c r="C185" s="99">
        <f>+'[1]NOV,23 '!$L$119</f>
        <v>0</v>
      </c>
      <c r="D185" s="37"/>
      <c r="E185" s="97">
        <f>+D185+C185</f>
        <v>0</v>
      </c>
      <c r="F185" s="25">
        <f>SUM(C185:E185)</f>
        <v>0</v>
      </c>
      <c r="G185" s="43"/>
      <c r="H185" s="22"/>
      <c r="I185" s="55">
        <v>65.281999999999996</v>
      </c>
      <c r="J185" s="53" t="s">
        <v>111</v>
      </c>
      <c r="K185" s="53"/>
      <c r="L185" s="53"/>
      <c r="M185" s="53"/>
      <c r="N185" s="53"/>
      <c r="O185" s="43"/>
      <c r="Q185" s="79"/>
      <c r="R185" s="79"/>
    </row>
    <row r="186" spans="1:18" ht="15.6">
      <c r="A186" s="21"/>
      <c r="B186" s="21"/>
      <c r="C186" s="96"/>
      <c r="D186" s="37"/>
      <c r="E186" s="25"/>
      <c r="F186" s="22"/>
      <c r="G186" s="43"/>
      <c r="H186" s="22"/>
      <c r="I186" s="55">
        <v>290.59100000000001</v>
      </c>
      <c r="J186" s="53" t="s">
        <v>112</v>
      </c>
      <c r="K186" s="53"/>
      <c r="L186" s="53"/>
      <c r="M186" s="53"/>
      <c r="N186" s="53"/>
      <c r="Q186" s="79"/>
    </row>
    <row r="187" spans="1:18" ht="15.6">
      <c r="A187" s="21"/>
      <c r="B187" s="21"/>
      <c r="C187" s="96"/>
      <c r="D187" s="37"/>
      <c r="E187" s="25"/>
      <c r="F187" s="22"/>
      <c r="G187" s="43"/>
      <c r="H187" s="22"/>
      <c r="I187" s="55">
        <f>330.711-290.591+65.152+97.646+32.219+64.172</f>
        <v>299.30899999999997</v>
      </c>
      <c r="J187" s="132" t="s">
        <v>115</v>
      </c>
      <c r="K187" s="132"/>
      <c r="L187" s="132"/>
      <c r="M187" s="132"/>
      <c r="N187" s="53"/>
      <c r="Q187" s="79"/>
    </row>
    <row r="188" spans="1:18" ht="15.6">
      <c r="A188" s="21"/>
      <c r="B188" s="21"/>
      <c r="C188" s="96"/>
      <c r="D188" s="98"/>
      <c r="E188" s="25"/>
      <c r="F188" s="22"/>
      <c r="G188" s="43"/>
      <c r="H188" s="22"/>
      <c r="I188" s="55"/>
      <c r="J188" s="53"/>
      <c r="K188" s="53"/>
      <c r="L188" s="53"/>
      <c r="M188" s="53"/>
      <c r="N188" s="53"/>
      <c r="O188" s="68"/>
      <c r="Q188" s="79"/>
    </row>
    <row r="189" spans="1:18" ht="15.6">
      <c r="A189" s="21"/>
      <c r="B189" s="21"/>
      <c r="C189" s="96"/>
      <c r="D189" s="96"/>
      <c r="E189" s="25"/>
      <c r="F189" s="22"/>
      <c r="G189" s="21"/>
      <c r="H189" s="22"/>
      <c r="I189" s="55"/>
      <c r="J189" s="53"/>
      <c r="K189" s="53"/>
      <c r="L189" s="53"/>
      <c r="M189" s="53"/>
      <c r="N189" s="128"/>
      <c r="O189" s="68"/>
    </row>
    <row r="190" spans="1:18" ht="15.6">
      <c r="A190" s="21"/>
      <c r="B190" s="21"/>
      <c r="C190" s="96"/>
      <c r="D190" s="37"/>
      <c r="E190" s="25"/>
      <c r="F190" s="22"/>
      <c r="G190" s="21"/>
      <c r="H190" s="22"/>
      <c r="I190" s="55"/>
      <c r="J190" s="53"/>
      <c r="K190" s="53"/>
      <c r="L190" s="53"/>
      <c r="M190" s="53"/>
      <c r="N190" s="128"/>
      <c r="O190" s="68"/>
    </row>
    <row r="191" spans="1:18" ht="15.6">
      <c r="A191" s="21"/>
      <c r="B191" s="21"/>
      <c r="C191" s="96"/>
      <c r="D191" s="96"/>
      <c r="E191" s="25"/>
      <c r="F191" s="25">
        <f>SUM(C191:E191)</f>
        <v>0</v>
      </c>
      <c r="G191" s="21" t="s">
        <v>37</v>
      </c>
      <c r="H191" s="22"/>
      <c r="I191" s="55"/>
      <c r="J191" s="53"/>
      <c r="K191" s="53"/>
      <c r="L191" s="53"/>
      <c r="M191" s="53"/>
      <c r="N191" s="128"/>
    </row>
    <row r="192" spans="1:18" ht="15.6">
      <c r="A192" s="21"/>
      <c r="B192" s="21"/>
      <c r="C192" s="96"/>
      <c r="D192" s="96"/>
      <c r="E192" s="25"/>
      <c r="F192" s="25"/>
      <c r="G192" s="43"/>
      <c r="H192" s="22"/>
      <c r="I192" s="55"/>
      <c r="J192" s="53"/>
      <c r="K192" s="53"/>
      <c r="L192" s="53"/>
      <c r="M192" s="53"/>
      <c r="N192" s="128"/>
    </row>
    <row r="193" spans="1:18" ht="15.6">
      <c r="A193" s="21"/>
      <c r="B193" s="21"/>
      <c r="C193" s="96"/>
      <c r="D193" s="96"/>
      <c r="E193" s="25"/>
      <c r="F193" s="25"/>
      <c r="G193" s="43"/>
      <c r="H193" s="22"/>
      <c r="I193" s="55"/>
      <c r="J193" s="53"/>
      <c r="K193" s="53"/>
      <c r="L193" s="53"/>
      <c r="M193" s="53"/>
      <c r="N193" s="128"/>
    </row>
    <row r="194" spans="1:18" ht="15.6">
      <c r="A194" s="21"/>
      <c r="B194" s="21"/>
      <c r="C194" s="96"/>
      <c r="D194" s="96"/>
      <c r="E194" s="25"/>
      <c r="F194" s="25"/>
      <c r="G194" s="43"/>
      <c r="H194" s="22"/>
      <c r="I194" s="55"/>
      <c r="J194" s="53"/>
      <c r="K194" s="53"/>
      <c r="L194" s="53"/>
      <c r="M194" s="53"/>
      <c r="N194" s="128"/>
    </row>
    <row r="195" spans="1:18" ht="15.6">
      <c r="A195" s="21" t="s">
        <v>23</v>
      </c>
      <c r="B195" s="22"/>
      <c r="C195" s="97">
        <f>+C196+C197</f>
        <v>1451.8679999999999</v>
      </c>
      <c r="D195" s="97">
        <f>+D196+D197</f>
        <v>41.164999999999999</v>
      </c>
      <c r="E195" s="97">
        <f t="shared" ref="E195" si="128">+D195+C195</f>
        <v>1493.0329999999999</v>
      </c>
      <c r="F195" s="25">
        <f>SUM(C195:E195)</f>
        <v>2986.0659999999998</v>
      </c>
      <c r="G195" s="21"/>
      <c r="H195" s="22"/>
      <c r="I195" s="36">
        <f>SUM(I183:I194)</f>
        <v>655.18200000000002</v>
      </c>
      <c r="J195" s="141" t="s">
        <v>36</v>
      </c>
      <c r="K195" s="141"/>
      <c r="L195" s="142" t="s">
        <v>29</v>
      </c>
      <c r="M195" s="142"/>
      <c r="N195" s="142"/>
      <c r="P195" s="45"/>
    </row>
    <row r="196" spans="1:18" ht="15.6">
      <c r="A196" s="22"/>
      <c r="B196" s="21" t="s">
        <v>26</v>
      </c>
      <c r="C196" s="37">
        <f>134.375-1.07</f>
        <v>133.30500000000001</v>
      </c>
      <c r="D196" s="37">
        <v>1.07</v>
      </c>
      <c r="E196" s="97">
        <f>+D196+C196</f>
        <v>134.375</v>
      </c>
      <c r="F196" s="25">
        <f>SUM(C196:E196)</f>
        <v>268.75</v>
      </c>
      <c r="G196" s="143" t="s">
        <v>113</v>
      </c>
      <c r="H196" s="143"/>
      <c r="I196" s="144"/>
      <c r="J196" s="44" t="s">
        <v>92</v>
      </c>
      <c r="K196" s="44" t="s">
        <v>18</v>
      </c>
      <c r="L196" s="44" t="s">
        <v>17</v>
      </c>
      <c r="M196" s="44" t="s">
        <v>18</v>
      </c>
      <c r="N196" s="44"/>
    </row>
    <row r="197" spans="1:18" ht="15.6">
      <c r="A197" s="22"/>
      <c r="B197" s="21" t="s">
        <v>27</v>
      </c>
      <c r="C197" s="37">
        <f>1358.658-40.095</f>
        <v>1318.5629999999999</v>
      </c>
      <c r="D197" s="37">
        <f>41.165-1.07</f>
        <v>40.094999999999999</v>
      </c>
      <c r="E197" s="97">
        <f>+D197+C197</f>
        <v>1358.6579999999999</v>
      </c>
      <c r="F197" s="25">
        <f>SUM(C197:E197)</f>
        <v>2717.3159999999998</v>
      </c>
      <c r="G197" s="22"/>
      <c r="H197" s="22"/>
      <c r="I197" s="85"/>
      <c r="J197" s="112"/>
      <c r="K197" s="112"/>
      <c r="L197" s="55">
        <f>65.152+32.219</f>
        <v>97.371000000000009</v>
      </c>
      <c r="M197" s="113">
        <f>40.12+97.646+64.172</f>
        <v>201.93799999999999</v>
      </c>
      <c r="N197" s="113"/>
    </row>
    <row r="198" spans="1:18" ht="15.6">
      <c r="A198" s="22"/>
      <c r="B198" s="22"/>
      <c r="C198" s="25"/>
      <c r="D198" s="25"/>
      <c r="E198" s="25"/>
      <c r="F198" s="22"/>
      <c r="G198" s="22"/>
      <c r="H198" s="22"/>
      <c r="I198" s="55"/>
      <c r="J198" s="140">
        <f>+M197+L197+K197+J197</f>
        <v>299.30899999999997</v>
      </c>
      <c r="K198" s="140"/>
      <c r="L198" s="140"/>
      <c r="M198" s="140"/>
      <c r="N198" s="140"/>
      <c r="R198" s="43"/>
    </row>
    <row r="199" spans="1:18" ht="15.6">
      <c r="A199" s="22"/>
      <c r="B199" s="22"/>
      <c r="C199" s="36"/>
      <c r="D199" s="36"/>
      <c r="E199" s="25"/>
      <c r="F199" s="22"/>
      <c r="G199" s="22"/>
      <c r="H199" s="22"/>
      <c r="I199" s="36"/>
      <c r="J199" s="22"/>
      <c r="K199" s="22"/>
      <c r="L199" s="54"/>
      <c r="M199" s="86"/>
      <c r="N199" s="39"/>
    </row>
    <row r="200" spans="1:18" ht="15.6">
      <c r="A200" s="22"/>
      <c r="B200" s="22"/>
      <c r="C200" s="25"/>
      <c r="D200" s="25"/>
      <c r="E200" s="25"/>
      <c r="F200" s="22"/>
      <c r="G200" s="22"/>
      <c r="H200" s="22"/>
      <c r="I200" s="23"/>
      <c r="J200" s="22"/>
      <c r="K200" s="22"/>
      <c r="L200" s="139"/>
      <c r="M200" s="139"/>
      <c r="N200" s="23"/>
      <c r="O200" s="46"/>
      <c r="P200" s="45"/>
    </row>
    <row r="201" spans="1:18" ht="15.6">
      <c r="A201" s="28" t="s">
        <v>14</v>
      </c>
      <c r="B201" s="29"/>
      <c r="C201" s="29"/>
      <c r="D201" s="29"/>
      <c r="E201" s="29"/>
      <c r="F201" s="89"/>
      <c r="G201" s="89"/>
      <c r="H201" s="90"/>
      <c r="I201" s="89"/>
      <c r="J201" s="101"/>
      <c r="K201" s="88"/>
      <c r="L201" s="30" t="s">
        <v>24</v>
      </c>
      <c r="M201" s="22"/>
      <c r="N201" s="70"/>
      <c r="O201" s="71"/>
      <c r="P201" s="71"/>
      <c r="Q201" s="68"/>
    </row>
    <row r="202" spans="1:18" ht="15.6">
      <c r="A202" s="32"/>
      <c r="B202" s="32"/>
      <c r="C202" s="31" t="s">
        <v>15</v>
      </c>
      <c r="D202" s="31" t="s">
        <v>7</v>
      </c>
      <c r="E202" s="56" t="s">
        <v>16</v>
      </c>
      <c r="F202" s="57" t="s">
        <v>87</v>
      </c>
      <c r="G202" s="57" t="s">
        <v>88</v>
      </c>
      <c r="H202" s="100"/>
      <c r="I202" s="57" t="s">
        <v>93</v>
      </c>
      <c r="J202" s="67"/>
      <c r="K202" s="67"/>
      <c r="L202" s="31" t="s">
        <v>15</v>
      </c>
      <c r="M202" s="56" t="s">
        <v>7</v>
      </c>
      <c r="N202" s="72" t="s">
        <v>16</v>
      </c>
      <c r="O202" s="74"/>
      <c r="P202" s="75" t="s">
        <v>38</v>
      </c>
      <c r="Q202" s="68"/>
    </row>
    <row r="203" spans="1:18" ht="15.6">
      <c r="A203" s="32" t="s">
        <v>17</v>
      </c>
      <c r="B203" s="32"/>
      <c r="C203" s="32">
        <v>26.562999999999999</v>
      </c>
      <c r="D203" s="129">
        <v>312.29399999999998</v>
      </c>
      <c r="E203" s="78">
        <f>SUM(C203:D203)</f>
        <v>338.85699999999997</v>
      </c>
      <c r="F203" s="115">
        <f>E203-G203</f>
        <v>60.687999999999988</v>
      </c>
      <c r="G203" s="50">
        <v>278.16899999999998</v>
      </c>
      <c r="H203" s="63"/>
      <c r="I203" s="65">
        <v>0</v>
      </c>
      <c r="J203" s="65">
        <v>0</v>
      </c>
      <c r="K203" s="63">
        <v>0</v>
      </c>
      <c r="L203" s="33">
        <v>418.02100000000002</v>
      </c>
      <c r="M203" s="92">
        <v>3187.8429999999998</v>
      </c>
      <c r="N203" s="73">
        <f>SUM(L203:M203)</f>
        <v>3605.864</v>
      </c>
      <c r="O203" s="92">
        <v>0</v>
      </c>
      <c r="P203" s="76">
        <f>+O203+N203</f>
        <v>3605.864</v>
      </c>
      <c r="Q203" s="92"/>
    </row>
    <row r="204" spans="1:18" ht="15.6">
      <c r="A204" s="32" t="s">
        <v>59</v>
      </c>
      <c r="B204" s="32"/>
      <c r="C204" s="33">
        <v>0</v>
      </c>
      <c r="D204" s="33">
        <v>41.389000000000003</v>
      </c>
      <c r="E204" s="78">
        <f>SUM(C204:D204)</f>
        <v>41.389000000000003</v>
      </c>
      <c r="F204" s="50">
        <v>41.389000000000003</v>
      </c>
      <c r="G204" s="115">
        <v>0</v>
      </c>
      <c r="H204" s="63"/>
      <c r="I204" s="65">
        <v>0</v>
      </c>
      <c r="J204" s="65">
        <v>0</v>
      </c>
      <c r="K204" s="63">
        <v>0</v>
      </c>
      <c r="L204" s="33">
        <v>0</v>
      </c>
      <c r="M204" s="92">
        <v>271.14600000000002</v>
      </c>
      <c r="N204" s="73">
        <f>SUM(L204:M204)</f>
        <v>271.14600000000002</v>
      </c>
      <c r="O204" s="92">
        <v>0</v>
      </c>
      <c r="P204" s="76">
        <f>+O204+N204</f>
        <v>271.14600000000002</v>
      </c>
      <c r="Q204" s="68"/>
    </row>
    <row r="205" spans="1:18" ht="15.6">
      <c r="A205" s="32" t="s">
        <v>18</v>
      </c>
      <c r="B205" s="32"/>
      <c r="C205" s="33">
        <v>0.80700000000000005</v>
      </c>
      <c r="D205" s="129">
        <v>97.037999999999997</v>
      </c>
      <c r="E205" s="78">
        <f>SUM(C205:D205)</f>
        <v>97.844999999999999</v>
      </c>
      <c r="F205" s="50">
        <f>E205-G205</f>
        <v>9.7439999999999998</v>
      </c>
      <c r="G205" s="50">
        <v>88.100999999999999</v>
      </c>
      <c r="H205" s="63"/>
      <c r="I205" s="50">
        <v>0</v>
      </c>
      <c r="J205" s="65">
        <v>0</v>
      </c>
      <c r="K205" s="63">
        <v>0</v>
      </c>
      <c r="L205" s="33">
        <v>79.536000000000001</v>
      </c>
      <c r="M205" s="92">
        <v>1676.2249999999999</v>
      </c>
      <c r="N205" s="73">
        <f>SUM(L205:M205)</f>
        <v>1755.761</v>
      </c>
      <c r="O205" s="127">
        <v>0</v>
      </c>
      <c r="P205" s="76">
        <f>+O205+N205</f>
        <v>1755.761</v>
      </c>
      <c r="Q205" s="68"/>
    </row>
    <row r="206" spans="1:18" ht="15.6">
      <c r="A206" s="32"/>
      <c r="B206" s="32"/>
      <c r="C206" s="34">
        <f>SUM(C203:C205)</f>
        <v>27.369999999999997</v>
      </c>
      <c r="D206" s="78">
        <f>SUM(D203:D205)</f>
        <v>450.721</v>
      </c>
      <c r="E206" s="78">
        <f>SUM(E203:E205)</f>
        <v>478.09100000000001</v>
      </c>
      <c r="F206" s="116">
        <f>SUM(F203:F205)</f>
        <v>111.821</v>
      </c>
      <c r="G206" s="66">
        <f>SUM(G203:G205)</f>
        <v>366.27</v>
      </c>
      <c r="H206" s="63"/>
      <c r="I206" s="66">
        <f>SUM(I203:I205)</f>
        <v>0</v>
      </c>
      <c r="J206" s="66">
        <f t="shared" ref="J206:L206" si="129">SUM(J203:J205)</f>
        <v>0</v>
      </c>
      <c r="K206" s="66">
        <f t="shared" si="129"/>
        <v>0</v>
      </c>
      <c r="L206" s="34">
        <f t="shared" si="129"/>
        <v>497.55700000000002</v>
      </c>
      <c r="M206" s="126">
        <f>SUM(M203:M205)</f>
        <v>5135.2139999999999</v>
      </c>
      <c r="N206" s="73">
        <f>SUM(N203:N205)</f>
        <v>5632.7710000000006</v>
      </c>
      <c r="O206" s="77">
        <f>SUM(O203:O205)</f>
        <v>0</v>
      </c>
      <c r="P206" s="77">
        <f>SUM(P203:P205)</f>
        <v>5632.7710000000006</v>
      </c>
      <c r="Q206" s="68"/>
    </row>
    <row r="207" spans="1:18" ht="15.6">
      <c r="A207" s="29"/>
      <c r="B207" s="29"/>
      <c r="C207" s="29"/>
      <c r="D207" s="29"/>
      <c r="E207" s="29"/>
      <c r="F207" s="51"/>
      <c r="G207" s="39"/>
      <c r="H207" s="22"/>
      <c r="I207" s="22"/>
      <c r="J207" s="22"/>
      <c r="K207" s="24"/>
      <c r="L207" s="22"/>
      <c r="M207" s="22"/>
      <c r="N207" s="22"/>
      <c r="O207" s="69"/>
      <c r="P207" s="68"/>
      <c r="Q207" s="83"/>
    </row>
    <row r="208" spans="1:18" ht="15.6">
      <c r="A208" s="30" t="s">
        <v>20</v>
      </c>
      <c r="B208" s="27"/>
      <c r="C208" s="27"/>
      <c r="D208" s="27"/>
      <c r="E208" s="27"/>
      <c r="F208" s="52"/>
      <c r="G208" s="28"/>
      <c r="H208" s="27"/>
      <c r="I208" s="30" t="s">
        <v>30</v>
      </c>
      <c r="J208" s="27"/>
      <c r="K208" s="27"/>
      <c r="L208" s="27"/>
      <c r="M208" s="27"/>
      <c r="N208" s="22"/>
    </row>
    <row r="209" spans="1:16" ht="51" customHeight="1">
      <c r="A209" s="27"/>
      <c r="B209" s="60" t="s">
        <v>86</v>
      </c>
      <c r="C209" s="62" t="s">
        <v>15</v>
      </c>
      <c r="D209" s="62" t="s">
        <v>7</v>
      </c>
      <c r="E209" s="62" t="s">
        <v>16</v>
      </c>
      <c r="F209" s="82" t="s">
        <v>43</v>
      </c>
      <c r="G209" s="82" t="s">
        <v>42</v>
      </c>
      <c r="H209" s="27"/>
      <c r="I209" s="27"/>
      <c r="J209" s="61" t="s">
        <v>33</v>
      </c>
      <c r="K209" s="64" t="s">
        <v>32</v>
      </c>
      <c r="L209" s="60" t="s">
        <v>85</v>
      </c>
      <c r="M209" s="60" t="s">
        <v>35</v>
      </c>
      <c r="N209" s="118" t="s">
        <v>12</v>
      </c>
      <c r="O209" s="120"/>
      <c r="P209" s="120"/>
    </row>
    <row r="210" spans="1:16" ht="15.6">
      <c r="A210" s="32" t="s">
        <v>17</v>
      </c>
      <c r="B210" s="33">
        <v>0</v>
      </c>
      <c r="C210" s="32">
        <v>255.464</v>
      </c>
      <c r="D210" s="33">
        <v>53.436999999999998</v>
      </c>
      <c r="E210" s="78">
        <f>SUM(B210:D210)</f>
        <v>308.90100000000001</v>
      </c>
      <c r="F210" s="63">
        <v>84.754999999999995</v>
      </c>
      <c r="G210" s="50">
        <v>0</v>
      </c>
      <c r="H210" s="47"/>
      <c r="I210" s="29"/>
      <c r="J210" s="32" t="s">
        <v>17</v>
      </c>
      <c r="K210" s="50">
        <v>15.331</v>
      </c>
      <c r="L210" s="115">
        <v>0</v>
      </c>
      <c r="M210" s="115">
        <f>0.84+49.931</f>
        <v>50.771000000000001</v>
      </c>
      <c r="N210" s="59">
        <f>SUM(K210:M210)</f>
        <v>66.102000000000004</v>
      </c>
      <c r="O210" s="121"/>
      <c r="P210" s="122"/>
    </row>
    <row r="211" spans="1:16" ht="15.6">
      <c r="A211" s="32" t="s">
        <v>59</v>
      </c>
      <c r="B211" s="33">
        <v>0</v>
      </c>
      <c r="C211" s="32">
        <v>0</v>
      </c>
      <c r="D211" s="33">
        <v>15.121</v>
      </c>
      <c r="E211" s="78">
        <f>SUM(B211:D211)</f>
        <v>15.121</v>
      </c>
      <c r="F211" s="50">
        <v>0</v>
      </c>
      <c r="G211" s="50">
        <v>0</v>
      </c>
      <c r="H211" s="47"/>
      <c r="I211" s="29"/>
      <c r="J211" s="32" t="s">
        <v>59</v>
      </c>
      <c r="K211" s="50">
        <v>0</v>
      </c>
      <c r="L211" s="50">
        <v>0</v>
      </c>
      <c r="M211" s="50">
        <v>3.1989999999999998</v>
      </c>
      <c r="N211" s="59">
        <f>SUM(K211:M211)</f>
        <v>3.1989999999999998</v>
      </c>
      <c r="O211" s="123"/>
      <c r="P211" s="122"/>
    </row>
    <row r="212" spans="1:16" ht="15.6">
      <c r="A212" s="32" t="s">
        <v>18</v>
      </c>
      <c r="B212" s="33">
        <v>0</v>
      </c>
      <c r="C212" s="33">
        <v>192.291</v>
      </c>
      <c r="D212" s="33">
        <v>62.078000000000003</v>
      </c>
      <c r="E212" s="78">
        <f>SUM(B212:D212)</f>
        <v>254.369</v>
      </c>
      <c r="F212" s="50">
        <v>161.898</v>
      </c>
      <c r="G212" s="50">
        <v>0</v>
      </c>
      <c r="H212" s="47"/>
      <c r="I212" s="29"/>
      <c r="J212" s="32" t="s">
        <v>18</v>
      </c>
      <c r="K212" s="50">
        <f>1.62+7.15</f>
        <v>8.77</v>
      </c>
      <c r="L212" s="50">
        <v>10</v>
      </c>
      <c r="M212" s="115">
        <v>8.3710000000000004</v>
      </c>
      <c r="N212" s="59">
        <f>SUM(K212:M212)</f>
        <v>27.140999999999998</v>
      </c>
      <c r="O212" s="121"/>
      <c r="P212" s="122"/>
    </row>
    <row r="213" spans="1:16" ht="15.6">
      <c r="A213" s="32"/>
      <c r="B213" s="34">
        <f t="shared" ref="B213" si="130">SUM(B210:B212)</f>
        <v>0</v>
      </c>
      <c r="C213" s="34">
        <f>SUM(C210:C212)</f>
        <v>447.755</v>
      </c>
      <c r="D213" s="34">
        <f>SUM(D210:D212)</f>
        <v>130.636</v>
      </c>
      <c r="E213" s="87">
        <f>SUM(E210:E212)</f>
        <v>578.39099999999996</v>
      </c>
      <c r="F213" s="95">
        <f>SUM(F210:F212)</f>
        <v>246.65299999999999</v>
      </c>
      <c r="G213" s="134">
        <f>SUM(G210:G212)</f>
        <v>0</v>
      </c>
      <c r="H213" s="47"/>
      <c r="I213" s="29"/>
      <c r="J213" s="32"/>
      <c r="K213" s="119">
        <f t="shared" ref="K213" si="131">SUM(K210:K212)</f>
        <v>24.100999999999999</v>
      </c>
      <c r="L213" s="119">
        <f>SUM(L210:L212)</f>
        <v>10</v>
      </c>
      <c r="M213" s="116">
        <f>SUM(M210:M212)</f>
        <v>62.341000000000001</v>
      </c>
      <c r="N213" s="119">
        <f>SUM(N210:N212)</f>
        <v>96.442000000000007</v>
      </c>
      <c r="O213" s="124"/>
      <c r="P213" s="124"/>
    </row>
    <row r="214" spans="1:16" ht="15.6">
      <c r="A214" s="29"/>
      <c r="B214" s="29"/>
      <c r="C214" s="38"/>
      <c r="D214" s="38"/>
      <c r="E214" s="38"/>
      <c r="F214" s="145">
        <f>+G213+F213</f>
        <v>246.65299999999999</v>
      </c>
      <c r="G214" s="145"/>
      <c r="H214" s="29"/>
      <c r="I214" s="29"/>
      <c r="J214" s="32"/>
      <c r="K214" s="119"/>
      <c r="L214" s="119"/>
      <c r="M214" s="116"/>
      <c r="N214" s="119"/>
      <c r="O214" s="121"/>
      <c r="P214" s="121"/>
    </row>
    <row r="215" spans="1:16" ht="15.6">
      <c r="A215" s="27"/>
      <c r="B215" s="27"/>
      <c r="C215" s="27"/>
      <c r="D215" s="27"/>
      <c r="E215" s="27"/>
      <c r="F215" s="27"/>
      <c r="G215" s="29"/>
      <c r="H215" s="29"/>
      <c r="I215" s="38"/>
      <c r="J215" s="34" t="s">
        <v>6</v>
      </c>
      <c r="K215" s="44">
        <v>1.62</v>
      </c>
      <c r="L215" s="44">
        <v>0</v>
      </c>
      <c r="M215" s="117">
        <v>0.84</v>
      </c>
      <c r="N215" s="59">
        <f>SUM(K215:M215)</f>
        <v>2.46</v>
      </c>
      <c r="O215" s="121"/>
      <c r="P215" s="121"/>
    </row>
    <row r="216" spans="1:16" ht="15.6">
      <c r="A216" s="30" t="s">
        <v>31</v>
      </c>
      <c r="B216" s="27"/>
      <c r="C216" s="27"/>
      <c r="D216" s="84"/>
      <c r="E216" s="80"/>
      <c r="F216" s="27"/>
      <c r="G216" s="28"/>
      <c r="H216" s="29"/>
      <c r="I216" s="29"/>
      <c r="J216" s="48" t="s">
        <v>7</v>
      </c>
      <c r="K216" s="50">
        <f>15.12+7.15+0.21</f>
        <v>22.48</v>
      </c>
      <c r="L216" s="50">
        <v>10</v>
      </c>
      <c r="M216" s="115">
        <f>33.973+3.199+8.488-0.84+16.681</f>
        <v>61.500999999999991</v>
      </c>
      <c r="N216" s="59">
        <f>SUM(K216:M216)</f>
        <v>93.980999999999995</v>
      </c>
      <c r="O216" s="121"/>
      <c r="P216" s="121"/>
    </row>
    <row r="217" spans="1:16" ht="15.6">
      <c r="A217" s="147" t="s">
        <v>7</v>
      </c>
      <c r="B217" s="148"/>
      <c r="C217" s="131" t="s">
        <v>6</v>
      </c>
      <c r="D217" s="130" t="s">
        <v>94</v>
      </c>
      <c r="E217" s="93"/>
      <c r="F217" s="93"/>
      <c r="G217" s="31" t="s">
        <v>16</v>
      </c>
      <c r="H217" s="29"/>
      <c r="I217" s="40"/>
      <c r="J217" s="31"/>
      <c r="K217" s="59">
        <f>SUM(K215:K216)</f>
        <v>24.1</v>
      </c>
      <c r="L217" s="59">
        <f>SUM(L215:L216)</f>
        <v>10</v>
      </c>
      <c r="M217" s="59">
        <f>SUM(M215:M216)</f>
        <v>62.340999999999994</v>
      </c>
      <c r="N217" s="59">
        <f>SUM(N215:N216)</f>
        <v>96.440999999999988</v>
      </c>
      <c r="O217" s="121"/>
      <c r="P217" s="121"/>
    </row>
    <row r="218" spans="1:16" ht="15.6">
      <c r="A218" s="32" t="s">
        <v>17</v>
      </c>
      <c r="B218" s="92">
        <v>127.423</v>
      </c>
      <c r="C218" s="92">
        <v>109.813</v>
      </c>
      <c r="D218" s="92">
        <v>0</v>
      </c>
      <c r="E218" s="50">
        <v>0</v>
      </c>
      <c r="F218" s="50">
        <v>0</v>
      </c>
      <c r="G218" s="34">
        <f>SUM(B218:F218)</f>
        <v>237.23599999999999</v>
      </c>
      <c r="H218" s="29"/>
      <c r="I218" s="41"/>
      <c r="J218" s="41"/>
      <c r="K218" s="38"/>
      <c r="L218" s="39"/>
      <c r="M218" s="22"/>
      <c r="N218" s="22"/>
      <c r="O218" s="125"/>
      <c r="P218" s="125"/>
    </row>
    <row r="219" spans="1:16" ht="15.6">
      <c r="A219" s="32" t="s">
        <v>59</v>
      </c>
      <c r="B219" s="92">
        <v>0</v>
      </c>
      <c r="C219" s="92">
        <v>0</v>
      </c>
      <c r="D219" s="50">
        <v>0</v>
      </c>
      <c r="E219" s="50">
        <v>0</v>
      </c>
      <c r="F219" s="50">
        <v>0</v>
      </c>
      <c r="G219" s="34">
        <f>SUM(B219:F219)</f>
        <v>0</v>
      </c>
      <c r="H219" s="29"/>
      <c r="I219" s="41"/>
      <c r="J219" s="41"/>
      <c r="K219" s="38"/>
      <c r="L219" s="39"/>
      <c r="M219" s="22"/>
      <c r="N219" s="22"/>
      <c r="O219" s="125"/>
      <c r="P219" s="125"/>
    </row>
    <row r="220" spans="1:16" ht="15.6">
      <c r="A220" s="32" t="s">
        <v>18</v>
      </c>
      <c r="B220" s="133">
        <v>84.644999999999996</v>
      </c>
      <c r="C220" s="92">
        <v>18.227</v>
      </c>
      <c r="D220" s="50">
        <v>0</v>
      </c>
      <c r="E220" s="50">
        <v>0</v>
      </c>
      <c r="F220" s="50">
        <v>0</v>
      </c>
      <c r="G220" s="78">
        <f>SUM(B220:F220)</f>
        <v>102.872</v>
      </c>
      <c r="H220" s="29"/>
      <c r="I220" s="41"/>
      <c r="J220" s="41"/>
      <c r="K220" s="38"/>
      <c r="L220" s="39"/>
      <c r="M220" s="22"/>
      <c r="N220" s="22"/>
    </row>
    <row r="221" spans="1:16" ht="15.6">
      <c r="A221" s="32"/>
      <c r="B221" s="94">
        <f>SUM(B218:B220)</f>
        <v>212.06799999999998</v>
      </c>
      <c r="C221" s="91">
        <f>SUM(C218:C220)</f>
        <v>128.04</v>
      </c>
      <c r="D221" s="91">
        <f>SUM(D218:D220)</f>
        <v>0</v>
      </c>
      <c r="E221" s="91">
        <f t="shared" ref="E221" si="132">SUM(E218:E220)</f>
        <v>0</v>
      </c>
      <c r="F221" s="91">
        <f>SUM(F218:F220)</f>
        <v>0</v>
      </c>
      <c r="G221" s="34">
        <f>SUM(G218:G220)</f>
        <v>340.108</v>
      </c>
      <c r="H221" s="29"/>
      <c r="I221" s="38"/>
      <c r="J221" s="38"/>
      <c r="K221" s="38"/>
      <c r="L221" s="39"/>
      <c r="M221" s="22"/>
      <c r="N221" s="22"/>
    </row>
  </sheetData>
  <mergeCells count="45">
    <mergeCell ref="F214:G214"/>
    <mergeCell ref="B5:C5"/>
    <mergeCell ref="A217:B217"/>
    <mergeCell ref="A6:A8"/>
    <mergeCell ref="A9:A11"/>
    <mergeCell ref="A14:A16"/>
    <mergeCell ref="A17:A19"/>
    <mergeCell ref="A63:A65"/>
    <mergeCell ref="A66:A68"/>
    <mergeCell ref="A71:A73"/>
    <mergeCell ref="A74:A76"/>
    <mergeCell ref="A79:A81"/>
    <mergeCell ref="A82:A84"/>
    <mergeCell ref="A55:A57"/>
    <mergeCell ref="A41:A43"/>
    <mergeCell ref="A154:A156"/>
    <mergeCell ref="L200:M200"/>
    <mergeCell ref="J198:N198"/>
    <mergeCell ref="J195:K195"/>
    <mergeCell ref="L195:N195"/>
    <mergeCell ref="G196:I196"/>
    <mergeCell ref="A145:A147"/>
    <mergeCell ref="A139:A141"/>
    <mergeCell ref="A131:A133"/>
    <mergeCell ref="A98:A100"/>
    <mergeCell ref="A104:A106"/>
    <mergeCell ref="A107:A109"/>
    <mergeCell ref="A113:A115"/>
    <mergeCell ref="A116:A118"/>
    <mergeCell ref="A148:A150"/>
    <mergeCell ref="A136:A138"/>
    <mergeCell ref="A157:A159"/>
    <mergeCell ref="A22:A24"/>
    <mergeCell ref="A25:A27"/>
    <mergeCell ref="A30:A32"/>
    <mergeCell ref="A33:A35"/>
    <mergeCell ref="A38:A40"/>
    <mergeCell ref="A49:A51"/>
    <mergeCell ref="A58:A60"/>
    <mergeCell ref="A87:A89"/>
    <mergeCell ref="A90:A92"/>
    <mergeCell ref="A95:A97"/>
    <mergeCell ref="A46:A48"/>
    <mergeCell ref="A122:A124"/>
    <mergeCell ref="A125:A127"/>
  </mergeCells>
  <pageMargins left="0.2" right="0.21" top="0.36" bottom="0.24" header="0.16" footer="0.24"/>
  <pageSetup paperSize="9" scale="5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LENOVO</cp:lastModifiedBy>
  <cp:lastPrinted>2023-11-06T07:25:01Z</cp:lastPrinted>
  <dcterms:created xsi:type="dcterms:W3CDTF">2004-10-26T07:59:38Z</dcterms:created>
  <dcterms:modified xsi:type="dcterms:W3CDTF">2024-01-10T10:30:43Z</dcterms:modified>
</cp:coreProperties>
</file>