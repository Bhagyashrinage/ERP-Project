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9840" windowHeight="6240" tabRatio="646"/>
  </bookViews>
  <sheets>
    <sheet name="PO - BUB  " sheetId="261" r:id="rId1"/>
    <sheet name="PO - JAIPUR" sheetId="190" r:id="rId2"/>
    <sheet name="PO - Dubai " sheetId="189" r:id="rId3"/>
    <sheet name="PO- JBP" sheetId="182" r:id="rId4"/>
    <sheet name="Dispatched" sheetId="32" r:id="rId5"/>
    <sheet name="Production" sheetId="31" r:id="rId6"/>
    <sheet name="Offered" sheetId="171" r:id="rId7"/>
    <sheet name="Straightening" sheetId="174" r:id="rId8"/>
    <sheet name="POWISE ROLLING" sheetId="244" r:id="rId9"/>
    <sheet name="free billet-UPDATE" sheetId="201" r:id="rId10"/>
  </sheets>
  <definedNames>
    <definedName name="_xlnm._FilterDatabase" localSheetId="9" hidden="1">'free billet-UPDATE'!$A$22:$I$36</definedName>
    <definedName name="_xlnm._FilterDatabase" localSheetId="0" hidden="1">'PO - BUB  '!$A$4:$AD$1231</definedName>
    <definedName name="_xlnm._FilterDatabase" localSheetId="2" hidden="1">'PO - Dubai '!$A$4:$AD$309</definedName>
    <definedName name="_xlnm._FilterDatabase" localSheetId="1" hidden="1">'PO - JAIPUR'!$A$4:$AD$99</definedName>
    <definedName name="_xlnm._FilterDatabase" localSheetId="3" hidden="1">'PO- JBP'!$A$4:$AD$1008</definedName>
    <definedName name="_xlnm._FilterDatabase" localSheetId="8" hidden="1">'POWISE ROLLING'!$A$2:$N$259</definedName>
    <definedName name="_xlnm._FilterDatabase" localSheetId="5" hidden="1">Production!$A$1078:$J$1250</definedName>
    <definedName name="_xlnm.Print_Area" localSheetId="9">'free billet-UPDATE'!$A$2:$S$57</definedName>
    <definedName name="_xlnm.Print_Area" localSheetId="0">'PO - BUB  '!$A$3:$V$1206</definedName>
    <definedName name="_xlnm.Print_Area" localSheetId="2">'PO - Dubai '!$A$3:$V$310</definedName>
    <definedName name="_xlnm.Print_Area" localSheetId="1">'PO - JAIPUR'!$A$3:$V$88</definedName>
    <definedName name="_xlnm.Print_Area" localSheetId="3">'PO- JBP'!$A$3:$V$916</definedName>
    <definedName name="_xlnm.Print_Area" localSheetId="8">'POWISE ROLLING'!$A$2:$N$261</definedName>
    <definedName name="_xlnm.Print_Area" localSheetId="5">Production!$A$1322:$E$1378</definedName>
    <definedName name="_xlnm.Print_Titles" localSheetId="0">'PO - BUB  '!$4:$4</definedName>
    <definedName name="_xlnm.Print_Titles" localSheetId="2">'PO - Dubai '!$4:$4</definedName>
    <definedName name="_xlnm.Print_Titles" localSheetId="1">'PO - JAIPUR'!$4:$4</definedName>
    <definedName name="_xlnm.Print_Titles" localSheetId="3">'PO- JBP'!$4:$4</definedName>
    <definedName name="_xlnm.Print_Titles" localSheetId="8">'POWISE ROLLING'!$2:$2</definedName>
  </definedNames>
  <calcPr calcId="124519"/>
</workbook>
</file>

<file path=xl/calcChain.xml><?xml version="1.0" encoding="utf-8"?>
<calcChain xmlns="http://schemas.openxmlformats.org/spreadsheetml/2006/main">
  <c r="K222" i="244"/>
  <c r="K221"/>
  <c r="K217"/>
  <c r="F382" i="32" l="1"/>
  <c r="F381" l="1"/>
  <c r="T851" i="182" l="1"/>
  <c r="T850"/>
  <c r="T849"/>
  <c r="N849"/>
  <c r="P304" i="189"/>
  <c r="P300"/>
  <c r="P302" l="1"/>
  <c r="P1066" i="261"/>
  <c r="P837" i="182"/>
  <c r="K837"/>
  <c r="K815"/>
  <c r="K831" l="1"/>
  <c r="K811"/>
  <c r="K812"/>
  <c r="K816"/>
  <c r="K814"/>
  <c r="P1156" i="261"/>
  <c r="P757"/>
  <c r="K757"/>
  <c r="P742"/>
  <c r="K742"/>
  <c r="K1057"/>
  <c r="K1055"/>
  <c r="D1599" i="31" l="1"/>
  <c r="D1595"/>
  <c r="J1581"/>
  <c r="J1591"/>
  <c r="J1595"/>
  <c r="C357" i="174" l="1"/>
  <c r="E357"/>
  <c r="F380" i="32"/>
  <c r="F305" i="171" l="1"/>
  <c r="K189" i="244" l="1"/>
  <c r="R1133" i="261"/>
  <c r="K13" i="244" l="1"/>
  <c r="K39" l="1"/>
  <c r="K79"/>
  <c r="K93"/>
  <c r="K102"/>
  <c r="K127"/>
  <c r="K141"/>
  <c r="K174"/>
  <c r="J294" i="189"/>
  <c r="T301" l="1"/>
  <c r="T1065" i="261"/>
  <c r="T305" i="189"/>
  <c r="T965" i="182"/>
  <c r="T299" i="189" l="1"/>
  <c r="T957" i="182"/>
  <c r="T303" i="189" l="1"/>
  <c r="P826" i="182"/>
  <c r="K826"/>
  <c r="P858"/>
  <c r="K858"/>
  <c r="P857"/>
  <c r="K857"/>
  <c r="P868"/>
  <c r="K868"/>
  <c r="K864"/>
  <c r="K829"/>
  <c r="P976"/>
  <c r="P1146" i="261" l="1"/>
  <c r="P1113"/>
  <c r="P1098"/>
  <c r="K1036"/>
  <c r="K1074"/>
  <c r="K1061"/>
  <c r="P755"/>
  <c r="K755"/>
  <c r="P754" l="1"/>
  <c r="P743"/>
  <c r="K743"/>
  <c r="P748"/>
  <c r="K748"/>
  <c r="P746"/>
  <c r="K746"/>
  <c r="D1587" i="31" l="1"/>
  <c r="J1587"/>
  <c r="J1583"/>
  <c r="J1575"/>
  <c r="D1581"/>
  <c r="D1576" l="1"/>
  <c r="U3" i="190" l="1"/>
  <c r="J3"/>
  <c r="C382" i="32"/>
  <c r="E382"/>
  <c r="F379"/>
  <c r="F378"/>
  <c r="F377"/>
  <c r="M99" i="190" l="1"/>
  <c r="L99" s="1"/>
  <c r="M98"/>
  <c r="L98" s="1"/>
  <c r="M97"/>
  <c r="L97" s="1"/>
  <c r="M96"/>
  <c r="L96" s="1"/>
  <c r="M95"/>
  <c r="L95" s="1"/>
  <c r="M94"/>
  <c r="L94" s="1"/>
  <c r="M93"/>
  <c r="L93" s="1"/>
  <c r="M92"/>
  <c r="L92" s="1"/>
  <c r="M91"/>
  <c r="L91" s="1"/>
  <c r="M90"/>
  <c r="L90" s="1"/>
  <c r="M89"/>
  <c r="L89" s="1"/>
  <c r="M309" i="189" l="1"/>
  <c r="L309" s="1"/>
  <c r="M308"/>
  <c r="L308" s="1"/>
  <c r="M307"/>
  <c r="L307" s="1"/>
  <c r="M306"/>
  <c r="L306" s="1"/>
  <c r="N871" i="182" l="1"/>
  <c r="N867"/>
  <c r="K813"/>
  <c r="P825"/>
  <c r="K935" i="261" l="1"/>
  <c r="P744"/>
  <c r="K744"/>
  <c r="P740"/>
  <c r="K740"/>
  <c r="P759"/>
  <c r="K759"/>
  <c r="P753"/>
  <c r="P750"/>
  <c r="K750"/>
  <c r="D356" i="174" l="1"/>
  <c r="B356"/>
  <c r="E356"/>
  <c r="F304" i="171" l="1"/>
  <c r="N861" i="182" l="1"/>
  <c r="N854" l="1"/>
  <c r="K201" i="244" l="1"/>
  <c r="K205" s="1"/>
  <c r="P809" i="182" l="1"/>
  <c r="K809"/>
  <c r="P835"/>
  <c r="K835"/>
  <c r="K1069" i="261"/>
  <c r="K1053"/>
  <c r="K1046"/>
  <c r="J1576" i="31" l="1"/>
  <c r="J1599" s="1"/>
  <c r="K226" i="244"/>
  <c r="U1177" i="261" l="1"/>
  <c r="J1569" i="31"/>
  <c r="J1557"/>
  <c r="J1556"/>
  <c r="J1573"/>
  <c r="J1572"/>
  <c r="J1571"/>
  <c r="J1570"/>
  <c r="D1571"/>
  <c r="D355" i="174" l="1"/>
  <c r="B355"/>
  <c r="E355"/>
  <c r="F303" i="171"/>
  <c r="E389" i="32" l="1"/>
  <c r="D382"/>
  <c r="D389" s="1"/>
  <c r="C389"/>
  <c r="F389" l="1"/>
  <c r="K233" i="244" l="1"/>
  <c r="K240"/>
  <c r="K841" i="182" l="1"/>
  <c r="J1567" i="31" l="1"/>
  <c r="D1606"/>
  <c r="J1565"/>
  <c r="D1567"/>
  <c r="D1561"/>
  <c r="N862" i="182" l="1"/>
  <c r="N872"/>
  <c r="F376" i="32" l="1"/>
  <c r="C376"/>
  <c r="E376"/>
  <c r="K882" i="182"/>
  <c r="K878"/>
  <c r="K757"/>
  <c r="P836"/>
  <c r="K836"/>
  <c r="N828" l="1"/>
  <c r="J1558" i="31"/>
  <c r="E354" i="174" l="1"/>
  <c r="D354"/>
  <c r="B354"/>
  <c r="D376" i="32" l="1"/>
  <c r="F375"/>
  <c r="D1558" i="31"/>
  <c r="K74" i="244" l="1"/>
  <c r="K80" l="1"/>
  <c r="K258"/>
  <c r="N847" i="182" l="1"/>
  <c r="K247" i="244" l="1"/>
  <c r="F374" i="32"/>
  <c r="F373"/>
  <c r="P810" i="182" l="1"/>
  <c r="K810"/>
  <c r="P971" l="1"/>
  <c r="P952"/>
  <c r="P947"/>
  <c r="P1137" i="261" l="1"/>
  <c r="E353" i="174" l="1"/>
  <c r="K227" i="244" l="1"/>
  <c r="K852" i="261" l="1"/>
  <c r="K851"/>
  <c r="K854"/>
  <c r="K929"/>
  <c r="J929"/>
  <c r="K741" i="182"/>
  <c r="K937"/>
  <c r="K939"/>
  <c r="M1231" i="261" l="1"/>
  <c r="L1231" s="1"/>
  <c r="D352" i="174" l="1"/>
  <c r="B352"/>
  <c r="E352"/>
  <c r="C302" i="171"/>
  <c r="F302"/>
  <c r="F372" i="32" l="1"/>
  <c r="F371"/>
  <c r="M803" i="182" l="1"/>
  <c r="L803" s="1"/>
  <c r="J1549" i="31" l="1"/>
  <c r="J1551"/>
  <c r="J1525"/>
  <c r="J1548"/>
  <c r="N865" i="182"/>
  <c r="J1541" i="31" l="1"/>
  <c r="Q874" i="182" l="1"/>
  <c r="M802" l="1"/>
  <c r="L802" s="1"/>
  <c r="M801"/>
  <c r="L801" s="1"/>
  <c r="M812" l="1"/>
  <c r="K756" l="1"/>
  <c r="M798"/>
  <c r="L798" s="1"/>
  <c r="M797"/>
  <c r="L797" s="1"/>
  <c r="M799"/>
  <c r="L799" s="1"/>
  <c r="K876" l="1"/>
  <c r="K758"/>
  <c r="N863" l="1"/>
  <c r="N838"/>
  <c r="N834"/>
  <c r="J1552" i="31" l="1"/>
  <c r="J1550"/>
  <c r="J1535"/>
  <c r="J1545"/>
  <c r="D1543"/>
  <c r="J1540" l="1"/>
  <c r="E351" i="174"/>
  <c r="J3" i="261"/>
  <c r="K103" i="244" l="1"/>
  <c r="K142"/>
  <c r="K225" l="1"/>
  <c r="K228" s="1"/>
  <c r="T3" i="182" l="1"/>
  <c r="S3"/>
  <c r="R3"/>
  <c r="Q3"/>
  <c r="O3"/>
  <c r="M1008"/>
  <c r="L1008" s="1"/>
  <c r="M1007"/>
  <c r="L1007" s="1"/>
  <c r="M1006"/>
  <c r="L1006" s="1"/>
  <c r="M1005"/>
  <c r="L1005" s="1"/>
  <c r="M1004"/>
  <c r="L1004" s="1"/>
  <c r="M1003"/>
  <c r="L1003" s="1"/>
  <c r="M1002"/>
  <c r="L1002" s="1"/>
  <c r="M1001"/>
  <c r="L1001" s="1"/>
  <c r="M1000"/>
  <c r="L1000" s="1"/>
  <c r="M999"/>
  <c r="L999" s="1"/>
  <c r="M998"/>
  <c r="L998" s="1"/>
  <c r="M997"/>
  <c r="L997" s="1"/>
  <c r="M996"/>
  <c r="L996" s="1"/>
  <c r="M995"/>
  <c r="L995" s="1"/>
  <c r="M994"/>
  <c r="L994" s="1"/>
  <c r="M993"/>
  <c r="L993" s="1"/>
  <c r="M992"/>
  <c r="L992" s="1"/>
  <c r="M991"/>
  <c r="L991" s="1"/>
  <c r="M990"/>
  <c r="L990" s="1"/>
  <c r="M989"/>
  <c r="L989" s="1"/>
  <c r="M988"/>
  <c r="L988" s="1"/>
  <c r="M987"/>
  <c r="L987" s="1"/>
  <c r="M986"/>
  <c r="L986" s="1"/>
  <c r="M985"/>
  <c r="L985" s="1"/>
  <c r="M984"/>
  <c r="L984" s="1"/>
  <c r="M983"/>
  <c r="L983" s="1"/>
  <c r="M982"/>
  <c r="L982" s="1"/>
  <c r="M981"/>
  <c r="L981" s="1"/>
  <c r="T3" i="261"/>
  <c r="S3"/>
  <c r="R3"/>
  <c r="Q3"/>
  <c r="P3"/>
  <c r="O3"/>
  <c r="N3"/>
  <c r="K3"/>
  <c r="M1230"/>
  <c r="L1230" s="1"/>
  <c r="M1229"/>
  <c r="L1229" s="1"/>
  <c r="M1228"/>
  <c r="L1228" s="1"/>
  <c r="M1227"/>
  <c r="L1227" s="1"/>
  <c r="M1226"/>
  <c r="L1226" s="1"/>
  <c r="M1225"/>
  <c r="L1225" s="1"/>
  <c r="M1224"/>
  <c r="L1224" s="1"/>
  <c r="M1223"/>
  <c r="L1223" s="1"/>
  <c r="M1222"/>
  <c r="L1222" s="1"/>
  <c r="M1221"/>
  <c r="L1221" s="1"/>
  <c r="M1220"/>
  <c r="L1220" s="1"/>
  <c r="M1219"/>
  <c r="L1219" s="1"/>
  <c r="M1218"/>
  <c r="L1218" s="1"/>
  <c r="M1217"/>
  <c r="L1217" s="1"/>
  <c r="M1216"/>
  <c r="L1216" s="1"/>
  <c r="M1215"/>
  <c r="L1215" s="1"/>
  <c r="M1214"/>
  <c r="L1214" s="1"/>
  <c r="M1213"/>
  <c r="L1213" s="1"/>
  <c r="M1212"/>
  <c r="L1212" s="1"/>
  <c r="M1211"/>
  <c r="L1211" s="1"/>
  <c r="M1210"/>
  <c r="L1210" s="1"/>
  <c r="M1209"/>
  <c r="L1209" s="1"/>
  <c r="M1208"/>
  <c r="L1208" s="1"/>
  <c r="M1207"/>
  <c r="L1207" s="1"/>
  <c r="M1206"/>
  <c r="L1206" s="1"/>
  <c r="M1205"/>
  <c r="L1205" s="1"/>
  <c r="M1204"/>
  <c r="L1204" s="1"/>
  <c r="M1203"/>
  <c r="L1203" s="1"/>
  <c r="M1202"/>
  <c r="L1202" s="1"/>
  <c r="M1201"/>
  <c r="L1201" s="1"/>
  <c r="M1200"/>
  <c r="L1200" s="1"/>
  <c r="M1199"/>
  <c r="L1199" s="1"/>
  <c r="M1198"/>
  <c r="L1198" s="1"/>
  <c r="M1197"/>
  <c r="L1197" s="1"/>
  <c r="M1196"/>
  <c r="L1196" s="1"/>
  <c r="M1195"/>
  <c r="L1195" s="1"/>
  <c r="M1194"/>
  <c r="L1194" s="1"/>
  <c r="M1193"/>
  <c r="L1193" s="1"/>
  <c r="M1192"/>
  <c r="L1192" s="1"/>
  <c r="M1191"/>
  <c r="L1191" s="1"/>
  <c r="M1190"/>
  <c r="L1190" s="1"/>
  <c r="M1189"/>
  <c r="L1189" s="1"/>
  <c r="M1188"/>
  <c r="L1188" s="1"/>
  <c r="M1187"/>
  <c r="L1187" s="1"/>
  <c r="M1186"/>
  <c r="L1186" s="1"/>
  <c r="M1185"/>
  <c r="L1185" s="1"/>
  <c r="M1184"/>
  <c r="L1184" s="1"/>
  <c r="J3" i="189" l="1"/>
  <c r="M305"/>
  <c r="L305" s="1"/>
  <c r="M304"/>
  <c r="L304" s="1"/>
  <c r="M303"/>
  <c r="L303" s="1"/>
  <c r="M302"/>
  <c r="L302" s="1"/>
  <c r="M301"/>
  <c r="L301" s="1"/>
  <c r="M300"/>
  <c r="L300" s="1"/>
  <c r="M299"/>
  <c r="L299" s="1"/>
  <c r="M298"/>
  <c r="L298" s="1"/>
  <c r="M297"/>
  <c r="L297" s="1"/>
  <c r="M296"/>
  <c r="L296" s="1"/>
  <c r="M295"/>
  <c r="L295" s="1"/>
  <c r="E359" i="32" l="1"/>
  <c r="F370" l="1"/>
  <c r="F369"/>
  <c r="K278" i="189" l="1"/>
  <c r="J278"/>
  <c r="K279"/>
  <c r="J279"/>
  <c r="K291"/>
  <c r="D350" i="174" l="1"/>
  <c r="B350"/>
  <c r="E350"/>
  <c r="K917" i="182" l="1"/>
  <c r="K936"/>
  <c r="K918"/>
  <c r="K745"/>
  <c r="K722"/>
  <c r="K746"/>
  <c r="K728"/>
  <c r="M865" l="1"/>
  <c r="M1083" i="261" l="1"/>
  <c r="L1083" s="1"/>
  <c r="J1547" i="31" l="1"/>
  <c r="J1553" s="1"/>
  <c r="J1542"/>
  <c r="J1543" s="1"/>
  <c r="D1550"/>
  <c r="D1553" s="1"/>
  <c r="D349" i="174" l="1"/>
  <c r="B349"/>
  <c r="E349"/>
  <c r="F300" i="171"/>
  <c r="F301" l="1"/>
  <c r="K289" i="189" l="1"/>
  <c r="K292"/>
  <c r="N839" i="182" l="1"/>
  <c r="J1536" i="31" l="1"/>
  <c r="D348" i="174" l="1"/>
  <c r="B348"/>
  <c r="E348"/>
  <c r="F299" i="171" l="1"/>
  <c r="N840" i="182" l="1"/>
  <c r="F368" i="32" l="1"/>
  <c r="K294" i="189" l="1"/>
  <c r="K290"/>
  <c r="N848" i="182" l="1"/>
  <c r="N843"/>
  <c r="D1538" i="31"/>
  <c r="J1531"/>
  <c r="J1524"/>
  <c r="J1530"/>
  <c r="J1538"/>
  <c r="B347" i="174" l="1"/>
  <c r="E347" s="1"/>
  <c r="D1533" i="31" l="1"/>
  <c r="F367" i="32" l="1"/>
  <c r="N818" i="182" l="1"/>
  <c r="N3" s="1"/>
  <c r="J1529" i="31" l="1"/>
  <c r="J1533" s="1"/>
  <c r="J1517"/>
  <c r="C346" i="174" l="1"/>
  <c r="B346"/>
  <c r="E346"/>
  <c r="E345"/>
  <c r="E344"/>
  <c r="F298" i="171" l="1"/>
  <c r="F366" i="32" l="1"/>
  <c r="D1527" i="31" l="1"/>
  <c r="J910" i="261" l="1"/>
  <c r="K910"/>
  <c r="K1070"/>
  <c r="K1059"/>
  <c r="K1056"/>
  <c r="K1047"/>
  <c r="K1076"/>
  <c r="K1038"/>
  <c r="K1037"/>
  <c r="J1523" i="31" l="1"/>
  <c r="J1521"/>
  <c r="J1527" s="1"/>
  <c r="F297" i="171" l="1"/>
  <c r="D616" i="31" l="1"/>
  <c r="D1518" l="1"/>
  <c r="C345" i="174" l="1"/>
  <c r="F365" i="32"/>
  <c r="F364"/>
  <c r="F363"/>
  <c r="J1516" i="31" l="1"/>
  <c r="J1518" s="1"/>
  <c r="J1513"/>
  <c r="D344" i="174" l="1"/>
  <c r="B344"/>
  <c r="M1183" i="261" l="1"/>
  <c r="L1183" s="1"/>
  <c r="M1182"/>
  <c r="L1182" s="1"/>
  <c r="M1181"/>
  <c r="L1181" s="1"/>
  <c r="M1180"/>
  <c r="L1180" s="1"/>
  <c r="M1179"/>
  <c r="L1179" s="1"/>
  <c r="M1178"/>
  <c r="L1178" s="1"/>
  <c r="M1177"/>
  <c r="L1177" s="1"/>
  <c r="M1176"/>
  <c r="L1176" s="1"/>
  <c r="M1175"/>
  <c r="L1175" s="1"/>
  <c r="M1174"/>
  <c r="L1174" s="1"/>
  <c r="M1173"/>
  <c r="L1173" s="1"/>
  <c r="M1172"/>
  <c r="L1172" s="1"/>
  <c r="M1171"/>
  <c r="L1171" s="1"/>
  <c r="M1170"/>
  <c r="L1170" s="1"/>
  <c r="M1169"/>
  <c r="L1169" s="1"/>
  <c r="M1168"/>
  <c r="L1168" s="1"/>
  <c r="M1167"/>
  <c r="L1167" s="1"/>
  <c r="M1166"/>
  <c r="L1166" s="1"/>
  <c r="M1165"/>
  <c r="L1165" s="1"/>
  <c r="M1164"/>
  <c r="L1164" s="1"/>
  <c r="M1163"/>
  <c r="L1163" s="1"/>
  <c r="M1162"/>
  <c r="L1162" s="1"/>
  <c r="M1161"/>
  <c r="L1161" s="1"/>
  <c r="M1160"/>
  <c r="L1160" s="1"/>
  <c r="M1159"/>
  <c r="L1159" s="1"/>
  <c r="M1158"/>
  <c r="L1158" s="1"/>
  <c r="M1157"/>
  <c r="L1157" s="1"/>
  <c r="M1156"/>
  <c r="L1156" s="1"/>
  <c r="M1155"/>
  <c r="L1155" s="1"/>
  <c r="M1154"/>
  <c r="L1154" s="1"/>
  <c r="M1153"/>
  <c r="L1153" s="1"/>
  <c r="M1152"/>
  <c r="L1152" s="1"/>
  <c r="M1151"/>
  <c r="L1151" s="1"/>
  <c r="M1150"/>
  <c r="L1150" s="1"/>
  <c r="M1149"/>
  <c r="L1149" s="1"/>
  <c r="M1148"/>
  <c r="L1148" s="1"/>
  <c r="M1147"/>
  <c r="L1147" s="1"/>
  <c r="M1146"/>
  <c r="L1146" s="1"/>
  <c r="M1145"/>
  <c r="L1145" s="1"/>
  <c r="M1144"/>
  <c r="L1144" s="1"/>
  <c r="M1143"/>
  <c r="L1143" s="1"/>
  <c r="M1142"/>
  <c r="L1142" s="1"/>
  <c r="M1141"/>
  <c r="L1141" s="1"/>
  <c r="M1140"/>
  <c r="L1140" s="1"/>
  <c r="M1139"/>
  <c r="L1139" s="1"/>
  <c r="M1138"/>
  <c r="L1138" s="1"/>
  <c r="M1137"/>
  <c r="L1137" s="1"/>
  <c r="M1136"/>
  <c r="L1136" s="1"/>
  <c r="M1135"/>
  <c r="L1135" s="1"/>
  <c r="M1134"/>
  <c r="L1134" s="1"/>
  <c r="M1133"/>
  <c r="L1133" s="1"/>
  <c r="M1132"/>
  <c r="L1132" s="1"/>
  <c r="M1131"/>
  <c r="L1131" s="1"/>
  <c r="M1130"/>
  <c r="L1130" s="1"/>
  <c r="M1129"/>
  <c r="L1129" s="1"/>
  <c r="M1128"/>
  <c r="L1128" s="1"/>
  <c r="M1127"/>
  <c r="L1127" s="1"/>
  <c r="M1126"/>
  <c r="L1126" s="1"/>
  <c r="M1125"/>
  <c r="L1125" s="1"/>
  <c r="M980" i="182"/>
  <c r="L980" s="1"/>
  <c r="M979"/>
  <c r="L979" s="1"/>
  <c r="M978"/>
  <c r="L978" s="1"/>
  <c r="M977"/>
  <c r="L977" s="1"/>
  <c r="M976"/>
  <c r="L976" s="1"/>
  <c r="M975"/>
  <c r="L975" s="1"/>
  <c r="M974"/>
  <c r="L974" s="1"/>
  <c r="M973"/>
  <c r="L973" s="1"/>
  <c r="M972"/>
  <c r="L972" s="1"/>
  <c r="M971"/>
  <c r="L971" s="1"/>
  <c r="M970"/>
  <c r="L970" s="1"/>
  <c r="M969"/>
  <c r="L969" s="1"/>
  <c r="M968"/>
  <c r="L968" s="1"/>
  <c r="M967"/>
  <c r="L967" s="1"/>
  <c r="M966"/>
  <c r="L966" s="1"/>
  <c r="M965"/>
  <c r="L965" s="1"/>
  <c r="M964"/>
  <c r="L964" s="1"/>
  <c r="M963"/>
  <c r="L963" s="1"/>
  <c r="M962"/>
  <c r="L962" s="1"/>
  <c r="M961"/>
  <c r="L961" s="1"/>
  <c r="M960"/>
  <c r="L960" s="1"/>
  <c r="M959"/>
  <c r="L959" s="1"/>
  <c r="M958"/>
  <c r="L958" s="1"/>
  <c r="M957"/>
  <c r="L957" s="1"/>
  <c r="M956"/>
  <c r="L956" s="1"/>
  <c r="M955"/>
  <c r="L955" s="1"/>
  <c r="M954"/>
  <c r="L954" s="1"/>
  <c r="M953"/>
  <c r="L953" s="1"/>
  <c r="M952"/>
  <c r="L952" s="1"/>
  <c r="M951"/>
  <c r="L951" s="1"/>
  <c r="M950"/>
  <c r="L950" s="1"/>
  <c r="M949"/>
  <c r="L949" s="1"/>
  <c r="K731" l="1"/>
  <c r="K729"/>
  <c r="K723"/>
  <c r="D1514" i="31"/>
  <c r="D1511"/>
  <c r="K909" i="261" l="1"/>
  <c r="K1021" l="1"/>
  <c r="P1057"/>
  <c r="P1058"/>
  <c r="P1052"/>
  <c r="K1052"/>
  <c r="P1048"/>
  <c r="K744" i="182"/>
  <c r="K732"/>
  <c r="J1514" i="31" l="1"/>
  <c r="D343" i="174" l="1"/>
  <c r="B343"/>
  <c r="E343" s="1"/>
  <c r="D342"/>
  <c r="B342"/>
  <c r="E342" s="1"/>
  <c r="F296" i="171"/>
  <c r="F295" l="1"/>
  <c r="F362" i="32" l="1"/>
  <c r="K747" i="182" l="1"/>
  <c r="K1032" i="261"/>
  <c r="K1017"/>
  <c r="K1020"/>
  <c r="J1509" i="31" l="1"/>
  <c r="J1507"/>
  <c r="J1501"/>
  <c r="J1511" l="1"/>
  <c r="J1504"/>
  <c r="D8" l="1"/>
  <c r="D10"/>
  <c r="D12"/>
  <c r="D16"/>
  <c r="D18"/>
  <c r="D20"/>
  <c r="D22"/>
  <c r="D24"/>
  <c r="D30"/>
  <c r="D33" s="1"/>
  <c r="D37"/>
  <c r="D40"/>
  <c r="D42"/>
  <c r="D49"/>
  <c r="D53"/>
  <c r="D57"/>
  <c r="D61"/>
  <c r="D66"/>
  <c r="D70"/>
  <c r="D75"/>
  <c r="D80"/>
  <c r="D84"/>
  <c r="D87"/>
  <c r="D90"/>
  <c r="D93"/>
  <c r="D97"/>
  <c r="D100"/>
  <c r="D102"/>
  <c r="D109"/>
  <c r="D112"/>
  <c r="D115"/>
  <c r="D118"/>
  <c r="D120" s="1"/>
  <c r="D124"/>
  <c r="D127"/>
  <c r="D131"/>
  <c r="D136"/>
  <c r="D143"/>
  <c r="D146"/>
  <c r="D149"/>
  <c r="D153"/>
  <c r="D157"/>
  <c r="D167"/>
  <c r="D170"/>
  <c r="D174"/>
  <c r="D179"/>
  <c r="D183"/>
  <c r="D185"/>
  <c r="D186" s="1"/>
  <c r="D192"/>
  <c r="D194"/>
  <c r="D198"/>
  <c r="D202"/>
  <c r="D205"/>
  <c r="D210"/>
  <c r="D213"/>
  <c r="D218"/>
  <c r="D221"/>
  <c r="D228"/>
  <c r="D231"/>
  <c r="D233"/>
  <c r="D235"/>
  <c r="D236"/>
  <c r="D237"/>
  <c r="D238" s="1"/>
  <c r="D241"/>
  <c r="D244"/>
  <c r="D247"/>
  <c r="D248"/>
  <c r="D250" s="1"/>
  <c r="D253"/>
  <c r="D257"/>
  <c r="D258" s="1"/>
  <c r="D260"/>
  <c r="D262"/>
  <c r="D265"/>
  <c r="D267"/>
  <c r="D269" s="1"/>
  <c r="D271"/>
  <c r="D272"/>
  <c r="D277"/>
  <c r="D278" s="1"/>
  <c r="D280"/>
  <c r="D282"/>
  <c r="D284"/>
  <c r="D287"/>
  <c r="D291"/>
  <c r="D293"/>
  <c r="D298"/>
  <c r="D300"/>
  <c r="D305"/>
  <c r="D315"/>
  <c r="D320"/>
  <c r="D322"/>
  <c r="D323"/>
  <c r="D326" s="1"/>
  <c r="D329"/>
  <c r="D332" s="1"/>
  <c r="D335"/>
  <c r="D338"/>
  <c r="D342"/>
  <c r="D344" s="1"/>
  <c r="D347"/>
  <c r="D349" s="1"/>
  <c r="D353"/>
  <c r="D355"/>
  <c r="D364"/>
  <c r="D369"/>
  <c r="D371" s="1"/>
  <c r="D375"/>
  <c r="D380"/>
  <c r="D382"/>
  <c r="D385" s="1"/>
  <c r="D390"/>
  <c r="D392"/>
  <c r="D394" s="1"/>
  <c r="D396"/>
  <c r="D400" s="1"/>
  <c r="D405"/>
  <c r="D409"/>
  <c r="D413"/>
  <c r="D419"/>
  <c r="D425"/>
  <c r="D431"/>
  <c r="D434"/>
  <c r="D435" s="1"/>
  <c r="D437"/>
  <c r="D439" s="1"/>
  <c r="D447"/>
  <c r="D453" s="1"/>
  <c r="D455"/>
  <c r="D458" s="1"/>
  <c r="D461"/>
  <c r="D464" s="1"/>
  <c r="D469"/>
  <c r="D470" s="1"/>
  <c r="D472"/>
  <c r="D475"/>
  <c r="D478"/>
  <c r="D484"/>
  <c r="D487"/>
  <c r="D489"/>
  <c r="D492"/>
  <c r="D497"/>
  <c r="D498"/>
  <c r="D502"/>
  <c r="D512"/>
  <c r="D520"/>
  <c r="D525"/>
  <c r="D531"/>
  <c r="D538"/>
  <c r="D541" s="1"/>
  <c r="D544"/>
  <c r="D545"/>
  <c r="D550"/>
  <c r="D556"/>
  <c r="D560"/>
  <c r="D561" s="1"/>
  <c r="D566"/>
  <c r="D575"/>
  <c r="D580"/>
  <c r="D586"/>
  <c r="D587"/>
  <c r="D594"/>
  <c r="D596"/>
  <c r="D597"/>
  <c r="D602"/>
  <c r="D604"/>
  <c r="D611"/>
  <c r="D617"/>
  <c r="D619"/>
  <c r="D620"/>
  <c r="D622"/>
  <c r="D632"/>
  <c r="D638"/>
  <c r="D644"/>
  <c r="D653"/>
  <c r="D658"/>
  <c r="D664"/>
  <c r="D668"/>
  <c r="D674"/>
  <c r="D680"/>
  <c r="D689"/>
  <c r="D696"/>
  <c r="D709"/>
  <c r="D713"/>
  <c r="D720"/>
  <c r="D725"/>
  <c r="D731"/>
  <c r="D736"/>
  <c r="D740"/>
  <c r="D742" s="1"/>
  <c r="D745"/>
  <c r="D746"/>
  <c r="D751"/>
  <c r="D754"/>
  <c r="D756" s="1"/>
  <c r="D761"/>
  <c r="D762"/>
  <c r="D764"/>
  <c r="D766"/>
  <c r="D780"/>
  <c r="D783"/>
  <c r="D787"/>
  <c r="D788"/>
  <c r="D799"/>
  <c r="D805"/>
  <c r="D808"/>
  <c r="D809"/>
  <c r="D820"/>
  <c r="D824"/>
  <c r="D826"/>
  <c r="D836"/>
  <c r="D841"/>
  <c r="D844"/>
  <c r="D846"/>
  <c r="D853"/>
  <c r="D857"/>
  <c r="D863"/>
  <c r="D868"/>
  <c r="D869" s="1"/>
  <c r="D873"/>
  <c r="D879"/>
  <c r="D886"/>
  <c r="D891" s="1"/>
  <c r="D893"/>
  <c r="D894"/>
  <c r="D898"/>
  <c r="D899"/>
  <c r="D913"/>
  <c r="D920"/>
  <c r="D924"/>
  <c r="D930"/>
  <c r="D933" s="1"/>
  <c r="D941"/>
  <c r="D950"/>
  <c r="D953"/>
  <c r="D954"/>
  <c r="D961"/>
  <c r="D968"/>
  <c r="D976"/>
  <c r="D979" s="1"/>
  <c r="D982"/>
  <c r="D988"/>
  <c r="D994" s="1"/>
  <c r="D1003"/>
  <c r="D1006"/>
  <c r="D1007" s="1"/>
  <c r="D1019"/>
  <c r="D1025"/>
  <c r="D1032"/>
  <c r="D1035"/>
  <c r="D1037"/>
  <c r="D1038"/>
  <c r="D1042"/>
  <c r="D1046"/>
  <c r="D1060"/>
  <c r="D1063"/>
  <c r="D1064"/>
  <c r="D1073" s="1"/>
  <c r="D1089"/>
  <c r="D1097"/>
  <c r="D1100"/>
  <c r="D1101"/>
  <c r="D1108" s="1"/>
  <c r="D1110"/>
  <c r="D1112"/>
  <c r="D1115" s="1"/>
  <c r="D1124"/>
  <c r="D1127"/>
  <c r="D1131"/>
  <c r="D1139"/>
  <c r="D1155"/>
  <c r="D1159"/>
  <c r="D1160"/>
  <c r="D1165"/>
  <c r="D1168" s="1"/>
  <c r="D1170"/>
  <c r="D1171"/>
  <c r="D1180"/>
  <c r="D1187"/>
  <c r="D1190"/>
  <c r="D1192"/>
  <c r="D1195" s="1"/>
  <c r="D1202"/>
  <c r="D1217"/>
  <c r="D1222"/>
  <c r="D1230"/>
  <c r="D1235"/>
  <c r="D1246"/>
  <c r="D1249"/>
  <c r="D1263"/>
  <c r="D1275"/>
  <c r="D1281"/>
  <c r="D1285"/>
  <c r="D1290"/>
  <c r="D1300"/>
  <c r="D1308"/>
  <c r="D1314"/>
  <c r="D1320"/>
  <c r="D1324"/>
  <c r="D1327" s="1"/>
  <c r="D1335"/>
  <c r="D1338"/>
  <c r="D1342" s="1"/>
  <c r="D1354"/>
  <c r="D1360"/>
  <c r="D1369"/>
  <c r="D1373"/>
  <c r="D1377" s="1"/>
  <c r="D1381"/>
  <c r="D1384"/>
  <c r="D1388"/>
  <c r="D1391"/>
  <c r="D1397"/>
  <c r="D1400"/>
  <c r="D1404"/>
  <c r="D1412"/>
  <c r="D1417"/>
  <c r="D1421"/>
  <c r="D1426"/>
  <c r="D1432"/>
  <c r="D1437"/>
  <c r="D1438" s="1"/>
  <c r="D1446"/>
  <c r="D1451"/>
  <c r="D1452"/>
  <c r="D1455"/>
  <c r="D1460" s="1"/>
  <c r="D1462"/>
  <c r="D1467" s="1"/>
  <c r="D1473"/>
  <c r="D1482"/>
  <c r="D1489"/>
  <c r="D1498"/>
  <c r="D1505"/>
  <c r="D624" l="1"/>
  <c r="D847"/>
  <c r="D832"/>
  <c r="D1162"/>
  <c r="D907"/>
  <c r="D896"/>
  <c r="D794"/>
  <c r="D599"/>
  <c r="D1453"/>
  <c r="D1407"/>
  <c r="D1173"/>
  <c r="D956"/>
  <c r="D1077" s="1"/>
  <c r="D815"/>
  <c r="D747"/>
  <c r="D759" s="1"/>
  <c r="D590"/>
  <c r="D547"/>
  <c r="D443"/>
  <c r="D358"/>
  <c r="D366" s="1"/>
  <c r="D274"/>
  <c r="D206"/>
  <c r="D768"/>
  <c r="D479"/>
  <c r="D505" s="1"/>
  <c r="D307"/>
  <c r="D1" s="1"/>
  <c r="D1252"/>
  <c r="D936"/>
  <c r="D626" l="1"/>
  <c r="D4" s="1"/>
  <c r="D2"/>
  <c r="K726" i="182" l="1"/>
  <c r="K1033" i="261" l="1"/>
  <c r="K1034"/>
  <c r="K1029"/>
  <c r="K1010"/>
  <c r="K1026"/>
  <c r="K1023"/>
  <c r="K1016"/>
  <c r="K1015"/>
  <c r="K1014"/>
  <c r="J1503" i="31" l="1"/>
  <c r="J1502"/>
  <c r="J1491"/>
  <c r="J1500"/>
  <c r="J1497"/>
  <c r="J1505" l="1"/>
  <c r="D341" i="174"/>
  <c r="B341"/>
  <c r="E341"/>
  <c r="F294" i="171" l="1"/>
  <c r="F361" i="32" l="1"/>
  <c r="J1496" i="31" l="1"/>
  <c r="J1492"/>
  <c r="J1484"/>
  <c r="K748" i="182" l="1"/>
  <c r="J1495" i="31" l="1"/>
  <c r="J1493"/>
  <c r="J1487"/>
  <c r="J1498" l="1"/>
  <c r="D340" i="174"/>
  <c r="B340"/>
  <c r="E340"/>
  <c r="F293" i="171" l="1"/>
  <c r="F360" i="32" l="1"/>
  <c r="M88" i="190" l="1"/>
  <c r="L88" s="1"/>
  <c r="M87"/>
  <c r="L87" s="1"/>
  <c r="M86"/>
  <c r="L86" s="1"/>
  <c r="M85"/>
  <c r="L85" s="1"/>
  <c r="M948" i="182"/>
  <c r="L948" s="1"/>
  <c r="M947"/>
  <c r="L947" s="1"/>
  <c r="M946"/>
  <c r="L946" s="1"/>
  <c r="M945"/>
  <c r="L945" s="1"/>
  <c r="M944"/>
  <c r="L944" s="1"/>
  <c r="M943"/>
  <c r="L943" s="1"/>
  <c r="M942"/>
  <c r="L942" s="1"/>
  <c r="M941"/>
  <c r="L941" s="1"/>
  <c r="M940"/>
  <c r="L940" s="1"/>
  <c r="M939"/>
  <c r="L939" s="1"/>
  <c r="M938"/>
  <c r="L938" s="1"/>
  <c r="M937"/>
  <c r="L937" s="1"/>
  <c r="M936"/>
  <c r="L936" s="1"/>
  <c r="M935"/>
  <c r="L935" s="1"/>
  <c r="M934"/>
  <c r="L934" s="1"/>
  <c r="M933"/>
  <c r="L933" s="1"/>
  <c r="M932"/>
  <c r="L932" s="1"/>
  <c r="M931"/>
  <c r="L931" s="1"/>
  <c r="M930"/>
  <c r="L930" s="1"/>
  <c r="M929"/>
  <c r="L929" s="1"/>
  <c r="M928"/>
  <c r="L928" s="1"/>
  <c r="M927"/>
  <c r="L927" s="1"/>
  <c r="M926"/>
  <c r="L926" s="1"/>
  <c r="M925"/>
  <c r="L925" s="1"/>
  <c r="M924"/>
  <c r="L924" s="1"/>
  <c r="M923"/>
  <c r="L923" s="1"/>
  <c r="M922"/>
  <c r="L922" s="1"/>
  <c r="M921"/>
  <c r="L921" s="1"/>
  <c r="M920"/>
  <c r="L920" s="1"/>
  <c r="M919"/>
  <c r="L919" s="1"/>
  <c r="M918"/>
  <c r="L918" s="1"/>
  <c r="M917"/>
  <c r="L917" s="1"/>
  <c r="M916" l="1"/>
  <c r="L916" s="1"/>
  <c r="M915"/>
  <c r="L915" s="1"/>
  <c r="M914"/>
  <c r="L914" s="1"/>
  <c r="M913"/>
  <c r="L913" s="1"/>
  <c r="M912"/>
  <c r="L912" s="1"/>
  <c r="M911"/>
  <c r="L911" s="1"/>
  <c r="M910"/>
  <c r="L910" s="1"/>
  <c r="M909"/>
  <c r="L909" s="1"/>
  <c r="M908"/>
  <c r="L908" s="1"/>
  <c r="M907"/>
  <c r="L907" s="1"/>
  <c r="M906"/>
  <c r="L906" s="1"/>
  <c r="M905"/>
  <c r="L905" s="1"/>
  <c r="M904"/>
  <c r="L904" s="1"/>
  <c r="M903"/>
  <c r="L903" s="1"/>
  <c r="M902"/>
  <c r="L902" s="1"/>
  <c r="M901"/>
  <c r="L901" s="1"/>
  <c r="M900"/>
  <c r="L900" s="1"/>
  <c r="M899"/>
  <c r="L899" s="1"/>
  <c r="M898"/>
  <c r="L898" s="1"/>
  <c r="M897"/>
  <c r="L897" s="1"/>
  <c r="M896"/>
  <c r="L896" s="1"/>
  <c r="K281" i="189" l="1"/>
  <c r="K277"/>
  <c r="K1031" i="261"/>
  <c r="K1012"/>
  <c r="K1025"/>
  <c r="J1489" i="31" l="1"/>
  <c r="J1481"/>
  <c r="D339" i="174" l="1"/>
  <c r="E339" s="1"/>
  <c r="B339"/>
  <c r="F292" i="171" l="1"/>
  <c r="M895" i="182" l="1"/>
  <c r="L895" s="1"/>
  <c r="M894"/>
  <c r="L894" s="1"/>
  <c r="M893"/>
  <c r="L893" s="1"/>
  <c r="M892"/>
  <c r="L892" s="1"/>
  <c r="M891"/>
  <c r="L891" s="1"/>
  <c r="M890"/>
  <c r="L890" s="1"/>
  <c r="M889"/>
  <c r="L889" s="1"/>
  <c r="M888"/>
  <c r="L888" s="1"/>
  <c r="M887"/>
  <c r="L887" s="1"/>
  <c r="M886"/>
  <c r="L886" s="1"/>
  <c r="M885"/>
  <c r="L885" s="1"/>
  <c r="M1124" i="261"/>
  <c r="L1124" s="1"/>
  <c r="M1123"/>
  <c r="L1123" s="1"/>
  <c r="M1122"/>
  <c r="L1122" s="1"/>
  <c r="M1121"/>
  <c r="L1121" s="1"/>
  <c r="M1120"/>
  <c r="L1120" s="1"/>
  <c r="M1119"/>
  <c r="L1119" s="1"/>
  <c r="M1118"/>
  <c r="L1118" s="1"/>
  <c r="M1117"/>
  <c r="L1117" s="1"/>
  <c r="M1116"/>
  <c r="L1116" s="1"/>
  <c r="M1115"/>
  <c r="L1115" s="1"/>
  <c r="M1114"/>
  <c r="L1114" s="1"/>
  <c r="M1113"/>
  <c r="L1113" s="1"/>
  <c r="M1112"/>
  <c r="L1112" s="1"/>
  <c r="M1111"/>
  <c r="L1111" s="1"/>
  <c r="M1110"/>
  <c r="L1110" s="1"/>
  <c r="M1109"/>
  <c r="L1109" s="1"/>
  <c r="M1108"/>
  <c r="L1108" s="1"/>
  <c r="M1107"/>
  <c r="L1107" s="1"/>
  <c r="M1106"/>
  <c r="L1106" s="1"/>
  <c r="M1105"/>
  <c r="L1105" s="1"/>
  <c r="M1104"/>
  <c r="L1104" s="1"/>
  <c r="M1103"/>
  <c r="L1103" s="1"/>
  <c r="M1102"/>
  <c r="L1102" s="1"/>
  <c r="M1101"/>
  <c r="L1101" s="1"/>
  <c r="M1100"/>
  <c r="L1100" s="1"/>
  <c r="M1099"/>
  <c r="L1099" s="1"/>
  <c r="M1098"/>
  <c r="L1098" s="1"/>
  <c r="M1097"/>
  <c r="L1097" s="1"/>
  <c r="M1096"/>
  <c r="L1096" s="1"/>
  <c r="F359" i="32" l="1"/>
  <c r="K1011" i="261" l="1"/>
  <c r="K738" i="182" l="1"/>
  <c r="K739" l="1"/>
  <c r="J1480" i="31" l="1"/>
  <c r="J1479"/>
  <c r="J1478"/>
  <c r="J1477"/>
  <c r="J1465"/>
  <c r="J1476"/>
  <c r="J1475"/>
  <c r="J1482" l="1"/>
  <c r="F291" i="171"/>
  <c r="F358" i="32"/>
  <c r="M883" i="182" l="1"/>
  <c r="L883" s="1"/>
  <c r="K750" l="1"/>
  <c r="K740"/>
  <c r="K737"/>
  <c r="D338" i="174" l="1"/>
  <c r="B338"/>
  <c r="E338"/>
  <c r="F290" i="171"/>
  <c r="F357" i="32" l="1"/>
  <c r="K933" i="261" l="1"/>
  <c r="K932"/>
  <c r="K930"/>
  <c r="K916"/>
  <c r="K1027"/>
  <c r="K1013"/>
  <c r="K1018"/>
  <c r="M294" i="189" l="1"/>
  <c r="L294" s="1"/>
  <c r="M293"/>
  <c r="L293" s="1"/>
  <c r="M292"/>
  <c r="L292" s="1"/>
  <c r="M291"/>
  <c r="L291" s="1"/>
  <c r="M290"/>
  <c r="L290" s="1"/>
  <c r="M289"/>
  <c r="L289" s="1"/>
  <c r="M288"/>
  <c r="L288" s="1"/>
  <c r="M287"/>
  <c r="L287" s="1"/>
  <c r="J1471" i="31" l="1"/>
  <c r="J1472"/>
  <c r="J1469"/>
  <c r="J1473" l="1"/>
  <c r="D337" i="174" l="1"/>
  <c r="B337"/>
  <c r="E337"/>
  <c r="F289" i="171" l="1"/>
  <c r="F356" i="32" l="1"/>
  <c r="J277" i="189" l="1"/>
  <c r="J276"/>
  <c r="K742" i="182" l="1"/>
  <c r="K1028" i="261" l="1"/>
  <c r="K1022"/>
  <c r="K1030"/>
  <c r="K920"/>
  <c r="J1466" i="31" l="1"/>
  <c r="J1463"/>
  <c r="J1464"/>
  <c r="J1462"/>
  <c r="J1459"/>
  <c r="J1458"/>
  <c r="J1457"/>
  <c r="J1467" l="1"/>
  <c r="D336" i="174" l="1"/>
  <c r="B336"/>
  <c r="E336"/>
  <c r="F288" i="171" l="1"/>
  <c r="K49" i="244" l="1"/>
  <c r="K48"/>
  <c r="K64" s="1"/>
  <c r="K261" l="1"/>
  <c r="K54" i="190"/>
  <c r="K52"/>
  <c r="K43"/>
  <c r="K24"/>
  <c r="F355" i="32" l="1"/>
  <c r="J1455" i="31" l="1"/>
  <c r="J1460" s="1"/>
  <c r="J1452"/>
  <c r="J1450"/>
  <c r="D335" i="174" l="1"/>
  <c r="B335"/>
  <c r="E335"/>
  <c r="F287" i="171" l="1"/>
  <c r="F354" i="32"/>
  <c r="J909" i="261" l="1"/>
  <c r="K743" i="182" l="1"/>
  <c r="J1449" i="31" l="1"/>
  <c r="J1448"/>
  <c r="J1444"/>
  <c r="J1443"/>
  <c r="D334" i="174"/>
  <c r="B334"/>
  <c r="E334"/>
  <c r="J1453" i="31" l="1"/>
  <c r="F286" i="171"/>
  <c r="F353" i="32"/>
  <c r="K615" i="182" l="1"/>
  <c r="K721"/>
  <c r="K695"/>
  <c r="K678"/>
  <c r="K665"/>
  <c r="K609"/>
  <c r="K598"/>
  <c r="J1442" i="31" l="1"/>
  <c r="J1441"/>
  <c r="J1440"/>
  <c r="J1446" l="1"/>
  <c r="D333" i="174"/>
  <c r="B333"/>
  <c r="E333"/>
  <c r="F285" i="171" l="1"/>
  <c r="F352" i="32" l="1"/>
  <c r="J1434" i="31" l="1"/>
  <c r="M884" i="182" l="1"/>
  <c r="L884" s="1"/>
  <c r="M882"/>
  <c r="L882" s="1"/>
  <c r="M881"/>
  <c r="L881" s="1"/>
  <c r="M880"/>
  <c r="L880" s="1"/>
  <c r="M879"/>
  <c r="L879" s="1"/>
  <c r="M878"/>
  <c r="L878" s="1"/>
  <c r="M877"/>
  <c r="L877" s="1"/>
  <c r="M876"/>
  <c r="L876" s="1"/>
  <c r="M875"/>
  <c r="L875" s="1"/>
  <c r="M874"/>
  <c r="L874" s="1"/>
  <c r="M873"/>
  <c r="L873" s="1"/>
  <c r="M872"/>
  <c r="L872" s="1"/>
  <c r="M871"/>
  <c r="L871" s="1"/>
  <c r="M863"/>
  <c r="L863" s="1"/>
  <c r="M862"/>
  <c r="L862" s="1"/>
  <c r="M861"/>
  <c r="L861" s="1"/>
  <c r="M870"/>
  <c r="L870" s="1"/>
  <c r="M869"/>
  <c r="L869" s="1"/>
  <c r="M860"/>
  <c r="L860" s="1"/>
  <c r="M859"/>
  <c r="L859" s="1"/>
  <c r="M858"/>
  <c r="L858" s="1"/>
  <c r="M857"/>
  <c r="L857" s="1"/>
  <c r="M868"/>
  <c r="L868" s="1"/>
  <c r="M856"/>
  <c r="L856" s="1"/>
  <c r="M855"/>
  <c r="L855" s="1"/>
  <c r="M867"/>
  <c r="L867" s="1"/>
  <c r="M854"/>
  <c r="L854" s="1"/>
  <c r="M853"/>
  <c r="L853" s="1"/>
  <c r="M852"/>
  <c r="L852" s="1"/>
  <c r="M851"/>
  <c r="L851" s="1"/>
  <c r="M850"/>
  <c r="L850" s="1"/>
  <c r="M849"/>
  <c r="L849" s="1"/>
  <c r="M866"/>
  <c r="L866" s="1"/>
  <c r="M848"/>
  <c r="L848" s="1"/>
  <c r="M847"/>
  <c r="L847" s="1"/>
  <c r="M846"/>
  <c r="L846" s="1"/>
  <c r="M845"/>
  <c r="L845" s="1"/>
  <c r="M844"/>
  <c r="L844" s="1"/>
  <c r="M843"/>
  <c r="L843" s="1"/>
  <c r="M842"/>
  <c r="L842" s="1"/>
  <c r="M841"/>
  <c r="L841" s="1"/>
  <c r="L865"/>
  <c r="M840"/>
  <c r="L840" s="1"/>
  <c r="M839"/>
  <c r="L839" s="1"/>
  <c r="M838"/>
  <c r="L838" s="1"/>
  <c r="M864"/>
  <c r="L864" s="1"/>
  <c r="M837"/>
  <c r="L837" s="1"/>
  <c r="M836"/>
  <c r="L836" s="1"/>
  <c r="M835"/>
  <c r="L835" s="1"/>
  <c r="M834"/>
  <c r="L834" s="1"/>
  <c r="M833"/>
  <c r="L833" s="1"/>
  <c r="M832"/>
  <c r="L832" s="1"/>
  <c r="M831"/>
  <c r="L831" s="1"/>
  <c r="M830"/>
  <c r="L830" s="1"/>
  <c r="M829"/>
  <c r="L829" s="1"/>
  <c r="M828"/>
  <c r="L828" s="1"/>
  <c r="M827"/>
  <c r="L827" s="1"/>
  <c r="M826"/>
  <c r="L826" s="1"/>
  <c r="M825"/>
  <c r="L825" s="1"/>
  <c r="M824"/>
  <c r="L824" s="1"/>
  <c r="M823"/>
  <c r="L823" s="1"/>
  <c r="M822"/>
  <c r="L822" s="1"/>
  <c r="M821"/>
  <c r="L821" s="1"/>
  <c r="M820"/>
  <c r="L820" s="1"/>
  <c r="M819"/>
  <c r="L819" s="1"/>
  <c r="M818"/>
  <c r="L818" s="1"/>
  <c r="M817"/>
  <c r="L817" s="1"/>
  <c r="M816"/>
  <c r="L816" s="1"/>
  <c r="M815"/>
  <c r="L815" s="1"/>
  <c r="M814"/>
  <c r="L814" s="1"/>
  <c r="M813"/>
  <c r="L813" s="1"/>
  <c r="L812"/>
  <c r="M811"/>
  <c r="L811" s="1"/>
  <c r="M810"/>
  <c r="L810" s="1"/>
  <c r="M809"/>
  <c r="L809" s="1"/>
  <c r="M808"/>
  <c r="L808" s="1"/>
  <c r="J1438" i="31" l="1"/>
  <c r="J1429"/>
  <c r="J1430"/>
  <c r="J1431"/>
  <c r="B331" i="174" l="1"/>
  <c r="E332"/>
  <c r="E331"/>
  <c r="F284" i="171" l="1"/>
  <c r="F351" i="32" l="1"/>
  <c r="F350"/>
  <c r="J1338" i="31" l="1"/>
  <c r="J1428" l="1"/>
  <c r="J1432" s="1"/>
  <c r="K984" i="261" l="1"/>
  <c r="K1019"/>
  <c r="D330" i="174"/>
  <c r="B330"/>
  <c r="E330"/>
  <c r="F283" i="171"/>
  <c r="F349" i="32" l="1"/>
  <c r="K936" i="261" l="1"/>
  <c r="K928"/>
  <c r="K926"/>
  <c r="K923"/>
  <c r="K922"/>
  <c r="K993"/>
  <c r="J1425" i="31" l="1"/>
  <c r="J1423"/>
  <c r="J1395"/>
  <c r="E329" i="174"/>
  <c r="D329"/>
  <c r="B329"/>
  <c r="J1426" i="31" l="1"/>
  <c r="F282" i="171"/>
  <c r="F348" i="32" l="1"/>
  <c r="E8" i="201" l="1"/>
  <c r="E10"/>
  <c r="E22"/>
  <c r="E21"/>
  <c r="I44"/>
  <c r="J44"/>
  <c r="J40"/>
  <c r="I43"/>
  <c r="C28"/>
  <c r="K15"/>
  <c r="I40"/>
  <c r="C15"/>
  <c r="C10"/>
  <c r="C22"/>
  <c r="E15"/>
  <c r="J1420" i="31" l="1"/>
  <c r="J1419"/>
  <c r="J1416"/>
  <c r="J1415"/>
  <c r="J1414"/>
  <c r="D328" i="174"/>
  <c r="B328"/>
  <c r="E328"/>
  <c r="J1421" i="31" l="1"/>
  <c r="F281" i="171"/>
  <c r="F347" i="32" l="1"/>
  <c r="K735" i="182" l="1"/>
  <c r="K697"/>
  <c r="K608" l="1"/>
  <c r="K606"/>
  <c r="K600"/>
  <c r="K599"/>
  <c r="K925" i="261"/>
  <c r="K934"/>
  <c r="J1417" i="31" l="1"/>
  <c r="J1411"/>
  <c r="D327" i="174"/>
  <c r="B327"/>
  <c r="E327"/>
  <c r="F279" i="171" l="1"/>
  <c r="F280"/>
  <c r="F346" i="32" l="1"/>
  <c r="P33" i="201" l="1"/>
  <c r="O33"/>
  <c r="O31"/>
  <c r="O21"/>
  <c r="O15"/>
  <c r="O8"/>
  <c r="M84" i="190" l="1"/>
  <c r="L84" s="1"/>
  <c r="M83"/>
  <c r="L83" s="1"/>
  <c r="M807" i="182"/>
  <c r="L807" s="1"/>
  <c r="M806"/>
  <c r="L806" s="1"/>
  <c r="M1095" i="261" l="1"/>
  <c r="L1095" s="1"/>
  <c r="M1094"/>
  <c r="L1094" s="1"/>
  <c r="M1093"/>
  <c r="L1093" s="1"/>
  <c r="M1092"/>
  <c r="L1092" s="1"/>
  <c r="M1088"/>
  <c r="L1088" s="1"/>
  <c r="J742"/>
  <c r="M805" i="182"/>
  <c r="L805" s="1"/>
  <c r="M804" l="1"/>
  <c r="L804" s="1"/>
  <c r="M800"/>
  <c r="L800" s="1"/>
  <c r="M796"/>
  <c r="L796" s="1"/>
  <c r="M795"/>
  <c r="L795" s="1"/>
  <c r="K990" i="261" l="1"/>
  <c r="K992"/>
  <c r="K28" i="201" l="1"/>
  <c r="J750" i="182"/>
  <c r="J738"/>
  <c r="J737"/>
  <c r="J1410" i="31"/>
  <c r="J1412" s="1"/>
  <c r="J1561" s="1"/>
  <c r="J1403"/>
  <c r="E326" i="174" l="1"/>
  <c r="E325"/>
  <c r="E324"/>
  <c r="E323"/>
  <c r="E322"/>
  <c r="E321"/>
  <c r="D326" l="1"/>
  <c r="B326"/>
  <c r="J1376" i="31" l="1"/>
  <c r="J1375"/>
  <c r="J1374"/>
  <c r="F345" i="32" l="1"/>
  <c r="F344"/>
  <c r="F343"/>
  <c r="F342"/>
  <c r="C345"/>
  <c r="K1003" i="261" l="1"/>
  <c r="K911" l="1"/>
  <c r="K991"/>
  <c r="J1393" i="31" l="1"/>
  <c r="J1402"/>
  <c r="J1404" s="1"/>
  <c r="F278" i="171" l="1"/>
  <c r="E345" i="32" l="1"/>
  <c r="D345"/>
  <c r="J1394" i="31" l="1"/>
  <c r="J1390"/>
  <c r="J1399"/>
  <c r="D324" i="174"/>
  <c r="B324"/>
  <c r="F277" i="171" l="1"/>
  <c r="K274" i="189" l="1"/>
  <c r="K275"/>
  <c r="K282"/>
  <c r="J1400" i="31" l="1"/>
  <c r="C323" i="174"/>
  <c r="F276" i="171" l="1"/>
  <c r="F341" i="32" l="1"/>
  <c r="C30" i="201" l="1"/>
  <c r="G29"/>
  <c r="C29"/>
  <c r="E25" l="1"/>
  <c r="K43"/>
  <c r="K42"/>
  <c r="K41"/>
  <c r="K40"/>
  <c r="K44" l="1"/>
  <c r="M277" i="189" l="1"/>
  <c r="L277" s="1"/>
  <c r="M276"/>
  <c r="L276" s="1"/>
  <c r="M906" i="261" l="1"/>
  <c r="L906" s="1"/>
  <c r="M907"/>
  <c r="L907" s="1"/>
  <c r="J1397" i="31" l="1"/>
  <c r="C322" i="174" l="1"/>
  <c r="B322"/>
  <c r="F275" i="171" l="1"/>
  <c r="F340" i="32" l="1"/>
  <c r="J1334" i="31" l="1"/>
  <c r="J1347"/>
  <c r="J1383"/>
  <c r="J1391" l="1"/>
  <c r="B321" i="174"/>
  <c r="C321"/>
  <c r="C31" i="201" l="1"/>
  <c r="C8"/>
  <c r="J41" l="1"/>
  <c r="J1346" i="31" l="1"/>
  <c r="J1345"/>
  <c r="J1344" l="1"/>
  <c r="F339" i="32" l="1"/>
  <c r="K688" i="182" l="1"/>
  <c r="K666"/>
  <c r="K601"/>
  <c r="M624"/>
  <c r="L624" s="1"/>
  <c r="K656"/>
  <c r="K653"/>
  <c r="K648"/>
  <c r="K654"/>
  <c r="J1384" i="31" l="1"/>
  <c r="J1386"/>
  <c r="J1388" s="1"/>
  <c r="J1379"/>
  <c r="C320" i="174"/>
  <c r="B320"/>
  <c r="E320"/>
  <c r="F274" i="171" l="1"/>
  <c r="E23" i="201" l="1"/>
  <c r="F338" i="32" l="1"/>
  <c r="K924" i="261" l="1"/>
  <c r="K280" i="189"/>
  <c r="J1380" i="31" l="1"/>
  <c r="J1381" s="1"/>
  <c r="D319" i="174"/>
  <c r="E319" s="1"/>
  <c r="F273" i="171" l="1"/>
  <c r="K31" i="201" l="1"/>
  <c r="H44"/>
  <c r="M1091" i="261" l="1"/>
  <c r="L1091" s="1"/>
  <c r="M1090"/>
  <c r="L1090" s="1"/>
  <c r="M1089"/>
  <c r="L1089" s="1"/>
  <c r="M1087"/>
  <c r="L1087" s="1"/>
  <c r="M1086"/>
  <c r="L1086" s="1"/>
  <c r="M1085"/>
  <c r="L1085" s="1"/>
  <c r="M1084"/>
  <c r="L1084" s="1"/>
  <c r="M1082"/>
  <c r="L1082" s="1"/>
  <c r="M1081"/>
  <c r="L1081" s="1"/>
  <c r="M1080"/>
  <c r="L1080" s="1"/>
  <c r="M1079"/>
  <c r="L1079" s="1"/>
  <c r="M1078"/>
  <c r="L1078" s="1"/>
  <c r="M1077"/>
  <c r="L1077" s="1"/>
  <c r="M1076"/>
  <c r="L1076" s="1"/>
  <c r="M1075"/>
  <c r="L1075" s="1"/>
  <c r="M1074"/>
  <c r="L1074" s="1"/>
  <c r="M1073"/>
  <c r="L1073" s="1"/>
  <c r="M1072"/>
  <c r="L1072" s="1"/>
  <c r="M1071"/>
  <c r="L1071" s="1"/>
  <c r="M1070"/>
  <c r="L1070" s="1"/>
  <c r="M1069"/>
  <c r="L1069" s="1"/>
  <c r="M1068"/>
  <c r="L1068" s="1"/>
  <c r="M1067"/>
  <c r="L1067" s="1"/>
  <c r="M1066"/>
  <c r="L1066" s="1"/>
  <c r="M1065"/>
  <c r="L1065" s="1"/>
  <c r="M1064"/>
  <c r="L1064" s="1"/>
  <c r="M1063"/>
  <c r="L1063" s="1"/>
  <c r="M1062"/>
  <c r="L1062" s="1"/>
  <c r="M1061"/>
  <c r="L1061" s="1"/>
  <c r="M1060"/>
  <c r="L1060" s="1"/>
  <c r="M1059"/>
  <c r="L1059" s="1"/>
  <c r="M1058"/>
  <c r="L1058" s="1"/>
  <c r="M1057"/>
  <c r="L1057" s="1"/>
  <c r="M1056"/>
  <c r="L1056" s="1"/>
  <c r="M1055"/>
  <c r="L1055" s="1"/>
  <c r="M1054"/>
  <c r="L1054" s="1"/>
  <c r="M1053"/>
  <c r="L1053" s="1"/>
  <c r="M1052"/>
  <c r="L1052" s="1"/>
  <c r="M1051"/>
  <c r="L1051" s="1"/>
  <c r="M1050"/>
  <c r="L1050" s="1"/>
  <c r="M1049"/>
  <c r="L1049" s="1"/>
  <c r="M1048"/>
  <c r="L1048" s="1"/>
  <c r="M1047"/>
  <c r="L1047" s="1"/>
  <c r="M1046"/>
  <c r="L1046" s="1"/>
  <c r="M1045"/>
  <c r="L1045" s="1"/>
  <c r="M1044"/>
  <c r="L1044" s="1"/>
  <c r="M1043"/>
  <c r="L1043" s="1"/>
  <c r="M1042"/>
  <c r="L1042" s="1"/>
  <c r="M1041"/>
  <c r="L1041" s="1"/>
  <c r="M1040"/>
  <c r="L1040" s="1"/>
  <c r="M1039"/>
  <c r="L1039" s="1"/>
  <c r="M1038"/>
  <c r="L1038" s="1"/>
  <c r="M1037"/>
  <c r="L1037" s="1"/>
  <c r="M1036"/>
  <c r="L1036" s="1"/>
  <c r="M1035"/>
  <c r="L1035" s="1"/>
  <c r="M1034"/>
  <c r="L1034" s="1"/>
  <c r="M1033"/>
  <c r="L1033" s="1"/>
  <c r="M1032"/>
  <c r="L1032" s="1"/>
  <c r="M1031"/>
  <c r="L1031" s="1"/>
  <c r="M1030"/>
  <c r="L1030" s="1"/>
  <c r="M1029"/>
  <c r="L1029" s="1"/>
  <c r="M1028"/>
  <c r="L1028" s="1"/>
  <c r="M1027"/>
  <c r="L1027" s="1"/>
  <c r="M1026"/>
  <c r="L1026" s="1"/>
  <c r="M1025"/>
  <c r="L1025" s="1"/>
  <c r="M1024"/>
  <c r="L1024" s="1"/>
  <c r="M1023"/>
  <c r="L1023" s="1"/>
  <c r="M1022"/>
  <c r="L1022" s="1"/>
  <c r="M1021"/>
  <c r="L1021" s="1"/>
  <c r="M1020"/>
  <c r="L1020" s="1"/>
  <c r="M1019"/>
  <c r="L1019" s="1"/>
  <c r="M1017"/>
  <c r="M1016"/>
  <c r="L1016" s="1"/>
  <c r="M1015"/>
  <c r="L1015" s="1"/>
  <c r="M1014"/>
  <c r="L1014" s="1"/>
  <c r="M1013"/>
  <c r="L1013" s="1"/>
  <c r="M1012"/>
  <c r="L1012" s="1"/>
  <c r="M1011"/>
  <c r="L1011" s="1"/>
  <c r="M1010"/>
  <c r="L1010" s="1"/>
  <c r="M1009"/>
  <c r="L1009" s="1"/>
  <c r="K1009"/>
  <c r="M1008"/>
  <c r="L1008" s="1"/>
  <c r="K1008"/>
  <c r="M1007"/>
  <c r="L1007" s="1"/>
  <c r="M1006"/>
  <c r="L1006" s="1"/>
  <c r="K1006"/>
  <c r="M1005"/>
  <c r="L1005" s="1"/>
  <c r="K1005"/>
  <c r="M1004"/>
  <c r="L1004" s="1"/>
  <c r="M1003"/>
  <c r="L1003" s="1"/>
  <c r="M1002"/>
  <c r="L1002" s="1"/>
  <c r="M1001"/>
  <c r="L1001" s="1"/>
  <c r="K1001"/>
  <c r="M1000"/>
  <c r="L1000" s="1"/>
  <c r="K1000"/>
  <c r="M999"/>
  <c r="L999" s="1"/>
  <c r="K999"/>
  <c r="M998"/>
  <c r="L998" s="1"/>
  <c r="K998"/>
  <c r="M997"/>
  <c r="L997" s="1"/>
  <c r="K997"/>
  <c r="M996"/>
  <c r="L996" s="1"/>
  <c r="M995"/>
  <c r="L995" s="1"/>
  <c r="K995"/>
  <c r="M994"/>
  <c r="L994" s="1"/>
  <c r="M993"/>
  <c r="L993" s="1"/>
  <c r="M992"/>
  <c r="L992" s="1"/>
  <c r="M991"/>
  <c r="L991" s="1"/>
  <c r="M990"/>
  <c r="L990" s="1"/>
  <c r="M989"/>
  <c r="L989" s="1"/>
  <c r="M988"/>
  <c r="L988" s="1"/>
  <c r="M987"/>
  <c r="L987" s="1"/>
  <c r="K987"/>
  <c r="M986"/>
  <c r="L986" s="1"/>
  <c r="K986"/>
  <c r="M985"/>
  <c r="L985" s="1"/>
  <c r="M984"/>
  <c r="L984" s="1"/>
  <c r="M983"/>
  <c r="L983" s="1"/>
  <c r="M982"/>
  <c r="L982" s="1"/>
  <c r="K982"/>
  <c r="M981"/>
  <c r="L981" s="1"/>
  <c r="K981"/>
  <c r="M980"/>
  <c r="L980" s="1"/>
  <c r="K980"/>
  <c r="M979"/>
  <c r="L979" s="1"/>
  <c r="K979"/>
  <c r="M978"/>
  <c r="L978" s="1"/>
  <c r="M977"/>
  <c r="L977" s="1"/>
  <c r="M976"/>
  <c r="L976" s="1"/>
  <c r="M975"/>
  <c r="L975" s="1"/>
  <c r="M974"/>
  <c r="L974" s="1"/>
  <c r="K974"/>
  <c r="M973"/>
  <c r="L973" s="1"/>
  <c r="M972"/>
  <c r="L972" s="1"/>
  <c r="M971"/>
  <c r="L971" s="1"/>
  <c r="M970"/>
  <c r="L970" s="1"/>
  <c r="M969"/>
  <c r="L969" s="1"/>
  <c r="M968"/>
  <c r="L968" s="1"/>
  <c r="M967"/>
  <c r="L967" s="1"/>
  <c r="M966"/>
  <c r="L966" s="1"/>
  <c r="M965"/>
  <c r="L965" s="1"/>
  <c r="M964"/>
  <c r="L964" s="1"/>
  <c r="M963"/>
  <c r="L963" s="1"/>
  <c r="M962"/>
  <c r="L962" s="1"/>
  <c r="M961"/>
  <c r="L961" s="1"/>
  <c r="M960"/>
  <c r="L960" s="1"/>
  <c r="M959"/>
  <c r="L959" s="1"/>
  <c r="M958"/>
  <c r="L958" s="1"/>
  <c r="M957"/>
  <c r="L957" s="1"/>
  <c r="K957"/>
  <c r="M956"/>
  <c r="L956" s="1"/>
  <c r="M955"/>
  <c r="L955" s="1"/>
  <c r="M954"/>
  <c r="L954" s="1"/>
  <c r="M953"/>
  <c r="L953" s="1"/>
  <c r="M952"/>
  <c r="L952" s="1"/>
  <c r="M951"/>
  <c r="L951" s="1"/>
  <c r="M950"/>
  <c r="L950" s="1"/>
  <c r="M949"/>
  <c r="L949" s="1"/>
  <c r="M948"/>
  <c r="L948" s="1"/>
  <c r="M947"/>
  <c r="L947" s="1"/>
  <c r="M946"/>
  <c r="L946" s="1"/>
  <c r="M945"/>
  <c r="L945" s="1"/>
  <c r="M944"/>
  <c r="L944" s="1"/>
  <c r="M943"/>
  <c r="L943" s="1"/>
  <c r="M942"/>
  <c r="L942" s="1"/>
  <c r="M941"/>
  <c r="L941" s="1"/>
  <c r="M940"/>
  <c r="L940" s="1"/>
  <c r="M939"/>
  <c r="L939" s="1"/>
  <c r="M938"/>
  <c r="L938" s="1"/>
  <c r="M937"/>
  <c r="L937" s="1"/>
  <c r="M936"/>
  <c r="L936" s="1"/>
  <c r="M935"/>
  <c r="L935" s="1"/>
  <c r="M934"/>
  <c r="L934" s="1"/>
  <c r="M933"/>
  <c r="L933" s="1"/>
  <c r="M932"/>
  <c r="L932" s="1"/>
  <c r="M931"/>
  <c r="L931" s="1"/>
  <c r="K931"/>
  <c r="M930"/>
  <c r="L930" s="1"/>
  <c r="J930"/>
  <c r="M928"/>
  <c r="L928" s="1"/>
  <c r="M927"/>
  <c r="L927" s="1"/>
  <c r="M926"/>
  <c r="L926" s="1"/>
  <c r="M925"/>
  <c r="L925" s="1"/>
  <c r="M924"/>
  <c r="L924" s="1"/>
  <c r="M923"/>
  <c r="L923" s="1"/>
  <c r="M922"/>
  <c r="L922" s="1"/>
  <c r="M921"/>
  <c r="L921" s="1"/>
  <c r="M920"/>
  <c r="L920" s="1"/>
  <c r="M919"/>
  <c r="L919" s="1"/>
  <c r="M918"/>
  <c r="L918" s="1"/>
  <c r="M917"/>
  <c r="L917" s="1"/>
  <c r="M916"/>
  <c r="L916" s="1"/>
  <c r="M915"/>
  <c r="L915" s="1"/>
  <c r="K915"/>
  <c r="M914"/>
  <c r="L914" s="1"/>
  <c r="K914"/>
  <c r="M913"/>
  <c r="L913" s="1"/>
  <c r="K913"/>
  <c r="M912"/>
  <c r="L912" s="1"/>
  <c r="M911"/>
  <c r="L911" s="1"/>
  <c r="M910"/>
  <c r="L910" s="1"/>
  <c r="M909"/>
  <c r="L909" s="1"/>
  <c r="M908"/>
  <c r="L908" s="1"/>
  <c r="K908"/>
  <c r="M905"/>
  <c r="L905" s="1"/>
  <c r="M904"/>
  <c r="L904" s="1"/>
  <c r="M903"/>
  <c r="L903" s="1"/>
  <c r="M902"/>
  <c r="L902" s="1"/>
  <c r="M901"/>
  <c r="L901" s="1"/>
  <c r="M900"/>
  <c r="L900" s="1"/>
  <c r="M899"/>
  <c r="L899" s="1"/>
  <c r="K899"/>
  <c r="M898"/>
  <c r="L898" s="1"/>
  <c r="M897"/>
  <c r="L897" s="1"/>
  <c r="M896"/>
  <c r="L896" s="1"/>
  <c r="K896"/>
  <c r="M895"/>
  <c r="L895" s="1"/>
  <c r="K895"/>
  <c r="M894"/>
  <c r="L894" s="1"/>
  <c r="K894"/>
  <c r="M893"/>
  <c r="L893" s="1"/>
  <c r="K893"/>
  <c r="M892"/>
  <c r="L892" s="1"/>
  <c r="M891"/>
  <c r="L891" s="1"/>
  <c r="K891"/>
  <c r="J891"/>
  <c r="M890"/>
  <c r="L890" s="1"/>
  <c r="M889"/>
  <c r="L889" s="1"/>
  <c r="K889"/>
  <c r="J889"/>
  <c r="M888"/>
  <c r="L888" s="1"/>
  <c r="M887"/>
  <c r="L887" s="1"/>
  <c r="M886"/>
  <c r="L886" s="1"/>
  <c r="K886"/>
  <c r="M885"/>
  <c r="L885" s="1"/>
  <c r="K885"/>
  <c r="M884"/>
  <c r="L884" s="1"/>
  <c r="K884"/>
  <c r="M883"/>
  <c r="L883" s="1"/>
  <c r="K883"/>
  <c r="M882"/>
  <c r="L882" s="1"/>
  <c r="K882"/>
  <c r="J882"/>
  <c r="M881"/>
  <c r="L881" s="1"/>
  <c r="K881"/>
  <c r="M880"/>
  <c r="L880" s="1"/>
  <c r="K880"/>
  <c r="M879"/>
  <c r="L879" s="1"/>
  <c r="K879"/>
  <c r="M878"/>
  <c r="L878" s="1"/>
  <c r="K878"/>
  <c r="J878"/>
  <c r="M877"/>
  <c r="L877" s="1"/>
  <c r="K877"/>
  <c r="M876"/>
  <c r="L876" s="1"/>
  <c r="K876"/>
  <c r="M875"/>
  <c r="L875" s="1"/>
  <c r="K875"/>
  <c r="M874"/>
  <c r="L874" s="1"/>
  <c r="K874"/>
  <c r="M873"/>
  <c r="L873" s="1"/>
  <c r="M872"/>
  <c r="L872" s="1"/>
  <c r="M871"/>
  <c r="L871" s="1"/>
  <c r="M870"/>
  <c r="L870" s="1"/>
  <c r="M869"/>
  <c r="L869" s="1"/>
  <c r="M868"/>
  <c r="L868" s="1"/>
  <c r="M867"/>
  <c r="L867" s="1"/>
  <c r="M866"/>
  <c r="L866" s="1"/>
  <c r="M865"/>
  <c r="L865" s="1"/>
  <c r="M864"/>
  <c r="L864" s="1"/>
  <c r="M863"/>
  <c r="L863" s="1"/>
  <c r="M862"/>
  <c r="L862" s="1"/>
  <c r="M861"/>
  <c r="L861" s="1"/>
  <c r="M860"/>
  <c r="L860" s="1"/>
  <c r="M859"/>
  <c r="L859" s="1"/>
  <c r="M858"/>
  <c r="L858" s="1"/>
  <c r="M857"/>
  <c r="L857" s="1"/>
  <c r="M856"/>
  <c r="L856" s="1"/>
  <c r="M855"/>
  <c r="L855" s="1"/>
  <c r="M854"/>
  <c r="L854" s="1"/>
  <c r="J854"/>
  <c r="M853"/>
  <c r="L853" s="1"/>
  <c r="M852"/>
  <c r="L852" s="1"/>
  <c r="M851"/>
  <c r="L851" s="1"/>
  <c r="J851"/>
  <c r="M850"/>
  <c r="L850" s="1"/>
  <c r="M849"/>
  <c r="L849" s="1"/>
  <c r="M848"/>
  <c r="L848" s="1"/>
  <c r="M847"/>
  <c r="L847" s="1"/>
  <c r="M846"/>
  <c r="L846" s="1"/>
  <c r="M845"/>
  <c r="L845" s="1"/>
  <c r="M844"/>
  <c r="L844" s="1"/>
  <c r="M843"/>
  <c r="L843" s="1"/>
  <c r="P842"/>
  <c r="M842" s="1"/>
  <c r="L842" s="1"/>
  <c r="M841"/>
  <c r="L841" s="1"/>
  <c r="M840"/>
  <c r="L840" s="1"/>
  <c r="M839"/>
  <c r="L839" s="1"/>
  <c r="M838"/>
  <c r="L838" s="1"/>
  <c r="M837"/>
  <c r="L837" s="1"/>
  <c r="M836"/>
  <c r="L836" s="1"/>
  <c r="M835"/>
  <c r="L835" s="1"/>
  <c r="M834"/>
  <c r="L834" s="1"/>
  <c r="M833"/>
  <c r="L833" s="1"/>
  <c r="M832"/>
  <c r="L832" s="1"/>
  <c r="M831"/>
  <c r="L831" s="1"/>
  <c r="M830"/>
  <c r="L830" s="1"/>
  <c r="M829"/>
  <c r="L829" s="1"/>
  <c r="M828"/>
  <c r="L828" s="1"/>
  <c r="K828"/>
  <c r="M827"/>
  <c r="L827" s="1"/>
  <c r="K827"/>
  <c r="M826"/>
  <c r="L826" s="1"/>
  <c r="K826"/>
  <c r="M825"/>
  <c r="L825" s="1"/>
  <c r="M824"/>
  <c r="L824" s="1"/>
  <c r="M823"/>
  <c r="L823" s="1"/>
  <c r="M822"/>
  <c r="L822" s="1"/>
  <c r="M821"/>
  <c r="L821" s="1"/>
  <c r="M820"/>
  <c r="L820" s="1"/>
  <c r="M819"/>
  <c r="L819" s="1"/>
  <c r="M818"/>
  <c r="L818" s="1"/>
  <c r="M817"/>
  <c r="L817" s="1"/>
  <c r="M816"/>
  <c r="L816" s="1"/>
  <c r="K816"/>
  <c r="M815"/>
  <c r="L815" s="1"/>
  <c r="M814"/>
  <c r="L814" s="1"/>
  <c r="M813"/>
  <c r="L813" s="1"/>
  <c r="M812"/>
  <c r="L812" s="1"/>
  <c r="M811"/>
  <c r="L811" s="1"/>
  <c r="M810"/>
  <c r="L810" s="1"/>
  <c r="M809"/>
  <c r="L809" s="1"/>
  <c r="K809"/>
  <c r="M808"/>
  <c r="L808" s="1"/>
  <c r="K808"/>
  <c r="M807"/>
  <c r="L807" s="1"/>
  <c r="K807"/>
  <c r="M806"/>
  <c r="L806" s="1"/>
  <c r="K806"/>
  <c r="J806"/>
  <c r="M805"/>
  <c r="L805" s="1"/>
  <c r="K805"/>
  <c r="M804"/>
  <c r="L804" s="1"/>
  <c r="K804"/>
  <c r="M803"/>
  <c r="L803" s="1"/>
  <c r="M802"/>
  <c r="L802" s="1"/>
  <c r="M801"/>
  <c r="L801" s="1"/>
  <c r="M800"/>
  <c r="L800" s="1"/>
  <c r="K800"/>
  <c r="M799"/>
  <c r="L799" s="1"/>
  <c r="K799"/>
  <c r="P798"/>
  <c r="M798" s="1"/>
  <c r="L798" s="1"/>
  <c r="K798"/>
  <c r="M797"/>
  <c r="L797" s="1"/>
  <c r="M796"/>
  <c r="L796" s="1"/>
  <c r="M795"/>
  <c r="L795" s="1"/>
  <c r="M794"/>
  <c r="L794" s="1"/>
  <c r="M793"/>
  <c r="L793" s="1"/>
  <c r="M792"/>
  <c r="L792" s="1"/>
  <c r="M791"/>
  <c r="L791" s="1"/>
  <c r="M790"/>
  <c r="L790" s="1"/>
  <c r="M789"/>
  <c r="L789" s="1"/>
  <c r="K789"/>
  <c r="M788"/>
  <c r="L788" s="1"/>
  <c r="M787"/>
  <c r="L787" s="1"/>
  <c r="M786"/>
  <c r="L786" s="1"/>
  <c r="M785"/>
  <c r="L785" s="1"/>
  <c r="M784"/>
  <c r="L784" s="1"/>
  <c r="M783"/>
  <c r="L783" s="1"/>
  <c r="K783"/>
  <c r="M782"/>
  <c r="L782" s="1"/>
  <c r="K782"/>
  <c r="M781"/>
  <c r="L781" s="1"/>
  <c r="K781"/>
  <c r="M780"/>
  <c r="L780" s="1"/>
  <c r="M779"/>
  <c r="L779" s="1"/>
  <c r="K779"/>
  <c r="M778"/>
  <c r="L778" s="1"/>
  <c r="K778"/>
  <c r="M777"/>
  <c r="L777" s="1"/>
  <c r="K777"/>
  <c r="M776"/>
  <c r="L776" s="1"/>
  <c r="M775"/>
  <c r="L775" s="1"/>
  <c r="K775"/>
  <c r="P774"/>
  <c r="M774" s="1"/>
  <c r="L774" s="1"/>
  <c r="J774"/>
  <c r="M773"/>
  <c r="L773" s="1"/>
  <c r="K773"/>
  <c r="M772"/>
  <c r="L772" s="1"/>
  <c r="J772"/>
  <c r="M771"/>
  <c r="L771" s="1"/>
  <c r="K771"/>
  <c r="J771"/>
  <c r="M770"/>
  <c r="L770" s="1"/>
  <c r="K770"/>
  <c r="M769"/>
  <c r="L769" s="1"/>
  <c r="K769"/>
  <c r="J769"/>
  <c r="M768"/>
  <c r="L768" s="1"/>
  <c r="K768"/>
  <c r="M767"/>
  <c r="L767" s="1"/>
  <c r="K767"/>
  <c r="J767"/>
  <c r="M766"/>
  <c r="L766" s="1"/>
  <c r="K766"/>
  <c r="J766"/>
  <c r="M765"/>
  <c r="L765" s="1"/>
  <c r="K765"/>
  <c r="M764"/>
  <c r="L764" s="1"/>
  <c r="K764"/>
  <c r="J764"/>
  <c r="M763"/>
  <c r="L763" s="1"/>
  <c r="K763"/>
  <c r="J763"/>
  <c r="M762"/>
  <c r="L762" s="1"/>
  <c r="K762"/>
  <c r="J762"/>
  <c r="M761"/>
  <c r="L761" s="1"/>
  <c r="J761"/>
  <c r="M760"/>
  <c r="L760" s="1"/>
  <c r="M759"/>
  <c r="L759" s="1"/>
  <c r="M758"/>
  <c r="L758" s="1"/>
  <c r="M757"/>
  <c r="L757" s="1"/>
  <c r="P756"/>
  <c r="M756" s="1"/>
  <c r="L756" s="1"/>
  <c r="K756"/>
  <c r="M755"/>
  <c r="L755" s="1"/>
  <c r="M754"/>
  <c r="L754" s="1"/>
  <c r="M753"/>
  <c r="L753" s="1"/>
  <c r="P752"/>
  <c r="M752" s="1"/>
  <c r="L752" s="1"/>
  <c r="K752"/>
  <c r="M751"/>
  <c r="L751" s="1"/>
  <c r="M750"/>
  <c r="L750" s="1"/>
  <c r="M749"/>
  <c r="L749" s="1"/>
  <c r="M748"/>
  <c r="L748" s="1"/>
  <c r="P747"/>
  <c r="M747" s="1"/>
  <c r="L747" s="1"/>
  <c r="M746"/>
  <c r="L746" s="1"/>
  <c r="J746"/>
  <c r="P745"/>
  <c r="M745" s="1"/>
  <c r="L745" s="1"/>
  <c r="K745"/>
  <c r="M744"/>
  <c r="L744" s="1"/>
  <c r="M743"/>
  <c r="L743" s="1"/>
  <c r="M742"/>
  <c r="L742" s="1"/>
  <c r="M741"/>
  <c r="L741" s="1"/>
  <c r="K741"/>
  <c r="M740"/>
  <c r="M739"/>
  <c r="L739" s="1"/>
  <c r="K739"/>
  <c r="M738"/>
  <c r="L738" s="1"/>
  <c r="K738"/>
  <c r="M737"/>
  <c r="L737" s="1"/>
  <c r="K737"/>
  <c r="M736"/>
  <c r="L736" s="1"/>
  <c r="K736"/>
  <c r="M735"/>
  <c r="L735" s="1"/>
  <c r="K735"/>
  <c r="M734"/>
  <c r="L734" s="1"/>
  <c r="K734"/>
  <c r="M733"/>
  <c r="L733" s="1"/>
  <c r="K733"/>
  <c r="M732"/>
  <c r="L732" s="1"/>
  <c r="K732"/>
  <c r="M731"/>
  <c r="L731" s="1"/>
  <c r="M730"/>
  <c r="L730" s="1"/>
  <c r="K730"/>
  <c r="M729"/>
  <c r="L729" s="1"/>
  <c r="K729"/>
  <c r="M728"/>
  <c r="L728" s="1"/>
  <c r="K728"/>
  <c r="M727"/>
  <c r="L727" s="1"/>
  <c r="K727"/>
  <c r="M726"/>
  <c r="L726" s="1"/>
  <c r="K726"/>
  <c r="J726"/>
  <c r="M725"/>
  <c r="L725" s="1"/>
  <c r="K725"/>
  <c r="J725"/>
  <c r="M724"/>
  <c r="L724" s="1"/>
  <c r="M723"/>
  <c r="L723" s="1"/>
  <c r="K723"/>
  <c r="M722"/>
  <c r="L722" s="1"/>
  <c r="M721"/>
  <c r="L721" s="1"/>
  <c r="K721"/>
  <c r="M720"/>
  <c r="L720" s="1"/>
  <c r="K720"/>
  <c r="M719"/>
  <c r="L719" s="1"/>
  <c r="M718"/>
  <c r="L718" s="1"/>
  <c r="M717"/>
  <c r="L717" s="1"/>
  <c r="M716"/>
  <c r="L716" s="1"/>
  <c r="P715"/>
  <c r="M715" s="1"/>
  <c r="L715" s="1"/>
  <c r="R714"/>
  <c r="M713"/>
  <c r="L713" s="1"/>
  <c r="M712"/>
  <c r="L712" s="1"/>
  <c r="M711"/>
  <c r="L711" s="1"/>
  <c r="M710"/>
  <c r="L710" s="1"/>
  <c r="M709"/>
  <c r="L709" s="1"/>
  <c r="M708"/>
  <c r="L708" s="1"/>
  <c r="M707"/>
  <c r="L707" s="1"/>
  <c r="M706"/>
  <c r="L706" s="1"/>
  <c r="M705"/>
  <c r="L705" s="1"/>
  <c r="M704"/>
  <c r="L704" s="1"/>
  <c r="M703"/>
  <c r="L703" s="1"/>
  <c r="M702"/>
  <c r="L702" s="1"/>
  <c r="M701"/>
  <c r="L701" s="1"/>
  <c r="M700"/>
  <c r="L700" s="1"/>
  <c r="K700"/>
  <c r="M699"/>
  <c r="L699" s="1"/>
  <c r="K699"/>
  <c r="M698"/>
  <c r="L698" s="1"/>
  <c r="K698"/>
  <c r="M697"/>
  <c r="L697" s="1"/>
  <c r="M696"/>
  <c r="L696" s="1"/>
  <c r="M695"/>
  <c r="L695" s="1"/>
  <c r="M694"/>
  <c r="L694" s="1"/>
  <c r="K694"/>
  <c r="M693"/>
  <c r="L693" s="1"/>
  <c r="K693"/>
  <c r="M692"/>
  <c r="L692" s="1"/>
  <c r="K692"/>
  <c r="M691"/>
  <c r="L691" s="1"/>
  <c r="K691"/>
  <c r="M690"/>
  <c r="L690" s="1"/>
  <c r="K690"/>
  <c r="M689"/>
  <c r="L689" s="1"/>
  <c r="K689"/>
  <c r="M688"/>
  <c r="L688" s="1"/>
  <c r="K688"/>
  <c r="M687"/>
  <c r="L687" s="1"/>
  <c r="K687"/>
  <c r="M686"/>
  <c r="L686" s="1"/>
  <c r="M685"/>
  <c r="L685" s="1"/>
  <c r="K685"/>
  <c r="M684"/>
  <c r="L684" s="1"/>
  <c r="K684"/>
  <c r="M683"/>
  <c r="L683" s="1"/>
  <c r="K683"/>
  <c r="M682"/>
  <c r="L682" s="1"/>
  <c r="K682"/>
  <c r="M681"/>
  <c r="L681" s="1"/>
  <c r="K681"/>
  <c r="M680"/>
  <c r="L680" s="1"/>
  <c r="M679"/>
  <c r="L679" s="1"/>
  <c r="M678"/>
  <c r="L678" s="1"/>
  <c r="M677"/>
  <c r="L677" s="1"/>
  <c r="M676"/>
  <c r="L676" s="1"/>
  <c r="M675"/>
  <c r="L675" s="1"/>
  <c r="K675"/>
  <c r="M674"/>
  <c r="L674" s="1"/>
  <c r="K674"/>
  <c r="M673"/>
  <c r="L673" s="1"/>
  <c r="K673"/>
  <c r="M672"/>
  <c r="L672" s="1"/>
  <c r="M671"/>
  <c r="L671" s="1"/>
  <c r="K671"/>
  <c r="M670"/>
  <c r="L670" s="1"/>
  <c r="M669"/>
  <c r="L669" s="1"/>
  <c r="K669"/>
  <c r="M668"/>
  <c r="L668" s="1"/>
  <c r="M667"/>
  <c r="L667" s="1"/>
  <c r="M666"/>
  <c r="L666" s="1"/>
  <c r="K666"/>
  <c r="M665"/>
  <c r="L665" s="1"/>
  <c r="K665"/>
  <c r="M664"/>
  <c r="L664" s="1"/>
  <c r="K664"/>
  <c r="M663"/>
  <c r="L663" s="1"/>
  <c r="K663"/>
  <c r="M662"/>
  <c r="L662" s="1"/>
  <c r="M661"/>
  <c r="L661" s="1"/>
  <c r="M660"/>
  <c r="L660" s="1"/>
  <c r="M659"/>
  <c r="L659" s="1"/>
  <c r="M658"/>
  <c r="L658" s="1"/>
  <c r="M657"/>
  <c r="L657" s="1"/>
  <c r="M656"/>
  <c r="L656" s="1"/>
  <c r="M655"/>
  <c r="L655" s="1"/>
  <c r="M654"/>
  <c r="L654" s="1"/>
  <c r="K654"/>
  <c r="M653"/>
  <c r="L653" s="1"/>
  <c r="K653"/>
  <c r="M652"/>
  <c r="L652" s="1"/>
  <c r="K652"/>
  <c r="M651"/>
  <c r="L651" s="1"/>
  <c r="K651"/>
  <c r="M650"/>
  <c r="L650" s="1"/>
  <c r="K650"/>
  <c r="M649"/>
  <c r="L649" s="1"/>
  <c r="M648"/>
  <c r="L648" s="1"/>
  <c r="K648"/>
  <c r="M647"/>
  <c r="L647" s="1"/>
  <c r="K647"/>
  <c r="M646"/>
  <c r="L646" s="1"/>
  <c r="K646"/>
  <c r="M645"/>
  <c r="L645" s="1"/>
  <c r="M644"/>
  <c r="L644" s="1"/>
  <c r="K644"/>
  <c r="M643"/>
  <c r="L643" s="1"/>
  <c r="K643"/>
  <c r="M642"/>
  <c r="L642" s="1"/>
  <c r="K642"/>
  <c r="M641"/>
  <c r="L641" s="1"/>
  <c r="M640"/>
  <c r="L640" s="1"/>
  <c r="K640"/>
  <c r="M639"/>
  <c r="L639" s="1"/>
  <c r="M638"/>
  <c r="L638" s="1"/>
  <c r="K638"/>
  <c r="M637"/>
  <c r="L637" s="1"/>
  <c r="M636"/>
  <c r="L636" s="1"/>
  <c r="K636"/>
  <c r="M635"/>
  <c r="L635" s="1"/>
  <c r="M634"/>
  <c r="L634" s="1"/>
  <c r="K634"/>
  <c r="M633"/>
  <c r="L633" s="1"/>
  <c r="K633"/>
  <c r="M632"/>
  <c r="L632" s="1"/>
  <c r="K632"/>
  <c r="M631"/>
  <c r="L631" s="1"/>
  <c r="K631"/>
  <c r="M630"/>
  <c r="L630" s="1"/>
  <c r="K630"/>
  <c r="M629"/>
  <c r="L629" s="1"/>
  <c r="K629"/>
  <c r="M628"/>
  <c r="L628" s="1"/>
  <c r="M627"/>
  <c r="L627" s="1"/>
  <c r="K627"/>
  <c r="M626"/>
  <c r="L626" s="1"/>
  <c r="K626"/>
  <c r="M625"/>
  <c r="L625" s="1"/>
  <c r="K625"/>
  <c r="M624"/>
  <c r="L624" s="1"/>
  <c r="K624"/>
  <c r="M623"/>
  <c r="L623" s="1"/>
  <c r="K623"/>
  <c r="M622"/>
  <c r="L622" s="1"/>
  <c r="K622"/>
  <c r="M621"/>
  <c r="L621" s="1"/>
  <c r="K621"/>
  <c r="M620"/>
  <c r="L620" s="1"/>
  <c r="M619"/>
  <c r="L619" s="1"/>
  <c r="K619"/>
  <c r="M618"/>
  <c r="L618" s="1"/>
  <c r="K618"/>
  <c r="M617"/>
  <c r="L617" s="1"/>
  <c r="K617"/>
  <c r="M616"/>
  <c r="L616" s="1"/>
  <c r="K616"/>
  <c r="M615"/>
  <c r="L615" s="1"/>
  <c r="M614"/>
  <c r="L614" s="1"/>
  <c r="K614"/>
  <c r="M613"/>
  <c r="L613" s="1"/>
  <c r="K613"/>
  <c r="M612"/>
  <c r="L612" s="1"/>
  <c r="K612"/>
  <c r="M611"/>
  <c r="L611" s="1"/>
  <c r="M610"/>
  <c r="L610" s="1"/>
  <c r="M609"/>
  <c r="L609" s="1"/>
  <c r="M608"/>
  <c r="L608" s="1"/>
  <c r="M607"/>
  <c r="L607" s="1"/>
  <c r="M606"/>
  <c r="L606" s="1"/>
  <c r="K606"/>
  <c r="M605"/>
  <c r="L605" s="1"/>
  <c r="K605"/>
  <c r="M604"/>
  <c r="L604" s="1"/>
  <c r="K604"/>
  <c r="M603"/>
  <c r="L603" s="1"/>
  <c r="K603"/>
  <c r="M602"/>
  <c r="L602" s="1"/>
  <c r="M601"/>
  <c r="L601" s="1"/>
  <c r="M600"/>
  <c r="L600" s="1"/>
  <c r="K600"/>
  <c r="M599"/>
  <c r="L599" s="1"/>
  <c r="M598"/>
  <c r="L598" s="1"/>
  <c r="K598"/>
  <c r="M597"/>
  <c r="L597" s="1"/>
  <c r="K597"/>
  <c r="M596"/>
  <c r="L596" s="1"/>
  <c r="K596"/>
  <c r="M595"/>
  <c r="L595" s="1"/>
  <c r="K595"/>
  <c r="M594"/>
  <c r="L594" s="1"/>
  <c r="M593"/>
  <c r="L593" s="1"/>
  <c r="M592"/>
  <c r="L592" s="1"/>
  <c r="K592"/>
  <c r="M591"/>
  <c r="L591" s="1"/>
  <c r="K591"/>
  <c r="M590"/>
  <c r="L590" s="1"/>
  <c r="K590"/>
  <c r="M589"/>
  <c r="L589" s="1"/>
  <c r="K589"/>
  <c r="M588"/>
  <c r="L588" s="1"/>
  <c r="K588"/>
  <c r="M587"/>
  <c r="L587" s="1"/>
  <c r="M586"/>
  <c r="L586" s="1"/>
  <c r="K586"/>
  <c r="M585"/>
  <c r="L585" s="1"/>
  <c r="K585"/>
  <c r="M584"/>
  <c r="L584" s="1"/>
  <c r="K584"/>
  <c r="M583"/>
  <c r="L583" s="1"/>
  <c r="M582"/>
  <c r="L582" s="1"/>
  <c r="M581"/>
  <c r="L581" s="1"/>
  <c r="M580"/>
  <c r="L580" s="1"/>
  <c r="M579"/>
  <c r="L579" s="1"/>
  <c r="M578"/>
  <c r="L578" s="1"/>
  <c r="M577"/>
  <c r="L577" s="1"/>
  <c r="M576"/>
  <c r="L576" s="1"/>
  <c r="M575"/>
  <c r="L575" s="1"/>
  <c r="M574"/>
  <c r="L574" s="1"/>
  <c r="M573"/>
  <c r="L573" s="1"/>
  <c r="M572"/>
  <c r="L572" s="1"/>
  <c r="M571"/>
  <c r="L571" s="1"/>
  <c r="M570"/>
  <c r="L570" s="1"/>
  <c r="M569"/>
  <c r="L569" s="1"/>
  <c r="M568"/>
  <c r="L568" s="1"/>
  <c r="M567"/>
  <c r="L567" s="1"/>
  <c r="M566"/>
  <c r="L566" s="1"/>
  <c r="M565"/>
  <c r="L565" s="1"/>
  <c r="M564"/>
  <c r="L564" s="1"/>
  <c r="M563"/>
  <c r="L563" s="1"/>
  <c r="M562"/>
  <c r="L562" s="1"/>
  <c r="M561"/>
  <c r="L561" s="1"/>
  <c r="M560"/>
  <c r="L560" s="1"/>
  <c r="M559"/>
  <c r="L559" s="1"/>
  <c r="M558"/>
  <c r="L558" s="1"/>
  <c r="M557"/>
  <c r="L557" s="1"/>
  <c r="M556"/>
  <c r="L556" s="1"/>
  <c r="M555"/>
  <c r="L555" s="1"/>
  <c r="M554"/>
  <c r="L554" s="1"/>
  <c r="M553"/>
  <c r="L553" s="1"/>
  <c r="M552"/>
  <c r="L552" s="1"/>
  <c r="K552"/>
  <c r="M551"/>
  <c r="L551" s="1"/>
  <c r="K551"/>
  <c r="M550"/>
  <c r="L550" s="1"/>
  <c r="M549"/>
  <c r="L549" s="1"/>
  <c r="M548"/>
  <c r="L548" s="1"/>
  <c r="M547"/>
  <c r="L547" s="1"/>
  <c r="K547"/>
  <c r="M546"/>
  <c r="L546" s="1"/>
  <c r="K546"/>
  <c r="M545"/>
  <c r="L545" s="1"/>
  <c r="M544"/>
  <c r="L544" s="1"/>
  <c r="M543"/>
  <c r="L543" s="1"/>
  <c r="M542"/>
  <c r="L542" s="1"/>
  <c r="M541"/>
  <c r="L541" s="1"/>
  <c r="M540"/>
  <c r="L540" s="1"/>
  <c r="M539"/>
  <c r="L539" s="1"/>
  <c r="M538"/>
  <c r="L538" s="1"/>
  <c r="M537"/>
  <c r="L537" s="1"/>
  <c r="M536"/>
  <c r="L536" s="1"/>
  <c r="M535"/>
  <c r="L535" s="1"/>
  <c r="K535"/>
  <c r="M534"/>
  <c r="L534" s="1"/>
  <c r="K534"/>
  <c r="M533"/>
  <c r="L533" s="1"/>
  <c r="K533"/>
  <c r="M532"/>
  <c r="L532" s="1"/>
  <c r="K532"/>
  <c r="M531"/>
  <c r="L531" s="1"/>
  <c r="K531"/>
  <c r="M530"/>
  <c r="L530" s="1"/>
  <c r="K530"/>
  <c r="M529"/>
  <c r="L529" s="1"/>
  <c r="M528"/>
  <c r="L528" s="1"/>
  <c r="M527"/>
  <c r="L527" s="1"/>
  <c r="M526"/>
  <c r="L526" s="1"/>
  <c r="M525"/>
  <c r="L525" s="1"/>
  <c r="K525"/>
  <c r="M524"/>
  <c r="L524" s="1"/>
  <c r="K524"/>
  <c r="M523"/>
  <c r="L523" s="1"/>
  <c r="M522"/>
  <c r="L522" s="1"/>
  <c r="M521"/>
  <c r="L521" s="1"/>
  <c r="K521"/>
  <c r="M520"/>
  <c r="L520" s="1"/>
  <c r="K520"/>
  <c r="M519"/>
  <c r="L519" s="1"/>
  <c r="K519"/>
  <c r="M518"/>
  <c r="L518" s="1"/>
  <c r="K518"/>
  <c r="M517"/>
  <c r="L517" s="1"/>
  <c r="J517"/>
  <c r="M516"/>
  <c r="L516" s="1"/>
  <c r="M515"/>
  <c r="L515" s="1"/>
  <c r="M514"/>
  <c r="L514" s="1"/>
  <c r="M513"/>
  <c r="L513" s="1"/>
  <c r="K513"/>
  <c r="M512"/>
  <c r="L512" s="1"/>
  <c r="M511"/>
  <c r="L511" s="1"/>
  <c r="M510"/>
  <c r="L510" s="1"/>
  <c r="M509"/>
  <c r="L509" s="1"/>
  <c r="M508"/>
  <c r="L508" s="1"/>
  <c r="K508"/>
  <c r="M507"/>
  <c r="L507" s="1"/>
  <c r="K507"/>
  <c r="M506"/>
  <c r="L506" s="1"/>
  <c r="K506"/>
  <c r="M505"/>
  <c r="L505" s="1"/>
  <c r="M504"/>
  <c r="L504" s="1"/>
  <c r="M503"/>
  <c r="L503" s="1"/>
  <c r="M502"/>
  <c r="L502" s="1"/>
  <c r="M501"/>
  <c r="L501" s="1"/>
  <c r="M500"/>
  <c r="L500" s="1"/>
  <c r="K500"/>
  <c r="M499"/>
  <c r="L499" s="1"/>
  <c r="M498"/>
  <c r="L498" s="1"/>
  <c r="M497"/>
  <c r="L497" s="1"/>
  <c r="M496"/>
  <c r="L496" s="1"/>
  <c r="M495"/>
  <c r="L495" s="1"/>
  <c r="M494"/>
  <c r="L494" s="1"/>
  <c r="M493"/>
  <c r="L493" s="1"/>
  <c r="M492"/>
  <c r="L492" s="1"/>
  <c r="M491"/>
  <c r="L491" s="1"/>
  <c r="M490"/>
  <c r="L490" s="1"/>
  <c r="K490"/>
  <c r="M489"/>
  <c r="L489" s="1"/>
  <c r="M488"/>
  <c r="L488" s="1"/>
  <c r="K488"/>
  <c r="M487"/>
  <c r="L487" s="1"/>
  <c r="M486"/>
  <c r="L486" s="1"/>
  <c r="M485"/>
  <c r="L485" s="1"/>
  <c r="M484"/>
  <c r="L484" s="1"/>
  <c r="M483"/>
  <c r="L483" s="1"/>
  <c r="K483"/>
  <c r="M482"/>
  <c r="L482" s="1"/>
  <c r="M481"/>
  <c r="L481" s="1"/>
  <c r="M480"/>
  <c r="L480" s="1"/>
  <c r="M479"/>
  <c r="L479" s="1"/>
  <c r="M478"/>
  <c r="L478" s="1"/>
  <c r="M477"/>
  <c r="L477" s="1"/>
  <c r="M476"/>
  <c r="L476" s="1"/>
  <c r="M475"/>
  <c r="L475" s="1"/>
  <c r="M474"/>
  <c r="L474" s="1"/>
  <c r="M473"/>
  <c r="L473" s="1"/>
  <c r="K473"/>
  <c r="M472"/>
  <c r="L472" s="1"/>
  <c r="M471"/>
  <c r="L471" s="1"/>
  <c r="M470"/>
  <c r="L470" s="1"/>
  <c r="K470"/>
  <c r="M469"/>
  <c r="L469" s="1"/>
  <c r="M468"/>
  <c r="L468" s="1"/>
  <c r="K468"/>
  <c r="M467"/>
  <c r="L467" s="1"/>
  <c r="M466"/>
  <c r="L466" s="1"/>
  <c r="M465"/>
  <c r="L465" s="1"/>
  <c r="K465"/>
  <c r="M464"/>
  <c r="L464" s="1"/>
  <c r="K464"/>
  <c r="M463"/>
  <c r="L463" s="1"/>
  <c r="K463"/>
  <c r="M462"/>
  <c r="L462" s="1"/>
  <c r="K462"/>
  <c r="M461"/>
  <c r="L461" s="1"/>
  <c r="K461"/>
  <c r="M460"/>
  <c r="L460" s="1"/>
  <c r="K460"/>
  <c r="M459"/>
  <c r="L459" s="1"/>
  <c r="M458"/>
  <c r="L458" s="1"/>
  <c r="M457"/>
  <c r="L457" s="1"/>
  <c r="M456"/>
  <c r="L456" s="1"/>
  <c r="K456"/>
  <c r="M455"/>
  <c r="L455" s="1"/>
  <c r="K455"/>
  <c r="M454"/>
  <c r="L454" s="1"/>
  <c r="M453"/>
  <c r="L453" s="1"/>
  <c r="M452"/>
  <c r="L452" s="1"/>
  <c r="M451"/>
  <c r="L451" s="1"/>
  <c r="K451"/>
  <c r="M450"/>
  <c r="L450" s="1"/>
  <c r="K450"/>
  <c r="M449"/>
  <c r="L449" s="1"/>
  <c r="M448"/>
  <c r="L448" s="1"/>
  <c r="K448"/>
  <c r="M447"/>
  <c r="L447" s="1"/>
  <c r="K447"/>
  <c r="M446"/>
  <c r="L446" s="1"/>
  <c r="K446"/>
  <c r="M445"/>
  <c r="L445" s="1"/>
  <c r="K445"/>
  <c r="M444"/>
  <c r="L444" s="1"/>
  <c r="K444"/>
  <c r="M443"/>
  <c r="L443" s="1"/>
  <c r="M442"/>
  <c r="L442" s="1"/>
  <c r="K442"/>
  <c r="M441"/>
  <c r="L441" s="1"/>
  <c r="K441"/>
  <c r="M440"/>
  <c r="L440" s="1"/>
  <c r="K440"/>
  <c r="M439"/>
  <c r="L439" s="1"/>
  <c r="K439"/>
  <c r="M438"/>
  <c r="L438" s="1"/>
  <c r="M437"/>
  <c r="L437" s="1"/>
  <c r="K437"/>
  <c r="M436"/>
  <c r="L436" s="1"/>
  <c r="K436"/>
  <c r="M435"/>
  <c r="L435" s="1"/>
  <c r="K435"/>
  <c r="M434"/>
  <c r="L434" s="1"/>
  <c r="K434"/>
  <c r="M433"/>
  <c r="L433" s="1"/>
  <c r="K433"/>
  <c r="M432"/>
  <c r="L432" s="1"/>
  <c r="M431"/>
  <c r="L431" s="1"/>
  <c r="K431"/>
  <c r="M430"/>
  <c r="L430" s="1"/>
  <c r="K430"/>
  <c r="M429"/>
  <c r="L429" s="1"/>
  <c r="K429"/>
  <c r="M428"/>
  <c r="L428" s="1"/>
  <c r="M427"/>
  <c r="L427" s="1"/>
  <c r="M426"/>
  <c r="L426" s="1"/>
  <c r="M425"/>
  <c r="L425" s="1"/>
  <c r="K425"/>
  <c r="J425"/>
  <c r="M424"/>
  <c r="L424" s="1"/>
  <c r="M423"/>
  <c r="L423" s="1"/>
  <c r="M422"/>
  <c r="L422" s="1"/>
  <c r="M421"/>
  <c r="L421" s="1"/>
  <c r="K421"/>
  <c r="M420"/>
  <c r="L420" s="1"/>
  <c r="M419"/>
  <c r="L419" s="1"/>
  <c r="M418"/>
  <c r="L418" s="1"/>
  <c r="M417"/>
  <c r="L417" s="1"/>
  <c r="M416"/>
  <c r="L416" s="1"/>
  <c r="M415"/>
  <c r="L415" s="1"/>
  <c r="M414"/>
  <c r="L414" s="1"/>
  <c r="K414"/>
  <c r="M413"/>
  <c r="L413" s="1"/>
  <c r="M412"/>
  <c r="L412" s="1"/>
  <c r="M411"/>
  <c r="L411" s="1"/>
  <c r="M410"/>
  <c r="L410" s="1"/>
  <c r="P409"/>
  <c r="M409" s="1"/>
  <c r="L409" s="1"/>
  <c r="M408"/>
  <c r="L408" s="1"/>
  <c r="K408"/>
  <c r="J408"/>
  <c r="M407"/>
  <c r="L407" s="1"/>
  <c r="K407"/>
  <c r="M406"/>
  <c r="L406" s="1"/>
  <c r="M405"/>
  <c r="L405" s="1"/>
  <c r="M404"/>
  <c r="L404" s="1"/>
  <c r="M403"/>
  <c r="L403" s="1"/>
  <c r="M402"/>
  <c r="L402" s="1"/>
  <c r="M401"/>
  <c r="L401" s="1"/>
  <c r="M400"/>
  <c r="L400" s="1"/>
  <c r="M399"/>
  <c r="L399" s="1"/>
  <c r="M398"/>
  <c r="L398" s="1"/>
  <c r="M397"/>
  <c r="L397" s="1"/>
  <c r="M396"/>
  <c r="L396" s="1"/>
  <c r="M395"/>
  <c r="L395" s="1"/>
  <c r="M394"/>
  <c r="L394" s="1"/>
  <c r="K394"/>
  <c r="M393"/>
  <c r="L393" s="1"/>
  <c r="M392"/>
  <c r="L392" s="1"/>
  <c r="M391"/>
  <c r="L391" s="1"/>
  <c r="M390"/>
  <c r="L390" s="1"/>
  <c r="M389"/>
  <c r="L389" s="1"/>
  <c r="M388"/>
  <c r="L388" s="1"/>
  <c r="K388"/>
  <c r="M387"/>
  <c r="L387" s="1"/>
  <c r="M386"/>
  <c r="L386" s="1"/>
  <c r="M385"/>
  <c r="L385" s="1"/>
  <c r="M384"/>
  <c r="L384" s="1"/>
  <c r="M383"/>
  <c r="L383" s="1"/>
  <c r="M382"/>
  <c r="L382" s="1"/>
  <c r="M381"/>
  <c r="L381" s="1"/>
  <c r="M380"/>
  <c r="L380" s="1"/>
  <c r="M379"/>
  <c r="L379" s="1"/>
  <c r="K379"/>
  <c r="M378"/>
  <c r="L378" s="1"/>
  <c r="K378"/>
  <c r="M377"/>
  <c r="L377" s="1"/>
  <c r="K377"/>
  <c r="M376"/>
  <c r="L376" s="1"/>
  <c r="M375"/>
  <c r="L375" s="1"/>
  <c r="K375"/>
  <c r="P374"/>
  <c r="M374" s="1"/>
  <c r="M373"/>
  <c r="L373" s="1"/>
  <c r="M372"/>
  <c r="L372" s="1"/>
  <c r="M371"/>
  <c r="L371" s="1"/>
  <c r="K371"/>
  <c r="M370"/>
  <c r="L370" s="1"/>
  <c r="K370"/>
  <c r="M369"/>
  <c r="L369" s="1"/>
  <c r="M368"/>
  <c r="L368" s="1"/>
  <c r="K368"/>
  <c r="M367"/>
  <c r="L367" s="1"/>
  <c r="M366"/>
  <c r="L366" s="1"/>
  <c r="K366"/>
  <c r="M365"/>
  <c r="L365" s="1"/>
  <c r="K365"/>
  <c r="M364"/>
  <c r="L364" s="1"/>
  <c r="K364"/>
  <c r="M363"/>
  <c r="L363" s="1"/>
  <c r="K363"/>
  <c r="M362"/>
  <c r="L362" s="1"/>
  <c r="K362"/>
  <c r="M361"/>
  <c r="L361" s="1"/>
  <c r="K361"/>
  <c r="M360"/>
  <c r="L360" s="1"/>
  <c r="M359"/>
  <c r="L359" s="1"/>
  <c r="K359"/>
  <c r="M358"/>
  <c r="L358" s="1"/>
  <c r="K358"/>
  <c r="M357"/>
  <c r="L357" s="1"/>
  <c r="M356"/>
  <c r="L356" s="1"/>
  <c r="M355"/>
  <c r="L355" s="1"/>
  <c r="K355"/>
  <c r="M354"/>
  <c r="L354" s="1"/>
  <c r="M353"/>
  <c r="L353" s="1"/>
  <c r="K353"/>
  <c r="M352"/>
  <c r="L352" s="1"/>
  <c r="K352"/>
  <c r="M351"/>
  <c r="L351" s="1"/>
  <c r="K351"/>
  <c r="M350"/>
  <c r="L350" s="1"/>
  <c r="K350"/>
  <c r="M349"/>
  <c r="L349" s="1"/>
  <c r="M348"/>
  <c r="L348" s="1"/>
  <c r="M347"/>
  <c r="L347" s="1"/>
  <c r="M346"/>
  <c r="L346" s="1"/>
  <c r="M345"/>
  <c r="L345" s="1"/>
  <c r="M344"/>
  <c r="L344" s="1"/>
  <c r="K344"/>
  <c r="M343"/>
  <c r="L343" s="1"/>
  <c r="K343"/>
  <c r="M342"/>
  <c r="L342" s="1"/>
  <c r="K342"/>
  <c r="M341"/>
  <c r="L341" s="1"/>
  <c r="K341"/>
  <c r="M340"/>
  <c r="L340" s="1"/>
  <c r="K340"/>
  <c r="M339"/>
  <c r="L339" s="1"/>
  <c r="K339"/>
  <c r="M338"/>
  <c r="L338" s="1"/>
  <c r="K338"/>
  <c r="M337"/>
  <c r="L337" s="1"/>
  <c r="M336"/>
  <c r="L336" s="1"/>
  <c r="M335"/>
  <c r="L335" s="1"/>
  <c r="M334"/>
  <c r="L334" s="1"/>
  <c r="M333"/>
  <c r="L333" s="1"/>
  <c r="M332"/>
  <c r="L332" s="1"/>
  <c r="M331"/>
  <c r="L331" s="1"/>
  <c r="M330"/>
  <c r="L330" s="1"/>
  <c r="M329"/>
  <c r="L329" s="1"/>
  <c r="M328"/>
  <c r="L328" s="1"/>
  <c r="K328"/>
  <c r="M327"/>
  <c r="L327" s="1"/>
  <c r="K327"/>
  <c r="M326"/>
  <c r="L326" s="1"/>
  <c r="M325"/>
  <c r="L325" s="1"/>
  <c r="K325"/>
  <c r="M324"/>
  <c r="L324" s="1"/>
  <c r="K324"/>
  <c r="M323"/>
  <c r="L323" s="1"/>
  <c r="K323"/>
  <c r="M322"/>
  <c r="L322" s="1"/>
  <c r="K322"/>
  <c r="M321"/>
  <c r="L321" s="1"/>
  <c r="K321"/>
  <c r="M320"/>
  <c r="L320" s="1"/>
  <c r="K320"/>
  <c r="M319"/>
  <c r="L319" s="1"/>
  <c r="K319"/>
  <c r="M318"/>
  <c r="L318" s="1"/>
  <c r="M317"/>
  <c r="L317" s="1"/>
  <c r="K317"/>
  <c r="M316"/>
  <c r="L316" s="1"/>
  <c r="K316"/>
  <c r="M315"/>
  <c r="L315" s="1"/>
  <c r="K315"/>
  <c r="M314"/>
  <c r="L314" s="1"/>
  <c r="K314"/>
  <c r="M313"/>
  <c r="L313" s="1"/>
  <c r="K313"/>
  <c r="M312"/>
  <c r="L312" s="1"/>
  <c r="M311"/>
  <c r="L311" s="1"/>
  <c r="K311"/>
  <c r="M310"/>
  <c r="L310" s="1"/>
  <c r="K310"/>
  <c r="M309"/>
  <c r="L309" s="1"/>
  <c r="K309"/>
  <c r="M308"/>
  <c r="L308" s="1"/>
  <c r="K308"/>
  <c r="M307"/>
  <c r="L307" s="1"/>
  <c r="K307"/>
  <c r="M306"/>
  <c r="L306" s="1"/>
  <c r="K306"/>
  <c r="M305"/>
  <c r="L305" s="1"/>
  <c r="K305"/>
  <c r="M304"/>
  <c r="L304" s="1"/>
  <c r="K304"/>
  <c r="M303"/>
  <c r="L303" s="1"/>
  <c r="K303"/>
  <c r="M302"/>
  <c r="L302" s="1"/>
  <c r="M301"/>
  <c r="L301" s="1"/>
  <c r="M300"/>
  <c r="L300" s="1"/>
  <c r="M299"/>
  <c r="L299" s="1"/>
  <c r="K299"/>
  <c r="M298"/>
  <c r="L298" s="1"/>
  <c r="M297"/>
  <c r="L297" s="1"/>
  <c r="M296"/>
  <c r="L296" s="1"/>
  <c r="M295"/>
  <c r="L295" s="1"/>
  <c r="M294"/>
  <c r="L294" s="1"/>
  <c r="M293"/>
  <c r="L293" s="1"/>
  <c r="M292"/>
  <c r="L292" s="1"/>
  <c r="M291"/>
  <c r="L291" s="1"/>
  <c r="M290"/>
  <c r="L290" s="1"/>
  <c r="K290"/>
  <c r="M289"/>
  <c r="L289" s="1"/>
  <c r="K289"/>
  <c r="J289"/>
  <c r="M288"/>
  <c r="L288" s="1"/>
  <c r="K288"/>
  <c r="M287"/>
  <c r="L287" s="1"/>
  <c r="K287"/>
  <c r="M286"/>
  <c r="L286" s="1"/>
  <c r="M285"/>
  <c r="L285" s="1"/>
  <c r="K285"/>
  <c r="M284"/>
  <c r="L284" s="1"/>
  <c r="M283"/>
  <c r="L283" s="1"/>
  <c r="K283"/>
  <c r="M282"/>
  <c r="L282" s="1"/>
  <c r="M281"/>
  <c r="L281" s="1"/>
  <c r="K281"/>
  <c r="M280"/>
  <c r="L280" s="1"/>
  <c r="K280"/>
  <c r="M279"/>
  <c r="L279" s="1"/>
  <c r="K279"/>
  <c r="J279"/>
  <c r="M278"/>
  <c r="L278" s="1"/>
  <c r="K278"/>
  <c r="M277"/>
  <c r="L277" s="1"/>
  <c r="K277"/>
  <c r="M276"/>
  <c r="L276" s="1"/>
  <c r="K276"/>
  <c r="M275"/>
  <c r="L275" s="1"/>
  <c r="K275"/>
  <c r="M274"/>
  <c r="L274" s="1"/>
  <c r="K274"/>
  <c r="M273"/>
  <c r="L273" s="1"/>
  <c r="K273"/>
  <c r="M272"/>
  <c r="L272" s="1"/>
  <c r="M271"/>
  <c r="L271" s="1"/>
  <c r="M270"/>
  <c r="L270" s="1"/>
  <c r="M269"/>
  <c r="L269" s="1"/>
  <c r="M268"/>
  <c r="L268" s="1"/>
  <c r="M267"/>
  <c r="L267" s="1"/>
  <c r="K267"/>
  <c r="M266"/>
  <c r="L266" s="1"/>
  <c r="M265"/>
  <c r="L265" s="1"/>
  <c r="M264"/>
  <c r="L264" s="1"/>
  <c r="K264"/>
  <c r="M263"/>
  <c r="L263" s="1"/>
  <c r="M262"/>
  <c r="L262" s="1"/>
  <c r="K262"/>
  <c r="M261"/>
  <c r="L261" s="1"/>
  <c r="K261"/>
  <c r="M260"/>
  <c r="L260" s="1"/>
  <c r="K260"/>
  <c r="M259"/>
  <c r="L259" s="1"/>
  <c r="K259"/>
  <c r="M258"/>
  <c r="L258" s="1"/>
  <c r="K258"/>
  <c r="M257"/>
  <c r="L257" s="1"/>
  <c r="K257"/>
  <c r="P256"/>
  <c r="M256" s="1"/>
  <c r="L256" s="1"/>
  <c r="M255"/>
  <c r="L255" s="1"/>
  <c r="K255"/>
  <c r="M254"/>
  <c r="L254" s="1"/>
  <c r="K254"/>
  <c r="M253"/>
  <c r="L253" s="1"/>
  <c r="K253"/>
  <c r="M252"/>
  <c r="L252" s="1"/>
  <c r="K252"/>
  <c r="M251"/>
  <c r="L251" s="1"/>
  <c r="K251"/>
  <c r="M250"/>
  <c r="L250" s="1"/>
  <c r="K250"/>
  <c r="M249"/>
  <c r="L249" s="1"/>
  <c r="K249"/>
  <c r="M248"/>
  <c r="L248" s="1"/>
  <c r="K248"/>
  <c r="M247"/>
  <c r="L247" s="1"/>
  <c r="K247"/>
  <c r="P246"/>
  <c r="K246"/>
  <c r="M245"/>
  <c r="L245" s="1"/>
  <c r="M244"/>
  <c r="L244" s="1"/>
  <c r="M243"/>
  <c r="L243" s="1"/>
  <c r="K243"/>
  <c r="M242"/>
  <c r="L242" s="1"/>
  <c r="M241"/>
  <c r="L241" s="1"/>
  <c r="M240"/>
  <c r="L240" s="1"/>
  <c r="K240"/>
  <c r="J240"/>
  <c r="M239"/>
  <c r="L239" s="1"/>
  <c r="K239"/>
  <c r="J239"/>
  <c r="M238"/>
  <c r="L238" s="1"/>
  <c r="K238"/>
  <c r="M237"/>
  <c r="L237" s="1"/>
  <c r="K237"/>
  <c r="M236"/>
  <c r="L236" s="1"/>
  <c r="K236"/>
  <c r="M235"/>
  <c r="L235" s="1"/>
  <c r="K235"/>
  <c r="J235"/>
  <c r="M234"/>
  <c r="L234" s="1"/>
  <c r="K234"/>
  <c r="J234"/>
  <c r="M233"/>
  <c r="L233" s="1"/>
  <c r="K233"/>
  <c r="J233"/>
  <c r="M232"/>
  <c r="L232" s="1"/>
  <c r="J232"/>
  <c r="M231"/>
  <c r="L231" s="1"/>
  <c r="K231"/>
  <c r="J231"/>
  <c r="M230"/>
  <c r="L230" s="1"/>
  <c r="K230"/>
  <c r="J230"/>
  <c r="M229"/>
  <c r="L229" s="1"/>
  <c r="K229"/>
  <c r="J229"/>
  <c r="M228"/>
  <c r="L228" s="1"/>
  <c r="M227"/>
  <c r="L227" s="1"/>
  <c r="K227"/>
  <c r="M226"/>
  <c r="L226" s="1"/>
  <c r="K226"/>
  <c r="M225"/>
  <c r="L225" s="1"/>
  <c r="K225"/>
  <c r="M224"/>
  <c r="L224" s="1"/>
  <c r="K224"/>
  <c r="M223"/>
  <c r="L223" s="1"/>
  <c r="K223"/>
  <c r="M222"/>
  <c r="L222" s="1"/>
  <c r="J222"/>
  <c r="M221"/>
  <c r="L221" s="1"/>
  <c r="K221"/>
  <c r="M220"/>
  <c r="L220" s="1"/>
  <c r="K220"/>
  <c r="M219"/>
  <c r="L219" s="1"/>
  <c r="K219"/>
  <c r="M218"/>
  <c r="L218" s="1"/>
  <c r="K218"/>
  <c r="J218"/>
  <c r="M217"/>
  <c r="L217" s="1"/>
  <c r="M216"/>
  <c r="L216" s="1"/>
  <c r="K216"/>
  <c r="M215"/>
  <c r="L215" s="1"/>
  <c r="K215"/>
  <c r="J215"/>
  <c r="M214"/>
  <c r="L214" s="1"/>
  <c r="M213"/>
  <c r="L213" s="1"/>
  <c r="K213"/>
  <c r="M212"/>
  <c r="L212" s="1"/>
  <c r="K212"/>
  <c r="J212"/>
  <c r="M211"/>
  <c r="L211" s="1"/>
  <c r="J211"/>
  <c r="M210"/>
  <c r="L210" s="1"/>
  <c r="M209"/>
  <c r="L209" s="1"/>
  <c r="K209"/>
  <c r="M208"/>
  <c r="L208" s="1"/>
  <c r="K208"/>
  <c r="M207"/>
  <c r="L207" s="1"/>
  <c r="K207"/>
  <c r="M206"/>
  <c r="L206" s="1"/>
  <c r="K206"/>
  <c r="J206"/>
  <c r="M205"/>
  <c r="L205" s="1"/>
  <c r="K205"/>
  <c r="M204"/>
  <c r="L204" s="1"/>
  <c r="K204"/>
  <c r="M203"/>
  <c r="L203" s="1"/>
  <c r="M202"/>
  <c r="L202" s="1"/>
  <c r="K202"/>
  <c r="M201"/>
  <c r="L201" s="1"/>
  <c r="K201"/>
  <c r="J201"/>
  <c r="M200"/>
  <c r="L200" s="1"/>
  <c r="K200"/>
  <c r="M199"/>
  <c r="L199" s="1"/>
  <c r="K199"/>
  <c r="M198"/>
  <c r="L198" s="1"/>
  <c r="K198"/>
  <c r="M197"/>
  <c r="L197" s="1"/>
  <c r="J197"/>
  <c r="M196"/>
  <c r="L196" s="1"/>
  <c r="K196"/>
  <c r="M195"/>
  <c r="L195" s="1"/>
  <c r="K195"/>
  <c r="M194"/>
  <c r="L194" s="1"/>
  <c r="K194"/>
  <c r="M193"/>
  <c r="L193" s="1"/>
  <c r="K193"/>
  <c r="M192"/>
  <c r="L192" s="1"/>
  <c r="K192"/>
  <c r="M191"/>
  <c r="L191" s="1"/>
  <c r="K191"/>
  <c r="M190"/>
  <c r="L190" s="1"/>
  <c r="K190"/>
  <c r="M189"/>
  <c r="L189" s="1"/>
  <c r="M188"/>
  <c r="L188" s="1"/>
  <c r="K188"/>
  <c r="J188"/>
  <c r="M187"/>
  <c r="L187" s="1"/>
  <c r="K187"/>
  <c r="M186"/>
  <c r="L186" s="1"/>
  <c r="M185"/>
  <c r="L185" s="1"/>
  <c r="K185"/>
  <c r="M184"/>
  <c r="L184" s="1"/>
  <c r="K184"/>
  <c r="M183"/>
  <c r="L183" s="1"/>
  <c r="K183"/>
  <c r="M182"/>
  <c r="L182" s="1"/>
  <c r="K182"/>
  <c r="M181"/>
  <c r="L181" s="1"/>
  <c r="K181"/>
  <c r="M180"/>
  <c r="L180" s="1"/>
  <c r="K180"/>
  <c r="M179"/>
  <c r="L179" s="1"/>
  <c r="K179"/>
  <c r="M178"/>
  <c r="L178" s="1"/>
  <c r="K178"/>
  <c r="M177"/>
  <c r="L177" s="1"/>
  <c r="K177"/>
  <c r="M176"/>
  <c r="L176" s="1"/>
  <c r="K176"/>
  <c r="M175"/>
  <c r="L175" s="1"/>
  <c r="K175"/>
  <c r="M174"/>
  <c r="L174" s="1"/>
  <c r="K174"/>
  <c r="M173"/>
  <c r="L173" s="1"/>
  <c r="K173"/>
  <c r="M172"/>
  <c r="L172" s="1"/>
  <c r="K172"/>
  <c r="M171"/>
  <c r="L171" s="1"/>
  <c r="K171"/>
  <c r="M170"/>
  <c r="L170" s="1"/>
  <c r="K170"/>
  <c r="M169"/>
  <c r="L169" s="1"/>
  <c r="M168"/>
  <c r="L168" s="1"/>
  <c r="M167"/>
  <c r="L167" s="1"/>
  <c r="M166"/>
  <c r="L166" s="1"/>
  <c r="M165"/>
  <c r="L165" s="1"/>
  <c r="M164"/>
  <c r="L164" s="1"/>
  <c r="M163"/>
  <c r="L163" s="1"/>
  <c r="K163"/>
  <c r="M162"/>
  <c r="L162" s="1"/>
  <c r="K162"/>
  <c r="M161"/>
  <c r="L161" s="1"/>
  <c r="K161"/>
  <c r="M160"/>
  <c r="K160"/>
  <c r="M159"/>
  <c r="L159" s="1"/>
  <c r="M158"/>
  <c r="L158" s="1"/>
  <c r="K158"/>
  <c r="M157"/>
  <c r="L157" s="1"/>
  <c r="K157"/>
  <c r="M156"/>
  <c r="L156" s="1"/>
  <c r="K156"/>
  <c r="M155"/>
  <c r="L155" s="1"/>
  <c r="M154"/>
  <c r="L154" s="1"/>
  <c r="K154"/>
  <c r="M153"/>
  <c r="L153" s="1"/>
  <c r="K153"/>
  <c r="M152"/>
  <c r="U152" s="1"/>
  <c r="U3" s="1"/>
  <c r="M151"/>
  <c r="L151" s="1"/>
  <c r="K151"/>
  <c r="M150"/>
  <c r="L150" s="1"/>
  <c r="M149"/>
  <c r="L149" s="1"/>
  <c r="M148"/>
  <c r="L148" s="1"/>
  <c r="K148"/>
  <c r="M147"/>
  <c r="L147" s="1"/>
  <c r="K147"/>
  <c r="M146"/>
  <c r="L146" s="1"/>
  <c r="K146"/>
  <c r="M145"/>
  <c r="L145" s="1"/>
  <c r="M144"/>
  <c r="L144" s="1"/>
  <c r="K144"/>
  <c r="M143"/>
  <c r="L143" s="1"/>
  <c r="K143"/>
  <c r="M142"/>
  <c r="L142" s="1"/>
  <c r="M141"/>
  <c r="L141" s="1"/>
  <c r="K141"/>
  <c r="M140"/>
  <c r="L140" s="1"/>
  <c r="K140"/>
  <c r="M139"/>
  <c r="L139" s="1"/>
  <c r="K139"/>
  <c r="M138"/>
  <c r="L138" s="1"/>
  <c r="K138"/>
  <c r="M137"/>
  <c r="L137" s="1"/>
  <c r="K137"/>
  <c r="M136"/>
  <c r="L136" s="1"/>
  <c r="K136"/>
  <c r="M135"/>
  <c r="L135" s="1"/>
  <c r="K135"/>
  <c r="M134"/>
  <c r="L134" s="1"/>
  <c r="K134"/>
  <c r="M133"/>
  <c r="L133" s="1"/>
  <c r="K133"/>
  <c r="M132"/>
  <c r="L132" s="1"/>
  <c r="K132"/>
  <c r="M131"/>
  <c r="L131" s="1"/>
  <c r="K131"/>
  <c r="M130"/>
  <c r="L130" s="1"/>
  <c r="M129"/>
  <c r="L129" s="1"/>
  <c r="K129"/>
  <c r="M128"/>
  <c r="L128" s="1"/>
  <c r="K128"/>
  <c r="M127"/>
  <c r="L127" s="1"/>
  <c r="K127"/>
  <c r="M126"/>
  <c r="L126" s="1"/>
  <c r="K126"/>
  <c r="M125"/>
  <c r="L125" s="1"/>
  <c r="K125"/>
  <c r="M124"/>
  <c r="L124" s="1"/>
  <c r="K124"/>
  <c r="M123"/>
  <c r="L123" s="1"/>
  <c r="K123"/>
  <c r="M122"/>
  <c r="L122" s="1"/>
  <c r="M121"/>
  <c r="L121" s="1"/>
  <c r="K121"/>
  <c r="M120"/>
  <c r="L120" s="1"/>
  <c r="M119"/>
  <c r="L119" s="1"/>
  <c r="M118"/>
  <c r="L118" s="1"/>
  <c r="M117"/>
  <c r="L117" s="1"/>
  <c r="M116"/>
  <c r="L116" s="1"/>
  <c r="M115"/>
  <c r="L115" s="1"/>
  <c r="M114"/>
  <c r="L114" s="1"/>
  <c r="M113"/>
  <c r="L113" s="1"/>
  <c r="K113"/>
  <c r="M112"/>
  <c r="L112" s="1"/>
  <c r="K112"/>
  <c r="M111"/>
  <c r="L111" s="1"/>
  <c r="M110"/>
  <c r="L110" s="1"/>
  <c r="M109"/>
  <c r="L109" s="1"/>
  <c r="M108"/>
  <c r="L108" s="1"/>
  <c r="M107"/>
  <c r="L107" s="1"/>
  <c r="K107"/>
  <c r="M106"/>
  <c r="L106" s="1"/>
  <c r="M105"/>
  <c r="L105" s="1"/>
  <c r="K105"/>
  <c r="M104"/>
  <c r="L104" s="1"/>
  <c r="K104"/>
  <c r="M103"/>
  <c r="L103" s="1"/>
  <c r="K103"/>
  <c r="M102"/>
  <c r="L102" s="1"/>
  <c r="K102"/>
  <c r="M101"/>
  <c r="L101" s="1"/>
  <c r="K101"/>
  <c r="M100"/>
  <c r="L100" s="1"/>
  <c r="K100"/>
  <c r="M99"/>
  <c r="L99" s="1"/>
  <c r="M98"/>
  <c r="L98" s="1"/>
  <c r="M97"/>
  <c r="L97" s="1"/>
  <c r="K97"/>
  <c r="M96"/>
  <c r="L96" s="1"/>
  <c r="K96"/>
  <c r="M95"/>
  <c r="L95" s="1"/>
  <c r="K95"/>
  <c r="F337" i="32"/>
  <c r="F336"/>
  <c r="L160" i="261" l="1"/>
  <c r="M246"/>
  <c r="M714"/>
  <c r="L714" s="1"/>
  <c r="L152"/>
  <c r="L740"/>
  <c r="L1017"/>
  <c r="M1018"/>
  <c r="L1018" s="1"/>
  <c r="M929"/>
  <c r="L929" s="1"/>
  <c r="L374"/>
  <c r="M3" l="1"/>
  <c r="L3"/>
  <c r="K657" i="182"/>
  <c r="K655"/>
  <c r="L1338" i="31" l="1"/>
  <c r="J1337"/>
  <c r="E318" i="174"/>
  <c r="Q20" i="201" l="1"/>
  <c r="Q19"/>
  <c r="Q18"/>
  <c r="Q17"/>
  <c r="Q16"/>
  <c r="Q14"/>
  <c r="Q12"/>
  <c r="Q11"/>
  <c r="Q9"/>
  <c r="O13"/>
  <c r="Q7"/>
  <c r="M794" i="182" l="1"/>
  <c r="L794" s="1"/>
  <c r="M793"/>
  <c r="L793" s="1"/>
  <c r="M792"/>
  <c r="L792" s="1"/>
  <c r="M791"/>
  <c r="L791" s="1"/>
  <c r="M790"/>
  <c r="L790" s="1"/>
  <c r="M789"/>
  <c r="L789" s="1"/>
  <c r="M788"/>
  <c r="L788" s="1"/>
  <c r="M787"/>
  <c r="L787" s="1"/>
  <c r="M786"/>
  <c r="L786" s="1"/>
  <c r="M785"/>
  <c r="L785" s="1"/>
  <c r="M784"/>
  <c r="L784" s="1"/>
  <c r="M783"/>
  <c r="L783" s="1"/>
  <c r="M782"/>
  <c r="L782" s="1"/>
  <c r="M781"/>
  <c r="L781" s="1"/>
  <c r="M780"/>
  <c r="L780" s="1"/>
  <c r="M779"/>
  <c r="L779" s="1"/>
  <c r="M778"/>
  <c r="L778" s="1"/>
  <c r="M777"/>
  <c r="L777" s="1"/>
  <c r="M776"/>
  <c r="L776" s="1"/>
  <c r="M775"/>
  <c r="L775" s="1"/>
  <c r="M774"/>
  <c r="L774" s="1"/>
  <c r="M773"/>
  <c r="L773" s="1"/>
  <c r="M772"/>
  <c r="L772" s="1"/>
  <c r="M771"/>
  <c r="L771" s="1"/>
  <c r="M770"/>
  <c r="L770" s="1"/>
  <c r="M769"/>
  <c r="L769" s="1"/>
  <c r="M768"/>
  <c r="L768" s="1"/>
  <c r="M767"/>
  <c r="L767" s="1"/>
  <c r="M766"/>
  <c r="L766" s="1"/>
  <c r="M765"/>
  <c r="L765" s="1"/>
  <c r="M764"/>
  <c r="L764" s="1"/>
  <c r="M763"/>
  <c r="L763" s="1"/>
  <c r="M762"/>
  <c r="L762" s="1"/>
  <c r="M761"/>
  <c r="L761" s="1"/>
  <c r="M760"/>
  <c r="L760" s="1"/>
  <c r="M759"/>
  <c r="L759" s="1"/>
  <c r="M758"/>
  <c r="L758" s="1"/>
  <c r="M757"/>
  <c r="L757" s="1"/>
  <c r="M756"/>
  <c r="L756" s="1"/>
  <c r="M82" i="190"/>
  <c r="L82" s="1"/>
  <c r="M81"/>
  <c r="L81" s="1"/>
  <c r="M80"/>
  <c r="L80" s="1"/>
  <c r="M79"/>
  <c r="L79" s="1"/>
  <c r="M78"/>
  <c r="L78" s="1"/>
  <c r="M77"/>
  <c r="L77" s="1"/>
  <c r="M76"/>
  <c r="L76" s="1"/>
  <c r="M75"/>
  <c r="L75" s="1"/>
  <c r="M74"/>
  <c r="L74" s="1"/>
  <c r="M73"/>
  <c r="L73" l="1"/>
  <c r="F335" i="32"/>
  <c r="J1373" i="31" l="1"/>
  <c r="J1352"/>
  <c r="J1340"/>
  <c r="J1341"/>
  <c r="J1339"/>
  <c r="E317" i="174" l="1"/>
  <c r="D317"/>
  <c r="B317"/>
  <c r="F272" i="171"/>
  <c r="K660" i="182" l="1"/>
  <c r="M604" l="1"/>
  <c r="L604" s="1"/>
  <c r="M603"/>
  <c r="L603" s="1"/>
  <c r="M602"/>
  <c r="L602" s="1"/>
  <c r="M673" l="1"/>
  <c r="J1371" i="31"/>
  <c r="J1368"/>
  <c r="J1363"/>
  <c r="J1367"/>
  <c r="J1349"/>
  <c r="J1350"/>
  <c r="D316" i="174"/>
  <c r="B316"/>
  <c r="E316"/>
  <c r="F271" i="171"/>
  <c r="J1377" i="31" l="1"/>
  <c r="F334" i="32" l="1"/>
  <c r="K273" i="189" l="1"/>
  <c r="K72" i="190"/>
  <c r="K22"/>
  <c r="J1364" i="31" l="1"/>
  <c r="J1362"/>
  <c r="J1359"/>
  <c r="J1358"/>
  <c r="J1369" l="1"/>
  <c r="E315" i="174"/>
  <c r="D315"/>
  <c r="B315"/>
  <c r="F270" i="171"/>
  <c r="G27" i="201" l="1"/>
  <c r="C27"/>
  <c r="C25"/>
  <c r="E13" l="1"/>
  <c r="K13"/>
  <c r="K33" s="1"/>
  <c r="P21" l="1"/>
  <c r="F21"/>
  <c r="I21" s="1"/>
  <c r="M21" l="1"/>
  <c r="C311" i="174"/>
  <c r="Q21" i="201" l="1"/>
  <c r="Q40" s="1"/>
  <c r="F333" i="32"/>
  <c r="F332"/>
  <c r="J1357" i="31" l="1"/>
  <c r="J1356"/>
  <c r="J1360" l="1"/>
  <c r="J1348"/>
  <c r="J1307"/>
  <c r="J1313"/>
  <c r="C314" i="174" l="1"/>
  <c r="B314"/>
  <c r="E314"/>
  <c r="F269" i="171" l="1"/>
  <c r="K650" i="182" l="1"/>
  <c r="J1248" i="31" l="1"/>
  <c r="J1354"/>
  <c r="J1342"/>
  <c r="C313" i="174" l="1"/>
  <c r="E313"/>
  <c r="F268" i="171" l="1"/>
  <c r="F331" i="32" l="1"/>
  <c r="F330"/>
  <c r="K283" i="189" l="1"/>
  <c r="J1311" i="31" l="1"/>
  <c r="J1332"/>
  <c r="J1335" s="1"/>
  <c r="J1306"/>
  <c r="J1310"/>
  <c r="B312" i="174" l="1"/>
  <c r="E312" l="1"/>
  <c r="F267" i="171" l="1"/>
  <c r="J282" i="189" l="1"/>
  <c r="K607" i="182" l="1"/>
  <c r="K736" l="1"/>
  <c r="J1314" i="31" l="1"/>
  <c r="J1325"/>
  <c r="J1323"/>
  <c r="E31" i="201" l="1"/>
  <c r="E33" s="1"/>
  <c r="B311" i="174"/>
  <c r="C310"/>
  <c r="B310"/>
  <c r="E311"/>
  <c r="E310"/>
  <c r="E309"/>
  <c r="F265" i="171"/>
  <c r="F266"/>
  <c r="F329" i="32" l="1"/>
  <c r="F328"/>
  <c r="K617" i="182" l="1"/>
  <c r="J1324" i="31" l="1"/>
  <c r="J1322"/>
  <c r="J1319"/>
  <c r="J1316"/>
  <c r="J1320" l="1"/>
  <c r="J1327"/>
  <c r="D309" i="174" l="1"/>
  <c r="F264" i="171"/>
  <c r="F327" i="32" l="1"/>
  <c r="K642" i="182" l="1"/>
  <c r="K644"/>
  <c r="K643"/>
  <c r="K536"/>
  <c r="D308" i="174" l="1"/>
  <c r="B308"/>
  <c r="E308"/>
  <c r="F263" i="171"/>
  <c r="M755" i="182" l="1"/>
  <c r="L755" s="1"/>
  <c r="M754"/>
  <c r="L754" s="1"/>
  <c r="M753"/>
  <c r="L753" s="1"/>
  <c r="F326" i="32" l="1"/>
  <c r="J1305" i="31" l="1"/>
  <c r="J1304"/>
  <c r="J1273"/>
  <c r="J1303"/>
  <c r="J1302"/>
  <c r="J1292"/>
  <c r="J1308" l="1"/>
  <c r="E307" i="174"/>
  <c r="F260" i="171" l="1"/>
  <c r="F262" l="1"/>
  <c r="F325" i="32" l="1"/>
  <c r="F324"/>
  <c r="F323"/>
  <c r="F322"/>
  <c r="M72" i="190" l="1"/>
  <c r="L72" s="1"/>
  <c r="K36" l="1"/>
  <c r="K34"/>
  <c r="K33"/>
  <c r="K32"/>
  <c r="K38"/>
  <c r="J1288" i="31" l="1"/>
  <c r="J1295"/>
  <c r="J1271"/>
  <c r="J1270"/>
  <c r="J1267"/>
  <c r="J1262"/>
  <c r="D306" i="174" l="1"/>
  <c r="C306"/>
  <c r="B306" l="1"/>
  <c r="E306"/>
  <c r="P626" i="182" l="1"/>
  <c r="J1293" i="31" l="1"/>
  <c r="J1294"/>
  <c r="J1265"/>
  <c r="J1272"/>
  <c r="J1300" l="1"/>
  <c r="D305" i="174"/>
  <c r="C305"/>
  <c r="E305"/>
  <c r="F261" i="171" l="1"/>
  <c r="J1274" i="31" l="1"/>
  <c r="J1275" s="1"/>
  <c r="J1290"/>
  <c r="D304" i="174"/>
  <c r="B304"/>
  <c r="E304"/>
  <c r="J1284" i="31" l="1"/>
  <c r="J1285" s="1"/>
  <c r="K50" i="190" l="1"/>
  <c r="K49"/>
  <c r="K27"/>
  <c r="K26"/>
  <c r="K25"/>
  <c r="K23"/>
  <c r="J1280" i="31" l="1"/>
  <c r="D303" i="174"/>
  <c r="B303"/>
  <c r="E303"/>
  <c r="F259" i="171" l="1"/>
  <c r="J1278" i="31" l="1"/>
  <c r="J1277"/>
  <c r="J1260"/>
  <c r="J1261"/>
  <c r="J1279" l="1"/>
  <c r="J1281" s="1"/>
  <c r="F321" i="32"/>
  <c r="K557" i="182" l="1"/>
  <c r="K570"/>
  <c r="P51" i="190" l="1"/>
  <c r="K51"/>
  <c r="K53"/>
  <c r="C302" i="174"/>
  <c r="E302"/>
  <c r="F258" i="171"/>
  <c r="N31" i="201" l="1"/>
  <c r="L31"/>
  <c r="J31"/>
  <c r="H31"/>
  <c r="N13"/>
  <c r="L13"/>
  <c r="J13"/>
  <c r="N33" l="1"/>
  <c r="F320" i="32" l="1"/>
  <c r="F319"/>
  <c r="F318"/>
  <c r="K529" i="182" l="1"/>
  <c r="J529"/>
  <c r="K652"/>
  <c r="K651"/>
  <c r="K589"/>
  <c r="K587"/>
  <c r="K586"/>
  <c r="K583"/>
  <c r="K429"/>
  <c r="J429"/>
  <c r="J1257" i="31" l="1"/>
  <c r="J1256"/>
  <c r="C301" i="174"/>
  <c r="E301" s="1"/>
  <c r="J1263" i="31" l="1"/>
  <c r="J1407" s="1"/>
  <c r="F257" i="171"/>
  <c r="J1249" i="31" l="1"/>
  <c r="J626" i="182" l="1"/>
  <c r="C300" i="174" l="1"/>
  <c r="E300" s="1"/>
  <c r="F256" i="171" l="1"/>
  <c r="C23" i="201" l="1"/>
  <c r="K46" i="190" l="1"/>
  <c r="J1237" i="31" l="1"/>
  <c r="D317" i="32" l="1"/>
  <c r="C317"/>
  <c r="F316"/>
  <c r="C299" i="174" l="1"/>
  <c r="E299" s="1"/>
  <c r="K29" i="190"/>
  <c r="J1224" i="31" l="1"/>
  <c r="D298" i="174"/>
  <c r="B298"/>
  <c r="F255" i="171"/>
  <c r="E298" i="174" l="1"/>
  <c r="F315" i="32"/>
  <c r="M70" i="190" l="1"/>
  <c r="L70" s="1"/>
  <c r="M69"/>
  <c r="L69" s="1"/>
  <c r="M71"/>
  <c r="L71" s="1"/>
  <c r="M68"/>
  <c r="L68" s="1"/>
  <c r="M67"/>
  <c r="L67" s="1"/>
  <c r="K545" i="182" l="1"/>
  <c r="J545"/>
  <c r="K588"/>
  <c r="J1240" i="31" l="1"/>
  <c r="J1238"/>
  <c r="J1225"/>
  <c r="J1246" l="1"/>
  <c r="F254" i="171" l="1"/>
  <c r="K558" i="182" l="1"/>
  <c r="K559"/>
  <c r="K569"/>
  <c r="K565"/>
  <c r="K540"/>
  <c r="K515"/>
  <c r="K498"/>
  <c r="D297" i="174" l="1"/>
  <c r="B297"/>
  <c r="E297" l="1"/>
  <c r="F314" i="32"/>
  <c r="J1234" i="31"/>
  <c r="J1233"/>
  <c r="J1232"/>
  <c r="J1229"/>
  <c r="J1235" l="1"/>
  <c r="J1228"/>
  <c r="J1227"/>
  <c r="J1226"/>
  <c r="G15" i="201" l="1"/>
  <c r="D296" i="174"/>
  <c r="B296"/>
  <c r="E296" l="1"/>
  <c r="F253" i="171"/>
  <c r="E313" i="32" l="1"/>
  <c r="F313" s="1"/>
  <c r="K561" i="182" l="1"/>
  <c r="K556"/>
  <c r="K575"/>
  <c r="K525"/>
  <c r="K526"/>
  <c r="K405"/>
  <c r="J1230" i="31" l="1"/>
  <c r="J1221"/>
  <c r="D295" i="174" l="1"/>
  <c r="B295"/>
  <c r="D294"/>
  <c r="B294"/>
  <c r="D293"/>
  <c r="E293" s="1"/>
  <c r="F252" i="171"/>
  <c r="E294" i="174" l="1"/>
  <c r="E295"/>
  <c r="F251" i="171"/>
  <c r="M752" i="182" l="1"/>
  <c r="L752" s="1"/>
  <c r="M751"/>
  <c r="L751" s="1"/>
  <c r="M750"/>
  <c r="L750" s="1"/>
  <c r="M749"/>
  <c r="L749" s="1"/>
  <c r="M748"/>
  <c r="L748" s="1"/>
  <c r="M747"/>
  <c r="L747" s="1"/>
  <c r="M746"/>
  <c r="L746" s="1"/>
  <c r="M745"/>
  <c r="L745" s="1"/>
  <c r="M744"/>
  <c r="L744" s="1"/>
  <c r="M743"/>
  <c r="L743" s="1"/>
  <c r="M742"/>
  <c r="L742" s="1"/>
  <c r="M741"/>
  <c r="L741" s="1"/>
  <c r="M740"/>
  <c r="L740" s="1"/>
  <c r="M739"/>
  <c r="L739" s="1"/>
  <c r="M738"/>
  <c r="L738" s="1"/>
  <c r="M737"/>
  <c r="L737" s="1"/>
  <c r="M736"/>
  <c r="L736" s="1"/>
  <c r="M735"/>
  <c r="L735" s="1"/>
  <c r="M734"/>
  <c r="L734" s="1"/>
  <c r="M733"/>
  <c r="L733" s="1"/>
  <c r="M732"/>
  <c r="L732" s="1"/>
  <c r="M731"/>
  <c r="L731" s="1"/>
  <c r="M730"/>
  <c r="L730" s="1"/>
  <c r="M729"/>
  <c r="L729" s="1"/>
  <c r="M728"/>
  <c r="L728" s="1"/>
  <c r="M727"/>
  <c r="L727" s="1"/>
  <c r="M726"/>
  <c r="L726" s="1"/>
  <c r="M725"/>
  <c r="L725" s="1"/>
  <c r="M724"/>
  <c r="L724" s="1"/>
  <c r="M723"/>
  <c r="L723" s="1"/>
  <c r="M722"/>
  <c r="L722" s="1"/>
  <c r="M721" l="1"/>
  <c r="L721" s="1"/>
  <c r="M720"/>
  <c r="L720" s="1"/>
  <c r="M719"/>
  <c r="L719" s="1"/>
  <c r="M718"/>
  <c r="L718" s="1"/>
  <c r="M717"/>
  <c r="L717" s="1"/>
  <c r="M716"/>
  <c r="L716" s="1"/>
  <c r="M715"/>
  <c r="L715" s="1"/>
  <c r="M714"/>
  <c r="L714" s="1"/>
  <c r="M713"/>
  <c r="L713" s="1"/>
  <c r="M712"/>
  <c r="L712" s="1"/>
  <c r="M711"/>
  <c r="L711" s="1"/>
  <c r="M710"/>
  <c r="L710" s="1"/>
  <c r="M709"/>
  <c r="L709" s="1"/>
  <c r="M708"/>
  <c r="L708" s="1"/>
  <c r="M707"/>
  <c r="L707" s="1"/>
  <c r="M706"/>
  <c r="L706" s="1"/>
  <c r="M705"/>
  <c r="L705" s="1"/>
  <c r="M704"/>
  <c r="L704" s="1"/>
  <c r="M703"/>
  <c r="L703" s="1"/>
  <c r="M702"/>
  <c r="L702" s="1"/>
  <c r="M701"/>
  <c r="L701" s="1"/>
  <c r="M700"/>
  <c r="L700" s="1"/>
  <c r="M699"/>
  <c r="L699" s="1"/>
  <c r="M698"/>
  <c r="L698" s="1"/>
  <c r="M697"/>
  <c r="L697" s="1"/>
  <c r="M696"/>
  <c r="L696" s="1"/>
  <c r="M695"/>
  <c r="L695" s="1"/>
  <c r="M694"/>
  <c r="L694" s="1"/>
  <c r="M693"/>
  <c r="L693" s="1"/>
  <c r="M692"/>
  <c r="L692" s="1"/>
  <c r="M691"/>
  <c r="L691" s="1"/>
  <c r="M690"/>
  <c r="L690" s="1"/>
  <c r="M689"/>
  <c r="L689" s="1"/>
  <c r="M688"/>
  <c r="L688" s="1"/>
  <c r="M687"/>
  <c r="L687" s="1"/>
  <c r="M686"/>
  <c r="L686" s="1"/>
  <c r="M685"/>
  <c r="L685" s="1"/>
  <c r="M684"/>
  <c r="L684" s="1"/>
  <c r="M683"/>
  <c r="L683" s="1"/>
  <c r="M682"/>
  <c r="L682" s="1"/>
  <c r="M681"/>
  <c r="L681" s="1"/>
  <c r="M680"/>
  <c r="L680" s="1"/>
  <c r="M679"/>
  <c r="L679" s="1"/>
  <c r="M678"/>
  <c r="L678" s="1"/>
  <c r="M677"/>
  <c r="L677" s="1"/>
  <c r="M676"/>
  <c r="L676" s="1"/>
  <c r="M675"/>
  <c r="L675" s="1"/>
  <c r="M674"/>
  <c r="L674" s="1"/>
  <c r="L673"/>
  <c r="M672"/>
  <c r="L672" s="1"/>
  <c r="M671"/>
  <c r="L671" s="1"/>
  <c r="M670"/>
  <c r="L670" s="1"/>
  <c r="M669"/>
  <c r="L669" s="1"/>
  <c r="M668"/>
  <c r="L668" s="1"/>
  <c r="M667"/>
  <c r="L667" s="1"/>
  <c r="M666"/>
  <c r="L666" s="1"/>
  <c r="M665"/>
  <c r="L665" s="1"/>
  <c r="M664"/>
  <c r="L664" s="1"/>
  <c r="M663"/>
  <c r="L663" s="1"/>
  <c r="M662"/>
  <c r="L662" s="1"/>
  <c r="M661"/>
  <c r="L661" s="1"/>
  <c r="M660"/>
  <c r="L660" s="1"/>
  <c r="M659"/>
  <c r="L659" s="1"/>
  <c r="M658"/>
  <c r="L658" s="1"/>
  <c r="M657"/>
  <c r="L657" s="1"/>
  <c r="M656"/>
  <c r="L656" s="1"/>
  <c r="M655"/>
  <c r="L655" s="1"/>
  <c r="M654"/>
  <c r="L654" s="1"/>
  <c r="M653"/>
  <c r="L653" s="1"/>
  <c r="M652"/>
  <c r="L652" s="1"/>
  <c r="M651"/>
  <c r="L651" s="1"/>
  <c r="M650"/>
  <c r="L650" s="1"/>
  <c r="M649"/>
  <c r="L649" s="1"/>
  <c r="M648"/>
  <c r="L648" s="1"/>
  <c r="M647"/>
  <c r="L647" s="1"/>
  <c r="M646"/>
  <c r="L646" s="1"/>
  <c r="M645"/>
  <c r="L645" s="1"/>
  <c r="M644"/>
  <c r="L644" s="1"/>
  <c r="M643"/>
  <c r="L643" s="1"/>
  <c r="M642"/>
  <c r="L642" s="1"/>
  <c r="M641"/>
  <c r="L641" s="1"/>
  <c r="M640"/>
  <c r="L640" s="1"/>
  <c r="M639"/>
  <c r="L639" s="1"/>
  <c r="M638"/>
  <c r="L638" s="1"/>
  <c r="M637"/>
  <c r="L637" s="1"/>
  <c r="M636"/>
  <c r="L636" s="1"/>
  <c r="M635"/>
  <c r="L635" s="1"/>
  <c r="M634"/>
  <c r="L634" s="1"/>
  <c r="M633"/>
  <c r="L633" s="1"/>
  <c r="M632"/>
  <c r="L632" s="1"/>
  <c r="M631"/>
  <c r="L631" s="1"/>
  <c r="M630"/>
  <c r="L630" s="1"/>
  <c r="M629"/>
  <c r="L629" s="1"/>
  <c r="M628"/>
  <c r="L628" s="1"/>
  <c r="M627"/>
  <c r="L627" s="1"/>
  <c r="M626"/>
  <c r="M625"/>
  <c r="L625" s="1"/>
  <c r="M623"/>
  <c r="L623" s="1"/>
  <c r="M622"/>
  <c r="L622" s="1"/>
  <c r="M621"/>
  <c r="L621" s="1"/>
  <c r="L626" l="1"/>
  <c r="E312" i="32"/>
  <c r="E317" s="1"/>
  <c r="K546" i="182"/>
  <c r="K539"/>
  <c r="K518"/>
  <c r="K441"/>
  <c r="K431"/>
  <c r="K428"/>
  <c r="K424"/>
  <c r="K423"/>
  <c r="F312" i="32" l="1"/>
  <c r="K500" i="182"/>
  <c r="K404"/>
  <c r="J1220" i="31" l="1"/>
  <c r="J1219"/>
  <c r="J1215"/>
  <c r="J1211"/>
  <c r="J1212"/>
  <c r="J1208"/>
  <c r="J1207"/>
  <c r="J1222" l="1"/>
  <c r="J1216"/>
  <c r="J1209"/>
  <c r="F311" i="32"/>
  <c r="J1217" i="31" l="1"/>
  <c r="M616" i="182"/>
  <c r="M66" i="190" l="1"/>
  <c r="L66" s="1"/>
  <c r="M65"/>
  <c r="L65" s="1"/>
  <c r="M64"/>
  <c r="L64" s="1"/>
  <c r="M63"/>
  <c r="L63" s="1"/>
  <c r="M62"/>
  <c r="L62" s="1"/>
  <c r="M61"/>
  <c r="L61" s="1"/>
  <c r="M60"/>
  <c r="L60" s="1"/>
  <c r="M59"/>
  <c r="L59" s="1"/>
  <c r="M58"/>
  <c r="L58" s="1"/>
  <c r="M57"/>
  <c r="L57" s="1"/>
  <c r="M56"/>
  <c r="L56" s="1"/>
  <c r="M55"/>
  <c r="L55" s="1"/>
  <c r="M54" l="1"/>
  <c r="L54" s="1"/>
  <c r="M53"/>
  <c r="L53" s="1"/>
  <c r="M52"/>
  <c r="L52" s="1"/>
  <c r="M51"/>
  <c r="L51" s="1"/>
  <c r="F310" i="32" l="1"/>
  <c r="K571" i="182" l="1"/>
  <c r="K555"/>
  <c r="K524"/>
  <c r="K513"/>
  <c r="K406"/>
  <c r="K436"/>
  <c r="K380"/>
  <c r="K521"/>
  <c r="M620" l="1"/>
  <c r="L620" s="1"/>
  <c r="M618" l="1"/>
  <c r="L618" s="1"/>
  <c r="M617"/>
  <c r="L617" s="1"/>
  <c r="L616"/>
  <c r="M615"/>
  <c r="L615" s="1"/>
  <c r="M614"/>
  <c r="L614" s="1"/>
  <c r="M613"/>
  <c r="L613" s="1"/>
  <c r="M612"/>
  <c r="L612" s="1"/>
  <c r="M611"/>
  <c r="L611" s="1"/>
  <c r="M610"/>
  <c r="L610" s="1"/>
  <c r="M609"/>
  <c r="L609" s="1"/>
  <c r="M608"/>
  <c r="L608" s="1"/>
  <c r="M607"/>
  <c r="L607" s="1"/>
  <c r="M606"/>
  <c r="L606" s="1"/>
  <c r="M605"/>
  <c r="L605" s="1"/>
  <c r="M619"/>
  <c r="L619" s="1"/>
  <c r="F309" i="32" l="1"/>
  <c r="K426" i="182" l="1"/>
  <c r="K499"/>
  <c r="K502"/>
  <c r="K504"/>
  <c r="K410"/>
  <c r="P29" i="201" l="1"/>
  <c r="F29"/>
  <c r="I29" l="1"/>
  <c r="M29" s="1"/>
  <c r="Q29" s="1"/>
  <c r="F308" i="32"/>
  <c r="F250" i="171" l="1"/>
  <c r="J1185" i="31" l="1"/>
  <c r="J1177" l="1"/>
  <c r="J1192"/>
  <c r="G6" i="201"/>
  <c r="G13" s="1"/>
  <c r="C6"/>
  <c r="H12"/>
  <c r="H13" s="1"/>
  <c r="H33" s="1"/>
  <c r="C12"/>
  <c r="J436" i="182" l="1"/>
  <c r="F307" i="32"/>
  <c r="F306"/>
  <c r="J1193" i="31" l="1"/>
  <c r="K419" i="182" l="1"/>
  <c r="K409"/>
  <c r="P503"/>
  <c r="K503"/>
  <c r="K517" l="1"/>
  <c r="B292" i="174" l="1"/>
  <c r="E292" s="1"/>
  <c r="J1184" i="31" l="1"/>
  <c r="J1190"/>
  <c r="J1197"/>
  <c r="J1194"/>
  <c r="J1178"/>
  <c r="J1201"/>
  <c r="J1191"/>
  <c r="E291" i="174"/>
  <c r="F249" i="171" l="1"/>
  <c r="F305" i="32" l="1"/>
  <c r="J1200" i="31" l="1"/>
  <c r="D290" i="174"/>
  <c r="B290"/>
  <c r="E290" l="1"/>
  <c r="T3" i="190" l="1"/>
  <c r="M601" i="182" l="1"/>
  <c r="L601" s="1"/>
  <c r="M600"/>
  <c r="L600" s="1"/>
  <c r="M599"/>
  <c r="L599" s="1"/>
  <c r="M598"/>
  <c r="L598" l="1"/>
  <c r="F304" i="32"/>
  <c r="K267" i="189" l="1"/>
  <c r="K263"/>
  <c r="K262"/>
  <c r="K266"/>
  <c r="K258"/>
  <c r="K259"/>
  <c r="J1199" i="31" l="1"/>
  <c r="J1198"/>
  <c r="J1170"/>
  <c r="J1202" l="1"/>
  <c r="D289" i="174"/>
  <c r="B289"/>
  <c r="E289" l="1"/>
  <c r="F248" i="171"/>
  <c r="F303" i="32" l="1"/>
  <c r="K492" i="182" l="1"/>
  <c r="K482"/>
  <c r="K474"/>
  <c r="K466"/>
  <c r="K465"/>
  <c r="K418"/>
  <c r="K412"/>
  <c r="J1164" i="31" l="1"/>
  <c r="J1189"/>
  <c r="J1195" s="1"/>
  <c r="J1186"/>
  <c r="J1187" s="1"/>
  <c r="D288" i="174" l="1"/>
  <c r="B288"/>
  <c r="E288" l="1"/>
  <c r="F247" i="171"/>
  <c r="F302" i="32"/>
  <c r="G25" i="201" l="1"/>
  <c r="G26"/>
  <c r="C26"/>
  <c r="M597" i="182" l="1"/>
  <c r="L597" s="1"/>
  <c r="M596"/>
  <c r="L596" s="1"/>
  <c r="M595"/>
  <c r="L595" s="1"/>
  <c r="M594"/>
  <c r="L594" s="1"/>
  <c r="M593"/>
  <c r="L593" s="1"/>
  <c r="M592"/>
  <c r="L592" s="1"/>
  <c r="M591"/>
  <c r="L591" s="1"/>
  <c r="J1176" i="31" l="1"/>
  <c r="D287" i="174" l="1"/>
  <c r="B287"/>
  <c r="F246" i="171"/>
  <c r="E287" i="174" l="1"/>
  <c r="F301" i="32"/>
  <c r="F300"/>
  <c r="J1175" i="31" l="1"/>
  <c r="J1180" s="1"/>
  <c r="C286" i="174" l="1"/>
  <c r="E286" s="1"/>
  <c r="F245" i="171" l="1"/>
  <c r="M50" i="190" l="1"/>
  <c r="L50" s="1"/>
  <c r="M49"/>
  <c r="L49" s="1"/>
  <c r="M48"/>
  <c r="L48" s="1"/>
  <c r="M47"/>
  <c r="L47" s="1"/>
  <c r="M46"/>
  <c r="L46" s="1"/>
  <c r="M45"/>
  <c r="L45" s="1"/>
  <c r="M44"/>
  <c r="L44" s="1"/>
  <c r="M43"/>
  <c r="L43" s="1"/>
  <c r="M42"/>
  <c r="L42" s="1"/>
  <c r="M41"/>
  <c r="L41" s="1"/>
  <c r="M40"/>
  <c r="L40" s="1"/>
  <c r="M39"/>
  <c r="L39" s="1"/>
  <c r="M590" i="182"/>
  <c r="L590" s="1"/>
  <c r="J1173" i="31" l="1"/>
  <c r="E285" i="174" l="1"/>
  <c r="F244" i="171" l="1"/>
  <c r="J1165" i="31" l="1"/>
  <c r="J1168" s="1"/>
  <c r="J1129"/>
  <c r="J1161"/>
  <c r="J1099"/>
  <c r="J1118"/>
  <c r="J1133"/>
  <c r="M589" i="182"/>
  <c r="L589" s="1"/>
  <c r="M588"/>
  <c r="L588" s="1"/>
  <c r="M587"/>
  <c r="L587" s="1"/>
  <c r="M586"/>
  <c r="L586" s="1"/>
  <c r="M585"/>
  <c r="L585" s="1"/>
  <c r="M584"/>
  <c r="L584" s="1"/>
  <c r="M583"/>
  <c r="L583" s="1"/>
  <c r="K461" l="1"/>
  <c r="K450"/>
  <c r="K483"/>
  <c r="K449"/>
  <c r="K493"/>
  <c r="F243" i="171" l="1"/>
  <c r="G23" i="201" l="1"/>
  <c r="M38" i="190"/>
  <c r="L38" s="1"/>
  <c r="M37"/>
  <c r="L37" s="1"/>
  <c r="M36"/>
  <c r="L36" s="1"/>
  <c r="M35"/>
  <c r="L35" s="1"/>
  <c r="M34"/>
  <c r="L34" s="1"/>
  <c r="M33"/>
  <c r="L33" s="1"/>
  <c r="M32"/>
  <c r="L32" s="1"/>
  <c r="M31"/>
  <c r="L31" s="1"/>
  <c r="M30"/>
  <c r="L30" s="1"/>
  <c r="M29"/>
  <c r="L29" s="1"/>
  <c r="M28"/>
  <c r="L28" s="1"/>
  <c r="M27"/>
  <c r="L27" s="1"/>
  <c r="M26"/>
  <c r="L26" s="1"/>
  <c r="M25"/>
  <c r="L25" s="1"/>
  <c r="M24"/>
  <c r="L24" s="1"/>
  <c r="E284" i="174" l="1"/>
  <c r="J1160" i="31"/>
  <c r="J1101"/>
  <c r="J1136"/>
  <c r="D283" i="174" l="1"/>
  <c r="B283"/>
  <c r="D282"/>
  <c r="B282"/>
  <c r="D281"/>
  <c r="B281"/>
  <c r="E281" l="1"/>
  <c r="E282"/>
  <c r="E283"/>
  <c r="F241" i="171"/>
  <c r="F242" l="1"/>
  <c r="J1159" i="31" l="1"/>
  <c r="J1158"/>
  <c r="J1157"/>
  <c r="F299" i="32"/>
  <c r="K542" i="182"/>
  <c r="K534"/>
  <c r="K535"/>
  <c r="K528"/>
  <c r="K527"/>
  <c r="K538"/>
  <c r="K541"/>
  <c r="K533"/>
  <c r="F297" i="32"/>
  <c r="F240" i="171"/>
  <c r="J1162" i="31" l="1"/>
  <c r="J1146"/>
  <c r="J1143"/>
  <c r="J1134"/>
  <c r="J1142"/>
  <c r="J1141"/>
  <c r="J1138"/>
  <c r="J1137"/>
  <c r="J1155" l="1"/>
  <c r="F296" i="32"/>
  <c r="F298"/>
  <c r="J1139" i="31" l="1"/>
  <c r="K448" i="182" l="1"/>
  <c r="K467"/>
  <c r="K469"/>
  <c r="K392"/>
  <c r="K379"/>
  <c r="K439"/>
  <c r="J1130" i="31" l="1"/>
  <c r="J1106" l="1"/>
  <c r="J1126"/>
  <c r="J1110"/>
  <c r="S3" i="190" l="1"/>
  <c r="Q3"/>
  <c r="O3"/>
  <c r="M23"/>
  <c r="L23" s="1"/>
  <c r="M22"/>
  <c r="L22" s="1"/>
  <c r="D280" i="174" l="1"/>
  <c r="C280"/>
  <c r="B280"/>
  <c r="E280" l="1"/>
  <c r="N3" i="190"/>
  <c r="J1131" i="31" l="1"/>
  <c r="J1122" l="1"/>
  <c r="D279" i="174"/>
  <c r="B279"/>
  <c r="D278"/>
  <c r="B278"/>
  <c r="E278" l="1"/>
  <c r="E279"/>
  <c r="F239" i="171"/>
  <c r="J1127" i="31" l="1"/>
  <c r="J575" i="182" l="1"/>
  <c r="J556"/>
  <c r="F295" i="32" l="1"/>
  <c r="J1123" i="31" l="1"/>
  <c r="F294" i="32" l="1"/>
  <c r="J1120" i="31" l="1"/>
  <c r="J1105"/>
  <c r="J1117"/>
  <c r="J1124" s="1"/>
  <c r="J1112"/>
  <c r="B277" i="174" l="1"/>
  <c r="E277" s="1"/>
  <c r="D276"/>
  <c r="B276"/>
  <c r="F238" i="171"/>
  <c r="E276" i="174" l="1"/>
  <c r="G28" i="201"/>
  <c r="G31" s="1"/>
  <c r="G33" s="1"/>
  <c r="G34" s="1"/>
  <c r="K459" i="182" l="1"/>
  <c r="J1115" i="31" l="1"/>
  <c r="J1058" l="1"/>
  <c r="J1057"/>
  <c r="J1100"/>
  <c r="J1062"/>
  <c r="J1072"/>
  <c r="J1108" l="1"/>
  <c r="F293" i="32" l="1"/>
  <c r="F292"/>
  <c r="K268" i="189" l="1"/>
  <c r="D275" i="174" l="1"/>
  <c r="B275"/>
  <c r="F237" i="171"/>
  <c r="E275" i="174" l="1"/>
  <c r="F291" i="32"/>
  <c r="J1095" i="31" l="1"/>
  <c r="J1094"/>
  <c r="J1092"/>
  <c r="J1091"/>
  <c r="J1086"/>
  <c r="J1082"/>
  <c r="J1087"/>
  <c r="J1088"/>
  <c r="J1083"/>
  <c r="J1097" l="1"/>
  <c r="D274" i="174"/>
  <c r="B274"/>
  <c r="E274" l="1"/>
  <c r="F236" i="171"/>
  <c r="F290" i="32"/>
  <c r="F317" s="1"/>
  <c r="K260" i="189" l="1"/>
  <c r="K264"/>
  <c r="J1085" i="31" l="1"/>
  <c r="J1084"/>
  <c r="J1079"/>
  <c r="J1089" l="1"/>
  <c r="J1252" s="1"/>
  <c r="F288" i="32"/>
  <c r="F287"/>
  <c r="C273" i="174" l="1"/>
  <c r="E273" s="1"/>
  <c r="F235" i="171"/>
  <c r="E289" i="32" l="1"/>
  <c r="D289"/>
  <c r="J1063" i="31" l="1"/>
  <c r="J1066" l="1"/>
  <c r="E272" i="174" l="1"/>
  <c r="F286" i="32" l="1"/>
  <c r="J1073" i="31" l="1"/>
  <c r="J1046"/>
  <c r="F234" i="171" l="1"/>
  <c r="F233"/>
  <c r="F232"/>
  <c r="M582" i="182" l="1"/>
  <c r="L582" s="1"/>
  <c r="M581"/>
  <c r="L581" s="1"/>
  <c r="M580"/>
  <c r="L580" s="1"/>
  <c r="M579"/>
  <c r="L579" s="1"/>
  <c r="M578"/>
  <c r="L578" s="1"/>
  <c r="M577"/>
  <c r="L577" s="1"/>
  <c r="M576"/>
  <c r="L576" s="1"/>
  <c r="M575"/>
  <c r="L575" s="1"/>
  <c r="M574"/>
  <c r="L574" s="1"/>
  <c r="M573"/>
  <c r="L573" s="1"/>
  <c r="M572"/>
  <c r="L572" s="1"/>
  <c r="M571"/>
  <c r="L571" s="1"/>
  <c r="M570"/>
  <c r="L570" s="1"/>
  <c r="M569"/>
  <c r="L569" s="1"/>
  <c r="M568"/>
  <c r="L568" s="1"/>
  <c r="M567"/>
  <c r="L567" s="1"/>
  <c r="M566"/>
  <c r="L566" s="1"/>
  <c r="M565"/>
  <c r="L565" s="1"/>
  <c r="M564"/>
  <c r="L564" s="1"/>
  <c r="M563"/>
  <c r="L563" s="1"/>
  <c r="M562"/>
  <c r="L562" s="1"/>
  <c r="M561"/>
  <c r="L561" s="1"/>
  <c r="M560"/>
  <c r="L560" s="1"/>
  <c r="M559"/>
  <c r="L559" s="1"/>
  <c r="M558"/>
  <c r="L558" s="1"/>
  <c r="M557"/>
  <c r="L557" s="1"/>
  <c r="M556"/>
  <c r="L556" s="1"/>
  <c r="M555"/>
  <c r="L555" s="1"/>
  <c r="M554"/>
  <c r="L554" s="1"/>
  <c r="M553"/>
  <c r="L553" s="1"/>
  <c r="M552"/>
  <c r="L552" s="1"/>
  <c r="M551"/>
  <c r="L551" s="1"/>
  <c r="M550"/>
  <c r="L550" s="1"/>
  <c r="M549" l="1"/>
  <c r="L549" s="1"/>
  <c r="M548"/>
  <c r="L548" s="1"/>
  <c r="M547"/>
  <c r="L547" s="1"/>
  <c r="F285" i="32" l="1"/>
  <c r="C271" i="174" l="1"/>
  <c r="E271" s="1"/>
  <c r="F284" i="32" l="1"/>
  <c r="C270" i="174" l="1"/>
  <c r="E270" s="1"/>
  <c r="J1045" i="31" l="1"/>
  <c r="J1048"/>
  <c r="J1060" l="1"/>
  <c r="F283" i="32" l="1"/>
  <c r="K239" i="189" l="1"/>
  <c r="K270"/>
  <c r="K256"/>
  <c r="C269" i="174" l="1"/>
  <c r="E269" s="1"/>
  <c r="F282" i="32" l="1"/>
  <c r="J1038" i="31" l="1"/>
  <c r="J1037"/>
  <c r="J1034"/>
  <c r="C268" i="174"/>
  <c r="J1042" i="31" l="1"/>
  <c r="E268" i="174"/>
  <c r="F231" i="171"/>
  <c r="M546" i="182" l="1"/>
  <c r="L546" s="1"/>
  <c r="J546"/>
  <c r="M545"/>
  <c r="M544"/>
  <c r="L544" s="1"/>
  <c r="M543"/>
  <c r="L543" s="1"/>
  <c r="M542"/>
  <c r="L542" s="1"/>
  <c r="M541"/>
  <c r="L541" s="1"/>
  <c r="J541"/>
  <c r="M540"/>
  <c r="J540"/>
  <c r="M539"/>
  <c r="J539"/>
  <c r="M538"/>
  <c r="L538" s="1"/>
  <c r="J538"/>
  <c r="M537"/>
  <c r="L537" s="1"/>
  <c r="J537"/>
  <c r="M536"/>
  <c r="L536" s="1"/>
  <c r="J536"/>
  <c r="M535"/>
  <c r="L535" s="1"/>
  <c r="M534"/>
  <c r="L534" s="1"/>
  <c r="M533"/>
  <c r="L533" s="1"/>
  <c r="M532"/>
  <c r="L532" s="1"/>
  <c r="J532"/>
  <c r="M531"/>
  <c r="L531" s="1"/>
  <c r="J531"/>
  <c r="M530"/>
  <c r="L530" s="1"/>
  <c r="J530"/>
  <c r="M529"/>
  <c r="L529" s="1"/>
  <c r="M528"/>
  <c r="L528" s="1"/>
  <c r="J528"/>
  <c r="M527"/>
  <c r="L527" s="1"/>
  <c r="J527"/>
  <c r="M526"/>
  <c r="L526" s="1"/>
  <c r="M525"/>
  <c r="J525"/>
  <c r="M524"/>
  <c r="J524"/>
  <c r="L540" l="1"/>
  <c r="L525"/>
  <c r="L539"/>
  <c r="L545"/>
  <c r="L524"/>
  <c r="M523"/>
  <c r="L523" s="1"/>
  <c r="M522"/>
  <c r="L522" s="1"/>
  <c r="M521"/>
  <c r="L521" s="1"/>
  <c r="M520"/>
  <c r="L520" s="1"/>
  <c r="M519"/>
  <c r="L519" s="1"/>
  <c r="M518"/>
  <c r="L518" s="1"/>
  <c r="F281" i="32" l="1"/>
  <c r="K257" i="189" l="1"/>
  <c r="K332" i="182"/>
  <c r="K430"/>
  <c r="K353"/>
  <c r="K347"/>
  <c r="E267" i="174" l="1"/>
  <c r="F280" i="32" l="1"/>
  <c r="J1011" i="31" l="1"/>
  <c r="K388" i="182" l="1"/>
  <c r="K349"/>
  <c r="K348"/>
  <c r="K386"/>
  <c r="P28" i="201" l="1"/>
  <c r="F28"/>
  <c r="I28" s="1"/>
  <c r="M28" s="1"/>
  <c r="Q28" l="1"/>
  <c r="Q39" s="1"/>
  <c r="F279" i="32" l="1"/>
  <c r="C266" i="174" l="1"/>
  <c r="E266" s="1"/>
  <c r="F230" i="171"/>
  <c r="M517" i="182"/>
  <c r="L517" s="1"/>
  <c r="M516"/>
  <c r="L516" s="1"/>
  <c r="M515"/>
  <c r="L515" s="1"/>
  <c r="M514"/>
  <c r="L514" s="1"/>
  <c r="M513"/>
  <c r="L513" s="1"/>
  <c r="M512"/>
  <c r="L512" s="1"/>
  <c r="M511"/>
  <c r="L511" s="1"/>
  <c r="M510"/>
  <c r="L510" s="1"/>
  <c r="M509"/>
  <c r="L509" s="1"/>
  <c r="M508"/>
  <c r="L508" s="1"/>
  <c r="M507"/>
  <c r="L507" s="1"/>
  <c r="M506"/>
  <c r="L506" s="1"/>
  <c r="M505"/>
  <c r="L505" s="1"/>
  <c r="M504"/>
  <c r="L504" s="1"/>
  <c r="M503"/>
  <c r="L503" s="1"/>
  <c r="M502"/>
  <c r="L502" s="1"/>
  <c r="M501"/>
  <c r="L501" s="1"/>
  <c r="M500"/>
  <c r="L500" s="1"/>
  <c r="M499"/>
  <c r="L499" s="1"/>
  <c r="M498"/>
  <c r="L498" s="1"/>
  <c r="M497"/>
  <c r="L497" s="1"/>
  <c r="M496"/>
  <c r="L496" s="1"/>
  <c r="M495"/>
  <c r="L495" s="1"/>
  <c r="M494"/>
  <c r="L494" s="1"/>
  <c r="M493"/>
  <c r="L493" s="1"/>
  <c r="M492"/>
  <c r="L492" s="1"/>
  <c r="M491"/>
  <c r="L491" s="1"/>
  <c r="M490"/>
  <c r="L490" s="1"/>
  <c r="M489"/>
  <c r="L489" s="1"/>
  <c r="M488"/>
  <c r="L488" s="1"/>
  <c r="M487"/>
  <c r="L487" s="1"/>
  <c r="M486"/>
  <c r="L486" s="1"/>
  <c r="M485"/>
  <c r="L485" s="1"/>
  <c r="M484"/>
  <c r="L484" s="1"/>
  <c r="M483"/>
  <c r="L483" s="1"/>
  <c r="M482"/>
  <c r="L482" s="1"/>
  <c r="M481"/>
  <c r="L481" s="1"/>
  <c r="M480"/>
  <c r="L480" s="1"/>
  <c r="M479"/>
  <c r="L479" s="1"/>
  <c r="M478"/>
  <c r="L478" s="1"/>
  <c r="M477"/>
  <c r="L477" s="1"/>
  <c r="M476"/>
  <c r="L476" s="1"/>
  <c r="M475"/>
  <c r="L475" s="1"/>
  <c r="M474"/>
  <c r="L474" s="1"/>
  <c r="M473"/>
  <c r="L473" s="1"/>
  <c r="M472"/>
  <c r="L472" s="1"/>
  <c r="M471"/>
  <c r="L471" s="1"/>
  <c r="M470"/>
  <c r="L470" s="1"/>
  <c r="M469"/>
  <c r="L469" s="1"/>
  <c r="M468"/>
  <c r="L468" s="1"/>
  <c r="M467"/>
  <c r="L467" s="1"/>
  <c r="M466"/>
  <c r="L466" s="1"/>
  <c r="M465"/>
  <c r="L465" s="1"/>
  <c r="M464"/>
  <c r="L464" s="1"/>
  <c r="M463"/>
  <c r="L463" s="1"/>
  <c r="M462"/>
  <c r="L462" s="1"/>
  <c r="M461"/>
  <c r="L461" s="1"/>
  <c r="M460"/>
  <c r="L460" s="1"/>
  <c r="M459"/>
  <c r="L459" s="1"/>
  <c r="M458"/>
  <c r="L458" s="1"/>
  <c r="M457"/>
  <c r="L457" s="1"/>
  <c r="M456"/>
  <c r="L456" s="1"/>
  <c r="M455"/>
  <c r="L455" s="1"/>
  <c r="M454"/>
  <c r="L454" s="1"/>
  <c r="M453"/>
  <c r="L453" s="1"/>
  <c r="M452"/>
  <c r="L452" s="1"/>
  <c r="M451"/>
  <c r="L451" s="1"/>
  <c r="M450"/>
  <c r="L450" s="1"/>
  <c r="M449"/>
  <c r="L449" s="1"/>
  <c r="M448"/>
  <c r="L448" s="1"/>
  <c r="M447"/>
  <c r="L447" s="1"/>
  <c r="M446"/>
  <c r="L446" s="1"/>
  <c r="F278" i="32" l="1"/>
  <c r="K272" i="189"/>
  <c r="K234"/>
  <c r="C265" i="174" l="1"/>
  <c r="B265"/>
  <c r="F229" i="171"/>
  <c r="E265" i="174" l="1"/>
  <c r="P30" i="201" l="1"/>
  <c r="F277" i="32" l="1"/>
  <c r="J1022" i="31" l="1"/>
  <c r="J1023"/>
  <c r="J1018"/>
  <c r="J1029"/>
  <c r="J1021"/>
  <c r="J1035"/>
  <c r="D264" i="174" l="1"/>
  <c r="B264"/>
  <c r="E264" l="1"/>
  <c r="F228" i="171"/>
  <c r="F276" i="32" l="1"/>
  <c r="K399" i="182" l="1"/>
  <c r="K352"/>
  <c r="K396"/>
  <c r="K391"/>
  <c r="K394"/>
  <c r="K289"/>
  <c r="K277"/>
  <c r="J1031" i="31" l="1"/>
  <c r="J1027"/>
  <c r="J1032" l="1"/>
  <c r="E263" i="174"/>
  <c r="F275" i="32" l="1"/>
  <c r="K275" i="182" l="1"/>
  <c r="F274" i="32" l="1"/>
  <c r="F273"/>
  <c r="F227" i="171" l="1"/>
  <c r="B262" i="174"/>
  <c r="E262" s="1"/>
  <c r="J1025" i="31" l="1"/>
  <c r="J1015"/>
  <c r="J1019" s="1"/>
  <c r="J1005"/>
  <c r="F226" i="171" l="1"/>
  <c r="B261" i="174" l="1"/>
  <c r="E261" s="1"/>
  <c r="F272" i="32" l="1"/>
  <c r="F271"/>
  <c r="C260" i="174" l="1"/>
  <c r="B260"/>
  <c r="F225" i="171"/>
  <c r="E260" i="174" l="1"/>
  <c r="J1007" i="31" l="1"/>
  <c r="D259" i="174" l="1"/>
  <c r="B259"/>
  <c r="E259" l="1"/>
  <c r="F222" i="171"/>
  <c r="F224" l="1"/>
  <c r="F223"/>
  <c r="F270" i="32" l="1"/>
  <c r="J1002" i="31" l="1"/>
  <c r="J1000"/>
  <c r="J999"/>
  <c r="J997"/>
  <c r="J996"/>
  <c r="J1003" l="1"/>
  <c r="D258" i="174" l="1"/>
  <c r="B258"/>
  <c r="E258" l="1"/>
  <c r="J904" i="31"/>
  <c r="J955" l="1"/>
  <c r="J965" l="1"/>
  <c r="J953"/>
  <c r="F269" i="32" l="1"/>
  <c r="M286" i="189" l="1"/>
  <c r="L286" s="1"/>
  <c r="M285"/>
  <c r="L285" s="1"/>
  <c r="M284"/>
  <c r="L284" s="1"/>
  <c r="M283"/>
  <c r="L283" s="1"/>
  <c r="M282"/>
  <c r="L282" s="1"/>
  <c r="M281"/>
  <c r="L281" s="1"/>
  <c r="M280"/>
  <c r="L280" s="1"/>
  <c r="M279"/>
  <c r="L279" s="1"/>
  <c r="M278"/>
  <c r="L278" s="1"/>
  <c r="M275"/>
  <c r="L275" s="1"/>
  <c r="M274"/>
  <c r="L274" s="1"/>
  <c r="M273"/>
  <c r="M272"/>
  <c r="L272" s="1"/>
  <c r="M271"/>
  <c r="L271" s="1"/>
  <c r="M270"/>
  <c r="L270" s="1"/>
  <c r="M269"/>
  <c r="L269" s="1"/>
  <c r="M268"/>
  <c r="L268" s="1"/>
  <c r="M267"/>
  <c r="L267" s="1"/>
  <c r="M266"/>
  <c r="L266" s="1"/>
  <c r="M265"/>
  <c r="L265" s="1"/>
  <c r="M264"/>
  <c r="L264" s="1"/>
  <c r="M263"/>
  <c r="L263" s="1"/>
  <c r="M262"/>
  <c r="L262" s="1"/>
  <c r="M261"/>
  <c r="L261" s="1"/>
  <c r="M260"/>
  <c r="L260" s="1"/>
  <c r="M259"/>
  <c r="L259" s="1"/>
  <c r="M258"/>
  <c r="L258" s="1"/>
  <c r="M257"/>
  <c r="L257" s="1"/>
  <c r="M256"/>
  <c r="L256" s="1"/>
  <c r="L273" l="1"/>
  <c r="K249"/>
  <c r="K238"/>
  <c r="K301" i="182"/>
  <c r="K294"/>
  <c r="K295"/>
  <c r="K397"/>
  <c r="K395"/>
  <c r="K356"/>
  <c r="J993" i="31" l="1"/>
  <c r="J992"/>
  <c r="J991"/>
  <c r="J990"/>
  <c r="J986"/>
  <c r="J985"/>
  <c r="J984"/>
  <c r="J994" l="1"/>
  <c r="C257" i="174"/>
  <c r="E257" s="1"/>
  <c r="F268" i="32" l="1"/>
  <c r="K288" i="182" l="1"/>
  <c r="J978" i="31" l="1"/>
  <c r="J976"/>
  <c r="J959"/>
  <c r="J945"/>
  <c r="J948"/>
  <c r="J949"/>
  <c r="D256" i="174" l="1"/>
  <c r="C256"/>
  <c r="B256"/>
  <c r="F221" i="171"/>
  <c r="E256" i="174" l="1"/>
  <c r="F267" i="32"/>
  <c r="K300" i="182" l="1"/>
  <c r="K357"/>
  <c r="L949" i="31" l="1"/>
  <c r="L948"/>
  <c r="L945"/>
  <c r="J970"/>
  <c r="J979" s="1"/>
  <c r="J901"/>
  <c r="J947"/>
  <c r="J950" s="1"/>
  <c r="L950" l="1"/>
  <c r="E255" i="174"/>
  <c r="F220" i="171"/>
  <c r="F219"/>
  <c r="F218"/>
  <c r="F217"/>
  <c r="F216"/>
  <c r="F215"/>
  <c r="F214"/>
  <c r="F213"/>
  <c r="C264" i="32" l="1"/>
  <c r="C289" s="1"/>
  <c r="F266" l="1"/>
  <c r="D254" i="174" l="1"/>
  <c r="B254"/>
  <c r="E254" l="1"/>
  <c r="K253" i="189"/>
  <c r="K230"/>
  <c r="K241"/>
  <c r="K233"/>
  <c r="K240"/>
  <c r="F265" i="32"/>
  <c r="J939" i="31"/>
  <c r="J964"/>
  <c r="J963"/>
  <c r="J968" l="1"/>
  <c r="D253" i="174"/>
  <c r="B253"/>
  <c r="E253" l="1"/>
  <c r="F264" i="32" l="1"/>
  <c r="J958" i="31" l="1"/>
  <c r="J961" s="1"/>
  <c r="J940"/>
  <c r="K312" i="182"/>
  <c r="C252" i="174" l="1"/>
  <c r="B252"/>
  <c r="F263" i="32"/>
  <c r="E252" i="174" l="1"/>
  <c r="J954" i="31" l="1"/>
  <c r="J952"/>
  <c r="J909"/>
  <c r="C251" i="174"/>
  <c r="E251" s="1"/>
  <c r="J956" i="31" l="1"/>
  <c r="F262" i="32"/>
  <c r="M445" i="182" l="1"/>
  <c r="L445" s="1"/>
  <c r="M444"/>
  <c r="L444" s="1"/>
  <c r="M443"/>
  <c r="L443" s="1"/>
  <c r="M442"/>
  <c r="L442" s="1"/>
  <c r="M441"/>
  <c r="L441" s="1"/>
  <c r="M440"/>
  <c r="L440" s="1"/>
  <c r="M439"/>
  <c r="L439" s="1"/>
  <c r="M438"/>
  <c r="L438" s="1"/>
  <c r="M437"/>
  <c r="L437" s="1"/>
  <c r="M436"/>
  <c r="L436" s="1"/>
  <c r="M435"/>
  <c r="L435" s="1"/>
  <c r="M434"/>
  <c r="L434" s="1"/>
  <c r="M433"/>
  <c r="L433" s="1"/>
  <c r="M432"/>
  <c r="L432" s="1"/>
  <c r="M431"/>
  <c r="L431" s="1"/>
  <c r="M430"/>
  <c r="L430" s="1"/>
  <c r="M429"/>
  <c r="L429" s="1"/>
  <c r="M428"/>
  <c r="L428" s="1"/>
  <c r="M427"/>
  <c r="L427" s="1"/>
  <c r="M426"/>
  <c r="L426" s="1"/>
  <c r="M425"/>
  <c r="L425" s="1"/>
  <c r="M424"/>
  <c r="L424" s="1"/>
  <c r="M423"/>
  <c r="L423" s="1"/>
  <c r="M422"/>
  <c r="L422" s="1"/>
  <c r="M421"/>
  <c r="L421" s="1"/>
  <c r="M420"/>
  <c r="L420" s="1"/>
  <c r="M419"/>
  <c r="L419" s="1"/>
  <c r="M418"/>
  <c r="L418" s="1"/>
  <c r="M417"/>
  <c r="L417" s="1"/>
  <c r="M416"/>
  <c r="L416" s="1"/>
  <c r="M415"/>
  <c r="L415" s="1"/>
  <c r="M414"/>
  <c r="L414" s="1"/>
  <c r="M413"/>
  <c r="L413" s="1"/>
  <c r="M412"/>
  <c r="L412" s="1"/>
  <c r="M411"/>
  <c r="L411" s="1"/>
  <c r="M410"/>
  <c r="L410" s="1"/>
  <c r="M409"/>
  <c r="L409" s="1"/>
  <c r="M408"/>
  <c r="L408" s="1"/>
  <c r="M407"/>
  <c r="L407" s="1"/>
  <c r="M406"/>
  <c r="L406" s="1"/>
  <c r="M405"/>
  <c r="L405" s="1"/>
  <c r="M404"/>
  <c r="L404" s="1"/>
  <c r="M403"/>
  <c r="L403" s="1"/>
  <c r="D250" i="174" l="1"/>
  <c r="C250"/>
  <c r="B250"/>
  <c r="E250" l="1"/>
  <c r="F261" i="32" l="1"/>
  <c r="F289" s="1"/>
  <c r="J941" i="31" l="1"/>
  <c r="J1077" s="1"/>
  <c r="J932" l="1"/>
  <c r="J926"/>
  <c r="J929" l="1"/>
  <c r="J922"/>
  <c r="J919"/>
  <c r="K138" i="182"/>
  <c r="J138"/>
  <c r="K139"/>
  <c r="J139"/>
  <c r="K364"/>
  <c r="K317"/>
  <c r="K298"/>
  <c r="K296"/>
  <c r="K302"/>
  <c r="F259" i="32"/>
  <c r="J933" i="31" l="1"/>
  <c r="C249" i="174" l="1"/>
  <c r="B249"/>
  <c r="E249" l="1"/>
  <c r="D260" i="32"/>
  <c r="F200" i="171" l="1"/>
  <c r="D248" i="174" l="1"/>
  <c r="B248"/>
  <c r="E248" l="1"/>
  <c r="J899" i="31"/>
  <c r="F258" i="32" l="1"/>
  <c r="J923" i="31" l="1"/>
  <c r="J898"/>
  <c r="D247" i="174"/>
  <c r="B247"/>
  <c r="E247" l="1"/>
  <c r="F257" i="32" l="1"/>
  <c r="J918" i="31" l="1"/>
  <c r="J917"/>
  <c r="J881"/>
  <c r="J924"/>
  <c r="D246" i="174" l="1"/>
  <c r="B246"/>
  <c r="E246" l="1"/>
  <c r="F212" i="171"/>
  <c r="F256" i="32" l="1"/>
  <c r="F255"/>
  <c r="K345" i="182" l="1"/>
  <c r="K333" l="1"/>
  <c r="J916" i="31" l="1"/>
  <c r="J902"/>
  <c r="J915"/>
  <c r="J920" s="1"/>
  <c r="J912"/>
  <c r="D245" i="174" l="1"/>
  <c r="B245"/>
  <c r="E245" l="1"/>
  <c r="F211" i="171"/>
  <c r="M402" i="182" l="1"/>
  <c r="L402" s="1"/>
  <c r="J910" i="31" l="1"/>
  <c r="J911" l="1"/>
  <c r="J913" s="1"/>
  <c r="J907"/>
  <c r="J893"/>
  <c r="D244" i="174" l="1"/>
  <c r="C244"/>
  <c r="B244"/>
  <c r="C210" i="171"/>
  <c r="F210" s="1"/>
  <c r="E244" i="174" l="1"/>
  <c r="F254" i="32" l="1"/>
  <c r="J895" i="31" l="1"/>
  <c r="J894"/>
  <c r="J878"/>
  <c r="K196" i="189"/>
  <c r="K242"/>
  <c r="K246"/>
  <c r="K340" i="182"/>
  <c r="K389"/>
  <c r="K279"/>
  <c r="M401" l="1"/>
  <c r="L401" s="1"/>
  <c r="M400"/>
  <c r="L400" s="1"/>
  <c r="M399"/>
  <c r="L399" s="1"/>
  <c r="M398"/>
  <c r="L398" s="1"/>
  <c r="F209" i="171" l="1"/>
  <c r="B243" i="174" l="1"/>
  <c r="E243" s="1"/>
  <c r="J896" i="31"/>
  <c r="J884"/>
  <c r="F253" i="32" l="1"/>
  <c r="D242" i="174"/>
  <c r="B242"/>
  <c r="E242" l="1"/>
  <c r="F208" i="171"/>
  <c r="F207"/>
  <c r="J813" i="31" l="1"/>
  <c r="J809" l="1"/>
  <c r="F252" i="32" l="1"/>
  <c r="F251"/>
  <c r="J885" i="31" l="1"/>
  <c r="J883"/>
  <c r="J886"/>
  <c r="K390" i="182"/>
  <c r="J891" i="31" l="1"/>
  <c r="K280" i="182"/>
  <c r="K283"/>
  <c r="K341" l="1"/>
  <c r="K344"/>
  <c r="K331"/>
  <c r="K385"/>
  <c r="E241" i="174" l="1"/>
  <c r="N3" i="189" l="1"/>
  <c r="O3"/>
  <c r="R3"/>
  <c r="T3"/>
  <c r="K5"/>
  <c r="M5"/>
  <c r="M6"/>
  <c r="L6" s="1"/>
  <c r="K7"/>
  <c r="M7"/>
  <c r="L7" s="1"/>
  <c r="M8"/>
  <c r="L8" s="1"/>
  <c r="M9"/>
  <c r="L9" s="1"/>
  <c r="K10"/>
  <c r="M10"/>
  <c r="L10" s="1"/>
  <c r="M11"/>
  <c r="U11" s="1"/>
  <c r="U3" s="1"/>
  <c r="M12"/>
  <c r="L12" s="1"/>
  <c r="K13"/>
  <c r="M13"/>
  <c r="L13" s="1"/>
  <c r="K14"/>
  <c r="M14"/>
  <c r="L14" s="1"/>
  <c r="K15"/>
  <c r="M15"/>
  <c r="L15" s="1"/>
  <c r="K16"/>
  <c r="M16"/>
  <c r="L16" s="1"/>
  <c r="K17"/>
  <c r="M17"/>
  <c r="L17" s="1"/>
  <c r="K18"/>
  <c r="M18"/>
  <c r="L18" s="1"/>
  <c r="K19"/>
  <c r="M19"/>
  <c r="L19" s="1"/>
  <c r="K20"/>
  <c r="M20"/>
  <c r="L20" s="1"/>
  <c r="K21"/>
  <c r="M21"/>
  <c r="L21" s="1"/>
  <c r="K22"/>
  <c r="M22"/>
  <c r="L22" s="1"/>
  <c r="K23"/>
  <c r="M23"/>
  <c r="L23" s="1"/>
  <c r="K24"/>
  <c r="M24"/>
  <c r="L24" s="1"/>
  <c r="K25"/>
  <c r="M25"/>
  <c r="L25" s="1"/>
  <c r="M26"/>
  <c r="L26" s="1"/>
  <c r="K27"/>
  <c r="M27"/>
  <c r="L27" s="1"/>
  <c r="K28"/>
  <c r="M28"/>
  <c r="L28" s="1"/>
  <c r="K29"/>
  <c r="M29"/>
  <c r="L29" s="1"/>
  <c r="M30"/>
  <c r="L30" s="1"/>
  <c r="K31"/>
  <c r="M31"/>
  <c r="L31" s="1"/>
  <c r="K32"/>
  <c r="M32"/>
  <c r="L32" s="1"/>
  <c r="J33"/>
  <c r="K33"/>
  <c r="M33"/>
  <c r="L33" s="1"/>
  <c r="J34"/>
  <c r="K34"/>
  <c r="M34"/>
  <c r="L34" s="1"/>
  <c r="J35"/>
  <c r="K35"/>
  <c r="M35"/>
  <c r="L35" s="1"/>
  <c r="J36"/>
  <c r="K36"/>
  <c r="M36"/>
  <c r="L36" s="1"/>
  <c r="J37"/>
  <c r="K37"/>
  <c r="M37"/>
  <c r="L37" s="1"/>
  <c r="J38"/>
  <c r="K38"/>
  <c r="M38"/>
  <c r="L38" s="1"/>
  <c r="K39"/>
  <c r="M39"/>
  <c r="L39" s="1"/>
  <c r="J40"/>
  <c r="K40"/>
  <c r="M40"/>
  <c r="L40" s="1"/>
  <c r="J41"/>
  <c r="K41"/>
  <c r="M41"/>
  <c r="L41" s="1"/>
  <c r="J42"/>
  <c r="K42"/>
  <c r="M42"/>
  <c r="L42" s="1"/>
  <c r="J43"/>
  <c r="K43"/>
  <c r="M43"/>
  <c r="L43" s="1"/>
  <c r="K44"/>
  <c r="M44"/>
  <c r="L44" s="1"/>
  <c r="K45"/>
  <c r="M45"/>
  <c r="L45" s="1"/>
  <c r="M46"/>
  <c r="L46" s="1"/>
  <c r="K47"/>
  <c r="M47"/>
  <c r="L47" s="1"/>
  <c r="K48"/>
  <c r="M48"/>
  <c r="L48" s="1"/>
  <c r="K49"/>
  <c r="M49"/>
  <c r="L49" s="1"/>
  <c r="K50"/>
  <c r="M50"/>
  <c r="L50" s="1"/>
  <c r="M51"/>
  <c r="L51" s="1"/>
  <c r="M52"/>
  <c r="L52" s="1"/>
  <c r="M53"/>
  <c r="L53" s="1"/>
  <c r="K54"/>
  <c r="M54"/>
  <c r="L54" s="1"/>
  <c r="K55"/>
  <c r="M55"/>
  <c r="L55" s="1"/>
  <c r="K56"/>
  <c r="M56"/>
  <c r="L56" s="1"/>
  <c r="M57"/>
  <c r="L57" s="1"/>
  <c r="M58"/>
  <c r="L58" s="1"/>
  <c r="M59"/>
  <c r="L59" s="1"/>
  <c r="M60"/>
  <c r="L60" s="1"/>
  <c r="K61"/>
  <c r="M61"/>
  <c r="L61" s="1"/>
  <c r="K62"/>
  <c r="M62"/>
  <c r="L62" s="1"/>
  <c r="K63"/>
  <c r="M63"/>
  <c r="L63" s="1"/>
  <c r="K64"/>
  <c r="M64"/>
  <c r="L64" s="1"/>
  <c r="K65"/>
  <c r="M65"/>
  <c r="L65" s="1"/>
  <c r="M66"/>
  <c r="L66" s="1"/>
  <c r="J67"/>
  <c r="K67"/>
  <c r="M67"/>
  <c r="L67" s="1"/>
  <c r="M68"/>
  <c r="L68" s="1"/>
  <c r="M69"/>
  <c r="L69" s="1"/>
  <c r="K70"/>
  <c r="M70"/>
  <c r="L70" s="1"/>
  <c r="K71"/>
  <c r="M71"/>
  <c r="L71" s="1"/>
  <c r="M72"/>
  <c r="L72" s="1"/>
  <c r="M73"/>
  <c r="L73" s="1"/>
  <c r="K74"/>
  <c r="M74"/>
  <c r="L74" s="1"/>
  <c r="K75"/>
  <c r="M75"/>
  <c r="L75" s="1"/>
  <c r="K76"/>
  <c r="M76"/>
  <c r="L76" s="1"/>
  <c r="K77"/>
  <c r="M77"/>
  <c r="L77" s="1"/>
  <c r="K78"/>
  <c r="M78"/>
  <c r="L78" s="1"/>
  <c r="K79"/>
  <c r="M79"/>
  <c r="L79" s="1"/>
  <c r="K80"/>
  <c r="M80"/>
  <c r="L80" s="1"/>
  <c r="K81"/>
  <c r="M81"/>
  <c r="L81" s="1"/>
  <c r="J82"/>
  <c r="K82"/>
  <c r="M82"/>
  <c r="L82" s="1"/>
  <c r="K83"/>
  <c r="M83"/>
  <c r="L83" s="1"/>
  <c r="K84"/>
  <c r="M84"/>
  <c r="L84" s="1"/>
  <c r="K85"/>
  <c r="M85"/>
  <c r="L85" s="1"/>
  <c r="M86"/>
  <c r="L86" s="1"/>
  <c r="K87"/>
  <c r="M87"/>
  <c r="L87" s="1"/>
  <c r="K88"/>
  <c r="M88"/>
  <c r="L88" s="1"/>
  <c r="M89"/>
  <c r="L89" s="1"/>
  <c r="K90"/>
  <c r="M90"/>
  <c r="L90" s="1"/>
  <c r="K91"/>
  <c r="M91"/>
  <c r="L91" s="1"/>
  <c r="K92"/>
  <c r="M92"/>
  <c r="L92" s="1"/>
  <c r="K93"/>
  <c r="M93"/>
  <c r="L93" s="1"/>
  <c r="K94"/>
  <c r="M94"/>
  <c r="L94" s="1"/>
  <c r="K95"/>
  <c r="M95"/>
  <c r="L95" s="1"/>
  <c r="K96"/>
  <c r="Q96"/>
  <c r="Q3" s="1"/>
  <c r="K97"/>
  <c r="M97"/>
  <c r="L97" s="1"/>
  <c r="M98"/>
  <c r="L98" s="1"/>
  <c r="M99"/>
  <c r="L99" s="1"/>
  <c r="M100"/>
  <c r="L100" s="1"/>
  <c r="K101"/>
  <c r="M101"/>
  <c r="L101" s="1"/>
  <c r="K102"/>
  <c r="M102"/>
  <c r="L102" s="1"/>
  <c r="K103"/>
  <c r="M103"/>
  <c r="L103" s="1"/>
  <c r="K104"/>
  <c r="M104"/>
  <c r="L104" s="1"/>
  <c r="M105"/>
  <c r="L105" s="1"/>
  <c r="K106"/>
  <c r="M106"/>
  <c r="L106" s="1"/>
  <c r="M107"/>
  <c r="L107" s="1"/>
  <c r="M108"/>
  <c r="L108" s="1"/>
  <c r="K109"/>
  <c r="M109"/>
  <c r="L109" s="1"/>
  <c r="M110"/>
  <c r="L110" s="1"/>
  <c r="M111"/>
  <c r="L111" s="1"/>
  <c r="M112"/>
  <c r="L112" s="1"/>
  <c r="K113"/>
  <c r="M113"/>
  <c r="L113" s="1"/>
  <c r="K114"/>
  <c r="M114"/>
  <c r="L114" s="1"/>
  <c r="M115"/>
  <c r="L115" s="1"/>
  <c r="M116"/>
  <c r="L116" s="1"/>
  <c r="M117"/>
  <c r="L117" s="1"/>
  <c r="K118"/>
  <c r="M118"/>
  <c r="L118" s="1"/>
  <c r="M119"/>
  <c r="L119" s="1"/>
  <c r="M120"/>
  <c r="L120" s="1"/>
  <c r="M121"/>
  <c r="L121" s="1"/>
  <c r="K122"/>
  <c r="M122"/>
  <c r="L122" s="1"/>
  <c r="M123"/>
  <c r="L123" s="1"/>
  <c r="M124"/>
  <c r="L124" s="1"/>
  <c r="K125"/>
  <c r="M125"/>
  <c r="L125" s="1"/>
  <c r="K126"/>
  <c r="M126"/>
  <c r="L126" s="1"/>
  <c r="M127"/>
  <c r="L127" s="1"/>
  <c r="M128"/>
  <c r="L128" s="1"/>
  <c r="J129"/>
  <c r="M129"/>
  <c r="L129" s="1"/>
  <c r="J130"/>
  <c r="M130"/>
  <c r="L130" s="1"/>
  <c r="M131"/>
  <c r="L131" s="1"/>
  <c r="J132"/>
  <c r="M132"/>
  <c r="L132" s="1"/>
  <c r="M133"/>
  <c r="L133" s="1"/>
  <c r="J134"/>
  <c r="K134"/>
  <c r="M134"/>
  <c r="L134" s="1"/>
  <c r="K135"/>
  <c r="M135"/>
  <c r="L135" s="1"/>
  <c r="K136"/>
  <c r="M136"/>
  <c r="L136" s="1"/>
  <c r="J137"/>
  <c r="K137"/>
  <c r="M137"/>
  <c r="L137" s="1"/>
  <c r="J138"/>
  <c r="M138"/>
  <c r="L138" s="1"/>
  <c r="K139"/>
  <c r="M139"/>
  <c r="L139" s="1"/>
  <c r="K140"/>
  <c r="M140"/>
  <c r="L140" s="1"/>
  <c r="M141"/>
  <c r="L141" s="1"/>
  <c r="M142"/>
  <c r="L142" s="1"/>
  <c r="M143"/>
  <c r="L143" s="1"/>
  <c r="M144"/>
  <c r="L144" s="1"/>
  <c r="M145"/>
  <c r="L145" s="1"/>
  <c r="K146"/>
  <c r="M146"/>
  <c r="L146" s="1"/>
  <c r="K147"/>
  <c r="M147"/>
  <c r="L147" s="1"/>
  <c r="K148"/>
  <c r="M148"/>
  <c r="L148" s="1"/>
  <c r="K149"/>
  <c r="M149"/>
  <c r="L149" s="1"/>
  <c r="J150"/>
  <c r="K150"/>
  <c r="M150"/>
  <c r="L150" s="1"/>
  <c r="M151"/>
  <c r="L151" s="1"/>
  <c r="M152"/>
  <c r="L152" s="1"/>
  <c r="J153"/>
  <c r="M153"/>
  <c r="L153" s="1"/>
  <c r="K154"/>
  <c r="M154"/>
  <c r="L154" s="1"/>
  <c r="K155"/>
  <c r="M155"/>
  <c r="L155" s="1"/>
  <c r="K156"/>
  <c r="M156"/>
  <c r="L156" s="1"/>
  <c r="K157"/>
  <c r="M157"/>
  <c r="L157" s="1"/>
  <c r="M158"/>
  <c r="L158" s="1"/>
  <c r="K159"/>
  <c r="M159"/>
  <c r="L159" s="1"/>
  <c r="K160"/>
  <c r="M160"/>
  <c r="L160" s="1"/>
  <c r="K161"/>
  <c r="M161"/>
  <c r="L161" s="1"/>
  <c r="K162"/>
  <c r="M162"/>
  <c r="L162" s="1"/>
  <c r="K163"/>
  <c r="M163"/>
  <c r="L163" s="1"/>
  <c r="K164"/>
  <c r="M164"/>
  <c r="L164" s="1"/>
  <c r="K165"/>
  <c r="M165"/>
  <c r="L165" s="1"/>
  <c r="J166"/>
  <c r="K166"/>
  <c r="M166"/>
  <c r="L166" s="1"/>
  <c r="K167"/>
  <c r="M167"/>
  <c r="L167" s="1"/>
  <c r="K168"/>
  <c r="M168"/>
  <c r="L168" s="1"/>
  <c r="K169"/>
  <c r="M169"/>
  <c r="L169" s="1"/>
  <c r="M170"/>
  <c r="L170" s="1"/>
  <c r="M171"/>
  <c r="L171" s="1"/>
  <c r="M172"/>
  <c r="L172" s="1"/>
  <c r="K173"/>
  <c r="M173"/>
  <c r="L173" s="1"/>
  <c r="K174"/>
  <c r="M174"/>
  <c r="L174" s="1"/>
  <c r="K175"/>
  <c r="M175"/>
  <c r="L175" s="1"/>
  <c r="M176"/>
  <c r="L176" s="1"/>
  <c r="K177"/>
  <c r="M177"/>
  <c r="L177" s="1"/>
  <c r="K178"/>
  <c r="M178"/>
  <c r="L178" s="1"/>
  <c r="K179"/>
  <c r="M179"/>
  <c r="L179" s="1"/>
  <c r="M180"/>
  <c r="L180" s="1"/>
  <c r="K181"/>
  <c r="M181"/>
  <c r="L181" s="1"/>
  <c r="J182"/>
  <c r="K182"/>
  <c r="M182"/>
  <c r="L182" s="1"/>
  <c r="K183"/>
  <c r="M183"/>
  <c r="L183" s="1"/>
  <c r="K184"/>
  <c r="M184"/>
  <c r="L184" s="1"/>
  <c r="K185"/>
  <c r="M185"/>
  <c r="L185" s="1"/>
  <c r="M186"/>
  <c r="L186" s="1"/>
  <c r="K187"/>
  <c r="M187"/>
  <c r="L187" s="1"/>
  <c r="M188"/>
  <c r="L188" s="1"/>
  <c r="K189"/>
  <c r="M189"/>
  <c r="L189" s="1"/>
  <c r="M190"/>
  <c r="L190" s="1"/>
  <c r="M191"/>
  <c r="L191" s="1"/>
  <c r="K192"/>
  <c r="M192"/>
  <c r="L192" s="1"/>
  <c r="K193"/>
  <c r="M193"/>
  <c r="L193" s="1"/>
  <c r="K194"/>
  <c r="M194"/>
  <c r="L194" s="1"/>
  <c r="M195"/>
  <c r="L195" s="1"/>
  <c r="M196"/>
  <c r="L196" s="1"/>
  <c r="K197"/>
  <c r="M197"/>
  <c r="L197" s="1"/>
  <c r="K198"/>
  <c r="M198"/>
  <c r="L198" s="1"/>
  <c r="K199"/>
  <c r="M199"/>
  <c r="L199" s="1"/>
  <c r="K200"/>
  <c r="M200"/>
  <c r="L200" s="1"/>
  <c r="K201"/>
  <c r="M201"/>
  <c r="L201" s="1"/>
  <c r="M202"/>
  <c r="L202" s="1"/>
  <c r="M203"/>
  <c r="L203" s="1"/>
  <c r="M204"/>
  <c r="L204" s="1"/>
  <c r="M205"/>
  <c r="L205" s="1"/>
  <c r="M206"/>
  <c r="L206" s="1"/>
  <c r="K207"/>
  <c r="M207"/>
  <c r="L207" s="1"/>
  <c r="M208"/>
  <c r="L208" s="1"/>
  <c r="M209"/>
  <c r="L209" s="1"/>
  <c r="M210"/>
  <c r="L210" s="1"/>
  <c r="M211"/>
  <c r="L211" s="1"/>
  <c r="K212"/>
  <c r="M212"/>
  <c r="L212" s="1"/>
  <c r="M213"/>
  <c r="L213" s="1"/>
  <c r="M214"/>
  <c r="L214" s="1"/>
  <c r="M215"/>
  <c r="L215" s="1"/>
  <c r="M216"/>
  <c r="L216" s="1"/>
  <c r="K217"/>
  <c r="M217"/>
  <c r="L217" s="1"/>
  <c r="K218"/>
  <c r="M218"/>
  <c r="L218" s="1"/>
  <c r="K219"/>
  <c r="M219"/>
  <c r="L219" s="1"/>
  <c r="K220"/>
  <c r="M220"/>
  <c r="L220" s="1"/>
  <c r="M221"/>
  <c r="L221" s="1"/>
  <c r="M222"/>
  <c r="L222" s="1"/>
  <c r="M223"/>
  <c r="L223" s="1"/>
  <c r="M224"/>
  <c r="L224" s="1"/>
  <c r="M225"/>
  <c r="L225" s="1"/>
  <c r="K226"/>
  <c r="M226"/>
  <c r="L226" s="1"/>
  <c r="J227"/>
  <c r="K227"/>
  <c r="M227"/>
  <c r="L227" s="1"/>
  <c r="K228"/>
  <c r="M228"/>
  <c r="L228" s="1"/>
  <c r="M229"/>
  <c r="L229" s="1"/>
  <c r="M230"/>
  <c r="L230" s="1"/>
  <c r="S3"/>
  <c r="K231"/>
  <c r="M231"/>
  <c r="L231" s="1"/>
  <c r="M232"/>
  <c r="L232" s="1"/>
  <c r="M233"/>
  <c r="L233" s="1"/>
  <c r="M234"/>
  <c r="L234" s="1"/>
  <c r="K235"/>
  <c r="M235"/>
  <c r="L235" s="1"/>
  <c r="K236"/>
  <c r="M236"/>
  <c r="L236" s="1"/>
  <c r="M237"/>
  <c r="L237" s="1"/>
  <c r="M238"/>
  <c r="L238" s="1"/>
  <c r="M239"/>
  <c r="L239" s="1"/>
  <c r="M240"/>
  <c r="L240" s="1"/>
  <c r="M241"/>
  <c r="L241" s="1"/>
  <c r="P3"/>
  <c r="M243"/>
  <c r="L243" s="1"/>
  <c r="M244"/>
  <c r="L244" s="1"/>
  <c r="K245"/>
  <c r="M245"/>
  <c r="L245" s="1"/>
  <c r="M246"/>
  <c r="L246" s="1"/>
  <c r="M247"/>
  <c r="L247" s="1"/>
  <c r="M248"/>
  <c r="L248" s="1"/>
  <c r="M249"/>
  <c r="L249" s="1"/>
  <c r="M250"/>
  <c r="L250" s="1"/>
  <c r="M251"/>
  <c r="L251" s="1"/>
  <c r="M252"/>
  <c r="L252" s="1"/>
  <c r="M253"/>
  <c r="L253" s="1"/>
  <c r="M254"/>
  <c r="L254" s="1"/>
  <c r="M255"/>
  <c r="L255" s="1"/>
  <c r="L5" l="1"/>
  <c r="K3"/>
  <c r="M242"/>
  <c r="L242" s="1"/>
  <c r="M96"/>
  <c r="L96" s="1"/>
  <c r="L11"/>
  <c r="L3" l="1"/>
  <c r="M3"/>
  <c r="J808" i="31" l="1"/>
  <c r="J802" l="1"/>
  <c r="J803" l="1"/>
  <c r="F250" i="32" l="1"/>
  <c r="K284" i="182" l="1"/>
  <c r="J786" i="31" l="1"/>
  <c r="J796"/>
  <c r="J793"/>
  <c r="C240" i="174" l="1"/>
  <c r="E240" s="1"/>
  <c r="F206" i="171"/>
  <c r="J871" i="31" l="1"/>
  <c r="J873" s="1"/>
  <c r="J879" l="1"/>
  <c r="C239" i="174"/>
  <c r="E239" s="1"/>
  <c r="F205" i="171"/>
  <c r="J839" i="31" l="1"/>
  <c r="J846" l="1"/>
  <c r="J844"/>
  <c r="J843"/>
  <c r="J847" l="1"/>
  <c r="J867" l="1"/>
  <c r="J828"/>
  <c r="J818"/>
  <c r="J819"/>
  <c r="C238" i="174" l="1"/>
  <c r="E238" s="1"/>
  <c r="F204" i="171" l="1"/>
  <c r="F249" i="32" l="1"/>
  <c r="F25" i="201"/>
  <c r="F24"/>
  <c r="F23"/>
  <c r="F22"/>
  <c r="F20"/>
  <c r="I20" s="1"/>
  <c r="F19"/>
  <c r="F18"/>
  <c r="F17"/>
  <c r="F16"/>
  <c r="I16" s="1"/>
  <c r="F15"/>
  <c r="F14"/>
  <c r="F12"/>
  <c r="F10"/>
  <c r="F9"/>
  <c r="F8"/>
  <c r="F7"/>
  <c r="F6"/>
  <c r="F248" i="32" l="1"/>
  <c r="J865" i="31" l="1"/>
  <c r="J869" s="1"/>
  <c r="J860"/>
  <c r="C237" i="174" l="1"/>
  <c r="E237" s="1"/>
  <c r="F203" i="171" l="1"/>
  <c r="F247" i="32" l="1"/>
  <c r="J863" i="31" l="1"/>
  <c r="J856"/>
  <c r="B236" i="174" l="1"/>
  <c r="E236" s="1"/>
  <c r="F202" i="171" l="1"/>
  <c r="F246" i="32"/>
  <c r="J351" i="182" l="1"/>
  <c r="M397" l="1"/>
  <c r="M396"/>
  <c r="L396" s="1"/>
  <c r="M395"/>
  <c r="L395" s="1"/>
  <c r="M394"/>
  <c r="L394" s="1"/>
  <c r="M393"/>
  <c r="L393" s="1"/>
  <c r="M392"/>
  <c r="L392" s="1"/>
  <c r="M391"/>
  <c r="L391" s="1"/>
  <c r="M390"/>
  <c r="L390" s="1"/>
  <c r="M389"/>
  <c r="L389" s="1"/>
  <c r="M388"/>
  <c r="L388" s="1"/>
  <c r="M387"/>
  <c r="L387" s="1"/>
  <c r="M386"/>
  <c r="L386" s="1"/>
  <c r="M385"/>
  <c r="L385" s="1"/>
  <c r="L397" l="1"/>
  <c r="M384"/>
  <c r="L384" s="1"/>
  <c r="M383"/>
  <c r="L383" s="1"/>
  <c r="M382"/>
  <c r="L382" s="1"/>
  <c r="M381"/>
  <c r="L381" s="1"/>
  <c r="M380"/>
  <c r="L380" s="1"/>
  <c r="M379"/>
  <c r="L379" s="1"/>
  <c r="M378"/>
  <c r="L378" s="1"/>
  <c r="M377"/>
  <c r="L377" s="1"/>
  <c r="M376"/>
  <c r="L376" s="1"/>
  <c r="M375"/>
  <c r="L375" s="1"/>
  <c r="M374"/>
  <c r="L374" s="1"/>
  <c r="M373"/>
  <c r="L373" s="1"/>
  <c r="M372"/>
  <c r="L372" s="1"/>
  <c r="M371"/>
  <c r="L371" s="1"/>
  <c r="M370"/>
  <c r="L370" s="1"/>
  <c r="M369"/>
  <c r="L369" s="1"/>
  <c r="M368"/>
  <c r="M367"/>
  <c r="L367" s="1"/>
  <c r="M366"/>
  <c r="L366" s="1"/>
  <c r="M365"/>
  <c r="L365" s="1"/>
  <c r="M364"/>
  <c r="L364" s="1"/>
  <c r="M363"/>
  <c r="L363" s="1"/>
  <c r="M362"/>
  <c r="L362" s="1"/>
  <c r="M361"/>
  <c r="L361" s="1"/>
  <c r="M360"/>
  <c r="L360" s="1"/>
  <c r="M359"/>
  <c r="L359" s="1"/>
  <c r="L368" l="1"/>
  <c r="J855" i="31" l="1"/>
  <c r="J857" s="1"/>
  <c r="D235" i="174"/>
  <c r="B235"/>
  <c r="E235" l="1"/>
  <c r="F201" i="171"/>
  <c r="J851" i="31" l="1"/>
  <c r="J853" s="1"/>
  <c r="P7" i="201" l="1"/>
  <c r="I7"/>
  <c r="M7" l="1"/>
  <c r="P328" i="182"/>
  <c r="P325"/>
  <c r="P323"/>
  <c r="P319"/>
  <c r="P318"/>
  <c r="P316"/>
  <c r="P315"/>
  <c r="P314"/>
  <c r="P304"/>
  <c r="D234" i="174"/>
  <c r="B234"/>
  <c r="F199" i="171"/>
  <c r="E234" i="174" l="1"/>
  <c r="J311" i="182"/>
  <c r="M310"/>
  <c r="L310" s="1"/>
  <c r="L56" l="1"/>
  <c r="L67"/>
  <c r="M69"/>
  <c r="K70"/>
  <c r="M70"/>
  <c r="L70" s="1"/>
  <c r="M71"/>
  <c r="L71" s="1"/>
  <c r="K72"/>
  <c r="M72"/>
  <c r="L72" s="1"/>
  <c r="M73"/>
  <c r="L73" s="1"/>
  <c r="M74"/>
  <c r="L74" s="1"/>
  <c r="K75"/>
  <c r="M75"/>
  <c r="L75" s="1"/>
  <c r="M76"/>
  <c r="L76" s="1"/>
  <c r="M77"/>
  <c r="L77" s="1"/>
  <c r="K78"/>
  <c r="M78"/>
  <c r="L78" s="1"/>
  <c r="M79"/>
  <c r="L79" s="1"/>
  <c r="M80"/>
  <c r="L80" s="1"/>
  <c r="M81"/>
  <c r="L81" s="1"/>
  <c r="M82"/>
  <c r="L82" s="1"/>
  <c r="K83"/>
  <c r="M83"/>
  <c r="L83" s="1"/>
  <c r="K84"/>
  <c r="M84"/>
  <c r="L84" s="1"/>
  <c r="M85"/>
  <c r="L85" s="1"/>
  <c r="K86"/>
  <c r="M86"/>
  <c r="L86" s="1"/>
  <c r="K87"/>
  <c r="M87"/>
  <c r="L87" s="1"/>
  <c r="K88"/>
  <c r="M88"/>
  <c r="L88" s="1"/>
  <c r="M89"/>
  <c r="L89" s="1"/>
  <c r="M90"/>
  <c r="L90" s="1"/>
  <c r="M91"/>
  <c r="L91" s="1"/>
  <c r="M92"/>
  <c r="U92" s="1"/>
  <c r="M93"/>
  <c r="L93" s="1"/>
  <c r="M94"/>
  <c r="L94" s="1"/>
  <c r="M95"/>
  <c r="M96"/>
  <c r="L96" s="1"/>
  <c r="M97"/>
  <c r="L97" s="1"/>
  <c r="M98"/>
  <c r="L98" s="1"/>
  <c r="K99"/>
  <c r="M99"/>
  <c r="L99" s="1"/>
  <c r="M100"/>
  <c r="L100" s="1"/>
  <c r="M101"/>
  <c r="L101" s="1"/>
  <c r="K102"/>
  <c r="M102"/>
  <c r="L102" s="1"/>
  <c r="K103"/>
  <c r="M103"/>
  <c r="L103" s="1"/>
  <c r="K104"/>
  <c r="M104"/>
  <c r="L104" s="1"/>
  <c r="K105"/>
  <c r="M105"/>
  <c r="L105" s="1"/>
  <c r="K106"/>
  <c r="M106"/>
  <c r="L106" s="1"/>
  <c r="K107"/>
  <c r="M107"/>
  <c r="L107" s="1"/>
  <c r="K108"/>
  <c r="M108"/>
  <c r="L108" s="1"/>
  <c r="K109"/>
  <c r="M109"/>
  <c r="L109" s="1"/>
  <c r="K110"/>
  <c r="M110"/>
  <c r="L110" s="1"/>
  <c r="K111"/>
  <c r="M111"/>
  <c r="L111" s="1"/>
  <c r="K112"/>
  <c r="M112"/>
  <c r="L112" s="1"/>
  <c r="K113"/>
  <c r="M113"/>
  <c r="L113" s="1"/>
  <c r="K114"/>
  <c r="M114"/>
  <c r="L114" s="1"/>
  <c r="K115"/>
  <c r="M115"/>
  <c r="L115" s="1"/>
  <c r="K116"/>
  <c r="M116"/>
  <c r="L116" s="1"/>
  <c r="K117"/>
  <c r="M117"/>
  <c r="L117" s="1"/>
  <c r="K118"/>
  <c r="M118"/>
  <c r="L118" s="1"/>
  <c r="K119"/>
  <c r="M119"/>
  <c r="L119" s="1"/>
  <c r="K120"/>
  <c r="M120"/>
  <c r="L120" s="1"/>
  <c r="K121"/>
  <c r="M121"/>
  <c r="L121" s="1"/>
  <c r="K122"/>
  <c r="M122"/>
  <c r="L122" s="1"/>
  <c r="K123"/>
  <c r="M123"/>
  <c r="L123" s="1"/>
  <c r="K124"/>
  <c r="M124"/>
  <c r="L124" s="1"/>
  <c r="K125"/>
  <c r="M125"/>
  <c r="L125" s="1"/>
  <c r="K126"/>
  <c r="M126"/>
  <c r="L126" s="1"/>
  <c r="K127"/>
  <c r="M127"/>
  <c r="L127" s="1"/>
  <c r="M128"/>
  <c r="L128" s="1"/>
  <c r="K129"/>
  <c r="M129"/>
  <c r="L129" s="1"/>
  <c r="K130"/>
  <c r="M130"/>
  <c r="L130" s="1"/>
  <c r="M131"/>
  <c r="L131" s="1"/>
  <c r="M132"/>
  <c r="L132" s="1"/>
  <c r="K133"/>
  <c r="M133"/>
  <c r="L133" s="1"/>
  <c r="M134"/>
  <c r="L134" s="1"/>
  <c r="K135"/>
  <c r="M135"/>
  <c r="L135" s="1"/>
  <c r="J136"/>
  <c r="K136"/>
  <c r="M136"/>
  <c r="L136" s="1"/>
  <c r="K137"/>
  <c r="M137"/>
  <c r="L137" s="1"/>
  <c r="M138"/>
  <c r="L138" s="1"/>
  <c r="M139"/>
  <c r="L139" s="1"/>
  <c r="M140"/>
  <c r="L140" s="1"/>
  <c r="M141"/>
  <c r="L141" s="1"/>
  <c r="M142"/>
  <c r="L142" s="1"/>
  <c r="K143"/>
  <c r="M143"/>
  <c r="L143" s="1"/>
  <c r="M144"/>
  <c r="L144" s="1"/>
  <c r="J145"/>
  <c r="K145"/>
  <c r="M145"/>
  <c r="L145" s="1"/>
  <c r="J146"/>
  <c r="M146"/>
  <c r="L146" s="1"/>
  <c r="M147"/>
  <c r="L147" s="1"/>
  <c r="M148"/>
  <c r="L148" s="1"/>
  <c r="M149"/>
  <c r="L149" s="1"/>
  <c r="K150"/>
  <c r="M150"/>
  <c r="L150" s="1"/>
  <c r="M151"/>
  <c r="L151" s="1"/>
  <c r="M152"/>
  <c r="L152" s="1"/>
  <c r="M153"/>
  <c r="L153" s="1"/>
  <c r="M154"/>
  <c r="L154" s="1"/>
  <c r="M155"/>
  <c r="L155" s="1"/>
  <c r="M156"/>
  <c r="L156" s="1"/>
  <c r="M157"/>
  <c r="L157" s="1"/>
  <c r="K158"/>
  <c r="M158"/>
  <c r="L158" s="1"/>
  <c r="M159"/>
  <c r="L159" s="1"/>
  <c r="M160"/>
  <c r="L160" s="1"/>
  <c r="M161"/>
  <c r="L161" s="1"/>
  <c r="M162"/>
  <c r="L162" s="1"/>
  <c r="M163"/>
  <c r="L163" s="1"/>
  <c r="M164"/>
  <c r="L164" s="1"/>
  <c r="M165"/>
  <c r="L165" s="1"/>
  <c r="M166"/>
  <c r="L166" s="1"/>
  <c r="K167"/>
  <c r="M167"/>
  <c r="L167" s="1"/>
  <c r="M168"/>
  <c r="L168" s="1"/>
  <c r="M169"/>
  <c r="L169" s="1"/>
  <c r="M170"/>
  <c r="L170" s="1"/>
  <c r="M171"/>
  <c r="L171" s="1"/>
  <c r="M172"/>
  <c r="L172" s="1"/>
  <c r="K173"/>
  <c r="M173"/>
  <c r="L173" s="1"/>
  <c r="M174"/>
  <c r="L174" s="1"/>
  <c r="K175"/>
  <c r="M175"/>
  <c r="L175" s="1"/>
  <c r="M176"/>
  <c r="L176" s="1"/>
  <c r="M177"/>
  <c r="L177" s="1"/>
  <c r="K178"/>
  <c r="M178"/>
  <c r="L178" s="1"/>
  <c r="M179"/>
  <c r="L179" s="1"/>
  <c r="M180"/>
  <c r="L180" s="1"/>
  <c r="K181"/>
  <c r="M181"/>
  <c r="L181" s="1"/>
  <c r="M182"/>
  <c r="L182" s="1"/>
  <c r="M183"/>
  <c r="L183" s="1"/>
  <c r="M184"/>
  <c r="L184" s="1"/>
  <c r="M185"/>
  <c r="L185" s="1"/>
  <c r="M186"/>
  <c r="L186" s="1"/>
  <c r="K187"/>
  <c r="M187"/>
  <c r="L187" s="1"/>
  <c r="M188"/>
  <c r="L188" s="1"/>
  <c r="M189"/>
  <c r="L189" s="1"/>
  <c r="M190"/>
  <c r="L190" s="1"/>
  <c r="M191"/>
  <c r="L191" s="1"/>
  <c r="M192"/>
  <c r="L192" s="1"/>
  <c r="K193"/>
  <c r="M193"/>
  <c r="L193" s="1"/>
  <c r="M194"/>
  <c r="L194" s="1"/>
  <c r="K195"/>
  <c r="M195"/>
  <c r="L195" s="1"/>
  <c r="K196"/>
  <c r="M196"/>
  <c r="L196" s="1"/>
  <c r="M197"/>
  <c r="L197" s="1"/>
  <c r="K198"/>
  <c r="M198"/>
  <c r="L198" s="1"/>
  <c r="K199"/>
  <c r="M199"/>
  <c r="L199" s="1"/>
  <c r="K200"/>
  <c r="M200"/>
  <c r="L200" s="1"/>
  <c r="M201"/>
  <c r="L201" s="1"/>
  <c r="K202"/>
  <c r="M202"/>
  <c r="L202" s="1"/>
  <c r="K203"/>
  <c r="M203"/>
  <c r="L203" s="1"/>
  <c r="K204"/>
  <c r="M204"/>
  <c r="L204" s="1"/>
  <c r="M205"/>
  <c r="L205" s="1"/>
  <c r="M206"/>
  <c r="L206" s="1"/>
  <c r="M207"/>
  <c r="L207" s="1"/>
  <c r="K208"/>
  <c r="M208"/>
  <c r="L208" s="1"/>
  <c r="K209"/>
  <c r="M209"/>
  <c r="L209" s="1"/>
  <c r="M210"/>
  <c r="L210" s="1"/>
  <c r="K211"/>
  <c r="M211"/>
  <c r="L211" s="1"/>
  <c r="K212"/>
  <c r="M212"/>
  <c r="L212" s="1"/>
  <c r="M213"/>
  <c r="L213" s="1"/>
  <c r="K214"/>
  <c r="M214"/>
  <c r="L214" s="1"/>
  <c r="M215"/>
  <c r="L215" s="1"/>
  <c r="M216"/>
  <c r="L216" s="1"/>
  <c r="M217"/>
  <c r="L217" s="1"/>
  <c r="M218"/>
  <c r="L218" s="1"/>
  <c r="M219"/>
  <c r="L219" s="1"/>
  <c r="M220"/>
  <c r="L220" s="1"/>
  <c r="M221"/>
  <c r="L221" s="1"/>
  <c r="M222"/>
  <c r="L222" s="1"/>
  <c r="M223"/>
  <c r="L223" s="1"/>
  <c r="M224"/>
  <c r="L224" s="1"/>
  <c r="M225"/>
  <c r="L225" s="1"/>
  <c r="M226"/>
  <c r="L226" s="1"/>
  <c r="M227"/>
  <c r="L227" s="1"/>
  <c r="M228"/>
  <c r="L228" s="1"/>
  <c r="M229"/>
  <c r="L229" s="1"/>
  <c r="M230"/>
  <c r="L230" s="1"/>
  <c r="M231"/>
  <c r="L231" s="1"/>
  <c r="M232"/>
  <c r="L232" s="1"/>
  <c r="M233"/>
  <c r="L233" s="1"/>
  <c r="M234"/>
  <c r="L234" s="1"/>
  <c r="M235"/>
  <c r="L235" s="1"/>
  <c r="M236"/>
  <c r="L236" s="1"/>
  <c r="M237"/>
  <c r="L237" s="1"/>
  <c r="M238"/>
  <c r="L238" s="1"/>
  <c r="K239"/>
  <c r="M239"/>
  <c r="L239" s="1"/>
  <c r="M240"/>
  <c r="L240" s="1"/>
  <c r="K241"/>
  <c r="M241"/>
  <c r="L241" s="1"/>
  <c r="K242"/>
  <c r="M242"/>
  <c r="L242" s="1"/>
  <c r="K243"/>
  <c r="M243"/>
  <c r="L243" s="1"/>
  <c r="M244"/>
  <c r="L244" s="1"/>
  <c r="K245"/>
  <c r="M245"/>
  <c r="L245" s="1"/>
  <c r="M246"/>
  <c r="L246" s="1"/>
  <c r="M247"/>
  <c r="L247" s="1"/>
  <c r="K248"/>
  <c r="M248"/>
  <c r="L248" s="1"/>
  <c r="K249"/>
  <c r="M249"/>
  <c r="L249" s="1"/>
  <c r="K250"/>
  <c r="M250"/>
  <c r="L250" s="1"/>
  <c r="K251"/>
  <c r="M251"/>
  <c r="L251" s="1"/>
  <c r="K252"/>
  <c r="M252"/>
  <c r="L252" s="1"/>
  <c r="M253"/>
  <c r="L253" s="1"/>
  <c r="M254"/>
  <c r="L254" s="1"/>
  <c r="M255"/>
  <c r="L255" s="1"/>
  <c r="M256"/>
  <c r="L256" s="1"/>
  <c r="M257"/>
  <c r="L257" s="1"/>
  <c r="M258"/>
  <c r="L258" s="1"/>
  <c r="M259"/>
  <c r="L259" s="1"/>
  <c r="M260"/>
  <c r="L260" s="1"/>
  <c r="M261"/>
  <c r="L261" s="1"/>
  <c r="M262"/>
  <c r="L262" s="1"/>
  <c r="K263"/>
  <c r="M263"/>
  <c r="L263" s="1"/>
  <c r="M264"/>
  <c r="L264" s="1"/>
  <c r="M265"/>
  <c r="L265" s="1"/>
  <c r="M266"/>
  <c r="L266" s="1"/>
  <c r="M267"/>
  <c r="L267" s="1"/>
  <c r="M268"/>
  <c r="L268" s="1"/>
  <c r="M269"/>
  <c r="L269" s="1"/>
  <c r="M270"/>
  <c r="L270" s="1"/>
  <c r="M271"/>
  <c r="L271" s="1"/>
  <c r="M272"/>
  <c r="L272" s="1"/>
  <c r="M273"/>
  <c r="L273" s="1"/>
  <c r="M274"/>
  <c r="L274" s="1"/>
  <c r="M275"/>
  <c r="L275" s="1"/>
  <c r="M276"/>
  <c r="L276" s="1"/>
  <c r="M277"/>
  <c r="L277" s="1"/>
  <c r="M278"/>
  <c r="L278" s="1"/>
  <c r="M279"/>
  <c r="L279" s="1"/>
  <c r="M280"/>
  <c r="L280" s="1"/>
  <c r="M281"/>
  <c r="L281" s="1"/>
  <c r="M282"/>
  <c r="L282" s="1"/>
  <c r="M283"/>
  <c r="L283" s="1"/>
  <c r="M284"/>
  <c r="L284" s="1"/>
  <c r="M285"/>
  <c r="L285" s="1"/>
  <c r="M286"/>
  <c r="L286" s="1"/>
  <c r="M287"/>
  <c r="L287" s="1"/>
  <c r="M288"/>
  <c r="L288" s="1"/>
  <c r="M289"/>
  <c r="L289" s="1"/>
  <c r="M290"/>
  <c r="L290" s="1"/>
  <c r="M291"/>
  <c r="L291" s="1"/>
  <c r="M292"/>
  <c r="L292" s="1"/>
  <c r="M293"/>
  <c r="L293" s="1"/>
  <c r="M294"/>
  <c r="L294" s="1"/>
  <c r="M295"/>
  <c r="L295" s="1"/>
  <c r="M296"/>
  <c r="L296" s="1"/>
  <c r="M297"/>
  <c r="L297" s="1"/>
  <c r="L92" l="1"/>
  <c r="L69"/>
  <c r="U95"/>
  <c r="L95" s="1"/>
  <c r="I23" i="201"/>
  <c r="U3" i="182" l="1"/>
  <c r="M23" i="201"/>
  <c r="C244" i="32"/>
  <c r="F244" s="1"/>
  <c r="C243"/>
  <c r="F243" s="1"/>
  <c r="J840" i="31"/>
  <c r="J823"/>
  <c r="J835" l="1"/>
  <c r="J834"/>
  <c r="J841"/>
  <c r="L841" l="1"/>
  <c r="D233" i="174" l="1"/>
  <c r="B233"/>
  <c r="C242" i="32"/>
  <c r="E233" i="174" l="1"/>
  <c r="D232" l="1"/>
  <c r="B232"/>
  <c r="D231"/>
  <c r="B231"/>
  <c r="F198" i="171"/>
  <c r="E231" i="174" l="1"/>
  <c r="E232"/>
  <c r="F197" i="171"/>
  <c r="J830" i="31" l="1"/>
  <c r="J829"/>
  <c r="J836"/>
  <c r="C241" i="32"/>
  <c r="R3" i="190"/>
  <c r="L836" i="31" l="1"/>
  <c r="C240" i="32"/>
  <c r="J822" i="31"/>
  <c r="J832" s="1"/>
  <c r="L832" l="1"/>
  <c r="D230" i="174"/>
  <c r="B230"/>
  <c r="E230" l="1"/>
  <c r="K305" i="182"/>
  <c r="K3" s="1"/>
  <c r="F196" i="171" l="1"/>
  <c r="F242" i="32" l="1"/>
  <c r="F241"/>
  <c r="F240"/>
  <c r="E239"/>
  <c r="E260" s="1"/>
  <c r="C239"/>
  <c r="J820" i="31"/>
  <c r="J814"/>
  <c r="L820" l="1"/>
  <c r="J798"/>
  <c r="J810"/>
  <c r="J804"/>
  <c r="D228" i="174" l="1"/>
  <c r="B228"/>
  <c r="E229"/>
  <c r="F195" i="171"/>
  <c r="E228" i="174" l="1"/>
  <c r="F194" i="171"/>
  <c r="C238" i="32"/>
  <c r="F238" s="1"/>
  <c r="C237"/>
  <c r="F239"/>
  <c r="C260" l="1"/>
  <c r="F237"/>
  <c r="P306" i="182" l="1"/>
  <c r="P3" s="1"/>
  <c r="M358"/>
  <c r="L358" s="1"/>
  <c r="J815" i="31"/>
  <c r="C227" i="174" l="1"/>
  <c r="D227"/>
  <c r="B227"/>
  <c r="E227" l="1"/>
  <c r="J352" i="182" l="1"/>
  <c r="J3" s="1"/>
  <c r="F236" i="32" l="1"/>
  <c r="J782" i="31" l="1"/>
  <c r="J805"/>
  <c r="C226" i="174" l="1"/>
  <c r="E226" s="1"/>
  <c r="F193" i="171"/>
  <c r="F235" i="32" l="1"/>
  <c r="J788" i="31" l="1"/>
  <c r="J797"/>
  <c r="J799" s="1"/>
  <c r="J735"/>
  <c r="J752"/>
  <c r="J753"/>
  <c r="C225" i="174"/>
  <c r="F192" i="171" l="1"/>
  <c r="F245" i="32" l="1"/>
  <c r="F234"/>
  <c r="J746" i="31" l="1"/>
  <c r="J751"/>
  <c r="J750"/>
  <c r="J787"/>
  <c r="J794" s="1"/>
  <c r="E225" i="174" l="1"/>
  <c r="F191" i="171" l="1"/>
  <c r="F233" i="32" l="1"/>
  <c r="C224" i="174" l="1"/>
  <c r="E224" s="1"/>
  <c r="J783" i="31" l="1"/>
  <c r="J775"/>
  <c r="J774"/>
  <c r="J761"/>
  <c r="D223" i="174"/>
  <c r="C223"/>
  <c r="F190" i="171" l="1"/>
  <c r="M357" i="182" l="1"/>
  <c r="L357" s="1"/>
  <c r="M356"/>
  <c r="L356" s="1"/>
  <c r="M355"/>
  <c r="L355" s="1"/>
  <c r="M354"/>
  <c r="L354" s="1"/>
  <c r="M353"/>
  <c r="L353" s="1"/>
  <c r="M352"/>
  <c r="L352" s="1"/>
  <c r="M351"/>
  <c r="L351" s="1"/>
  <c r="M350"/>
  <c r="L350" s="1"/>
  <c r="M349"/>
  <c r="L349" s="1"/>
  <c r="M348"/>
  <c r="L348" s="1"/>
  <c r="M347"/>
  <c r="L347" s="1"/>
  <c r="M346"/>
  <c r="L346" s="1"/>
  <c r="F232" i="32" l="1"/>
  <c r="K15" i="174" l="1"/>
  <c r="J772" i="31"/>
  <c r="J762"/>
  <c r="J773"/>
  <c r="J741"/>
  <c r="J744"/>
  <c r="J780" l="1"/>
  <c r="C221" i="174"/>
  <c r="E221" s="1"/>
  <c r="E223"/>
  <c r="E222"/>
  <c r="F189" i="171" l="1"/>
  <c r="F231" i="32" l="1"/>
  <c r="F260" s="1"/>
  <c r="M767" i="31" l="1"/>
  <c r="M766"/>
  <c r="M765"/>
  <c r="M761"/>
  <c r="M768" l="1"/>
  <c r="J742"/>
  <c r="M745"/>
  <c r="J745"/>
  <c r="J767"/>
  <c r="J766"/>
  <c r="J765"/>
  <c r="J749"/>
  <c r="J768" l="1"/>
  <c r="J936" s="1"/>
  <c r="C220" i="174" l="1"/>
  <c r="E220" s="1"/>
  <c r="P23" i="201" l="1"/>
  <c r="L751" i="31" l="1"/>
  <c r="J756"/>
  <c r="L749"/>
  <c r="L756" s="1"/>
  <c r="J747" l="1"/>
  <c r="D230" i="32" l="1"/>
  <c r="F229"/>
  <c r="C219" i="174" l="1"/>
  <c r="E219" s="1"/>
  <c r="F188" i="171" l="1"/>
  <c r="P26" i="201" l="1"/>
  <c r="P25"/>
  <c r="P24"/>
  <c r="P22"/>
  <c r="P20"/>
  <c r="P19"/>
  <c r="P18"/>
  <c r="P17"/>
  <c r="P16"/>
  <c r="P15"/>
  <c r="P14"/>
  <c r="P12"/>
  <c r="P11"/>
  <c r="P10"/>
  <c r="P9"/>
  <c r="P8"/>
  <c r="P31" l="1"/>
  <c r="P13"/>
  <c r="Q23"/>
  <c r="Q44" l="1"/>
  <c r="F228" i="32" l="1"/>
  <c r="C218" i="174" l="1"/>
  <c r="E218" s="1"/>
  <c r="F187" i="171" l="1"/>
  <c r="J730" i="31" l="1"/>
  <c r="I10" i="201" l="1"/>
  <c r="I9"/>
  <c r="F26"/>
  <c r="F227" i="32"/>
  <c r="I26" i="201" l="1"/>
  <c r="M26" s="1"/>
  <c r="Q26" l="1"/>
  <c r="E217" i="174" l="1"/>
  <c r="M345" i="182" l="1"/>
  <c r="L345" s="1"/>
  <c r="M344"/>
  <c r="L344" s="1"/>
  <c r="M343"/>
  <c r="L343" s="1"/>
  <c r="M342"/>
  <c r="L342" s="1"/>
  <c r="M341"/>
  <c r="L341" s="1"/>
  <c r="M340"/>
  <c r="L340" s="1"/>
  <c r="M339"/>
  <c r="L339" s="1"/>
  <c r="M338"/>
  <c r="L338" s="1"/>
  <c r="M337"/>
  <c r="L337" s="1"/>
  <c r="M336"/>
  <c r="L336" s="1"/>
  <c r="M335"/>
  <c r="L335" s="1"/>
  <c r="M334"/>
  <c r="L334" s="1"/>
  <c r="M333"/>
  <c r="L333" s="1"/>
  <c r="M332"/>
  <c r="L332" s="1"/>
  <c r="M331"/>
  <c r="L331" s="1"/>
  <c r="M330"/>
  <c r="L330" s="1"/>
  <c r="M329"/>
  <c r="L329" s="1"/>
  <c r="M328"/>
  <c r="L328" s="1"/>
  <c r="M327"/>
  <c r="L327" s="1"/>
  <c r="M326"/>
  <c r="L326" s="1"/>
  <c r="M325"/>
  <c r="L325" s="1"/>
  <c r="M324"/>
  <c r="L324" s="1"/>
  <c r="M323"/>
  <c r="L323" s="1"/>
  <c r="M322"/>
  <c r="L322" s="1"/>
  <c r="M321"/>
  <c r="L321" s="1"/>
  <c r="M320"/>
  <c r="L320" s="1"/>
  <c r="M319"/>
  <c r="L319" s="1"/>
  <c r="M318"/>
  <c r="L318" s="1"/>
  <c r="M317"/>
  <c r="L317" s="1"/>
  <c r="M316"/>
  <c r="L316" s="1"/>
  <c r="M315"/>
  <c r="L315" s="1"/>
  <c r="M314"/>
  <c r="L314" s="1"/>
  <c r="M313"/>
  <c r="L313" s="1"/>
  <c r="M312"/>
  <c r="L312" s="1"/>
  <c r="M311"/>
  <c r="L311" s="1"/>
  <c r="M309"/>
  <c r="L309" s="1"/>
  <c r="M308"/>
  <c r="L308" s="1"/>
  <c r="M307"/>
  <c r="L307" s="1"/>
  <c r="M306"/>
  <c r="L306" s="1"/>
  <c r="M305"/>
  <c r="L305" s="1"/>
  <c r="M304"/>
  <c r="L304" s="1"/>
  <c r="M303"/>
  <c r="L303" s="1"/>
  <c r="M302"/>
  <c r="L302" s="1"/>
  <c r="M301"/>
  <c r="L301" s="1"/>
  <c r="M300"/>
  <c r="L300" s="1"/>
  <c r="M299"/>
  <c r="L299" s="1"/>
  <c r="M298"/>
  <c r="M3" l="1"/>
  <c r="L298"/>
  <c r="L3" s="1"/>
  <c r="I24" i="201" l="1"/>
  <c r="F226" i="32" l="1"/>
  <c r="C216" i="174" l="1"/>
  <c r="E216" s="1"/>
  <c r="F186" i="171" l="1"/>
  <c r="F225" i="32" l="1"/>
  <c r="J734" i="31" l="1"/>
  <c r="J736" s="1"/>
  <c r="F224" i="32" l="1"/>
  <c r="C215" i="174" l="1"/>
  <c r="E215" s="1"/>
  <c r="M24" i="201" l="1"/>
  <c r="M9"/>
  <c r="Q24" l="1"/>
  <c r="F223" i="32" l="1"/>
  <c r="C214" i="174" l="1"/>
  <c r="E214" s="1"/>
  <c r="F185" i="171" l="1"/>
  <c r="J728" i="31" l="1"/>
  <c r="J731" s="1"/>
  <c r="F222" i="32" l="1"/>
  <c r="J724" i="31" l="1"/>
  <c r="J722"/>
  <c r="F184" i="171"/>
  <c r="F221" i="32" l="1"/>
  <c r="C213" i="174" l="1"/>
  <c r="E213" s="1"/>
  <c r="J725" i="31" l="1"/>
  <c r="J716"/>
  <c r="J719"/>
  <c r="J711"/>
  <c r="F183" i="171" l="1"/>
  <c r="F182"/>
  <c r="F220" i="32" l="1"/>
  <c r="J720" i="31" l="1"/>
  <c r="J704" l="1"/>
  <c r="E210" i="174"/>
  <c r="B212"/>
  <c r="E212" s="1"/>
  <c r="B211" l="1"/>
  <c r="E211" s="1"/>
  <c r="J713" i="31" l="1"/>
  <c r="F219" i="32" l="1"/>
  <c r="J705" i="31" l="1"/>
  <c r="F181" i="171" l="1"/>
  <c r="F218" i="32" l="1"/>
  <c r="J700" i="31" l="1"/>
  <c r="J698"/>
  <c r="J702"/>
  <c r="J701"/>
  <c r="J709" l="1"/>
  <c r="F180" i="171"/>
  <c r="D209" i="174"/>
  <c r="E209" s="1"/>
  <c r="F217" i="32" l="1"/>
  <c r="J693" i="31" l="1"/>
  <c r="J691"/>
  <c r="J687"/>
  <c r="J696" l="1"/>
  <c r="D208" i="174" l="1"/>
  <c r="B208"/>
  <c r="F179" i="171"/>
  <c r="E208" i="174" l="1"/>
  <c r="F216" i="32"/>
  <c r="J684" i="31" l="1"/>
  <c r="J688"/>
  <c r="E207" i="174"/>
  <c r="J689" i="31" l="1"/>
  <c r="F215" i="32"/>
  <c r="D206" i="174" l="1"/>
  <c r="E206" s="1"/>
  <c r="F178" i="171"/>
  <c r="F214" i="32" l="1"/>
  <c r="F213" l="1"/>
  <c r="F212"/>
  <c r="F211"/>
  <c r="J679" i="31" l="1"/>
  <c r="J673"/>
  <c r="J676"/>
  <c r="J680" l="1"/>
  <c r="J672"/>
  <c r="F177" i="171" l="1"/>
  <c r="B205" i="174" l="1"/>
  <c r="E205" s="1"/>
  <c r="J671" i="31" l="1"/>
  <c r="J674" s="1"/>
  <c r="E204" i="174" l="1"/>
  <c r="F176" i="171" l="1"/>
  <c r="J667" i="31" l="1"/>
  <c r="F210" i="32" l="1"/>
  <c r="B203" i="174" l="1"/>
  <c r="E203" s="1"/>
  <c r="J666" i="31"/>
  <c r="J668" s="1"/>
  <c r="F175" i="171" l="1"/>
  <c r="F209" i="32" l="1"/>
  <c r="F208"/>
  <c r="F207"/>
  <c r="F206"/>
  <c r="F205"/>
  <c r="F204"/>
  <c r="F203"/>
  <c r="F200"/>
  <c r="B202" i="174" l="1"/>
  <c r="E202" s="1"/>
  <c r="J662" i="31" l="1"/>
  <c r="J661"/>
  <c r="J660"/>
  <c r="D201" i="174"/>
  <c r="E201" l="1"/>
  <c r="F174" i="171" l="1"/>
  <c r="F27" i="201" l="1"/>
  <c r="I25" l="1"/>
  <c r="M25" l="1"/>
  <c r="J657" i="31"/>
  <c r="J655"/>
  <c r="Q25" i="201" l="1"/>
  <c r="Q43" s="1"/>
  <c r="J658" i="31"/>
  <c r="J652"/>
  <c r="J649"/>
  <c r="D200" i="174" l="1"/>
  <c r="E200" s="1"/>
  <c r="F173" i="171"/>
  <c r="J653" i="31" l="1"/>
  <c r="M21" i="190" l="1"/>
  <c r="L21" s="1"/>
  <c r="M20"/>
  <c r="L20" s="1"/>
  <c r="M19"/>
  <c r="L19" s="1"/>
  <c r="M18"/>
  <c r="L18" s="1"/>
  <c r="M17"/>
  <c r="L17" s="1"/>
  <c r="M16"/>
  <c r="L16" l="1"/>
  <c r="M3"/>
  <c r="E199" i="32"/>
  <c r="J629" i="31"/>
  <c r="L626" l="1"/>
  <c r="D199" i="174" l="1"/>
  <c r="E199" s="1"/>
  <c r="D198"/>
  <c r="E198" s="1"/>
  <c r="F172" i="171"/>
  <c r="E202" i="32" l="1"/>
  <c r="E230" l="1"/>
  <c r="F202"/>
  <c r="J631" i="31" l="1"/>
  <c r="J643"/>
  <c r="J642"/>
  <c r="J641"/>
  <c r="J628"/>
  <c r="J630"/>
  <c r="P27" i="201" l="1"/>
  <c r="I27"/>
  <c r="M27" l="1"/>
  <c r="Q27" l="1"/>
  <c r="J640" i="31" l="1"/>
  <c r="J644" s="1"/>
  <c r="J635"/>
  <c r="J622"/>
  <c r="E197" i="174"/>
  <c r="F171" i="171"/>
  <c r="C201" i="32" l="1"/>
  <c r="C230" l="1"/>
  <c r="F201"/>
  <c r="F230" s="1"/>
  <c r="J632" i="31"/>
  <c r="J634" l="1"/>
  <c r="J620" l="1"/>
  <c r="J638"/>
  <c r="J759" s="1"/>
  <c r="F170" i="171" l="1"/>
  <c r="D196" i="174" l="1"/>
  <c r="C196"/>
  <c r="E196" l="1"/>
  <c r="F198" i="32"/>
  <c r="F197"/>
  <c r="J619" i="31"/>
  <c r="J624" s="1"/>
  <c r="J609"/>
  <c r="C159" i="171" l="1"/>
  <c r="C160" l="1"/>
  <c r="C163" l="1"/>
  <c r="C195" i="174" l="1"/>
  <c r="E195" s="1"/>
  <c r="D199" i="32" l="1"/>
  <c r="J616" i="31" l="1"/>
  <c r="J606"/>
  <c r="F168" i="171" l="1"/>
  <c r="K616" i="31" l="1"/>
  <c r="C194" i="174"/>
  <c r="B194"/>
  <c r="E194" l="1"/>
  <c r="F196" i="32"/>
  <c r="F195"/>
  <c r="J615" i="31"/>
  <c r="J617" l="1"/>
  <c r="F167" i="171" l="1"/>
  <c r="F166"/>
  <c r="D193" i="174" l="1"/>
  <c r="E193" s="1"/>
  <c r="J608" i="31" l="1"/>
  <c r="J610"/>
  <c r="J605"/>
  <c r="D192" i="174" l="1"/>
  <c r="E192" s="1"/>
  <c r="J611" i="31" l="1"/>
  <c r="J584" l="1"/>
  <c r="J583"/>
  <c r="J601"/>
  <c r="J602" s="1"/>
  <c r="D191" i="174" l="1"/>
  <c r="E191" s="1"/>
  <c r="C190" i="32" l="1"/>
  <c r="F194" l="1"/>
  <c r="F193"/>
  <c r="E171"/>
  <c r="D171"/>
  <c r="C171"/>
  <c r="E156"/>
  <c r="D156"/>
  <c r="E129"/>
  <c r="D129"/>
  <c r="D106"/>
  <c r="D77"/>
  <c r="D45"/>
  <c r="E13"/>
  <c r="D13"/>
  <c r="C13"/>
  <c r="J598" i="31" l="1"/>
  <c r="J597"/>
  <c r="J593"/>
  <c r="J599" l="1"/>
  <c r="F165" i="171"/>
  <c r="F192" i="32" l="1"/>
  <c r="E190" i="174" l="1"/>
  <c r="J592" i="31" l="1"/>
  <c r="E189" i="174"/>
  <c r="F164" i="171" l="1"/>
  <c r="F191" i="32"/>
  <c r="F190"/>
  <c r="J594" i="31" l="1"/>
  <c r="J588"/>
  <c r="J582"/>
  <c r="D188" i="174"/>
  <c r="E188" s="1"/>
  <c r="F163" i="171"/>
  <c r="J590" i="31" l="1"/>
  <c r="J559"/>
  <c r="J558"/>
  <c r="J579"/>
  <c r="E187" i="174" l="1"/>
  <c r="E186"/>
  <c r="C161" i="171" l="1"/>
  <c r="F161" l="1"/>
  <c r="F162"/>
  <c r="F189" i="32" l="1"/>
  <c r="J549" i="31" l="1"/>
  <c r="J555"/>
  <c r="J574"/>
  <c r="J577"/>
  <c r="J578"/>
  <c r="J580" l="1"/>
  <c r="D185" i="174" l="1"/>
  <c r="E185" s="1"/>
  <c r="F160" i="171"/>
  <c r="F188" i="32" l="1"/>
  <c r="K574" i="31" l="1"/>
  <c r="K573"/>
  <c r="K572"/>
  <c r="K571"/>
  <c r="J570"/>
  <c r="K570" s="1"/>
  <c r="J569"/>
  <c r="J565"/>
  <c r="C184" i="174"/>
  <c r="B184"/>
  <c r="F159" i="171"/>
  <c r="E184" i="174" l="1"/>
  <c r="J575" i="31"/>
  <c r="K569"/>
  <c r="K575" s="1"/>
  <c r="K565" l="1"/>
  <c r="K564"/>
  <c r="J563" l="1"/>
  <c r="K563" s="1"/>
  <c r="J544" l="1"/>
  <c r="J566"/>
  <c r="J560"/>
  <c r="J545"/>
  <c r="F158" i="171"/>
  <c r="K519" i="31" l="1"/>
  <c r="K522"/>
  <c r="K517"/>
  <c r="K516"/>
  <c r="K515"/>
  <c r="K518"/>
  <c r="K527"/>
  <c r="K560" l="1"/>
  <c r="K559"/>
  <c r="K558"/>
  <c r="K561" l="1"/>
  <c r="J561"/>
  <c r="F187" i="32" l="1"/>
  <c r="C183" i="174"/>
  <c r="E183" s="1"/>
  <c r="F157" i="171"/>
  <c r="K555" i="31" l="1"/>
  <c r="K554"/>
  <c r="K553"/>
  <c r="K543"/>
  <c r="F186" i="32" l="1"/>
  <c r="C182" i="174" l="1"/>
  <c r="E182" s="1"/>
  <c r="J552" i="31" l="1"/>
  <c r="K552" s="1"/>
  <c r="J556" l="1"/>
  <c r="C181" i="174"/>
  <c r="E181" s="1"/>
  <c r="F156" i="171" l="1"/>
  <c r="F185" i="32"/>
  <c r="K549" i="31" l="1"/>
  <c r="K545"/>
  <c r="J546"/>
  <c r="K546" s="1"/>
  <c r="J547" l="1"/>
  <c r="J550"/>
  <c r="C179" i="174" l="1"/>
  <c r="E179" s="1"/>
  <c r="C180"/>
  <c r="E180" s="1"/>
  <c r="F155" i="171" l="1"/>
  <c r="F154"/>
  <c r="F184" i="32" l="1"/>
  <c r="J535" i="31" l="1"/>
  <c r="J536"/>
  <c r="J537"/>
  <c r="F183" i="32"/>
  <c r="F153" i="171" l="1"/>
  <c r="K544" i="31" l="1"/>
  <c r="K547" s="1"/>
  <c r="F182" i="32"/>
  <c r="K539" i="31" l="1"/>
  <c r="K537"/>
  <c r="K536"/>
  <c r="K535"/>
  <c r="K534"/>
  <c r="C178" i="174"/>
  <c r="E178" s="1"/>
  <c r="K538" i="31" l="1"/>
  <c r="J540"/>
  <c r="J541" l="1"/>
  <c r="K540"/>
  <c r="K541" s="1"/>
  <c r="J531" l="1"/>
  <c r="J525"/>
  <c r="K530"/>
  <c r="K529"/>
  <c r="K528"/>
  <c r="K524"/>
  <c r="K523"/>
  <c r="F181" i="32" l="1"/>
  <c r="E177" i="174" l="1"/>
  <c r="E176"/>
  <c r="F152" i="171" l="1"/>
  <c r="F180" i="32" l="1"/>
  <c r="C175" i="174" l="1"/>
  <c r="E175" s="1"/>
  <c r="J514" i="31" l="1"/>
  <c r="K510"/>
  <c r="K514"/>
  <c r="F179" i="32" l="1"/>
  <c r="C174" i="174" l="1"/>
  <c r="B174"/>
  <c r="F150" i="171"/>
  <c r="E174" i="174" l="1"/>
  <c r="F151" i="171"/>
  <c r="F178" i="32" l="1"/>
  <c r="J520" i="31" l="1"/>
  <c r="E173" i="174" l="1"/>
  <c r="B172"/>
  <c r="E172" s="1"/>
  <c r="J511" i="31" l="1"/>
  <c r="K511" s="1"/>
  <c r="J509"/>
  <c r="K509" s="1"/>
  <c r="F177" i="32"/>
  <c r="J512" i="31" l="1"/>
  <c r="J626" s="1"/>
  <c r="F176" i="32" l="1"/>
  <c r="C175" l="1"/>
  <c r="C199" s="1"/>
  <c r="F175" l="1"/>
  <c r="F174" l="1"/>
  <c r="F173" l="1"/>
  <c r="F149" i="171" l="1"/>
  <c r="F148" l="1"/>
  <c r="F172" i="32" l="1"/>
  <c r="F199" s="1"/>
  <c r="E171" i="174" l="1"/>
  <c r="F170" i="32" l="1"/>
  <c r="C170" i="174" l="1"/>
  <c r="E170" s="1"/>
  <c r="J500" i="31"/>
  <c r="J502" s="1"/>
  <c r="B169" i="174" l="1"/>
  <c r="C169"/>
  <c r="E169" l="1"/>
  <c r="F146" i="171"/>
  <c r="F169" i="32"/>
  <c r="J496" i="31" l="1"/>
  <c r="J495"/>
  <c r="J497"/>
  <c r="J498" l="1"/>
  <c r="D168" i="174"/>
  <c r="E168" s="1"/>
  <c r="F145" i="171"/>
  <c r="F168" i="32" l="1"/>
  <c r="F167"/>
  <c r="J490" i="31" l="1"/>
  <c r="J489"/>
  <c r="J492" l="1"/>
  <c r="J457"/>
  <c r="J462" l="1"/>
  <c r="D167" i="174" l="1"/>
  <c r="E167" s="1"/>
  <c r="J486" i="31" l="1"/>
  <c r="J487" s="1"/>
  <c r="F144" i="171" l="1"/>
  <c r="F143"/>
  <c r="D166" i="174" l="1"/>
  <c r="B166"/>
  <c r="J481" i="31"/>
  <c r="J484" s="1"/>
  <c r="J478"/>
  <c r="J477"/>
  <c r="J475"/>
  <c r="E166" i="174" l="1"/>
  <c r="F166" i="32" l="1"/>
  <c r="J472" i="31" l="1"/>
  <c r="J479" s="1"/>
  <c r="D165" i="174"/>
  <c r="E165" s="1"/>
  <c r="F142" i="171" l="1"/>
  <c r="F141" l="1"/>
  <c r="F165" i="32" l="1"/>
  <c r="E164" i="174"/>
  <c r="J466" i="31"/>
  <c r="J460"/>
  <c r="J469"/>
  <c r="C163" i="174" l="1"/>
  <c r="B163"/>
  <c r="J461" i="31"/>
  <c r="J464" s="1"/>
  <c r="J467"/>
  <c r="J468"/>
  <c r="E163" i="174" l="1"/>
  <c r="J470" i="31"/>
  <c r="C162" i="174"/>
  <c r="B162"/>
  <c r="E162" l="1"/>
  <c r="J447" i="31"/>
  <c r="J445"/>
  <c r="F140" i="171" l="1"/>
  <c r="F164" i="32" l="1"/>
  <c r="B161" i="174" l="1"/>
  <c r="C161"/>
  <c r="J455" i="31"/>
  <c r="J458" s="1"/>
  <c r="E161" i="174" l="1"/>
  <c r="E160"/>
  <c r="K453" i="31" l="1"/>
  <c r="J446"/>
  <c r="J453" s="1"/>
  <c r="J505" s="1"/>
  <c r="F30" i="201" l="1"/>
  <c r="F31" l="1"/>
  <c r="F139" i="171"/>
  <c r="F138"/>
  <c r="F163" i="32" l="1"/>
  <c r="F162"/>
  <c r="F161" l="1"/>
  <c r="F160" l="1"/>
  <c r="M10" i="201" l="1"/>
  <c r="Q10" s="1"/>
  <c r="Q49" l="1"/>
  <c r="M20" l="1"/>
  <c r="J433" i="31" l="1"/>
  <c r="J427"/>
  <c r="E159" i="174"/>
  <c r="E158"/>
  <c r="F159" i="32" l="1"/>
  <c r="J432" i="31" l="1"/>
  <c r="C157" i="174"/>
  <c r="E157" s="1"/>
  <c r="C156" l="1"/>
  <c r="E156" s="1"/>
  <c r="J411" i="31" l="1"/>
  <c r="J431"/>
  <c r="F137" i="171" l="1"/>
  <c r="J415" i="31" l="1"/>
  <c r="J408"/>
  <c r="F158" i="32" l="1"/>
  <c r="E155" i="174" l="1"/>
  <c r="E154" l="1"/>
  <c r="F136" i="171"/>
  <c r="F157" i="32"/>
  <c r="F171" s="1"/>
  <c r="E153" i="174" l="1"/>
  <c r="F155" i="32" l="1"/>
  <c r="F135" i="171" l="1"/>
  <c r="E152" i="174" l="1"/>
  <c r="F154" i="32"/>
  <c r="J437" i="31" l="1"/>
  <c r="F153" i="32" l="1"/>
  <c r="F152"/>
  <c r="E151" i="174" l="1"/>
  <c r="J438" i="31" l="1"/>
  <c r="E150" i="174" l="1"/>
  <c r="J439" i="31" l="1"/>
  <c r="E149" i="174"/>
  <c r="F134" i="171"/>
  <c r="F151" i="32" l="1"/>
  <c r="E148" i="174" l="1"/>
  <c r="E144"/>
  <c r="E142"/>
  <c r="F150" i="32" l="1"/>
  <c r="J418" i="31" l="1"/>
  <c r="J423"/>
  <c r="F133" i="171"/>
  <c r="F149" i="32" l="1"/>
  <c r="J435" i="31" l="1"/>
  <c r="B147" i="174" l="1"/>
  <c r="E147" s="1"/>
  <c r="F148" i="32" l="1"/>
  <c r="C146" i="174" l="1"/>
  <c r="E146" s="1"/>
  <c r="J402" i="31"/>
  <c r="J388"/>
  <c r="J417"/>
  <c r="F132" i="171" l="1"/>
  <c r="C145" i="174" l="1"/>
  <c r="E145" s="1"/>
  <c r="F147" i="32"/>
  <c r="J382" i="31" l="1"/>
  <c r="J407" l="1"/>
  <c r="J425"/>
  <c r="F131" i="171"/>
  <c r="C146" i="32" l="1"/>
  <c r="F146" s="1"/>
  <c r="F130" i="171" l="1"/>
  <c r="C143" i="174" l="1"/>
  <c r="E143" s="1"/>
  <c r="F145" i="32"/>
  <c r="F129" i="171" l="1"/>
  <c r="F144" i="32"/>
  <c r="J387" i="31" l="1"/>
  <c r="J383"/>
  <c r="F143" i="32" l="1"/>
  <c r="C141" i="174"/>
  <c r="E141" s="1"/>
  <c r="J419" i="31" l="1"/>
  <c r="J412" l="1"/>
  <c r="C140" i="174" l="1"/>
  <c r="E140" s="1"/>
  <c r="F128" i="171"/>
  <c r="F127"/>
  <c r="F126" l="1"/>
  <c r="F142" i="32"/>
  <c r="F141"/>
  <c r="J413" i="31" l="1"/>
  <c r="C139" i="174" l="1"/>
  <c r="E139" s="1"/>
  <c r="D135" l="1"/>
  <c r="J392" i="31"/>
  <c r="J397" l="1"/>
  <c r="J396"/>
  <c r="J400" l="1"/>
  <c r="F140" i="32"/>
  <c r="B138" i="174" l="1"/>
  <c r="E138" s="1"/>
  <c r="J409" i="31" l="1"/>
  <c r="J404" l="1"/>
  <c r="J405" s="1"/>
  <c r="J389"/>
  <c r="F139" i="32" l="1"/>
  <c r="E137" i="174" l="1"/>
  <c r="E135"/>
  <c r="E132"/>
  <c r="E131"/>
  <c r="E130"/>
  <c r="E129"/>
  <c r="C138" i="32" l="1"/>
  <c r="C156" s="1"/>
  <c r="F138" l="1"/>
  <c r="B136" i="174" l="1"/>
  <c r="E136" s="1"/>
  <c r="J393" i="31"/>
  <c r="J394" s="1"/>
  <c r="F125" i="171"/>
  <c r="F124"/>
  <c r="F123"/>
  <c r="J390" i="31" l="1"/>
  <c r="F137" i="32" l="1"/>
  <c r="D134" i="174" l="1"/>
  <c r="E134" s="1"/>
  <c r="F136" i="32" l="1"/>
  <c r="E128" i="174" l="1"/>
  <c r="E127"/>
  <c r="E125"/>
  <c r="F122" i="171"/>
  <c r="D133" i="174" l="1"/>
  <c r="E133" s="1"/>
  <c r="F135" i="32" l="1"/>
  <c r="F134"/>
  <c r="F133"/>
  <c r="J379" i="31" l="1"/>
  <c r="J378"/>
  <c r="J377"/>
  <c r="J380" l="1"/>
  <c r="C11" i="201"/>
  <c r="C13" s="1"/>
  <c r="C33" s="1"/>
  <c r="I30"/>
  <c r="I19"/>
  <c r="I18"/>
  <c r="M18" s="1"/>
  <c r="I17"/>
  <c r="M16"/>
  <c r="I14"/>
  <c r="F11"/>
  <c r="F13" s="1"/>
  <c r="F33" s="1"/>
  <c r="I8"/>
  <c r="I6"/>
  <c r="I22" l="1"/>
  <c r="I36" s="1"/>
  <c r="M30"/>
  <c r="Q30" s="1"/>
  <c r="M19"/>
  <c r="I15"/>
  <c r="I35" s="1"/>
  <c r="M14"/>
  <c r="M17"/>
  <c r="M6"/>
  <c r="I12"/>
  <c r="M12" s="1"/>
  <c r="M8"/>
  <c r="Q8" s="1"/>
  <c r="I11"/>
  <c r="Q52" l="1"/>
  <c r="Q53" s="1"/>
  <c r="Q46"/>
  <c r="M15"/>
  <c r="Q15" s="1"/>
  <c r="M22"/>
  <c r="Q22" s="1"/>
  <c r="Q41" s="1"/>
  <c r="M11"/>
  <c r="Q36" l="1"/>
  <c r="Q42"/>
  <c r="Q48"/>
  <c r="Q45"/>
  <c r="Q47" l="1"/>
  <c r="Q54" s="1"/>
  <c r="F121" i="171"/>
  <c r="F120"/>
  <c r="F119"/>
  <c r="J385" i="31" l="1"/>
  <c r="J374" l="1"/>
  <c r="J373" l="1"/>
  <c r="J375" s="1"/>
  <c r="J369"/>
  <c r="J368" l="1"/>
  <c r="F132" i="32" l="1"/>
  <c r="F131"/>
  <c r="J371" i="31" l="1"/>
  <c r="E443"/>
  <c r="F130" i="32" l="1"/>
  <c r="F156" s="1"/>
  <c r="C128" l="1"/>
  <c r="F128" s="1"/>
  <c r="F127" l="1"/>
  <c r="F126" l="1"/>
  <c r="F118" i="171" l="1"/>
  <c r="F117"/>
  <c r="F116"/>
  <c r="F125" i="32" l="1"/>
  <c r="C126" i="174" l="1"/>
  <c r="E126" s="1"/>
  <c r="F124" i="32" l="1"/>
  <c r="J364" i="31"/>
  <c r="F123" i="32" l="1"/>
  <c r="F122"/>
  <c r="J355" i="31" l="1"/>
  <c r="E124" i="174" l="1"/>
  <c r="F121" i="32" l="1"/>
  <c r="J347" i="31" l="1"/>
  <c r="J351"/>
  <c r="J353"/>
  <c r="J352"/>
  <c r="J358" l="1"/>
  <c r="F120" i="32"/>
  <c r="J348" i="31" l="1"/>
  <c r="J330" l="1"/>
  <c r="J329"/>
  <c r="J346"/>
  <c r="J325"/>
  <c r="B123" i="174"/>
  <c r="C123"/>
  <c r="E123" l="1"/>
  <c r="B122" l="1"/>
  <c r="C122"/>
  <c r="E122" l="1"/>
  <c r="F115" i="171"/>
  <c r="F114" l="1"/>
  <c r="F113"/>
  <c r="C119" i="32"/>
  <c r="F119" s="1"/>
  <c r="J349" i="31"/>
  <c r="E121" i="174" l="1"/>
  <c r="J342" i="31" l="1"/>
  <c r="J328"/>
  <c r="J322"/>
  <c r="J332" l="1"/>
  <c r="C120" i="174" l="1"/>
  <c r="B120"/>
  <c r="E120" l="1"/>
  <c r="F118" i="32"/>
  <c r="F117"/>
  <c r="J340" i="31" l="1"/>
  <c r="J344" s="1"/>
  <c r="J337"/>
  <c r="J338" l="1"/>
  <c r="B119" i="174"/>
  <c r="C119"/>
  <c r="F116" i="32"/>
  <c r="F115"/>
  <c r="F114"/>
  <c r="F113"/>
  <c r="E119" i="174" l="1"/>
  <c r="F112" i="171" l="1"/>
  <c r="F111"/>
  <c r="B118" i="174" l="1"/>
  <c r="E118" s="1"/>
  <c r="J323" i="31" l="1"/>
  <c r="J326" s="1"/>
  <c r="J334"/>
  <c r="J335" s="1"/>
  <c r="C117" i="174" l="1"/>
  <c r="E117" s="1"/>
  <c r="F110" i="171" l="1"/>
  <c r="C116" i="174" l="1"/>
  <c r="E116" s="1"/>
  <c r="J319" i="31"/>
  <c r="C110" i="32" l="1"/>
  <c r="C129" s="1"/>
  <c r="C115" i="174" l="1"/>
  <c r="F112" i="32" l="1"/>
  <c r="J320" i="31" l="1"/>
  <c r="F109" i="171" l="1"/>
  <c r="E115" i="174"/>
  <c r="B3"/>
  <c r="E3" i="171"/>
  <c r="D3"/>
  <c r="C3"/>
  <c r="F108" l="1"/>
  <c r="Z2" i="182"/>
  <c r="C113" i="174" l="1"/>
  <c r="E113" s="1"/>
  <c r="C114" l="1"/>
  <c r="E114" s="1"/>
  <c r="F111" i="32" l="1"/>
  <c r="J293" i="31" l="1"/>
  <c r="J295"/>
  <c r="J296"/>
  <c r="F110" i="32" l="1"/>
  <c r="J310" i="31" l="1"/>
  <c r="J304"/>
  <c r="J298"/>
  <c r="J301"/>
  <c r="J302"/>
  <c r="J305" l="1"/>
  <c r="F107" i="171"/>
  <c r="F109" i="32" l="1"/>
  <c r="C112" i="174" l="1"/>
  <c r="E112" s="1"/>
  <c r="J313" i="31" l="1"/>
  <c r="J311"/>
  <c r="J315" l="1"/>
  <c r="J366" s="1"/>
  <c r="C111" i="174" l="1"/>
  <c r="E111" s="1"/>
  <c r="F106" i="171"/>
  <c r="F3" s="1"/>
  <c r="F108" i="32"/>
  <c r="C110" i="174" l="1"/>
  <c r="E110" l="1"/>
  <c r="E3" s="1"/>
  <c r="C3"/>
  <c r="J276" i="31"/>
  <c r="J280"/>
  <c r="F107" i="32"/>
  <c r="F129" s="1"/>
  <c r="F105"/>
  <c r="J287" i="31" l="1"/>
  <c r="C109" i="174" l="1"/>
  <c r="J289" i="31" l="1"/>
  <c r="J291" s="1"/>
  <c r="J273"/>
  <c r="J282"/>
  <c r="J281"/>
  <c r="C108" i="174" l="1"/>
  <c r="B108"/>
  <c r="B107" l="1"/>
  <c r="C107"/>
  <c r="L9" i="190" l="1"/>
  <c r="L3" s="1"/>
  <c r="F102" i="171" l="1"/>
  <c r="F101"/>
  <c r="F100"/>
  <c r="F99"/>
  <c r="F98"/>
  <c r="C102" i="32" l="1"/>
  <c r="J284" i="31"/>
  <c r="J277"/>
  <c r="J278" s="1"/>
  <c r="B105" i="174" l="1"/>
  <c r="C105"/>
  <c r="M281" i="31"/>
  <c r="L281"/>
  <c r="L280"/>
  <c r="J236" l="1"/>
  <c r="J240"/>
  <c r="B104" i="174" l="1"/>
  <c r="J257" i="31" l="1"/>
  <c r="J237"/>
  <c r="P3" i="190" l="1"/>
  <c r="C99" i="32" l="1"/>
  <c r="J261" i="31" l="1"/>
  <c r="B102" i="174" l="1"/>
  <c r="C102"/>
  <c r="J271" i="31" l="1"/>
  <c r="J272"/>
  <c r="C101" i="174" l="1"/>
  <c r="B101"/>
  <c r="J253" i="31" l="1"/>
  <c r="J266"/>
  <c r="J267"/>
  <c r="J254"/>
  <c r="J245"/>
  <c r="J265"/>
  <c r="J269" l="1"/>
  <c r="L254" l="1"/>
  <c r="L261" l="1"/>
  <c r="L262" s="1"/>
  <c r="E91" i="32"/>
  <c r="E88"/>
  <c r="L253" i="31" l="1"/>
  <c r="F95" i="32" l="1"/>
  <c r="C96"/>
  <c r="F96" s="1"/>
  <c r="B100" i="174"/>
  <c r="C100"/>
  <c r="J256" i="31"/>
  <c r="J258" s="1"/>
  <c r="J262"/>
  <c r="L257" l="1"/>
  <c r="L258" l="1"/>
  <c r="C99" i="174" l="1"/>
  <c r="B99"/>
  <c r="K258" i="31"/>
  <c r="J229"/>
  <c r="C98" i="174" l="1"/>
  <c r="B98"/>
  <c r="C97" l="1"/>
  <c r="B97"/>
  <c r="E93" i="32" l="1"/>
  <c r="C93"/>
  <c r="B96" i="174" l="1"/>
  <c r="C96"/>
  <c r="C92" i="32"/>
  <c r="B95" i="174" l="1"/>
  <c r="C95"/>
  <c r="C91" i="32" l="1"/>
  <c r="C94" i="174" l="1"/>
  <c r="B94"/>
  <c r="E90" i="171"/>
  <c r="C90"/>
  <c r="C93" i="174" l="1"/>
  <c r="B93"/>
  <c r="C89" i="32"/>
  <c r="C77" i="174" l="1"/>
  <c r="C92" l="1"/>
  <c r="B92"/>
  <c r="C88" i="32"/>
  <c r="C83" i="174"/>
  <c r="C91" l="1"/>
  <c r="B91"/>
  <c r="C87" i="32" l="1"/>
  <c r="C90" i="174"/>
  <c r="B90"/>
  <c r="B89" l="1"/>
  <c r="E85" i="32"/>
  <c r="K3" i="190" l="1"/>
  <c r="B88" i="174" l="1"/>
  <c r="C88"/>
  <c r="C84" i="32"/>
  <c r="B74" i="174"/>
  <c r="C27"/>
  <c r="B79"/>
  <c r="B80"/>
  <c r="B87" l="1"/>
  <c r="C87"/>
  <c r="C83" i="32"/>
  <c r="E83"/>
  <c r="C82" l="1"/>
  <c r="B86" i="174" l="1"/>
  <c r="B85" l="1"/>
  <c r="C81" i="32" l="1"/>
  <c r="C84" i="174"/>
  <c r="B84"/>
  <c r="B83"/>
  <c r="C82"/>
  <c r="C81"/>
  <c r="B81"/>
  <c r="C80"/>
  <c r="C79"/>
  <c r="C78"/>
  <c r="B78"/>
  <c r="B77"/>
  <c r="C75"/>
  <c r="B75"/>
  <c r="C74"/>
  <c r="B73"/>
  <c r="C72"/>
  <c r="C80" i="171" l="1"/>
  <c r="E80"/>
  <c r="E5" s="1"/>
  <c r="C80" i="32"/>
  <c r="E80"/>
  <c r="C2" i="174" l="1"/>
  <c r="B2"/>
  <c r="E2" i="171"/>
  <c r="D2"/>
  <c r="F105"/>
  <c r="C79" i="32"/>
  <c r="E83" i="174" l="1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82"/>
  <c r="C78" i="171"/>
  <c r="C2" s="1"/>
  <c r="F104"/>
  <c r="F103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D2" i="32"/>
  <c r="E78"/>
  <c r="C78"/>
  <c r="F104"/>
  <c r="F103"/>
  <c r="F102"/>
  <c r="F101"/>
  <c r="F100"/>
  <c r="F99"/>
  <c r="F98"/>
  <c r="F97"/>
  <c r="F94"/>
  <c r="F93"/>
  <c r="F92"/>
  <c r="F91"/>
  <c r="F90"/>
  <c r="F89"/>
  <c r="F88"/>
  <c r="F87"/>
  <c r="F86"/>
  <c r="F85"/>
  <c r="F84"/>
  <c r="F83"/>
  <c r="F82"/>
  <c r="F81"/>
  <c r="F80"/>
  <c r="F79"/>
  <c r="E2" l="1"/>
  <c r="E106"/>
  <c r="C2"/>
  <c r="C106"/>
  <c r="F78" i="171"/>
  <c r="F2" s="1"/>
  <c r="F78" i="32"/>
  <c r="E2" i="174"/>
  <c r="F2" i="32" l="1"/>
  <c r="F106"/>
  <c r="C71" i="174"/>
  <c r="C70"/>
  <c r="C69"/>
  <c r="C76" i="32" l="1"/>
  <c r="C75" l="1"/>
  <c r="C73"/>
  <c r="C74"/>
  <c r="E74" l="1"/>
  <c r="C72" l="1"/>
  <c r="C70" l="1"/>
  <c r="C20" i="174"/>
  <c r="C47"/>
  <c r="C43"/>
  <c r="B43"/>
  <c r="C41"/>
  <c r="B41"/>
  <c r="C37"/>
  <c r="C15"/>
  <c r="B19"/>
  <c r="C12"/>
  <c r="E1" i="171" l="1"/>
  <c r="C69" i="32" l="1"/>
  <c r="E69"/>
  <c r="E1" l="1"/>
  <c r="E77"/>
  <c r="C68"/>
  <c r="C67" l="1"/>
  <c r="C66"/>
  <c r="C65"/>
  <c r="C64"/>
  <c r="C63"/>
  <c r="C62" i="174" l="1"/>
  <c r="C60" l="1"/>
  <c r="C55" i="32" l="1"/>
  <c r="C59" i="174"/>
  <c r="C54" i="32" l="1"/>
  <c r="C53" l="1"/>
  <c r="C58" i="174" l="1"/>
  <c r="C57" l="1"/>
  <c r="C52" i="32" l="1"/>
  <c r="C52" i="171"/>
  <c r="C1" s="1"/>
  <c r="C56" i="174" l="1"/>
  <c r="B56"/>
  <c r="C51" i="32"/>
  <c r="C55" i="174"/>
  <c r="B55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4"/>
  <c r="C53"/>
  <c r="B53"/>
  <c r="C52"/>
  <c r="E52" s="1"/>
  <c r="C51"/>
  <c r="F77" i="171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76" i="32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C50"/>
  <c r="F49"/>
  <c r="F48"/>
  <c r="F47"/>
  <c r="F46"/>
  <c r="E56" i="174" l="1"/>
  <c r="E55"/>
  <c r="C1" i="32"/>
  <c r="C77"/>
  <c r="C1" i="174"/>
  <c r="F50" i="32"/>
  <c r="F1" s="1"/>
  <c r="E53" i="174"/>
  <c r="B1"/>
  <c r="F1" i="171"/>
  <c r="E51" i="174"/>
  <c r="F77" i="32" l="1"/>
  <c r="E1" i="174"/>
  <c r="E50" l="1"/>
  <c r="C49"/>
  <c r="B49"/>
  <c r="E48"/>
  <c r="B47"/>
  <c r="E47" s="1"/>
  <c r="C46"/>
  <c r="B46"/>
  <c r="C45"/>
  <c r="E45" s="1"/>
  <c r="C44"/>
  <c r="B44"/>
  <c r="E43"/>
  <c r="C42"/>
  <c r="B42"/>
  <c r="E41"/>
  <c r="E40"/>
  <c r="F46" i="171"/>
  <c r="F45"/>
  <c r="F44"/>
  <c r="F43"/>
  <c r="F42"/>
  <c r="F41"/>
  <c r="F40"/>
  <c r="F39"/>
  <c r="F38"/>
  <c r="F37"/>
  <c r="F36"/>
  <c r="C44" i="32"/>
  <c r="F44" s="1"/>
  <c r="C43"/>
  <c r="F43" s="1"/>
  <c r="C42"/>
  <c r="F42" s="1"/>
  <c r="E41"/>
  <c r="E45" s="1"/>
  <c r="C41"/>
  <c r="C40"/>
  <c r="F40" s="1"/>
  <c r="C39"/>
  <c r="F39" s="1"/>
  <c r="C38"/>
  <c r="F38" s="1"/>
  <c r="C37"/>
  <c r="F37" s="1"/>
  <c r="C36"/>
  <c r="F36" s="1"/>
  <c r="C35"/>
  <c r="F35" s="1"/>
  <c r="E46" i="174" l="1"/>
  <c r="E49"/>
  <c r="E44"/>
  <c r="E42"/>
  <c r="F41" i="32"/>
  <c r="B39" i="174" l="1"/>
  <c r="E39" s="1"/>
  <c r="C38"/>
  <c r="E38" s="1"/>
  <c r="E37"/>
  <c r="C36"/>
  <c r="E36" s="1"/>
  <c r="E35"/>
  <c r="E34"/>
  <c r="E33"/>
  <c r="E32"/>
  <c r="C31"/>
  <c r="E31" s="1"/>
  <c r="C30"/>
  <c r="B30"/>
  <c r="C29"/>
  <c r="B29"/>
  <c r="E28"/>
  <c r="E27"/>
  <c r="E26"/>
  <c r="E25"/>
  <c r="E24"/>
  <c r="E23"/>
  <c r="E22"/>
  <c r="E21"/>
  <c r="E20"/>
  <c r="D5" i="171"/>
  <c r="F35"/>
  <c r="F34"/>
  <c r="F33"/>
  <c r="F32"/>
  <c r="F31"/>
  <c r="F30"/>
  <c r="F29"/>
  <c r="F28"/>
  <c r="F27"/>
  <c r="F26"/>
  <c r="C25"/>
  <c r="C5" s="1"/>
  <c r="F24"/>
  <c r="F23"/>
  <c r="F22"/>
  <c r="F21"/>
  <c r="F20"/>
  <c r="F19"/>
  <c r="F18"/>
  <c r="F17"/>
  <c r="F16"/>
  <c r="F34" i="32"/>
  <c r="C33"/>
  <c r="F33" s="1"/>
  <c r="F32"/>
  <c r="F31"/>
  <c r="F30"/>
  <c r="F29"/>
  <c r="C28"/>
  <c r="F28" s="1"/>
  <c r="F27"/>
  <c r="C26"/>
  <c r="F26" s="1"/>
  <c r="C25"/>
  <c r="F25" s="1"/>
  <c r="C24"/>
  <c r="F24" s="1"/>
  <c r="F23"/>
  <c r="C22"/>
  <c r="F22" s="1"/>
  <c r="F21"/>
  <c r="C20"/>
  <c r="F20" s="1"/>
  <c r="C19"/>
  <c r="F19" s="1"/>
  <c r="C18"/>
  <c r="F18" s="1"/>
  <c r="C17"/>
  <c r="F17" s="1"/>
  <c r="C16"/>
  <c r="F16" s="1"/>
  <c r="F15"/>
  <c r="C14"/>
  <c r="B11" i="174"/>
  <c r="E19"/>
  <c r="E18"/>
  <c r="E17"/>
  <c r="E16"/>
  <c r="E15"/>
  <c r="E14"/>
  <c r="E13"/>
  <c r="E12"/>
  <c r="E10"/>
  <c r="E9"/>
  <c r="C45" i="32" l="1"/>
  <c r="F14"/>
  <c r="F45" s="1"/>
  <c r="E11" i="174"/>
  <c r="B7"/>
  <c r="C7"/>
  <c r="F25" i="171"/>
  <c r="E29" i="174"/>
  <c r="E30"/>
  <c r="F7" i="171"/>
  <c r="E7" i="174" l="1"/>
  <c r="F7" i="32"/>
  <c r="F15" i="171" l="1"/>
  <c r="F14"/>
  <c r="F13"/>
  <c r="F12"/>
  <c r="F11"/>
  <c r="F10"/>
  <c r="F9"/>
  <c r="F8"/>
  <c r="F5" l="1"/>
  <c r="F12" i="32"/>
  <c r="F11"/>
  <c r="F10" l="1"/>
  <c r="F8"/>
  <c r="F9" l="1"/>
  <c r="F13" s="1"/>
</calcChain>
</file>

<file path=xl/sharedStrings.xml><?xml version="1.0" encoding="utf-8"?>
<sst xmlns="http://schemas.openxmlformats.org/spreadsheetml/2006/main" count="20726" uniqueCount="1536">
  <si>
    <t>Billet Size</t>
  </si>
  <si>
    <t>Total</t>
  </si>
  <si>
    <t>HT</t>
  </si>
  <si>
    <t>MS</t>
  </si>
  <si>
    <t>Remarks</t>
  </si>
  <si>
    <t>Section</t>
  </si>
  <si>
    <t>Date</t>
  </si>
  <si>
    <t>Month</t>
  </si>
  <si>
    <t>BB</t>
  </si>
  <si>
    <t>JBP</t>
  </si>
  <si>
    <t>Billet Source</t>
  </si>
  <si>
    <t>Bucket</t>
  </si>
  <si>
    <t>Project</t>
  </si>
  <si>
    <t>Billet short</t>
  </si>
  <si>
    <t>PRODUCTION  -</t>
  </si>
  <si>
    <t>Planning date(LOI/PO)</t>
  </si>
  <si>
    <t>Jaipur</t>
  </si>
  <si>
    <t>HT-125</t>
  </si>
  <si>
    <t>MS-125</t>
  </si>
  <si>
    <t>355 JR</t>
  </si>
  <si>
    <t>355 JO</t>
  </si>
  <si>
    <t>275 JR</t>
  </si>
  <si>
    <t>ESSEL</t>
  </si>
  <si>
    <t>NEPAL</t>
  </si>
  <si>
    <t>VINAR ISPAT LIMITED BUTIBORI</t>
  </si>
  <si>
    <t>LOI</t>
  </si>
  <si>
    <t>LOI Dt</t>
  </si>
  <si>
    <t>PO</t>
  </si>
  <si>
    <t>Jobwork/Trading</t>
  </si>
  <si>
    <t>PG/NPG</t>
  </si>
  <si>
    <t>Grade</t>
  </si>
  <si>
    <t>Gr</t>
  </si>
  <si>
    <t xml:space="preserve"> SECTIONS</t>
  </si>
  <si>
    <t>PO Qty</t>
  </si>
  <si>
    <t>Dispatched</t>
  </si>
  <si>
    <t>BTS</t>
  </si>
  <si>
    <t>STOCK</t>
  </si>
  <si>
    <t>RFD</t>
  </si>
  <si>
    <t>Short length rolled</t>
  </si>
  <si>
    <t>Under straightening</t>
  </si>
  <si>
    <t>BTR</t>
  </si>
  <si>
    <t>R E M A R K</t>
  </si>
  <si>
    <t>Jobwork</t>
  </si>
  <si>
    <t>NPG</t>
  </si>
  <si>
    <t>E350A</t>
  </si>
  <si>
    <t>HTA</t>
  </si>
  <si>
    <t>110X110X8</t>
  </si>
  <si>
    <t>130X130X9</t>
  </si>
  <si>
    <t>100X100X8</t>
  </si>
  <si>
    <t>120X120X10</t>
  </si>
  <si>
    <t>120X120X8</t>
  </si>
  <si>
    <t>E250A</t>
  </si>
  <si>
    <t>MSA</t>
  </si>
  <si>
    <t>70X70X5</t>
  </si>
  <si>
    <t>100X100X6</t>
  </si>
  <si>
    <t>70X70X6</t>
  </si>
  <si>
    <t>100X100X7</t>
  </si>
  <si>
    <t>100X100X10</t>
  </si>
  <si>
    <t>BURUNDI</t>
  </si>
  <si>
    <t>275 JO</t>
  </si>
  <si>
    <t>355 J2</t>
  </si>
  <si>
    <t>SAIL DSP</t>
  </si>
  <si>
    <t>Dispatched Qty</t>
  </si>
  <si>
    <t>HT-75X75X6 (NPG)</t>
  </si>
  <si>
    <t>MS-70X70X6 (NPG)</t>
  </si>
  <si>
    <t>21.11.2022</t>
  </si>
  <si>
    <t>20.11.2022</t>
  </si>
  <si>
    <t>22.11.2022</t>
  </si>
  <si>
    <t>23.11.2022 - Weekly Off</t>
  </si>
  <si>
    <t>24.11.2022</t>
  </si>
  <si>
    <t>MS-70X70X5 (NPG)</t>
  </si>
  <si>
    <t>25.11.2022</t>
  </si>
  <si>
    <t>HT-90X90X7 (NPG)</t>
  </si>
  <si>
    <t>26.11.2022</t>
  </si>
  <si>
    <t>27.11.2022</t>
  </si>
  <si>
    <t>28.11.2022</t>
  </si>
  <si>
    <t>29.11.2022</t>
  </si>
  <si>
    <t>HT-90X90X8 (NPG)</t>
  </si>
  <si>
    <t>HT-90X90X6 (NPG)</t>
  </si>
  <si>
    <t>MS-90X90X7 (NPG)</t>
  </si>
  <si>
    <t>MS-90X90X6 (NPG)</t>
  </si>
  <si>
    <t>30.11.2022</t>
  </si>
  <si>
    <t>30.11.2022 - Weekly Off</t>
  </si>
  <si>
    <t>QTY (MT)</t>
  </si>
  <si>
    <t>23.11.2022</t>
  </si>
  <si>
    <t>GEORGIA</t>
  </si>
  <si>
    <t>MOROOCO</t>
  </si>
  <si>
    <t>90X90X7</t>
  </si>
  <si>
    <t>PERU</t>
  </si>
  <si>
    <t>90X90X6</t>
  </si>
  <si>
    <t>TOGO</t>
  </si>
  <si>
    <t>DUBAI</t>
  </si>
  <si>
    <t>A36M</t>
  </si>
  <si>
    <t>355JR</t>
  </si>
  <si>
    <t>355JO</t>
  </si>
  <si>
    <t xml:space="preserve">70X70X5 </t>
  </si>
  <si>
    <t xml:space="preserve">90X90X7 </t>
  </si>
  <si>
    <t xml:space="preserve">90X90X8 </t>
  </si>
  <si>
    <t xml:space="preserve">100X100X6 </t>
  </si>
  <si>
    <t xml:space="preserve">120X120X10 </t>
  </si>
  <si>
    <t xml:space="preserve">90X90X6 </t>
  </si>
  <si>
    <t xml:space="preserve">100X100X8 </t>
  </si>
  <si>
    <t xml:space="preserve">130X130X12 </t>
  </si>
  <si>
    <t xml:space="preserve">130X130X9 </t>
  </si>
  <si>
    <t xml:space="preserve">150X150X12 </t>
  </si>
  <si>
    <t xml:space="preserve">130X130X8N </t>
  </si>
  <si>
    <t xml:space="preserve">100X100X10 </t>
  </si>
  <si>
    <t xml:space="preserve">150X150X15 </t>
  </si>
  <si>
    <t xml:space="preserve">100X100X7N </t>
  </si>
  <si>
    <t xml:space="preserve">150X150X16N </t>
  </si>
  <si>
    <t xml:space="preserve">110X110X7N </t>
  </si>
  <si>
    <t xml:space="preserve">110X110X8N </t>
  </si>
  <si>
    <t xml:space="preserve">120X120X9N </t>
  </si>
  <si>
    <t xml:space="preserve">130X130X10N </t>
  </si>
  <si>
    <t xml:space="preserve">130X130X11N </t>
  </si>
  <si>
    <t xml:space="preserve">150X150X11N </t>
  </si>
  <si>
    <t xml:space="preserve">150X150X14N </t>
  </si>
  <si>
    <t xml:space="preserve">110X110X10N </t>
  </si>
  <si>
    <t xml:space="preserve">110X110X6 </t>
  </si>
  <si>
    <t xml:space="preserve">150X150X18N </t>
  </si>
  <si>
    <t xml:space="preserve">150X150X20N </t>
  </si>
  <si>
    <t xml:space="preserve">120X120X8N </t>
  </si>
  <si>
    <t xml:space="preserve">110X110X9 </t>
  </si>
  <si>
    <t xml:space="preserve">120X120X12 </t>
  </si>
  <si>
    <t xml:space="preserve">130X130X14 </t>
  </si>
  <si>
    <t>90X90X8</t>
  </si>
  <si>
    <t>E350C</t>
  </si>
  <si>
    <t>70X70X4</t>
  </si>
  <si>
    <t>Mistakenly this pieces was added in LOI-1352</t>
  </si>
  <si>
    <t>Straightening Report</t>
  </si>
  <si>
    <t>Machine-1 Qty (MT)</t>
  </si>
  <si>
    <t>Machine-2 Qty (MT)</t>
  </si>
  <si>
    <t>Total Qty (MT)</t>
  </si>
  <si>
    <t xml:space="preserve">110X110X8 </t>
  </si>
  <si>
    <t xml:space="preserve">100X100X7 </t>
  </si>
  <si>
    <t xml:space="preserve">110X110X7 </t>
  </si>
  <si>
    <t>01.12.2022 - Size changed</t>
  </si>
  <si>
    <t>02.12.2022</t>
  </si>
  <si>
    <t>HT-100X100X8 (NPG)</t>
  </si>
  <si>
    <t>HT-150</t>
  </si>
  <si>
    <t>SAIL IISCO</t>
  </si>
  <si>
    <t>03.12.2022 - Furnace Problem</t>
  </si>
  <si>
    <t>04.12.2022</t>
  </si>
  <si>
    <t>HT-100X100X7 (NPG)</t>
  </si>
  <si>
    <t>05.12.2022</t>
  </si>
  <si>
    <t>06.12.2022</t>
  </si>
  <si>
    <t>HT-100X100X6 (NPG)</t>
  </si>
  <si>
    <t>MS-100X100X7 (NPG)</t>
  </si>
  <si>
    <t>MS-150</t>
  </si>
  <si>
    <t>MS-100X100X8 (NPG)</t>
  </si>
  <si>
    <t>MS-100X100X6 (NPG)</t>
  </si>
  <si>
    <t>07.12.2022 - Weekly Off</t>
  </si>
  <si>
    <t>08.12.2022</t>
  </si>
  <si>
    <t>HT-120X120X10 (NPG)</t>
  </si>
  <si>
    <t>HT-120X120X8 (NPG)</t>
  </si>
  <si>
    <t>09.12.2022</t>
  </si>
  <si>
    <t>MS-120X120X8 (NPG)</t>
  </si>
  <si>
    <t>MS-120X120X10 (NPG)</t>
  </si>
  <si>
    <t>10.12.2022 - Size Changed to 70X70</t>
  </si>
  <si>
    <t>11.12.2022 - Size Changed to 70X70</t>
  </si>
  <si>
    <t>12.12.2022</t>
  </si>
  <si>
    <t>13.12.2022</t>
  </si>
  <si>
    <t>HT-70X70X5 (NPG)</t>
  </si>
  <si>
    <t>HT-70X70X6 (NPG)</t>
  </si>
  <si>
    <t>14.12.2022 - Weekly Off</t>
  </si>
  <si>
    <t>15.12.2022</t>
  </si>
  <si>
    <t>16.12.2022 - Roll Changed</t>
  </si>
  <si>
    <t>17.12.2022</t>
  </si>
  <si>
    <t>HT-130X130X10 (NPG)</t>
  </si>
  <si>
    <t>HT-130X130X9 (NPG)</t>
  </si>
  <si>
    <t>HT-130X130X8 (NPG)</t>
  </si>
  <si>
    <t>18.12.2022</t>
  </si>
  <si>
    <t>JSPL</t>
  </si>
  <si>
    <t>HT-130X130X11 (NPG)</t>
  </si>
  <si>
    <t>HT-130X130X12 (NPG)</t>
  </si>
  <si>
    <t>19.12.2022</t>
  </si>
  <si>
    <t>HT-120X120X9 (NPG)</t>
  </si>
  <si>
    <t>20.12.2022</t>
  </si>
  <si>
    <t>HT-100X100X10 (NPG)</t>
  </si>
  <si>
    <t>21.12.2022 - Weekly Off</t>
  </si>
  <si>
    <t>22.12.2022</t>
  </si>
  <si>
    <t>Production was stopped early due to breakdown of the mill</t>
  </si>
  <si>
    <t>23.12.2022</t>
  </si>
  <si>
    <t>24.12.2022</t>
  </si>
  <si>
    <t>Not considerd for Rolling (0.359 MT)</t>
  </si>
  <si>
    <t>Not considerd for Rolling (3.036 MT)</t>
  </si>
  <si>
    <t>A572M-GR60</t>
  </si>
  <si>
    <t xml:space="preserve">150X150X20 </t>
  </si>
  <si>
    <t>A572H-GR50</t>
  </si>
  <si>
    <t>MALAYSIA</t>
  </si>
  <si>
    <t>275JR</t>
  </si>
  <si>
    <t>25.12.2022</t>
  </si>
  <si>
    <t>26.12.2022</t>
  </si>
  <si>
    <t>HT-150X150X20 (NPG)</t>
  </si>
  <si>
    <t>HT-200</t>
  </si>
  <si>
    <t>27.12.2022</t>
  </si>
  <si>
    <t>HT-150X150X16 (NPG)</t>
  </si>
  <si>
    <t>HT-150X150X15 (NPG)</t>
  </si>
  <si>
    <t>HT-150X150X14 (NPG)</t>
  </si>
  <si>
    <t>HT-150X150X12 (NPG)</t>
  </si>
  <si>
    <t>HT-150X150X11 (NPG)</t>
  </si>
  <si>
    <t>HT-150X150X18 (NPG)</t>
  </si>
  <si>
    <t>28.12.2022 - Weekly Off</t>
  </si>
  <si>
    <t>29.12.2022</t>
  </si>
  <si>
    <t>SAIL</t>
  </si>
  <si>
    <t>30.12.2022</t>
  </si>
  <si>
    <t>31.12.2022</t>
  </si>
  <si>
    <t>Offered Qty</t>
  </si>
  <si>
    <t>01.01.2023</t>
  </si>
  <si>
    <t>02.01.2023</t>
  </si>
  <si>
    <t>03.01.2023</t>
  </si>
  <si>
    <t>HT-110X110X10 (NPG)</t>
  </si>
  <si>
    <t>HT-110X110X9 (NPG)</t>
  </si>
  <si>
    <t>HT-110X110X8 (NPG)</t>
  </si>
  <si>
    <t>04.01.2023 - Weekly off</t>
  </si>
  <si>
    <t>05.01.2023</t>
  </si>
  <si>
    <t>HT-110X110X7 (NPG)</t>
  </si>
  <si>
    <t>HT-110X110X6 (NPG)</t>
  </si>
  <si>
    <t>Rolling date</t>
  </si>
  <si>
    <t xml:space="preserve"> </t>
  </si>
  <si>
    <t>06.01.2023</t>
  </si>
  <si>
    <t>HT-100X100</t>
  </si>
  <si>
    <t>HT-150X150</t>
  </si>
  <si>
    <t>Grand Total</t>
  </si>
  <si>
    <t>Total (Jan - 23)</t>
  </si>
  <si>
    <t>Dubai</t>
  </si>
  <si>
    <t>BUB (SAUDI)</t>
  </si>
  <si>
    <t>07.01.2023</t>
  </si>
  <si>
    <t>08.01.2023</t>
  </si>
  <si>
    <t>09.01.2023</t>
  </si>
  <si>
    <t>Total (Nov-22)</t>
  </si>
  <si>
    <t>Total (Dec-22)</t>
  </si>
  <si>
    <t>11.01.2023 - Weekly off</t>
  </si>
  <si>
    <t>10.01.2023</t>
  </si>
  <si>
    <t>Butibori (SAUDI)</t>
  </si>
  <si>
    <t xml:space="preserve">80X80X6 </t>
  </si>
  <si>
    <t xml:space="preserve">120X120X8 </t>
  </si>
  <si>
    <t xml:space="preserve">80X80X5 </t>
  </si>
  <si>
    <t>Dubai (Elsewedy)</t>
  </si>
  <si>
    <t xml:space="preserve">150X150X10 </t>
  </si>
  <si>
    <t>12.01.2023 - Furnase Cleaning</t>
  </si>
  <si>
    <t>13.01.2023 - Furnase Cleaning</t>
  </si>
  <si>
    <t>14.01.2023 - Furnase Cleaning</t>
  </si>
  <si>
    <t>15.01.2023 - Furnase Cleaning</t>
  </si>
  <si>
    <t>16.01.2023 - Furnase Cleaning</t>
  </si>
  <si>
    <t>Butibori (Georgia)</t>
  </si>
  <si>
    <t xml:space="preserve">90X90X5 </t>
  </si>
  <si>
    <t xml:space="preserve">80X80X5N </t>
  </si>
  <si>
    <t xml:space="preserve">150X150X13 </t>
  </si>
  <si>
    <t>Cancelled (0.730 MT)</t>
  </si>
  <si>
    <t>17.01.2023 - Furnase Cleaning</t>
  </si>
  <si>
    <t>18.01.2023 - Weekly Off</t>
  </si>
  <si>
    <t>19.01.2023</t>
  </si>
  <si>
    <t>20.01.2023</t>
  </si>
  <si>
    <t>21.01.2023</t>
  </si>
  <si>
    <t>22.01.2023</t>
  </si>
  <si>
    <t>HT-110X110X11 (NPG)</t>
  </si>
  <si>
    <t xml:space="preserve">130X130X10 </t>
  </si>
  <si>
    <t xml:space="preserve">110X110X10 </t>
  </si>
  <si>
    <t xml:space="preserve">150X150X16 </t>
  </si>
  <si>
    <t xml:space="preserve">90X90X5N </t>
  </si>
  <si>
    <t xml:space="preserve">90X90X7N </t>
  </si>
  <si>
    <t xml:space="preserve">130X130X11 </t>
  </si>
  <si>
    <t xml:space="preserve">80X80X8 </t>
  </si>
  <si>
    <t xml:space="preserve">110X110X11 </t>
  </si>
  <si>
    <t>23.01.2023</t>
  </si>
  <si>
    <t>Sterlite</t>
  </si>
  <si>
    <t>24.01.2023</t>
  </si>
  <si>
    <t>IISCO</t>
  </si>
  <si>
    <t>IISCO/JSPL</t>
  </si>
  <si>
    <t>Butibori (Saudi)</t>
  </si>
  <si>
    <t>Butibori (Centaur)</t>
  </si>
  <si>
    <t>Jan-23</t>
  </si>
  <si>
    <t>25.01.2023 - Weekly Off</t>
  </si>
  <si>
    <t>26.01.2023 - PH</t>
  </si>
  <si>
    <t>27.01.2023</t>
  </si>
  <si>
    <t>31.01.2023</t>
  </si>
  <si>
    <t>28.01.2023</t>
  </si>
  <si>
    <t>29.01.2023</t>
  </si>
  <si>
    <t>30.01.2023</t>
  </si>
  <si>
    <t>Offered date</t>
  </si>
  <si>
    <t>Clearence date</t>
  </si>
  <si>
    <t>First dispatch date</t>
  </si>
  <si>
    <t>Last dispatch date</t>
  </si>
  <si>
    <t>Penalty/Bonus</t>
  </si>
  <si>
    <t>Feb-23</t>
  </si>
  <si>
    <t>01.02.2023 - Weekly Off</t>
  </si>
  <si>
    <t>02.02.2023</t>
  </si>
  <si>
    <t>HT-90X90X5 (NPG)</t>
  </si>
  <si>
    <t>Total (Feb - 23)</t>
  </si>
  <si>
    <t>03.02.2023</t>
  </si>
  <si>
    <t>04.02.2023</t>
  </si>
  <si>
    <t>05.02.2023</t>
  </si>
  <si>
    <t>MS-90X90X5 (NPG)</t>
  </si>
  <si>
    <t>06.02.2023</t>
  </si>
  <si>
    <t>MS-80X80X6 (NPG)</t>
  </si>
  <si>
    <t>MS-80X80X5 (NPG)</t>
  </si>
  <si>
    <t>HT-80X80X5 (NPG)</t>
  </si>
  <si>
    <t>HT-80X80X6 (NPG)</t>
  </si>
  <si>
    <t>HT-80X80X8 (NPG)</t>
  </si>
  <si>
    <t>08.02.2023 - Weekly Off</t>
  </si>
  <si>
    <t>09.02.2023</t>
  </si>
  <si>
    <t>10.02.2023</t>
  </si>
  <si>
    <t>11.02.2023</t>
  </si>
  <si>
    <t>12.02.2023</t>
  </si>
  <si>
    <t>13.02.22</t>
  </si>
  <si>
    <t>13.02.2023</t>
  </si>
  <si>
    <t>Bangladesh</t>
  </si>
  <si>
    <t>Mozambique</t>
  </si>
  <si>
    <t>07.02.2023</t>
  </si>
  <si>
    <t>14.02.2023</t>
  </si>
  <si>
    <t>HT-120X120X12 (NPG)</t>
  </si>
  <si>
    <t>15.02.2023 - Weekly Off</t>
  </si>
  <si>
    <t>G. TOTAL</t>
  </si>
  <si>
    <t>Moldova</t>
  </si>
  <si>
    <t>Strainghening</t>
  </si>
  <si>
    <t>HT-120X120X9 (NPG)-j2</t>
  </si>
  <si>
    <t>HT-120X120X9 (NPG) gr60</t>
  </si>
  <si>
    <t>16/17.02.2023 - The mill was closed due to straightening issue</t>
  </si>
  <si>
    <t>24.02.2023</t>
  </si>
  <si>
    <t>18.02.2023</t>
  </si>
  <si>
    <t>Gr 60</t>
  </si>
  <si>
    <t>J2</t>
  </si>
  <si>
    <t>from Stock</t>
  </si>
  <si>
    <t>bal</t>
  </si>
  <si>
    <t>19.02.2023</t>
  </si>
  <si>
    <t>HT-110X110X10 (J2)</t>
  </si>
  <si>
    <t>HT-110X110X10 (GR 60)</t>
  </si>
  <si>
    <t>HT-110X110X11 (IS)</t>
  </si>
  <si>
    <t>HT-110X110X8 (J2/JO)</t>
  </si>
  <si>
    <t>HT-110X110X7 (J2)</t>
  </si>
  <si>
    <t>HT-110X110X8 (GR 60)</t>
  </si>
  <si>
    <t>Under Strainghtening</t>
  </si>
  <si>
    <t>BUB</t>
  </si>
  <si>
    <t>OK</t>
  </si>
  <si>
    <t>20.02.2023</t>
  </si>
  <si>
    <t>HT-100X100X10(Gr 60)</t>
  </si>
  <si>
    <t>HT-100X100X10(J2)</t>
  </si>
  <si>
    <t>HT-100X100X8(J2)</t>
  </si>
  <si>
    <t>HT-100X100X8(Gr 60)</t>
  </si>
  <si>
    <t>HT-100X100X7(J2)</t>
  </si>
  <si>
    <t>Elsewedy</t>
  </si>
  <si>
    <t>Centaur</t>
  </si>
  <si>
    <t>21.02.2023</t>
  </si>
  <si>
    <t>HT-100X100X6(Gr 60)</t>
  </si>
  <si>
    <t>HT-100X100X7(Gr 60)</t>
  </si>
  <si>
    <t>bill raised</t>
  </si>
  <si>
    <t>DUBAI (GCCIA-SAUDI)</t>
  </si>
  <si>
    <t>DUBAI (SEC)</t>
  </si>
  <si>
    <t>Centaur -RFD</t>
  </si>
  <si>
    <t>Elsewedy/Centaur -RFD</t>
  </si>
  <si>
    <t>22.02.23 WEEKLY OFF</t>
  </si>
  <si>
    <t>Elsewedy/Centaur- RFD</t>
  </si>
  <si>
    <t>Centaur- RFD</t>
  </si>
  <si>
    <t>FREE BILLETS</t>
  </si>
  <si>
    <t>Available billets as on date for rolling</t>
  </si>
  <si>
    <t>Party</t>
  </si>
  <si>
    <t>Billets in Hand</t>
  </si>
  <si>
    <t>Section Range</t>
  </si>
  <si>
    <t>Orders Available</t>
  </si>
  <si>
    <t>Billets Booked for Rolling</t>
  </si>
  <si>
    <t>Cut billets</t>
  </si>
  <si>
    <t>Billets under Complaint</t>
  </si>
  <si>
    <t>Net Free Billets as on Date</t>
  </si>
  <si>
    <t>Billet planned/ In Transit Billet</t>
  </si>
  <si>
    <t>Net Free Billets(including  billet planned/transit)</t>
  </si>
  <si>
    <t>Billet tobe used</t>
  </si>
  <si>
    <t>MS-150X150</t>
  </si>
  <si>
    <t>MS-90 TO 130</t>
  </si>
  <si>
    <t>MS-125X125 (NORMAL)</t>
  </si>
  <si>
    <t>RINL</t>
  </si>
  <si>
    <t xml:space="preserve">MS-90X90 </t>
  </si>
  <si>
    <t>MS-45 TO 65</t>
  </si>
  <si>
    <t>MS-150X150 (REJECTED)</t>
  </si>
  <si>
    <t>SAIL  DSP</t>
  </si>
  <si>
    <t>HT-125X125 (NORMAL)</t>
  </si>
  <si>
    <t xml:space="preserve">HT-90X90 </t>
  </si>
  <si>
    <t>HT-45 TO 65</t>
  </si>
  <si>
    <t>SAIL BSP</t>
  </si>
  <si>
    <t>HT-165X165</t>
  </si>
  <si>
    <t>HT-150X150  (AL)</t>
  </si>
  <si>
    <t>HT-150 TO 150</t>
  </si>
  <si>
    <t>BILLET REQ</t>
  </si>
  <si>
    <t>BILLET FREE</t>
  </si>
  <si>
    <t>Billet size</t>
  </si>
  <si>
    <t>Qty(mt)</t>
  </si>
  <si>
    <t>IS/JO/JR/J2</t>
  </si>
  <si>
    <t>HT-90</t>
  </si>
  <si>
    <t>MS-90</t>
  </si>
  <si>
    <t>HT-100X100X6(J2)</t>
  </si>
  <si>
    <t>23.02.2023</t>
  </si>
  <si>
    <t>NCC-Kuwait</t>
  </si>
  <si>
    <t>HT-90X90X6 (J2)</t>
  </si>
  <si>
    <t>HT-90X90X6 (GR60)</t>
  </si>
  <si>
    <t>HT-90X90X7 (GR60)</t>
  </si>
  <si>
    <t>HT-90X90X7 (J2)</t>
  </si>
  <si>
    <t>JIS 540</t>
  </si>
  <si>
    <t>Trading</t>
  </si>
  <si>
    <t>6.30-43 pcs, 6.50-3 pcs</t>
  </si>
  <si>
    <t>25.02.2023 Production suspend due to section change for 120x120</t>
  </si>
  <si>
    <t>110X110X7</t>
  </si>
  <si>
    <t>BSPTCL</t>
  </si>
  <si>
    <t>J-7300023948</t>
  </si>
  <si>
    <t>110X110X10</t>
  </si>
  <si>
    <t>OMAN</t>
  </si>
  <si>
    <t>110X110X6</t>
  </si>
  <si>
    <t>110X110X9</t>
  </si>
  <si>
    <t>130X130X10</t>
  </si>
  <si>
    <t>130X130X11</t>
  </si>
  <si>
    <t>130X130X12</t>
  </si>
  <si>
    <t>130X130X8</t>
  </si>
  <si>
    <t>SAUDI</t>
  </si>
  <si>
    <t>J-7300023744</t>
  </si>
  <si>
    <t>UGANDA</t>
  </si>
  <si>
    <t>MOZAMBIQUE</t>
  </si>
  <si>
    <t>BANGLADESH</t>
  </si>
  <si>
    <t>J-7300023743</t>
  </si>
  <si>
    <t>110X110X11</t>
  </si>
  <si>
    <t>BSPTCL - JAIPUR SEPARAT VEHICLE</t>
  </si>
  <si>
    <t>BSPTCL - JAIPUR SEPARAT VEHICLE - AGAINST  MS-110x8</t>
  </si>
  <si>
    <t>BSPTCL - JAIPUR SEPARAT VEHICLE - AGAINST MS-110x7</t>
  </si>
  <si>
    <t>J-7300023682</t>
  </si>
  <si>
    <t>cancelled</t>
  </si>
  <si>
    <t>120X120X12</t>
  </si>
  <si>
    <t>J-7300024103</t>
  </si>
  <si>
    <t>KPTCL</t>
  </si>
  <si>
    <t>J-7300024105</t>
  </si>
  <si>
    <t>WBSETCL</t>
  </si>
  <si>
    <t>J-7300024104</t>
  </si>
  <si>
    <t>TNEB</t>
  </si>
  <si>
    <t>J-7300024171</t>
  </si>
  <si>
    <t>PNG</t>
  </si>
  <si>
    <t>75X75X6</t>
  </si>
  <si>
    <t>T-7300024606</t>
  </si>
  <si>
    <t>80X80X6</t>
  </si>
  <si>
    <t>75X75X5</t>
  </si>
  <si>
    <t>INDIGRID</t>
  </si>
  <si>
    <t>alternate agn 80x5</t>
  </si>
  <si>
    <t>J-7300024736</t>
  </si>
  <si>
    <t>T-7300024791</t>
  </si>
  <si>
    <t>HPPTCL</t>
  </si>
  <si>
    <t>JAIPUR</t>
  </si>
  <si>
    <t>J-7300024492</t>
  </si>
  <si>
    <t>J-7300024418</t>
  </si>
  <si>
    <t>email</t>
  </si>
  <si>
    <t>against 110x8</t>
  </si>
  <si>
    <t>From stock</t>
  </si>
  <si>
    <t>150X150X18</t>
  </si>
  <si>
    <t>150X150X15</t>
  </si>
  <si>
    <t>150X150X16</t>
  </si>
  <si>
    <t>J-7300024093</t>
  </si>
  <si>
    <t>ADANI</t>
  </si>
  <si>
    <t>VIA BUTIBORI</t>
  </si>
  <si>
    <t>J-7300024094</t>
  </si>
  <si>
    <t>1.822 VIA BUTIBORI</t>
  </si>
  <si>
    <t>3.157 VIA BUTIBORI</t>
  </si>
  <si>
    <t>J-7300024098</t>
  </si>
  <si>
    <t>119.257 VIA BUTIBORI</t>
  </si>
  <si>
    <t>3/3/2022/04.03</t>
  </si>
  <si>
    <t>J-7300024095</t>
  </si>
  <si>
    <t>J-7300024096</t>
  </si>
  <si>
    <t>7.234 VIA BUTIBORI</t>
  </si>
  <si>
    <t>2.993 VIA BUTIBORI</t>
  </si>
  <si>
    <t>3.682 VIA BUTIBORI</t>
  </si>
  <si>
    <t>5.993 VIA BUTIBORI</t>
  </si>
  <si>
    <t>J-7300024097</t>
  </si>
  <si>
    <t>STERLITE</t>
  </si>
  <si>
    <t>J-7300024092</t>
  </si>
  <si>
    <t>agn 110x5</t>
  </si>
  <si>
    <t>6.8 -34, 9.1-6 PCS</t>
  </si>
  <si>
    <t>100X100X12</t>
  </si>
  <si>
    <t>9.5- 16 PCS</t>
  </si>
  <si>
    <t xml:space="preserve">75X75X5 </t>
  </si>
  <si>
    <t xml:space="preserve">75X75X6 </t>
  </si>
  <si>
    <t>80X80X5</t>
  </si>
  <si>
    <t>J-7300024097, 24417</t>
  </si>
  <si>
    <t>40.712 via bub</t>
  </si>
  <si>
    <t>10.023 via bub</t>
  </si>
  <si>
    <t>1.427 via bub</t>
  </si>
  <si>
    <t>J-7300024417</t>
  </si>
  <si>
    <t>J-7300024417,24097</t>
  </si>
  <si>
    <t>26.02.2023</t>
  </si>
  <si>
    <t>HT-120X120X8(Jiss 540)</t>
  </si>
  <si>
    <t>HT-120X120X12(355 jo)</t>
  </si>
  <si>
    <t>27.02.2023</t>
  </si>
  <si>
    <t>HT-150X150X18(J2/JO)</t>
  </si>
  <si>
    <t>HT-150X150X16(J2/JO)</t>
  </si>
  <si>
    <t>28.02.2023</t>
  </si>
  <si>
    <t>HT-150X150X14(JO/J2)</t>
  </si>
  <si>
    <t>HT-150X150X13(J2)</t>
  </si>
  <si>
    <t>HT-150X150X12(J2/JO)</t>
  </si>
  <si>
    <t>offered</t>
  </si>
  <si>
    <t>8.602- 25 pcs</t>
  </si>
  <si>
    <t>HT-150X150X20(J2/JO)</t>
  </si>
  <si>
    <t>HT-150X150X20(GR 60)</t>
  </si>
  <si>
    <t>HT-150X150X15(GR60)</t>
  </si>
  <si>
    <t>HT-150X150X15(J2)</t>
  </si>
  <si>
    <t>HT-120X120X9(GR 60)</t>
  </si>
  <si>
    <t>HT-120X120X9(J2)</t>
  </si>
  <si>
    <t>01.03.2023 weekly off</t>
  </si>
  <si>
    <t xml:space="preserve">02.03.2023 </t>
  </si>
  <si>
    <t>HT-150X150X12(Gr 60/Jis540)</t>
  </si>
  <si>
    <t>HT-150X150X11(J2)</t>
  </si>
  <si>
    <t>HT-150X150X10(GR 60)</t>
  </si>
  <si>
    <t>HT-150X150X15(GR 60)</t>
  </si>
  <si>
    <t>HT-150X150X10(JO)</t>
  </si>
  <si>
    <t>Total (Mar - 23)</t>
  </si>
  <si>
    <t>11.50 mtr - 22 pcs</t>
  </si>
  <si>
    <t xml:space="preserve"> 8.707 mtr- 15 pcs</t>
  </si>
  <si>
    <t>T-7300030009</t>
  </si>
  <si>
    <t>J-7300030020</t>
  </si>
  <si>
    <t>Billet status</t>
  </si>
  <si>
    <t>Mar-23</t>
  </si>
  <si>
    <t>03/4/5/6.06.03.23 shut down due to no section planning</t>
  </si>
  <si>
    <t xml:space="preserve">09.03.2023 </t>
  </si>
  <si>
    <t>275JO</t>
  </si>
  <si>
    <t>100X100X9</t>
  </si>
  <si>
    <t>150X150X12</t>
  </si>
  <si>
    <t>150X150X20</t>
  </si>
  <si>
    <t>150X150X10</t>
  </si>
  <si>
    <t>A572M-GR36</t>
  </si>
  <si>
    <t>from stock</t>
  </si>
  <si>
    <t>U-INP(NPG)-Offered</t>
  </si>
  <si>
    <t xml:space="preserve">10.03.2023 </t>
  </si>
  <si>
    <t>HT-150X150X15(JO)</t>
  </si>
  <si>
    <t>HT-150X150X16(JO)</t>
  </si>
  <si>
    <t>HT-150X150X18(JO)</t>
  </si>
  <si>
    <t>alternate agn 90x5</t>
  </si>
  <si>
    <t xml:space="preserve">11.03.2023 </t>
  </si>
  <si>
    <t>HT-150X150X20(JO)</t>
  </si>
  <si>
    <t>HT-150X150X12(JO)</t>
  </si>
  <si>
    <t>HT-150X150X12(GR60/JIS)</t>
  </si>
  <si>
    <t>HT-150X150X10(GR60)</t>
  </si>
  <si>
    <t>MS-90X90X6(GR 36)</t>
  </si>
  <si>
    <t>DSP</t>
  </si>
  <si>
    <t xml:space="preserve">12.03.2023 </t>
  </si>
  <si>
    <t>GCCIA</t>
  </si>
  <si>
    <t>Elsewedy/Centaur</t>
  </si>
  <si>
    <t xml:space="preserve">13.03.2023 </t>
  </si>
  <si>
    <t>MS-90X90X7(GR 36)</t>
  </si>
  <si>
    <t>HT-90X90X7(JO)</t>
  </si>
  <si>
    <t>HT-90X90X6(JO)</t>
  </si>
  <si>
    <t xml:space="preserve">14.03.2023 </t>
  </si>
  <si>
    <t>15.03.23 WEEKLY OFF</t>
  </si>
  <si>
    <t xml:space="preserve">16.03.2023 </t>
  </si>
  <si>
    <t>MS-80X80X6(Gr 36)</t>
  </si>
  <si>
    <t>HT-80X80X6(JO)</t>
  </si>
  <si>
    <t>HT-80X80X6(GR60)</t>
  </si>
  <si>
    <t xml:space="preserve">17.03.2023 </t>
  </si>
  <si>
    <t>HT-100X100X6(JO)</t>
  </si>
  <si>
    <t>HT-100X100X7(JO)</t>
  </si>
  <si>
    <t>HT-100X100X7(GR60)</t>
  </si>
  <si>
    <t>HT-100X100X8(GR60)</t>
  </si>
  <si>
    <t>HT-100X100X8(JO)</t>
  </si>
  <si>
    <t>HT-100X100X9(JO)</t>
  </si>
  <si>
    <t>HT-100X100X9(GR60)</t>
  </si>
  <si>
    <t>0.913 mt priority</t>
  </si>
  <si>
    <t>4.86 mt 1st priority</t>
  </si>
  <si>
    <t>18/19/20/21/22.03.23 shut down due to No sectiion planning</t>
  </si>
  <si>
    <t>MS-100X100X9(NPG)</t>
  </si>
  <si>
    <t>MS-100X100X8(NPG)</t>
  </si>
  <si>
    <t>MS-100X100X7(NPG)</t>
  </si>
  <si>
    <t>MS-100X100X6(NPG)</t>
  </si>
  <si>
    <t>T-7300030324</t>
  </si>
  <si>
    <t xml:space="preserve">23.03.2023 </t>
  </si>
  <si>
    <t>07.03.23 HOLIDAY FOR HOLI</t>
  </si>
  <si>
    <t>08.03.23 WEEKLY OFF</t>
  </si>
  <si>
    <t>10.50- 42 pcs</t>
  </si>
  <si>
    <t>MS-70 TO 100</t>
  </si>
  <si>
    <t>HT-70 TO 100</t>
  </si>
  <si>
    <t>HT-110 TO 130</t>
  </si>
  <si>
    <t>HT-75 TO 130</t>
  </si>
  <si>
    <t>MEXICO</t>
  </si>
  <si>
    <t>12.04.23 weekly off</t>
  </si>
  <si>
    <t>19.04.23 weekly off</t>
  </si>
  <si>
    <t>21.04.23</t>
  </si>
  <si>
    <t>GCCIA Saudi</t>
  </si>
  <si>
    <t>90X90X5</t>
  </si>
  <si>
    <t>ASTM GR 50</t>
  </si>
  <si>
    <t>150X150X14</t>
  </si>
  <si>
    <t>24/25/26/27/28/29/30/31.03.23 shut down for no section planning</t>
  </si>
  <si>
    <t>01.04 To 05.04.23 Shut down for no section planning</t>
  </si>
  <si>
    <t>65X65X5</t>
  </si>
  <si>
    <t>06.04.2023</t>
  </si>
  <si>
    <t>HT-75X75X6(JO)</t>
  </si>
  <si>
    <t>MS-75X75X6(JO/A36)</t>
  </si>
  <si>
    <t>HT-75X75X6(GR60)</t>
  </si>
  <si>
    <t>120X120X7</t>
  </si>
  <si>
    <t>120X120X9</t>
  </si>
  <si>
    <t>130X130X13</t>
  </si>
  <si>
    <t>Short rolled-Billet short</t>
  </si>
  <si>
    <t>07.04.2023</t>
  </si>
  <si>
    <t>HT-75X75X5(GR60)</t>
  </si>
  <si>
    <t>Total (Apr - 23)</t>
  </si>
  <si>
    <t>08.04.2023</t>
  </si>
  <si>
    <t>HT-90X90X7(Gr 60)</t>
  </si>
  <si>
    <t>HT-90X90X6(Gr 60)</t>
  </si>
  <si>
    <t>HT-90X90X5(Gr 60)</t>
  </si>
  <si>
    <t>09.04.2023</t>
  </si>
  <si>
    <t>HT-110X110X6(Gr 60)</t>
  </si>
  <si>
    <t>HT-110X110X7(Gr 60)</t>
  </si>
  <si>
    <t>HT-110X110X8(Gr 60)</t>
  </si>
  <si>
    <t>From stock - offered</t>
  </si>
  <si>
    <t>from stock - new rolling</t>
  </si>
  <si>
    <t>10.04.2023</t>
  </si>
  <si>
    <t>HT-110X110X9(Gr 60)</t>
  </si>
  <si>
    <t>HT-110X110X10(Gr 60)</t>
  </si>
  <si>
    <t>Machine-3 Qty (MT)</t>
  </si>
  <si>
    <t>11.04.23</t>
  </si>
  <si>
    <t>T-7300030625</t>
  </si>
  <si>
    <t>J-7300030626</t>
  </si>
  <si>
    <t>T-7300030628</t>
  </si>
  <si>
    <t>J-7300030629</t>
  </si>
  <si>
    <t>T-7300030632</t>
  </si>
  <si>
    <t>T-7300030631</t>
  </si>
  <si>
    <t>13.04.23</t>
  </si>
  <si>
    <t>MS-100X100X6(A36)</t>
  </si>
  <si>
    <t>14.04.23</t>
  </si>
  <si>
    <t>HT-130X130X12(Gr 60)</t>
  </si>
  <si>
    <t>HT-130X130X13(Gr 60)</t>
  </si>
  <si>
    <t>HT-130X130X11(Gr 60)</t>
  </si>
  <si>
    <t>15.04.23</t>
  </si>
  <si>
    <t>HT-130X130X10(Gr 60)</t>
  </si>
  <si>
    <t>from stock -rfd</t>
  </si>
  <si>
    <t>From stock -rfd</t>
  </si>
  <si>
    <t>90 mt rfd, 24 mt offered</t>
  </si>
  <si>
    <t>16.04.23 SHUT DOWN FOR PENDING STRAIGHTENING MATERIAL</t>
  </si>
  <si>
    <t>17.04.23</t>
  </si>
  <si>
    <t>HT-130X130X9(Gr 60)</t>
  </si>
  <si>
    <t>18.04.23</t>
  </si>
  <si>
    <t>HT-130X130X8(Gr 60)</t>
  </si>
  <si>
    <t>HT-120X120X10(Gr 60)</t>
  </si>
  <si>
    <t>HT-120X120X9(Gr 60)</t>
  </si>
  <si>
    <t>20.04.23 shut down for no section planning</t>
  </si>
  <si>
    <t>ok from stock</t>
  </si>
  <si>
    <t>HT-120X120X8(Gr 60)</t>
  </si>
  <si>
    <t>HT-120X120X7(Gr 60)</t>
  </si>
  <si>
    <t>22/23.04.23 shut down for no section planning</t>
  </si>
  <si>
    <t>24.04.23</t>
  </si>
  <si>
    <t>HT-150X150X18(JO/JR)</t>
  </si>
  <si>
    <t>HT-150X150X16(JO/JR)</t>
  </si>
  <si>
    <t>HT-150X150X15(JO/JR)</t>
  </si>
  <si>
    <t>HT-150X150X12(JO/JR)</t>
  </si>
  <si>
    <t>HT-150X150X10(JO/JR)</t>
  </si>
  <si>
    <t>HT-150X150X14(JO)</t>
  </si>
  <si>
    <t>HT-150X150X12(GR 60)</t>
  </si>
  <si>
    <t>25.04.23</t>
  </si>
  <si>
    <t>HT-80X80X6(Gr 60)</t>
  </si>
  <si>
    <t>HT-80X80X5(Gr 60)</t>
  </si>
  <si>
    <t>OFFERED</t>
  </si>
  <si>
    <t>from stock - 10.5-4 BL</t>
  </si>
  <si>
    <t>GCCIA/GCCIA-Saudi</t>
  </si>
  <si>
    <t>Elsewedy/TRANSCO</t>
  </si>
  <si>
    <t>NCC/ADNOC</t>
  </si>
  <si>
    <t>from stock-11.60- 8 BL</t>
  </si>
  <si>
    <t>GCCIA-Saudi/EEE saudi</t>
  </si>
  <si>
    <t>GCCIA-Saudi/GCCIA</t>
  </si>
  <si>
    <t>Cegelec/Kuwait</t>
  </si>
  <si>
    <t>26.04.23 weekly off</t>
  </si>
  <si>
    <t>27.04/28/29/30.04.23 shut down for no section planning</t>
  </si>
  <si>
    <t>short due to internal rejection</t>
  </si>
  <si>
    <t>MOLDOVA</t>
  </si>
  <si>
    <t>GCCIA-Saudi</t>
  </si>
  <si>
    <t>EEE/Saudi</t>
  </si>
  <si>
    <t>GCCIA-Kuwait</t>
  </si>
  <si>
    <t>GCCIA-Saudi/NCC/ADNOC</t>
  </si>
  <si>
    <t>GCCIA-Saudi /GCCIA</t>
  </si>
  <si>
    <t>GCCIA-Saudi /GCCIA/CEGELEC/KUWAI</t>
  </si>
  <si>
    <t>EEE/Saudi /GCCIA KUWAIL</t>
  </si>
  <si>
    <t>HT-150X150  (NORMAL)</t>
  </si>
  <si>
    <t>150X150X17</t>
  </si>
  <si>
    <t>75X75X8</t>
  </si>
  <si>
    <t>Railway</t>
  </si>
  <si>
    <t>20.05.23</t>
  </si>
  <si>
    <t>23.05.23</t>
  </si>
  <si>
    <t>25.05.23</t>
  </si>
  <si>
    <t>01.05.23 to 19.05.23 shut down for no section planning</t>
  </si>
  <si>
    <t>HT-130X130X10(JO)</t>
  </si>
  <si>
    <t>HT-130X130X10(GR60)</t>
  </si>
  <si>
    <t>HT-130X130X9(GR60)</t>
  </si>
  <si>
    <t>HT-130X130X10(JO/J2)</t>
  </si>
  <si>
    <t>HT-130X130X12(JO/J2)</t>
  </si>
  <si>
    <t>MS-130X130X9(JR)</t>
  </si>
  <si>
    <t>Total (May - 23)</t>
  </si>
  <si>
    <t>HT-130X130X9(jo/jr)</t>
  </si>
  <si>
    <t>10.2- 7 pcs</t>
  </si>
  <si>
    <t>HT-100X100X6(JO/J2)</t>
  </si>
  <si>
    <t>HT-100X100X6(GR60)</t>
  </si>
  <si>
    <t>HT-100X100X7(JO/J2)</t>
  </si>
  <si>
    <t>21.05.23</t>
  </si>
  <si>
    <t>22.05.23</t>
  </si>
  <si>
    <t>HT-100X100X8(JO/J2)</t>
  </si>
  <si>
    <t>HT-100X100X10(JO/J2)</t>
  </si>
  <si>
    <t>HT-100X100X12(JO/J2)</t>
  </si>
  <si>
    <t>12- 00 - 3 pcs</t>
  </si>
  <si>
    <t>11.70- 12 pcs</t>
  </si>
  <si>
    <t>HT-110X110X7(JO/J2)</t>
  </si>
  <si>
    <t>HT-110X110X8(JO/J2)</t>
  </si>
  <si>
    <t>HT-110X110X9(JO/J2)</t>
  </si>
  <si>
    <t>HT-110X110X10(JO/J2)</t>
  </si>
  <si>
    <t>11.50- 7 pcs</t>
  </si>
  <si>
    <t>11- 6 pcs</t>
  </si>
  <si>
    <t>24.05.23 weekly  off</t>
  </si>
  <si>
    <t>HT-90X90X6(JO/J2)</t>
  </si>
  <si>
    <t>HT-90X90X7(JO/J2)</t>
  </si>
  <si>
    <t>MS-90X90X7(JR/36)</t>
  </si>
  <si>
    <t>MS-90X90X6(RAILWAY)</t>
  </si>
  <si>
    <t>HT-90X90X6(IS)</t>
  </si>
  <si>
    <t>26.05.23</t>
  </si>
  <si>
    <t>HT-75X75X6(JO/J2)</t>
  </si>
  <si>
    <t>HT-75X75X5(JO/J2)</t>
  </si>
  <si>
    <t>MS-75X75X8(RAILWAY)</t>
  </si>
  <si>
    <t>JSPL/Bhushan</t>
  </si>
  <si>
    <t>Bhushan</t>
  </si>
  <si>
    <t>12- 16 pcs</t>
  </si>
  <si>
    <t>27.05.23</t>
  </si>
  <si>
    <t>28.05.23</t>
  </si>
  <si>
    <t>MS-75X75X6(RAILWAY)</t>
  </si>
  <si>
    <t>10- 2 PCS</t>
  </si>
  <si>
    <t>29.05.23</t>
  </si>
  <si>
    <t>HT-120X120X12(JO/J2)</t>
  </si>
  <si>
    <t>HT-120X120X10(JO/J2)</t>
  </si>
  <si>
    <t>HT-120X120X9(JO/J2)</t>
  </si>
  <si>
    <t>30.05.23</t>
  </si>
  <si>
    <t>HT-120X120X8(JO/J2)</t>
  </si>
  <si>
    <t>Stock- cleared</t>
  </si>
  <si>
    <t>11- 82 pcs</t>
  </si>
  <si>
    <t xml:space="preserve">65X65X5 </t>
  </si>
  <si>
    <t>275 J2</t>
  </si>
  <si>
    <t>80X80X8</t>
  </si>
  <si>
    <t>08.06.23</t>
  </si>
  <si>
    <t>09.06.23</t>
  </si>
  <si>
    <t>06.06.23</t>
  </si>
  <si>
    <t>MS-120X120X8(JR/A36)</t>
  </si>
  <si>
    <t>MS-120X120X9(JR/A36)</t>
  </si>
  <si>
    <t>Total (Jun - 23)</t>
  </si>
  <si>
    <t>07.06.23 WEEKLY  OFF</t>
  </si>
  <si>
    <t>MS-130X130X9(JR/A36)</t>
  </si>
  <si>
    <t>10.90- 10 PCS</t>
  </si>
  <si>
    <t>10.06.23</t>
  </si>
  <si>
    <t>MS-80X80X8(RAILWAY)</t>
  </si>
  <si>
    <t>MS-80X80X6(RAILWAY)</t>
  </si>
  <si>
    <t>HT-80X80X6(JO/J2)</t>
  </si>
  <si>
    <t>HT-80X80X5(JO/J2)</t>
  </si>
  <si>
    <t>11.40-7 PCS</t>
  </si>
  <si>
    <t>11.00- 1 pcs</t>
  </si>
  <si>
    <t>11.90- 5 pcs</t>
  </si>
  <si>
    <t>GCCIA-Saudi/Cegelec/Kuwait/EEE/Saudi</t>
  </si>
  <si>
    <t>/Cegelec/Kuwait/EEE/Saudi</t>
  </si>
  <si>
    <t>GCCIA-Saudi/EEE/Saudi</t>
  </si>
  <si>
    <t>01.06.23 TO 05.06.23 SHUT DOWN FOR NO SECTION/BILLET PLANNING</t>
  </si>
  <si>
    <t>11.06.23 SHUT DOWN FOR BILLET SHORT FOR AVAILABLE ORDERS</t>
  </si>
  <si>
    <t>12.06.23</t>
  </si>
  <si>
    <t>HT-150X150X20(JO/J2)</t>
  </si>
  <si>
    <t>HT-150X150X18(JO/J2)</t>
  </si>
  <si>
    <t>HT-150X150X16(JO/J2)</t>
  </si>
  <si>
    <t>HT-150X150X15(JO/J2)</t>
  </si>
  <si>
    <t>HT-150X150X12(JO/J2)</t>
  </si>
  <si>
    <t>13.06.23</t>
  </si>
  <si>
    <t>HT-150X150X10(JO/J2)</t>
  </si>
  <si>
    <t>HT-150X150X12(GR60)</t>
  </si>
  <si>
    <t>150X150X11</t>
  </si>
  <si>
    <t>14.06.23 weekly off</t>
  </si>
  <si>
    <t>15.06.23</t>
  </si>
  <si>
    <t>16.06.23</t>
  </si>
  <si>
    <t>HT-152X152X14.3(GR50)</t>
  </si>
  <si>
    <t>05.02.23</t>
  </si>
  <si>
    <t>16/02/2023</t>
  </si>
  <si>
    <t>10.06.23 MORNING</t>
  </si>
  <si>
    <t>Georgia/Bozlaryapi</t>
  </si>
  <si>
    <t>120X120X5</t>
  </si>
  <si>
    <t>120X120X6</t>
  </si>
  <si>
    <t>100X100X5</t>
  </si>
  <si>
    <t>18.06.23</t>
  </si>
  <si>
    <t>20.06.23</t>
  </si>
  <si>
    <t>17.06.23</t>
  </si>
  <si>
    <t>HT-75X75X6(J2/JO)</t>
  </si>
  <si>
    <t>ASTM Gr 50</t>
  </si>
  <si>
    <t>19.06.23</t>
  </si>
  <si>
    <t>HT-75X75X5(J2/JO)</t>
  </si>
  <si>
    <t>MS-75X75X5(J2)</t>
  </si>
  <si>
    <t>MS-75X75X6(J2)</t>
  </si>
  <si>
    <t>MS-75X75X6(IS)</t>
  </si>
  <si>
    <t>MS-65X65X5(NPG)</t>
  </si>
  <si>
    <t>29.06.23</t>
  </si>
  <si>
    <t>RFD 7.30 MTR- 6 PCS</t>
  </si>
  <si>
    <t>MS-70X70X5(JO/J2)</t>
  </si>
  <si>
    <t>HT-70X70X5(JO/J2)</t>
  </si>
  <si>
    <t>HT-70X70X6(JO/J2)</t>
  </si>
  <si>
    <t>21.06.23 WEEKLY OFF</t>
  </si>
  <si>
    <t>22.06.23</t>
  </si>
  <si>
    <t>HT-90X90X5(JO/J2)</t>
  </si>
  <si>
    <t>MS-90X90X5(JO/J2)</t>
  </si>
  <si>
    <t>MS-90X90X6(JO/J2)</t>
  </si>
  <si>
    <t>MS-90X90X8(RAILWAY)</t>
  </si>
  <si>
    <t>MS-90X90X7(JO/J2)</t>
  </si>
  <si>
    <t>30.06.23</t>
  </si>
  <si>
    <t>23.06.23</t>
  </si>
  <si>
    <t>Stock</t>
  </si>
  <si>
    <t>24.06.23</t>
  </si>
  <si>
    <t>2 mt from stock</t>
  </si>
  <si>
    <t>from stock-agn 90x5</t>
  </si>
  <si>
    <t>25.06.23</t>
  </si>
  <si>
    <t>3.250X10</t>
  </si>
  <si>
    <t>Elsewedy/Etihad</t>
  </si>
  <si>
    <t>Mar,22 to May,22</t>
  </si>
  <si>
    <t>10.350- 16, 10-7 PCS</t>
  </si>
  <si>
    <t>26.06.23</t>
  </si>
  <si>
    <t>MS-100X100X6(JO/J2)</t>
  </si>
  <si>
    <t>MS-100X100X7(JO/J2)</t>
  </si>
  <si>
    <t>MS-100X100X8(JO/J2)</t>
  </si>
  <si>
    <t>10.2-29, 11.90-19 pcs</t>
  </si>
  <si>
    <t>27.06.23 shut down for Section for 120x120</t>
  </si>
  <si>
    <t>MOROCCO</t>
  </si>
  <si>
    <t>01.07.23</t>
  </si>
  <si>
    <t>80X80X6.5</t>
  </si>
  <si>
    <t>28.06.23 weekly off</t>
  </si>
  <si>
    <t>FAB REJ EMIR AD</t>
  </si>
  <si>
    <t>RFD - 7.20- 6 PCS</t>
  </si>
  <si>
    <t>HT-130X130X11(JO/J2)</t>
  </si>
  <si>
    <t>MS-130X130X10(JO/J2)</t>
  </si>
  <si>
    <t>9.00- 7 PCS</t>
  </si>
  <si>
    <t>Total (Jul - 23)</t>
  </si>
  <si>
    <t>MS-80X80X6(JR/36)</t>
  </si>
  <si>
    <t>MS-80X80X6.5(JR/36)</t>
  </si>
  <si>
    <t xml:space="preserve"> 75X75X5</t>
  </si>
  <si>
    <t>RAILWAY</t>
  </si>
  <si>
    <t>11.9- 8 pcs</t>
  </si>
  <si>
    <t>02.07.23</t>
  </si>
  <si>
    <t>MS-75X75X6(A36)</t>
  </si>
  <si>
    <t>MS-75X75X5(A36)</t>
  </si>
  <si>
    <t>03.07.23</t>
  </si>
  <si>
    <t>MS-75X75X5(J2/JO)</t>
  </si>
  <si>
    <t>MS-75X75X6(J2/JO)</t>
  </si>
  <si>
    <t>TAS-Iraq</t>
  </si>
  <si>
    <t>04.07.23 shutdown for Coal problem</t>
  </si>
  <si>
    <t>ASTM Gr 60</t>
  </si>
  <si>
    <t>150X150X13</t>
  </si>
  <si>
    <t>ASTM Gr 36</t>
  </si>
  <si>
    <t>stock</t>
  </si>
  <si>
    <t>PG</t>
  </si>
  <si>
    <t>PGCIL</t>
  </si>
  <si>
    <t>WITHOUT PG CIP</t>
  </si>
  <si>
    <t>A 36</t>
  </si>
  <si>
    <t>110X110X12</t>
  </si>
  <si>
    <t>JAIPUR LOCATION</t>
  </si>
  <si>
    <t>GR INFRA</t>
  </si>
  <si>
    <t>Without PG CIP</t>
  </si>
  <si>
    <t>Gr 50</t>
  </si>
  <si>
    <t>Gr 36</t>
  </si>
  <si>
    <t>12.07.23 weekly off</t>
  </si>
  <si>
    <t>19.07.23 weekly off</t>
  </si>
  <si>
    <t>23.07.23</t>
  </si>
  <si>
    <t>17.07.23</t>
  </si>
  <si>
    <t>05.07.23 WEEKLY OFF</t>
  </si>
  <si>
    <t>06.07.23 shutdown for Coal problem</t>
  </si>
  <si>
    <t>08.07.23</t>
  </si>
  <si>
    <t>MS-90X90X6(JR/36)</t>
  </si>
  <si>
    <t>MS-90X90X5(JR/36)</t>
  </si>
  <si>
    <t>HT-90X90X5(JR/36)</t>
  </si>
  <si>
    <t>09.07.23</t>
  </si>
  <si>
    <t>HT-90X90X6(JR/36)</t>
  </si>
  <si>
    <t>HT-90X90X7(JR/36)</t>
  </si>
  <si>
    <t>MS-75 TO 130</t>
  </si>
  <si>
    <t>10.07.23</t>
  </si>
  <si>
    <t>HT-90X90X6(GR60)</t>
  </si>
  <si>
    <t>HT-90X90X7(GR60)</t>
  </si>
  <si>
    <t>HT-90X90X8(JO/J2)</t>
  </si>
  <si>
    <t>11.40- 22 PCS</t>
  </si>
  <si>
    <t>11.07.23</t>
  </si>
  <si>
    <t>07.07.23 shutdon for furnace heating problem</t>
  </si>
  <si>
    <t>13.07.23 shut down for furnace heating problem</t>
  </si>
  <si>
    <t>14.07.23</t>
  </si>
  <si>
    <t>15.07.23</t>
  </si>
  <si>
    <t>GR60</t>
  </si>
  <si>
    <t>16.07.23 shut down for coal shortage</t>
  </si>
  <si>
    <t>HT-100X100X8(PG)</t>
  </si>
  <si>
    <t>HT-100X100X7(PG)</t>
  </si>
  <si>
    <t>HT-100X100X6(PG)</t>
  </si>
  <si>
    <t>MS-100X100X6(PG)</t>
  </si>
  <si>
    <t>MS-100X100X8(PG)</t>
  </si>
  <si>
    <t>MS-100X100X10(PG)</t>
  </si>
  <si>
    <t>U-INP(PG)-Offered</t>
  </si>
  <si>
    <t>18.07.23</t>
  </si>
  <si>
    <t>HT-110X110X6(JO/J2)</t>
  </si>
  <si>
    <t>VINCI-Saudi/GCCIA-Kuwait</t>
  </si>
  <si>
    <t>VINCI-Kuwait</t>
  </si>
  <si>
    <t>TRANSCO</t>
  </si>
  <si>
    <t>20.07.23</t>
  </si>
  <si>
    <t>HT-110X110X12(JO/J2)</t>
  </si>
  <si>
    <t>MS-110X110X10(JO/J2)</t>
  </si>
  <si>
    <t>MS-110X110X8(JO/J2)</t>
  </si>
  <si>
    <t>MS-110X110X7(JO/J2)</t>
  </si>
  <si>
    <t>MS-110X110X6(PG)</t>
  </si>
  <si>
    <t>HT-110X110X6(PG)</t>
  </si>
  <si>
    <t>HT-110X110X7(PG)</t>
  </si>
  <si>
    <t>HT-110X110X8(PG)</t>
  </si>
  <si>
    <t>HT-110X110X10(PG)</t>
  </si>
  <si>
    <t>MS-110X110X10(PG)</t>
  </si>
  <si>
    <t>21.07.23</t>
  </si>
  <si>
    <t xml:space="preserve">ADDITONAL QTY </t>
  </si>
  <si>
    <t>22.07.23</t>
  </si>
  <si>
    <t>MS-120X120X8(JO/J2)</t>
  </si>
  <si>
    <t>MS-120X120X9(JO/J2)</t>
  </si>
  <si>
    <t>MS-120X120X10(JO/J2)</t>
  </si>
  <si>
    <t xml:space="preserve">from stock </t>
  </si>
  <si>
    <t>6.30 MTR- 20 PCS</t>
  </si>
  <si>
    <t>24.07.23</t>
  </si>
  <si>
    <t>HT-130X130X9(JO/J2)</t>
  </si>
  <si>
    <t>HT-130X130X8(JO/J2)</t>
  </si>
  <si>
    <t>MS-130X130X9(JO/J2)</t>
  </si>
  <si>
    <t>25.07.23</t>
  </si>
  <si>
    <t>.</t>
  </si>
  <si>
    <t>Zellinskis</t>
  </si>
  <si>
    <t>26.07.23 weekly off</t>
  </si>
  <si>
    <t>75X75X4</t>
  </si>
  <si>
    <t>27/28.07.23 shutdown due to electrical cable problem due to heavy rain</t>
  </si>
  <si>
    <t>29.07.23</t>
  </si>
  <si>
    <t>HT-150X150X15(J2/JO)</t>
  </si>
  <si>
    <t>HT-160x160(Gr 60)</t>
  </si>
  <si>
    <t>HT-150x150  Gr 60)</t>
  </si>
  <si>
    <t>IS/JO/JR/J2/PG</t>
  </si>
  <si>
    <t>30.07.23</t>
  </si>
  <si>
    <t>HT-150X150X14(J2/JO)</t>
  </si>
  <si>
    <t>Billet ok-125</t>
  </si>
  <si>
    <t>FROM STOCK-RFD</t>
  </si>
  <si>
    <t>stock- RFD</t>
  </si>
  <si>
    <t>stock - RFD</t>
  </si>
  <si>
    <t>HT-130</t>
  </si>
  <si>
    <t>31.07.23</t>
  </si>
  <si>
    <t>HT-150X150X13(J2/JO)</t>
  </si>
  <si>
    <t>HT-150X150X11(J2/JO)</t>
  </si>
  <si>
    <t>HT-150X150X10(J2/JO)</t>
  </si>
  <si>
    <t>30.08.23 weekly off</t>
  </si>
  <si>
    <t>01.08.23</t>
  </si>
  <si>
    <t>HT-120X120X10(GR 60)</t>
  </si>
  <si>
    <t>HT-120X120X8(GR60)</t>
  </si>
  <si>
    <t>Total (Aug- 23)</t>
  </si>
  <si>
    <t>HT-130X130  (AL)-High Si</t>
  </si>
  <si>
    <t>J2 high Si</t>
  </si>
  <si>
    <t>HT-120X120X10(PG)</t>
  </si>
  <si>
    <t>02.08.23 WEEKLY OFF</t>
  </si>
  <si>
    <t>03.08.23</t>
  </si>
  <si>
    <t>HT-120X120X9(PG)</t>
  </si>
  <si>
    <t>HT-120X120X8(PG)</t>
  </si>
  <si>
    <t>HT-120X120X7(PG)</t>
  </si>
  <si>
    <t>HT-120X120X8(J2)</t>
  </si>
  <si>
    <t>HT-120X120X10(J2)</t>
  </si>
  <si>
    <t>MS-120X120X10(PG)</t>
  </si>
  <si>
    <t>MS-120X120X8(PG)</t>
  </si>
  <si>
    <t>MS-120X120X7(PG)</t>
  </si>
  <si>
    <t>rfd</t>
  </si>
  <si>
    <t>stock -rfd</t>
  </si>
  <si>
    <t>stock- rfd</t>
  </si>
  <si>
    <t>stock-rfd</t>
  </si>
  <si>
    <t>Stock -rfd</t>
  </si>
  <si>
    <t>14.83 mt RFD</t>
  </si>
  <si>
    <t>04.08.23</t>
  </si>
  <si>
    <t>29.08.23</t>
  </si>
  <si>
    <t>Proejct</t>
  </si>
  <si>
    <t>09.08.23 WEEKLY OFF</t>
  </si>
  <si>
    <t>Billet ok-200</t>
  </si>
  <si>
    <t>05.08.23</t>
  </si>
  <si>
    <t>HT-130X130X10(GR 60)</t>
  </si>
  <si>
    <t>HT-130X130X9(GR 60)</t>
  </si>
  <si>
    <t>HT-130X130X12(PG)</t>
  </si>
  <si>
    <t>HT-130X130X11(PG)</t>
  </si>
  <si>
    <t>STOCK- rfd</t>
  </si>
  <si>
    <t>STOCK -rfd</t>
  </si>
  <si>
    <t>7/24/2023/ 05.08.23</t>
  </si>
  <si>
    <t xml:space="preserve">stock -rfd-10.4-15 </t>
  </si>
  <si>
    <t>06.08.23</t>
  </si>
  <si>
    <t>HT-130X130X10(PG)</t>
  </si>
  <si>
    <t>HT-130X130X9(PG)</t>
  </si>
  <si>
    <t>HT-130X130X8(PG)</t>
  </si>
  <si>
    <t>HT-160x160(JO/J2)</t>
  </si>
  <si>
    <t>HT-180x180(JO/J2)</t>
  </si>
  <si>
    <t>MS-160x160(JO/J2)</t>
  </si>
  <si>
    <t>Offered from stock</t>
  </si>
  <si>
    <t>Rework</t>
  </si>
  <si>
    <t>07.08.23</t>
  </si>
  <si>
    <t>HT-75X75X6(GR 60)</t>
  </si>
  <si>
    <t>HT-75X75X6(JO/J2-HIGH SI)</t>
  </si>
  <si>
    <t>2.83 mt cancelled</t>
  </si>
  <si>
    <t>08.08.23</t>
  </si>
  <si>
    <t>MS-75X75X5(PG)</t>
  </si>
  <si>
    <t>MS-75X75X8 rali</t>
  </si>
  <si>
    <t>10.08.23</t>
  </si>
  <si>
    <t>HT-80X80X6(J2(HIGH SI)</t>
  </si>
  <si>
    <t>11.08.23</t>
  </si>
  <si>
    <t>HT-80X80X5(J2(HIGH SI)</t>
  </si>
  <si>
    <t>MS-80X80X5(IS)</t>
  </si>
  <si>
    <t>MS-80X80X5(J2)</t>
  </si>
  <si>
    <t>HT-80X80X5(J2)</t>
  </si>
  <si>
    <t>MS-80X80X6(JO/J2)</t>
  </si>
  <si>
    <t>HT-80X80X6(PG)</t>
  </si>
  <si>
    <t>HT-80X80X5(PG)</t>
  </si>
  <si>
    <t>MS-80X80X5(PG)</t>
  </si>
  <si>
    <t>MS-80X80X6(PG)</t>
  </si>
  <si>
    <t>12.08.23</t>
  </si>
  <si>
    <t>HT-90X90X8(J2)</t>
  </si>
  <si>
    <t>HT-90X90X7(J2/JO)</t>
  </si>
  <si>
    <t>13.08.23</t>
  </si>
  <si>
    <t>HT-90X90X6(J2/JO)</t>
  </si>
  <si>
    <t>HT-90X90X6(J2/HIGH SI)</t>
  </si>
  <si>
    <t>14.08.23</t>
  </si>
  <si>
    <t>HT-90X90X5(PG)</t>
  </si>
  <si>
    <t>HT-90X90X6(PG)</t>
  </si>
  <si>
    <t>HT-90X90X5(J2/JO/high si )</t>
  </si>
  <si>
    <t>17.08.23</t>
  </si>
  <si>
    <t>Independence Day</t>
  </si>
  <si>
    <t>Weekly off</t>
  </si>
  <si>
    <t>MS-130X130</t>
  </si>
  <si>
    <t>18.08.23</t>
  </si>
  <si>
    <t>MS-90X90X5(NPG)</t>
  </si>
  <si>
    <t>MS-90X90X6(NPG)</t>
  </si>
  <si>
    <t>MS-90X90X7(NPG)</t>
  </si>
  <si>
    <t>MS-90X90X5(PG)</t>
  </si>
  <si>
    <t>MS-90X90X6(PG)</t>
  </si>
  <si>
    <t xml:space="preserve">Stock </t>
  </si>
  <si>
    <t xml:space="preserve"> GR 50</t>
  </si>
  <si>
    <t>GR 50</t>
  </si>
  <si>
    <t>shfited from Bub</t>
  </si>
  <si>
    <t>568A</t>
  </si>
  <si>
    <t>613A</t>
  </si>
  <si>
    <t>24.08.23</t>
  </si>
  <si>
    <t>27.08.23</t>
  </si>
  <si>
    <t>28.08.23</t>
  </si>
  <si>
    <t>A572 GR 50</t>
  </si>
  <si>
    <t>06.09.23 weekly off</t>
  </si>
  <si>
    <t>19.08.23</t>
  </si>
  <si>
    <t>HT-150X150X18(GR 60)</t>
  </si>
  <si>
    <t>HT-150X150X16(GR 60)</t>
  </si>
  <si>
    <t>HT-150X150X15(GR 50)</t>
  </si>
  <si>
    <t>MS-75X75X6 (IS)</t>
  </si>
  <si>
    <t>MS-75X75X4 (IS)</t>
  </si>
  <si>
    <t>20.08.23</t>
  </si>
  <si>
    <t>HT-150X150X14(GR 60)</t>
  </si>
  <si>
    <t>21.08.23</t>
  </si>
  <si>
    <t>8.7-5, 9.6-5, 10.5-6</t>
  </si>
  <si>
    <t>Zellinskis - RFD</t>
  </si>
  <si>
    <t>Zellinskis -RFD</t>
  </si>
  <si>
    <t>22.08.23</t>
  </si>
  <si>
    <t>HT-150X150X11(GR60)</t>
  </si>
  <si>
    <t>150X14-.668</t>
  </si>
  <si>
    <t>8.9- 27 PCS</t>
  </si>
  <si>
    <t>Not planned</t>
  </si>
  <si>
    <t>04.09.23</t>
  </si>
  <si>
    <t>05.09.23</t>
  </si>
  <si>
    <t>09.09.23</t>
  </si>
  <si>
    <t>10.09.23</t>
  </si>
  <si>
    <t>11.09.23</t>
  </si>
  <si>
    <t>23.08.23 WEEKLY OFF</t>
  </si>
  <si>
    <t>HT-100X100X9(JO/J2)</t>
  </si>
  <si>
    <t>HT-100X100X6(HIGH SI)</t>
  </si>
  <si>
    <t>25.08.23</t>
  </si>
  <si>
    <t>HT-110X110X10(GR60)</t>
  </si>
  <si>
    <t>31.08.23</t>
  </si>
  <si>
    <t>26.08.23</t>
  </si>
  <si>
    <t>HT-110X110X8(GR 60)</t>
  </si>
  <si>
    <t>MS-110X110X8(A36)</t>
  </si>
  <si>
    <t>CALL RAISED</t>
  </si>
  <si>
    <t>HT-75X75X4(HIGH SI)</t>
  </si>
  <si>
    <t>HT-75X75X4(IS)</t>
  </si>
  <si>
    <t>MS-75X75X5(JO/J2)</t>
  </si>
  <si>
    <t>MS-75X75X6(JO/J2)</t>
  </si>
  <si>
    <t>12.83 mt hold for dispatch</t>
  </si>
  <si>
    <t>Hold for rolling</t>
  </si>
  <si>
    <t>HT-75X75X6(PG)</t>
  </si>
  <si>
    <t>HT-75X75X5(PG)</t>
  </si>
  <si>
    <t>355J2</t>
  </si>
  <si>
    <t>from stock -RFD</t>
  </si>
  <si>
    <t>REMARKS</t>
  </si>
  <si>
    <t>HT-70X70X6(HIGH SI)</t>
  </si>
  <si>
    <t>HT-70X70X5(HIGH SI)</t>
  </si>
  <si>
    <t>Location</t>
  </si>
  <si>
    <t>from loi 567</t>
  </si>
  <si>
    <t>disptch in 713</t>
  </si>
  <si>
    <t>HT-120X120X10(JO/J2/GR 50)</t>
  </si>
  <si>
    <t>HT-120X120X10(60)</t>
  </si>
  <si>
    <t>HT-120X120X9(60)</t>
  </si>
  <si>
    <t>HT-120X120X8(60)</t>
  </si>
  <si>
    <t>HT-120X120X8(JO)</t>
  </si>
  <si>
    <t>MS-120X120X8(JO)</t>
  </si>
  <si>
    <t>01.09.23</t>
  </si>
  <si>
    <t>Total (Sep- 23)</t>
  </si>
  <si>
    <t>FROM STOCK</t>
  </si>
  <si>
    <t>07.09.23</t>
  </si>
  <si>
    <t>08.09.23</t>
  </si>
  <si>
    <t>11.5-13 PCS</t>
  </si>
  <si>
    <t>10.50-84 PCS</t>
  </si>
  <si>
    <t>OK FROM STOCK</t>
  </si>
  <si>
    <t>02.09.23</t>
  </si>
  <si>
    <t>HT-150X150X17(PG)</t>
  </si>
  <si>
    <t>HT-150X150X15(PG)</t>
  </si>
  <si>
    <t>HT-150X150X14(PG)</t>
  </si>
  <si>
    <t>HT-150X150X12(PG)</t>
  </si>
  <si>
    <t>HT-150X150X11(PG)</t>
  </si>
  <si>
    <t>03.09.23</t>
  </si>
  <si>
    <t>15.08.23</t>
  </si>
  <si>
    <t>16.08.23</t>
  </si>
  <si>
    <t>MS-110X110X7(PG)</t>
  </si>
  <si>
    <t>MS-110X110X8(PG)</t>
  </si>
  <si>
    <t>MS-90X90X6(A36)</t>
  </si>
  <si>
    <t>HT-90X90X7(JR)</t>
  </si>
  <si>
    <t>HT-90X90X7(GR 60)</t>
  </si>
  <si>
    <t>HT-90X90X6(JR)</t>
  </si>
  <si>
    <t>HT-90X90X6(GR 60)</t>
  </si>
  <si>
    <t>MS-80X80X6(A36)</t>
  </si>
  <si>
    <t>20.09.23 weekly off</t>
  </si>
  <si>
    <t>11.5-1, 11.6-1</t>
  </si>
  <si>
    <t>SHUT DOWN DUE TO GEAR BOX BEARING BROKEN</t>
  </si>
  <si>
    <t>HT-80X80X6(GR 60)</t>
  </si>
  <si>
    <t>HT-80X80X6(JR)</t>
  </si>
  <si>
    <t>HT-80X80X6(HIGH SI)</t>
  </si>
  <si>
    <t>HT-80X80X5(HIGH SI)</t>
  </si>
  <si>
    <t>Cegelec/Kuwait/GCCIA-Kuwait</t>
  </si>
  <si>
    <t>MS-100X100X8(JR/A36)</t>
  </si>
  <si>
    <t>MS-100X100X6(JR/A36)</t>
  </si>
  <si>
    <t>HT-100X100X6(JR/JO)</t>
  </si>
  <si>
    <t>HT-100X100X7(JR/JO)</t>
  </si>
  <si>
    <t>HT-100X100X8(JR/JO)</t>
  </si>
  <si>
    <t>agn cancelled loi 570</t>
  </si>
  <si>
    <t>agn cancelled loi 574/615/613</t>
  </si>
  <si>
    <t>12.09.23</t>
  </si>
  <si>
    <t>HT-130X130X8(GR 60)</t>
  </si>
  <si>
    <t>HT-130X130X11(GR 60)</t>
  </si>
  <si>
    <t>HT-130X130X12(GR 60)</t>
  </si>
  <si>
    <t>MS-130X130X9(JO/A36)</t>
  </si>
  <si>
    <t>MS-130X130X8(PG)</t>
  </si>
  <si>
    <t>MS-130X130X10(PG)</t>
  </si>
  <si>
    <t>13.09.23 weekly off</t>
  </si>
  <si>
    <t>14.09.23</t>
  </si>
  <si>
    <t>MS-120X120X8(A36)</t>
  </si>
  <si>
    <t>15.09.23 SHUTDOWN FOR POLA</t>
  </si>
  <si>
    <t>16.09.23</t>
  </si>
  <si>
    <t>MS-120X120X9(A36)</t>
  </si>
  <si>
    <t>17.09.23 HOLIDAY FOR VISHVAKARMA DAY</t>
  </si>
  <si>
    <t>18.09.23</t>
  </si>
  <si>
    <t>HT-150X150X15(Gr 60)</t>
  </si>
  <si>
    <t>11.7- 1 PCS</t>
  </si>
  <si>
    <t>IRCON</t>
  </si>
  <si>
    <t>E250C</t>
  </si>
  <si>
    <t>PUERTO PENASCO</t>
  </si>
  <si>
    <t>19.09.23</t>
  </si>
  <si>
    <t>HT-150X150X15(JR/JO)</t>
  </si>
  <si>
    <t>HT-150X150X14(Gr 60)</t>
  </si>
  <si>
    <t>HT-150X150X14(JR/JO)</t>
  </si>
  <si>
    <t>HT-150X150X13(Gr 60)</t>
  </si>
  <si>
    <t>H100X100X8</t>
  </si>
  <si>
    <t>alternate agn 100x5</t>
  </si>
  <si>
    <t>HT-230X160</t>
  </si>
  <si>
    <t>MS-125X125</t>
  </si>
  <si>
    <t>79 MT CLEARED</t>
  </si>
  <si>
    <t>HT-100 TO 130</t>
  </si>
  <si>
    <t>11.30- 2 PCS</t>
  </si>
  <si>
    <t>SHIFTED FOR 834</t>
  </si>
  <si>
    <t>shifted from Bub</t>
  </si>
  <si>
    <t>25.09.23</t>
  </si>
  <si>
    <t>26.09.23</t>
  </si>
  <si>
    <t>21/22/23/24.09.23 SHUTDOWN FOR NO BILLET PLANNING</t>
  </si>
  <si>
    <t>HT-150X150X12(Gr 60)</t>
  </si>
  <si>
    <t>HT-150X150X11(Gr 60)</t>
  </si>
  <si>
    <t>HT-150X150X10(Gr 60)</t>
  </si>
  <si>
    <t>HT-150X150X16(Gr 60)</t>
  </si>
  <si>
    <t>HT-150X150X20(Gr 60)</t>
  </si>
  <si>
    <t>HT-150X150X10(PG)</t>
  </si>
  <si>
    <t>HT-150X150X12(GR 50/IS)</t>
  </si>
  <si>
    <t>HT-150X150X16(GR 50/IS)</t>
  </si>
  <si>
    <t>HT-150X150X18(GR 50/IS)</t>
  </si>
  <si>
    <t>HT-150X150X20(PG)</t>
  </si>
  <si>
    <t>HT-150X150X18(PG)</t>
  </si>
  <si>
    <t>HT-150X150X16(PG)</t>
  </si>
  <si>
    <t>HT-150X150X13(PG)</t>
  </si>
  <si>
    <t>90X90X9</t>
  </si>
  <si>
    <t>ZILLINKIS</t>
  </si>
  <si>
    <t>27.09.23 weekly off</t>
  </si>
  <si>
    <t>28/29/30.09.23 shut down for no billet for rolling</t>
  </si>
  <si>
    <t>01.10.23</t>
  </si>
  <si>
    <t>HT-75X75X6(J2-HIGH SI)</t>
  </si>
  <si>
    <t>HT-75X75X6(JR)</t>
  </si>
  <si>
    <t>HT-75X75X5(JR)</t>
  </si>
  <si>
    <t>MS-75X75X6(JR/36)</t>
  </si>
  <si>
    <t>MS-75X75X5(JR/36)</t>
  </si>
  <si>
    <t>MS-75X75X6(PG)</t>
  </si>
  <si>
    <t>Total (Oct- 23)</t>
  </si>
  <si>
    <t>02.10.23</t>
  </si>
  <si>
    <t>MS-90X90X6(GR 36/JR)</t>
  </si>
  <si>
    <t>03.10.23</t>
  </si>
  <si>
    <t>HT-90X90X7(PG)</t>
  </si>
  <si>
    <t>HT-90X90X9(J2)</t>
  </si>
  <si>
    <t>HT-90X90X7(J2)</t>
  </si>
  <si>
    <t>MS-90X90X7(NPG</t>
  </si>
  <si>
    <t>04.10.23</t>
  </si>
  <si>
    <t>HT-110X110X10(GR 60)</t>
  </si>
  <si>
    <t>against 90x5</t>
  </si>
  <si>
    <t>05.10.23</t>
  </si>
  <si>
    <t>HT-130x130</t>
  </si>
  <si>
    <t>MS-110X110X8(GR 36/JR)</t>
  </si>
  <si>
    <t>MS-110X110X10(GR 36/JR)</t>
  </si>
  <si>
    <t>27 MT OFFERED</t>
  </si>
  <si>
    <t>06.10.23</t>
  </si>
  <si>
    <t>34 MT RFD, 31 OFFERED</t>
  </si>
  <si>
    <t>07.10.23</t>
  </si>
  <si>
    <t>VIA BUB</t>
  </si>
  <si>
    <t>IS//JR/PG</t>
  </si>
  <si>
    <t>10.10.23</t>
  </si>
  <si>
    <t>08.10.23</t>
  </si>
  <si>
    <t>HT-100X100X10(PG)</t>
  </si>
  <si>
    <t>MS-100X100X7(PG)</t>
  </si>
  <si>
    <t>AGAINST 110X6</t>
  </si>
  <si>
    <t>MS-100X100X10(NPG)</t>
  </si>
  <si>
    <t>HT-100X100X10(NPG)</t>
  </si>
  <si>
    <t>HT-100X100X8(NPG)</t>
  </si>
  <si>
    <t>HT-100X100X7(NPG)</t>
  </si>
  <si>
    <t>MS-100X100X6(RAILWAY)</t>
  </si>
  <si>
    <t>09.10.23</t>
  </si>
  <si>
    <t>MS-100X100X8(RAILWAY)</t>
  </si>
  <si>
    <t>MS-100X100X12(RAILWAY)</t>
  </si>
  <si>
    <t>HT-75X75X6(HIGH SI)</t>
  </si>
  <si>
    <t>HT-100X100X6(GR 60)</t>
  </si>
  <si>
    <t>11.10.23 WEEKLY OFF</t>
  </si>
  <si>
    <t>12.10.23</t>
  </si>
  <si>
    <t>13.10.23</t>
  </si>
  <si>
    <t>JAIPUR LOCATION - 153 MT OFFERED</t>
  </si>
  <si>
    <t>HT-200X200/180/210X16   Gr 60)</t>
  </si>
  <si>
    <t>14.10.23</t>
  </si>
  <si>
    <t>MS-80X80X8(RAIWAY)</t>
  </si>
  <si>
    <t>15.10.23</t>
  </si>
  <si>
    <t>HT-80X80X8(PG)</t>
  </si>
  <si>
    <t>16.10.23</t>
  </si>
  <si>
    <t>HT-90X90X6(IS/JO/J2)</t>
  </si>
  <si>
    <t>HT-90X90X6(J2-HIGH SI)</t>
  </si>
  <si>
    <t>HT-90X90X5(J2-HIGH SI)</t>
  </si>
  <si>
    <t>HT-90X90X5(IS/JO/J2)</t>
  </si>
  <si>
    <t>17.10.23</t>
  </si>
  <si>
    <t>HT-90X90X8(PG)</t>
  </si>
  <si>
    <t>Jobwork/Trading-6.101</t>
  </si>
  <si>
    <t>Jobwork/Trading-.883</t>
  </si>
  <si>
    <t>Jobwork/Trading-6.278</t>
  </si>
  <si>
    <t>Jobwork/Trading-22.25</t>
  </si>
  <si>
    <t>JAIPUR LOCATION -rfd</t>
  </si>
  <si>
    <t>T-7300034101</t>
  </si>
  <si>
    <t>T-7300034102</t>
  </si>
  <si>
    <t>11.00- 8 PCS -RFD</t>
  </si>
  <si>
    <t>12 - 6 PCS</t>
  </si>
  <si>
    <t>10-4, 11-26</t>
  </si>
  <si>
    <t>7-00-14 PCS</t>
  </si>
  <si>
    <t>18.10.23 weekly off</t>
  </si>
  <si>
    <r>
      <t>Jobwork</t>
    </r>
    <r>
      <rPr>
        <sz val="10"/>
        <color rgb="FFFFC000"/>
        <rFont val="Times New Roman"/>
        <family val="1"/>
      </rPr>
      <t>/Trading</t>
    </r>
  </si>
  <si>
    <t>T-7300034152</t>
  </si>
  <si>
    <t>T-7300034153</t>
  </si>
  <si>
    <t>HT-200X200(JO/J2)</t>
  </si>
  <si>
    <t>ok</t>
  </si>
  <si>
    <t>26.10.23</t>
  </si>
  <si>
    <t>19/20/21/22/23.10.23 shut down for no section planning for available billets &amp; No billets (Gr 60) for available sections</t>
  </si>
  <si>
    <t>24.10.23 Holiday for Dashera</t>
  </si>
  <si>
    <t>25.10.23 weekly off</t>
  </si>
  <si>
    <t>HT-100X100X9(NPG)</t>
  </si>
  <si>
    <t>HT-100X100X6(NPG -IS)</t>
  </si>
  <si>
    <t>HT-100X100X7(NPG -IS)</t>
  </si>
  <si>
    <t>27.10.23</t>
  </si>
  <si>
    <t>HT-75X75X6(NPG-IS)</t>
  </si>
  <si>
    <t>HT-75X75X5(NPG-IS)</t>
  </si>
  <si>
    <t>28.10.23</t>
  </si>
  <si>
    <t>HT-75X75X4(NPG-IS)</t>
  </si>
  <si>
    <t>Sr. No</t>
  </si>
  <si>
    <t>08.11.23 weekly off</t>
  </si>
  <si>
    <t>29.10.23</t>
  </si>
  <si>
    <t>MS-110X110X7(NPG-IS)</t>
  </si>
  <si>
    <t>MS-110X110X6(NPG-IS)</t>
  </si>
  <si>
    <t>HT-110X110X6(NPG-IS)</t>
  </si>
  <si>
    <t>30.10.23</t>
  </si>
  <si>
    <t>HT-110X110X7(NPG-IS)</t>
  </si>
  <si>
    <t>PGCIL- STOCK</t>
  </si>
  <si>
    <t>GR 60</t>
  </si>
  <si>
    <t>31.10.23</t>
  </si>
  <si>
    <t>KUDUS</t>
  </si>
  <si>
    <t>ZILLINSKIS</t>
  </si>
  <si>
    <t>12- 34, 8.25-10 pcs</t>
  </si>
  <si>
    <t>01.11.23 WEEKLY OFF</t>
  </si>
  <si>
    <t>Total (Nov- 23)</t>
  </si>
  <si>
    <t>02.11.23</t>
  </si>
  <si>
    <t>HT-150X150X11(JO/J2)</t>
  </si>
  <si>
    <t>HT-150X150X11(GR 60)</t>
  </si>
  <si>
    <t>from stock - rfd</t>
  </si>
  <si>
    <t>MOLDOVA -rfd</t>
  </si>
  <si>
    <t>101 mt rfd</t>
  </si>
  <si>
    <t>120X120X11</t>
  </si>
  <si>
    <t xml:space="preserve">80X80X7 </t>
  </si>
  <si>
    <t>03.11.23</t>
  </si>
  <si>
    <t>HT-150X150X14(NPG)</t>
  </si>
  <si>
    <t>ZILLINSKIS (HIGH SI)</t>
  </si>
  <si>
    <t>GR 36</t>
  </si>
  <si>
    <t>alsternate thicknes 80x8</t>
  </si>
  <si>
    <t>04.11.23</t>
  </si>
  <si>
    <t>HT-100X100X6(NPG)</t>
  </si>
  <si>
    <t>11.800- 5 PCS</t>
  </si>
  <si>
    <t>from stock - RFD</t>
  </si>
  <si>
    <t>05.11.23</t>
  </si>
  <si>
    <t>06.11.23</t>
  </si>
  <si>
    <t>07.11.23</t>
  </si>
  <si>
    <t>agains 80x7</t>
  </si>
  <si>
    <t>21.11.23</t>
  </si>
  <si>
    <t>09.11.23</t>
  </si>
  <si>
    <t>HT-90X90X7(NPG)</t>
  </si>
  <si>
    <t>HT-90X90X6(NPG)</t>
  </si>
  <si>
    <t>HT-90X90X5(NPG)</t>
  </si>
  <si>
    <t>9.1-1, 8.60-6 PCS</t>
  </si>
  <si>
    <t>10.11.23</t>
  </si>
  <si>
    <t>MS-90X90X7(PG)</t>
  </si>
  <si>
    <t>`</t>
  </si>
  <si>
    <t>11.11.23</t>
  </si>
  <si>
    <t>HT-120X120X10(NPG)</t>
  </si>
  <si>
    <t>HT-120X120X9(NPG)</t>
  </si>
  <si>
    <t>HT-120X120X11(NPG)</t>
  </si>
  <si>
    <t>15.11.23</t>
  </si>
  <si>
    <t>12/13/14.11.23 DIWALI HOLIDAY</t>
  </si>
  <si>
    <t>HT-120X120X8(GR 60)</t>
  </si>
  <si>
    <t>HT-120X120X8(NPG)</t>
  </si>
  <si>
    <t>HT-120X120X7(NPG)</t>
  </si>
  <si>
    <t>MS-120X120X7(NPG)</t>
  </si>
  <si>
    <t>HT-125X125</t>
  </si>
  <si>
    <t>16.11.23</t>
  </si>
  <si>
    <t>HT-120X120X12(PG)</t>
  </si>
  <si>
    <t>17.11.23</t>
  </si>
  <si>
    <t>HT-130X130X12(NPG)</t>
  </si>
  <si>
    <t>HT-130X130X10(NPG)</t>
  </si>
  <si>
    <t>18.11.23</t>
  </si>
  <si>
    <t>23.11.23</t>
  </si>
  <si>
    <t>9.224 mt rfd</t>
  </si>
  <si>
    <t>HT-130X130X9(NPG)</t>
  </si>
  <si>
    <t>MS-130X130X12(PG)</t>
  </si>
  <si>
    <t>MS-130X130X9(PG)</t>
  </si>
  <si>
    <t>19.11.23</t>
  </si>
  <si>
    <t>MS-80X80X5(NPG)</t>
  </si>
  <si>
    <t>MS-80X80X6(NPG)</t>
  </si>
  <si>
    <t>10.5-4 PCS</t>
  </si>
  <si>
    <t>HT-230X160(Normal)</t>
  </si>
  <si>
    <t>MS-100 TO 130</t>
  </si>
  <si>
    <t>IS//JR/PG/J2</t>
  </si>
  <si>
    <t>20.11.23</t>
  </si>
  <si>
    <t>MS-80X80X7(PG)</t>
  </si>
  <si>
    <t>HT-80X80X7(NPG)</t>
  </si>
  <si>
    <t>HT-80X80X6(NPG)</t>
  </si>
  <si>
    <t>HT-80X80X5(NPG)</t>
  </si>
  <si>
    <t>MS-75X75X5(NPG)</t>
  </si>
  <si>
    <t>HT-75X75X6(NPG)</t>
  </si>
  <si>
    <t>ZILLINSKIS (HIGH SI</t>
  </si>
  <si>
    <t>275J2</t>
  </si>
  <si>
    <t>JAIPUR ok from stock</t>
  </si>
  <si>
    <t>WBSETCL/IRCON</t>
  </si>
  <si>
    <t>NEPAL/WBSETCL</t>
  </si>
  <si>
    <t>90X90X10</t>
  </si>
  <si>
    <t>JPR</t>
  </si>
  <si>
    <t>7.40- 26 PCS</t>
  </si>
  <si>
    <t>22.11.23 weekly off</t>
  </si>
  <si>
    <t>HT-110X110X8(NPG)</t>
  </si>
  <si>
    <t>HT-110X110X7(NPG)</t>
  </si>
  <si>
    <t>DO QTY</t>
  </si>
  <si>
    <t>IN TRANSIT</t>
  </si>
  <si>
    <t>RECD</t>
  </si>
  <si>
    <t>BALANCE TO RECD</t>
  </si>
  <si>
    <t>06.12.23 weekly off</t>
  </si>
  <si>
    <t>24.11.23</t>
  </si>
  <si>
    <t>HT-150X150X18(NPG)</t>
  </si>
  <si>
    <t>25.11.23</t>
  </si>
  <si>
    <t>HT-150X150X16(NPG)</t>
  </si>
  <si>
    <t>HT-150X150X15(NPG)</t>
  </si>
  <si>
    <t>6.115 mt balance</t>
  </si>
  <si>
    <t>11.65- 9 PCS</t>
  </si>
  <si>
    <t>26.11.23</t>
  </si>
  <si>
    <t>27.11.23</t>
  </si>
  <si>
    <t>HT-150X150X13(NPG)</t>
  </si>
  <si>
    <t>HT-150X150X12(NPG)</t>
  </si>
  <si>
    <t>15.12.23</t>
  </si>
  <si>
    <t>28.11.23</t>
  </si>
  <si>
    <t>29.11.23 WEEKLY OFF</t>
  </si>
  <si>
    <t>30.11.23</t>
  </si>
  <si>
    <t>10.10- 24 pcs</t>
  </si>
  <si>
    <t>rfd - 9.30 - 32 PCS</t>
  </si>
  <si>
    <t>10.50 - 50 PCS</t>
  </si>
  <si>
    <t>10.50- 39 pcs</t>
  </si>
  <si>
    <t>01.12.23</t>
  </si>
  <si>
    <t>Total (Dec- 23)</t>
  </si>
  <si>
    <t>From stock -RFD</t>
  </si>
  <si>
    <t>New req 01.12.23</t>
  </si>
  <si>
    <t>02.12.23</t>
  </si>
  <si>
    <t>100 MT CLEARED</t>
  </si>
  <si>
    <t>11.30- 22 PCS</t>
  </si>
  <si>
    <t>03.12.23</t>
  </si>
  <si>
    <t>04.12.23</t>
  </si>
  <si>
    <t>HT-90X90X6(HIGH SI)</t>
  </si>
  <si>
    <t>05.12.23</t>
  </si>
  <si>
    <t>350A</t>
  </si>
  <si>
    <t>250A</t>
  </si>
  <si>
    <t>16.12.23</t>
  </si>
  <si>
    <t>20.12.23 weekly off</t>
  </si>
  <si>
    <t>07.12.23</t>
  </si>
  <si>
    <t>8.10 - 39 PCS</t>
  </si>
  <si>
    <t>12- 50 PCS</t>
  </si>
  <si>
    <t>08.12.23</t>
  </si>
  <si>
    <t>Billet ok-150(JSPL)</t>
  </si>
  <si>
    <t>09.12.23</t>
  </si>
  <si>
    <t>HT-75X75X6(J2)</t>
  </si>
  <si>
    <t>10.12.23</t>
  </si>
  <si>
    <t>HT-75X75X5(NPG)</t>
  </si>
  <si>
    <t>MS-75X75X6(NPG)</t>
  </si>
  <si>
    <t>11.12.23</t>
  </si>
  <si>
    <t>A36</t>
  </si>
  <si>
    <t>12.12.23</t>
  </si>
  <si>
    <t>14.12.23</t>
  </si>
  <si>
    <t>23.12.23</t>
  </si>
  <si>
    <t>NPCC</t>
  </si>
  <si>
    <t>NCC-ADNOC</t>
  </si>
  <si>
    <t>S355JR</t>
  </si>
  <si>
    <t>13.12.23 weekly off</t>
  </si>
  <si>
    <t>ok from stock -9.00- 1, 8.00-1, 8.30-1, 9.50-1, 8.7-1</t>
  </si>
  <si>
    <t>ok, rolling will be planned with PG embossing</t>
  </si>
  <si>
    <t>ok from stock- 8.20 - 4 pcs</t>
  </si>
  <si>
    <t>ok from stock - 9.20-2 pcs</t>
  </si>
  <si>
    <t>ok from stock - 6.00- 1, 6.90 - 1 pcs</t>
  </si>
  <si>
    <t>Not accept - Not available in stock/rolling not available in Gr 60</t>
  </si>
  <si>
    <t>ok from stock - 7.60 - 2 pcs</t>
  </si>
  <si>
    <t>Not accept - rolling not available in Gr 60/Not available in stock</t>
  </si>
  <si>
    <t>ok from stock - 6.00-1 pcs</t>
  </si>
  <si>
    <t xml:space="preserve">70X70X6 </t>
  </si>
  <si>
    <t>ok from stock - 12.00 7 ps</t>
  </si>
  <si>
    <t>ok from stock - 11.00 mtr - 1 pcs</t>
  </si>
  <si>
    <t>ok from stock - 12.00- 2 pcs</t>
  </si>
  <si>
    <t>ok from stock - 10.50 - 3pcs</t>
  </si>
  <si>
    <t>ok from stock -  - 12.00- 4 pcs</t>
  </si>
  <si>
    <t>DMRC</t>
  </si>
  <si>
    <t>HT-130X130X10(J2)</t>
  </si>
  <si>
    <t>HT-130X130X12(J2)</t>
  </si>
  <si>
    <t>INDI GRID</t>
  </si>
  <si>
    <t>ok from stock - 9.80 - 1 pcs</t>
  </si>
  <si>
    <t>ok from stock - 8.00- 1 pcs</t>
  </si>
  <si>
    <t>ok from stock - 9.80 - 2 pcs</t>
  </si>
  <si>
    <t>ok from stock - 11-2, 10.9-1, 9.9-2,9.7-2, 9-1, 8.1-1, 8-1</t>
  </si>
  <si>
    <t>ok from stock - 8.30-1, 8.70 -1 pcs, 12.1</t>
  </si>
  <si>
    <t>ok from stock - 8.00-1 pcs</t>
  </si>
  <si>
    <t>ok from stock - 7.50-3, 7.60-1</t>
  </si>
  <si>
    <t>ok from stock -7.20- 2, 7.50 -1,  10.00-1 pcs</t>
  </si>
  <si>
    <t>ok from stock - 10-1, 11-2, 12-1</t>
  </si>
  <si>
    <t>ok from stock - 8.150 - 11 pcs</t>
  </si>
  <si>
    <t>ok from stock - 6.20-3, 11-7, 11.30-6, 9.5-1, 10.5-1, 5.40-1</t>
  </si>
  <si>
    <t>ok from stock - 11.70-10 pcs</t>
  </si>
  <si>
    <t>ok from stock - 8.20-1, 8.50- 1</t>
  </si>
  <si>
    <t>ok from stock - 9.70-4, 9.50-5,9.30-1,</t>
  </si>
  <si>
    <t>ok from stock - 12- 2 pcs</t>
  </si>
  <si>
    <t>ok from stock - 12- 3, 11.50-2</t>
  </si>
  <si>
    <t>MS-110X110X7(NPG)</t>
  </si>
  <si>
    <t>MS-110X110X6(NPG)</t>
  </si>
  <si>
    <t>HT-110X110X7(J2)</t>
  </si>
  <si>
    <t>ok from stock - 11.2-3, 11.50-2, 11-1,10.2-3,12-1, 6.8-2, 10.9-1</t>
  </si>
  <si>
    <t>ok from stock - Alternte thickness availabe 110x7 in Gr 60</t>
  </si>
  <si>
    <t>17.12.23</t>
  </si>
  <si>
    <t>ok from stock - 12- 8, 11.50- 4,11-2, 10.1-2, 8- 3, 6.75-6, 6.-4</t>
  </si>
  <si>
    <t>Billet ok -125x125</t>
  </si>
  <si>
    <t>Billet req HT-230x160</t>
  </si>
  <si>
    <t>Billet ok -150</t>
  </si>
  <si>
    <t>18.12.23</t>
  </si>
  <si>
    <t>from stock -alternate against 100x10</t>
  </si>
  <si>
    <t>19.12.23</t>
  </si>
  <si>
    <t>21.12.23</t>
  </si>
  <si>
    <t>22.12.23</t>
  </si>
  <si>
    <t>ok from stock - 7.80- 1 pcs -rfd</t>
  </si>
  <si>
    <t>11.30-18, 11.5-7PCS</t>
  </si>
  <si>
    <t>MS-120X120X8(NPG)</t>
  </si>
  <si>
    <t>ADANI - RFD</t>
  </si>
  <si>
    <t>Request for item/break length</t>
  </si>
  <si>
    <t>24.12.23</t>
  </si>
  <si>
    <t>ok FROM STOCK- Normal J2</t>
  </si>
  <si>
    <t>ADANI- RFD</t>
  </si>
  <si>
    <t>ADANI -RFD</t>
  </si>
  <si>
    <t>25.12.23</t>
  </si>
  <si>
    <t>26.12.23</t>
  </si>
  <si>
    <t>HT-90X90X6(NPG-J2)</t>
  </si>
  <si>
    <t>HT-90X90X7(NPG-J2)</t>
  </si>
  <si>
    <t>Alternate agn 90x5</t>
  </si>
  <si>
    <t>100 TO 110 mt required for 2 shift rolling</t>
  </si>
  <si>
    <t>10.01.24 weekly off</t>
  </si>
  <si>
    <t>NCC-TRANSCO</t>
  </si>
  <si>
    <t>Billet ok -150x150</t>
  </si>
  <si>
    <t>ADANI KUDUS</t>
  </si>
  <si>
    <t xml:space="preserve">70X70X8 </t>
  </si>
  <si>
    <t>AUSNET</t>
  </si>
  <si>
    <t>150X150X19</t>
  </si>
  <si>
    <t>Not accept</t>
  </si>
  <si>
    <t>Not ok</t>
  </si>
  <si>
    <t>Not accept- Ok alternate 150x20</t>
  </si>
  <si>
    <t xml:space="preserve">STERLITE </t>
  </si>
  <si>
    <t>9.5-15, 12.- 4 PCS</t>
  </si>
  <si>
    <t>11.50 -10 PCS</t>
  </si>
  <si>
    <t>27.12.23 weekly off</t>
  </si>
  <si>
    <t>102X102X6.4</t>
  </si>
  <si>
    <t>SUNZIA</t>
  </si>
  <si>
    <t>Billet ok -150x150(JSP)</t>
  </si>
  <si>
    <t>17.01.24 weekly off</t>
  </si>
  <si>
    <t>90 TO 100 mt required for 1 shift rolling</t>
  </si>
  <si>
    <t>02.01.24</t>
  </si>
  <si>
    <t>28/29/30.12.23 Shut down for plant maintenance</t>
  </si>
  <si>
    <t>31.12.23</t>
  </si>
  <si>
    <t>PG call - 17.263</t>
  </si>
  <si>
    <t>PG call -72.613</t>
  </si>
  <si>
    <t>12- 36 PCS</t>
  </si>
  <si>
    <t>Billet under testing -150</t>
  </si>
  <si>
    <t>Billet ok -90/125</t>
  </si>
  <si>
    <t>01.01.24</t>
  </si>
  <si>
    <t>Total (Jan- 24)</t>
  </si>
  <si>
    <t>HT-70X70X6(J2/JO)</t>
  </si>
  <si>
    <t>HT-70X70X5(NPG)</t>
  </si>
  <si>
    <t>HT-70X70X5(PG)</t>
  </si>
  <si>
    <t>MS-70X70X5(NPG)</t>
  </si>
  <si>
    <t>MS-70X70X5(PG)</t>
  </si>
  <si>
    <t>07.01.24</t>
  </si>
  <si>
    <t>08/09.01.24</t>
  </si>
  <si>
    <t>11.01.24</t>
  </si>
  <si>
    <t>12/13/14.01.24</t>
  </si>
  <si>
    <t>15/16.01.24</t>
  </si>
  <si>
    <t>18.01.24</t>
  </si>
  <si>
    <t>110 TO 120 mt required for 1 shift rolling</t>
  </si>
  <si>
    <t>19/20.01.24</t>
  </si>
  <si>
    <t>21.01.24</t>
  </si>
  <si>
    <t>22.01.24</t>
  </si>
  <si>
    <t>Billet in Transit-150</t>
  </si>
  <si>
    <t>10.5-18 PCS</t>
  </si>
  <si>
    <t>03.01.24 WEEKLY OFF</t>
  </si>
  <si>
    <t>04.01.24</t>
  </si>
  <si>
    <t>KEC BB  PO REVIEW REPORT  AS ON 05.01.24</t>
  </si>
  <si>
    <t>KEC DUBAI  PO REVIEW REPORT  AS ON 05.01.24</t>
  </si>
  <si>
    <t>04/05/06.01.24</t>
  </si>
  <si>
    <t>05.01.24</t>
  </si>
  <si>
    <t>KEC BB  PO REVIEW REPORT  AS ON 06.01.2024</t>
  </si>
  <si>
    <t>KEC JBP  PO REVIEW REPORT  AS ON 06.01.2024</t>
  </si>
</sst>
</file>

<file path=xl/styles.xml><?xml version="1.0" encoding="utf-8"?>
<styleSheet xmlns="http://schemas.openxmlformats.org/spreadsheetml/2006/main">
  <numFmts count="3">
    <numFmt numFmtId="164" formatCode="_(* #,##0.00_);_(* \(#,##0.00\);_(* &quot;-&quot;??_);_(@_)"/>
    <numFmt numFmtId="165" formatCode="0.000"/>
    <numFmt numFmtId="166" formatCode="[$-409]d\-mmm;@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C00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92D05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B0F0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76"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255">
    <xf numFmtId="0" fontId="23" fillId="0" borderId="0" xfId="0" applyFont="1"/>
    <xf numFmtId="0" fontId="25" fillId="0" borderId="0" xfId="0" applyFont="1"/>
    <xf numFmtId="0" fontId="25" fillId="0" borderId="1" xfId="0" applyFont="1" applyBorder="1"/>
    <xf numFmtId="0" fontId="25" fillId="0" borderId="1" xfId="0" applyFont="1" applyBorder="1"/>
    <xf numFmtId="0" fontId="23" fillId="0" borderId="1" xfId="0" applyFont="1" applyBorder="1"/>
    <xf numFmtId="0" fontId="23" fillId="0" borderId="0" xfId="0" applyFont="1"/>
    <xf numFmtId="166" fontId="25" fillId="0" borderId="1" xfId="0" applyNumberFormat="1" applyFont="1" applyBorder="1"/>
    <xf numFmtId="166" fontId="23" fillId="0" borderId="0" xfId="0" applyNumberFormat="1" applyFont="1"/>
    <xf numFmtId="166" fontId="23" fillId="0" borderId="1" xfId="0" applyNumberFormat="1" applyFont="1" applyBorder="1"/>
    <xf numFmtId="0" fontId="23" fillId="0" borderId="1" xfId="0" applyFont="1" applyBorder="1" applyAlignment="1">
      <alignment horizontal="center"/>
    </xf>
    <xf numFmtId="165" fontId="23" fillId="0" borderId="1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166" fontId="25" fillId="0" borderId="0" xfId="0" applyNumberFormat="1" applyFont="1"/>
    <xf numFmtId="0" fontId="25" fillId="0" borderId="0" xfId="0" applyFont="1" applyAlignment="1">
      <alignment horizontal="center"/>
    </xf>
    <xf numFmtId="0" fontId="23" fillId="0" borderId="1" xfId="0" applyFont="1" applyBorder="1"/>
    <xf numFmtId="0" fontId="27" fillId="0" borderId="1" xfId="0" applyFont="1" applyBorder="1"/>
    <xf numFmtId="0" fontId="28" fillId="0" borderId="1" xfId="0" applyFont="1" applyBorder="1"/>
    <xf numFmtId="165" fontId="23" fillId="0" borderId="1" xfId="0" applyNumberFormat="1" applyFont="1" applyBorder="1"/>
    <xf numFmtId="0" fontId="23" fillId="0" borderId="1" xfId="0" applyFont="1" applyBorder="1" applyAlignment="1">
      <alignment horizontal="right"/>
    </xf>
    <xf numFmtId="0" fontId="25" fillId="0" borderId="1" xfId="0" applyFont="1" applyBorder="1" applyAlignment="1">
      <alignment horizontal="right"/>
    </xf>
    <xf numFmtId="0" fontId="25" fillId="0" borderId="1" xfId="0" applyFont="1" applyBorder="1" applyAlignment="1">
      <alignment vertical="top" wrapText="1"/>
    </xf>
    <xf numFmtId="0" fontId="0" fillId="0" borderId="0" xfId="0"/>
    <xf numFmtId="0" fontId="29" fillId="0" borderId="1" xfId="0" applyFont="1" applyBorder="1"/>
    <xf numFmtId="1" fontId="29" fillId="0" borderId="1" xfId="0" applyNumberFormat="1" applyFont="1" applyBorder="1"/>
    <xf numFmtId="0" fontId="29" fillId="2" borderId="1" xfId="0" applyFont="1" applyFill="1" applyBorder="1"/>
    <xf numFmtId="0" fontId="30" fillId="0" borderId="1" xfId="0" applyFont="1" applyBorder="1"/>
    <xf numFmtId="165" fontId="29" fillId="0" borderId="1" xfId="0" applyNumberFormat="1" applyFont="1" applyBorder="1" applyAlignment="1">
      <alignment horizontal="center"/>
    </xf>
    <xf numFmtId="165" fontId="29" fillId="2" borderId="1" xfId="0" applyNumberFormat="1" applyFont="1" applyFill="1" applyBorder="1" applyAlignment="1">
      <alignment horizontal="center"/>
    </xf>
    <xf numFmtId="165" fontId="27" fillId="0" borderId="1" xfId="0" applyNumberFormat="1" applyFont="1" applyBorder="1" applyAlignment="1">
      <alignment horizontal="center"/>
    </xf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0" fontId="22" fillId="0" borderId="1" xfId="0" applyFont="1" applyBorder="1"/>
    <xf numFmtId="165" fontId="25" fillId="0" borderId="1" xfId="0" applyNumberFormat="1" applyFont="1" applyBorder="1"/>
    <xf numFmtId="0" fontId="23" fillId="3" borderId="1" xfId="0" applyFont="1" applyFill="1" applyBorder="1"/>
    <xf numFmtId="0" fontId="23" fillId="4" borderId="1" xfId="0" applyFont="1" applyFill="1" applyBorder="1"/>
    <xf numFmtId="0" fontId="22" fillId="3" borderId="1" xfId="0" applyFont="1" applyFill="1" applyBorder="1"/>
    <xf numFmtId="166" fontId="27" fillId="0" borderId="1" xfId="0" applyNumberFormat="1" applyFont="1" applyBorder="1"/>
    <xf numFmtId="166" fontId="25" fillId="0" borderId="1" xfId="0" applyNumberFormat="1" applyFont="1" applyBorder="1" applyAlignment="1">
      <alignment vertical="top" wrapText="1"/>
    </xf>
    <xf numFmtId="0" fontId="31" fillId="0" borderId="1" xfId="0" applyFont="1" applyBorder="1"/>
    <xf numFmtId="0" fontId="32" fillId="0" borderId="1" xfId="0" applyFont="1" applyBorder="1"/>
    <xf numFmtId="165" fontId="25" fillId="0" borderId="0" xfId="0" applyNumberFormat="1" applyFont="1"/>
    <xf numFmtId="165" fontId="23" fillId="3" borderId="1" xfId="0" applyNumberFormat="1" applyFont="1" applyFill="1" applyBorder="1" applyAlignment="1">
      <alignment horizontal="center"/>
    </xf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166" fontId="21" fillId="0" borderId="1" xfId="0" applyNumberFormat="1" applyFont="1" applyBorder="1"/>
    <xf numFmtId="0" fontId="21" fillId="0" borderId="1" xfId="0" applyFont="1" applyBorder="1"/>
    <xf numFmtId="166" fontId="33" fillId="0" borderId="1" xfId="0" applyNumberFormat="1" applyFont="1" applyBorder="1"/>
    <xf numFmtId="2" fontId="33" fillId="0" borderId="1" xfId="0" applyNumberFormat="1" applyFont="1" applyBorder="1"/>
    <xf numFmtId="0" fontId="33" fillId="0" borderId="1" xfId="0" applyFont="1" applyFill="1" applyBorder="1"/>
    <xf numFmtId="0" fontId="0" fillId="0" borderId="1" xfId="0" applyBorder="1"/>
    <xf numFmtId="0" fontId="33" fillId="0" borderId="1" xfId="0" applyFont="1" applyBorder="1"/>
    <xf numFmtId="0" fontId="20" fillId="0" borderId="1" xfId="0" applyFont="1" applyBorder="1"/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0" fontId="19" fillId="0" borderId="1" xfId="0" applyFont="1" applyBorder="1"/>
    <xf numFmtId="0" fontId="19" fillId="2" borderId="1" xfId="0" applyFont="1" applyFill="1" applyBorder="1"/>
    <xf numFmtId="1" fontId="29" fillId="2" borderId="1" xfId="0" applyNumberFormat="1" applyFont="1" applyFill="1" applyBorder="1"/>
    <xf numFmtId="0" fontId="30" fillId="2" borderId="1" xfId="0" applyFont="1" applyFill="1" applyBorder="1"/>
    <xf numFmtId="165" fontId="23" fillId="2" borderId="1" xfId="0" applyNumberFormat="1" applyFont="1" applyFill="1" applyBorder="1" applyAlignment="1">
      <alignment horizontal="center"/>
    </xf>
    <xf numFmtId="0" fontId="23" fillId="0" borderId="0" xfId="0" applyFont="1"/>
    <xf numFmtId="0" fontId="23" fillId="0" borderId="1" xfId="0" applyFont="1" applyBorder="1"/>
    <xf numFmtId="0" fontId="18" fillId="0" borderId="1" xfId="0" applyFont="1" applyBorder="1"/>
    <xf numFmtId="0" fontId="18" fillId="3" borderId="1" xfId="0" applyFont="1" applyFill="1" applyBorder="1"/>
    <xf numFmtId="0" fontId="33" fillId="4" borderId="1" xfId="0" applyFont="1" applyFill="1" applyBorder="1"/>
    <xf numFmtId="166" fontId="33" fillId="0" borderId="1" xfId="0" applyNumberFormat="1" applyFont="1" applyBorder="1" applyAlignment="1">
      <alignment horizontal="right"/>
    </xf>
    <xf numFmtId="2" fontId="25" fillId="0" borderId="0" xfId="0" applyNumberFormat="1" applyFont="1" applyAlignment="1">
      <alignment horizontal="center"/>
    </xf>
    <xf numFmtId="0" fontId="23" fillId="0" borderId="0" xfId="0" applyFont="1"/>
    <xf numFmtId="0" fontId="23" fillId="0" borderId="1" xfId="0" applyFont="1" applyBorder="1"/>
    <xf numFmtId="0" fontId="17" fillId="0" borderId="1" xfId="0" applyFont="1" applyBorder="1"/>
    <xf numFmtId="165" fontId="25" fillId="0" borderId="1" xfId="0" applyNumberFormat="1" applyFont="1" applyBorder="1" applyAlignment="1">
      <alignment horizontal="right"/>
    </xf>
    <xf numFmtId="0" fontId="17" fillId="3" borderId="1" xfId="0" applyFont="1" applyFill="1" applyBorder="1"/>
    <xf numFmtId="165" fontId="23" fillId="4" borderId="1" xfId="0" applyNumberFormat="1" applyFont="1" applyFill="1" applyBorder="1" applyAlignment="1">
      <alignment horizontal="center"/>
    </xf>
    <xf numFmtId="165" fontId="29" fillId="4" borderId="1" xfId="0" applyNumberFormat="1" applyFont="1" applyFill="1" applyBorder="1" applyAlignment="1">
      <alignment horizontal="center"/>
    </xf>
    <xf numFmtId="0" fontId="25" fillId="5" borderId="1" xfId="0" applyFont="1" applyFill="1" applyBorder="1"/>
    <xf numFmtId="0" fontId="25" fillId="4" borderId="1" xfId="0" applyFont="1" applyFill="1" applyBorder="1"/>
    <xf numFmtId="0" fontId="23" fillId="0" borderId="0" xfId="0" applyFont="1"/>
    <xf numFmtId="0" fontId="23" fillId="0" borderId="1" xfId="0" applyFont="1" applyBorder="1"/>
    <xf numFmtId="0" fontId="16" fillId="0" borderId="1" xfId="0" applyFont="1" applyBorder="1"/>
    <xf numFmtId="165" fontId="16" fillId="0" borderId="1" xfId="0" applyNumberFormat="1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6" fillId="3" borderId="1" xfId="0" applyFont="1" applyFill="1" applyBorder="1"/>
    <xf numFmtId="0" fontId="16" fillId="4" borderId="1" xfId="0" applyFont="1" applyFill="1" applyBorder="1"/>
    <xf numFmtId="166" fontId="23" fillId="3" borderId="1" xfId="0" applyNumberFormat="1" applyFont="1" applyFill="1" applyBorder="1"/>
    <xf numFmtId="0" fontId="23" fillId="0" borderId="0" xfId="0" applyFont="1"/>
    <xf numFmtId="0" fontId="23" fillId="0" borderId="1" xfId="0" applyFont="1" applyBorder="1"/>
    <xf numFmtId="0" fontId="15" fillId="0" borderId="1" xfId="0" applyFont="1" applyBorder="1"/>
    <xf numFmtId="165" fontId="15" fillId="0" borderId="1" xfId="0" applyNumberFormat="1" applyFont="1" applyBorder="1" applyAlignment="1">
      <alignment horizontal="right"/>
    </xf>
    <xf numFmtId="0" fontId="15" fillId="3" borderId="1" xfId="0" applyFont="1" applyFill="1" applyBorder="1"/>
    <xf numFmtId="165" fontId="34" fillId="4" borderId="1" xfId="0" applyNumberFormat="1" applyFont="1" applyFill="1" applyBorder="1" applyAlignment="1">
      <alignment horizontal="center"/>
    </xf>
    <xf numFmtId="0" fontId="15" fillId="4" borderId="1" xfId="0" applyFont="1" applyFill="1" applyBorder="1"/>
    <xf numFmtId="0" fontId="23" fillId="0" borderId="0" xfId="0" applyFont="1"/>
    <xf numFmtId="0" fontId="23" fillId="0" borderId="1" xfId="0" applyFont="1" applyBorder="1"/>
    <xf numFmtId="0" fontId="14" fillId="0" borderId="1" xfId="0" applyFont="1" applyBorder="1"/>
    <xf numFmtId="165" fontId="14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14" fillId="0" borderId="1" xfId="0" applyFont="1" applyBorder="1" applyAlignment="1">
      <alignment horizontal="right"/>
    </xf>
    <xf numFmtId="0" fontId="23" fillId="0" borderId="0" xfId="0" applyFont="1"/>
    <xf numFmtId="0" fontId="23" fillId="0" borderId="1" xfId="0" applyFont="1" applyBorder="1"/>
    <xf numFmtId="0" fontId="13" fillId="0" borderId="1" xfId="0" applyFont="1" applyBorder="1"/>
    <xf numFmtId="165" fontId="13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4" fillId="3" borderId="1" xfId="0" applyFont="1" applyFill="1" applyBorder="1"/>
    <xf numFmtId="0" fontId="13" fillId="3" borderId="1" xfId="0" applyFont="1" applyFill="1" applyBorder="1"/>
    <xf numFmtId="0" fontId="12" fillId="0" borderId="1" xfId="0" applyFont="1" applyBorder="1" applyAlignment="1">
      <alignment horizontal="right"/>
    </xf>
    <xf numFmtId="2" fontId="1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5" fillId="0" borderId="1" xfId="0" applyFont="1" applyBorder="1"/>
    <xf numFmtId="166" fontId="35" fillId="0" borderId="1" xfId="0" applyNumberFormat="1" applyFont="1" applyBorder="1"/>
    <xf numFmtId="0" fontId="35" fillId="2" borderId="1" xfId="0" applyFont="1" applyFill="1" applyBorder="1"/>
    <xf numFmtId="165" fontId="35" fillId="0" borderId="1" xfId="0" applyNumberFormat="1" applyFont="1" applyBorder="1" applyAlignment="1">
      <alignment horizontal="center"/>
    </xf>
    <xf numFmtId="0" fontId="36" fillId="0" borderId="1" xfId="0" applyFont="1" applyBorder="1"/>
    <xf numFmtId="2" fontId="33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7" fillId="2" borderId="1" xfId="0" applyFont="1" applyFill="1" applyBorder="1"/>
    <xf numFmtId="0" fontId="38" fillId="0" borderId="1" xfId="0" applyFont="1" applyBorder="1"/>
    <xf numFmtId="2" fontId="38" fillId="0" borderId="1" xfId="0" applyNumberFormat="1" applyFont="1" applyBorder="1" applyAlignment="1">
      <alignment horizontal="center"/>
    </xf>
    <xf numFmtId="0" fontId="12" fillId="0" borderId="0" xfId="0" applyFont="1"/>
    <xf numFmtId="0" fontId="37" fillId="0" borderId="1" xfId="0" applyFont="1" applyBorder="1"/>
    <xf numFmtId="166" fontId="37" fillId="0" borderId="1" xfId="0" applyNumberFormat="1" applyFont="1" applyBorder="1"/>
    <xf numFmtId="2" fontId="37" fillId="0" borderId="1" xfId="0" applyNumberFormat="1" applyFont="1" applyBorder="1" applyAlignment="1">
      <alignment horizontal="center"/>
    </xf>
    <xf numFmtId="0" fontId="27" fillId="0" borderId="0" xfId="0" applyFont="1"/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0" fontId="23" fillId="0" borderId="0" xfId="0" applyFont="1"/>
    <xf numFmtId="0" fontId="27" fillId="4" borderId="1" xfId="0" applyFont="1" applyFill="1" applyBorder="1"/>
    <xf numFmtId="0" fontId="11" fillId="0" borderId="1" xfId="0" applyFont="1" applyBorder="1" applyAlignment="1">
      <alignment horizontal="right"/>
    </xf>
    <xf numFmtId="165" fontId="13" fillId="3" borderId="1" xfId="0" applyNumberFormat="1" applyFont="1" applyFill="1" applyBorder="1" applyAlignment="1">
      <alignment horizontal="right"/>
    </xf>
    <xf numFmtId="165" fontId="14" fillId="3" borderId="1" xfId="0" applyNumberFormat="1" applyFont="1" applyFill="1" applyBorder="1" applyAlignment="1">
      <alignment horizontal="right"/>
    </xf>
    <xf numFmtId="0" fontId="11" fillId="0" borderId="1" xfId="0" applyFont="1" applyBorder="1"/>
    <xf numFmtId="0" fontId="23" fillId="0" borderId="0" xfId="0" applyFont="1"/>
    <xf numFmtId="0" fontId="23" fillId="0" borderId="1" xfId="0" applyFont="1" applyBorder="1"/>
    <xf numFmtId="165" fontId="10" fillId="0" borderId="1" xfId="0" applyNumberFormat="1" applyFont="1" applyBorder="1" applyAlignment="1">
      <alignment horizontal="center"/>
    </xf>
    <xf numFmtId="0" fontId="35" fillId="3" borderId="1" xfId="0" applyFont="1" applyFill="1" applyBorder="1"/>
    <xf numFmtId="0" fontId="38" fillId="3" borderId="1" xfId="0" applyFont="1" applyFill="1" applyBorder="1"/>
    <xf numFmtId="2" fontId="38" fillId="3" borderId="1" xfId="0" applyNumberFormat="1" applyFont="1" applyFill="1" applyBorder="1" applyAlignment="1">
      <alignment horizontal="center"/>
    </xf>
    <xf numFmtId="0" fontId="23" fillId="0" borderId="0" xfId="0" applyFont="1"/>
    <xf numFmtId="0" fontId="23" fillId="0" borderId="1" xfId="0" applyFont="1" applyBorder="1"/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0" fontId="9" fillId="0" borderId="1" xfId="0" applyFont="1" applyBorder="1"/>
    <xf numFmtId="0" fontId="35" fillId="3" borderId="1" xfId="0" applyFont="1" applyFill="1" applyBorder="1" applyAlignment="1">
      <alignment horizontal="center"/>
    </xf>
    <xf numFmtId="0" fontId="38" fillId="2" borderId="1" xfId="0" applyFont="1" applyFill="1" applyBorder="1"/>
    <xf numFmtId="0" fontId="8" fillId="0" borderId="1" xfId="0" applyFont="1" applyBorder="1"/>
    <xf numFmtId="165" fontId="8" fillId="0" borderId="1" xfId="0" applyNumberFormat="1" applyFont="1" applyBorder="1" applyAlignment="1">
      <alignment horizontal="right"/>
    </xf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0" fontId="27" fillId="5" borderId="1" xfId="0" applyFont="1" applyFill="1" applyBorder="1"/>
    <xf numFmtId="0" fontId="7" fillId="0" borderId="1" xfId="0" applyFont="1" applyBorder="1"/>
    <xf numFmtId="0" fontId="23" fillId="5" borderId="1" xfId="0" applyFont="1" applyFill="1" applyBorder="1"/>
    <xf numFmtId="165" fontId="38" fillId="3" borderId="1" xfId="0" applyNumberFormat="1" applyFont="1" applyFill="1" applyBorder="1" applyAlignment="1">
      <alignment horizontal="center"/>
    </xf>
    <xf numFmtId="0" fontId="39" fillId="0" borderId="1" xfId="0" applyFont="1" applyBorder="1"/>
    <xf numFmtId="0" fontId="39" fillId="0" borderId="1" xfId="0" applyFont="1" applyBorder="1" applyAlignment="1">
      <alignment horizontal="center"/>
    </xf>
    <xf numFmtId="166" fontId="39" fillId="0" borderId="1" xfId="0" applyNumberFormat="1" applyFont="1" applyBorder="1"/>
    <xf numFmtId="0" fontId="35" fillId="4" borderId="1" xfId="0" applyFont="1" applyFill="1" applyBorder="1"/>
    <xf numFmtId="165" fontId="35" fillId="3" borderId="1" xfId="0" applyNumberFormat="1" applyFont="1" applyFill="1" applyBorder="1" applyAlignment="1">
      <alignment horizontal="center"/>
    </xf>
    <xf numFmtId="165" fontId="35" fillId="2" borderId="1" xfId="0" applyNumberFormat="1" applyFont="1" applyFill="1" applyBorder="1" applyAlignment="1">
      <alignment horizontal="center"/>
    </xf>
    <xf numFmtId="165" fontId="39" fillId="0" borderId="1" xfId="0" applyNumberFormat="1" applyFont="1" applyBorder="1" applyAlignment="1">
      <alignment horizontal="center"/>
    </xf>
    <xf numFmtId="0" fontId="40" fillId="0" borderId="1" xfId="0" applyFont="1" applyBorder="1"/>
    <xf numFmtId="0" fontId="35" fillId="0" borderId="1" xfId="0" applyFont="1" applyBorder="1" applyAlignment="1">
      <alignment vertical="center" wrapText="1"/>
    </xf>
    <xf numFmtId="0" fontId="35" fillId="0" borderId="2" xfId="0" applyFont="1" applyBorder="1" applyAlignment="1">
      <alignment vertical="center" wrapText="1"/>
    </xf>
    <xf numFmtId="0" fontId="35" fillId="0" borderId="1" xfId="0" applyFont="1" applyFill="1" applyBorder="1" applyAlignment="1">
      <alignment horizontal="center"/>
    </xf>
    <xf numFmtId="166" fontId="38" fillId="0" borderId="1" xfId="0" applyNumberFormat="1" applyFont="1" applyBorder="1"/>
    <xf numFmtId="0" fontId="38" fillId="5" borderId="1" xfId="0" applyFont="1" applyFill="1" applyBorder="1"/>
    <xf numFmtId="165" fontId="37" fillId="0" borderId="1" xfId="0" applyNumberFormat="1" applyFont="1" applyBorder="1" applyAlignment="1">
      <alignment horizontal="center"/>
    </xf>
    <xf numFmtId="14" fontId="35" fillId="0" borderId="1" xfId="0" applyNumberFormat="1" applyFont="1" applyBorder="1"/>
    <xf numFmtId="1" fontId="35" fillId="0" borderId="1" xfId="0" applyNumberFormat="1" applyFont="1" applyBorder="1"/>
    <xf numFmtId="1" fontId="35" fillId="3" borderId="1" xfId="0" applyNumberFormat="1" applyFont="1" applyFill="1" applyBorder="1"/>
    <xf numFmtId="0" fontId="41" fillId="0" borderId="1" xfId="0" applyFont="1" applyBorder="1"/>
    <xf numFmtId="0" fontId="38" fillId="0" borderId="2" xfId="0" applyFont="1" applyBorder="1"/>
    <xf numFmtId="1" fontId="35" fillId="2" borderId="1" xfId="0" applyNumberFormat="1" applyFont="1" applyFill="1" applyBorder="1"/>
    <xf numFmtId="0" fontId="38" fillId="0" borderId="4" xfId="0" applyFont="1" applyBorder="1" applyAlignment="1">
      <alignment horizontal="left" vertical="center" wrapText="1"/>
    </xf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0" fontId="6" fillId="0" borderId="1" xfId="0" applyFont="1" applyBorder="1"/>
    <xf numFmtId="165" fontId="6" fillId="0" borderId="1" xfId="0" applyNumberFormat="1" applyFont="1" applyBorder="1" applyAlignment="1">
      <alignment horizontal="right"/>
    </xf>
    <xf numFmtId="0" fontId="8" fillId="3" borderId="1" xfId="0" applyFont="1" applyFill="1" applyBorder="1"/>
    <xf numFmtId="2" fontId="35" fillId="3" borderId="1" xfId="0" applyNumberFormat="1" applyFont="1" applyFill="1" applyBorder="1" applyAlignment="1">
      <alignment horizontal="center"/>
    </xf>
    <xf numFmtId="166" fontId="6" fillId="0" borderId="1" xfId="0" applyNumberFormat="1" applyFont="1" applyBorder="1"/>
    <xf numFmtId="0" fontId="23" fillId="0" borderId="0" xfId="0" applyFont="1"/>
    <xf numFmtId="0" fontId="23" fillId="0" borderId="1" xfId="0" applyFont="1" applyBorder="1"/>
    <xf numFmtId="0" fontId="5" fillId="0" borderId="1" xfId="0" applyFont="1" applyBorder="1"/>
    <xf numFmtId="165" fontId="5" fillId="0" borderId="1" xfId="0" applyNumberFormat="1" applyFont="1" applyBorder="1" applyAlignment="1">
      <alignment horizontal="right"/>
    </xf>
    <xf numFmtId="0" fontId="5" fillId="3" borderId="1" xfId="0" applyFont="1" applyFill="1" applyBorder="1"/>
    <xf numFmtId="0" fontId="6" fillId="3" borderId="1" xfId="0" applyFont="1" applyFill="1" applyBorder="1"/>
    <xf numFmtId="2" fontId="30" fillId="0" borderId="1" xfId="0" applyNumberFormat="1" applyFont="1" applyBorder="1" applyAlignment="1">
      <alignment horizontal="center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165" fontId="38" fillId="2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2" fontId="38" fillId="2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165" fontId="23" fillId="5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2" fontId="0" fillId="0" borderId="1" xfId="0" applyNumberFormat="1" applyBorder="1"/>
    <xf numFmtId="0" fontId="35" fillId="0" borderId="1" xfId="951" applyFont="1" applyBorder="1"/>
    <xf numFmtId="166" fontId="35" fillId="0" borderId="1" xfId="951" applyNumberFormat="1" applyFont="1" applyBorder="1"/>
    <xf numFmtId="0" fontId="35" fillId="2" borderId="1" xfId="951" applyFont="1" applyFill="1" applyBorder="1"/>
    <xf numFmtId="0" fontId="37" fillId="2" borderId="1" xfId="951" applyFont="1" applyFill="1" applyBorder="1"/>
    <xf numFmtId="0" fontId="38" fillId="0" borderId="1" xfId="951" applyFont="1" applyBorder="1"/>
    <xf numFmtId="165" fontId="38" fillId="2" borderId="1" xfId="951" applyNumberFormat="1" applyFont="1" applyFill="1" applyBorder="1" applyAlignment="1">
      <alignment horizontal="center"/>
    </xf>
    <xf numFmtId="0" fontId="35" fillId="4" borderId="1" xfId="951" applyFont="1" applyFill="1" applyBorder="1"/>
    <xf numFmtId="2" fontId="38" fillId="2" borderId="1" xfId="951" applyNumberFormat="1" applyFont="1" applyFill="1" applyBorder="1" applyAlignment="1">
      <alignment horizontal="center"/>
    </xf>
    <xf numFmtId="0" fontId="3" fillId="0" borderId="1" xfId="0" applyFont="1" applyBorder="1"/>
    <xf numFmtId="0" fontId="35" fillId="0" borderId="1" xfId="951" applyFont="1" applyBorder="1" applyAlignment="1">
      <alignment horizontal="right"/>
    </xf>
    <xf numFmtId="166" fontId="23" fillId="0" borderId="1" xfId="0" applyNumberFormat="1" applyFont="1" applyBorder="1" applyAlignment="1">
      <alignment horizontal="right"/>
    </xf>
    <xf numFmtId="0" fontId="23" fillId="0" borderId="0" xfId="0" applyFont="1"/>
    <xf numFmtId="0" fontId="25" fillId="0" borderId="1" xfId="0" applyFont="1" applyBorder="1"/>
    <xf numFmtId="0" fontId="23" fillId="0" borderId="1" xfId="0" applyFont="1" applyBorder="1"/>
    <xf numFmtId="0" fontId="2" fillId="0" borderId="1" xfId="0" applyFont="1" applyBorder="1"/>
    <xf numFmtId="165" fontId="2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2" fontId="23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165" fontId="25" fillId="0" borderId="0" xfId="0" applyNumberFormat="1" applyFont="1" applyAlignment="1">
      <alignment horizontal="center"/>
    </xf>
    <xf numFmtId="166" fontId="2" fillId="0" borderId="1" xfId="0" applyNumberFormat="1" applyFont="1" applyBorder="1"/>
    <xf numFmtId="165" fontId="33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1" fillId="3" borderId="1" xfId="0" applyFont="1" applyFill="1" applyBorder="1"/>
    <xf numFmtId="2" fontId="33" fillId="4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33" fillId="2" borderId="1" xfId="0" applyNumberFormat="1" applyFont="1" applyFill="1" applyBorder="1" applyAlignment="1">
      <alignment horizontal="center"/>
    </xf>
    <xf numFmtId="0" fontId="23" fillId="0" borderId="0" xfId="0" applyFont="1"/>
    <xf numFmtId="0" fontId="25" fillId="0" borderId="1" xfId="0" applyFont="1" applyBorder="1"/>
    <xf numFmtId="0" fontId="25" fillId="0" borderId="0" xfId="0" applyFont="1"/>
    <xf numFmtId="0" fontId="23" fillId="0" borderId="1" xfId="0" applyFont="1" applyBorder="1"/>
    <xf numFmtId="0" fontId="37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38" fillId="0" borderId="4" xfId="0" applyFont="1" applyBorder="1" applyAlignment="1">
      <alignment horizontal="left" vertical="center" wrapText="1"/>
    </xf>
    <xf numFmtId="0" fontId="35" fillId="0" borderId="2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left" vertical="center"/>
    </xf>
    <xf numFmtId="0" fontId="38" fillId="0" borderId="3" xfId="0" applyFont="1" applyBorder="1" applyAlignment="1">
      <alignment horizontal="left" vertical="center"/>
    </xf>
    <xf numFmtId="0" fontId="38" fillId="0" borderId="4" xfId="0" applyFont="1" applyBorder="1" applyAlignment="1">
      <alignment horizontal="left" vertical="center"/>
    </xf>
    <xf numFmtId="0" fontId="38" fillId="0" borderId="2" xfId="0" applyFont="1" applyBorder="1" applyAlignment="1">
      <alignment horizontal="center"/>
    </xf>
    <xf numFmtId="0" fontId="38" fillId="0" borderId="4" xfId="0" applyFont="1" applyBorder="1" applyAlignment="1">
      <alignment horizontal="center"/>
    </xf>
  </cellXfs>
  <cellStyles count="1076">
    <cellStyle name="Normal" xfId="0" builtinId="0"/>
    <cellStyle name="Normal 10" xfId="338"/>
    <cellStyle name="Normal 10 2" xfId="361"/>
    <cellStyle name="Normal 10 2 2" xfId="379"/>
    <cellStyle name="Normal 10 2 2 2" xfId="47"/>
    <cellStyle name="Normal 10 2 3" xfId="654"/>
    <cellStyle name="Normal 10 3" xfId="406"/>
    <cellStyle name="Normal 10 3 2" xfId="423"/>
    <cellStyle name="Normal 10 3 2 2" xfId="91"/>
    <cellStyle name="Normal 10 3 3" xfId="764"/>
    <cellStyle name="Normal 10 4" xfId="750"/>
    <cellStyle name="Normal 10 4 2" xfId="989"/>
    <cellStyle name="Normal 10 4 2 2" xfId="216"/>
    <cellStyle name="Normal 10 4 3" xfId="1003"/>
    <cellStyle name="Normal 10 5" xfId="1069"/>
    <cellStyle name="Normal 10 5 2" xfId="657"/>
    <cellStyle name="Normal 10 5 2 2" xfId="178"/>
    <cellStyle name="Normal 10 5 3" xfId="980"/>
    <cellStyle name="Normal 10 6" xfId="356"/>
    <cellStyle name="Normal 10 6 2" xfId="27"/>
    <cellStyle name="Normal 10 7" xfId="583"/>
    <cellStyle name="Normal 10 8" xfId="251"/>
    <cellStyle name="Normal 11" xfId="947"/>
    <cellStyle name="Normal 11 2" xfId="337"/>
    <cellStyle name="Normal 11 2 2" xfId="355"/>
    <cellStyle name="Normal 11 2 2 2" xfId="26"/>
    <cellStyle name="Normal 11 2 3" xfId="984"/>
    <cellStyle name="Normal 11 3" xfId="383"/>
    <cellStyle name="Normal 11 3 2" xfId="400"/>
    <cellStyle name="Normal 11 3 2 2" xfId="60"/>
    <cellStyle name="Normal 11 3 3" xfId="299"/>
    <cellStyle name="Normal 11 4" xfId="503"/>
    <cellStyle name="Normal 11 4 2" xfId="718"/>
    <cellStyle name="Normal 11 4 2 2" xfId="729"/>
    <cellStyle name="Normal 11 4 3" xfId="50"/>
    <cellStyle name="Normal 11 5" xfId="1073"/>
    <cellStyle name="Normal 11 5 2" xfId="876"/>
    <cellStyle name="Normal 11 5 2 2" xfId="201"/>
    <cellStyle name="Normal 11 5 3" xfId="650"/>
    <cellStyle name="Normal 11 6" xfId="964"/>
    <cellStyle name="Normal 11 6 2" xfId="930"/>
    <cellStyle name="Normal 11 7" xfId="516"/>
    <cellStyle name="Normal 116" xfId="970"/>
    <cellStyle name="Normal 116 2" xfId="645"/>
    <cellStyle name="Normal 116 2 2" xfId="662"/>
    <cellStyle name="Normal 116 2 2 2" xfId="250"/>
    <cellStyle name="Normal 116 2 3" xfId="915"/>
    <cellStyle name="Normal 116 3" xfId="776"/>
    <cellStyle name="Normal 116 3 2" xfId="792"/>
    <cellStyle name="Normal 116 3 2 2" xfId="294"/>
    <cellStyle name="Normal 116 3 3" xfId="695"/>
    <cellStyle name="Normal 116 4" xfId="429"/>
    <cellStyle name="Normal 116 4 2" xfId="470"/>
    <cellStyle name="Normal 116 4 2 2" xfId="126"/>
    <cellStyle name="Normal 116 4 3" xfId="982"/>
    <cellStyle name="Normal 116 5" xfId="173"/>
    <cellStyle name="Normal 116 5 2" xfId="469"/>
    <cellStyle name="Normal 116 5 2 2" xfId="134"/>
    <cellStyle name="Normal 116 5 3" xfId="297"/>
    <cellStyle name="Normal 116 6" xfId="993"/>
    <cellStyle name="Normal 116 6 2" xfId="228"/>
    <cellStyle name="Normal 116 7" xfId="348"/>
    <cellStyle name="Normal 12" xfId="728"/>
    <cellStyle name="Normal 12 2" xfId="946"/>
    <cellStyle name="Normal 12 2 2" xfId="963"/>
    <cellStyle name="Normal 12 2 2 2" xfId="929"/>
    <cellStyle name="Normal 12 2 3" xfId="765"/>
    <cellStyle name="Normal 12 3" xfId="360"/>
    <cellStyle name="Normal 12 3 2" xfId="377"/>
    <cellStyle name="Normal 12 3 2 2" xfId="39"/>
    <cellStyle name="Normal 12 3 3" xfId="488"/>
    <cellStyle name="Normal 12 4" xfId="619"/>
    <cellStyle name="Normal 12 4 2" xfId="937"/>
    <cellStyle name="Normal 12 4 2 2" xfId="948"/>
    <cellStyle name="Normal 12 4 3" xfId="95"/>
    <cellStyle name="Normal 12 5" xfId="358"/>
    <cellStyle name="Normal 12 5 2" xfId="519"/>
    <cellStyle name="Normal 12 5 2 2" xfId="997"/>
    <cellStyle name="Normal 12 5 3" xfId="603"/>
    <cellStyle name="Normal 12 6" xfId="745"/>
    <cellStyle name="Normal 12 6 2" xfId="711"/>
    <cellStyle name="Normal 12 7" xfId="301"/>
    <cellStyle name="Normal 13" xfId="550"/>
    <cellStyle name="Normal 13 2" xfId="727"/>
    <cellStyle name="Normal 13 2 2" xfId="744"/>
    <cellStyle name="Normal 13 2 2 2" xfId="710"/>
    <cellStyle name="Normal 13 2 3" xfId="319"/>
    <cellStyle name="Normal 13 3" xfId="336"/>
    <cellStyle name="Normal 13 3 2" xfId="353"/>
    <cellStyle name="Normal 13 3 2 2" xfId="20"/>
    <cellStyle name="Normal 13 3 3" xfId="464"/>
    <cellStyle name="Normal 13 4" xfId="838"/>
    <cellStyle name="Normal 13 4 2" xfId="36"/>
    <cellStyle name="Normal 13 4 2 2" xfId="340"/>
    <cellStyle name="Normal 13 4 3" xfId="117"/>
    <cellStyle name="Normal 13 5" xfId="546"/>
    <cellStyle name="Normal 13 5 2" xfId="789"/>
    <cellStyle name="Normal 13 5 2 2" xfId="224"/>
    <cellStyle name="Normal 13 5 3" xfId="869"/>
    <cellStyle name="Normal 13 6" xfId="567"/>
    <cellStyle name="Normal 13 6 2" xfId="533"/>
    <cellStyle name="Normal 13 7" xfId="279"/>
    <cellStyle name="Normal 14" xfId="1070"/>
    <cellStyle name="Normal 14 2" xfId="549"/>
    <cellStyle name="Normal 14 2 2" xfId="566"/>
    <cellStyle name="Normal 14 2 2 2" xfId="532"/>
    <cellStyle name="Normal 14 2 3" xfId="489"/>
    <cellStyle name="Normal 14 3" xfId="945"/>
    <cellStyle name="Normal 14 3 2" xfId="961"/>
    <cellStyle name="Normal 14 3 2 2" xfId="922"/>
    <cellStyle name="Normal 14 3 3" xfId="440"/>
    <cellStyle name="Normal 14 4" xfId="5"/>
    <cellStyle name="Normal 14 4 2" xfId="57"/>
    <cellStyle name="Normal 14 4 2 2" xfId="364"/>
    <cellStyle name="Normal 14 4 3" xfId="139"/>
    <cellStyle name="Normal 14 5" xfId="10"/>
    <cellStyle name="Normal 14 5 2" xfId="586"/>
    <cellStyle name="Normal 14 5 2 2" xfId="667"/>
    <cellStyle name="Normal 14 5 3" xfId="1044"/>
    <cellStyle name="Normal 14 6" xfId="835"/>
    <cellStyle name="Normal 14 6 2" xfId="910"/>
    <cellStyle name="Normal 14 7" xfId="256"/>
    <cellStyle name="Normal 15" xfId="1066"/>
    <cellStyle name="Normal 15 2" xfId="820"/>
    <cellStyle name="Normal 15 2 2" xfId="834"/>
    <cellStyle name="Normal 15 2 2 2" xfId="909"/>
    <cellStyle name="Normal 15 2 3" xfId="465"/>
    <cellStyle name="Normal 15 3" xfId="726"/>
    <cellStyle name="Normal 15 3 2" xfId="742"/>
    <cellStyle name="Normal 15 3 2 2" xfId="703"/>
    <cellStyle name="Normal 15 3 3" xfId="416"/>
    <cellStyle name="Normal 15 4" xfId="6"/>
    <cellStyle name="Normal 15 4 2" xfId="79"/>
    <cellStyle name="Normal 15 4 2 2" xfId="387"/>
    <cellStyle name="Normal 15 4 3" xfId="161"/>
    <cellStyle name="Normal 15 5" xfId="724"/>
    <cellStyle name="Normal 15 5 2" xfId="1008"/>
    <cellStyle name="Normal 15 5 2 2" xfId="247"/>
    <cellStyle name="Normal 15 5 3" xfId="782"/>
    <cellStyle name="Normal 15 6" xfId="1056"/>
    <cellStyle name="Normal 15 6 2" xfId="691"/>
    <cellStyle name="Normal 15 7" xfId="233"/>
    <cellStyle name="Normal 15 8" xfId="486"/>
    <cellStyle name="Normal 16" xfId="1062"/>
    <cellStyle name="Normal 16 2" xfId="1038"/>
    <cellStyle name="Normal 16 2 2" xfId="1055"/>
    <cellStyle name="Normal 16 2 2 2" xfId="690"/>
    <cellStyle name="Normal 16 2 3" xfId="441"/>
    <cellStyle name="Normal 16 3" xfId="548"/>
    <cellStyle name="Normal 16 3 2" xfId="564"/>
    <cellStyle name="Normal 16 3 2 2" xfId="527"/>
    <cellStyle name="Normal 16 3 3" xfId="393"/>
    <cellStyle name="Normal 16 4" xfId="7"/>
    <cellStyle name="Normal 16 4 2" xfId="102"/>
    <cellStyle name="Normal 16 4 2 2" xfId="410"/>
    <cellStyle name="Normal 16 4 3" xfId="184"/>
    <cellStyle name="Normal 16 5" xfId="545"/>
    <cellStyle name="Normal 16 5 2" xfId="610"/>
    <cellStyle name="Normal 16 5 2 2" xfId="886"/>
    <cellStyle name="Normal 16 5 3" xfId="1059"/>
    <cellStyle name="Normal 16 6" xfId="861"/>
    <cellStyle name="Normal 16 6 2" xfId="1020"/>
    <cellStyle name="Normal 16 7" xfId="210"/>
    <cellStyle name="Normal 16 8" xfId="485"/>
    <cellStyle name="Normal 17" xfId="1058"/>
    <cellStyle name="Normal 17 2" xfId="843"/>
    <cellStyle name="Normal 17 2 2" xfId="860"/>
    <cellStyle name="Normal 17 2 2 2" xfId="1019"/>
    <cellStyle name="Normal 17 2 3" xfId="417"/>
    <cellStyle name="Normal 17 3" xfId="819"/>
    <cellStyle name="Normal 17 3 2" xfId="833"/>
    <cellStyle name="Normal 17 3 2 2" xfId="901"/>
    <cellStyle name="Normal 17 3 3" xfId="370"/>
    <cellStyle name="Normal 17 4" xfId="63"/>
    <cellStyle name="Normal 17 4 2" xfId="124"/>
    <cellStyle name="Normal 17 4 2 2" xfId="434"/>
    <cellStyle name="Normal 17 4 3" xfId="207"/>
    <cellStyle name="Normal 17 5" xfId="943"/>
    <cellStyle name="Normal 17 5 2" xfId="678"/>
    <cellStyle name="Normal 17 5 2 2" xfId="270"/>
    <cellStyle name="Normal 17 5 3" xfId="1001"/>
    <cellStyle name="Normal 17 6" xfId="642"/>
    <cellStyle name="Normal 17 6 2" xfId="801"/>
    <cellStyle name="Normal 17 7" xfId="187"/>
    <cellStyle name="Normal 17 8" xfId="629"/>
    <cellStyle name="Normal 18" xfId="1039"/>
    <cellStyle name="Normal 18 2" xfId="624"/>
    <cellStyle name="Normal 18 2 2" xfId="641"/>
    <cellStyle name="Normal 18 2 2 2" xfId="800"/>
    <cellStyle name="Normal 18 2 3" xfId="394"/>
    <cellStyle name="Normal 18 3" xfId="1037"/>
    <cellStyle name="Normal 18 3 2" xfId="1053"/>
    <cellStyle name="Normal 18 3 2 2" xfId="682"/>
    <cellStyle name="Normal 18 3 3" xfId="346"/>
    <cellStyle name="Normal 18 4" xfId="85"/>
    <cellStyle name="Normal 18 4 2" xfId="146"/>
    <cellStyle name="Normal 18 4 2 2" xfId="458"/>
    <cellStyle name="Normal 18 4 3" xfId="230"/>
    <cellStyle name="Normal 18 5" xfId="592"/>
    <cellStyle name="Normal 18 5 2" xfId="637"/>
    <cellStyle name="Normal 18 5 2 2" xfId="798"/>
    <cellStyle name="Normal 18 5 3" xfId="1063"/>
    <cellStyle name="Normal 18 6" xfId="615"/>
    <cellStyle name="Normal 18 6 2" xfId="889"/>
    <cellStyle name="Normal 18 7" xfId="164"/>
    <cellStyle name="Normal 18 8" xfId="579"/>
    <cellStyle name="Normal 19" xfId="597"/>
    <cellStyle name="Normal 19 2" xfId="596"/>
    <cellStyle name="Normal 19 2 2" xfId="614"/>
    <cellStyle name="Normal 19 2 2 2" xfId="888"/>
    <cellStyle name="Normal 19 2 3" xfId="371"/>
    <cellStyle name="Normal 19 3" xfId="842"/>
    <cellStyle name="Normal 19 3 2" xfId="858"/>
    <cellStyle name="Normal 19 3 2 2" xfId="1012"/>
    <cellStyle name="Normal 19 3 3" xfId="954"/>
    <cellStyle name="Normal 19 4" xfId="107"/>
    <cellStyle name="Normal 19 4 2" xfId="168"/>
    <cellStyle name="Normal 19 4 2 2" xfId="482"/>
    <cellStyle name="Normal 19 4 3" xfId="253"/>
    <cellStyle name="Normal 19 5" xfId="813"/>
    <cellStyle name="Normal 19 5 2" xfId="897"/>
    <cellStyle name="Normal 19 5 2 2" xfId="292"/>
    <cellStyle name="Normal 19 5 3" xfId="671"/>
    <cellStyle name="Normal 19 6" xfId="591"/>
    <cellStyle name="Normal 19 6 2" xfId="670"/>
    <cellStyle name="Normal 19 7" xfId="142"/>
    <cellStyle name="Normal 19 8" xfId="273"/>
    <cellStyle name="Normal 2" xfId="751"/>
    <cellStyle name="Normal 2 10" xfId="373"/>
    <cellStyle name="Normal 2 11" xfId="636"/>
    <cellStyle name="Normal 2 12" xfId="165"/>
    <cellStyle name="Normal 2 13" xfId="280"/>
    <cellStyle name="Normal 2 2" xfId="864"/>
    <cellStyle name="Normal 2 2 10" xfId="538"/>
    <cellStyle name="Normal 2 2 11" xfId="234"/>
    <cellStyle name="Normal 2 2 12" xfId="143"/>
    <cellStyle name="Normal 2 2 13" xfId="302"/>
    <cellStyle name="Normal 2 2 14" xfId="956"/>
    <cellStyle name="Normal 2 2 2" xfId="975"/>
    <cellStyle name="Normal 2 2 2 10" xfId="211"/>
    <cellStyle name="Normal 2 2 2 11" xfId="257"/>
    <cellStyle name="Normal 2 2 2 12" xfId="54"/>
    <cellStyle name="Normal 2 2 2 13" xfId="536"/>
    <cellStyle name="Normal 2 2 2 2" xfId="754"/>
    <cellStyle name="Normal 2 2 2 2 10" xfId="121"/>
    <cellStyle name="Normal 2 2 2 2 11" xfId="188"/>
    <cellStyle name="Normal 2 2 2 2 12" xfId="349"/>
    <cellStyle name="Normal 2 2 2 2 13" xfId="696"/>
    <cellStyle name="Normal 2 2 2 2 2" xfId="621"/>
    <cellStyle name="Normal 2 2 2 2 2 10" xfId="715"/>
    <cellStyle name="Normal 2 2 2 2 2 11" xfId="537"/>
    <cellStyle name="Normal 2 2 2 2 2 12" xfId="1022"/>
    <cellStyle name="Normal 2 2 2 2 2 2" xfId="1065"/>
    <cellStyle name="Normal 2 2 2 2 2 2 10" xfId="916"/>
    <cellStyle name="Normal 2 2 2 2 2 2 11" xfId="787"/>
    <cellStyle name="Normal 2 2 2 2 2 2 12" xfId="892"/>
    <cellStyle name="Normal 2 2 2 2 2 2 2" xfId="1061"/>
    <cellStyle name="Normal 2 2 2 2 2 2 2 10" xfId="874"/>
    <cellStyle name="Normal 2 2 2 2 2 2 2 11" xfId="761"/>
    <cellStyle name="Normal 2 2 2 2 2 2 2 2" xfId="1014"/>
    <cellStyle name="Normal 2 2 2 2 2 2 2 2 10" xfId="655"/>
    <cellStyle name="Normal 2 2 2 2 2 2 2 2 11" xfId="317"/>
    <cellStyle name="Normal 2 2 2 2 2 2 2 2 2" xfId="795"/>
    <cellStyle name="Normal 2 2 2 2 2 2 2 2 2 10" xfId="985"/>
    <cellStyle name="Normal 2 2 2 2 2 2 2 2 2 11" xfId="512"/>
    <cellStyle name="Normal 2 2 2 2 2 2 2 2 2 2" xfId="561"/>
    <cellStyle name="Normal 2 2 2 2 2 2 2 2 2 2 2" xfId="830"/>
    <cellStyle name="Normal 2 2 2 2 2 2 2 2 2 2 3" xfId="296"/>
    <cellStyle name="Normal 2 2 2 2 2 2 2 2 2 3" xfId="443"/>
    <cellStyle name="Normal 2 2 2 2 2 2 2 2 2 4" xfId="396"/>
    <cellStyle name="Normal 2 2 2 2 2 2 2 2 2 5" xfId="854"/>
    <cellStyle name="Normal 2 2 2 2 2 2 2 2 2 6" xfId="608"/>
    <cellStyle name="Normal 2 2 2 2 2 2 2 2 2 7" xfId="517"/>
    <cellStyle name="Normal 2 2 2 2 2 2 2 2 2 8" xfId="895"/>
    <cellStyle name="Normal 2 2 2 2 2 2 2 2 2 9" xfId="1006"/>
    <cellStyle name="Normal 2 2 2 2 2 2 2 2 3" xfId="768"/>
    <cellStyle name="Normal 2 2 2 2 2 2 2 2 3 2" xfId="467"/>
    <cellStyle name="Normal 2 2 2 2 2 2 2 2 3 3" xfId="133"/>
    <cellStyle name="Normal 2 2 2 2 2 2 2 2 4" xfId="419"/>
    <cellStyle name="Normal 2 2 2 2 2 2 2 2 5" xfId="1049"/>
    <cellStyle name="Normal 2 2 2 2 2 2 2 2 6" xfId="635"/>
    <cellStyle name="Normal 2 2 2 2 2 2 2 2 7" xfId="584"/>
    <cellStyle name="Normal 2 2 2 2 2 2 2 2 8" xfId="805"/>
    <cellStyle name="Normal 2 2 2 2 2 2 2 2 9" xfId="676"/>
    <cellStyle name="Normal 2 2 2 2 2 2 2 3" xfId="987"/>
    <cellStyle name="Normal 2 2 2 2 2 2 2 3 2" xfId="491"/>
    <cellStyle name="Normal 2 2 2 2 2 2 2 4" xfId="1025"/>
    <cellStyle name="Normal 2 2 2 2 2 2 2 5" xfId="560"/>
    <cellStyle name="Normal 2 2 2 2 2 2 2 6" xfId="235"/>
    <cellStyle name="Normal 2 2 2 2 2 2 2 7" xfId="829"/>
    <cellStyle name="Normal 2 2 2 2 2 2 2 8" xfId="1024"/>
    <cellStyle name="Normal 2 2 2 2 2 2 2 9" xfId="33"/>
    <cellStyle name="Normal 2 2 2 2 2 2 3" xfId="41"/>
    <cellStyle name="Normal 2 2 2 2 2 2 3 2" xfId="444"/>
    <cellStyle name="Normal 2 2 2 2 2 2 3 3" xfId="343"/>
    <cellStyle name="Normal 2 2 2 2 2 2 4" xfId="878"/>
    <cellStyle name="Normal 2 2 2 2 2 2 4 2" xfId="321"/>
    <cellStyle name="Normal 2 2 2 2 2 2 4 3" xfId="262"/>
    <cellStyle name="Normal 2 2 2 2 2 2 5" xfId="986"/>
    <cellStyle name="Normal 2 2 2 2 2 2 6" xfId="738"/>
    <cellStyle name="Normal 2 2 2 2 2 2 7" xfId="957"/>
    <cellStyle name="Normal 2 2 2 2 2 2 8" xfId="716"/>
    <cellStyle name="Normal 2 2 2 2 2 2 9" xfId="697"/>
    <cellStyle name="Normal 2 2 2 2 2 3" xfId="62"/>
    <cellStyle name="Normal 2 2 2 2 2 3 2" xfId="544"/>
    <cellStyle name="Normal 2 2 2 2 2 3 2 2" xfId="397"/>
    <cellStyle name="Normal 2 2 2 2 2 3 2 3" xfId="554"/>
    <cellStyle name="Normal 2 2 2 2 2 4" xfId="1010"/>
    <cellStyle name="Normal 2 2 2 2 2 4 2" xfId="34"/>
    <cellStyle name="Normal 2 2 2 2 2 5" xfId="875"/>
    <cellStyle name="Normal 2 2 2 2 2 6" xfId="122"/>
    <cellStyle name="Normal 2 2 2 2 2 7" xfId="281"/>
    <cellStyle name="Normal 2 2 2 2 2 8" xfId="258"/>
    <cellStyle name="Normal 2 2 2 2 2 9" xfId="99"/>
    <cellStyle name="Normal 2 2 2 2 3 2" xfId="722"/>
    <cellStyle name="Normal 2 2 2 2 3 2 2" xfId="1031"/>
    <cellStyle name="Normal 2 2 2 2 3 2 2 2" xfId="350"/>
    <cellStyle name="Normal 2 2 2 2 3 2 2 3" xfId="848"/>
    <cellStyle name="Normal 2 2 2 2 3 3" xfId="790"/>
    <cellStyle name="Normal 2 2 2 2 3 3 2" xfId="293"/>
    <cellStyle name="Normal 2 2 2 2 3 4" xfId="651"/>
    <cellStyle name="Normal 2 2 2 2 4" xfId="749"/>
    <cellStyle name="Normal 2 2 2 2 4 2" xfId="123"/>
    <cellStyle name="Normal 2 2 2 2 4 2 2" xfId="409"/>
    <cellStyle name="Normal 2 2 2 2 4 3" xfId="94"/>
    <cellStyle name="Normal 2 2 2 2 5" xfId="992"/>
    <cellStyle name="Normal 2 2 2 2 5 2" xfId="55"/>
    <cellStyle name="Normal 2 2 2 2 5 3" xfId="227"/>
    <cellStyle name="Normal 2 2 2 2 6" xfId="212"/>
    <cellStyle name="Normal 2 2 2 2 7" xfId="77"/>
    <cellStyle name="Normal 2 2 2 2 8" xfId="144"/>
    <cellStyle name="Normal 2 2 2 2 9" xfId="896"/>
    <cellStyle name="Normal 2 2 2 3 2" xfId="331"/>
    <cellStyle name="Normal 2 2 2 3 2 2" xfId="705"/>
    <cellStyle name="Normal 2 2 2 3 2 2 2" xfId="903"/>
    <cellStyle name="Normal 2 2 2 3 2 2 2 2" xfId="958"/>
    <cellStyle name="Normal 2 2 2 3 2 2 2 3" xfId="602"/>
    <cellStyle name="Normal 2 2 2 3 2 3" xfId="304"/>
    <cellStyle name="Normal 2 2 2 3 2 3 2" xfId="778"/>
    <cellStyle name="Normal 2 2 2 3 2 4" xfId="275"/>
    <cellStyle name="Normal 2 2 2 3 3" xfId="1035"/>
    <cellStyle name="Normal 2 2 2 3 3 2" xfId="322"/>
    <cellStyle name="Normal 2 2 2 3 3 2 2" xfId="111"/>
    <cellStyle name="Normal 2 2 2 3 3 3" xfId="461"/>
    <cellStyle name="Normal 2 2 2 4" xfId="568"/>
    <cellStyle name="Normal 2 2 2 4 2" xfId="967"/>
    <cellStyle name="Normal 2 2 2 4 2 2" xfId="101"/>
    <cellStyle name="Normal 2 2 2 4 2 2 2" xfId="386"/>
    <cellStyle name="Normal 2 2 2 4 2 3" xfId="71"/>
    <cellStyle name="Normal 2 2 2 5" xfId="881"/>
    <cellStyle name="Normal 2 2 2 5 2" xfId="303"/>
    <cellStyle name="Normal 2 2 2 6" xfId="585"/>
    <cellStyle name="Normal 2 2 2 7" xfId="189"/>
    <cellStyle name="Normal 2 2 2 8" xfId="677"/>
    <cellStyle name="Normal 2 2 2 9" xfId="609"/>
    <cellStyle name="Normal 2 2 3" xfId="863"/>
    <cellStyle name="Normal 2 2 3 2" xfId="334"/>
    <cellStyle name="Normal 2 2 3 2 2" xfId="330"/>
    <cellStyle name="Normal 2 2 3 2 2 2" xfId="812"/>
    <cellStyle name="Normal 2 2 3 2 2 2 2" xfId="684"/>
    <cellStyle name="Normal 2 2 3 2 2 2 2 2" xfId="739"/>
    <cellStyle name="Normal 2 2 3 2 2 2 2 3" xfId="578"/>
    <cellStyle name="Normal 2 2 3 2 2 3" xfId="282"/>
    <cellStyle name="Normal 2 2 3 2 2 3 2" xfId="865"/>
    <cellStyle name="Normal 2 2 3 2 2 4" xfId="252"/>
    <cellStyle name="Normal 2 2 3 2 3" xfId="84"/>
    <cellStyle name="Normal 2 2 3 2 3 2" xfId="468"/>
    <cellStyle name="Normal 2 2 3 2 3 3" xfId="390"/>
    <cellStyle name="Normal 2 2 3 3" xfId="1057"/>
    <cellStyle name="Normal 2 2 3 3 2" xfId="941"/>
    <cellStyle name="Normal 2 2 3 3 2 2" xfId="420"/>
    <cellStyle name="Normal 2 2 3 3 2 3" xfId="951"/>
    <cellStyle name="Normal 2 2 3 4" xfId="879"/>
    <cellStyle name="Normal 2 2 3 4 2" xfId="272"/>
    <cellStyle name="Normal 2 2 3 5" xfId="526"/>
    <cellStyle name="Normal 2 2 4" xfId="453"/>
    <cellStyle name="Normal 2 2 4 2" xfId="499"/>
    <cellStyle name="Normal 2 2 4 2 2" xfId="924"/>
    <cellStyle name="Normal 2 2 4 2 2 2" xfId="374"/>
    <cellStyle name="Normal 2 2 4 2 2 3" xfId="824"/>
    <cellStyle name="Normal 2 2 4 3" xfId="494"/>
    <cellStyle name="Normal 2 2 4 3 2" xfId="148"/>
    <cellStyle name="Normal 2 2 4 4" xfId="652"/>
    <cellStyle name="Normal 2 2 5" xfId="968"/>
    <cellStyle name="Normal 2 2 5 2" xfId="145"/>
    <cellStyle name="Normal 2 2 5 2 2" xfId="433"/>
    <cellStyle name="Normal 2 2 5 3" xfId="116"/>
    <cellStyle name="Normal 2 2 6" xfId="774"/>
    <cellStyle name="Normal 2 2 6 2" xfId="518"/>
    <cellStyle name="Normal 2 2 6 3" xfId="205"/>
    <cellStyle name="Normal 2 2 7" xfId="100"/>
    <cellStyle name="Normal 2 2 8" xfId="698"/>
    <cellStyle name="Normal 2 2 9" xfId="917"/>
    <cellStyle name="Normal 2 3" xfId="973"/>
    <cellStyle name="Normal 2 3 2" xfId="680"/>
    <cellStyle name="Normal 2 3 2 2" xfId="613"/>
    <cellStyle name="Normal 2 3 3" xfId="694"/>
    <cellStyle name="Normal 2 4" xfId="2"/>
    <cellStyle name="Normal 2 4 2" xfId="1009"/>
    <cellStyle name="Normal 2 4 2 2" xfId="509"/>
    <cellStyle name="Normal 2 4 3" xfId="783"/>
    <cellStyle name="Normal 2 5" xfId="593"/>
    <cellStyle name="Normal 2 5 2" xfId="492"/>
    <cellStyle name="Normal 2 5 2 2" xfId="89"/>
    <cellStyle name="Normal 2 5 3" xfId="437"/>
    <cellStyle name="Normal 2 6" xfId="663"/>
    <cellStyle name="Normal 2 6 2" xfId="855"/>
    <cellStyle name="Normal 2 7" xfId="166"/>
    <cellStyle name="Normal 2 8" xfId="767"/>
    <cellStyle name="Normal 2 9" xfId="788"/>
    <cellStyle name="Normal 20" xfId="573"/>
    <cellStyle name="Normal 20 2" xfId="572"/>
    <cellStyle name="Normal 20 2 2" xfId="590"/>
    <cellStyle name="Normal 20 2 2 2" xfId="669"/>
    <cellStyle name="Normal 20 2 3" xfId="347"/>
    <cellStyle name="Normal 20 3" xfId="623"/>
    <cellStyle name="Normal 20 3 2" xfId="639"/>
    <cellStyle name="Normal 20 3 2 2" xfId="793"/>
    <cellStyle name="Normal 20 3 3" xfId="735"/>
    <cellStyle name="Normal 20 4" xfId="129"/>
    <cellStyle name="Normal 20 4 2" xfId="191"/>
    <cellStyle name="Normal 20 4 2 2" xfId="314"/>
    <cellStyle name="Normal 20 4 3" xfId="276"/>
    <cellStyle name="Normal 20 5" xfId="616"/>
    <cellStyle name="Normal 20 5 2" xfId="856"/>
    <cellStyle name="Normal 20 5 2 2" xfId="1017"/>
    <cellStyle name="Normal 20 5 3" xfId="1067"/>
    <cellStyle name="Normal 20 6" xfId="523"/>
    <cellStyle name="Normal 20 6 2" xfId="1000"/>
    <cellStyle name="Normal 20 7" xfId="120"/>
    <cellStyle name="Normal 20 8" xfId="72"/>
    <cellStyle name="Normal 21" xfId="269"/>
    <cellStyle name="Normal 21 2" xfId="507"/>
    <cellStyle name="Normal 21 2 2" xfId="522"/>
    <cellStyle name="Normal 21 2 2 2" xfId="999"/>
    <cellStyle name="Normal 21 2 3" xfId="955"/>
    <cellStyle name="Normal 21 3" xfId="595"/>
    <cellStyle name="Normal 21 3 2" xfId="612"/>
    <cellStyle name="Normal 21 3 2 2" xfId="880"/>
    <cellStyle name="Normal 21 3 3" xfId="557"/>
    <cellStyle name="Normal 21 4" xfId="969"/>
    <cellStyle name="Normal 21 4 2" xfId="659"/>
    <cellStyle name="Normal 21 4 2 2" xfId="239"/>
    <cellStyle name="Normal 21 4 3" xfId="673"/>
    <cellStyle name="Normal 21 5" xfId="328"/>
    <cellStyle name="Normal 21 5 2" xfId="236"/>
    <cellStyle name="Normal 21 5 2 2" xfId="976"/>
    <cellStyle name="Normal 21 5 3" xfId="206"/>
    <cellStyle name="Normal 21 6" xfId="309"/>
    <cellStyle name="Normal 21 6 2" xfId="781"/>
    <cellStyle name="Normal 21 7" xfId="98"/>
    <cellStyle name="Normal 21 8" xfId="1043"/>
    <cellStyle name="Normal 22" xfId="246"/>
    <cellStyle name="Normal 22 2" xfId="290"/>
    <cellStyle name="Normal 22 2 2" xfId="308"/>
    <cellStyle name="Normal 22 2 2 2" xfId="780"/>
    <cellStyle name="Normal 22 2 3" xfId="736"/>
    <cellStyle name="Normal 22 3" xfId="571"/>
    <cellStyle name="Normal 22 3 2" xfId="588"/>
    <cellStyle name="Normal 22 3 2 2" xfId="661"/>
    <cellStyle name="Normal 22 3 3" xfId="826"/>
    <cellStyle name="Normal 22 4" xfId="151"/>
    <cellStyle name="Normal 22 4 2" xfId="214"/>
    <cellStyle name="Normal 22 4 2 2" xfId="758"/>
    <cellStyle name="Normal 22 4 3" xfId="298"/>
    <cellStyle name="Normal 22 5" xfId="288"/>
    <cellStyle name="Normal 22 5 2" xfId="658"/>
    <cellStyle name="Normal 22 5 2 2" xfId="248"/>
    <cellStyle name="Normal 22 5 3" xfId="762"/>
    <cellStyle name="Normal 22 6" xfId="287"/>
    <cellStyle name="Normal 22 6 2" xfId="868"/>
    <cellStyle name="Normal 22 8" xfId="870"/>
    <cellStyle name="Normal 23" xfId="223"/>
    <cellStyle name="Normal 23 2" xfId="268"/>
    <cellStyle name="Normal 23 2 2" xfId="286"/>
    <cellStyle name="Normal 23 2 2 2" xfId="867"/>
    <cellStyle name="Normal 23 2 3" xfId="558"/>
    <cellStyle name="Normal 23 3" xfId="506"/>
    <cellStyle name="Normal 23 3 2" xfId="521"/>
    <cellStyle name="Normal 23 3 2 2" xfId="991"/>
    <cellStyle name="Normal 23 3 3" xfId="1046"/>
    <cellStyle name="Normal 23 4" xfId="174"/>
    <cellStyle name="Normal 23 4 2" xfId="237"/>
    <cellStyle name="Normal 23 4 2 2" xfId="977"/>
    <cellStyle name="Normal 23 4 3" xfId="513"/>
    <cellStyle name="Normal 23 5" xfId="1032"/>
    <cellStyle name="Normal 23 5 2" xfId="807"/>
    <cellStyle name="Normal 23 5 2 2" xfId="481"/>
    <cellStyle name="Normal 23 5 3" xfId="890"/>
    <cellStyle name="Normal 23 6" xfId="264"/>
    <cellStyle name="Normal 23 6 2" xfId="649"/>
    <cellStyle name="Normal 23 7" xfId="8"/>
    <cellStyle name="Normal 24" xfId="200"/>
    <cellStyle name="Normal 24 2" xfId="245"/>
    <cellStyle name="Normal 24 2 2" xfId="263"/>
    <cellStyle name="Normal 24 2 2 2" xfId="648"/>
    <cellStyle name="Normal 24 2 3" xfId="827"/>
    <cellStyle name="Normal 24 3" xfId="289"/>
    <cellStyle name="Normal 24 3 2" xfId="306"/>
    <cellStyle name="Normal 24 3 2 2" xfId="772"/>
    <cellStyle name="Normal 24 3 3" xfId="851"/>
    <cellStyle name="Normal 24 4" xfId="197"/>
    <cellStyle name="Normal 24 4 2" xfId="260"/>
    <cellStyle name="Normal 24 4 2 2" xfId="647"/>
    <cellStyle name="Normal 24 4 3" xfId="580"/>
    <cellStyle name="Normal 24 5" xfId="723"/>
    <cellStyle name="Normal 24 5 2" xfId="1051"/>
    <cellStyle name="Normal 24 5 2 2" xfId="688"/>
    <cellStyle name="Normal 24 5 3" xfId="1071"/>
    <cellStyle name="Normal 24 6" xfId="241"/>
    <cellStyle name="Normal 24 6 2" xfId="979"/>
    <cellStyle name="Normal 24 7" xfId="837"/>
    <cellStyle name="Normal 25" xfId="177"/>
    <cellStyle name="Normal 25 2" xfId="222"/>
    <cellStyle name="Normal 25 2 2" xfId="240"/>
    <cellStyle name="Normal 25 2 2 2" xfId="978"/>
    <cellStyle name="Normal 25 2 3" xfId="1047"/>
    <cellStyle name="Normal 25 3" xfId="267"/>
    <cellStyle name="Normal 25 3 2" xfId="284"/>
    <cellStyle name="Normal 25 3 2 2" xfId="859"/>
    <cellStyle name="Normal 25 3 3" xfId="632"/>
    <cellStyle name="Normal 25 4" xfId="220"/>
    <cellStyle name="Normal 25 4 2" xfId="283"/>
    <cellStyle name="Normal 25 4 2 2" xfId="866"/>
    <cellStyle name="Normal 25 4 3" xfId="604"/>
    <cellStyle name="Normal 25 5" xfId="746"/>
    <cellStyle name="Normal 25 5 2" xfId="1026"/>
    <cellStyle name="Normal 25 5 2 2" xfId="508"/>
    <cellStyle name="Normal 25 5 3" xfId="802"/>
    <cellStyle name="Normal 25 6" xfId="218"/>
    <cellStyle name="Normal 25 6 2" xfId="760"/>
    <cellStyle name="Normal 25 7" xfId="618"/>
    <cellStyle name="Normal 26" xfId="154"/>
    <cellStyle name="Normal 26 2" xfId="199"/>
    <cellStyle name="Normal 26 2 2" xfId="217"/>
    <cellStyle name="Normal 26 2 2 2" xfId="759"/>
    <cellStyle name="Normal 26 2 3" xfId="852"/>
    <cellStyle name="Normal 26 3" xfId="244"/>
    <cellStyle name="Normal 26 3 2" xfId="261"/>
    <cellStyle name="Normal 26 3 2 2" xfId="640"/>
    <cellStyle name="Normal 26 3 3" xfId="605"/>
    <cellStyle name="Normal 26 4" xfId="243"/>
    <cellStyle name="Normal 26 4 2" xfId="305"/>
    <cellStyle name="Normal 26 4 2 2" xfId="779"/>
    <cellStyle name="Normal 26 4 3" xfId="631"/>
    <cellStyle name="Normal 26 5" xfId="942"/>
    <cellStyle name="Normal 26 5 2" xfId="831"/>
    <cellStyle name="Normal 26 5 2 2" xfId="907"/>
    <cellStyle name="Normal 26 5 3" xfId="555"/>
    <cellStyle name="Normal 26 6" xfId="195"/>
    <cellStyle name="Normal 26 6 2" xfId="316"/>
    <cellStyle name="Normal 26 7" xfId="502"/>
    <cellStyle name="Normal 27" xfId="132"/>
    <cellStyle name="Normal 27 2" xfId="176"/>
    <cellStyle name="Normal 27 2 2" xfId="194"/>
    <cellStyle name="Normal 27 2 2 2" xfId="315"/>
    <cellStyle name="Normal 27 2 3" xfId="633"/>
    <cellStyle name="Normal 27 3" xfId="221"/>
    <cellStyle name="Normal 27 3 2" xfId="238"/>
    <cellStyle name="Normal 27 3 2 2" xfId="972"/>
    <cellStyle name="Normal 27 3 3" xfId="581"/>
    <cellStyle name="Normal 27 4" xfId="266"/>
    <cellStyle name="Normal 27 4 2" xfId="520"/>
    <cellStyle name="Normal 27 4 2 2" xfId="998"/>
    <cellStyle name="Normal 27 4 3" xfId="850"/>
    <cellStyle name="Normal 27 5" xfId="965"/>
    <cellStyle name="Normal 27 5 2" xfId="699"/>
    <cellStyle name="Normal 27 5 2 2" xfId="574"/>
    <cellStyle name="Normal 27 5 3" xfId="1021"/>
    <cellStyle name="Normal 27 6" xfId="172"/>
    <cellStyle name="Normal 27 6 2" xfId="484"/>
    <cellStyle name="Normal 27 7" xfId="13"/>
    <cellStyle name="Normal 28" xfId="110"/>
    <cellStyle name="Normal 28 2" xfId="153"/>
    <cellStyle name="Normal 28 2 2" xfId="171"/>
    <cellStyle name="Normal 28 2 2 2" xfId="483"/>
    <cellStyle name="Normal 28 2 3" xfId="606"/>
    <cellStyle name="Normal 28 3" xfId="198"/>
    <cellStyle name="Normal 28 3 2" xfId="215"/>
    <cellStyle name="Normal 28 3 2 2" xfId="753"/>
    <cellStyle name="Normal 28 3 3" xfId="514"/>
    <cellStyle name="Normal 28 4" xfId="505"/>
    <cellStyle name="Normal 28 4 2" xfId="587"/>
    <cellStyle name="Normal 28 4 2 2" xfId="668"/>
    <cellStyle name="Normal 28 4 3" xfId="1045"/>
    <cellStyle name="Normal 28 5" xfId="817"/>
    <cellStyle name="Normal 28 5 2" xfId="562"/>
    <cellStyle name="Normal 28 5 2 2" xfId="530"/>
    <cellStyle name="Normal 28 5 3" xfId="733"/>
    <cellStyle name="Normal 28 6" xfId="150"/>
    <cellStyle name="Normal 28 6 2" xfId="460"/>
    <cellStyle name="Normal 28 7" xfId="12"/>
    <cellStyle name="Normal 28 8" xfId="732"/>
    <cellStyle name="Normal 29" xfId="88"/>
    <cellStyle name="Normal 29 2" xfId="131"/>
    <cellStyle name="Normal 29 2 2" xfId="149"/>
    <cellStyle name="Normal 29 2 2 2" xfId="459"/>
    <cellStyle name="Normal 29 2 3" xfId="582"/>
    <cellStyle name="Normal 29 3" xfId="175"/>
    <cellStyle name="Normal 29 3 2" xfId="192"/>
    <cellStyle name="Normal 29 3 2 2" xfId="307"/>
    <cellStyle name="Normal 29 3 3" xfId="277"/>
    <cellStyle name="Normal 29 4" xfId="570"/>
    <cellStyle name="Normal 29 4 2" xfId="611"/>
    <cellStyle name="Normal 29 4 2 2" xfId="887"/>
    <cellStyle name="Normal 29 4 3" xfId="825"/>
    <cellStyle name="Normal 29 5" xfId="814"/>
    <cellStyle name="Normal 29 5 2" xfId="918"/>
    <cellStyle name="Normal 29 5 2 2" xfId="598"/>
    <cellStyle name="Normal 29 5 3" xfId="692"/>
    <cellStyle name="Normal 29 6" xfId="128"/>
    <cellStyle name="Normal 29 6 2" xfId="436"/>
    <cellStyle name="Normal 29 7" xfId="11"/>
    <cellStyle name="Normal 29 8" xfId="589"/>
    <cellStyle name="Normal 3" xfId="291"/>
    <cellStyle name="Normal 3 2" xfId="756"/>
    <cellStyle name="Normal 3 2 2" xfId="773"/>
    <cellStyle name="Normal 3 2 2 2" xfId="204"/>
    <cellStyle name="Normal 3 2 3" xfId="1023"/>
    <cellStyle name="Normal 3 3" xfId="644"/>
    <cellStyle name="Normal 3 3 2" xfId="660"/>
    <cellStyle name="Normal 3 3 2 2" xfId="249"/>
    <cellStyle name="Normal 3 3 3" xfId="893"/>
    <cellStyle name="Normal 3 4" xfId="477"/>
    <cellStyle name="Normal 3 4 2" xfId="324"/>
    <cellStyle name="Normal 3 4 2 2" xfId="170"/>
    <cellStyle name="Normal 3 4 3" xfId="871"/>
    <cellStyle name="Normal 3 5" xfId="196"/>
    <cellStyle name="Normal 3 5 2" xfId="493"/>
    <cellStyle name="Normal 3 5 2 2" xfId="156"/>
    <cellStyle name="Normal 3 5 3" xfId="752"/>
    <cellStyle name="Normal 3 6" xfId="327"/>
    <cellStyle name="Normal 3 6 2" xfId="182"/>
    <cellStyle name="Normal 3 7" xfId="737"/>
    <cellStyle name="Normal 30" xfId="66"/>
    <cellStyle name="Normal 30 2" xfId="109"/>
    <cellStyle name="Normal 30 2 2" xfId="127"/>
    <cellStyle name="Normal 30 2 2 2" xfId="435"/>
    <cellStyle name="Normal 30 2 3" xfId="515"/>
    <cellStyle name="Normal 30 3" xfId="152"/>
    <cellStyle name="Normal 30 3 2" xfId="169"/>
    <cellStyle name="Normal 30 3 2 2" xfId="496"/>
    <cellStyle name="Normal 30 3 3" xfId="254"/>
    <cellStyle name="Normal 30 4" xfId="594"/>
    <cellStyle name="Normal 30 4 2" xfId="638"/>
    <cellStyle name="Normal 30 4 2 2" xfId="799"/>
    <cellStyle name="Normal 30 4 3" xfId="556"/>
    <cellStyle name="Normal 30 5" xfId="333"/>
    <cellStyle name="Normal 30 5 2" xfId="740"/>
    <cellStyle name="Normal 30 5 2 2" xfId="708"/>
    <cellStyle name="Normal 30 5 3" xfId="952"/>
    <cellStyle name="Normal 30 6" xfId="106"/>
    <cellStyle name="Normal 30 6 2" xfId="412"/>
    <cellStyle name="Normal 30 8" xfId="367"/>
    <cellStyle name="Normal 31" xfId="65"/>
    <cellStyle name="Normal 31 2" xfId="87"/>
    <cellStyle name="Normal 31 2 2" xfId="105"/>
    <cellStyle name="Normal 31 2 2 2" xfId="411"/>
    <cellStyle name="Normal 31 2 3" xfId="300"/>
    <cellStyle name="Normal 31 3" xfId="130"/>
    <cellStyle name="Normal 31 3 2" xfId="147"/>
    <cellStyle name="Normal 31 3 2 2" xfId="472"/>
    <cellStyle name="Normal 31 3 3" xfId="231"/>
    <cellStyle name="Normal 31 4" xfId="622"/>
    <cellStyle name="Normal 31 4 2" xfId="857"/>
    <cellStyle name="Normal 31 4 2 2" xfId="1018"/>
    <cellStyle name="Normal 31 4 3" xfId="734"/>
    <cellStyle name="Normal 31 5" xfId="1033"/>
    <cellStyle name="Normal 31 5 2" xfId="539"/>
    <cellStyle name="Normal 31 5 2 2" xfId="625"/>
    <cellStyle name="Normal 31 5 3" xfId="911"/>
    <cellStyle name="Normal 31 6" xfId="83"/>
    <cellStyle name="Normal 31 6 2" xfId="389"/>
    <cellStyle name="Normal 31 7" xfId="1075"/>
    <cellStyle name="Normal 32" xfId="44"/>
    <cellStyle name="Normal 32 2" xfId="64"/>
    <cellStyle name="Normal 32 2 2" xfId="81"/>
    <cellStyle name="Normal 32 2 2 2" xfId="388"/>
    <cellStyle name="Normal 32 2 3" xfId="278"/>
    <cellStyle name="Normal 32 3" xfId="108"/>
    <cellStyle name="Normal 32 3 2" xfId="125"/>
    <cellStyle name="Normal 32 3 2 2" xfId="448"/>
    <cellStyle name="Normal 32 3 3" xfId="208"/>
    <cellStyle name="Normal 32 4" xfId="841"/>
    <cellStyle name="Normal 32 4 2" xfId="1052"/>
    <cellStyle name="Normal 32 4 2 2" xfId="689"/>
    <cellStyle name="Normal 32 4 3" xfId="953"/>
    <cellStyle name="Normal 32 5" xfId="357"/>
    <cellStyle name="Normal 32 5 2" xfId="959"/>
    <cellStyle name="Normal 32 5 2 2" xfId="927"/>
    <cellStyle name="Normal 32 5 3" xfId="344"/>
    <cellStyle name="Normal 32 6" xfId="61"/>
    <cellStyle name="Normal 32 6 2" xfId="366"/>
    <cellStyle name="Normal 32 7" xfId="1074"/>
    <cellStyle name="Normal 33" xfId="23"/>
    <cellStyle name="Normal 33 2" xfId="43"/>
    <cellStyle name="Normal 33 2 2" xfId="59"/>
    <cellStyle name="Normal 33 2 2 2" xfId="365"/>
    <cellStyle name="Normal 33 2 3" xfId="255"/>
    <cellStyle name="Normal 33 3" xfId="86"/>
    <cellStyle name="Normal 33 3 2" xfId="103"/>
    <cellStyle name="Normal 33 3 2 2" xfId="424"/>
    <cellStyle name="Normal 33 3 3" xfId="185"/>
    <cellStyle name="Normal 33 4" xfId="1036"/>
    <cellStyle name="Normal 33 4 2" xfId="832"/>
    <cellStyle name="Normal 33 4 2 2" xfId="908"/>
    <cellStyle name="Normal 33 4 3" xfId="345"/>
    <cellStyle name="Normal 33 5" xfId="747"/>
    <cellStyle name="Normal 33 5 2" xfId="717"/>
    <cellStyle name="Normal 33 5 2 2" xfId="844"/>
    <cellStyle name="Normal 33 5 3" xfId="534"/>
    <cellStyle name="Normal 33 6" xfId="40"/>
    <cellStyle name="Normal 33 6 2" xfId="342"/>
    <cellStyle name="Normal 33 7" xfId="836"/>
    <cellStyle name="Normal 34" xfId="926"/>
    <cellStyle name="Normal 34 2" xfId="22"/>
    <cellStyle name="Normal 34 2 2" xfId="38"/>
    <cellStyle name="Normal 34 2 2 2" xfId="341"/>
    <cellStyle name="Normal 34 2 3" xfId="232"/>
    <cellStyle name="Normal 34 3" xfId="42"/>
    <cellStyle name="Normal 34 3 2" xfId="80"/>
    <cellStyle name="Normal 34 3 2 2" xfId="401"/>
    <cellStyle name="Normal 34 3 3" xfId="162"/>
    <cellStyle name="Normal 34 4" xfId="818"/>
    <cellStyle name="Normal 34 4 2" xfId="563"/>
    <cellStyle name="Normal 34 4 2 2" xfId="531"/>
    <cellStyle name="Normal 34 4 3" xfId="369"/>
    <cellStyle name="Normal 34 5" xfId="381"/>
    <cellStyle name="Normal 34 5 2" xfId="351"/>
    <cellStyle name="Normal 34 5 2 2" xfId="24"/>
    <cellStyle name="Normal 34 5 3" xfId="368"/>
    <cellStyle name="Normal 34 6" xfId="940"/>
    <cellStyle name="Normal 34 6 2" xfId="950"/>
    <cellStyle name="Normal 34 7" xfId="617"/>
    <cellStyle name="Normal 35" xfId="707"/>
    <cellStyle name="Normal 35 2" xfId="925"/>
    <cellStyle name="Normal 35 2 2" xfId="939"/>
    <cellStyle name="Normal 35 2 2 2" xfId="949"/>
    <cellStyle name="Normal 35 2 3" xfId="209"/>
    <cellStyle name="Normal 35 3" xfId="21"/>
    <cellStyle name="Normal 35 3 2" xfId="58"/>
    <cellStyle name="Normal 35 3 2 2" xfId="378"/>
    <cellStyle name="Normal 35 3 3" xfId="140"/>
    <cellStyle name="Normal 35 4" xfId="547"/>
    <cellStyle name="Normal 35 4 2" xfId="741"/>
    <cellStyle name="Normal 35 4 2 2" xfId="709"/>
    <cellStyle name="Normal 35 4 3" xfId="392"/>
    <cellStyle name="Normal 35 5" xfId="966"/>
    <cellStyle name="Normal 35 5 2" xfId="936"/>
    <cellStyle name="Normal 35 5 2 2" xfId="816"/>
    <cellStyle name="Normal 35 5 3" xfId="712"/>
    <cellStyle name="Normal 35 6" xfId="721"/>
    <cellStyle name="Normal 35 6 2" xfId="731"/>
    <cellStyle name="Normal 35 7" xfId="501"/>
    <cellStyle name="Normal 36" xfId="529"/>
    <cellStyle name="Normal 36 2" xfId="706"/>
    <cellStyle name="Normal 36 2 2" xfId="720"/>
    <cellStyle name="Normal 36 2 2 2" xfId="730"/>
    <cellStyle name="Normal 36 2 3" xfId="186"/>
    <cellStyle name="Normal 36 3" xfId="17"/>
    <cellStyle name="Normal 36 3 2" xfId="37"/>
    <cellStyle name="Normal 36 3 2 2" xfId="354"/>
    <cellStyle name="Normal 36 3 3" xfId="118"/>
    <cellStyle name="Normal 36 4" xfId="725"/>
    <cellStyle name="Normal 36 4 2" xfId="960"/>
    <cellStyle name="Normal 36 4 2 2" xfId="928"/>
    <cellStyle name="Normal 36 4 3" xfId="415"/>
    <cellStyle name="Normal 36 5" xfId="404"/>
    <cellStyle name="Normal 36 5 2" xfId="375"/>
    <cellStyle name="Normal 36 5 2 2" xfId="45"/>
    <cellStyle name="Normal 36 5 3" xfId="391"/>
    <cellStyle name="Normal 36 6" xfId="543"/>
    <cellStyle name="Normal 36 6 2" xfId="553"/>
    <cellStyle name="Normal 36 7" xfId="15"/>
    <cellStyle name="Normal 37" xfId="906"/>
    <cellStyle name="Normal 37 2" xfId="528"/>
    <cellStyle name="Normal 37 2 2" xfId="542"/>
    <cellStyle name="Normal 37 2 2 2" xfId="552"/>
    <cellStyle name="Normal 37 2 3" xfId="163"/>
    <cellStyle name="Normal 37 3" xfId="904"/>
    <cellStyle name="Normal 37 3 2" xfId="938"/>
    <cellStyle name="Normal 37 3 2 2" xfId="962"/>
    <cellStyle name="Normal 37 3 3" xfId="96"/>
    <cellStyle name="Normal 37 4" xfId="944"/>
    <cellStyle name="Normal 37 4 2" xfId="352"/>
    <cellStyle name="Normal 37 4 2 2" xfId="25"/>
    <cellStyle name="Normal 37 4 3" xfId="439"/>
    <cellStyle name="Normal 37 5" xfId="815"/>
    <cellStyle name="Normal 37 5 2" xfId="35"/>
    <cellStyle name="Normal 37 5 2 2" xfId="332"/>
    <cellStyle name="Normal 37 5 3" xfId="931"/>
    <cellStyle name="Normal 37 6" xfId="923"/>
    <cellStyle name="Normal 37 6 2" xfId="823"/>
    <cellStyle name="Normal 37 7" xfId="500"/>
    <cellStyle name="Normal 37 8" xfId="155"/>
    <cellStyle name="Normal 38" xfId="687"/>
    <cellStyle name="Normal 38 2" xfId="905"/>
    <cellStyle name="Normal 38 2 2" xfId="921"/>
    <cellStyle name="Normal 38 2 2 2" xfId="822"/>
    <cellStyle name="Normal 38 2 3" xfId="141"/>
    <cellStyle name="Normal 38 3" xfId="685"/>
    <cellStyle name="Normal 38 3 2" xfId="719"/>
    <cellStyle name="Normal 38 3 2 2" xfId="743"/>
    <cellStyle name="Normal 38 3 3" xfId="74"/>
    <cellStyle name="Normal 38 4" xfId="335"/>
    <cellStyle name="Normal 38 4 2" xfId="376"/>
    <cellStyle name="Normal 38 4 2 2" xfId="46"/>
    <cellStyle name="Normal 38 4 3" xfId="463"/>
    <cellStyle name="Normal 38 5" xfId="427"/>
    <cellStyle name="Normal 38 5 2" xfId="398"/>
    <cellStyle name="Normal 38 5 2 2" xfId="67"/>
    <cellStyle name="Normal 38 5 3" xfId="414"/>
    <cellStyle name="Normal 38 6" xfId="704"/>
    <cellStyle name="Normal 38 6 2" xfId="1042"/>
    <cellStyle name="Normal 38 7" xfId="14"/>
    <cellStyle name="Normal 39" xfId="1016"/>
    <cellStyle name="Normal 39 2" xfId="686"/>
    <cellStyle name="Normal 39 2 2" xfId="702"/>
    <cellStyle name="Normal 39 2 2 2" xfId="1041"/>
    <cellStyle name="Normal 39 2 3" xfId="119"/>
    <cellStyle name="Normal 39 3" xfId="524"/>
    <cellStyle name="Normal 39 3 2" xfId="541"/>
    <cellStyle name="Normal 39 3 2 2" xfId="565"/>
    <cellStyle name="Normal 39 3 3" xfId="73"/>
    <cellStyle name="Normal 39 4" xfId="359"/>
    <cellStyle name="Normal 39 4 2" xfId="399"/>
    <cellStyle name="Normal 39 4 2 2" xfId="68"/>
    <cellStyle name="Normal 39 4 3" xfId="487"/>
    <cellStyle name="Normal 39 5" xfId="1034"/>
    <cellStyle name="Normal 39 5 2" xfId="56"/>
    <cellStyle name="Normal 39 5 2 2" xfId="339"/>
    <cellStyle name="Normal 39 5 3" xfId="28"/>
    <cellStyle name="Normal 39 6" xfId="1030"/>
    <cellStyle name="Normal 39 6 2" xfId="847"/>
    <cellStyle name="Normal 39 7" xfId="1"/>
    <cellStyle name="Normal 4" xfId="480"/>
    <cellStyle name="Normal 4 2" xfId="312"/>
    <cellStyle name="Normal 4 2 2" xfId="326"/>
    <cellStyle name="Normal 4 2 2 2" xfId="181"/>
    <cellStyle name="Normal 4 2 3" xfId="804"/>
    <cellStyle name="Normal 4 3" xfId="974"/>
    <cellStyle name="Normal 4 3 2" xfId="990"/>
    <cellStyle name="Normal 4 3 2 2" xfId="226"/>
    <cellStyle name="Normal 4 3 3" xfId="674"/>
    <cellStyle name="Normal 4 4" xfId="9"/>
    <cellStyle name="Normal 4 4 2" xfId="770"/>
    <cellStyle name="Normal 4 4 2 2" xfId="193"/>
    <cellStyle name="Normal 4 4 3" xfId="784"/>
    <cellStyle name="Normal 4 5" xfId="428"/>
    <cellStyle name="Normal 4 5 2" xfId="167"/>
    <cellStyle name="Normal 4 5 2 2" xfId="457"/>
    <cellStyle name="Normal 4 5 3" xfId="138"/>
    <cellStyle name="Normal 4 6" xfId="498"/>
    <cellStyle name="Normal 4 6 2" xfId="159"/>
    <cellStyle name="Normal 4 7" xfId="559"/>
    <cellStyle name="Normal 40" xfId="797"/>
    <cellStyle name="Normal 40 2" xfId="1015"/>
    <cellStyle name="Normal 40 2 2" xfId="1029"/>
    <cellStyle name="Normal 40 2 2 2" xfId="846"/>
    <cellStyle name="Normal 40 2 3" xfId="97"/>
    <cellStyle name="Normal 40 3" xfId="883"/>
    <cellStyle name="Normal 40 3 2" xfId="920"/>
    <cellStyle name="Normal 40 3 2 2" xfId="1072"/>
    <cellStyle name="Normal 40 3 3" xfId="51"/>
    <cellStyle name="Normal 40 4" xfId="840"/>
    <cellStyle name="Normal 40 4 2" xfId="791"/>
    <cellStyle name="Normal 40 4 2 2" xfId="285"/>
    <cellStyle name="Normal 40 4 3" xfId="803"/>
    <cellStyle name="Normal 40 5" xfId="451"/>
    <cellStyle name="Normal 40 5 2" xfId="421"/>
    <cellStyle name="Normal 40 5 2 2" xfId="90"/>
    <cellStyle name="Normal 40 5 3" xfId="438"/>
    <cellStyle name="Normal 40 6" xfId="811"/>
    <cellStyle name="Normal 40 6 2" xfId="628"/>
    <cellStyle name="Normal 40 7" xfId="75"/>
    <cellStyle name="Normal 41" xfId="885"/>
    <cellStyle name="Normal 41 2" xfId="796"/>
    <cellStyle name="Normal 41 2 2" xfId="810"/>
    <cellStyle name="Normal 41 2 2 2" xfId="627"/>
    <cellStyle name="Normal 41 2 3" xfId="52"/>
    <cellStyle name="Normal 41 3" xfId="664"/>
    <cellStyle name="Normal 41 3 2" xfId="701"/>
    <cellStyle name="Normal 41 3 2 2" xfId="1068"/>
    <cellStyle name="Normal 41 3 3" xfId="30"/>
    <cellStyle name="Normal 41 4" xfId="382"/>
    <cellStyle name="Normal 41 4 2" xfId="422"/>
    <cellStyle name="Normal 41 4 2 2" xfId="82"/>
    <cellStyle name="Normal 41 4 3" xfId="318"/>
    <cellStyle name="Normal 41 5" xfId="748"/>
    <cellStyle name="Normal 41 5 2" xfId="78"/>
    <cellStyle name="Normal 41 5 2 2" xfId="363"/>
    <cellStyle name="Normal 41 5 3" xfId="49"/>
    <cellStyle name="Normal 41 6" xfId="902"/>
    <cellStyle name="Normal 41 6 2" xfId="601"/>
    <cellStyle name="Normal 41 7" xfId="53"/>
    <cellStyle name="Normal 42" xfId="666"/>
    <cellStyle name="Normal 42 2" xfId="884"/>
    <cellStyle name="Normal 42 2 2" xfId="900"/>
    <cellStyle name="Normal 42 2 2 2" xfId="600"/>
    <cellStyle name="Normal 42 2 3" xfId="31"/>
    <cellStyle name="Normal 42 3" xfId="994"/>
    <cellStyle name="Normal 42 3 2" xfId="1028"/>
    <cellStyle name="Normal 42 3 2 2" xfId="1064"/>
    <cellStyle name="Normal 42 3 3" xfId="932"/>
    <cellStyle name="Normal 42 4" xfId="405"/>
    <cellStyle name="Normal 42 4 2" xfId="446"/>
    <cellStyle name="Normal 42 4 2 2" xfId="104"/>
    <cellStyle name="Normal 42 4 3" xfId="763"/>
    <cellStyle name="Normal 42 5" xfId="475"/>
    <cellStyle name="Normal 42 5 2" xfId="445"/>
    <cellStyle name="Normal 42 5 2 2" xfId="112"/>
    <cellStyle name="Normal 42 5 3" xfId="462"/>
    <cellStyle name="Normal 42 6" xfId="683"/>
    <cellStyle name="Normal 42 6 2" xfId="577"/>
    <cellStyle name="Normal 42 7" xfId="32"/>
    <cellStyle name="Normal 43" xfId="996"/>
    <cellStyle name="Normal 43 2" xfId="665"/>
    <cellStyle name="Normal 43 2 2" xfId="681"/>
    <cellStyle name="Normal 43 2 2 2" xfId="576"/>
    <cellStyle name="Normal 43 2 3" xfId="19"/>
    <cellStyle name="Normal 43 3" xfId="775"/>
    <cellStyle name="Normal 43 3 2" xfId="809"/>
    <cellStyle name="Normal 43 3 2 2" xfId="1060"/>
    <cellStyle name="Normal 43 3 3" xfId="713"/>
    <cellStyle name="Normal 43 4" xfId="3"/>
    <cellStyle name="Normal 43 4 2" xfId="898"/>
    <cellStyle name="Normal 43 4 2 2" xfId="599"/>
    <cellStyle name="Normal 43 4 3" xfId="891"/>
    <cellStyle name="Normal 43 5" xfId="329"/>
    <cellStyle name="Normal 43 5 2" xfId="259"/>
    <cellStyle name="Normal 43 5 2 2" xfId="646"/>
    <cellStyle name="Normal 43 5 3" xfId="229"/>
    <cellStyle name="Normal 43 6" xfId="1013"/>
    <cellStyle name="Normal 43 6 2" xfId="511"/>
    <cellStyle name="Normal 43 7" xfId="933"/>
    <cellStyle name="Normal 44" xfId="777"/>
    <cellStyle name="Normal 44 2" xfId="995"/>
    <cellStyle name="Normal 44 2 2" xfId="1011"/>
    <cellStyle name="Normal 44 2 2 2" xfId="510"/>
    <cellStyle name="Normal 44 2 3" xfId="914"/>
    <cellStyle name="Normal 44 3" xfId="862"/>
    <cellStyle name="Normal 44 3 2" xfId="899"/>
    <cellStyle name="Normal 44 3 2 2" xfId="1054"/>
    <cellStyle name="Normal 44 3 3" xfId="535"/>
    <cellStyle name="Normal 44 4 2" xfId="679"/>
    <cellStyle name="Normal 44 4 2 2" xfId="575"/>
    <cellStyle name="Normal 44 4 3" xfId="672"/>
    <cellStyle name="Normal 44 5" xfId="310"/>
    <cellStyle name="Normal 44 5 2" xfId="877"/>
    <cellStyle name="Normal 44 5 2 2" xfId="271"/>
    <cellStyle name="Normal 44 5 3" xfId="981"/>
    <cellStyle name="Normal 44 6" xfId="794"/>
    <cellStyle name="Normal 44 6 2" xfId="295"/>
    <cellStyle name="Normal 44 7" xfId="714"/>
    <cellStyle name="Normal 45" xfId="882"/>
    <cellStyle name="Normal 45 2" xfId="643"/>
    <cellStyle name="Normal 45 3" xfId="1050"/>
    <cellStyle name="Normal 45 4" xfId="274"/>
    <cellStyle name="Normal 46" xfId="1007"/>
    <cellStyle name="Normal 47" xfId="766"/>
    <cellStyle name="Normal 47 2" xfId="569"/>
    <cellStyle name="Normal 48" xfId="806"/>
    <cellStyle name="Normal 49" xfId="935"/>
    <cellStyle name="Normal 5" xfId="456"/>
    <cellStyle name="Normal 5 2" xfId="479"/>
    <cellStyle name="Normal 5 2 2" xfId="497"/>
    <cellStyle name="Normal 5 2 2 2" xfId="158"/>
    <cellStyle name="Normal 5 2 3" xfId="894"/>
    <cellStyle name="Normal 5 3" xfId="755"/>
    <cellStyle name="Normal 5 3 2" xfId="771"/>
    <cellStyle name="Normal 5 3 2 2" xfId="203"/>
    <cellStyle name="Normal 5 3 3" xfId="1004"/>
    <cellStyle name="Normal 5 4" xfId="4"/>
    <cellStyle name="Normal 5 4 2" xfId="808"/>
    <cellStyle name="Normal 5 4 2 2" xfId="626"/>
    <cellStyle name="Normal 5 4 3" xfId="525"/>
    <cellStyle name="Normal 5 5" xfId="219"/>
    <cellStyle name="Normal 5 5 2" xfId="323"/>
    <cellStyle name="Normal 5 5 2 2" xfId="179"/>
    <cellStyle name="Normal 5 5 3" xfId="971"/>
    <cellStyle name="Normal 5 6" xfId="474"/>
    <cellStyle name="Normal 5 6 2" xfId="137"/>
    <cellStyle name="Normal 5 7" xfId="828"/>
    <cellStyle name="Normal 5 8" xfId="413"/>
    <cellStyle name="Normal 50" xfId="656"/>
    <cellStyle name="Normal 51" xfId="934"/>
    <cellStyle name="Normal 52" xfId="76"/>
    <cellStyle name="Normal 53" xfId="320"/>
    <cellStyle name="Normal 54" xfId="490"/>
    <cellStyle name="Normal 55" xfId="466"/>
    <cellStyle name="Normal 56" xfId="442"/>
    <cellStyle name="Normal 57" xfId="418"/>
    <cellStyle name="Normal 58" xfId="395"/>
    <cellStyle name="Normal 59" xfId="372"/>
    <cellStyle name="Normal 6" xfId="432"/>
    <cellStyle name="Normal 6 2" xfId="455"/>
    <cellStyle name="Normal 6 2 2" xfId="473"/>
    <cellStyle name="Normal 6 2 2 2" xfId="136"/>
    <cellStyle name="Normal 6 2 3" xfId="675"/>
    <cellStyle name="Normal 6 3" xfId="311"/>
    <cellStyle name="Normal 6 3 2" xfId="325"/>
    <cellStyle name="Normal 6 3 2 2" xfId="180"/>
    <cellStyle name="Normal 6 3 3" xfId="785"/>
    <cellStyle name="Normal 6 4" xfId="16"/>
    <cellStyle name="Normal 6 4 2" xfId="1027"/>
    <cellStyle name="Normal 6 4 2 2" xfId="845"/>
    <cellStyle name="Normal 6 4 3" xfId="693"/>
    <cellStyle name="Normal 6 5" xfId="452"/>
    <cellStyle name="Normal 6 5 2" xfId="190"/>
    <cellStyle name="Normal 6 5 2 2" xfId="313"/>
    <cellStyle name="Normal 6 5 3" xfId="160"/>
    <cellStyle name="Normal 6 6" xfId="450"/>
    <cellStyle name="Normal 6 6 2" xfId="115"/>
    <cellStyle name="Normal 6 7" xfId="1048"/>
    <cellStyle name="Normal 6 8" xfId="1002"/>
    <cellStyle name="Normal 7" xfId="408"/>
    <cellStyle name="Normal 7 2" xfId="431"/>
    <cellStyle name="Normal 7 2 2" xfId="449"/>
    <cellStyle name="Normal 7 2 2 2" xfId="114"/>
    <cellStyle name="Normal 7 2 3" xfId="1005"/>
    <cellStyle name="Normal 7 3" xfId="478"/>
    <cellStyle name="Normal 7 3 2" xfId="495"/>
    <cellStyle name="Normal 7 3 2 2" xfId="157"/>
    <cellStyle name="Normal 7 3 3" xfId="872"/>
    <cellStyle name="Normal 7 4" xfId="504"/>
    <cellStyle name="Normal 7 4 2" xfId="700"/>
    <cellStyle name="Normal 7 4 2 2" xfId="1040"/>
    <cellStyle name="Normal 7 4 3" xfId="912"/>
    <cellStyle name="Normal 7 5" xfId="242"/>
    <cellStyle name="Normal 7 5 2" xfId="769"/>
    <cellStyle name="Normal 7 5 2 2" xfId="202"/>
    <cellStyle name="Normal 7 5 3" xfId="630"/>
    <cellStyle name="Normal 7 6" xfId="426"/>
    <cellStyle name="Normal 7 6 2" xfId="93"/>
    <cellStyle name="Normal 7 7" xfId="853"/>
    <cellStyle name="Normal 8" xfId="385"/>
    <cellStyle name="Normal 8 2" xfId="407"/>
    <cellStyle name="Normal 8 2 2" xfId="425"/>
    <cellStyle name="Normal 8 2 2 2" xfId="92"/>
    <cellStyle name="Normal 8 2 3" xfId="786"/>
    <cellStyle name="Normal 8 3" xfId="454"/>
    <cellStyle name="Normal 8 3 2" xfId="471"/>
    <cellStyle name="Normal 8 3 2 2" xfId="135"/>
    <cellStyle name="Normal 8 3 3" xfId="653"/>
    <cellStyle name="Normal 8 4" xfId="620"/>
    <cellStyle name="Normal 8 4 2" xfId="919"/>
    <cellStyle name="Normal 8 4 2 2" xfId="821"/>
    <cellStyle name="Normal 8 4 3" xfId="18"/>
    <cellStyle name="Normal 8 5" xfId="476"/>
    <cellStyle name="Normal 8 5 2" xfId="213"/>
    <cellStyle name="Normal 8 5 2 2" xfId="757"/>
    <cellStyle name="Normal 8 5 3" xfId="183"/>
    <cellStyle name="Normal 8 6" xfId="403"/>
    <cellStyle name="Normal 8 6 2" xfId="70"/>
    <cellStyle name="Normal 8 7" xfId="634"/>
    <cellStyle name="Normal 9" xfId="362"/>
    <cellStyle name="Normal 9 2" xfId="384"/>
    <cellStyle name="Normal 9 2 2" xfId="402"/>
    <cellStyle name="Normal 9 2 2 2" xfId="69"/>
    <cellStyle name="Normal 9 2 3" xfId="873"/>
    <cellStyle name="Normal 9 3" xfId="430"/>
    <cellStyle name="Normal 9 3 2" xfId="447"/>
    <cellStyle name="Normal 9 3 2 2" xfId="113"/>
    <cellStyle name="Normal 9 3 3" xfId="983"/>
    <cellStyle name="Normal 9 4" xfId="839"/>
    <cellStyle name="Normal 9 4 2" xfId="540"/>
    <cellStyle name="Normal 9 4 2 2" xfId="551"/>
    <cellStyle name="Normal 9 4 3" xfId="29"/>
    <cellStyle name="Normal 9 5" xfId="265"/>
    <cellStyle name="Normal 9 5 2" xfId="988"/>
    <cellStyle name="Normal 9 5 2 2" xfId="225"/>
    <cellStyle name="Normal 9 5 3" xfId="849"/>
    <cellStyle name="Normal 9 6" xfId="380"/>
    <cellStyle name="Normal 9 6 2" xfId="48"/>
    <cellStyle name="Normal 9 7" xfId="607"/>
    <cellStyle name="Normal 9 8" xfId="9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2:AD1231"/>
  <sheetViews>
    <sheetView tabSelected="1" zoomScale="85" zoomScaleNormal="85" workbookViewId="0">
      <pane ySplit="4" topLeftCell="A5" activePane="bottomLeft" state="frozen"/>
      <selection activeCell="P252" sqref="P252"/>
      <selection pane="bottomLeft" activeCell="J741" sqref="J741"/>
    </sheetView>
  </sheetViews>
  <sheetFormatPr defaultRowHeight="14.4"/>
  <cols>
    <col min="1" max="1" width="8" customWidth="1"/>
    <col min="2" max="2" width="8.6640625" style="7" customWidth="1"/>
    <col min="3" max="3" width="15.109375" customWidth="1"/>
    <col min="4" max="4" width="10.109375" customWidth="1"/>
    <col min="5" max="5" width="9" style="7" bestFit="1" customWidth="1"/>
    <col min="6" max="6" width="6.88671875" customWidth="1"/>
    <col min="7" max="7" width="12.6640625" customWidth="1"/>
    <col min="8" max="8" width="6.33203125" customWidth="1"/>
    <col min="9" max="9" width="12.88671875" customWidth="1"/>
    <col min="10" max="10" width="10.6640625" customWidth="1"/>
    <col min="11" max="11" width="10.33203125" customWidth="1"/>
    <col min="12" max="12" width="9.109375" customWidth="1"/>
    <col min="13" max="13" width="9.44140625" customWidth="1"/>
    <col min="14" max="14" width="11.109375" customWidth="1"/>
    <col min="15" max="15" width="9.88671875" customWidth="1"/>
    <col min="16" max="16" width="8.88671875" customWidth="1"/>
    <col min="17" max="18" width="9.109375" customWidth="1"/>
    <col min="19" max="19" width="8.6640625" customWidth="1"/>
    <col min="20" max="20" width="9.33203125" customWidth="1"/>
    <col min="21" max="21" width="8.88671875" customWidth="1"/>
    <col min="22" max="22" width="13.6640625" customWidth="1"/>
    <col min="23" max="23" width="15.109375" customWidth="1"/>
    <col min="24" max="24" width="10.109375" style="7" customWidth="1"/>
    <col min="27" max="28" width="9.109375" style="7"/>
  </cols>
  <sheetData>
    <row r="2" spans="1:30" s="1" customFormat="1">
      <c r="A2" s="237" t="s">
        <v>24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"/>
      <c r="N2" s="2"/>
      <c r="O2" s="2"/>
      <c r="P2" s="2"/>
      <c r="Q2" s="2"/>
      <c r="R2" s="2"/>
      <c r="S2" s="2"/>
      <c r="T2" s="2" t="s">
        <v>332</v>
      </c>
      <c r="U2" s="2"/>
      <c r="V2" s="2"/>
      <c r="W2" s="2"/>
      <c r="X2" s="6"/>
      <c r="Y2" s="2"/>
      <c r="Z2" s="2"/>
      <c r="AA2" s="6"/>
      <c r="AB2" s="6"/>
      <c r="AC2" s="2"/>
      <c r="AD2" s="2" t="s">
        <v>768</v>
      </c>
    </row>
    <row r="3" spans="1:30" s="1" customFormat="1">
      <c r="A3" s="237" t="s">
        <v>1534</v>
      </c>
      <c r="B3" s="237"/>
      <c r="C3" s="237"/>
      <c r="D3" s="237"/>
      <c r="E3" s="237"/>
      <c r="F3" s="237"/>
      <c r="G3" s="237"/>
      <c r="H3" s="2"/>
      <c r="I3" s="2"/>
      <c r="J3" s="33">
        <f>SUBTOTAL(9,J5:J1231)</f>
        <v>2455.4638679999989</v>
      </c>
      <c r="K3" s="33">
        <f t="shared" ref="K3:T3" si="0">SUBTOTAL(9,K5:K1231)</f>
        <v>760.27599999999995</v>
      </c>
      <c r="L3" s="33">
        <f t="shared" si="0"/>
        <v>1695.3206870000001</v>
      </c>
      <c r="M3" s="33">
        <f>SUBTOTAL(9,M5:M1231)</f>
        <v>315.21533099999988</v>
      </c>
      <c r="N3" s="33">
        <f t="shared" si="0"/>
        <v>0.53556000000000004</v>
      </c>
      <c r="O3" s="33">
        <f t="shared" si="0"/>
        <v>2.8041999999999998</v>
      </c>
      <c r="P3" s="33">
        <f t="shared" si="0"/>
        <v>289.60011599999996</v>
      </c>
      <c r="Q3" s="33">
        <f t="shared" si="0"/>
        <v>0</v>
      </c>
      <c r="R3" s="33">
        <f t="shared" si="0"/>
        <v>18.179774999999996</v>
      </c>
      <c r="S3" s="33">
        <f t="shared" si="0"/>
        <v>0</v>
      </c>
      <c r="T3" s="33">
        <f t="shared" si="0"/>
        <v>4.0956799999999998</v>
      </c>
      <c r="U3" s="33">
        <f>SUBTOTAL(9,U5:U1231)</f>
        <v>1380.105356</v>
      </c>
      <c r="V3" s="2"/>
      <c r="W3" s="2"/>
      <c r="X3" s="6"/>
      <c r="Y3" s="2"/>
      <c r="Z3" s="2"/>
      <c r="AA3" s="6"/>
      <c r="AB3" s="6"/>
      <c r="AC3" s="2"/>
      <c r="AD3" s="2"/>
    </row>
    <row r="4" spans="1:30" s="1" customFormat="1" ht="40.5" customHeight="1">
      <c r="A4" s="20" t="s">
        <v>25</v>
      </c>
      <c r="B4" s="38" t="s">
        <v>26</v>
      </c>
      <c r="C4" s="20" t="s">
        <v>27</v>
      </c>
      <c r="D4" s="20" t="s">
        <v>28</v>
      </c>
      <c r="E4" s="38" t="s">
        <v>11</v>
      </c>
      <c r="F4" s="20" t="s">
        <v>29</v>
      </c>
      <c r="G4" s="20" t="s">
        <v>30</v>
      </c>
      <c r="H4" s="20" t="s">
        <v>31</v>
      </c>
      <c r="I4" s="20" t="s">
        <v>32</v>
      </c>
      <c r="J4" s="20" t="s">
        <v>33</v>
      </c>
      <c r="K4" s="20" t="s">
        <v>34</v>
      </c>
      <c r="L4" s="20" t="s">
        <v>35</v>
      </c>
      <c r="M4" s="20" t="s">
        <v>36</v>
      </c>
      <c r="N4" s="20" t="s">
        <v>882</v>
      </c>
      <c r="O4" s="20" t="s">
        <v>522</v>
      </c>
      <c r="P4" s="20" t="s">
        <v>37</v>
      </c>
      <c r="Q4" s="20" t="s">
        <v>38</v>
      </c>
      <c r="R4" s="20" t="s">
        <v>978</v>
      </c>
      <c r="S4" s="20" t="s">
        <v>979</v>
      </c>
      <c r="T4" s="20" t="s">
        <v>39</v>
      </c>
      <c r="U4" s="20" t="s">
        <v>40</v>
      </c>
      <c r="V4" s="20" t="s">
        <v>12</v>
      </c>
      <c r="W4" s="20" t="s">
        <v>41</v>
      </c>
      <c r="X4" s="38" t="s">
        <v>218</v>
      </c>
      <c r="Y4" s="20" t="s">
        <v>280</v>
      </c>
      <c r="Z4" s="20" t="s">
        <v>281</v>
      </c>
      <c r="AA4" s="38" t="s">
        <v>282</v>
      </c>
      <c r="AB4" s="38" t="s">
        <v>283</v>
      </c>
      <c r="AC4" s="20" t="s">
        <v>284</v>
      </c>
      <c r="AD4" s="20" t="s">
        <v>1</v>
      </c>
    </row>
    <row r="5" spans="1:30" hidden="1">
      <c r="A5" s="4">
        <v>2141</v>
      </c>
      <c r="B5" s="8">
        <v>44602</v>
      </c>
      <c r="C5" s="4"/>
      <c r="D5" s="4" t="s">
        <v>42</v>
      </c>
      <c r="E5" s="8">
        <v>44627</v>
      </c>
      <c r="F5" s="4" t="s">
        <v>43</v>
      </c>
      <c r="G5" s="16" t="s">
        <v>44</v>
      </c>
      <c r="H5" s="4" t="s">
        <v>45</v>
      </c>
      <c r="I5" s="4" t="s">
        <v>400</v>
      </c>
      <c r="J5" s="10">
        <v>1.8408</v>
      </c>
      <c r="K5" s="10">
        <v>1.841</v>
      </c>
      <c r="L5" s="10">
        <v>0</v>
      </c>
      <c r="M5" s="10">
        <v>0</v>
      </c>
      <c r="N5" s="10"/>
      <c r="O5" s="10"/>
      <c r="P5" s="10"/>
      <c r="Q5" s="10"/>
      <c r="R5" s="10"/>
      <c r="S5" s="10"/>
      <c r="T5" s="10"/>
      <c r="U5" s="10"/>
      <c r="V5" s="4" t="s">
        <v>401</v>
      </c>
      <c r="W5" s="4"/>
      <c r="X5" s="8">
        <v>44624</v>
      </c>
      <c r="Y5" s="4"/>
      <c r="Z5" s="4"/>
      <c r="AA5" s="8"/>
      <c r="AB5" s="8"/>
      <c r="AC5" s="4"/>
      <c r="AD5" s="4"/>
    </row>
    <row r="6" spans="1:30" hidden="1">
      <c r="A6" s="4">
        <v>2143</v>
      </c>
      <c r="B6" s="8">
        <v>44602</v>
      </c>
      <c r="C6" s="4" t="s">
        <v>402</v>
      </c>
      <c r="D6" s="4" t="s">
        <v>42</v>
      </c>
      <c r="E6" s="8">
        <v>44627</v>
      </c>
      <c r="F6" s="4" t="s">
        <v>43</v>
      </c>
      <c r="G6" s="39" t="s">
        <v>186</v>
      </c>
      <c r="H6" s="4" t="s">
        <v>45</v>
      </c>
      <c r="I6" s="4" t="s">
        <v>403</v>
      </c>
      <c r="J6" s="10">
        <v>20.210500000000003</v>
      </c>
      <c r="K6" s="10">
        <v>20.315999999999999</v>
      </c>
      <c r="L6" s="10">
        <v>0</v>
      </c>
      <c r="M6" s="10">
        <v>0</v>
      </c>
      <c r="N6" s="10"/>
      <c r="O6" s="10"/>
      <c r="P6" s="10"/>
      <c r="Q6" s="10"/>
      <c r="R6" s="10"/>
      <c r="S6" s="10"/>
      <c r="T6" s="10"/>
      <c r="U6" s="10"/>
      <c r="V6" s="4" t="s">
        <v>404</v>
      </c>
      <c r="W6" s="4"/>
      <c r="X6" s="8"/>
      <c r="Y6" s="4"/>
      <c r="Z6" s="4"/>
      <c r="AA6" s="8"/>
      <c r="AB6" s="8"/>
      <c r="AC6" s="4"/>
      <c r="AD6" s="4"/>
    </row>
    <row r="7" spans="1:30" hidden="1">
      <c r="A7" s="4">
        <v>2143</v>
      </c>
      <c r="B7" s="8">
        <v>44602</v>
      </c>
      <c r="C7" s="4" t="s">
        <v>402</v>
      </c>
      <c r="D7" s="4" t="s">
        <v>42</v>
      </c>
      <c r="E7" s="8">
        <v>44627</v>
      </c>
      <c r="F7" s="4" t="s">
        <v>43</v>
      </c>
      <c r="G7" s="39" t="s">
        <v>186</v>
      </c>
      <c r="H7" s="4" t="s">
        <v>45</v>
      </c>
      <c r="I7" s="4" t="s">
        <v>405</v>
      </c>
      <c r="J7" s="10">
        <v>16.47504</v>
      </c>
      <c r="K7" s="10">
        <v>16.541</v>
      </c>
      <c r="L7" s="10">
        <v>0</v>
      </c>
      <c r="M7" s="10">
        <v>0</v>
      </c>
      <c r="N7" s="10"/>
      <c r="O7" s="10"/>
      <c r="P7" s="10"/>
      <c r="Q7" s="10"/>
      <c r="R7" s="10"/>
      <c r="S7" s="10"/>
      <c r="T7" s="10"/>
      <c r="U7" s="10"/>
      <c r="V7" s="4" t="s">
        <v>404</v>
      </c>
      <c r="W7" s="4"/>
      <c r="X7" s="8">
        <v>44630</v>
      </c>
      <c r="Y7" s="4"/>
      <c r="Z7" s="4"/>
      <c r="AA7" s="8"/>
      <c r="AB7" s="8"/>
      <c r="AC7" s="4"/>
      <c r="AD7" s="4"/>
    </row>
    <row r="8" spans="1:30" hidden="1">
      <c r="A8" s="4">
        <v>2143</v>
      </c>
      <c r="B8" s="8">
        <v>44602</v>
      </c>
      <c r="C8" s="4" t="s">
        <v>402</v>
      </c>
      <c r="D8" s="4" t="s">
        <v>42</v>
      </c>
      <c r="E8" s="8">
        <v>44627</v>
      </c>
      <c r="F8" s="4" t="s">
        <v>43</v>
      </c>
      <c r="G8" s="39" t="s">
        <v>186</v>
      </c>
      <c r="H8" s="4" t="s">
        <v>45</v>
      </c>
      <c r="I8" s="4" t="s">
        <v>400</v>
      </c>
      <c r="J8" s="10">
        <v>16.964860000000002</v>
      </c>
      <c r="K8" s="10">
        <v>17.004999999999999</v>
      </c>
      <c r="L8" s="10">
        <v>0</v>
      </c>
      <c r="M8" s="10">
        <v>0</v>
      </c>
      <c r="N8" s="10"/>
      <c r="O8" s="10"/>
      <c r="P8" s="10"/>
      <c r="Q8" s="10"/>
      <c r="R8" s="10"/>
      <c r="S8" s="10"/>
      <c r="T8" s="10"/>
      <c r="U8" s="10"/>
      <c r="V8" s="4" t="s">
        <v>404</v>
      </c>
      <c r="W8" s="4"/>
      <c r="X8" s="8">
        <v>44630</v>
      </c>
      <c r="Y8" s="4"/>
      <c r="Z8" s="4"/>
      <c r="AA8" s="8"/>
      <c r="AB8" s="8">
        <v>44641</v>
      </c>
      <c r="AC8" s="4"/>
      <c r="AD8" s="4"/>
    </row>
    <row r="9" spans="1:30" hidden="1">
      <c r="A9" s="4">
        <v>2143</v>
      </c>
      <c r="B9" s="8">
        <v>44602</v>
      </c>
      <c r="C9" s="4" t="s">
        <v>402</v>
      </c>
      <c r="D9" s="4" t="s">
        <v>42</v>
      </c>
      <c r="E9" s="8">
        <v>44627</v>
      </c>
      <c r="F9" s="4" t="s">
        <v>43</v>
      </c>
      <c r="G9" s="39" t="s">
        <v>186</v>
      </c>
      <c r="H9" s="4" t="s">
        <v>45</v>
      </c>
      <c r="I9" s="4" t="s">
        <v>46</v>
      </c>
      <c r="J9" s="10">
        <v>33.89396</v>
      </c>
      <c r="K9" s="10">
        <v>33.613999999999997</v>
      </c>
      <c r="L9" s="10">
        <v>0</v>
      </c>
      <c r="M9" s="10">
        <v>0</v>
      </c>
      <c r="N9" s="10"/>
      <c r="O9" s="10"/>
      <c r="P9" s="10"/>
      <c r="Q9" s="10"/>
      <c r="R9" s="10"/>
      <c r="S9" s="10"/>
      <c r="T9" s="10"/>
      <c r="U9" s="10"/>
      <c r="V9" s="4" t="s">
        <v>404</v>
      </c>
      <c r="W9" s="4"/>
      <c r="X9" s="8"/>
      <c r="Y9" s="4"/>
      <c r="Z9" s="4"/>
      <c r="AA9" s="8">
        <v>44637</v>
      </c>
      <c r="AB9" s="8"/>
      <c r="AC9" s="4"/>
      <c r="AD9" s="4"/>
    </row>
    <row r="10" spans="1:30" hidden="1">
      <c r="A10" s="4">
        <v>2143</v>
      </c>
      <c r="B10" s="8">
        <v>44602</v>
      </c>
      <c r="C10" s="4" t="s">
        <v>402</v>
      </c>
      <c r="D10" s="4" t="s">
        <v>42</v>
      </c>
      <c r="E10" s="8">
        <v>44627</v>
      </c>
      <c r="F10" s="4" t="s">
        <v>43</v>
      </c>
      <c r="G10" s="39" t="s">
        <v>186</v>
      </c>
      <c r="H10" s="4" t="s">
        <v>45</v>
      </c>
      <c r="I10" s="4" t="s">
        <v>406</v>
      </c>
      <c r="J10" s="10">
        <v>35.031000000000006</v>
      </c>
      <c r="K10" s="10">
        <v>35.488999999999997</v>
      </c>
      <c r="L10" s="10">
        <v>0</v>
      </c>
      <c r="M10" s="10">
        <v>0</v>
      </c>
      <c r="N10" s="10"/>
      <c r="O10" s="10"/>
      <c r="P10" s="10"/>
      <c r="Q10" s="10"/>
      <c r="R10" s="10"/>
      <c r="S10" s="10"/>
      <c r="T10" s="10"/>
      <c r="U10" s="10"/>
      <c r="V10" s="4" t="s">
        <v>404</v>
      </c>
      <c r="W10" s="4"/>
      <c r="X10" s="8"/>
      <c r="Y10" s="4"/>
      <c r="Z10" s="4"/>
      <c r="AA10" s="8">
        <v>44640</v>
      </c>
      <c r="AB10" s="8"/>
      <c r="AC10" s="4"/>
      <c r="AD10" s="4"/>
    </row>
    <row r="11" spans="1:30" hidden="1">
      <c r="A11" s="4">
        <v>2143</v>
      </c>
      <c r="B11" s="8">
        <v>44602</v>
      </c>
      <c r="C11" s="4" t="s">
        <v>402</v>
      </c>
      <c r="D11" s="4" t="s">
        <v>42</v>
      </c>
      <c r="E11" s="8">
        <v>44627</v>
      </c>
      <c r="F11" s="4" t="s">
        <v>43</v>
      </c>
      <c r="G11" s="39" t="s">
        <v>186</v>
      </c>
      <c r="H11" s="4" t="s">
        <v>45</v>
      </c>
      <c r="I11" s="4" t="s">
        <v>407</v>
      </c>
      <c r="J11" s="10">
        <v>37.28736</v>
      </c>
      <c r="K11" s="10">
        <v>37.494</v>
      </c>
      <c r="L11" s="10">
        <v>0</v>
      </c>
      <c r="M11" s="10">
        <v>0</v>
      </c>
      <c r="N11" s="10"/>
      <c r="O11" s="10"/>
      <c r="P11" s="10"/>
      <c r="Q11" s="10"/>
      <c r="R11" s="10"/>
      <c r="S11" s="10"/>
      <c r="T11" s="10"/>
      <c r="U11" s="10"/>
      <c r="V11" s="4" t="s">
        <v>404</v>
      </c>
      <c r="W11" s="4"/>
      <c r="X11" s="8"/>
      <c r="Y11" s="4"/>
      <c r="Z11" s="4"/>
      <c r="AA11" s="8"/>
      <c r="AB11" s="8">
        <v>44648</v>
      </c>
      <c r="AC11" s="4"/>
      <c r="AD11" s="4"/>
    </row>
    <row r="12" spans="1:30" hidden="1">
      <c r="A12" s="4">
        <v>2143</v>
      </c>
      <c r="B12" s="8">
        <v>44602</v>
      </c>
      <c r="C12" s="4" t="s">
        <v>402</v>
      </c>
      <c r="D12" s="4" t="s">
        <v>42</v>
      </c>
      <c r="E12" s="8">
        <v>44627</v>
      </c>
      <c r="F12" s="4" t="s">
        <v>43</v>
      </c>
      <c r="G12" s="39" t="s">
        <v>186</v>
      </c>
      <c r="H12" s="4" t="s">
        <v>45</v>
      </c>
      <c r="I12" s="4" t="s">
        <v>408</v>
      </c>
      <c r="J12" s="10">
        <v>104.81317</v>
      </c>
      <c r="K12" s="10">
        <v>104.18400000000001</v>
      </c>
      <c r="L12" s="10">
        <v>0</v>
      </c>
      <c r="M12" s="10">
        <v>0</v>
      </c>
      <c r="N12" s="10"/>
      <c r="O12" s="10"/>
      <c r="P12" s="10"/>
      <c r="Q12" s="10"/>
      <c r="R12" s="10"/>
      <c r="S12" s="10"/>
      <c r="T12" s="10"/>
      <c r="U12" s="10"/>
      <c r="V12" s="4" t="s">
        <v>404</v>
      </c>
      <c r="W12" s="4"/>
      <c r="X12" s="8">
        <v>44641</v>
      </c>
      <c r="Y12" s="4"/>
      <c r="Z12" s="4"/>
      <c r="AA12" s="8">
        <v>44641</v>
      </c>
      <c r="AB12" s="8"/>
      <c r="AC12" s="4"/>
      <c r="AD12" s="4"/>
    </row>
    <row r="13" spans="1:30" hidden="1">
      <c r="A13" s="4">
        <v>2143</v>
      </c>
      <c r="B13" s="8">
        <v>44602</v>
      </c>
      <c r="C13" s="4" t="s">
        <v>402</v>
      </c>
      <c r="D13" s="4" t="s">
        <v>42</v>
      </c>
      <c r="E13" s="8">
        <v>44627</v>
      </c>
      <c r="F13" s="4" t="s">
        <v>43</v>
      </c>
      <c r="G13" s="39" t="s">
        <v>186</v>
      </c>
      <c r="H13" s="4" t="s">
        <v>45</v>
      </c>
      <c r="I13" s="4" t="s">
        <v>409</v>
      </c>
      <c r="J13" s="10">
        <v>3.3559200000000002</v>
      </c>
      <c r="K13" s="10">
        <v>4.1150000000000002</v>
      </c>
      <c r="L13" s="10">
        <v>0</v>
      </c>
      <c r="M13" s="10">
        <v>0</v>
      </c>
      <c r="N13" s="10"/>
      <c r="O13" s="10"/>
      <c r="P13" s="10"/>
      <c r="Q13" s="10"/>
      <c r="R13" s="10"/>
      <c r="S13" s="10"/>
      <c r="T13" s="10"/>
      <c r="U13" s="10"/>
      <c r="V13" s="4" t="s">
        <v>404</v>
      </c>
      <c r="W13" s="4"/>
      <c r="X13" s="8"/>
      <c r="Y13" s="4"/>
      <c r="Z13" s="4"/>
      <c r="AA13" s="8"/>
      <c r="AB13" s="8"/>
      <c r="AC13" s="4"/>
      <c r="AD13" s="4"/>
    </row>
    <row r="14" spans="1:30" hidden="1">
      <c r="A14" s="4">
        <v>2143</v>
      </c>
      <c r="B14" s="8">
        <v>44602</v>
      </c>
      <c r="C14" s="4" t="s">
        <v>402</v>
      </c>
      <c r="D14" s="4" t="s">
        <v>42</v>
      </c>
      <c r="E14" s="8">
        <v>44627</v>
      </c>
      <c r="F14" s="4" t="s">
        <v>43</v>
      </c>
      <c r="G14" s="39" t="s">
        <v>186</v>
      </c>
      <c r="H14" s="4" t="s">
        <v>45</v>
      </c>
      <c r="I14" s="4" t="s">
        <v>410</v>
      </c>
      <c r="J14" s="10">
        <v>4.6976000000000004</v>
      </c>
      <c r="K14" s="10">
        <v>4.8609999999999998</v>
      </c>
      <c r="L14" s="10">
        <v>0</v>
      </c>
      <c r="M14" s="10">
        <v>0</v>
      </c>
      <c r="N14" s="10"/>
      <c r="O14" s="10"/>
      <c r="P14" s="10"/>
      <c r="Q14" s="10"/>
      <c r="R14" s="10"/>
      <c r="S14" s="10"/>
      <c r="T14" s="10"/>
      <c r="U14" s="10"/>
      <c r="V14" s="4" t="s">
        <v>404</v>
      </c>
      <c r="W14" s="4"/>
      <c r="X14" s="8"/>
      <c r="Y14" s="4"/>
      <c r="Z14" s="4"/>
      <c r="AA14" s="8"/>
      <c r="AB14" s="8">
        <v>44648</v>
      </c>
      <c r="AC14" s="4"/>
      <c r="AD14" s="4"/>
    </row>
    <row r="15" spans="1:30" hidden="1">
      <c r="A15" s="4">
        <v>2143</v>
      </c>
      <c r="B15" s="8">
        <v>44602</v>
      </c>
      <c r="C15" s="4" t="s">
        <v>402</v>
      </c>
      <c r="D15" s="4" t="s">
        <v>42</v>
      </c>
      <c r="E15" s="8">
        <v>44627</v>
      </c>
      <c r="F15" s="4" t="s">
        <v>43</v>
      </c>
      <c r="G15" s="39" t="s">
        <v>186</v>
      </c>
      <c r="H15" s="4" t="s">
        <v>45</v>
      </c>
      <c r="I15" s="4" t="s">
        <v>47</v>
      </c>
      <c r="J15" s="10">
        <v>13.233469999999999</v>
      </c>
      <c r="K15" s="10">
        <v>13.215</v>
      </c>
      <c r="L15" s="10">
        <v>0</v>
      </c>
      <c r="M15" s="10">
        <v>0</v>
      </c>
      <c r="N15" s="10"/>
      <c r="O15" s="10"/>
      <c r="P15" s="10"/>
      <c r="Q15" s="10"/>
      <c r="R15" s="10"/>
      <c r="S15" s="10"/>
      <c r="T15" s="10"/>
      <c r="U15" s="10"/>
      <c r="V15" s="4" t="s">
        <v>404</v>
      </c>
      <c r="W15" s="4"/>
      <c r="X15" s="8"/>
      <c r="Y15" s="4"/>
      <c r="Z15" s="4"/>
      <c r="AA15" s="8"/>
      <c r="AB15" s="8"/>
      <c r="AC15" s="4"/>
      <c r="AD15" s="4"/>
    </row>
    <row r="16" spans="1:30" hidden="1">
      <c r="A16" s="4">
        <v>2145</v>
      </c>
      <c r="B16" s="8">
        <v>44602</v>
      </c>
      <c r="C16" s="4" t="s">
        <v>402</v>
      </c>
      <c r="D16" s="4" t="s">
        <v>42</v>
      </c>
      <c r="E16" s="8">
        <v>44627</v>
      </c>
      <c r="F16" s="4" t="s">
        <v>43</v>
      </c>
      <c r="G16" s="39" t="s">
        <v>186</v>
      </c>
      <c r="H16" s="4" t="s">
        <v>45</v>
      </c>
      <c r="I16" s="4" t="s">
        <v>46</v>
      </c>
      <c r="J16" s="10">
        <v>71.241100000000017</v>
      </c>
      <c r="K16" s="10">
        <v>71.475000000000009</v>
      </c>
      <c r="L16" s="10">
        <v>0</v>
      </c>
      <c r="M16" s="10">
        <v>0</v>
      </c>
      <c r="N16" s="10"/>
      <c r="O16" s="10"/>
      <c r="P16" s="10"/>
      <c r="Q16" s="10"/>
      <c r="R16" s="10"/>
      <c r="S16" s="10"/>
      <c r="T16" s="10"/>
      <c r="U16" s="10"/>
      <c r="V16" s="4" t="s">
        <v>411</v>
      </c>
      <c r="W16" s="4"/>
      <c r="X16" s="8"/>
      <c r="Y16" s="4"/>
      <c r="Z16" s="4"/>
      <c r="AA16" s="8">
        <v>44637</v>
      </c>
      <c r="AB16" s="8"/>
      <c r="AC16" s="4"/>
      <c r="AD16" s="4"/>
    </row>
    <row r="17" spans="1:30" hidden="1">
      <c r="A17" s="4">
        <v>2413</v>
      </c>
      <c r="B17" s="8">
        <v>44624</v>
      </c>
      <c r="C17" s="4" t="s">
        <v>412</v>
      </c>
      <c r="D17" s="4" t="s">
        <v>42</v>
      </c>
      <c r="E17" s="8">
        <v>44635</v>
      </c>
      <c r="F17" s="4" t="s">
        <v>43</v>
      </c>
      <c r="G17" s="40" t="s">
        <v>20</v>
      </c>
      <c r="H17" s="4" t="s">
        <v>45</v>
      </c>
      <c r="I17" s="4" t="s">
        <v>48</v>
      </c>
      <c r="J17" s="10">
        <v>0.87839999999999996</v>
      </c>
      <c r="K17" s="10">
        <v>0.95099999999999996</v>
      </c>
      <c r="L17" s="10">
        <v>0</v>
      </c>
      <c r="M17" s="10">
        <v>0</v>
      </c>
      <c r="N17" s="10"/>
      <c r="O17" s="10"/>
      <c r="P17" s="10"/>
      <c r="Q17" s="10"/>
      <c r="R17" s="10"/>
      <c r="S17" s="10"/>
      <c r="T17" s="10"/>
      <c r="U17" s="10"/>
      <c r="V17" s="4" t="s">
        <v>413</v>
      </c>
      <c r="W17" s="4"/>
      <c r="X17" s="8">
        <v>44627</v>
      </c>
      <c r="Y17" s="4"/>
      <c r="Z17" s="4"/>
      <c r="AA17" s="8"/>
      <c r="AB17" s="8"/>
      <c r="AC17" s="4"/>
      <c r="AD17" s="4"/>
    </row>
    <row r="18" spans="1:30" hidden="1">
      <c r="A18" s="4">
        <v>2397</v>
      </c>
      <c r="B18" s="8">
        <v>44621</v>
      </c>
      <c r="C18" s="4" t="s">
        <v>412</v>
      </c>
      <c r="D18" s="4" t="s">
        <v>42</v>
      </c>
      <c r="E18" s="8">
        <v>44635</v>
      </c>
      <c r="F18" s="4" t="s">
        <v>43</v>
      </c>
      <c r="G18" s="40" t="s">
        <v>20</v>
      </c>
      <c r="H18" s="4" t="s">
        <v>45</v>
      </c>
      <c r="I18" s="4" t="s">
        <v>403</v>
      </c>
      <c r="J18" s="10">
        <v>3.1929599999999998</v>
      </c>
      <c r="K18" s="10">
        <v>3.1869999999999998</v>
      </c>
      <c r="L18" s="10">
        <v>0</v>
      </c>
      <c r="M18" s="10">
        <v>0</v>
      </c>
      <c r="N18" s="10"/>
      <c r="O18" s="10"/>
      <c r="P18" s="10"/>
      <c r="Q18" s="10"/>
      <c r="R18" s="10"/>
      <c r="S18" s="10"/>
      <c r="T18" s="10"/>
      <c r="U18" s="10"/>
      <c r="V18" s="4" t="s">
        <v>413</v>
      </c>
      <c r="W18" s="4"/>
      <c r="X18" s="8">
        <v>44623</v>
      </c>
      <c r="Y18" s="4"/>
      <c r="Z18" s="4"/>
      <c r="AA18" s="8">
        <v>44626</v>
      </c>
      <c r="AB18" s="8">
        <v>44626</v>
      </c>
      <c r="AC18" s="4"/>
      <c r="AD18" s="4"/>
    </row>
    <row r="19" spans="1:30" hidden="1">
      <c r="A19" s="4">
        <v>2397</v>
      </c>
      <c r="B19" s="8">
        <v>44621</v>
      </c>
      <c r="C19" s="4" t="s">
        <v>412</v>
      </c>
      <c r="D19" s="4" t="s">
        <v>42</v>
      </c>
      <c r="E19" s="8">
        <v>44635</v>
      </c>
      <c r="F19" s="4" t="s">
        <v>43</v>
      </c>
      <c r="G19" s="40" t="s">
        <v>20</v>
      </c>
      <c r="H19" s="4" t="s">
        <v>45</v>
      </c>
      <c r="I19" s="4" t="s">
        <v>49</v>
      </c>
      <c r="J19" s="10">
        <v>0.43680000000000002</v>
      </c>
      <c r="K19" s="10">
        <v>0.437</v>
      </c>
      <c r="L19" s="10">
        <v>0</v>
      </c>
      <c r="M19" s="10">
        <v>0</v>
      </c>
      <c r="N19" s="10"/>
      <c r="O19" s="10"/>
      <c r="P19" s="10"/>
      <c r="Q19" s="10"/>
      <c r="R19" s="10"/>
      <c r="S19" s="10"/>
      <c r="T19" s="10"/>
      <c r="U19" s="10"/>
      <c r="V19" s="4" t="s">
        <v>413</v>
      </c>
      <c r="W19" s="4"/>
      <c r="X19" s="8">
        <v>44645</v>
      </c>
      <c r="Y19" s="4"/>
      <c r="Z19" s="4"/>
      <c r="AA19" s="8">
        <v>44651</v>
      </c>
      <c r="AB19" s="8">
        <v>44651</v>
      </c>
      <c r="AC19" s="4"/>
      <c r="AD19" s="4"/>
    </row>
    <row r="20" spans="1:30" hidden="1">
      <c r="A20" s="4">
        <v>2397</v>
      </c>
      <c r="B20" s="8">
        <v>44621</v>
      </c>
      <c r="C20" s="4" t="s">
        <v>412</v>
      </c>
      <c r="D20" s="4" t="s">
        <v>42</v>
      </c>
      <c r="E20" s="8">
        <v>44635</v>
      </c>
      <c r="F20" s="4" t="s">
        <v>43</v>
      </c>
      <c r="G20" s="40" t="s">
        <v>20</v>
      </c>
      <c r="H20" s="4" t="s">
        <v>45</v>
      </c>
      <c r="I20" s="4" t="s">
        <v>407</v>
      </c>
      <c r="J20" s="10">
        <v>3.3095999999999997</v>
      </c>
      <c r="K20" s="10">
        <v>3.31</v>
      </c>
      <c r="L20" s="10">
        <v>0</v>
      </c>
      <c r="M20" s="10">
        <v>0</v>
      </c>
      <c r="N20" s="10"/>
      <c r="O20" s="10"/>
      <c r="P20" s="10"/>
      <c r="Q20" s="10"/>
      <c r="R20" s="10"/>
      <c r="S20" s="10"/>
      <c r="T20" s="10"/>
      <c r="U20" s="10"/>
      <c r="V20" s="4" t="s">
        <v>413</v>
      </c>
      <c r="W20" s="4"/>
      <c r="X20" s="8">
        <v>44620</v>
      </c>
      <c r="Y20" s="4"/>
      <c r="Z20" s="4"/>
      <c r="AA20" s="8">
        <v>44644</v>
      </c>
      <c r="AB20" s="8">
        <v>44644</v>
      </c>
      <c r="AC20" s="4"/>
      <c r="AD20" s="4"/>
    </row>
    <row r="21" spans="1:30" hidden="1">
      <c r="A21" s="4">
        <v>2397</v>
      </c>
      <c r="B21" s="8">
        <v>44621</v>
      </c>
      <c r="C21" s="4" t="s">
        <v>412</v>
      </c>
      <c r="D21" s="4" t="s">
        <v>42</v>
      </c>
      <c r="E21" s="8">
        <v>44635</v>
      </c>
      <c r="F21" s="4" t="s">
        <v>43</v>
      </c>
      <c r="G21" s="40" t="s">
        <v>20</v>
      </c>
      <c r="H21" s="4" t="s">
        <v>45</v>
      </c>
      <c r="I21" s="4" t="s">
        <v>409</v>
      </c>
      <c r="J21" s="10">
        <v>2.8319999999999999</v>
      </c>
      <c r="K21" s="10">
        <v>2.8319999999999999</v>
      </c>
      <c r="L21" s="10">
        <v>0</v>
      </c>
      <c r="M21" s="10">
        <v>0</v>
      </c>
      <c r="N21" s="10"/>
      <c r="O21" s="10"/>
      <c r="P21" s="10"/>
      <c r="Q21" s="10"/>
      <c r="R21" s="10"/>
      <c r="S21" s="10"/>
      <c r="T21" s="10"/>
      <c r="U21" s="10"/>
      <c r="V21" s="4" t="s">
        <v>413</v>
      </c>
      <c r="W21" s="4"/>
      <c r="X21" s="8">
        <v>44620</v>
      </c>
      <c r="Y21" s="4"/>
      <c r="Z21" s="4"/>
      <c r="AA21" s="8">
        <v>44626</v>
      </c>
      <c r="AB21" s="8">
        <v>44626</v>
      </c>
      <c r="AC21" s="4"/>
      <c r="AD21" s="4"/>
    </row>
    <row r="22" spans="1:30" hidden="1">
      <c r="A22" s="4">
        <v>2395</v>
      </c>
      <c r="B22" s="8">
        <v>44621</v>
      </c>
      <c r="C22" s="4" t="s">
        <v>412</v>
      </c>
      <c r="D22" s="4" t="s">
        <v>42</v>
      </c>
      <c r="E22" s="8">
        <v>44627</v>
      </c>
      <c r="F22" s="4" t="s">
        <v>43</v>
      </c>
      <c r="G22" s="15" t="s">
        <v>19</v>
      </c>
      <c r="H22" s="4" t="s">
        <v>45</v>
      </c>
      <c r="I22" s="4" t="s">
        <v>409</v>
      </c>
      <c r="J22" s="10">
        <v>0.26</v>
      </c>
      <c r="K22" s="10">
        <v>0.26</v>
      </c>
      <c r="L22" s="10">
        <v>0</v>
      </c>
      <c r="M22" s="10">
        <v>0</v>
      </c>
      <c r="N22" s="10"/>
      <c r="O22" s="10"/>
      <c r="P22" s="10"/>
      <c r="Q22" s="10"/>
      <c r="R22" s="10"/>
      <c r="S22" s="10"/>
      <c r="T22" s="10"/>
      <c r="U22" s="10"/>
      <c r="V22" s="4" t="s">
        <v>414</v>
      </c>
      <c r="W22" s="4"/>
      <c r="X22" s="8">
        <v>44620</v>
      </c>
      <c r="Y22" s="4"/>
      <c r="Z22" s="4"/>
      <c r="AA22" s="8">
        <v>44626</v>
      </c>
      <c r="AB22" s="8"/>
      <c r="AC22" s="4"/>
      <c r="AD22" s="4"/>
    </row>
    <row r="23" spans="1:30" hidden="1">
      <c r="A23" s="4">
        <v>2391</v>
      </c>
      <c r="B23" s="8">
        <v>44621</v>
      </c>
      <c r="C23" s="4"/>
      <c r="D23" s="4" t="s">
        <v>42</v>
      </c>
      <c r="E23" s="8">
        <v>44635</v>
      </c>
      <c r="F23" s="4" t="s">
        <v>43</v>
      </c>
      <c r="G23" s="15" t="s">
        <v>19</v>
      </c>
      <c r="H23" s="4" t="s">
        <v>45</v>
      </c>
      <c r="I23" s="4" t="s">
        <v>409</v>
      </c>
      <c r="J23" s="10">
        <v>1.7369600000000001</v>
      </c>
      <c r="K23" s="10">
        <v>1.8220000000000001</v>
      </c>
      <c r="L23" s="10">
        <v>0</v>
      </c>
      <c r="M23" s="10">
        <v>0</v>
      </c>
      <c r="N23" s="10"/>
      <c r="O23" s="10"/>
      <c r="P23" s="10"/>
      <c r="Q23" s="10"/>
      <c r="R23" s="10"/>
      <c r="S23" s="10"/>
      <c r="T23" s="10"/>
      <c r="U23" s="10"/>
      <c r="V23" s="4" t="s">
        <v>415</v>
      </c>
      <c r="W23" s="4"/>
      <c r="X23" s="8">
        <v>44620</v>
      </c>
      <c r="Y23" s="4"/>
      <c r="Z23" s="4"/>
      <c r="AA23" s="8">
        <v>44626</v>
      </c>
      <c r="AB23" s="8">
        <v>44626</v>
      </c>
      <c r="AC23" s="4"/>
      <c r="AD23" s="4"/>
    </row>
    <row r="24" spans="1:30" hidden="1">
      <c r="A24" s="4">
        <v>2392</v>
      </c>
      <c r="B24" s="8">
        <v>44621</v>
      </c>
      <c r="C24" s="4" t="s">
        <v>416</v>
      </c>
      <c r="D24" s="4" t="s">
        <v>42</v>
      </c>
      <c r="E24" s="8">
        <v>44627</v>
      </c>
      <c r="F24" s="4" t="s">
        <v>43</v>
      </c>
      <c r="G24" s="16" t="s">
        <v>44</v>
      </c>
      <c r="H24" s="4" t="s">
        <v>45</v>
      </c>
      <c r="I24" s="4" t="s">
        <v>409</v>
      </c>
      <c r="J24" s="10">
        <v>5.7069999999999999</v>
      </c>
      <c r="K24" s="10">
        <v>5.7069999999999999</v>
      </c>
      <c r="L24" s="10">
        <v>0</v>
      </c>
      <c r="M24" s="10">
        <v>0</v>
      </c>
      <c r="N24" s="10"/>
      <c r="O24" s="10"/>
      <c r="P24" s="10"/>
      <c r="Q24" s="10"/>
      <c r="R24" s="10"/>
      <c r="S24" s="10"/>
      <c r="T24" s="10"/>
      <c r="U24" s="10"/>
      <c r="V24" s="4" t="s">
        <v>401</v>
      </c>
      <c r="W24" s="4"/>
      <c r="X24" s="8">
        <v>44620</v>
      </c>
      <c r="Y24" s="4"/>
      <c r="Z24" s="4"/>
      <c r="AA24" s="8">
        <v>44626</v>
      </c>
      <c r="AB24" s="8"/>
      <c r="AC24" s="4"/>
      <c r="AD24" s="4"/>
    </row>
    <row r="25" spans="1:30" hidden="1">
      <c r="A25" s="4">
        <v>2392</v>
      </c>
      <c r="B25" s="8">
        <v>44621</v>
      </c>
      <c r="C25" s="4" t="s">
        <v>416</v>
      </c>
      <c r="D25" s="4" t="s">
        <v>42</v>
      </c>
      <c r="E25" s="8">
        <v>44627</v>
      </c>
      <c r="F25" s="4" t="s">
        <v>43</v>
      </c>
      <c r="G25" s="16" t="s">
        <v>44</v>
      </c>
      <c r="H25" s="4" t="s">
        <v>45</v>
      </c>
      <c r="I25" s="4" t="s">
        <v>417</v>
      </c>
      <c r="J25" s="10">
        <v>0.43680000000000002</v>
      </c>
      <c r="K25" s="10">
        <v>0.437</v>
      </c>
      <c r="L25" s="10">
        <v>0</v>
      </c>
      <c r="M25" s="10">
        <v>0</v>
      </c>
      <c r="N25" s="10"/>
      <c r="O25" s="10"/>
      <c r="P25" s="10"/>
      <c r="Q25" s="10"/>
      <c r="R25" s="10"/>
      <c r="S25" s="10"/>
      <c r="T25" s="10"/>
      <c r="U25" s="10"/>
      <c r="V25" s="4" t="s">
        <v>401</v>
      </c>
      <c r="W25" s="4"/>
      <c r="X25" s="8">
        <v>44623</v>
      </c>
      <c r="Y25" s="4"/>
      <c r="Z25" s="4"/>
      <c r="AA25" s="8">
        <v>44648</v>
      </c>
      <c r="AB25" s="8">
        <v>44648</v>
      </c>
      <c r="AC25" s="4"/>
      <c r="AD25" s="4"/>
    </row>
    <row r="26" spans="1:30" hidden="1">
      <c r="A26" s="4">
        <v>2392</v>
      </c>
      <c r="B26" s="8">
        <v>44621</v>
      </c>
      <c r="C26" s="4" t="s">
        <v>416</v>
      </c>
      <c r="D26" s="4" t="s">
        <v>42</v>
      </c>
      <c r="E26" s="8">
        <v>44627</v>
      </c>
      <c r="F26" s="4" t="s">
        <v>43</v>
      </c>
      <c r="G26" s="16" t="s">
        <v>44</v>
      </c>
      <c r="H26" s="4" t="s">
        <v>45</v>
      </c>
      <c r="I26" s="4" t="s">
        <v>400</v>
      </c>
      <c r="J26" s="10">
        <v>0.70799999999999996</v>
      </c>
      <c r="K26" s="10">
        <v>0.70799999999999996</v>
      </c>
      <c r="L26" s="10">
        <v>0</v>
      </c>
      <c r="M26" s="10">
        <v>0</v>
      </c>
      <c r="N26" s="10"/>
      <c r="O26" s="10"/>
      <c r="P26" s="10"/>
      <c r="Q26" s="10"/>
      <c r="R26" s="10"/>
      <c r="S26" s="10"/>
      <c r="T26" s="10"/>
      <c r="U26" s="10"/>
      <c r="V26" s="4" t="s">
        <v>401</v>
      </c>
      <c r="W26" s="4"/>
      <c r="X26" s="8">
        <v>44624</v>
      </c>
      <c r="Y26" s="4"/>
      <c r="Z26" s="4"/>
      <c r="AA26" s="8"/>
      <c r="AB26" s="8"/>
      <c r="AC26" s="4"/>
      <c r="AD26" s="4"/>
    </row>
    <row r="27" spans="1:30" hidden="1">
      <c r="A27" s="4">
        <v>2392</v>
      </c>
      <c r="B27" s="8">
        <v>44621</v>
      </c>
      <c r="C27" s="4" t="s">
        <v>416</v>
      </c>
      <c r="D27" s="4" t="s">
        <v>42</v>
      </c>
      <c r="E27" s="8">
        <v>44627</v>
      </c>
      <c r="F27" s="4" t="s">
        <v>43</v>
      </c>
      <c r="G27" s="16" t="s">
        <v>44</v>
      </c>
      <c r="H27" s="4" t="s">
        <v>45</v>
      </c>
      <c r="I27" s="4" t="s">
        <v>46</v>
      </c>
      <c r="J27" s="10">
        <v>2.4220000000000002</v>
      </c>
      <c r="K27" s="10">
        <v>2.4220000000000002</v>
      </c>
      <c r="L27" s="10">
        <v>0</v>
      </c>
      <c r="M27" s="10">
        <v>0</v>
      </c>
      <c r="N27" s="10"/>
      <c r="O27" s="10"/>
      <c r="P27" s="10"/>
      <c r="Q27" s="10"/>
      <c r="R27" s="10"/>
      <c r="S27" s="10"/>
      <c r="T27" s="10"/>
      <c r="U27" s="10"/>
      <c r="V27" s="4" t="s">
        <v>401</v>
      </c>
      <c r="W27" s="4"/>
      <c r="X27" s="8">
        <v>44623</v>
      </c>
      <c r="Y27" s="4"/>
      <c r="Z27" s="4"/>
      <c r="AA27" s="8">
        <v>44626</v>
      </c>
      <c r="AB27" s="8"/>
      <c r="AC27" s="4"/>
      <c r="AD27" s="4"/>
    </row>
    <row r="28" spans="1:30" hidden="1">
      <c r="A28" s="4">
        <v>2392</v>
      </c>
      <c r="B28" s="8">
        <v>44621</v>
      </c>
      <c r="C28" s="4" t="s">
        <v>416</v>
      </c>
      <c r="D28" s="4" t="s">
        <v>42</v>
      </c>
      <c r="E28" s="8">
        <v>44627</v>
      </c>
      <c r="F28" s="4" t="s">
        <v>43</v>
      </c>
      <c r="G28" s="16" t="s">
        <v>44</v>
      </c>
      <c r="H28" s="4" t="s">
        <v>45</v>
      </c>
      <c r="I28" s="4" t="s">
        <v>407</v>
      </c>
      <c r="J28" s="10">
        <v>0.2364</v>
      </c>
      <c r="K28" s="10">
        <v>0.23599999999999999</v>
      </c>
      <c r="L28" s="10">
        <v>0</v>
      </c>
      <c r="M28" s="10">
        <v>0</v>
      </c>
      <c r="N28" s="10"/>
      <c r="O28" s="10"/>
      <c r="P28" s="10"/>
      <c r="Q28" s="10"/>
      <c r="R28" s="10"/>
      <c r="S28" s="10"/>
      <c r="T28" s="10"/>
      <c r="U28" s="10"/>
      <c r="V28" s="4" t="s">
        <v>401</v>
      </c>
      <c r="W28" s="4"/>
      <c r="X28" s="8">
        <v>44620</v>
      </c>
      <c r="Y28" s="4"/>
      <c r="Z28" s="4"/>
      <c r="AA28" s="8">
        <v>44649</v>
      </c>
      <c r="AB28" s="8">
        <v>44649</v>
      </c>
      <c r="AC28" s="4"/>
      <c r="AD28" s="4"/>
    </row>
    <row r="29" spans="1:30" hidden="1">
      <c r="A29" s="4">
        <v>2392</v>
      </c>
      <c r="B29" s="8">
        <v>44621</v>
      </c>
      <c r="C29" s="4" t="s">
        <v>416</v>
      </c>
      <c r="D29" s="4" t="s">
        <v>42</v>
      </c>
      <c r="E29" s="8">
        <v>44627</v>
      </c>
      <c r="F29" s="4" t="s">
        <v>43</v>
      </c>
      <c r="G29" s="16" t="s">
        <v>44</v>
      </c>
      <c r="H29" s="4" t="s">
        <v>45</v>
      </c>
      <c r="I29" s="4" t="s">
        <v>408</v>
      </c>
      <c r="J29" s="10">
        <v>0.52080000000000004</v>
      </c>
      <c r="K29" s="10">
        <v>0.52100000000000002</v>
      </c>
      <c r="L29" s="10">
        <v>0</v>
      </c>
      <c r="M29" s="10">
        <v>0</v>
      </c>
      <c r="N29" s="10"/>
      <c r="O29" s="10"/>
      <c r="P29" s="10"/>
      <c r="Q29" s="10"/>
      <c r="R29" s="10"/>
      <c r="S29" s="10"/>
      <c r="T29" s="10"/>
      <c r="U29" s="10"/>
      <c r="V29" s="4" t="s">
        <v>401</v>
      </c>
      <c r="W29" s="4"/>
      <c r="X29" s="8">
        <v>44620</v>
      </c>
      <c r="Y29" s="4"/>
      <c r="Z29" s="4"/>
      <c r="AA29" s="8">
        <v>44648</v>
      </c>
      <c r="AB29" s="8">
        <v>44648</v>
      </c>
      <c r="AC29" s="4"/>
      <c r="AD29" s="4"/>
    </row>
    <row r="30" spans="1:30" hidden="1">
      <c r="A30" s="4">
        <v>2392</v>
      </c>
      <c r="B30" s="8">
        <v>44621</v>
      </c>
      <c r="C30" s="4" t="s">
        <v>416</v>
      </c>
      <c r="D30" s="4" t="s">
        <v>42</v>
      </c>
      <c r="E30" s="8">
        <v>44627</v>
      </c>
      <c r="F30" s="4" t="s">
        <v>43</v>
      </c>
      <c r="G30" s="16" t="s">
        <v>44</v>
      </c>
      <c r="H30" s="4" t="s">
        <v>45</v>
      </c>
      <c r="I30" s="4" t="s">
        <v>410</v>
      </c>
      <c r="J30" s="10">
        <v>9.3158100000000008</v>
      </c>
      <c r="K30" s="10">
        <v>9.3279999999999994</v>
      </c>
      <c r="L30" s="10">
        <v>0</v>
      </c>
      <c r="M30" s="10">
        <v>0</v>
      </c>
      <c r="N30" s="10"/>
      <c r="O30" s="10"/>
      <c r="P30" s="10"/>
      <c r="Q30" s="10"/>
      <c r="R30" s="10"/>
      <c r="S30" s="10"/>
      <c r="T30" s="10"/>
      <c r="U30" s="10"/>
      <c r="V30" s="4" t="s">
        <v>401</v>
      </c>
      <c r="W30" s="4"/>
      <c r="X30" s="8">
        <v>44620</v>
      </c>
      <c r="Y30" s="4"/>
      <c r="Z30" s="4"/>
      <c r="AA30" s="8">
        <v>44626</v>
      </c>
      <c r="AB30" s="8">
        <v>44646</v>
      </c>
      <c r="AC30" s="4"/>
      <c r="AD30" s="4"/>
    </row>
    <row r="31" spans="1:30" hidden="1">
      <c r="A31" s="4">
        <v>2392</v>
      </c>
      <c r="B31" s="8">
        <v>44621</v>
      </c>
      <c r="C31" s="4" t="s">
        <v>416</v>
      </c>
      <c r="D31" s="4" t="s">
        <v>42</v>
      </c>
      <c r="E31" s="8">
        <v>44627</v>
      </c>
      <c r="F31" s="4" t="s">
        <v>43</v>
      </c>
      <c r="G31" s="16" t="s">
        <v>44</v>
      </c>
      <c r="H31" s="4" t="s">
        <v>45</v>
      </c>
      <c r="I31" s="4" t="s">
        <v>47</v>
      </c>
      <c r="J31" s="10">
        <v>17.462825000000002</v>
      </c>
      <c r="K31" s="10">
        <v>17.766999999999999</v>
      </c>
      <c r="L31" s="10">
        <v>0</v>
      </c>
      <c r="M31" s="10">
        <v>0</v>
      </c>
      <c r="N31" s="10"/>
      <c r="O31" s="10"/>
      <c r="P31" s="10"/>
      <c r="Q31" s="10"/>
      <c r="R31" s="10"/>
      <c r="S31" s="10"/>
      <c r="T31" s="10"/>
      <c r="U31" s="10"/>
      <c r="V31" s="4" t="s">
        <v>401</v>
      </c>
      <c r="W31" s="4"/>
      <c r="X31" s="8">
        <v>44620</v>
      </c>
      <c r="Y31" s="4"/>
      <c r="Z31" s="4"/>
      <c r="AA31" s="8">
        <v>44646</v>
      </c>
      <c r="AB31" s="8">
        <v>44646</v>
      </c>
      <c r="AC31" s="4"/>
      <c r="AD31" s="4"/>
    </row>
    <row r="32" spans="1:30" hidden="1">
      <c r="A32" s="4">
        <v>2428</v>
      </c>
      <c r="B32" s="8">
        <v>44621</v>
      </c>
      <c r="C32" s="4" t="s">
        <v>416</v>
      </c>
      <c r="D32" s="4" t="s">
        <v>42</v>
      </c>
      <c r="E32" s="8">
        <v>44627</v>
      </c>
      <c r="F32" s="4" t="s">
        <v>43</v>
      </c>
      <c r="G32" s="16" t="s">
        <v>44</v>
      </c>
      <c r="H32" s="4" t="s">
        <v>45</v>
      </c>
      <c r="I32" s="4" t="s">
        <v>409</v>
      </c>
      <c r="J32" s="10">
        <v>15.5182</v>
      </c>
      <c r="K32" s="10">
        <v>15.826000000000001</v>
      </c>
      <c r="L32" s="10">
        <v>0</v>
      </c>
      <c r="M32" s="10">
        <v>0</v>
      </c>
      <c r="N32" s="10"/>
      <c r="O32" s="10"/>
      <c r="P32" s="10"/>
      <c r="Q32" s="10"/>
      <c r="R32" s="10"/>
      <c r="S32" s="10"/>
      <c r="T32" s="10"/>
      <c r="U32" s="10"/>
      <c r="V32" s="4" t="s">
        <v>418</v>
      </c>
      <c r="W32" s="4"/>
      <c r="X32" s="8">
        <v>44620</v>
      </c>
      <c r="Y32" s="4"/>
      <c r="Z32" s="4"/>
      <c r="AA32" s="8">
        <v>44649</v>
      </c>
      <c r="AB32" s="8">
        <v>44649</v>
      </c>
      <c r="AC32" s="4"/>
      <c r="AD32" s="4"/>
    </row>
    <row r="33" spans="1:30" hidden="1">
      <c r="A33" s="4">
        <v>2428</v>
      </c>
      <c r="B33" s="8">
        <v>44621</v>
      </c>
      <c r="C33" s="4" t="s">
        <v>416</v>
      </c>
      <c r="D33" s="4" t="s">
        <v>42</v>
      </c>
      <c r="E33" s="8">
        <v>44627</v>
      </c>
      <c r="F33" s="4" t="s">
        <v>43</v>
      </c>
      <c r="G33" s="16" t="s">
        <v>44</v>
      </c>
      <c r="H33" s="4" t="s">
        <v>45</v>
      </c>
      <c r="I33" s="4" t="s">
        <v>46</v>
      </c>
      <c r="J33" s="10">
        <v>0.64019999999999966</v>
      </c>
      <c r="K33" s="10">
        <v>0.64300000000000002</v>
      </c>
      <c r="L33" s="10">
        <v>0</v>
      </c>
      <c r="M33" s="10">
        <v>0</v>
      </c>
      <c r="N33" s="10"/>
      <c r="O33" s="10"/>
      <c r="P33" s="10"/>
      <c r="Q33" s="10"/>
      <c r="R33" s="10"/>
      <c r="S33" s="10"/>
      <c r="T33" s="10"/>
      <c r="U33" s="10"/>
      <c r="V33" s="4" t="s">
        <v>418</v>
      </c>
      <c r="W33" s="4"/>
      <c r="X33" s="8">
        <v>44623</v>
      </c>
      <c r="Y33" s="4"/>
      <c r="Z33" s="4"/>
      <c r="AA33" s="8">
        <v>44649</v>
      </c>
      <c r="AB33" s="8">
        <v>44649</v>
      </c>
      <c r="AC33" s="4"/>
      <c r="AD33" s="4"/>
    </row>
    <row r="34" spans="1:30" hidden="1">
      <c r="A34" s="4">
        <v>2428</v>
      </c>
      <c r="B34" s="8">
        <v>44621</v>
      </c>
      <c r="C34" s="4" t="s">
        <v>416</v>
      </c>
      <c r="D34" s="4" t="s">
        <v>42</v>
      </c>
      <c r="E34" s="8">
        <v>44627</v>
      </c>
      <c r="F34" s="4" t="s">
        <v>43</v>
      </c>
      <c r="G34" s="16" t="s">
        <v>44</v>
      </c>
      <c r="H34" s="4" t="s">
        <v>45</v>
      </c>
      <c r="I34" s="4" t="s">
        <v>49</v>
      </c>
      <c r="J34" s="10">
        <v>3.5180600000000002</v>
      </c>
      <c r="K34" s="10">
        <v>3.5409999999999999</v>
      </c>
      <c r="L34" s="10">
        <v>0</v>
      </c>
      <c r="M34" s="10">
        <v>0</v>
      </c>
      <c r="N34" s="10"/>
      <c r="O34" s="10"/>
      <c r="P34" s="10"/>
      <c r="Q34" s="10"/>
      <c r="R34" s="10"/>
      <c r="S34" s="10"/>
      <c r="T34" s="10"/>
      <c r="U34" s="10"/>
      <c r="V34" s="4" t="s">
        <v>418</v>
      </c>
      <c r="W34" s="4"/>
      <c r="X34" s="8">
        <v>44645</v>
      </c>
      <c r="Y34" s="4"/>
      <c r="Z34" s="4"/>
      <c r="AA34" s="8">
        <v>44651</v>
      </c>
      <c r="AB34" s="8">
        <v>44651</v>
      </c>
      <c r="AC34" s="4"/>
      <c r="AD34" s="4"/>
    </row>
    <row r="35" spans="1:30" hidden="1">
      <c r="A35" s="4">
        <v>2428</v>
      </c>
      <c r="B35" s="8">
        <v>44621</v>
      </c>
      <c r="C35" s="4" t="s">
        <v>416</v>
      </c>
      <c r="D35" s="4" t="s">
        <v>42</v>
      </c>
      <c r="E35" s="8">
        <v>44627</v>
      </c>
      <c r="F35" s="4" t="s">
        <v>43</v>
      </c>
      <c r="G35" s="16" t="s">
        <v>44</v>
      </c>
      <c r="H35" s="4" t="s">
        <v>45</v>
      </c>
      <c r="I35" s="4" t="s">
        <v>403</v>
      </c>
      <c r="J35" s="10">
        <v>0.97110000000000007</v>
      </c>
      <c r="K35" s="10">
        <v>1.0129999999999999</v>
      </c>
      <c r="L35" s="10">
        <v>0</v>
      </c>
      <c r="M35" s="10">
        <v>0</v>
      </c>
      <c r="N35" s="10"/>
      <c r="O35" s="10"/>
      <c r="P35" s="10"/>
      <c r="Q35" s="10"/>
      <c r="R35" s="10"/>
      <c r="S35" s="10"/>
      <c r="T35" s="10"/>
      <c r="U35" s="10"/>
      <c r="V35" s="4" t="s">
        <v>418</v>
      </c>
      <c r="W35" s="4"/>
      <c r="X35" s="8">
        <v>44623</v>
      </c>
      <c r="Y35" s="4"/>
      <c r="Z35" s="4"/>
      <c r="AA35" s="8">
        <v>44649</v>
      </c>
      <c r="AB35" s="8">
        <v>44651</v>
      </c>
      <c r="AC35" s="4"/>
      <c r="AD35" s="4"/>
    </row>
    <row r="36" spans="1:30" hidden="1">
      <c r="A36" s="4">
        <v>2428</v>
      </c>
      <c r="B36" s="8">
        <v>44621</v>
      </c>
      <c r="C36" s="4" t="s">
        <v>416</v>
      </c>
      <c r="D36" s="4" t="s">
        <v>42</v>
      </c>
      <c r="E36" s="8">
        <v>44627</v>
      </c>
      <c r="F36" s="4" t="s">
        <v>43</v>
      </c>
      <c r="G36" s="16" t="s">
        <v>44</v>
      </c>
      <c r="H36" s="4" t="s">
        <v>45</v>
      </c>
      <c r="I36" s="4" t="s">
        <v>400</v>
      </c>
      <c r="J36" s="10">
        <v>1.444</v>
      </c>
      <c r="K36" s="10">
        <v>1.4870000000000001</v>
      </c>
      <c r="L36" s="10">
        <v>0</v>
      </c>
      <c r="M36" s="10">
        <v>0</v>
      </c>
      <c r="N36" s="10"/>
      <c r="O36" s="10"/>
      <c r="P36" s="10"/>
      <c r="Q36" s="10"/>
      <c r="R36" s="10"/>
      <c r="S36" s="10"/>
      <c r="T36" s="10"/>
      <c r="U36" s="10"/>
      <c r="V36" s="4" t="s">
        <v>418</v>
      </c>
      <c r="W36" s="4"/>
      <c r="X36" s="8">
        <v>44624</v>
      </c>
      <c r="Y36" s="4"/>
      <c r="Z36" s="4"/>
      <c r="AA36" s="8">
        <v>44649</v>
      </c>
      <c r="AB36" s="8">
        <v>44649</v>
      </c>
      <c r="AC36" s="4"/>
      <c r="AD36" s="4"/>
    </row>
    <row r="37" spans="1:30" hidden="1">
      <c r="A37" s="4">
        <v>2428</v>
      </c>
      <c r="B37" s="8">
        <v>44621</v>
      </c>
      <c r="C37" s="4" t="s">
        <v>416</v>
      </c>
      <c r="D37" s="4" t="s">
        <v>42</v>
      </c>
      <c r="E37" s="8">
        <v>44627</v>
      </c>
      <c r="F37" s="4" t="s">
        <v>43</v>
      </c>
      <c r="G37" s="16" t="s">
        <v>44</v>
      </c>
      <c r="H37" s="4" t="s">
        <v>45</v>
      </c>
      <c r="I37" s="4" t="s">
        <v>406</v>
      </c>
      <c r="J37" s="10">
        <v>0.69</v>
      </c>
      <c r="K37" s="10">
        <v>0.69</v>
      </c>
      <c r="L37" s="10">
        <v>0</v>
      </c>
      <c r="M37" s="10">
        <v>0</v>
      </c>
      <c r="N37" s="10"/>
      <c r="O37" s="10"/>
      <c r="P37" s="10"/>
      <c r="Q37" s="10"/>
      <c r="R37" s="10"/>
      <c r="S37" s="10"/>
      <c r="T37" s="10"/>
      <c r="U37" s="10"/>
      <c r="V37" s="4" t="s">
        <v>418</v>
      </c>
      <c r="W37" s="4"/>
      <c r="X37" s="8">
        <v>44623</v>
      </c>
      <c r="Y37" s="4"/>
      <c r="Z37" s="4"/>
      <c r="AA37" s="8">
        <v>44649</v>
      </c>
      <c r="AB37" s="8">
        <v>44649</v>
      </c>
      <c r="AC37" s="4"/>
      <c r="AD37" s="4"/>
    </row>
    <row r="38" spans="1:30" hidden="1">
      <c r="A38" s="4">
        <v>2428</v>
      </c>
      <c r="B38" s="8">
        <v>44621</v>
      </c>
      <c r="C38" s="4" t="s">
        <v>416</v>
      </c>
      <c r="D38" s="4" t="s">
        <v>42</v>
      </c>
      <c r="E38" s="8">
        <v>44627</v>
      </c>
      <c r="F38" s="4" t="s">
        <v>43</v>
      </c>
      <c r="G38" s="16" t="s">
        <v>44</v>
      </c>
      <c r="H38" s="4" t="s">
        <v>45</v>
      </c>
      <c r="I38" s="4" t="s">
        <v>408</v>
      </c>
      <c r="J38" s="10">
        <v>2.5219999999999998</v>
      </c>
      <c r="K38" s="10">
        <v>3.03</v>
      </c>
      <c r="L38" s="10">
        <v>0</v>
      </c>
      <c r="M38" s="10">
        <v>0</v>
      </c>
      <c r="N38" s="10"/>
      <c r="O38" s="10"/>
      <c r="P38" s="10"/>
      <c r="Q38" s="10"/>
      <c r="R38" s="10"/>
      <c r="S38" s="10"/>
      <c r="T38" s="10"/>
      <c r="U38" s="10"/>
      <c r="V38" s="4" t="s">
        <v>418</v>
      </c>
      <c r="W38" s="4"/>
      <c r="X38" s="8">
        <v>44620</v>
      </c>
      <c r="Y38" s="4"/>
      <c r="Z38" s="4"/>
      <c r="AA38" s="8">
        <v>44649</v>
      </c>
      <c r="AB38" s="8">
        <v>44649</v>
      </c>
      <c r="AC38" s="4"/>
      <c r="AD38" s="4"/>
    </row>
    <row r="39" spans="1:30" hidden="1">
      <c r="A39" s="4">
        <v>2428</v>
      </c>
      <c r="B39" s="8">
        <v>44621</v>
      </c>
      <c r="C39" s="4" t="s">
        <v>416</v>
      </c>
      <c r="D39" s="4" t="s">
        <v>42</v>
      </c>
      <c r="E39" s="8">
        <v>44627</v>
      </c>
      <c r="F39" s="4" t="s">
        <v>43</v>
      </c>
      <c r="G39" s="16" t="s">
        <v>44</v>
      </c>
      <c r="H39" s="4" t="s">
        <v>45</v>
      </c>
      <c r="I39" s="4" t="s">
        <v>410</v>
      </c>
      <c r="J39" s="10">
        <v>3.4729999999999999</v>
      </c>
      <c r="K39" s="10">
        <v>3.5579999999999998</v>
      </c>
      <c r="L39" s="10">
        <v>0</v>
      </c>
      <c r="M39" s="10">
        <v>0</v>
      </c>
      <c r="N39" s="10"/>
      <c r="O39" s="10"/>
      <c r="P39" s="10"/>
      <c r="Q39" s="10"/>
      <c r="R39" s="10"/>
      <c r="S39" s="10"/>
      <c r="T39" s="10"/>
      <c r="U39" s="10"/>
      <c r="V39" s="4" t="s">
        <v>418</v>
      </c>
      <c r="W39" s="4"/>
      <c r="X39" s="8">
        <v>44620</v>
      </c>
      <c r="Y39" s="4"/>
      <c r="Z39" s="4"/>
      <c r="AA39" s="8">
        <v>44649</v>
      </c>
      <c r="AB39" s="8">
        <v>44649</v>
      </c>
      <c r="AC39" s="4"/>
      <c r="AD39" s="4"/>
    </row>
    <row r="40" spans="1:30" hidden="1">
      <c r="A40" s="4">
        <v>2428</v>
      </c>
      <c r="B40" s="8">
        <v>44621</v>
      </c>
      <c r="C40" s="4" t="s">
        <v>416</v>
      </c>
      <c r="D40" s="4" t="s">
        <v>42</v>
      </c>
      <c r="E40" s="8">
        <v>44627</v>
      </c>
      <c r="F40" s="4" t="s">
        <v>43</v>
      </c>
      <c r="G40" s="16" t="s">
        <v>44</v>
      </c>
      <c r="H40" s="4" t="s">
        <v>45</v>
      </c>
      <c r="I40" s="4" t="s">
        <v>46</v>
      </c>
      <c r="J40" s="10">
        <v>3.40896</v>
      </c>
      <c r="K40" s="10">
        <v>3.6789999999999998</v>
      </c>
      <c r="L40" s="10">
        <v>0</v>
      </c>
      <c r="M40" s="10">
        <v>0</v>
      </c>
      <c r="N40" s="10"/>
      <c r="O40" s="10"/>
      <c r="P40" s="10"/>
      <c r="Q40" s="10"/>
      <c r="R40" s="10"/>
      <c r="S40" s="10"/>
      <c r="T40" s="10"/>
      <c r="U40" s="10"/>
      <c r="V40" s="4" t="s">
        <v>419</v>
      </c>
      <c r="W40" s="4"/>
      <c r="X40" s="8"/>
      <c r="Y40" s="4"/>
      <c r="Z40" s="4"/>
      <c r="AA40" s="8">
        <v>44649</v>
      </c>
      <c r="AB40" s="8">
        <v>44649</v>
      </c>
      <c r="AC40" s="4"/>
      <c r="AD40" s="4"/>
    </row>
    <row r="41" spans="1:30" hidden="1">
      <c r="A41" s="4">
        <v>2428</v>
      </c>
      <c r="B41" s="8">
        <v>44621</v>
      </c>
      <c r="C41" s="4" t="s">
        <v>416</v>
      </c>
      <c r="D41" s="4" t="s">
        <v>42</v>
      </c>
      <c r="E41" s="8">
        <v>44627</v>
      </c>
      <c r="F41" s="4" t="s">
        <v>43</v>
      </c>
      <c r="G41" s="16" t="s">
        <v>44</v>
      </c>
      <c r="H41" s="4" t="s">
        <v>45</v>
      </c>
      <c r="I41" s="4" t="s">
        <v>400</v>
      </c>
      <c r="J41" s="10">
        <v>2.9735999999999998</v>
      </c>
      <c r="K41" s="10">
        <v>3.2370000000000001</v>
      </c>
      <c r="L41" s="10">
        <v>0</v>
      </c>
      <c r="M41" s="10">
        <v>0</v>
      </c>
      <c r="N41" s="10"/>
      <c r="O41" s="10"/>
      <c r="P41" s="10"/>
      <c r="Q41" s="10"/>
      <c r="R41" s="10"/>
      <c r="S41" s="10"/>
      <c r="T41" s="10"/>
      <c r="U41" s="10"/>
      <c r="V41" s="4" t="s">
        <v>420</v>
      </c>
      <c r="W41" s="4"/>
      <c r="X41" s="8"/>
      <c r="Y41" s="4"/>
      <c r="Z41" s="4"/>
      <c r="AA41" s="8">
        <v>44649</v>
      </c>
      <c r="AB41" s="8">
        <v>44649</v>
      </c>
      <c r="AC41" s="4"/>
      <c r="AD41" s="4"/>
    </row>
    <row r="42" spans="1:30" hidden="1">
      <c r="A42" s="4">
        <v>2393</v>
      </c>
      <c r="B42" s="8">
        <v>44621</v>
      </c>
      <c r="C42" s="4" t="s">
        <v>421</v>
      </c>
      <c r="D42" s="4" t="s">
        <v>42</v>
      </c>
      <c r="E42" s="8">
        <v>44627</v>
      </c>
      <c r="F42" s="4" t="s">
        <v>43</v>
      </c>
      <c r="G42" s="16" t="s">
        <v>44</v>
      </c>
      <c r="H42" s="4" t="s">
        <v>45</v>
      </c>
      <c r="I42" s="4" t="s">
        <v>403</v>
      </c>
      <c r="J42" s="10">
        <v>5.0862400000000001</v>
      </c>
      <c r="K42" s="10">
        <v>5.129999999999999</v>
      </c>
      <c r="L42" s="10">
        <v>0</v>
      </c>
      <c r="M42" s="10">
        <v>0</v>
      </c>
      <c r="N42" s="10"/>
      <c r="O42" s="10"/>
      <c r="P42" s="10"/>
      <c r="Q42" s="10"/>
      <c r="R42" s="10"/>
      <c r="S42" s="10"/>
      <c r="T42" s="10"/>
      <c r="U42" s="10"/>
      <c r="V42" s="4" t="s">
        <v>22</v>
      </c>
      <c r="W42" s="4"/>
      <c r="X42" s="8">
        <v>44623</v>
      </c>
      <c r="Y42" s="4"/>
      <c r="Z42" s="4"/>
      <c r="AA42" s="8">
        <v>44626</v>
      </c>
      <c r="AB42" s="8">
        <v>44653</v>
      </c>
      <c r="AC42" s="4"/>
      <c r="AD42" s="4"/>
    </row>
    <row r="43" spans="1:30" hidden="1">
      <c r="A43" s="4">
        <v>2393</v>
      </c>
      <c r="B43" s="8">
        <v>44621</v>
      </c>
      <c r="C43" s="4" t="s">
        <v>421</v>
      </c>
      <c r="D43" s="4" t="s">
        <v>42</v>
      </c>
      <c r="E43" s="8">
        <v>44627</v>
      </c>
      <c r="F43" s="4" t="s">
        <v>43</v>
      </c>
      <c r="G43" s="16" t="s">
        <v>44</v>
      </c>
      <c r="H43" s="4" t="s">
        <v>45</v>
      </c>
      <c r="I43" s="4" t="s">
        <v>417</v>
      </c>
      <c r="J43" s="10">
        <v>3.3487999999999998</v>
      </c>
      <c r="K43" s="10">
        <v>3.6030000000000002</v>
      </c>
      <c r="L43" s="10">
        <v>0</v>
      </c>
      <c r="M43" s="10">
        <v>0</v>
      </c>
      <c r="N43" s="10"/>
      <c r="O43" s="10"/>
      <c r="P43" s="10"/>
      <c r="Q43" s="10"/>
      <c r="R43" s="10"/>
      <c r="S43" s="10"/>
      <c r="T43" s="10"/>
      <c r="U43" s="10"/>
      <c r="V43" s="4" t="s">
        <v>22</v>
      </c>
      <c r="W43" s="4"/>
      <c r="X43" s="8">
        <v>44623</v>
      </c>
      <c r="Y43" s="4"/>
      <c r="Z43" s="4"/>
      <c r="AA43" s="8">
        <v>44653</v>
      </c>
      <c r="AB43" s="8">
        <v>44667</v>
      </c>
      <c r="AC43" s="4"/>
      <c r="AD43" s="4"/>
    </row>
    <row r="44" spans="1:30" hidden="1">
      <c r="A44" s="4">
        <v>2393</v>
      </c>
      <c r="B44" s="8">
        <v>44621</v>
      </c>
      <c r="C44" s="4" t="s">
        <v>421</v>
      </c>
      <c r="D44" s="4" t="s">
        <v>42</v>
      </c>
      <c r="E44" s="8">
        <v>44627</v>
      </c>
      <c r="F44" s="4" t="s">
        <v>43</v>
      </c>
      <c r="G44" s="16" t="s">
        <v>44</v>
      </c>
      <c r="H44" s="4" t="s">
        <v>45</v>
      </c>
      <c r="I44" s="4" t="s">
        <v>405</v>
      </c>
      <c r="J44" s="10">
        <v>3.5859999999999999</v>
      </c>
      <c r="K44" s="10">
        <v>3.5859999999999999</v>
      </c>
      <c r="L44" s="10">
        <v>0</v>
      </c>
      <c r="M44" s="10">
        <v>0</v>
      </c>
      <c r="N44" s="10"/>
      <c r="O44" s="10"/>
      <c r="P44" s="10"/>
      <c r="Q44" s="10"/>
      <c r="R44" s="10"/>
      <c r="S44" s="10"/>
      <c r="T44" s="10"/>
      <c r="U44" s="10"/>
      <c r="V44" s="4" t="s">
        <v>22</v>
      </c>
      <c r="W44" s="4" t="s">
        <v>422</v>
      </c>
      <c r="X44" s="8">
        <v>44624</v>
      </c>
      <c r="Y44" s="4"/>
      <c r="Z44" s="4"/>
      <c r="AA44" s="8">
        <v>44653</v>
      </c>
      <c r="AB44" s="8"/>
      <c r="AC44" s="4"/>
      <c r="AD44" s="4"/>
    </row>
    <row r="45" spans="1:30" hidden="1">
      <c r="A45" s="4">
        <v>2393</v>
      </c>
      <c r="B45" s="8">
        <v>44621</v>
      </c>
      <c r="C45" s="4" t="s">
        <v>421</v>
      </c>
      <c r="D45" s="4" t="s">
        <v>42</v>
      </c>
      <c r="E45" s="8">
        <v>44627</v>
      </c>
      <c r="F45" s="4" t="s">
        <v>43</v>
      </c>
      <c r="G45" s="16" t="s">
        <v>44</v>
      </c>
      <c r="H45" s="4" t="s">
        <v>45</v>
      </c>
      <c r="I45" s="4" t="s">
        <v>400</v>
      </c>
      <c r="J45" s="10">
        <v>1.3027200000000001</v>
      </c>
      <c r="K45" s="10">
        <v>1.33</v>
      </c>
      <c r="L45" s="10">
        <v>0</v>
      </c>
      <c r="M45" s="10">
        <v>0</v>
      </c>
      <c r="N45" s="10"/>
      <c r="O45" s="10"/>
      <c r="P45" s="10"/>
      <c r="Q45" s="10"/>
      <c r="R45" s="10"/>
      <c r="S45" s="10"/>
      <c r="T45" s="10"/>
      <c r="U45" s="10"/>
      <c r="V45" s="4" t="s">
        <v>22</v>
      </c>
      <c r="W45" s="4"/>
      <c r="X45" s="8">
        <v>44624</v>
      </c>
      <c r="Y45" s="4"/>
      <c r="Z45" s="4"/>
      <c r="AA45" s="8">
        <v>44653</v>
      </c>
      <c r="AB45" s="8">
        <v>44653</v>
      </c>
      <c r="AC45" s="4"/>
      <c r="AD45" s="4"/>
    </row>
    <row r="46" spans="1:30" hidden="1">
      <c r="A46" s="4">
        <v>2393</v>
      </c>
      <c r="B46" s="8">
        <v>44621</v>
      </c>
      <c r="C46" s="4" t="s">
        <v>421</v>
      </c>
      <c r="D46" s="4" t="s">
        <v>42</v>
      </c>
      <c r="E46" s="8">
        <v>44627</v>
      </c>
      <c r="F46" s="4" t="s">
        <v>43</v>
      </c>
      <c r="G46" s="16" t="s">
        <v>44</v>
      </c>
      <c r="H46" s="4" t="s">
        <v>45</v>
      </c>
      <c r="I46" s="4" t="s">
        <v>46</v>
      </c>
      <c r="J46" s="10">
        <v>24.724340000000002</v>
      </c>
      <c r="K46" s="10">
        <v>24.891000000000002</v>
      </c>
      <c r="L46" s="10">
        <v>0</v>
      </c>
      <c r="M46" s="10">
        <v>0</v>
      </c>
      <c r="N46" s="10"/>
      <c r="O46" s="10"/>
      <c r="P46" s="10"/>
      <c r="Q46" s="10"/>
      <c r="R46" s="10"/>
      <c r="S46" s="10"/>
      <c r="T46" s="10"/>
      <c r="U46" s="10"/>
      <c r="V46" s="4" t="s">
        <v>22</v>
      </c>
      <c r="W46" s="4"/>
      <c r="X46" s="8">
        <v>44623</v>
      </c>
      <c r="Y46" s="4"/>
      <c r="Z46" s="4"/>
      <c r="AA46" s="8">
        <v>44626</v>
      </c>
      <c r="AB46" s="8">
        <v>44650</v>
      </c>
      <c r="AC46" s="4"/>
      <c r="AD46" s="4"/>
    </row>
    <row r="47" spans="1:30" hidden="1">
      <c r="A47" s="4">
        <v>2393</v>
      </c>
      <c r="B47" s="8">
        <v>44621</v>
      </c>
      <c r="C47" s="4" t="s">
        <v>421</v>
      </c>
      <c r="D47" s="4" t="s">
        <v>42</v>
      </c>
      <c r="E47" s="8">
        <v>44627</v>
      </c>
      <c r="F47" s="4" t="s">
        <v>43</v>
      </c>
      <c r="G47" s="16" t="s">
        <v>44</v>
      </c>
      <c r="H47" s="4" t="s">
        <v>45</v>
      </c>
      <c r="I47" s="4" t="s">
        <v>406</v>
      </c>
      <c r="J47" s="10">
        <v>1.7160000000000002</v>
      </c>
      <c r="K47" s="10">
        <v>1.835</v>
      </c>
      <c r="L47" s="10">
        <v>0</v>
      </c>
      <c r="M47" s="10">
        <v>0</v>
      </c>
      <c r="N47" s="10"/>
      <c r="O47" s="10"/>
      <c r="P47" s="10"/>
      <c r="Q47" s="10"/>
      <c r="R47" s="10"/>
      <c r="S47" s="10"/>
      <c r="T47" s="10"/>
      <c r="U47" s="10"/>
      <c r="V47" s="4" t="s">
        <v>22</v>
      </c>
      <c r="W47" s="4"/>
      <c r="X47" s="8">
        <v>44623</v>
      </c>
      <c r="Y47" s="4"/>
      <c r="Z47" s="4"/>
      <c r="AA47" s="8"/>
      <c r="AB47" s="8"/>
      <c r="AC47" s="4"/>
      <c r="AD47" s="4"/>
    </row>
    <row r="48" spans="1:30" hidden="1">
      <c r="A48" s="4">
        <v>2393</v>
      </c>
      <c r="B48" s="8">
        <v>44621</v>
      </c>
      <c r="C48" s="4" t="s">
        <v>421</v>
      </c>
      <c r="D48" s="4" t="s">
        <v>42</v>
      </c>
      <c r="E48" s="8">
        <v>44627</v>
      </c>
      <c r="F48" s="4" t="s">
        <v>43</v>
      </c>
      <c r="G48" s="16" t="s">
        <v>44</v>
      </c>
      <c r="H48" s="4" t="s">
        <v>45</v>
      </c>
      <c r="I48" s="4" t="s">
        <v>49</v>
      </c>
      <c r="J48" s="10">
        <v>10.232040000000001</v>
      </c>
      <c r="K48" s="10">
        <v>10.260000000000002</v>
      </c>
      <c r="L48" s="10">
        <v>0</v>
      </c>
      <c r="M48" s="10">
        <v>0</v>
      </c>
      <c r="N48" s="10"/>
      <c r="O48" s="10"/>
      <c r="P48" s="10"/>
      <c r="Q48" s="10"/>
      <c r="R48" s="10"/>
      <c r="S48" s="10"/>
      <c r="T48" s="10"/>
      <c r="U48" s="10"/>
      <c r="V48" s="4" t="s">
        <v>22</v>
      </c>
      <c r="W48" s="4"/>
      <c r="X48" s="8">
        <v>44645</v>
      </c>
      <c r="Y48" s="4"/>
      <c r="Z48" s="4"/>
      <c r="AA48" s="8">
        <v>44653</v>
      </c>
      <c r="AB48" s="8">
        <v>44653</v>
      </c>
      <c r="AC48" s="4"/>
      <c r="AD48" s="4"/>
    </row>
    <row r="49" spans="1:30" hidden="1">
      <c r="A49" s="4">
        <v>2393</v>
      </c>
      <c r="B49" s="8">
        <v>44621</v>
      </c>
      <c r="C49" s="4" t="s">
        <v>421</v>
      </c>
      <c r="D49" s="4" t="s">
        <v>42</v>
      </c>
      <c r="E49" s="8">
        <v>44627</v>
      </c>
      <c r="F49" s="4" t="s">
        <v>43</v>
      </c>
      <c r="G49" s="16" t="s">
        <v>44</v>
      </c>
      <c r="H49" s="4" t="s">
        <v>45</v>
      </c>
      <c r="I49" s="4" t="s">
        <v>423</v>
      </c>
      <c r="J49" s="10">
        <v>3.6179999999999999</v>
      </c>
      <c r="K49" s="10">
        <v>3.637</v>
      </c>
      <c r="L49" s="10">
        <v>0</v>
      </c>
      <c r="M49" s="10">
        <v>0</v>
      </c>
      <c r="N49" s="10"/>
      <c r="O49" s="10"/>
      <c r="P49" s="10"/>
      <c r="Q49" s="10"/>
      <c r="R49" s="10"/>
      <c r="S49" s="10"/>
      <c r="T49" s="10"/>
      <c r="U49" s="10"/>
      <c r="V49" s="4" t="s">
        <v>22</v>
      </c>
      <c r="W49" s="4"/>
      <c r="X49" s="8">
        <v>44646</v>
      </c>
      <c r="Y49" s="4"/>
      <c r="Z49" s="4"/>
      <c r="AA49" s="8"/>
      <c r="AB49" s="8"/>
      <c r="AC49" s="4"/>
      <c r="AD49" s="4"/>
    </row>
    <row r="50" spans="1:30" hidden="1">
      <c r="A50" s="4">
        <v>2393</v>
      </c>
      <c r="B50" s="8">
        <v>44621</v>
      </c>
      <c r="C50" s="4" t="s">
        <v>421</v>
      </c>
      <c r="D50" s="4" t="s">
        <v>42</v>
      </c>
      <c r="E50" s="8">
        <v>44627</v>
      </c>
      <c r="F50" s="4" t="s">
        <v>43</v>
      </c>
      <c r="G50" s="16" t="s">
        <v>44</v>
      </c>
      <c r="H50" s="4" t="s">
        <v>45</v>
      </c>
      <c r="I50" s="4" t="s">
        <v>50</v>
      </c>
      <c r="J50" s="10">
        <v>26.052809999999994</v>
      </c>
      <c r="K50" s="10">
        <v>26.175999999999998</v>
      </c>
      <c r="L50" s="10">
        <v>0</v>
      </c>
      <c r="M50" s="10">
        <v>0</v>
      </c>
      <c r="N50" s="10"/>
      <c r="O50" s="10"/>
      <c r="P50" s="10"/>
      <c r="Q50" s="10"/>
      <c r="R50" s="10"/>
      <c r="S50" s="10"/>
      <c r="T50" s="10"/>
      <c r="U50" s="10"/>
      <c r="V50" s="4" t="s">
        <v>22</v>
      </c>
      <c r="W50" s="4"/>
      <c r="X50" s="8">
        <v>44645</v>
      </c>
      <c r="Y50" s="4"/>
      <c r="Z50" s="4"/>
      <c r="AA50" s="8">
        <v>44649</v>
      </c>
      <c r="AB50" s="8">
        <v>44653</v>
      </c>
      <c r="AC50" s="4"/>
      <c r="AD50" s="4"/>
    </row>
    <row r="51" spans="1:30" hidden="1">
      <c r="A51" s="4">
        <v>2393</v>
      </c>
      <c r="B51" s="8">
        <v>44621</v>
      </c>
      <c r="C51" s="4" t="s">
        <v>421</v>
      </c>
      <c r="D51" s="4" t="s">
        <v>42</v>
      </c>
      <c r="E51" s="8">
        <v>44627</v>
      </c>
      <c r="F51" s="4" t="s">
        <v>43</v>
      </c>
      <c r="G51" s="16" t="s">
        <v>44</v>
      </c>
      <c r="H51" s="4" t="s">
        <v>45</v>
      </c>
      <c r="I51" s="4" t="s">
        <v>407</v>
      </c>
      <c r="J51" s="10">
        <v>0.54765999999999992</v>
      </c>
      <c r="K51" s="10">
        <v>0.59899999999999998</v>
      </c>
      <c r="L51" s="10">
        <v>0</v>
      </c>
      <c r="M51" s="10">
        <v>0</v>
      </c>
      <c r="N51" s="10"/>
      <c r="O51" s="10"/>
      <c r="P51" s="10"/>
      <c r="Q51" s="10"/>
      <c r="R51" s="10"/>
      <c r="S51" s="10"/>
      <c r="T51" s="10"/>
      <c r="U51" s="10"/>
      <c r="V51" s="4" t="s">
        <v>22</v>
      </c>
      <c r="W51" s="4"/>
      <c r="X51" s="8">
        <v>44620</v>
      </c>
      <c r="Y51" s="4"/>
      <c r="Z51" s="4"/>
      <c r="AA51" s="8">
        <v>44650</v>
      </c>
      <c r="AB51" s="8">
        <v>44650</v>
      </c>
      <c r="AC51" s="4"/>
      <c r="AD51" s="4"/>
    </row>
    <row r="52" spans="1:30" hidden="1">
      <c r="A52" s="4">
        <v>2393</v>
      </c>
      <c r="B52" s="8">
        <v>44621</v>
      </c>
      <c r="C52" s="4" t="s">
        <v>421</v>
      </c>
      <c r="D52" s="4" t="s">
        <v>42</v>
      </c>
      <c r="E52" s="8">
        <v>44627</v>
      </c>
      <c r="F52" s="4" t="s">
        <v>43</v>
      </c>
      <c r="G52" s="16" t="s">
        <v>44</v>
      </c>
      <c r="H52" s="4" t="s">
        <v>45</v>
      </c>
      <c r="I52" s="4" t="s">
        <v>409</v>
      </c>
      <c r="J52" s="10">
        <v>0.54049999999999998</v>
      </c>
      <c r="K52" s="10">
        <v>0.56399999999999995</v>
      </c>
      <c r="L52" s="10">
        <v>0</v>
      </c>
      <c r="M52" s="10">
        <v>0</v>
      </c>
      <c r="N52" s="10"/>
      <c r="O52" s="10"/>
      <c r="P52" s="10"/>
      <c r="Q52" s="10"/>
      <c r="R52" s="10"/>
      <c r="S52" s="10"/>
      <c r="T52" s="10"/>
      <c r="U52" s="10"/>
      <c r="V52" s="4" t="s">
        <v>22</v>
      </c>
      <c r="W52" s="4"/>
      <c r="X52" s="8">
        <v>44620</v>
      </c>
      <c r="Y52" s="4"/>
      <c r="Z52" s="4"/>
      <c r="AA52" s="8">
        <v>44650</v>
      </c>
      <c r="AB52" s="8">
        <v>44650</v>
      </c>
      <c r="AC52" s="4"/>
      <c r="AD52" s="4"/>
    </row>
    <row r="53" spans="1:30" hidden="1">
      <c r="A53" s="4">
        <v>2393</v>
      </c>
      <c r="B53" s="8">
        <v>44621</v>
      </c>
      <c r="C53" s="4" t="s">
        <v>421</v>
      </c>
      <c r="D53" s="4" t="s">
        <v>42</v>
      </c>
      <c r="E53" s="8">
        <v>44627</v>
      </c>
      <c r="F53" s="4" t="s">
        <v>43</v>
      </c>
      <c r="G53" s="16" t="s">
        <v>44</v>
      </c>
      <c r="H53" s="4" t="s">
        <v>45</v>
      </c>
      <c r="I53" s="4" t="s">
        <v>410</v>
      </c>
      <c r="J53" s="10">
        <v>0.53424000000000005</v>
      </c>
      <c r="K53" s="10">
        <v>0.53400000000000003</v>
      </c>
      <c r="L53" s="10">
        <v>0</v>
      </c>
      <c r="M53" s="10">
        <v>0</v>
      </c>
      <c r="N53" s="10"/>
      <c r="O53" s="10"/>
      <c r="P53" s="10"/>
      <c r="Q53" s="10"/>
      <c r="R53" s="10"/>
      <c r="S53" s="10"/>
      <c r="T53" s="10"/>
      <c r="U53" s="10"/>
      <c r="V53" s="4" t="s">
        <v>22</v>
      </c>
      <c r="W53" s="4"/>
      <c r="X53" s="8"/>
      <c r="Y53" s="4"/>
      <c r="Z53" s="4"/>
      <c r="AA53" s="8">
        <v>44650</v>
      </c>
      <c r="AB53" s="8">
        <v>44650</v>
      </c>
      <c r="AC53" s="4"/>
      <c r="AD53" s="4"/>
    </row>
    <row r="54" spans="1:30" hidden="1">
      <c r="A54" s="4">
        <v>2393</v>
      </c>
      <c r="B54" s="8">
        <v>44621</v>
      </c>
      <c r="C54" s="4" t="s">
        <v>421</v>
      </c>
      <c r="D54" s="4" t="s">
        <v>42</v>
      </c>
      <c r="E54" s="8">
        <v>44627</v>
      </c>
      <c r="F54" s="4" t="s">
        <v>43</v>
      </c>
      <c r="G54" s="16" t="s">
        <v>51</v>
      </c>
      <c r="H54" s="4" t="s">
        <v>52</v>
      </c>
      <c r="I54" s="4" t="s">
        <v>403</v>
      </c>
      <c r="J54" s="10">
        <v>0.996</v>
      </c>
      <c r="K54" s="10">
        <v>0.996</v>
      </c>
      <c r="L54" s="10">
        <v>0</v>
      </c>
      <c r="M54" s="10">
        <v>0</v>
      </c>
      <c r="N54" s="10"/>
      <c r="O54" s="10"/>
      <c r="P54" s="10"/>
      <c r="Q54" s="10"/>
      <c r="R54" s="10"/>
      <c r="S54" s="10"/>
      <c r="T54" s="10"/>
      <c r="U54" s="10"/>
      <c r="V54" s="4" t="s">
        <v>22</v>
      </c>
      <c r="W54" s="4"/>
      <c r="X54" s="8">
        <v>44663</v>
      </c>
      <c r="Y54" s="4"/>
      <c r="Z54" s="4"/>
      <c r="AA54" s="8">
        <v>44667</v>
      </c>
      <c r="AB54" s="8">
        <v>44667</v>
      </c>
      <c r="AC54" s="4"/>
      <c r="AD54" s="4"/>
    </row>
    <row r="55" spans="1:30" hidden="1">
      <c r="A55" s="4">
        <v>2393</v>
      </c>
      <c r="B55" s="8">
        <v>44621</v>
      </c>
      <c r="C55" s="4" t="s">
        <v>421</v>
      </c>
      <c r="D55" s="4" t="s">
        <v>42</v>
      </c>
      <c r="E55" s="8">
        <v>44627</v>
      </c>
      <c r="F55" s="4" t="s">
        <v>43</v>
      </c>
      <c r="G55" s="16" t="s">
        <v>51</v>
      </c>
      <c r="H55" s="4" t="s">
        <v>52</v>
      </c>
      <c r="I55" s="4" t="s">
        <v>46</v>
      </c>
      <c r="J55" s="10">
        <v>0.34304000000000001</v>
      </c>
      <c r="K55" s="10">
        <v>0.34300000000000003</v>
      </c>
      <c r="L55" s="10">
        <v>0</v>
      </c>
      <c r="M55" s="10">
        <v>0</v>
      </c>
      <c r="N55" s="10"/>
      <c r="O55" s="10"/>
      <c r="P55" s="10">
        <v>0</v>
      </c>
      <c r="Q55" s="10"/>
      <c r="R55" s="10"/>
      <c r="S55" s="10"/>
      <c r="T55" s="10"/>
      <c r="U55" s="10"/>
      <c r="V55" s="4" t="s">
        <v>22</v>
      </c>
      <c r="W55" s="4"/>
      <c r="X55" s="8">
        <v>44663</v>
      </c>
      <c r="Y55" s="4"/>
      <c r="Z55" s="4"/>
      <c r="AA55" s="8">
        <v>44667</v>
      </c>
      <c r="AB55" s="8">
        <v>44667</v>
      </c>
      <c r="AC55" s="4"/>
      <c r="AD55" s="4"/>
    </row>
    <row r="56" spans="1:30" hidden="1">
      <c r="A56" s="4">
        <v>2394</v>
      </c>
      <c r="B56" s="8">
        <v>44621</v>
      </c>
      <c r="C56" s="4" t="s">
        <v>424</v>
      </c>
      <c r="D56" s="4" t="s">
        <v>42</v>
      </c>
      <c r="E56" s="8">
        <v>44635</v>
      </c>
      <c r="F56" s="4" t="s">
        <v>43</v>
      </c>
      <c r="G56" s="16" t="s">
        <v>44</v>
      </c>
      <c r="H56" s="4" t="s">
        <v>45</v>
      </c>
      <c r="I56" s="4" t="s">
        <v>403</v>
      </c>
      <c r="J56" s="10">
        <v>0.23571999999999999</v>
      </c>
      <c r="K56" s="10">
        <v>0.33400000000000002</v>
      </c>
      <c r="L56" s="10">
        <v>0</v>
      </c>
      <c r="M56" s="10">
        <v>0</v>
      </c>
      <c r="N56" s="10"/>
      <c r="O56" s="10"/>
      <c r="P56" s="10"/>
      <c r="Q56" s="10"/>
      <c r="R56" s="10"/>
      <c r="S56" s="10"/>
      <c r="T56" s="10"/>
      <c r="U56" s="10"/>
      <c r="V56" s="4" t="s">
        <v>425</v>
      </c>
      <c r="W56" s="4"/>
      <c r="X56" s="8">
        <v>44623</v>
      </c>
      <c r="Y56" s="4"/>
      <c r="Z56" s="4"/>
      <c r="AA56" s="8">
        <v>44653</v>
      </c>
      <c r="AB56" s="8">
        <v>44653</v>
      </c>
      <c r="AC56" s="4"/>
      <c r="AD56" s="4"/>
    </row>
    <row r="57" spans="1:30" hidden="1">
      <c r="A57" s="4">
        <v>2394</v>
      </c>
      <c r="B57" s="8">
        <v>44621</v>
      </c>
      <c r="C57" s="4" t="s">
        <v>424</v>
      </c>
      <c r="D57" s="4" t="s">
        <v>42</v>
      </c>
      <c r="E57" s="8">
        <v>44635</v>
      </c>
      <c r="F57" s="4" t="s">
        <v>43</v>
      </c>
      <c r="G57" s="16" t="s">
        <v>44</v>
      </c>
      <c r="H57" s="4" t="s">
        <v>45</v>
      </c>
      <c r="I57" s="4" t="s">
        <v>50</v>
      </c>
      <c r="J57" s="10">
        <v>0.23225999999999997</v>
      </c>
      <c r="K57" s="10">
        <v>0.29699999999999999</v>
      </c>
      <c r="L57" s="10">
        <v>0</v>
      </c>
      <c r="M57" s="10">
        <v>0</v>
      </c>
      <c r="N57" s="10"/>
      <c r="O57" s="10"/>
      <c r="P57" s="10"/>
      <c r="Q57" s="10"/>
      <c r="R57" s="10"/>
      <c r="S57" s="10"/>
      <c r="T57" s="10"/>
      <c r="U57" s="10"/>
      <c r="V57" s="4" t="s">
        <v>425</v>
      </c>
      <c r="W57" s="4"/>
      <c r="X57" s="8">
        <v>44645</v>
      </c>
      <c r="Y57" s="4"/>
      <c r="Z57" s="4"/>
      <c r="AA57" s="8">
        <v>44653</v>
      </c>
      <c r="AB57" s="8">
        <v>44653</v>
      </c>
      <c r="AC57" s="4"/>
      <c r="AD57" s="4"/>
    </row>
    <row r="58" spans="1:30" hidden="1">
      <c r="A58" s="4">
        <v>2394</v>
      </c>
      <c r="B58" s="8">
        <v>44621</v>
      </c>
      <c r="C58" s="4" t="s">
        <v>424</v>
      </c>
      <c r="D58" s="4" t="s">
        <v>42</v>
      </c>
      <c r="E58" s="8">
        <v>44635</v>
      </c>
      <c r="F58" s="4" t="s">
        <v>43</v>
      </c>
      <c r="G58" s="16" t="s">
        <v>44</v>
      </c>
      <c r="H58" s="4" t="s">
        <v>45</v>
      </c>
      <c r="I58" s="4" t="s">
        <v>409</v>
      </c>
      <c r="J58" s="10">
        <v>0.50290000000000001</v>
      </c>
      <c r="K58" s="10">
        <v>0.53600000000000003</v>
      </c>
      <c r="L58" s="10">
        <v>0</v>
      </c>
      <c r="M58" s="10">
        <v>0</v>
      </c>
      <c r="N58" s="10"/>
      <c r="O58" s="10"/>
      <c r="P58" s="10"/>
      <c r="Q58" s="10"/>
      <c r="R58" s="10"/>
      <c r="S58" s="10"/>
      <c r="T58" s="10"/>
      <c r="U58" s="10"/>
      <c r="V58" s="4" t="s">
        <v>425</v>
      </c>
      <c r="W58" s="4"/>
      <c r="X58" s="8">
        <v>44620</v>
      </c>
      <c r="Y58" s="4"/>
      <c r="Z58" s="4"/>
      <c r="AA58" s="8">
        <v>44650</v>
      </c>
      <c r="AB58" s="8">
        <v>44650</v>
      </c>
      <c r="AC58" s="4"/>
      <c r="AD58" s="4"/>
    </row>
    <row r="59" spans="1:30" hidden="1">
      <c r="A59" s="4">
        <v>2398</v>
      </c>
      <c r="B59" s="8">
        <v>44621</v>
      </c>
      <c r="C59" s="4" t="s">
        <v>426</v>
      </c>
      <c r="D59" s="4" t="s">
        <v>42</v>
      </c>
      <c r="E59" s="8">
        <v>44635</v>
      </c>
      <c r="F59" s="4" t="s">
        <v>43</v>
      </c>
      <c r="G59" s="16" t="s">
        <v>51</v>
      </c>
      <c r="H59" s="4" t="s">
        <v>52</v>
      </c>
      <c r="I59" s="4" t="s">
        <v>403</v>
      </c>
      <c r="J59" s="10">
        <v>9.9599999999999994E-2</v>
      </c>
      <c r="K59" s="10">
        <v>0.14099999999999999</v>
      </c>
      <c r="L59" s="10">
        <v>0</v>
      </c>
      <c r="M59" s="10">
        <v>0</v>
      </c>
      <c r="N59" s="10"/>
      <c r="O59" s="10"/>
      <c r="P59" s="10">
        <v>0</v>
      </c>
      <c r="Q59" s="10"/>
      <c r="R59" s="10"/>
      <c r="S59" s="10"/>
      <c r="T59" s="10"/>
      <c r="U59" s="10"/>
      <c r="V59" s="4" t="s">
        <v>427</v>
      </c>
      <c r="W59" s="4"/>
      <c r="X59" s="8">
        <v>44663</v>
      </c>
      <c r="Y59" s="4"/>
      <c r="Z59" s="4"/>
      <c r="AA59" s="8">
        <v>44667</v>
      </c>
      <c r="AB59" s="8">
        <v>44667</v>
      </c>
      <c r="AC59" s="4"/>
      <c r="AD59" s="4"/>
    </row>
    <row r="60" spans="1:30" hidden="1">
      <c r="A60" s="4">
        <v>2398</v>
      </c>
      <c r="B60" s="8">
        <v>44621</v>
      </c>
      <c r="C60" s="4" t="s">
        <v>426</v>
      </c>
      <c r="D60" s="4" t="s">
        <v>42</v>
      </c>
      <c r="E60" s="8">
        <v>44635</v>
      </c>
      <c r="F60" s="4" t="s">
        <v>43</v>
      </c>
      <c r="G60" s="16" t="s">
        <v>51</v>
      </c>
      <c r="H60" s="4" t="s">
        <v>52</v>
      </c>
      <c r="I60" s="4" t="s">
        <v>46</v>
      </c>
      <c r="J60" s="10">
        <v>0.59764000000000006</v>
      </c>
      <c r="K60" s="10">
        <v>0.68300000000000005</v>
      </c>
      <c r="L60" s="10">
        <v>0</v>
      </c>
      <c r="M60" s="10">
        <v>0</v>
      </c>
      <c r="N60" s="10"/>
      <c r="O60" s="10"/>
      <c r="P60" s="10"/>
      <c r="Q60" s="10"/>
      <c r="R60" s="10"/>
      <c r="S60" s="10"/>
      <c r="T60" s="10"/>
      <c r="U60" s="10"/>
      <c r="V60" s="4" t="s">
        <v>427</v>
      </c>
      <c r="W60" s="4"/>
      <c r="X60" s="8">
        <v>44663</v>
      </c>
      <c r="Y60" s="4"/>
      <c r="Z60" s="4"/>
      <c r="AA60" s="8">
        <v>44667</v>
      </c>
      <c r="AB60" s="8">
        <v>44667</v>
      </c>
      <c r="AC60" s="4"/>
      <c r="AD60" s="4"/>
    </row>
    <row r="61" spans="1:30" hidden="1">
      <c r="A61" s="4">
        <v>2396</v>
      </c>
      <c r="B61" s="8">
        <v>44621</v>
      </c>
      <c r="C61" s="4" t="s">
        <v>428</v>
      </c>
      <c r="D61" s="4" t="s">
        <v>42</v>
      </c>
      <c r="E61" s="8">
        <v>44627</v>
      </c>
      <c r="F61" s="4" t="s">
        <v>43</v>
      </c>
      <c r="G61" s="16" t="s">
        <v>44</v>
      </c>
      <c r="H61" s="4" t="s">
        <v>45</v>
      </c>
      <c r="I61" s="4" t="s">
        <v>50</v>
      </c>
      <c r="J61" s="10">
        <v>8.7999999999999995E-2</v>
      </c>
      <c r="K61" s="10">
        <v>8.7999999999999995E-2</v>
      </c>
      <c r="L61" s="10">
        <v>0</v>
      </c>
      <c r="M61" s="10">
        <v>0</v>
      </c>
      <c r="N61" s="10"/>
      <c r="O61" s="10"/>
      <c r="P61" s="10"/>
      <c r="Q61" s="10"/>
      <c r="R61" s="10"/>
      <c r="S61" s="10"/>
      <c r="T61" s="10"/>
      <c r="U61" s="10"/>
      <c r="V61" s="4" t="s">
        <v>429</v>
      </c>
      <c r="W61" s="4"/>
      <c r="X61" s="8">
        <v>44645</v>
      </c>
      <c r="Y61" s="4"/>
      <c r="Z61" s="4"/>
      <c r="AA61" s="8">
        <v>44653</v>
      </c>
      <c r="AB61" s="8">
        <v>44653</v>
      </c>
      <c r="AC61" s="4"/>
      <c r="AD61" s="4"/>
    </row>
    <row r="62" spans="1:30" hidden="1">
      <c r="A62" s="4">
        <v>2396</v>
      </c>
      <c r="B62" s="8">
        <v>44621</v>
      </c>
      <c r="C62" s="4" t="s">
        <v>428</v>
      </c>
      <c r="D62" s="4" t="s">
        <v>42</v>
      </c>
      <c r="E62" s="8">
        <v>44627</v>
      </c>
      <c r="F62" s="4" t="s">
        <v>43</v>
      </c>
      <c r="G62" s="16" t="s">
        <v>44</v>
      </c>
      <c r="H62" s="4" t="s">
        <v>45</v>
      </c>
      <c r="I62" s="4" t="s">
        <v>49</v>
      </c>
      <c r="J62" s="10">
        <v>0.60099999999999998</v>
      </c>
      <c r="K62" s="10">
        <v>0.64700000000000002</v>
      </c>
      <c r="L62" s="10">
        <v>0</v>
      </c>
      <c r="M62" s="10">
        <v>0</v>
      </c>
      <c r="N62" s="10"/>
      <c r="O62" s="10"/>
      <c r="P62" s="10"/>
      <c r="Q62" s="10"/>
      <c r="R62" s="10"/>
      <c r="S62" s="10"/>
      <c r="T62" s="10"/>
      <c r="U62" s="10"/>
      <c r="V62" s="4" t="s">
        <v>429</v>
      </c>
      <c r="W62" s="4"/>
      <c r="X62" s="8">
        <v>44645</v>
      </c>
      <c r="Y62" s="4"/>
      <c r="Z62" s="4"/>
      <c r="AA62" s="8">
        <v>44653</v>
      </c>
      <c r="AB62" s="8">
        <v>44653</v>
      </c>
      <c r="AC62" s="4"/>
      <c r="AD62" s="4"/>
    </row>
    <row r="63" spans="1:30" hidden="1">
      <c r="A63" s="4">
        <v>2537</v>
      </c>
      <c r="B63" s="8">
        <v>44641</v>
      </c>
      <c r="C63" s="4" t="s">
        <v>430</v>
      </c>
      <c r="D63" s="4" t="s">
        <v>42</v>
      </c>
      <c r="E63" s="8">
        <v>44651</v>
      </c>
      <c r="F63" s="4" t="s">
        <v>43</v>
      </c>
      <c r="G63" s="15" t="s">
        <v>19</v>
      </c>
      <c r="H63" s="4" t="s">
        <v>45</v>
      </c>
      <c r="I63" s="4" t="s">
        <v>407</v>
      </c>
      <c r="J63" s="10">
        <v>0.14000000000000001</v>
      </c>
      <c r="K63" s="10">
        <v>0.14899999999999999</v>
      </c>
      <c r="L63" s="10">
        <v>0</v>
      </c>
      <c r="M63" s="10">
        <v>0</v>
      </c>
      <c r="N63" s="10"/>
      <c r="O63" s="10"/>
      <c r="P63" s="10"/>
      <c r="Q63" s="10"/>
      <c r="R63" s="10"/>
      <c r="S63" s="10"/>
      <c r="T63" s="10"/>
      <c r="U63" s="10"/>
      <c r="V63" s="4" t="s">
        <v>431</v>
      </c>
      <c r="W63" s="4"/>
      <c r="X63" s="8"/>
      <c r="Y63" s="4"/>
      <c r="Z63" s="4"/>
      <c r="AA63" s="8">
        <v>44651</v>
      </c>
      <c r="AB63" s="8">
        <v>44651</v>
      </c>
      <c r="AC63" s="4"/>
      <c r="AD63" s="4"/>
    </row>
    <row r="64" spans="1:30" hidden="1">
      <c r="A64" s="4">
        <v>2537</v>
      </c>
      <c r="B64" s="8">
        <v>44641</v>
      </c>
      <c r="C64" s="4" t="s">
        <v>430</v>
      </c>
      <c r="D64" s="4" t="s">
        <v>42</v>
      </c>
      <c r="E64" s="8">
        <v>44651</v>
      </c>
      <c r="F64" s="4" t="s">
        <v>43</v>
      </c>
      <c r="G64" s="15" t="s">
        <v>19</v>
      </c>
      <c r="H64" s="4" t="s">
        <v>45</v>
      </c>
      <c r="I64" s="4" t="s">
        <v>409</v>
      </c>
      <c r="J64" s="10">
        <v>0.21</v>
      </c>
      <c r="K64" s="10">
        <v>0.28299999999999997</v>
      </c>
      <c r="L64" s="10">
        <v>0</v>
      </c>
      <c r="M64" s="10">
        <v>0</v>
      </c>
      <c r="N64" s="10"/>
      <c r="O64" s="10"/>
      <c r="P64" s="10"/>
      <c r="Q64" s="10"/>
      <c r="R64" s="10"/>
      <c r="S64" s="10"/>
      <c r="T64" s="10"/>
      <c r="U64" s="10"/>
      <c r="V64" s="4" t="s">
        <v>431</v>
      </c>
      <c r="W64" s="4"/>
      <c r="X64" s="8"/>
      <c r="Y64" s="4"/>
      <c r="Z64" s="4"/>
      <c r="AA64" s="8"/>
      <c r="AB64" s="8"/>
      <c r="AC64" s="4"/>
      <c r="AD64" s="4"/>
    </row>
    <row r="65" spans="1:30" hidden="1">
      <c r="A65" s="4">
        <v>2537</v>
      </c>
      <c r="B65" s="8">
        <v>44651</v>
      </c>
      <c r="C65" s="4" t="s">
        <v>430</v>
      </c>
      <c r="D65" s="4" t="s">
        <v>42</v>
      </c>
      <c r="E65" s="8">
        <v>44651</v>
      </c>
      <c r="F65" s="4" t="s">
        <v>43</v>
      </c>
      <c r="G65" s="16" t="s">
        <v>44</v>
      </c>
      <c r="H65" s="4" t="s">
        <v>45</v>
      </c>
      <c r="I65" s="4" t="s">
        <v>407</v>
      </c>
      <c r="J65" s="10">
        <v>0.65</v>
      </c>
      <c r="K65" s="10">
        <v>0.65</v>
      </c>
      <c r="L65" s="10">
        <v>0</v>
      </c>
      <c r="M65" s="10">
        <v>0</v>
      </c>
      <c r="N65" s="10"/>
      <c r="O65" s="10"/>
      <c r="P65" s="10"/>
      <c r="Q65" s="10"/>
      <c r="R65" s="10"/>
      <c r="S65" s="10"/>
      <c r="T65" s="10"/>
      <c r="U65" s="10"/>
      <c r="V65" s="4" t="s">
        <v>429</v>
      </c>
      <c r="W65" s="4"/>
      <c r="X65" s="8"/>
      <c r="Y65" s="4"/>
      <c r="Z65" s="4"/>
      <c r="AA65" s="8">
        <v>44651</v>
      </c>
      <c r="AB65" s="8">
        <v>44651</v>
      </c>
      <c r="AC65" s="4"/>
      <c r="AD65" s="4"/>
    </row>
    <row r="66" spans="1:30" hidden="1">
      <c r="A66" s="4">
        <v>2537</v>
      </c>
      <c r="B66" s="8">
        <v>44641</v>
      </c>
      <c r="C66" s="4" t="s">
        <v>430</v>
      </c>
      <c r="D66" s="4" t="s">
        <v>42</v>
      </c>
      <c r="E66" s="8">
        <v>44651</v>
      </c>
      <c r="F66" s="4" t="s">
        <v>43</v>
      </c>
      <c r="G66" s="39" t="s">
        <v>186</v>
      </c>
      <c r="H66" s="4" t="s">
        <v>45</v>
      </c>
      <c r="I66" s="4" t="s">
        <v>407</v>
      </c>
      <c r="J66" s="10">
        <v>3.97</v>
      </c>
      <c r="K66" s="10">
        <v>4.2590000000000003</v>
      </c>
      <c r="L66" s="10">
        <v>0</v>
      </c>
      <c r="M66" s="10">
        <v>0</v>
      </c>
      <c r="N66" s="10"/>
      <c r="O66" s="10"/>
      <c r="P66" s="10"/>
      <c r="Q66" s="10"/>
      <c r="R66" s="10"/>
      <c r="S66" s="10"/>
      <c r="T66" s="10"/>
      <c r="U66" s="10"/>
      <c r="V66" s="4" t="s">
        <v>404</v>
      </c>
      <c r="W66" s="4"/>
      <c r="X66" s="8"/>
      <c r="Y66" s="4"/>
      <c r="Z66" s="4"/>
      <c r="AA66" s="8">
        <v>44651</v>
      </c>
      <c r="AB66" s="8">
        <v>44651</v>
      </c>
      <c r="AC66" s="4"/>
      <c r="AD66" s="4"/>
    </row>
    <row r="67" spans="1:30" hidden="1">
      <c r="A67" s="4">
        <v>2537</v>
      </c>
      <c r="B67" s="8">
        <v>44641</v>
      </c>
      <c r="C67" s="4" t="s">
        <v>430</v>
      </c>
      <c r="D67" s="4" t="s">
        <v>42</v>
      </c>
      <c r="E67" s="8">
        <v>44651</v>
      </c>
      <c r="F67" s="4" t="s">
        <v>43</v>
      </c>
      <c r="G67" s="39" t="s">
        <v>186</v>
      </c>
      <c r="H67" s="4" t="s">
        <v>45</v>
      </c>
      <c r="I67" s="4" t="s">
        <v>409</v>
      </c>
      <c r="J67" s="10">
        <v>1.42</v>
      </c>
      <c r="K67" s="10">
        <v>1.4159999999999999</v>
      </c>
      <c r="L67" s="10">
        <v>0</v>
      </c>
      <c r="M67" s="10">
        <v>0</v>
      </c>
      <c r="N67" s="10"/>
      <c r="O67" s="10"/>
      <c r="P67" s="10"/>
      <c r="Q67" s="10"/>
      <c r="R67" s="10"/>
      <c r="S67" s="10"/>
      <c r="T67" s="10"/>
      <c r="U67" s="10"/>
      <c r="V67" s="4" t="s">
        <v>404</v>
      </c>
      <c r="W67" s="4"/>
      <c r="X67" s="8"/>
      <c r="Y67" s="4"/>
      <c r="Z67" s="4"/>
      <c r="AA67" s="8">
        <v>44651</v>
      </c>
      <c r="AB67" s="8">
        <v>44651</v>
      </c>
      <c r="AC67" s="4"/>
      <c r="AD67" s="4"/>
    </row>
    <row r="68" spans="1:30" hidden="1">
      <c r="A68" s="4">
        <v>2557</v>
      </c>
      <c r="B68" s="8">
        <v>44656</v>
      </c>
      <c r="C68" s="4" t="s">
        <v>421</v>
      </c>
      <c r="D68" s="4" t="s">
        <v>42</v>
      </c>
      <c r="E68" s="8">
        <v>44666</v>
      </c>
      <c r="F68" s="4" t="s">
        <v>43</v>
      </c>
      <c r="G68" s="16" t="s">
        <v>44</v>
      </c>
      <c r="H68" s="4" t="s">
        <v>45</v>
      </c>
      <c r="I68" s="4" t="s">
        <v>46</v>
      </c>
      <c r="J68" s="10">
        <v>0.58289999999999997</v>
      </c>
      <c r="K68" s="10">
        <v>0.63</v>
      </c>
      <c r="L68" s="10">
        <v>0</v>
      </c>
      <c r="M68" s="10">
        <v>0</v>
      </c>
      <c r="N68" s="10"/>
      <c r="O68" s="10"/>
      <c r="P68" s="10">
        <v>0</v>
      </c>
      <c r="Q68" s="10"/>
      <c r="R68" s="10"/>
      <c r="S68" s="10"/>
      <c r="T68" s="10"/>
      <c r="U68" s="10"/>
      <c r="V68" s="4" t="s">
        <v>429</v>
      </c>
      <c r="W68" s="4"/>
      <c r="X68" s="8">
        <v>44663</v>
      </c>
      <c r="Y68" s="4"/>
      <c r="Z68" s="4"/>
      <c r="AA68" s="8">
        <v>44667</v>
      </c>
      <c r="AB68" s="8">
        <v>44667</v>
      </c>
      <c r="AC68" s="4"/>
      <c r="AD68" s="4"/>
    </row>
    <row r="69" spans="1:30" hidden="1">
      <c r="A69" s="4">
        <v>2557</v>
      </c>
      <c r="B69" s="8">
        <v>44656</v>
      </c>
      <c r="C69" s="4"/>
      <c r="D69" s="4" t="s">
        <v>397</v>
      </c>
      <c r="E69" s="8">
        <v>44666</v>
      </c>
      <c r="F69" s="4" t="s">
        <v>43</v>
      </c>
      <c r="G69" s="16" t="s">
        <v>44</v>
      </c>
      <c r="H69" s="4" t="s">
        <v>45</v>
      </c>
      <c r="I69" s="4" t="s">
        <v>432</v>
      </c>
      <c r="J69" s="10">
        <v>2.1542400000000002</v>
      </c>
      <c r="K69" s="10">
        <v>2.1539999999999999</v>
      </c>
      <c r="L69" s="10">
        <v>0</v>
      </c>
      <c r="M69" s="10">
        <v>0</v>
      </c>
      <c r="N69" s="10"/>
      <c r="O69" s="10"/>
      <c r="P69" s="10"/>
      <c r="Q69" s="10"/>
      <c r="R69" s="10"/>
      <c r="S69" s="10"/>
      <c r="T69" s="10">
        <v>0</v>
      </c>
      <c r="U69" s="10"/>
      <c r="V69" s="4" t="s">
        <v>429</v>
      </c>
      <c r="W69" s="4"/>
      <c r="X69" s="8"/>
      <c r="Y69" s="4"/>
      <c r="Z69" s="4"/>
      <c r="AA69" s="8"/>
      <c r="AB69" s="8"/>
      <c r="AC69" s="4"/>
      <c r="AD69" s="4"/>
    </row>
    <row r="70" spans="1:30" hidden="1">
      <c r="A70" s="4">
        <v>2557</v>
      </c>
      <c r="B70" s="8">
        <v>44656</v>
      </c>
      <c r="C70" s="4" t="s">
        <v>433</v>
      </c>
      <c r="D70" s="4" t="s">
        <v>397</v>
      </c>
      <c r="E70" s="8">
        <v>44666</v>
      </c>
      <c r="F70" s="4" t="s">
        <v>43</v>
      </c>
      <c r="G70" s="16" t="s">
        <v>44</v>
      </c>
      <c r="H70" s="4" t="s">
        <v>45</v>
      </c>
      <c r="I70" s="4" t="s">
        <v>434</v>
      </c>
      <c r="J70" s="10">
        <v>0.12118000000000001</v>
      </c>
      <c r="K70" s="10">
        <v>0.121</v>
      </c>
      <c r="L70" s="10">
        <v>0</v>
      </c>
      <c r="M70" s="10">
        <v>0</v>
      </c>
      <c r="N70" s="10"/>
      <c r="O70" s="10"/>
      <c r="P70" s="10">
        <v>0</v>
      </c>
      <c r="Q70" s="10"/>
      <c r="R70" s="10"/>
      <c r="S70" s="10"/>
      <c r="T70" s="10"/>
      <c r="U70" s="10"/>
      <c r="V70" s="4" t="s">
        <v>429</v>
      </c>
      <c r="W70" s="4"/>
      <c r="X70" s="8"/>
      <c r="Y70" s="4"/>
      <c r="Z70" s="4"/>
      <c r="AA70" s="8">
        <v>44693</v>
      </c>
      <c r="AB70" s="8">
        <v>44693</v>
      </c>
      <c r="AC70" s="4"/>
      <c r="AD70" s="4"/>
    </row>
    <row r="71" spans="1:30" hidden="1">
      <c r="A71" s="4">
        <v>2557</v>
      </c>
      <c r="B71" s="8">
        <v>44656</v>
      </c>
      <c r="C71" s="4" t="s">
        <v>433</v>
      </c>
      <c r="D71" s="4" t="s">
        <v>397</v>
      </c>
      <c r="E71" s="8">
        <v>44666</v>
      </c>
      <c r="F71" s="4" t="s">
        <v>43</v>
      </c>
      <c r="G71" s="16" t="s">
        <v>51</v>
      </c>
      <c r="H71" s="4" t="s">
        <v>52</v>
      </c>
      <c r="I71" s="4" t="s">
        <v>434</v>
      </c>
      <c r="J71" s="10">
        <v>0.38105999999999995</v>
      </c>
      <c r="K71" s="10">
        <v>0.52600000000000002</v>
      </c>
      <c r="L71" s="10">
        <v>0</v>
      </c>
      <c r="M71" s="10">
        <v>0</v>
      </c>
      <c r="N71" s="10"/>
      <c r="O71" s="10"/>
      <c r="P71" s="10">
        <v>0</v>
      </c>
      <c r="Q71" s="10"/>
      <c r="R71" s="10"/>
      <c r="S71" s="10"/>
      <c r="T71" s="10"/>
      <c r="U71" s="10"/>
      <c r="V71" s="4" t="s">
        <v>429</v>
      </c>
      <c r="W71" s="4"/>
      <c r="X71" s="8">
        <v>44676</v>
      </c>
      <c r="Y71" s="4"/>
      <c r="Z71" s="4"/>
      <c r="AA71" s="8">
        <v>44693</v>
      </c>
      <c r="AB71" s="8">
        <v>44693</v>
      </c>
      <c r="AC71" s="4"/>
      <c r="AD71" s="4"/>
    </row>
    <row r="72" spans="1:30" hidden="1">
      <c r="A72" s="4">
        <v>2557</v>
      </c>
      <c r="B72" s="8">
        <v>44656</v>
      </c>
      <c r="C72" s="4" t="s">
        <v>433</v>
      </c>
      <c r="D72" s="4" t="s">
        <v>397</v>
      </c>
      <c r="E72" s="8">
        <v>44666</v>
      </c>
      <c r="F72" s="4" t="s">
        <v>43</v>
      </c>
      <c r="G72" s="16" t="s">
        <v>51</v>
      </c>
      <c r="H72" s="4" t="s">
        <v>52</v>
      </c>
      <c r="I72" s="4" t="s">
        <v>432</v>
      </c>
      <c r="J72" s="10">
        <v>0.23663999999999996</v>
      </c>
      <c r="K72" s="10">
        <v>0.23699999999999999</v>
      </c>
      <c r="L72" s="10">
        <v>0</v>
      </c>
      <c r="M72" s="10">
        <v>0</v>
      </c>
      <c r="N72" s="10"/>
      <c r="O72" s="10"/>
      <c r="P72" s="10">
        <v>0</v>
      </c>
      <c r="Q72" s="10"/>
      <c r="R72" s="10"/>
      <c r="S72" s="10"/>
      <c r="T72" s="10"/>
      <c r="U72" s="10"/>
      <c r="V72" s="4" t="s">
        <v>429</v>
      </c>
      <c r="W72" s="4"/>
      <c r="X72" s="8"/>
      <c r="Y72" s="4"/>
      <c r="Z72" s="4"/>
      <c r="AA72" s="8">
        <v>44693</v>
      </c>
      <c r="AB72" s="8">
        <v>44693</v>
      </c>
      <c r="AC72" s="4"/>
      <c r="AD72" s="4"/>
    </row>
    <row r="73" spans="1:30" hidden="1">
      <c r="A73" s="4">
        <v>2557</v>
      </c>
      <c r="B73" s="8">
        <v>44656</v>
      </c>
      <c r="C73" s="4" t="s">
        <v>433</v>
      </c>
      <c r="D73" s="4" t="s">
        <v>397</v>
      </c>
      <c r="E73" s="8">
        <v>44666</v>
      </c>
      <c r="F73" s="4" t="s">
        <v>43</v>
      </c>
      <c r="G73" s="16" t="s">
        <v>44</v>
      </c>
      <c r="H73" s="4" t="s">
        <v>45</v>
      </c>
      <c r="I73" s="4" t="s">
        <v>405</v>
      </c>
      <c r="J73" s="10">
        <v>7.2419999999999998E-2</v>
      </c>
      <c r="K73" s="10">
        <v>6.9000000000000006E-2</v>
      </c>
      <c r="L73" s="10">
        <v>0</v>
      </c>
      <c r="M73" s="10">
        <v>0</v>
      </c>
      <c r="N73" s="10"/>
      <c r="O73" s="10"/>
      <c r="P73" s="10">
        <v>0</v>
      </c>
      <c r="Q73" s="10"/>
      <c r="R73" s="10"/>
      <c r="S73" s="10"/>
      <c r="T73" s="10"/>
      <c r="U73" s="10"/>
      <c r="V73" s="4" t="s">
        <v>22</v>
      </c>
      <c r="W73" s="4"/>
      <c r="X73" s="8">
        <v>44663</v>
      </c>
      <c r="Y73" s="4"/>
      <c r="Z73" s="4"/>
      <c r="AA73" s="8">
        <v>44693</v>
      </c>
      <c r="AB73" s="8">
        <v>44693</v>
      </c>
      <c r="AC73" s="4"/>
      <c r="AD73" s="4"/>
    </row>
    <row r="74" spans="1:30" hidden="1">
      <c r="A74" s="4">
        <v>2557</v>
      </c>
      <c r="B74" s="8">
        <v>44656</v>
      </c>
      <c r="C74" s="4"/>
      <c r="D74" s="4" t="s">
        <v>397</v>
      </c>
      <c r="E74" s="8">
        <v>44666</v>
      </c>
      <c r="F74" s="4" t="s">
        <v>43</v>
      </c>
      <c r="G74" s="16" t="s">
        <v>44</v>
      </c>
      <c r="H74" s="4" t="s">
        <v>45</v>
      </c>
      <c r="I74" s="4" t="s">
        <v>435</v>
      </c>
      <c r="J74" s="10">
        <v>1.8592200000000001</v>
      </c>
      <c r="K74" s="10">
        <v>2.0499999999999998</v>
      </c>
      <c r="L74" s="10">
        <v>0</v>
      </c>
      <c r="M74" s="10">
        <v>0</v>
      </c>
      <c r="N74" s="10"/>
      <c r="O74" s="10"/>
      <c r="P74" s="10">
        <v>0</v>
      </c>
      <c r="Q74" s="10"/>
      <c r="R74" s="10"/>
      <c r="S74" s="10"/>
      <c r="T74" s="10"/>
      <c r="U74" s="10"/>
      <c r="V74" s="4" t="s">
        <v>22</v>
      </c>
      <c r="W74" s="4"/>
      <c r="X74" s="8"/>
      <c r="Y74" s="4"/>
      <c r="Z74" s="4"/>
      <c r="AA74" s="8"/>
      <c r="AB74" s="8"/>
      <c r="AC74" s="4"/>
      <c r="AD74" s="4"/>
    </row>
    <row r="75" spans="1:30" hidden="1">
      <c r="A75" s="4">
        <v>2557</v>
      </c>
      <c r="B75" s="8">
        <v>44656</v>
      </c>
      <c r="C75" s="4"/>
      <c r="D75" s="4" t="s">
        <v>397</v>
      </c>
      <c r="E75" s="8">
        <v>44666</v>
      </c>
      <c r="F75" s="4" t="s">
        <v>43</v>
      </c>
      <c r="G75" s="16" t="s">
        <v>44</v>
      </c>
      <c r="H75" s="4" t="s">
        <v>45</v>
      </c>
      <c r="I75" s="4" t="s">
        <v>432</v>
      </c>
      <c r="J75" s="10">
        <v>0.19584000000000001</v>
      </c>
      <c r="K75" s="10">
        <v>0.19600000000000001</v>
      </c>
      <c r="L75" s="10">
        <v>0</v>
      </c>
      <c r="M75" s="10">
        <v>0</v>
      </c>
      <c r="N75" s="10"/>
      <c r="O75" s="10"/>
      <c r="P75" s="10"/>
      <c r="Q75" s="10"/>
      <c r="R75" s="10"/>
      <c r="S75" s="10"/>
      <c r="T75" s="10">
        <v>0</v>
      </c>
      <c r="U75" s="10"/>
      <c r="V75" s="4" t="s">
        <v>22</v>
      </c>
      <c r="W75" s="4"/>
      <c r="X75" s="8"/>
      <c r="Y75" s="4"/>
      <c r="Z75" s="4"/>
      <c r="AA75" s="8"/>
      <c r="AB75" s="8"/>
      <c r="AC75" s="4"/>
      <c r="AD75" s="4"/>
    </row>
    <row r="76" spans="1:30" hidden="1">
      <c r="A76" s="4">
        <v>2557</v>
      </c>
      <c r="B76" s="8">
        <v>44656</v>
      </c>
      <c r="C76" s="4" t="s">
        <v>433</v>
      </c>
      <c r="D76" s="4" t="s">
        <v>397</v>
      </c>
      <c r="E76" s="8">
        <v>44666</v>
      </c>
      <c r="F76" s="4" t="s">
        <v>43</v>
      </c>
      <c r="G76" s="16" t="s">
        <v>44</v>
      </c>
      <c r="H76" s="4" t="s">
        <v>45</v>
      </c>
      <c r="I76" s="4" t="s">
        <v>434</v>
      </c>
      <c r="J76" s="10">
        <v>0.44383999999999996</v>
      </c>
      <c r="K76" s="10">
        <v>0.44400000000000001</v>
      </c>
      <c r="L76" s="10">
        <v>0</v>
      </c>
      <c r="M76" s="10">
        <v>0</v>
      </c>
      <c r="N76" s="10"/>
      <c r="O76" s="10"/>
      <c r="P76" s="10">
        <v>0</v>
      </c>
      <c r="Q76" s="10"/>
      <c r="R76" s="10"/>
      <c r="S76" s="10"/>
      <c r="T76" s="10"/>
      <c r="U76" s="10"/>
      <c r="V76" s="4" t="s">
        <v>22</v>
      </c>
      <c r="W76" s="4"/>
      <c r="X76" s="8"/>
      <c r="Y76" s="4"/>
      <c r="Z76" s="4"/>
      <c r="AA76" s="8">
        <v>44693</v>
      </c>
      <c r="AB76" s="8">
        <v>44693</v>
      </c>
      <c r="AC76" s="4"/>
      <c r="AD76" s="4"/>
    </row>
    <row r="77" spans="1:30" hidden="1">
      <c r="A77" s="4">
        <v>2557</v>
      </c>
      <c r="B77" s="8">
        <v>44656</v>
      </c>
      <c r="C77" s="4" t="s">
        <v>433</v>
      </c>
      <c r="D77" s="4" t="s">
        <v>397</v>
      </c>
      <c r="E77" s="8">
        <v>44666</v>
      </c>
      <c r="F77" s="4" t="s">
        <v>43</v>
      </c>
      <c r="G77" s="16" t="s">
        <v>51</v>
      </c>
      <c r="H77" s="4" t="s">
        <v>52</v>
      </c>
      <c r="I77" s="4" t="s">
        <v>435</v>
      </c>
      <c r="J77" s="10">
        <v>0.27018000000000003</v>
      </c>
      <c r="K77" s="10">
        <v>0.311</v>
      </c>
      <c r="L77" s="10">
        <v>0</v>
      </c>
      <c r="M77" s="10">
        <v>0</v>
      </c>
      <c r="N77" s="10"/>
      <c r="O77" s="10"/>
      <c r="P77" s="10">
        <v>0</v>
      </c>
      <c r="Q77" s="10"/>
      <c r="R77" s="10"/>
      <c r="S77" s="10"/>
      <c r="T77" s="10"/>
      <c r="U77" s="10"/>
      <c r="V77" s="4" t="s">
        <v>22</v>
      </c>
      <c r="W77" s="4"/>
      <c r="X77" s="8"/>
      <c r="Y77" s="4"/>
      <c r="Z77" s="4"/>
      <c r="AA77" s="8">
        <v>44693</v>
      </c>
      <c r="AB77" s="8">
        <v>44693</v>
      </c>
      <c r="AC77" s="4"/>
      <c r="AD77" s="4"/>
    </row>
    <row r="78" spans="1:30" hidden="1">
      <c r="A78" s="4">
        <v>2557</v>
      </c>
      <c r="B78" s="8">
        <v>44656</v>
      </c>
      <c r="C78" s="4" t="s">
        <v>433</v>
      </c>
      <c r="D78" s="4" t="s">
        <v>397</v>
      </c>
      <c r="E78" s="8">
        <v>44666</v>
      </c>
      <c r="F78" s="4" t="s">
        <v>43</v>
      </c>
      <c r="G78" s="16" t="s">
        <v>51</v>
      </c>
      <c r="H78" s="4" t="s">
        <v>52</v>
      </c>
      <c r="I78" s="4" t="s">
        <v>434</v>
      </c>
      <c r="J78" s="10">
        <v>4.7450000000000006E-2</v>
      </c>
      <c r="K78" s="10">
        <v>4.7E-2</v>
      </c>
      <c r="L78" s="10">
        <v>0</v>
      </c>
      <c r="M78" s="10">
        <v>0</v>
      </c>
      <c r="N78" s="10"/>
      <c r="O78" s="10"/>
      <c r="P78" s="10">
        <v>0</v>
      </c>
      <c r="Q78" s="10"/>
      <c r="R78" s="10"/>
      <c r="S78" s="10"/>
      <c r="T78" s="10"/>
      <c r="U78" s="10"/>
      <c r="V78" s="4" t="s">
        <v>22</v>
      </c>
      <c r="W78" s="4"/>
      <c r="X78" s="8">
        <v>44676</v>
      </c>
      <c r="Y78" s="4"/>
      <c r="Z78" s="4"/>
      <c r="AA78" s="8">
        <v>44693</v>
      </c>
      <c r="AB78" s="8">
        <v>44693</v>
      </c>
      <c r="AC78" s="4"/>
      <c r="AD78" s="4"/>
    </row>
    <row r="79" spans="1:30" hidden="1">
      <c r="A79" s="4">
        <v>2557</v>
      </c>
      <c r="B79" s="8">
        <v>44656</v>
      </c>
      <c r="C79" s="4" t="s">
        <v>421</v>
      </c>
      <c r="D79" s="4" t="s">
        <v>42</v>
      </c>
      <c r="E79" s="8">
        <v>44666</v>
      </c>
      <c r="F79" s="4" t="s">
        <v>43</v>
      </c>
      <c r="G79" s="16" t="s">
        <v>44</v>
      </c>
      <c r="H79" s="4" t="s">
        <v>45</v>
      </c>
      <c r="I79" s="4" t="s">
        <v>48</v>
      </c>
      <c r="J79" s="10">
        <v>0.29039999999999999</v>
      </c>
      <c r="K79" s="10">
        <v>0.36499999999999999</v>
      </c>
      <c r="L79" s="10">
        <v>0</v>
      </c>
      <c r="M79" s="10">
        <v>0</v>
      </c>
      <c r="N79" s="10"/>
      <c r="O79" s="10"/>
      <c r="P79" s="10">
        <v>0</v>
      </c>
      <c r="Q79" s="10"/>
      <c r="R79" s="10"/>
      <c r="S79" s="10"/>
      <c r="T79" s="10"/>
      <c r="U79" s="10"/>
      <c r="V79" s="4" t="s">
        <v>436</v>
      </c>
      <c r="W79" s="4"/>
      <c r="X79" s="8"/>
      <c r="Y79" s="4"/>
      <c r="Z79" s="4"/>
      <c r="AA79" s="8">
        <v>44667</v>
      </c>
      <c r="AB79" s="8">
        <v>44667</v>
      </c>
      <c r="AC79" s="4"/>
      <c r="AD79" s="4"/>
    </row>
    <row r="80" spans="1:30" hidden="1">
      <c r="A80" s="4">
        <v>2557</v>
      </c>
      <c r="B80" s="8">
        <v>44656</v>
      </c>
      <c r="C80" s="4"/>
      <c r="D80" s="4" t="s">
        <v>397</v>
      </c>
      <c r="E80" s="8">
        <v>44666</v>
      </c>
      <c r="F80" s="4" t="s">
        <v>43</v>
      </c>
      <c r="G80" s="16" t="s">
        <v>44</v>
      </c>
      <c r="H80" s="4" t="s">
        <v>45</v>
      </c>
      <c r="I80" s="4" t="s">
        <v>435</v>
      </c>
      <c r="J80" s="10">
        <v>0.75240000000000007</v>
      </c>
      <c r="K80" s="10">
        <v>0.752</v>
      </c>
      <c r="L80" s="10">
        <v>0</v>
      </c>
      <c r="M80" s="10">
        <v>0</v>
      </c>
      <c r="N80" s="10"/>
      <c r="O80" s="10"/>
      <c r="P80" s="10">
        <v>0</v>
      </c>
      <c r="Q80" s="10"/>
      <c r="R80" s="10"/>
      <c r="S80" s="10"/>
      <c r="T80" s="10"/>
      <c r="U80" s="10"/>
      <c r="V80" s="4" t="s">
        <v>436</v>
      </c>
      <c r="W80" s="4"/>
      <c r="X80" s="8"/>
      <c r="Y80" s="4"/>
      <c r="Z80" s="4"/>
      <c r="AA80" s="8"/>
      <c r="AB80" s="8"/>
      <c r="AC80" s="4"/>
      <c r="AD80" s="4"/>
    </row>
    <row r="81" spans="1:30" hidden="1">
      <c r="A81" s="4">
        <v>2557</v>
      </c>
      <c r="B81" s="8">
        <v>44656</v>
      </c>
      <c r="C81" s="4" t="s">
        <v>433</v>
      </c>
      <c r="D81" s="4" t="s">
        <v>397</v>
      </c>
      <c r="E81" s="8">
        <v>44666</v>
      </c>
      <c r="F81" s="4" t="s">
        <v>43</v>
      </c>
      <c r="G81" s="16" t="s">
        <v>51</v>
      </c>
      <c r="H81" s="4" t="s">
        <v>52</v>
      </c>
      <c r="I81" s="4" t="s">
        <v>435</v>
      </c>
      <c r="J81" s="10">
        <v>0.68400000000000005</v>
      </c>
      <c r="K81" s="10">
        <v>0.68400000000000005</v>
      </c>
      <c r="L81" s="10">
        <v>0</v>
      </c>
      <c r="M81" s="10">
        <v>0</v>
      </c>
      <c r="N81" s="10"/>
      <c r="O81" s="10"/>
      <c r="P81" s="10">
        <v>0</v>
      </c>
      <c r="Q81" s="10"/>
      <c r="R81" s="10"/>
      <c r="S81" s="10"/>
      <c r="T81" s="10"/>
      <c r="U81" s="10"/>
      <c r="V81" s="4" t="s">
        <v>436</v>
      </c>
      <c r="W81" s="4"/>
      <c r="X81" s="8"/>
      <c r="Y81" s="4"/>
      <c r="Z81" s="4"/>
      <c r="AA81" s="8">
        <v>44693</v>
      </c>
      <c r="AB81" s="8">
        <v>44693</v>
      </c>
      <c r="AC81" s="4"/>
      <c r="AD81" s="4"/>
    </row>
    <row r="82" spans="1:30" hidden="1">
      <c r="A82" s="4">
        <v>2557</v>
      </c>
      <c r="B82" s="8">
        <v>44656</v>
      </c>
      <c r="C82" s="4" t="s">
        <v>433</v>
      </c>
      <c r="D82" s="4" t="s">
        <v>397</v>
      </c>
      <c r="E82" s="8">
        <v>44666</v>
      </c>
      <c r="F82" s="4" t="s">
        <v>43</v>
      </c>
      <c r="G82" s="16" t="s">
        <v>51</v>
      </c>
      <c r="H82" s="4" t="s">
        <v>52</v>
      </c>
      <c r="I82" s="4" t="s">
        <v>434</v>
      </c>
      <c r="J82" s="10">
        <v>0.38</v>
      </c>
      <c r="K82" s="10">
        <v>0.38100000000000001</v>
      </c>
      <c r="L82" s="10">
        <v>0</v>
      </c>
      <c r="M82" s="10">
        <v>0</v>
      </c>
      <c r="N82" s="10"/>
      <c r="O82" s="10"/>
      <c r="P82" s="10">
        <v>0</v>
      </c>
      <c r="Q82" s="10"/>
      <c r="R82" s="10"/>
      <c r="S82" s="10"/>
      <c r="T82" s="10"/>
      <c r="U82" s="10"/>
      <c r="V82" s="4" t="s">
        <v>436</v>
      </c>
      <c r="W82" s="4" t="s">
        <v>437</v>
      </c>
      <c r="X82" s="8">
        <v>44676</v>
      </c>
      <c r="Y82" s="4"/>
      <c r="Z82" s="4"/>
      <c r="AA82" s="8">
        <v>44693</v>
      </c>
      <c r="AB82" s="8">
        <v>44693</v>
      </c>
      <c r="AC82" s="4"/>
      <c r="AD82" s="4"/>
    </row>
    <row r="83" spans="1:30" hidden="1">
      <c r="A83" s="4">
        <v>2558</v>
      </c>
      <c r="B83" s="8">
        <v>44656</v>
      </c>
      <c r="C83" s="4"/>
      <c r="D83" s="4" t="s">
        <v>397</v>
      </c>
      <c r="E83" s="8">
        <v>44666</v>
      </c>
      <c r="F83" s="4" t="s">
        <v>43</v>
      </c>
      <c r="G83" s="16" t="s">
        <v>44</v>
      </c>
      <c r="H83" s="4" t="s">
        <v>45</v>
      </c>
      <c r="I83" s="4" t="s">
        <v>432</v>
      </c>
      <c r="J83" s="10">
        <v>4.59</v>
      </c>
      <c r="K83" s="10">
        <v>4.5910000000000002</v>
      </c>
      <c r="L83" s="10">
        <v>0</v>
      </c>
      <c r="M83" s="10">
        <v>0</v>
      </c>
      <c r="N83" s="10"/>
      <c r="O83" s="10"/>
      <c r="P83" s="10"/>
      <c r="Q83" s="10"/>
      <c r="R83" s="10"/>
      <c r="S83" s="10"/>
      <c r="T83" s="10">
        <v>0</v>
      </c>
      <c r="U83" s="10"/>
      <c r="V83" s="4" t="s">
        <v>425</v>
      </c>
      <c r="W83" s="4"/>
      <c r="X83" s="8"/>
      <c r="Y83" s="4"/>
      <c r="Z83" s="4"/>
      <c r="AA83" s="8"/>
      <c r="AB83" s="8"/>
      <c r="AC83" s="4"/>
      <c r="AD83" s="4"/>
    </row>
    <row r="84" spans="1:30" hidden="1">
      <c r="A84" s="4">
        <v>2558</v>
      </c>
      <c r="B84" s="8">
        <v>44656</v>
      </c>
      <c r="C84" s="4" t="s">
        <v>438</v>
      </c>
      <c r="D84" s="4" t="s">
        <v>42</v>
      </c>
      <c r="E84" s="8">
        <v>44666</v>
      </c>
      <c r="F84" s="4" t="s">
        <v>43</v>
      </c>
      <c r="G84" s="16" t="s">
        <v>51</v>
      </c>
      <c r="H84" s="4" t="s">
        <v>52</v>
      </c>
      <c r="I84" s="4" t="s">
        <v>435</v>
      </c>
      <c r="J84" s="10">
        <v>1.4871300000000003</v>
      </c>
      <c r="K84" s="10">
        <v>1.5580000000000001</v>
      </c>
      <c r="L84" s="10">
        <v>0</v>
      </c>
      <c r="M84" s="10">
        <v>0</v>
      </c>
      <c r="N84" s="10"/>
      <c r="O84" s="10"/>
      <c r="P84" s="10">
        <v>0</v>
      </c>
      <c r="Q84" s="10"/>
      <c r="R84" s="10"/>
      <c r="S84" s="10"/>
      <c r="T84" s="10"/>
      <c r="U84" s="10"/>
      <c r="V84" s="4" t="s">
        <v>425</v>
      </c>
      <c r="W84" s="4"/>
      <c r="X84" s="8"/>
      <c r="Y84" s="4"/>
      <c r="Z84" s="4"/>
      <c r="AA84" s="8">
        <v>44693</v>
      </c>
      <c r="AB84" s="8">
        <v>44693</v>
      </c>
      <c r="AC84" s="4"/>
      <c r="AD84" s="4"/>
    </row>
    <row r="85" spans="1:30" hidden="1">
      <c r="A85" s="4">
        <v>2558</v>
      </c>
      <c r="B85" s="8">
        <v>44656</v>
      </c>
      <c r="C85" s="4" t="s">
        <v>438</v>
      </c>
      <c r="D85" s="4" t="s">
        <v>42</v>
      </c>
      <c r="E85" s="8">
        <v>44666</v>
      </c>
      <c r="F85" s="4" t="s">
        <v>43</v>
      </c>
      <c r="G85" s="16" t="s">
        <v>51</v>
      </c>
      <c r="H85" s="4" t="s">
        <v>52</v>
      </c>
      <c r="I85" s="4" t="s">
        <v>432</v>
      </c>
      <c r="J85" s="10">
        <v>1.12744</v>
      </c>
      <c r="K85" s="10">
        <v>1.127</v>
      </c>
      <c r="L85" s="10">
        <v>0</v>
      </c>
      <c r="M85" s="10">
        <v>0</v>
      </c>
      <c r="N85" s="10"/>
      <c r="O85" s="10"/>
      <c r="P85" s="10">
        <v>0</v>
      </c>
      <c r="Q85" s="10"/>
      <c r="R85" s="10"/>
      <c r="S85" s="10"/>
      <c r="T85" s="10"/>
      <c r="U85" s="10"/>
      <c r="V85" s="4" t="s">
        <v>425</v>
      </c>
      <c r="W85" s="4"/>
      <c r="X85" s="8"/>
      <c r="Y85" s="4"/>
      <c r="Z85" s="4"/>
      <c r="AA85" s="8">
        <v>44693</v>
      </c>
      <c r="AB85" s="8">
        <v>44693</v>
      </c>
      <c r="AC85" s="4"/>
      <c r="AD85" s="4"/>
    </row>
    <row r="86" spans="1:30" hidden="1">
      <c r="A86" s="4">
        <v>2559</v>
      </c>
      <c r="B86" s="8">
        <v>44656</v>
      </c>
      <c r="C86" s="4" t="s">
        <v>412</v>
      </c>
      <c r="D86" s="4" t="s">
        <v>42</v>
      </c>
      <c r="E86" s="8">
        <v>44666</v>
      </c>
      <c r="F86" s="4" t="s">
        <v>43</v>
      </c>
      <c r="G86" s="40" t="s">
        <v>20</v>
      </c>
      <c r="H86" s="4" t="s">
        <v>45</v>
      </c>
      <c r="I86" s="4" t="s">
        <v>48</v>
      </c>
      <c r="J86" s="10">
        <v>0.1464</v>
      </c>
      <c r="K86" s="10">
        <v>0.23699999999999999</v>
      </c>
      <c r="L86" s="10">
        <v>0</v>
      </c>
      <c r="M86" s="10">
        <v>0</v>
      </c>
      <c r="N86" s="10"/>
      <c r="O86" s="10"/>
      <c r="P86" s="10">
        <v>0</v>
      </c>
      <c r="Q86" s="10"/>
      <c r="R86" s="10"/>
      <c r="S86" s="10"/>
      <c r="T86" s="10"/>
      <c r="U86" s="10"/>
      <c r="V86" s="4" t="s">
        <v>413</v>
      </c>
      <c r="W86" s="4"/>
      <c r="X86" s="8"/>
      <c r="Y86" s="4"/>
      <c r="Z86" s="4"/>
      <c r="AA86" s="8">
        <v>44667</v>
      </c>
      <c r="AB86" s="8">
        <v>44667</v>
      </c>
      <c r="AC86" s="4"/>
      <c r="AD86" s="4"/>
    </row>
    <row r="87" spans="1:30" hidden="1">
      <c r="A87" s="4">
        <v>2559</v>
      </c>
      <c r="B87" s="8">
        <v>44656</v>
      </c>
      <c r="C87" s="4" t="s">
        <v>412</v>
      </c>
      <c r="D87" s="4" t="s">
        <v>42</v>
      </c>
      <c r="E87" s="8">
        <v>44666</v>
      </c>
      <c r="F87" s="4" t="s">
        <v>43</v>
      </c>
      <c r="G87" s="40" t="s">
        <v>20</v>
      </c>
      <c r="H87" s="4" t="s">
        <v>45</v>
      </c>
      <c r="I87" s="4" t="s">
        <v>56</v>
      </c>
      <c r="J87" s="10">
        <v>0.12840000000000001</v>
      </c>
      <c r="K87" s="10">
        <v>0.22500000000000001</v>
      </c>
      <c r="L87" s="10">
        <v>0</v>
      </c>
      <c r="M87" s="10">
        <v>0</v>
      </c>
      <c r="N87" s="10"/>
      <c r="O87" s="10"/>
      <c r="P87" s="10">
        <v>0</v>
      </c>
      <c r="Q87" s="10"/>
      <c r="R87" s="10"/>
      <c r="S87" s="10"/>
      <c r="T87" s="10"/>
      <c r="U87" s="10"/>
      <c r="V87" s="4" t="s">
        <v>413</v>
      </c>
      <c r="W87" s="4"/>
      <c r="X87" s="8"/>
      <c r="Y87" s="4"/>
      <c r="Z87" s="4"/>
      <c r="AA87" s="8">
        <v>44667</v>
      </c>
      <c r="AB87" s="8">
        <v>44667</v>
      </c>
      <c r="AC87" s="4"/>
      <c r="AD87" s="4"/>
    </row>
    <row r="88" spans="1:30" hidden="1">
      <c r="A88" s="4">
        <v>2559</v>
      </c>
      <c r="B88" s="8">
        <v>44656</v>
      </c>
      <c r="C88" s="4" t="s">
        <v>412</v>
      </c>
      <c r="D88" s="4" t="s">
        <v>42</v>
      </c>
      <c r="E88" s="8">
        <v>44666</v>
      </c>
      <c r="F88" s="4" t="s">
        <v>43</v>
      </c>
      <c r="G88" s="15" t="s">
        <v>19</v>
      </c>
      <c r="H88" s="4" t="s">
        <v>45</v>
      </c>
      <c r="I88" s="4" t="s">
        <v>48</v>
      </c>
      <c r="J88" s="10">
        <v>0.1464</v>
      </c>
      <c r="K88" s="10">
        <v>0.224</v>
      </c>
      <c r="L88" s="10">
        <v>0</v>
      </c>
      <c r="M88" s="10">
        <v>0</v>
      </c>
      <c r="N88" s="10"/>
      <c r="O88" s="10"/>
      <c r="P88" s="10">
        <v>0</v>
      </c>
      <c r="Q88" s="10"/>
      <c r="R88" s="10"/>
      <c r="S88" s="10"/>
      <c r="T88" s="10"/>
      <c r="U88" s="10"/>
      <c r="V88" s="4" t="s">
        <v>431</v>
      </c>
      <c r="W88" s="4"/>
      <c r="X88" s="8"/>
      <c r="Y88" s="4"/>
      <c r="Z88" s="4"/>
      <c r="AA88" s="8">
        <v>44667</v>
      </c>
      <c r="AB88" s="8">
        <v>44667</v>
      </c>
      <c r="AC88" s="4"/>
      <c r="AD88" s="4"/>
    </row>
    <row r="89" spans="1:30" hidden="1">
      <c r="A89" s="4">
        <v>2559</v>
      </c>
      <c r="B89" s="8">
        <v>44656</v>
      </c>
      <c r="C89" s="4" t="s">
        <v>412</v>
      </c>
      <c r="D89" s="4" t="s">
        <v>42</v>
      </c>
      <c r="E89" s="8">
        <v>44666</v>
      </c>
      <c r="F89" s="4" t="s">
        <v>43</v>
      </c>
      <c r="G89" s="15" t="s">
        <v>19</v>
      </c>
      <c r="H89" s="4" t="s">
        <v>45</v>
      </c>
      <c r="I89" s="4" t="s">
        <v>46</v>
      </c>
      <c r="J89" s="10">
        <v>6.720000000000001E-2</v>
      </c>
      <c r="K89" s="10">
        <v>9.4E-2</v>
      </c>
      <c r="L89" s="10">
        <v>0</v>
      </c>
      <c r="M89" s="10">
        <v>0</v>
      </c>
      <c r="N89" s="10"/>
      <c r="O89" s="10"/>
      <c r="P89" s="10">
        <v>0</v>
      </c>
      <c r="Q89" s="10"/>
      <c r="R89" s="10"/>
      <c r="S89" s="10"/>
      <c r="T89" s="10"/>
      <c r="U89" s="10"/>
      <c r="V89" s="4" t="s">
        <v>431</v>
      </c>
      <c r="W89" s="4"/>
      <c r="X89" s="8">
        <v>44663</v>
      </c>
      <c r="Y89" s="4"/>
      <c r="Z89" s="4"/>
      <c r="AA89" s="8">
        <v>44667</v>
      </c>
      <c r="AB89" s="8">
        <v>44667</v>
      </c>
      <c r="AC89" s="4"/>
      <c r="AD89" s="4"/>
    </row>
    <row r="90" spans="1:30" hidden="1">
      <c r="A90" s="4">
        <v>2559</v>
      </c>
      <c r="B90" s="8">
        <v>44656</v>
      </c>
      <c r="C90" s="4" t="s">
        <v>412</v>
      </c>
      <c r="D90" s="4" t="s">
        <v>42</v>
      </c>
      <c r="E90" s="8">
        <v>44666</v>
      </c>
      <c r="F90" s="4" t="s">
        <v>43</v>
      </c>
      <c r="G90" s="15" t="s">
        <v>19</v>
      </c>
      <c r="H90" s="4" t="s">
        <v>45</v>
      </c>
      <c r="I90" s="4" t="s">
        <v>434</v>
      </c>
      <c r="J90" s="10">
        <v>4.4039999999999996E-2</v>
      </c>
      <c r="K90" s="10">
        <v>4.3999999999999997E-2</v>
      </c>
      <c r="L90" s="10">
        <v>0</v>
      </c>
      <c r="M90" s="10">
        <v>0</v>
      </c>
      <c r="N90" s="10"/>
      <c r="O90" s="10"/>
      <c r="P90" s="10">
        <v>0</v>
      </c>
      <c r="Q90" s="10"/>
      <c r="R90" s="10"/>
      <c r="S90" s="10"/>
      <c r="T90" s="10"/>
      <c r="U90" s="10"/>
      <c r="V90" s="4" t="s">
        <v>431</v>
      </c>
      <c r="W90" s="4"/>
      <c r="X90" s="8"/>
      <c r="Y90" s="4"/>
      <c r="Z90" s="4"/>
      <c r="AA90" s="8">
        <v>44693</v>
      </c>
      <c r="AB90" s="8">
        <v>44693</v>
      </c>
      <c r="AC90" s="4"/>
      <c r="AD90" s="4"/>
    </row>
    <row r="91" spans="1:30" hidden="1">
      <c r="A91" s="4">
        <v>3</v>
      </c>
      <c r="B91" s="8">
        <v>44659</v>
      </c>
      <c r="C91" s="4" t="s">
        <v>421</v>
      </c>
      <c r="D91" s="4" t="s">
        <v>42</v>
      </c>
      <c r="E91" s="8">
        <v>44666</v>
      </c>
      <c r="F91" s="4" t="s">
        <v>43</v>
      </c>
      <c r="G91" s="16" t="s">
        <v>51</v>
      </c>
      <c r="H91" s="4" t="s">
        <v>52</v>
      </c>
      <c r="I91" s="4" t="s">
        <v>403</v>
      </c>
      <c r="J91" s="10">
        <v>0.996</v>
      </c>
      <c r="K91" s="10">
        <v>1.0129999999999999</v>
      </c>
      <c r="L91" s="10">
        <v>0</v>
      </c>
      <c r="M91" s="10">
        <v>0</v>
      </c>
      <c r="N91" s="10"/>
      <c r="O91" s="10"/>
      <c r="P91" s="10">
        <v>0</v>
      </c>
      <c r="Q91" s="10"/>
      <c r="R91" s="10"/>
      <c r="S91" s="10"/>
      <c r="T91" s="10"/>
      <c r="U91" s="10"/>
      <c r="V91" s="4" t="s">
        <v>425</v>
      </c>
      <c r="W91" s="4"/>
      <c r="X91" s="8">
        <v>44663</v>
      </c>
      <c r="Y91" s="4"/>
      <c r="Z91" s="4"/>
      <c r="AA91" s="8">
        <v>44667</v>
      </c>
      <c r="AB91" s="8">
        <v>44667</v>
      </c>
      <c r="AC91" s="4"/>
      <c r="AD91" s="4"/>
    </row>
    <row r="92" spans="1:30" hidden="1">
      <c r="A92" s="4">
        <v>17</v>
      </c>
      <c r="B92" s="8">
        <v>44662</v>
      </c>
      <c r="C92" s="4" t="s">
        <v>412</v>
      </c>
      <c r="D92" s="4" t="s">
        <v>42</v>
      </c>
      <c r="E92" s="8">
        <v>44666</v>
      </c>
      <c r="F92" s="4" t="s">
        <v>43</v>
      </c>
      <c r="G92" s="40" t="s">
        <v>20</v>
      </c>
      <c r="H92" s="4" t="s">
        <v>45</v>
      </c>
      <c r="I92" s="4" t="s">
        <v>57</v>
      </c>
      <c r="J92" s="10">
        <v>0.72</v>
      </c>
      <c r="K92" s="10">
        <v>0.72</v>
      </c>
      <c r="L92" s="10">
        <v>0</v>
      </c>
      <c r="M92" s="10">
        <v>0</v>
      </c>
      <c r="N92" s="10"/>
      <c r="O92" s="10"/>
      <c r="P92" s="10">
        <v>0</v>
      </c>
      <c r="Q92" s="10"/>
      <c r="R92" s="10"/>
      <c r="S92" s="10"/>
      <c r="T92" s="10"/>
      <c r="U92" s="10"/>
      <c r="V92" s="4" t="s">
        <v>413</v>
      </c>
      <c r="W92" s="4"/>
      <c r="X92" s="8"/>
      <c r="Y92" s="4"/>
      <c r="Z92" s="4"/>
      <c r="AA92" s="8">
        <v>44667</v>
      </c>
      <c r="AB92" s="8">
        <v>44667</v>
      </c>
      <c r="AC92" s="4"/>
      <c r="AD92" s="4"/>
    </row>
    <row r="93" spans="1:30" hidden="1">
      <c r="A93" s="4" t="s">
        <v>444</v>
      </c>
      <c r="B93" s="8">
        <v>44665</v>
      </c>
      <c r="C93" s="4" t="s">
        <v>421</v>
      </c>
      <c r="D93" s="4" t="s">
        <v>42</v>
      </c>
      <c r="E93" s="8">
        <v>44666</v>
      </c>
      <c r="F93" s="4" t="s">
        <v>43</v>
      </c>
      <c r="G93" s="16" t="s">
        <v>44</v>
      </c>
      <c r="H93" s="4" t="s">
        <v>45</v>
      </c>
      <c r="I93" s="4" t="s">
        <v>406</v>
      </c>
      <c r="J93" s="10">
        <v>0.54</v>
      </c>
      <c r="K93" s="10">
        <v>0.67100000000000004</v>
      </c>
      <c r="L93" s="10">
        <v>0</v>
      </c>
      <c r="M93" s="10">
        <v>0</v>
      </c>
      <c r="N93" s="10"/>
      <c r="O93" s="10"/>
      <c r="P93" s="10">
        <v>0</v>
      </c>
      <c r="Q93" s="10"/>
      <c r="R93" s="10"/>
      <c r="S93" s="10"/>
      <c r="T93" s="10"/>
      <c r="U93" s="10"/>
      <c r="V93" s="4"/>
      <c r="W93" s="4" t="s">
        <v>445</v>
      </c>
      <c r="X93" s="8"/>
      <c r="Y93" s="4"/>
      <c r="Z93" s="4"/>
      <c r="AA93" s="8">
        <v>44667</v>
      </c>
      <c r="AB93" s="8">
        <v>44667</v>
      </c>
      <c r="AC93" s="4"/>
      <c r="AD93" s="4"/>
    </row>
    <row r="94" spans="1:30" hidden="1">
      <c r="A94" s="4" t="s">
        <v>444</v>
      </c>
      <c r="B94" s="8">
        <v>44686</v>
      </c>
      <c r="C94" s="4" t="s">
        <v>433</v>
      </c>
      <c r="D94" s="4" t="s">
        <v>397</v>
      </c>
      <c r="E94" s="8">
        <v>44696</v>
      </c>
      <c r="F94" s="4" t="s">
        <v>43</v>
      </c>
      <c r="G94" s="16" t="s">
        <v>44</v>
      </c>
      <c r="H94" s="4" t="s">
        <v>45</v>
      </c>
      <c r="I94" s="4" t="s">
        <v>406</v>
      </c>
      <c r="J94" s="10">
        <v>2.0179999999999998</v>
      </c>
      <c r="K94" s="10">
        <v>2.0179999999999998</v>
      </c>
      <c r="L94" s="10">
        <v>0</v>
      </c>
      <c r="M94" s="10">
        <v>0</v>
      </c>
      <c r="N94" s="10"/>
      <c r="O94" s="10"/>
      <c r="P94" s="10">
        <v>0</v>
      </c>
      <c r="Q94" s="10"/>
      <c r="R94" s="10"/>
      <c r="S94" s="10"/>
      <c r="T94" s="10"/>
      <c r="U94" s="10"/>
      <c r="V94" s="4"/>
      <c r="W94" s="4" t="s">
        <v>446</v>
      </c>
      <c r="X94" s="8"/>
      <c r="Y94" s="4"/>
      <c r="Z94" s="4"/>
      <c r="AA94" s="8">
        <v>44693</v>
      </c>
      <c r="AB94" s="8">
        <v>44693</v>
      </c>
      <c r="AC94" s="4"/>
      <c r="AD94" s="4"/>
    </row>
    <row r="95" spans="1:30" hidden="1">
      <c r="A95" s="4">
        <v>1350</v>
      </c>
      <c r="B95" s="8">
        <v>44889</v>
      </c>
      <c r="C95" s="4"/>
      <c r="D95" s="4" t="s">
        <v>42</v>
      </c>
      <c r="E95" s="8">
        <v>44902</v>
      </c>
      <c r="F95" s="4" t="s">
        <v>43</v>
      </c>
      <c r="G95" s="40" t="s">
        <v>60</v>
      </c>
      <c r="H95" s="4" t="s">
        <v>45</v>
      </c>
      <c r="I95" s="4" t="s">
        <v>54</v>
      </c>
      <c r="J95" s="10">
        <v>43.5</v>
      </c>
      <c r="K95" s="10">
        <f>23.061+6.694+4.912+6.839+1.997</f>
        <v>43.503</v>
      </c>
      <c r="L95" s="10">
        <f>M95+U95</f>
        <v>0</v>
      </c>
      <c r="M95" s="10">
        <f>SUM(N95:T95)</f>
        <v>0</v>
      </c>
      <c r="N95" s="10"/>
      <c r="O95" s="10"/>
      <c r="P95" s="10"/>
      <c r="Q95" s="10"/>
      <c r="R95" s="10"/>
      <c r="S95" s="10"/>
      <c r="T95" s="10"/>
      <c r="U95" s="10"/>
      <c r="V95" s="4" t="s">
        <v>85</v>
      </c>
      <c r="W95" s="4"/>
      <c r="X95" s="8"/>
      <c r="Y95" s="4"/>
      <c r="Z95" s="4"/>
      <c r="AA95" s="8"/>
      <c r="AB95" s="8"/>
      <c r="AC95" s="4"/>
      <c r="AD95" s="4"/>
    </row>
    <row r="96" spans="1:30" hidden="1">
      <c r="A96" s="4">
        <v>1350</v>
      </c>
      <c r="B96" s="8">
        <v>44889</v>
      </c>
      <c r="C96" s="4"/>
      <c r="D96" s="4" t="s">
        <v>42</v>
      </c>
      <c r="E96" s="8">
        <v>44902</v>
      </c>
      <c r="F96" s="4" t="s">
        <v>43</v>
      </c>
      <c r="G96" s="40" t="s">
        <v>60</v>
      </c>
      <c r="H96" s="4" t="s">
        <v>45</v>
      </c>
      <c r="I96" s="4" t="s">
        <v>56</v>
      </c>
      <c r="J96" s="10">
        <v>58.21</v>
      </c>
      <c r="K96" s="10">
        <f>11.948+2.963+11.469+5.129+9.254+5.814+11.661</f>
        <v>58.238</v>
      </c>
      <c r="L96" s="10">
        <f t="shared" ref="L96:L159" si="1">M96+U96</f>
        <v>0</v>
      </c>
      <c r="M96" s="10">
        <f t="shared" ref="M96" si="2">SUM(N96:T96)</f>
        <v>0</v>
      </c>
      <c r="N96" s="10"/>
      <c r="O96" s="10"/>
      <c r="P96" s="10"/>
      <c r="Q96" s="10"/>
      <c r="R96" s="10"/>
      <c r="S96" s="10"/>
      <c r="T96" s="10"/>
      <c r="U96" s="10"/>
      <c r="V96" s="4" t="s">
        <v>85</v>
      </c>
      <c r="W96" s="4"/>
      <c r="X96" s="8"/>
      <c r="Y96" s="4"/>
      <c r="Z96" s="4"/>
      <c r="AA96" s="8"/>
      <c r="AB96" s="8"/>
      <c r="AC96" s="4"/>
      <c r="AD96" s="4"/>
    </row>
    <row r="97" spans="1:30" hidden="1">
      <c r="A97" s="4">
        <v>1350</v>
      </c>
      <c r="B97" s="8">
        <v>44889</v>
      </c>
      <c r="C97" s="4"/>
      <c r="D97" s="4" t="s">
        <v>42</v>
      </c>
      <c r="E97" s="8">
        <v>44902</v>
      </c>
      <c r="F97" s="4" t="s">
        <v>43</v>
      </c>
      <c r="G97" s="40" t="s">
        <v>60</v>
      </c>
      <c r="H97" s="4" t="s">
        <v>45</v>
      </c>
      <c r="I97" s="4" t="s">
        <v>48</v>
      </c>
      <c r="J97" s="10">
        <v>39.44</v>
      </c>
      <c r="K97" s="10">
        <f>5.115+22.461+4.903+6.956</f>
        <v>39.435000000000002</v>
      </c>
      <c r="L97" s="10">
        <f t="shared" si="1"/>
        <v>0</v>
      </c>
      <c r="M97" s="10">
        <f>SUM(N97:T97)</f>
        <v>0</v>
      </c>
      <c r="N97" s="10"/>
      <c r="O97" s="10"/>
      <c r="P97" s="10"/>
      <c r="Q97" s="10"/>
      <c r="R97" s="10"/>
      <c r="S97" s="10"/>
      <c r="T97" s="10"/>
      <c r="U97" s="10"/>
      <c r="V97" s="4" t="s">
        <v>85</v>
      </c>
      <c r="W97" s="4"/>
      <c r="X97" s="8"/>
      <c r="Y97" s="4"/>
      <c r="Z97" s="4"/>
      <c r="AA97" s="8"/>
      <c r="AB97" s="8"/>
      <c r="AC97" s="4"/>
      <c r="AD97" s="4"/>
    </row>
    <row r="98" spans="1:30" hidden="1">
      <c r="A98" s="4">
        <v>1350</v>
      </c>
      <c r="B98" s="8">
        <v>44889</v>
      </c>
      <c r="C98" s="4"/>
      <c r="D98" s="4" t="s">
        <v>42</v>
      </c>
      <c r="E98" s="8">
        <v>44902</v>
      </c>
      <c r="F98" s="4" t="s">
        <v>43</v>
      </c>
      <c r="G98" s="40" t="s">
        <v>60</v>
      </c>
      <c r="H98" s="4" t="s">
        <v>45</v>
      </c>
      <c r="I98" s="4" t="s">
        <v>57</v>
      </c>
      <c r="J98" s="10">
        <v>28.23</v>
      </c>
      <c r="K98" s="10">
        <v>28.247</v>
      </c>
      <c r="L98" s="10">
        <f t="shared" si="1"/>
        <v>0</v>
      </c>
      <c r="M98" s="10">
        <f>SUM(N98:T98)</f>
        <v>0</v>
      </c>
      <c r="N98" s="10"/>
      <c r="O98" s="10"/>
      <c r="P98" s="10"/>
      <c r="Q98" s="10"/>
      <c r="R98" s="10"/>
      <c r="S98" s="10"/>
      <c r="T98" s="10"/>
      <c r="U98" s="10"/>
      <c r="V98" s="4" t="s">
        <v>85</v>
      </c>
      <c r="W98" s="4"/>
      <c r="X98" s="8"/>
      <c r="Y98" s="4"/>
      <c r="Z98" s="4"/>
      <c r="AA98" s="8"/>
      <c r="AB98" s="8"/>
      <c r="AC98" s="4"/>
      <c r="AD98" s="4"/>
    </row>
    <row r="99" spans="1:30" hidden="1">
      <c r="A99" s="4">
        <v>1351</v>
      </c>
      <c r="B99" s="8">
        <v>44889</v>
      </c>
      <c r="C99" s="4"/>
      <c r="D99" s="4" t="s">
        <v>42</v>
      </c>
      <c r="E99" s="8">
        <v>44902</v>
      </c>
      <c r="F99" s="4" t="s">
        <v>43</v>
      </c>
      <c r="G99" s="15" t="s">
        <v>21</v>
      </c>
      <c r="H99" s="4" t="s">
        <v>52</v>
      </c>
      <c r="I99" s="4" t="s">
        <v>53</v>
      </c>
      <c r="J99" s="10">
        <v>0.57999999999999996</v>
      </c>
      <c r="K99" s="10">
        <v>0.57999999999999996</v>
      </c>
      <c r="L99" s="10">
        <f t="shared" si="1"/>
        <v>0</v>
      </c>
      <c r="M99" s="10">
        <f t="shared" ref="M99:M148" si="3">SUM(N99:T99)</f>
        <v>0</v>
      </c>
      <c r="N99" s="10"/>
      <c r="O99" s="10"/>
      <c r="P99" s="10"/>
      <c r="Q99" s="10"/>
      <c r="R99" s="10"/>
      <c r="S99" s="10"/>
      <c r="T99" s="10"/>
      <c r="U99" s="10"/>
      <c r="V99" s="4" t="s">
        <v>86</v>
      </c>
      <c r="W99" s="4"/>
      <c r="X99" s="8"/>
      <c r="Y99" s="4"/>
      <c r="Z99" s="4"/>
      <c r="AA99" s="8"/>
      <c r="AB99" s="8"/>
      <c r="AC99" s="4"/>
      <c r="AD99" s="4"/>
    </row>
    <row r="100" spans="1:30" hidden="1">
      <c r="A100" s="4">
        <v>1351</v>
      </c>
      <c r="B100" s="8">
        <v>44889</v>
      </c>
      <c r="C100" s="4"/>
      <c r="D100" s="4" t="s">
        <v>42</v>
      </c>
      <c r="E100" s="8">
        <v>44902</v>
      </c>
      <c r="F100" s="4" t="s">
        <v>43</v>
      </c>
      <c r="G100" s="15" t="s">
        <v>21</v>
      </c>
      <c r="H100" s="4" t="s">
        <v>52</v>
      </c>
      <c r="I100" s="4" t="s">
        <v>55</v>
      </c>
      <c r="J100" s="10">
        <v>440.87</v>
      </c>
      <c r="K100" s="10">
        <f>346.018+26.85+32.156+23.824+9.049+3.471</f>
        <v>441.36799999999999</v>
      </c>
      <c r="L100" s="10">
        <f t="shared" si="1"/>
        <v>0</v>
      </c>
      <c r="M100" s="10">
        <f t="shared" si="3"/>
        <v>0</v>
      </c>
      <c r="N100" s="10"/>
      <c r="O100" s="10"/>
      <c r="P100" s="10"/>
      <c r="Q100" s="10"/>
      <c r="R100" s="10"/>
      <c r="S100" s="10"/>
      <c r="T100" s="10"/>
      <c r="U100" s="10"/>
      <c r="V100" s="4" t="s">
        <v>86</v>
      </c>
      <c r="W100" s="4"/>
      <c r="X100" s="8"/>
      <c r="Y100" s="4"/>
      <c r="Z100" s="4"/>
      <c r="AA100" s="8"/>
      <c r="AB100" s="8"/>
      <c r="AC100" s="4"/>
      <c r="AD100" s="4"/>
    </row>
    <row r="101" spans="1:30" hidden="1">
      <c r="A101" s="4">
        <v>1351</v>
      </c>
      <c r="B101" s="8">
        <v>44889</v>
      </c>
      <c r="C101" s="4"/>
      <c r="D101" s="4" t="s">
        <v>42</v>
      </c>
      <c r="E101" s="8">
        <v>44902</v>
      </c>
      <c r="F101" s="4" t="s">
        <v>43</v>
      </c>
      <c r="G101" s="15" t="s">
        <v>19</v>
      </c>
      <c r="H101" s="4" t="s">
        <v>45</v>
      </c>
      <c r="I101" s="4" t="s">
        <v>87</v>
      </c>
      <c r="J101" s="10">
        <v>415.85</v>
      </c>
      <c r="K101" s="10">
        <f>396.786+19.36</f>
        <v>416.14600000000002</v>
      </c>
      <c r="L101" s="10">
        <f t="shared" si="1"/>
        <v>0</v>
      </c>
      <c r="M101" s="10">
        <f t="shared" si="3"/>
        <v>0</v>
      </c>
      <c r="N101" s="10"/>
      <c r="O101" s="10"/>
      <c r="P101" s="10"/>
      <c r="Q101" s="10"/>
      <c r="R101" s="10"/>
      <c r="S101" s="10"/>
      <c r="T101" s="10"/>
      <c r="U101" s="10"/>
      <c r="V101" s="4" t="s">
        <v>86</v>
      </c>
      <c r="W101" s="4"/>
      <c r="X101" s="8"/>
      <c r="Y101" s="4"/>
      <c r="Z101" s="4"/>
      <c r="AA101" s="8"/>
      <c r="AB101" s="8"/>
      <c r="AC101" s="4"/>
      <c r="AD101" s="4"/>
    </row>
    <row r="102" spans="1:30" hidden="1">
      <c r="A102" s="4">
        <v>1351</v>
      </c>
      <c r="B102" s="8">
        <v>44889</v>
      </c>
      <c r="C102" s="4"/>
      <c r="D102" s="4" t="s">
        <v>42</v>
      </c>
      <c r="E102" s="8">
        <v>44902</v>
      </c>
      <c r="F102" s="4" t="s">
        <v>43</v>
      </c>
      <c r="G102" s="15" t="s">
        <v>19</v>
      </c>
      <c r="H102" s="4" t="s">
        <v>45</v>
      </c>
      <c r="I102" s="4" t="s">
        <v>56</v>
      </c>
      <c r="J102" s="10">
        <v>206.11</v>
      </c>
      <c r="K102" s="10">
        <f>198.357+5.645+3.175</f>
        <v>207.17700000000002</v>
      </c>
      <c r="L102" s="10">
        <f t="shared" si="1"/>
        <v>0</v>
      </c>
      <c r="M102" s="10">
        <f t="shared" si="3"/>
        <v>0</v>
      </c>
      <c r="N102" s="10"/>
      <c r="O102" s="10"/>
      <c r="P102" s="10"/>
      <c r="Q102" s="10"/>
      <c r="R102" s="10"/>
      <c r="S102" s="10"/>
      <c r="T102" s="10"/>
      <c r="U102" s="10"/>
      <c r="V102" s="4" t="s">
        <v>86</v>
      </c>
      <c r="W102" s="4"/>
      <c r="X102" s="8"/>
      <c r="Y102" s="4"/>
      <c r="Z102" s="4"/>
      <c r="AA102" s="8"/>
      <c r="AB102" s="8"/>
      <c r="AC102" s="4"/>
      <c r="AD102" s="4"/>
    </row>
    <row r="103" spans="1:30" hidden="1">
      <c r="A103" s="4">
        <v>1351</v>
      </c>
      <c r="B103" s="8">
        <v>44889</v>
      </c>
      <c r="C103" s="4"/>
      <c r="D103" s="4" t="s">
        <v>42</v>
      </c>
      <c r="E103" s="8">
        <v>44902</v>
      </c>
      <c r="F103" s="4" t="s">
        <v>43</v>
      </c>
      <c r="G103" s="15" t="s">
        <v>19</v>
      </c>
      <c r="H103" s="4" t="s">
        <v>45</v>
      </c>
      <c r="I103" s="4" t="s">
        <v>48</v>
      </c>
      <c r="J103" s="10">
        <v>97.406999999999996</v>
      </c>
      <c r="K103" s="10">
        <f>91.711+1.934+3.762</f>
        <v>97.406999999999996</v>
      </c>
      <c r="L103" s="10">
        <f t="shared" si="1"/>
        <v>0</v>
      </c>
      <c r="M103" s="10">
        <f t="shared" si="3"/>
        <v>0</v>
      </c>
      <c r="N103" s="10"/>
      <c r="O103" s="10"/>
      <c r="P103" s="10"/>
      <c r="Q103" s="10"/>
      <c r="R103" s="10"/>
      <c r="S103" s="10"/>
      <c r="T103" s="10"/>
      <c r="U103" s="10"/>
      <c r="V103" s="4" t="s">
        <v>86</v>
      </c>
      <c r="W103" s="4"/>
      <c r="X103" s="8"/>
      <c r="Y103" s="4"/>
      <c r="Z103" s="4"/>
      <c r="AA103" s="8"/>
      <c r="AB103" s="8"/>
      <c r="AC103" s="4"/>
      <c r="AD103" s="4"/>
    </row>
    <row r="104" spans="1:30" hidden="1">
      <c r="A104" s="4">
        <v>1351</v>
      </c>
      <c r="B104" s="8">
        <v>44889</v>
      </c>
      <c r="C104" s="4"/>
      <c r="D104" s="4" t="s">
        <v>42</v>
      </c>
      <c r="E104" s="8">
        <v>44902</v>
      </c>
      <c r="F104" s="4" t="s">
        <v>43</v>
      </c>
      <c r="G104" s="15" t="s">
        <v>19</v>
      </c>
      <c r="H104" s="4" t="s">
        <v>45</v>
      </c>
      <c r="I104" s="4" t="s">
        <v>50</v>
      </c>
      <c r="J104" s="10">
        <v>79.099999999999994</v>
      </c>
      <c r="K104" s="10">
        <f>66.266+13.115</f>
        <v>79.381</v>
      </c>
      <c r="L104" s="10">
        <f t="shared" si="1"/>
        <v>0</v>
      </c>
      <c r="M104" s="10">
        <f t="shared" si="3"/>
        <v>0</v>
      </c>
      <c r="N104" s="10"/>
      <c r="O104" s="10"/>
      <c r="P104" s="10"/>
      <c r="Q104" s="10"/>
      <c r="R104" s="10"/>
      <c r="S104" s="10"/>
      <c r="T104" s="10"/>
      <c r="U104" s="10"/>
      <c r="V104" s="4" t="s">
        <v>86</v>
      </c>
      <c r="W104" s="4"/>
      <c r="X104" s="8"/>
      <c r="Y104" s="4"/>
      <c r="Z104" s="4"/>
      <c r="AA104" s="8"/>
      <c r="AB104" s="8"/>
      <c r="AC104" s="4"/>
      <c r="AD104" s="4"/>
    </row>
    <row r="105" spans="1:30" hidden="1">
      <c r="A105" s="4">
        <v>1351</v>
      </c>
      <c r="B105" s="8">
        <v>44889</v>
      </c>
      <c r="C105" s="4"/>
      <c r="D105" s="4" t="s">
        <v>42</v>
      </c>
      <c r="E105" s="8">
        <v>44902</v>
      </c>
      <c r="F105" s="4" t="s">
        <v>43</v>
      </c>
      <c r="G105" s="15" t="s">
        <v>19</v>
      </c>
      <c r="H105" s="4" t="s">
        <v>45</v>
      </c>
      <c r="I105" s="4" t="s">
        <v>49</v>
      </c>
      <c r="J105" s="10">
        <v>65.819999999999993</v>
      </c>
      <c r="K105" s="10">
        <f>61.372+4.447</f>
        <v>65.819000000000003</v>
      </c>
      <c r="L105" s="10">
        <f t="shared" si="1"/>
        <v>0</v>
      </c>
      <c r="M105" s="10">
        <f>SUM(N105:T105)</f>
        <v>0</v>
      </c>
      <c r="N105" s="10"/>
      <c r="O105" s="10"/>
      <c r="P105" s="10"/>
      <c r="Q105" s="10"/>
      <c r="R105" s="10"/>
      <c r="S105" s="10"/>
      <c r="T105" s="10"/>
      <c r="U105" s="10"/>
      <c r="V105" s="4" t="s">
        <v>86</v>
      </c>
      <c r="W105" s="4"/>
      <c r="X105" s="8"/>
      <c r="Y105" s="4"/>
      <c r="Z105" s="4"/>
      <c r="AA105" s="8"/>
      <c r="AB105" s="8"/>
      <c r="AC105" s="4"/>
      <c r="AD105" s="4"/>
    </row>
    <row r="106" spans="1:30" hidden="1">
      <c r="A106" s="4">
        <v>1409</v>
      </c>
      <c r="B106" s="8">
        <v>44890</v>
      </c>
      <c r="C106" s="4"/>
      <c r="D106" s="4" t="s">
        <v>42</v>
      </c>
      <c r="E106" s="8">
        <v>44902</v>
      </c>
      <c r="F106" s="4" t="s">
        <v>43</v>
      </c>
      <c r="G106" s="16" t="s">
        <v>44</v>
      </c>
      <c r="H106" s="4" t="s">
        <v>45</v>
      </c>
      <c r="I106" s="4" t="s">
        <v>54</v>
      </c>
      <c r="J106" s="10">
        <v>0.54</v>
      </c>
      <c r="K106" s="10">
        <v>0.54200000000000004</v>
      </c>
      <c r="L106" s="10">
        <f t="shared" si="1"/>
        <v>0</v>
      </c>
      <c r="M106" s="10">
        <f t="shared" si="3"/>
        <v>0</v>
      </c>
      <c r="N106" s="10"/>
      <c r="O106" s="10"/>
      <c r="P106" s="10"/>
      <c r="Q106" s="10"/>
      <c r="R106" s="10"/>
      <c r="S106" s="10"/>
      <c r="T106" s="10"/>
      <c r="U106" s="10"/>
      <c r="V106" s="4" t="s">
        <v>88</v>
      </c>
      <c r="W106" s="4"/>
      <c r="X106" s="8"/>
      <c r="Y106" s="4"/>
      <c r="Z106" s="4"/>
      <c r="AA106" s="8"/>
      <c r="AB106" s="8"/>
      <c r="AC106" s="4"/>
      <c r="AD106" s="4"/>
    </row>
    <row r="107" spans="1:30" hidden="1">
      <c r="A107" s="4">
        <v>1409</v>
      </c>
      <c r="B107" s="8">
        <v>44890</v>
      </c>
      <c r="C107" s="4"/>
      <c r="D107" s="4" t="s">
        <v>42</v>
      </c>
      <c r="E107" s="8">
        <v>44902</v>
      </c>
      <c r="F107" s="4" t="s">
        <v>43</v>
      </c>
      <c r="G107" s="16" t="s">
        <v>44</v>
      </c>
      <c r="H107" s="4" t="s">
        <v>45</v>
      </c>
      <c r="I107" s="4" t="s">
        <v>56</v>
      </c>
      <c r="J107" s="10">
        <v>6.15</v>
      </c>
      <c r="K107" s="10">
        <f>2.436+4.206</f>
        <v>6.6420000000000003</v>
      </c>
      <c r="L107" s="10">
        <f t="shared" si="1"/>
        <v>0</v>
      </c>
      <c r="M107" s="10">
        <f>SUM(N107:T107)</f>
        <v>0</v>
      </c>
      <c r="N107" s="10"/>
      <c r="O107" s="10"/>
      <c r="P107" s="10"/>
      <c r="Q107" s="10"/>
      <c r="R107" s="10"/>
      <c r="S107" s="10"/>
      <c r="T107" s="10"/>
      <c r="U107" s="10"/>
      <c r="V107" s="4" t="s">
        <v>88</v>
      </c>
      <c r="W107" s="4"/>
      <c r="X107" s="8"/>
      <c r="Y107" s="4"/>
      <c r="Z107" s="4"/>
      <c r="AA107" s="8"/>
      <c r="AB107" s="8"/>
      <c r="AC107" s="4"/>
      <c r="AD107" s="4"/>
    </row>
    <row r="108" spans="1:30" hidden="1">
      <c r="A108" s="4">
        <v>1410</v>
      </c>
      <c r="B108" s="8">
        <v>44890</v>
      </c>
      <c r="C108" s="4"/>
      <c r="D108" s="4" t="s">
        <v>42</v>
      </c>
      <c r="E108" s="8">
        <v>44902</v>
      </c>
      <c r="F108" s="4" t="s">
        <v>43</v>
      </c>
      <c r="G108" s="15" t="s">
        <v>21</v>
      </c>
      <c r="H108" s="4" t="s">
        <v>52</v>
      </c>
      <c r="I108" s="4" t="s">
        <v>89</v>
      </c>
      <c r="J108" s="10">
        <v>8.3000000000000004E-2</v>
      </c>
      <c r="K108" s="10">
        <v>8.3000000000000004E-2</v>
      </c>
      <c r="L108" s="10">
        <f t="shared" si="1"/>
        <v>0</v>
      </c>
      <c r="M108" s="10">
        <f t="shared" si="3"/>
        <v>0</v>
      </c>
      <c r="N108" s="10"/>
      <c r="O108" s="10"/>
      <c r="P108" s="10"/>
      <c r="Q108" s="10"/>
      <c r="R108" s="10"/>
      <c r="S108" s="10"/>
      <c r="T108" s="10"/>
      <c r="U108" s="10"/>
      <c r="V108" s="4" t="s">
        <v>90</v>
      </c>
      <c r="W108" s="4"/>
      <c r="X108" s="8"/>
      <c r="Y108" s="4"/>
      <c r="Z108" s="4"/>
      <c r="AA108" s="8"/>
      <c r="AB108" s="8"/>
      <c r="AC108" s="4"/>
      <c r="AD108" s="4"/>
    </row>
    <row r="109" spans="1:30" hidden="1">
      <c r="A109" s="4">
        <v>1410</v>
      </c>
      <c r="B109" s="8">
        <v>44890</v>
      </c>
      <c r="C109" s="4"/>
      <c r="D109" s="4" t="s">
        <v>42</v>
      </c>
      <c r="E109" s="8">
        <v>44902</v>
      </c>
      <c r="F109" s="4" t="s">
        <v>43</v>
      </c>
      <c r="G109" s="15" t="s">
        <v>19</v>
      </c>
      <c r="H109" s="4" t="s">
        <v>45</v>
      </c>
      <c r="I109" s="4" t="s">
        <v>89</v>
      </c>
      <c r="J109" s="10">
        <v>8.3000000000000004E-2</v>
      </c>
      <c r="K109" s="10">
        <v>8.3000000000000004E-2</v>
      </c>
      <c r="L109" s="10">
        <f t="shared" si="1"/>
        <v>0</v>
      </c>
      <c r="M109" s="10">
        <f t="shared" si="3"/>
        <v>0</v>
      </c>
      <c r="N109" s="10"/>
      <c r="O109" s="10"/>
      <c r="P109" s="10"/>
      <c r="Q109" s="10"/>
      <c r="R109" s="10"/>
      <c r="S109" s="10"/>
      <c r="T109" s="10"/>
      <c r="U109" s="10"/>
      <c r="V109" s="4" t="s">
        <v>90</v>
      </c>
      <c r="W109" s="4"/>
      <c r="X109" s="8"/>
      <c r="Y109" s="4"/>
      <c r="Z109" s="4"/>
      <c r="AA109" s="8"/>
      <c r="AB109" s="8"/>
      <c r="AC109" s="4"/>
      <c r="AD109" s="4"/>
    </row>
    <row r="110" spans="1:30" hidden="1">
      <c r="A110" s="4">
        <v>1410</v>
      </c>
      <c r="B110" s="8">
        <v>44890</v>
      </c>
      <c r="C110" s="4"/>
      <c r="D110" s="4" t="s">
        <v>42</v>
      </c>
      <c r="E110" s="8">
        <v>44902</v>
      </c>
      <c r="F110" s="4" t="s">
        <v>43</v>
      </c>
      <c r="G110" s="15" t="s">
        <v>19</v>
      </c>
      <c r="H110" s="4" t="s">
        <v>45</v>
      </c>
      <c r="I110" s="4" t="s">
        <v>56</v>
      </c>
      <c r="J110" s="10">
        <v>0.25752000000000003</v>
      </c>
      <c r="K110" s="10">
        <v>0.25800000000000001</v>
      </c>
      <c r="L110" s="10">
        <f t="shared" si="1"/>
        <v>0</v>
      </c>
      <c r="M110" s="10">
        <f t="shared" si="3"/>
        <v>0</v>
      </c>
      <c r="N110" s="10"/>
      <c r="O110" s="10"/>
      <c r="P110" s="10"/>
      <c r="Q110" s="10"/>
      <c r="R110" s="10"/>
      <c r="S110" s="10"/>
      <c r="T110" s="10"/>
      <c r="U110" s="10"/>
      <c r="V110" s="4" t="s">
        <v>90</v>
      </c>
      <c r="W110" s="4"/>
      <c r="X110" s="8"/>
      <c r="Y110" s="4"/>
      <c r="Z110" s="4"/>
      <c r="AA110" s="8"/>
      <c r="AB110" s="8"/>
      <c r="AC110" s="4"/>
      <c r="AD110" s="4"/>
    </row>
    <row r="111" spans="1:30" hidden="1">
      <c r="A111" s="4">
        <v>1410</v>
      </c>
      <c r="B111" s="8">
        <v>44890</v>
      </c>
      <c r="C111" s="4"/>
      <c r="D111" s="4" t="s">
        <v>42</v>
      </c>
      <c r="E111" s="8">
        <v>44902</v>
      </c>
      <c r="F111" s="4" t="s">
        <v>43</v>
      </c>
      <c r="G111" s="15" t="s">
        <v>21</v>
      </c>
      <c r="H111" s="4" t="s">
        <v>52</v>
      </c>
      <c r="I111" s="4" t="s">
        <v>48</v>
      </c>
      <c r="J111" s="10">
        <v>6.2952000000000004</v>
      </c>
      <c r="K111" s="10">
        <v>6.2949999999999999</v>
      </c>
      <c r="L111" s="10">
        <f t="shared" si="1"/>
        <v>0</v>
      </c>
      <c r="M111" s="10">
        <f>SUM(N111:T111)</f>
        <v>0</v>
      </c>
      <c r="N111" s="10"/>
      <c r="O111" s="10"/>
      <c r="P111" s="10"/>
      <c r="Q111" s="10"/>
      <c r="R111" s="10"/>
      <c r="S111" s="10"/>
      <c r="T111" s="10"/>
      <c r="U111" s="10"/>
      <c r="V111" s="4" t="s">
        <v>90</v>
      </c>
      <c r="W111" s="4"/>
      <c r="X111" s="8"/>
      <c r="Y111" s="4"/>
      <c r="Z111" s="4"/>
      <c r="AA111" s="8"/>
      <c r="AB111" s="8"/>
      <c r="AC111" s="4"/>
      <c r="AD111" s="4"/>
    </row>
    <row r="112" spans="1:30" hidden="1">
      <c r="A112" s="4">
        <v>1490</v>
      </c>
      <c r="B112" s="8">
        <v>44904</v>
      </c>
      <c r="C112" s="4"/>
      <c r="D112" s="4" t="s">
        <v>42</v>
      </c>
      <c r="E112" s="8">
        <v>44910</v>
      </c>
      <c r="F112" s="4" t="s">
        <v>43</v>
      </c>
      <c r="G112" s="40" t="s">
        <v>94</v>
      </c>
      <c r="H112" s="4" t="s">
        <v>45</v>
      </c>
      <c r="I112" s="4" t="s">
        <v>89</v>
      </c>
      <c r="J112" s="10">
        <v>1.2949999999999999</v>
      </c>
      <c r="K112" s="10">
        <f>1.295</f>
        <v>1.2949999999999999</v>
      </c>
      <c r="L112" s="10">
        <f t="shared" si="1"/>
        <v>0</v>
      </c>
      <c r="M112" s="10">
        <f t="shared" si="3"/>
        <v>0</v>
      </c>
      <c r="N112" s="10"/>
      <c r="O112" s="10"/>
      <c r="P112" s="10"/>
      <c r="Q112" s="10"/>
      <c r="R112" s="10"/>
      <c r="S112" s="10"/>
      <c r="T112" s="10"/>
      <c r="U112" s="10"/>
      <c r="V112" s="4" t="s">
        <v>58</v>
      </c>
      <c r="W112" s="4"/>
      <c r="X112" s="8"/>
      <c r="Y112" s="4"/>
      <c r="Z112" s="4"/>
      <c r="AA112" s="8"/>
      <c r="AB112" s="8"/>
      <c r="AC112" s="4"/>
      <c r="AD112" s="4"/>
    </row>
    <row r="113" spans="1:30" hidden="1">
      <c r="A113" s="4">
        <v>1490</v>
      </c>
      <c r="B113" s="8">
        <v>44904</v>
      </c>
      <c r="C113" s="4"/>
      <c r="D113" s="4" t="s">
        <v>42</v>
      </c>
      <c r="E113" s="8">
        <v>44910</v>
      </c>
      <c r="F113" s="4" t="s">
        <v>43</v>
      </c>
      <c r="G113" s="40" t="s">
        <v>94</v>
      </c>
      <c r="H113" s="4" t="s">
        <v>45</v>
      </c>
      <c r="I113" s="4" t="s">
        <v>87</v>
      </c>
      <c r="J113" s="10">
        <v>0.2</v>
      </c>
      <c r="K113" s="10">
        <f>0.202</f>
        <v>0.20200000000000001</v>
      </c>
      <c r="L113" s="10">
        <f t="shared" si="1"/>
        <v>0</v>
      </c>
      <c r="M113" s="10">
        <f t="shared" si="3"/>
        <v>0</v>
      </c>
      <c r="N113" s="10"/>
      <c r="O113" s="10"/>
      <c r="P113" s="10"/>
      <c r="Q113" s="10"/>
      <c r="R113" s="10"/>
      <c r="S113" s="10"/>
      <c r="T113" s="10"/>
      <c r="U113" s="10"/>
      <c r="V113" s="4" t="s">
        <v>58</v>
      </c>
      <c r="W113" s="4"/>
      <c r="X113" s="8"/>
      <c r="Y113" s="4"/>
      <c r="Z113" s="4"/>
      <c r="AA113" s="8"/>
      <c r="AB113" s="8"/>
      <c r="AC113" s="4"/>
      <c r="AD113" s="4"/>
    </row>
    <row r="114" spans="1:30" hidden="1">
      <c r="A114" s="4">
        <v>1490</v>
      </c>
      <c r="B114" s="8">
        <v>44904</v>
      </c>
      <c r="C114" s="4"/>
      <c r="D114" s="4" t="s">
        <v>42</v>
      </c>
      <c r="E114" s="8">
        <v>44910</v>
      </c>
      <c r="F114" s="4" t="s">
        <v>43</v>
      </c>
      <c r="G114" s="40" t="s">
        <v>59</v>
      </c>
      <c r="H114" s="4" t="s">
        <v>52</v>
      </c>
      <c r="I114" s="4" t="s">
        <v>53</v>
      </c>
      <c r="J114" s="10">
        <v>0.16</v>
      </c>
      <c r="K114" s="10">
        <v>0.16600000000000001</v>
      </c>
      <c r="L114" s="10">
        <f t="shared" si="1"/>
        <v>0</v>
      </c>
      <c r="M114" s="10">
        <f t="shared" si="3"/>
        <v>0</v>
      </c>
      <c r="N114" s="10"/>
      <c r="O114" s="10"/>
      <c r="P114" s="10"/>
      <c r="Q114" s="10"/>
      <c r="R114" s="10"/>
      <c r="S114" s="10"/>
      <c r="T114" s="10"/>
      <c r="U114" s="10"/>
      <c r="V114" s="4" t="s">
        <v>58</v>
      </c>
      <c r="W114" s="4"/>
      <c r="X114" s="8"/>
      <c r="Y114" s="4"/>
      <c r="Z114" s="4"/>
      <c r="AA114" s="8"/>
      <c r="AB114" s="8"/>
      <c r="AC114" s="4"/>
      <c r="AD114" s="4"/>
    </row>
    <row r="115" spans="1:30" hidden="1">
      <c r="A115" s="4">
        <v>1490</v>
      </c>
      <c r="B115" s="8">
        <v>44904</v>
      </c>
      <c r="C115" s="4"/>
      <c r="D115" s="4" t="s">
        <v>42</v>
      </c>
      <c r="E115" s="8">
        <v>44910</v>
      </c>
      <c r="F115" s="4" t="s">
        <v>43</v>
      </c>
      <c r="G115" s="40" t="s">
        <v>94</v>
      </c>
      <c r="H115" s="4" t="s">
        <v>45</v>
      </c>
      <c r="I115" s="4" t="s">
        <v>53</v>
      </c>
      <c r="J115" s="10">
        <v>0.24</v>
      </c>
      <c r="K115" s="10">
        <v>0.24199999999999999</v>
      </c>
      <c r="L115" s="10">
        <f t="shared" si="1"/>
        <v>0</v>
      </c>
      <c r="M115" s="10">
        <f t="shared" si="3"/>
        <v>0</v>
      </c>
      <c r="N115" s="10"/>
      <c r="O115" s="10"/>
      <c r="P115" s="10"/>
      <c r="Q115" s="10"/>
      <c r="R115" s="10"/>
      <c r="S115" s="10"/>
      <c r="T115" s="10"/>
      <c r="U115" s="10"/>
      <c r="V115" s="4" t="s">
        <v>58</v>
      </c>
      <c r="W115" s="4"/>
      <c r="X115" s="8"/>
      <c r="Y115" s="4"/>
      <c r="Z115" s="4"/>
      <c r="AA115" s="8"/>
      <c r="AB115" s="8"/>
      <c r="AC115" s="4"/>
      <c r="AD115" s="4"/>
    </row>
    <row r="116" spans="1:30" hidden="1">
      <c r="A116" s="4">
        <v>1490</v>
      </c>
      <c r="B116" s="8">
        <v>44904</v>
      </c>
      <c r="C116" s="4"/>
      <c r="D116" s="4" t="s">
        <v>42</v>
      </c>
      <c r="E116" s="8">
        <v>44910</v>
      </c>
      <c r="F116" s="4" t="s">
        <v>43</v>
      </c>
      <c r="G116" s="40" t="s">
        <v>59</v>
      </c>
      <c r="H116" s="4" t="s">
        <v>52</v>
      </c>
      <c r="I116" s="4" t="s">
        <v>89</v>
      </c>
      <c r="J116" s="10">
        <v>0.6</v>
      </c>
      <c r="K116" s="10">
        <v>0.59799999999999998</v>
      </c>
      <c r="L116" s="10">
        <f t="shared" si="1"/>
        <v>0</v>
      </c>
      <c r="M116" s="10">
        <f>SUM(N116:T116)</f>
        <v>0</v>
      </c>
      <c r="N116" s="10"/>
      <c r="O116" s="10"/>
      <c r="P116" s="10"/>
      <c r="Q116" s="10"/>
      <c r="R116" s="10"/>
      <c r="S116" s="10"/>
      <c r="T116" s="10"/>
      <c r="U116" s="10"/>
      <c r="V116" s="4" t="s">
        <v>58</v>
      </c>
      <c r="W116" s="4"/>
      <c r="X116" s="8"/>
      <c r="Y116" s="4"/>
      <c r="Z116" s="4"/>
      <c r="AA116" s="8"/>
      <c r="AB116" s="8"/>
      <c r="AC116" s="4"/>
      <c r="AD116" s="4"/>
    </row>
    <row r="117" spans="1:30" hidden="1">
      <c r="A117" s="4">
        <v>1491</v>
      </c>
      <c r="B117" s="8">
        <v>44904</v>
      </c>
      <c r="C117" s="4"/>
      <c r="D117" s="4" t="s">
        <v>42</v>
      </c>
      <c r="E117" s="8">
        <v>44910</v>
      </c>
      <c r="F117" s="4" t="s">
        <v>43</v>
      </c>
      <c r="G117" s="16" t="s">
        <v>51</v>
      </c>
      <c r="H117" s="4" t="s">
        <v>52</v>
      </c>
      <c r="I117" s="4" t="s">
        <v>53</v>
      </c>
      <c r="J117" s="10">
        <v>0.6996</v>
      </c>
      <c r="K117" s="10">
        <v>0.71</v>
      </c>
      <c r="L117" s="10">
        <f t="shared" si="1"/>
        <v>0</v>
      </c>
      <c r="M117" s="10">
        <f t="shared" si="3"/>
        <v>0</v>
      </c>
      <c r="N117" s="10"/>
      <c r="O117" s="10"/>
      <c r="P117" s="10"/>
      <c r="Q117" s="10"/>
      <c r="R117" s="10"/>
      <c r="S117" s="10"/>
      <c r="T117" s="10"/>
      <c r="U117" s="10"/>
      <c r="V117" s="4" t="s">
        <v>22</v>
      </c>
      <c r="W117" s="4"/>
      <c r="X117" s="8"/>
      <c r="Y117" s="4"/>
      <c r="Z117" s="4"/>
      <c r="AA117" s="8"/>
      <c r="AB117" s="8"/>
      <c r="AC117" s="4"/>
      <c r="AD117" s="4"/>
    </row>
    <row r="118" spans="1:30" hidden="1">
      <c r="A118" s="4">
        <v>1491</v>
      </c>
      <c r="B118" s="8">
        <v>44904</v>
      </c>
      <c r="C118" s="4"/>
      <c r="D118" s="4" t="s">
        <v>42</v>
      </c>
      <c r="E118" s="8">
        <v>44910</v>
      </c>
      <c r="F118" s="4" t="s">
        <v>43</v>
      </c>
      <c r="G118" s="16" t="s">
        <v>44</v>
      </c>
      <c r="H118" s="4" t="s">
        <v>45</v>
      </c>
      <c r="I118" s="4" t="s">
        <v>95</v>
      </c>
      <c r="J118" s="10">
        <v>0.54854999999999998</v>
      </c>
      <c r="K118" s="10">
        <v>0.55700000000000005</v>
      </c>
      <c r="L118" s="10">
        <f t="shared" si="1"/>
        <v>0</v>
      </c>
      <c r="M118" s="10">
        <f t="shared" si="3"/>
        <v>0</v>
      </c>
      <c r="N118" s="10"/>
      <c r="O118" s="10"/>
      <c r="P118" s="10"/>
      <c r="Q118" s="10"/>
      <c r="R118" s="10"/>
      <c r="S118" s="10"/>
      <c r="T118" s="10"/>
      <c r="U118" s="10"/>
      <c r="V118" s="4" t="s">
        <v>22</v>
      </c>
      <c r="W118" s="4"/>
      <c r="X118" s="8"/>
      <c r="Y118" s="4"/>
      <c r="Z118" s="4"/>
      <c r="AA118" s="8"/>
      <c r="AB118" s="8"/>
      <c r="AC118" s="4"/>
      <c r="AD118" s="4"/>
    </row>
    <row r="119" spans="1:30" hidden="1">
      <c r="A119" s="4">
        <v>1491</v>
      </c>
      <c r="B119" s="8">
        <v>44904</v>
      </c>
      <c r="C119" s="4"/>
      <c r="D119" s="4" t="s">
        <v>42</v>
      </c>
      <c r="E119" s="8">
        <v>44910</v>
      </c>
      <c r="F119" s="4" t="s">
        <v>43</v>
      </c>
      <c r="G119" s="16" t="s">
        <v>51</v>
      </c>
      <c r="H119" s="4" t="s">
        <v>52</v>
      </c>
      <c r="I119" s="4" t="s">
        <v>89</v>
      </c>
      <c r="J119" s="10">
        <v>2.4600000000000004</v>
      </c>
      <c r="K119" s="10">
        <v>2.496</v>
      </c>
      <c r="L119" s="10">
        <f t="shared" si="1"/>
        <v>0</v>
      </c>
      <c r="M119" s="10">
        <f t="shared" si="3"/>
        <v>0</v>
      </c>
      <c r="N119" s="10"/>
      <c r="O119" s="10"/>
      <c r="P119" s="10"/>
      <c r="Q119" s="10"/>
      <c r="R119" s="10"/>
      <c r="S119" s="10"/>
      <c r="T119" s="10"/>
      <c r="U119" s="10"/>
      <c r="V119" s="4" t="s">
        <v>22</v>
      </c>
      <c r="W119" s="4"/>
      <c r="X119" s="8"/>
      <c r="Y119" s="4"/>
      <c r="Z119" s="4"/>
      <c r="AA119" s="8"/>
      <c r="AB119" s="8"/>
      <c r="AC119" s="4"/>
      <c r="AD119" s="4"/>
    </row>
    <row r="120" spans="1:30" hidden="1">
      <c r="A120" s="4">
        <v>1491</v>
      </c>
      <c r="B120" s="8">
        <v>44904</v>
      </c>
      <c r="C120" s="4"/>
      <c r="D120" s="4" t="s">
        <v>42</v>
      </c>
      <c r="E120" s="8">
        <v>44910</v>
      </c>
      <c r="F120" s="4" t="s">
        <v>43</v>
      </c>
      <c r="G120" s="16" t="s">
        <v>44</v>
      </c>
      <c r="H120" s="4" t="s">
        <v>45</v>
      </c>
      <c r="I120" s="4" t="s">
        <v>96</v>
      </c>
      <c r="J120" s="10">
        <v>0.192</v>
      </c>
      <c r="K120" s="10">
        <v>0.192</v>
      </c>
      <c r="L120" s="10">
        <f t="shared" si="1"/>
        <v>0</v>
      </c>
      <c r="M120" s="10">
        <f t="shared" si="3"/>
        <v>0</v>
      </c>
      <c r="N120" s="10"/>
      <c r="O120" s="10"/>
      <c r="P120" s="10"/>
      <c r="Q120" s="10"/>
      <c r="R120" s="10"/>
      <c r="S120" s="10"/>
      <c r="T120" s="10"/>
      <c r="U120" s="10"/>
      <c r="V120" s="4" t="s">
        <v>22</v>
      </c>
      <c r="W120" s="4"/>
      <c r="X120" s="8"/>
      <c r="Y120" s="4"/>
      <c r="Z120" s="4"/>
      <c r="AA120" s="8"/>
      <c r="AB120" s="8"/>
      <c r="AC120" s="4"/>
      <c r="AD120" s="4"/>
    </row>
    <row r="121" spans="1:30" hidden="1">
      <c r="A121" s="4">
        <v>1491</v>
      </c>
      <c r="B121" s="8">
        <v>44904</v>
      </c>
      <c r="C121" s="4"/>
      <c r="D121" s="4" t="s">
        <v>42</v>
      </c>
      <c r="E121" s="8">
        <v>44910</v>
      </c>
      <c r="F121" s="4" t="s">
        <v>43</v>
      </c>
      <c r="G121" s="16" t="s">
        <v>51</v>
      </c>
      <c r="H121" s="4" t="s">
        <v>52</v>
      </c>
      <c r="I121" s="4" t="s">
        <v>55</v>
      </c>
      <c r="J121" s="10">
        <v>6.3E-2</v>
      </c>
      <c r="K121" s="10">
        <f>0.065</f>
        <v>6.5000000000000002E-2</v>
      </c>
      <c r="L121" s="10">
        <f t="shared" si="1"/>
        <v>0</v>
      </c>
      <c r="M121" s="10">
        <f t="shared" si="3"/>
        <v>0</v>
      </c>
      <c r="N121" s="10"/>
      <c r="O121" s="10"/>
      <c r="P121" s="10"/>
      <c r="Q121" s="10"/>
      <c r="R121" s="10"/>
      <c r="S121" s="10"/>
      <c r="T121" s="10"/>
      <c r="U121" s="10"/>
      <c r="V121" s="4" t="s">
        <v>22</v>
      </c>
      <c r="W121" s="4"/>
      <c r="X121" s="8"/>
      <c r="Y121" s="4"/>
      <c r="Z121" s="4"/>
      <c r="AA121" s="8"/>
      <c r="AB121" s="8"/>
      <c r="AC121" s="4"/>
      <c r="AD121" s="4"/>
    </row>
    <row r="122" spans="1:30" hidden="1">
      <c r="A122" s="4">
        <v>1491</v>
      </c>
      <c r="B122" s="8">
        <v>44904</v>
      </c>
      <c r="C122" s="4"/>
      <c r="D122" s="4" t="s">
        <v>42</v>
      </c>
      <c r="E122" s="8">
        <v>44910</v>
      </c>
      <c r="F122" s="4" t="s">
        <v>43</v>
      </c>
      <c r="G122" s="16" t="s">
        <v>44</v>
      </c>
      <c r="H122" s="4" t="s">
        <v>45</v>
      </c>
      <c r="I122" s="4" t="s">
        <v>97</v>
      </c>
      <c r="J122" s="10">
        <v>2.2809599999999999</v>
      </c>
      <c r="K122" s="10">
        <v>2.3860000000000001</v>
      </c>
      <c r="L122" s="10">
        <f t="shared" si="1"/>
        <v>0</v>
      </c>
      <c r="M122" s="10">
        <f>SUM(N122:T122)</f>
        <v>0</v>
      </c>
      <c r="N122" s="10"/>
      <c r="O122" s="10"/>
      <c r="P122" s="10">
        <v>0</v>
      </c>
      <c r="Q122" s="10"/>
      <c r="R122" s="10"/>
      <c r="S122" s="10"/>
      <c r="T122" s="10"/>
      <c r="U122" s="10"/>
      <c r="V122" s="4" t="s">
        <v>88</v>
      </c>
      <c r="W122" s="4"/>
      <c r="X122" s="8"/>
      <c r="Y122" s="4"/>
      <c r="Z122" s="4"/>
      <c r="AA122" s="8">
        <v>44980</v>
      </c>
      <c r="AB122" s="8">
        <v>44980</v>
      </c>
      <c r="AC122" s="4"/>
      <c r="AD122" s="4"/>
    </row>
    <row r="123" spans="1:30" hidden="1">
      <c r="A123" s="4">
        <v>1500</v>
      </c>
      <c r="B123" s="8">
        <v>44906</v>
      </c>
      <c r="C123" s="4"/>
      <c r="D123" s="4" t="s">
        <v>42</v>
      </c>
      <c r="E123" s="8">
        <v>44926</v>
      </c>
      <c r="F123" s="4" t="s">
        <v>43</v>
      </c>
      <c r="G123" s="40" t="s">
        <v>60</v>
      </c>
      <c r="H123" s="4" t="s">
        <v>45</v>
      </c>
      <c r="I123" s="4" t="s">
        <v>98</v>
      </c>
      <c r="J123" s="10">
        <v>84.766039999999975</v>
      </c>
      <c r="K123" s="10">
        <f>9.241+12.417+19.416+26.397+14.021+1.531+1.897</f>
        <v>84.920000000000016</v>
      </c>
      <c r="L123" s="10">
        <f t="shared" si="1"/>
        <v>0</v>
      </c>
      <c r="M123" s="10">
        <f t="shared" si="3"/>
        <v>0</v>
      </c>
      <c r="N123" s="10"/>
      <c r="O123" s="10"/>
      <c r="P123" s="10"/>
      <c r="Q123" s="10"/>
      <c r="R123" s="10"/>
      <c r="S123" s="10"/>
      <c r="T123" s="10"/>
      <c r="U123" s="10"/>
      <c r="V123" s="4" t="s">
        <v>85</v>
      </c>
      <c r="W123" s="4"/>
      <c r="X123" s="8"/>
      <c r="Y123" s="4"/>
      <c r="Z123" s="4"/>
      <c r="AA123" s="8"/>
      <c r="AB123" s="8"/>
      <c r="AC123" s="4"/>
      <c r="AD123" s="4"/>
    </row>
    <row r="124" spans="1:30" hidden="1">
      <c r="A124" s="4">
        <v>1500</v>
      </c>
      <c r="B124" s="8">
        <v>44906</v>
      </c>
      <c r="C124" s="4"/>
      <c r="D124" s="4" t="s">
        <v>42</v>
      </c>
      <c r="E124" s="8">
        <v>44926</v>
      </c>
      <c r="F124" s="4" t="s">
        <v>43</v>
      </c>
      <c r="G124" s="40" t="s">
        <v>60</v>
      </c>
      <c r="H124" s="4" t="s">
        <v>45</v>
      </c>
      <c r="I124" s="4" t="s">
        <v>99</v>
      </c>
      <c r="J124" s="10">
        <v>34.48536</v>
      </c>
      <c r="K124" s="10">
        <f>29.324+2.512+3.023</f>
        <v>34.859000000000002</v>
      </c>
      <c r="L124" s="10">
        <f t="shared" si="1"/>
        <v>0</v>
      </c>
      <c r="M124" s="10">
        <f t="shared" si="3"/>
        <v>0</v>
      </c>
      <c r="N124" s="10"/>
      <c r="O124" s="10"/>
      <c r="P124" s="10"/>
      <c r="Q124" s="10"/>
      <c r="R124" s="10"/>
      <c r="S124" s="10"/>
      <c r="T124" s="10"/>
      <c r="U124" s="10"/>
      <c r="V124" s="4" t="s">
        <v>85</v>
      </c>
      <c r="W124" s="4"/>
      <c r="X124" s="8"/>
      <c r="Y124" s="4"/>
      <c r="Z124" s="4"/>
      <c r="AA124" s="8"/>
      <c r="AB124" s="8"/>
      <c r="AC124" s="4"/>
      <c r="AD124" s="4"/>
    </row>
    <row r="125" spans="1:30" hidden="1">
      <c r="A125" s="4">
        <v>1500</v>
      </c>
      <c r="B125" s="8">
        <v>44906</v>
      </c>
      <c r="C125" s="4"/>
      <c r="D125" s="4" t="s">
        <v>42</v>
      </c>
      <c r="E125" s="8">
        <v>44926</v>
      </c>
      <c r="F125" s="4" t="s">
        <v>43</v>
      </c>
      <c r="G125" s="40" t="s">
        <v>60</v>
      </c>
      <c r="H125" s="4" t="s">
        <v>45</v>
      </c>
      <c r="I125" s="4" t="s">
        <v>100</v>
      </c>
      <c r="J125" s="10">
        <v>112.20105999999998</v>
      </c>
      <c r="K125" s="10">
        <f>33.077+33.671+32.557+12.897</f>
        <v>112.202</v>
      </c>
      <c r="L125" s="10">
        <f t="shared" si="1"/>
        <v>0</v>
      </c>
      <c r="M125" s="10">
        <f t="shared" si="3"/>
        <v>0</v>
      </c>
      <c r="N125" s="10"/>
      <c r="O125" s="10"/>
      <c r="P125" s="10"/>
      <c r="Q125" s="10"/>
      <c r="R125" s="10"/>
      <c r="S125" s="10"/>
      <c r="T125" s="10"/>
      <c r="U125" s="10"/>
      <c r="V125" s="4" t="s">
        <v>85</v>
      </c>
      <c r="W125" s="4"/>
      <c r="X125" s="8"/>
      <c r="Y125" s="4"/>
      <c r="Z125" s="4"/>
      <c r="AA125" s="8"/>
      <c r="AB125" s="8"/>
      <c r="AC125" s="4"/>
      <c r="AD125" s="4"/>
    </row>
    <row r="126" spans="1:30" hidden="1">
      <c r="A126" s="4">
        <v>1500</v>
      </c>
      <c r="B126" s="8">
        <v>44906</v>
      </c>
      <c r="C126" s="4"/>
      <c r="D126" s="4" t="s">
        <v>42</v>
      </c>
      <c r="E126" s="8">
        <v>44926</v>
      </c>
      <c r="F126" s="4" t="s">
        <v>43</v>
      </c>
      <c r="G126" s="40" t="s">
        <v>60</v>
      </c>
      <c r="H126" s="4" t="s">
        <v>45</v>
      </c>
      <c r="I126" s="4" t="s">
        <v>101</v>
      </c>
      <c r="J126" s="10">
        <v>27.389000000000003</v>
      </c>
      <c r="K126" s="10">
        <f>10.535+2.904+8.436+5.678</f>
        <v>27.553000000000001</v>
      </c>
      <c r="L126" s="10">
        <f t="shared" si="1"/>
        <v>0</v>
      </c>
      <c r="M126" s="10">
        <f t="shared" si="3"/>
        <v>0</v>
      </c>
      <c r="N126" s="10"/>
      <c r="O126" s="10"/>
      <c r="P126" s="10"/>
      <c r="Q126" s="10"/>
      <c r="R126" s="10"/>
      <c r="S126" s="10"/>
      <c r="T126" s="10"/>
      <c r="U126" s="10"/>
      <c r="V126" s="4" t="s">
        <v>85</v>
      </c>
      <c r="W126" s="4"/>
      <c r="X126" s="8"/>
      <c r="Y126" s="4"/>
      <c r="Z126" s="4"/>
      <c r="AA126" s="8"/>
      <c r="AB126" s="8"/>
      <c r="AC126" s="4"/>
      <c r="AD126" s="4"/>
    </row>
    <row r="127" spans="1:30" hidden="1">
      <c r="A127" s="4">
        <v>1500</v>
      </c>
      <c r="B127" s="8">
        <v>44906</v>
      </c>
      <c r="C127" s="4"/>
      <c r="D127" s="4" t="s">
        <v>42</v>
      </c>
      <c r="E127" s="8">
        <v>44926</v>
      </c>
      <c r="F127" s="4" t="s">
        <v>43</v>
      </c>
      <c r="G127" s="40" t="s">
        <v>60</v>
      </c>
      <c r="H127" s="4" t="s">
        <v>45</v>
      </c>
      <c r="I127" s="4" t="s">
        <v>102</v>
      </c>
      <c r="J127" s="10">
        <v>39.669240000000002</v>
      </c>
      <c r="K127" s="10">
        <f>32.454+7.528</f>
        <v>39.981999999999999</v>
      </c>
      <c r="L127" s="10">
        <f t="shared" si="1"/>
        <v>0</v>
      </c>
      <c r="M127" s="10">
        <f t="shared" si="3"/>
        <v>0</v>
      </c>
      <c r="N127" s="10"/>
      <c r="O127" s="10"/>
      <c r="P127" s="10"/>
      <c r="Q127" s="10"/>
      <c r="R127" s="10"/>
      <c r="S127" s="10"/>
      <c r="T127" s="10"/>
      <c r="U127" s="10"/>
      <c r="V127" s="4" t="s">
        <v>85</v>
      </c>
      <c r="W127" s="4"/>
      <c r="X127" s="8"/>
      <c r="Y127" s="4"/>
      <c r="Z127" s="4"/>
      <c r="AA127" s="8"/>
      <c r="AB127" s="8"/>
      <c r="AC127" s="4"/>
      <c r="AD127" s="4"/>
    </row>
    <row r="128" spans="1:30" hidden="1">
      <c r="A128" s="4">
        <v>1500</v>
      </c>
      <c r="B128" s="8">
        <v>44906</v>
      </c>
      <c r="C128" s="4"/>
      <c r="D128" s="4" t="s">
        <v>42</v>
      </c>
      <c r="E128" s="8">
        <v>44926</v>
      </c>
      <c r="F128" s="4" t="s">
        <v>43</v>
      </c>
      <c r="G128" s="40" t="s">
        <v>60</v>
      </c>
      <c r="H128" s="4" t="s">
        <v>45</v>
      </c>
      <c r="I128" s="4" t="s">
        <v>103</v>
      </c>
      <c r="J128" s="10">
        <v>61.175040000000003</v>
      </c>
      <c r="K128" s="10">
        <f>31.513+23.99+2.223+3.896</f>
        <v>61.622</v>
      </c>
      <c r="L128" s="10">
        <f t="shared" si="1"/>
        <v>0</v>
      </c>
      <c r="M128" s="10">
        <f t="shared" si="3"/>
        <v>0</v>
      </c>
      <c r="N128" s="10"/>
      <c r="O128" s="10"/>
      <c r="P128" s="10"/>
      <c r="Q128" s="10"/>
      <c r="R128" s="10"/>
      <c r="S128" s="10"/>
      <c r="T128" s="10"/>
      <c r="U128" s="10"/>
      <c r="V128" s="4" t="s">
        <v>85</v>
      </c>
      <c r="W128" s="4"/>
      <c r="X128" s="8"/>
      <c r="Y128" s="4"/>
      <c r="Z128" s="4"/>
      <c r="AA128" s="8"/>
      <c r="AB128" s="8"/>
      <c r="AC128" s="4"/>
      <c r="AD128" s="4"/>
    </row>
    <row r="129" spans="1:30" hidden="1">
      <c r="A129" s="4">
        <v>1500</v>
      </c>
      <c r="B129" s="8">
        <v>44906</v>
      </c>
      <c r="C129" s="4"/>
      <c r="D129" s="4" t="s">
        <v>42</v>
      </c>
      <c r="E129" s="8">
        <v>44926</v>
      </c>
      <c r="F129" s="4" t="s">
        <v>43</v>
      </c>
      <c r="G129" s="40" t="s">
        <v>60</v>
      </c>
      <c r="H129" s="4" t="s">
        <v>45</v>
      </c>
      <c r="I129" s="4" t="s">
        <v>104</v>
      </c>
      <c r="J129" s="10">
        <v>23.07396</v>
      </c>
      <c r="K129" s="10">
        <f>23.088</f>
        <v>23.088000000000001</v>
      </c>
      <c r="L129" s="10">
        <f t="shared" si="1"/>
        <v>0</v>
      </c>
      <c r="M129" s="10">
        <f t="shared" si="3"/>
        <v>0</v>
      </c>
      <c r="N129" s="10"/>
      <c r="O129" s="10"/>
      <c r="P129" s="10"/>
      <c r="Q129" s="10"/>
      <c r="R129" s="10"/>
      <c r="S129" s="10"/>
      <c r="T129" s="10"/>
      <c r="U129" s="10"/>
      <c r="V129" s="4" t="s">
        <v>85</v>
      </c>
      <c r="W129" s="4"/>
      <c r="X129" s="8"/>
      <c r="Y129" s="4"/>
      <c r="Z129" s="4"/>
      <c r="AA129" s="8"/>
      <c r="AB129" s="8"/>
      <c r="AC129" s="4"/>
      <c r="AD129" s="4"/>
    </row>
    <row r="130" spans="1:30" hidden="1">
      <c r="A130" s="4">
        <v>1500</v>
      </c>
      <c r="B130" s="8">
        <v>44906</v>
      </c>
      <c r="C130" s="4"/>
      <c r="D130" s="4" t="s">
        <v>42</v>
      </c>
      <c r="E130" s="8">
        <v>44926</v>
      </c>
      <c r="F130" s="4" t="s">
        <v>43</v>
      </c>
      <c r="G130" s="40" t="s">
        <v>60</v>
      </c>
      <c r="H130" s="4" t="s">
        <v>45</v>
      </c>
      <c r="I130" s="4" t="s">
        <v>105</v>
      </c>
      <c r="J130" s="10">
        <v>32.931200000000004</v>
      </c>
      <c r="K130" s="10">
        <v>33.154000000000003</v>
      </c>
      <c r="L130" s="10">
        <f t="shared" si="1"/>
        <v>0</v>
      </c>
      <c r="M130" s="10">
        <f t="shared" si="3"/>
        <v>0</v>
      </c>
      <c r="N130" s="10"/>
      <c r="O130" s="10"/>
      <c r="P130" s="10"/>
      <c r="Q130" s="10"/>
      <c r="R130" s="10"/>
      <c r="S130" s="10"/>
      <c r="T130" s="10"/>
      <c r="U130" s="10"/>
      <c r="V130" s="4" t="s">
        <v>85</v>
      </c>
      <c r="W130" s="4"/>
      <c r="X130" s="8"/>
      <c r="Y130" s="4"/>
      <c r="Z130" s="4"/>
      <c r="AA130" s="8"/>
      <c r="AB130" s="8"/>
      <c r="AC130" s="4"/>
      <c r="AD130" s="4"/>
    </row>
    <row r="131" spans="1:30" hidden="1">
      <c r="A131" s="4">
        <v>1500</v>
      </c>
      <c r="B131" s="8">
        <v>44906</v>
      </c>
      <c r="C131" s="4"/>
      <c r="D131" s="4" t="s">
        <v>42</v>
      </c>
      <c r="E131" s="8">
        <v>44926</v>
      </c>
      <c r="F131" s="4" t="s">
        <v>43</v>
      </c>
      <c r="G131" s="40" t="s">
        <v>60</v>
      </c>
      <c r="H131" s="4" t="s">
        <v>45</v>
      </c>
      <c r="I131" s="4" t="s">
        <v>106</v>
      </c>
      <c r="J131" s="10">
        <v>42.062249999999999</v>
      </c>
      <c r="K131" s="10">
        <f>18.614+19.482+3.271+0.792</f>
        <v>42.159000000000006</v>
      </c>
      <c r="L131" s="10">
        <f t="shared" si="1"/>
        <v>0</v>
      </c>
      <c r="M131" s="10">
        <f t="shared" si="3"/>
        <v>0</v>
      </c>
      <c r="N131" s="10"/>
      <c r="O131" s="10"/>
      <c r="P131" s="10"/>
      <c r="Q131" s="10"/>
      <c r="R131" s="10"/>
      <c r="S131" s="10"/>
      <c r="T131" s="10"/>
      <c r="U131" s="10"/>
      <c r="V131" s="4" t="s">
        <v>85</v>
      </c>
      <c r="W131" s="4"/>
      <c r="X131" s="8"/>
      <c r="Y131" s="4"/>
      <c r="Z131" s="4"/>
      <c r="AA131" s="8"/>
      <c r="AB131" s="8"/>
      <c r="AC131" s="4"/>
      <c r="AD131" s="4"/>
    </row>
    <row r="132" spans="1:30" hidden="1">
      <c r="A132" s="4">
        <v>1500</v>
      </c>
      <c r="B132" s="8">
        <v>44906</v>
      </c>
      <c r="C132" s="4"/>
      <c r="D132" s="4" t="s">
        <v>42</v>
      </c>
      <c r="E132" s="8">
        <v>44926</v>
      </c>
      <c r="F132" s="4" t="s">
        <v>43</v>
      </c>
      <c r="G132" s="40" t="s">
        <v>60</v>
      </c>
      <c r="H132" s="4" t="s">
        <v>45</v>
      </c>
      <c r="I132" s="4" t="s">
        <v>96</v>
      </c>
      <c r="J132" s="10">
        <v>19.503976000000002</v>
      </c>
      <c r="K132" s="10">
        <f>7.459+10.875+1.316</f>
        <v>19.649999999999999</v>
      </c>
      <c r="L132" s="10">
        <f t="shared" si="1"/>
        <v>0</v>
      </c>
      <c r="M132" s="10">
        <f t="shared" si="3"/>
        <v>0</v>
      </c>
      <c r="N132" s="10"/>
      <c r="O132" s="10"/>
      <c r="P132" s="10"/>
      <c r="Q132" s="10"/>
      <c r="R132" s="10"/>
      <c r="S132" s="10"/>
      <c r="T132" s="10"/>
      <c r="U132" s="10"/>
      <c r="V132" s="4" t="s">
        <v>85</v>
      </c>
      <c r="W132" s="4"/>
      <c r="X132" s="8"/>
      <c r="Y132" s="4"/>
      <c r="Z132" s="4"/>
      <c r="AA132" s="8"/>
      <c r="AB132" s="8"/>
      <c r="AC132" s="4"/>
      <c r="AD132" s="4"/>
    </row>
    <row r="133" spans="1:30" hidden="1">
      <c r="A133" s="4">
        <v>1500</v>
      </c>
      <c r="B133" s="8">
        <v>44906</v>
      </c>
      <c r="C133" s="4"/>
      <c r="D133" s="4" t="s">
        <v>42</v>
      </c>
      <c r="E133" s="8">
        <v>44926</v>
      </c>
      <c r="F133" s="4" t="s">
        <v>43</v>
      </c>
      <c r="G133" s="40" t="s">
        <v>60</v>
      </c>
      <c r="H133" s="4" t="s">
        <v>45</v>
      </c>
      <c r="I133" s="4" t="s">
        <v>107</v>
      </c>
      <c r="J133" s="10">
        <v>30.254379999999998</v>
      </c>
      <c r="K133" s="10">
        <f>30.285</f>
        <v>30.285</v>
      </c>
      <c r="L133" s="10">
        <f t="shared" si="1"/>
        <v>0</v>
      </c>
      <c r="M133" s="10">
        <f t="shared" si="3"/>
        <v>0</v>
      </c>
      <c r="N133" s="10"/>
      <c r="O133" s="10"/>
      <c r="P133" s="10"/>
      <c r="Q133" s="10"/>
      <c r="R133" s="10"/>
      <c r="S133" s="10"/>
      <c r="T133" s="10"/>
      <c r="U133" s="10"/>
      <c r="V133" s="4" t="s">
        <v>85</v>
      </c>
      <c r="W133" s="4"/>
      <c r="X133" s="8"/>
      <c r="Y133" s="4"/>
      <c r="Z133" s="4"/>
      <c r="AA133" s="8"/>
      <c r="AB133" s="8"/>
      <c r="AC133" s="4"/>
      <c r="AD133" s="4"/>
    </row>
    <row r="134" spans="1:30" hidden="1">
      <c r="A134" s="4">
        <v>1500</v>
      </c>
      <c r="B134" s="8">
        <v>44906</v>
      </c>
      <c r="C134" s="4"/>
      <c r="D134" s="4" t="s">
        <v>42</v>
      </c>
      <c r="E134" s="8">
        <v>44926</v>
      </c>
      <c r="F134" s="4" t="s">
        <v>43</v>
      </c>
      <c r="G134" s="40" t="s">
        <v>60</v>
      </c>
      <c r="H134" s="4" t="s">
        <v>45</v>
      </c>
      <c r="I134" s="4" t="s">
        <v>97</v>
      </c>
      <c r="J134" s="10">
        <v>1.2535000000000001</v>
      </c>
      <c r="K134" s="10">
        <f>1.254</f>
        <v>1.254</v>
      </c>
      <c r="L134" s="10">
        <f t="shared" si="1"/>
        <v>0</v>
      </c>
      <c r="M134" s="10">
        <f t="shared" si="3"/>
        <v>0</v>
      </c>
      <c r="N134" s="10"/>
      <c r="O134" s="10"/>
      <c r="P134" s="10"/>
      <c r="Q134" s="10"/>
      <c r="R134" s="10"/>
      <c r="S134" s="10"/>
      <c r="T134" s="10"/>
      <c r="U134" s="10"/>
      <c r="V134" s="4" t="s">
        <v>85</v>
      </c>
      <c r="W134" s="4"/>
      <c r="X134" s="8"/>
      <c r="Y134" s="4"/>
      <c r="Z134" s="4"/>
      <c r="AA134" s="8"/>
      <c r="AB134" s="8"/>
      <c r="AC134" s="4"/>
      <c r="AD134" s="4"/>
    </row>
    <row r="135" spans="1:30" hidden="1">
      <c r="A135" s="4">
        <v>1500</v>
      </c>
      <c r="B135" s="8">
        <v>44906</v>
      </c>
      <c r="C135" s="4"/>
      <c r="D135" s="4" t="s">
        <v>42</v>
      </c>
      <c r="E135" s="8">
        <v>44926</v>
      </c>
      <c r="F135" s="4" t="s">
        <v>43</v>
      </c>
      <c r="G135" s="40" t="s">
        <v>60</v>
      </c>
      <c r="H135" s="4" t="s">
        <v>45</v>
      </c>
      <c r="I135" s="4" t="s">
        <v>108</v>
      </c>
      <c r="J135" s="10">
        <v>84.814619999999991</v>
      </c>
      <c r="K135" s="10">
        <f>15.987+6.864+10.544+7.907+4.389+10.231+20.528+7.275+1.257+1.438</f>
        <v>86.42</v>
      </c>
      <c r="L135" s="10">
        <f t="shared" si="1"/>
        <v>0</v>
      </c>
      <c r="M135" s="10">
        <f t="shared" si="3"/>
        <v>0</v>
      </c>
      <c r="N135" s="10"/>
      <c r="O135" s="10"/>
      <c r="P135" s="10"/>
      <c r="Q135" s="10"/>
      <c r="R135" s="10"/>
      <c r="S135" s="10"/>
      <c r="T135" s="10"/>
      <c r="U135" s="10"/>
      <c r="V135" s="4" t="s">
        <v>85</v>
      </c>
      <c r="W135" s="4"/>
      <c r="X135" s="8"/>
      <c r="Y135" s="4"/>
      <c r="Z135" s="4"/>
      <c r="AA135" s="8"/>
      <c r="AB135" s="8"/>
      <c r="AC135" s="4"/>
      <c r="AD135" s="4"/>
    </row>
    <row r="136" spans="1:30" hidden="1">
      <c r="A136" s="4">
        <v>1500</v>
      </c>
      <c r="B136" s="8">
        <v>44906</v>
      </c>
      <c r="C136" s="4"/>
      <c r="D136" s="4" t="s">
        <v>42</v>
      </c>
      <c r="E136" s="8">
        <v>44926</v>
      </c>
      <c r="F136" s="4" t="s">
        <v>43</v>
      </c>
      <c r="G136" s="40" t="s">
        <v>60</v>
      </c>
      <c r="H136" s="4" t="s">
        <v>45</v>
      </c>
      <c r="I136" s="4" t="s">
        <v>109</v>
      </c>
      <c r="J136" s="10">
        <v>56.531729999999996</v>
      </c>
      <c r="K136" s="10">
        <f>32.486+1.633+12.145+4.028+6.239</f>
        <v>56.530999999999992</v>
      </c>
      <c r="L136" s="10">
        <f t="shared" si="1"/>
        <v>0</v>
      </c>
      <c r="M136" s="10">
        <f t="shared" si="3"/>
        <v>0</v>
      </c>
      <c r="N136" s="10"/>
      <c r="O136" s="10"/>
      <c r="P136" s="10"/>
      <c r="Q136" s="10"/>
      <c r="R136" s="10"/>
      <c r="S136" s="10"/>
      <c r="T136" s="10"/>
      <c r="U136" s="10"/>
      <c r="V136" s="4" t="s">
        <v>85</v>
      </c>
      <c r="W136" s="4"/>
      <c r="X136" s="8"/>
      <c r="Y136" s="4"/>
      <c r="Z136" s="4"/>
      <c r="AA136" s="8"/>
      <c r="AB136" s="8"/>
      <c r="AC136" s="4"/>
      <c r="AD136" s="4"/>
    </row>
    <row r="137" spans="1:30" hidden="1">
      <c r="A137" s="4">
        <v>1500</v>
      </c>
      <c r="B137" s="8">
        <v>44906</v>
      </c>
      <c r="C137" s="4"/>
      <c r="D137" s="4" t="s">
        <v>42</v>
      </c>
      <c r="E137" s="8">
        <v>44926</v>
      </c>
      <c r="F137" s="4" t="s">
        <v>43</v>
      </c>
      <c r="G137" s="40" t="s">
        <v>60</v>
      </c>
      <c r="H137" s="4" t="s">
        <v>45</v>
      </c>
      <c r="I137" s="4" t="s">
        <v>110</v>
      </c>
      <c r="J137" s="10">
        <v>82.805320000000009</v>
      </c>
      <c r="K137" s="10">
        <f>32.325+24.276+4.235+22.182</f>
        <v>83.018000000000001</v>
      </c>
      <c r="L137" s="10">
        <f t="shared" si="1"/>
        <v>0</v>
      </c>
      <c r="M137" s="10">
        <f t="shared" si="3"/>
        <v>0</v>
      </c>
      <c r="N137" s="10"/>
      <c r="O137" s="10"/>
      <c r="P137" s="10"/>
      <c r="Q137" s="10"/>
      <c r="R137" s="10"/>
      <c r="S137" s="10"/>
      <c r="T137" s="10"/>
      <c r="U137" s="10"/>
      <c r="V137" s="4" t="s">
        <v>85</v>
      </c>
      <c r="W137" s="4"/>
      <c r="X137" s="8"/>
      <c r="Y137" s="4"/>
      <c r="Z137" s="4"/>
      <c r="AA137" s="8"/>
      <c r="AB137" s="8"/>
      <c r="AC137" s="4"/>
      <c r="AD137" s="4"/>
    </row>
    <row r="138" spans="1:30" hidden="1">
      <c r="A138" s="4">
        <v>1500</v>
      </c>
      <c r="B138" s="8">
        <v>44906</v>
      </c>
      <c r="C138" s="4"/>
      <c r="D138" s="4" t="s">
        <v>42</v>
      </c>
      <c r="E138" s="8">
        <v>44926</v>
      </c>
      <c r="F138" s="4" t="s">
        <v>43</v>
      </c>
      <c r="G138" s="40" t="s">
        <v>60</v>
      </c>
      <c r="H138" s="4" t="s">
        <v>45</v>
      </c>
      <c r="I138" s="4" t="s">
        <v>111</v>
      </c>
      <c r="J138" s="10">
        <v>92.204060000000013</v>
      </c>
      <c r="K138" s="10">
        <f>19.413+32.227+31.653+8.975</f>
        <v>92.268000000000001</v>
      </c>
      <c r="L138" s="10">
        <f t="shared" si="1"/>
        <v>0</v>
      </c>
      <c r="M138" s="10">
        <f t="shared" si="3"/>
        <v>0</v>
      </c>
      <c r="N138" s="10"/>
      <c r="O138" s="10"/>
      <c r="P138" s="10"/>
      <c r="Q138" s="10"/>
      <c r="R138" s="10"/>
      <c r="S138" s="10"/>
      <c r="T138" s="10"/>
      <c r="U138" s="10"/>
      <c r="V138" s="4" t="s">
        <v>85</v>
      </c>
      <c r="W138" s="4"/>
      <c r="X138" s="8"/>
      <c r="Y138" s="4"/>
      <c r="Z138" s="4"/>
      <c r="AA138" s="8"/>
      <c r="AB138" s="8"/>
      <c r="AC138" s="4"/>
      <c r="AD138" s="4"/>
    </row>
    <row r="139" spans="1:30" hidden="1">
      <c r="A139" s="4">
        <v>1500</v>
      </c>
      <c r="B139" s="8">
        <v>44906</v>
      </c>
      <c r="C139" s="4"/>
      <c r="D139" s="4" t="s">
        <v>42</v>
      </c>
      <c r="E139" s="8">
        <v>44926</v>
      </c>
      <c r="F139" s="4" t="s">
        <v>43</v>
      </c>
      <c r="G139" s="40" t="s">
        <v>60</v>
      </c>
      <c r="H139" s="4" t="s">
        <v>45</v>
      </c>
      <c r="I139" s="4" t="s">
        <v>112</v>
      </c>
      <c r="J139" s="10">
        <v>56.005949999999999</v>
      </c>
      <c r="K139" s="10">
        <f>31.776+13.745+5.396+5.455</f>
        <v>56.372</v>
      </c>
      <c r="L139" s="10">
        <f t="shared" si="1"/>
        <v>0</v>
      </c>
      <c r="M139" s="10">
        <f t="shared" si="3"/>
        <v>0</v>
      </c>
      <c r="N139" s="10"/>
      <c r="O139" s="10"/>
      <c r="P139" s="10"/>
      <c r="Q139" s="10"/>
      <c r="R139" s="10"/>
      <c r="S139" s="10"/>
      <c r="T139" s="10"/>
      <c r="U139" s="10"/>
      <c r="V139" s="4" t="s">
        <v>85</v>
      </c>
      <c r="W139" s="4"/>
      <c r="X139" s="8"/>
      <c r="Y139" s="4"/>
      <c r="Z139" s="4"/>
      <c r="AA139" s="8"/>
      <c r="AB139" s="8"/>
      <c r="AC139" s="4"/>
      <c r="AD139" s="4"/>
    </row>
    <row r="140" spans="1:30" hidden="1">
      <c r="A140" s="4">
        <v>1500</v>
      </c>
      <c r="B140" s="8">
        <v>44906</v>
      </c>
      <c r="C140" s="4"/>
      <c r="D140" s="4" t="s">
        <v>42</v>
      </c>
      <c r="E140" s="8">
        <v>44926</v>
      </c>
      <c r="F140" s="4" t="s">
        <v>43</v>
      </c>
      <c r="G140" s="40" t="s">
        <v>60</v>
      </c>
      <c r="H140" s="4" t="s">
        <v>45</v>
      </c>
      <c r="I140" s="4" t="s">
        <v>113</v>
      </c>
      <c r="J140" s="10">
        <v>74.022300000000001</v>
      </c>
      <c r="K140" s="10">
        <f>33.072+32.567+8.409+0.95</f>
        <v>74.998000000000019</v>
      </c>
      <c r="L140" s="10">
        <f t="shared" si="1"/>
        <v>0</v>
      </c>
      <c r="M140" s="10">
        <f t="shared" si="3"/>
        <v>0</v>
      </c>
      <c r="N140" s="10"/>
      <c r="O140" s="10"/>
      <c r="P140" s="10"/>
      <c r="Q140" s="10"/>
      <c r="R140" s="10"/>
      <c r="S140" s="10"/>
      <c r="T140" s="10"/>
      <c r="U140" s="10"/>
      <c r="V140" s="4" t="s">
        <v>85</v>
      </c>
      <c r="W140" s="4"/>
      <c r="X140" s="8"/>
      <c r="Y140" s="4"/>
      <c r="Z140" s="4"/>
      <c r="AA140" s="8"/>
      <c r="AB140" s="8"/>
      <c r="AC140" s="4"/>
      <c r="AD140" s="4"/>
    </row>
    <row r="141" spans="1:30" hidden="1">
      <c r="A141" s="4">
        <v>1500</v>
      </c>
      <c r="B141" s="8">
        <v>44906</v>
      </c>
      <c r="C141" s="4"/>
      <c r="D141" s="4" t="s">
        <v>42</v>
      </c>
      <c r="E141" s="8">
        <v>44926</v>
      </c>
      <c r="F141" s="4" t="s">
        <v>43</v>
      </c>
      <c r="G141" s="40" t="s">
        <v>60</v>
      </c>
      <c r="H141" s="4" t="s">
        <v>45</v>
      </c>
      <c r="I141" s="4" t="s">
        <v>114</v>
      </c>
      <c r="J141" s="10">
        <v>36.731590000000004</v>
      </c>
      <c r="K141" s="10">
        <f>36.374+0.673</f>
        <v>37.047000000000004</v>
      </c>
      <c r="L141" s="10">
        <f t="shared" si="1"/>
        <v>0</v>
      </c>
      <c r="M141" s="10">
        <f t="shared" si="3"/>
        <v>0</v>
      </c>
      <c r="N141" s="10"/>
      <c r="O141" s="10"/>
      <c r="P141" s="10"/>
      <c r="Q141" s="10"/>
      <c r="R141" s="10"/>
      <c r="S141" s="10"/>
      <c r="T141" s="10"/>
      <c r="U141" s="10"/>
      <c r="V141" s="4" t="s">
        <v>85</v>
      </c>
      <c r="W141" s="4"/>
      <c r="X141" s="8"/>
      <c r="Y141" s="4"/>
      <c r="Z141" s="4"/>
      <c r="AA141" s="8"/>
      <c r="AB141" s="8"/>
      <c r="AC141" s="4"/>
      <c r="AD141" s="4"/>
    </row>
    <row r="142" spans="1:30" hidden="1">
      <c r="A142" s="4">
        <v>1500</v>
      </c>
      <c r="B142" s="8">
        <v>44906</v>
      </c>
      <c r="C142" s="4"/>
      <c r="D142" s="4" t="s">
        <v>42</v>
      </c>
      <c r="E142" s="8">
        <v>44926</v>
      </c>
      <c r="F142" s="4" t="s">
        <v>43</v>
      </c>
      <c r="G142" s="40" t="s">
        <v>60</v>
      </c>
      <c r="H142" s="4" t="s">
        <v>45</v>
      </c>
      <c r="I142" s="4" t="s">
        <v>115</v>
      </c>
      <c r="J142" s="10">
        <v>6.78132</v>
      </c>
      <c r="K142" s="10">
        <v>7.0330000000000004</v>
      </c>
      <c r="L142" s="10">
        <f t="shared" si="1"/>
        <v>0</v>
      </c>
      <c r="M142" s="10">
        <f t="shared" si="3"/>
        <v>0</v>
      </c>
      <c r="N142" s="10"/>
      <c r="O142" s="10"/>
      <c r="P142" s="10"/>
      <c r="Q142" s="10"/>
      <c r="R142" s="10"/>
      <c r="S142" s="10"/>
      <c r="T142" s="10"/>
      <c r="U142" s="10"/>
      <c r="V142" s="4" t="s">
        <v>85</v>
      </c>
      <c r="W142" s="4"/>
      <c r="X142" s="8"/>
      <c r="Y142" s="4"/>
      <c r="Z142" s="4"/>
      <c r="AA142" s="8"/>
      <c r="AB142" s="8"/>
      <c r="AC142" s="4"/>
      <c r="AD142" s="4"/>
    </row>
    <row r="143" spans="1:30" hidden="1">
      <c r="A143" s="4">
        <v>1500</v>
      </c>
      <c r="B143" s="8">
        <v>44906</v>
      </c>
      <c r="C143" s="4"/>
      <c r="D143" s="4" t="s">
        <v>42</v>
      </c>
      <c r="E143" s="8">
        <v>44926</v>
      </c>
      <c r="F143" s="4" t="s">
        <v>43</v>
      </c>
      <c r="G143" s="40" t="s">
        <v>60</v>
      </c>
      <c r="H143" s="4" t="s">
        <v>45</v>
      </c>
      <c r="I143" s="4" t="s">
        <v>116</v>
      </c>
      <c r="J143" s="10">
        <v>33.736159999999998</v>
      </c>
      <c r="K143" s="10">
        <f>24.907+8.835</f>
        <v>33.742000000000004</v>
      </c>
      <c r="L143" s="10">
        <f t="shared" si="1"/>
        <v>0</v>
      </c>
      <c r="M143" s="10">
        <f t="shared" si="3"/>
        <v>0</v>
      </c>
      <c r="N143" s="10"/>
      <c r="O143" s="10"/>
      <c r="P143" s="10"/>
      <c r="Q143" s="10"/>
      <c r="R143" s="10"/>
      <c r="S143" s="10"/>
      <c r="T143" s="10"/>
      <c r="U143" s="10"/>
      <c r="V143" s="4" t="s">
        <v>85</v>
      </c>
      <c r="W143" s="4"/>
      <c r="X143" s="8"/>
      <c r="Y143" s="4"/>
      <c r="Z143" s="4"/>
      <c r="AA143" s="8"/>
      <c r="AB143" s="8"/>
      <c r="AC143" s="4"/>
      <c r="AD143" s="4"/>
    </row>
    <row r="144" spans="1:30" hidden="1">
      <c r="A144" s="4">
        <v>1500</v>
      </c>
      <c r="B144" s="8">
        <v>44906</v>
      </c>
      <c r="C144" s="4"/>
      <c r="D144" s="4" t="s">
        <v>42</v>
      </c>
      <c r="E144" s="8">
        <v>44926</v>
      </c>
      <c r="F144" s="4" t="s">
        <v>43</v>
      </c>
      <c r="G144" s="40" t="s">
        <v>60</v>
      </c>
      <c r="H144" s="4" t="s">
        <v>45</v>
      </c>
      <c r="I144" s="4" t="s">
        <v>117</v>
      </c>
      <c r="J144" s="10">
        <v>43.362519999999996</v>
      </c>
      <c r="K144" s="10">
        <f>26.394+17.035</f>
        <v>43.429000000000002</v>
      </c>
      <c r="L144" s="10">
        <f t="shared" si="1"/>
        <v>0</v>
      </c>
      <c r="M144" s="10">
        <f t="shared" si="3"/>
        <v>0</v>
      </c>
      <c r="N144" s="10"/>
      <c r="O144" s="10"/>
      <c r="P144" s="10"/>
      <c r="Q144" s="10"/>
      <c r="R144" s="10"/>
      <c r="S144" s="10"/>
      <c r="T144" s="10"/>
      <c r="U144" s="10"/>
      <c r="V144" s="4" t="s">
        <v>85</v>
      </c>
      <c r="W144" s="4"/>
      <c r="X144" s="8"/>
      <c r="Y144" s="4"/>
      <c r="Z144" s="4"/>
      <c r="AA144" s="8"/>
      <c r="AB144" s="8"/>
      <c r="AC144" s="4"/>
      <c r="AD144" s="4"/>
    </row>
    <row r="145" spans="1:30" hidden="1">
      <c r="A145" s="4">
        <v>1500</v>
      </c>
      <c r="B145" s="8">
        <v>44906</v>
      </c>
      <c r="C145" s="4"/>
      <c r="D145" s="4" t="s">
        <v>42</v>
      </c>
      <c r="E145" s="8">
        <v>44926</v>
      </c>
      <c r="F145" s="4" t="s">
        <v>43</v>
      </c>
      <c r="G145" s="40" t="s">
        <v>60</v>
      </c>
      <c r="H145" s="4" t="s">
        <v>45</v>
      </c>
      <c r="I145" s="4" t="s">
        <v>118</v>
      </c>
      <c r="J145" s="10">
        <v>6.1200000000000004E-2</v>
      </c>
      <c r="K145" s="10">
        <v>6.0999999999999999E-2</v>
      </c>
      <c r="L145" s="10">
        <f t="shared" si="1"/>
        <v>0</v>
      </c>
      <c r="M145" s="10">
        <f t="shared" si="3"/>
        <v>0</v>
      </c>
      <c r="N145" s="10"/>
      <c r="O145" s="10"/>
      <c r="P145" s="10"/>
      <c r="Q145" s="10"/>
      <c r="R145" s="10"/>
      <c r="S145" s="10"/>
      <c r="T145" s="10"/>
      <c r="U145" s="10"/>
      <c r="V145" s="4" t="s">
        <v>85</v>
      </c>
      <c r="W145" s="4"/>
      <c r="X145" s="8"/>
      <c r="Y145" s="4"/>
      <c r="Z145" s="4"/>
      <c r="AA145" s="8"/>
      <c r="AB145" s="8"/>
      <c r="AC145" s="4"/>
      <c r="AD145" s="4"/>
    </row>
    <row r="146" spans="1:30" hidden="1">
      <c r="A146" s="4">
        <v>1500</v>
      </c>
      <c r="B146" s="8">
        <v>44906</v>
      </c>
      <c r="C146" s="4"/>
      <c r="D146" s="4" t="s">
        <v>42</v>
      </c>
      <c r="E146" s="8">
        <v>44926</v>
      </c>
      <c r="F146" s="4" t="s">
        <v>43</v>
      </c>
      <c r="G146" s="40" t="s">
        <v>60</v>
      </c>
      <c r="H146" s="4" t="s">
        <v>45</v>
      </c>
      <c r="I146" s="4" t="s">
        <v>119</v>
      </c>
      <c r="J146" s="10">
        <v>3.9298000000000002</v>
      </c>
      <c r="K146" s="10">
        <f>3.144+0.786</f>
        <v>3.93</v>
      </c>
      <c r="L146" s="10">
        <f t="shared" si="1"/>
        <v>0</v>
      </c>
      <c r="M146" s="10">
        <f t="shared" si="3"/>
        <v>0</v>
      </c>
      <c r="N146" s="10"/>
      <c r="O146" s="10"/>
      <c r="P146" s="10"/>
      <c r="Q146" s="10"/>
      <c r="R146" s="10"/>
      <c r="S146" s="10"/>
      <c r="T146" s="10"/>
      <c r="U146" s="10"/>
      <c r="V146" s="4" t="s">
        <v>85</v>
      </c>
      <c r="W146" s="4"/>
      <c r="X146" s="8"/>
      <c r="Y146" s="4"/>
      <c r="Z146" s="4"/>
      <c r="AA146" s="8"/>
      <c r="AB146" s="8"/>
      <c r="AC146" s="4"/>
      <c r="AD146" s="4"/>
    </row>
    <row r="147" spans="1:30" hidden="1">
      <c r="A147" s="4">
        <v>1500</v>
      </c>
      <c r="B147" s="8">
        <v>44906</v>
      </c>
      <c r="C147" s="4"/>
      <c r="D147" s="4" t="s">
        <v>42</v>
      </c>
      <c r="E147" s="8">
        <v>44926</v>
      </c>
      <c r="F147" s="4" t="s">
        <v>43</v>
      </c>
      <c r="G147" s="40" t="s">
        <v>60</v>
      </c>
      <c r="H147" s="4" t="s">
        <v>45</v>
      </c>
      <c r="I147" s="4" t="s">
        <v>120</v>
      </c>
      <c r="J147" s="10">
        <v>19.956299999999999</v>
      </c>
      <c r="K147" s="10">
        <f>19.956</f>
        <v>19.956</v>
      </c>
      <c r="L147" s="10">
        <f t="shared" si="1"/>
        <v>0</v>
      </c>
      <c r="M147" s="10">
        <f t="shared" si="3"/>
        <v>0</v>
      </c>
      <c r="N147" s="10"/>
      <c r="O147" s="10"/>
      <c r="P147" s="10"/>
      <c r="Q147" s="10"/>
      <c r="R147" s="10"/>
      <c r="S147" s="10"/>
      <c r="T147" s="10"/>
      <c r="U147" s="10"/>
      <c r="V147" s="4" t="s">
        <v>85</v>
      </c>
      <c r="W147" s="4"/>
      <c r="X147" s="8"/>
      <c r="Y147" s="4"/>
      <c r="Z147" s="4"/>
      <c r="AA147" s="8"/>
      <c r="AB147" s="8"/>
      <c r="AC147" s="4"/>
      <c r="AD147" s="4"/>
    </row>
    <row r="148" spans="1:30" hidden="1">
      <c r="A148" s="4">
        <v>1500</v>
      </c>
      <c r="B148" s="8">
        <v>44906</v>
      </c>
      <c r="C148" s="4"/>
      <c r="D148" s="4" t="s">
        <v>42</v>
      </c>
      <c r="E148" s="8">
        <v>44926</v>
      </c>
      <c r="F148" s="4" t="s">
        <v>43</v>
      </c>
      <c r="G148" s="40" t="s">
        <v>60</v>
      </c>
      <c r="H148" s="4" t="s">
        <v>45</v>
      </c>
      <c r="I148" s="4" t="s">
        <v>121</v>
      </c>
      <c r="J148" s="10">
        <v>61.282830000000004</v>
      </c>
      <c r="K148" s="10">
        <f>32.875+22.372+6.855</f>
        <v>62.102000000000004</v>
      </c>
      <c r="L148" s="10">
        <f t="shared" si="1"/>
        <v>0</v>
      </c>
      <c r="M148" s="10">
        <f t="shared" si="3"/>
        <v>0</v>
      </c>
      <c r="N148" s="10"/>
      <c r="O148" s="10"/>
      <c r="P148" s="10"/>
      <c r="Q148" s="10"/>
      <c r="R148" s="10"/>
      <c r="S148" s="10"/>
      <c r="T148" s="10"/>
      <c r="U148" s="10"/>
      <c r="V148" s="4" t="s">
        <v>85</v>
      </c>
      <c r="W148" s="4"/>
      <c r="X148" s="8"/>
      <c r="Y148" s="4"/>
      <c r="Z148" s="4"/>
      <c r="AA148" s="8"/>
      <c r="AB148" s="8"/>
      <c r="AC148" s="4"/>
      <c r="AD148" s="4"/>
    </row>
    <row r="149" spans="1:30" hidden="1">
      <c r="A149" s="4">
        <v>1500</v>
      </c>
      <c r="B149" s="8">
        <v>44906</v>
      </c>
      <c r="C149" s="4"/>
      <c r="D149" s="4" t="s">
        <v>42</v>
      </c>
      <c r="E149" s="8">
        <v>44926</v>
      </c>
      <c r="F149" s="4" t="s">
        <v>43</v>
      </c>
      <c r="G149" s="40" t="s">
        <v>60</v>
      </c>
      <c r="H149" s="4" t="s">
        <v>45</v>
      </c>
      <c r="I149" s="4" t="s">
        <v>122</v>
      </c>
      <c r="J149" s="10">
        <v>0.53099999999999992</v>
      </c>
      <c r="K149" s="10">
        <v>0.53100000000000003</v>
      </c>
      <c r="L149" s="10">
        <f t="shared" si="1"/>
        <v>0</v>
      </c>
      <c r="M149" s="10">
        <f>SUM(N149:T149)</f>
        <v>0</v>
      </c>
      <c r="N149" s="10"/>
      <c r="O149" s="10"/>
      <c r="P149" s="10"/>
      <c r="Q149" s="10"/>
      <c r="R149" s="10"/>
      <c r="S149" s="10"/>
      <c r="T149" s="10"/>
      <c r="U149" s="10"/>
      <c r="V149" s="4" t="s">
        <v>85</v>
      </c>
      <c r="W149" s="4"/>
      <c r="X149" s="8"/>
      <c r="Y149" s="4"/>
      <c r="Z149" s="4"/>
      <c r="AA149" s="8"/>
      <c r="AB149" s="8"/>
      <c r="AC149" s="4"/>
      <c r="AD149" s="4"/>
    </row>
    <row r="150" spans="1:30" hidden="1">
      <c r="A150" s="4">
        <v>1501</v>
      </c>
      <c r="B150" s="8">
        <v>44907</v>
      </c>
      <c r="C150" s="4"/>
      <c r="D150" s="4" t="s">
        <v>42</v>
      </c>
      <c r="E150" s="8">
        <v>44918</v>
      </c>
      <c r="F150" s="4" t="s">
        <v>43</v>
      </c>
      <c r="G150" s="15" t="s">
        <v>19</v>
      </c>
      <c r="H150" s="4" t="s">
        <v>45</v>
      </c>
      <c r="I150" s="4" t="s">
        <v>123</v>
      </c>
      <c r="J150" s="10"/>
      <c r="K150" s="10"/>
      <c r="L150" s="10">
        <f t="shared" si="1"/>
        <v>0</v>
      </c>
      <c r="M150" s="10">
        <f t="shared" ref="M150:M152" si="4">SUM(N150:T150)</f>
        <v>0</v>
      </c>
      <c r="N150" s="10"/>
      <c r="O150" s="10"/>
      <c r="P150" s="10"/>
      <c r="Q150" s="10"/>
      <c r="R150" s="10"/>
      <c r="S150" s="10"/>
      <c r="T150" s="10"/>
      <c r="U150" s="10"/>
      <c r="V150" s="4" t="s">
        <v>91</v>
      </c>
      <c r="W150" s="4"/>
      <c r="X150" s="8"/>
      <c r="Y150" s="4"/>
      <c r="Z150" s="4"/>
      <c r="AA150" s="8"/>
      <c r="AB150" s="8"/>
      <c r="AC150" s="4"/>
      <c r="AD150" s="4"/>
    </row>
    <row r="151" spans="1:30" hidden="1">
      <c r="A151" s="4">
        <v>1501</v>
      </c>
      <c r="B151" s="8">
        <v>44907</v>
      </c>
      <c r="C151" s="4"/>
      <c r="D151" s="4" t="s">
        <v>42</v>
      </c>
      <c r="E151" s="8">
        <v>44918</v>
      </c>
      <c r="F151" s="4" t="s">
        <v>43</v>
      </c>
      <c r="G151" s="15" t="s">
        <v>19</v>
      </c>
      <c r="H151" s="4" t="s">
        <v>45</v>
      </c>
      <c r="I151" s="4" t="s">
        <v>121</v>
      </c>
      <c r="J151" s="10">
        <v>16.052</v>
      </c>
      <c r="K151" s="10">
        <f>16.052</f>
        <v>16.052</v>
      </c>
      <c r="L151" s="10">
        <f t="shared" si="1"/>
        <v>0</v>
      </c>
      <c r="M151" s="10">
        <f t="shared" si="4"/>
        <v>0</v>
      </c>
      <c r="N151" s="10"/>
      <c r="O151" s="10"/>
      <c r="P151" s="10"/>
      <c r="Q151" s="10"/>
      <c r="R151" s="10"/>
      <c r="S151" s="10"/>
      <c r="T151" s="10"/>
      <c r="U151" s="10"/>
      <c r="V151" s="4" t="s">
        <v>91</v>
      </c>
      <c r="W151" s="4"/>
      <c r="X151" s="8"/>
      <c r="Y151" s="4"/>
      <c r="Z151" s="4"/>
      <c r="AA151" s="8"/>
      <c r="AB151" s="8"/>
      <c r="AC151" s="4"/>
      <c r="AD151" s="4"/>
    </row>
    <row r="152" spans="1:30" hidden="1">
      <c r="A152" s="4">
        <v>1501</v>
      </c>
      <c r="B152" s="8">
        <v>44907</v>
      </c>
      <c r="C152" s="4"/>
      <c r="D152" s="4" t="s">
        <v>42</v>
      </c>
      <c r="E152" s="8">
        <v>44918</v>
      </c>
      <c r="F152" s="4" t="s">
        <v>43</v>
      </c>
      <c r="G152" s="15" t="s">
        <v>19</v>
      </c>
      <c r="H152" s="4" t="s">
        <v>45</v>
      </c>
      <c r="I152" s="4" t="s">
        <v>124</v>
      </c>
      <c r="J152" s="10"/>
      <c r="K152" s="10"/>
      <c r="L152" s="10">
        <f t="shared" si="1"/>
        <v>0</v>
      </c>
      <c r="M152" s="10">
        <f t="shared" si="4"/>
        <v>0</v>
      </c>
      <c r="N152" s="10"/>
      <c r="O152" s="10"/>
      <c r="P152" s="10"/>
      <c r="Q152" s="10"/>
      <c r="R152" s="10"/>
      <c r="S152" s="10"/>
      <c r="T152" s="10"/>
      <c r="U152" s="10">
        <f>J152-M152</f>
        <v>0</v>
      </c>
      <c r="V152" s="4" t="s">
        <v>91</v>
      </c>
      <c r="W152" s="4"/>
      <c r="X152" s="8"/>
      <c r="Y152" s="4"/>
      <c r="Z152" s="4"/>
      <c r="AA152" s="8"/>
      <c r="AB152" s="8"/>
      <c r="AC152" s="4"/>
      <c r="AD152" s="4"/>
    </row>
    <row r="153" spans="1:30" hidden="1">
      <c r="A153" s="4">
        <v>1512</v>
      </c>
      <c r="B153" s="8">
        <v>44912</v>
      </c>
      <c r="C153" s="4"/>
      <c r="D153" s="4" t="s">
        <v>42</v>
      </c>
      <c r="E153" s="8">
        <v>44926</v>
      </c>
      <c r="F153" s="4" t="s">
        <v>43</v>
      </c>
      <c r="G153" s="16" t="s">
        <v>44</v>
      </c>
      <c r="H153" s="4" t="s">
        <v>45</v>
      </c>
      <c r="I153" s="4" t="s">
        <v>133</v>
      </c>
      <c r="J153" s="10">
        <v>4.6417600000000006</v>
      </c>
      <c r="K153" s="10">
        <f>1.991+2.665</f>
        <v>4.6560000000000006</v>
      </c>
      <c r="L153" s="10">
        <f t="shared" si="1"/>
        <v>0</v>
      </c>
      <c r="M153" s="10">
        <f t="shared" ref="M153:M162" si="5">SUM(N153:T153)</f>
        <v>0</v>
      </c>
      <c r="N153" s="10"/>
      <c r="O153" s="10"/>
      <c r="P153" s="10"/>
      <c r="Q153" s="10"/>
      <c r="R153" s="10"/>
      <c r="S153" s="10"/>
      <c r="T153" s="10"/>
      <c r="U153" s="10"/>
      <c r="V153" s="4" t="s">
        <v>22</v>
      </c>
      <c r="W153" s="4"/>
      <c r="X153" s="8"/>
      <c r="Y153" s="4"/>
      <c r="Z153" s="4"/>
      <c r="AA153" s="8"/>
      <c r="AB153" s="8"/>
      <c r="AC153" s="4"/>
      <c r="AD153" s="4"/>
    </row>
    <row r="154" spans="1:30" hidden="1">
      <c r="A154" s="4">
        <v>1512</v>
      </c>
      <c r="B154" s="8">
        <v>44912</v>
      </c>
      <c r="C154" s="4"/>
      <c r="D154" s="4" t="s">
        <v>42</v>
      </c>
      <c r="E154" s="8">
        <v>44926</v>
      </c>
      <c r="F154" s="4" t="s">
        <v>43</v>
      </c>
      <c r="G154" s="16" t="s">
        <v>44</v>
      </c>
      <c r="H154" s="4" t="s">
        <v>45</v>
      </c>
      <c r="I154" s="4" t="s">
        <v>98</v>
      </c>
      <c r="J154" s="10">
        <v>9.7004799999999989</v>
      </c>
      <c r="K154" s="10">
        <f>7.561+2.575</f>
        <v>10.135999999999999</v>
      </c>
      <c r="L154" s="10">
        <f t="shared" si="1"/>
        <v>0</v>
      </c>
      <c r="M154" s="10">
        <f t="shared" si="5"/>
        <v>0</v>
      </c>
      <c r="N154" s="10"/>
      <c r="O154" s="10"/>
      <c r="P154" s="10"/>
      <c r="Q154" s="10"/>
      <c r="R154" s="10"/>
      <c r="S154" s="10"/>
      <c r="T154" s="10"/>
      <c r="U154" s="10"/>
      <c r="V154" s="4" t="s">
        <v>22</v>
      </c>
      <c r="W154" s="4"/>
      <c r="X154" s="8"/>
      <c r="Y154" s="4"/>
      <c r="Z154" s="4"/>
      <c r="AA154" s="8"/>
      <c r="AB154" s="8"/>
      <c r="AC154" s="4"/>
      <c r="AD154" s="4"/>
    </row>
    <row r="155" spans="1:30" hidden="1">
      <c r="A155" s="4">
        <v>1512</v>
      </c>
      <c r="B155" s="8">
        <v>44912</v>
      </c>
      <c r="C155" s="4"/>
      <c r="D155" s="4" t="s">
        <v>42</v>
      </c>
      <c r="E155" s="8">
        <v>44926</v>
      </c>
      <c r="F155" s="4" t="s">
        <v>43</v>
      </c>
      <c r="G155" s="16" t="s">
        <v>51</v>
      </c>
      <c r="H155" s="4" t="s">
        <v>52</v>
      </c>
      <c r="I155" s="4" t="s">
        <v>98</v>
      </c>
      <c r="J155" s="10">
        <v>0.92183999999999999</v>
      </c>
      <c r="K155" s="10">
        <v>1.0289999999999999</v>
      </c>
      <c r="L155" s="10">
        <f t="shared" si="1"/>
        <v>0</v>
      </c>
      <c r="M155" s="10">
        <f t="shared" si="5"/>
        <v>0</v>
      </c>
      <c r="N155" s="10"/>
      <c r="O155" s="10"/>
      <c r="P155" s="10"/>
      <c r="Q155" s="10"/>
      <c r="R155" s="10"/>
      <c r="S155" s="10"/>
      <c r="T155" s="10"/>
      <c r="U155" s="10"/>
      <c r="V155" s="4" t="s">
        <v>22</v>
      </c>
      <c r="W155" s="4"/>
      <c r="X155" s="8"/>
      <c r="Y155" s="4"/>
      <c r="Z155" s="4"/>
      <c r="AA155" s="8"/>
      <c r="AB155" s="8"/>
      <c r="AC155" s="4"/>
      <c r="AD155" s="4"/>
    </row>
    <row r="156" spans="1:30" hidden="1">
      <c r="A156" s="4">
        <v>1512</v>
      </c>
      <c r="B156" s="8">
        <v>44912</v>
      </c>
      <c r="C156" s="4"/>
      <c r="D156" s="4" t="s">
        <v>42</v>
      </c>
      <c r="E156" s="8">
        <v>44926</v>
      </c>
      <c r="F156" s="4" t="s">
        <v>43</v>
      </c>
      <c r="G156" s="16" t="s">
        <v>44</v>
      </c>
      <c r="H156" s="4" t="s">
        <v>45</v>
      </c>
      <c r="I156" s="4" t="s">
        <v>118</v>
      </c>
      <c r="J156" s="10">
        <v>2.5091999999999999</v>
      </c>
      <c r="K156" s="10">
        <f>2.509</f>
        <v>2.5089999999999999</v>
      </c>
      <c r="L156" s="10">
        <f t="shared" si="1"/>
        <v>0</v>
      </c>
      <c r="M156" s="10">
        <f t="shared" si="5"/>
        <v>0</v>
      </c>
      <c r="N156" s="10"/>
      <c r="O156" s="10"/>
      <c r="P156" s="10"/>
      <c r="Q156" s="10"/>
      <c r="R156" s="10"/>
      <c r="S156" s="10"/>
      <c r="T156" s="10"/>
      <c r="U156" s="10"/>
      <c r="V156" s="4" t="s">
        <v>22</v>
      </c>
      <c r="W156" s="4"/>
      <c r="X156" s="8"/>
      <c r="Y156" s="4"/>
      <c r="Z156" s="4"/>
      <c r="AA156" s="8"/>
      <c r="AB156" s="8"/>
      <c r="AC156" s="4"/>
      <c r="AD156" s="4"/>
    </row>
    <row r="157" spans="1:30" hidden="1">
      <c r="A157" s="4">
        <v>1512</v>
      </c>
      <c r="B157" s="8">
        <v>44912</v>
      </c>
      <c r="C157" s="4"/>
      <c r="D157" s="4" t="s">
        <v>42</v>
      </c>
      <c r="E157" s="8">
        <v>44926</v>
      </c>
      <c r="F157" s="4" t="s">
        <v>43</v>
      </c>
      <c r="G157" s="16" t="s">
        <v>44</v>
      </c>
      <c r="H157" s="4" t="s">
        <v>45</v>
      </c>
      <c r="I157" s="4" t="s">
        <v>134</v>
      </c>
      <c r="J157" s="10">
        <v>5.6635100000000005</v>
      </c>
      <c r="K157" s="10">
        <f>1.713+4.187</f>
        <v>5.9</v>
      </c>
      <c r="L157" s="10">
        <f t="shared" si="1"/>
        <v>0</v>
      </c>
      <c r="M157" s="10">
        <f t="shared" si="5"/>
        <v>0</v>
      </c>
      <c r="N157" s="10"/>
      <c r="O157" s="10"/>
      <c r="P157" s="10"/>
      <c r="Q157" s="10"/>
      <c r="R157" s="10"/>
      <c r="S157" s="10"/>
      <c r="T157" s="10"/>
      <c r="U157" s="10"/>
      <c r="V157" s="4" t="s">
        <v>22</v>
      </c>
      <c r="W157" s="4"/>
      <c r="X157" s="8"/>
      <c r="Y157" s="4"/>
      <c r="Z157" s="4"/>
      <c r="AA157" s="8"/>
      <c r="AB157" s="8"/>
      <c r="AC157" s="4"/>
      <c r="AD157" s="4"/>
    </row>
    <row r="158" spans="1:30" hidden="1">
      <c r="A158" s="4">
        <v>1512</v>
      </c>
      <c r="B158" s="8">
        <v>44912</v>
      </c>
      <c r="C158" s="4"/>
      <c r="D158" s="4" t="s">
        <v>42</v>
      </c>
      <c r="E158" s="8">
        <v>44926</v>
      </c>
      <c r="F158" s="4" t="s">
        <v>43</v>
      </c>
      <c r="G158" s="16" t="s">
        <v>44</v>
      </c>
      <c r="H158" s="4" t="s">
        <v>45</v>
      </c>
      <c r="I158" s="4" t="s">
        <v>135</v>
      </c>
      <c r="J158" s="10">
        <v>1.6850400000000001</v>
      </c>
      <c r="K158" s="10">
        <f>1.349+0.336</f>
        <v>1.6850000000000001</v>
      </c>
      <c r="L158" s="10">
        <f t="shared" si="1"/>
        <v>0</v>
      </c>
      <c r="M158" s="10">
        <f t="shared" si="5"/>
        <v>0</v>
      </c>
      <c r="N158" s="10"/>
      <c r="O158" s="10"/>
      <c r="P158" s="10"/>
      <c r="Q158" s="10"/>
      <c r="R158" s="10"/>
      <c r="S158" s="10"/>
      <c r="T158" s="10"/>
      <c r="U158" s="10"/>
      <c r="V158" s="4" t="s">
        <v>22</v>
      </c>
      <c r="W158" s="4"/>
      <c r="X158" s="8"/>
      <c r="Y158" s="4"/>
      <c r="Z158" s="4"/>
      <c r="AA158" s="8"/>
      <c r="AB158" s="8"/>
      <c r="AC158" s="4"/>
      <c r="AD158" s="4"/>
    </row>
    <row r="159" spans="1:30" hidden="1">
      <c r="A159" s="4">
        <v>1512</v>
      </c>
      <c r="B159" s="8">
        <v>44912</v>
      </c>
      <c r="C159" s="4"/>
      <c r="D159" s="4" t="s">
        <v>42</v>
      </c>
      <c r="E159" s="8">
        <v>44926</v>
      </c>
      <c r="F159" s="4" t="s">
        <v>43</v>
      </c>
      <c r="G159" s="16" t="s">
        <v>51</v>
      </c>
      <c r="H159" s="4" t="s">
        <v>52</v>
      </c>
      <c r="I159" s="4" t="s">
        <v>134</v>
      </c>
      <c r="J159" s="10">
        <v>0.71904000000000001</v>
      </c>
      <c r="K159" s="10">
        <v>0.89</v>
      </c>
      <c r="L159" s="10">
        <f t="shared" si="1"/>
        <v>0</v>
      </c>
      <c r="M159" s="10">
        <f>SUM(N159:T159)</f>
        <v>0</v>
      </c>
      <c r="N159" s="10"/>
      <c r="O159" s="10"/>
      <c r="P159" s="10"/>
      <c r="Q159" s="10"/>
      <c r="R159" s="10"/>
      <c r="S159" s="10"/>
      <c r="T159" s="10"/>
      <c r="U159" s="10"/>
      <c r="V159" s="4" t="s">
        <v>22</v>
      </c>
      <c r="W159" s="4"/>
      <c r="X159" s="8"/>
      <c r="Y159" s="4"/>
      <c r="Z159" s="4"/>
      <c r="AA159" s="8"/>
      <c r="AB159" s="8"/>
      <c r="AC159" s="4"/>
      <c r="AD159" s="4"/>
    </row>
    <row r="160" spans="1:30" hidden="1">
      <c r="A160" s="4">
        <v>1553</v>
      </c>
      <c r="B160" s="8">
        <v>44921</v>
      </c>
      <c r="C160" s="4"/>
      <c r="D160" s="4" t="s">
        <v>42</v>
      </c>
      <c r="E160" s="8">
        <v>44933</v>
      </c>
      <c r="F160" s="4" t="s">
        <v>43</v>
      </c>
      <c r="G160" s="39" t="s">
        <v>186</v>
      </c>
      <c r="H160" s="4" t="s">
        <v>45</v>
      </c>
      <c r="I160" s="4" t="s">
        <v>114</v>
      </c>
      <c r="J160" s="10">
        <v>9.2767499999999998</v>
      </c>
      <c r="K160" s="10">
        <f>1.465+7.812</f>
        <v>9.277000000000001</v>
      </c>
      <c r="L160" s="10">
        <f t="shared" ref="L160:L223" si="6">M160+U160</f>
        <v>0</v>
      </c>
      <c r="M160" s="10">
        <f t="shared" si="5"/>
        <v>0</v>
      </c>
      <c r="N160" s="10"/>
      <c r="O160" s="10"/>
      <c r="P160" s="10"/>
      <c r="Q160" s="10"/>
      <c r="R160" s="10"/>
      <c r="S160" s="10"/>
      <c r="T160" s="10"/>
      <c r="U160" s="10"/>
      <c r="V160" s="4" t="s">
        <v>226</v>
      </c>
      <c r="W160" s="4"/>
      <c r="X160" s="8"/>
      <c r="Y160" s="4"/>
      <c r="Z160" s="4"/>
      <c r="AA160" s="8"/>
      <c r="AB160" s="8"/>
      <c r="AC160" s="4"/>
      <c r="AD160" s="4"/>
    </row>
    <row r="161" spans="1:30" hidden="1">
      <c r="A161" s="4">
        <v>1553</v>
      </c>
      <c r="B161" s="8">
        <v>44921</v>
      </c>
      <c r="C161" s="4"/>
      <c r="D161" s="4" t="s">
        <v>42</v>
      </c>
      <c r="E161" s="8">
        <v>44933</v>
      </c>
      <c r="F161" s="4" t="s">
        <v>43</v>
      </c>
      <c r="G161" s="39" t="s">
        <v>186</v>
      </c>
      <c r="H161" s="4" t="s">
        <v>45</v>
      </c>
      <c r="I161" s="4" t="s">
        <v>117</v>
      </c>
      <c r="J161" s="10">
        <v>21.163339999999998</v>
      </c>
      <c r="K161" s="10">
        <f>9.024+12.156</f>
        <v>21.18</v>
      </c>
      <c r="L161" s="10">
        <f t="shared" si="6"/>
        <v>0</v>
      </c>
      <c r="M161" s="10">
        <f t="shared" si="5"/>
        <v>0</v>
      </c>
      <c r="N161" s="10"/>
      <c r="O161" s="10"/>
      <c r="P161" s="10"/>
      <c r="Q161" s="10"/>
      <c r="R161" s="10"/>
      <c r="S161" s="10"/>
      <c r="T161" s="10"/>
      <c r="U161" s="10"/>
      <c r="V161" s="4" t="s">
        <v>226</v>
      </c>
      <c r="W161" s="4"/>
      <c r="X161" s="8"/>
      <c r="Y161" s="4"/>
      <c r="Z161" s="4"/>
      <c r="AA161" s="8"/>
      <c r="AB161" s="8"/>
      <c r="AC161" s="4"/>
      <c r="AD161" s="4"/>
    </row>
    <row r="162" spans="1:30" hidden="1">
      <c r="A162" s="4">
        <v>1553</v>
      </c>
      <c r="B162" s="8">
        <v>44921</v>
      </c>
      <c r="C162" s="4"/>
      <c r="D162" s="4" t="s">
        <v>42</v>
      </c>
      <c r="E162" s="8">
        <v>44933</v>
      </c>
      <c r="F162" s="4" t="s">
        <v>43</v>
      </c>
      <c r="G162" s="39" t="s">
        <v>186</v>
      </c>
      <c r="H162" s="4" t="s">
        <v>45</v>
      </c>
      <c r="I162" s="4" t="s">
        <v>187</v>
      </c>
      <c r="J162" s="10">
        <v>21.834800000000001</v>
      </c>
      <c r="K162" s="10">
        <f>19.315+3.266</f>
        <v>22.581000000000003</v>
      </c>
      <c r="L162" s="10">
        <f t="shared" si="6"/>
        <v>0</v>
      </c>
      <c r="M162" s="10">
        <f t="shared" si="5"/>
        <v>0</v>
      </c>
      <c r="N162" s="10"/>
      <c r="O162" s="10"/>
      <c r="P162" s="10"/>
      <c r="Q162" s="10"/>
      <c r="R162" s="10"/>
      <c r="S162" s="10"/>
      <c r="T162" s="10"/>
      <c r="U162" s="10"/>
      <c r="V162" s="4" t="s">
        <v>226</v>
      </c>
      <c r="W162" s="4"/>
      <c r="X162" s="8"/>
      <c r="Y162" s="4"/>
      <c r="Z162" s="4"/>
      <c r="AA162" s="8"/>
      <c r="AB162" s="8"/>
      <c r="AC162" s="4"/>
      <c r="AD162" s="4"/>
    </row>
    <row r="163" spans="1:30" hidden="1">
      <c r="A163" s="4">
        <v>1553</v>
      </c>
      <c r="B163" s="8">
        <v>44921</v>
      </c>
      <c r="C163" s="4"/>
      <c r="D163" s="4" t="s">
        <v>42</v>
      </c>
      <c r="E163" s="8">
        <v>44933</v>
      </c>
      <c r="F163" s="4" t="s">
        <v>43</v>
      </c>
      <c r="G163" s="39" t="s">
        <v>186</v>
      </c>
      <c r="H163" s="4" t="s">
        <v>45</v>
      </c>
      <c r="I163" s="4" t="s">
        <v>109</v>
      </c>
      <c r="J163" s="10">
        <v>14.2164</v>
      </c>
      <c r="K163" s="10">
        <f>14.216</f>
        <v>14.215999999999999</v>
      </c>
      <c r="L163" s="10">
        <f t="shared" si="6"/>
        <v>0</v>
      </c>
      <c r="M163" s="10">
        <f>SUM(N163:T163)</f>
        <v>0</v>
      </c>
      <c r="N163" s="10"/>
      <c r="O163" s="10"/>
      <c r="P163" s="10"/>
      <c r="Q163" s="10"/>
      <c r="R163" s="10"/>
      <c r="S163" s="10"/>
      <c r="T163" s="10"/>
      <c r="U163" s="10"/>
      <c r="V163" s="4" t="s">
        <v>226</v>
      </c>
      <c r="W163" s="4"/>
      <c r="X163" s="8"/>
      <c r="Y163" s="4"/>
      <c r="Z163" s="4"/>
      <c r="AA163" s="8"/>
      <c r="AB163" s="8"/>
      <c r="AC163" s="4"/>
      <c r="AD163" s="4"/>
    </row>
    <row r="164" spans="1:30" hidden="1">
      <c r="A164" s="4">
        <v>1581</v>
      </c>
      <c r="B164" s="8">
        <v>44923</v>
      </c>
      <c r="C164" s="4"/>
      <c r="D164" s="4" t="s">
        <v>42</v>
      </c>
      <c r="E164" s="8">
        <v>44941</v>
      </c>
      <c r="F164" s="4" t="s">
        <v>43</v>
      </c>
      <c r="G164" s="16" t="s">
        <v>44</v>
      </c>
      <c r="H164" s="4" t="s">
        <v>45</v>
      </c>
      <c r="I164" s="4" t="s">
        <v>100</v>
      </c>
      <c r="J164" s="10">
        <v>0.98399999999999987</v>
      </c>
      <c r="K164" s="10">
        <v>0.998</v>
      </c>
      <c r="L164" s="10">
        <f t="shared" si="6"/>
        <v>0</v>
      </c>
      <c r="M164" s="10">
        <f>SUM(N164:T164)</f>
        <v>0</v>
      </c>
      <c r="N164" s="10"/>
      <c r="O164" s="10"/>
      <c r="P164" s="10"/>
      <c r="Q164" s="10"/>
      <c r="R164" s="10"/>
      <c r="S164" s="10"/>
      <c r="T164" s="10"/>
      <c r="U164" s="10"/>
      <c r="V164" s="4" t="s">
        <v>22</v>
      </c>
      <c r="W164" s="4"/>
      <c r="X164" s="8"/>
      <c r="Y164" s="4"/>
      <c r="Z164" s="4"/>
      <c r="AA164" s="8"/>
      <c r="AB164" s="8"/>
      <c r="AC164" s="4"/>
      <c r="AD164" s="4"/>
    </row>
    <row r="165" spans="1:30" hidden="1">
      <c r="A165" s="4">
        <v>1582</v>
      </c>
      <c r="B165" s="8">
        <v>44923</v>
      </c>
      <c r="C165" s="4"/>
      <c r="D165" s="4" t="s">
        <v>42</v>
      </c>
      <c r="E165" s="8">
        <v>44941</v>
      </c>
      <c r="F165" s="4" t="s">
        <v>43</v>
      </c>
      <c r="G165" s="15" t="s">
        <v>19</v>
      </c>
      <c r="H165" s="4" t="s">
        <v>45</v>
      </c>
      <c r="I165" s="4" t="s">
        <v>100</v>
      </c>
      <c r="J165" s="10">
        <v>8.3995999999999995</v>
      </c>
      <c r="K165" s="10">
        <v>8.4</v>
      </c>
      <c r="L165" s="10">
        <f t="shared" si="6"/>
        <v>0</v>
      </c>
      <c r="M165" s="10">
        <f t="shared" ref="M165:M201" si="7">SUM(N165:T165)</f>
        <v>0</v>
      </c>
      <c r="N165" s="10"/>
      <c r="O165" s="10"/>
      <c r="P165" s="10"/>
      <c r="Q165" s="10"/>
      <c r="R165" s="10"/>
      <c r="S165" s="10"/>
      <c r="T165" s="10"/>
      <c r="U165" s="10"/>
      <c r="V165" s="4" t="s">
        <v>189</v>
      </c>
      <c r="W165" s="4"/>
      <c r="X165" s="8"/>
      <c r="Y165" s="4"/>
      <c r="Z165" s="4"/>
      <c r="AA165" s="8"/>
      <c r="AB165" s="8"/>
      <c r="AC165" s="4"/>
      <c r="AD165" s="4"/>
    </row>
    <row r="166" spans="1:30" hidden="1">
      <c r="A166" s="4">
        <v>1582</v>
      </c>
      <c r="B166" s="8">
        <v>44923</v>
      </c>
      <c r="C166" s="4"/>
      <c r="D166" s="4" t="s">
        <v>42</v>
      </c>
      <c r="E166" s="8">
        <v>44941</v>
      </c>
      <c r="F166" s="4" t="s">
        <v>43</v>
      </c>
      <c r="G166" s="15" t="s">
        <v>190</v>
      </c>
      <c r="H166" s="4" t="s">
        <v>52</v>
      </c>
      <c r="I166" s="4" t="s">
        <v>100</v>
      </c>
      <c r="J166" s="10">
        <v>2.2410000000000001</v>
      </c>
      <c r="K166" s="10">
        <v>2.2410000000000001</v>
      </c>
      <c r="L166" s="10">
        <f t="shared" si="6"/>
        <v>0</v>
      </c>
      <c r="M166" s="10">
        <f t="shared" si="7"/>
        <v>0</v>
      </c>
      <c r="N166" s="10"/>
      <c r="O166" s="10"/>
      <c r="P166" s="10"/>
      <c r="Q166" s="10"/>
      <c r="R166" s="10"/>
      <c r="S166" s="10"/>
      <c r="T166" s="10"/>
      <c r="U166" s="10"/>
      <c r="V166" s="4" t="s">
        <v>189</v>
      </c>
      <c r="W166" s="4"/>
      <c r="X166" s="8"/>
      <c r="Y166" s="4"/>
      <c r="Z166" s="4"/>
      <c r="AA166" s="8"/>
      <c r="AB166" s="8"/>
      <c r="AC166" s="4"/>
      <c r="AD166" s="4"/>
    </row>
    <row r="167" spans="1:30" hidden="1">
      <c r="A167" s="4">
        <v>1582</v>
      </c>
      <c r="B167" s="8">
        <v>44923</v>
      </c>
      <c r="C167" s="4"/>
      <c r="D167" s="4" t="s">
        <v>42</v>
      </c>
      <c r="E167" s="8">
        <v>44941</v>
      </c>
      <c r="F167" s="4" t="s">
        <v>43</v>
      </c>
      <c r="G167" s="15" t="s">
        <v>19</v>
      </c>
      <c r="H167" s="4" t="s">
        <v>45</v>
      </c>
      <c r="I167" s="4" t="s">
        <v>96</v>
      </c>
      <c r="J167" s="10">
        <v>1.69136</v>
      </c>
      <c r="K167" s="10">
        <v>1.6910000000000001</v>
      </c>
      <c r="L167" s="10">
        <f t="shared" si="6"/>
        <v>0</v>
      </c>
      <c r="M167" s="10">
        <f t="shared" si="7"/>
        <v>0</v>
      </c>
      <c r="N167" s="10"/>
      <c r="O167" s="10"/>
      <c r="P167" s="10"/>
      <c r="Q167" s="10"/>
      <c r="R167" s="10"/>
      <c r="S167" s="10"/>
      <c r="T167" s="10"/>
      <c r="U167" s="10"/>
      <c r="V167" s="4" t="s">
        <v>189</v>
      </c>
      <c r="W167" s="4"/>
      <c r="X167" s="8"/>
      <c r="Y167" s="4"/>
      <c r="Z167" s="4"/>
      <c r="AA167" s="8"/>
      <c r="AB167" s="8"/>
      <c r="AC167" s="4"/>
      <c r="AD167" s="4"/>
    </row>
    <row r="168" spans="1:30" hidden="1">
      <c r="A168" s="4">
        <v>1582</v>
      </c>
      <c r="B168" s="8">
        <v>44923</v>
      </c>
      <c r="C168" s="4"/>
      <c r="D168" s="4" t="s">
        <v>42</v>
      </c>
      <c r="E168" s="8">
        <v>44941</v>
      </c>
      <c r="F168" s="4" t="s">
        <v>43</v>
      </c>
      <c r="G168" s="15" t="s">
        <v>19</v>
      </c>
      <c r="H168" s="4" t="s">
        <v>45</v>
      </c>
      <c r="I168" s="4" t="s">
        <v>97</v>
      </c>
      <c r="J168" s="10">
        <v>2.2780999999999998</v>
      </c>
      <c r="K168" s="10">
        <v>2.278</v>
      </c>
      <c r="L168" s="10">
        <f t="shared" si="6"/>
        <v>0</v>
      </c>
      <c r="M168" s="10">
        <f t="shared" si="7"/>
        <v>0</v>
      </c>
      <c r="N168" s="10"/>
      <c r="O168" s="10"/>
      <c r="P168" s="10"/>
      <c r="Q168" s="10"/>
      <c r="R168" s="10"/>
      <c r="S168" s="10"/>
      <c r="T168" s="10"/>
      <c r="U168" s="10"/>
      <c r="V168" s="4" t="s">
        <v>189</v>
      </c>
      <c r="W168" s="4"/>
      <c r="X168" s="8"/>
      <c r="Y168" s="4"/>
      <c r="Z168" s="4"/>
      <c r="AA168" s="8"/>
      <c r="AB168" s="8"/>
      <c r="AC168" s="4"/>
      <c r="AD168" s="4"/>
    </row>
    <row r="169" spans="1:30" hidden="1">
      <c r="A169" s="4">
        <v>1582</v>
      </c>
      <c r="B169" s="8">
        <v>44923</v>
      </c>
      <c r="C169" s="4"/>
      <c r="D169" s="4" t="s">
        <v>42</v>
      </c>
      <c r="E169" s="8">
        <v>44941</v>
      </c>
      <c r="F169" s="4" t="s">
        <v>43</v>
      </c>
      <c r="G169" s="15" t="s">
        <v>190</v>
      </c>
      <c r="H169" s="4" t="s">
        <v>52</v>
      </c>
      <c r="I169" s="4" t="s">
        <v>98</v>
      </c>
      <c r="J169" s="10">
        <v>1.542716</v>
      </c>
      <c r="K169" s="10">
        <v>1.5429999999999999</v>
      </c>
      <c r="L169" s="10">
        <f t="shared" si="6"/>
        <v>0</v>
      </c>
      <c r="M169" s="10">
        <f>SUM(N169:T169)</f>
        <v>0</v>
      </c>
      <c r="N169" s="10"/>
      <c r="O169" s="10"/>
      <c r="P169" s="10"/>
      <c r="Q169" s="10"/>
      <c r="R169" s="10"/>
      <c r="S169" s="10"/>
      <c r="T169" s="10"/>
      <c r="U169" s="10"/>
      <c r="V169" s="4" t="s">
        <v>189</v>
      </c>
      <c r="W169" s="4"/>
      <c r="X169" s="8"/>
      <c r="Y169" s="4"/>
      <c r="Z169" s="4"/>
      <c r="AA169" s="8"/>
      <c r="AB169" s="8"/>
      <c r="AC169" s="4"/>
      <c r="AD169" s="4"/>
    </row>
    <row r="170" spans="1:30" hidden="1">
      <c r="A170" s="4">
        <v>1628</v>
      </c>
      <c r="B170" s="8">
        <v>44937</v>
      </c>
      <c r="C170" s="4"/>
      <c r="D170" s="4" t="s">
        <v>42</v>
      </c>
      <c r="E170" s="8">
        <v>44957</v>
      </c>
      <c r="F170" s="4" t="s">
        <v>43</v>
      </c>
      <c r="G170" s="39" t="s">
        <v>186</v>
      </c>
      <c r="H170" s="4" t="s">
        <v>45</v>
      </c>
      <c r="I170" s="4" t="s">
        <v>98</v>
      </c>
      <c r="J170" s="10">
        <v>87.429215999999997</v>
      </c>
      <c r="K170" s="10">
        <f>2.267+32.445+12.54+32.658+7.661</f>
        <v>87.570999999999998</v>
      </c>
      <c r="L170" s="10">
        <f>M170+U170</f>
        <v>0</v>
      </c>
      <c r="M170" s="10">
        <f t="shared" si="7"/>
        <v>0</v>
      </c>
      <c r="N170" s="10"/>
      <c r="O170" s="10"/>
      <c r="P170" s="10">
        <v>0</v>
      </c>
      <c r="Q170" s="10"/>
      <c r="R170" s="10"/>
      <c r="S170" s="10"/>
      <c r="T170" s="10"/>
      <c r="U170" s="10"/>
      <c r="V170" s="4" t="s">
        <v>234</v>
      </c>
      <c r="W170" s="4" t="s">
        <v>37</v>
      </c>
      <c r="X170" s="8"/>
      <c r="Y170" s="4"/>
      <c r="Z170" s="4"/>
      <c r="AA170" s="8">
        <v>44979</v>
      </c>
      <c r="AB170" s="8">
        <v>44987</v>
      </c>
      <c r="AC170" s="4"/>
      <c r="AD170" s="4"/>
    </row>
    <row r="171" spans="1:30" hidden="1">
      <c r="A171" s="4">
        <v>1628</v>
      </c>
      <c r="B171" s="8">
        <v>44937</v>
      </c>
      <c r="C171" s="4"/>
      <c r="D171" s="4" t="s">
        <v>42</v>
      </c>
      <c r="E171" s="8">
        <v>44957</v>
      </c>
      <c r="F171" s="4" t="s">
        <v>43</v>
      </c>
      <c r="G171" s="39" t="s">
        <v>186</v>
      </c>
      <c r="H171" s="4" t="s">
        <v>45</v>
      </c>
      <c r="I171" s="4" t="s">
        <v>108</v>
      </c>
      <c r="J171" s="10">
        <v>85.301469999999995</v>
      </c>
      <c r="K171" s="10">
        <f>8.695+1.544+26.989+8.604+15.434+24.198</f>
        <v>85.463999999999999</v>
      </c>
      <c r="L171" s="10">
        <f t="shared" si="6"/>
        <v>0</v>
      </c>
      <c r="M171" s="10">
        <f t="shared" si="7"/>
        <v>0</v>
      </c>
      <c r="N171" s="10"/>
      <c r="O171" s="10"/>
      <c r="P171" s="10">
        <v>0</v>
      </c>
      <c r="Q171" s="10"/>
      <c r="R171" s="10"/>
      <c r="S171" s="10"/>
      <c r="T171" s="10"/>
      <c r="U171" s="10"/>
      <c r="V171" s="4" t="s">
        <v>234</v>
      </c>
      <c r="W171" s="4"/>
      <c r="X171" s="8">
        <v>44978</v>
      </c>
      <c r="Y171" s="4"/>
      <c r="Z171" s="4"/>
      <c r="AA171" s="8">
        <v>44979</v>
      </c>
      <c r="AB171" s="8">
        <v>44980</v>
      </c>
      <c r="AC171" s="4"/>
      <c r="AD171" s="4"/>
    </row>
    <row r="172" spans="1:30" hidden="1">
      <c r="A172" s="4">
        <v>1628</v>
      </c>
      <c r="B172" s="8">
        <v>44937</v>
      </c>
      <c r="C172" s="4"/>
      <c r="D172" s="4" t="s">
        <v>42</v>
      </c>
      <c r="E172" s="8">
        <v>44957</v>
      </c>
      <c r="F172" s="4" t="s">
        <v>43</v>
      </c>
      <c r="G172" s="39" t="s">
        <v>186</v>
      </c>
      <c r="H172" s="4" t="s">
        <v>45</v>
      </c>
      <c r="I172" s="4" t="s">
        <v>133</v>
      </c>
      <c r="J172" s="10">
        <v>61.287580000000005</v>
      </c>
      <c r="K172" s="10">
        <f>30.535+22.468+7.11+1.276</f>
        <v>61.389000000000003</v>
      </c>
      <c r="L172" s="10">
        <f t="shared" si="6"/>
        <v>0</v>
      </c>
      <c r="M172" s="10">
        <f t="shared" si="7"/>
        <v>0</v>
      </c>
      <c r="N172" s="10"/>
      <c r="O172" s="10"/>
      <c r="P172" s="10">
        <v>0</v>
      </c>
      <c r="Q172" s="10"/>
      <c r="R172" s="10"/>
      <c r="S172" s="10"/>
      <c r="T172" s="10"/>
      <c r="U172" s="10"/>
      <c r="V172" s="4" t="s">
        <v>234</v>
      </c>
      <c r="W172" s="4"/>
      <c r="X172" s="8"/>
      <c r="Y172" s="4"/>
      <c r="Z172" s="4"/>
      <c r="AA172" s="8"/>
      <c r="AB172" s="8">
        <v>44980</v>
      </c>
      <c r="AC172" s="4"/>
      <c r="AD172" s="4"/>
    </row>
    <row r="173" spans="1:30" hidden="1">
      <c r="A173" s="4">
        <v>1628</v>
      </c>
      <c r="B173" s="8">
        <v>44937</v>
      </c>
      <c r="C173" s="4"/>
      <c r="D173" s="4" t="s">
        <v>42</v>
      </c>
      <c r="E173" s="8">
        <v>44957</v>
      </c>
      <c r="F173" s="4" t="s">
        <v>43</v>
      </c>
      <c r="G173" s="39" t="s">
        <v>186</v>
      </c>
      <c r="H173" s="4" t="s">
        <v>45</v>
      </c>
      <c r="I173" s="4" t="s">
        <v>113</v>
      </c>
      <c r="J173" s="10">
        <v>65.890439999999998</v>
      </c>
      <c r="K173" s="10">
        <f>14.808+2.638+1.632+26.486+14.731+5.657</f>
        <v>65.951999999999998</v>
      </c>
      <c r="L173" s="10">
        <f t="shared" si="6"/>
        <v>0</v>
      </c>
      <c r="M173" s="10">
        <f t="shared" si="7"/>
        <v>0</v>
      </c>
      <c r="N173" s="10"/>
      <c r="O173" s="10"/>
      <c r="P173" s="10">
        <v>0</v>
      </c>
      <c r="Q173" s="10"/>
      <c r="R173" s="10"/>
      <c r="S173" s="10"/>
      <c r="T173" s="10"/>
      <c r="U173" s="10"/>
      <c r="V173" s="4" t="s">
        <v>234</v>
      </c>
      <c r="W173" s="4"/>
      <c r="X173" s="8"/>
      <c r="Y173" s="4"/>
      <c r="Z173" s="4"/>
      <c r="AA173" s="8"/>
      <c r="AB173" s="8">
        <v>44986</v>
      </c>
      <c r="AC173" s="4"/>
      <c r="AD173" s="4"/>
    </row>
    <row r="174" spans="1:30" hidden="1">
      <c r="A174" s="4">
        <v>1628</v>
      </c>
      <c r="B174" s="8">
        <v>44937</v>
      </c>
      <c r="C174" s="4"/>
      <c r="D174" s="4" t="s">
        <v>42</v>
      </c>
      <c r="E174" s="8">
        <v>44957</v>
      </c>
      <c r="F174" s="4" t="s">
        <v>43</v>
      </c>
      <c r="G174" s="39" t="s">
        <v>186</v>
      </c>
      <c r="H174" s="4" t="s">
        <v>45</v>
      </c>
      <c r="I174" s="4" t="s">
        <v>100</v>
      </c>
      <c r="J174" s="10">
        <v>96.979689999999991</v>
      </c>
      <c r="K174" s="10">
        <f>33.164+6.089+21.949+20.097+2.545+7.135+6.027</f>
        <v>97.006000000000014</v>
      </c>
      <c r="L174" s="10">
        <f t="shared" si="6"/>
        <v>0</v>
      </c>
      <c r="M174" s="10">
        <f t="shared" si="7"/>
        <v>0</v>
      </c>
      <c r="N174" s="10"/>
      <c r="O174" s="10"/>
      <c r="P174" s="10">
        <v>0</v>
      </c>
      <c r="Q174" s="10"/>
      <c r="R174" s="10"/>
      <c r="S174" s="10"/>
      <c r="T174" s="10"/>
      <c r="U174" s="10"/>
      <c r="V174" s="4" t="s">
        <v>234</v>
      </c>
      <c r="W174" s="4" t="s">
        <v>398</v>
      </c>
      <c r="X174" s="8">
        <v>44981</v>
      </c>
      <c r="Y174" s="4"/>
      <c r="Z174" s="4"/>
      <c r="AA174" s="8">
        <v>44985</v>
      </c>
      <c r="AB174" s="8">
        <v>44987</v>
      </c>
      <c r="AC174" s="4"/>
      <c r="AD174" s="4"/>
    </row>
    <row r="175" spans="1:30" hidden="1">
      <c r="A175" s="4">
        <v>1628</v>
      </c>
      <c r="B175" s="8">
        <v>44937</v>
      </c>
      <c r="C175" s="4"/>
      <c r="D175" s="4" t="s">
        <v>42</v>
      </c>
      <c r="E175" s="8">
        <v>44957</v>
      </c>
      <c r="F175" s="4" t="s">
        <v>43</v>
      </c>
      <c r="G175" s="39" t="s">
        <v>186</v>
      </c>
      <c r="H175" s="4" t="s">
        <v>45</v>
      </c>
      <c r="I175" s="4" t="s">
        <v>102</v>
      </c>
      <c r="J175" s="10">
        <v>74.509919999999994</v>
      </c>
      <c r="K175" s="10">
        <f>28.051+6.16+6.717+4.071+18.781+10.797</f>
        <v>74.576999999999998</v>
      </c>
      <c r="L175" s="10">
        <f t="shared" si="6"/>
        <v>0</v>
      </c>
      <c r="M175" s="10">
        <f t="shared" si="7"/>
        <v>0</v>
      </c>
      <c r="N175" s="10"/>
      <c r="O175" s="10"/>
      <c r="P175" s="10">
        <v>0</v>
      </c>
      <c r="Q175" s="10"/>
      <c r="R175" s="10"/>
      <c r="S175" s="10"/>
      <c r="T175" s="10"/>
      <c r="U175" s="10"/>
      <c r="V175" s="4" t="s">
        <v>234</v>
      </c>
      <c r="W175" s="4"/>
      <c r="X175" s="8"/>
      <c r="Y175" s="4"/>
      <c r="Z175" s="4"/>
      <c r="AA175" s="8"/>
      <c r="AB175" s="8">
        <v>44981</v>
      </c>
      <c r="AC175" s="4"/>
      <c r="AD175" s="4"/>
    </row>
    <row r="176" spans="1:30" hidden="1">
      <c r="A176" s="4">
        <v>1628</v>
      </c>
      <c r="B176" s="8">
        <v>44937</v>
      </c>
      <c r="C176" s="4"/>
      <c r="D176" s="4" t="s">
        <v>42</v>
      </c>
      <c r="E176" s="8">
        <v>44957</v>
      </c>
      <c r="F176" s="4" t="s">
        <v>43</v>
      </c>
      <c r="G176" s="39" t="s">
        <v>186</v>
      </c>
      <c r="H176" s="4" t="s">
        <v>45</v>
      </c>
      <c r="I176" s="4" t="s">
        <v>114</v>
      </c>
      <c r="J176" s="10">
        <v>113.61903000000001</v>
      </c>
      <c r="K176" s="10">
        <f>32.037+11.934+24.875+15.572+27.075+2.144</f>
        <v>113.63700000000001</v>
      </c>
      <c r="L176" s="10">
        <f t="shared" si="6"/>
        <v>0</v>
      </c>
      <c r="M176" s="10">
        <f t="shared" si="7"/>
        <v>0</v>
      </c>
      <c r="N176" s="10"/>
      <c r="O176" s="10"/>
      <c r="P176" s="10">
        <v>0</v>
      </c>
      <c r="Q176" s="10"/>
      <c r="R176" s="10"/>
      <c r="S176" s="10"/>
      <c r="T176" s="10"/>
      <c r="U176" s="10"/>
      <c r="V176" s="4" t="s">
        <v>234</v>
      </c>
      <c r="W176" s="4"/>
      <c r="X176" s="8"/>
      <c r="Y176" s="4"/>
      <c r="Z176" s="4"/>
      <c r="AA176" s="8"/>
      <c r="AB176" s="8">
        <v>44986</v>
      </c>
      <c r="AC176" s="4"/>
      <c r="AD176" s="4"/>
    </row>
    <row r="177" spans="1:30" hidden="1">
      <c r="A177" s="4">
        <v>1628</v>
      </c>
      <c r="B177" s="8">
        <v>44937</v>
      </c>
      <c r="C177" s="4"/>
      <c r="D177" s="4" t="s">
        <v>42</v>
      </c>
      <c r="E177" s="8">
        <v>44957</v>
      </c>
      <c r="F177" s="4" t="s">
        <v>43</v>
      </c>
      <c r="G177" s="39" t="s">
        <v>186</v>
      </c>
      <c r="H177" s="4" t="s">
        <v>45</v>
      </c>
      <c r="I177" s="4" t="s">
        <v>235</v>
      </c>
      <c r="J177" s="10">
        <v>47.412729999999996</v>
      </c>
      <c r="K177" s="10">
        <f>23.943+23.525</f>
        <v>47.468000000000004</v>
      </c>
      <c r="L177" s="10">
        <f t="shared" si="6"/>
        <v>0</v>
      </c>
      <c r="M177" s="10">
        <f t="shared" si="7"/>
        <v>0</v>
      </c>
      <c r="N177" s="10"/>
      <c r="O177" s="10"/>
      <c r="P177" s="10"/>
      <c r="Q177" s="10"/>
      <c r="R177" s="10"/>
      <c r="S177" s="10"/>
      <c r="T177" s="10"/>
      <c r="U177" s="10"/>
      <c r="V177" s="4" t="s">
        <v>234</v>
      </c>
      <c r="W177" s="4"/>
      <c r="X177" s="8"/>
      <c r="Y177" s="4"/>
      <c r="Z177" s="4"/>
      <c r="AA177" s="8"/>
      <c r="AB177" s="8"/>
      <c r="AC177" s="4"/>
      <c r="AD177" s="4"/>
    </row>
    <row r="178" spans="1:30" hidden="1">
      <c r="A178" s="4">
        <v>1628</v>
      </c>
      <c r="B178" s="8">
        <v>44937</v>
      </c>
      <c r="C178" s="4"/>
      <c r="D178" s="4" t="s">
        <v>42</v>
      </c>
      <c r="E178" s="8">
        <v>44957</v>
      </c>
      <c r="F178" s="4" t="s">
        <v>43</v>
      </c>
      <c r="G178" s="39" t="s">
        <v>186</v>
      </c>
      <c r="H178" s="4" t="s">
        <v>45</v>
      </c>
      <c r="I178" s="4" t="s">
        <v>96</v>
      </c>
      <c r="J178" s="10">
        <v>26.677359999999997</v>
      </c>
      <c r="K178" s="10">
        <f>8.99+6.708+11.171</f>
        <v>26.869</v>
      </c>
      <c r="L178" s="10">
        <f t="shared" si="6"/>
        <v>0</v>
      </c>
      <c r="M178" s="10">
        <f t="shared" si="7"/>
        <v>0</v>
      </c>
      <c r="N178" s="10"/>
      <c r="O178" s="10"/>
      <c r="P178" s="10">
        <v>0</v>
      </c>
      <c r="Q178" s="10"/>
      <c r="R178" s="10"/>
      <c r="S178" s="10"/>
      <c r="T178" s="10"/>
      <c r="U178" s="10"/>
      <c r="V178" s="4" t="s">
        <v>234</v>
      </c>
      <c r="W178" s="4" t="s">
        <v>37</v>
      </c>
      <c r="X178" s="8">
        <v>44981</v>
      </c>
      <c r="Y178" s="4"/>
      <c r="Z178" s="4"/>
      <c r="AA178" s="8">
        <v>44986</v>
      </c>
      <c r="AB178" s="8">
        <v>44987</v>
      </c>
      <c r="AC178" s="4"/>
      <c r="AD178" s="4"/>
    </row>
    <row r="179" spans="1:30" hidden="1">
      <c r="A179" s="4">
        <v>1628</v>
      </c>
      <c r="B179" s="8">
        <v>44937</v>
      </c>
      <c r="C179" s="4"/>
      <c r="D179" s="4" t="s">
        <v>42</v>
      </c>
      <c r="E179" s="8">
        <v>44957</v>
      </c>
      <c r="F179" s="4" t="s">
        <v>43</v>
      </c>
      <c r="G179" s="39" t="s">
        <v>186</v>
      </c>
      <c r="H179" s="4" t="s">
        <v>45</v>
      </c>
      <c r="I179" s="4" t="s">
        <v>101</v>
      </c>
      <c r="J179" s="10">
        <v>32.33</v>
      </c>
      <c r="K179" s="10">
        <f>7.46+4.486+9.739+10.659</f>
        <v>32.344000000000001</v>
      </c>
      <c r="L179" s="10">
        <f t="shared" si="6"/>
        <v>0</v>
      </c>
      <c r="M179" s="10">
        <f t="shared" si="7"/>
        <v>0</v>
      </c>
      <c r="N179" s="10"/>
      <c r="O179" s="10"/>
      <c r="P179" s="10">
        <v>0</v>
      </c>
      <c r="Q179" s="10"/>
      <c r="R179" s="10"/>
      <c r="S179" s="10"/>
      <c r="T179" s="10"/>
      <c r="U179" s="10"/>
      <c r="V179" s="4" t="s">
        <v>234</v>
      </c>
      <c r="W179" s="4"/>
      <c r="X179" s="8">
        <v>44977</v>
      </c>
      <c r="Y179" s="4"/>
      <c r="Z179" s="4"/>
      <c r="AA179" s="8"/>
      <c r="AB179" s="8">
        <v>44984</v>
      </c>
      <c r="AC179" s="4"/>
      <c r="AD179" s="4"/>
    </row>
    <row r="180" spans="1:30" hidden="1">
      <c r="A180" s="4">
        <v>1628</v>
      </c>
      <c r="B180" s="8">
        <v>44937</v>
      </c>
      <c r="C180" s="4"/>
      <c r="D180" s="4" t="s">
        <v>42</v>
      </c>
      <c r="E180" s="8">
        <v>44957</v>
      </c>
      <c r="F180" s="4" t="s">
        <v>43</v>
      </c>
      <c r="G180" s="39" t="s">
        <v>186</v>
      </c>
      <c r="H180" s="4" t="s">
        <v>45</v>
      </c>
      <c r="I180" s="4" t="s">
        <v>106</v>
      </c>
      <c r="J180" s="10">
        <v>36.707999999999998</v>
      </c>
      <c r="K180" s="10">
        <f>15.731+8.325+3.035+3.603+3.035+2.73</f>
        <v>36.458999999999996</v>
      </c>
      <c r="L180" s="10">
        <f t="shared" si="6"/>
        <v>0</v>
      </c>
      <c r="M180" s="10">
        <f t="shared" si="7"/>
        <v>0</v>
      </c>
      <c r="N180" s="10"/>
      <c r="O180" s="10"/>
      <c r="P180" s="10">
        <v>0</v>
      </c>
      <c r="Q180" s="10"/>
      <c r="R180" s="10"/>
      <c r="S180" s="10"/>
      <c r="T180" s="10"/>
      <c r="U180" s="10"/>
      <c r="V180" s="4" t="s">
        <v>234</v>
      </c>
      <c r="W180" s="4"/>
      <c r="X180" s="8">
        <v>44977</v>
      </c>
      <c r="Y180" s="4"/>
      <c r="Z180" s="4"/>
      <c r="AA180" s="8"/>
      <c r="AB180" s="8">
        <v>44986</v>
      </c>
      <c r="AC180" s="4"/>
      <c r="AD180" s="4"/>
    </row>
    <row r="181" spans="1:30" hidden="1">
      <c r="A181" s="4">
        <v>1628</v>
      </c>
      <c r="B181" s="8">
        <v>44937</v>
      </c>
      <c r="C181" s="4"/>
      <c r="D181" s="4" t="s">
        <v>42</v>
      </c>
      <c r="E181" s="8">
        <v>44957</v>
      </c>
      <c r="F181" s="4" t="s">
        <v>43</v>
      </c>
      <c r="G181" s="39" t="s">
        <v>186</v>
      </c>
      <c r="H181" s="4" t="s">
        <v>45</v>
      </c>
      <c r="I181" s="4" t="s">
        <v>117</v>
      </c>
      <c r="J181" s="10">
        <v>24.5182</v>
      </c>
      <c r="K181" s="10">
        <f>23.36+1.3</f>
        <v>24.66</v>
      </c>
      <c r="L181" s="10">
        <f t="shared" si="6"/>
        <v>0</v>
      </c>
      <c r="M181" s="10">
        <f t="shared" si="7"/>
        <v>0</v>
      </c>
      <c r="N181" s="10"/>
      <c r="O181" s="10"/>
      <c r="P181" s="10"/>
      <c r="Q181" s="10"/>
      <c r="R181" s="10"/>
      <c r="S181" s="10"/>
      <c r="T181" s="10"/>
      <c r="U181" s="10"/>
      <c r="V181" s="4" t="s">
        <v>234</v>
      </c>
      <c r="W181" s="4"/>
      <c r="X181" s="8"/>
      <c r="Y181" s="4"/>
      <c r="Z181" s="4"/>
      <c r="AA181" s="8"/>
      <c r="AB181" s="8"/>
      <c r="AC181" s="4"/>
      <c r="AD181" s="4"/>
    </row>
    <row r="182" spans="1:30" hidden="1">
      <c r="A182" s="4">
        <v>1628</v>
      </c>
      <c r="B182" s="8">
        <v>44937</v>
      </c>
      <c r="C182" s="4"/>
      <c r="D182" s="4" t="s">
        <v>42</v>
      </c>
      <c r="E182" s="8">
        <v>44957</v>
      </c>
      <c r="F182" s="4" t="s">
        <v>43</v>
      </c>
      <c r="G182" s="39" t="s">
        <v>186</v>
      </c>
      <c r="H182" s="4" t="s">
        <v>45</v>
      </c>
      <c r="I182" s="4" t="s">
        <v>135</v>
      </c>
      <c r="J182" s="10">
        <v>12.031280000000001</v>
      </c>
      <c r="K182" s="10">
        <f>7.092+4.536+0.523</f>
        <v>12.151</v>
      </c>
      <c r="L182" s="10">
        <f t="shared" si="6"/>
        <v>0</v>
      </c>
      <c r="M182" s="10">
        <f t="shared" si="7"/>
        <v>0</v>
      </c>
      <c r="N182" s="10"/>
      <c r="O182" s="10"/>
      <c r="P182" s="10">
        <v>0</v>
      </c>
      <c r="Q182" s="10"/>
      <c r="R182" s="10"/>
      <c r="S182" s="10"/>
      <c r="T182" s="10"/>
      <c r="U182" s="10"/>
      <c r="V182" s="4" t="s">
        <v>234</v>
      </c>
      <c r="W182" s="4"/>
      <c r="X182" s="8"/>
      <c r="Y182" s="4"/>
      <c r="Z182" s="4"/>
      <c r="AA182" s="8"/>
      <c r="AB182" s="8">
        <v>44980</v>
      </c>
      <c r="AC182" s="4"/>
      <c r="AD182" s="4"/>
    </row>
    <row r="183" spans="1:30" hidden="1">
      <c r="A183" s="4">
        <v>1628</v>
      </c>
      <c r="B183" s="8">
        <v>44937</v>
      </c>
      <c r="C183" s="4"/>
      <c r="D183" s="4" t="s">
        <v>42</v>
      </c>
      <c r="E183" s="8">
        <v>44957</v>
      </c>
      <c r="F183" s="4" t="s">
        <v>43</v>
      </c>
      <c r="G183" s="39" t="s">
        <v>186</v>
      </c>
      <c r="H183" s="4" t="s">
        <v>45</v>
      </c>
      <c r="I183" s="4" t="s">
        <v>99</v>
      </c>
      <c r="J183" s="10">
        <v>34.94218</v>
      </c>
      <c r="K183" s="10">
        <f>21.473+2.891+4.23+1.658+2.87+2.727</f>
        <v>35.848999999999997</v>
      </c>
      <c r="L183" s="10">
        <f t="shared" si="6"/>
        <v>0</v>
      </c>
      <c r="M183" s="10">
        <f t="shared" si="7"/>
        <v>0</v>
      </c>
      <c r="N183" s="10"/>
      <c r="O183" s="10"/>
      <c r="P183" s="10">
        <v>0</v>
      </c>
      <c r="Q183" s="10"/>
      <c r="R183" s="10"/>
      <c r="S183" s="10"/>
      <c r="T183" s="10"/>
      <c r="U183" s="10"/>
      <c r="V183" s="4" t="s">
        <v>234</v>
      </c>
      <c r="W183" s="4"/>
      <c r="X183" s="8"/>
      <c r="Y183" s="4"/>
      <c r="Z183" s="4"/>
      <c r="AA183" s="8"/>
      <c r="AB183" s="8">
        <v>44986</v>
      </c>
      <c r="AC183" s="4"/>
      <c r="AD183" s="4"/>
    </row>
    <row r="184" spans="1:30" hidden="1">
      <c r="A184" s="4">
        <v>1628</v>
      </c>
      <c r="B184" s="8">
        <v>44937</v>
      </c>
      <c r="C184" s="4"/>
      <c r="D184" s="4" t="s">
        <v>42</v>
      </c>
      <c r="E184" s="8">
        <v>44957</v>
      </c>
      <c r="F184" s="4" t="s">
        <v>43</v>
      </c>
      <c r="G184" s="39" t="s">
        <v>186</v>
      </c>
      <c r="H184" s="4" t="s">
        <v>45</v>
      </c>
      <c r="I184" s="4" t="s">
        <v>236</v>
      </c>
      <c r="J184" s="10">
        <v>56.7273</v>
      </c>
      <c r="K184" s="10">
        <f>20.011+2.793+13.55+20.515</f>
        <v>56.869</v>
      </c>
      <c r="L184" s="10">
        <f t="shared" si="6"/>
        <v>0</v>
      </c>
      <c r="M184" s="10">
        <f t="shared" si="7"/>
        <v>0</v>
      </c>
      <c r="N184" s="10"/>
      <c r="O184" s="10"/>
      <c r="P184" s="10">
        <v>0</v>
      </c>
      <c r="Q184" s="10"/>
      <c r="R184" s="10"/>
      <c r="S184" s="10"/>
      <c r="T184" s="10"/>
      <c r="U184" s="10"/>
      <c r="V184" s="4" t="s">
        <v>234</v>
      </c>
      <c r="W184" s="4"/>
      <c r="X184" s="8"/>
      <c r="Y184" s="4"/>
      <c r="Z184" s="4"/>
      <c r="AA184" s="8"/>
      <c r="AB184" s="8">
        <v>44974</v>
      </c>
      <c r="AC184" s="4"/>
      <c r="AD184" s="4"/>
    </row>
    <row r="185" spans="1:30" hidden="1">
      <c r="A185" s="4">
        <v>1628</v>
      </c>
      <c r="B185" s="8">
        <v>44937</v>
      </c>
      <c r="C185" s="4"/>
      <c r="D185" s="4" t="s">
        <v>42</v>
      </c>
      <c r="E185" s="8">
        <v>44957</v>
      </c>
      <c r="F185" s="4" t="s">
        <v>43</v>
      </c>
      <c r="G185" s="39" t="s">
        <v>186</v>
      </c>
      <c r="H185" s="4" t="s">
        <v>45</v>
      </c>
      <c r="I185" s="4" t="s">
        <v>112</v>
      </c>
      <c r="J185" s="10">
        <v>35.336399999999998</v>
      </c>
      <c r="K185" s="10">
        <f>15.462+13.241+0.959+5.876</f>
        <v>35.537999999999997</v>
      </c>
      <c r="L185" s="10">
        <f t="shared" si="6"/>
        <v>0</v>
      </c>
      <c r="M185" s="10">
        <f t="shared" si="7"/>
        <v>0</v>
      </c>
      <c r="N185" s="10"/>
      <c r="O185" s="10"/>
      <c r="P185" s="10">
        <v>0</v>
      </c>
      <c r="Q185" s="10"/>
      <c r="R185" s="10"/>
      <c r="S185" s="10"/>
      <c r="T185" s="10"/>
      <c r="U185" s="10"/>
      <c r="V185" s="4" t="s">
        <v>234</v>
      </c>
      <c r="W185" s="4"/>
      <c r="X185" s="8"/>
      <c r="Y185" s="4"/>
      <c r="Z185" s="4"/>
      <c r="AA185" s="8"/>
      <c r="AB185" s="8">
        <v>44986</v>
      </c>
      <c r="AC185" s="4"/>
      <c r="AD185" s="4"/>
    </row>
    <row r="186" spans="1:30" hidden="1">
      <c r="A186" s="4">
        <v>1628</v>
      </c>
      <c r="B186" s="8">
        <v>44937</v>
      </c>
      <c r="C186" s="4"/>
      <c r="D186" s="4" t="s">
        <v>42</v>
      </c>
      <c r="E186" s="8">
        <v>44957</v>
      </c>
      <c r="F186" s="4" t="s">
        <v>43</v>
      </c>
      <c r="G186" s="39" t="s">
        <v>186</v>
      </c>
      <c r="H186" s="4" t="s">
        <v>45</v>
      </c>
      <c r="I186" s="4" t="s">
        <v>237</v>
      </c>
      <c r="J186" s="10">
        <v>0.18510000000000001</v>
      </c>
      <c r="K186" s="10">
        <v>0.185</v>
      </c>
      <c r="L186" s="10">
        <f t="shared" si="6"/>
        <v>0</v>
      </c>
      <c r="M186" s="10">
        <f t="shared" si="7"/>
        <v>0</v>
      </c>
      <c r="N186" s="10"/>
      <c r="O186" s="10"/>
      <c r="P186" s="10">
        <v>0</v>
      </c>
      <c r="Q186" s="10"/>
      <c r="R186" s="10"/>
      <c r="S186" s="10"/>
      <c r="T186" s="10"/>
      <c r="U186" s="10"/>
      <c r="V186" s="4" t="s">
        <v>234</v>
      </c>
      <c r="W186" s="4"/>
      <c r="X186" s="8"/>
      <c r="Y186" s="4"/>
      <c r="Z186" s="4"/>
      <c r="AA186" s="8">
        <v>44980</v>
      </c>
      <c r="AB186" s="8">
        <v>44980</v>
      </c>
      <c r="AC186" s="4"/>
      <c r="AD186" s="4"/>
    </row>
    <row r="187" spans="1:30" hidden="1">
      <c r="A187" s="4">
        <v>1628</v>
      </c>
      <c r="B187" s="8">
        <v>44937</v>
      </c>
      <c r="C187" s="4"/>
      <c r="D187" s="4" t="s">
        <v>42</v>
      </c>
      <c r="E187" s="8">
        <v>44957</v>
      </c>
      <c r="F187" s="4" t="s">
        <v>43</v>
      </c>
      <c r="G187" s="39" t="s">
        <v>186</v>
      </c>
      <c r="H187" s="4" t="s">
        <v>45</v>
      </c>
      <c r="I187" s="4" t="s">
        <v>103</v>
      </c>
      <c r="J187" s="10">
        <v>14.038970000000001</v>
      </c>
      <c r="K187" s="10">
        <f>12.573+1.466</f>
        <v>14.039</v>
      </c>
      <c r="L187" s="10">
        <f t="shared" si="6"/>
        <v>0</v>
      </c>
      <c r="M187" s="10">
        <f t="shared" si="7"/>
        <v>0</v>
      </c>
      <c r="N187" s="10"/>
      <c r="O187" s="10"/>
      <c r="P187" s="10">
        <v>0</v>
      </c>
      <c r="Q187" s="10"/>
      <c r="R187" s="10"/>
      <c r="S187" s="10"/>
      <c r="T187" s="10"/>
      <c r="U187" s="10"/>
      <c r="V187" s="4" t="s">
        <v>234</v>
      </c>
      <c r="W187" s="4"/>
      <c r="X187" s="8"/>
      <c r="Y187" s="4"/>
      <c r="Z187" s="4"/>
      <c r="AA187" s="8">
        <v>44982</v>
      </c>
      <c r="AB187" s="8">
        <v>44986</v>
      </c>
      <c r="AC187" s="4"/>
      <c r="AD187" s="4"/>
    </row>
    <row r="188" spans="1:30" hidden="1">
      <c r="A188" s="4">
        <v>1628</v>
      </c>
      <c r="B188" s="8">
        <v>44937</v>
      </c>
      <c r="C188" s="4"/>
      <c r="D188" s="4" t="s">
        <v>42</v>
      </c>
      <c r="E188" s="8">
        <v>44957</v>
      </c>
      <c r="F188" s="4" t="s">
        <v>43</v>
      </c>
      <c r="G188" s="39" t="s">
        <v>186</v>
      </c>
      <c r="H188" s="4" t="s">
        <v>45</v>
      </c>
      <c r="I188" s="4" t="s">
        <v>187</v>
      </c>
      <c r="J188" s="10">
        <f>27.36422-22.81</f>
        <v>4.5542200000000008</v>
      </c>
      <c r="K188" s="10">
        <f>2.904+1.653</f>
        <v>4.5570000000000004</v>
      </c>
      <c r="L188" s="10">
        <f t="shared" si="6"/>
        <v>0</v>
      </c>
      <c r="M188" s="10">
        <f t="shared" si="7"/>
        <v>0</v>
      </c>
      <c r="N188" s="10"/>
      <c r="O188" s="10"/>
      <c r="P188" s="10"/>
      <c r="Q188" s="10"/>
      <c r="R188" s="10"/>
      <c r="S188" s="10"/>
      <c r="T188" s="10"/>
      <c r="U188" s="10"/>
      <c r="V188" s="4" t="s">
        <v>234</v>
      </c>
      <c r="W188" s="4" t="s">
        <v>491</v>
      </c>
      <c r="X188" s="8">
        <v>44984</v>
      </c>
      <c r="Y188" s="4"/>
      <c r="Z188" s="4"/>
      <c r="AA188" s="8"/>
      <c r="AB188" s="8"/>
      <c r="AC188" s="4"/>
      <c r="AD188" s="4"/>
    </row>
    <row r="189" spans="1:30" hidden="1">
      <c r="A189" s="4">
        <v>1628</v>
      </c>
      <c r="B189" s="8">
        <v>44937</v>
      </c>
      <c r="C189" s="4"/>
      <c r="D189" s="4" t="s">
        <v>42</v>
      </c>
      <c r="E189" s="8">
        <v>44957</v>
      </c>
      <c r="F189" s="4" t="s">
        <v>43</v>
      </c>
      <c r="G189" s="39" t="s">
        <v>186</v>
      </c>
      <c r="H189" s="4" t="s">
        <v>45</v>
      </c>
      <c r="I189" s="4" t="s">
        <v>118</v>
      </c>
      <c r="J189" s="10">
        <v>6.1200000000000004E-2</v>
      </c>
      <c r="K189" s="10">
        <v>0.30599999999999999</v>
      </c>
      <c r="L189" s="10">
        <f t="shared" si="6"/>
        <v>0</v>
      </c>
      <c r="M189" s="10">
        <f t="shared" si="7"/>
        <v>0</v>
      </c>
      <c r="N189" s="10"/>
      <c r="O189" s="10"/>
      <c r="P189" s="10"/>
      <c r="Q189" s="10"/>
      <c r="R189" s="10"/>
      <c r="S189" s="10"/>
      <c r="T189" s="10"/>
      <c r="U189" s="10"/>
      <c r="V189" s="4" t="s">
        <v>234</v>
      </c>
      <c r="W189" s="4"/>
      <c r="X189" s="8"/>
      <c r="Y189" s="4"/>
      <c r="Z189" s="4"/>
      <c r="AA189" s="8"/>
      <c r="AB189" s="8"/>
      <c r="AC189" s="4"/>
      <c r="AD189" s="4"/>
    </row>
    <row r="190" spans="1:30" hidden="1">
      <c r="A190" s="4">
        <v>1678</v>
      </c>
      <c r="B190" s="8">
        <v>44942</v>
      </c>
      <c r="C190" s="4"/>
      <c r="D190" s="4" t="s">
        <v>42</v>
      </c>
      <c r="E190" s="8">
        <v>44964</v>
      </c>
      <c r="F190" s="4" t="s">
        <v>43</v>
      </c>
      <c r="G190" s="40" t="s">
        <v>60</v>
      </c>
      <c r="H190" s="4" t="s">
        <v>45</v>
      </c>
      <c r="I190" s="4" t="s">
        <v>98</v>
      </c>
      <c r="J190" s="10">
        <v>71.341818000000004</v>
      </c>
      <c r="K190" s="10">
        <f>24.016+30.013+9.577+8.34</f>
        <v>71.945999999999998</v>
      </c>
      <c r="L190" s="10">
        <f t="shared" si="6"/>
        <v>0</v>
      </c>
      <c r="M190" s="10">
        <f t="shared" si="7"/>
        <v>0</v>
      </c>
      <c r="N190" s="10"/>
      <c r="O190" s="10"/>
      <c r="P190" s="10">
        <v>0</v>
      </c>
      <c r="Q190" s="10"/>
      <c r="R190" s="10"/>
      <c r="S190" s="10"/>
      <c r="T190" s="10"/>
      <c r="U190" s="10"/>
      <c r="V190" s="4" t="s">
        <v>245</v>
      </c>
      <c r="W190" s="4"/>
      <c r="X190" s="8"/>
      <c r="Y190" s="4"/>
      <c r="Z190" s="4"/>
      <c r="AA190" s="8">
        <v>44988</v>
      </c>
      <c r="AB190" s="8"/>
      <c r="AC190" s="4"/>
      <c r="AD190" s="4"/>
    </row>
    <row r="191" spans="1:30" hidden="1">
      <c r="A191" s="4">
        <v>1678</v>
      </c>
      <c r="B191" s="8">
        <v>44942</v>
      </c>
      <c r="C191" s="4"/>
      <c r="D191" s="4" t="s">
        <v>42</v>
      </c>
      <c r="E191" s="8">
        <v>44964</v>
      </c>
      <c r="F191" s="4" t="s">
        <v>43</v>
      </c>
      <c r="G191" s="40" t="s">
        <v>60</v>
      </c>
      <c r="H191" s="4" t="s">
        <v>45</v>
      </c>
      <c r="I191" s="4" t="s">
        <v>99</v>
      </c>
      <c r="J191" s="10">
        <v>41.172040000000003</v>
      </c>
      <c r="K191" s="10">
        <f>23.251+4.557+13.524</f>
        <v>41.332000000000001</v>
      </c>
      <c r="L191" s="10">
        <f t="shared" si="6"/>
        <v>0</v>
      </c>
      <c r="M191" s="10">
        <f t="shared" si="7"/>
        <v>0</v>
      </c>
      <c r="N191" s="10"/>
      <c r="O191" s="10"/>
      <c r="P191" s="10"/>
      <c r="Q191" s="10"/>
      <c r="R191" s="10"/>
      <c r="S191" s="10"/>
      <c r="T191" s="10"/>
      <c r="U191" s="10"/>
      <c r="V191" s="4" t="s">
        <v>245</v>
      </c>
      <c r="W191" s="4"/>
      <c r="X191" s="8"/>
      <c r="Y191" s="4"/>
      <c r="Z191" s="4"/>
      <c r="AA191" s="8"/>
      <c r="AB191" s="8"/>
      <c r="AC191" s="4"/>
      <c r="AD191" s="4"/>
    </row>
    <row r="192" spans="1:30" hidden="1">
      <c r="A192" s="4">
        <v>1678</v>
      </c>
      <c r="B192" s="8">
        <v>44942</v>
      </c>
      <c r="C192" s="4"/>
      <c r="D192" s="4" t="s">
        <v>42</v>
      </c>
      <c r="E192" s="8">
        <v>44964</v>
      </c>
      <c r="F192" s="4" t="s">
        <v>43</v>
      </c>
      <c r="G192" s="40" t="s">
        <v>60</v>
      </c>
      <c r="H192" s="4" t="s">
        <v>45</v>
      </c>
      <c r="I192" s="4" t="s">
        <v>235</v>
      </c>
      <c r="J192" s="10">
        <v>45.651863999999989</v>
      </c>
      <c r="K192" s="10">
        <f>18.084+1.883+14.013+7.332+4.82</f>
        <v>46.131999999999998</v>
      </c>
      <c r="L192" s="10">
        <f t="shared" si="6"/>
        <v>0</v>
      </c>
      <c r="M192" s="10">
        <f t="shared" si="7"/>
        <v>0</v>
      </c>
      <c r="N192" s="10"/>
      <c r="O192" s="10"/>
      <c r="P192" s="10">
        <v>0</v>
      </c>
      <c r="Q192" s="10"/>
      <c r="R192" s="10"/>
      <c r="S192" s="10">
        <v>0</v>
      </c>
      <c r="T192" s="10"/>
      <c r="U192" s="10"/>
      <c r="V192" s="4" t="s">
        <v>245</v>
      </c>
      <c r="W192" s="4"/>
      <c r="X192" s="8"/>
      <c r="Y192" s="4"/>
      <c r="Z192" s="4"/>
      <c r="AA192" s="8"/>
      <c r="AB192" s="8"/>
      <c r="AC192" s="4"/>
      <c r="AD192" s="4"/>
    </row>
    <row r="193" spans="1:30" hidden="1">
      <c r="A193" s="4">
        <v>1678</v>
      </c>
      <c r="B193" s="8">
        <v>44942</v>
      </c>
      <c r="C193" s="4"/>
      <c r="D193" s="4" t="s">
        <v>42</v>
      </c>
      <c r="E193" s="8">
        <v>44964</v>
      </c>
      <c r="F193" s="4" t="s">
        <v>43</v>
      </c>
      <c r="G193" s="40" t="s">
        <v>60</v>
      </c>
      <c r="H193" s="4" t="s">
        <v>45</v>
      </c>
      <c r="I193" s="4" t="s">
        <v>100</v>
      </c>
      <c r="J193" s="10">
        <v>73.103909999999985</v>
      </c>
      <c r="K193" s="10">
        <f>16.676+19.331+12.515+12.434+4.869+5.227+2.156</f>
        <v>73.207999999999998</v>
      </c>
      <c r="L193" s="10">
        <f t="shared" si="6"/>
        <v>0</v>
      </c>
      <c r="M193" s="10">
        <f t="shared" si="7"/>
        <v>0</v>
      </c>
      <c r="N193" s="10"/>
      <c r="O193" s="10"/>
      <c r="P193" s="10">
        <v>0</v>
      </c>
      <c r="Q193" s="10"/>
      <c r="R193" s="10"/>
      <c r="S193" s="10"/>
      <c r="T193" s="10"/>
      <c r="U193" s="10"/>
      <c r="V193" s="4" t="s">
        <v>245</v>
      </c>
      <c r="W193" s="4"/>
      <c r="X193" s="8"/>
      <c r="Y193" s="4"/>
      <c r="Z193" s="4"/>
      <c r="AA193" s="8"/>
      <c r="AB193" s="8">
        <v>44989</v>
      </c>
      <c r="AC193" s="4"/>
      <c r="AD193" s="4"/>
    </row>
    <row r="194" spans="1:30" hidden="1">
      <c r="A194" s="4">
        <v>1678</v>
      </c>
      <c r="B194" s="8">
        <v>44942</v>
      </c>
      <c r="C194" s="4"/>
      <c r="D194" s="4" t="s">
        <v>42</v>
      </c>
      <c r="E194" s="8">
        <v>44964</v>
      </c>
      <c r="F194" s="4" t="s">
        <v>43</v>
      </c>
      <c r="G194" s="40" t="s">
        <v>60</v>
      </c>
      <c r="H194" s="4" t="s">
        <v>45</v>
      </c>
      <c r="I194" s="4" t="s">
        <v>101</v>
      </c>
      <c r="J194" s="10">
        <v>18.846559999999997</v>
      </c>
      <c r="K194" s="10">
        <f>2.904+1.732+6.766+7.592</f>
        <v>18.994</v>
      </c>
      <c r="L194" s="10">
        <f t="shared" si="6"/>
        <v>0</v>
      </c>
      <c r="M194" s="10">
        <f t="shared" si="7"/>
        <v>0</v>
      </c>
      <c r="N194" s="10"/>
      <c r="O194" s="10"/>
      <c r="P194" s="10">
        <v>0</v>
      </c>
      <c r="Q194" s="10"/>
      <c r="R194" s="10"/>
      <c r="S194" s="10"/>
      <c r="T194" s="10"/>
      <c r="U194" s="10"/>
      <c r="V194" s="4" t="s">
        <v>245</v>
      </c>
      <c r="W194" s="4"/>
      <c r="X194" s="8">
        <v>44977</v>
      </c>
      <c r="Y194" s="4"/>
      <c r="Z194" s="4"/>
      <c r="AA194" s="8">
        <v>44983</v>
      </c>
      <c r="AB194" s="8">
        <v>44988</v>
      </c>
      <c r="AC194" s="4"/>
      <c r="AD194" s="4"/>
    </row>
    <row r="195" spans="1:30" hidden="1">
      <c r="A195" s="4">
        <v>1678</v>
      </c>
      <c r="B195" s="8">
        <v>44942</v>
      </c>
      <c r="C195" s="4"/>
      <c r="D195" s="4" t="s">
        <v>42</v>
      </c>
      <c r="E195" s="8">
        <v>44964</v>
      </c>
      <c r="F195" s="4" t="s">
        <v>43</v>
      </c>
      <c r="G195" s="40" t="s">
        <v>60</v>
      </c>
      <c r="H195" s="4" t="s">
        <v>45</v>
      </c>
      <c r="I195" s="4" t="s">
        <v>102</v>
      </c>
      <c r="J195" s="10">
        <v>36.497400000000006</v>
      </c>
      <c r="K195" s="10">
        <f>4.949+15.699+2.827+8.246+3.271+1.732</f>
        <v>36.724000000000004</v>
      </c>
      <c r="L195" s="10">
        <f t="shared" si="6"/>
        <v>0</v>
      </c>
      <c r="M195" s="10">
        <f t="shared" si="7"/>
        <v>0</v>
      </c>
      <c r="N195" s="10"/>
      <c r="O195" s="10"/>
      <c r="P195" s="10">
        <v>0</v>
      </c>
      <c r="Q195" s="10"/>
      <c r="R195" s="10"/>
      <c r="S195" s="10"/>
      <c r="T195" s="10"/>
      <c r="U195" s="10"/>
      <c r="V195" s="4" t="s">
        <v>245</v>
      </c>
      <c r="W195" s="4"/>
      <c r="X195" s="8"/>
      <c r="Y195" s="4"/>
      <c r="Z195" s="4"/>
      <c r="AA195" s="8"/>
      <c r="AB195" s="8">
        <v>44981</v>
      </c>
      <c r="AC195" s="4"/>
      <c r="AD195" s="4"/>
    </row>
    <row r="196" spans="1:30" hidden="1">
      <c r="A196" s="4">
        <v>1678</v>
      </c>
      <c r="B196" s="8">
        <v>44942</v>
      </c>
      <c r="C196" s="4"/>
      <c r="D196" s="4" t="s">
        <v>42</v>
      </c>
      <c r="E196" s="8">
        <v>44964</v>
      </c>
      <c r="F196" s="4" t="s">
        <v>43</v>
      </c>
      <c r="G196" s="40" t="s">
        <v>60</v>
      </c>
      <c r="H196" s="4" t="s">
        <v>45</v>
      </c>
      <c r="I196" s="4" t="s">
        <v>103</v>
      </c>
      <c r="J196" s="10">
        <v>77.314575000000005</v>
      </c>
      <c r="K196" s="10">
        <f>5.9+33.565+33.073+4.76</f>
        <v>77.298000000000002</v>
      </c>
      <c r="L196" s="10">
        <f t="shared" si="6"/>
        <v>0</v>
      </c>
      <c r="M196" s="10">
        <f t="shared" si="7"/>
        <v>0</v>
      </c>
      <c r="N196" s="10"/>
      <c r="O196" s="10"/>
      <c r="P196" s="10">
        <v>0</v>
      </c>
      <c r="Q196" s="10"/>
      <c r="R196" s="10"/>
      <c r="S196" s="10"/>
      <c r="T196" s="10"/>
      <c r="U196" s="10"/>
      <c r="V196" s="4" t="s">
        <v>245</v>
      </c>
      <c r="W196" s="4"/>
      <c r="X196" s="8"/>
      <c r="Y196" s="4"/>
      <c r="Z196" s="4"/>
      <c r="AA196" s="8">
        <v>44974</v>
      </c>
      <c r="AB196" s="8">
        <v>44982</v>
      </c>
      <c r="AC196" s="4"/>
      <c r="AD196" s="4"/>
    </row>
    <row r="197" spans="1:30" hidden="1">
      <c r="A197" s="4">
        <v>1678</v>
      </c>
      <c r="B197" s="8">
        <v>44942</v>
      </c>
      <c r="C197" s="4"/>
      <c r="D197" s="4" t="s">
        <v>42</v>
      </c>
      <c r="E197" s="8">
        <v>44964</v>
      </c>
      <c r="F197" s="4" t="s">
        <v>43</v>
      </c>
      <c r="G197" s="40" t="s">
        <v>60</v>
      </c>
      <c r="H197" s="4" t="s">
        <v>45</v>
      </c>
      <c r="I197" s="4" t="s">
        <v>104</v>
      </c>
      <c r="J197" s="10">
        <f>23.83836-23.22</f>
        <v>0.61836000000000269</v>
      </c>
      <c r="K197" s="10">
        <v>0.61399999999999999</v>
      </c>
      <c r="L197" s="10">
        <f t="shared" si="6"/>
        <v>0</v>
      </c>
      <c r="M197" s="10">
        <f t="shared" si="7"/>
        <v>0</v>
      </c>
      <c r="N197" s="10"/>
      <c r="O197" s="10"/>
      <c r="P197" s="10">
        <v>0</v>
      </c>
      <c r="Q197" s="10"/>
      <c r="R197" s="10"/>
      <c r="S197" s="10"/>
      <c r="T197" s="10"/>
      <c r="U197" s="10"/>
      <c r="V197" s="4" t="s">
        <v>245</v>
      </c>
      <c r="W197" s="4" t="s">
        <v>491</v>
      </c>
      <c r="X197" s="8">
        <v>44987</v>
      </c>
      <c r="Y197" s="4"/>
      <c r="Z197" s="4"/>
      <c r="AA197" s="8"/>
      <c r="AB197" s="8">
        <v>44998</v>
      </c>
      <c r="AC197" s="4"/>
      <c r="AD197" s="4"/>
    </row>
    <row r="198" spans="1:30" hidden="1">
      <c r="A198" s="4">
        <v>1678</v>
      </c>
      <c r="B198" s="8">
        <v>44942</v>
      </c>
      <c r="C198" s="4"/>
      <c r="D198" s="4" t="s">
        <v>42</v>
      </c>
      <c r="E198" s="8">
        <v>44964</v>
      </c>
      <c r="F198" s="4" t="s">
        <v>43</v>
      </c>
      <c r="G198" s="40" t="s">
        <v>60</v>
      </c>
      <c r="H198" s="4" t="s">
        <v>45</v>
      </c>
      <c r="I198" s="4" t="s">
        <v>105</v>
      </c>
      <c r="J198" s="10">
        <v>28.451199999999996</v>
      </c>
      <c r="K198" s="10">
        <f>18.022+10.857</f>
        <v>28.878999999999998</v>
      </c>
      <c r="L198" s="10">
        <f t="shared" si="6"/>
        <v>0</v>
      </c>
      <c r="M198" s="10">
        <f t="shared" si="7"/>
        <v>0</v>
      </c>
      <c r="N198" s="10"/>
      <c r="O198" s="10"/>
      <c r="P198" s="10"/>
      <c r="Q198" s="10"/>
      <c r="R198" s="10"/>
      <c r="S198" s="10"/>
      <c r="T198" s="10"/>
      <c r="U198" s="10"/>
      <c r="V198" s="4" t="s">
        <v>245</v>
      </c>
      <c r="W198" s="4"/>
      <c r="X198" s="8"/>
      <c r="Y198" s="4"/>
      <c r="Z198" s="4"/>
      <c r="AA198" s="8"/>
      <c r="AB198" s="8"/>
      <c r="AC198" s="4"/>
      <c r="AD198" s="4"/>
    </row>
    <row r="199" spans="1:30" hidden="1">
      <c r="A199" s="4">
        <v>1678</v>
      </c>
      <c r="B199" s="8">
        <v>44942</v>
      </c>
      <c r="C199" s="4"/>
      <c r="D199" s="4" t="s">
        <v>42</v>
      </c>
      <c r="E199" s="8">
        <v>44964</v>
      </c>
      <c r="F199" s="4" t="s">
        <v>43</v>
      </c>
      <c r="G199" s="40" t="s">
        <v>60</v>
      </c>
      <c r="H199" s="4" t="s">
        <v>45</v>
      </c>
      <c r="I199" s="4" t="s">
        <v>106</v>
      </c>
      <c r="J199" s="10">
        <v>31.394999999999996</v>
      </c>
      <c r="K199" s="10">
        <f>20.922+10.775</f>
        <v>31.697000000000003</v>
      </c>
      <c r="L199" s="10">
        <f t="shared" si="6"/>
        <v>0</v>
      </c>
      <c r="M199" s="10">
        <f t="shared" si="7"/>
        <v>0</v>
      </c>
      <c r="N199" s="10"/>
      <c r="O199" s="10"/>
      <c r="P199" s="10">
        <v>0</v>
      </c>
      <c r="Q199" s="10"/>
      <c r="R199" s="10"/>
      <c r="S199" s="10"/>
      <c r="T199" s="10"/>
      <c r="U199" s="10"/>
      <c r="V199" s="4" t="s">
        <v>245</v>
      </c>
      <c r="W199" s="4"/>
      <c r="X199" s="8">
        <v>44977</v>
      </c>
      <c r="Y199" s="4"/>
      <c r="Z199" s="4"/>
      <c r="AA199" s="8">
        <v>44987</v>
      </c>
      <c r="AB199" s="8">
        <v>44988</v>
      </c>
      <c r="AC199" s="4"/>
      <c r="AD199" s="4"/>
    </row>
    <row r="200" spans="1:30" hidden="1">
      <c r="A200" s="4">
        <v>1678</v>
      </c>
      <c r="B200" s="8">
        <v>44942</v>
      </c>
      <c r="C200" s="4"/>
      <c r="D200" s="4" t="s">
        <v>42</v>
      </c>
      <c r="E200" s="8">
        <v>44964</v>
      </c>
      <c r="F200" s="4" t="s">
        <v>43</v>
      </c>
      <c r="G200" s="40" t="s">
        <v>60</v>
      </c>
      <c r="H200" s="4" t="s">
        <v>45</v>
      </c>
      <c r="I200" s="4" t="s">
        <v>96</v>
      </c>
      <c r="J200" s="10">
        <v>12.229685999999999</v>
      </c>
      <c r="K200" s="10">
        <f>8.947+3.528</f>
        <v>12.475</v>
      </c>
      <c r="L200" s="10">
        <f t="shared" si="6"/>
        <v>0</v>
      </c>
      <c r="M200" s="10">
        <f t="shared" si="7"/>
        <v>0</v>
      </c>
      <c r="N200" s="10"/>
      <c r="O200" s="10"/>
      <c r="P200" s="10">
        <v>0</v>
      </c>
      <c r="Q200" s="10"/>
      <c r="R200" s="10"/>
      <c r="S200" s="10"/>
      <c r="T200" s="10"/>
      <c r="U200" s="10"/>
      <c r="V200" s="4" t="s">
        <v>245</v>
      </c>
      <c r="W200" s="4"/>
      <c r="X200" s="8"/>
      <c r="Y200" s="4"/>
      <c r="Z200" s="4"/>
      <c r="AA200" s="8"/>
      <c r="AB200" s="8">
        <v>44989</v>
      </c>
      <c r="AC200" s="4"/>
      <c r="AD200" s="4"/>
    </row>
    <row r="201" spans="1:30" hidden="1">
      <c r="A201" s="4">
        <v>1678</v>
      </c>
      <c r="B201" s="8">
        <v>44942</v>
      </c>
      <c r="C201" s="4"/>
      <c r="D201" s="4" t="s">
        <v>42</v>
      </c>
      <c r="E201" s="8">
        <v>44964</v>
      </c>
      <c r="F201" s="4" t="s">
        <v>43</v>
      </c>
      <c r="G201" s="40" t="s">
        <v>60</v>
      </c>
      <c r="H201" s="4" t="s">
        <v>45</v>
      </c>
      <c r="I201" s="4" t="s">
        <v>107</v>
      </c>
      <c r="J201" s="10">
        <f>23.86956-20.47</f>
        <v>3.399560000000001</v>
      </c>
      <c r="K201" s="10">
        <f>1.704+1.886</f>
        <v>3.59</v>
      </c>
      <c r="L201" s="10">
        <f t="shared" si="6"/>
        <v>0</v>
      </c>
      <c r="M201" s="10">
        <f t="shared" si="7"/>
        <v>0</v>
      </c>
      <c r="N201" s="10"/>
      <c r="O201" s="10"/>
      <c r="P201" s="10">
        <v>0</v>
      </c>
      <c r="Q201" s="10"/>
      <c r="R201" s="10"/>
      <c r="S201" s="10"/>
      <c r="T201" s="10"/>
      <c r="U201" s="10"/>
      <c r="V201" s="4" t="s">
        <v>245</v>
      </c>
      <c r="W201" s="4" t="s">
        <v>491</v>
      </c>
      <c r="X201" s="8">
        <v>44984</v>
      </c>
      <c r="Y201" s="4"/>
      <c r="Z201" s="4"/>
      <c r="AA201" s="8"/>
      <c r="AB201" s="8">
        <v>44998</v>
      </c>
      <c r="AC201" s="4"/>
      <c r="AD201" s="4"/>
    </row>
    <row r="202" spans="1:30" hidden="1">
      <c r="A202" s="4">
        <v>1678</v>
      </c>
      <c r="B202" s="8">
        <v>44942</v>
      </c>
      <c r="C202" s="4"/>
      <c r="D202" s="4" t="s">
        <v>42</v>
      </c>
      <c r="E202" s="8">
        <v>44964</v>
      </c>
      <c r="F202" s="4" t="s">
        <v>43</v>
      </c>
      <c r="G202" s="40" t="s">
        <v>60</v>
      </c>
      <c r="H202" s="4" t="s">
        <v>45</v>
      </c>
      <c r="I202" s="4" t="s">
        <v>97</v>
      </c>
      <c r="J202" s="10">
        <v>0.14388000000000001</v>
      </c>
      <c r="K202" s="10">
        <f>0.144</f>
        <v>0.14399999999999999</v>
      </c>
      <c r="L202" s="10">
        <f t="shared" si="6"/>
        <v>0</v>
      </c>
      <c r="M202" s="10">
        <f t="shared" ref="M202:M244" si="8">SUM(N202:T202)</f>
        <v>0</v>
      </c>
      <c r="N202" s="10"/>
      <c r="O202" s="10"/>
      <c r="P202" s="10"/>
      <c r="Q202" s="10"/>
      <c r="R202" s="10"/>
      <c r="S202" s="10"/>
      <c r="T202" s="10"/>
      <c r="U202" s="10"/>
      <c r="V202" s="4" t="s">
        <v>245</v>
      </c>
      <c r="W202" s="4"/>
      <c r="X202" s="8"/>
      <c r="Y202" s="4"/>
      <c r="Z202" s="4"/>
      <c r="AA202" s="8"/>
      <c r="AB202" s="8"/>
      <c r="AC202" s="4"/>
      <c r="AD202" s="4"/>
    </row>
    <row r="203" spans="1:30" hidden="1">
      <c r="A203" s="4">
        <v>1678</v>
      </c>
      <c r="B203" s="8">
        <v>44942</v>
      </c>
      <c r="C203" s="4"/>
      <c r="D203" s="4" t="s">
        <v>42</v>
      </c>
      <c r="E203" s="8">
        <v>44964</v>
      </c>
      <c r="F203" s="4" t="s">
        <v>43</v>
      </c>
      <c r="G203" s="40" t="s">
        <v>60</v>
      </c>
      <c r="H203" s="4" t="s">
        <v>45</v>
      </c>
      <c r="I203" s="4" t="s">
        <v>89</v>
      </c>
      <c r="J203" s="10">
        <v>0.82524799999999998</v>
      </c>
      <c r="K203" s="10">
        <v>1.706</v>
      </c>
      <c r="L203" s="10">
        <f t="shared" si="6"/>
        <v>0</v>
      </c>
      <c r="M203" s="10">
        <f t="shared" si="8"/>
        <v>0</v>
      </c>
      <c r="N203" s="10"/>
      <c r="O203" s="10"/>
      <c r="P203" s="10">
        <v>0</v>
      </c>
      <c r="Q203" s="10"/>
      <c r="R203" s="10"/>
      <c r="S203" s="10"/>
      <c r="T203" s="10"/>
      <c r="U203" s="10"/>
      <c r="V203" s="4" t="s">
        <v>245</v>
      </c>
      <c r="W203" s="4" t="s">
        <v>527</v>
      </c>
      <c r="X203" s="8"/>
      <c r="Y203" s="4"/>
      <c r="Z203" s="4"/>
      <c r="AA203" s="8"/>
      <c r="AB203" s="8">
        <v>44996</v>
      </c>
      <c r="AC203" s="4"/>
      <c r="AD203" s="4"/>
    </row>
    <row r="204" spans="1:30" hidden="1">
      <c r="A204" s="4">
        <v>1678</v>
      </c>
      <c r="B204" s="8">
        <v>44942</v>
      </c>
      <c r="C204" s="4"/>
      <c r="D204" s="4" t="s">
        <v>42</v>
      </c>
      <c r="E204" s="8">
        <v>44964</v>
      </c>
      <c r="F204" s="4" t="s">
        <v>43</v>
      </c>
      <c r="G204" s="40" t="s">
        <v>60</v>
      </c>
      <c r="H204" s="4" t="s">
        <v>45</v>
      </c>
      <c r="I204" s="4" t="s">
        <v>108</v>
      </c>
      <c r="J204" s="10">
        <v>60.426644999999986</v>
      </c>
      <c r="K204" s="10">
        <f>29.866+20.177+2.642+4.022+3.793</f>
        <v>60.5</v>
      </c>
      <c r="L204" s="10">
        <f t="shared" si="6"/>
        <v>0</v>
      </c>
      <c r="M204" s="10">
        <f t="shared" si="8"/>
        <v>0</v>
      </c>
      <c r="N204" s="10"/>
      <c r="O204" s="10"/>
      <c r="P204" s="10">
        <v>0</v>
      </c>
      <c r="Q204" s="10"/>
      <c r="R204" s="10"/>
      <c r="S204" s="10"/>
      <c r="T204" s="10"/>
      <c r="U204" s="10"/>
      <c r="V204" s="4" t="s">
        <v>245</v>
      </c>
      <c r="W204" s="4"/>
      <c r="X204" s="8">
        <v>44977</v>
      </c>
      <c r="Y204" s="4"/>
      <c r="Z204" s="4"/>
      <c r="AA204" s="8"/>
      <c r="AB204" s="8">
        <v>44989</v>
      </c>
      <c r="AC204" s="4"/>
      <c r="AD204" s="4"/>
    </row>
    <row r="205" spans="1:30" hidden="1">
      <c r="A205" s="4">
        <v>1678</v>
      </c>
      <c r="B205" s="8">
        <v>44942</v>
      </c>
      <c r="C205" s="4"/>
      <c r="D205" s="4" t="s">
        <v>42</v>
      </c>
      <c r="E205" s="8">
        <v>44964</v>
      </c>
      <c r="F205" s="4" t="s">
        <v>43</v>
      </c>
      <c r="G205" s="40" t="s">
        <v>60</v>
      </c>
      <c r="H205" s="4" t="s">
        <v>45</v>
      </c>
      <c r="I205" s="4" t="s">
        <v>110</v>
      </c>
      <c r="J205" s="10">
        <v>65.406220000000005</v>
      </c>
      <c r="K205" s="10">
        <f>8.366+19.603+14.278+7.237+6.23+2.406+2.044+1.434+3.866</f>
        <v>65.463999999999999</v>
      </c>
      <c r="L205" s="10">
        <f t="shared" si="6"/>
        <v>0</v>
      </c>
      <c r="M205" s="10">
        <f t="shared" si="8"/>
        <v>0</v>
      </c>
      <c r="N205" s="10"/>
      <c r="O205" s="10"/>
      <c r="P205" s="10">
        <v>0</v>
      </c>
      <c r="Q205" s="10"/>
      <c r="R205" s="10"/>
      <c r="S205" s="10"/>
      <c r="T205" s="10"/>
      <c r="U205" s="10"/>
      <c r="V205" s="4" t="s">
        <v>245</v>
      </c>
      <c r="W205" s="4"/>
      <c r="X205" s="8">
        <v>44976</v>
      </c>
      <c r="Y205" s="4"/>
      <c r="Z205" s="4"/>
      <c r="AA205" s="8">
        <v>44981</v>
      </c>
      <c r="AB205" s="8">
        <v>44989</v>
      </c>
      <c r="AC205" s="4"/>
      <c r="AD205" s="4"/>
    </row>
    <row r="206" spans="1:30" hidden="1">
      <c r="A206" s="4">
        <v>1678</v>
      </c>
      <c r="B206" s="8">
        <v>44942</v>
      </c>
      <c r="C206" s="4"/>
      <c r="D206" s="4" t="s">
        <v>42</v>
      </c>
      <c r="E206" s="8">
        <v>44964</v>
      </c>
      <c r="F206" s="4" t="s">
        <v>43</v>
      </c>
      <c r="G206" s="40" t="s">
        <v>60</v>
      </c>
      <c r="H206" s="4" t="s">
        <v>45</v>
      </c>
      <c r="I206" s="4" t="s">
        <v>111</v>
      </c>
      <c r="J206" s="10">
        <f>91.32636+7.92</f>
        <v>99.246359999999996</v>
      </c>
      <c r="K206" s="10">
        <f>26.875+21.927+26.056+1.194+9.318+3.148+1.347+1.637+7.92</f>
        <v>99.421999999999997</v>
      </c>
      <c r="L206" s="10">
        <f t="shared" si="6"/>
        <v>0</v>
      </c>
      <c r="M206" s="10">
        <f t="shared" si="8"/>
        <v>0</v>
      </c>
      <c r="N206" s="10"/>
      <c r="O206" s="10"/>
      <c r="P206" s="10">
        <v>0</v>
      </c>
      <c r="Q206" s="10"/>
      <c r="R206" s="10"/>
      <c r="S206" s="10"/>
      <c r="T206" s="10"/>
      <c r="U206" s="10"/>
      <c r="V206" s="4" t="s">
        <v>245</v>
      </c>
      <c r="W206" s="4"/>
      <c r="X206" s="8">
        <v>44975</v>
      </c>
      <c r="Y206" s="4"/>
      <c r="Z206" s="4"/>
      <c r="AA206" s="8">
        <v>44978</v>
      </c>
      <c r="AB206" s="8">
        <v>44988</v>
      </c>
      <c r="AC206" s="4"/>
      <c r="AD206" s="4"/>
    </row>
    <row r="207" spans="1:30" hidden="1">
      <c r="A207" s="4">
        <v>1678</v>
      </c>
      <c r="B207" s="8">
        <v>44942</v>
      </c>
      <c r="C207" s="4"/>
      <c r="D207" s="4" t="s">
        <v>42</v>
      </c>
      <c r="E207" s="8">
        <v>44964</v>
      </c>
      <c r="F207" s="4" t="s">
        <v>43</v>
      </c>
      <c r="G207" s="40" t="s">
        <v>60</v>
      </c>
      <c r="H207" s="4" t="s">
        <v>45</v>
      </c>
      <c r="I207" s="4" t="s">
        <v>112</v>
      </c>
      <c r="J207" s="10">
        <v>65.165099999999995</v>
      </c>
      <c r="K207" s="10">
        <f>27.448+18.134+12.428+7.298</f>
        <v>65.308000000000007</v>
      </c>
      <c r="L207" s="10">
        <f t="shared" si="6"/>
        <v>0</v>
      </c>
      <c r="M207" s="10">
        <f t="shared" si="8"/>
        <v>0</v>
      </c>
      <c r="N207" s="10"/>
      <c r="O207" s="10"/>
      <c r="P207" s="10">
        <v>0</v>
      </c>
      <c r="Q207" s="10"/>
      <c r="R207" s="10"/>
      <c r="S207" s="10"/>
      <c r="T207" s="10"/>
      <c r="U207" s="10"/>
      <c r="V207" s="4" t="s">
        <v>245</v>
      </c>
      <c r="W207" s="4"/>
      <c r="X207" s="8"/>
      <c r="Y207" s="4"/>
      <c r="Z207" s="4"/>
      <c r="AA207" s="8">
        <v>44974</v>
      </c>
      <c r="AB207" s="8">
        <v>44982</v>
      </c>
      <c r="AC207" s="4"/>
      <c r="AD207" s="4"/>
    </row>
    <row r="208" spans="1:30" hidden="1">
      <c r="A208" s="4">
        <v>1678</v>
      </c>
      <c r="B208" s="8">
        <v>44942</v>
      </c>
      <c r="C208" s="4"/>
      <c r="D208" s="4" t="s">
        <v>42</v>
      </c>
      <c r="E208" s="8">
        <v>44964</v>
      </c>
      <c r="F208" s="4" t="s">
        <v>43</v>
      </c>
      <c r="G208" s="40" t="s">
        <v>60</v>
      </c>
      <c r="H208" s="4" t="s">
        <v>45</v>
      </c>
      <c r="I208" s="4" t="s">
        <v>113</v>
      </c>
      <c r="J208" s="10">
        <v>51.624539999999996</v>
      </c>
      <c r="K208" s="10">
        <f>26.653+2.344+10.171+2.917+5.287+5.221</f>
        <v>52.593000000000004</v>
      </c>
      <c r="L208" s="10">
        <f t="shared" si="6"/>
        <v>0</v>
      </c>
      <c r="M208" s="10">
        <f t="shared" si="8"/>
        <v>0</v>
      </c>
      <c r="N208" s="10"/>
      <c r="O208" s="10"/>
      <c r="P208" s="10">
        <v>0</v>
      </c>
      <c r="Q208" s="10"/>
      <c r="R208" s="10"/>
      <c r="S208" s="10"/>
      <c r="T208" s="10"/>
      <c r="U208" s="10"/>
      <c r="V208" s="4" t="s">
        <v>245</v>
      </c>
      <c r="W208" s="4"/>
      <c r="X208" s="8"/>
      <c r="Y208" s="4"/>
      <c r="Z208" s="4"/>
      <c r="AA208" s="8"/>
      <c r="AB208" s="8">
        <v>44990</v>
      </c>
      <c r="AC208" s="4"/>
      <c r="AD208" s="4"/>
    </row>
    <row r="209" spans="1:30" hidden="1">
      <c r="A209" s="4">
        <v>1678</v>
      </c>
      <c r="B209" s="8">
        <v>44942</v>
      </c>
      <c r="C209" s="4"/>
      <c r="D209" s="4" t="s">
        <v>42</v>
      </c>
      <c r="E209" s="8">
        <v>44964</v>
      </c>
      <c r="F209" s="4" t="s">
        <v>43</v>
      </c>
      <c r="G209" s="40" t="s">
        <v>60</v>
      </c>
      <c r="H209" s="4" t="s">
        <v>45</v>
      </c>
      <c r="I209" s="4" t="s">
        <v>114</v>
      </c>
      <c r="J209" s="10">
        <v>31.284889999999997</v>
      </c>
      <c r="K209" s="10">
        <f>8.248+9.6+9.103+3.212+2.501</f>
        <v>32.664000000000001</v>
      </c>
      <c r="L209" s="10">
        <f t="shared" si="6"/>
        <v>0</v>
      </c>
      <c r="M209" s="10">
        <f t="shared" si="8"/>
        <v>0</v>
      </c>
      <c r="N209" s="10"/>
      <c r="O209" s="10"/>
      <c r="P209" s="10"/>
      <c r="Q209" s="10"/>
      <c r="R209" s="10"/>
      <c r="S209" s="10"/>
      <c r="T209" s="10"/>
      <c r="U209" s="10"/>
      <c r="V209" s="4" t="s">
        <v>245</v>
      </c>
      <c r="W209" s="4"/>
      <c r="X209" s="8"/>
      <c r="Y209" s="4"/>
      <c r="Z209" s="4"/>
      <c r="AA209" s="8"/>
      <c r="AB209" s="8"/>
      <c r="AC209" s="4"/>
      <c r="AD209" s="4"/>
    </row>
    <row r="210" spans="1:30" hidden="1">
      <c r="A210" s="4">
        <v>1678</v>
      </c>
      <c r="B210" s="8">
        <v>44942</v>
      </c>
      <c r="C210" s="4"/>
      <c r="D210" s="4" t="s">
        <v>42</v>
      </c>
      <c r="E210" s="8">
        <v>44964</v>
      </c>
      <c r="F210" s="4" t="s">
        <v>43</v>
      </c>
      <c r="G210" s="40" t="s">
        <v>60</v>
      </c>
      <c r="H210" s="4" t="s">
        <v>45</v>
      </c>
      <c r="I210" s="4" t="s">
        <v>247</v>
      </c>
      <c r="J210" s="10">
        <v>1.6350499999999997</v>
      </c>
      <c r="K210" s="10">
        <v>1.706</v>
      </c>
      <c r="L210" s="10">
        <f t="shared" si="6"/>
        <v>0</v>
      </c>
      <c r="M210" s="10">
        <f t="shared" si="8"/>
        <v>0</v>
      </c>
      <c r="N210" s="10"/>
      <c r="O210" s="10"/>
      <c r="P210" s="10">
        <v>0</v>
      </c>
      <c r="Q210" s="10"/>
      <c r="R210" s="10"/>
      <c r="S210" s="10"/>
      <c r="T210" s="10"/>
      <c r="U210" s="10"/>
      <c r="V210" s="4" t="s">
        <v>245</v>
      </c>
      <c r="W210" s="4"/>
      <c r="X210" s="8"/>
      <c r="Y210" s="4"/>
      <c r="Z210" s="4"/>
      <c r="AA210" s="8">
        <v>44980</v>
      </c>
      <c r="AB210" s="8">
        <v>44980</v>
      </c>
      <c r="AC210" s="4"/>
      <c r="AD210" s="4"/>
    </row>
    <row r="211" spans="1:30" hidden="1">
      <c r="A211" s="4">
        <v>1678</v>
      </c>
      <c r="B211" s="8">
        <v>44942</v>
      </c>
      <c r="C211" s="4"/>
      <c r="D211" s="4" t="s">
        <v>42</v>
      </c>
      <c r="E211" s="8">
        <v>44964</v>
      </c>
      <c r="F211" s="4" t="s">
        <v>43</v>
      </c>
      <c r="G211" s="40" t="s">
        <v>60</v>
      </c>
      <c r="H211" s="4" t="s">
        <v>45</v>
      </c>
      <c r="I211" s="4" t="s">
        <v>115</v>
      </c>
      <c r="J211" s="10">
        <f>4.09752-2.92</f>
        <v>1.1775200000000003</v>
      </c>
      <c r="K211" s="10">
        <v>1.179</v>
      </c>
      <c r="L211" s="10">
        <f t="shared" si="6"/>
        <v>0</v>
      </c>
      <c r="M211" s="10">
        <f t="shared" si="8"/>
        <v>0</v>
      </c>
      <c r="N211" s="10"/>
      <c r="O211" s="10">
        <v>0</v>
      </c>
      <c r="P211" s="10"/>
      <c r="Q211" s="10"/>
      <c r="R211" s="10"/>
      <c r="S211" s="10"/>
      <c r="T211" s="10"/>
      <c r="U211" s="10"/>
      <c r="V211" s="4" t="s">
        <v>245</v>
      </c>
      <c r="W211" s="4" t="s">
        <v>491</v>
      </c>
      <c r="X211" s="8">
        <v>44987</v>
      </c>
      <c r="Y211" s="4"/>
      <c r="Z211" s="4"/>
      <c r="AA211" s="8">
        <v>44989</v>
      </c>
      <c r="AB211" s="8">
        <v>44989</v>
      </c>
      <c r="AC211" s="4"/>
      <c r="AD211" s="4"/>
    </row>
    <row r="212" spans="1:30" hidden="1">
      <c r="A212" s="4">
        <v>1678</v>
      </c>
      <c r="B212" s="8">
        <v>44942</v>
      </c>
      <c r="C212" s="4"/>
      <c r="D212" s="4" t="s">
        <v>42</v>
      </c>
      <c r="E212" s="8">
        <v>44964</v>
      </c>
      <c r="F212" s="4" t="s">
        <v>43</v>
      </c>
      <c r="G212" s="40" t="s">
        <v>60</v>
      </c>
      <c r="H212" s="4" t="s">
        <v>45</v>
      </c>
      <c r="I212" s="4" t="s">
        <v>116</v>
      </c>
      <c r="J212" s="10">
        <f>19.4498-0.885-6.69</f>
        <v>11.874799999999997</v>
      </c>
      <c r="K212" s="10">
        <f>9.221+2.686</f>
        <v>11.907</v>
      </c>
      <c r="L212" s="10">
        <f t="shared" si="6"/>
        <v>0</v>
      </c>
      <c r="M212" s="10">
        <f t="shared" si="8"/>
        <v>0</v>
      </c>
      <c r="N212" s="10"/>
      <c r="O212" s="10"/>
      <c r="P212" s="10">
        <v>0</v>
      </c>
      <c r="Q212" s="10"/>
      <c r="R212" s="10"/>
      <c r="S212" s="10"/>
      <c r="T212" s="10"/>
      <c r="U212" s="10"/>
      <c r="V212" s="4" t="s">
        <v>245</v>
      </c>
      <c r="W212" s="4" t="s">
        <v>491</v>
      </c>
      <c r="X212" s="8">
        <v>44985</v>
      </c>
      <c r="Y212" s="4"/>
      <c r="Z212" s="4"/>
      <c r="AA212" s="8">
        <v>44995</v>
      </c>
      <c r="AB212" s="8">
        <v>44998</v>
      </c>
      <c r="AC212" s="4"/>
      <c r="AD212" s="4"/>
    </row>
    <row r="213" spans="1:30" hidden="1">
      <c r="A213" s="4">
        <v>1678</v>
      </c>
      <c r="B213" s="8">
        <v>44942</v>
      </c>
      <c r="C213" s="4"/>
      <c r="D213" s="4" t="s">
        <v>42</v>
      </c>
      <c r="E213" s="8">
        <v>44964</v>
      </c>
      <c r="F213" s="4" t="s">
        <v>43</v>
      </c>
      <c r="G213" s="40" t="s">
        <v>60</v>
      </c>
      <c r="H213" s="4" t="s">
        <v>45</v>
      </c>
      <c r="I213" s="4" t="s">
        <v>117</v>
      </c>
      <c r="J213" s="10">
        <v>52.646900000000002</v>
      </c>
      <c r="K213" s="10">
        <f>10.921+25.181+8.259+8.635</f>
        <v>52.996000000000002</v>
      </c>
      <c r="L213" s="10">
        <f t="shared" si="6"/>
        <v>0</v>
      </c>
      <c r="M213" s="10">
        <f t="shared" si="8"/>
        <v>0</v>
      </c>
      <c r="N213" s="10"/>
      <c r="O213" s="10"/>
      <c r="P213" s="10"/>
      <c r="Q213" s="10"/>
      <c r="R213" s="10"/>
      <c r="S213" s="10"/>
      <c r="T213" s="10"/>
      <c r="U213" s="10"/>
      <c r="V213" s="4" t="s">
        <v>245</v>
      </c>
      <c r="W213" s="4"/>
      <c r="X213" s="8">
        <v>44975</v>
      </c>
      <c r="Y213" s="4"/>
      <c r="Z213" s="4"/>
      <c r="AA213" s="8">
        <v>44983</v>
      </c>
      <c r="AB213" s="8"/>
      <c r="AC213" s="4"/>
      <c r="AD213" s="4"/>
    </row>
    <row r="214" spans="1:30" hidden="1">
      <c r="A214" s="4">
        <v>1678</v>
      </c>
      <c r="B214" s="8">
        <v>44942</v>
      </c>
      <c r="C214" s="4"/>
      <c r="D214" s="4" t="s">
        <v>42</v>
      </c>
      <c r="E214" s="8">
        <v>44964</v>
      </c>
      <c r="F214" s="4" t="s">
        <v>43</v>
      </c>
      <c r="G214" s="40" t="s">
        <v>60</v>
      </c>
      <c r="H214" s="4" t="s">
        <v>45</v>
      </c>
      <c r="I214" s="4" t="s">
        <v>118</v>
      </c>
      <c r="J214" s="10">
        <v>6.1200000000000004E-2</v>
      </c>
      <c r="K214" s="10">
        <v>6.0999999999999999E-2</v>
      </c>
      <c r="L214" s="10">
        <f t="shared" si="6"/>
        <v>0</v>
      </c>
      <c r="M214" s="10">
        <f t="shared" si="8"/>
        <v>0</v>
      </c>
      <c r="N214" s="10"/>
      <c r="O214" s="10"/>
      <c r="P214" s="10">
        <v>0</v>
      </c>
      <c r="Q214" s="10"/>
      <c r="R214" s="10"/>
      <c r="S214" s="10"/>
      <c r="T214" s="10"/>
      <c r="U214" s="10"/>
      <c r="V214" s="4" t="s">
        <v>245</v>
      </c>
      <c r="W214" s="4" t="s">
        <v>323</v>
      </c>
      <c r="X214" s="8"/>
      <c r="Y214" s="4"/>
      <c r="Z214" s="4"/>
      <c r="AA214" s="8"/>
      <c r="AB214" s="8"/>
      <c r="AC214" s="4"/>
      <c r="AD214" s="4"/>
    </row>
    <row r="215" spans="1:30" hidden="1">
      <c r="A215" s="4">
        <v>1678</v>
      </c>
      <c r="B215" s="8">
        <v>44942</v>
      </c>
      <c r="C215" s="4"/>
      <c r="D215" s="4" t="s">
        <v>42</v>
      </c>
      <c r="E215" s="8">
        <v>44964</v>
      </c>
      <c r="F215" s="4" t="s">
        <v>43</v>
      </c>
      <c r="G215" s="40" t="s">
        <v>60</v>
      </c>
      <c r="H215" s="4" t="s">
        <v>45</v>
      </c>
      <c r="I215" s="4" t="s">
        <v>119</v>
      </c>
      <c r="J215" s="10">
        <f>36.41481-3.93-6.54</f>
        <v>25.944810000000004</v>
      </c>
      <c r="K215" s="10">
        <f>25.544+0.449</f>
        <v>25.993000000000002</v>
      </c>
      <c r="L215" s="10">
        <f t="shared" si="6"/>
        <v>0</v>
      </c>
      <c r="M215" s="10">
        <f t="shared" si="8"/>
        <v>0</v>
      </c>
      <c r="N215" s="10"/>
      <c r="O215" s="10"/>
      <c r="P215" s="10">
        <v>0</v>
      </c>
      <c r="Q215" s="10"/>
      <c r="R215" s="10"/>
      <c r="S215" s="10"/>
      <c r="T215" s="10"/>
      <c r="U215" s="10"/>
      <c r="V215" s="4" t="s">
        <v>245</v>
      </c>
      <c r="W215" s="4" t="s">
        <v>491</v>
      </c>
      <c r="X215" s="8">
        <v>44984</v>
      </c>
      <c r="Y215" s="4"/>
      <c r="Z215" s="4"/>
      <c r="AA215" s="8">
        <v>44994</v>
      </c>
      <c r="AB215" s="8">
        <v>44998</v>
      </c>
      <c r="AC215" s="4"/>
      <c r="AD215" s="4"/>
    </row>
    <row r="216" spans="1:30" hidden="1">
      <c r="A216" s="4">
        <v>1678</v>
      </c>
      <c r="B216" s="8">
        <v>44942</v>
      </c>
      <c r="C216" s="4"/>
      <c r="D216" s="4" t="s">
        <v>42</v>
      </c>
      <c r="E216" s="8">
        <v>44964</v>
      </c>
      <c r="F216" s="4" t="s">
        <v>43</v>
      </c>
      <c r="G216" s="40" t="s">
        <v>60</v>
      </c>
      <c r="H216" s="4" t="s">
        <v>45</v>
      </c>
      <c r="I216" s="4" t="s">
        <v>121</v>
      </c>
      <c r="J216" s="10">
        <v>78.55386</v>
      </c>
      <c r="K216" s="10">
        <f>32.05+23.996+20.815+1.87</f>
        <v>78.730999999999995</v>
      </c>
      <c r="L216" s="10">
        <f t="shared" si="6"/>
        <v>0</v>
      </c>
      <c r="M216" s="10">
        <f t="shared" si="8"/>
        <v>0</v>
      </c>
      <c r="N216" s="10"/>
      <c r="O216" s="10"/>
      <c r="P216" s="10"/>
      <c r="Q216" s="10"/>
      <c r="R216" s="10"/>
      <c r="S216" s="10"/>
      <c r="T216" s="10"/>
      <c r="U216" s="10"/>
      <c r="V216" s="4" t="s">
        <v>245</v>
      </c>
      <c r="W216" s="4"/>
      <c r="X216" s="8"/>
      <c r="Y216" s="4"/>
      <c r="Z216" s="4"/>
      <c r="AA216" s="8"/>
      <c r="AB216" s="8"/>
      <c r="AC216" s="4"/>
      <c r="AD216" s="4"/>
    </row>
    <row r="217" spans="1:30" hidden="1">
      <c r="A217" s="4">
        <v>1678</v>
      </c>
      <c r="B217" s="8">
        <v>44942</v>
      </c>
      <c r="C217" s="4"/>
      <c r="D217" s="4" t="s">
        <v>42</v>
      </c>
      <c r="E217" s="8">
        <v>44964</v>
      </c>
      <c r="F217" s="4" t="s">
        <v>43</v>
      </c>
      <c r="G217" s="40" t="s">
        <v>60</v>
      </c>
      <c r="H217" s="4" t="s">
        <v>45</v>
      </c>
      <c r="I217" s="4" t="s">
        <v>122</v>
      </c>
      <c r="J217" s="10">
        <v>0.47249999999999998</v>
      </c>
      <c r="K217" s="10">
        <v>0.56999999999999995</v>
      </c>
      <c r="L217" s="10">
        <f t="shared" si="6"/>
        <v>0</v>
      </c>
      <c r="M217" s="10">
        <f t="shared" si="8"/>
        <v>0</v>
      </c>
      <c r="N217" s="10"/>
      <c r="O217" s="10"/>
      <c r="P217" s="10">
        <v>0</v>
      </c>
      <c r="Q217" s="10"/>
      <c r="R217" s="10"/>
      <c r="S217" s="10"/>
      <c r="T217" s="10"/>
      <c r="U217" s="10"/>
      <c r="V217" s="4" t="s">
        <v>245</v>
      </c>
      <c r="W217" s="4" t="s">
        <v>323</v>
      </c>
      <c r="X217" s="8"/>
      <c r="Y217" s="4"/>
      <c r="Z217" s="4"/>
      <c r="AA217" s="8"/>
      <c r="AB217" s="8"/>
      <c r="AC217" s="4"/>
      <c r="AD217" s="4"/>
    </row>
    <row r="218" spans="1:30" hidden="1">
      <c r="A218" s="4">
        <v>1679</v>
      </c>
      <c r="B218" s="8">
        <v>44942</v>
      </c>
      <c r="C218" s="4"/>
      <c r="D218" s="4" t="s">
        <v>42</v>
      </c>
      <c r="E218" s="8">
        <v>44985</v>
      </c>
      <c r="F218" s="4" t="s">
        <v>43</v>
      </c>
      <c r="G218" s="40" t="s">
        <v>60</v>
      </c>
      <c r="H218" s="4" t="s">
        <v>45</v>
      </c>
      <c r="I218" s="4" t="s">
        <v>98</v>
      </c>
      <c r="J218" s="10">
        <f>40.876418-16.064+12.06</f>
        <v>36.872418000000003</v>
      </c>
      <c r="K218" s="10">
        <f>32.199+5.186</f>
        <v>37.384999999999998</v>
      </c>
      <c r="L218" s="10">
        <f t="shared" si="6"/>
        <v>0</v>
      </c>
      <c r="M218" s="10">
        <f t="shared" si="8"/>
        <v>0</v>
      </c>
      <c r="N218" s="10"/>
      <c r="O218" s="10"/>
      <c r="P218" s="10">
        <v>0</v>
      </c>
      <c r="Q218" s="10"/>
      <c r="R218" s="10"/>
      <c r="S218" s="10"/>
      <c r="T218" s="10"/>
      <c r="U218" s="10"/>
      <c r="V218" s="4" t="s">
        <v>245</v>
      </c>
      <c r="W218" s="4" t="s">
        <v>37</v>
      </c>
      <c r="X218" s="8"/>
      <c r="Y218" s="4"/>
      <c r="Z218" s="4"/>
      <c r="AA218" s="8">
        <v>44984</v>
      </c>
      <c r="AB218" s="8">
        <v>44985</v>
      </c>
      <c r="AC218" s="4"/>
      <c r="AD218" s="4"/>
    </row>
    <row r="219" spans="1:30" hidden="1">
      <c r="A219" s="4">
        <v>1679</v>
      </c>
      <c r="B219" s="8">
        <v>44942</v>
      </c>
      <c r="C219" s="4"/>
      <c r="D219" s="4" t="s">
        <v>42</v>
      </c>
      <c r="E219" s="8">
        <v>44985</v>
      </c>
      <c r="F219" s="4" t="s">
        <v>43</v>
      </c>
      <c r="G219" s="40" t="s">
        <v>60</v>
      </c>
      <c r="H219" s="4" t="s">
        <v>45</v>
      </c>
      <c r="I219" s="4" t="s">
        <v>99</v>
      </c>
      <c r="J219" s="10">
        <v>8.3610799999999994</v>
      </c>
      <c r="K219" s="10">
        <f>7.917+0.542</f>
        <v>8.4589999999999996</v>
      </c>
      <c r="L219" s="10">
        <f t="shared" si="6"/>
        <v>0</v>
      </c>
      <c r="M219" s="10">
        <f t="shared" si="8"/>
        <v>0</v>
      </c>
      <c r="N219" s="10"/>
      <c r="O219" s="10"/>
      <c r="P219" s="10">
        <v>0</v>
      </c>
      <c r="Q219" s="10"/>
      <c r="R219" s="10"/>
      <c r="S219" s="10"/>
      <c r="T219" s="10"/>
      <c r="U219" s="10"/>
      <c r="V219" s="4" t="s">
        <v>245</v>
      </c>
      <c r="W219" s="4"/>
      <c r="X219" s="8"/>
      <c r="Y219" s="4"/>
      <c r="Z219" s="4"/>
      <c r="AA219" s="8"/>
      <c r="AB219" s="8">
        <v>44990</v>
      </c>
      <c r="AC219" s="4"/>
      <c r="AD219" s="4"/>
    </row>
    <row r="220" spans="1:30" hidden="1">
      <c r="A220" s="4">
        <v>1679</v>
      </c>
      <c r="B220" s="8">
        <v>44942</v>
      </c>
      <c r="C220" s="4"/>
      <c r="D220" s="4" t="s">
        <v>42</v>
      </c>
      <c r="E220" s="8">
        <v>44985</v>
      </c>
      <c r="F220" s="4" t="s">
        <v>43</v>
      </c>
      <c r="G220" s="40" t="s">
        <v>60</v>
      </c>
      <c r="H220" s="4" t="s">
        <v>45</v>
      </c>
      <c r="I220" s="4" t="s">
        <v>235</v>
      </c>
      <c r="J220" s="10">
        <v>29.571552580998784</v>
      </c>
      <c r="K220" s="10">
        <f>12.097+5.888+2.026+3.213+6.468</f>
        <v>29.692</v>
      </c>
      <c r="L220" s="10">
        <f t="shared" si="6"/>
        <v>0</v>
      </c>
      <c r="M220" s="10">
        <f t="shared" si="8"/>
        <v>0</v>
      </c>
      <c r="N220" s="10"/>
      <c r="O220" s="10"/>
      <c r="P220" s="10"/>
      <c r="Q220" s="10"/>
      <c r="R220" s="10"/>
      <c r="S220" s="10"/>
      <c r="T220" s="10"/>
      <c r="U220" s="10"/>
      <c r="V220" s="4" t="s">
        <v>245</v>
      </c>
      <c r="W220" s="4"/>
      <c r="X220" s="8"/>
      <c r="Y220" s="4"/>
      <c r="Z220" s="4"/>
      <c r="AA220" s="8"/>
      <c r="AB220" s="8">
        <v>44985</v>
      </c>
      <c r="AC220" s="4"/>
      <c r="AD220" s="4"/>
    </row>
    <row r="221" spans="1:30" hidden="1">
      <c r="A221" s="4">
        <v>1679</v>
      </c>
      <c r="B221" s="8">
        <v>44942</v>
      </c>
      <c r="C221" s="4"/>
      <c r="D221" s="4" t="s">
        <v>42</v>
      </c>
      <c r="E221" s="8">
        <v>44985</v>
      </c>
      <c r="F221" s="4" t="s">
        <v>43</v>
      </c>
      <c r="G221" s="40" t="s">
        <v>60</v>
      </c>
      <c r="H221" s="4" t="s">
        <v>45</v>
      </c>
      <c r="I221" s="4" t="s">
        <v>100</v>
      </c>
      <c r="J221" s="10">
        <v>53.596420000000002</v>
      </c>
      <c r="K221" s="10">
        <f>14.326+10.933+3.231+15.858+1.913+2.88+4.593</f>
        <v>53.733999999999995</v>
      </c>
      <c r="L221" s="10">
        <f t="shared" si="6"/>
        <v>0</v>
      </c>
      <c r="M221" s="10">
        <f t="shared" si="8"/>
        <v>0</v>
      </c>
      <c r="N221" s="10"/>
      <c r="O221" s="10"/>
      <c r="P221" s="10">
        <v>0</v>
      </c>
      <c r="Q221" s="10"/>
      <c r="R221" s="10"/>
      <c r="S221" s="10"/>
      <c r="T221" s="10"/>
      <c r="U221" s="10"/>
      <c r="V221" s="4" t="s">
        <v>245</v>
      </c>
      <c r="W221" s="4"/>
      <c r="X221" s="8"/>
      <c r="Y221" s="4"/>
      <c r="Z221" s="4"/>
      <c r="AA221" s="8"/>
      <c r="AB221" s="8">
        <v>44989</v>
      </c>
      <c r="AC221" s="4"/>
      <c r="AD221" s="4"/>
    </row>
    <row r="222" spans="1:30" hidden="1">
      <c r="A222" s="4">
        <v>1679</v>
      </c>
      <c r="B222" s="8">
        <v>44942</v>
      </c>
      <c r="C222" s="4"/>
      <c r="D222" s="4" t="s">
        <v>42</v>
      </c>
      <c r="E222" s="8">
        <v>44985</v>
      </c>
      <c r="F222" s="4" t="s">
        <v>43</v>
      </c>
      <c r="G222" s="40" t="s">
        <v>60</v>
      </c>
      <c r="H222" s="4" t="s">
        <v>45</v>
      </c>
      <c r="I222" s="4" t="s">
        <v>101</v>
      </c>
      <c r="J222" s="10">
        <f>1.6714-0.159</f>
        <v>1.5124</v>
      </c>
      <c r="K222" s="10">
        <v>1.5129999999999999</v>
      </c>
      <c r="L222" s="10">
        <f t="shared" si="6"/>
        <v>0</v>
      </c>
      <c r="M222" s="10">
        <f>SUM(N222:T222)</f>
        <v>0</v>
      </c>
      <c r="N222" s="10"/>
      <c r="O222" s="10"/>
      <c r="P222" s="10">
        <v>0</v>
      </c>
      <c r="Q222" s="10"/>
      <c r="R222" s="10"/>
      <c r="S222" s="10"/>
      <c r="T222" s="10"/>
      <c r="U222" s="10"/>
      <c r="V222" s="4" t="s">
        <v>245</v>
      </c>
      <c r="W222" s="4"/>
      <c r="X222" s="8">
        <v>44977</v>
      </c>
      <c r="Y222" s="4"/>
      <c r="Z222" s="4"/>
      <c r="AA222" s="8">
        <v>44988</v>
      </c>
      <c r="AB222" s="8">
        <v>44988</v>
      </c>
      <c r="AC222" s="4"/>
      <c r="AD222" s="4"/>
    </row>
    <row r="223" spans="1:30" hidden="1">
      <c r="A223" s="4">
        <v>1679</v>
      </c>
      <c r="B223" s="8">
        <v>44942</v>
      </c>
      <c r="C223" s="4"/>
      <c r="D223" s="4" t="s">
        <v>42</v>
      </c>
      <c r="E223" s="8">
        <v>44985</v>
      </c>
      <c r="F223" s="4" t="s">
        <v>43</v>
      </c>
      <c r="G223" s="40" t="s">
        <v>60</v>
      </c>
      <c r="H223" s="4" t="s">
        <v>45</v>
      </c>
      <c r="I223" s="4" t="s">
        <v>102</v>
      </c>
      <c r="J223" s="10">
        <v>22.809400000000004</v>
      </c>
      <c r="K223" s="10">
        <f>3.873+7.349+3.604+8.324</f>
        <v>23.15</v>
      </c>
      <c r="L223" s="10">
        <f t="shared" si="6"/>
        <v>0</v>
      </c>
      <c r="M223" s="10">
        <f>SUM(N223:T223)</f>
        <v>0</v>
      </c>
      <c r="N223" s="10"/>
      <c r="O223" s="10"/>
      <c r="P223" s="10">
        <v>0</v>
      </c>
      <c r="Q223" s="10"/>
      <c r="R223" s="10"/>
      <c r="S223" s="10"/>
      <c r="T223" s="10"/>
      <c r="U223" s="10"/>
      <c r="V223" s="4" t="s">
        <v>245</v>
      </c>
      <c r="W223" s="4"/>
      <c r="X223" s="8"/>
      <c r="Y223" s="4"/>
      <c r="Z223" s="4"/>
      <c r="AA223" s="8"/>
      <c r="AB223" s="8">
        <v>44981</v>
      </c>
      <c r="AC223" s="4"/>
      <c r="AD223" s="4"/>
    </row>
    <row r="224" spans="1:30" hidden="1">
      <c r="A224" s="4">
        <v>1679</v>
      </c>
      <c r="B224" s="8">
        <v>44942</v>
      </c>
      <c r="C224" s="4"/>
      <c r="D224" s="4" t="s">
        <v>42</v>
      </c>
      <c r="E224" s="8">
        <v>44985</v>
      </c>
      <c r="F224" s="4" t="s">
        <v>43</v>
      </c>
      <c r="G224" s="40" t="s">
        <v>60</v>
      </c>
      <c r="H224" s="4" t="s">
        <v>45</v>
      </c>
      <c r="I224" s="4" t="s">
        <v>103</v>
      </c>
      <c r="J224" s="10">
        <v>33.879330000000003</v>
      </c>
      <c r="K224" s="10">
        <f>29.135+4.747</f>
        <v>33.882000000000005</v>
      </c>
      <c r="L224" s="10">
        <f t="shared" ref="L224:L287" si="9">M224+U224</f>
        <v>0</v>
      </c>
      <c r="M224" s="10">
        <f t="shared" si="8"/>
        <v>0</v>
      </c>
      <c r="N224" s="10"/>
      <c r="O224" s="10"/>
      <c r="P224" s="10"/>
      <c r="Q224" s="10"/>
      <c r="R224" s="10"/>
      <c r="S224" s="10"/>
      <c r="T224" s="10"/>
      <c r="U224" s="10"/>
      <c r="V224" s="4" t="s">
        <v>245</v>
      </c>
      <c r="W224" s="4"/>
      <c r="X224" s="8"/>
      <c r="Y224" s="4"/>
      <c r="Z224" s="4"/>
      <c r="AA224" s="8" t="s">
        <v>766</v>
      </c>
      <c r="AB224" s="8" t="s">
        <v>766</v>
      </c>
      <c r="AC224" s="4"/>
      <c r="AD224" s="4"/>
    </row>
    <row r="225" spans="1:30" hidden="1">
      <c r="A225" s="4">
        <v>1679</v>
      </c>
      <c r="B225" s="8">
        <v>44942</v>
      </c>
      <c r="C225" s="4"/>
      <c r="D225" s="4" t="s">
        <v>42</v>
      </c>
      <c r="E225" s="8">
        <v>44985</v>
      </c>
      <c r="F225" s="4" t="s">
        <v>43</v>
      </c>
      <c r="G225" s="40" t="s">
        <v>60</v>
      </c>
      <c r="H225" s="4" t="s">
        <v>45</v>
      </c>
      <c r="I225" s="4" t="s">
        <v>104</v>
      </c>
      <c r="J225" s="10">
        <v>16.898700000000002</v>
      </c>
      <c r="K225" s="10">
        <f>13.088+4.191</f>
        <v>17.279</v>
      </c>
      <c r="L225" s="10">
        <f t="shared" si="9"/>
        <v>0</v>
      </c>
      <c r="M225" s="10">
        <f>SUM(N225:T225)</f>
        <v>0</v>
      </c>
      <c r="N225" s="10"/>
      <c r="O225" s="10">
        <v>0</v>
      </c>
      <c r="P225" s="10"/>
      <c r="Q225" s="10"/>
      <c r="R225" s="10"/>
      <c r="S225" s="10"/>
      <c r="T225" s="10"/>
      <c r="U225" s="10"/>
      <c r="V225" s="4" t="s">
        <v>245</v>
      </c>
      <c r="W225" s="4" t="s">
        <v>491</v>
      </c>
      <c r="X225" s="8">
        <v>44987</v>
      </c>
      <c r="Y225" s="4"/>
      <c r="Z225" s="4"/>
      <c r="AA225" s="8">
        <v>44989</v>
      </c>
      <c r="AB225" s="8">
        <v>44990</v>
      </c>
      <c r="AC225" s="4"/>
      <c r="AD225" s="4"/>
    </row>
    <row r="226" spans="1:30" hidden="1">
      <c r="A226" s="4">
        <v>1679</v>
      </c>
      <c r="B226" s="8">
        <v>44942</v>
      </c>
      <c r="C226" s="4"/>
      <c r="D226" s="4" t="s">
        <v>42</v>
      </c>
      <c r="E226" s="8">
        <v>44985</v>
      </c>
      <c r="F226" s="4" t="s">
        <v>43</v>
      </c>
      <c r="G226" s="40" t="s">
        <v>60</v>
      </c>
      <c r="H226" s="4" t="s">
        <v>45</v>
      </c>
      <c r="I226" s="4" t="s">
        <v>105</v>
      </c>
      <c r="J226" s="10">
        <v>7.3712</v>
      </c>
      <c r="K226" s="10">
        <f>7.622</f>
        <v>7.6219999999999999</v>
      </c>
      <c r="L226" s="10">
        <f t="shared" si="9"/>
        <v>0</v>
      </c>
      <c r="M226" s="10">
        <f t="shared" si="8"/>
        <v>0</v>
      </c>
      <c r="N226" s="10"/>
      <c r="O226" s="10"/>
      <c r="P226" s="10"/>
      <c r="Q226" s="10"/>
      <c r="R226" s="10"/>
      <c r="S226" s="10"/>
      <c r="T226" s="10"/>
      <c r="U226" s="10"/>
      <c r="V226" s="4" t="s">
        <v>245</v>
      </c>
      <c r="W226" s="4"/>
      <c r="X226" s="8"/>
      <c r="Y226" s="4"/>
      <c r="Z226" s="4"/>
      <c r="AA226" s="8"/>
      <c r="AB226" s="8"/>
      <c r="AC226" s="4"/>
      <c r="AD226" s="4"/>
    </row>
    <row r="227" spans="1:30" hidden="1">
      <c r="A227" s="4">
        <v>1679</v>
      </c>
      <c r="B227" s="8">
        <v>44942</v>
      </c>
      <c r="C227" s="4"/>
      <c r="D227" s="4" t="s">
        <v>42</v>
      </c>
      <c r="E227" s="8">
        <v>44985</v>
      </c>
      <c r="F227" s="4" t="s">
        <v>43</v>
      </c>
      <c r="G227" s="40" t="s">
        <v>60</v>
      </c>
      <c r="H227" s="4" t="s">
        <v>45</v>
      </c>
      <c r="I227" s="4" t="s">
        <v>96</v>
      </c>
      <c r="J227" s="10">
        <v>27.472106999999998</v>
      </c>
      <c r="K227" s="10">
        <f>23.357+3.384+0.774</f>
        <v>27.515000000000001</v>
      </c>
      <c r="L227" s="10">
        <f t="shared" si="9"/>
        <v>0</v>
      </c>
      <c r="M227" s="10">
        <f t="shared" ref="M227:M238" si="10">SUM(N227:T227)</f>
        <v>0</v>
      </c>
      <c r="N227" s="10"/>
      <c r="O227" s="10"/>
      <c r="P227" s="10">
        <v>0</v>
      </c>
      <c r="Q227" s="10"/>
      <c r="R227" s="10"/>
      <c r="S227" s="10"/>
      <c r="T227" s="10"/>
      <c r="U227" s="10"/>
      <c r="V227" s="4" t="s">
        <v>245</v>
      </c>
      <c r="W227" s="4"/>
      <c r="X227" s="8"/>
      <c r="Y227" s="4"/>
      <c r="Z227" s="4"/>
      <c r="AA227" s="8"/>
      <c r="AB227" s="8">
        <v>44989</v>
      </c>
      <c r="AC227" s="4"/>
      <c r="AD227" s="4"/>
    </row>
    <row r="228" spans="1:30" hidden="1">
      <c r="A228" s="4">
        <v>1679</v>
      </c>
      <c r="B228" s="8">
        <v>44942</v>
      </c>
      <c r="C228" s="4"/>
      <c r="D228" s="4" t="s">
        <v>42</v>
      </c>
      <c r="E228" s="8">
        <v>44985</v>
      </c>
      <c r="F228" s="4" t="s">
        <v>43</v>
      </c>
      <c r="G228" s="40" t="s">
        <v>60</v>
      </c>
      <c r="H228" s="4" t="s">
        <v>45</v>
      </c>
      <c r="I228" s="4" t="s">
        <v>248</v>
      </c>
      <c r="J228" s="10">
        <v>6.9443000000000001</v>
      </c>
      <c r="K228" s="10">
        <v>6.94</v>
      </c>
      <c r="L228" s="10">
        <f t="shared" si="9"/>
        <v>0</v>
      </c>
      <c r="M228" s="10">
        <f t="shared" si="10"/>
        <v>0</v>
      </c>
      <c r="N228" s="10"/>
      <c r="O228" s="10">
        <v>0</v>
      </c>
      <c r="P228" s="10"/>
      <c r="Q228" s="10"/>
      <c r="R228" s="10"/>
      <c r="S228" s="10"/>
      <c r="T228" s="10"/>
      <c r="U228" s="10"/>
      <c r="V228" s="4" t="s">
        <v>245</v>
      </c>
      <c r="W228" s="4" t="s">
        <v>491</v>
      </c>
      <c r="X228" s="8">
        <v>44985</v>
      </c>
      <c r="Y228" s="4"/>
      <c r="Z228" s="4"/>
      <c r="AA228" s="8">
        <v>44990</v>
      </c>
      <c r="AB228" s="8">
        <v>44990</v>
      </c>
      <c r="AC228" s="4"/>
      <c r="AD228" s="4"/>
    </row>
    <row r="229" spans="1:30" hidden="1">
      <c r="A229" s="4">
        <v>1679</v>
      </c>
      <c r="B229" s="8">
        <v>44942</v>
      </c>
      <c r="C229" s="4"/>
      <c r="D229" s="4" t="s">
        <v>42</v>
      </c>
      <c r="E229" s="8">
        <v>44985</v>
      </c>
      <c r="F229" s="4" t="s">
        <v>43</v>
      </c>
      <c r="G229" s="40" t="s">
        <v>60</v>
      </c>
      <c r="H229" s="4" t="s">
        <v>45</v>
      </c>
      <c r="I229" s="4" t="s">
        <v>107</v>
      </c>
      <c r="J229" s="10">
        <f>18.97532-3.461</f>
        <v>15.51432</v>
      </c>
      <c r="K229" s="10">
        <f>6.571+6.746+2.163</f>
        <v>15.48</v>
      </c>
      <c r="L229" s="10">
        <f t="shared" si="9"/>
        <v>0</v>
      </c>
      <c r="M229" s="10">
        <f t="shared" si="10"/>
        <v>0</v>
      </c>
      <c r="N229" s="10"/>
      <c r="O229" s="10"/>
      <c r="P229" s="10">
        <v>0</v>
      </c>
      <c r="Q229" s="10"/>
      <c r="R229" s="10"/>
      <c r="S229" s="10"/>
      <c r="T229" s="10"/>
      <c r="U229" s="10"/>
      <c r="V229" s="4" t="s">
        <v>245</v>
      </c>
      <c r="W229" s="4" t="s">
        <v>491</v>
      </c>
      <c r="X229" s="8">
        <v>44985</v>
      </c>
      <c r="Y229" s="4"/>
      <c r="Z229" s="4"/>
      <c r="AA229" s="8">
        <v>44994</v>
      </c>
      <c r="AB229" s="8">
        <v>44998</v>
      </c>
      <c r="AC229" s="4"/>
      <c r="AD229" s="4"/>
    </row>
    <row r="230" spans="1:30" hidden="1">
      <c r="A230" s="4">
        <v>1679</v>
      </c>
      <c r="B230" s="8">
        <v>44942</v>
      </c>
      <c r="C230" s="4"/>
      <c r="D230" s="4" t="s">
        <v>42</v>
      </c>
      <c r="E230" s="8">
        <v>44985</v>
      </c>
      <c r="F230" s="4" t="s">
        <v>43</v>
      </c>
      <c r="G230" s="40" t="s">
        <v>60</v>
      </c>
      <c r="H230" s="4" t="s">
        <v>45</v>
      </c>
      <c r="I230" s="4" t="s">
        <v>246</v>
      </c>
      <c r="J230" s="10">
        <f>7.632</f>
        <v>7.6319999999999997</v>
      </c>
      <c r="K230" s="10">
        <f>7.632</f>
        <v>7.6319999999999997</v>
      </c>
      <c r="L230" s="10">
        <f t="shared" si="9"/>
        <v>0</v>
      </c>
      <c r="M230" s="10">
        <f t="shared" si="10"/>
        <v>0</v>
      </c>
      <c r="N230" s="10"/>
      <c r="O230" s="10"/>
      <c r="P230" s="10"/>
      <c r="Q230" s="10"/>
      <c r="R230" s="10"/>
      <c r="S230" s="10"/>
      <c r="T230" s="10"/>
      <c r="U230" s="10"/>
      <c r="V230" s="4" t="s">
        <v>245</v>
      </c>
      <c r="W230" s="4" t="s">
        <v>491</v>
      </c>
      <c r="X230" s="8"/>
      <c r="Y230" s="4"/>
      <c r="Z230" s="4"/>
      <c r="AA230" s="8"/>
      <c r="AB230" s="8">
        <v>44996</v>
      </c>
      <c r="AC230" s="4"/>
      <c r="AD230" s="4"/>
    </row>
    <row r="231" spans="1:30" hidden="1">
      <c r="A231" s="4">
        <v>1679</v>
      </c>
      <c r="B231" s="8">
        <v>44942</v>
      </c>
      <c r="C231" s="4"/>
      <c r="D231" s="4" t="s">
        <v>42</v>
      </c>
      <c r="E231" s="8">
        <v>44985</v>
      </c>
      <c r="F231" s="4" t="s">
        <v>43</v>
      </c>
      <c r="G231" s="40" t="s">
        <v>60</v>
      </c>
      <c r="H231" s="4" t="s">
        <v>45</v>
      </c>
      <c r="I231" s="4" t="s">
        <v>108</v>
      </c>
      <c r="J231" s="10">
        <f>32.08823-3.557</f>
        <v>28.531230000000004</v>
      </c>
      <c r="K231" s="10">
        <f>3.428+11.722+3.853+5.18+4.681</f>
        <v>28.864000000000001</v>
      </c>
      <c r="L231" s="10">
        <f t="shared" si="9"/>
        <v>0</v>
      </c>
      <c r="M231" s="10">
        <f t="shared" si="10"/>
        <v>0</v>
      </c>
      <c r="N231" s="10"/>
      <c r="O231" s="10"/>
      <c r="P231" s="10">
        <v>0</v>
      </c>
      <c r="Q231" s="10"/>
      <c r="R231" s="10"/>
      <c r="S231" s="10"/>
      <c r="T231" s="10"/>
      <c r="U231" s="10"/>
      <c r="V231" s="4" t="s">
        <v>245</v>
      </c>
      <c r="W231" s="4"/>
      <c r="X231" s="8">
        <v>44978</v>
      </c>
      <c r="Y231" s="4"/>
      <c r="Z231" s="4"/>
      <c r="AA231" s="8">
        <v>44982</v>
      </c>
      <c r="AB231" s="8">
        <v>44989</v>
      </c>
      <c r="AC231" s="4"/>
      <c r="AD231" s="4"/>
    </row>
    <row r="232" spans="1:30" hidden="1">
      <c r="A232" s="4">
        <v>1679</v>
      </c>
      <c r="B232" s="8">
        <v>44942</v>
      </c>
      <c r="C232" s="4"/>
      <c r="D232" s="4" t="s">
        <v>42</v>
      </c>
      <c r="E232" s="8">
        <v>44985</v>
      </c>
      <c r="F232" s="4" t="s">
        <v>43</v>
      </c>
      <c r="G232" s="40" t="s">
        <v>60</v>
      </c>
      <c r="H232" s="4" t="s">
        <v>45</v>
      </c>
      <c r="I232" s="4" t="s">
        <v>89</v>
      </c>
      <c r="J232" s="10">
        <f>8.013-7.632</f>
        <v>0.38100000000000023</v>
      </c>
      <c r="K232" s="10">
        <v>0.498</v>
      </c>
      <c r="L232" s="10">
        <f t="shared" si="9"/>
        <v>0</v>
      </c>
      <c r="M232" s="10">
        <f t="shared" ref="M232" si="11">SUM(N232:T232)</f>
        <v>0</v>
      </c>
      <c r="N232" s="10"/>
      <c r="O232" s="10"/>
      <c r="P232" s="10">
        <v>0</v>
      </c>
      <c r="Q232" s="10"/>
      <c r="R232" s="10"/>
      <c r="S232" s="10"/>
      <c r="T232" s="10"/>
      <c r="U232" s="10"/>
      <c r="V232" s="4" t="s">
        <v>245</v>
      </c>
      <c r="W232" s="4" t="s">
        <v>527</v>
      </c>
      <c r="X232" s="8"/>
      <c r="Y232" s="4"/>
      <c r="Z232" s="4"/>
      <c r="AA232" s="8"/>
      <c r="AB232" s="8">
        <v>44996</v>
      </c>
      <c r="AC232" s="4"/>
      <c r="AD232" s="4"/>
    </row>
    <row r="233" spans="1:30" hidden="1">
      <c r="A233" s="4">
        <v>1679</v>
      </c>
      <c r="B233" s="8">
        <v>44942</v>
      </c>
      <c r="C233" s="4"/>
      <c r="D233" s="4" t="s">
        <v>42</v>
      </c>
      <c r="E233" s="8">
        <v>44985</v>
      </c>
      <c r="F233" s="4" t="s">
        <v>43</v>
      </c>
      <c r="G233" s="40" t="s">
        <v>60</v>
      </c>
      <c r="H233" s="4" t="s">
        <v>45</v>
      </c>
      <c r="I233" s="4" t="s">
        <v>109</v>
      </c>
      <c r="J233" s="10">
        <f>48.80246-7.094</f>
        <v>41.708460000000002</v>
      </c>
      <c r="K233" s="10">
        <f>32.134+10.232+1.935</f>
        <v>44.301000000000002</v>
      </c>
      <c r="L233" s="10">
        <f t="shared" si="9"/>
        <v>0</v>
      </c>
      <c r="M233" s="10">
        <f t="shared" si="10"/>
        <v>0</v>
      </c>
      <c r="N233" s="10"/>
      <c r="O233" s="10"/>
      <c r="P233" s="10">
        <v>0</v>
      </c>
      <c r="Q233" s="10"/>
      <c r="R233" s="10"/>
      <c r="S233" s="10"/>
      <c r="T233" s="10"/>
      <c r="U233" s="10"/>
      <c r="V233" s="4" t="s">
        <v>245</v>
      </c>
      <c r="W233" s="4" t="s">
        <v>491</v>
      </c>
      <c r="X233" s="8">
        <v>44984</v>
      </c>
      <c r="Y233" s="4"/>
      <c r="Z233" s="4"/>
      <c r="AA233" s="8">
        <v>44994</v>
      </c>
      <c r="AB233" s="8">
        <v>44998</v>
      </c>
      <c r="AC233" s="4"/>
      <c r="AD233" s="4"/>
    </row>
    <row r="234" spans="1:30" hidden="1">
      <c r="A234" s="4">
        <v>1679</v>
      </c>
      <c r="B234" s="8">
        <v>44942</v>
      </c>
      <c r="C234" s="4"/>
      <c r="D234" s="4" t="s">
        <v>42</v>
      </c>
      <c r="E234" s="8">
        <v>44985</v>
      </c>
      <c r="F234" s="4" t="s">
        <v>43</v>
      </c>
      <c r="G234" s="40" t="s">
        <v>60</v>
      </c>
      <c r="H234" s="4" t="s">
        <v>45</v>
      </c>
      <c r="I234" s="4" t="s">
        <v>110</v>
      </c>
      <c r="J234" s="10">
        <f>54.00152-5.889</f>
        <v>48.112519999999996</v>
      </c>
      <c r="K234" s="10">
        <f>9.216+13.627+19.488+2.988+2.077+0.804</f>
        <v>48.2</v>
      </c>
      <c r="L234" s="10">
        <f t="shared" si="9"/>
        <v>0</v>
      </c>
      <c r="M234" s="10">
        <f t="shared" si="10"/>
        <v>0</v>
      </c>
      <c r="N234" s="10"/>
      <c r="O234" s="10"/>
      <c r="P234" s="10">
        <v>0</v>
      </c>
      <c r="Q234" s="10"/>
      <c r="R234" s="10"/>
      <c r="S234" s="10"/>
      <c r="T234" s="10"/>
      <c r="U234" s="10"/>
      <c r="V234" s="4" t="s">
        <v>245</v>
      </c>
      <c r="W234" s="4"/>
      <c r="X234" s="8">
        <v>44976</v>
      </c>
      <c r="Y234" s="4"/>
      <c r="Z234" s="4"/>
      <c r="AA234" s="8">
        <v>44981</v>
      </c>
      <c r="AB234" s="8">
        <v>44988</v>
      </c>
      <c r="AC234" s="4"/>
      <c r="AD234" s="4"/>
    </row>
    <row r="235" spans="1:30" hidden="1">
      <c r="A235" s="4">
        <v>1679</v>
      </c>
      <c r="B235" s="8">
        <v>44942</v>
      </c>
      <c r="C235" s="4"/>
      <c r="D235" s="4" t="s">
        <v>42</v>
      </c>
      <c r="E235" s="8">
        <v>44985</v>
      </c>
      <c r="F235" s="4" t="s">
        <v>43</v>
      </c>
      <c r="G235" s="40" t="s">
        <v>60</v>
      </c>
      <c r="H235" s="4" t="s">
        <v>45</v>
      </c>
      <c r="I235" s="4" t="s">
        <v>111</v>
      </c>
      <c r="J235" s="10">
        <f>33.8484-1.26</f>
        <v>32.5884</v>
      </c>
      <c r="K235" s="10">
        <f>5.56+10.352+6.846+1.963+5.64+1.201+1.608</f>
        <v>33.17</v>
      </c>
      <c r="L235" s="10">
        <f t="shared" si="9"/>
        <v>0</v>
      </c>
      <c r="M235" s="10">
        <f t="shared" si="10"/>
        <v>0</v>
      </c>
      <c r="N235" s="10"/>
      <c r="O235" s="10"/>
      <c r="P235" s="10">
        <v>0</v>
      </c>
      <c r="Q235" s="10"/>
      <c r="R235" s="10"/>
      <c r="S235" s="10"/>
      <c r="T235" s="10"/>
      <c r="U235" s="10"/>
      <c r="V235" s="4" t="s">
        <v>245</v>
      </c>
      <c r="W235" s="4"/>
      <c r="X235" s="8">
        <v>44975</v>
      </c>
      <c r="Y235" s="4"/>
      <c r="Z235" s="4"/>
      <c r="AA235" s="8">
        <v>44978</v>
      </c>
      <c r="AB235" s="8">
        <v>44988</v>
      </c>
      <c r="AC235" s="4"/>
      <c r="AD235" s="4"/>
    </row>
    <row r="236" spans="1:30" hidden="1">
      <c r="A236" s="4">
        <v>1679</v>
      </c>
      <c r="B236" s="8">
        <v>44942</v>
      </c>
      <c r="C236" s="4"/>
      <c r="D236" s="4" t="s">
        <v>42</v>
      </c>
      <c r="E236" s="8">
        <v>44985</v>
      </c>
      <c r="F236" s="4" t="s">
        <v>43</v>
      </c>
      <c r="G236" s="40" t="s">
        <v>60</v>
      </c>
      <c r="H236" s="4" t="s">
        <v>45</v>
      </c>
      <c r="I236" s="4" t="s">
        <v>112</v>
      </c>
      <c r="J236" s="10">
        <v>18.778649999999999</v>
      </c>
      <c r="K236" s="10">
        <f>13.664+3.086+2.221</f>
        <v>18.971</v>
      </c>
      <c r="L236" s="10">
        <f t="shared" si="9"/>
        <v>0</v>
      </c>
      <c r="M236" s="10">
        <f t="shared" si="10"/>
        <v>0</v>
      </c>
      <c r="N236" s="10"/>
      <c r="O236" s="10"/>
      <c r="P236" s="10">
        <v>0</v>
      </c>
      <c r="Q236" s="10"/>
      <c r="R236" s="10"/>
      <c r="S236" s="10"/>
      <c r="T236" s="10"/>
      <c r="U236" s="10"/>
      <c r="V236" s="4" t="s">
        <v>245</v>
      </c>
      <c r="W236" s="4"/>
      <c r="X236" s="8"/>
      <c r="Y236" s="4"/>
      <c r="Z236" s="4"/>
      <c r="AA236" s="8">
        <v>44977</v>
      </c>
      <c r="AB236" s="8">
        <v>44982</v>
      </c>
      <c r="AC236" s="4"/>
      <c r="AD236" s="4"/>
    </row>
    <row r="237" spans="1:30" hidden="1">
      <c r="A237" s="4">
        <v>1679</v>
      </c>
      <c r="B237" s="8">
        <v>44942</v>
      </c>
      <c r="C237" s="4"/>
      <c r="D237" s="4" t="s">
        <v>42</v>
      </c>
      <c r="E237" s="8">
        <v>44985</v>
      </c>
      <c r="F237" s="4" t="s">
        <v>43</v>
      </c>
      <c r="G237" s="40" t="s">
        <v>60</v>
      </c>
      <c r="H237" s="4" t="s">
        <v>45</v>
      </c>
      <c r="I237" s="4" t="s">
        <v>113</v>
      </c>
      <c r="J237" s="10">
        <v>33.685740000000003</v>
      </c>
      <c r="K237" s="10">
        <f>19.709+7.916+6.278</f>
        <v>33.902999999999999</v>
      </c>
      <c r="L237" s="10">
        <f t="shared" si="9"/>
        <v>0</v>
      </c>
      <c r="M237" s="10">
        <f t="shared" si="10"/>
        <v>0</v>
      </c>
      <c r="N237" s="10"/>
      <c r="O237" s="10"/>
      <c r="P237" s="10">
        <v>0</v>
      </c>
      <c r="Q237" s="10"/>
      <c r="R237" s="10"/>
      <c r="S237" s="10"/>
      <c r="T237" s="10"/>
      <c r="U237" s="10"/>
      <c r="V237" s="4" t="s">
        <v>245</v>
      </c>
      <c r="W237" s="4"/>
      <c r="X237" s="8"/>
      <c r="Y237" s="4"/>
      <c r="Z237" s="4"/>
      <c r="AA237" s="8"/>
      <c r="AB237" s="8">
        <v>44983</v>
      </c>
      <c r="AC237" s="4"/>
      <c r="AD237" s="4"/>
    </row>
    <row r="238" spans="1:30" hidden="1">
      <c r="A238" s="4">
        <v>1679</v>
      </c>
      <c r="B238" s="8">
        <v>44942</v>
      </c>
      <c r="C238" s="4"/>
      <c r="D238" s="4" t="s">
        <v>42</v>
      </c>
      <c r="E238" s="8">
        <v>44985</v>
      </c>
      <c r="F238" s="4" t="s">
        <v>43</v>
      </c>
      <c r="G238" s="40" t="s">
        <v>60</v>
      </c>
      <c r="H238" s="4" t="s">
        <v>45</v>
      </c>
      <c r="I238" s="4" t="s">
        <v>114</v>
      </c>
      <c r="J238" s="10">
        <v>13.87932</v>
      </c>
      <c r="K238" s="10">
        <f>6.566+6.812+0.727</f>
        <v>14.105</v>
      </c>
      <c r="L238" s="10">
        <f t="shared" si="9"/>
        <v>0</v>
      </c>
      <c r="M238" s="10">
        <f t="shared" si="10"/>
        <v>0</v>
      </c>
      <c r="N238" s="10"/>
      <c r="O238" s="10"/>
      <c r="P238" s="10"/>
      <c r="Q238" s="10"/>
      <c r="R238" s="10"/>
      <c r="S238" s="10"/>
      <c r="T238" s="10"/>
      <c r="U238" s="10"/>
      <c r="V238" s="4" t="s">
        <v>245</v>
      </c>
      <c r="W238" s="4"/>
      <c r="X238" s="8"/>
      <c r="Y238" s="4"/>
      <c r="Z238" s="4"/>
      <c r="AA238" s="8"/>
      <c r="AB238" s="8"/>
      <c r="AC238" s="4"/>
      <c r="AD238" s="4"/>
    </row>
    <row r="239" spans="1:30" hidden="1">
      <c r="A239" s="4">
        <v>1679</v>
      </c>
      <c r="B239" s="8">
        <v>44942</v>
      </c>
      <c r="C239" s="4"/>
      <c r="D239" s="4" t="s">
        <v>42</v>
      </c>
      <c r="E239" s="8">
        <v>44985</v>
      </c>
      <c r="F239" s="4" t="s">
        <v>43</v>
      </c>
      <c r="G239" s="40" t="s">
        <v>60</v>
      </c>
      <c r="H239" s="4" t="s">
        <v>45</v>
      </c>
      <c r="I239" s="4" t="s">
        <v>115</v>
      </c>
      <c r="J239" s="10">
        <f>62.07768-7.459</f>
        <v>54.618679999999998</v>
      </c>
      <c r="K239" s="10">
        <f>31.369+3.286+8.162+7.696+4.105</f>
        <v>54.617999999999995</v>
      </c>
      <c r="L239" s="10">
        <f t="shared" si="9"/>
        <v>0</v>
      </c>
      <c r="M239" s="10">
        <f t="shared" si="8"/>
        <v>0</v>
      </c>
      <c r="N239" s="10"/>
      <c r="O239" s="10"/>
      <c r="P239" s="10">
        <v>0</v>
      </c>
      <c r="Q239" s="10"/>
      <c r="R239" s="10"/>
      <c r="S239" s="10"/>
      <c r="T239" s="10"/>
      <c r="U239" s="10"/>
      <c r="V239" s="4" t="s">
        <v>245</v>
      </c>
      <c r="W239" s="4" t="s">
        <v>491</v>
      </c>
      <c r="X239" s="8">
        <v>44987</v>
      </c>
      <c r="Y239" s="4"/>
      <c r="Z239" s="4"/>
      <c r="AA239" s="8">
        <v>44989</v>
      </c>
      <c r="AB239" s="8">
        <v>44998</v>
      </c>
      <c r="AC239" s="4"/>
      <c r="AD239" s="4"/>
    </row>
    <row r="240" spans="1:30" hidden="1">
      <c r="A240" s="4">
        <v>1679</v>
      </c>
      <c r="B240" s="8">
        <v>44942</v>
      </c>
      <c r="C240" s="4"/>
      <c r="D240" s="4" t="s">
        <v>42</v>
      </c>
      <c r="E240" s="8">
        <v>44985</v>
      </c>
      <c r="F240" s="4" t="s">
        <v>43</v>
      </c>
      <c r="G240" s="40" t="s">
        <v>60</v>
      </c>
      <c r="H240" s="4" t="s">
        <v>45</v>
      </c>
      <c r="I240" s="4" t="s">
        <v>116</v>
      </c>
      <c r="J240" s="10">
        <f>28.760171-3.087</f>
        <v>25.673171</v>
      </c>
      <c r="K240" s="10">
        <f>23.814+1.859</f>
        <v>25.673000000000002</v>
      </c>
      <c r="L240" s="10">
        <f t="shared" si="9"/>
        <v>0</v>
      </c>
      <c r="M240" s="10">
        <f t="shared" si="8"/>
        <v>0</v>
      </c>
      <c r="N240" s="10"/>
      <c r="O240" s="10"/>
      <c r="P240" s="10">
        <v>0</v>
      </c>
      <c r="Q240" s="10"/>
      <c r="R240" s="10"/>
      <c r="S240" s="10"/>
      <c r="T240" s="10"/>
      <c r="U240" s="10"/>
      <c r="V240" s="4" t="s">
        <v>245</v>
      </c>
      <c r="W240" s="4" t="s">
        <v>491</v>
      </c>
      <c r="X240" s="8">
        <v>44985</v>
      </c>
      <c r="Y240" s="4"/>
      <c r="Z240" s="4"/>
      <c r="AA240" s="8">
        <v>44995</v>
      </c>
      <c r="AB240" s="8">
        <v>44996</v>
      </c>
      <c r="AC240" s="4"/>
      <c r="AD240" s="4"/>
    </row>
    <row r="241" spans="1:30" hidden="1">
      <c r="A241" s="4">
        <v>1679</v>
      </c>
      <c r="B241" s="8">
        <v>44942</v>
      </c>
      <c r="C241" s="4"/>
      <c r="D241" s="4" t="s">
        <v>42</v>
      </c>
      <c r="E241" s="8">
        <v>44985</v>
      </c>
      <c r="F241" s="4" t="s">
        <v>43</v>
      </c>
      <c r="G241" s="40" t="s">
        <v>60</v>
      </c>
      <c r="H241" s="4" t="s">
        <v>45</v>
      </c>
      <c r="I241" s="4" t="s">
        <v>119</v>
      </c>
      <c r="J241" s="10">
        <v>0.24059999999999998</v>
      </c>
      <c r="K241" s="10">
        <v>0.38500000000000001</v>
      </c>
      <c r="L241" s="10">
        <f t="shared" si="9"/>
        <v>0</v>
      </c>
      <c r="M241" s="10">
        <f t="shared" si="8"/>
        <v>0</v>
      </c>
      <c r="N241" s="10"/>
      <c r="O241" s="10"/>
      <c r="P241" s="10">
        <v>0</v>
      </c>
      <c r="Q241" s="10"/>
      <c r="R241" s="10"/>
      <c r="S241" s="10"/>
      <c r="T241" s="10"/>
      <c r="U241" s="10"/>
      <c r="V241" s="4" t="s">
        <v>245</v>
      </c>
      <c r="W241" s="4" t="s">
        <v>491</v>
      </c>
      <c r="X241" s="8">
        <v>44984</v>
      </c>
      <c r="Y241" s="4"/>
      <c r="Z241" s="4"/>
      <c r="AA241" s="8"/>
      <c r="AB241" s="8">
        <v>44998</v>
      </c>
      <c r="AC241" s="4"/>
      <c r="AD241" s="4"/>
    </row>
    <row r="242" spans="1:30" hidden="1">
      <c r="A242" s="4">
        <v>1679</v>
      </c>
      <c r="B242" s="8">
        <v>44942</v>
      </c>
      <c r="C242" s="4"/>
      <c r="D242" s="4" t="s">
        <v>42</v>
      </c>
      <c r="E242" s="8">
        <v>44985</v>
      </c>
      <c r="F242" s="4" t="s">
        <v>43</v>
      </c>
      <c r="G242" s="40" t="s">
        <v>60</v>
      </c>
      <c r="H242" s="4" t="s">
        <v>45</v>
      </c>
      <c r="I242" s="4" t="s">
        <v>120</v>
      </c>
      <c r="J242" s="10">
        <v>1.94038</v>
      </c>
      <c r="K242" s="10">
        <v>1.954</v>
      </c>
      <c r="L242" s="10">
        <f t="shared" si="9"/>
        <v>0</v>
      </c>
      <c r="M242" s="10">
        <f t="shared" si="8"/>
        <v>0</v>
      </c>
      <c r="N242" s="10"/>
      <c r="O242" s="10"/>
      <c r="P242" s="10"/>
      <c r="Q242" s="10"/>
      <c r="R242" s="10"/>
      <c r="S242" s="10"/>
      <c r="T242" s="10"/>
      <c r="U242" s="10"/>
      <c r="V242" s="4" t="s">
        <v>245</v>
      </c>
      <c r="W242" s="4" t="s">
        <v>491</v>
      </c>
      <c r="X242" s="8">
        <v>44984</v>
      </c>
      <c r="Y242" s="4"/>
      <c r="Z242" s="4"/>
      <c r="AA242" s="8"/>
      <c r="AB242" s="8">
        <v>44998</v>
      </c>
      <c r="AC242" s="4"/>
      <c r="AD242" s="4"/>
    </row>
    <row r="243" spans="1:30" hidden="1">
      <c r="A243" s="4">
        <v>1679</v>
      </c>
      <c r="B243" s="8">
        <v>44942</v>
      </c>
      <c r="C243" s="4"/>
      <c r="D243" s="4" t="s">
        <v>42</v>
      </c>
      <c r="E243" s="8">
        <v>44985</v>
      </c>
      <c r="F243" s="4" t="s">
        <v>43</v>
      </c>
      <c r="G243" s="40" t="s">
        <v>60</v>
      </c>
      <c r="H243" s="4" t="s">
        <v>45</v>
      </c>
      <c r="I243" s="4" t="s">
        <v>121</v>
      </c>
      <c r="J243" s="10">
        <v>56.558250399917547</v>
      </c>
      <c r="K243" s="10">
        <f>26.069+5.471+16.185+5.586+3.378</f>
        <v>56.688999999999993</v>
      </c>
      <c r="L243" s="10">
        <f t="shared" si="9"/>
        <v>0</v>
      </c>
      <c r="M243" s="10">
        <f t="shared" si="8"/>
        <v>0</v>
      </c>
      <c r="N243" s="10"/>
      <c r="O243" s="10"/>
      <c r="P243" s="10">
        <v>0</v>
      </c>
      <c r="Q243" s="10"/>
      <c r="R243" s="10"/>
      <c r="S243" s="10"/>
      <c r="T243" s="10"/>
      <c r="U243" s="10"/>
      <c r="V243" s="4" t="s">
        <v>245</v>
      </c>
      <c r="W243" s="4"/>
      <c r="X243" s="8"/>
      <c r="Y243" s="4"/>
      <c r="Z243" s="4"/>
      <c r="AA243" s="8"/>
      <c r="AB243" s="8">
        <v>44982</v>
      </c>
      <c r="AC243" s="4"/>
      <c r="AD243" s="4"/>
    </row>
    <row r="244" spans="1:30" hidden="1">
      <c r="A244" s="4">
        <v>1710</v>
      </c>
      <c r="B244" s="8">
        <v>44950</v>
      </c>
      <c r="C244" s="4"/>
      <c r="D244" s="4" t="s">
        <v>42</v>
      </c>
      <c r="E244" s="8">
        <v>44957</v>
      </c>
      <c r="F244" s="4" t="s">
        <v>43</v>
      </c>
      <c r="G244" s="39" t="s">
        <v>186</v>
      </c>
      <c r="H244" s="4" t="s">
        <v>45</v>
      </c>
      <c r="I244" s="4" t="s">
        <v>133</v>
      </c>
      <c r="J244" s="10">
        <v>1.2301199999999999</v>
      </c>
      <c r="K244" s="10">
        <v>1.23</v>
      </c>
      <c r="L244" s="10">
        <f t="shared" si="9"/>
        <v>0</v>
      </c>
      <c r="M244" s="10">
        <f t="shared" si="8"/>
        <v>0</v>
      </c>
      <c r="N244" s="10"/>
      <c r="O244" s="10"/>
      <c r="P244" s="10">
        <v>0</v>
      </c>
      <c r="Q244" s="10"/>
      <c r="R244" s="10"/>
      <c r="S244" s="10"/>
      <c r="T244" s="10"/>
      <c r="U244" s="10"/>
      <c r="V244" s="4" t="s">
        <v>270</v>
      </c>
      <c r="W244" s="4"/>
      <c r="X244" s="8">
        <v>44976</v>
      </c>
      <c r="Y244" s="4"/>
      <c r="Z244" s="4"/>
      <c r="AA244" s="8">
        <v>44989</v>
      </c>
      <c r="AB244" s="8">
        <v>44989</v>
      </c>
      <c r="AC244" s="4"/>
      <c r="AD244" s="4"/>
    </row>
    <row r="245" spans="1:30" hidden="1">
      <c r="A245" s="4">
        <v>1711</v>
      </c>
      <c r="B245" s="8">
        <v>44950</v>
      </c>
      <c r="C245" s="4"/>
      <c r="D245" s="4" t="s">
        <v>42</v>
      </c>
      <c r="E245" s="8">
        <v>44972</v>
      </c>
      <c r="F245" s="4" t="s">
        <v>43</v>
      </c>
      <c r="G245" s="39" t="s">
        <v>186</v>
      </c>
      <c r="H245" s="4" t="s">
        <v>45</v>
      </c>
      <c r="I245" s="4" t="s">
        <v>98</v>
      </c>
      <c r="J245" s="10">
        <v>2.3751899999999999</v>
      </c>
      <c r="K245" s="10">
        <v>2.375</v>
      </c>
      <c r="L245" s="10">
        <f t="shared" si="9"/>
        <v>0</v>
      </c>
      <c r="M245" s="10">
        <f t="shared" ref="M245:M263" si="12">SUM(N245:T245)</f>
        <v>0</v>
      </c>
      <c r="N245" s="10"/>
      <c r="O245" s="10"/>
      <c r="P245" s="10">
        <v>0</v>
      </c>
      <c r="Q245" s="10"/>
      <c r="R245" s="10"/>
      <c r="S245" s="10"/>
      <c r="T245" s="10"/>
      <c r="U245" s="10"/>
      <c r="V245" s="4" t="s">
        <v>270</v>
      </c>
      <c r="W245" s="4" t="s">
        <v>37</v>
      </c>
      <c r="X245" s="8">
        <v>44980</v>
      </c>
      <c r="Y245" s="4"/>
      <c r="Z245" s="4"/>
      <c r="AA245" s="8">
        <v>44987</v>
      </c>
      <c r="AB245" s="8">
        <v>44987</v>
      </c>
      <c r="AC245" s="4"/>
      <c r="AD245" s="4"/>
    </row>
    <row r="246" spans="1:30" hidden="1">
      <c r="A246" s="4">
        <v>1711</v>
      </c>
      <c r="B246" s="8">
        <v>44950</v>
      </c>
      <c r="C246" s="4"/>
      <c r="D246" s="4" t="s">
        <v>42</v>
      </c>
      <c r="E246" s="8">
        <v>44972</v>
      </c>
      <c r="F246" s="4" t="s">
        <v>43</v>
      </c>
      <c r="G246" s="39" t="s">
        <v>186</v>
      </c>
      <c r="H246" s="4" t="s">
        <v>45</v>
      </c>
      <c r="I246" s="4" t="s">
        <v>108</v>
      </c>
      <c r="J246" s="10">
        <v>11.556000000000001</v>
      </c>
      <c r="K246" s="10">
        <f>2.51+2.08+6.966</f>
        <v>11.556000000000001</v>
      </c>
      <c r="L246" s="10">
        <v>0</v>
      </c>
      <c r="M246" s="10">
        <f t="shared" si="12"/>
        <v>4.0000000000004476E-3</v>
      </c>
      <c r="N246" s="10"/>
      <c r="O246" s="10"/>
      <c r="P246" s="10">
        <f>11.56-2.51-2.08-6.966</f>
        <v>4.0000000000004476E-3</v>
      </c>
      <c r="Q246" s="10"/>
      <c r="R246" s="10"/>
      <c r="S246" s="10"/>
      <c r="T246" s="10"/>
      <c r="U246" s="10"/>
      <c r="V246" s="4" t="s">
        <v>270</v>
      </c>
      <c r="W246" s="4"/>
      <c r="X246" s="8">
        <v>44978</v>
      </c>
      <c r="Y246" s="4"/>
      <c r="Z246" s="4"/>
      <c r="AA246" s="8">
        <v>44979</v>
      </c>
      <c r="AB246" s="8"/>
      <c r="AC246" s="4"/>
      <c r="AD246" s="4"/>
    </row>
    <row r="247" spans="1:30" hidden="1">
      <c r="A247" s="4">
        <v>1711</v>
      </c>
      <c r="B247" s="8">
        <v>44950</v>
      </c>
      <c r="C247" s="4"/>
      <c r="D247" s="4" t="s">
        <v>42</v>
      </c>
      <c r="E247" s="8">
        <v>44972</v>
      </c>
      <c r="F247" s="4" t="s">
        <v>43</v>
      </c>
      <c r="G247" s="39" t="s">
        <v>186</v>
      </c>
      <c r="H247" s="4" t="s">
        <v>45</v>
      </c>
      <c r="I247" s="4" t="s">
        <v>133</v>
      </c>
      <c r="J247" s="10">
        <v>24.802060000000001</v>
      </c>
      <c r="K247" s="10">
        <f>10.831+5.322+8.679</f>
        <v>24.832000000000001</v>
      </c>
      <c r="L247" s="10">
        <f t="shared" si="9"/>
        <v>0</v>
      </c>
      <c r="M247" s="10">
        <f t="shared" si="12"/>
        <v>0</v>
      </c>
      <c r="N247" s="10"/>
      <c r="O247" s="10"/>
      <c r="P247" s="10">
        <v>0</v>
      </c>
      <c r="Q247" s="10"/>
      <c r="R247" s="10"/>
      <c r="S247" s="10"/>
      <c r="T247" s="10"/>
      <c r="U247" s="10"/>
      <c r="V247" s="4" t="s">
        <v>270</v>
      </c>
      <c r="W247" s="4"/>
      <c r="X247" s="8">
        <v>44976</v>
      </c>
      <c r="Y247" s="4"/>
      <c r="Z247" s="4"/>
      <c r="AA247" s="8">
        <v>44983</v>
      </c>
      <c r="AB247" s="8">
        <v>44989</v>
      </c>
      <c r="AC247" s="4"/>
      <c r="AD247" s="4"/>
    </row>
    <row r="248" spans="1:30" hidden="1">
      <c r="A248" s="4">
        <v>1711</v>
      </c>
      <c r="B248" s="8">
        <v>44950</v>
      </c>
      <c r="C248" s="4"/>
      <c r="D248" s="4" t="s">
        <v>42</v>
      </c>
      <c r="E248" s="8">
        <v>44972</v>
      </c>
      <c r="F248" s="4" t="s">
        <v>43</v>
      </c>
      <c r="G248" s="39" t="s">
        <v>186</v>
      </c>
      <c r="H248" s="4" t="s">
        <v>45</v>
      </c>
      <c r="I248" s="4" t="s">
        <v>113</v>
      </c>
      <c r="J248" s="10">
        <v>19.97268</v>
      </c>
      <c r="K248" s="10">
        <f>6.057+9.811+4.395</f>
        <v>20.262999999999998</v>
      </c>
      <c r="L248" s="10">
        <f t="shared" si="9"/>
        <v>0</v>
      </c>
      <c r="M248" s="10">
        <f t="shared" si="12"/>
        <v>0</v>
      </c>
      <c r="N248" s="10"/>
      <c r="O248" s="10"/>
      <c r="P248" s="10"/>
      <c r="Q248" s="10"/>
      <c r="R248" s="10"/>
      <c r="S248" s="10"/>
      <c r="T248" s="10"/>
      <c r="U248" s="10"/>
      <c r="V248" s="4" t="s">
        <v>270</v>
      </c>
      <c r="W248" s="4"/>
      <c r="X248" s="8"/>
      <c r="Y248" s="4"/>
      <c r="Z248" s="4"/>
      <c r="AA248" s="8"/>
      <c r="AB248" s="8"/>
      <c r="AC248" s="4"/>
      <c r="AD248" s="4"/>
    </row>
    <row r="249" spans="1:30" hidden="1">
      <c r="A249" s="4">
        <v>1711</v>
      </c>
      <c r="B249" s="8">
        <v>44950</v>
      </c>
      <c r="C249" s="4"/>
      <c r="D249" s="4" t="s">
        <v>42</v>
      </c>
      <c r="E249" s="8">
        <v>44972</v>
      </c>
      <c r="F249" s="4" t="s">
        <v>43</v>
      </c>
      <c r="G249" s="39" t="s">
        <v>186</v>
      </c>
      <c r="H249" s="4" t="s">
        <v>45</v>
      </c>
      <c r="I249" s="4" t="s">
        <v>100</v>
      </c>
      <c r="J249" s="10">
        <v>18.488250000000001</v>
      </c>
      <c r="K249" s="10">
        <f>0.959+13.122+3.441+1.32</f>
        <v>18.841999999999999</v>
      </c>
      <c r="L249" s="10">
        <f t="shared" si="9"/>
        <v>0</v>
      </c>
      <c r="M249" s="10">
        <f t="shared" si="12"/>
        <v>0</v>
      </c>
      <c r="N249" s="10"/>
      <c r="O249" s="10"/>
      <c r="P249" s="10">
        <v>0</v>
      </c>
      <c r="Q249" s="10"/>
      <c r="R249" s="10"/>
      <c r="S249" s="10"/>
      <c r="T249" s="10"/>
      <c r="U249" s="10"/>
      <c r="V249" s="4" t="s">
        <v>270</v>
      </c>
      <c r="W249" s="4" t="s">
        <v>37</v>
      </c>
      <c r="X249" s="8">
        <v>44981</v>
      </c>
      <c r="Y249" s="4"/>
      <c r="Z249" s="4"/>
      <c r="AA249" s="8">
        <v>44986</v>
      </c>
      <c r="AB249" s="8">
        <v>44990</v>
      </c>
      <c r="AC249" s="4"/>
      <c r="AD249" s="4"/>
    </row>
    <row r="250" spans="1:30" hidden="1">
      <c r="A250" s="4">
        <v>1711</v>
      </c>
      <c r="B250" s="8">
        <v>44950</v>
      </c>
      <c r="C250" s="4"/>
      <c r="D250" s="4" t="s">
        <v>42</v>
      </c>
      <c r="E250" s="8">
        <v>44972</v>
      </c>
      <c r="F250" s="4" t="s">
        <v>43</v>
      </c>
      <c r="G250" s="39" t="s">
        <v>186</v>
      </c>
      <c r="H250" s="4" t="s">
        <v>45</v>
      </c>
      <c r="I250" s="4" t="s">
        <v>102</v>
      </c>
      <c r="J250" s="10">
        <v>32.377312000000003</v>
      </c>
      <c r="K250" s="10">
        <f>13.339+2.067+11.094+6.148</f>
        <v>32.647999999999996</v>
      </c>
      <c r="L250" s="10">
        <f t="shared" si="9"/>
        <v>0</v>
      </c>
      <c r="M250" s="10">
        <f t="shared" si="12"/>
        <v>0</v>
      </c>
      <c r="N250" s="10"/>
      <c r="O250" s="10"/>
      <c r="P250" s="10">
        <v>0</v>
      </c>
      <c r="Q250" s="10"/>
      <c r="R250" s="10"/>
      <c r="S250" s="10"/>
      <c r="T250" s="10"/>
      <c r="U250" s="10"/>
      <c r="V250" s="4" t="s">
        <v>270</v>
      </c>
      <c r="W250" s="4"/>
      <c r="X250" s="8"/>
      <c r="Y250" s="4"/>
      <c r="Z250" s="4"/>
      <c r="AA250" s="8"/>
      <c r="AB250" s="8">
        <v>44990</v>
      </c>
      <c r="AC250" s="4"/>
      <c r="AD250" s="4"/>
    </row>
    <row r="251" spans="1:30" hidden="1">
      <c r="A251" s="4">
        <v>1711</v>
      </c>
      <c r="B251" s="8">
        <v>44950</v>
      </c>
      <c r="C251" s="4"/>
      <c r="D251" s="4" t="s">
        <v>42</v>
      </c>
      <c r="E251" s="8">
        <v>44972</v>
      </c>
      <c r="F251" s="4" t="s">
        <v>43</v>
      </c>
      <c r="G251" s="39" t="s">
        <v>186</v>
      </c>
      <c r="H251" s="4" t="s">
        <v>45</v>
      </c>
      <c r="I251" s="4" t="s">
        <v>114</v>
      </c>
      <c r="J251" s="10">
        <v>12.030480000000001</v>
      </c>
      <c r="K251" s="10">
        <f>4.791+6.278+1.011</f>
        <v>12.079999999999998</v>
      </c>
      <c r="L251" s="10">
        <f t="shared" si="9"/>
        <v>0</v>
      </c>
      <c r="M251" s="10">
        <f t="shared" si="12"/>
        <v>0</v>
      </c>
      <c r="N251" s="10"/>
      <c r="O251" s="10"/>
      <c r="P251" s="10">
        <v>0</v>
      </c>
      <c r="Q251" s="10"/>
      <c r="R251" s="10"/>
      <c r="S251" s="10"/>
      <c r="T251" s="10"/>
      <c r="U251" s="10"/>
      <c r="V251" s="4" t="s">
        <v>270</v>
      </c>
      <c r="W251" s="4"/>
      <c r="X251" s="8"/>
      <c r="Y251" s="4"/>
      <c r="Z251" s="4"/>
      <c r="AA251" s="8"/>
      <c r="AB251" s="8">
        <v>44990</v>
      </c>
      <c r="AC251" s="4"/>
      <c r="AD251" s="4"/>
    </row>
    <row r="252" spans="1:30" hidden="1">
      <c r="A252" s="4">
        <v>1711</v>
      </c>
      <c r="B252" s="8">
        <v>44950</v>
      </c>
      <c r="C252" s="4"/>
      <c r="D252" s="4" t="s">
        <v>42</v>
      </c>
      <c r="E252" s="8">
        <v>44972</v>
      </c>
      <c r="F252" s="4" t="s">
        <v>43</v>
      </c>
      <c r="G252" s="39" t="s">
        <v>186</v>
      </c>
      <c r="H252" s="4" t="s">
        <v>45</v>
      </c>
      <c r="I252" s="4" t="s">
        <v>235</v>
      </c>
      <c r="J252" s="10">
        <v>5.8132800000000007</v>
      </c>
      <c r="K252" s="10">
        <f>1.453+4.36</f>
        <v>5.8130000000000006</v>
      </c>
      <c r="L252" s="10">
        <f t="shared" si="9"/>
        <v>0</v>
      </c>
      <c r="M252" s="10">
        <f t="shared" si="12"/>
        <v>0</v>
      </c>
      <c r="N252" s="10"/>
      <c r="O252" s="10"/>
      <c r="P252" s="10"/>
      <c r="Q252" s="10"/>
      <c r="R252" s="10"/>
      <c r="S252" s="10"/>
      <c r="T252" s="10"/>
      <c r="U252" s="10"/>
      <c r="V252" s="4" t="s">
        <v>270</v>
      </c>
      <c r="W252" s="4"/>
      <c r="X252" s="8"/>
      <c r="Y252" s="4"/>
      <c r="Z252" s="4"/>
      <c r="AA252" s="8"/>
      <c r="AB252" s="8" t="s">
        <v>767</v>
      </c>
      <c r="AC252" s="4"/>
      <c r="AD252" s="4"/>
    </row>
    <row r="253" spans="1:30" hidden="1">
      <c r="A253" s="4">
        <v>1711</v>
      </c>
      <c r="B253" s="8">
        <v>44950</v>
      </c>
      <c r="C253" s="4"/>
      <c r="D253" s="4" t="s">
        <v>42</v>
      </c>
      <c r="E253" s="8">
        <v>44972</v>
      </c>
      <c r="F253" s="4" t="s">
        <v>43</v>
      </c>
      <c r="G253" s="39" t="s">
        <v>186</v>
      </c>
      <c r="H253" s="4" t="s">
        <v>45</v>
      </c>
      <c r="I253" s="4" t="s">
        <v>96</v>
      </c>
      <c r="J253" s="10">
        <v>7.6207300000000009</v>
      </c>
      <c r="K253" s="10">
        <f>1.211+4.988+1.437</f>
        <v>7.636000000000001</v>
      </c>
      <c r="L253" s="10">
        <f t="shared" si="9"/>
        <v>0</v>
      </c>
      <c r="M253" s="10">
        <f t="shared" si="12"/>
        <v>0</v>
      </c>
      <c r="N253" s="10"/>
      <c r="O253" s="10"/>
      <c r="P253" s="10">
        <v>0</v>
      </c>
      <c r="Q253" s="10"/>
      <c r="R253" s="10"/>
      <c r="S253" s="10"/>
      <c r="T253" s="10"/>
      <c r="U253" s="10"/>
      <c r="V253" s="4" t="s">
        <v>270</v>
      </c>
      <c r="W253" s="4" t="s">
        <v>37</v>
      </c>
      <c r="X253" s="8">
        <v>44981</v>
      </c>
      <c r="Y253" s="4"/>
      <c r="Z253" s="4"/>
      <c r="AA253" s="8">
        <v>44986</v>
      </c>
      <c r="AB253" s="8">
        <v>44987</v>
      </c>
      <c r="AC253" s="4"/>
      <c r="AD253" s="4"/>
    </row>
    <row r="254" spans="1:30" hidden="1">
      <c r="A254" s="4">
        <v>1711</v>
      </c>
      <c r="B254" s="8">
        <v>44950</v>
      </c>
      <c r="C254" s="4"/>
      <c r="D254" s="4" t="s">
        <v>42</v>
      </c>
      <c r="E254" s="8">
        <v>44972</v>
      </c>
      <c r="F254" s="4" t="s">
        <v>43</v>
      </c>
      <c r="G254" s="39" t="s">
        <v>186</v>
      </c>
      <c r="H254" s="4" t="s">
        <v>45</v>
      </c>
      <c r="I254" s="4" t="s">
        <v>101</v>
      </c>
      <c r="J254" s="10">
        <v>16.844000000000001</v>
      </c>
      <c r="K254" s="10">
        <f>6.328+10.605</f>
        <v>16.933</v>
      </c>
      <c r="L254" s="10">
        <f t="shared" si="9"/>
        <v>0</v>
      </c>
      <c r="M254" s="10">
        <f t="shared" si="12"/>
        <v>0</v>
      </c>
      <c r="N254" s="10"/>
      <c r="O254" s="10"/>
      <c r="P254" s="10">
        <v>0</v>
      </c>
      <c r="Q254" s="10"/>
      <c r="R254" s="10"/>
      <c r="S254" s="10"/>
      <c r="T254" s="10"/>
      <c r="U254" s="10"/>
      <c r="V254" s="4" t="s">
        <v>270</v>
      </c>
      <c r="W254" s="4"/>
      <c r="X254" s="8">
        <v>44977</v>
      </c>
      <c r="Y254" s="4"/>
      <c r="Z254" s="4"/>
      <c r="AA254" s="8">
        <v>44981</v>
      </c>
      <c r="AB254" s="8">
        <v>44984</v>
      </c>
      <c r="AC254" s="4"/>
      <c r="AD254" s="4"/>
    </row>
    <row r="255" spans="1:30" hidden="1">
      <c r="A255" s="4">
        <v>1711</v>
      </c>
      <c r="B255" s="8">
        <v>44950</v>
      </c>
      <c r="C255" s="4"/>
      <c r="D255" s="4" t="s">
        <v>42</v>
      </c>
      <c r="E255" s="8">
        <v>44972</v>
      </c>
      <c r="F255" s="4" t="s">
        <v>43</v>
      </c>
      <c r="G255" s="39" t="s">
        <v>186</v>
      </c>
      <c r="H255" s="4" t="s">
        <v>45</v>
      </c>
      <c r="I255" s="4" t="s">
        <v>104</v>
      </c>
      <c r="J255" s="10">
        <v>15.898949999999999</v>
      </c>
      <c r="K255" s="10">
        <f>8.613+6.691+0.606</f>
        <v>15.909999999999998</v>
      </c>
      <c r="L255" s="10">
        <f t="shared" si="9"/>
        <v>0</v>
      </c>
      <c r="M255" s="10">
        <f t="shared" si="12"/>
        <v>0</v>
      </c>
      <c r="N255" s="10"/>
      <c r="O255" s="10"/>
      <c r="P255" s="10">
        <v>0</v>
      </c>
      <c r="Q255" s="10"/>
      <c r="R255" s="10"/>
      <c r="S255" s="10"/>
      <c r="T255" s="10"/>
      <c r="U255" s="10"/>
      <c r="V255" s="4" t="s">
        <v>270</v>
      </c>
      <c r="W255" s="4" t="s">
        <v>491</v>
      </c>
      <c r="X255" s="8">
        <v>44987</v>
      </c>
      <c r="Y255" s="4"/>
      <c r="Z255" s="4"/>
      <c r="AA255" s="8">
        <v>44989</v>
      </c>
      <c r="AB255" s="8">
        <v>44998</v>
      </c>
      <c r="AC255" s="4"/>
      <c r="AD255" s="4"/>
    </row>
    <row r="256" spans="1:30" hidden="1">
      <c r="A256" s="4">
        <v>1711</v>
      </c>
      <c r="B256" s="8">
        <v>44950</v>
      </c>
      <c r="C256" s="4"/>
      <c r="D256" s="4" t="s">
        <v>42</v>
      </c>
      <c r="E256" s="8">
        <v>44972</v>
      </c>
      <c r="F256" s="4" t="s">
        <v>43</v>
      </c>
      <c r="G256" s="39" t="s">
        <v>186</v>
      </c>
      <c r="H256" s="4" t="s">
        <v>45</v>
      </c>
      <c r="I256" s="4" t="s">
        <v>117</v>
      </c>
      <c r="J256" s="10">
        <v>15.00972</v>
      </c>
      <c r="K256" s="10">
        <v>15.01</v>
      </c>
      <c r="L256" s="10">
        <f t="shared" si="9"/>
        <v>0</v>
      </c>
      <c r="M256" s="10">
        <f t="shared" si="12"/>
        <v>0</v>
      </c>
      <c r="N256" s="10"/>
      <c r="O256" s="10"/>
      <c r="P256" s="10">
        <f>15.01-15.01</f>
        <v>0</v>
      </c>
      <c r="Q256" s="10"/>
      <c r="R256" s="10"/>
      <c r="S256" s="10"/>
      <c r="T256" s="10"/>
      <c r="U256" s="10"/>
      <c r="V256" s="4" t="s">
        <v>270</v>
      </c>
      <c r="W256" s="4"/>
      <c r="X256" s="8">
        <v>44975</v>
      </c>
      <c r="Y256" s="4"/>
      <c r="Z256" s="4"/>
      <c r="AA256" s="8">
        <v>44983</v>
      </c>
      <c r="AB256" s="8">
        <v>44983</v>
      </c>
      <c r="AC256" s="4"/>
      <c r="AD256" s="4"/>
    </row>
    <row r="257" spans="1:30" hidden="1">
      <c r="A257" s="4">
        <v>1711</v>
      </c>
      <c r="B257" s="8">
        <v>44950</v>
      </c>
      <c r="C257" s="4"/>
      <c r="D257" s="4" t="s">
        <v>42</v>
      </c>
      <c r="E257" s="8">
        <v>44972</v>
      </c>
      <c r="F257" s="4" t="s">
        <v>43</v>
      </c>
      <c r="G257" s="39" t="s">
        <v>186</v>
      </c>
      <c r="H257" s="4" t="s">
        <v>45</v>
      </c>
      <c r="I257" s="4" t="s">
        <v>99</v>
      </c>
      <c r="J257" s="10">
        <v>26.712139999999998</v>
      </c>
      <c r="K257" s="10">
        <f>4.816+9.38+1.936+1.412+9.224</f>
        <v>26.768000000000001</v>
      </c>
      <c r="L257" s="10">
        <f t="shared" si="9"/>
        <v>0</v>
      </c>
      <c r="M257" s="10">
        <f t="shared" si="12"/>
        <v>0</v>
      </c>
      <c r="N257" s="10"/>
      <c r="O257" s="10"/>
      <c r="P257" s="10">
        <v>0</v>
      </c>
      <c r="Q257" s="10"/>
      <c r="R257" s="10"/>
      <c r="S257" s="10"/>
      <c r="T257" s="10"/>
      <c r="U257" s="10"/>
      <c r="V257" s="4" t="s">
        <v>270</v>
      </c>
      <c r="W257" s="4"/>
      <c r="X257" s="8"/>
      <c r="Y257" s="4"/>
      <c r="Z257" s="4"/>
      <c r="AA257" s="8"/>
      <c r="AB257" s="8">
        <v>44990</v>
      </c>
      <c r="AC257" s="4"/>
      <c r="AD257" s="4"/>
    </row>
    <row r="258" spans="1:30" hidden="1">
      <c r="A258" s="4">
        <v>1711</v>
      </c>
      <c r="B258" s="8">
        <v>44950</v>
      </c>
      <c r="C258" s="4"/>
      <c r="D258" s="4" t="s">
        <v>42</v>
      </c>
      <c r="E258" s="8">
        <v>44972</v>
      </c>
      <c r="F258" s="4" t="s">
        <v>43</v>
      </c>
      <c r="G258" s="39" t="s">
        <v>186</v>
      </c>
      <c r="H258" s="4" t="s">
        <v>45</v>
      </c>
      <c r="I258" s="4" t="s">
        <v>236</v>
      </c>
      <c r="J258" s="10">
        <v>13.000679999999999</v>
      </c>
      <c r="K258" s="10">
        <f>4.207+7.065+1.807</f>
        <v>13.079000000000001</v>
      </c>
      <c r="L258" s="10">
        <f t="shared" si="9"/>
        <v>0</v>
      </c>
      <c r="M258" s="10">
        <f t="shared" si="12"/>
        <v>0</v>
      </c>
      <c r="N258" s="10"/>
      <c r="O258" s="10"/>
      <c r="P258" s="10"/>
      <c r="Q258" s="10"/>
      <c r="R258" s="10"/>
      <c r="S258" s="10"/>
      <c r="T258" s="10"/>
      <c r="U258" s="10"/>
      <c r="V258" s="4" t="s">
        <v>270</v>
      </c>
      <c r="W258" s="4"/>
      <c r="X258" s="8"/>
      <c r="Y258" s="4"/>
      <c r="Z258" s="4"/>
      <c r="AA258" s="8"/>
      <c r="AB258" s="8"/>
      <c r="AC258" s="4"/>
      <c r="AD258" s="4"/>
    </row>
    <row r="259" spans="1:30" hidden="1">
      <c r="A259" s="4">
        <v>1711</v>
      </c>
      <c r="B259" s="8">
        <v>44950</v>
      </c>
      <c r="C259" s="4"/>
      <c r="D259" s="4" t="s">
        <v>42</v>
      </c>
      <c r="E259" s="8">
        <v>44972</v>
      </c>
      <c r="F259" s="4" t="s">
        <v>43</v>
      </c>
      <c r="G259" s="39" t="s">
        <v>186</v>
      </c>
      <c r="H259" s="4" t="s">
        <v>45</v>
      </c>
      <c r="I259" s="4" t="s">
        <v>112</v>
      </c>
      <c r="J259" s="10">
        <v>1.9601999999999997</v>
      </c>
      <c r="K259" s="10">
        <f>1.703+0.545</f>
        <v>2.2480000000000002</v>
      </c>
      <c r="L259" s="10">
        <f t="shared" si="9"/>
        <v>0</v>
      </c>
      <c r="M259" s="10">
        <f t="shared" si="12"/>
        <v>0</v>
      </c>
      <c r="N259" s="10"/>
      <c r="O259" s="10"/>
      <c r="P259" s="10"/>
      <c r="Q259" s="10"/>
      <c r="R259" s="10"/>
      <c r="S259" s="10"/>
      <c r="T259" s="10"/>
      <c r="U259" s="10"/>
      <c r="V259" s="4" t="s">
        <v>270</v>
      </c>
      <c r="W259" s="4"/>
      <c r="X259" s="8"/>
      <c r="Y259" s="4"/>
      <c r="Z259" s="4"/>
      <c r="AA259" s="8"/>
      <c r="AB259" s="8"/>
      <c r="AC259" s="4"/>
      <c r="AD259" s="4"/>
    </row>
    <row r="260" spans="1:30" hidden="1">
      <c r="A260" s="4">
        <v>1711</v>
      </c>
      <c r="B260" s="8">
        <v>44950</v>
      </c>
      <c r="C260" s="4"/>
      <c r="D260" s="4" t="s">
        <v>42</v>
      </c>
      <c r="E260" s="8">
        <v>44972</v>
      </c>
      <c r="F260" s="4" t="s">
        <v>43</v>
      </c>
      <c r="G260" s="39" t="s">
        <v>186</v>
      </c>
      <c r="H260" s="4" t="s">
        <v>45</v>
      </c>
      <c r="I260" s="4" t="s">
        <v>103</v>
      </c>
      <c r="J260" s="10">
        <v>8.1910399999999992</v>
      </c>
      <c r="K260" s="10">
        <f>1.514+5.837+0.94</f>
        <v>8.2910000000000004</v>
      </c>
      <c r="L260" s="10">
        <f t="shared" si="9"/>
        <v>0</v>
      </c>
      <c r="M260" s="10">
        <f t="shared" si="12"/>
        <v>0</v>
      </c>
      <c r="N260" s="10"/>
      <c r="O260" s="10"/>
      <c r="P260" s="10">
        <v>0</v>
      </c>
      <c r="Q260" s="10"/>
      <c r="R260" s="10"/>
      <c r="S260" s="10"/>
      <c r="T260" s="10"/>
      <c r="U260" s="10"/>
      <c r="V260" s="4" t="s">
        <v>270</v>
      </c>
      <c r="W260" s="4"/>
      <c r="X260" s="8"/>
      <c r="Y260" s="4"/>
      <c r="Z260" s="4"/>
      <c r="AA260" s="8">
        <v>44982</v>
      </c>
      <c r="AB260" s="8">
        <v>44998</v>
      </c>
      <c r="AC260" s="4"/>
      <c r="AD260" s="4"/>
    </row>
    <row r="261" spans="1:30" hidden="1">
      <c r="A261" s="4">
        <v>1711</v>
      </c>
      <c r="B261" s="8">
        <v>44950</v>
      </c>
      <c r="C261" s="4"/>
      <c r="D261" s="4" t="s">
        <v>42</v>
      </c>
      <c r="E261" s="8">
        <v>44972</v>
      </c>
      <c r="F261" s="4" t="s">
        <v>43</v>
      </c>
      <c r="G261" s="39" t="s">
        <v>186</v>
      </c>
      <c r="H261" s="4" t="s">
        <v>45</v>
      </c>
      <c r="I261" s="4" t="s">
        <v>239</v>
      </c>
      <c r="J261" s="10">
        <v>16.100000000000001</v>
      </c>
      <c r="K261" s="10">
        <f>5.801+10.339</f>
        <v>16.14</v>
      </c>
      <c r="L261" s="10">
        <f t="shared" si="9"/>
        <v>0</v>
      </c>
      <c r="M261" s="10">
        <f t="shared" si="12"/>
        <v>0</v>
      </c>
      <c r="N261" s="10"/>
      <c r="O261" s="10">
        <v>0</v>
      </c>
      <c r="P261" s="10"/>
      <c r="Q261" s="10"/>
      <c r="R261" s="10"/>
      <c r="S261" s="10"/>
      <c r="T261" s="10"/>
      <c r="U261" s="10"/>
      <c r="V261" s="4" t="s">
        <v>270</v>
      </c>
      <c r="W261" s="4" t="s">
        <v>491</v>
      </c>
      <c r="X261" s="8">
        <v>44987</v>
      </c>
      <c r="Y261" s="4"/>
      <c r="Z261" s="4"/>
      <c r="AA261" s="8">
        <v>44989</v>
      </c>
      <c r="AB261" s="8">
        <v>44990</v>
      </c>
      <c r="AC261" s="4"/>
      <c r="AD261" s="4"/>
    </row>
    <row r="262" spans="1:30" hidden="1">
      <c r="A262" s="4">
        <v>1711</v>
      </c>
      <c r="B262" s="8">
        <v>44950</v>
      </c>
      <c r="C262" s="4"/>
      <c r="D262" s="4" t="s">
        <v>42</v>
      </c>
      <c r="E262" s="8">
        <v>44972</v>
      </c>
      <c r="F262" s="4" t="s">
        <v>43</v>
      </c>
      <c r="G262" s="39" t="s">
        <v>186</v>
      </c>
      <c r="H262" s="4" t="s">
        <v>45</v>
      </c>
      <c r="I262" s="4" t="s">
        <v>107</v>
      </c>
      <c r="J262" s="10">
        <v>11.316239999999999</v>
      </c>
      <c r="K262" s="10">
        <f>4.833+6.814</f>
        <v>11.647</v>
      </c>
      <c r="L262" s="10">
        <f t="shared" si="9"/>
        <v>0</v>
      </c>
      <c r="M262" s="10">
        <f t="shared" si="12"/>
        <v>0</v>
      </c>
      <c r="N262" s="10"/>
      <c r="O262" s="10"/>
      <c r="P262" s="10">
        <v>0</v>
      </c>
      <c r="Q262" s="10"/>
      <c r="R262" s="10"/>
      <c r="S262" s="10"/>
      <c r="T262" s="10"/>
      <c r="U262" s="10"/>
      <c r="V262" s="4" t="s">
        <v>270</v>
      </c>
      <c r="W262" s="4" t="s">
        <v>491</v>
      </c>
      <c r="X262" s="8">
        <v>44985</v>
      </c>
      <c r="Y262" s="4"/>
      <c r="Z262" s="4"/>
      <c r="AA262" s="8"/>
      <c r="AB262" s="8">
        <v>44998</v>
      </c>
      <c r="AC262" s="4"/>
      <c r="AD262" s="4"/>
    </row>
    <row r="263" spans="1:30" hidden="1">
      <c r="A263" s="4">
        <v>1711</v>
      </c>
      <c r="B263" s="8">
        <v>44950</v>
      </c>
      <c r="C263" s="4"/>
      <c r="D263" s="4" t="s">
        <v>42</v>
      </c>
      <c r="E263" s="8">
        <v>44972</v>
      </c>
      <c r="F263" s="4" t="s">
        <v>43</v>
      </c>
      <c r="G263" s="39" t="s">
        <v>186</v>
      </c>
      <c r="H263" s="4" t="s">
        <v>45</v>
      </c>
      <c r="I263" s="4" t="s">
        <v>105</v>
      </c>
      <c r="J263" s="10">
        <v>0.29759999999999998</v>
      </c>
      <c r="K263" s="10">
        <v>0.45400000000000001</v>
      </c>
      <c r="L263" s="10">
        <f t="shared" si="9"/>
        <v>0</v>
      </c>
      <c r="M263" s="10">
        <f t="shared" si="12"/>
        <v>0</v>
      </c>
      <c r="N263" s="10"/>
      <c r="O263" s="10"/>
      <c r="P263" s="10">
        <v>0</v>
      </c>
      <c r="Q263" s="10"/>
      <c r="R263" s="10"/>
      <c r="S263" s="10"/>
      <c r="T263" s="10"/>
      <c r="U263" s="10"/>
      <c r="V263" s="4" t="s">
        <v>270</v>
      </c>
      <c r="W263" s="4"/>
      <c r="X263" s="8"/>
      <c r="Y263" s="4"/>
      <c r="Z263" s="4"/>
      <c r="AA263" s="8"/>
      <c r="AB263" s="8">
        <v>44998</v>
      </c>
      <c r="AC263" s="4"/>
      <c r="AD263" s="4"/>
    </row>
    <row r="264" spans="1:30" hidden="1">
      <c r="A264" s="4">
        <v>1844</v>
      </c>
      <c r="B264" s="8">
        <v>44968</v>
      </c>
      <c r="C264" s="4"/>
      <c r="D264" s="4" t="s">
        <v>42</v>
      </c>
      <c r="E264" s="8">
        <v>44985</v>
      </c>
      <c r="F264" s="4" t="s">
        <v>43</v>
      </c>
      <c r="G264" s="15" t="s">
        <v>93</v>
      </c>
      <c r="H264" s="4" t="s">
        <v>45</v>
      </c>
      <c r="I264" s="4" t="s">
        <v>50</v>
      </c>
      <c r="J264" s="10">
        <v>1.204</v>
      </c>
      <c r="K264" s="10">
        <f>1.447</f>
        <v>1.4470000000000001</v>
      </c>
      <c r="L264" s="10">
        <f t="shared" si="9"/>
        <v>0</v>
      </c>
      <c r="M264" s="10">
        <f t="shared" ref="M264" si="13">SUM(N264:T264)</f>
        <v>0</v>
      </c>
      <c r="N264" s="10"/>
      <c r="O264" s="10"/>
      <c r="P264" s="10"/>
      <c r="Q264" s="10"/>
      <c r="R264" s="10"/>
      <c r="S264" s="10"/>
      <c r="T264" s="10"/>
      <c r="U264" s="10"/>
      <c r="V264" s="4" t="s">
        <v>308</v>
      </c>
      <c r="W264" s="4"/>
      <c r="X264" s="8"/>
      <c r="Y264" s="4"/>
      <c r="Z264" s="4"/>
      <c r="AA264" s="8"/>
      <c r="AB264" s="8"/>
      <c r="AC264" s="4"/>
      <c r="AD264" s="4"/>
    </row>
    <row r="265" spans="1:30" hidden="1">
      <c r="A265" s="4">
        <v>1844</v>
      </c>
      <c r="B265" s="8">
        <v>44968</v>
      </c>
      <c r="C265" s="4"/>
      <c r="D265" s="4" t="s">
        <v>42</v>
      </c>
      <c r="E265" s="8">
        <v>44985</v>
      </c>
      <c r="F265" s="4" t="s">
        <v>43</v>
      </c>
      <c r="G265" s="15" t="s">
        <v>93</v>
      </c>
      <c r="H265" s="4" t="s">
        <v>45</v>
      </c>
      <c r="I265" s="4" t="s">
        <v>123</v>
      </c>
      <c r="J265" s="10">
        <v>0.66500000000000004</v>
      </c>
      <c r="K265" s="10">
        <v>0.66500000000000004</v>
      </c>
      <c r="L265" s="10">
        <f t="shared" si="9"/>
        <v>0</v>
      </c>
      <c r="M265" s="10">
        <f t="shared" ref="M265:M272" si="14">SUM(N265:T265)</f>
        <v>0</v>
      </c>
      <c r="N265" s="10"/>
      <c r="O265" s="10"/>
      <c r="P265" s="10"/>
      <c r="Q265" s="10"/>
      <c r="R265" s="10"/>
      <c r="S265" s="10"/>
      <c r="T265" s="10"/>
      <c r="U265" s="10"/>
      <c r="V265" s="4" t="s">
        <v>308</v>
      </c>
      <c r="W265" s="4"/>
      <c r="X265" s="8"/>
      <c r="Y265" s="4"/>
      <c r="Z265" s="4"/>
      <c r="AA265" s="8"/>
      <c r="AB265" s="8"/>
      <c r="AC265" s="4"/>
      <c r="AD265" s="4"/>
    </row>
    <row r="266" spans="1:30" hidden="1">
      <c r="A266" s="4">
        <v>1844</v>
      </c>
      <c r="B266" s="8">
        <v>44970</v>
      </c>
      <c r="C266" s="4"/>
      <c r="D266" s="4" t="s">
        <v>42</v>
      </c>
      <c r="E266" s="8">
        <v>44985</v>
      </c>
      <c r="F266" s="4" t="s">
        <v>43</v>
      </c>
      <c r="G266" s="15" t="s">
        <v>93</v>
      </c>
      <c r="H266" s="4" t="s">
        <v>45</v>
      </c>
      <c r="I266" s="4" t="s">
        <v>46</v>
      </c>
      <c r="J266" s="10">
        <v>4.47</v>
      </c>
      <c r="K266" s="10">
        <v>4.718</v>
      </c>
      <c r="L266" s="10">
        <f t="shared" si="9"/>
        <v>0</v>
      </c>
      <c r="M266" s="10">
        <f t="shared" si="14"/>
        <v>0</v>
      </c>
      <c r="N266" s="10"/>
      <c r="O266" s="10"/>
      <c r="P266" s="10">
        <v>0</v>
      </c>
      <c r="Q266" s="10"/>
      <c r="R266" s="10"/>
      <c r="S266" s="10"/>
      <c r="T266" s="10"/>
      <c r="U266" s="10"/>
      <c r="V266" s="4" t="s">
        <v>308</v>
      </c>
      <c r="W266" s="4"/>
      <c r="X266" s="8">
        <v>44976</v>
      </c>
      <c r="Y266" s="4"/>
      <c r="Z266" s="4"/>
      <c r="AA266" s="8">
        <v>44988</v>
      </c>
      <c r="AB266" s="8">
        <v>44988</v>
      </c>
      <c r="AC266" s="4"/>
      <c r="AD266" s="4"/>
    </row>
    <row r="267" spans="1:30" hidden="1">
      <c r="A267" s="4">
        <v>1858</v>
      </c>
      <c r="B267" s="8">
        <v>44974</v>
      </c>
      <c r="C267" s="4"/>
      <c r="D267" s="4" t="s">
        <v>42</v>
      </c>
      <c r="E267" s="8">
        <v>44985</v>
      </c>
      <c r="F267" s="4" t="s">
        <v>43</v>
      </c>
      <c r="G267" s="40" t="s">
        <v>60</v>
      </c>
      <c r="H267" s="4" t="s">
        <v>45</v>
      </c>
      <c r="I267" s="4" t="s">
        <v>112</v>
      </c>
      <c r="J267" s="10">
        <v>106.733616</v>
      </c>
      <c r="K267" s="10">
        <f>30.374+33.212+33.354+9.802+0.373</f>
        <v>107.11499999999999</v>
      </c>
      <c r="L267" s="10">
        <f t="shared" si="9"/>
        <v>0</v>
      </c>
      <c r="M267" s="10">
        <f t="shared" si="14"/>
        <v>0</v>
      </c>
      <c r="N267" s="10"/>
      <c r="O267" s="10"/>
      <c r="P267" s="10"/>
      <c r="Q267" s="10"/>
      <c r="R267" s="10"/>
      <c r="S267" s="10"/>
      <c r="T267" s="10"/>
      <c r="U267" s="10"/>
      <c r="V267" s="4" t="s">
        <v>314</v>
      </c>
      <c r="W267" s="4" t="s">
        <v>492</v>
      </c>
      <c r="X267" s="8">
        <v>44983</v>
      </c>
      <c r="Y267" s="4">
        <v>44984</v>
      </c>
      <c r="Z267" s="4"/>
      <c r="AA267" s="8">
        <v>44986</v>
      </c>
      <c r="AB267" s="8"/>
      <c r="AC267" s="4"/>
      <c r="AD267" s="4"/>
    </row>
    <row r="268" spans="1:30" hidden="1">
      <c r="A268" s="4">
        <v>2028</v>
      </c>
      <c r="B268" s="8">
        <v>45020</v>
      </c>
      <c r="C268" s="4"/>
      <c r="D268" s="4" t="s">
        <v>397</v>
      </c>
      <c r="E268" s="8">
        <v>45023</v>
      </c>
      <c r="F268" s="4" t="s">
        <v>43</v>
      </c>
      <c r="G268" s="15" t="s">
        <v>520</v>
      </c>
      <c r="H268" s="4" t="s">
        <v>52</v>
      </c>
      <c r="I268" s="4" t="s">
        <v>577</v>
      </c>
      <c r="J268" s="10">
        <v>0.21199999999999999</v>
      </c>
      <c r="K268" s="10">
        <v>0.21199999999999999</v>
      </c>
      <c r="L268" s="10">
        <f t="shared" si="9"/>
        <v>0</v>
      </c>
      <c r="M268" s="10">
        <f t="shared" si="14"/>
        <v>0</v>
      </c>
      <c r="N268" s="10"/>
      <c r="O268" s="10"/>
      <c r="P268" s="10"/>
      <c r="Q268" s="10"/>
      <c r="R268" s="10"/>
      <c r="S268" s="10"/>
      <c r="T268" s="10"/>
      <c r="U268" s="10"/>
      <c r="V268" s="4" t="s">
        <v>576</v>
      </c>
      <c r="W268" s="4" t="s">
        <v>446</v>
      </c>
      <c r="X268" s="8"/>
      <c r="Y268" s="4"/>
      <c r="Z268" s="4"/>
      <c r="AA268" s="8">
        <v>45025</v>
      </c>
      <c r="AB268" s="8">
        <v>45025</v>
      </c>
      <c r="AC268" s="4"/>
      <c r="AD268" s="4"/>
    </row>
    <row r="269" spans="1:30" hidden="1">
      <c r="A269" s="4">
        <v>2028</v>
      </c>
      <c r="B269" s="8">
        <v>45020</v>
      </c>
      <c r="C269" s="4"/>
      <c r="D269" s="4" t="s">
        <v>397</v>
      </c>
      <c r="E269" s="8">
        <v>45023</v>
      </c>
      <c r="F269" s="4" t="s">
        <v>43</v>
      </c>
      <c r="G269" s="15" t="s">
        <v>520</v>
      </c>
      <c r="H269" s="4" t="s">
        <v>52</v>
      </c>
      <c r="I269" s="4" t="s">
        <v>582</v>
      </c>
      <c r="J269" s="10">
        <v>0.39300000000000002</v>
      </c>
      <c r="K269" s="10">
        <v>0.39300000000000002</v>
      </c>
      <c r="L269" s="10">
        <f t="shared" si="9"/>
        <v>0</v>
      </c>
      <c r="M269" s="10">
        <f t="shared" si="14"/>
        <v>0</v>
      </c>
      <c r="N269" s="10"/>
      <c r="O269" s="10"/>
      <c r="P269" s="10"/>
      <c r="Q269" s="10"/>
      <c r="R269" s="10"/>
      <c r="S269" s="10"/>
      <c r="T269" s="10"/>
      <c r="U269" s="10"/>
      <c r="V269" s="4" t="s">
        <v>576</v>
      </c>
      <c r="W269" s="4" t="s">
        <v>446</v>
      </c>
      <c r="X269" s="8"/>
      <c r="Y269" s="4"/>
      <c r="Z269" s="4"/>
      <c r="AA269" s="8">
        <v>45025</v>
      </c>
      <c r="AB269" s="8">
        <v>45025</v>
      </c>
      <c r="AC269" s="4"/>
      <c r="AD269" s="4"/>
    </row>
    <row r="270" spans="1:30" hidden="1">
      <c r="A270" s="4">
        <v>2019</v>
      </c>
      <c r="B270" s="8">
        <v>45019</v>
      </c>
      <c r="C270" s="4"/>
      <c r="D270" s="4" t="s">
        <v>42</v>
      </c>
      <c r="E270" s="8">
        <v>45023</v>
      </c>
      <c r="F270" s="4" t="s">
        <v>43</v>
      </c>
      <c r="G270" s="40" t="s">
        <v>60</v>
      </c>
      <c r="H270" s="4" t="s">
        <v>45</v>
      </c>
      <c r="I270" s="4" t="s">
        <v>403</v>
      </c>
      <c r="J270" s="10">
        <v>2.39</v>
      </c>
      <c r="K270" s="10">
        <v>2.407</v>
      </c>
      <c r="L270" s="10">
        <f t="shared" si="9"/>
        <v>0</v>
      </c>
      <c r="M270" s="10">
        <f t="shared" si="14"/>
        <v>0</v>
      </c>
      <c r="N270" s="10"/>
      <c r="O270" s="10"/>
      <c r="P270" s="10">
        <v>0</v>
      </c>
      <c r="Q270" s="10"/>
      <c r="R270" s="10"/>
      <c r="S270" s="10"/>
      <c r="T270" s="10"/>
      <c r="U270" s="10"/>
      <c r="V270" s="4" t="s">
        <v>85</v>
      </c>
      <c r="W270" s="4" t="s">
        <v>446</v>
      </c>
      <c r="X270" s="8"/>
      <c r="Y270" s="4"/>
      <c r="Z270" s="4"/>
      <c r="AA270" s="8">
        <v>45028</v>
      </c>
      <c r="AB270" s="8">
        <v>45028</v>
      </c>
      <c r="AC270" s="4"/>
      <c r="AD270" s="4"/>
    </row>
    <row r="271" spans="1:30" hidden="1">
      <c r="A271" s="4">
        <v>2020</v>
      </c>
      <c r="B271" s="8">
        <v>45019</v>
      </c>
      <c r="C271" s="4"/>
      <c r="D271" s="4" t="s">
        <v>397</v>
      </c>
      <c r="E271" s="8">
        <v>45023</v>
      </c>
      <c r="F271" s="4" t="s">
        <v>43</v>
      </c>
      <c r="G271" s="15" t="s">
        <v>520</v>
      </c>
      <c r="H271" s="4" t="s">
        <v>52</v>
      </c>
      <c r="I271" s="4" t="s">
        <v>46</v>
      </c>
      <c r="J271" s="10">
        <v>0.1608</v>
      </c>
      <c r="K271" s="10">
        <v>0.314</v>
      </c>
      <c r="L271" s="10">
        <f t="shared" si="9"/>
        <v>0</v>
      </c>
      <c r="M271" s="10">
        <f t="shared" si="14"/>
        <v>0</v>
      </c>
      <c r="N271" s="10"/>
      <c r="O271" s="10"/>
      <c r="P271" s="10">
        <v>0</v>
      </c>
      <c r="Q271" s="10"/>
      <c r="R271" s="10"/>
      <c r="S271" s="10"/>
      <c r="T271" s="10"/>
      <c r="U271" s="10"/>
      <c r="V271" s="4" t="s">
        <v>572</v>
      </c>
      <c r="W271" s="4" t="s">
        <v>446</v>
      </c>
      <c r="X271" s="8"/>
      <c r="Y271" s="4"/>
      <c r="Z271" s="4"/>
      <c r="AA271" s="8">
        <v>45030</v>
      </c>
      <c r="AB271" s="8">
        <v>45030</v>
      </c>
      <c r="AC271" s="4"/>
      <c r="AD271" s="4"/>
    </row>
    <row r="272" spans="1:30" hidden="1">
      <c r="A272" s="4">
        <v>2020</v>
      </c>
      <c r="B272" s="8">
        <v>45019</v>
      </c>
      <c r="C272" s="4"/>
      <c r="D272" s="4" t="s">
        <v>397</v>
      </c>
      <c r="E272" s="8">
        <v>45023</v>
      </c>
      <c r="F272" s="4" t="s">
        <v>43</v>
      </c>
      <c r="G272" s="15" t="s">
        <v>520</v>
      </c>
      <c r="H272" s="4" t="s">
        <v>52</v>
      </c>
      <c r="I272" s="4" t="s">
        <v>89</v>
      </c>
      <c r="J272" s="10">
        <v>1.8924000000000001</v>
      </c>
      <c r="K272" s="10">
        <v>1.9410000000000001</v>
      </c>
      <c r="L272" s="10">
        <f t="shared" si="9"/>
        <v>0</v>
      </c>
      <c r="M272" s="10">
        <f t="shared" si="14"/>
        <v>0</v>
      </c>
      <c r="N272" s="10"/>
      <c r="O272" s="10"/>
      <c r="P272" s="10">
        <v>0</v>
      </c>
      <c r="Q272" s="10"/>
      <c r="R272" s="10"/>
      <c r="S272" s="10"/>
      <c r="T272" s="10"/>
      <c r="U272" s="10"/>
      <c r="V272" s="4" t="s">
        <v>572</v>
      </c>
      <c r="W272" s="4" t="s">
        <v>602</v>
      </c>
      <c r="X272" s="8"/>
      <c r="Y272" s="4"/>
      <c r="Z272" s="4"/>
      <c r="AA272" s="8">
        <v>45029</v>
      </c>
      <c r="AB272" s="8">
        <v>45029</v>
      </c>
      <c r="AC272" s="4"/>
      <c r="AD272" s="4"/>
    </row>
    <row r="273" spans="1:30" hidden="1">
      <c r="A273" s="4">
        <v>2021</v>
      </c>
      <c r="B273" s="8">
        <v>45019</v>
      </c>
      <c r="C273" s="4" t="s">
        <v>610</v>
      </c>
      <c r="D273" s="4" t="s">
        <v>42</v>
      </c>
      <c r="E273" s="8">
        <v>45031</v>
      </c>
      <c r="F273" s="4" t="s">
        <v>43</v>
      </c>
      <c r="G273" s="39" t="s">
        <v>186</v>
      </c>
      <c r="H273" s="4" t="s">
        <v>45</v>
      </c>
      <c r="I273" s="4" t="s">
        <v>405</v>
      </c>
      <c r="J273" s="10">
        <v>54.151800000000001</v>
      </c>
      <c r="K273" s="10">
        <f>22.991+13.863+1.68+4.493+10.88+0.367</f>
        <v>54.274000000000001</v>
      </c>
      <c r="L273" s="10">
        <f t="shared" si="9"/>
        <v>0</v>
      </c>
      <c r="M273" s="10">
        <f t="shared" ref="M273:M282" si="15">SUM(N273:T273)</f>
        <v>0</v>
      </c>
      <c r="N273" s="10"/>
      <c r="O273" s="10"/>
      <c r="P273" s="10">
        <v>0</v>
      </c>
      <c r="Q273" s="10"/>
      <c r="R273" s="10"/>
      <c r="S273" s="10"/>
      <c r="T273" s="10"/>
      <c r="U273" s="10"/>
      <c r="V273" s="4" t="s">
        <v>404</v>
      </c>
      <c r="W273" s="4"/>
      <c r="X273" s="8">
        <v>45025</v>
      </c>
      <c r="Y273" s="4"/>
      <c r="Z273" s="4"/>
      <c r="AA273" s="8">
        <v>45029</v>
      </c>
      <c r="AB273" s="8">
        <v>45052</v>
      </c>
      <c r="AC273" s="4"/>
      <c r="AD273" s="4"/>
    </row>
    <row r="274" spans="1:30" hidden="1">
      <c r="A274" s="4">
        <v>2021</v>
      </c>
      <c r="B274" s="8">
        <v>45019</v>
      </c>
      <c r="C274" s="4" t="s">
        <v>610</v>
      </c>
      <c r="D274" s="4" t="s">
        <v>42</v>
      </c>
      <c r="E274" s="8">
        <v>45031</v>
      </c>
      <c r="F274" s="4" t="s">
        <v>43</v>
      </c>
      <c r="G274" s="39" t="s">
        <v>186</v>
      </c>
      <c r="H274" s="4" t="s">
        <v>45</v>
      </c>
      <c r="I274" s="4" t="s">
        <v>400</v>
      </c>
      <c r="J274" s="10">
        <v>69.333259999999996</v>
      </c>
      <c r="K274" s="10">
        <f>5.592+31.723+18.831+8.341+4.785+0.142</f>
        <v>69.413999999999987</v>
      </c>
      <c r="L274" s="10">
        <f t="shared" si="9"/>
        <v>0</v>
      </c>
      <c r="M274" s="10">
        <f t="shared" si="15"/>
        <v>0</v>
      </c>
      <c r="N274" s="10"/>
      <c r="O274" s="10"/>
      <c r="P274" s="10">
        <v>0</v>
      </c>
      <c r="Q274" s="10"/>
      <c r="R274" s="10"/>
      <c r="S274" s="10"/>
      <c r="T274" s="10"/>
      <c r="U274" s="10"/>
      <c r="V274" s="4" t="s">
        <v>404</v>
      </c>
      <c r="W274" s="4"/>
      <c r="X274" s="8">
        <v>45025</v>
      </c>
      <c r="Y274" s="4"/>
      <c r="Z274" s="4"/>
      <c r="AA274" s="8">
        <v>45031</v>
      </c>
      <c r="AB274" s="8">
        <v>45052</v>
      </c>
      <c r="AC274" s="4"/>
      <c r="AD274" s="4"/>
    </row>
    <row r="275" spans="1:30" hidden="1">
      <c r="A275" s="4">
        <v>2021</v>
      </c>
      <c r="B275" s="8">
        <v>45019</v>
      </c>
      <c r="C275" s="4" t="s">
        <v>610</v>
      </c>
      <c r="D275" s="4" t="s">
        <v>42</v>
      </c>
      <c r="E275" s="8">
        <v>45031</v>
      </c>
      <c r="F275" s="4" t="s">
        <v>43</v>
      </c>
      <c r="G275" s="39" t="s">
        <v>186</v>
      </c>
      <c r="H275" s="4" t="s">
        <v>45</v>
      </c>
      <c r="I275" s="4" t="s">
        <v>46</v>
      </c>
      <c r="J275" s="10">
        <v>121.52862</v>
      </c>
      <c r="K275" s="10">
        <f>7.359+23.616+31.039+22.987+21.589+2.673+7.429+5.078</f>
        <v>121.77000000000001</v>
      </c>
      <c r="L275" s="10">
        <f t="shared" si="9"/>
        <v>0</v>
      </c>
      <c r="M275" s="10">
        <f t="shared" si="15"/>
        <v>0</v>
      </c>
      <c r="N275" s="10"/>
      <c r="O275" s="10"/>
      <c r="P275" s="10">
        <v>0</v>
      </c>
      <c r="Q275" s="10"/>
      <c r="R275" s="10"/>
      <c r="S275" s="10"/>
      <c r="T275" s="10"/>
      <c r="U275" s="10"/>
      <c r="V275" s="4" t="s">
        <v>404</v>
      </c>
      <c r="W275" s="4"/>
      <c r="X275" s="8">
        <v>45026</v>
      </c>
      <c r="Y275" s="4"/>
      <c r="Z275" s="4"/>
      <c r="AA275" s="8">
        <v>45029</v>
      </c>
      <c r="AB275" s="8">
        <v>45039</v>
      </c>
      <c r="AC275" s="4"/>
      <c r="AD275" s="4"/>
    </row>
    <row r="276" spans="1:30" hidden="1">
      <c r="A276" s="4">
        <v>2021</v>
      </c>
      <c r="B276" s="8">
        <v>45019</v>
      </c>
      <c r="C276" s="4" t="s">
        <v>610</v>
      </c>
      <c r="D276" s="4" t="s">
        <v>42</v>
      </c>
      <c r="E276" s="8">
        <v>45031</v>
      </c>
      <c r="F276" s="4" t="s">
        <v>43</v>
      </c>
      <c r="G276" s="39" t="s">
        <v>186</v>
      </c>
      <c r="H276" s="4" t="s">
        <v>45</v>
      </c>
      <c r="I276" s="4" t="s">
        <v>406</v>
      </c>
      <c r="J276" s="10">
        <v>23.611499999999999</v>
      </c>
      <c r="K276" s="10">
        <f>6.372+3.84+5.85+4.724+1.709+1.347</f>
        <v>23.841999999999999</v>
      </c>
      <c r="L276" s="10">
        <f t="shared" si="9"/>
        <v>0</v>
      </c>
      <c r="M276" s="10">
        <f t="shared" si="15"/>
        <v>0</v>
      </c>
      <c r="N276" s="10"/>
      <c r="O276" s="10"/>
      <c r="P276" s="10">
        <v>0</v>
      </c>
      <c r="Q276" s="10"/>
      <c r="R276" s="10"/>
      <c r="S276" s="10"/>
      <c r="T276" s="10"/>
      <c r="U276" s="10"/>
      <c r="V276" s="4" t="s">
        <v>404</v>
      </c>
      <c r="W276" s="4"/>
      <c r="X276" s="8">
        <v>45026</v>
      </c>
      <c r="Y276" s="4"/>
      <c r="Z276" s="4"/>
      <c r="AA276" s="8">
        <v>45031</v>
      </c>
      <c r="AB276" s="8">
        <v>45040</v>
      </c>
      <c r="AC276" s="4"/>
      <c r="AD276" s="4"/>
    </row>
    <row r="277" spans="1:30" hidden="1">
      <c r="A277" s="4">
        <v>2021</v>
      </c>
      <c r="B277" s="8">
        <v>45019</v>
      </c>
      <c r="C277" s="4" t="s">
        <v>610</v>
      </c>
      <c r="D277" s="4" t="s">
        <v>42</v>
      </c>
      <c r="E277" s="8">
        <v>45031</v>
      </c>
      <c r="F277" s="4" t="s">
        <v>43</v>
      </c>
      <c r="G277" s="39" t="s">
        <v>186</v>
      </c>
      <c r="H277" s="4" t="s">
        <v>45</v>
      </c>
      <c r="I277" s="4" t="s">
        <v>472</v>
      </c>
      <c r="J277" s="10">
        <v>26.924543999999997</v>
      </c>
      <c r="K277" s="10">
        <f>16.147+10.768</f>
        <v>26.914999999999999</v>
      </c>
      <c r="L277" s="10">
        <f t="shared" si="9"/>
        <v>0</v>
      </c>
      <c r="M277" s="10">
        <f t="shared" si="15"/>
        <v>0</v>
      </c>
      <c r="N277" s="10"/>
      <c r="O277" s="10"/>
      <c r="P277" s="10">
        <v>0</v>
      </c>
      <c r="Q277" s="10"/>
      <c r="R277" s="10"/>
      <c r="S277" s="10"/>
      <c r="T277" s="10"/>
      <c r="U277" s="10"/>
      <c r="V277" s="4" t="s">
        <v>404</v>
      </c>
      <c r="W277" s="4"/>
      <c r="X277" s="8">
        <v>45023</v>
      </c>
      <c r="Y277" s="4"/>
      <c r="Z277" s="4"/>
      <c r="AA277" s="8">
        <v>45025</v>
      </c>
      <c r="AB277" s="8"/>
      <c r="AC277" s="4"/>
      <c r="AD277" s="4"/>
    </row>
    <row r="278" spans="1:30" hidden="1">
      <c r="A278" s="4">
        <v>2021</v>
      </c>
      <c r="B278" s="8">
        <v>45019</v>
      </c>
      <c r="C278" s="4" t="s">
        <v>610</v>
      </c>
      <c r="D278" s="4" t="s">
        <v>42</v>
      </c>
      <c r="E278" s="8">
        <v>45031</v>
      </c>
      <c r="F278" s="4" t="s">
        <v>43</v>
      </c>
      <c r="G278" s="39" t="s">
        <v>186</v>
      </c>
      <c r="H278" s="4" t="s">
        <v>45</v>
      </c>
      <c r="I278" s="4" t="s">
        <v>473</v>
      </c>
      <c r="J278" s="10">
        <v>27.069486999999999</v>
      </c>
      <c r="K278" s="10">
        <f>10.463+0.923+0.065+9.115+1.243+5.238</f>
        <v>27.046999999999997</v>
      </c>
      <c r="L278" s="10">
        <f t="shared" si="9"/>
        <v>0</v>
      </c>
      <c r="M278" s="10">
        <f t="shared" si="15"/>
        <v>0</v>
      </c>
      <c r="N278" s="10"/>
      <c r="O278" s="10"/>
      <c r="P278" s="10">
        <v>0</v>
      </c>
      <c r="Q278" s="10"/>
      <c r="R278" s="10"/>
      <c r="S278" s="10">
        <v>0</v>
      </c>
      <c r="T278" s="10"/>
      <c r="U278" s="10"/>
      <c r="V278" s="4" t="s">
        <v>404</v>
      </c>
      <c r="W278" s="4" t="s">
        <v>37</v>
      </c>
      <c r="X278" s="8">
        <v>45022</v>
      </c>
      <c r="Y278" s="4"/>
      <c r="Z278" s="4"/>
      <c r="AA278" s="8">
        <v>45025</v>
      </c>
      <c r="AB278" s="8">
        <v>45032</v>
      </c>
      <c r="AC278" s="4"/>
      <c r="AD278" s="4"/>
    </row>
    <row r="279" spans="1:30" hidden="1">
      <c r="A279" s="4">
        <v>2021</v>
      </c>
      <c r="B279" s="8">
        <v>45019</v>
      </c>
      <c r="C279" s="4" t="s">
        <v>610</v>
      </c>
      <c r="D279" s="4" t="s">
        <v>42</v>
      </c>
      <c r="E279" s="8">
        <v>45031</v>
      </c>
      <c r="F279" s="4" t="s">
        <v>43</v>
      </c>
      <c r="G279" s="39" t="s">
        <v>186</v>
      </c>
      <c r="H279" s="4" t="s">
        <v>45</v>
      </c>
      <c r="I279" s="4" t="s">
        <v>246</v>
      </c>
      <c r="J279" s="10">
        <f>10.424+19.752+0.753+1.659</f>
        <v>32.588000000000001</v>
      </c>
      <c r="K279" s="10">
        <f>10.424+19.752+0.753+1.659</f>
        <v>32.588000000000001</v>
      </c>
      <c r="L279" s="10">
        <f t="shared" si="9"/>
        <v>0</v>
      </c>
      <c r="M279" s="10">
        <f t="shared" si="15"/>
        <v>0</v>
      </c>
      <c r="N279" s="10"/>
      <c r="O279" s="10"/>
      <c r="P279" s="10"/>
      <c r="Q279" s="10"/>
      <c r="R279" s="10"/>
      <c r="S279" s="10"/>
      <c r="T279" s="10"/>
      <c r="U279" s="10"/>
      <c r="V279" s="4" t="s">
        <v>404</v>
      </c>
      <c r="W279" s="4" t="s">
        <v>660</v>
      </c>
      <c r="X279" s="8">
        <v>45024</v>
      </c>
      <c r="Y279" s="4"/>
      <c r="Z279" s="4"/>
      <c r="AA279" s="8">
        <v>45027</v>
      </c>
      <c r="AB279" s="8"/>
      <c r="AC279" s="4"/>
      <c r="AD279" s="4"/>
    </row>
    <row r="280" spans="1:30" hidden="1">
      <c r="A280" s="4">
        <v>2021</v>
      </c>
      <c r="B280" s="8">
        <v>45019</v>
      </c>
      <c r="C280" s="4" t="s">
        <v>610</v>
      </c>
      <c r="D280" s="4" t="s">
        <v>42</v>
      </c>
      <c r="E280" s="8">
        <v>45031</v>
      </c>
      <c r="F280" s="4" t="s">
        <v>43</v>
      </c>
      <c r="G280" s="39" t="s">
        <v>186</v>
      </c>
      <c r="H280" s="4" t="s">
        <v>45</v>
      </c>
      <c r="I280" s="4" t="s">
        <v>100</v>
      </c>
      <c r="J280" s="10">
        <v>89.181840000000008</v>
      </c>
      <c r="K280" s="10">
        <f>31.497+4.382+11.554+9.69+6.157+13.622+12.288</f>
        <v>89.19</v>
      </c>
      <c r="L280" s="10">
        <f t="shared" si="9"/>
        <v>0</v>
      </c>
      <c r="M280" s="10">
        <f t="shared" si="15"/>
        <v>0</v>
      </c>
      <c r="N280" s="10"/>
      <c r="O280" s="10"/>
      <c r="P280" s="10">
        <v>0</v>
      </c>
      <c r="Q280" s="10"/>
      <c r="R280" s="10"/>
      <c r="S280" s="10"/>
      <c r="T280" s="10"/>
      <c r="U280" s="10"/>
      <c r="V280" s="4" t="s">
        <v>404</v>
      </c>
      <c r="W280" s="4"/>
      <c r="X280" s="8">
        <v>45024</v>
      </c>
      <c r="Y280" s="4"/>
      <c r="Z280" s="4"/>
      <c r="AA280" s="8">
        <v>45026</v>
      </c>
      <c r="AB280" s="8">
        <v>45028</v>
      </c>
      <c r="AC280" s="4"/>
      <c r="AD280" s="4"/>
    </row>
    <row r="281" spans="1:30" hidden="1">
      <c r="A281" s="4">
        <v>2021</v>
      </c>
      <c r="B281" s="8">
        <v>45019</v>
      </c>
      <c r="C281" s="4" t="s">
        <v>610</v>
      </c>
      <c r="D281" s="4" t="s">
        <v>42</v>
      </c>
      <c r="E281" s="8">
        <v>45031</v>
      </c>
      <c r="F281" s="4" t="s">
        <v>43</v>
      </c>
      <c r="G281" s="39" t="s">
        <v>186</v>
      </c>
      <c r="H281" s="4" t="s">
        <v>45</v>
      </c>
      <c r="I281" s="4" t="s">
        <v>96</v>
      </c>
      <c r="J281" s="10">
        <v>30.960056999999999</v>
      </c>
      <c r="K281" s="10">
        <f>9.953+10.361+8.173+0.838+1.641</f>
        <v>30.966000000000001</v>
      </c>
      <c r="L281" s="10">
        <f t="shared" si="9"/>
        <v>0</v>
      </c>
      <c r="M281" s="10">
        <f t="shared" si="15"/>
        <v>0</v>
      </c>
      <c r="N281" s="10"/>
      <c r="O281" s="10"/>
      <c r="P281" s="10">
        <v>0</v>
      </c>
      <c r="Q281" s="10"/>
      <c r="R281" s="10"/>
      <c r="S281" s="10"/>
      <c r="T281" s="10"/>
      <c r="U281" s="10"/>
      <c r="V281" s="4" t="s">
        <v>404</v>
      </c>
      <c r="W281" s="4" t="s">
        <v>37</v>
      </c>
      <c r="X281" s="8">
        <v>45024</v>
      </c>
      <c r="Y281" s="4"/>
      <c r="Z281" s="4"/>
      <c r="AA281" s="8">
        <v>45027</v>
      </c>
      <c r="AB281" s="8"/>
      <c r="AC281" s="4"/>
      <c r="AD281" s="4"/>
    </row>
    <row r="282" spans="1:30" hidden="1">
      <c r="A282" s="4">
        <v>2021</v>
      </c>
      <c r="B282" s="8">
        <v>45019</v>
      </c>
      <c r="C282" s="4" t="s">
        <v>609</v>
      </c>
      <c r="D282" s="4" t="s">
        <v>397</v>
      </c>
      <c r="E282" s="8">
        <v>45031</v>
      </c>
      <c r="F282" s="4" t="s">
        <v>43</v>
      </c>
      <c r="G282" s="15" t="s">
        <v>190</v>
      </c>
      <c r="H282" s="4" t="s">
        <v>52</v>
      </c>
      <c r="I282" s="4" t="s">
        <v>100</v>
      </c>
      <c r="J282" s="10">
        <v>0.96694999999999998</v>
      </c>
      <c r="K282" s="10">
        <v>1.135</v>
      </c>
      <c r="L282" s="10">
        <f t="shared" si="9"/>
        <v>0</v>
      </c>
      <c r="M282" s="10">
        <f t="shared" si="15"/>
        <v>0</v>
      </c>
      <c r="N282" s="10"/>
      <c r="O282" s="10"/>
      <c r="P282" s="10"/>
      <c r="Q282" s="10"/>
      <c r="R282" s="10"/>
      <c r="S282" s="10"/>
      <c r="T282" s="10"/>
      <c r="U282" s="10"/>
      <c r="V282" s="4" t="s">
        <v>404</v>
      </c>
      <c r="W282" s="4" t="s">
        <v>602</v>
      </c>
      <c r="X282" s="8"/>
      <c r="Y282" s="4"/>
      <c r="Z282" s="4"/>
      <c r="AA282" s="8">
        <v>45030</v>
      </c>
      <c r="AB282" s="8">
        <v>45030</v>
      </c>
      <c r="AC282" s="4"/>
      <c r="AD282" s="4"/>
    </row>
    <row r="283" spans="1:30" hidden="1">
      <c r="A283" s="4">
        <v>2022</v>
      </c>
      <c r="B283" s="8">
        <v>45019</v>
      </c>
      <c r="C283" s="4" t="s">
        <v>612</v>
      </c>
      <c r="D283" s="4" t="s">
        <v>42</v>
      </c>
      <c r="E283" s="8">
        <v>45031</v>
      </c>
      <c r="F283" s="4" t="s">
        <v>43</v>
      </c>
      <c r="G283" s="39" t="s">
        <v>186</v>
      </c>
      <c r="H283" s="4" t="s">
        <v>45</v>
      </c>
      <c r="I283" s="4" t="s">
        <v>403</v>
      </c>
      <c r="J283" s="10">
        <v>4.5434199999999993</v>
      </c>
      <c r="K283" s="10">
        <f>3.556+0.988</f>
        <v>4.5440000000000005</v>
      </c>
      <c r="L283" s="10">
        <f t="shared" si="9"/>
        <v>0</v>
      </c>
      <c r="M283" s="10">
        <f t="shared" ref="M283:M294" si="16">SUM(N283:T283)</f>
        <v>0</v>
      </c>
      <c r="N283" s="10"/>
      <c r="O283" s="10"/>
      <c r="P283" s="10">
        <v>0</v>
      </c>
      <c r="Q283" s="10"/>
      <c r="R283" s="10"/>
      <c r="S283" s="10"/>
      <c r="T283" s="10"/>
      <c r="U283" s="10"/>
      <c r="V283" s="4" t="s">
        <v>411</v>
      </c>
      <c r="W283" s="4"/>
      <c r="X283" s="8">
        <v>45026</v>
      </c>
      <c r="Y283" s="4"/>
      <c r="Z283" s="4"/>
      <c r="AA283" s="8">
        <v>45037</v>
      </c>
      <c r="AB283" s="8">
        <v>45039</v>
      </c>
      <c r="AC283" s="4"/>
      <c r="AD283" s="4"/>
    </row>
    <row r="284" spans="1:30" hidden="1">
      <c r="A284" s="4">
        <v>2022</v>
      </c>
      <c r="B284" s="8">
        <v>45019</v>
      </c>
      <c r="C284" s="4" t="s">
        <v>612</v>
      </c>
      <c r="D284" s="4" t="s">
        <v>42</v>
      </c>
      <c r="E284" s="8">
        <v>45031</v>
      </c>
      <c r="F284" s="4" t="s">
        <v>43</v>
      </c>
      <c r="G284" s="39" t="s">
        <v>186</v>
      </c>
      <c r="H284" s="4" t="s">
        <v>45</v>
      </c>
      <c r="I284" s="4" t="s">
        <v>400</v>
      </c>
      <c r="J284" s="10">
        <v>0.50975999999999999</v>
      </c>
      <c r="K284" s="10">
        <v>0.51</v>
      </c>
      <c r="L284" s="10">
        <f t="shared" si="9"/>
        <v>0</v>
      </c>
      <c r="M284" s="10">
        <f t="shared" si="16"/>
        <v>0</v>
      </c>
      <c r="N284" s="10"/>
      <c r="O284" s="10"/>
      <c r="P284" s="10">
        <v>0</v>
      </c>
      <c r="Q284" s="10"/>
      <c r="R284" s="10"/>
      <c r="S284" s="10"/>
      <c r="T284" s="10"/>
      <c r="U284" s="10"/>
      <c r="V284" s="4" t="s">
        <v>411</v>
      </c>
      <c r="W284" s="4"/>
      <c r="X284" s="8">
        <v>45025</v>
      </c>
      <c r="Y284" s="4"/>
      <c r="Z284" s="4"/>
      <c r="AA284" s="8">
        <v>45037</v>
      </c>
      <c r="AB284" s="8">
        <v>45037</v>
      </c>
      <c r="AC284" s="4"/>
      <c r="AD284" s="4"/>
    </row>
    <row r="285" spans="1:30" hidden="1">
      <c r="A285" s="4">
        <v>2022</v>
      </c>
      <c r="B285" s="8">
        <v>45019</v>
      </c>
      <c r="C285" s="4" t="s">
        <v>612</v>
      </c>
      <c r="D285" s="4" t="s">
        <v>42</v>
      </c>
      <c r="E285" s="8">
        <v>45031</v>
      </c>
      <c r="F285" s="4" t="s">
        <v>43</v>
      </c>
      <c r="G285" s="39" t="s">
        <v>186</v>
      </c>
      <c r="H285" s="4" t="s">
        <v>45</v>
      </c>
      <c r="I285" s="4" t="s">
        <v>46</v>
      </c>
      <c r="J285" s="10">
        <v>17.866219999999998</v>
      </c>
      <c r="K285" s="10">
        <f>1.986+6.996+3.642+5.415</f>
        <v>18.039000000000001</v>
      </c>
      <c r="L285" s="10">
        <f t="shared" si="9"/>
        <v>0</v>
      </c>
      <c r="M285" s="10">
        <f t="shared" si="16"/>
        <v>0</v>
      </c>
      <c r="N285" s="10"/>
      <c r="O285" s="10"/>
      <c r="P285" s="10">
        <v>0</v>
      </c>
      <c r="Q285" s="10"/>
      <c r="R285" s="10"/>
      <c r="S285" s="10"/>
      <c r="T285" s="10"/>
      <c r="U285" s="10"/>
      <c r="V285" s="4" t="s">
        <v>411</v>
      </c>
      <c r="W285" s="4"/>
      <c r="X285" s="8">
        <v>45026</v>
      </c>
      <c r="Y285" s="4"/>
      <c r="Z285" s="4"/>
      <c r="AA285" s="8">
        <v>45030</v>
      </c>
      <c r="AB285" s="8">
        <v>45037</v>
      </c>
      <c r="AC285" s="4"/>
      <c r="AD285" s="4"/>
    </row>
    <row r="286" spans="1:30" hidden="1">
      <c r="A286" s="4">
        <v>2022</v>
      </c>
      <c r="B286" s="8">
        <v>45019</v>
      </c>
      <c r="C286" s="4" t="s">
        <v>612</v>
      </c>
      <c r="D286" s="4" t="s">
        <v>42</v>
      </c>
      <c r="E286" s="8">
        <v>45031</v>
      </c>
      <c r="F286" s="4" t="s">
        <v>43</v>
      </c>
      <c r="G286" s="39" t="s">
        <v>186</v>
      </c>
      <c r="H286" s="4" t="s">
        <v>45</v>
      </c>
      <c r="I286" s="4" t="s">
        <v>406</v>
      </c>
      <c r="J286" s="10">
        <v>1.32</v>
      </c>
      <c r="K286" s="10">
        <v>1.379</v>
      </c>
      <c r="L286" s="10">
        <f t="shared" si="9"/>
        <v>0</v>
      </c>
      <c r="M286" s="10">
        <f t="shared" si="16"/>
        <v>0</v>
      </c>
      <c r="N286" s="10"/>
      <c r="O286" s="10"/>
      <c r="P286" s="10">
        <v>0</v>
      </c>
      <c r="Q286" s="10"/>
      <c r="R286" s="10"/>
      <c r="S286" s="10"/>
      <c r="T286" s="10"/>
      <c r="U286" s="10"/>
      <c r="V286" s="4" t="s">
        <v>411</v>
      </c>
      <c r="W286" s="4"/>
      <c r="X286" s="8">
        <v>45026</v>
      </c>
      <c r="Y286" s="4"/>
      <c r="Z286" s="4"/>
      <c r="AA286" s="8">
        <v>45039</v>
      </c>
      <c r="AB286" s="8">
        <v>45039</v>
      </c>
      <c r="AC286" s="4"/>
      <c r="AD286" s="4"/>
    </row>
    <row r="287" spans="1:30" hidden="1">
      <c r="A287" s="4">
        <v>2022</v>
      </c>
      <c r="B287" s="8">
        <v>45019</v>
      </c>
      <c r="C287" s="4" t="s">
        <v>612</v>
      </c>
      <c r="D287" s="4" t="s">
        <v>42</v>
      </c>
      <c r="E287" s="8">
        <v>45031</v>
      </c>
      <c r="F287" s="4" t="s">
        <v>43</v>
      </c>
      <c r="G287" s="39" t="s">
        <v>186</v>
      </c>
      <c r="H287" s="4" t="s">
        <v>45</v>
      </c>
      <c r="I287" s="4" t="s">
        <v>472</v>
      </c>
      <c r="J287" s="10">
        <v>6.9154560000000007</v>
      </c>
      <c r="K287" s="10">
        <f>4.902+2.2</f>
        <v>7.1020000000000003</v>
      </c>
      <c r="L287" s="10">
        <f t="shared" si="9"/>
        <v>0</v>
      </c>
      <c r="M287" s="10">
        <f t="shared" si="16"/>
        <v>0</v>
      </c>
      <c r="N287" s="10"/>
      <c r="O287" s="10"/>
      <c r="P287" s="10">
        <v>0</v>
      </c>
      <c r="Q287" s="10"/>
      <c r="R287" s="10"/>
      <c r="S287" s="10"/>
      <c r="T287" s="10"/>
      <c r="U287" s="10"/>
      <c r="V287" s="4" t="s">
        <v>411</v>
      </c>
      <c r="W287" s="4" t="s">
        <v>37</v>
      </c>
      <c r="X287" s="8">
        <v>45023</v>
      </c>
      <c r="Y287" s="4"/>
      <c r="Z287" s="4"/>
      <c r="AA287" s="8">
        <v>45032</v>
      </c>
      <c r="AB287" s="8">
        <v>45032</v>
      </c>
      <c r="AC287" s="4"/>
      <c r="AD287" s="4"/>
    </row>
    <row r="288" spans="1:30" hidden="1">
      <c r="A288" s="4">
        <v>2022</v>
      </c>
      <c r="B288" s="8">
        <v>45019</v>
      </c>
      <c r="C288" s="4" t="s">
        <v>612</v>
      </c>
      <c r="D288" s="4" t="s">
        <v>42</v>
      </c>
      <c r="E288" s="8">
        <v>45031</v>
      </c>
      <c r="F288" s="4" t="s">
        <v>43</v>
      </c>
      <c r="G288" s="39" t="s">
        <v>186</v>
      </c>
      <c r="H288" s="4" t="s">
        <v>45</v>
      </c>
      <c r="I288" s="4" t="s">
        <v>473</v>
      </c>
      <c r="J288" s="10">
        <v>6.6718999999999991</v>
      </c>
      <c r="K288" s="10">
        <f>3.163+1.444+2.077</f>
        <v>6.6839999999999993</v>
      </c>
      <c r="L288" s="10">
        <f t="shared" ref="L288:L303" si="17">M288+U288</f>
        <v>0</v>
      </c>
      <c r="M288" s="10">
        <f t="shared" si="16"/>
        <v>0</v>
      </c>
      <c r="N288" s="10"/>
      <c r="O288" s="10"/>
      <c r="P288" s="10">
        <v>0</v>
      </c>
      <c r="Q288" s="10"/>
      <c r="R288" s="10"/>
      <c r="S288" s="10"/>
      <c r="T288" s="10"/>
      <c r="U288" s="10"/>
      <c r="V288" s="4" t="s">
        <v>411</v>
      </c>
      <c r="W288" s="4" t="s">
        <v>37</v>
      </c>
      <c r="X288" s="8">
        <v>45023</v>
      </c>
      <c r="Y288" s="4"/>
      <c r="Z288" s="4"/>
      <c r="AA288" s="8">
        <v>45025</v>
      </c>
      <c r="AB288" s="8">
        <v>45032</v>
      </c>
      <c r="AC288" s="4"/>
      <c r="AD288" s="4"/>
    </row>
    <row r="289" spans="1:30" hidden="1">
      <c r="A289" s="4">
        <v>2022</v>
      </c>
      <c r="B289" s="8">
        <v>45019</v>
      </c>
      <c r="C289" s="4" t="s">
        <v>612</v>
      </c>
      <c r="D289" s="4" t="s">
        <v>42</v>
      </c>
      <c r="E289" s="8">
        <v>45031</v>
      </c>
      <c r="F289" s="4" t="s">
        <v>43</v>
      </c>
      <c r="G289" s="39" t="s">
        <v>186</v>
      </c>
      <c r="H289" s="4" t="s">
        <v>45</v>
      </c>
      <c r="I289" s="4" t="s">
        <v>100</v>
      </c>
      <c r="J289" s="10">
        <f>1.552+6.899+3.727+1.438</f>
        <v>13.616000000000001</v>
      </c>
      <c r="K289" s="10">
        <f>1.552+6.899+3.727+1.438</f>
        <v>13.616000000000001</v>
      </c>
      <c r="L289" s="10">
        <f t="shared" si="17"/>
        <v>0</v>
      </c>
      <c r="M289" s="10">
        <f t="shared" si="16"/>
        <v>0</v>
      </c>
      <c r="N289" s="10"/>
      <c r="O289" s="10"/>
      <c r="P289" s="10"/>
      <c r="Q289" s="10"/>
      <c r="R289" s="10"/>
      <c r="S289" s="10"/>
      <c r="T289" s="10"/>
      <c r="U289" s="10"/>
      <c r="V289" s="4" t="s">
        <v>411</v>
      </c>
      <c r="W289" s="4" t="s">
        <v>660</v>
      </c>
      <c r="X289" s="8">
        <v>45024</v>
      </c>
      <c r="Y289" s="4"/>
      <c r="Z289" s="4"/>
      <c r="AA289" s="8">
        <v>45027</v>
      </c>
      <c r="AB289" s="8"/>
      <c r="AC289" s="4"/>
      <c r="AD289" s="4"/>
    </row>
    <row r="290" spans="1:30" hidden="1">
      <c r="A290" s="4">
        <v>2022</v>
      </c>
      <c r="B290" s="8">
        <v>45019</v>
      </c>
      <c r="C290" s="4" t="s">
        <v>612</v>
      </c>
      <c r="D290" s="4" t="s">
        <v>42</v>
      </c>
      <c r="E290" s="8">
        <v>45031</v>
      </c>
      <c r="F290" s="4" t="s">
        <v>43</v>
      </c>
      <c r="G290" s="39" t="s">
        <v>186</v>
      </c>
      <c r="H290" s="4" t="s">
        <v>45</v>
      </c>
      <c r="I290" s="4" t="s">
        <v>96</v>
      </c>
      <c r="J290" s="10">
        <v>8.4231650000000009</v>
      </c>
      <c r="K290" s="10">
        <f>5.589+0.774+2.284</f>
        <v>8.6470000000000002</v>
      </c>
      <c r="L290" s="10">
        <f t="shared" si="17"/>
        <v>0</v>
      </c>
      <c r="M290" s="10">
        <f t="shared" si="16"/>
        <v>0</v>
      </c>
      <c r="N290" s="10"/>
      <c r="O290" s="10"/>
      <c r="P290" s="10">
        <v>0</v>
      </c>
      <c r="Q290" s="10"/>
      <c r="R290" s="10"/>
      <c r="S290" s="10">
        <v>0</v>
      </c>
      <c r="T290" s="10"/>
      <c r="U290" s="10"/>
      <c r="V290" s="4" t="s">
        <v>411</v>
      </c>
      <c r="W290" s="4" t="s">
        <v>37</v>
      </c>
      <c r="X290" s="8">
        <v>45024</v>
      </c>
      <c r="Y290" s="4"/>
      <c r="Z290" s="4"/>
      <c r="AA290" s="8">
        <v>45028</v>
      </c>
      <c r="AB290" s="8">
        <v>45039</v>
      </c>
      <c r="AC290" s="4"/>
      <c r="AD290" s="4"/>
    </row>
    <row r="291" spans="1:30" hidden="1">
      <c r="A291" s="4">
        <v>2022</v>
      </c>
      <c r="B291" s="8">
        <v>45038</v>
      </c>
      <c r="C291" s="4" t="s">
        <v>612</v>
      </c>
      <c r="D291" s="4" t="s">
        <v>42</v>
      </c>
      <c r="E291" s="8">
        <v>45039</v>
      </c>
      <c r="F291" s="4" t="s">
        <v>43</v>
      </c>
      <c r="G291" s="15" t="s">
        <v>520</v>
      </c>
      <c r="H291" s="4" t="s">
        <v>52</v>
      </c>
      <c r="I291" s="4" t="s">
        <v>50</v>
      </c>
      <c r="J291" s="10">
        <v>2.411</v>
      </c>
      <c r="K291" s="10">
        <v>2.41</v>
      </c>
      <c r="L291" s="10">
        <f t="shared" si="17"/>
        <v>0</v>
      </c>
      <c r="M291" s="10">
        <f t="shared" ref="M291" si="18">SUM(N291:T291)</f>
        <v>0</v>
      </c>
      <c r="N291" s="10"/>
      <c r="O291" s="10"/>
      <c r="P291" s="10">
        <v>0</v>
      </c>
      <c r="Q291" s="10"/>
      <c r="R291" s="10"/>
      <c r="S291" s="10">
        <v>0</v>
      </c>
      <c r="T291" s="10"/>
      <c r="U291" s="10"/>
      <c r="V291" s="4" t="s">
        <v>411</v>
      </c>
      <c r="W291" s="4" t="s">
        <v>446</v>
      </c>
      <c r="X291" s="8"/>
      <c r="Y291" s="4"/>
      <c r="Z291" s="4"/>
      <c r="AA291" s="8">
        <v>45038</v>
      </c>
      <c r="AB291" s="8">
        <v>45038</v>
      </c>
      <c r="AC291" s="4"/>
      <c r="AD291" s="4"/>
    </row>
    <row r="292" spans="1:30" hidden="1">
      <c r="A292" s="4">
        <v>2022</v>
      </c>
      <c r="B292" s="8">
        <v>45019</v>
      </c>
      <c r="C292" s="4" t="s">
        <v>611</v>
      </c>
      <c r="D292" s="4" t="s">
        <v>397</v>
      </c>
      <c r="E292" s="8">
        <v>45031</v>
      </c>
      <c r="F292" s="4" t="s">
        <v>43</v>
      </c>
      <c r="G292" s="15" t="s">
        <v>520</v>
      </c>
      <c r="H292" s="4" t="s">
        <v>52</v>
      </c>
      <c r="I292" s="4" t="s">
        <v>133</v>
      </c>
      <c r="J292" s="10">
        <v>0.3216</v>
      </c>
      <c r="K292" s="10">
        <v>0.504</v>
      </c>
      <c r="L292" s="10">
        <f t="shared" si="17"/>
        <v>0</v>
      </c>
      <c r="M292" s="10">
        <f t="shared" si="16"/>
        <v>0</v>
      </c>
      <c r="N292" s="10"/>
      <c r="O292" s="10"/>
      <c r="P292" s="10"/>
      <c r="Q292" s="10"/>
      <c r="R292" s="10"/>
      <c r="S292" s="10">
        <v>0</v>
      </c>
      <c r="T292" s="10"/>
      <c r="U292" s="10"/>
      <c r="V292" s="4" t="s">
        <v>411</v>
      </c>
      <c r="W292" s="4" t="s">
        <v>446</v>
      </c>
      <c r="X292" s="8"/>
      <c r="Y292" s="4"/>
      <c r="Z292" s="4"/>
      <c r="AA292" s="8">
        <v>45033</v>
      </c>
      <c r="AB292" s="8">
        <v>45033</v>
      </c>
      <c r="AC292" s="4"/>
      <c r="AD292" s="4"/>
    </row>
    <row r="293" spans="1:30" hidden="1">
      <c r="A293" s="4">
        <v>2022</v>
      </c>
      <c r="B293" s="8">
        <v>45019</v>
      </c>
      <c r="C293" s="4" t="s">
        <v>611</v>
      </c>
      <c r="D293" s="4" t="s">
        <v>397</v>
      </c>
      <c r="E293" s="8">
        <v>45031</v>
      </c>
      <c r="F293" s="4" t="s">
        <v>43</v>
      </c>
      <c r="G293" s="15" t="s">
        <v>520</v>
      </c>
      <c r="H293" s="4" t="s">
        <v>52</v>
      </c>
      <c r="I293" s="4" t="s">
        <v>100</v>
      </c>
      <c r="J293" s="10">
        <v>1.992</v>
      </c>
      <c r="K293" s="10">
        <v>2.0750000000000002</v>
      </c>
      <c r="L293" s="10">
        <f t="shared" si="17"/>
        <v>0</v>
      </c>
      <c r="M293" s="10">
        <f t="shared" si="16"/>
        <v>0</v>
      </c>
      <c r="N293" s="10"/>
      <c r="O293" s="10"/>
      <c r="P293" s="10"/>
      <c r="Q293" s="10"/>
      <c r="R293" s="10"/>
      <c r="S293" s="10">
        <v>0</v>
      </c>
      <c r="T293" s="10"/>
      <c r="U293" s="10"/>
      <c r="V293" s="4" t="s">
        <v>411</v>
      </c>
      <c r="W293" s="4" t="s">
        <v>602</v>
      </c>
      <c r="X293" s="8"/>
      <c r="Y293" s="4"/>
      <c r="Z293" s="4"/>
      <c r="AA293" s="8">
        <v>45030</v>
      </c>
      <c r="AB293" s="8">
        <v>45030</v>
      </c>
      <c r="AC293" s="4"/>
      <c r="AD293" s="4"/>
    </row>
    <row r="294" spans="1:30" hidden="1">
      <c r="A294" s="4">
        <v>2022</v>
      </c>
      <c r="B294" s="8">
        <v>45019</v>
      </c>
      <c r="C294" s="4" t="s">
        <v>611</v>
      </c>
      <c r="D294" s="4" t="s">
        <v>397</v>
      </c>
      <c r="E294" s="8">
        <v>45031</v>
      </c>
      <c r="F294" s="4" t="s">
        <v>43</v>
      </c>
      <c r="G294" s="15" t="s">
        <v>520</v>
      </c>
      <c r="H294" s="4" t="s">
        <v>52</v>
      </c>
      <c r="I294" s="4" t="s">
        <v>96</v>
      </c>
      <c r="J294" s="10">
        <v>1.11476</v>
      </c>
      <c r="K294" s="10">
        <v>1.1200000000000001</v>
      </c>
      <c r="L294" s="10">
        <f t="shared" si="17"/>
        <v>0</v>
      </c>
      <c r="M294" s="10">
        <f t="shared" si="16"/>
        <v>0</v>
      </c>
      <c r="N294" s="10"/>
      <c r="O294" s="10"/>
      <c r="P294" s="10"/>
      <c r="Q294" s="10"/>
      <c r="R294" s="10"/>
      <c r="S294" s="10">
        <v>0</v>
      </c>
      <c r="T294" s="10"/>
      <c r="U294" s="10"/>
      <c r="V294" s="4" t="s">
        <v>411</v>
      </c>
      <c r="W294" s="4" t="s">
        <v>602</v>
      </c>
      <c r="X294" s="8"/>
      <c r="Y294" s="4"/>
      <c r="Z294" s="4"/>
      <c r="AA294" s="8">
        <v>45033</v>
      </c>
      <c r="AB294" s="8">
        <v>45033</v>
      </c>
      <c r="AC294" s="4"/>
      <c r="AD294" s="4"/>
    </row>
    <row r="295" spans="1:30" hidden="1">
      <c r="A295" s="4">
        <v>7</v>
      </c>
      <c r="B295" s="8">
        <v>45021</v>
      </c>
      <c r="C295" s="4" t="s">
        <v>614</v>
      </c>
      <c r="D295" s="4" t="s">
        <v>42</v>
      </c>
      <c r="E295" s="8">
        <v>45031</v>
      </c>
      <c r="F295" s="4" t="s">
        <v>43</v>
      </c>
      <c r="G295" s="15" t="s">
        <v>578</v>
      </c>
      <c r="H295" s="4" t="s">
        <v>45</v>
      </c>
      <c r="I295" s="4" t="s">
        <v>407</v>
      </c>
      <c r="J295" s="10">
        <v>1.42</v>
      </c>
      <c r="K295" s="10">
        <v>1.4259999999999999</v>
      </c>
      <c r="L295" s="10">
        <f t="shared" si="17"/>
        <v>0</v>
      </c>
      <c r="M295" s="10">
        <f t="shared" ref="M295:M302" si="19">SUM(N295:T295)</f>
        <v>0</v>
      </c>
      <c r="N295" s="10"/>
      <c r="O295" s="10"/>
      <c r="P295" s="10"/>
      <c r="Q295" s="10"/>
      <c r="R295" s="10"/>
      <c r="S295" s="10">
        <v>0</v>
      </c>
      <c r="T295" s="10"/>
      <c r="U295" s="10"/>
      <c r="V295" s="4" t="s">
        <v>572</v>
      </c>
      <c r="W295" s="4" t="s">
        <v>446</v>
      </c>
      <c r="X295" s="8"/>
      <c r="Y295" s="4"/>
      <c r="Z295" s="4"/>
      <c r="AA295" s="8">
        <v>45030</v>
      </c>
      <c r="AB295" s="8">
        <v>45030</v>
      </c>
      <c r="AC295" s="4"/>
      <c r="AD295" s="4"/>
    </row>
    <row r="296" spans="1:30" hidden="1">
      <c r="A296" s="4">
        <v>7</v>
      </c>
      <c r="B296" s="8">
        <v>45019</v>
      </c>
      <c r="C296" s="4" t="s">
        <v>614</v>
      </c>
      <c r="D296" s="4" t="s">
        <v>42</v>
      </c>
      <c r="E296" s="8">
        <v>45031</v>
      </c>
      <c r="F296" s="4" t="s">
        <v>43</v>
      </c>
      <c r="G296" s="15" t="s">
        <v>578</v>
      </c>
      <c r="H296" s="4" t="s">
        <v>45</v>
      </c>
      <c r="I296" s="4" t="s">
        <v>579</v>
      </c>
      <c r="J296" s="10">
        <v>1.1399999999999999</v>
      </c>
      <c r="K296" s="10">
        <v>1.071</v>
      </c>
      <c r="L296" s="10">
        <f t="shared" si="17"/>
        <v>0</v>
      </c>
      <c r="M296" s="10">
        <f t="shared" si="19"/>
        <v>0</v>
      </c>
      <c r="N296" s="10"/>
      <c r="O296" s="10"/>
      <c r="P296" s="10"/>
      <c r="Q296" s="10"/>
      <c r="R296" s="10"/>
      <c r="S296" s="10"/>
      <c r="T296" s="10"/>
      <c r="U296" s="10"/>
      <c r="V296" s="4" t="s">
        <v>572</v>
      </c>
      <c r="W296" s="4" t="s">
        <v>446</v>
      </c>
      <c r="X296" s="8"/>
      <c r="Y296" s="4"/>
      <c r="Z296" s="4"/>
      <c r="AA296" s="8">
        <v>45030</v>
      </c>
      <c r="AB296" s="8">
        <v>45030</v>
      </c>
      <c r="AC296" s="4"/>
      <c r="AD296" s="4"/>
    </row>
    <row r="297" spans="1:30" hidden="1">
      <c r="A297" s="4">
        <v>7</v>
      </c>
      <c r="B297" s="8">
        <v>45019</v>
      </c>
      <c r="C297" s="4" t="s">
        <v>613</v>
      </c>
      <c r="D297" s="4" t="s">
        <v>397</v>
      </c>
      <c r="E297" s="8">
        <v>45031</v>
      </c>
      <c r="F297" s="4" t="s">
        <v>43</v>
      </c>
      <c r="G297" s="15" t="s">
        <v>520</v>
      </c>
      <c r="H297" s="4" t="s">
        <v>52</v>
      </c>
      <c r="I297" s="4" t="s">
        <v>54</v>
      </c>
      <c r="J297" s="10">
        <v>0.56000000000000005</v>
      </c>
      <c r="K297" s="10">
        <v>0.56000000000000005</v>
      </c>
      <c r="L297" s="10">
        <f t="shared" si="17"/>
        <v>0</v>
      </c>
      <c r="M297" s="10">
        <f t="shared" si="19"/>
        <v>0</v>
      </c>
      <c r="N297" s="10"/>
      <c r="O297" s="10"/>
      <c r="P297" s="10"/>
      <c r="Q297" s="10"/>
      <c r="R297" s="10"/>
      <c r="S297" s="10">
        <v>0</v>
      </c>
      <c r="T297" s="10"/>
      <c r="U297" s="10"/>
      <c r="V297" s="4" t="s">
        <v>572</v>
      </c>
      <c r="W297" s="4" t="s">
        <v>446</v>
      </c>
      <c r="X297" s="8"/>
      <c r="Y297" s="4"/>
      <c r="Z297" s="4"/>
      <c r="AA297" s="8">
        <v>45031</v>
      </c>
      <c r="AB297" s="8">
        <v>45031</v>
      </c>
      <c r="AC297" s="4"/>
      <c r="AD297" s="4"/>
    </row>
    <row r="298" spans="1:30" hidden="1">
      <c r="A298" s="4">
        <v>7</v>
      </c>
      <c r="B298" s="8">
        <v>45019</v>
      </c>
      <c r="C298" s="4" t="s">
        <v>613</v>
      </c>
      <c r="D298" s="4" t="s">
        <v>397</v>
      </c>
      <c r="E298" s="8">
        <v>45031</v>
      </c>
      <c r="F298" s="4" t="s">
        <v>43</v>
      </c>
      <c r="G298" s="15" t="s">
        <v>520</v>
      </c>
      <c r="H298" s="4" t="s">
        <v>52</v>
      </c>
      <c r="I298" s="4" t="s">
        <v>56</v>
      </c>
      <c r="J298" s="10">
        <v>4.25</v>
      </c>
      <c r="K298" s="10">
        <v>4.28</v>
      </c>
      <c r="L298" s="10">
        <f t="shared" si="17"/>
        <v>0</v>
      </c>
      <c r="M298" s="10">
        <f t="shared" si="19"/>
        <v>0</v>
      </c>
      <c r="N298" s="10"/>
      <c r="O298" s="10"/>
      <c r="P298" s="10"/>
      <c r="Q298" s="10"/>
      <c r="R298" s="10"/>
      <c r="S298" s="10">
        <v>0</v>
      </c>
      <c r="T298" s="10"/>
      <c r="U298" s="10"/>
      <c r="V298" s="4" t="s">
        <v>572</v>
      </c>
      <c r="W298" s="4" t="s">
        <v>446</v>
      </c>
      <c r="X298" s="8"/>
      <c r="Y298" s="4"/>
      <c r="Z298" s="4"/>
      <c r="AA298" s="8">
        <v>45030</v>
      </c>
      <c r="AB298" s="8">
        <v>45030</v>
      </c>
      <c r="AC298" s="4"/>
      <c r="AD298" s="4"/>
    </row>
    <row r="299" spans="1:30" hidden="1">
      <c r="A299" s="4">
        <v>7</v>
      </c>
      <c r="B299" s="8">
        <v>45019</v>
      </c>
      <c r="C299" s="4" t="s">
        <v>613</v>
      </c>
      <c r="D299" s="4" t="s">
        <v>397</v>
      </c>
      <c r="E299" s="8">
        <v>45031</v>
      </c>
      <c r="F299" s="4" t="s">
        <v>43</v>
      </c>
      <c r="G299" s="15" t="s">
        <v>520</v>
      </c>
      <c r="H299" s="4" t="s">
        <v>52</v>
      </c>
      <c r="I299" s="4" t="s">
        <v>434</v>
      </c>
      <c r="J299" s="10">
        <v>2.91</v>
      </c>
      <c r="K299" s="10">
        <f>2.706+0.438</f>
        <v>3.1440000000000001</v>
      </c>
      <c r="L299" s="10">
        <f t="shared" si="17"/>
        <v>0</v>
      </c>
      <c r="M299" s="10">
        <f t="shared" si="19"/>
        <v>0</v>
      </c>
      <c r="N299" s="10"/>
      <c r="O299" s="10"/>
      <c r="P299" s="10"/>
      <c r="Q299" s="10"/>
      <c r="R299" s="10"/>
      <c r="S299" s="10">
        <v>0</v>
      </c>
      <c r="T299" s="10"/>
      <c r="U299" s="10"/>
      <c r="V299" s="4" t="s">
        <v>572</v>
      </c>
      <c r="W299" s="4" t="s">
        <v>446</v>
      </c>
      <c r="X299" s="8"/>
      <c r="Y299" s="4"/>
      <c r="Z299" s="4"/>
      <c r="AA299" s="8">
        <v>45030</v>
      </c>
      <c r="AB299" s="8">
        <v>45030</v>
      </c>
      <c r="AC299" s="4"/>
      <c r="AD299" s="4"/>
    </row>
    <row r="300" spans="1:30" hidden="1">
      <c r="A300" s="4">
        <v>7</v>
      </c>
      <c r="B300" s="8">
        <v>45019</v>
      </c>
      <c r="C300" s="4" t="s">
        <v>613</v>
      </c>
      <c r="D300" s="4" t="s">
        <v>397</v>
      </c>
      <c r="E300" s="8">
        <v>45031</v>
      </c>
      <c r="F300" s="4" t="s">
        <v>43</v>
      </c>
      <c r="G300" s="15" t="s">
        <v>190</v>
      </c>
      <c r="H300" s="4" t="s">
        <v>52</v>
      </c>
      <c r="I300" s="4" t="s">
        <v>54</v>
      </c>
      <c r="J300" s="10">
        <v>0.18</v>
      </c>
      <c r="K300" s="10">
        <v>0.189</v>
      </c>
      <c r="L300" s="10">
        <f t="shared" si="17"/>
        <v>0</v>
      </c>
      <c r="M300" s="10">
        <f t="shared" si="19"/>
        <v>0</v>
      </c>
      <c r="N300" s="10"/>
      <c r="O300" s="10"/>
      <c r="P300" s="10"/>
      <c r="Q300" s="10"/>
      <c r="R300" s="10"/>
      <c r="S300" s="10">
        <v>0</v>
      </c>
      <c r="T300" s="10"/>
      <c r="U300" s="10"/>
      <c r="V300" s="4" t="s">
        <v>404</v>
      </c>
      <c r="W300" s="4" t="s">
        <v>446</v>
      </c>
      <c r="X300" s="8"/>
      <c r="Y300" s="4"/>
      <c r="Z300" s="4"/>
      <c r="AA300" s="8">
        <v>45031</v>
      </c>
      <c r="AB300" s="8">
        <v>45031</v>
      </c>
      <c r="AC300" s="4"/>
      <c r="AD300" s="4"/>
    </row>
    <row r="301" spans="1:30" hidden="1">
      <c r="A301" s="4">
        <v>7</v>
      </c>
      <c r="B301" s="8">
        <v>45019</v>
      </c>
      <c r="C301" s="4" t="s">
        <v>613</v>
      </c>
      <c r="D301" s="4" t="s">
        <v>397</v>
      </c>
      <c r="E301" s="8">
        <v>45031</v>
      </c>
      <c r="F301" s="4" t="s">
        <v>43</v>
      </c>
      <c r="G301" s="15" t="s">
        <v>520</v>
      </c>
      <c r="H301" s="4" t="s">
        <v>52</v>
      </c>
      <c r="I301" s="4" t="s">
        <v>54</v>
      </c>
      <c r="J301" s="10">
        <v>0.22</v>
      </c>
      <c r="K301" s="10">
        <v>0.29399999999999998</v>
      </c>
      <c r="L301" s="10">
        <f t="shared" si="17"/>
        <v>0</v>
      </c>
      <c r="M301" s="10">
        <f t="shared" si="19"/>
        <v>0</v>
      </c>
      <c r="N301" s="10"/>
      <c r="O301" s="10"/>
      <c r="P301" s="10"/>
      <c r="Q301" s="10"/>
      <c r="R301" s="10"/>
      <c r="S301" s="10">
        <v>0</v>
      </c>
      <c r="T301" s="10"/>
      <c r="U301" s="10"/>
      <c r="V301" s="4" t="s">
        <v>411</v>
      </c>
      <c r="W301" s="4" t="s">
        <v>446</v>
      </c>
      <c r="X301" s="8"/>
      <c r="Y301" s="4"/>
      <c r="Z301" s="4"/>
      <c r="AA301" s="8">
        <v>45031</v>
      </c>
      <c r="AB301" s="8">
        <v>45031</v>
      </c>
      <c r="AC301" s="4"/>
      <c r="AD301" s="4"/>
    </row>
    <row r="302" spans="1:30" hidden="1">
      <c r="A302" s="4">
        <v>7</v>
      </c>
      <c r="B302" s="8">
        <v>45019</v>
      </c>
      <c r="C302" s="4" t="s">
        <v>613</v>
      </c>
      <c r="D302" s="4" t="s">
        <v>397</v>
      </c>
      <c r="E302" s="8">
        <v>45031</v>
      </c>
      <c r="F302" s="4" t="s">
        <v>43</v>
      </c>
      <c r="G302" s="15" t="s">
        <v>520</v>
      </c>
      <c r="H302" s="4" t="s">
        <v>52</v>
      </c>
      <c r="I302" s="4" t="s">
        <v>56</v>
      </c>
      <c r="J302" s="10">
        <v>1.36</v>
      </c>
      <c r="K302" s="10">
        <v>1.4690000000000001</v>
      </c>
      <c r="L302" s="10">
        <f t="shared" si="17"/>
        <v>0</v>
      </c>
      <c r="M302" s="10">
        <f t="shared" si="19"/>
        <v>0</v>
      </c>
      <c r="N302" s="10"/>
      <c r="O302" s="10"/>
      <c r="P302" s="10"/>
      <c r="Q302" s="10"/>
      <c r="R302" s="10"/>
      <c r="S302" s="10">
        <v>0</v>
      </c>
      <c r="T302" s="10"/>
      <c r="U302" s="10"/>
      <c r="V302" s="4" t="s">
        <v>411</v>
      </c>
      <c r="W302" s="4" t="s">
        <v>446</v>
      </c>
      <c r="X302" s="8"/>
      <c r="Y302" s="4"/>
      <c r="Z302" s="4"/>
      <c r="AA302" s="8">
        <v>45030</v>
      </c>
      <c r="AB302" s="8">
        <v>45030</v>
      </c>
      <c r="AC302" s="4"/>
      <c r="AD302" s="4"/>
    </row>
    <row r="303" spans="1:30" hidden="1">
      <c r="A303" s="4">
        <v>12</v>
      </c>
      <c r="B303" s="8">
        <v>45023</v>
      </c>
      <c r="C303" s="4"/>
      <c r="D303" s="4" t="s">
        <v>42</v>
      </c>
      <c r="E303" s="8">
        <v>45031</v>
      </c>
      <c r="F303" s="4" t="s">
        <v>43</v>
      </c>
      <c r="G303" s="39" t="s">
        <v>186</v>
      </c>
      <c r="H303" s="4" t="s">
        <v>45</v>
      </c>
      <c r="I303" s="4" t="s">
        <v>54</v>
      </c>
      <c r="J303" s="10">
        <v>99.931142000000008</v>
      </c>
      <c r="K303" s="10">
        <f>9.269+14.032+8.108+8.744+20.339+28.964+2.494+1.519+5.774+0.919</f>
        <v>100.16200000000001</v>
      </c>
      <c r="L303" s="10">
        <f t="shared" si="17"/>
        <v>0</v>
      </c>
      <c r="M303" s="10">
        <f t="shared" ref="M303" si="20">SUM(N303:T303)</f>
        <v>0</v>
      </c>
      <c r="N303" s="10"/>
      <c r="O303" s="10"/>
      <c r="P303" s="10">
        <v>0</v>
      </c>
      <c r="Q303" s="10"/>
      <c r="R303" s="10"/>
      <c r="S303" s="10"/>
      <c r="T303" s="10"/>
      <c r="U303" s="10"/>
      <c r="V303" s="4" t="s">
        <v>404</v>
      </c>
      <c r="W303" s="4" t="s">
        <v>660</v>
      </c>
      <c r="X303" s="8">
        <v>45027</v>
      </c>
      <c r="Y303" s="4"/>
      <c r="Z303" s="4"/>
      <c r="AA303" s="8">
        <v>45030</v>
      </c>
      <c r="AB303" s="8">
        <v>45052</v>
      </c>
      <c r="AC303" s="4"/>
      <c r="AD303" s="4"/>
    </row>
    <row r="304" spans="1:30" hidden="1">
      <c r="A304" s="4">
        <v>12</v>
      </c>
      <c r="B304" s="8">
        <v>45023</v>
      </c>
      <c r="C304" s="4"/>
      <c r="D304" s="4" t="s">
        <v>42</v>
      </c>
      <c r="E304" s="8">
        <v>45031</v>
      </c>
      <c r="F304" s="4" t="s">
        <v>43</v>
      </c>
      <c r="G304" s="39" t="s">
        <v>186</v>
      </c>
      <c r="H304" s="4" t="s">
        <v>45</v>
      </c>
      <c r="I304" s="4" t="s">
        <v>56</v>
      </c>
      <c r="J304" s="10">
        <v>60.427180000000007</v>
      </c>
      <c r="K304" s="10">
        <f>25.091+28.847+0.738+5.814</f>
        <v>60.49</v>
      </c>
      <c r="L304" s="10">
        <f>M304+U304</f>
        <v>0</v>
      </c>
      <c r="M304" s="10">
        <f t="shared" ref="M304:M316" si="21">SUM(N304:T304)</f>
        <v>0</v>
      </c>
      <c r="N304" s="10"/>
      <c r="O304" s="10"/>
      <c r="P304" s="10">
        <v>0</v>
      </c>
      <c r="Q304" s="10"/>
      <c r="R304" s="10"/>
      <c r="S304" s="10"/>
      <c r="T304" s="10"/>
      <c r="U304" s="10"/>
      <c r="V304" s="4" t="s">
        <v>404</v>
      </c>
      <c r="W304" s="4"/>
      <c r="X304" s="8">
        <v>45027</v>
      </c>
      <c r="Y304" s="4"/>
      <c r="Z304" s="4"/>
      <c r="AA304" s="8">
        <v>45034</v>
      </c>
      <c r="AB304" s="8">
        <v>45045</v>
      </c>
      <c r="AC304" s="4"/>
      <c r="AD304" s="4"/>
    </row>
    <row r="305" spans="1:30" hidden="1">
      <c r="A305" s="4">
        <v>12</v>
      </c>
      <c r="B305" s="8">
        <v>45023</v>
      </c>
      <c r="C305" s="4"/>
      <c r="D305" s="4" t="s">
        <v>42</v>
      </c>
      <c r="E305" s="8">
        <v>45031</v>
      </c>
      <c r="F305" s="4" t="s">
        <v>43</v>
      </c>
      <c r="G305" s="39" t="s">
        <v>186</v>
      </c>
      <c r="H305" s="4" t="s">
        <v>45</v>
      </c>
      <c r="I305" s="4" t="s">
        <v>49</v>
      </c>
      <c r="J305" s="10">
        <v>69.551299999999998</v>
      </c>
      <c r="K305" s="10">
        <f>10.337+3.815+26.584+19.357+1.165+5.881+2.786</f>
        <v>69.924999999999997</v>
      </c>
      <c r="L305" s="10">
        <f t="shared" ref="L305:L368" si="22">M305+U305</f>
        <v>0</v>
      </c>
      <c r="M305" s="10">
        <f t="shared" si="21"/>
        <v>0</v>
      </c>
      <c r="N305" s="10"/>
      <c r="O305" s="10"/>
      <c r="P305" s="10">
        <v>0</v>
      </c>
      <c r="Q305" s="10"/>
      <c r="R305" s="10"/>
      <c r="S305" s="10"/>
      <c r="T305" s="10"/>
      <c r="U305" s="10"/>
      <c r="V305" s="4" t="s">
        <v>404</v>
      </c>
      <c r="W305" s="4"/>
      <c r="X305" s="8">
        <v>45034</v>
      </c>
      <c r="Y305" s="4"/>
      <c r="Z305" s="4"/>
      <c r="AA305" s="8"/>
      <c r="AB305" s="8">
        <v>45052</v>
      </c>
      <c r="AC305" s="4"/>
      <c r="AD305" s="4"/>
    </row>
    <row r="306" spans="1:30" hidden="1">
      <c r="A306" s="4">
        <v>12</v>
      </c>
      <c r="B306" s="8">
        <v>45023</v>
      </c>
      <c r="C306" s="4"/>
      <c r="D306" s="4" t="s">
        <v>42</v>
      </c>
      <c r="E306" s="8">
        <v>45031</v>
      </c>
      <c r="F306" s="4" t="s">
        <v>43</v>
      </c>
      <c r="G306" s="39" t="s">
        <v>186</v>
      </c>
      <c r="H306" s="4" t="s">
        <v>45</v>
      </c>
      <c r="I306" s="4" t="s">
        <v>587</v>
      </c>
      <c r="J306" s="10">
        <v>10.449</v>
      </c>
      <c r="K306" s="10">
        <f>6.084+4.4</f>
        <v>10.484</v>
      </c>
      <c r="L306" s="10">
        <f t="shared" si="22"/>
        <v>0</v>
      </c>
      <c r="M306" s="10">
        <f t="shared" si="21"/>
        <v>0</v>
      </c>
      <c r="N306" s="10"/>
      <c r="O306" s="10"/>
      <c r="P306" s="10">
        <v>0</v>
      </c>
      <c r="Q306" s="10"/>
      <c r="R306" s="10"/>
      <c r="S306" s="10"/>
      <c r="T306" s="10"/>
      <c r="U306" s="10"/>
      <c r="V306" s="4" t="s">
        <v>404</v>
      </c>
      <c r="W306" s="4"/>
      <c r="X306" s="8">
        <v>45037</v>
      </c>
      <c r="Y306" s="4"/>
      <c r="Z306" s="4"/>
      <c r="AA306" s="8">
        <v>45045</v>
      </c>
      <c r="AB306" s="8">
        <v>45046</v>
      </c>
      <c r="AC306" s="4"/>
      <c r="AD306" s="4"/>
    </row>
    <row r="307" spans="1:30" hidden="1">
      <c r="A307" s="4">
        <v>12</v>
      </c>
      <c r="B307" s="8">
        <v>45023</v>
      </c>
      <c r="C307" s="4"/>
      <c r="D307" s="4" t="s">
        <v>42</v>
      </c>
      <c r="E307" s="8">
        <v>45031</v>
      </c>
      <c r="F307" s="4" t="s">
        <v>43</v>
      </c>
      <c r="G307" s="39" t="s">
        <v>186</v>
      </c>
      <c r="H307" s="4" t="s">
        <v>45</v>
      </c>
      <c r="I307" s="4" t="s">
        <v>50</v>
      </c>
      <c r="J307" s="10">
        <v>59.912790000000001</v>
      </c>
      <c r="K307" s="10">
        <f>5.451+9.129+5.508+13.989+4.458+21.574</f>
        <v>60.108999999999995</v>
      </c>
      <c r="L307" s="10">
        <f t="shared" si="22"/>
        <v>0</v>
      </c>
      <c r="M307" s="10">
        <f t="shared" si="21"/>
        <v>0</v>
      </c>
      <c r="N307" s="10"/>
      <c r="O307" s="10"/>
      <c r="P307" s="10"/>
      <c r="Q307" s="10"/>
      <c r="R307" s="10"/>
      <c r="S307" s="10"/>
      <c r="T307" s="10"/>
      <c r="U307" s="10"/>
      <c r="V307" s="4" t="s">
        <v>404</v>
      </c>
      <c r="W307" s="4" t="s">
        <v>649</v>
      </c>
      <c r="X307" s="8">
        <v>45037</v>
      </c>
      <c r="Y307" s="4"/>
      <c r="Z307" s="4"/>
      <c r="AA307" s="8">
        <v>45039</v>
      </c>
      <c r="AB307" s="8">
        <v>45048</v>
      </c>
      <c r="AC307" s="4"/>
      <c r="AD307" s="4"/>
    </row>
    <row r="308" spans="1:30" hidden="1">
      <c r="A308" s="4">
        <v>12</v>
      </c>
      <c r="B308" s="8">
        <v>45023</v>
      </c>
      <c r="C308" s="4"/>
      <c r="D308" s="4" t="s">
        <v>42</v>
      </c>
      <c r="E308" s="8">
        <v>45031</v>
      </c>
      <c r="F308" s="4" t="s">
        <v>43</v>
      </c>
      <c r="G308" s="39" t="s">
        <v>186</v>
      </c>
      <c r="H308" s="4" t="s">
        <v>45</v>
      </c>
      <c r="I308" s="4" t="s">
        <v>588</v>
      </c>
      <c r="J308" s="10">
        <v>52.281900000000007</v>
      </c>
      <c r="K308" s="10">
        <f>11.336+11.807+20.624+2.562+3.932+2.097</f>
        <v>52.357999999999997</v>
      </c>
      <c r="L308" s="10">
        <f t="shared" si="22"/>
        <v>0</v>
      </c>
      <c r="M308" s="10">
        <f t="shared" si="21"/>
        <v>0</v>
      </c>
      <c r="N308" s="10"/>
      <c r="O308" s="10"/>
      <c r="P308" s="10">
        <v>0</v>
      </c>
      <c r="Q308" s="10"/>
      <c r="R308" s="10"/>
      <c r="S308" s="10"/>
      <c r="T308" s="10"/>
      <c r="U308" s="10"/>
      <c r="V308" s="4" t="s">
        <v>404</v>
      </c>
      <c r="W308" s="4"/>
      <c r="X308" s="8">
        <v>45034</v>
      </c>
      <c r="Y308" s="4"/>
      <c r="Z308" s="4"/>
      <c r="AA308" s="8">
        <v>45040</v>
      </c>
      <c r="AB308" s="8">
        <v>45045</v>
      </c>
      <c r="AC308" s="4"/>
      <c r="AD308" s="4"/>
    </row>
    <row r="309" spans="1:30" hidden="1">
      <c r="A309" s="4">
        <v>12</v>
      </c>
      <c r="B309" s="8">
        <v>45023</v>
      </c>
      <c r="C309" s="4"/>
      <c r="D309" s="4" t="s">
        <v>42</v>
      </c>
      <c r="E309" s="8">
        <v>45031</v>
      </c>
      <c r="F309" s="4" t="s">
        <v>43</v>
      </c>
      <c r="G309" s="39" t="s">
        <v>186</v>
      </c>
      <c r="H309" s="4" t="s">
        <v>45</v>
      </c>
      <c r="I309" s="4" t="s">
        <v>407</v>
      </c>
      <c r="J309" s="10">
        <v>103.34214</v>
      </c>
      <c r="K309" s="10">
        <f>12.217+28.647+4.768+4.4+9.612+15.683+4.099+21.087+3.05</f>
        <v>103.563</v>
      </c>
      <c r="L309" s="10">
        <f t="shared" si="22"/>
        <v>0</v>
      </c>
      <c r="M309" s="10">
        <f t="shared" si="21"/>
        <v>0</v>
      </c>
      <c r="N309" s="10"/>
      <c r="O309" s="10"/>
      <c r="P309" s="10">
        <v>0</v>
      </c>
      <c r="Q309" s="10"/>
      <c r="R309" s="10"/>
      <c r="S309" s="10"/>
      <c r="T309" s="10"/>
      <c r="U309" s="10"/>
      <c r="V309" s="4" t="s">
        <v>404</v>
      </c>
      <c r="W309" s="4"/>
      <c r="X309" s="8">
        <v>45031</v>
      </c>
      <c r="Y309" s="4"/>
      <c r="Z309" s="4"/>
      <c r="AA309" s="8">
        <v>45035</v>
      </c>
      <c r="AB309" s="8">
        <v>45052</v>
      </c>
      <c r="AC309" s="4"/>
      <c r="AD309" s="4"/>
    </row>
    <row r="310" spans="1:30" hidden="1">
      <c r="A310" s="4">
        <v>12</v>
      </c>
      <c r="B310" s="8">
        <v>45023</v>
      </c>
      <c r="C310" s="4"/>
      <c r="D310" s="4" t="s">
        <v>42</v>
      </c>
      <c r="E310" s="8">
        <v>45031</v>
      </c>
      <c r="F310" s="4" t="s">
        <v>43</v>
      </c>
      <c r="G310" s="39" t="s">
        <v>186</v>
      </c>
      <c r="H310" s="4" t="s">
        <v>45</v>
      </c>
      <c r="I310" s="4" t="s">
        <v>408</v>
      </c>
      <c r="J310" s="10">
        <v>101.56901999999999</v>
      </c>
      <c r="K310" s="10">
        <f>32.658+33.628+3.618+32.155</f>
        <v>102.059</v>
      </c>
      <c r="L310" s="10">
        <f t="shared" si="22"/>
        <v>0</v>
      </c>
      <c r="M310" s="10">
        <f t="shared" si="21"/>
        <v>0</v>
      </c>
      <c r="N310" s="10"/>
      <c r="O310" s="10"/>
      <c r="P310" s="10">
        <v>0</v>
      </c>
      <c r="Q310" s="10"/>
      <c r="R310" s="10"/>
      <c r="S310" s="10"/>
      <c r="T310" s="10"/>
      <c r="U310" s="10"/>
      <c r="V310" s="4" t="s">
        <v>404</v>
      </c>
      <c r="W310" s="4" t="s">
        <v>491</v>
      </c>
      <c r="X310" s="8">
        <v>45031</v>
      </c>
      <c r="Y310" s="4"/>
      <c r="Z310" s="4"/>
      <c r="AA310" s="8">
        <v>45038</v>
      </c>
      <c r="AB310" s="8">
        <v>45039</v>
      </c>
      <c r="AC310" s="4"/>
      <c r="AD310" s="4"/>
    </row>
    <row r="311" spans="1:30" hidden="1">
      <c r="A311" s="4">
        <v>12</v>
      </c>
      <c r="B311" s="8">
        <v>45023</v>
      </c>
      <c r="C311" s="4"/>
      <c r="D311" s="4" t="s">
        <v>42</v>
      </c>
      <c r="E311" s="8">
        <v>45031</v>
      </c>
      <c r="F311" s="4" t="s">
        <v>43</v>
      </c>
      <c r="G311" s="39" t="s">
        <v>186</v>
      </c>
      <c r="H311" s="4" t="s">
        <v>45</v>
      </c>
      <c r="I311" s="4" t="s">
        <v>409</v>
      </c>
      <c r="J311" s="10">
        <v>174.404</v>
      </c>
      <c r="K311" s="10">
        <f>32.287+21.391+31.761+24.91+25.876+29.45+3.274+5.553</f>
        <v>174.50199999999998</v>
      </c>
      <c r="L311" s="10">
        <f t="shared" si="22"/>
        <v>0</v>
      </c>
      <c r="M311" s="10">
        <f t="shared" si="21"/>
        <v>0</v>
      </c>
      <c r="N311" s="10"/>
      <c r="O311" s="10"/>
      <c r="P311" s="10">
        <v>0</v>
      </c>
      <c r="Q311" s="10"/>
      <c r="R311" s="10"/>
      <c r="S311" s="10"/>
      <c r="T311" s="10"/>
      <c r="U311" s="10"/>
      <c r="V311" s="4" t="s">
        <v>404</v>
      </c>
      <c r="W311" s="4" t="s">
        <v>625</v>
      </c>
      <c r="X311" s="8">
        <v>45031</v>
      </c>
      <c r="Y311" s="4"/>
      <c r="Z311" s="4"/>
      <c r="AA311" s="8">
        <v>45032</v>
      </c>
      <c r="AB311" s="8">
        <v>45040</v>
      </c>
      <c r="AC311" s="4"/>
      <c r="AD311" s="4"/>
    </row>
    <row r="312" spans="1:30" hidden="1">
      <c r="A312" s="4">
        <v>12</v>
      </c>
      <c r="B312" s="8">
        <v>45023</v>
      </c>
      <c r="C312" s="4"/>
      <c r="D312" s="4" t="s">
        <v>42</v>
      </c>
      <c r="E312" s="8">
        <v>45031</v>
      </c>
      <c r="F312" s="4" t="s">
        <v>43</v>
      </c>
      <c r="G312" s="39" t="s">
        <v>186</v>
      </c>
      <c r="H312" s="4" t="s">
        <v>45</v>
      </c>
      <c r="I312" s="4" t="s">
        <v>589</v>
      </c>
      <c r="J312" s="10">
        <v>1.44272</v>
      </c>
      <c r="K312" s="10">
        <v>1.4430000000000001</v>
      </c>
      <c r="L312" s="10">
        <f t="shared" si="22"/>
        <v>0</v>
      </c>
      <c r="M312" s="10">
        <f t="shared" si="21"/>
        <v>0</v>
      </c>
      <c r="N312" s="10"/>
      <c r="O312" s="10"/>
      <c r="P312" s="10">
        <v>0</v>
      </c>
      <c r="Q312" s="10"/>
      <c r="R312" s="10"/>
      <c r="S312" s="10"/>
      <c r="T312" s="10"/>
      <c r="U312" s="10"/>
      <c r="V312" s="4" t="s">
        <v>404</v>
      </c>
      <c r="W312" s="4"/>
      <c r="X312" s="8">
        <v>45031</v>
      </c>
      <c r="Y312" s="4"/>
      <c r="Z312" s="4"/>
      <c r="AA312" s="8">
        <v>45052</v>
      </c>
      <c r="AB312" s="8">
        <v>45052</v>
      </c>
      <c r="AC312" s="4"/>
      <c r="AD312" s="4"/>
    </row>
    <row r="313" spans="1:30" hidden="1">
      <c r="A313" s="4">
        <v>12</v>
      </c>
      <c r="B313" s="8">
        <v>45023</v>
      </c>
      <c r="C313" s="4"/>
      <c r="D313" s="4" t="s">
        <v>42</v>
      </c>
      <c r="E313" s="8">
        <v>45031</v>
      </c>
      <c r="F313" s="4" t="s">
        <v>43</v>
      </c>
      <c r="G313" s="39" t="s">
        <v>186</v>
      </c>
      <c r="H313" s="4" t="s">
        <v>45</v>
      </c>
      <c r="I313" s="4" t="s">
        <v>410</v>
      </c>
      <c r="J313" s="10">
        <v>14.0192</v>
      </c>
      <c r="K313" s="10">
        <f>10.463+3.78</f>
        <v>14.242999999999999</v>
      </c>
      <c r="L313" s="10">
        <f t="shared" si="22"/>
        <v>0</v>
      </c>
      <c r="M313" s="10">
        <f t="shared" si="21"/>
        <v>0</v>
      </c>
      <c r="N313" s="10"/>
      <c r="O313" s="10"/>
      <c r="P313" s="10">
        <v>0</v>
      </c>
      <c r="Q313" s="10"/>
      <c r="R313" s="10"/>
      <c r="S313" s="10"/>
      <c r="T313" s="10"/>
      <c r="U313" s="10"/>
      <c r="V313" s="4" t="s">
        <v>404</v>
      </c>
      <c r="W313" s="4"/>
      <c r="X313" s="8">
        <v>45034</v>
      </c>
      <c r="Y313" s="4"/>
      <c r="Z313" s="4"/>
      <c r="AA313" s="8">
        <v>45044</v>
      </c>
      <c r="AB313" s="8">
        <v>45052</v>
      </c>
      <c r="AC313" s="4"/>
      <c r="AD313" s="4"/>
    </row>
    <row r="314" spans="1:30" hidden="1">
      <c r="A314" s="4">
        <v>12</v>
      </c>
      <c r="B314" s="8">
        <v>45023</v>
      </c>
      <c r="C314" s="4"/>
      <c r="D314" s="4" t="s">
        <v>42</v>
      </c>
      <c r="E314" s="8">
        <v>45031</v>
      </c>
      <c r="F314" s="4" t="s">
        <v>43</v>
      </c>
      <c r="G314" s="39" t="s">
        <v>186</v>
      </c>
      <c r="H314" s="4" t="s">
        <v>45</v>
      </c>
      <c r="I314" s="4" t="s">
        <v>47</v>
      </c>
      <c r="J314" s="10">
        <v>93.688600000000008</v>
      </c>
      <c r="K314" s="10">
        <f>18.221+30.171+13.541+1.69+17.468+8.893+3.308+0.814</f>
        <v>94.105999999999995</v>
      </c>
      <c r="L314" s="10">
        <f t="shared" si="22"/>
        <v>0</v>
      </c>
      <c r="M314" s="10">
        <f t="shared" si="21"/>
        <v>0</v>
      </c>
      <c r="N314" s="10"/>
      <c r="O314" s="10"/>
      <c r="P314" s="10">
        <v>0</v>
      </c>
      <c r="Q314" s="10"/>
      <c r="R314" s="10"/>
      <c r="S314" s="10"/>
      <c r="T314" s="10"/>
      <c r="U314" s="10"/>
      <c r="V314" s="4" t="s">
        <v>404</v>
      </c>
      <c r="W314" s="4"/>
      <c r="X314" s="8">
        <v>45033</v>
      </c>
      <c r="Y314" s="4"/>
      <c r="Z314" s="4"/>
      <c r="AA314" s="8">
        <v>45035</v>
      </c>
      <c r="AB314" s="8">
        <v>45052</v>
      </c>
      <c r="AC314" s="4"/>
      <c r="AD314" s="4"/>
    </row>
    <row r="315" spans="1:30" hidden="1">
      <c r="A315" s="4">
        <v>12</v>
      </c>
      <c r="B315" s="8">
        <v>45023</v>
      </c>
      <c r="C315" s="4"/>
      <c r="D315" s="4" t="s">
        <v>42</v>
      </c>
      <c r="E315" s="8">
        <v>45031</v>
      </c>
      <c r="F315" s="4" t="s">
        <v>43</v>
      </c>
      <c r="G315" s="39" t="s">
        <v>186</v>
      </c>
      <c r="H315" s="4" t="s">
        <v>45</v>
      </c>
      <c r="I315" s="4" t="s">
        <v>237</v>
      </c>
      <c r="J315" s="10">
        <v>34.692058999999993</v>
      </c>
      <c r="K315" s="10">
        <f>22.371+7.216+3.757+1.388</f>
        <v>34.731999999999999</v>
      </c>
      <c r="L315" s="10">
        <f t="shared" si="22"/>
        <v>0</v>
      </c>
      <c r="M315" s="10">
        <f t="shared" si="21"/>
        <v>0</v>
      </c>
      <c r="N315" s="10"/>
      <c r="O315" s="10"/>
      <c r="P315" s="10"/>
      <c r="Q315" s="10"/>
      <c r="R315" s="10"/>
      <c r="S315" s="10"/>
      <c r="T315" s="10"/>
      <c r="U315" s="10"/>
      <c r="V315" s="4" t="s">
        <v>404</v>
      </c>
      <c r="W315" s="4"/>
      <c r="X315" s="8">
        <v>45041</v>
      </c>
      <c r="Y315" s="4"/>
      <c r="Z315" s="4"/>
      <c r="AA315" s="8">
        <v>45044</v>
      </c>
      <c r="AB315" s="8">
        <v>45048</v>
      </c>
      <c r="AC315" s="4"/>
      <c r="AD315" s="4"/>
    </row>
    <row r="316" spans="1:30" hidden="1">
      <c r="A316" s="4">
        <v>12</v>
      </c>
      <c r="B316" s="8">
        <v>45023</v>
      </c>
      <c r="C316" s="4"/>
      <c r="D316" s="4" t="s">
        <v>42</v>
      </c>
      <c r="E316" s="8">
        <v>45031</v>
      </c>
      <c r="F316" s="4" t="s">
        <v>43</v>
      </c>
      <c r="G316" s="39" t="s">
        <v>186</v>
      </c>
      <c r="H316" s="4" t="s">
        <v>45</v>
      </c>
      <c r="I316" s="4" t="s">
        <v>235</v>
      </c>
      <c r="J316" s="10">
        <v>31.033520000000003</v>
      </c>
      <c r="K316" s="10">
        <f>17.893+10.577+2.61</f>
        <v>31.08</v>
      </c>
      <c r="L316" s="10">
        <f t="shared" si="22"/>
        <v>0</v>
      </c>
      <c r="M316" s="10">
        <f t="shared" si="21"/>
        <v>0</v>
      </c>
      <c r="N316" s="10"/>
      <c r="O316" s="10"/>
      <c r="P316" s="10">
        <v>0</v>
      </c>
      <c r="Q316" s="10"/>
      <c r="R316" s="10"/>
      <c r="S316" s="10"/>
      <c r="T316" s="10"/>
      <c r="U316" s="10"/>
      <c r="V316" s="4" t="s">
        <v>404</v>
      </c>
      <c r="W316" s="4"/>
      <c r="X316" s="8">
        <v>45041</v>
      </c>
      <c r="Y316" s="4"/>
      <c r="Z316" s="4"/>
      <c r="AA316" s="8">
        <v>45052</v>
      </c>
      <c r="AB316" s="8">
        <v>45052</v>
      </c>
      <c r="AC316" s="4"/>
      <c r="AD316" s="4"/>
    </row>
    <row r="317" spans="1:30" hidden="1">
      <c r="A317" s="4">
        <v>13</v>
      </c>
      <c r="B317" s="8">
        <v>45023</v>
      </c>
      <c r="C317" s="4"/>
      <c r="D317" s="4" t="s">
        <v>42</v>
      </c>
      <c r="E317" s="8">
        <v>45031</v>
      </c>
      <c r="F317" s="4" t="s">
        <v>43</v>
      </c>
      <c r="G317" s="39" t="s">
        <v>186</v>
      </c>
      <c r="H317" s="4" t="s">
        <v>45</v>
      </c>
      <c r="I317" s="4" t="s">
        <v>57</v>
      </c>
      <c r="J317" s="10">
        <v>2.97</v>
      </c>
      <c r="K317" s="10">
        <f>2.145+1.213</f>
        <v>3.3580000000000001</v>
      </c>
      <c r="L317" s="10">
        <f t="shared" si="22"/>
        <v>0</v>
      </c>
      <c r="M317" s="10">
        <f t="shared" ref="M317:M328" si="23">SUM(N317:T317)</f>
        <v>0</v>
      </c>
      <c r="N317" s="10"/>
      <c r="O317" s="10"/>
      <c r="P317" s="10"/>
      <c r="Q317" s="10"/>
      <c r="R317" s="10"/>
      <c r="S317" s="10">
        <v>0</v>
      </c>
      <c r="T317" s="10"/>
      <c r="U317" s="10"/>
      <c r="V317" s="4" t="s">
        <v>411</v>
      </c>
      <c r="W317" s="4" t="s">
        <v>624</v>
      </c>
      <c r="X317" s="8"/>
      <c r="Y317" s="4"/>
      <c r="Z317" s="4"/>
      <c r="AA317" s="8">
        <v>45040</v>
      </c>
      <c r="AB317" s="8">
        <v>45041</v>
      </c>
      <c r="AC317" s="4"/>
      <c r="AD317" s="4"/>
    </row>
    <row r="318" spans="1:30" hidden="1">
      <c r="A318" s="4">
        <v>13</v>
      </c>
      <c r="B318" s="8">
        <v>45023</v>
      </c>
      <c r="C318" s="4"/>
      <c r="D318" s="4" t="s">
        <v>42</v>
      </c>
      <c r="E318" s="8">
        <v>45031</v>
      </c>
      <c r="F318" s="4" t="s">
        <v>43</v>
      </c>
      <c r="G318" s="39" t="s">
        <v>186</v>
      </c>
      <c r="H318" s="4" t="s">
        <v>45</v>
      </c>
      <c r="I318" s="4" t="s">
        <v>54</v>
      </c>
      <c r="J318" s="10">
        <v>2.0816479999999999</v>
      </c>
      <c r="K318" s="10">
        <v>2.181</v>
      </c>
      <c r="L318" s="10">
        <f t="shared" si="22"/>
        <v>0</v>
      </c>
      <c r="M318" s="10">
        <f t="shared" si="23"/>
        <v>0</v>
      </c>
      <c r="N318" s="10"/>
      <c r="O318" s="10"/>
      <c r="P318" s="10">
        <v>0</v>
      </c>
      <c r="Q318" s="10"/>
      <c r="R318" s="10"/>
      <c r="S318" s="10"/>
      <c r="T318" s="10"/>
      <c r="U318" s="10"/>
      <c r="V318" s="4" t="s">
        <v>411</v>
      </c>
      <c r="W318" s="4"/>
      <c r="X318" s="8">
        <v>45027</v>
      </c>
      <c r="Y318" s="4"/>
      <c r="Z318" s="4"/>
      <c r="AA318" s="8">
        <v>45042</v>
      </c>
      <c r="AB318" s="8">
        <v>45042</v>
      </c>
      <c r="AC318" s="4"/>
      <c r="AD318" s="4"/>
    </row>
    <row r="319" spans="1:30" hidden="1">
      <c r="A319" s="4">
        <v>13</v>
      </c>
      <c r="B319" s="8">
        <v>45023</v>
      </c>
      <c r="C319" s="4"/>
      <c r="D319" s="4" t="s">
        <v>42</v>
      </c>
      <c r="E319" s="8">
        <v>45031</v>
      </c>
      <c r="F319" s="4" t="s">
        <v>43</v>
      </c>
      <c r="G319" s="39" t="s">
        <v>186</v>
      </c>
      <c r="H319" s="4" t="s">
        <v>45</v>
      </c>
      <c r="I319" s="4" t="s">
        <v>56</v>
      </c>
      <c r="J319" s="10">
        <v>13.366439999999999</v>
      </c>
      <c r="K319" s="10">
        <f>4.779+3.415+1.336+3.949</f>
        <v>13.478999999999999</v>
      </c>
      <c r="L319" s="10">
        <f t="shared" si="22"/>
        <v>0</v>
      </c>
      <c r="M319" s="10">
        <f t="shared" si="23"/>
        <v>0</v>
      </c>
      <c r="N319" s="10"/>
      <c r="O319" s="10"/>
      <c r="P319" s="10">
        <v>0</v>
      </c>
      <c r="Q319" s="10"/>
      <c r="R319" s="10"/>
      <c r="S319" s="10"/>
      <c r="T319" s="10"/>
      <c r="U319" s="10"/>
      <c r="V319" s="4" t="s">
        <v>411</v>
      </c>
      <c r="W319" s="4"/>
      <c r="X319" s="8">
        <v>45030</v>
      </c>
      <c r="Y319" s="4"/>
      <c r="Z319" s="4"/>
      <c r="AA319" s="8">
        <v>45034</v>
      </c>
      <c r="AB319" s="8">
        <v>45042</v>
      </c>
      <c r="AC319" s="4"/>
      <c r="AD319" s="4"/>
    </row>
    <row r="320" spans="1:30" hidden="1">
      <c r="A320" s="4">
        <v>13</v>
      </c>
      <c r="B320" s="8">
        <v>45023</v>
      </c>
      <c r="C320" s="4"/>
      <c r="D320" s="4" t="s">
        <v>42</v>
      </c>
      <c r="E320" s="8">
        <v>45031</v>
      </c>
      <c r="F320" s="4" t="s">
        <v>43</v>
      </c>
      <c r="G320" s="39" t="s">
        <v>186</v>
      </c>
      <c r="H320" s="4" t="s">
        <v>45</v>
      </c>
      <c r="I320" s="4" t="s">
        <v>48</v>
      </c>
      <c r="J320" s="10">
        <v>20.154399999999999</v>
      </c>
      <c r="K320" s="10">
        <f>13.856+5.183+1.527</f>
        <v>20.566000000000003</v>
      </c>
      <c r="L320" s="10">
        <f t="shared" si="22"/>
        <v>0</v>
      </c>
      <c r="M320" s="10">
        <f t="shared" si="23"/>
        <v>0</v>
      </c>
      <c r="N320" s="10"/>
      <c r="O320" s="10"/>
      <c r="P320" s="10">
        <v>0</v>
      </c>
      <c r="Q320" s="10"/>
      <c r="R320" s="10"/>
      <c r="S320" s="10"/>
      <c r="T320" s="10"/>
      <c r="U320" s="10"/>
      <c r="V320" s="4" t="s">
        <v>411</v>
      </c>
      <c r="W320" s="4"/>
      <c r="X320" s="8">
        <v>45030</v>
      </c>
      <c r="Y320" s="4"/>
      <c r="Z320" s="4"/>
      <c r="AA320" s="8">
        <v>45034</v>
      </c>
      <c r="AB320" s="8">
        <v>45042</v>
      </c>
      <c r="AC320" s="4"/>
      <c r="AD320" s="4"/>
    </row>
    <row r="321" spans="1:30" hidden="1">
      <c r="A321" s="4">
        <v>13</v>
      </c>
      <c r="B321" s="8">
        <v>45023</v>
      </c>
      <c r="C321" s="4"/>
      <c r="D321" s="4" t="s">
        <v>42</v>
      </c>
      <c r="E321" s="8">
        <v>45031</v>
      </c>
      <c r="F321" s="4" t="s">
        <v>43</v>
      </c>
      <c r="G321" s="39" t="s">
        <v>186</v>
      </c>
      <c r="H321" s="4" t="s">
        <v>45</v>
      </c>
      <c r="I321" s="4" t="s">
        <v>49</v>
      </c>
      <c r="J321" s="10">
        <v>19.139119999999998</v>
      </c>
      <c r="K321" s="10">
        <f>11.511+4.364+3.414</f>
        <v>19.289000000000001</v>
      </c>
      <c r="L321" s="10">
        <f t="shared" si="22"/>
        <v>0</v>
      </c>
      <c r="M321" s="10">
        <f t="shared" si="23"/>
        <v>0</v>
      </c>
      <c r="N321" s="10"/>
      <c r="O321" s="10"/>
      <c r="P321" s="10">
        <v>0</v>
      </c>
      <c r="Q321" s="10"/>
      <c r="R321" s="10"/>
      <c r="S321" s="10"/>
      <c r="T321" s="10"/>
      <c r="U321" s="10"/>
      <c r="V321" s="4" t="s">
        <v>411</v>
      </c>
      <c r="W321" s="4"/>
      <c r="X321" s="8">
        <v>45034</v>
      </c>
      <c r="Y321" s="4"/>
      <c r="Z321" s="4"/>
      <c r="AA321" s="8">
        <v>45041</v>
      </c>
      <c r="AB321" s="8">
        <v>45041</v>
      </c>
      <c r="AC321" s="4"/>
      <c r="AD321" s="4"/>
    </row>
    <row r="322" spans="1:30" hidden="1">
      <c r="A322" s="4">
        <v>13</v>
      </c>
      <c r="B322" s="8">
        <v>45023</v>
      </c>
      <c r="C322" s="4"/>
      <c r="D322" s="4" t="s">
        <v>42</v>
      </c>
      <c r="E322" s="8">
        <v>45031</v>
      </c>
      <c r="F322" s="4" t="s">
        <v>43</v>
      </c>
      <c r="G322" s="39" t="s">
        <v>186</v>
      </c>
      <c r="H322" s="4" t="s">
        <v>45</v>
      </c>
      <c r="I322" s="4" t="s">
        <v>50</v>
      </c>
      <c r="J322" s="10">
        <v>13.303500000000001</v>
      </c>
      <c r="K322" s="10">
        <f>5.054+8.267</f>
        <v>13.321</v>
      </c>
      <c r="L322" s="10">
        <f t="shared" si="22"/>
        <v>0</v>
      </c>
      <c r="M322" s="10">
        <f t="shared" si="23"/>
        <v>0</v>
      </c>
      <c r="N322" s="10"/>
      <c r="O322" s="10"/>
      <c r="P322" s="10"/>
      <c r="Q322" s="10"/>
      <c r="R322" s="10"/>
      <c r="S322" s="10"/>
      <c r="T322" s="10"/>
      <c r="U322" s="10"/>
      <c r="V322" s="4" t="s">
        <v>411</v>
      </c>
      <c r="W322" s="4" t="s">
        <v>649</v>
      </c>
      <c r="X322" s="8">
        <v>45037</v>
      </c>
      <c r="Y322" s="4"/>
      <c r="Z322" s="4"/>
      <c r="AA322" s="8"/>
      <c r="AB322" s="8"/>
      <c r="AC322" s="4"/>
      <c r="AD322" s="4"/>
    </row>
    <row r="323" spans="1:30" hidden="1">
      <c r="A323" s="4">
        <v>13</v>
      </c>
      <c r="B323" s="8">
        <v>45023</v>
      </c>
      <c r="C323" s="4"/>
      <c r="D323" s="4" t="s">
        <v>42</v>
      </c>
      <c r="E323" s="8">
        <v>45031</v>
      </c>
      <c r="F323" s="4" t="s">
        <v>43</v>
      </c>
      <c r="G323" s="39" t="s">
        <v>186</v>
      </c>
      <c r="H323" s="4" t="s">
        <v>45</v>
      </c>
      <c r="I323" s="4" t="s">
        <v>588</v>
      </c>
      <c r="J323" s="10">
        <v>7.3952999999999998</v>
      </c>
      <c r="K323" s="10">
        <f>2.336+1.436+2.806+0.923</f>
        <v>7.5009999999999994</v>
      </c>
      <c r="L323" s="10">
        <f t="shared" si="22"/>
        <v>0</v>
      </c>
      <c r="M323" s="10">
        <f t="shared" si="23"/>
        <v>0</v>
      </c>
      <c r="N323" s="10"/>
      <c r="O323" s="10"/>
      <c r="P323" s="10">
        <v>0</v>
      </c>
      <c r="Q323" s="10"/>
      <c r="R323" s="10"/>
      <c r="S323" s="10"/>
      <c r="T323" s="10"/>
      <c r="U323" s="10"/>
      <c r="V323" s="4" t="s">
        <v>411</v>
      </c>
      <c r="W323" s="4"/>
      <c r="X323" s="8">
        <v>45037</v>
      </c>
      <c r="Y323" s="4"/>
      <c r="Z323" s="4"/>
      <c r="AA323" s="8">
        <v>45040</v>
      </c>
      <c r="AB323" s="8">
        <v>45043</v>
      </c>
      <c r="AC323" s="4"/>
      <c r="AD323" s="4"/>
    </row>
    <row r="324" spans="1:30" hidden="1">
      <c r="A324" s="4">
        <v>13</v>
      </c>
      <c r="B324" s="8">
        <v>45023</v>
      </c>
      <c r="C324" s="4"/>
      <c r="D324" s="4" t="s">
        <v>42</v>
      </c>
      <c r="E324" s="8">
        <v>45031</v>
      </c>
      <c r="F324" s="4" t="s">
        <v>43</v>
      </c>
      <c r="G324" s="39" t="s">
        <v>186</v>
      </c>
      <c r="H324" s="4" t="s">
        <v>45</v>
      </c>
      <c r="I324" s="4" t="s">
        <v>407</v>
      </c>
      <c r="J324" s="10">
        <v>24.456959999999999</v>
      </c>
      <c r="K324" s="10">
        <f>2.188+3.534+2.756+7.892+8.226</f>
        <v>24.596000000000004</v>
      </c>
      <c r="L324" s="10">
        <f>M324+U324</f>
        <v>0</v>
      </c>
      <c r="M324" s="10">
        <f t="shared" si="23"/>
        <v>0</v>
      </c>
      <c r="N324" s="10"/>
      <c r="O324" s="10"/>
      <c r="P324" s="10">
        <v>0</v>
      </c>
      <c r="Q324" s="10"/>
      <c r="R324" s="10"/>
      <c r="S324" s="10"/>
      <c r="T324" s="10"/>
      <c r="U324" s="10"/>
      <c r="V324" s="4" t="s">
        <v>411</v>
      </c>
      <c r="W324" s="4"/>
      <c r="X324" s="8">
        <v>45033</v>
      </c>
      <c r="Y324" s="4"/>
      <c r="Z324" s="4"/>
      <c r="AA324" s="8">
        <v>45035</v>
      </c>
      <c r="AB324" s="8">
        <v>45050</v>
      </c>
      <c r="AC324" s="4"/>
      <c r="AD324" s="4"/>
    </row>
    <row r="325" spans="1:30" hidden="1">
      <c r="A325" s="4">
        <v>13</v>
      </c>
      <c r="B325" s="8">
        <v>45023</v>
      </c>
      <c r="C325" s="4"/>
      <c r="D325" s="4" t="s">
        <v>42</v>
      </c>
      <c r="E325" s="8">
        <v>45031</v>
      </c>
      <c r="F325" s="4" t="s">
        <v>43</v>
      </c>
      <c r="G325" s="39" t="s">
        <v>186</v>
      </c>
      <c r="H325" s="4" t="s">
        <v>45</v>
      </c>
      <c r="I325" s="4" t="s">
        <v>409</v>
      </c>
      <c r="J325" s="10">
        <v>15.39428</v>
      </c>
      <c r="K325" s="10">
        <f>4.144+1.678+6.409+3.163</f>
        <v>15.394</v>
      </c>
      <c r="L325" s="10">
        <f t="shared" si="22"/>
        <v>0</v>
      </c>
      <c r="M325" s="10">
        <f t="shared" si="23"/>
        <v>0</v>
      </c>
      <c r="N325" s="10"/>
      <c r="O325" s="10"/>
      <c r="P325" s="10">
        <v>0</v>
      </c>
      <c r="Q325" s="10"/>
      <c r="R325" s="10"/>
      <c r="S325" s="10"/>
      <c r="T325" s="10"/>
      <c r="U325" s="10"/>
      <c r="V325" s="4" t="s">
        <v>411</v>
      </c>
      <c r="W325" s="4" t="s">
        <v>491</v>
      </c>
      <c r="X325" s="8">
        <v>45031</v>
      </c>
      <c r="Y325" s="4"/>
      <c r="Z325" s="4"/>
      <c r="AA325" s="8">
        <v>45033</v>
      </c>
      <c r="AB325" s="8">
        <v>45039</v>
      </c>
      <c r="AC325" s="4"/>
      <c r="AD325" s="4"/>
    </row>
    <row r="326" spans="1:30" hidden="1">
      <c r="A326" s="4">
        <v>13</v>
      </c>
      <c r="B326" s="8">
        <v>45023</v>
      </c>
      <c r="C326" s="4"/>
      <c r="D326" s="4" t="s">
        <v>42</v>
      </c>
      <c r="E326" s="8">
        <v>45031</v>
      </c>
      <c r="F326" s="4" t="s">
        <v>43</v>
      </c>
      <c r="G326" s="39" t="s">
        <v>186</v>
      </c>
      <c r="H326" s="4" t="s">
        <v>45</v>
      </c>
      <c r="I326" s="4" t="s">
        <v>410</v>
      </c>
      <c r="J326" s="10">
        <v>0.16000000000000003</v>
      </c>
      <c r="K326" s="10">
        <v>0.16</v>
      </c>
      <c r="L326" s="10">
        <f t="shared" si="22"/>
        <v>0</v>
      </c>
      <c r="M326" s="10">
        <f t="shared" si="23"/>
        <v>0</v>
      </c>
      <c r="N326" s="10"/>
      <c r="O326" s="10"/>
      <c r="P326" s="10">
        <v>0</v>
      </c>
      <c r="Q326" s="10"/>
      <c r="R326" s="10"/>
      <c r="S326" s="10"/>
      <c r="T326" s="10"/>
      <c r="U326" s="10"/>
      <c r="V326" s="4" t="s">
        <v>411</v>
      </c>
      <c r="W326" s="4" t="s">
        <v>649</v>
      </c>
      <c r="X326" s="8">
        <v>45034</v>
      </c>
      <c r="Y326" s="4"/>
      <c r="Z326" s="4"/>
      <c r="AA326" s="8">
        <v>45044</v>
      </c>
      <c r="AB326" s="8">
        <v>45044</v>
      </c>
      <c r="AC326" s="4"/>
      <c r="AD326" s="4"/>
    </row>
    <row r="327" spans="1:30" hidden="1">
      <c r="A327" s="4">
        <v>13</v>
      </c>
      <c r="B327" s="8">
        <v>45023</v>
      </c>
      <c r="C327" s="4"/>
      <c r="D327" s="4" t="s">
        <v>42</v>
      </c>
      <c r="E327" s="8">
        <v>45031</v>
      </c>
      <c r="F327" s="4" t="s">
        <v>43</v>
      </c>
      <c r="G327" s="39" t="s">
        <v>186</v>
      </c>
      <c r="H327" s="4" t="s">
        <v>45</v>
      </c>
      <c r="I327" s="4" t="s">
        <v>47</v>
      </c>
      <c r="J327" s="10">
        <v>7.1206199999999997</v>
      </c>
      <c r="K327" s="10">
        <f>2.084+3.87+1.319</f>
        <v>7.2730000000000006</v>
      </c>
      <c r="L327" s="10">
        <f t="shared" si="22"/>
        <v>0</v>
      </c>
      <c r="M327" s="10">
        <f t="shared" si="23"/>
        <v>0</v>
      </c>
      <c r="N327" s="10"/>
      <c r="O327" s="10"/>
      <c r="P327" s="10"/>
      <c r="Q327" s="10"/>
      <c r="R327" s="10"/>
      <c r="S327" s="10"/>
      <c r="T327" s="10"/>
      <c r="U327" s="10"/>
      <c r="V327" s="4" t="s">
        <v>411</v>
      </c>
      <c r="W327" s="4"/>
      <c r="X327" s="8">
        <v>45033</v>
      </c>
      <c r="Y327" s="4"/>
      <c r="Z327" s="4"/>
      <c r="AA327" s="8">
        <v>45040</v>
      </c>
      <c r="AB327" s="8">
        <v>45046</v>
      </c>
      <c r="AC327" s="4"/>
      <c r="AD327" s="4"/>
    </row>
    <row r="328" spans="1:30" hidden="1">
      <c r="A328" s="4">
        <v>13</v>
      </c>
      <c r="B328" s="8">
        <v>45023</v>
      </c>
      <c r="C328" s="4"/>
      <c r="D328" s="4" t="s">
        <v>42</v>
      </c>
      <c r="E328" s="8">
        <v>45031</v>
      </c>
      <c r="F328" s="4" t="s">
        <v>43</v>
      </c>
      <c r="G328" s="39" t="s">
        <v>186</v>
      </c>
      <c r="H328" s="4" t="s">
        <v>45</v>
      </c>
      <c r="I328" s="4" t="s">
        <v>235</v>
      </c>
      <c r="J328" s="10">
        <v>8.7052399999999999</v>
      </c>
      <c r="K328" s="10">
        <f>6.702+2.071</f>
        <v>8.7729999999999997</v>
      </c>
      <c r="L328" s="10">
        <f t="shared" si="22"/>
        <v>0</v>
      </c>
      <c r="M328" s="10">
        <f t="shared" si="23"/>
        <v>0</v>
      </c>
      <c r="N328" s="10"/>
      <c r="O328" s="10"/>
      <c r="P328" s="10">
        <v>0</v>
      </c>
      <c r="Q328" s="10"/>
      <c r="R328" s="10"/>
      <c r="S328" s="10"/>
      <c r="T328" s="10"/>
      <c r="U328" s="10"/>
      <c r="V328" s="4" t="s">
        <v>411</v>
      </c>
      <c r="W328" s="4"/>
      <c r="X328" s="8">
        <v>45041</v>
      </c>
      <c r="Y328" s="4"/>
      <c r="Z328" s="4"/>
      <c r="AA328" s="8">
        <v>45052</v>
      </c>
      <c r="AB328" s="8">
        <v>45052</v>
      </c>
      <c r="AC328" s="4"/>
      <c r="AD328" s="4"/>
    </row>
    <row r="329" spans="1:30" hidden="1">
      <c r="A329" s="4">
        <v>41</v>
      </c>
      <c r="B329" s="8">
        <v>45026</v>
      </c>
      <c r="C329" s="4"/>
      <c r="D329" s="4" t="s">
        <v>42</v>
      </c>
      <c r="E329" s="8">
        <v>45039</v>
      </c>
      <c r="F329" s="4" t="s">
        <v>43</v>
      </c>
      <c r="G329" s="39" t="s">
        <v>186</v>
      </c>
      <c r="H329" s="4" t="s">
        <v>45</v>
      </c>
      <c r="I329" s="4" t="s">
        <v>54</v>
      </c>
      <c r="J329" s="10">
        <v>0.81117600000000012</v>
      </c>
      <c r="K329" s="10">
        <v>0.873</v>
      </c>
      <c r="L329" s="10">
        <f t="shared" si="22"/>
        <v>0</v>
      </c>
      <c r="M329" s="10">
        <f t="shared" ref="M329:M333" si="24">SUM(N329:T329)</f>
        <v>0</v>
      </c>
      <c r="N329" s="10"/>
      <c r="O329" s="10"/>
      <c r="P329" s="10">
        <v>0</v>
      </c>
      <c r="Q329" s="10"/>
      <c r="R329" s="10"/>
      <c r="S329" s="10"/>
      <c r="T329" s="10"/>
      <c r="U329" s="10"/>
      <c r="V329" s="4" t="s">
        <v>404</v>
      </c>
      <c r="W329" s="4"/>
      <c r="X329" s="8">
        <v>45027</v>
      </c>
      <c r="Y329" s="4"/>
      <c r="Z329" s="4"/>
      <c r="AA329" s="8">
        <v>45052</v>
      </c>
      <c r="AB329" s="8">
        <v>45052</v>
      </c>
      <c r="AC329" s="4"/>
      <c r="AD329" s="4"/>
    </row>
    <row r="330" spans="1:30" hidden="1">
      <c r="A330" s="4">
        <v>41</v>
      </c>
      <c r="B330" s="8">
        <v>45026</v>
      </c>
      <c r="C330" s="4"/>
      <c r="D330" s="4" t="s">
        <v>42</v>
      </c>
      <c r="E330" s="8">
        <v>45039</v>
      </c>
      <c r="F330" s="4" t="s">
        <v>43</v>
      </c>
      <c r="G330" s="39" t="s">
        <v>186</v>
      </c>
      <c r="H330" s="4" t="s">
        <v>45</v>
      </c>
      <c r="I330" s="4" t="s">
        <v>56</v>
      </c>
      <c r="J330" s="10">
        <v>2.7391999999999999</v>
      </c>
      <c r="K330" s="10">
        <v>2.7389999999999999</v>
      </c>
      <c r="L330" s="10">
        <f t="shared" si="22"/>
        <v>0</v>
      </c>
      <c r="M330" s="10">
        <f t="shared" si="24"/>
        <v>0</v>
      </c>
      <c r="N330" s="10"/>
      <c r="O330" s="10"/>
      <c r="P330" s="10">
        <v>0</v>
      </c>
      <c r="Q330" s="10"/>
      <c r="R330" s="10"/>
      <c r="S330" s="10"/>
      <c r="T330" s="10"/>
      <c r="U330" s="10"/>
      <c r="V330" s="4" t="s">
        <v>404</v>
      </c>
      <c r="W330" s="4"/>
      <c r="X330" s="8">
        <v>45030</v>
      </c>
      <c r="Y330" s="4"/>
      <c r="Z330" s="4"/>
      <c r="AA330" s="8">
        <v>45034</v>
      </c>
      <c r="AB330" s="8">
        <v>45034</v>
      </c>
      <c r="AC330" s="4"/>
      <c r="AD330" s="4"/>
    </row>
    <row r="331" spans="1:30" hidden="1">
      <c r="A331" s="4">
        <v>41</v>
      </c>
      <c r="B331" s="8">
        <v>45026</v>
      </c>
      <c r="C331" s="4"/>
      <c r="D331" s="4" t="s">
        <v>42</v>
      </c>
      <c r="E331" s="8">
        <v>45039</v>
      </c>
      <c r="F331" s="4" t="s">
        <v>43</v>
      </c>
      <c r="G331" s="39" t="s">
        <v>186</v>
      </c>
      <c r="H331" s="4" t="s">
        <v>45</v>
      </c>
      <c r="I331" s="4" t="s">
        <v>472</v>
      </c>
      <c r="J331" s="10">
        <v>0.12672</v>
      </c>
      <c r="K331" s="10">
        <v>0.13800000000000001</v>
      </c>
      <c r="L331" s="10">
        <f t="shared" si="22"/>
        <v>0</v>
      </c>
      <c r="M331" s="10">
        <f t="shared" si="24"/>
        <v>0</v>
      </c>
      <c r="N331" s="10"/>
      <c r="O331" s="10"/>
      <c r="P331" s="10">
        <v>0</v>
      </c>
      <c r="Q331" s="10"/>
      <c r="R331" s="10"/>
      <c r="S331" s="10"/>
      <c r="T331" s="10"/>
      <c r="U331" s="10"/>
      <c r="V331" s="4" t="s">
        <v>404</v>
      </c>
      <c r="W331" s="4" t="s">
        <v>603</v>
      </c>
      <c r="X331" s="8"/>
      <c r="Y331" s="4"/>
      <c r="Z331" s="4"/>
      <c r="AA331" s="8">
        <v>45042</v>
      </c>
      <c r="AB331" s="8">
        <v>45042</v>
      </c>
      <c r="AC331" s="4"/>
      <c r="AD331" s="4"/>
    </row>
    <row r="332" spans="1:30" hidden="1">
      <c r="A332" s="4">
        <v>41</v>
      </c>
      <c r="B332" s="8">
        <v>45026</v>
      </c>
      <c r="C332" s="4"/>
      <c r="D332" s="4" t="s">
        <v>42</v>
      </c>
      <c r="E332" s="8">
        <v>45039</v>
      </c>
      <c r="F332" s="4" t="s">
        <v>43</v>
      </c>
      <c r="G332" s="39" t="s">
        <v>186</v>
      </c>
      <c r="H332" s="4" t="s">
        <v>45</v>
      </c>
      <c r="I332" s="4" t="s">
        <v>237</v>
      </c>
      <c r="J332" s="10">
        <v>0.32392500000000002</v>
      </c>
      <c r="K332" s="10">
        <v>0.32400000000000001</v>
      </c>
      <c r="L332" s="10">
        <f t="shared" si="22"/>
        <v>0</v>
      </c>
      <c r="M332" s="10">
        <f t="shared" si="24"/>
        <v>0</v>
      </c>
      <c r="N332" s="10"/>
      <c r="O332" s="10"/>
      <c r="P332" s="10">
        <v>0</v>
      </c>
      <c r="Q332" s="10"/>
      <c r="R332" s="10"/>
      <c r="S332" s="10"/>
      <c r="T332" s="10"/>
      <c r="U332" s="10"/>
      <c r="V332" s="4" t="s">
        <v>404</v>
      </c>
      <c r="W332" s="4"/>
      <c r="X332" s="8">
        <v>45041</v>
      </c>
      <c r="Y332" s="4"/>
      <c r="Z332" s="4"/>
      <c r="AA332" s="8">
        <v>45044</v>
      </c>
      <c r="AB332" s="8">
        <v>45044</v>
      </c>
      <c r="AC332" s="4"/>
      <c r="AD332" s="4"/>
    </row>
    <row r="333" spans="1:30" hidden="1">
      <c r="A333" s="4">
        <v>41</v>
      </c>
      <c r="B333" s="8">
        <v>45026</v>
      </c>
      <c r="C333" s="4" t="s">
        <v>613</v>
      </c>
      <c r="D333" s="4" t="s">
        <v>397</v>
      </c>
      <c r="E333" s="8">
        <v>45039</v>
      </c>
      <c r="F333" s="4" t="s">
        <v>43</v>
      </c>
      <c r="G333" s="15" t="s">
        <v>190</v>
      </c>
      <c r="H333" s="4" t="s">
        <v>52</v>
      </c>
      <c r="I333" s="4" t="s">
        <v>54</v>
      </c>
      <c r="J333" s="10">
        <v>0.359288</v>
      </c>
      <c r="K333" s="10">
        <v>0.37</v>
      </c>
      <c r="L333" s="10">
        <f t="shared" si="22"/>
        <v>0</v>
      </c>
      <c r="M333" s="10">
        <f t="shared" si="24"/>
        <v>0</v>
      </c>
      <c r="N333" s="10"/>
      <c r="O333" s="10"/>
      <c r="P333" s="10"/>
      <c r="Q333" s="10"/>
      <c r="R333" s="10"/>
      <c r="S333" s="10">
        <v>0</v>
      </c>
      <c r="T333" s="10"/>
      <c r="U333" s="10"/>
      <c r="V333" s="4" t="s">
        <v>404</v>
      </c>
      <c r="W333" s="4" t="s">
        <v>623</v>
      </c>
      <c r="X333" s="8"/>
      <c r="Y333" s="4"/>
      <c r="Z333" s="4"/>
      <c r="AA333" s="8">
        <v>45034</v>
      </c>
      <c r="AB333" s="8">
        <v>45034</v>
      </c>
      <c r="AC333" s="4"/>
      <c r="AD333" s="4"/>
    </row>
    <row r="334" spans="1:30" hidden="1">
      <c r="A334" s="4">
        <v>42</v>
      </c>
      <c r="B334" s="8">
        <v>45026</v>
      </c>
      <c r="C334" s="4"/>
      <c r="D334" s="4" t="s">
        <v>42</v>
      </c>
      <c r="E334" s="8">
        <v>45053</v>
      </c>
      <c r="F334" s="4" t="s">
        <v>43</v>
      </c>
      <c r="G334" s="39" t="s">
        <v>186</v>
      </c>
      <c r="H334" s="4" t="s">
        <v>45</v>
      </c>
      <c r="I334" s="4" t="s">
        <v>407</v>
      </c>
      <c r="J334" s="10">
        <v>1.758</v>
      </c>
      <c r="K334" s="10">
        <v>1.758</v>
      </c>
      <c r="L334" s="10">
        <f t="shared" si="22"/>
        <v>0</v>
      </c>
      <c r="M334" s="10">
        <f t="shared" ref="M334:M359" si="25">SUM(N334:T334)</f>
        <v>0</v>
      </c>
      <c r="N334" s="10"/>
      <c r="O334" s="10"/>
      <c r="P334" s="10">
        <v>0</v>
      </c>
      <c r="Q334" s="10"/>
      <c r="R334" s="10"/>
      <c r="S334" s="10"/>
      <c r="T334" s="10"/>
      <c r="U334" s="10"/>
      <c r="V334" s="4" t="s">
        <v>411</v>
      </c>
      <c r="W334" s="4"/>
      <c r="X334" s="8">
        <v>45033</v>
      </c>
      <c r="Y334" s="4"/>
      <c r="Z334" s="4"/>
      <c r="AA334" s="8">
        <v>45041</v>
      </c>
      <c r="AB334" s="8">
        <v>45041</v>
      </c>
      <c r="AC334" s="4"/>
      <c r="AD334" s="4"/>
    </row>
    <row r="335" spans="1:30" hidden="1">
      <c r="A335" s="4">
        <v>42</v>
      </c>
      <c r="B335" s="8">
        <v>45026</v>
      </c>
      <c r="C335" s="4"/>
      <c r="D335" s="4" t="s">
        <v>42</v>
      </c>
      <c r="E335" s="8">
        <v>45053</v>
      </c>
      <c r="F335" s="4" t="s">
        <v>43</v>
      </c>
      <c r="G335" s="39" t="s">
        <v>186</v>
      </c>
      <c r="H335" s="4" t="s">
        <v>45</v>
      </c>
      <c r="I335" s="4" t="s">
        <v>410</v>
      </c>
      <c r="J335" s="10">
        <v>0.114</v>
      </c>
      <c r="K335" s="10">
        <v>0.114</v>
      </c>
      <c r="L335" s="10">
        <f t="shared" si="22"/>
        <v>0</v>
      </c>
      <c r="M335" s="10">
        <f t="shared" si="25"/>
        <v>0</v>
      </c>
      <c r="N335" s="10"/>
      <c r="O335" s="10"/>
      <c r="P335" s="10">
        <v>0</v>
      </c>
      <c r="Q335" s="10"/>
      <c r="R335" s="10"/>
      <c r="S335" s="10"/>
      <c r="T335" s="10"/>
      <c r="U335" s="10"/>
      <c r="V335" s="4" t="s">
        <v>411</v>
      </c>
      <c r="W335" s="4"/>
      <c r="X335" s="8">
        <v>45034</v>
      </c>
      <c r="Y335" s="4"/>
      <c r="Z335" s="4"/>
      <c r="AA335" s="8">
        <v>45044</v>
      </c>
      <c r="AB335" s="8">
        <v>45044</v>
      </c>
      <c r="AC335" s="4"/>
      <c r="AD335" s="4"/>
    </row>
    <row r="336" spans="1:30" hidden="1">
      <c r="A336" s="4">
        <v>42</v>
      </c>
      <c r="B336" s="8">
        <v>45026</v>
      </c>
      <c r="C336" s="4"/>
      <c r="D336" s="4" t="s">
        <v>42</v>
      </c>
      <c r="E336" s="8">
        <v>45053</v>
      </c>
      <c r="F336" s="4" t="s">
        <v>43</v>
      </c>
      <c r="G336" s="39" t="s">
        <v>186</v>
      </c>
      <c r="H336" s="4" t="s">
        <v>45</v>
      </c>
      <c r="I336" s="4" t="s">
        <v>57</v>
      </c>
      <c r="J336" s="10">
        <v>0.114</v>
      </c>
      <c r="K336" s="10">
        <v>0.17299999999999999</v>
      </c>
      <c r="L336" s="10">
        <f t="shared" si="22"/>
        <v>0</v>
      </c>
      <c r="M336" s="10">
        <f t="shared" si="25"/>
        <v>0</v>
      </c>
      <c r="N336" s="10"/>
      <c r="O336" s="10"/>
      <c r="P336" s="10">
        <v>0</v>
      </c>
      <c r="Q336" s="10"/>
      <c r="R336" s="10"/>
      <c r="S336" s="10"/>
      <c r="T336" s="10"/>
      <c r="U336" s="10"/>
      <c r="V336" s="4" t="s">
        <v>411</v>
      </c>
      <c r="W336" s="4" t="s">
        <v>603</v>
      </c>
      <c r="X336" s="8">
        <v>45030</v>
      </c>
      <c r="Y336" s="4"/>
      <c r="Z336" s="4"/>
      <c r="AA336" s="8">
        <v>45041</v>
      </c>
      <c r="AB336" s="8">
        <v>45041</v>
      </c>
      <c r="AC336" s="4"/>
      <c r="AD336" s="4"/>
    </row>
    <row r="337" spans="1:30" hidden="1">
      <c r="A337" s="4">
        <v>122</v>
      </c>
      <c r="B337" s="8">
        <v>45043</v>
      </c>
      <c r="C337" s="4"/>
      <c r="D337" s="4" t="s">
        <v>42</v>
      </c>
      <c r="E337" s="8">
        <v>45053</v>
      </c>
      <c r="F337" s="4" t="s">
        <v>43</v>
      </c>
      <c r="G337" s="40" t="s">
        <v>20</v>
      </c>
      <c r="H337" s="4" t="s">
        <v>45</v>
      </c>
      <c r="I337" s="4" t="s">
        <v>57</v>
      </c>
      <c r="J337" s="10">
        <v>7.0860000000000003</v>
      </c>
      <c r="K337" s="10">
        <v>7.48</v>
      </c>
      <c r="L337" s="10">
        <f t="shared" si="22"/>
        <v>0</v>
      </c>
      <c r="M337" s="10">
        <f t="shared" si="25"/>
        <v>0</v>
      </c>
      <c r="N337" s="10"/>
      <c r="O337" s="10"/>
      <c r="P337" s="10">
        <v>0</v>
      </c>
      <c r="Q337" s="10"/>
      <c r="R337" s="10"/>
      <c r="S337" s="10"/>
      <c r="T337" s="10"/>
      <c r="U337" s="10"/>
      <c r="V337" s="4" t="s">
        <v>307</v>
      </c>
      <c r="W337" s="4"/>
      <c r="X337" s="8">
        <v>45068</v>
      </c>
      <c r="Y337" s="4"/>
      <c r="Z337" s="4"/>
      <c r="AA337" s="8">
        <v>45080</v>
      </c>
      <c r="AB337" s="8">
        <v>45080</v>
      </c>
      <c r="AC337" s="4"/>
      <c r="AD337" s="4"/>
    </row>
    <row r="338" spans="1:30" hidden="1">
      <c r="A338" s="4">
        <v>122</v>
      </c>
      <c r="B338" s="8">
        <v>45043</v>
      </c>
      <c r="C338" s="4"/>
      <c r="D338" s="4" t="s">
        <v>42</v>
      </c>
      <c r="E338" s="8">
        <v>45053</v>
      </c>
      <c r="F338" s="4" t="s">
        <v>43</v>
      </c>
      <c r="G338" s="40" t="s">
        <v>20</v>
      </c>
      <c r="H338" s="4" t="s">
        <v>45</v>
      </c>
      <c r="I338" s="4" t="s">
        <v>470</v>
      </c>
      <c r="J338" s="10">
        <v>4.3191699999999997</v>
      </c>
      <c r="K338" s="10">
        <f>3.944+0.429</f>
        <v>4.3730000000000002</v>
      </c>
      <c r="L338" s="10">
        <f t="shared" si="22"/>
        <v>0</v>
      </c>
      <c r="M338" s="10">
        <f t="shared" si="25"/>
        <v>0</v>
      </c>
      <c r="N338" s="10"/>
      <c r="O338" s="10"/>
      <c r="P338" s="10">
        <v>0</v>
      </c>
      <c r="Q338" s="10"/>
      <c r="R338" s="10"/>
      <c r="S338" s="10"/>
      <c r="T338" s="10"/>
      <c r="U338" s="10"/>
      <c r="V338" s="4" t="s">
        <v>307</v>
      </c>
      <c r="W338" s="4"/>
      <c r="X338" s="8">
        <v>45068</v>
      </c>
      <c r="Y338" s="4"/>
      <c r="Z338" s="4"/>
      <c r="AA338" s="8">
        <v>45078</v>
      </c>
      <c r="AB338" s="8">
        <v>45080</v>
      </c>
      <c r="AC338" s="4"/>
      <c r="AD338" s="4"/>
    </row>
    <row r="339" spans="1:30" hidden="1">
      <c r="A339" s="4">
        <v>122</v>
      </c>
      <c r="B339" s="8">
        <v>45043</v>
      </c>
      <c r="C339" s="4"/>
      <c r="D339" s="4" t="s">
        <v>42</v>
      </c>
      <c r="E339" s="8">
        <v>45053</v>
      </c>
      <c r="F339" s="4" t="s">
        <v>43</v>
      </c>
      <c r="G339" s="40" t="s">
        <v>20</v>
      </c>
      <c r="H339" s="4" t="s">
        <v>45</v>
      </c>
      <c r="I339" s="4" t="s">
        <v>54</v>
      </c>
      <c r="J339" s="10">
        <v>14.636355999999999</v>
      </c>
      <c r="K339" s="10">
        <f>13.336+1.474</f>
        <v>14.81</v>
      </c>
      <c r="L339" s="10">
        <f t="shared" si="22"/>
        <v>0</v>
      </c>
      <c r="M339" s="10">
        <f t="shared" si="25"/>
        <v>0</v>
      </c>
      <c r="N339" s="10"/>
      <c r="O339" s="10"/>
      <c r="P339" s="10">
        <v>0</v>
      </c>
      <c r="Q339" s="10"/>
      <c r="R339" s="10"/>
      <c r="S339" s="10"/>
      <c r="T339" s="10"/>
      <c r="U339" s="10"/>
      <c r="V339" s="4" t="s">
        <v>307</v>
      </c>
      <c r="W339" s="4" t="s">
        <v>695</v>
      </c>
      <c r="X339" s="8">
        <v>45067</v>
      </c>
      <c r="Y339" s="4"/>
      <c r="Z339" s="4"/>
      <c r="AA339" s="8">
        <v>45072</v>
      </c>
      <c r="AB339" s="8">
        <v>45080</v>
      </c>
      <c r="AC339" s="4"/>
      <c r="AD339" s="4"/>
    </row>
    <row r="340" spans="1:30" hidden="1">
      <c r="A340" s="4">
        <v>122</v>
      </c>
      <c r="B340" s="8">
        <v>45043</v>
      </c>
      <c r="C340" s="4"/>
      <c r="D340" s="4" t="s">
        <v>42</v>
      </c>
      <c r="E340" s="8">
        <v>45053</v>
      </c>
      <c r="F340" s="4" t="s">
        <v>43</v>
      </c>
      <c r="G340" s="40" t="s">
        <v>20</v>
      </c>
      <c r="H340" s="4" t="s">
        <v>45</v>
      </c>
      <c r="I340" s="4" t="s">
        <v>56</v>
      </c>
      <c r="J340" s="10">
        <v>55.908569999999997</v>
      </c>
      <c r="K340" s="10">
        <f>9.038+8.642+10.544+18.013+2.766+1.798+2.092+3.108</f>
        <v>56.000999999999998</v>
      </c>
      <c r="L340" s="10">
        <f t="shared" si="22"/>
        <v>0</v>
      </c>
      <c r="M340" s="10">
        <f t="shared" si="25"/>
        <v>0</v>
      </c>
      <c r="N340" s="10"/>
      <c r="O340" s="10"/>
      <c r="P340" s="10">
        <v>0</v>
      </c>
      <c r="Q340" s="10"/>
      <c r="R340" s="10"/>
      <c r="S340" s="10"/>
      <c r="T340" s="10"/>
      <c r="U340" s="10"/>
      <c r="V340" s="4" t="s">
        <v>307</v>
      </c>
      <c r="W340" s="4"/>
      <c r="X340" s="8">
        <v>45067</v>
      </c>
      <c r="Y340" s="4"/>
      <c r="Z340" s="4"/>
      <c r="AA340" s="8">
        <v>45071</v>
      </c>
      <c r="AB340" s="8">
        <v>45080</v>
      </c>
      <c r="AC340" s="4"/>
      <c r="AD340" s="4"/>
    </row>
    <row r="341" spans="1:30" hidden="1">
      <c r="A341" s="4">
        <v>122</v>
      </c>
      <c r="B341" s="8">
        <v>45043</v>
      </c>
      <c r="C341" s="4"/>
      <c r="D341" s="4" t="s">
        <v>42</v>
      </c>
      <c r="E341" s="8">
        <v>45053</v>
      </c>
      <c r="F341" s="4" t="s">
        <v>43</v>
      </c>
      <c r="G341" s="40" t="s">
        <v>20</v>
      </c>
      <c r="H341" s="4" t="s">
        <v>45</v>
      </c>
      <c r="I341" s="4" t="s">
        <v>48</v>
      </c>
      <c r="J341" s="10">
        <v>27.103519999999996</v>
      </c>
      <c r="K341" s="10">
        <f>13.279+7.735+4.46+1.877</f>
        <v>27.350999999999999</v>
      </c>
      <c r="L341" s="10">
        <f t="shared" si="22"/>
        <v>0</v>
      </c>
      <c r="M341" s="10">
        <f t="shared" si="25"/>
        <v>0</v>
      </c>
      <c r="N341" s="10"/>
      <c r="O341" s="10"/>
      <c r="P341" s="10">
        <v>0</v>
      </c>
      <c r="Q341" s="10"/>
      <c r="R341" s="10"/>
      <c r="S341" s="10"/>
      <c r="T341" s="10"/>
      <c r="U341" s="10"/>
      <c r="V341" s="4" t="s">
        <v>307</v>
      </c>
      <c r="W341" s="4"/>
      <c r="X341" s="8">
        <v>45068</v>
      </c>
      <c r="Y341" s="4"/>
      <c r="Z341" s="4"/>
      <c r="AA341" s="8">
        <v>45071</v>
      </c>
      <c r="AB341" s="8">
        <v>45080</v>
      </c>
      <c r="AC341" s="4"/>
      <c r="AD341" s="4"/>
    </row>
    <row r="342" spans="1:30" hidden="1">
      <c r="A342" s="4">
        <v>122</v>
      </c>
      <c r="B342" s="8">
        <v>45043</v>
      </c>
      <c r="C342" s="4"/>
      <c r="D342" s="4" t="s">
        <v>42</v>
      </c>
      <c r="E342" s="8">
        <v>45053</v>
      </c>
      <c r="F342" s="4" t="s">
        <v>43</v>
      </c>
      <c r="G342" s="40" t="s">
        <v>20</v>
      </c>
      <c r="H342" s="4" t="s">
        <v>45</v>
      </c>
      <c r="I342" s="4" t="s">
        <v>403</v>
      </c>
      <c r="J342" s="10">
        <v>5.4182400000000008</v>
      </c>
      <c r="K342" s="10">
        <f>2.082+2.191+1.145</f>
        <v>5.4179999999999993</v>
      </c>
      <c r="L342" s="10">
        <f t="shared" si="22"/>
        <v>0</v>
      </c>
      <c r="M342" s="10">
        <f t="shared" si="25"/>
        <v>0</v>
      </c>
      <c r="N342" s="10"/>
      <c r="O342" s="10"/>
      <c r="P342" s="10">
        <v>0</v>
      </c>
      <c r="Q342" s="10"/>
      <c r="R342" s="10"/>
      <c r="S342" s="10"/>
      <c r="T342" s="10"/>
      <c r="U342" s="10"/>
      <c r="V342" s="4" t="s">
        <v>307</v>
      </c>
      <c r="W342" s="4"/>
      <c r="X342" s="8">
        <v>45069</v>
      </c>
      <c r="Y342" s="4"/>
      <c r="Z342" s="4"/>
      <c r="AA342" s="8">
        <v>45076</v>
      </c>
      <c r="AB342" s="8">
        <v>45080</v>
      </c>
      <c r="AC342" s="4"/>
      <c r="AD342" s="4"/>
    </row>
    <row r="343" spans="1:30" hidden="1">
      <c r="A343" s="4">
        <v>122</v>
      </c>
      <c r="B343" s="8">
        <v>45043</v>
      </c>
      <c r="C343" s="4"/>
      <c r="D343" s="4" t="s">
        <v>42</v>
      </c>
      <c r="E343" s="8">
        <v>45053</v>
      </c>
      <c r="F343" s="4" t="s">
        <v>43</v>
      </c>
      <c r="G343" s="40" t="s">
        <v>20</v>
      </c>
      <c r="H343" s="4" t="s">
        <v>45</v>
      </c>
      <c r="I343" s="4" t="s">
        <v>46</v>
      </c>
      <c r="J343" s="10">
        <v>13.555440000000003</v>
      </c>
      <c r="K343" s="10">
        <f>1.63+6.693+3.126+2.284</f>
        <v>13.733000000000001</v>
      </c>
      <c r="L343" s="10">
        <f t="shared" si="22"/>
        <v>0</v>
      </c>
      <c r="M343" s="10">
        <f t="shared" si="25"/>
        <v>0</v>
      </c>
      <c r="N343" s="10"/>
      <c r="O343" s="10"/>
      <c r="P343" s="10">
        <v>0</v>
      </c>
      <c r="Q343" s="10"/>
      <c r="R343" s="10"/>
      <c r="S343" s="10"/>
      <c r="T343" s="10"/>
      <c r="U343" s="10"/>
      <c r="V343" s="4" t="s">
        <v>307</v>
      </c>
      <c r="W343" s="4"/>
      <c r="X343" s="8">
        <v>45069</v>
      </c>
      <c r="Y343" s="4"/>
      <c r="Z343" s="4"/>
      <c r="AA343" s="8">
        <v>45075</v>
      </c>
      <c r="AB343" s="8">
        <v>45080</v>
      </c>
      <c r="AC343" s="4"/>
      <c r="AD343" s="4"/>
    </row>
    <row r="344" spans="1:30" hidden="1">
      <c r="A344" s="4">
        <v>122</v>
      </c>
      <c r="B344" s="8">
        <v>45043</v>
      </c>
      <c r="C344" s="4"/>
      <c r="D344" s="4" t="s">
        <v>42</v>
      </c>
      <c r="E344" s="8">
        <v>45053</v>
      </c>
      <c r="F344" s="4" t="s">
        <v>43</v>
      </c>
      <c r="G344" s="40" t="s">
        <v>20</v>
      </c>
      <c r="H344" s="4" t="s">
        <v>45</v>
      </c>
      <c r="I344" s="4" t="s">
        <v>49</v>
      </c>
      <c r="J344" s="10">
        <v>39.463060000000006</v>
      </c>
      <c r="K344" s="10">
        <f>26.961+12.934</f>
        <v>39.894999999999996</v>
      </c>
      <c r="L344" s="10">
        <f t="shared" si="22"/>
        <v>0</v>
      </c>
      <c r="M344" s="10">
        <f t="shared" si="25"/>
        <v>0</v>
      </c>
      <c r="N344" s="10"/>
      <c r="O344" s="10"/>
      <c r="P344" s="10">
        <v>0</v>
      </c>
      <c r="Q344" s="10"/>
      <c r="R344" s="10"/>
      <c r="S344" s="10"/>
      <c r="T344" s="10"/>
      <c r="U344" s="10"/>
      <c r="V344" s="4" t="s">
        <v>307</v>
      </c>
      <c r="W344" s="4"/>
      <c r="X344" s="8">
        <v>45075</v>
      </c>
      <c r="Y344" s="4"/>
      <c r="Z344" s="4"/>
      <c r="AA344" s="8">
        <v>45083</v>
      </c>
      <c r="AB344" s="8">
        <v>45083</v>
      </c>
      <c r="AC344" s="4"/>
      <c r="AD344" s="4"/>
    </row>
    <row r="345" spans="1:30" hidden="1">
      <c r="A345" s="4">
        <v>122</v>
      </c>
      <c r="B345" s="8">
        <v>45043</v>
      </c>
      <c r="C345" s="4"/>
      <c r="D345" s="4" t="s">
        <v>42</v>
      </c>
      <c r="E345" s="8">
        <v>45053</v>
      </c>
      <c r="F345" s="4" t="s">
        <v>43</v>
      </c>
      <c r="G345" s="40" t="s">
        <v>20</v>
      </c>
      <c r="H345" s="4" t="s">
        <v>45</v>
      </c>
      <c r="I345" s="4" t="s">
        <v>423</v>
      </c>
      <c r="J345" s="10">
        <v>2.7216000000000005</v>
      </c>
      <c r="K345" s="10">
        <v>2.722</v>
      </c>
      <c r="L345" s="10">
        <f t="shared" si="22"/>
        <v>0</v>
      </c>
      <c r="M345" s="10">
        <f t="shared" si="25"/>
        <v>0</v>
      </c>
      <c r="N345" s="10"/>
      <c r="O345" s="10"/>
      <c r="P345" s="10">
        <v>0</v>
      </c>
      <c r="Q345" s="10"/>
      <c r="R345" s="10"/>
      <c r="S345" s="10"/>
      <c r="T345" s="10"/>
      <c r="U345" s="10"/>
      <c r="V345" s="4" t="s">
        <v>307</v>
      </c>
      <c r="W345" s="4"/>
      <c r="X345" s="8">
        <v>45075</v>
      </c>
      <c r="Y345" s="4"/>
      <c r="Z345" s="4"/>
      <c r="AA345" s="8">
        <v>45080</v>
      </c>
      <c r="AB345" s="8">
        <v>45080</v>
      </c>
      <c r="AC345" s="4"/>
      <c r="AD345" s="4"/>
    </row>
    <row r="346" spans="1:30" hidden="1">
      <c r="A346" s="4">
        <v>122</v>
      </c>
      <c r="B346" s="8">
        <v>45043</v>
      </c>
      <c r="C346" s="4"/>
      <c r="D346" s="4" t="s">
        <v>42</v>
      </c>
      <c r="E346" s="8">
        <v>45053</v>
      </c>
      <c r="F346" s="4" t="s">
        <v>43</v>
      </c>
      <c r="G346" s="40" t="s">
        <v>20</v>
      </c>
      <c r="H346" s="4" t="s">
        <v>45</v>
      </c>
      <c r="I346" s="4" t="s">
        <v>50</v>
      </c>
      <c r="J346" s="10">
        <v>22.15437</v>
      </c>
      <c r="K346" s="10">
        <v>22.09</v>
      </c>
      <c r="L346" s="10">
        <f t="shared" si="22"/>
        <v>0</v>
      </c>
      <c r="M346" s="10">
        <f t="shared" si="25"/>
        <v>0</v>
      </c>
      <c r="N346" s="10"/>
      <c r="O346" s="10"/>
      <c r="P346" s="10">
        <v>0</v>
      </c>
      <c r="Q346" s="10"/>
      <c r="R346" s="10"/>
      <c r="S346" s="10"/>
      <c r="T346" s="10"/>
      <c r="U346" s="10"/>
      <c r="V346" s="4" t="s">
        <v>307</v>
      </c>
      <c r="W346" s="4"/>
      <c r="X346" s="8">
        <v>45076</v>
      </c>
      <c r="Y346" s="4"/>
      <c r="Z346" s="4"/>
      <c r="AA346" s="8">
        <v>45081</v>
      </c>
      <c r="AB346" s="8">
        <v>45081</v>
      </c>
      <c r="AC346" s="4"/>
      <c r="AD346" s="4"/>
    </row>
    <row r="347" spans="1:30" hidden="1">
      <c r="A347" s="4">
        <v>122</v>
      </c>
      <c r="B347" s="8">
        <v>45043</v>
      </c>
      <c r="C347" s="4"/>
      <c r="D347" s="4" t="s">
        <v>42</v>
      </c>
      <c r="E347" s="8">
        <v>45053</v>
      </c>
      <c r="F347" s="4" t="s">
        <v>43</v>
      </c>
      <c r="G347" s="40" t="s">
        <v>20</v>
      </c>
      <c r="H347" s="4" t="s">
        <v>45</v>
      </c>
      <c r="I347" s="4" t="s">
        <v>407</v>
      </c>
      <c r="J347" s="10">
        <v>4.7282399999999996</v>
      </c>
      <c r="K347" s="10">
        <v>4.8239999999999998</v>
      </c>
      <c r="L347" s="10">
        <f t="shared" si="22"/>
        <v>0</v>
      </c>
      <c r="M347" s="10">
        <f t="shared" si="25"/>
        <v>0</v>
      </c>
      <c r="N347" s="10"/>
      <c r="O347" s="10">
        <v>0</v>
      </c>
      <c r="P347" s="10"/>
      <c r="Q347" s="10"/>
      <c r="R347" s="10"/>
      <c r="S347" s="10">
        <v>0</v>
      </c>
      <c r="T347" s="10"/>
      <c r="U347" s="10"/>
      <c r="V347" s="4" t="s">
        <v>307</v>
      </c>
      <c r="W347" s="4" t="s">
        <v>634</v>
      </c>
      <c r="X347" s="8">
        <v>45066</v>
      </c>
      <c r="Y347" s="4"/>
      <c r="Z347" s="4"/>
      <c r="AA347" s="8">
        <v>45072</v>
      </c>
      <c r="AB347" s="8">
        <v>45072</v>
      </c>
      <c r="AC347" s="4"/>
      <c r="AD347" s="4"/>
    </row>
    <row r="348" spans="1:30" hidden="1">
      <c r="A348" s="4">
        <v>122</v>
      </c>
      <c r="B348" s="8">
        <v>45043</v>
      </c>
      <c r="C348" s="4"/>
      <c r="D348" s="4" t="s">
        <v>42</v>
      </c>
      <c r="E348" s="8">
        <v>45053</v>
      </c>
      <c r="F348" s="4" t="s">
        <v>43</v>
      </c>
      <c r="G348" s="40" t="s">
        <v>20</v>
      </c>
      <c r="H348" s="4" t="s">
        <v>45</v>
      </c>
      <c r="I348" s="4" t="s">
        <v>409</v>
      </c>
      <c r="J348" s="10">
        <v>2.242</v>
      </c>
      <c r="K348" s="10">
        <v>2.589</v>
      </c>
      <c r="L348" s="10">
        <f t="shared" si="22"/>
        <v>0</v>
      </c>
      <c r="M348" s="10">
        <f t="shared" si="25"/>
        <v>0</v>
      </c>
      <c r="N348" s="10"/>
      <c r="O348" s="10"/>
      <c r="P348" s="10"/>
      <c r="Q348" s="10"/>
      <c r="R348" s="10"/>
      <c r="S348" s="10">
        <v>0</v>
      </c>
      <c r="T348" s="10"/>
      <c r="U348" s="10"/>
      <c r="V348" s="4" t="s">
        <v>307</v>
      </c>
      <c r="W348" s="4" t="s">
        <v>634</v>
      </c>
      <c r="X348" s="8">
        <v>45066</v>
      </c>
      <c r="Y348" s="4"/>
      <c r="Z348" s="4"/>
      <c r="AA348" s="8">
        <v>45072</v>
      </c>
      <c r="AB348" s="8">
        <v>45072</v>
      </c>
      <c r="AC348" s="4"/>
      <c r="AD348" s="4"/>
    </row>
    <row r="349" spans="1:30" hidden="1">
      <c r="A349" s="4">
        <v>122</v>
      </c>
      <c r="B349" s="8">
        <v>45043</v>
      </c>
      <c r="C349" s="4"/>
      <c r="D349" s="4" t="s">
        <v>42</v>
      </c>
      <c r="E349" s="8">
        <v>45053</v>
      </c>
      <c r="F349" s="4" t="s">
        <v>43</v>
      </c>
      <c r="G349" s="40" t="s">
        <v>20</v>
      </c>
      <c r="H349" s="4" t="s">
        <v>45</v>
      </c>
      <c r="I349" s="4" t="s">
        <v>519</v>
      </c>
      <c r="J349" s="10">
        <v>3.1417999999999999</v>
      </c>
      <c r="K349" s="10">
        <v>3.1419999999999999</v>
      </c>
      <c r="L349" s="10">
        <f t="shared" si="22"/>
        <v>0</v>
      </c>
      <c r="M349" s="10">
        <f t="shared" si="25"/>
        <v>0</v>
      </c>
      <c r="N349" s="10"/>
      <c r="O349" s="10"/>
      <c r="P349" s="10">
        <v>0</v>
      </c>
      <c r="Q349" s="10"/>
      <c r="R349" s="10"/>
      <c r="S349" s="10"/>
      <c r="T349" s="10"/>
      <c r="U349" s="10"/>
      <c r="V349" s="4" t="s">
        <v>307</v>
      </c>
      <c r="W349" s="4"/>
      <c r="X349" s="8"/>
      <c r="Y349" s="4"/>
      <c r="Z349" s="4"/>
      <c r="AA349" s="8"/>
      <c r="AB349" s="8"/>
      <c r="AC349" s="4"/>
      <c r="AD349" s="4"/>
    </row>
    <row r="350" spans="1:30" hidden="1">
      <c r="A350" s="4">
        <v>122</v>
      </c>
      <c r="B350" s="8">
        <v>45043</v>
      </c>
      <c r="C350" s="4"/>
      <c r="D350" s="4" t="s">
        <v>42</v>
      </c>
      <c r="E350" s="8">
        <v>45053</v>
      </c>
      <c r="F350" s="4" t="s">
        <v>43</v>
      </c>
      <c r="G350" s="40" t="s">
        <v>20</v>
      </c>
      <c r="H350" s="4" t="s">
        <v>45</v>
      </c>
      <c r="I350" s="4" t="s">
        <v>517</v>
      </c>
      <c r="J350" s="10">
        <v>22.358700000000002</v>
      </c>
      <c r="K350" s="10">
        <f>18.954+2.921+0.546</f>
        <v>22.420999999999999</v>
      </c>
      <c r="L350" s="10">
        <f t="shared" si="22"/>
        <v>0</v>
      </c>
      <c r="M350" s="10">
        <f t="shared" si="25"/>
        <v>0</v>
      </c>
      <c r="N350" s="10"/>
      <c r="O350" s="10"/>
      <c r="P350" s="10">
        <v>0</v>
      </c>
      <c r="Q350" s="10"/>
      <c r="R350" s="10"/>
      <c r="S350" s="10"/>
      <c r="T350" s="10"/>
      <c r="U350" s="10"/>
      <c r="V350" s="4" t="s">
        <v>307</v>
      </c>
      <c r="W350" s="4"/>
      <c r="X350" s="8"/>
      <c r="Y350" s="4"/>
      <c r="Z350" s="4"/>
      <c r="AA350" s="8"/>
      <c r="AB350" s="8"/>
      <c r="AC350" s="4"/>
      <c r="AD350" s="4"/>
    </row>
    <row r="351" spans="1:30" hidden="1">
      <c r="A351" s="4">
        <v>122</v>
      </c>
      <c r="B351" s="8">
        <v>45043</v>
      </c>
      <c r="C351" s="4"/>
      <c r="D351" s="4" t="s">
        <v>42</v>
      </c>
      <c r="E351" s="8">
        <v>45053</v>
      </c>
      <c r="F351" s="4" t="s">
        <v>43</v>
      </c>
      <c r="G351" s="40" t="s">
        <v>20</v>
      </c>
      <c r="H351" s="4" t="s">
        <v>45</v>
      </c>
      <c r="I351" s="4" t="s">
        <v>448</v>
      </c>
      <c r="J351" s="10">
        <v>10.17042</v>
      </c>
      <c r="K351" s="10">
        <f>6.977+3.319</f>
        <v>10.295999999999999</v>
      </c>
      <c r="L351" s="10">
        <f t="shared" si="22"/>
        <v>0</v>
      </c>
      <c r="M351" s="10">
        <f t="shared" si="25"/>
        <v>0</v>
      </c>
      <c r="N351" s="10"/>
      <c r="O351" s="10"/>
      <c r="P351" s="10">
        <v>0</v>
      </c>
      <c r="Q351" s="10"/>
      <c r="R351" s="10"/>
      <c r="S351" s="10"/>
      <c r="T351" s="10"/>
      <c r="U351" s="10"/>
      <c r="V351" s="4" t="s">
        <v>307</v>
      </c>
      <c r="W351" s="4"/>
      <c r="X351" s="8"/>
      <c r="Y351" s="4"/>
      <c r="Z351" s="4"/>
      <c r="AA351" s="8"/>
      <c r="AB351" s="8"/>
      <c r="AC351" s="4"/>
      <c r="AD351" s="4"/>
    </row>
    <row r="352" spans="1:30" hidden="1">
      <c r="A352" s="4">
        <v>122</v>
      </c>
      <c r="B352" s="8">
        <v>45043</v>
      </c>
      <c r="C352" s="4"/>
      <c r="D352" s="4" t="s">
        <v>42</v>
      </c>
      <c r="E352" s="8">
        <v>45053</v>
      </c>
      <c r="F352" s="4" t="s">
        <v>43</v>
      </c>
      <c r="G352" s="40" t="s">
        <v>20</v>
      </c>
      <c r="H352" s="4" t="s">
        <v>45</v>
      </c>
      <c r="I352" s="4" t="s">
        <v>449</v>
      </c>
      <c r="J352" s="10">
        <v>5.3634596000714163</v>
      </c>
      <c r="K352" s="10">
        <f>3.13+2.423</f>
        <v>5.5529999999999999</v>
      </c>
      <c r="L352" s="10">
        <f t="shared" si="22"/>
        <v>0</v>
      </c>
      <c r="M352" s="10">
        <f t="shared" si="25"/>
        <v>0</v>
      </c>
      <c r="N352" s="10"/>
      <c r="O352" s="10"/>
      <c r="P352" s="10">
        <v>0</v>
      </c>
      <c r="Q352" s="10"/>
      <c r="R352" s="10"/>
      <c r="S352" s="10"/>
      <c r="T352" s="10"/>
      <c r="U352" s="10"/>
      <c r="V352" s="4" t="s">
        <v>307</v>
      </c>
      <c r="W352" s="4"/>
      <c r="X352" s="8"/>
      <c r="Y352" s="4"/>
      <c r="Z352" s="4"/>
      <c r="AA352" s="8"/>
      <c r="AB352" s="8"/>
      <c r="AC352" s="4"/>
      <c r="AD352" s="4"/>
    </row>
    <row r="353" spans="1:30" hidden="1">
      <c r="A353" s="4">
        <v>122</v>
      </c>
      <c r="B353" s="8">
        <v>45043</v>
      </c>
      <c r="C353" s="4"/>
      <c r="D353" s="4" t="s">
        <v>42</v>
      </c>
      <c r="E353" s="8">
        <v>45053</v>
      </c>
      <c r="F353" s="4" t="s">
        <v>43</v>
      </c>
      <c r="G353" s="40" t="s">
        <v>20</v>
      </c>
      <c r="H353" s="4" t="s">
        <v>45</v>
      </c>
      <c r="I353" s="4" t="s">
        <v>447</v>
      </c>
      <c r="J353" s="10">
        <v>12.671600000000002</v>
      </c>
      <c r="K353" s="10">
        <f>6.584+6.786</f>
        <v>13.37</v>
      </c>
      <c r="L353" s="10">
        <f t="shared" si="22"/>
        <v>0</v>
      </c>
      <c r="M353" s="10">
        <f t="shared" si="25"/>
        <v>0</v>
      </c>
      <c r="N353" s="10"/>
      <c r="O353" s="10"/>
      <c r="P353" s="10">
        <v>0</v>
      </c>
      <c r="Q353" s="10"/>
      <c r="R353" s="10"/>
      <c r="S353" s="10"/>
      <c r="T353" s="10"/>
      <c r="U353" s="10"/>
      <c r="V353" s="4" t="s">
        <v>307</v>
      </c>
      <c r="W353" s="4"/>
      <c r="X353" s="8"/>
      <c r="Y353" s="4"/>
      <c r="Z353" s="4"/>
      <c r="AA353" s="8"/>
      <c r="AB353" s="8"/>
      <c r="AC353" s="4"/>
      <c r="AD353" s="4"/>
    </row>
    <row r="354" spans="1:30" hidden="1">
      <c r="A354" s="4">
        <v>122</v>
      </c>
      <c r="B354" s="8">
        <v>45043</v>
      </c>
      <c r="C354" s="4"/>
      <c r="D354" s="4" t="s">
        <v>42</v>
      </c>
      <c r="E354" s="8">
        <v>45053</v>
      </c>
      <c r="F354" s="4" t="s">
        <v>43</v>
      </c>
      <c r="G354" s="40" t="s">
        <v>20</v>
      </c>
      <c r="H354" s="4" t="s">
        <v>45</v>
      </c>
      <c r="I354" s="4" t="s">
        <v>472</v>
      </c>
      <c r="J354" s="10">
        <v>11.903</v>
      </c>
      <c r="K354" s="10">
        <v>11.94</v>
      </c>
      <c r="L354" s="10">
        <f t="shared" si="22"/>
        <v>0</v>
      </c>
      <c r="M354" s="10">
        <f t="shared" si="25"/>
        <v>0</v>
      </c>
      <c r="N354" s="10"/>
      <c r="O354" s="10"/>
      <c r="P354" s="10">
        <v>0</v>
      </c>
      <c r="Q354" s="10"/>
      <c r="R354" s="10"/>
      <c r="S354" s="10"/>
      <c r="T354" s="10"/>
      <c r="U354" s="10"/>
      <c r="V354" s="4" t="s">
        <v>307</v>
      </c>
      <c r="W354" s="4"/>
      <c r="X354" s="8">
        <v>45072</v>
      </c>
      <c r="Y354" s="4"/>
      <c r="Z354" s="4"/>
      <c r="AA354" s="8">
        <v>45078</v>
      </c>
      <c r="AB354" s="8">
        <v>45078</v>
      </c>
      <c r="AC354" s="4"/>
      <c r="AD354" s="4"/>
    </row>
    <row r="355" spans="1:30" hidden="1">
      <c r="A355" s="4">
        <v>122</v>
      </c>
      <c r="B355" s="8">
        <v>45043</v>
      </c>
      <c r="C355" s="4"/>
      <c r="D355" s="4" t="s">
        <v>42</v>
      </c>
      <c r="E355" s="8">
        <v>45053</v>
      </c>
      <c r="F355" s="4" t="s">
        <v>43</v>
      </c>
      <c r="G355" s="40" t="s">
        <v>20</v>
      </c>
      <c r="H355" s="4" t="s">
        <v>45</v>
      </c>
      <c r="I355" s="4" t="s">
        <v>473</v>
      </c>
      <c r="J355" s="10">
        <v>18.816950000000002</v>
      </c>
      <c r="K355" s="10">
        <f>11.196+7.68</f>
        <v>18.875999999999998</v>
      </c>
      <c r="L355" s="10">
        <f t="shared" si="22"/>
        <v>0</v>
      </c>
      <c r="M355" s="10">
        <f t="shared" si="25"/>
        <v>0</v>
      </c>
      <c r="N355" s="10"/>
      <c r="O355" s="10"/>
      <c r="P355" s="10">
        <v>0</v>
      </c>
      <c r="Q355" s="10"/>
      <c r="R355" s="10"/>
      <c r="S355" s="10"/>
      <c r="T355" s="10"/>
      <c r="U355" s="10"/>
      <c r="V355" s="4" t="s">
        <v>307</v>
      </c>
      <c r="W355" s="4"/>
      <c r="X355" s="8">
        <v>45072</v>
      </c>
      <c r="Y355" s="4"/>
      <c r="Z355" s="4"/>
      <c r="AA355" s="8">
        <v>45074</v>
      </c>
      <c r="AB355" s="8">
        <v>45075</v>
      </c>
      <c r="AC355" s="4"/>
      <c r="AD355" s="4"/>
    </row>
    <row r="356" spans="1:30" hidden="1">
      <c r="A356" s="4">
        <v>122</v>
      </c>
      <c r="B356" s="8">
        <v>45043</v>
      </c>
      <c r="C356" s="4"/>
      <c r="D356" s="4" t="s">
        <v>42</v>
      </c>
      <c r="E356" s="8">
        <v>45053</v>
      </c>
      <c r="F356" s="4" t="s">
        <v>43</v>
      </c>
      <c r="G356" s="40" t="s">
        <v>20</v>
      </c>
      <c r="H356" s="4" t="s">
        <v>45</v>
      </c>
      <c r="I356" s="4" t="s">
        <v>474</v>
      </c>
      <c r="J356" s="10">
        <v>0.85145999999999999</v>
      </c>
      <c r="K356" s="10">
        <v>0.85099999999999998</v>
      </c>
      <c r="L356" s="10">
        <f t="shared" si="22"/>
        <v>0</v>
      </c>
      <c r="M356" s="10">
        <f t="shared" si="25"/>
        <v>0</v>
      </c>
      <c r="N356" s="10"/>
      <c r="O356" s="10"/>
      <c r="P356" s="10"/>
      <c r="Q356" s="10"/>
      <c r="R356" s="10"/>
      <c r="S356" s="10"/>
      <c r="T356" s="10"/>
      <c r="U356" s="10"/>
      <c r="V356" s="4" t="s">
        <v>307</v>
      </c>
      <c r="W356" s="4"/>
      <c r="X356" s="8"/>
      <c r="Y356" s="4"/>
      <c r="Z356" s="4"/>
      <c r="AA356" s="8"/>
      <c r="AB356" s="8"/>
      <c r="AC356" s="4"/>
      <c r="AD356" s="4"/>
    </row>
    <row r="357" spans="1:30" hidden="1">
      <c r="A357" s="4">
        <v>122</v>
      </c>
      <c r="B357" s="8">
        <v>45043</v>
      </c>
      <c r="C357" s="4"/>
      <c r="D357" s="4" t="s">
        <v>42</v>
      </c>
      <c r="E357" s="8">
        <v>45053</v>
      </c>
      <c r="F357" s="4" t="s">
        <v>43</v>
      </c>
      <c r="G357" s="40" t="s">
        <v>20</v>
      </c>
      <c r="H357" s="4" t="s">
        <v>45</v>
      </c>
      <c r="I357" s="4" t="s">
        <v>235</v>
      </c>
      <c r="J357" s="10">
        <v>15.06902</v>
      </c>
      <c r="K357" s="10">
        <v>15.069000000000001</v>
      </c>
      <c r="L357" s="10">
        <f t="shared" si="22"/>
        <v>0</v>
      </c>
      <c r="M357" s="10">
        <f t="shared" si="25"/>
        <v>0</v>
      </c>
      <c r="N357" s="10"/>
      <c r="O357" s="10"/>
      <c r="P357" s="10"/>
      <c r="Q357" s="10"/>
      <c r="R357" s="10"/>
      <c r="S357" s="10"/>
      <c r="T357" s="10"/>
      <c r="U357" s="10"/>
      <c r="V357" s="4" t="s">
        <v>307</v>
      </c>
      <c r="W357" s="4"/>
      <c r="X357" s="8"/>
      <c r="Y357" s="4"/>
      <c r="Z357" s="4"/>
      <c r="AA357" s="8"/>
      <c r="AB357" s="8"/>
      <c r="AC357" s="4"/>
      <c r="AD357" s="4"/>
    </row>
    <row r="358" spans="1:30" hidden="1">
      <c r="A358" s="4">
        <v>122</v>
      </c>
      <c r="B358" s="8">
        <v>45043</v>
      </c>
      <c r="C358" s="4"/>
      <c r="D358" s="4" t="s">
        <v>42</v>
      </c>
      <c r="E358" s="8">
        <v>45053</v>
      </c>
      <c r="F358" s="4" t="s">
        <v>43</v>
      </c>
      <c r="G358" s="40" t="s">
        <v>20</v>
      </c>
      <c r="H358" s="4" t="s">
        <v>45</v>
      </c>
      <c r="I358" s="4" t="s">
        <v>100</v>
      </c>
      <c r="J358" s="10">
        <v>29.269119999999997</v>
      </c>
      <c r="K358" s="10">
        <f>16.664+9.961+2.756</f>
        <v>29.381</v>
      </c>
      <c r="L358" s="10">
        <f t="shared" si="22"/>
        <v>0</v>
      </c>
      <c r="M358" s="10">
        <f t="shared" si="25"/>
        <v>0</v>
      </c>
      <c r="N358" s="10"/>
      <c r="O358" s="10"/>
      <c r="P358" s="10">
        <v>0</v>
      </c>
      <c r="Q358" s="10"/>
      <c r="R358" s="10"/>
      <c r="S358" s="10"/>
      <c r="T358" s="10"/>
      <c r="U358" s="10"/>
      <c r="V358" s="4" t="s">
        <v>307</v>
      </c>
      <c r="W358" s="4"/>
      <c r="X358" s="8">
        <v>45071</v>
      </c>
      <c r="Y358" s="4"/>
      <c r="Z358" s="4"/>
      <c r="AA358" s="8">
        <v>45074</v>
      </c>
      <c r="AB358" s="8">
        <v>45076</v>
      </c>
      <c r="AC358" s="4"/>
      <c r="AD358" s="4"/>
    </row>
    <row r="359" spans="1:30" hidden="1">
      <c r="A359" s="4">
        <v>122</v>
      </c>
      <c r="B359" s="8">
        <v>45043</v>
      </c>
      <c r="C359" s="4"/>
      <c r="D359" s="4" t="s">
        <v>42</v>
      </c>
      <c r="E359" s="8">
        <v>45053</v>
      </c>
      <c r="F359" s="4" t="s">
        <v>43</v>
      </c>
      <c r="G359" s="40" t="s">
        <v>20</v>
      </c>
      <c r="H359" s="4" t="s">
        <v>45</v>
      </c>
      <c r="I359" s="4" t="s">
        <v>96</v>
      </c>
      <c r="J359" s="10">
        <v>15.848812000000001</v>
      </c>
      <c r="K359" s="10">
        <f>4.296+7.341+3.338+0.923</f>
        <v>15.898000000000001</v>
      </c>
      <c r="L359" s="10">
        <f t="shared" si="22"/>
        <v>0</v>
      </c>
      <c r="M359" s="10">
        <f t="shared" si="25"/>
        <v>0</v>
      </c>
      <c r="N359" s="10"/>
      <c r="O359" s="10"/>
      <c r="P359" s="10">
        <v>0</v>
      </c>
      <c r="Q359" s="10"/>
      <c r="R359" s="10"/>
      <c r="S359" s="10"/>
      <c r="T359" s="10"/>
      <c r="U359" s="10"/>
      <c r="V359" s="4" t="s">
        <v>307</v>
      </c>
      <c r="W359" s="4"/>
      <c r="X359" s="8">
        <v>45071</v>
      </c>
      <c r="Y359" s="4"/>
      <c r="Z359" s="4"/>
      <c r="AA359" s="8">
        <v>45074</v>
      </c>
      <c r="AB359" s="8">
        <v>45076</v>
      </c>
      <c r="AC359" s="4"/>
      <c r="AD359" s="4"/>
    </row>
    <row r="360" spans="1:30" hidden="1">
      <c r="A360" s="4">
        <v>138</v>
      </c>
      <c r="B360" s="8">
        <v>45053</v>
      </c>
      <c r="C360" s="4"/>
      <c r="D360" s="4" t="s">
        <v>42</v>
      </c>
      <c r="E360" s="8">
        <v>45069</v>
      </c>
      <c r="F360" s="4" t="s">
        <v>43</v>
      </c>
      <c r="G360" s="40" t="s">
        <v>60</v>
      </c>
      <c r="H360" s="4" t="s">
        <v>45</v>
      </c>
      <c r="I360" s="4" t="s">
        <v>54</v>
      </c>
      <c r="J360" s="10">
        <v>11.573148</v>
      </c>
      <c r="K360" s="10">
        <v>11.587999999999999</v>
      </c>
      <c r="L360" s="10">
        <f t="shared" si="22"/>
        <v>0</v>
      </c>
      <c r="M360" s="10">
        <f t="shared" ref="M360:M379" si="26">SUM(N360:T360)</f>
        <v>0</v>
      </c>
      <c r="N360" s="10"/>
      <c r="O360" s="10">
        <v>0</v>
      </c>
      <c r="P360" s="10"/>
      <c r="Q360" s="10">
        <v>0</v>
      </c>
      <c r="R360" s="10"/>
      <c r="S360" s="10"/>
      <c r="T360" s="10"/>
      <c r="U360" s="10"/>
      <c r="V360" s="4" t="s">
        <v>661</v>
      </c>
      <c r="W360" s="4" t="s">
        <v>694</v>
      </c>
      <c r="X360" s="8">
        <v>45067</v>
      </c>
      <c r="Y360" s="4"/>
      <c r="Z360" s="4"/>
      <c r="AA360" s="8">
        <v>45072</v>
      </c>
      <c r="AB360" s="8">
        <v>45072</v>
      </c>
      <c r="AC360" s="4"/>
      <c r="AD360" s="4"/>
    </row>
    <row r="361" spans="1:30" hidden="1">
      <c r="A361" s="4">
        <v>138</v>
      </c>
      <c r="B361" s="8">
        <v>45053</v>
      </c>
      <c r="C361" s="4"/>
      <c r="D361" s="4" t="s">
        <v>42</v>
      </c>
      <c r="E361" s="8">
        <v>45069</v>
      </c>
      <c r="F361" s="4" t="s">
        <v>43</v>
      </c>
      <c r="G361" s="40" t="s">
        <v>60</v>
      </c>
      <c r="H361" s="4" t="s">
        <v>45</v>
      </c>
      <c r="I361" s="4" t="s">
        <v>56</v>
      </c>
      <c r="J361" s="10">
        <v>9.6610300000000002</v>
      </c>
      <c r="K361" s="10">
        <f>1.313+1.216+1.489+1.738+4.041</f>
        <v>9.7970000000000006</v>
      </c>
      <c r="L361" s="10">
        <f t="shared" si="22"/>
        <v>0</v>
      </c>
      <c r="M361" s="10">
        <f t="shared" si="26"/>
        <v>0</v>
      </c>
      <c r="N361" s="10"/>
      <c r="O361" s="10"/>
      <c r="P361" s="10">
        <v>0</v>
      </c>
      <c r="Q361" s="10"/>
      <c r="R361" s="10"/>
      <c r="S361" s="10"/>
      <c r="T361" s="10"/>
      <c r="U361" s="10"/>
      <c r="V361" s="4" t="s">
        <v>661</v>
      </c>
      <c r="W361" s="4"/>
      <c r="X361" s="8">
        <v>45068</v>
      </c>
      <c r="Y361" s="4"/>
      <c r="Z361" s="4"/>
      <c r="AA361" s="8">
        <v>45074</v>
      </c>
      <c r="AB361" s="8">
        <v>45083</v>
      </c>
      <c r="AC361" s="4"/>
      <c r="AD361" s="4"/>
    </row>
    <row r="362" spans="1:30" hidden="1">
      <c r="A362" s="4">
        <v>138</v>
      </c>
      <c r="B362" s="8">
        <v>45053</v>
      </c>
      <c r="C362" s="4"/>
      <c r="D362" s="4" t="s">
        <v>42</v>
      </c>
      <c r="E362" s="8">
        <v>45069</v>
      </c>
      <c r="F362" s="4" t="s">
        <v>43</v>
      </c>
      <c r="G362" s="40" t="s">
        <v>60</v>
      </c>
      <c r="H362" s="4" t="s">
        <v>45</v>
      </c>
      <c r="I362" s="4" t="s">
        <v>48</v>
      </c>
      <c r="J362" s="10">
        <v>40.201439999999998</v>
      </c>
      <c r="K362" s="10">
        <f>20.6+15.783+3.97</f>
        <v>40.353000000000002</v>
      </c>
      <c r="L362" s="10">
        <f t="shared" si="22"/>
        <v>0</v>
      </c>
      <c r="M362" s="10">
        <f t="shared" si="26"/>
        <v>0</v>
      </c>
      <c r="N362" s="10"/>
      <c r="O362" s="10"/>
      <c r="P362" s="10">
        <v>0</v>
      </c>
      <c r="Q362" s="10"/>
      <c r="R362" s="10"/>
      <c r="S362" s="10"/>
      <c r="T362" s="10"/>
      <c r="U362" s="10"/>
      <c r="V362" s="4" t="s">
        <v>661</v>
      </c>
      <c r="W362" s="4"/>
      <c r="X362" s="8">
        <v>45068</v>
      </c>
      <c r="Y362" s="4"/>
      <c r="Z362" s="4"/>
      <c r="AA362" s="8">
        <v>45071</v>
      </c>
      <c r="AB362" s="8">
        <v>45078</v>
      </c>
      <c r="AC362" s="4"/>
      <c r="AD362" s="4"/>
    </row>
    <row r="363" spans="1:30" hidden="1">
      <c r="A363" s="4">
        <v>138</v>
      </c>
      <c r="B363" s="8">
        <v>45053</v>
      </c>
      <c r="C363" s="4"/>
      <c r="D363" s="4" t="s">
        <v>42</v>
      </c>
      <c r="E363" s="8">
        <v>45069</v>
      </c>
      <c r="F363" s="4" t="s">
        <v>43</v>
      </c>
      <c r="G363" s="40" t="s">
        <v>60</v>
      </c>
      <c r="H363" s="4" t="s">
        <v>45</v>
      </c>
      <c r="I363" s="4" t="s">
        <v>403</v>
      </c>
      <c r="J363" s="10">
        <v>3.6519999999999992</v>
      </c>
      <c r="K363" s="10">
        <f>2.922+0.886</f>
        <v>3.8080000000000003</v>
      </c>
      <c r="L363" s="10">
        <f t="shared" si="22"/>
        <v>0</v>
      </c>
      <c r="M363" s="10">
        <f t="shared" si="26"/>
        <v>0</v>
      </c>
      <c r="N363" s="10"/>
      <c r="O363" s="10"/>
      <c r="P363" s="10">
        <v>0</v>
      </c>
      <c r="Q363" s="10"/>
      <c r="R363" s="10"/>
      <c r="S363" s="10"/>
      <c r="T363" s="10"/>
      <c r="U363" s="10"/>
      <c r="V363" s="4" t="s">
        <v>661</v>
      </c>
      <c r="W363" s="4" t="s">
        <v>701</v>
      </c>
      <c r="X363" s="8">
        <v>45069</v>
      </c>
      <c r="Y363" s="4"/>
      <c r="Z363" s="4"/>
      <c r="AA363" s="8">
        <v>45076</v>
      </c>
      <c r="AB363" s="8">
        <v>45080</v>
      </c>
      <c r="AC363" s="4"/>
      <c r="AD363" s="4"/>
    </row>
    <row r="364" spans="1:30" hidden="1">
      <c r="A364" s="4">
        <v>138</v>
      </c>
      <c r="B364" s="8">
        <v>45053</v>
      </c>
      <c r="C364" s="4"/>
      <c r="D364" s="4" t="s">
        <v>42</v>
      </c>
      <c r="E364" s="8">
        <v>45069</v>
      </c>
      <c r="F364" s="4" t="s">
        <v>43</v>
      </c>
      <c r="G364" s="40" t="s">
        <v>60</v>
      </c>
      <c r="H364" s="4" t="s">
        <v>45</v>
      </c>
      <c r="I364" s="4" t="s">
        <v>400</v>
      </c>
      <c r="J364" s="10">
        <v>12.39472</v>
      </c>
      <c r="K364" s="10">
        <f>6.078+3.575+2.845</f>
        <v>12.498000000000001</v>
      </c>
      <c r="L364" s="10">
        <f t="shared" si="22"/>
        <v>0</v>
      </c>
      <c r="M364" s="10">
        <f t="shared" si="26"/>
        <v>0</v>
      </c>
      <c r="N364" s="10"/>
      <c r="O364" s="10"/>
      <c r="P364" s="10">
        <v>0</v>
      </c>
      <c r="Q364" s="10"/>
      <c r="R364" s="10"/>
      <c r="S364" s="10">
        <v>0</v>
      </c>
      <c r="T364" s="10"/>
      <c r="U364" s="10"/>
      <c r="V364" s="4" t="s">
        <v>661</v>
      </c>
      <c r="W364" s="4"/>
      <c r="X364" s="8">
        <v>45069</v>
      </c>
      <c r="Y364" s="4"/>
      <c r="Z364" s="4"/>
      <c r="AA364" s="8">
        <v>45076</v>
      </c>
      <c r="AB364" s="8">
        <v>45080</v>
      </c>
      <c r="AC364" s="4"/>
      <c r="AD364" s="4"/>
    </row>
    <row r="365" spans="1:30" hidden="1">
      <c r="A365" s="4">
        <v>138</v>
      </c>
      <c r="B365" s="8">
        <v>45053</v>
      </c>
      <c r="C365" s="4"/>
      <c r="D365" s="4" t="s">
        <v>42</v>
      </c>
      <c r="E365" s="8">
        <v>45069</v>
      </c>
      <c r="F365" s="4" t="s">
        <v>43</v>
      </c>
      <c r="G365" s="40" t="s">
        <v>60</v>
      </c>
      <c r="H365" s="4" t="s">
        <v>45</v>
      </c>
      <c r="I365" s="4" t="s">
        <v>46</v>
      </c>
      <c r="J365" s="10">
        <v>32.599519999999998</v>
      </c>
      <c r="K365" s="10">
        <f>14.003+13.396+3.98+1.325</f>
        <v>32.704000000000001</v>
      </c>
      <c r="L365" s="10">
        <f t="shared" si="22"/>
        <v>0</v>
      </c>
      <c r="M365" s="10">
        <f t="shared" si="26"/>
        <v>0</v>
      </c>
      <c r="N365" s="10"/>
      <c r="O365" s="10"/>
      <c r="P365" s="10">
        <v>0</v>
      </c>
      <c r="Q365" s="10"/>
      <c r="R365" s="10"/>
      <c r="S365" s="10"/>
      <c r="T365" s="10"/>
      <c r="U365" s="10"/>
      <c r="V365" s="4" t="s">
        <v>661</v>
      </c>
      <c r="W365" s="4"/>
      <c r="X365" s="8">
        <v>45069</v>
      </c>
      <c r="Y365" s="4"/>
      <c r="Z365" s="4"/>
      <c r="AA365" s="8">
        <v>45075</v>
      </c>
      <c r="AB365" s="8">
        <v>45097</v>
      </c>
      <c r="AC365" s="4"/>
      <c r="AD365" s="4"/>
    </row>
    <row r="366" spans="1:30" hidden="1">
      <c r="A366" s="4">
        <v>138</v>
      </c>
      <c r="B366" s="8">
        <v>45053</v>
      </c>
      <c r="C366" s="4"/>
      <c r="D366" s="4" t="s">
        <v>42</v>
      </c>
      <c r="E366" s="8">
        <v>45069</v>
      </c>
      <c r="F366" s="4" t="s">
        <v>43</v>
      </c>
      <c r="G366" s="40" t="s">
        <v>60</v>
      </c>
      <c r="H366" s="4" t="s">
        <v>45</v>
      </c>
      <c r="I366" s="4" t="s">
        <v>406</v>
      </c>
      <c r="J366" s="10">
        <v>32.883119999999998</v>
      </c>
      <c r="K366" s="10">
        <f>16.212+16.671</f>
        <v>32.882999999999996</v>
      </c>
      <c r="L366" s="10">
        <f t="shared" si="22"/>
        <v>0</v>
      </c>
      <c r="M366" s="10">
        <f t="shared" si="26"/>
        <v>0</v>
      </c>
      <c r="N366" s="10"/>
      <c r="O366" s="10"/>
      <c r="P366" s="10">
        <v>0</v>
      </c>
      <c r="Q366" s="10"/>
      <c r="R366" s="10"/>
      <c r="S366" s="10">
        <v>0</v>
      </c>
      <c r="T366" s="10"/>
      <c r="U366" s="10"/>
      <c r="V366" s="4" t="s">
        <v>661</v>
      </c>
      <c r="W366" s="4"/>
      <c r="X366" s="8">
        <v>45069</v>
      </c>
      <c r="Y366" s="4"/>
      <c r="Z366" s="4"/>
      <c r="AA366" s="8">
        <v>45075</v>
      </c>
      <c r="AB366" s="8">
        <v>45075</v>
      </c>
      <c r="AC366" s="4"/>
      <c r="AD366" s="4"/>
    </row>
    <row r="367" spans="1:30" hidden="1">
      <c r="A367" s="4">
        <v>138</v>
      </c>
      <c r="B367" s="8">
        <v>45053</v>
      </c>
      <c r="C367" s="4"/>
      <c r="D367" s="4" t="s">
        <v>42</v>
      </c>
      <c r="E367" s="8">
        <v>45069</v>
      </c>
      <c r="F367" s="4" t="s">
        <v>43</v>
      </c>
      <c r="G367" s="40" t="s">
        <v>60</v>
      </c>
      <c r="H367" s="4" t="s">
        <v>45</v>
      </c>
      <c r="I367" s="4" t="s">
        <v>50</v>
      </c>
      <c r="J367" s="10">
        <v>2.94</v>
      </c>
      <c r="K367" s="10">
        <v>2.9710000000000001</v>
      </c>
      <c r="L367" s="10">
        <f t="shared" si="22"/>
        <v>0</v>
      </c>
      <c r="M367" s="10">
        <f t="shared" si="26"/>
        <v>0</v>
      </c>
      <c r="N367" s="10"/>
      <c r="O367" s="10"/>
      <c r="P367" s="10">
        <v>0</v>
      </c>
      <c r="Q367" s="10"/>
      <c r="R367" s="10"/>
      <c r="S367" s="10"/>
      <c r="T367" s="10"/>
      <c r="U367" s="10"/>
      <c r="V367" s="4" t="s">
        <v>661</v>
      </c>
      <c r="W367" s="4"/>
      <c r="X367" s="8">
        <v>45076</v>
      </c>
      <c r="Y367" s="4"/>
      <c r="Z367" s="4"/>
      <c r="AA367" s="8">
        <v>45081</v>
      </c>
      <c r="AB367" s="8">
        <v>45081</v>
      </c>
      <c r="AC367" s="4"/>
      <c r="AD367" s="4"/>
    </row>
    <row r="368" spans="1:30" hidden="1">
      <c r="A368" s="4">
        <v>138</v>
      </c>
      <c r="B368" s="8">
        <v>45053</v>
      </c>
      <c r="C368" s="4"/>
      <c r="D368" s="4" t="s">
        <v>42</v>
      </c>
      <c r="E368" s="8">
        <v>45069</v>
      </c>
      <c r="F368" s="4" t="s">
        <v>43</v>
      </c>
      <c r="G368" s="40" t="s">
        <v>60</v>
      </c>
      <c r="H368" s="4" t="s">
        <v>45</v>
      </c>
      <c r="I368" s="4" t="s">
        <v>588</v>
      </c>
      <c r="J368" s="10">
        <v>52.149900000000002</v>
      </c>
      <c r="K368" s="10">
        <f>23.905+20.895+4.838+1.655+0.914</f>
        <v>52.207000000000001</v>
      </c>
      <c r="L368" s="10">
        <f t="shared" si="22"/>
        <v>0</v>
      </c>
      <c r="M368" s="10">
        <f t="shared" si="26"/>
        <v>0</v>
      </c>
      <c r="N368" s="10"/>
      <c r="O368" s="10"/>
      <c r="P368" s="10"/>
      <c r="Q368" s="10"/>
      <c r="R368" s="10"/>
      <c r="S368" s="10">
        <v>0</v>
      </c>
      <c r="T368" s="10"/>
      <c r="U368" s="10"/>
      <c r="V368" s="4" t="s">
        <v>661</v>
      </c>
      <c r="W368" s="4" t="s">
        <v>446</v>
      </c>
      <c r="X368" s="8">
        <v>45076</v>
      </c>
      <c r="Y368" s="4"/>
      <c r="Z368" s="4"/>
      <c r="AA368" s="8">
        <v>45076</v>
      </c>
      <c r="AB368" s="8">
        <v>45093</v>
      </c>
      <c r="AC368" s="4"/>
      <c r="AD368" s="4"/>
    </row>
    <row r="369" spans="1:30" hidden="1">
      <c r="A369" s="4">
        <v>138</v>
      </c>
      <c r="B369" s="8">
        <v>45053</v>
      </c>
      <c r="C369" s="4"/>
      <c r="D369" s="4" t="s">
        <v>42</v>
      </c>
      <c r="E369" s="8">
        <v>45069</v>
      </c>
      <c r="F369" s="4" t="s">
        <v>43</v>
      </c>
      <c r="G369" s="40" t="s">
        <v>60</v>
      </c>
      <c r="H369" s="4" t="s">
        <v>45</v>
      </c>
      <c r="I369" s="4" t="s">
        <v>407</v>
      </c>
      <c r="J369" s="10">
        <v>7.7061600000000006</v>
      </c>
      <c r="K369" s="10">
        <v>7.8330000000000002</v>
      </c>
      <c r="L369" s="10">
        <f t="shared" ref="L369:L432" si="27">M369+U369</f>
        <v>0</v>
      </c>
      <c r="M369" s="10">
        <f t="shared" si="26"/>
        <v>0</v>
      </c>
      <c r="N369" s="10"/>
      <c r="O369" s="10">
        <v>0</v>
      </c>
      <c r="P369" s="10"/>
      <c r="Q369" s="10"/>
      <c r="R369" s="10"/>
      <c r="S369" s="10"/>
      <c r="T369" s="10"/>
      <c r="U369" s="10"/>
      <c r="V369" s="4" t="s">
        <v>661</v>
      </c>
      <c r="W369" s="4"/>
      <c r="X369" s="8">
        <v>45066</v>
      </c>
      <c r="Y369" s="4"/>
      <c r="Z369" s="4"/>
      <c r="AA369" s="8">
        <v>45072</v>
      </c>
      <c r="AB369" s="8">
        <v>45072</v>
      </c>
      <c r="AC369" s="4"/>
      <c r="AD369" s="4"/>
    </row>
    <row r="370" spans="1:30" hidden="1">
      <c r="A370" s="4">
        <v>138</v>
      </c>
      <c r="B370" s="8">
        <v>45053</v>
      </c>
      <c r="C370" s="4"/>
      <c r="D370" s="4" t="s">
        <v>42</v>
      </c>
      <c r="E370" s="8">
        <v>45069</v>
      </c>
      <c r="F370" s="4" t="s">
        <v>43</v>
      </c>
      <c r="G370" s="40" t="s">
        <v>60</v>
      </c>
      <c r="H370" s="4" t="s">
        <v>45</v>
      </c>
      <c r="I370" s="4" t="s">
        <v>409</v>
      </c>
      <c r="J370" s="10">
        <v>5.0975999999999999</v>
      </c>
      <c r="K370" s="10">
        <f>3.413+1.797</f>
        <v>5.21</v>
      </c>
      <c r="L370" s="10">
        <f t="shared" si="27"/>
        <v>0</v>
      </c>
      <c r="M370" s="10">
        <f t="shared" si="26"/>
        <v>0</v>
      </c>
      <c r="N370" s="10"/>
      <c r="O370" s="10"/>
      <c r="P370" s="10">
        <v>0</v>
      </c>
      <c r="Q370" s="10">
        <v>0</v>
      </c>
      <c r="R370" s="10"/>
      <c r="S370" s="10"/>
      <c r="T370" s="10"/>
      <c r="U370" s="10"/>
      <c r="V370" s="4" t="s">
        <v>661</v>
      </c>
      <c r="W370" s="4" t="s">
        <v>685</v>
      </c>
      <c r="X370" s="8">
        <v>45066</v>
      </c>
      <c r="Y370" s="4"/>
      <c r="Z370" s="4"/>
      <c r="AA370" s="8">
        <v>45072</v>
      </c>
      <c r="AB370" s="8">
        <v>45081</v>
      </c>
      <c r="AC370" s="4"/>
      <c r="AD370" s="4"/>
    </row>
    <row r="371" spans="1:30" hidden="1">
      <c r="A371" s="4">
        <v>138</v>
      </c>
      <c r="B371" s="8">
        <v>45053</v>
      </c>
      <c r="C371" s="4"/>
      <c r="D371" s="4" t="s">
        <v>42</v>
      </c>
      <c r="E371" s="8">
        <v>45069</v>
      </c>
      <c r="F371" s="4" t="s">
        <v>43</v>
      </c>
      <c r="G371" s="40" t="s">
        <v>60</v>
      </c>
      <c r="H371" s="4" t="s">
        <v>45</v>
      </c>
      <c r="I371" s="4" t="s">
        <v>517</v>
      </c>
      <c r="J371" s="10">
        <v>7.60032</v>
      </c>
      <c r="K371" s="10">
        <f>4.436+3.429</f>
        <v>7.8650000000000002</v>
      </c>
      <c r="L371" s="10">
        <f t="shared" si="27"/>
        <v>0</v>
      </c>
      <c r="M371" s="10">
        <f t="shared" si="26"/>
        <v>0</v>
      </c>
      <c r="N371" s="10"/>
      <c r="O371" s="10">
        <v>0</v>
      </c>
      <c r="P371" s="10"/>
      <c r="Q371" s="10"/>
      <c r="R371" s="10"/>
      <c r="S371" s="10"/>
      <c r="T371" s="10"/>
      <c r="U371" s="10"/>
      <c r="V371" s="4" t="s">
        <v>661</v>
      </c>
      <c r="W371" s="4"/>
      <c r="X371" s="8"/>
      <c r="Y371" s="4"/>
      <c r="Z371" s="4"/>
      <c r="AA371" s="8"/>
      <c r="AB371" s="8">
        <v>45093</v>
      </c>
      <c r="AC371" s="4"/>
      <c r="AD371" s="4"/>
    </row>
    <row r="372" spans="1:30" hidden="1">
      <c r="A372" s="4">
        <v>138</v>
      </c>
      <c r="B372" s="8">
        <v>45053</v>
      </c>
      <c r="C372" s="4"/>
      <c r="D372" s="4" t="s">
        <v>42</v>
      </c>
      <c r="E372" s="8">
        <v>45069</v>
      </c>
      <c r="F372" s="4" t="s">
        <v>43</v>
      </c>
      <c r="G372" s="40" t="s">
        <v>60</v>
      </c>
      <c r="H372" s="4" t="s">
        <v>45</v>
      </c>
      <c r="I372" s="4" t="s">
        <v>579</v>
      </c>
      <c r="J372" s="10">
        <v>2.2751999999999999</v>
      </c>
      <c r="K372" s="10">
        <v>2.2749999999999999</v>
      </c>
      <c r="L372" s="10">
        <f t="shared" si="27"/>
        <v>0</v>
      </c>
      <c r="M372" s="10">
        <f t="shared" si="26"/>
        <v>0</v>
      </c>
      <c r="N372" s="10"/>
      <c r="O372" s="10"/>
      <c r="P372" s="10"/>
      <c r="Q372" s="10"/>
      <c r="R372" s="10"/>
      <c r="S372" s="10"/>
      <c r="T372" s="10">
        <v>0</v>
      </c>
      <c r="U372" s="10"/>
      <c r="V372" s="4" t="s">
        <v>661</v>
      </c>
      <c r="W372" s="4"/>
      <c r="X372" s="8"/>
      <c r="Y372" s="4"/>
      <c r="Z372" s="4"/>
      <c r="AA372" s="8"/>
      <c r="AB372" s="8">
        <v>45093</v>
      </c>
      <c r="AC372" s="4"/>
      <c r="AD372" s="4"/>
    </row>
    <row r="373" spans="1:30" hidden="1">
      <c r="A373" s="4">
        <v>138</v>
      </c>
      <c r="B373" s="8">
        <v>45053</v>
      </c>
      <c r="C373" s="4"/>
      <c r="D373" s="4" t="s">
        <v>42</v>
      </c>
      <c r="E373" s="8">
        <v>45069</v>
      </c>
      <c r="F373" s="4" t="s">
        <v>43</v>
      </c>
      <c r="G373" s="40" t="s">
        <v>60</v>
      </c>
      <c r="H373" s="4" t="s">
        <v>45</v>
      </c>
      <c r="I373" s="4" t="s">
        <v>448</v>
      </c>
      <c r="J373" s="10">
        <v>8.5716800000000006</v>
      </c>
      <c r="K373" s="10">
        <v>8.7850000000000001</v>
      </c>
      <c r="L373" s="10">
        <f t="shared" si="27"/>
        <v>0</v>
      </c>
      <c r="M373" s="10">
        <f t="shared" si="26"/>
        <v>0</v>
      </c>
      <c r="N373" s="10"/>
      <c r="O373" s="10">
        <v>0</v>
      </c>
      <c r="P373" s="10"/>
      <c r="Q373" s="10"/>
      <c r="R373" s="10"/>
      <c r="S373" s="10"/>
      <c r="T373" s="10"/>
      <c r="U373" s="10"/>
      <c r="V373" s="4" t="s">
        <v>661</v>
      </c>
      <c r="W373" s="4"/>
      <c r="X373" s="8"/>
      <c r="Y373" s="4"/>
      <c r="Z373" s="4"/>
      <c r="AA373" s="8"/>
      <c r="AB373" s="8">
        <v>45093</v>
      </c>
      <c r="AC373" s="4"/>
      <c r="AD373" s="4"/>
    </row>
    <row r="374" spans="1:30" hidden="1">
      <c r="A374" s="4">
        <v>138</v>
      </c>
      <c r="B374" s="8">
        <v>45053</v>
      </c>
      <c r="C374" s="4"/>
      <c r="D374" s="4" t="s">
        <v>42</v>
      </c>
      <c r="E374" s="8">
        <v>45069</v>
      </c>
      <c r="F374" s="4" t="s">
        <v>43</v>
      </c>
      <c r="G374" s="40" t="s">
        <v>60</v>
      </c>
      <c r="H374" s="4" t="s">
        <v>45</v>
      </c>
      <c r="I374" s="4" t="s">
        <v>435</v>
      </c>
      <c r="J374" s="10">
        <v>2.6150000000000002</v>
      </c>
      <c r="K374" s="10">
        <v>2.6150000000000002</v>
      </c>
      <c r="L374" s="10">
        <f t="shared" si="27"/>
        <v>0</v>
      </c>
      <c r="M374" s="10">
        <f t="shared" si="26"/>
        <v>0</v>
      </c>
      <c r="N374" s="10"/>
      <c r="O374" s="10"/>
      <c r="P374" s="10">
        <f>2.615-2.615</f>
        <v>0</v>
      </c>
      <c r="Q374" s="10"/>
      <c r="R374" s="10"/>
      <c r="S374" s="10"/>
      <c r="T374" s="10"/>
      <c r="U374" s="10"/>
      <c r="V374" s="4" t="s">
        <v>661</v>
      </c>
      <c r="W374" s="4"/>
      <c r="X374" s="8">
        <v>45072</v>
      </c>
      <c r="Y374" s="4"/>
      <c r="Z374" s="4"/>
      <c r="AA374" s="8">
        <v>45078</v>
      </c>
      <c r="AB374" s="8">
        <v>45078</v>
      </c>
      <c r="AC374" s="4"/>
      <c r="AD374" s="4"/>
    </row>
    <row r="375" spans="1:30" hidden="1">
      <c r="A375" s="4">
        <v>138</v>
      </c>
      <c r="B375" s="8">
        <v>45053</v>
      </c>
      <c r="C375" s="4"/>
      <c r="D375" s="4" t="s">
        <v>42</v>
      </c>
      <c r="E375" s="8">
        <v>45069</v>
      </c>
      <c r="F375" s="4" t="s">
        <v>43</v>
      </c>
      <c r="G375" s="40" t="s">
        <v>60</v>
      </c>
      <c r="H375" s="4" t="s">
        <v>45</v>
      </c>
      <c r="I375" s="4" t="s">
        <v>473</v>
      </c>
      <c r="J375" s="10">
        <v>2.58108</v>
      </c>
      <c r="K375" s="10">
        <f>1.923+0.658</f>
        <v>2.581</v>
      </c>
      <c r="L375" s="10">
        <f t="shared" si="27"/>
        <v>0</v>
      </c>
      <c r="M375" s="10">
        <f t="shared" si="26"/>
        <v>0</v>
      </c>
      <c r="N375" s="10"/>
      <c r="O375" s="10"/>
      <c r="P375" s="10">
        <v>0</v>
      </c>
      <c r="Q375" s="10"/>
      <c r="R375" s="10"/>
      <c r="S375" s="10"/>
      <c r="T375" s="10"/>
      <c r="U375" s="10"/>
      <c r="V375" s="4" t="s">
        <v>661</v>
      </c>
      <c r="W375" s="4"/>
      <c r="X375" s="8">
        <v>45072</v>
      </c>
      <c r="Y375" s="4"/>
      <c r="Z375" s="4"/>
      <c r="AA375" s="8">
        <v>45074</v>
      </c>
      <c r="AB375" s="8">
        <v>45075</v>
      </c>
      <c r="AC375" s="4"/>
      <c r="AD375" s="4"/>
    </row>
    <row r="376" spans="1:30" hidden="1">
      <c r="A376" s="4">
        <v>138</v>
      </c>
      <c r="B376" s="8">
        <v>45053</v>
      </c>
      <c r="C376" s="4"/>
      <c r="D376" s="4" t="s">
        <v>42</v>
      </c>
      <c r="E376" s="8">
        <v>45069</v>
      </c>
      <c r="F376" s="4" t="s">
        <v>43</v>
      </c>
      <c r="G376" s="40" t="s">
        <v>60</v>
      </c>
      <c r="H376" s="4" t="s">
        <v>45</v>
      </c>
      <c r="I376" s="4" t="s">
        <v>474</v>
      </c>
      <c r="J376" s="10">
        <v>3.4521154999999997</v>
      </c>
      <c r="K376" s="10">
        <v>3.452</v>
      </c>
      <c r="L376" s="10">
        <f t="shared" si="27"/>
        <v>0</v>
      </c>
      <c r="M376" s="10">
        <f t="shared" si="26"/>
        <v>0</v>
      </c>
      <c r="N376" s="10"/>
      <c r="O376" s="10"/>
      <c r="P376" s="10">
        <v>0</v>
      </c>
      <c r="Q376" s="10"/>
      <c r="R376" s="10"/>
      <c r="S376" s="10"/>
      <c r="T376" s="10"/>
      <c r="U376" s="10"/>
      <c r="V376" s="4" t="s">
        <v>661</v>
      </c>
      <c r="W376" s="4"/>
      <c r="X376" s="8"/>
      <c r="Y376" s="4"/>
      <c r="Z376" s="4"/>
      <c r="AA376" s="8"/>
      <c r="AB376" s="8"/>
      <c r="AC376" s="4"/>
      <c r="AD376" s="4"/>
    </row>
    <row r="377" spans="1:30" hidden="1">
      <c r="A377" s="4">
        <v>138</v>
      </c>
      <c r="B377" s="8">
        <v>45053</v>
      </c>
      <c r="C377" s="4"/>
      <c r="D377" s="4" t="s">
        <v>42</v>
      </c>
      <c r="E377" s="8">
        <v>45069</v>
      </c>
      <c r="F377" s="4" t="s">
        <v>43</v>
      </c>
      <c r="G377" s="40" t="s">
        <v>60</v>
      </c>
      <c r="H377" s="4" t="s">
        <v>45</v>
      </c>
      <c r="I377" s="4" t="s">
        <v>235</v>
      </c>
      <c r="J377" s="10">
        <v>15.281880000000003</v>
      </c>
      <c r="K377" s="10">
        <f>11.146+4.136</f>
        <v>15.282</v>
      </c>
      <c r="L377" s="10">
        <f t="shared" si="27"/>
        <v>0</v>
      </c>
      <c r="M377" s="10">
        <f t="shared" si="26"/>
        <v>0</v>
      </c>
      <c r="N377" s="10"/>
      <c r="O377" s="10"/>
      <c r="P377" s="10">
        <v>0</v>
      </c>
      <c r="Q377" s="10"/>
      <c r="R377" s="10"/>
      <c r="S377" s="10"/>
      <c r="T377" s="10"/>
      <c r="U377" s="10"/>
      <c r="V377" s="4" t="s">
        <v>661</v>
      </c>
      <c r="W377" s="4"/>
      <c r="X377" s="8"/>
      <c r="Y377" s="4"/>
      <c r="Z377" s="4"/>
      <c r="AA377" s="8"/>
      <c r="AB377" s="8"/>
      <c r="AC377" s="4"/>
      <c r="AD377" s="4"/>
    </row>
    <row r="378" spans="1:30" hidden="1">
      <c r="A378" s="4">
        <v>138</v>
      </c>
      <c r="B378" s="8">
        <v>45053</v>
      </c>
      <c r="C378" s="4"/>
      <c r="D378" s="4" t="s">
        <v>42</v>
      </c>
      <c r="E378" s="8">
        <v>45069</v>
      </c>
      <c r="F378" s="4" t="s">
        <v>43</v>
      </c>
      <c r="G378" s="40" t="s">
        <v>60</v>
      </c>
      <c r="H378" s="4" t="s">
        <v>45</v>
      </c>
      <c r="I378" s="4" t="s">
        <v>100</v>
      </c>
      <c r="J378" s="10">
        <v>21.125159800130351</v>
      </c>
      <c r="K378" s="10">
        <f>11.772+2.365+7.011</f>
        <v>21.148</v>
      </c>
      <c r="L378" s="10">
        <f t="shared" si="27"/>
        <v>0</v>
      </c>
      <c r="M378" s="10">
        <f t="shared" si="26"/>
        <v>0</v>
      </c>
      <c r="N378" s="10"/>
      <c r="O378" s="10"/>
      <c r="P378" s="10">
        <v>0</v>
      </c>
      <c r="Q378" s="10"/>
      <c r="R378" s="10"/>
      <c r="S378" s="10"/>
      <c r="T378" s="10"/>
      <c r="U378" s="10"/>
      <c r="V378" s="4" t="s">
        <v>661</v>
      </c>
      <c r="W378" s="4"/>
      <c r="X378" s="8">
        <v>45071</v>
      </c>
      <c r="Y378" s="4"/>
      <c r="Z378" s="4"/>
      <c r="AA378" s="8">
        <v>45074</v>
      </c>
      <c r="AB378" s="8">
        <v>45076</v>
      </c>
      <c r="AC378" s="4"/>
      <c r="AD378" s="4"/>
    </row>
    <row r="379" spans="1:30" hidden="1">
      <c r="A379" s="4">
        <v>138</v>
      </c>
      <c r="B379" s="8">
        <v>45053</v>
      </c>
      <c r="C379" s="4"/>
      <c r="D379" s="4" t="s">
        <v>42</v>
      </c>
      <c r="E379" s="8">
        <v>45069</v>
      </c>
      <c r="F379" s="4" t="s">
        <v>43</v>
      </c>
      <c r="G379" s="40" t="s">
        <v>60</v>
      </c>
      <c r="H379" s="4" t="s">
        <v>45</v>
      </c>
      <c r="I379" s="4" t="s">
        <v>96</v>
      </c>
      <c r="J379" s="10">
        <v>2.7388499999999998</v>
      </c>
      <c r="K379" s="10">
        <f>1.917+0.846</f>
        <v>2.7629999999999999</v>
      </c>
      <c r="L379" s="10">
        <f t="shared" si="27"/>
        <v>0</v>
      </c>
      <c r="M379" s="10">
        <f t="shared" si="26"/>
        <v>0</v>
      </c>
      <c r="N379" s="10"/>
      <c r="O379" s="10"/>
      <c r="P379" s="10">
        <v>0</v>
      </c>
      <c r="Q379" s="10"/>
      <c r="R379" s="10"/>
      <c r="S379" s="10"/>
      <c r="T379" s="10"/>
      <c r="U379" s="10"/>
      <c r="V379" s="4" t="s">
        <v>661</v>
      </c>
      <c r="W379" s="4"/>
      <c r="X379" s="8">
        <v>45071</v>
      </c>
      <c r="Y379" s="4"/>
      <c r="Z379" s="4"/>
      <c r="AA379" s="8">
        <v>45076</v>
      </c>
      <c r="AB379" s="8">
        <v>45083</v>
      </c>
      <c r="AC379" s="4"/>
      <c r="AD379" s="4"/>
    </row>
    <row r="380" spans="1:30" hidden="1">
      <c r="A380" s="4">
        <v>180</v>
      </c>
      <c r="B380" s="8">
        <v>45059</v>
      </c>
      <c r="C380" s="4"/>
      <c r="D380" s="4" t="s">
        <v>42</v>
      </c>
      <c r="E380" s="8">
        <v>45061</v>
      </c>
      <c r="F380" s="4" t="s">
        <v>43</v>
      </c>
      <c r="G380" s="16" t="s">
        <v>44</v>
      </c>
      <c r="H380" s="4" t="s">
        <v>45</v>
      </c>
      <c r="I380" s="4" t="s">
        <v>400</v>
      </c>
      <c r="J380" s="10">
        <v>1.502</v>
      </c>
      <c r="K380" s="10">
        <v>1.502</v>
      </c>
      <c r="L380" s="10">
        <f t="shared" si="27"/>
        <v>0</v>
      </c>
      <c r="M380" s="10">
        <f t="shared" ref="M380" si="28">SUM(N380:T380)</f>
        <v>0</v>
      </c>
      <c r="N380" s="10"/>
      <c r="O380" s="10"/>
      <c r="P380" s="10"/>
      <c r="Q380" s="10"/>
      <c r="R380" s="10"/>
      <c r="S380" s="10"/>
      <c r="T380" s="10"/>
      <c r="U380" s="10"/>
      <c r="V380" s="4" t="s">
        <v>22</v>
      </c>
      <c r="W380" s="4" t="s">
        <v>634</v>
      </c>
      <c r="X380" s="8"/>
      <c r="Y380" s="4"/>
      <c r="Z380" s="4"/>
      <c r="AA380" s="8">
        <v>45062</v>
      </c>
      <c r="AB380" s="8">
        <v>45062</v>
      </c>
      <c r="AC380" s="4"/>
      <c r="AD380" s="4"/>
    </row>
    <row r="381" spans="1:30" hidden="1">
      <c r="A381" s="4">
        <v>180</v>
      </c>
      <c r="B381" s="8">
        <v>45059</v>
      </c>
      <c r="C381" s="4"/>
      <c r="D381" s="4" t="s">
        <v>42</v>
      </c>
      <c r="E381" s="8">
        <v>45061</v>
      </c>
      <c r="F381" s="4" t="s">
        <v>43</v>
      </c>
      <c r="G381" s="16" t="s">
        <v>44</v>
      </c>
      <c r="H381" s="4" t="s">
        <v>45</v>
      </c>
      <c r="I381" s="4" t="s">
        <v>46</v>
      </c>
      <c r="J381" s="10">
        <v>0.51200000000000001</v>
      </c>
      <c r="K381" s="10">
        <v>0.53300000000000003</v>
      </c>
      <c r="L381" s="10">
        <f t="shared" si="27"/>
        <v>0</v>
      </c>
      <c r="M381" s="10">
        <f t="shared" ref="M381:M388" si="29">SUM(N381:T381)</f>
        <v>0</v>
      </c>
      <c r="N381" s="10"/>
      <c r="O381" s="10"/>
      <c r="P381" s="10"/>
      <c r="Q381" s="10"/>
      <c r="R381" s="10"/>
      <c r="S381" s="10"/>
      <c r="T381" s="10"/>
      <c r="U381" s="10"/>
      <c r="V381" s="4" t="s">
        <v>22</v>
      </c>
      <c r="W381" s="4" t="s">
        <v>634</v>
      </c>
      <c r="X381" s="8"/>
      <c r="Y381" s="4"/>
      <c r="Z381" s="4"/>
      <c r="AA381" s="8">
        <v>45062</v>
      </c>
      <c r="AB381" s="8">
        <v>45062</v>
      </c>
      <c r="AC381" s="4"/>
      <c r="AD381" s="4"/>
    </row>
    <row r="382" spans="1:30" hidden="1">
      <c r="A382" s="4">
        <v>180</v>
      </c>
      <c r="B382" s="8">
        <v>45059</v>
      </c>
      <c r="C382" s="4"/>
      <c r="D382" s="4" t="s">
        <v>42</v>
      </c>
      <c r="E382" s="8">
        <v>45061</v>
      </c>
      <c r="F382" s="4" t="s">
        <v>43</v>
      </c>
      <c r="G382" s="16" t="s">
        <v>44</v>
      </c>
      <c r="H382" s="4" t="s">
        <v>45</v>
      </c>
      <c r="I382" s="4" t="s">
        <v>670</v>
      </c>
      <c r="J382" s="10">
        <v>0.36099999999999999</v>
      </c>
      <c r="K382" s="10">
        <v>0.36099999999999999</v>
      </c>
      <c r="L382" s="10">
        <f t="shared" si="27"/>
        <v>0</v>
      </c>
      <c r="M382" s="10">
        <f t="shared" si="29"/>
        <v>0</v>
      </c>
      <c r="N382" s="10"/>
      <c r="O382" s="10"/>
      <c r="P382" s="10"/>
      <c r="Q382" s="10"/>
      <c r="R382" s="10"/>
      <c r="S382" s="10"/>
      <c r="T382" s="10"/>
      <c r="U382" s="10"/>
      <c r="V382" s="4" t="s">
        <v>22</v>
      </c>
      <c r="W382" s="4" t="s">
        <v>634</v>
      </c>
      <c r="X382" s="8"/>
      <c r="Y382" s="4"/>
      <c r="Z382" s="4"/>
      <c r="AA382" s="8">
        <v>45062</v>
      </c>
      <c r="AB382" s="8">
        <v>45062</v>
      </c>
      <c r="AC382" s="4"/>
      <c r="AD382" s="4"/>
    </row>
    <row r="383" spans="1:30" hidden="1">
      <c r="A383" s="4">
        <v>180</v>
      </c>
      <c r="B383" s="8">
        <v>45059</v>
      </c>
      <c r="C383" s="4"/>
      <c r="D383" s="4" t="s">
        <v>42</v>
      </c>
      <c r="E383" s="8">
        <v>45061</v>
      </c>
      <c r="F383" s="4" t="s">
        <v>43</v>
      </c>
      <c r="G383" s="16" t="s">
        <v>44</v>
      </c>
      <c r="H383" s="4" t="s">
        <v>45</v>
      </c>
      <c r="I383" s="4" t="s">
        <v>447</v>
      </c>
      <c r="J383" s="10">
        <v>1.0680000000000001</v>
      </c>
      <c r="K383" s="10">
        <v>1.0680000000000001</v>
      </c>
      <c r="L383" s="10">
        <f t="shared" si="27"/>
        <v>0</v>
      </c>
      <c r="M383" s="10">
        <f t="shared" si="29"/>
        <v>0</v>
      </c>
      <c r="N383" s="10"/>
      <c r="O383" s="10"/>
      <c r="P383" s="10"/>
      <c r="Q383" s="10"/>
      <c r="R383" s="10"/>
      <c r="S383" s="10"/>
      <c r="T383" s="10"/>
      <c r="U383" s="10"/>
      <c r="V383" s="4" t="s">
        <v>22</v>
      </c>
      <c r="W383" s="4" t="s">
        <v>634</v>
      </c>
      <c r="X383" s="8"/>
      <c r="Y383" s="4"/>
      <c r="Z383" s="4"/>
      <c r="AA383" s="8">
        <v>45062</v>
      </c>
      <c r="AB383" s="8">
        <v>45062</v>
      </c>
      <c r="AC383" s="4"/>
      <c r="AD383" s="4"/>
    </row>
    <row r="384" spans="1:30" hidden="1">
      <c r="A384" s="4">
        <v>180</v>
      </c>
      <c r="B384" s="8">
        <v>45059</v>
      </c>
      <c r="C384" s="4"/>
      <c r="D384" s="4" t="s">
        <v>42</v>
      </c>
      <c r="E384" s="8">
        <v>45061</v>
      </c>
      <c r="F384" s="4" t="s">
        <v>43</v>
      </c>
      <c r="G384" s="16" t="s">
        <v>44</v>
      </c>
      <c r="H384" s="4" t="s">
        <v>45</v>
      </c>
      <c r="I384" s="4" t="s">
        <v>434</v>
      </c>
      <c r="J384" s="10">
        <v>0.35299999999999998</v>
      </c>
      <c r="K384" s="10">
        <v>0.35299999999999998</v>
      </c>
      <c r="L384" s="10">
        <f t="shared" si="27"/>
        <v>0</v>
      </c>
      <c r="M384" s="10">
        <f t="shared" si="29"/>
        <v>0</v>
      </c>
      <c r="N384" s="10"/>
      <c r="O384" s="10"/>
      <c r="P384" s="10"/>
      <c r="Q384" s="10"/>
      <c r="R384" s="10"/>
      <c r="S384" s="10"/>
      <c r="T384" s="10"/>
      <c r="U384" s="10"/>
      <c r="V384" s="4" t="s">
        <v>22</v>
      </c>
      <c r="W384" s="4" t="s">
        <v>634</v>
      </c>
      <c r="X384" s="8"/>
      <c r="Y384" s="4"/>
      <c r="Z384" s="4"/>
      <c r="AA384" s="8">
        <v>45062</v>
      </c>
      <c r="AB384" s="8">
        <v>45062</v>
      </c>
      <c r="AC384" s="4"/>
      <c r="AD384" s="4"/>
    </row>
    <row r="385" spans="1:30" hidden="1">
      <c r="A385" s="4">
        <v>214</v>
      </c>
      <c r="B385" s="8">
        <v>45071</v>
      </c>
      <c r="C385" s="4"/>
      <c r="D385" s="4" t="s">
        <v>42</v>
      </c>
      <c r="E385" s="8">
        <v>45084</v>
      </c>
      <c r="F385" s="4" t="s">
        <v>43</v>
      </c>
      <c r="G385" s="39" t="s">
        <v>186</v>
      </c>
      <c r="H385" s="4" t="s">
        <v>45</v>
      </c>
      <c r="I385" s="4" t="s">
        <v>403</v>
      </c>
      <c r="J385" s="10">
        <v>0.17</v>
      </c>
      <c r="K385" s="10">
        <v>0.19800000000000001</v>
      </c>
      <c r="L385" s="10">
        <f t="shared" si="27"/>
        <v>0</v>
      </c>
      <c r="M385" s="10">
        <f t="shared" si="29"/>
        <v>0</v>
      </c>
      <c r="N385" s="10"/>
      <c r="O385" s="10"/>
      <c r="P385" s="10"/>
      <c r="Q385" s="10"/>
      <c r="R385" s="10"/>
      <c r="S385" s="10">
        <v>0</v>
      </c>
      <c r="T385" s="10"/>
      <c r="U385" s="10"/>
      <c r="V385" s="4" t="s">
        <v>411</v>
      </c>
      <c r="W385" s="4" t="s">
        <v>446</v>
      </c>
      <c r="X385" s="8">
        <v>45069</v>
      </c>
      <c r="Y385" s="4"/>
      <c r="Z385" s="4"/>
      <c r="AA385" s="8">
        <v>45097</v>
      </c>
      <c r="AB385" s="8">
        <v>45097</v>
      </c>
      <c r="AC385" s="4"/>
      <c r="AD385" s="4"/>
    </row>
    <row r="386" spans="1:30" hidden="1">
      <c r="A386" s="4">
        <v>214</v>
      </c>
      <c r="B386" s="8">
        <v>45071</v>
      </c>
      <c r="C386" s="4"/>
      <c r="D386" s="4" t="s">
        <v>42</v>
      </c>
      <c r="E386" s="8">
        <v>45084</v>
      </c>
      <c r="F386" s="4" t="s">
        <v>43</v>
      </c>
      <c r="G386" s="39" t="s">
        <v>186</v>
      </c>
      <c r="H386" s="4" t="s">
        <v>45</v>
      </c>
      <c r="I386" s="4" t="s">
        <v>89</v>
      </c>
      <c r="J386" s="10">
        <v>1.18</v>
      </c>
      <c r="K386" s="10">
        <v>1.175</v>
      </c>
      <c r="L386" s="10">
        <f t="shared" si="27"/>
        <v>0</v>
      </c>
      <c r="M386" s="10">
        <f t="shared" si="29"/>
        <v>0</v>
      </c>
      <c r="N386" s="10"/>
      <c r="O386" s="10"/>
      <c r="P386" s="10">
        <v>0</v>
      </c>
      <c r="Q386" s="10"/>
      <c r="R386" s="10"/>
      <c r="S386" s="10"/>
      <c r="T386" s="10"/>
      <c r="U386" s="10"/>
      <c r="V386" s="4" t="s">
        <v>411</v>
      </c>
      <c r="W386" s="4"/>
      <c r="X386" s="8">
        <v>45071</v>
      </c>
      <c r="Y386" s="4"/>
      <c r="Z386" s="4"/>
      <c r="AA386" s="8">
        <v>45076</v>
      </c>
      <c r="AB386" s="8">
        <v>45076</v>
      </c>
      <c r="AC386" s="4"/>
      <c r="AD386" s="4"/>
    </row>
    <row r="387" spans="1:30" hidden="1">
      <c r="A387" s="4">
        <v>214</v>
      </c>
      <c r="B387" s="8">
        <v>45071</v>
      </c>
      <c r="C387" s="4"/>
      <c r="D387" s="4" t="s">
        <v>42</v>
      </c>
      <c r="E387" s="8">
        <v>45084</v>
      </c>
      <c r="F387" s="4" t="s">
        <v>43</v>
      </c>
      <c r="G387" s="39" t="s">
        <v>186</v>
      </c>
      <c r="H387" s="4" t="s">
        <v>45</v>
      </c>
      <c r="I387" s="4" t="s">
        <v>87</v>
      </c>
      <c r="J387" s="10">
        <v>0.57999999999999996</v>
      </c>
      <c r="K387" s="10">
        <v>0.69899999999999995</v>
      </c>
      <c r="L387" s="10">
        <f t="shared" si="27"/>
        <v>0</v>
      </c>
      <c r="M387" s="10">
        <f t="shared" si="29"/>
        <v>0</v>
      </c>
      <c r="N387" s="10"/>
      <c r="O387" s="10"/>
      <c r="P387" s="10">
        <v>0</v>
      </c>
      <c r="Q387" s="10"/>
      <c r="R387" s="10"/>
      <c r="S387" s="10"/>
      <c r="T387" s="10"/>
      <c r="U387" s="10"/>
      <c r="V387" s="4" t="s">
        <v>411</v>
      </c>
      <c r="W387" s="4"/>
      <c r="X387" s="8">
        <v>45071</v>
      </c>
      <c r="Y387" s="4"/>
      <c r="Z387" s="4"/>
      <c r="AA387" s="8">
        <v>45078</v>
      </c>
      <c r="AB387" s="8">
        <v>45078</v>
      </c>
      <c r="AC387" s="4"/>
      <c r="AD387" s="4"/>
    </row>
    <row r="388" spans="1:30" hidden="1">
      <c r="A388" s="4">
        <v>214</v>
      </c>
      <c r="B388" s="8">
        <v>45071</v>
      </c>
      <c r="C388" s="4"/>
      <c r="D388" s="4" t="s">
        <v>42</v>
      </c>
      <c r="E388" s="8">
        <v>45084</v>
      </c>
      <c r="F388" s="4" t="s">
        <v>43</v>
      </c>
      <c r="G388" s="15" t="s">
        <v>92</v>
      </c>
      <c r="H388" s="4" t="s">
        <v>52</v>
      </c>
      <c r="I388" s="4" t="s">
        <v>87</v>
      </c>
      <c r="J388" s="10">
        <v>5.19</v>
      </c>
      <c r="K388" s="10">
        <f>2.787+2.018+0.384</f>
        <v>5.1890000000000001</v>
      </c>
      <c r="L388" s="10">
        <f t="shared" si="27"/>
        <v>0</v>
      </c>
      <c r="M388" s="10">
        <f t="shared" si="29"/>
        <v>0</v>
      </c>
      <c r="N388" s="10"/>
      <c r="O388" s="10"/>
      <c r="P388" s="10">
        <v>0</v>
      </c>
      <c r="Q388" s="10"/>
      <c r="R388" s="10"/>
      <c r="S388" s="10"/>
      <c r="T388" s="10"/>
      <c r="U388" s="10"/>
      <c r="V388" s="4" t="s">
        <v>411</v>
      </c>
      <c r="W388" s="4"/>
      <c r="X388" s="8">
        <v>45071</v>
      </c>
      <c r="Y388" s="4"/>
      <c r="Z388" s="4"/>
      <c r="AA388" s="8">
        <v>45076</v>
      </c>
      <c r="AB388" s="8">
        <v>45083</v>
      </c>
      <c r="AC388" s="4"/>
      <c r="AD388" s="4"/>
    </row>
    <row r="389" spans="1:30" hidden="1">
      <c r="A389" s="4">
        <v>215</v>
      </c>
      <c r="B389" s="8">
        <v>45071</v>
      </c>
      <c r="C389" s="4"/>
      <c r="D389" s="4" t="s">
        <v>42</v>
      </c>
      <c r="E389" s="8">
        <v>45084</v>
      </c>
      <c r="F389" s="4" t="s">
        <v>43</v>
      </c>
      <c r="G389" s="16" t="s">
        <v>44</v>
      </c>
      <c r="H389" s="4" t="s">
        <v>45</v>
      </c>
      <c r="I389" s="4" t="s">
        <v>54</v>
      </c>
      <c r="J389" s="10">
        <v>1.52</v>
      </c>
      <c r="K389" s="10">
        <v>1.7689999999999999</v>
      </c>
      <c r="L389" s="10">
        <f t="shared" si="27"/>
        <v>0</v>
      </c>
      <c r="M389" s="10">
        <f t="shared" ref="M389:M406" si="30">SUM(N389:T389)</f>
        <v>0</v>
      </c>
      <c r="N389" s="10"/>
      <c r="O389" s="10"/>
      <c r="P389" s="10"/>
      <c r="Q389" s="10"/>
      <c r="R389" s="10"/>
      <c r="S389" s="10">
        <v>0</v>
      </c>
      <c r="T389" s="10"/>
      <c r="U389" s="10"/>
      <c r="V389" s="4" t="s">
        <v>466</v>
      </c>
      <c r="W389" s="4" t="s">
        <v>446</v>
      </c>
      <c r="X389" s="8">
        <v>45067</v>
      </c>
      <c r="Y389" s="4"/>
      <c r="Z389" s="4"/>
      <c r="AA389" s="8"/>
      <c r="AB389" s="8"/>
      <c r="AC389" s="4"/>
      <c r="AD389" s="4"/>
    </row>
    <row r="390" spans="1:30" hidden="1">
      <c r="A390" s="4">
        <v>215</v>
      </c>
      <c r="B390" s="8">
        <v>45071</v>
      </c>
      <c r="C390" s="4"/>
      <c r="D390" s="4" t="s">
        <v>42</v>
      </c>
      <c r="E390" s="8">
        <v>45084</v>
      </c>
      <c r="F390" s="4" t="s">
        <v>43</v>
      </c>
      <c r="G390" s="16" t="s">
        <v>44</v>
      </c>
      <c r="H390" s="4" t="s">
        <v>45</v>
      </c>
      <c r="I390" s="4" t="s">
        <v>56</v>
      </c>
      <c r="J390" s="10">
        <v>3.4000000000000004</v>
      </c>
      <c r="K390" s="10">
        <v>3.4620000000000002</v>
      </c>
      <c r="L390" s="10">
        <f t="shared" si="27"/>
        <v>0</v>
      </c>
      <c r="M390" s="10">
        <f t="shared" si="30"/>
        <v>0</v>
      </c>
      <c r="N390" s="10"/>
      <c r="O390" s="10"/>
      <c r="P390" s="10"/>
      <c r="Q390" s="10"/>
      <c r="R390" s="10"/>
      <c r="S390" s="10">
        <v>0</v>
      </c>
      <c r="T390" s="10"/>
      <c r="U390" s="10"/>
      <c r="V390" s="4" t="s">
        <v>466</v>
      </c>
      <c r="W390" s="4" t="s">
        <v>446</v>
      </c>
      <c r="X390" s="8">
        <v>45067</v>
      </c>
      <c r="Y390" s="4"/>
      <c r="Z390" s="4"/>
      <c r="AA390" s="8"/>
      <c r="AB390" s="8"/>
      <c r="AC390" s="4"/>
      <c r="AD390" s="4"/>
    </row>
    <row r="391" spans="1:30" hidden="1">
      <c r="A391" s="4">
        <v>215</v>
      </c>
      <c r="B391" s="8">
        <v>45071</v>
      </c>
      <c r="C391" s="4"/>
      <c r="D391" s="4" t="s">
        <v>42</v>
      </c>
      <c r="E391" s="8">
        <v>45084</v>
      </c>
      <c r="F391" s="4" t="s">
        <v>43</v>
      </c>
      <c r="G391" s="16" t="s">
        <v>44</v>
      </c>
      <c r="H391" s="4" t="s">
        <v>45</v>
      </c>
      <c r="I391" s="4" t="s">
        <v>48</v>
      </c>
      <c r="J391" s="10">
        <v>1.42</v>
      </c>
      <c r="K391" s="10">
        <v>1.774</v>
      </c>
      <c r="L391" s="10">
        <f t="shared" si="27"/>
        <v>0</v>
      </c>
      <c r="M391" s="10">
        <f t="shared" si="30"/>
        <v>0</v>
      </c>
      <c r="N391" s="10"/>
      <c r="O391" s="10"/>
      <c r="P391" s="10"/>
      <c r="Q391" s="10"/>
      <c r="R391" s="10"/>
      <c r="S391" s="10">
        <v>0</v>
      </c>
      <c r="T391" s="10"/>
      <c r="U391" s="10"/>
      <c r="V391" s="4" t="s">
        <v>466</v>
      </c>
      <c r="W391" s="4" t="s">
        <v>446</v>
      </c>
      <c r="X391" s="8">
        <v>45067</v>
      </c>
      <c r="Y391" s="4"/>
      <c r="Z391" s="4"/>
      <c r="AA391" s="8">
        <v>45099</v>
      </c>
      <c r="AB391" s="8">
        <v>45099</v>
      </c>
      <c r="AC391" s="4"/>
      <c r="AD391" s="4"/>
    </row>
    <row r="392" spans="1:30" hidden="1">
      <c r="A392" s="4">
        <v>215</v>
      </c>
      <c r="B392" s="8">
        <v>45071</v>
      </c>
      <c r="C392" s="4"/>
      <c r="D392" s="4" t="s">
        <v>42</v>
      </c>
      <c r="E392" s="8">
        <v>45084</v>
      </c>
      <c r="F392" s="4" t="s">
        <v>43</v>
      </c>
      <c r="G392" s="16" t="s">
        <v>44</v>
      </c>
      <c r="H392" s="4" t="s">
        <v>45</v>
      </c>
      <c r="I392" s="4" t="s">
        <v>405</v>
      </c>
      <c r="J392" s="10">
        <v>0.3</v>
      </c>
      <c r="K392" s="10">
        <v>0.40600000000000003</v>
      </c>
      <c r="L392" s="10">
        <f t="shared" si="27"/>
        <v>0</v>
      </c>
      <c r="M392" s="10">
        <f t="shared" si="30"/>
        <v>0</v>
      </c>
      <c r="N392" s="10"/>
      <c r="O392" s="10"/>
      <c r="P392" s="10"/>
      <c r="Q392" s="10"/>
      <c r="R392" s="10"/>
      <c r="S392" s="10">
        <v>0</v>
      </c>
      <c r="T392" s="10"/>
      <c r="U392" s="10"/>
      <c r="V392" s="4" t="s">
        <v>466</v>
      </c>
      <c r="W392" s="4" t="s">
        <v>446</v>
      </c>
      <c r="X392" s="8">
        <v>45069</v>
      </c>
      <c r="Y392" s="4"/>
      <c r="Z392" s="4"/>
      <c r="AA392" s="8"/>
      <c r="AB392" s="8"/>
      <c r="AC392" s="4"/>
      <c r="AD392" s="4"/>
    </row>
    <row r="393" spans="1:30" hidden="1">
      <c r="A393" s="4">
        <v>215</v>
      </c>
      <c r="B393" s="8">
        <v>45071</v>
      </c>
      <c r="C393" s="4"/>
      <c r="D393" s="4" t="s">
        <v>42</v>
      </c>
      <c r="E393" s="8">
        <v>45084</v>
      </c>
      <c r="F393" s="4" t="s">
        <v>43</v>
      </c>
      <c r="G393" s="16" t="s">
        <v>44</v>
      </c>
      <c r="H393" s="4" t="s">
        <v>45</v>
      </c>
      <c r="I393" s="4" t="s">
        <v>400</v>
      </c>
      <c r="J393" s="10">
        <v>1.06</v>
      </c>
      <c r="K393" s="10">
        <v>1.4219999999999999</v>
      </c>
      <c r="L393" s="10">
        <f t="shared" si="27"/>
        <v>0</v>
      </c>
      <c r="M393" s="10">
        <f t="shared" si="30"/>
        <v>0</v>
      </c>
      <c r="N393" s="10"/>
      <c r="O393" s="10"/>
      <c r="P393" s="10"/>
      <c r="Q393" s="10"/>
      <c r="R393" s="10"/>
      <c r="S393" s="10">
        <v>0</v>
      </c>
      <c r="T393" s="10"/>
      <c r="U393" s="10"/>
      <c r="V393" s="4" t="s">
        <v>466</v>
      </c>
      <c r="W393" s="4" t="s">
        <v>446</v>
      </c>
      <c r="X393" s="8">
        <v>45069</v>
      </c>
      <c r="Y393" s="4"/>
      <c r="Z393" s="4"/>
      <c r="AA393" s="8"/>
      <c r="AB393" s="8"/>
      <c r="AC393" s="4"/>
      <c r="AD393" s="4"/>
    </row>
    <row r="394" spans="1:30" hidden="1">
      <c r="A394" s="4">
        <v>215</v>
      </c>
      <c r="B394" s="8">
        <v>45071</v>
      </c>
      <c r="C394" s="4"/>
      <c r="D394" s="4" t="s">
        <v>42</v>
      </c>
      <c r="E394" s="8">
        <v>45084</v>
      </c>
      <c r="F394" s="4" t="s">
        <v>43</v>
      </c>
      <c r="G394" s="16" t="s">
        <v>44</v>
      </c>
      <c r="H394" s="4" t="s">
        <v>45</v>
      </c>
      <c r="I394" s="4" t="s">
        <v>46</v>
      </c>
      <c r="J394" s="10">
        <v>4.8100000000000005</v>
      </c>
      <c r="K394" s="10">
        <f>2.771+0.804+1.451</f>
        <v>5.0259999999999998</v>
      </c>
      <c r="L394" s="10">
        <f t="shared" si="27"/>
        <v>0</v>
      </c>
      <c r="M394" s="10">
        <f t="shared" si="30"/>
        <v>0</v>
      </c>
      <c r="N394" s="10"/>
      <c r="O394" s="10"/>
      <c r="P394" s="10">
        <v>0</v>
      </c>
      <c r="Q394" s="10"/>
      <c r="R394" s="10"/>
      <c r="S394" s="10"/>
      <c r="T394" s="10"/>
      <c r="U394" s="10"/>
      <c r="V394" s="4" t="s">
        <v>466</v>
      </c>
      <c r="W394" s="4"/>
      <c r="X394" s="8">
        <v>45069</v>
      </c>
      <c r="Y394" s="4"/>
      <c r="Z394" s="4"/>
      <c r="AA394" s="8">
        <v>45076</v>
      </c>
      <c r="AB394" s="8">
        <v>45097</v>
      </c>
      <c r="AC394" s="4"/>
      <c r="AD394" s="4"/>
    </row>
    <row r="395" spans="1:30" hidden="1">
      <c r="A395" s="4">
        <v>215</v>
      </c>
      <c r="B395" s="8">
        <v>45071</v>
      </c>
      <c r="C395" s="4"/>
      <c r="D395" s="4" t="s">
        <v>42</v>
      </c>
      <c r="E395" s="8">
        <v>45084</v>
      </c>
      <c r="F395" s="4" t="s">
        <v>43</v>
      </c>
      <c r="G395" s="16" t="s">
        <v>44</v>
      </c>
      <c r="H395" s="4" t="s">
        <v>45</v>
      </c>
      <c r="I395" s="4" t="s">
        <v>406</v>
      </c>
      <c r="J395" s="10">
        <v>0.49</v>
      </c>
      <c r="K395" s="10">
        <v>0.56999999999999995</v>
      </c>
      <c r="L395" s="10">
        <f t="shared" si="27"/>
        <v>0</v>
      </c>
      <c r="M395" s="10">
        <f t="shared" si="30"/>
        <v>0</v>
      </c>
      <c r="N395" s="10"/>
      <c r="O395" s="10"/>
      <c r="P395" s="10"/>
      <c r="Q395" s="10"/>
      <c r="R395" s="10"/>
      <c r="S395" s="10">
        <v>0</v>
      </c>
      <c r="T395" s="10"/>
      <c r="U395" s="10"/>
      <c r="V395" s="4" t="s">
        <v>466</v>
      </c>
      <c r="W395" s="4" t="s">
        <v>446</v>
      </c>
      <c r="X395" s="8">
        <v>45069</v>
      </c>
      <c r="Y395" s="4"/>
      <c r="Z395" s="4"/>
      <c r="AA395" s="8">
        <v>45097</v>
      </c>
      <c r="AB395" s="8">
        <v>45097</v>
      </c>
      <c r="AC395" s="4"/>
      <c r="AD395" s="4"/>
    </row>
    <row r="396" spans="1:30" hidden="1">
      <c r="A396" s="4">
        <v>215</v>
      </c>
      <c r="B396" s="8">
        <v>45071</v>
      </c>
      <c r="C396" s="4"/>
      <c r="D396" s="4" t="s">
        <v>42</v>
      </c>
      <c r="E396" s="8">
        <v>45084</v>
      </c>
      <c r="F396" s="4" t="s">
        <v>43</v>
      </c>
      <c r="G396" s="16" t="s">
        <v>44</v>
      </c>
      <c r="H396" s="4" t="s">
        <v>45</v>
      </c>
      <c r="I396" s="4" t="s">
        <v>49</v>
      </c>
      <c r="J396" s="10">
        <v>2.93</v>
      </c>
      <c r="K396" s="10">
        <v>3.0649999999999999</v>
      </c>
      <c r="L396" s="10">
        <f t="shared" si="27"/>
        <v>0</v>
      </c>
      <c r="M396" s="10">
        <f t="shared" si="30"/>
        <v>0</v>
      </c>
      <c r="N396" s="10"/>
      <c r="O396" s="10"/>
      <c r="P396" s="10">
        <v>0</v>
      </c>
      <c r="Q396" s="10"/>
      <c r="R396" s="10"/>
      <c r="S396" s="10"/>
      <c r="T396" s="10"/>
      <c r="U396" s="10"/>
      <c r="V396" s="4" t="s">
        <v>466</v>
      </c>
      <c r="W396" s="4" t="s">
        <v>446</v>
      </c>
      <c r="X396" s="8">
        <v>45075</v>
      </c>
      <c r="Y396" s="4"/>
      <c r="Z396" s="4"/>
      <c r="AA396" s="8">
        <v>45097</v>
      </c>
      <c r="AB396" s="8">
        <v>45097</v>
      </c>
      <c r="AC396" s="4"/>
      <c r="AD396" s="4"/>
    </row>
    <row r="397" spans="1:30" hidden="1">
      <c r="A397" s="4">
        <v>215</v>
      </c>
      <c r="B397" s="8">
        <v>45071</v>
      </c>
      <c r="C397" s="4"/>
      <c r="D397" s="4" t="s">
        <v>42</v>
      </c>
      <c r="E397" s="8">
        <v>45084</v>
      </c>
      <c r="F397" s="4" t="s">
        <v>43</v>
      </c>
      <c r="G397" s="16" t="s">
        <v>44</v>
      </c>
      <c r="H397" s="4" t="s">
        <v>45</v>
      </c>
      <c r="I397" s="4" t="s">
        <v>50</v>
      </c>
      <c r="J397" s="10">
        <v>0.41</v>
      </c>
      <c r="K397" s="10">
        <v>0.56200000000000006</v>
      </c>
      <c r="L397" s="10">
        <f t="shared" si="27"/>
        <v>0</v>
      </c>
      <c r="M397" s="10">
        <f t="shared" si="30"/>
        <v>0</v>
      </c>
      <c r="N397" s="10"/>
      <c r="O397" s="10"/>
      <c r="P397" s="10"/>
      <c r="Q397" s="10"/>
      <c r="R397" s="10"/>
      <c r="S397" s="10">
        <v>0</v>
      </c>
      <c r="T397" s="10"/>
      <c r="U397" s="10"/>
      <c r="V397" s="4" t="s">
        <v>466</v>
      </c>
      <c r="W397" s="4" t="s">
        <v>446</v>
      </c>
      <c r="X397" s="8">
        <v>45076</v>
      </c>
      <c r="Y397" s="4"/>
      <c r="Z397" s="4"/>
      <c r="AA397" s="8"/>
      <c r="AB397" s="8"/>
      <c r="AC397" s="4"/>
      <c r="AD397" s="4"/>
    </row>
    <row r="398" spans="1:30" hidden="1">
      <c r="A398" s="4">
        <v>215</v>
      </c>
      <c r="B398" s="8">
        <v>45071</v>
      </c>
      <c r="C398" s="4"/>
      <c r="D398" s="4" t="s">
        <v>42</v>
      </c>
      <c r="E398" s="8">
        <v>45084</v>
      </c>
      <c r="F398" s="4" t="s">
        <v>43</v>
      </c>
      <c r="G398" s="16" t="s">
        <v>44</v>
      </c>
      <c r="H398" s="4" t="s">
        <v>45</v>
      </c>
      <c r="I398" s="4" t="s">
        <v>517</v>
      </c>
      <c r="J398" s="10">
        <v>1.99</v>
      </c>
      <c r="K398" s="10">
        <v>1.9870000000000001</v>
      </c>
      <c r="L398" s="10">
        <f t="shared" si="27"/>
        <v>0</v>
      </c>
      <c r="M398" s="10">
        <f t="shared" si="30"/>
        <v>0</v>
      </c>
      <c r="N398" s="10"/>
      <c r="O398" s="10"/>
      <c r="P398" s="10">
        <v>0</v>
      </c>
      <c r="Q398" s="10"/>
      <c r="R398" s="10"/>
      <c r="S398" s="10"/>
      <c r="T398" s="10"/>
      <c r="U398" s="10"/>
      <c r="V398" s="4" t="s">
        <v>466</v>
      </c>
      <c r="W398" s="4"/>
      <c r="X398" s="8"/>
      <c r="Y398" s="4"/>
      <c r="Z398" s="4"/>
      <c r="AA398" s="8">
        <v>45099</v>
      </c>
      <c r="AB398" s="8">
        <v>45099</v>
      </c>
      <c r="AC398" s="4"/>
      <c r="AD398" s="4"/>
    </row>
    <row r="399" spans="1:30" hidden="1">
      <c r="A399" s="4">
        <v>215</v>
      </c>
      <c r="B399" s="8">
        <v>45071</v>
      </c>
      <c r="C399" s="4"/>
      <c r="D399" s="4" t="s">
        <v>42</v>
      </c>
      <c r="E399" s="8">
        <v>45084</v>
      </c>
      <c r="F399" s="4" t="s">
        <v>43</v>
      </c>
      <c r="G399" s="16" t="s">
        <v>44</v>
      </c>
      <c r="H399" s="4" t="s">
        <v>45</v>
      </c>
      <c r="I399" s="4" t="s">
        <v>449</v>
      </c>
      <c r="J399" s="10">
        <v>2.5300000000000002</v>
      </c>
      <c r="K399" s="10">
        <v>2.5369999999999999</v>
      </c>
      <c r="L399" s="10">
        <f t="shared" si="27"/>
        <v>0</v>
      </c>
      <c r="M399" s="10">
        <f t="shared" si="30"/>
        <v>0</v>
      </c>
      <c r="N399" s="10"/>
      <c r="O399" s="10"/>
      <c r="P399" s="10">
        <v>0</v>
      </c>
      <c r="Q399" s="10"/>
      <c r="R399" s="10"/>
      <c r="S399" s="10"/>
      <c r="T399" s="10"/>
      <c r="U399" s="10"/>
      <c r="V399" s="4" t="s">
        <v>466</v>
      </c>
      <c r="W399" s="4"/>
      <c r="X399" s="8"/>
      <c r="Y399" s="4"/>
      <c r="Z399" s="4"/>
      <c r="AA399" s="8">
        <v>45097</v>
      </c>
      <c r="AB399" s="8">
        <v>45097</v>
      </c>
      <c r="AC399" s="4"/>
      <c r="AD399" s="4"/>
    </row>
    <row r="400" spans="1:30" hidden="1">
      <c r="A400" s="4">
        <v>215</v>
      </c>
      <c r="B400" s="8">
        <v>45071</v>
      </c>
      <c r="C400" s="4"/>
      <c r="D400" s="4" t="s">
        <v>42</v>
      </c>
      <c r="E400" s="8">
        <v>45084</v>
      </c>
      <c r="F400" s="4" t="s">
        <v>43</v>
      </c>
      <c r="G400" s="16" t="s">
        <v>44</v>
      </c>
      <c r="H400" s="4" t="s">
        <v>45</v>
      </c>
      <c r="I400" s="4" t="s">
        <v>435</v>
      </c>
      <c r="J400" s="10">
        <v>3.4569999999999999</v>
      </c>
      <c r="K400" s="10">
        <v>3.4569999999999999</v>
      </c>
      <c r="L400" s="10">
        <f t="shared" si="27"/>
        <v>0</v>
      </c>
      <c r="M400" s="10">
        <f t="shared" si="30"/>
        <v>0</v>
      </c>
      <c r="N400" s="10"/>
      <c r="O400" s="10"/>
      <c r="P400" s="10">
        <v>0</v>
      </c>
      <c r="Q400" s="10"/>
      <c r="R400" s="10"/>
      <c r="S400" s="10"/>
      <c r="T400" s="10"/>
      <c r="U400" s="10"/>
      <c r="V400" s="4" t="s">
        <v>466</v>
      </c>
      <c r="W400" s="4"/>
      <c r="X400" s="8">
        <v>45072</v>
      </c>
      <c r="Y400" s="4"/>
      <c r="Z400" s="4"/>
      <c r="AA400" s="8">
        <v>45078</v>
      </c>
      <c r="AB400" s="8">
        <v>45078</v>
      </c>
      <c r="AC400" s="4"/>
      <c r="AD400" s="4"/>
    </row>
    <row r="401" spans="1:30" hidden="1">
      <c r="A401" s="4">
        <v>215</v>
      </c>
      <c r="B401" s="8">
        <v>45071</v>
      </c>
      <c r="C401" s="4"/>
      <c r="D401" s="4" t="s">
        <v>42</v>
      </c>
      <c r="E401" s="8">
        <v>45084</v>
      </c>
      <c r="F401" s="4" t="s">
        <v>43</v>
      </c>
      <c r="G401" s="16" t="s">
        <v>44</v>
      </c>
      <c r="H401" s="4" t="s">
        <v>45</v>
      </c>
      <c r="I401" s="4" t="s">
        <v>432</v>
      </c>
      <c r="J401" s="10">
        <v>1.56</v>
      </c>
      <c r="K401" s="10">
        <v>1.657</v>
      </c>
      <c r="L401" s="10">
        <f t="shared" si="27"/>
        <v>0</v>
      </c>
      <c r="M401" s="10">
        <f t="shared" si="30"/>
        <v>0</v>
      </c>
      <c r="N401" s="10"/>
      <c r="O401" s="10"/>
      <c r="P401" s="10">
        <v>0</v>
      </c>
      <c r="Q401" s="10"/>
      <c r="R401" s="10"/>
      <c r="S401" s="10"/>
      <c r="T401" s="10"/>
      <c r="U401" s="10"/>
      <c r="V401" s="4" t="s">
        <v>466</v>
      </c>
      <c r="W401" s="4"/>
      <c r="X401" s="8">
        <v>45072</v>
      </c>
      <c r="Y401" s="4"/>
      <c r="Z401" s="4"/>
      <c r="AA401" s="8">
        <v>45076</v>
      </c>
      <c r="AB401" s="8">
        <v>45076</v>
      </c>
      <c r="AC401" s="4"/>
      <c r="AD401" s="4"/>
    </row>
    <row r="402" spans="1:30" hidden="1">
      <c r="A402" s="4">
        <v>215</v>
      </c>
      <c r="B402" s="8">
        <v>45071</v>
      </c>
      <c r="C402" s="4"/>
      <c r="D402" s="4" t="s">
        <v>42</v>
      </c>
      <c r="E402" s="8">
        <v>45084</v>
      </c>
      <c r="F402" s="4" t="s">
        <v>43</v>
      </c>
      <c r="G402" s="16" t="s">
        <v>44</v>
      </c>
      <c r="H402" s="4" t="s">
        <v>45</v>
      </c>
      <c r="I402" s="4" t="s">
        <v>474</v>
      </c>
      <c r="J402" s="10">
        <v>3</v>
      </c>
      <c r="K402" s="10">
        <v>2.9940000000000002</v>
      </c>
      <c r="L402" s="10">
        <f t="shared" si="27"/>
        <v>0</v>
      </c>
      <c r="M402" s="10">
        <f t="shared" si="30"/>
        <v>0</v>
      </c>
      <c r="N402" s="10"/>
      <c r="O402" s="10"/>
      <c r="P402" s="10">
        <v>0</v>
      </c>
      <c r="Q402" s="10"/>
      <c r="R402" s="10"/>
      <c r="S402" s="10"/>
      <c r="T402" s="10"/>
      <c r="U402" s="10"/>
      <c r="V402" s="4" t="s">
        <v>466</v>
      </c>
      <c r="W402" s="4"/>
      <c r="X402" s="8"/>
      <c r="Y402" s="4"/>
      <c r="Z402" s="4"/>
      <c r="AA402" s="8"/>
      <c r="AB402" s="8"/>
      <c r="AC402" s="4"/>
      <c r="AD402" s="4"/>
    </row>
    <row r="403" spans="1:30" hidden="1">
      <c r="A403" s="4">
        <v>215</v>
      </c>
      <c r="B403" s="8">
        <v>45071</v>
      </c>
      <c r="C403" s="4"/>
      <c r="D403" s="4" t="s">
        <v>42</v>
      </c>
      <c r="E403" s="8">
        <v>45084</v>
      </c>
      <c r="F403" s="4" t="s">
        <v>43</v>
      </c>
      <c r="G403" s="16" t="s">
        <v>44</v>
      </c>
      <c r="H403" s="4" t="s">
        <v>45</v>
      </c>
      <c r="I403" s="4" t="s">
        <v>434</v>
      </c>
      <c r="J403" s="10">
        <v>2.08</v>
      </c>
      <c r="K403" s="10">
        <v>2.1030000000000002</v>
      </c>
      <c r="L403" s="10">
        <f t="shared" si="27"/>
        <v>0</v>
      </c>
      <c r="M403" s="10">
        <f t="shared" si="30"/>
        <v>0</v>
      </c>
      <c r="N403" s="10"/>
      <c r="O403" s="10"/>
      <c r="P403" s="10">
        <v>0</v>
      </c>
      <c r="Q403" s="10"/>
      <c r="R403" s="10"/>
      <c r="S403" s="10"/>
      <c r="T403" s="10"/>
      <c r="U403" s="10"/>
      <c r="V403" s="4" t="s">
        <v>466</v>
      </c>
      <c r="W403" s="4"/>
      <c r="X403" s="8"/>
      <c r="Y403" s="4"/>
      <c r="Z403" s="4"/>
      <c r="AA403" s="8"/>
      <c r="AB403" s="8"/>
      <c r="AC403" s="4"/>
      <c r="AD403" s="4"/>
    </row>
    <row r="404" spans="1:30" hidden="1">
      <c r="A404" s="4">
        <v>215</v>
      </c>
      <c r="B404" s="8">
        <v>45071</v>
      </c>
      <c r="C404" s="4"/>
      <c r="D404" s="4" t="s">
        <v>42</v>
      </c>
      <c r="E404" s="8">
        <v>45084</v>
      </c>
      <c r="F404" s="4" t="s">
        <v>43</v>
      </c>
      <c r="G404" s="16" t="s">
        <v>44</v>
      </c>
      <c r="H404" s="4" t="s">
        <v>45</v>
      </c>
      <c r="I404" s="4" t="s">
        <v>89</v>
      </c>
      <c r="J404" s="10">
        <v>8.83</v>
      </c>
      <c r="K404" s="10">
        <v>9.0440000000000005</v>
      </c>
      <c r="L404" s="10">
        <f t="shared" si="27"/>
        <v>0</v>
      </c>
      <c r="M404" s="10">
        <f t="shared" si="30"/>
        <v>0</v>
      </c>
      <c r="N404" s="10"/>
      <c r="O404" s="10"/>
      <c r="P404" s="10">
        <v>0</v>
      </c>
      <c r="Q404" s="10"/>
      <c r="R404" s="10"/>
      <c r="S404" s="10"/>
      <c r="T404" s="10"/>
      <c r="U404" s="10"/>
      <c r="V404" s="4" t="s">
        <v>466</v>
      </c>
      <c r="W404" s="4"/>
      <c r="X404" s="8">
        <v>45071</v>
      </c>
      <c r="Y404" s="4"/>
      <c r="Z404" s="4"/>
      <c r="AA404" s="8">
        <v>45076</v>
      </c>
      <c r="AB404" s="8">
        <v>45076</v>
      </c>
      <c r="AC404" s="4"/>
      <c r="AD404" s="4"/>
    </row>
    <row r="405" spans="1:30" hidden="1">
      <c r="A405" s="4">
        <v>215</v>
      </c>
      <c r="B405" s="8">
        <v>45071</v>
      </c>
      <c r="C405" s="4"/>
      <c r="D405" s="4" t="s">
        <v>42</v>
      </c>
      <c r="E405" s="8">
        <v>45084</v>
      </c>
      <c r="F405" s="4" t="s">
        <v>43</v>
      </c>
      <c r="G405" s="16" t="s">
        <v>51</v>
      </c>
      <c r="H405" s="4" t="s">
        <v>52</v>
      </c>
      <c r="I405" s="4" t="s">
        <v>89</v>
      </c>
      <c r="J405" s="10">
        <v>0.49</v>
      </c>
      <c r="K405" s="10">
        <v>0.52400000000000002</v>
      </c>
      <c r="L405" s="10">
        <f t="shared" si="27"/>
        <v>0</v>
      </c>
      <c r="M405" s="10">
        <f t="shared" si="30"/>
        <v>0</v>
      </c>
      <c r="N405" s="10"/>
      <c r="O405" s="10"/>
      <c r="P405" s="10"/>
      <c r="Q405" s="10"/>
      <c r="R405" s="10"/>
      <c r="S405" s="10">
        <v>0</v>
      </c>
      <c r="T405" s="10"/>
      <c r="U405" s="10"/>
      <c r="V405" s="4" t="s">
        <v>466</v>
      </c>
      <c r="W405" s="4" t="s">
        <v>446</v>
      </c>
      <c r="X405" s="8">
        <v>45071</v>
      </c>
      <c r="Y405" s="4"/>
      <c r="Z405" s="4"/>
      <c r="AA405" s="8">
        <v>45097</v>
      </c>
      <c r="AB405" s="8">
        <v>45097</v>
      </c>
      <c r="AC405" s="4"/>
      <c r="AD405" s="4"/>
    </row>
    <row r="406" spans="1:30" hidden="1">
      <c r="A406" s="4">
        <v>215</v>
      </c>
      <c r="B406" s="8">
        <v>45071</v>
      </c>
      <c r="C406" s="4"/>
      <c r="D406" s="4" t="s">
        <v>42</v>
      </c>
      <c r="E406" s="8">
        <v>45084</v>
      </c>
      <c r="F406" s="4" t="s">
        <v>43</v>
      </c>
      <c r="G406" s="16" t="s">
        <v>51</v>
      </c>
      <c r="H406" s="4" t="s">
        <v>52</v>
      </c>
      <c r="I406" s="4" t="s">
        <v>87</v>
      </c>
      <c r="J406" s="10">
        <v>0.2</v>
      </c>
      <c r="K406" s="10">
        <v>0.28499999999999998</v>
      </c>
      <c r="L406" s="10">
        <f t="shared" si="27"/>
        <v>0</v>
      </c>
      <c r="M406" s="10">
        <f t="shared" si="30"/>
        <v>0</v>
      </c>
      <c r="N406" s="10"/>
      <c r="O406" s="10"/>
      <c r="P406" s="10">
        <v>0</v>
      </c>
      <c r="Q406" s="10"/>
      <c r="R406" s="10"/>
      <c r="S406" s="10"/>
      <c r="T406" s="10"/>
      <c r="U406" s="10"/>
      <c r="V406" s="4" t="s">
        <v>466</v>
      </c>
      <c r="W406" s="4"/>
      <c r="X406" s="8">
        <v>45071</v>
      </c>
      <c r="Y406" s="4"/>
      <c r="Z406" s="4"/>
      <c r="AA406" s="8">
        <v>45097</v>
      </c>
      <c r="AB406" s="8">
        <v>45097</v>
      </c>
      <c r="AC406" s="4"/>
      <c r="AD406" s="4"/>
    </row>
    <row r="407" spans="1:30" hidden="1">
      <c r="A407" s="4">
        <v>216</v>
      </c>
      <c r="B407" s="8">
        <v>45071</v>
      </c>
      <c r="C407" s="4"/>
      <c r="D407" s="4" t="s">
        <v>42</v>
      </c>
      <c r="E407" s="8">
        <v>45084</v>
      </c>
      <c r="F407" s="4" t="s">
        <v>43</v>
      </c>
      <c r="G407" s="40" t="s">
        <v>20</v>
      </c>
      <c r="H407" s="4" t="s">
        <v>45</v>
      </c>
      <c r="I407" s="4" t="s">
        <v>423</v>
      </c>
      <c r="J407" s="10">
        <v>11.664</v>
      </c>
      <c r="K407" s="10">
        <f>4.406+7.258</f>
        <v>11.664</v>
      </c>
      <c r="L407" s="10">
        <f t="shared" si="27"/>
        <v>0</v>
      </c>
      <c r="M407" s="10">
        <f t="shared" ref="M407:M408" si="31">SUM(N407:T407)</f>
        <v>0</v>
      </c>
      <c r="N407" s="10"/>
      <c r="O407" s="10"/>
      <c r="P407" s="10">
        <v>0</v>
      </c>
      <c r="Q407" s="10"/>
      <c r="R407" s="10"/>
      <c r="S407" s="10"/>
      <c r="T407" s="10"/>
      <c r="U407" s="10"/>
      <c r="V407" s="4" t="s">
        <v>307</v>
      </c>
      <c r="W407" s="4"/>
      <c r="X407" s="8">
        <v>45075</v>
      </c>
      <c r="Y407" s="4"/>
      <c r="Z407" s="4"/>
      <c r="AA407" s="8">
        <v>45078</v>
      </c>
      <c r="AB407" s="8">
        <v>45078</v>
      </c>
      <c r="AC407" s="4"/>
      <c r="AD407" s="4"/>
    </row>
    <row r="408" spans="1:30" hidden="1">
      <c r="A408" s="4">
        <v>216</v>
      </c>
      <c r="B408" s="8">
        <v>45071</v>
      </c>
      <c r="C408" s="4"/>
      <c r="D408" s="4" t="s">
        <v>42</v>
      </c>
      <c r="E408" s="8">
        <v>45084</v>
      </c>
      <c r="F408" s="4" t="s">
        <v>43</v>
      </c>
      <c r="G408" s="40" t="s">
        <v>20</v>
      </c>
      <c r="H408" s="4" t="s">
        <v>45</v>
      </c>
      <c r="I408" s="4" t="s">
        <v>518</v>
      </c>
      <c r="J408" s="10">
        <f>5.14488+2.126</f>
        <v>7.27088</v>
      </c>
      <c r="K408" s="10">
        <f>5.056+2.126</f>
        <v>7.1820000000000004</v>
      </c>
      <c r="L408" s="10">
        <f t="shared" si="27"/>
        <v>0</v>
      </c>
      <c r="M408" s="10">
        <f t="shared" si="31"/>
        <v>0</v>
      </c>
      <c r="N408" s="10"/>
      <c r="O408" s="10"/>
      <c r="P408" s="10">
        <v>0</v>
      </c>
      <c r="Q408" s="10"/>
      <c r="R408" s="10"/>
      <c r="S408" s="10"/>
      <c r="T408" s="10"/>
      <c r="U408" s="10"/>
      <c r="V408" s="4" t="s">
        <v>307</v>
      </c>
      <c r="W408" s="4"/>
      <c r="X408" s="8"/>
      <c r="Y408" s="4"/>
      <c r="Z408" s="4"/>
      <c r="AA408" s="8">
        <v>45097</v>
      </c>
      <c r="AB408" s="8"/>
      <c r="AC408" s="4"/>
      <c r="AD408" s="4"/>
    </row>
    <row r="409" spans="1:30" hidden="1">
      <c r="A409" s="4">
        <v>217</v>
      </c>
      <c r="B409" s="8">
        <v>45071</v>
      </c>
      <c r="C409" s="4"/>
      <c r="D409" s="4" t="s">
        <v>42</v>
      </c>
      <c r="E409" s="8">
        <v>45084</v>
      </c>
      <c r="F409" s="4" t="s">
        <v>43</v>
      </c>
      <c r="G409" s="15" t="s">
        <v>92</v>
      </c>
      <c r="H409" s="4" t="s">
        <v>52</v>
      </c>
      <c r="I409" s="4" t="s">
        <v>50</v>
      </c>
      <c r="J409" s="10">
        <v>5.2919999999999998</v>
      </c>
      <c r="K409" s="10">
        <v>5.2919999999999998</v>
      </c>
      <c r="L409" s="10">
        <f t="shared" si="27"/>
        <v>0</v>
      </c>
      <c r="M409" s="10">
        <f t="shared" ref="M409" si="32">SUM(N409:T409)</f>
        <v>0</v>
      </c>
      <c r="N409" s="10"/>
      <c r="O409" s="10"/>
      <c r="P409" s="10">
        <f>5.292-5.292</f>
        <v>0</v>
      </c>
      <c r="Q409" s="10"/>
      <c r="R409" s="10"/>
      <c r="S409" s="10"/>
      <c r="T409" s="10"/>
      <c r="U409" s="10"/>
      <c r="V409" s="4" t="s">
        <v>572</v>
      </c>
      <c r="W409" s="4"/>
      <c r="X409" s="8">
        <v>45085</v>
      </c>
      <c r="Y409" s="4"/>
      <c r="Z409" s="4"/>
      <c r="AA409" s="8"/>
      <c r="AB409" s="8"/>
      <c r="AC409" s="4"/>
      <c r="AD409" s="4"/>
    </row>
    <row r="410" spans="1:30" hidden="1">
      <c r="A410" s="4">
        <v>218</v>
      </c>
      <c r="B410" s="8">
        <v>45071</v>
      </c>
      <c r="C410" s="4"/>
      <c r="D410" s="4" t="s">
        <v>42</v>
      </c>
      <c r="E410" s="8">
        <v>45077</v>
      </c>
      <c r="F410" s="4" t="s">
        <v>43</v>
      </c>
      <c r="G410" s="16" t="s">
        <v>44</v>
      </c>
      <c r="H410" s="4" t="s">
        <v>45</v>
      </c>
      <c r="I410" s="4" t="s">
        <v>50</v>
      </c>
      <c r="J410" s="10">
        <v>2.2931999999999997</v>
      </c>
      <c r="K410" s="10">
        <v>2.2869999999999999</v>
      </c>
      <c r="L410" s="10">
        <f t="shared" si="27"/>
        <v>0</v>
      </c>
      <c r="M410" s="10">
        <f t="shared" ref="M410:M418" si="33">SUM(N410:T410)</f>
        <v>0</v>
      </c>
      <c r="N410" s="10"/>
      <c r="O410" s="10"/>
      <c r="P410" s="10">
        <v>0</v>
      </c>
      <c r="Q410" s="10"/>
      <c r="R410" s="10"/>
      <c r="S410" s="10"/>
      <c r="T410" s="10"/>
      <c r="U410" s="10"/>
      <c r="V410" s="4" t="s">
        <v>466</v>
      </c>
      <c r="W410" s="4"/>
      <c r="X410" s="8">
        <v>45076</v>
      </c>
      <c r="Y410" s="4"/>
      <c r="Z410" s="4"/>
      <c r="AA410" s="8">
        <v>45081</v>
      </c>
      <c r="AB410" s="8">
        <v>45081</v>
      </c>
      <c r="AC410" s="4"/>
      <c r="AD410" s="4"/>
    </row>
    <row r="411" spans="1:30" hidden="1">
      <c r="A411" s="4">
        <v>218</v>
      </c>
      <c r="B411" s="8">
        <v>45071</v>
      </c>
      <c r="C411" s="4"/>
      <c r="D411" s="4" t="s">
        <v>42</v>
      </c>
      <c r="E411" s="8">
        <v>45077</v>
      </c>
      <c r="F411" s="4" t="s">
        <v>43</v>
      </c>
      <c r="G411" s="16" t="s">
        <v>44</v>
      </c>
      <c r="H411" s="4" t="s">
        <v>45</v>
      </c>
      <c r="I411" s="4" t="s">
        <v>588</v>
      </c>
      <c r="J411" s="10">
        <v>0.39600000000000002</v>
      </c>
      <c r="K411" s="10">
        <v>0.495</v>
      </c>
      <c r="L411" s="10">
        <f t="shared" si="27"/>
        <v>0</v>
      </c>
      <c r="M411" s="10">
        <f t="shared" si="33"/>
        <v>0</v>
      </c>
      <c r="N411" s="10"/>
      <c r="O411" s="10"/>
      <c r="P411" s="10"/>
      <c r="Q411" s="10"/>
      <c r="R411" s="10"/>
      <c r="S411" s="10">
        <v>0</v>
      </c>
      <c r="T411" s="10"/>
      <c r="U411" s="10"/>
      <c r="V411" s="4" t="s">
        <v>466</v>
      </c>
      <c r="W411" s="4" t="s">
        <v>725</v>
      </c>
      <c r="X411" s="8">
        <v>45076</v>
      </c>
      <c r="Y411" s="4"/>
      <c r="Z411" s="4"/>
      <c r="AA411" s="8"/>
      <c r="AB411" s="8">
        <v>45093</v>
      </c>
      <c r="AC411" s="4"/>
      <c r="AD411" s="4"/>
    </row>
    <row r="412" spans="1:30" hidden="1">
      <c r="A412" s="4">
        <v>218</v>
      </c>
      <c r="B412" s="8">
        <v>45071</v>
      </c>
      <c r="C412" s="4"/>
      <c r="D412" s="4" t="s">
        <v>42</v>
      </c>
      <c r="E412" s="8">
        <v>45077</v>
      </c>
      <c r="F412" s="4" t="s">
        <v>43</v>
      </c>
      <c r="G412" s="16" t="s">
        <v>44</v>
      </c>
      <c r="H412" s="4" t="s">
        <v>45</v>
      </c>
      <c r="I412" s="4" t="s">
        <v>405</v>
      </c>
      <c r="J412" s="10">
        <v>0.19800000000000001</v>
      </c>
      <c r="K412" s="10">
        <v>0.19800000000000001</v>
      </c>
      <c r="L412" s="10">
        <f t="shared" si="27"/>
        <v>0</v>
      </c>
      <c r="M412" s="10">
        <f t="shared" ref="M412:M413" si="34">SUM(N412:T412)</f>
        <v>0</v>
      </c>
      <c r="N412" s="10"/>
      <c r="O412" s="10"/>
      <c r="P412" s="10"/>
      <c r="Q412" s="10"/>
      <c r="R412" s="10"/>
      <c r="S412" s="10">
        <v>0</v>
      </c>
      <c r="T412" s="10"/>
      <c r="U412" s="10"/>
      <c r="V412" s="4" t="s">
        <v>466</v>
      </c>
      <c r="W412" s="4" t="s">
        <v>798</v>
      </c>
      <c r="X412" s="8">
        <v>45076</v>
      </c>
      <c r="Y412" s="4"/>
      <c r="Z412" s="4"/>
      <c r="AA412" s="8"/>
      <c r="AB412" s="8">
        <v>45101</v>
      </c>
      <c r="AC412" s="4"/>
      <c r="AD412" s="4"/>
    </row>
    <row r="413" spans="1:30" hidden="1">
      <c r="A413" s="4">
        <v>218</v>
      </c>
      <c r="B413" s="8">
        <v>45071</v>
      </c>
      <c r="C413" s="4"/>
      <c r="D413" s="4" t="s">
        <v>42</v>
      </c>
      <c r="E413" s="8">
        <v>45077</v>
      </c>
      <c r="F413" s="4" t="s">
        <v>43</v>
      </c>
      <c r="G413" s="16" t="s">
        <v>44</v>
      </c>
      <c r="H413" s="4" t="s">
        <v>45</v>
      </c>
      <c r="I413" s="4" t="s">
        <v>400</v>
      </c>
      <c r="J413" s="10">
        <v>2.0819999999999999</v>
      </c>
      <c r="K413" s="10">
        <v>2.0819999999999999</v>
      </c>
      <c r="L413" s="10">
        <f t="shared" si="27"/>
        <v>0</v>
      </c>
      <c r="M413" s="10">
        <f t="shared" si="34"/>
        <v>0</v>
      </c>
      <c r="N413" s="10"/>
      <c r="O413" s="10"/>
      <c r="P413" s="10"/>
      <c r="Q413" s="10"/>
      <c r="R413" s="10"/>
      <c r="S413" s="10">
        <v>0</v>
      </c>
      <c r="T413" s="10"/>
      <c r="U413" s="10"/>
      <c r="V413" s="4" t="s">
        <v>466</v>
      </c>
      <c r="W413" s="4" t="s">
        <v>798</v>
      </c>
      <c r="X413" s="8">
        <v>45076</v>
      </c>
      <c r="Y413" s="4"/>
      <c r="Z413" s="4"/>
      <c r="AA413" s="8"/>
      <c r="AB413" s="8">
        <v>45101</v>
      </c>
      <c r="AC413" s="4"/>
      <c r="AD413" s="4"/>
    </row>
    <row r="414" spans="1:30" hidden="1">
      <c r="A414" s="4">
        <v>218</v>
      </c>
      <c r="B414" s="8">
        <v>45071</v>
      </c>
      <c r="C414" s="4"/>
      <c r="D414" s="4" t="s">
        <v>42</v>
      </c>
      <c r="E414" s="8">
        <v>45077</v>
      </c>
      <c r="F414" s="4" t="s">
        <v>43</v>
      </c>
      <c r="G414" s="16" t="s">
        <v>44</v>
      </c>
      <c r="H414" s="4" t="s">
        <v>45</v>
      </c>
      <c r="I414" s="4" t="s">
        <v>517</v>
      </c>
      <c r="J414" s="10">
        <v>3.2759999999999998</v>
      </c>
      <c r="K414" s="10">
        <f>1.638+1.638</f>
        <v>3.2759999999999998</v>
      </c>
      <c r="L414" s="10">
        <f t="shared" si="27"/>
        <v>0</v>
      </c>
      <c r="M414" s="10">
        <f t="shared" si="33"/>
        <v>0</v>
      </c>
      <c r="N414" s="10"/>
      <c r="O414" s="10">
        <v>0</v>
      </c>
      <c r="P414" s="10"/>
      <c r="Q414" s="10"/>
      <c r="R414" s="10"/>
      <c r="S414" s="10"/>
      <c r="T414" s="10"/>
      <c r="U414" s="10"/>
      <c r="V414" s="4" t="s">
        <v>466</v>
      </c>
      <c r="W414" s="4"/>
      <c r="X414" s="8"/>
      <c r="Y414" s="4"/>
      <c r="Z414" s="4"/>
      <c r="AA414" s="8"/>
      <c r="AB414" s="8">
        <v>45093</v>
      </c>
      <c r="AC414" s="4"/>
      <c r="AD414" s="4"/>
    </row>
    <row r="415" spans="1:30" hidden="1">
      <c r="A415" s="4">
        <v>218</v>
      </c>
      <c r="B415" s="8">
        <v>45071</v>
      </c>
      <c r="C415" s="4"/>
      <c r="D415" s="4" t="s">
        <v>42</v>
      </c>
      <c r="E415" s="8">
        <v>45077</v>
      </c>
      <c r="F415" s="4" t="s">
        <v>43</v>
      </c>
      <c r="G415" s="16" t="s">
        <v>44</v>
      </c>
      <c r="H415" s="4" t="s">
        <v>45</v>
      </c>
      <c r="I415" s="4" t="s">
        <v>472</v>
      </c>
      <c r="J415" s="10">
        <v>3.6</v>
      </c>
      <c r="K415" s="10">
        <v>3.6</v>
      </c>
      <c r="L415" s="10">
        <f t="shared" si="27"/>
        <v>0</v>
      </c>
      <c r="M415" s="10">
        <f t="shared" si="33"/>
        <v>0</v>
      </c>
      <c r="N415" s="10"/>
      <c r="O415" s="10"/>
      <c r="P415" s="10">
        <v>0</v>
      </c>
      <c r="Q415" s="10"/>
      <c r="R415" s="10"/>
      <c r="S415" s="10"/>
      <c r="T415" s="10"/>
      <c r="U415" s="10"/>
      <c r="V415" s="4" t="s">
        <v>466</v>
      </c>
      <c r="W415" s="4"/>
      <c r="X415" s="8">
        <v>45072</v>
      </c>
      <c r="Y415" s="4"/>
      <c r="Z415" s="4"/>
      <c r="AA415" s="8">
        <v>45078</v>
      </c>
      <c r="AB415" s="8">
        <v>45078</v>
      </c>
      <c r="AC415" s="4"/>
      <c r="AD415" s="4"/>
    </row>
    <row r="416" spans="1:30" hidden="1">
      <c r="A416" s="4">
        <v>218</v>
      </c>
      <c r="B416" s="8">
        <v>45071</v>
      </c>
      <c r="C416" s="4"/>
      <c r="D416" s="4" t="s">
        <v>42</v>
      </c>
      <c r="E416" s="8">
        <v>45077</v>
      </c>
      <c r="F416" s="4" t="s">
        <v>43</v>
      </c>
      <c r="G416" s="16" t="s">
        <v>44</v>
      </c>
      <c r="H416" s="4" t="s">
        <v>45</v>
      </c>
      <c r="I416" s="4" t="s">
        <v>473</v>
      </c>
      <c r="J416" s="10">
        <v>2.6928000000000001</v>
      </c>
      <c r="K416" s="10">
        <v>2.7170000000000001</v>
      </c>
      <c r="L416" s="10">
        <f t="shared" si="27"/>
        <v>0</v>
      </c>
      <c r="M416" s="10">
        <f t="shared" si="33"/>
        <v>0</v>
      </c>
      <c r="N416" s="10"/>
      <c r="O416" s="10"/>
      <c r="P416" s="10">
        <v>0</v>
      </c>
      <c r="Q416" s="10"/>
      <c r="R416" s="10"/>
      <c r="S416" s="10"/>
      <c r="T416" s="10"/>
      <c r="U416" s="10"/>
      <c r="V416" s="4" t="s">
        <v>466</v>
      </c>
      <c r="W416" s="4"/>
      <c r="X416" s="8">
        <v>45072</v>
      </c>
      <c r="Y416" s="4"/>
      <c r="Z416" s="4"/>
      <c r="AA416" s="8">
        <v>45076</v>
      </c>
      <c r="AB416" s="8">
        <v>45076</v>
      </c>
      <c r="AC416" s="4"/>
      <c r="AD416" s="4"/>
    </row>
    <row r="417" spans="1:30" hidden="1">
      <c r="A417" s="4">
        <v>218</v>
      </c>
      <c r="B417" s="8">
        <v>45071</v>
      </c>
      <c r="C417" s="4"/>
      <c r="D417" s="4" t="s">
        <v>42</v>
      </c>
      <c r="E417" s="8">
        <v>45077</v>
      </c>
      <c r="F417" s="4" t="s">
        <v>43</v>
      </c>
      <c r="G417" s="16" t="s">
        <v>44</v>
      </c>
      <c r="H417" s="4" t="s">
        <v>45</v>
      </c>
      <c r="I417" s="4" t="s">
        <v>237</v>
      </c>
      <c r="J417" s="10">
        <v>1.3327200000000001</v>
      </c>
      <c r="K417" s="10">
        <v>1.33</v>
      </c>
      <c r="L417" s="10">
        <f t="shared" si="27"/>
        <v>0</v>
      </c>
      <c r="M417" s="10">
        <f t="shared" si="33"/>
        <v>0</v>
      </c>
      <c r="N417" s="10"/>
      <c r="O417" s="10"/>
      <c r="P417" s="10">
        <v>0</v>
      </c>
      <c r="Q417" s="10"/>
      <c r="R417" s="10"/>
      <c r="S417" s="10"/>
      <c r="T417" s="10"/>
      <c r="U417" s="10"/>
      <c r="V417" s="4" t="s">
        <v>466</v>
      </c>
      <c r="W417" s="4"/>
      <c r="X417" s="8"/>
      <c r="Y417" s="4"/>
      <c r="Z417" s="4"/>
      <c r="AA417" s="8"/>
      <c r="AB417" s="8"/>
      <c r="AC417" s="4"/>
      <c r="AD417" s="4"/>
    </row>
    <row r="418" spans="1:30" hidden="1">
      <c r="A418" s="4">
        <v>218</v>
      </c>
      <c r="B418" s="8">
        <v>45071</v>
      </c>
      <c r="C418" s="4"/>
      <c r="D418" s="4" t="s">
        <v>42</v>
      </c>
      <c r="E418" s="8">
        <v>45077</v>
      </c>
      <c r="F418" s="4" t="s">
        <v>43</v>
      </c>
      <c r="G418" s="16" t="s">
        <v>44</v>
      </c>
      <c r="H418" s="4" t="s">
        <v>45</v>
      </c>
      <c r="I418" s="4" t="s">
        <v>235</v>
      </c>
      <c r="J418" s="10">
        <v>2.0148000000000001</v>
      </c>
      <c r="K418" s="10">
        <v>2.0310000000000001</v>
      </c>
      <c r="L418" s="10">
        <f t="shared" si="27"/>
        <v>0</v>
      </c>
      <c r="M418" s="10">
        <f t="shared" si="33"/>
        <v>0</v>
      </c>
      <c r="N418" s="10"/>
      <c r="O418" s="10"/>
      <c r="P418" s="10">
        <v>0</v>
      </c>
      <c r="Q418" s="10"/>
      <c r="R418" s="10"/>
      <c r="S418" s="10"/>
      <c r="T418" s="10"/>
      <c r="U418" s="10"/>
      <c r="V418" s="4" t="s">
        <v>466</v>
      </c>
      <c r="W418" s="4"/>
      <c r="X418" s="8"/>
      <c r="Y418" s="4"/>
      <c r="Z418" s="4"/>
      <c r="AA418" s="8"/>
      <c r="AB418" s="8"/>
      <c r="AC418" s="4"/>
      <c r="AD418" s="4"/>
    </row>
    <row r="419" spans="1:30" hidden="1">
      <c r="A419" s="4">
        <v>267</v>
      </c>
      <c r="B419" s="8">
        <v>45084</v>
      </c>
      <c r="C419" s="4"/>
      <c r="D419" s="4" t="s">
        <v>42</v>
      </c>
      <c r="E419" s="8">
        <v>45084</v>
      </c>
      <c r="F419" s="4" t="s">
        <v>43</v>
      </c>
      <c r="G419" s="40" t="s">
        <v>60</v>
      </c>
      <c r="H419" s="4" t="s">
        <v>45</v>
      </c>
      <c r="I419" s="4" t="s">
        <v>406</v>
      </c>
      <c r="J419" s="10">
        <v>2.3490000000000002</v>
      </c>
      <c r="K419" s="10">
        <v>2.2770000000000001</v>
      </c>
      <c r="L419" s="10">
        <f t="shared" si="27"/>
        <v>0</v>
      </c>
      <c r="M419" s="10">
        <f t="shared" ref="M419:M427" si="35">SUM(N419:T419)</f>
        <v>0</v>
      </c>
      <c r="N419" s="10"/>
      <c r="O419" s="10"/>
      <c r="P419" s="10"/>
      <c r="Q419" s="10"/>
      <c r="R419" s="10"/>
      <c r="S419" s="10">
        <v>0</v>
      </c>
      <c r="T419" s="10"/>
      <c r="U419" s="10"/>
      <c r="V419" s="4" t="s">
        <v>661</v>
      </c>
      <c r="W419" s="4" t="s">
        <v>446</v>
      </c>
      <c r="X419" s="8"/>
      <c r="Y419" s="4"/>
      <c r="Z419" s="4"/>
      <c r="AA419" s="8"/>
      <c r="AB419" s="8">
        <v>45093</v>
      </c>
      <c r="AC419" s="4"/>
      <c r="AD419" s="4"/>
    </row>
    <row r="420" spans="1:30" hidden="1">
      <c r="A420" s="4">
        <v>267</v>
      </c>
      <c r="B420" s="8">
        <v>45084</v>
      </c>
      <c r="C420" s="4"/>
      <c r="D420" s="4" t="s">
        <v>42</v>
      </c>
      <c r="E420" s="8">
        <v>45084</v>
      </c>
      <c r="F420" s="4" t="s">
        <v>43</v>
      </c>
      <c r="G420" s="40" t="s">
        <v>60</v>
      </c>
      <c r="H420" s="4" t="s">
        <v>45</v>
      </c>
      <c r="I420" s="4" t="s">
        <v>410</v>
      </c>
      <c r="J420" s="10">
        <v>0.17599999999999999</v>
      </c>
      <c r="K420" s="10">
        <v>0.22700000000000001</v>
      </c>
      <c r="L420" s="10">
        <f t="shared" si="27"/>
        <v>0</v>
      </c>
      <c r="M420" s="10">
        <f t="shared" si="35"/>
        <v>0</v>
      </c>
      <c r="N420" s="10"/>
      <c r="O420" s="10"/>
      <c r="P420" s="10"/>
      <c r="Q420" s="10"/>
      <c r="R420" s="10"/>
      <c r="S420" s="10">
        <v>0</v>
      </c>
      <c r="T420" s="10"/>
      <c r="U420" s="10"/>
      <c r="V420" s="4" t="s">
        <v>661</v>
      </c>
      <c r="W420" s="4" t="s">
        <v>446</v>
      </c>
      <c r="X420" s="8"/>
      <c r="Y420" s="4"/>
      <c r="Z420" s="4"/>
      <c r="AA420" s="8"/>
      <c r="AB420" s="8"/>
      <c r="AC420" s="4"/>
      <c r="AD420" s="4"/>
    </row>
    <row r="421" spans="1:30" hidden="1">
      <c r="A421" s="4">
        <v>267</v>
      </c>
      <c r="B421" s="8">
        <v>45084</v>
      </c>
      <c r="C421" s="4"/>
      <c r="D421" s="4" t="s">
        <v>42</v>
      </c>
      <c r="E421" s="8">
        <v>45084</v>
      </c>
      <c r="F421" s="4" t="s">
        <v>43</v>
      </c>
      <c r="G421" s="40" t="s">
        <v>60</v>
      </c>
      <c r="H421" s="4" t="s">
        <v>45</v>
      </c>
      <c r="I421" s="4" t="s">
        <v>517</v>
      </c>
      <c r="J421" s="10">
        <v>9.8279999999999994</v>
      </c>
      <c r="K421" s="10">
        <f>9.172+0.876</f>
        <v>10.048</v>
      </c>
      <c r="L421" s="10">
        <f t="shared" si="27"/>
        <v>0</v>
      </c>
      <c r="M421" s="10">
        <f t="shared" si="35"/>
        <v>0</v>
      </c>
      <c r="N421" s="10"/>
      <c r="O421" s="10">
        <v>0</v>
      </c>
      <c r="P421" s="10"/>
      <c r="Q421" s="10"/>
      <c r="R421" s="10"/>
      <c r="S421" s="10"/>
      <c r="T421" s="10"/>
      <c r="U421" s="10"/>
      <c r="V421" s="4" t="s">
        <v>661</v>
      </c>
      <c r="W421" s="4"/>
      <c r="X421" s="8"/>
      <c r="Y421" s="4"/>
      <c r="Z421" s="4"/>
      <c r="AA421" s="8"/>
      <c r="AB421" s="8">
        <v>45093</v>
      </c>
      <c r="AC421" s="4"/>
      <c r="AD421" s="4"/>
    </row>
    <row r="422" spans="1:30" hidden="1">
      <c r="A422" s="4">
        <v>267</v>
      </c>
      <c r="B422" s="8">
        <v>45084</v>
      </c>
      <c r="C422" s="4"/>
      <c r="D422" s="4" t="s">
        <v>42</v>
      </c>
      <c r="E422" s="8">
        <v>45084</v>
      </c>
      <c r="F422" s="4" t="s">
        <v>43</v>
      </c>
      <c r="G422" s="40" t="s">
        <v>60</v>
      </c>
      <c r="H422" s="4" t="s">
        <v>45</v>
      </c>
      <c r="I422" s="4" t="s">
        <v>448</v>
      </c>
      <c r="J422" s="10">
        <v>9.5856800000000018</v>
      </c>
      <c r="K422" s="10">
        <v>9.8510000000000009</v>
      </c>
      <c r="L422" s="10">
        <f t="shared" si="27"/>
        <v>0</v>
      </c>
      <c r="M422" s="10">
        <f t="shared" si="35"/>
        <v>0</v>
      </c>
      <c r="N422" s="10"/>
      <c r="O422" s="10">
        <v>0</v>
      </c>
      <c r="P422" s="10"/>
      <c r="Q422" s="10"/>
      <c r="R422" s="10"/>
      <c r="S422" s="10"/>
      <c r="T422" s="10"/>
      <c r="U422" s="10"/>
      <c r="V422" s="4" t="s">
        <v>661</v>
      </c>
      <c r="W422" s="4"/>
      <c r="X422" s="8"/>
      <c r="Y422" s="4"/>
      <c r="Z422" s="4"/>
      <c r="AA422" s="8"/>
      <c r="AB422" s="8">
        <v>45093</v>
      </c>
      <c r="AC422" s="4"/>
      <c r="AD422" s="4"/>
    </row>
    <row r="423" spans="1:30" hidden="1">
      <c r="A423" s="4">
        <v>267</v>
      </c>
      <c r="B423" s="8">
        <v>45084</v>
      </c>
      <c r="C423" s="4"/>
      <c r="D423" s="4" t="s">
        <v>42</v>
      </c>
      <c r="E423" s="8">
        <v>45084</v>
      </c>
      <c r="F423" s="4" t="s">
        <v>43</v>
      </c>
      <c r="G423" s="40" t="s">
        <v>60</v>
      </c>
      <c r="H423" s="4" t="s">
        <v>45</v>
      </c>
      <c r="I423" s="4" t="s">
        <v>474</v>
      </c>
      <c r="J423" s="10">
        <v>1.70292</v>
      </c>
      <c r="K423" s="10">
        <v>1.7030000000000001</v>
      </c>
      <c r="L423" s="10">
        <f t="shared" si="27"/>
        <v>0</v>
      </c>
      <c r="M423" s="10">
        <f t="shared" si="35"/>
        <v>0</v>
      </c>
      <c r="N423" s="10"/>
      <c r="O423" s="10"/>
      <c r="P423" s="10">
        <v>0</v>
      </c>
      <c r="Q423" s="10"/>
      <c r="R423" s="10"/>
      <c r="S423" s="10"/>
      <c r="T423" s="10"/>
      <c r="U423" s="10"/>
      <c r="V423" s="4" t="s">
        <v>661</v>
      </c>
      <c r="W423" s="4"/>
      <c r="X423" s="8"/>
      <c r="Y423" s="4"/>
      <c r="Z423" s="4"/>
      <c r="AA423" s="8"/>
      <c r="AB423" s="8"/>
      <c r="AC423" s="4"/>
      <c r="AD423" s="4"/>
    </row>
    <row r="424" spans="1:30" hidden="1">
      <c r="A424" s="4">
        <v>267</v>
      </c>
      <c r="B424" s="8">
        <v>45084</v>
      </c>
      <c r="C424" s="4"/>
      <c r="D424" s="4" t="s">
        <v>42</v>
      </c>
      <c r="E424" s="8">
        <v>45084</v>
      </c>
      <c r="F424" s="4" t="s">
        <v>43</v>
      </c>
      <c r="G424" s="40" t="s">
        <v>60</v>
      </c>
      <c r="H424" s="4" t="s">
        <v>45</v>
      </c>
      <c r="I424" s="4" t="s">
        <v>434</v>
      </c>
      <c r="J424" s="10">
        <v>1.0921920000000001</v>
      </c>
      <c r="K424" s="10">
        <v>1.0920000000000001</v>
      </c>
      <c r="L424" s="10">
        <f t="shared" si="27"/>
        <v>0</v>
      </c>
      <c r="M424" s="10">
        <f t="shared" si="35"/>
        <v>0</v>
      </c>
      <c r="N424" s="10"/>
      <c r="O424" s="10"/>
      <c r="P424" s="10">
        <v>0</v>
      </c>
      <c r="Q424" s="10"/>
      <c r="R424" s="10"/>
      <c r="S424" s="10"/>
      <c r="T424" s="10"/>
      <c r="U424" s="10"/>
      <c r="V424" s="4" t="s">
        <v>661</v>
      </c>
      <c r="W424" s="4"/>
      <c r="X424" s="8"/>
      <c r="Y424" s="4"/>
      <c r="Z424" s="4"/>
      <c r="AA424" s="8"/>
      <c r="AB424" s="8"/>
      <c r="AC424" s="4"/>
      <c r="AD424" s="4"/>
    </row>
    <row r="425" spans="1:30" hidden="1">
      <c r="A425" s="4">
        <v>267</v>
      </c>
      <c r="B425" s="8">
        <v>45084</v>
      </c>
      <c r="C425" s="4"/>
      <c r="D425" s="4" t="s">
        <v>42</v>
      </c>
      <c r="E425" s="8">
        <v>45084</v>
      </c>
      <c r="F425" s="4" t="s">
        <v>43</v>
      </c>
      <c r="G425" s="40" t="s">
        <v>60</v>
      </c>
      <c r="H425" s="4" t="s">
        <v>45</v>
      </c>
      <c r="I425" s="4" t="s">
        <v>96</v>
      </c>
      <c r="J425" s="10">
        <f>1.1532+0.314</f>
        <v>1.4672000000000001</v>
      </c>
      <c r="K425" s="10">
        <f>1.371+0.314</f>
        <v>1.6850000000000001</v>
      </c>
      <c r="L425" s="10">
        <f t="shared" si="27"/>
        <v>0</v>
      </c>
      <c r="M425" s="10">
        <f t="shared" si="35"/>
        <v>0</v>
      </c>
      <c r="N425" s="10"/>
      <c r="O425" s="10"/>
      <c r="P425" s="10"/>
      <c r="Q425" s="10"/>
      <c r="R425" s="10"/>
      <c r="S425" s="10">
        <v>0</v>
      </c>
      <c r="T425" s="10"/>
      <c r="U425" s="10"/>
      <c r="V425" s="4" t="s">
        <v>661</v>
      </c>
      <c r="W425" s="4" t="s">
        <v>446</v>
      </c>
      <c r="X425" s="8"/>
      <c r="Y425" s="4"/>
      <c r="Z425" s="4"/>
      <c r="AA425" s="8"/>
      <c r="AB425" s="8">
        <v>45093</v>
      </c>
      <c r="AC425" s="4"/>
      <c r="AD425" s="4"/>
    </row>
    <row r="426" spans="1:30" hidden="1">
      <c r="A426" s="4">
        <v>267</v>
      </c>
      <c r="B426" s="8">
        <v>45084</v>
      </c>
      <c r="C426" s="4"/>
      <c r="D426" s="4" t="s">
        <v>42</v>
      </c>
      <c r="E426" s="8">
        <v>45084</v>
      </c>
      <c r="F426" s="4" t="s">
        <v>43</v>
      </c>
      <c r="G426" s="40" t="s">
        <v>728</v>
      </c>
      <c r="H426" s="4" t="s">
        <v>52</v>
      </c>
      <c r="I426" s="4" t="s">
        <v>727</v>
      </c>
      <c r="J426" s="10">
        <v>0.47711999999999999</v>
      </c>
      <c r="K426" s="10">
        <v>0.47699999999999998</v>
      </c>
      <c r="L426" s="10">
        <f t="shared" si="27"/>
        <v>0</v>
      </c>
      <c r="M426" s="10">
        <f t="shared" si="35"/>
        <v>0</v>
      </c>
      <c r="N426" s="10"/>
      <c r="O426" s="10"/>
      <c r="P426" s="10"/>
      <c r="Q426" s="10"/>
      <c r="R426" s="10"/>
      <c r="S426" s="10">
        <v>0</v>
      </c>
      <c r="T426" s="10"/>
      <c r="U426" s="10"/>
      <c r="V426" s="4" t="s">
        <v>661</v>
      </c>
      <c r="W426" s="4" t="s">
        <v>446</v>
      </c>
      <c r="X426" s="8"/>
      <c r="Y426" s="4"/>
      <c r="Z426" s="4"/>
      <c r="AA426" s="8"/>
      <c r="AB426" s="8">
        <v>45093</v>
      </c>
      <c r="AC426" s="4"/>
      <c r="AD426" s="4"/>
    </row>
    <row r="427" spans="1:30" hidden="1">
      <c r="A427" s="4">
        <v>267</v>
      </c>
      <c r="B427" s="8">
        <v>45084</v>
      </c>
      <c r="C427" s="4"/>
      <c r="D427" s="4" t="s">
        <v>42</v>
      </c>
      <c r="E427" s="8">
        <v>45084</v>
      </c>
      <c r="F427" s="4" t="s">
        <v>43</v>
      </c>
      <c r="G427" s="40" t="s">
        <v>728</v>
      </c>
      <c r="H427" s="4" t="s">
        <v>52</v>
      </c>
      <c r="I427" s="4" t="s">
        <v>95</v>
      </c>
      <c r="J427" s="10">
        <v>0.74750399999999995</v>
      </c>
      <c r="K427" s="10">
        <v>0.86699999999999999</v>
      </c>
      <c r="L427" s="10">
        <f t="shared" si="27"/>
        <v>0</v>
      </c>
      <c r="M427" s="10">
        <f t="shared" si="35"/>
        <v>0</v>
      </c>
      <c r="N427" s="10"/>
      <c r="O427" s="10"/>
      <c r="P427" s="10"/>
      <c r="Q427" s="10"/>
      <c r="R427" s="10"/>
      <c r="S427" s="10">
        <v>0</v>
      </c>
      <c r="T427" s="10"/>
      <c r="U427" s="10"/>
      <c r="V427" s="4" t="s">
        <v>661</v>
      </c>
      <c r="W427" s="4" t="s">
        <v>446</v>
      </c>
      <c r="X427" s="8"/>
      <c r="Y427" s="4"/>
      <c r="Z427" s="4"/>
      <c r="AA427" s="8"/>
      <c r="AB427" s="8">
        <v>45093</v>
      </c>
      <c r="AC427" s="4"/>
      <c r="AD427" s="4"/>
    </row>
    <row r="428" spans="1:30" hidden="1">
      <c r="A428" s="4">
        <v>267</v>
      </c>
      <c r="B428" s="8">
        <v>45084</v>
      </c>
      <c r="C428" s="4"/>
      <c r="D428" s="4" t="s">
        <v>42</v>
      </c>
      <c r="E428" s="8">
        <v>45084</v>
      </c>
      <c r="F428" s="4" t="s">
        <v>43</v>
      </c>
      <c r="G428" s="40" t="s">
        <v>728</v>
      </c>
      <c r="H428" s="4" t="s">
        <v>52</v>
      </c>
      <c r="I428" s="4" t="s">
        <v>434</v>
      </c>
      <c r="J428" s="10">
        <v>0.34</v>
      </c>
      <c r="K428" s="10">
        <v>0.33800000000000002</v>
      </c>
      <c r="L428" s="10">
        <f t="shared" si="27"/>
        <v>0</v>
      </c>
      <c r="M428" s="10">
        <f t="shared" ref="M428" si="36">SUM(N428:T428)</f>
        <v>0</v>
      </c>
      <c r="N428" s="10"/>
      <c r="O428" s="10"/>
      <c r="P428" s="10">
        <v>0</v>
      </c>
      <c r="Q428" s="10"/>
      <c r="R428" s="10"/>
      <c r="S428" s="10"/>
      <c r="T428" s="10"/>
      <c r="U428" s="10"/>
      <c r="V428" s="4" t="s">
        <v>661</v>
      </c>
      <c r="W428" s="4"/>
      <c r="X428" s="8"/>
      <c r="Y428" s="4"/>
      <c r="Z428" s="4"/>
      <c r="AA428" s="8"/>
      <c r="AB428" s="8"/>
      <c r="AC428" s="4"/>
      <c r="AD428" s="4"/>
    </row>
    <row r="429" spans="1:30" hidden="1">
      <c r="A429" s="4">
        <v>337</v>
      </c>
      <c r="B429" s="8">
        <v>45092</v>
      </c>
      <c r="C429" s="4"/>
      <c r="D429" s="4" t="s">
        <v>42</v>
      </c>
      <c r="E429" s="8">
        <v>45114</v>
      </c>
      <c r="F429" s="4" t="s">
        <v>43</v>
      </c>
      <c r="G429" s="40" t="s">
        <v>60</v>
      </c>
      <c r="H429" s="4" t="s">
        <v>45</v>
      </c>
      <c r="I429" s="4" t="s">
        <v>54</v>
      </c>
      <c r="J429" s="10">
        <v>23.740788000000002</v>
      </c>
      <c r="K429" s="10">
        <f>18.656+5.531</f>
        <v>24.186999999999998</v>
      </c>
      <c r="L429" s="10">
        <f t="shared" si="27"/>
        <v>0</v>
      </c>
      <c r="M429" s="10">
        <f t="shared" ref="M429:M452" si="37">SUM(N429:T429)</f>
        <v>0</v>
      </c>
      <c r="N429" s="10"/>
      <c r="O429" s="10"/>
      <c r="P429" s="10">
        <v>0</v>
      </c>
      <c r="Q429" s="10"/>
      <c r="R429" s="10"/>
      <c r="S429" s="10"/>
      <c r="T429" s="10"/>
      <c r="U429" s="10"/>
      <c r="V429" s="4" t="s">
        <v>661</v>
      </c>
      <c r="W429" s="4"/>
      <c r="X429" s="8">
        <v>45103</v>
      </c>
      <c r="Y429" s="4"/>
      <c r="Z429" s="4"/>
      <c r="AA429" s="8">
        <v>45106</v>
      </c>
      <c r="AB429" s="8">
        <v>45108</v>
      </c>
      <c r="AC429" s="4"/>
      <c r="AD429" s="4"/>
    </row>
    <row r="430" spans="1:30" hidden="1">
      <c r="A430" s="4">
        <v>337</v>
      </c>
      <c r="B430" s="8">
        <v>45092</v>
      </c>
      <c r="C430" s="4"/>
      <c r="D430" s="4" t="s">
        <v>42</v>
      </c>
      <c r="E430" s="8">
        <v>45114</v>
      </c>
      <c r="F430" s="4" t="s">
        <v>43</v>
      </c>
      <c r="G430" s="40" t="s">
        <v>60</v>
      </c>
      <c r="H430" s="4" t="s">
        <v>45</v>
      </c>
      <c r="I430" s="4" t="s">
        <v>56</v>
      </c>
      <c r="J430" s="10">
        <v>38.065250000000006</v>
      </c>
      <c r="K430" s="10">
        <f>23.683+14.717</f>
        <v>38.4</v>
      </c>
      <c r="L430" s="10">
        <f t="shared" si="27"/>
        <v>0</v>
      </c>
      <c r="M430" s="10">
        <f t="shared" si="37"/>
        <v>0</v>
      </c>
      <c r="N430" s="10"/>
      <c r="O430" s="10"/>
      <c r="P430" s="10">
        <v>0</v>
      </c>
      <c r="Q430" s="10"/>
      <c r="R430" s="10"/>
      <c r="S430" s="10"/>
      <c r="T430" s="10"/>
      <c r="U430" s="10"/>
      <c r="V430" s="4" t="s">
        <v>661</v>
      </c>
      <c r="W430" s="4"/>
      <c r="X430" s="8">
        <v>45103</v>
      </c>
      <c r="Y430" s="4"/>
      <c r="Z430" s="4"/>
      <c r="AA430" s="8">
        <v>45106</v>
      </c>
      <c r="AB430" s="8">
        <v>45107</v>
      </c>
      <c r="AC430" s="4"/>
      <c r="AD430" s="4"/>
    </row>
    <row r="431" spans="1:30" hidden="1">
      <c r="A431" s="4">
        <v>337</v>
      </c>
      <c r="B431" s="8">
        <v>45092</v>
      </c>
      <c r="C431" s="4"/>
      <c r="D431" s="4" t="s">
        <v>42</v>
      </c>
      <c r="E431" s="8">
        <v>45114</v>
      </c>
      <c r="F431" s="4" t="s">
        <v>43</v>
      </c>
      <c r="G431" s="40" t="s">
        <v>60</v>
      </c>
      <c r="H431" s="4" t="s">
        <v>45</v>
      </c>
      <c r="I431" s="4" t="s">
        <v>48</v>
      </c>
      <c r="J431" s="10">
        <v>88.730599999999995</v>
      </c>
      <c r="K431" s="10">
        <f>29.507+15.92+6.213+5.368+2.684+11.406+1.072+5.896+2.677+5.53+2.648</f>
        <v>88.921000000000006</v>
      </c>
      <c r="L431" s="10">
        <f t="shared" si="27"/>
        <v>0</v>
      </c>
      <c r="M431" s="10">
        <f t="shared" si="37"/>
        <v>0</v>
      </c>
      <c r="N431" s="10"/>
      <c r="O431" s="10"/>
      <c r="P431" s="10">
        <v>0</v>
      </c>
      <c r="Q431" s="10"/>
      <c r="R431" s="10"/>
      <c r="S431" s="10"/>
      <c r="T431" s="10"/>
      <c r="U431" s="10"/>
      <c r="V431" s="4" t="s">
        <v>661</v>
      </c>
      <c r="W431" s="4"/>
      <c r="X431" s="8">
        <v>45102</v>
      </c>
      <c r="Y431" s="4"/>
      <c r="Z431" s="4"/>
      <c r="AA431" s="8"/>
      <c r="AB431" s="8">
        <v>45118</v>
      </c>
      <c r="AC431" s="4"/>
      <c r="AD431" s="4"/>
    </row>
    <row r="432" spans="1:30" hidden="1">
      <c r="A432" s="4">
        <v>337</v>
      </c>
      <c r="B432" s="8">
        <v>45092</v>
      </c>
      <c r="C432" s="4"/>
      <c r="D432" s="4" t="s">
        <v>42</v>
      </c>
      <c r="E432" s="8">
        <v>45114</v>
      </c>
      <c r="F432" s="4" t="s">
        <v>43</v>
      </c>
      <c r="G432" s="40" t="s">
        <v>60</v>
      </c>
      <c r="H432" s="4" t="s">
        <v>45</v>
      </c>
      <c r="I432" s="4" t="s">
        <v>516</v>
      </c>
      <c r="J432" s="10">
        <v>0.21215999999999999</v>
      </c>
      <c r="K432" s="10">
        <v>0.247</v>
      </c>
      <c r="L432" s="10">
        <f t="shared" si="27"/>
        <v>0</v>
      </c>
      <c r="M432" s="10">
        <f t="shared" si="37"/>
        <v>0</v>
      </c>
      <c r="N432" s="10"/>
      <c r="O432" s="10"/>
      <c r="P432" s="10">
        <v>0</v>
      </c>
      <c r="Q432" s="10"/>
      <c r="R432" s="10"/>
      <c r="S432" s="10"/>
      <c r="T432" s="10"/>
      <c r="U432" s="10"/>
      <c r="V432" s="4" t="s">
        <v>661</v>
      </c>
      <c r="W432" s="4" t="s">
        <v>521</v>
      </c>
      <c r="X432" s="8">
        <v>45103</v>
      </c>
      <c r="Y432" s="4"/>
      <c r="Z432" s="4"/>
      <c r="AA432" s="8">
        <v>45118</v>
      </c>
      <c r="AB432" s="8">
        <v>45118</v>
      </c>
      <c r="AC432" s="4"/>
      <c r="AD432" s="4"/>
    </row>
    <row r="433" spans="1:30" hidden="1">
      <c r="A433" s="4">
        <v>337</v>
      </c>
      <c r="B433" s="8">
        <v>45092</v>
      </c>
      <c r="C433" s="4"/>
      <c r="D433" s="4" t="s">
        <v>42</v>
      </c>
      <c r="E433" s="8">
        <v>45114</v>
      </c>
      <c r="F433" s="4" t="s">
        <v>43</v>
      </c>
      <c r="G433" s="40" t="s">
        <v>60</v>
      </c>
      <c r="H433" s="4" t="s">
        <v>45</v>
      </c>
      <c r="I433" s="4" t="s">
        <v>403</v>
      </c>
      <c r="J433" s="10">
        <v>6.0058800000000003</v>
      </c>
      <c r="K433" s="10">
        <f>2.399+3.753</f>
        <v>6.1520000000000001</v>
      </c>
      <c r="L433" s="10">
        <f t="shared" ref="L433:L496" si="38">M433+U433</f>
        <v>0</v>
      </c>
      <c r="M433" s="10">
        <f t="shared" si="37"/>
        <v>0</v>
      </c>
      <c r="N433" s="10"/>
      <c r="O433" s="10"/>
      <c r="P433" s="10">
        <v>0</v>
      </c>
      <c r="Q433" s="10"/>
      <c r="R433" s="10"/>
      <c r="S433" s="10"/>
      <c r="T433" s="10"/>
      <c r="U433" s="10"/>
      <c r="V433" s="4" t="s">
        <v>661</v>
      </c>
      <c r="W433" s="4"/>
      <c r="X433" s="8">
        <v>45101</v>
      </c>
      <c r="Y433" s="4"/>
      <c r="Z433" s="4"/>
      <c r="AA433" s="8">
        <v>45106</v>
      </c>
      <c r="AB433" s="8">
        <v>45107</v>
      </c>
      <c r="AC433" s="4"/>
      <c r="AD433" s="4"/>
    </row>
    <row r="434" spans="1:30" hidden="1">
      <c r="A434" s="4">
        <v>337</v>
      </c>
      <c r="B434" s="8">
        <v>45092</v>
      </c>
      <c r="C434" s="4"/>
      <c r="D434" s="4" t="s">
        <v>42</v>
      </c>
      <c r="E434" s="8">
        <v>45114</v>
      </c>
      <c r="F434" s="4" t="s">
        <v>43</v>
      </c>
      <c r="G434" s="40" t="s">
        <v>60</v>
      </c>
      <c r="H434" s="4" t="s">
        <v>45</v>
      </c>
      <c r="I434" s="4" t="s">
        <v>400</v>
      </c>
      <c r="J434" s="10">
        <v>23.935120000000001</v>
      </c>
      <c r="K434" s="10">
        <f>9.692+14.378</f>
        <v>24.07</v>
      </c>
      <c r="L434" s="10">
        <f t="shared" si="38"/>
        <v>0</v>
      </c>
      <c r="M434" s="10">
        <f t="shared" si="37"/>
        <v>0</v>
      </c>
      <c r="N434" s="10"/>
      <c r="O434" s="10"/>
      <c r="P434" s="10">
        <v>0</v>
      </c>
      <c r="Q434" s="10"/>
      <c r="R434" s="10"/>
      <c r="S434" s="10"/>
      <c r="T434" s="10"/>
      <c r="U434" s="10"/>
      <c r="V434" s="4" t="s">
        <v>661</v>
      </c>
      <c r="W434" s="4"/>
      <c r="X434" s="8">
        <v>45100</v>
      </c>
      <c r="Y434" s="4"/>
      <c r="Z434" s="4"/>
      <c r="AA434" s="8">
        <v>45103</v>
      </c>
      <c r="AB434" s="8">
        <v>45104</v>
      </c>
      <c r="AC434" s="4"/>
      <c r="AD434" s="4"/>
    </row>
    <row r="435" spans="1:30" hidden="1">
      <c r="A435" s="4">
        <v>337</v>
      </c>
      <c r="B435" s="8">
        <v>45092</v>
      </c>
      <c r="C435" s="4"/>
      <c r="D435" s="4" t="s">
        <v>42</v>
      </c>
      <c r="E435" s="8">
        <v>45114</v>
      </c>
      <c r="F435" s="4" t="s">
        <v>43</v>
      </c>
      <c r="G435" s="40" t="s">
        <v>60</v>
      </c>
      <c r="H435" s="4" t="s">
        <v>45</v>
      </c>
      <c r="I435" s="4" t="s">
        <v>46</v>
      </c>
      <c r="J435" s="10">
        <v>60.404520000000005</v>
      </c>
      <c r="K435" s="10">
        <f>7.217+15.317+16.345+11.044+4.247+6.274</f>
        <v>60.444000000000003</v>
      </c>
      <c r="L435" s="10">
        <f t="shared" si="38"/>
        <v>0</v>
      </c>
      <c r="M435" s="10">
        <f t="shared" si="37"/>
        <v>0</v>
      </c>
      <c r="N435" s="10"/>
      <c r="O435" s="10"/>
      <c r="P435" s="10">
        <v>0</v>
      </c>
      <c r="Q435" s="10">
        <v>0</v>
      </c>
      <c r="R435" s="10"/>
      <c r="S435" s="10"/>
      <c r="T435" s="10"/>
      <c r="U435" s="10"/>
      <c r="V435" s="4" t="s">
        <v>661</v>
      </c>
      <c r="W435" s="4" t="s">
        <v>811</v>
      </c>
      <c r="X435" s="8">
        <v>45100</v>
      </c>
      <c r="Y435" s="4"/>
      <c r="Z435" s="4"/>
      <c r="AA435" s="8">
        <v>45102</v>
      </c>
      <c r="AB435" s="8">
        <v>45114</v>
      </c>
      <c r="AC435" s="4"/>
      <c r="AD435" s="4"/>
    </row>
    <row r="436" spans="1:30" hidden="1">
      <c r="A436" s="4">
        <v>337</v>
      </c>
      <c r="B436" s="8">
        <v>45092</v>
      </c>
      <c r="C436" s="4"/>
      <c r="D436" s="4" t="s">
        <v>42</v>
      </c>
      <c r="E436" s="8">
        <v>45114</v>
      </c>
      <c r="F436" s="4" t="s">
        <v>43</v>
      </c>
      <c r="G436" s="40" t="s">
        <v>60</v>
      </c>
      <c r="H436" s="4" t="s">
        <v>45</v>
      </c>
      <c r="I436" s="4" t="s">
        <v>406</v>
      </c>
      <c r="J436" s="10">
        <v>65.58</v>
      </c>
      <c r="K436" s="10">
        <f>25.402+4.817+31.896+2.954+0.684</f>
        <v>65.753</v>
      </c>
      <c r="L436" s="10">
        <f t="shared" si="38"/>
        <v>0</v>
      </c>
      <c r="M436" s="10">
        <f t="shared" si="37"/>
        <v>0</v>
      </c>
      <c r="N436" s="10"/>
      <c r="O436" s="10"/>
      <c r="P436" s="10">
        <v>0</v>
      </c>
      <c r="Q436" s="10"/>
      <c r="R436" s="10"/>
      <c r="S436" s="10"/>
      <c r="T436" s="10"/>
      <c r="U436" s="10"/>
      <c r="V436" s="4" t="s">
        <v>661</v>
      </c>
      <c r="W436" s="4" t="s">
        <v>803</v>
      </c>
      <c r="X436" s="8">
        <v>45100</v>
      </c>
      <c r="Y436" s="4"/>
      <c r="Z436" s="4"/>
      <c r="AA436" s="8">
        <v>45102</v>
      </c>
      <c r="AB436" s="8">
        <v>45116</v>
      </c>
      <c r="AC436" s="4"/>
      <c r="AD436" s="4"/>
    </row>
    <row r="437" spans="1:30" hidden="1">
      <c r="A437" s="4">
        <v>337</v>
      </c>
      <c r="B437" s="8">
        <v>45092</v>
      </c>
      <c r="C437" s="4"/>
      <c r="D437" s="4" t="s">
        <v>42</v>
      </c>
      <c r="E437" s="8">
        <v>45114</v>
      </c>
      <c r="F437" s="4" t="s">
        <v>43</v>
      </c>
      <c r="G437" s="40" t="s">
        <v>60</v>
      </c>
      <c r="H437" s="4" t="s">
        <v>45</v>
      </c>
      <c r="I437" s="4" t="s">
        <v>49</v>
      </c>
      <c r="J437" s="10">
        <v>15.144219999999999</v>
      </c>
      <c r="K437" s="10">
        <f>3.855+5.324+5.974</f>
        <v>15.153</v>
      </c>
      <c r="L437" s="10">
        <f t="shared" si="38"/>
        <v>0</v>
      </c>
      <c r="M437" s="10">
        <f t="shared" si="37"/>
        <v>0</v>
      </c>
      <c r="N437" s="10"/>
      <c r="O437" s="10"/>
      <c r="P437" s="10">
        <v>0</v>
      </c>
      <c r="Q437" s="10"/>
      <c r="R437" s="10"/>
      <c r="S437" s="10"/>
      <c r="T437" s="10"/>
      <c r="U437" s="10"/>
      <c r="V437" s="4" t="s">
        <v>661</v>
      </c>
      <c r="W437" s="4"/>
      <c r="X437" s="8">
        <v>45106</v>
      </c>
      <c r="Y437" s="4"/>
      <c r="Z437" s="4"/>
      <c r="AA437" s="8">
        <v>45108</v>
      </c>
      <c r="AB437" s="8">
        <v>45109</v>
      </c>
      <c r="AC437" s="4"/>
      <c r="AD437" s="4"/>
    </row>
    <row r="438" spans="1:30" hidden="1">
      <c r="A438" s="4">
        <v>337</v>
      </c>
      <c r="B438" s="8">
        <v>45092</v>
      </c>
      <c r="C438" s="4"/>
      <c r="D438" s="4" t="s">
        <v>42</v>
      </c>
      <c r="E438" s="8">
        <v>45114</v>
      </c>
      <c r="F438" s="4" t="s">
        <v>43</v>
      </c>
      <c r="G438" s="40" t="s">
        <v>60</v>
      </c>
      <c r="H438" s="4" t="s">
        <v>45</v>
      </c>
      <c r="I438" s="4" t="s">
        <v>50</v>
      </c>
      <c r="J438" s="10">
        <v>17.91048</v>
      </c>
      <c r="K438" s="10">
        <v>17.96</v>
      </c>
      <c r="L438" s="10">
        <f t="shared" si="38"/>
        <v>0</v>
      </c>
      <c r="M438" s="10">
        <f t="shared" si="37"/>
        <v>0</v>
      </c>
      <c r="N438" s="10"/>
      <c r="O438" s="10">
        <v>0</v>
      </c>
      <c r="P438" s="10"/>
      <c r="Q438" s="10"/>
      <c r="R438" s="10"/>
      <c r="S438" s="10"/>
      <c r="T438" s="10"/>
      <c r="U438" s="10"/>
      <c r="V438" s="4" t="s">
        <v>661</v>
      </c>
      <c r="W438" s="4"/>
      <c r="X438" s="8">
        <v>45106</v>
      </c>
      <c r="Y438" s="4"/>
      <c r="Z438" s="4"/>
      <c r="AA438" s="8">
        <v>45109</v>
      </c>
      <c r="AB438" s="8">
        <v>45109</v>
      </c>
      <c r="AC438" s="4"/>
      <c r="AD438" s="4"/>
    </row>
    <row r="439" spans="1:30" hidden="1">
      <c r="A439" s="4">
        <v>337</v>
      </c>
      <c r="B439" s="8">
        <v>45092</v>
      </c>
      <c r="C439" s="4"/>
      <c r="D439" s="4" t="s">
        <v>42</v>
      </c>
      <c r="E439" s="8">
        <v>45114</v>
      </c>
      <c r="F439" s="4" t="s">
        <v>43</v>
      </c>
      <c r="G439" s="40" t="s">
        <v>60</v>
      </c>
      <c r="H439" s="4" t="s">
        <v>45</v>
      </c>
      <c r="I439" s="4" t="s">
        <v>588</v>
      </c>
      <c r="J439" s="10">
        <v>95.374950000000013</v>
      </c>
      <c r="K439" s="10">
        <f>31.767+28.353+7.271+3.289+2.805+7.569+2.015+2.896+5.367+4.293</f>
        <v>95.625000000000028</v>
      </c>
      <c r="L439" s="10">
        <f t="shared" si="38"/>
        <v>0</v>
      </c>
      <c r="M439" s="10">
        <f t="shared" si="37"/>
        <v>0</v>
      </c>
      <c r="N439" s="10"/>
      <c r="O439" s="10"/>
      <c r="P439" s="10">
        <v>0</v>
      </c>
      <c r="Q439" s="10"/>
      <c r="R439" s="10"/>
      <c r="S439" s="10">
        <v>0</v>
      </c>
      <c r="T439" s="10"/>
      <c r="U439" s="10"/>
      <c r="V439" s="4" t="s">
        <v>661</v>
      </c>
      <c r="W439" s="4"/>
      <c r="X439" s="8">
        <v>45106</v>
      </c>
      <c r="Y439" s="4"/>
      <c r="Z439" s="4"/>
      <c r="AA439" s="8">
        <v>45107</v>
      </c>
      <c r="AB439" s="8">
        <v>45115</v>
      </c>
      <c r="AC439" s="4"/>
      <c r="AD439" s="4"/>
    </row>
    <row r="440" spans="1:30" hidden="1">
      <c r="A440" s="4">
        <v>337</v>
      </c>
      <c r="B440" s="8">
        <v>45092</v>
      </c>
      <c r="C440" s="4"/>
      <c r="D440" s="4" t="s">
        <v>42</v>
      </c>
      <c r="E440" s="8">
        <v>45114</v>
      </c>
      <c r="F440" s="4" t="s">
        <v>43</v>
      </c>
      <c r="G440" s="40" t="s">
        <v>60</v>
      </c>
      <c r="H440" s="4" t="s">
        <v>45</v>
      </c>
      <c r="I440" s="4" t="s">
        <v>407</v>
      </c>
      <c r="J440" s="10">
        <v>16.067699999999999</v>
      </c>
      <c r="K440" s="10">
        <f>14.021+2.084</f>
        <v>16.105</v>
      </c>
      <c r="L440" s="10">
        <f t="shared" si="38"/>
        <v>0</v>
      </c>
      <c r="M440" s="10">
        <f t="shared" si="37"/>
        <v>0</v>
      </c>
      <c r="N440" s="10"/>
      <c r="O440" s="10"/>
      <c r="P440" s="10">
        <v>0</v>
      </c>
      <c r="Q440" s="10"/>
      <c r="R440" s="10"/>
      <c r="S440" s="10"/>
      <c r="T440" s="10"/>
      <c r="U440" s="10"/>
      <c r="V440" s="4" t="s">
        <v>661</v>
      </c>
      <c r="W440" s="4"/>
      <c r="X440" s="8">
        <v>45107</v>
      </c>
      <c r="Y440" s="4"/>
      <c r="Z440" s="4"/>
      <c r="AA440" s="8">
        <v>45110</v>
      </c>
      <c r="AB440" s="8">
        <v>45113</v>
      </c>
      <c r="AC440" s="4"/>
      <c r="AD440" s="4"/>
    </row>
    <row r="441" spans="1:30" hidden="1">
      <c r="A441" s="4">
        <v>337</v>
      </c>
      <c r="B441" s="8">
        <v>45092</v>
      </c>
      <c r="C441" s="4"/>
      <c r="D441" s="4" t="s">
        <v>42</v>
      </c>
      <c r="E441" s="8">
        <v>45114</v>
      </c>
      <c r="F441" s="4" t="s">
        <v>43</v>
      </c>
      <c r="G441" s="40" t="s">
        <v>60</v>
      </c>
      <c r="H441" s="4" t="s">
        <v>45</v>
      </c>
      <c r="I441" s="4" t="s">
        <v>409</v>
      </c>
      <c r="J441" s="10">
        <v>30.384999999999998</v>
      </c>
      <c r="K441" s="10">
        <f>25.513+3.292+1.579</f>
        <v>30.384</v>
      </c>
      <c r="L441" s="10">
        <f t="shared" si="38"/>
        <v>0</v>
      </c>
      <c r="M441" s="10">
        <f t="shared" si="37"/>
        <v>0</v>
      </c>
      <c r="N441" s="10"/>
      <c r="O441" s="10"/>
      <c r="P441" s="10"/>
      <c r="Q441" s="10"/>
      <c r="R441" s="10"/>
      <c r="S441" s="10">
        <v>0</v>
      </c>
      <c r="T441" s="10"/>
      <c r="U441" s="10"/>
      <c r="V441" s="4" t="s">
        <v>661</v>
      </c>
      <c r="W441" s="4"/>
      <c r="X441" s="8">
        <v>45107</v>
      </c>
      <c r="Y441" s="4"/>
      <c r="Z441" s="4"/>
      <c r="AA441" s="8">
        <v>45110</v>
      </c>
      <c r="AB441" s="8">
        <v>45115</v>
      </c>
      <c r="AC441" s="4"/>
      <c r="AD441" s="4"/>
    </row>
    <row r="442" spans="1:30" hidden="1">
      <c r="A442" s="4">
        <v>337</v>
      </c>
      <c r="B442" s="8">
        <v>45092</v>
      </c>
      <c r="C442" s="4"/>
      <c r="D442" s="4" t="s">
        <v>42</v>
      </c>
      <c r="E442" s="8">
        <v>45114</v>
      </c>
      <c r="F442" s="4" t="s">
        <v>43</v>
      </c>
      <c r="G442" s="40" t="s">
        <v>60</v>
      </c>
      <c r="H442" s="4" t="s">
        <v>45</v>
      </c>
      <c r="I442" s="4" t="s">
        <v>517</v>
      </c>
      <c r="J442" s="10">
        <v>63.816479999999999</v>
      </c>
      <c r="K442" s="10">
        <f>31.095+29.691+3.066</f>
        <v>63.852000000000004</v>
      </c>
      <c r="L442" s="10">
        <f t="shared" si="38"/>
        <v>0</v>
      </c>
      <c r="M442" s="10">
        <f t="shared" si="37"/>
        <v>0</v>
      </c>
      <c r="N442" s="10"/>
      <c r="O442" s="10"/>
      <c r="P442" s="10">
        <v>0</v>
      </c>
      <c r="Q442" s="10"/>
      <c r="R442" s="10"/>
      <c r="S442" s="10"/>
      <c r="T442" s="10"/>
      <c r="U442" s="10"/>
      <c r="V442" s="4" t="s">
        <v>661</v>
      </c>
      <c r="W442" s="4"/>
      <c r="X442" s="8">
        <v>45094</v>
      </c>
      <c r="Y442" s="4"/>
      <c r="Z442" s="4"/>
      <c r="AA442" s="8">
        <v>45099</v>
      </c>
      <c r="AB442" s="8">
        <v>45103</v>
      </c>
      <c r="AC442" s="4"/>
      <c r="AD442" s="4"/>
    </row>
    <row r="443" spans="1:30" hidden="1">
      <c r="A443" s="4">
        <v>337</v>
      </c>
      <c r="B443" s="8">
        <v>45092</v>
      </c>
      <c r="C443" s="4"/>
      <c r="D443" s="4" t="s">
        <v>42</v>
      </c>
      <c r="E443" s="8">
        <v>45114</v>
      </c>
      <c r="F443" s="4" t="s">
        <v>43</v>
      </c>
      <c r="G443" s="40" t="s">
        <v>60</v>
      </c>
      <c r="H443" s="4" t="s">
        <v>45</v>
      </c>
      <c r="I443" s="4" t="s">
        <v>579</v>
      </c>
      <c r="J443" s="10">
        <v>3.4128000000000003</v>
      </c>
      <c r="K443" s="10">
        <v>3.4129999999999998</v>
      </c>
      <c r="L443" s="10">
        <f t="shared" si="38"/>
        <v>0</v>
      </c>
      <c r="M443" s="10">
        <f t="shared" si="37"/>
        <v>0</v>
      </c>
      <c r="N443" s="10"/>
      <c r="O443" s="10"/>
      <c r="P443" s="10">
        <v>0</v>
      </c>
      <c r="Q443" s="10"/>
      <c r="R443" s="10"/>
      <c r="S443" s="10"/>
      <c r="T443" s="10"/>
      <c r="U443" s="10"/>
      <c r="V443" s="4" t="s">
        <v>661</v>
      </c>
      <c r="W443" s="4" t="s">
        <v>37</v>
      </c>
      <c r="X443" s="8">
        <v>45094</v>
      </c>
      <c r="Y443" s="4"/>
      <c r="Z443" s="4"/>
      <c r="AA443" s="8">
        <v>45106</v>
      </c>
      <c r="AB443" s="8">
        <v>45106</v>
      </c>
      <c r="AC443" s="4"/>
      <c r="AD443" s="4"/>
    </row>
    <row r="444" spans="1:30" hidden="1">
      <c r="A444" s="4">
        <v>337</v>
      </c>
      <c r="B444" s="8">
        <v>45092</v>
      </c>
      <c r="C444" s="4"/>
      <c r="D444" s="4" t="s">
        <v>42</v>
      </c>
      <c r="E444" s="8">
        <v>45114</v>
      </c>
      <c r="F444" s="4" t="s">
        <v>43</v>
      </c>
      <c r="G444" s="40" t="s">
        <v>60</v>
      </c>
      <c r="H444" s="4" t="s">
        <v>45</v>
      </c>
      <c r="I444" s="4" t="s">
        <v>448</v>
      </c>
      <c r="J444" s="10">
        <v>59.109000000000002</v>
      </c>
      <c r="K444" s="10">
        <f>8.612+5.827+1.663+13.858+6.611+6.71+6.615+6.246+3.343</f>
        <v>59.484999999999999</v>
      </c>
      <c r="L444" s="10">
        <f t="shared" si="38"/>
        <v>0</v>
      </c>
      <c r="M444" s="10">
        <f t="shared" si="37"/>
        <v>0</v>
      </c>
      <c r="N444" s="10"/>
      <c r="O444" s="10"/>
      <c r="P444" s="10">
        <v>0</v>
      </c>
      <c r="Q444" s="10"/>
      <c r="R444" s="10"/>
      <c r="S444" s="10">
        <v>0</v>
      </c>
      <c r="T444" s="10"/>
      <c r="U444" s="10"/>
      <c r="V444" s="4" t="s">
        <v>661</v>
      </c>
      <c r="W444" s="4"/>
      <c r="X444" s="8">
        <v>45093</v>
      </c>
      <c r="Y444" s="4"/>
      <c r="Z444" s="4"/>
      <c r="AA444" s="8">
        <v>45098</v>
      </c>
      <c r="AB444" s="8">
        <v>45115</v>
      </c>
      <c r="AC444" s="4"/>
      <c r="AD444" s="4"/>
    </row>
    <row r="445" spans="1:30" hidden="1">
      <c r="A445" s="4">
        <v>337</v>
      </c>
      <c r="B445" s="8">
        <v>45092</v>
      </c>
      <c r="C445" s="4"/>
      <c r="D445" s="4" t="s">
        <v>42</v>
      </c>
      <c r="E445" s="8">
        <v>45114</v>
      </c>
      <c r="F445" s="4" t="s">
        <v>43</v>
      </c>
      <c r="G445" s="40" t="s">
        <v>60</v>
      </c>
      <c r="H445" s="4" t="s">
        <v>45</v>
      </c>
      <c r="I445" s="4" t="s">
        <v>53</v>
      </c>
      <c r="J445" s="10">
        <v>21.462278999999999</v>
      </c>
      <c r="K445" s="10">
        <f>11.065+8.423+2.231</f>
        <v>21.719000000000001</v>
      </c>
      <c r="L445" s="10">
        <f t="shared" si="38"/>
        <v>0</v>
      </c>
      <c r="M445" s="10">
        <f t="shared" si="37"/>
        <v>0</v>
      </c>
      <c r="N445" s="10"/>
      <c r="O445" s="10"/>
      <c r="P445" s="10">
        <v>0</v>
      </c>
      <c r="Q445" s="10"/>
      <c r="R445" s="10"/>
      <c r="S445" s="10"/>
      <c r="T445" s="10"/>
      <c r="U445" s="10"/>
      <c r="V445" s="4" t="s">
        <v>661</v>
      </c>
      <c r="W445" s="4"/>
      <c r="X445" s="8">
        <v>45097</v>
      </c>
      <c r="Y445" s="4"/>
      <c r="Z445" s="4"/>
      <c r="AA445" s="8">
        <v>45101</v>
      </c>
      <c r="AB445" s="8">
        <v>45110</v>
      </c>
      <c r="AC445" s="4"/>
      <c r="AD445" s="4"/>
    </row>
    <row r="446" spans="1:30" hidden="1">
      <c r="A446" s="4">
        <v>337</v>
      </c>
      <c r="B446" s="8">
        <v>45092</v>
      </c>
      <c r="C446" s="4"/>
      <c r="D446" s="4" t="s">
        <v>42</v>
      </c>
      <c r="E446" s="8">
        <v>45114</v>
      </c>
      <c r="F446" s="4" t="s">
        <v>43</v>
      </c>
      <c r="G446" s="40" t="s">
        <v>60</v>
      </c>
      <c r="H446" s="4" t="s">
        <v>45</v>
      </c>
      <c r="I446" s="4" t="s">
        <v>55</v>
      </c>
      <c r="J446" s="10">
        <v>10.720951999999999</v>
      </c>
      <c r="K446" s="10">
        <f>4.462+6.444</f>
        <v>10.905999999999999</v>
      </c>
      <c r="L446" s="10">
        <f t="shared" si="38"/>
        <v>0</v>
      </c>
      <c r="M446" s="10">
        <f t="shared" si="37"/>
        <v>0</v>
      </c>
      <c r="N446" s="10"/>
      <c r="O446" s="10"/>
      <c r="P446" s="10">
        <v>0</v>
      </c>
      <c r="Q446" s="10"/>
      <c r="R446" s="10"/>
      <c r="S446" s="10"/>
      <c r="T446" s="10"/>
      <c r="U446" s="10"/>
      <c r="V446" s="4" t="s">
        <v>661</v>
      </c>
      <c r="W446" s="4"/>
      <c r="X446" s="8">
        <v>45097</v>
      </c>
      <c r="Y446" s="4"/>
      <c r="Z446" s="4"/>
      <c r="AA446" s="8">
        <v>45101</v>
      </c>
      <c r="AB446" s="8">
        <v>45102</v>
      </c>
      <c r="AC446" s="4"/>
      <c r="AD446" s="4"/>
    </row>
    <row r="447" spans="1:30" hidden="1">
      <c r="A447" s="4">
        <v>337</v>
      </c>
      <c r="B447" s="8">
        <v>45092</v>
      </c>
      <c r="C447" s="4"/>
      <c r="D447" s="4" t="s">
        <v>42</v>
      </c>
      <c r="E447" s="8">
        <v>45114</v>
      </c>
      <c r="F447" s="4" t="s">
        <v>43</v>
      </c>
      <c r="G447" s="40" t="s">
        <v>60</v>
      </c>
      <c r="H447" s="4" t="s">
        <v>45</v>
      </c>
      <c r="I447" s="4" t="s">
        <v>435</v>
      </c>
      <c r="J447" s="10">
        <v>17.081856000000002</v>
      </c>
      <c r="K447" s="10">
        <f>8.381+8.643+0.201</f>
        <v>17.225000000000001</v>
      </c>
      <c r="L447" s="10">
        <f t="shared" si="38"/>
        <v>0</v>
      </c>
      <c r="M447" s="10">
        <f t="shared" si="37"/>
        <v>0</v>
      </c>
      <c r="N447" s="10"/>
      <c r="O447" s="10"/>
      <c r="P447" s="10">
        <v>0</v>
      </c>
      <c r="Q447" s="10"/>
      <c r="R447" s="10"/>
      <c r="S447" s="10"/>
      <c r="T447" s="10"/>
      <c r="U447" s="10"/>
      <c r="V447" s="4" t="s">
        <v>661</v>
      </c>
      <c r="W447" s="4"/>
      <c r="X447" s="8">
        <v>45095</v>
      </c>
      <c r="Y447" s="4"/>
      <c r="Z447" s="4"/>
      <c r="AA447" s="8">
        <v>45099</v>
      </c>
      <c r="AB447" s="8">
        <v>45100</v>
      </c>
      <c r="AC447" s="4"/>
      <c r="AD447" s="4"/>
    </row>
    <row r="448" spans="1:30" hidden="1">
      <c r="A448" s="4">
        <v>337</v>
      </c>
      <c r="B448" s="8">
        <v>45092</v>
      </c>
      <c r="C448" s="4"/>
      <c r="D448" s="4" t="s">
        <v>42</v>
      </c>
      <c r="E448" s="8">
        <v>45114</v>
      </c>
      <c r="F448" s="4" t="s">
        <v>43</v>
      </c>
      <c r="G448" s="40" t="s">
        <v>60</v>
      </c>
      <c r="H448" s="4" t="s">
        <v>45</v>
      </c>
      <c r="I448" s="4" t="s">
        <v>432</v>
      </c>
      <c r="J448" s="10">
        <v>24.383260000000007</v>
      </c>
      <c r="K448" s="10">
        <f>11.071+12.532+0.862</f>
        <v>24.465</v>
      </c>
      <c r="L448" s="10">
        <f t="shared" si="38"/>
        <v>0</v>
      </c>
      <c r="M448" s="10">
        <f t="shared" si="37"/>
        <v>0</v>
      </c>
      <c r="N448" s="10"/>
      <c r="O448" s="10"/>
      <c r="P448" s="10">
        <v>0</v>
      </c>
      <c r="Q448" s="10"/>
      <c r="R448" s="10"/>
      <c r="S448" s="10"/>
      <c r="T448" s="10"/>
      <c r="U448" s="10"/>
      <c r="V448" s="4" t="s">
        <v>661</v>
      </c>
      <c r="W448" s="4"/>
      <c r="X448" s="8">
        <v>45095</v>
      </c>
      <c r="Y448" s="4"/>
      <c r="Z448" s="4"/>
      <c r="AA448" s="8">
        <v>45099</v>
      </c>
      <c r="AB448" s="8">
        <v>45103</v>
      </c>
      <c r="AC448" s="4"/>
      <c r="AD448" s="4"/>
    </row>
    <row r="449" spans="1:30" hidden="1">
      <c r="A449" s="4">
        <v>337</v>
      </c>
      <c r="B449" s="8">
        <v>45092</v>
      </c>
      <c r="C449" s="4"/>
      <c r="D449" s="4" t="s">
        <v>42</v>
      </c>
      <c r="E449" s="8">
        <v>45114</v>
      </c>
      <c r="F449" s="4" t="s">
        <v>43</v>
      </c>
      <c r="G449" s="40" t="s">
        <v>60</v>
      </c>
      <c r="H449" s="4" t="s">
        <v>45</v>
      </c>
      <c r="I449" s="4" t="s">
        <v>474</v>
      </c>
      <c r="J449" s="10">
        <v>17.248851999999999</v>
      </c>
      <c r="K449" s="10">
        <v>17.265000000000001</v>
      </c>
      <c r="L449" s="10">
        <f t="shared" si="38"/>
        <v>0</v>
      </c>
      <c r="M449" s="10">
        <f t="shared" si="37"/>
        <v>0</v>
      </c>
      <c r="N449" s="10"/>
      <c r="O449" s="10"/>
      <c r="P449" s="10">
        <v>0</v>
      </c>
      <c r="Q449" s="10"/>
      <c r="R449" s="10"/>
      <c r="S449" s="10"/>
      <c r="T449" s="10"/>
      <c r="U449" s="10"/>
      <c r="V449" s="4" t="s">
        <v>661</v>
      </c>
      <c r="W449" s="4"/>
      <c r="X449" s="8">
        <v>45108</v>
      </c>
      <c r="Y449" s="4"/>
      <c r="Z449" s="4"/>
      <c r="AA449" s="8"/>
      <c r="AB449" s="8"/>
      <c r="AC449" s="4"/>
      <c r="AD449" s="4"/>
    </row>
    <row r="450" spans="1:30" hidden="1">
      <c r="A450" s="4">
        <v>337</v>
      </c>
      <c r="B450" s="8">
        <v>45092</v>
      </c>
      <c r="C450" s="4"/>
      <c r="D450" s="4" t="s">
        <v>42</v>
      </c>
      <c r="E450" s="8">
        <v>45114</v>
      </c>
      <c r="F450" s="4" t="s">
        <v>43</v>
      </c>
      <c r="G450" s="40" t="s">
        <v>60</v>
      </c>
      <c r="H450" s="4" t="s">
        <v>45</v>
      </c>
      <c r="I450" s="4" t="s">
        <v>434</v>
      </c>
      <c r="J450" s="10">
        <v>31.194999999999997</v>
      </c>
      <c r="K450" s="10">
        <f>9.592+19.073+1.909+0.77</f>
        <v>31.343999999999998</v>
      </c>
      <c r="L450" s="10">
        <f t="shared" si="38"/>
        <v>0</v>
      </c>
      <c r="M450" s="10">
        <f t="shared" si="37"/>
        <v>0</v>
      </c>
      <c r="N450" s="10"/>
      <c r="O450" s="10"/>
      <c r="P450" s="10">
        <v>0</v>
      </c>
      <c r="Q450" s="10"/>
      <c r="R450" s="10"/>
      <c r="S450" s="10"/>
      <c r="T450" s="10"/>
      <c r="U450" s="10"/>
      <c r="V450" s="4" t="s">
        <v>661</v>
      </c>
      <c r="W450" s="4"/>
      <c r="X450" s="8">
        <v>45108</v>
      </c>
      <c r="Y450" s="4"/>
      <c r="Z450" s="4"/>
      <c r="AA450" s="8">
        <v>45109</v>
      </c>
      <c r="AB450" s="8">
        <v>45117</v>
      </c>
      <c r="AC450" s="4"/>
      <c r="AD450" s="4"/>
    </row>
    <row r="451" spans="1:30" hidden="1">
      <c r="A451" s="4">
        <v>337</v>
      </c>
      <c r="B451" s="8">
        <v>45092</v>
      </c>
      <c r="C451" s="4"/>
      <c r="D451" s="4" t="s">
        <v>42</v>
      </c>
      <c r="E451" s="8">
        <v>45114</v>
      </c>
      <c r="F451" s="4" t="s">
        <v>43</v>
      </c>
      <c r="G451" s="40" t="s">
        <v>60</v>
      </c>
      <c r="H451" s="4" t="s">
        <v>45</v>
      </c>
      <c r="I451" s="4" t="s">
        <v>89</v>
      </c>
      <c r="J451" s="10">
        <v>84.185239999999993</v>
      </c>
      <c r="K451" s="10">
        <f>16.903+32.067+22.094+6.989+1.97+2.239+1.955</f>
        <v>84.216999999999999</v>
      </c>
      <c r="L451" s="10">
        <f t="shared" si="38"/>
        <v>0</v>
      </c>
      <c r="M451" s="10">
        <f t="shared" si="37"/>
        <v>0</v>
      </c>
      <c r="N451" s="10"/>
      <c r="O451" s="10"/>
      <c r="P451" s="10">
        <v>0</v>
      </c>
      <c r="Q451" s="10"/>
      <c r="R451" s="10"/>
      <c r="S451" s="10"/>
      <c r="T451" s="10"/>
      <c r="U451" s="10"/>
      <c r="V451" s="4" t="s">
        <v>661</v>
      </c>
      <c r="W451" s="4" t="s">
        <v>806</v>
      </c>
      <c r="X451" s="8">
        <v>45099</v>
      </c>
      <c r="Y451" s="4"/>
      <c r="Z451" s="4"/>
      <c r="AA451" s="8">
        <v>45101</v>
      </c>
      <c r="AB451" s="8"/>
      <c r="AC451" s="4"/>
      <c r="AD451" s="4"/>
    </row>
    <row r="452" spans="1:30" hidden="1">
      <c r="A452" s="4">
        <v>337</v>
      </c>
      <c r="B452" s="8">
        <v>45092</v>
      </c>
      <c r="C452" s="4"/>
      <c r="D452" s="4" t="s">
        <v>42</v>
      </c>
      <c r="E452" s="8">
        <v>45114</v>
      </c>
      <c r="F452" s="4" t="s">
        <v>43</v>
      </c>
      <c r="G452" s="40" t="s">
        <v>60</v>
      </c>
      <c r="H452" s="4" t="s">
        <v>45</v>
      </c>
      <c r="I452" s="4" t="s">
        <v>87</v>
      </c>
      <c r="J452" s="10">
        <v>8.2886249999999997</v>
      </c>
      <c r="K452" s="10">
        <v>8.3030000000000008</v>
      </c>
      <c r="L452" s="10">
        <f t="shared" si="38"/>
        <v>0</v>
      </c>
      <c r="M452" s="10">
        <f t="shared" si="37"/>
        <v>0</v>
      </c>
      <c r="N452" s="10"/>
      <c r="O452" s="10"/>
      <c r="P452" s="10">
        <v>0</v>
      </c>
      <c r="Q452" s="10"/>
      <c r="R452" s="10"/>
      <c r="S452" s="10"/>
      <c r="T452" s="10"/>
      <c r="U452" s="10"/>
      <c r="V452" s="4" t="s">
        <v>661</v>
      </c>
      <c r="W452" s="4"/>
      <c r="X452" s="8">
        <v>45099</v>
      </c>
      <c r="Y452" s="4"/>
      <c r="Z452" s="4"/>
      <c r="AA452" s="8">
        <v>45105</v>
      </c>
      <c r="AB452" s="8">
        <v>45105</v>
      </c>
      <c r="AC452" s="4"/>
      <c r="AD452" s="4"/>
    </row>
    <row r="453" spans="1:30" hidden="1">
      <c r="A453" s="4">
        <v>337</v>
      </c>
      <c r="B453" s="8">
        <v>45092</v>
      </c>
      <c r="C453" s="4"/>
      <c r="D453" s="4" t="s">
        <v>42</v>
      </c>
      <c r="E453" s="8">
        <v>45114</v>
      </c>
      <c r="F453" s="4" t="s">
        <v>43</v>
      </c>
      <c r="G453" s="40" t="s">
        <v>728</v>
      </c>
      <c r="H453" s="4" t="s">
        <v>52</v>
      </c>
      <c r="I453" s="4" t="s">
        <v>54</v>
      </c>
      <c r="J453" s="10">
        <v>1.704766</v>
      </c>
      <c r="K453" s="10">
        <v>1.8089999999999999</v>
      </c>
      <c r="L453" s="10">
        <f t="shared" si="38"/>
        <v>0</v>
      </c>
      <c r="M453" s="10">
        <f t="shared" ref="M453:M459" si="39">SUM(N453:T453)</f>
        <v>0</v>
      </c>
      <c r="N453" s="10"/>
      <c r="O453" s="10"/>
      <c r="P453" s="10">
        <v>0</v>
      </c>
      <c r="Q453" s="10"/>
      <c r="R453" s="10"/>
      <c r="S453" s="10"/>
      <c r="T453" s="10"/>
      <c r="U453" s="10"/>
      <c r="V453" s="4" t="s">
        <v>661</v>
      </c>
      <c r="W453" s="4"/>
      <c r="X453" s="8">
        <v>45103</v>
      </c>
      <c r="Y453" s="4"/>
      <c r="Z453" s="4"/>
      <c r="AA453" s="8">
        <v>45107</v>
      </c>
      <c r="AB453" s="8">
        <v>45107</v>
      </c>
      <c r="AC453" s="4"/>
      <c r="AD453" s="4"/>
    </row>
    <row r="454" spans="1:30" hidden="1">
      <c r="A454" s="4">
        <v>337</v>
      </c>
      <c r="B454" s="8">
        <v>45092</v>
      </c>
      <c r="C454" s="4"/>
      <c r="D454" s="4" t="s">
        <v>42</v>
      </c>
      <c r="E454" s="8">
        <v>45114</v>
      </c>
      <c r="F454" s="4" t="s">
        <v>43</v>
      </c>
      <c r="G454" s="40" t="s">
        <v>728</v>
      </c>
      <c r="H454" s="4" t="s">
        <v>52</v>
      </c>
      <c r="I454" s="4" t="s">
        <v>48</v>
      </c>
      <c r="J454" s="10">
        <v>0.96867999999999999</v>
      </c>
      <c r="K454" s="10">
        <v>1.135</v>
      </c>
      <c r="L454" s="10">
        <f t="shared" si="38"/>
        <v>0</v>
      </c>
      <c r="M454" s="10">
        <f t="shared" si="39"/>
        <v>0</v>
      </c>
      <c r="N454" s="10"/>
      <c r="O454" s="10"/>
      <c r="P454" s="10">
        <v>0</v>
      </c>
      <c r="Q454" s="10"/>
      <c r="R454" s="10"/>
      <c r="S454" s="10">
        <v>0</v>
      </c>
      <c r="T454" s="10"/>
      <c r="U454" s="10"/>
      <c r="V454" s="4" t="s">
        <v>661</v>
      </c>
      <c r="W454" s="4" t="s">
        <v>839</v>
      </c>
      <c r="X454" s="8">
        <v>45103</v>
      </c>
      <c r="Y454" s="4"/>
      <c r="Z454" s="4"/>
      <c r="AA454" s="8">
        <v>45117</v>
      </c>
      <c r="AB454" s="8">
        <v>45117</v>
      </c>
      <c r="AC454" s="4"/>
      <c r="AD454" s="4"/>
    </row>
    <row r="455" spans="1:30" hidden="1">
      <c r="A455" s="4">
        <v>337</v>
      </c>
      <c r="B455" s="8">
        <v>45092</v>
      </c>
      <c r="C455" s="4"/>
      <c r="D455" s="4" t="s">
        <v>42</v>
      </c>
      <c r="E455" s="8">
        <v>45114</v>
      </c>
      <c r="F455" s="4" t="s">
        <v>43</v>
      </c>
      <c r="G455" s="40" t="s">
        <v>728</v>
      </c>
      <c r="H455" s="4" t="s">
        <v>52</v>
      </c>
      <c r="I455" s="4" t="s">
        <v>53</v>
      </c>
      <c r="J455" s="10">
        <v>9.4034069999999996</v>
      </c>
      <c r="K455" s="10">
        <f>3.483+5.963</f>
        <v>9.4459999999999997</v>
      </c>
      <c r="L455" s="10">
        <f t="shared" si="38"/>
        <v>0</v>
      </c>
      <c r="M455" s="10">
        <f t="shared" si="39"/>
        <v>0</v>
      </c>
      <c r="N455" s="10"/>
      <c r="O455" s="10"/>
      <c r="P455" s="10">
        <v>0</v>
      </c>
      <c r="Q455" s="10"/>
      <c r="R455" s="10"/>
      <c r="S455" s="10"/>
      <c r="T455" s="10"/>
      <c r="U455" s="10"/>
      <c r="V455" s="4" t="s">
        <v>661</v>
      </c>
      <c r="W455" s="4"/>
      <c r="X455" s="8">
        <v>45097</v>
      </c>
      <c r="Y455" s="4"/>
      <c r="Z455" s="4"/>
      <c r="AA455" s="8">
        <v>45099</v>
      </c>
      <c r="AB455" s="8">
        <v>45103</v>
      </c>
      <c r="AC455" s="4"/>
      <c r="AD455" s="4"/>
    </row>
    <row r="456" spans="1:30" hidden="1">
      <c r="A456" s="4">
        <v>337</v>
      </c>
      <c r="B456" s="8">
        <v>45092</v>
      </c>
      <c r="C456" s="4"/>
      <c r="D456" s="4" t="s">
        <v>42</v>
      </c>
      <c r="E456" s="8">
        <v>45114</v>
      </c>
      <c r="F456" s="4" t="s">
        <v>43</v>
      </c>
      <c r="G456" s="40" t="s">
        <v>728</v>
      </c>
      <c r="H456" s="4" t="s">
        <v>52</v>
      </c>
      <c r="I456" s="4" t="s">
        <v>435</v>
      </c>
      <c r="J456" s="10">
        <v>5.0653439999999996</v>
      </c>
      <c r="K456" s="10">
        <f>2.442+1.446+1.433</f>
        <v>5.3209999999999997</v>
      </c>
      <c r="L456" s="10">
        <f t="shared" si="38"/>
        <v>0</v>
      </c>
      <c r="M456" s="10">
        <f t="shared" si="39"/>
        <v>0</v>
      </c>
      <c r="N456" s="10"/>
      <c r="O456" s="10"/>
      <c r="P456" s="10">
        <v>0</v>
      </c>
      <c r="Q456" s="10"/>
      <c r="R456" s="10"/>
      <c r="S456" s="10"/>
      <c r="T456" s="10"/>
      <c r="U456" s="10"/>
      <c r="V456" s="4" t="s">
        <v>661</v>
      </c>
      <c r="W456" s="4"/>
      <c r="X456" s="8">
        <v>45096</v>
      </c>
      <c r="Y456" s="4"/>
      <c r="Z456" s="4"/>
      <c r="AA456" s="8">
        <v>45099</v>
      </c>
      <c r="AB456" s="8">
        <v>45103</v>
      </c>
      <c r="AC456" s="4"/>
      <c r="AD456" s="4"/>
    </row>
    <row r="457" spans="1:30" hidden="1">
      <c r="A457" s="4">
        <v>337</v>
      </c>
      <c r="B457" s="8">
        <v>45092</v>
      </c>
      <c r="C457" s="4"/>
      <c r="D457" s="4" t="s">
        <v>42</v>
      </c>
      <c r="E457" s="8">
        <v>45114</v>
      </c>
      <c r="F457" s="4" t="s">
        <v>43</v>
      </c>
      <c r="G457" s="40" t="s">
        <v>728</v>
      </c>
      <c r="H457" s="4" t="s">
        <v>52</v>
      </c>
      <c r="I457" s="4" t="s">
        <v>432</v>
      </c>
      <c r="J457" s="10">
        <v>0.79117499999999996</v>
      </c>
      <c r="K457" s="10">
        <v>0.79100000000000004</v>
      </c>
      <c r="L457" s="10">
        <f t="shared" si="38"/>
        <v>0</v>
      </c>
      <c r="M457" s="10">
        <f t="shared" si="39"/>
        <v>0</v>
      </c>
      <c r="N457" s="10"/>
      <c r="O457" s="10">
        <v>0</v>
      </c>
      <c r="P457" s="10"/>
      <c r="Q457" s="10"/>
      <c r="R457" s="10"/>
      <c r="S457" s="10"/>
      <c r="T457" s="10"/>
      <c r="U457" s="10"/>
      <c r="V457" s="4" t="s">
        <v>661</v>
      </c>
      <c r="W457" s="4"/>
      <c r="X457" s="8">
        <v>45096</v>
      </c>
      <c r="Y457" s="4"/>
      <c r="Z457" s="4"/>
      <c r="AA457" s="8">
        <v>45098</v>
      </c>
      <c r="AB457" s="8">
        <v>45098</v>
      </c>
      <c r="AC457" s="4"/>
      <c r="AD457" s="4"/>
    </row>
    <row r="458" spans="1:30" hidden="1">
      <c r="A458" s="4">
        <v>337</v>
      </c>
      <c r="B458" s="8">
        <v>45092</v>
      </c>
      <c r="C458" s="4"/>
      <c r="D458" s="4" t="s">
        <v>42</v>
      </c>
      <c r="E458" s="8">
        <v>45114</v>
      </c>
      <c r="F458" s="4" t="s">
        <v>43</v>
      </c>
      <c r="G458" s="40" t="s">
        <v>728</v>
      </c>
      <c r="H458" s="4" t="s">
        <v>52</v>
      </c>
      <c r="I458" s="4" t="s">
        <v>89</v>
      </c>
      <c r="J458" s="10">
        <v>2.8610100000000003</v>
      </c>
      <c r="K458" s="10">
        <v>2.8679999999999999</v>
      </c>
      <c r="L458" s="10">
        <f t="shared" si="38"/>
        <v>0</v>
      </c>
      <c r="M458" s="10">
        <f t="shared" si="39"/>
        <v>0</v>
      </c>
      <c r="N458" s="10"/>
      <c r="O458" s="10"/>
      <c r="P458" s="10">
        <v>0</v>
      </c>
      <c r="Q458" s="10"/>
      <c r="R458" s="10"/>
      <c r="S458" s="10">
        <v>0</v>
      </c>
      <c r="T458" s="10"/>
      <c r="U458" s="10"/>
      <c r="V458" s="4" t="s">
        <v>661</v>
      </c>
      <c r="W458" s="4" t="s">
        <v>800</v>
      </c>
      <c r="X458" s="8">
        <v>45099</v>
      </c>
      <c r="Y458" s="4"/>
      <c r="Z458" s="4"/>
      <c r="AA458" s="8">
        <v>45113</v>
      </c>
      <c r="AB458" s="8">
        <v>45113</v>
      </c>
      <c r="AC458" s="4"/>
      <c r="AD458" s="4"/>
    </row>
    <row r="459" spans="1:30" hidden="1">
      <c r="A459" s="4">
        <v>337</v>
      </c>
      <c r="B459" s="8">
        <v>45092</v>
      </c>
      <c r="C459" s="4"/>
      <c r="D459" s="4" t="s">
        <v>42</v>
      </c>
      <c r="E459" s="8">
        <v>45114</v>
      </c>
      <c r="F459" s="4" t="s">
        <v>43</v>
      </c>
      <c r="G459" s="40" t="s">
        <v>728</v>
      </c>
      <c r="H459" s="4" t="s">
        <v>52</v>
      </c>
      <c r="I459" s="4" t="s">
        <v>87</v>
      </c>
      <c r="J459" s="10">
        <v>0.638104</v>
      </c>
      <c r="K459" s="10">
        <v>0.63800000000000001</v>
      </c>
      <c r="L459" s="10">
        <f t="shared" si="38"/>
        <v>0</v>
      </c>
      <c r="M459" s="10">
        <f t="shared" si="39"/>
        <v>0</v>
      </c>
      <c r="N459" s="10"/>
      <c r="O459" s="10"/>
      <c r="P459" s="10">
        <v>0</v>
      </c>
      <c r="Q459" s="10"/>
      <c r="R459" s="10"/>
      <c r="S459" s="10"/>
      <c r="T459" s="10"/>
      <c r="U459" s="10"/>
      <c r="V459" s="4" t="s">
        <v>661</v>
      </c>
      <c r="W459" s="4"/>
      <c r="X459" s="8">
        <v>45099</v>
      </c>
      <c r="Y459" s="4"/>
      <c r="Z459" s="4"/>
      <c r="AA459" s="8">
        <v>45107</v>
      </c>
      <c r="AB459" s="8">
        <v>45107</v>
      </c>
      <c r="AC459" s="4"/>
      <c r="AD459" s="4"/>
    </row>
    <row r="460" spans="1:30" hidden="1">
      <c r="A460" s="4">
        <v>336</v>
      </c>
      <c r="B460" s="8">
        <v>45092</v>
      </c>
      <c r="C460" s="4"/>
      <c r="D460" s="4" t="s">
        <v>42</v>
      </c>
      <c r="E460" s="8">
        <v>45114</v>
      </c>
      <c r="F460" s="4" t="s">
        <v>43</v>
      </c>
      <c r="G460" s="16" t="s">
        <v>44</v>
      </c>
      <c r="H460" s="4" t="s">
        <v>45</v>
      </c>
      <c r="I460" s="4" t="s">
        <v>54</v>
      </c>
      <c r="J460" s="10">
        <v>4.0719199999999995</v>
      </c>
      <c r="K460" s="10">
        <f>3.768+0.382</f>
        <v>4.1499999999999995</v>
      </c>
      <c r="L460" s="10">
        <f t="shared" si="38"/>
        <v>0</v>
      </c>
      <c r="M460" s="10">
        <f t="shared" ref="M460:M479" si="40">SUM(N460:T460)</f>
        <v>0</v>
      </c>
      <c r="N460" s="10"/>
      <c r="O460" s="10"/>
      <c r="P460" s="10">
        <v>0</v>
      </c>
      <c r="Q460" s="10"/>
      <c r="R460" s="10"/>
      <c r="S460" s="10"/>
      <c r="T460" s="10"/>
      <c r="U460" s="10"/>
      <c r="V460" s="4" t="s">
        <v>22</v>
      </c>
      <c r="W460" s="4"/>
      <c r="X460" s="8">
        <v>45103</v>
      </c>
      <c r="Y460" s="4"/>
      <c r="Z460" s="4"/>
      <c r="AA460" s="8">
        <v>45106</v>
      </c>
      <c r="AB460" s="8">
        <v>45108</v>
      </c>
      <c r="AC460" s="4"/>
      <c r="AD460" s="4"/>
    </row>
    <row r="461" spans="1:30" hidden="1">
      <c r="A461" s="4">
        <v>336</v>
      </c>
      <c r="B461" s="8">
        <v>45092</v>
      </c>
      <c r="C461" s="4"/>
      <c r="D461" s="4" t="s">
        <v>42</v>
      </c>
      <c r="E461" s="8">
        <v>45114</v>
      </c>
      <c r="F461" s="4" t="s">
        <v>43</v>
      </c>
      <c r="G461" s="16" t="s">
        <v>44</v>
      </c>
      <c r="H461" s="4" t="s">
        <v>45</v>
      </c>
      <c r="I461" s="4" t="s">
        <v>56</v>
      </c>
      <c r="J461" s="10">
        <v>6.0198199999999993</v>
      </c>
      <c r="K461" s="10">
        <f>2.311+3.958</f>
        <v>6.2690000000000001</v>
      </c>
      <c r="L461" s="10">
        <f t="shared" si="38"/>
        <v>0</v>
      </c>
      <c r="M461" s="10">
        <f t="shared" si="40"/>
        <v>0</v>
      </c>
      <c r="N461" s="10"/>
      <c r="O461" s="10"/>
      <c r="P461" s="10">
        <v>0</v>
      </c>
      <c r="Q461" s="10"/>
      <c r="R461" s="10"/>
      <c r="S461" s="10"/>
      <c r="T461" s="10"/>
      <c r="U461" s="10"/>
      <c r="V461" s="4" t="s">
        <v>22</v>
      </c>
      <c r="W461" s="4"/>
      <c r="X461" s="8">
        <v>45103</v>
      </c>
      <c r="Y461" s="4"/>
      <c r="Z461" s="4"/>
      <c r="AA461" s="8">
        <v>45107</v>
      </c>
      <c r="AB461" s="8">
        <v>45109</v>
      </c>
      <c r="AC461" s="4"/>
      <c r="AD461" s="4"/>
    </row>
    <row r="462" spans="1:30" hidden="1">
      <c r="A462" s="4">
        <v>336</v>
      </c>
      <c r="B462" s="8">
        <v>45092</v>
      </c>
      <c r="C462" s="4"/>
      <c r="D462" s="4" t="s">
        <v>42</v>
      </c>
      <c r="E462" s="8">
        <v>45114</v>
      </c>
      <c r="F462" s="4" t="s">
        <v>43</v>
      </c>
      <c r="G462" s="16" t="s">
        <v>44</v>
      </c>
      <c r="H462" s="4" t="s">
        <v>45</v>
      </c>
      <c r="I462" s="4" t="s">
        <v>48</v>
      </c>
      <c r="J462" s="10">
        <v>7.8516899999999987</v>
      </c>
      <c r="K462" s="10">
        <f>2.801+1.535+2.923+0.711</f>
        <v>7.9700000000000006</v>
      </c>
      <c r="L462" s="10">
        <f t="shared" si="38"/>
        <v>0</v>
      </c>
      <c r="M462" s="10">
        <f t="shared" si="40"/>
        <v>0</v>
      </c>
      <c r="N462" s="10"/>
      <c r="O462" s="10"/>
      <c r="P462" s="10">
        <v>0</v>
      </c>
      <c r="Q462" s="10"/>
      <c r="R462" s="10"/>
      <c r="S462" s="10"/>
      <c r="T462" s="10"/>
      <c r="U462" s="10"/>
      <c r="V462" s="4" t="s">
        <v>22</v>
      </c>
      <c r="W462" s="4"/>
      <c r="X462" s="8">
        <v>45102</v>
      </c>
      <c r="Y462" s="4"/>
      <c r="Z462" s="4"/>
      <c r="AA462" s="8">
        <v>45107</v>
      </c>
      <c r="AB462" s="8">
        <v>45108</v>
      </c>
      <c r="AC462" s="4"/>
      <c r="AD462" s="4"/>
    </row>
    <row r="463" spans="1:30" hidden="1">
      <c r="A463" s="4">
        <v>336</v>
      </c>
      <c r="B463" s="8">
        <v>45092</v>
      </c>
      <c r="C463" s="4"/>
      <c r="D463" s="4" t="s">
        <v>42</v>
      </c>
      <c r="E463" s="8">
        <v>45114</v>
      </c>
      <c r="F463" s="4" t="s">
        <v>43</v>
      </c>
      <c r="G463" s="16" t="s">
        <v>44</v>
      </c>
      <c r="H463" s="4" t="s">
        <v>45</v>
      </c>
      <c r="I463" s="4" t="s">
        <v>403</v>
      </c>
      <c r="J463" s="10">
        <v>2.9083199999999998</v>
      </c>
      <c r="K463" s="10">
        <f>2.122+0.783</f>
        <v>2.9049999999999998</v>
      </c>
      <c r="L463" s="10">
        <f t="shared" si="38"/>
        <v>0</v>
      </c>
      <c r="M463" s="10">
        <f t="shared" si="40"/>
        <v>0</v>
      </c>
      <c r="N463" s="10"/>
      <c r="O463" s="10"/>
      <c r="P463" s="10">
        <v>0</v>
      </c>
      <c r="Q463" s="10"/>
      <c r="R463" s="10"/>
      <c r="S463" s="10"/>
      <c r="T463" s="10"/>
      <c r="U463" s="10"/>
      <c r="V463" s="4" t="s">
        <v>22</v>
      </c>
      <c r="W463" s="4"/>
      <c r="X463" s="8">
        <v>45101</v>
      </c>
      <c r="Y463" s="4"/>
      <c r="Z463" s="4"/>
      <c r="AA463" s="8">
        <v>45107</v>
      </c>
      <c r="AB463" s="8">
        <v>45107</v>
      </c>
      <c r="AC463" s="4"/>
      <c r="AD463" s="4"/>
    </row>
    <row r="464" spans="1:30" hidden="1">
      <c r="A464" s="4">
        <v>336</v>
      </c>
      <c r="B464" s="8">
        <v>45092</v>
      </c>
      <c r="C464" s="4"/>
      <c r="D464" s="4" t="s">
        <v>42</v>
      </c>
      <c r="E464" s="8">
        <v>45114</v>
      </c>
      <c r="F464" s="4" t="s">
        <v>43</v>
      </c>
      <c r="G464" s="16" t="s">
        <v>44</v>
      </c>
      <c r="H464" s="4" t="s">
        <v>45</v>
      </c>
      <c r="I464" s="4" t="s">
        <v>46</v>
      </c>
      <c r="J464" s="10">
        <v>10.53642</v>
      </c>
      <c r="K464" s="10">
        <f>2.673+6.513+1.829</f>
        <v>11.015000000000001</v>
      </c>
      <c r="L464" s="10">
        <f t="shared" si="38"/>
        <v>0</v>
      </c>
      <c r="M464" s="10">
        <f t="shared" si="40"/>
        <v>0</v>
      </c>
      <c r="N464" s="10"/>
      <c r="O464" s="10"/>
      <c r="P464" s="10">
        <v>0</v>
      </c>
      <c r="Q464" s="10"/>
      <c r="R464" s="10"/>
      <c r="S464" s="10"/>
      <c r="T464" s="10"/>
      <c r="U464" s="10"/>
      <c r="V464" s="4" t="s">
        <v>22</v>
      </c>
      <c r="W464" s="4"/>
      <c r="X464" s="8">
        <v>45101</v>
      </c>
      <c r="Y464" s="4"/>
      <c r="Z464" s="4"/>
      <c r="AA464" s="8">
        <v>45103</v>
      </c>
      <c r="AB464" s="8">
        <v>45107</v>
      </c>
      <c r="AC464" s="4"/>
      <c r="AD464" s="4"/>
    </row>
    <row r="465" spans="1:30" hidden="1">
      <c r="A465" s="4">
        <v>336</v>
      </c>
      <c r="B465" s="8">
        <v>45092</v>
      </c>
      <c r="C465" s="4"/>
      <c r="D465" s="4" t="s">
        <v>42</v>
      </c>
      <c r="E465" s="8">
        <v>45114</v>
      </c>
      <c r="F465" s="4" t="s">
        <v>43</v>
      </c>
      <c r="G465" s="16" t="s">
        <v>44</v>
      </c>
      <c r="H465" s="4" t="s">
        <v>45</v>
      </c>
      <c r="I465" s="4" t="s">
        <v>49</v>
      </c>
      <c r="J465" s="10">
        <v>4.4535400000000003</v>
      </c>
      <c r="K465" s="10">
        <f>2.292+2.193</f>
        <v>4.4849999999999994</v>
      </c>
      <c r="L465" s="10">
        <f t="shared" si="38"/>
        <v>0</v>
      </c>
      <c r="M465" s="10">
        <f t="shared" si="40"/>
        <v>0</v>
      </c>
      <c r="N465" s="10"/>
      <c r="O465" s="10"/>
      <c r="P465" s="10">
        <v>0</v>
      </c>
      <c r="Q465" s="10"/>
      <c r="R465" s="10"/>
      <c r="S465" s="10"/>
      <c r="T465" s="10"/>
      <c r="U465" s="10"/>
      <c r="V465" s="4" t="s">
        <v>22</v>
      </c>
      <c r="W465" s="4"/>
      <c r="X465" s="8">
        <v>45106</v>
      </c>
      <c r="Y465" s="4"/>
      <c r="Z465" s="4"/>
      <c r="AA465" s="8">
        <v>45109</v>
      </c>
      <c r="AB465" s="8">
        <v>45113</v>
      </c>
      <c r="AC465" s="4"/>
      <c r="AD465" s="4"/>
    </row>
    <row r="466" spans="1:30" hidden="1">
      <c r="A466" s="4">
        <v>336</v>
      </c>
      <c r="B466" s="8">
        <v>45092</v>
      </c>
      <c r="C466" s="4"/>
      <c r="D466" s="4" t="s">
        <v>42</v>
      </c>
      <c r="E466" s="8">
        <v>45114</v>
      </c>
      <c r="F466" s="4" t="s">
        <v>43</v>
      </c>
      <c r="G466" s="16" t="s">
        <v>44</v>
      </c>
      <c r="H466" s="4" t="s">
        <v>45</v>
      </c>
      <c r="I466" s="4" t="s">
        <v>50</v>
      </c>
      <c r="J466" s="10">
        <v>0.32764199999999999</v>
      </c>
      <c r="K466" s="10">
        <v>0.32764199999999999</v>
      </c>
      <c r="L466" s="10">
        <f t="shared" si="38"/>
        <v>0</v>
      </c>
      <c r="M466" s="10">
        <f t="shared" si="40"/>
        <v>0</v>
      </c>
      <c r="N466" s="10"/>
      <c r="O466" s="10">
        <v>0</v>
      </c>
      <c r="P466" s="10"/>
      <c r="Q466" s="10"/>
      <c r="R466" s="10"/>
      <c r="S466" s="10"/>
      <c r="T466" s="10"/>
      <c r="U466" s="10"/>
      <c r="V466" s="4" t="s">
        <v>22</v>
      </c>
      <c r="W466" s="4" t="s">
        <v>770</v>
      </c>
      <c r="X466" s="8">
        <v>45106</v>
      </c>
      <c r="Y466" s="4"/>
      <c r="Z466" s="4"/>
      <c r="AA466" s="8">
        <v>45109</v>
      </c>
      <c r="AB466" s="8"/>
      <c r="AC466" s="4"/>
      <c r="AD466" s="4"/>
    </row>
    <row r="467" spans="1:30" hidden="1">
      <c r="A467" s="4">
        <v>336</v>
      </c>
      <c r="B467" s="8">
        <v>45092</v>
      </c>
      <c r="C467" s="4"/>
      <c r="D467" s="4" t="s">
        <v>42</v>
      </c>
      <c r="E467" s="8">
        <v>45114</v>
      </c>
      <c r="F467" s="4" t="s">
        <v>43</v>
      </c>
      <c r="G467" s="16" t="s">
        <v>44</v>
      </c>
      <c r="H467" s="4" t="s">
        <v>45</v>
      </c>
      <c r="I467" s="4" t="s">
        <v>50</v>
      </c>
      <c r="J467" s="10">
        <v>0.45551999999999998</v>
      </c>
      <c r="K467" s="10">
        <v>0.45551999999999998</v>
      </c>
      <c r="L467" s="10">
        <f t="shared" si="38"/>
        <v>0</v>
      </c>
      <c r="M467" s="10">
        <f t="shared" si="40"/>
        <v>0</v>
      </c>
      <c r="N467" s="10"/>
      <c r="O467" s="10">
        <v>0</v>
      </c>
      <c r="P467" s="10"/>
      <c r="Q467" s="10"/>
      <c r="R467" s="10"/>
      <c r="S467" s="10"/>
      <c r="T467" s="10"/>
      <c r="U467" s="10"/>
      <c r="V467" s="4" t="s">
        <v>22</v>
      </c>
      <c r="W467" s="4" t="s">
        <v>771</v>
      </c>
      <c r="X467" s="8">
        <v>45106</v>
      </c>
      <c r="Y467" s="4"/>
      <c r="Z467" s="4"/>
      <c r="AA467" s="8">
        <v>45109</v>
      </c>
      <c r="AB467" s="8"/>
      <c r="AC467" s="4"/>
      <c r="AD467" s="4"/>
    </row>
    <row r="468" spans="1:30" hidden="1">
      <c r="A468" s="4">
        <v>336</v>
      </c>
      <c r="B468" s="8">
        <v>45092</v>
      </c>
      <c r="C468" s="4"/>
      <c r="D468" s="4" t="s">
        <v>42</v>
      </c>
      <c r="E468" s="8">
        <v>45114</v>
      </c>
      <c r="F468" s="4" t="s">
        <v>43</v>
      </c>
      <c r="G468" s="16" t="s">
        <v>44</v>
      </c>
      <c r="H468" s="4" t="s">
        <v>45</v>
      </c>
      <c r="I468" s="4" t="s">
        <v>50</v>
      </c>
      <c r="J468" s="10">
        <v>3.9807600000000001</v>
      </c>
      <c r="K468" s="10">
        <f>3.98076+0.332</f>
        <v>4.3127599999999999</v>
      </c>
      <c r="L468" s="10">
        <f t="shared" si="38"/>
        <v>0</v>
      </c>
      <c r="M468" s="10">
        <f t="shared" si="40"/>
        <v>0</v>
      </c>
      <c r="N468" s="10"/>
      <c r="O468" s="10">
        <v>0</v>
      </c>
      <c r="P468" s="10"/>
      <c r="Q468" s="10"/>
      <c r="R468" s="10"/>
      <c r="S468" s="10"/>
      <c r="T468" s="10"/>
      <c r="U468" s="10"/>
      <c r="V468" s="4" t="s">
        <v>22</v>
      </c>
      <c r="W468" s="4"/>
      <c r="X468" s="8">
        <v>45106</v>
      </c>
      <c r="Y468" s="4"/>
      <c r="Z468" s="4"/>
      <c r="AA468" s="8">
        <v>45109</v>
      </c>
      <c r="AB468" s="8"/>
      <c r="AC468" s="4"/>
      <c r="AD468" s="4"/>
    </row>
    <row r="469" spans="1:30" hidden="1">
      <c r="A469" s="4">
        <v>336</v>
      </c>
      <c r="B469" s="8">
        <v>45092</v>
      </c>
      <c r="C469" s="4"/>
      <c r="D469" s="4" t="s">
        <v>42</v>
      </c>
      <c r="E469" s="8">
        <v>45114</v>
      </c>
      <c r="F469" s="4" t="s">
        <v>43</v>
      </c>
      <c r="G469" s="16" t="s">
        <v>44</v>
      </c>
      <c r="H469" s="4" t="s">
        <v>45</v>
      </c>
      <c r="I469" s="4" t="s">
        <v>588</v>
      </c>
      <c r="J469" s="10">
        <v>0.34649999999999997</v>
      </c>
      <c r="K469" s="10">
        <v>0.378</v>
      </c>
      <c r="L469" s="10">
        <f t="shared" si="38"/>
        <v>0</v>
      </c>
      <c r="M469" s="10">
        <f t="shared" si="40"/>
        <v>0</v>
      </c>
      <c r="N469" s="10"/>
      <c r="O469" s="10"/>
      <c r="P469" s="10">
        <v>0</v>
      </c>
      <c r="Q469" s="10"/>
      <c r="R469" s="10"/>
      <c r="S469" s="10"/>
      <c r="T469" s="10"/>
      <c r="U469" s="10"/>
      <c r="V469" s="4" t="s">
        <v>22</v>
      </c>
      <c r="W469" s="4"/>
      <c r="X469" s="8">
        <v>45106</v>
      </c>
      <c r="Y469" s="4"/>
      <c r="Z469" s="4"/>
      <c r="AA469" s="8"/>
      <c r="AB469" s="8">
        <v>45115</v>
      </c>
      <c r="AC469" s="4"/>
      <c r="AD469" s="4"/>
    </row>
    <row r="470" spans="1:30" hidden="1">
      <c r="A470" s="4">
        <v>336</v>
      </c>
      <c r="B470" s="8">
        <v>45092</v>
      </c>
      <c r="C470" s="4"/>
      <c r="D470" s="4" t="s">
        <v>42</v>
      </c>
      <c r="E470" s="8">
        <v>45114</v>
      </c>
      <c r="F470" s="4" t="s">
        <v>43</v>
      </c>
      <c r="G470" s="16" t="s">
        <v>44</v>
      </c>
      <c r="H470" s="4" t="s">
        <v>45</v>
      </c>
      <c r="I470" s="4" t="s">
        <v>407</v>
      </c>
      <c r="J470" s="10">
        <v>2.0566800000000001</v>
      </c>
      <c r="K470" s="10">
        <f>1.834+0.233</f>
        <v>2.0670000000000002</v>
      </c>
      <c r="L470" s="10">
        <f t="shared" si="38"/>
        <v>0</v>
      </c>
      <c r="M470" s="10">
        <f t="shared" si="40"/>
        <v>0</v>
      </c>
      <c r="N470" s="10"/>
      <c r="O470" s="10"/>
      <c r="P470" s="10">
        <v>0</v>
      </c>
      <c r="Q470" s="10"/>
      <c r="R470" s="10"/>
      <c r="S470" s="10"/>
      <c r="T470" s="10"/>
      <c r="U470" s="10"/>
      <c r="V470" s="4" t="s">
        <v>22</v>
      </c>
      <c r="W470" s="4"/>
      <c r="X470" s="8">
        <v>45107</v>
      </c>
      <c r="Y470" s="4"/>
      <c r="Z470" s="4"/>
      <c r="AA470" s="8">
        <v>45111</v>
      </c>
      <c r="AB470" s="8">
        <v>45115</v>
      </c>
      <c r="AC470" s="4"/>
      <c r="AD470" s="4"/>
    </row>
    <row r="471" spans="1:30" hidden="1">
      <c r="A471" s="4">
        <v>336</v>
      </c>
      <c r="B471" s="8">
        <v>45092</v>
      </c>
      <c r="C471" s="4"/>
      <c r="D471" s="4" t="s">
        <v>42</v>
      </c>
      <c r="E471" s="8">
        <v>45114</v>
      </c>
      <c r="F471" s="4" t="s">
        <v>43</v>
      </c>
      <c r="G471" s="16" t="s">
        <v>44</v>
      </c>
      <c r="H471" s="4" t="s">
        <v>45</v>
      </c>
      <c r="I471" s="4" t="s">
        <v>409</v>
      </c>
      <c r="J471" s="10">
        <v>2.3875999999999999</v>
      </c>
      <c r="K471" s="10">
        <v>2.4860000000000002</v>
      </c>
      <c r="L471" s="10">
        <f t="shared" si="38"/>
        <v>0</v>
      </c>
      <c r="M471" s="10">
        <f t="shared" si="40"/>
        <v>0</v>
      </c>
      <c r="N471" s="10"/>
      <c r="O471" s="10"/>
      <c r="P471" s="10"/>
      <c r="Q471" s="10"/>
      <c r="R471" s="10"/>
      <c r="S471" s="10">
        <v>0</v>
      </c>
      <c r="T471" s="10"/>
      <c r="U471" s="10"/>
      <c r="V471" s="4" t="s">
        <v>22</v>
      </c>
      <c r="W471" s="4" t="s">
        <v>521</v>
      </c>
      <c r="X471" s="8">
        <v>45107</v>
      </c>
      <c r="Y471" s="4"/>
      <c r="Z471" s="4"/>
      <c r="AA471" s="8"/>
      <c r="AB471" s="8">
        <v>45115</v>
      </c>
      <c r="AC471" s="4"/>
      <c r="AD471" s="4"/>
    </row>
    <row r="472" spans="1:30" hidden="1">
      <c r="A472" s="4">
        <v>336</v>
      </c>
      <c r="B472" s="8">
        <v>45092</v>
      </c>
      <c r="C472" s="4"/>
      <c r="D472" s="4" t="s">
        <v>42</v>
      </c>
      <c r="E472" s="8">
        <v>45114</v>
      </c>
      <c r="F472" s="4" t="s">
        <v>43</v>
      </c>
      <c r="G472" s="16" t="s">
        <v>44</v>
      </c>
      <c r="H472" s="4" t="s">
        <v>45</v>
      </c>
      <c r="I472" s="4" t="s">
        <v>517</v>
      </c>
      <c r="J472" s="10">
        <v>3.9230099999999997</v>
      </c>
      <c r="K472" s="10">
        <v>3.923</v>
      </c>
      <c r="L472" s="10">
        <f t="shared" si="38"/>
        <v>0</v>
      </c>
      <c r="M472" s="10">
        <f t="shared" si="40"/>
        <v>0</v>
      </c>
      <c r="N472" s="10"/>
      <c r="O472" s="10"/>
      <c r="P472" s="10">
        <v>0</v>
      </c>
      <c r="Q472" s="10"/>
      <c r="R472" s="10"/>
      <c r="S472" s="10"/>
      <c r="T472" s="10"/>
      <c r="U472" s="10"/>
      <c r="V472" s="4" t="s">
        <v>22</v>
      </c>
      <c r="W472" s="4"/>
      <c r="X472" s="8"/>
      <c r="Y472" s="4"/>
      <c r="Z472" s="4"/>
      <c r="AA472" s="8">
        <v>45102</v>
      </c>
      <c r="AB472" s="8">
        <v>45102</v>
      </c>
      <c r="AC472" s="4"/>
      <c r="AD472" s="4"/>
    </row>
    <row r="473" spans="1:30" hidden="1">
      <c r="A473" s="4">
        <v>336</v>
      </c>
      <c r="B473" s="8">
        <v>45092</v>
      </c>
      <c r="C473" s="4"/>
      <c r="D473" s="4" t="s">
        <v>42</v>
      </c>
      <c r="E473" s="8">
        <v>45114</v>
      </c>
      <c r="F473" s="4" t="s">
        <v>43</v>
      </c>
      <c r="G473" s="16" t="s">
        <v>44</v>
      </c>
      <c r="H473" s="4" t="s">
        <v>45</v>
      </c>
      <c r="I473" s="4" t="s">
        <v>53</v>
      </c>
      <c r="J473" s="10">
        <v>0.94340000000000002</v>
      </c>
      <c r="K473" s="10">
        <f>0.785+0.204</f>
        <v>0.98899999999999999</v>
      </c>
      <c r="L473" s="10">
        <f t="shared" si="38"/>
        <v>0</v>
      </c>
      <c r="M473" s="10">
        <f t="shared" si="40"/>
        <v>0</v>
      </c>
      <c r="N473" s="10"/>
      <c r="O473" s="10"/>
      <c r="P473" s="10">
        <v>0</v>
      </c>
      <c r="Q473" s="10"/>
      <c r="R473" s="10"/>
      <c r="S473" s="10"/>
      <c r="T473" s="10"/>
      <c r="U473" s="10"/>
      <c r="V473" s="4" t="s">
        <v>22</v>
      </c>
      <c r="W473" s="4"/>
      <c r="X473" s="8">
        <v>45097</v>
      </c>
      <c r="Y473" s="4"/>
      <c r="Z473" s="4"/>
      <c r="AA473" s="8">
        <v>45102</v>
      </c>
      <c r="AB473" s="8">
        <v>45103</v>
      </c>
      <c r="AC473" s="4"/>
      <c r="AD473" s="4"/>
    </row>
    <row r="474" spans="1:30" hidden="1">
      <c r="A474" s="4">
        <v>336</v>
      </c>
      <c r="B474" s="8">
        <v>45092</v>
      </c>
      <c r="C474" s="4"/>
      <c r="D474" s="4" t="s">
        <v>42</v>
      </c>
      <c r="E474" s="8">
        <v>45114</v>
      </c>
      <c r="F474" s="4" t="s">
        <v>43</v>
      </c>
      <c r="G474" s="16" t="s">
        <v>44</v>
      </c>
      <c r="H474" s="4" t="s">
        <v>45</v>
      </c>
      <c r="I474" s="4" t="s">
        <v>435</v>
      </c>
      <c r="J474" s="10">
        <v>1.3452000000000002</v>
      </c>
      <c r="K474" s="10">
        <v>1.593</v>
      </c>
      <c r="L474" s="10">
        <f t="shared" si="38"/>
        <v>0</v>
      </c>
      <c r="M474" s="10">
        <f t="shared" si="40"/>
        <v>0</v>
      </c>
      <c r="N474" s="10"/>
      <c r="O474" s="10"/>
      <c r="P474" s="10">
        <v>0</v>
      </c>
      <c r="Q474" s="10"/>
      <c r="R474" s="10"/>
      <c r="S474" s="10"/>
      <c r="T474" s="10"/>
      <c r="U474" s="10"/>
      <c r="V474" s="4" t="s">
        <v>22</v>
      </c>
      <c r="W474" s="4"/>
      <c r="X474" s="8">
        <v>45095</v>
      </c>
      <c r="Y474" s="4"/>
      <c r="Z474" s="4"/>
      <c r="AA474" s="8">
        <v>45102</v>
      </c>
      <c r="AB474" s="8">
        <v>45102</v>
      </c>
      <c r="AC474" s="4"/>
      <c r="AD474" s="4"/>
    </row>
    <row r="475" spans="1:30" hidden="1">
      <c r="A475" s="4">
        <v>336</v>
      </c>
      <c r="B475" s="8">
        <v>45092</v>
      </c>
      <c r="C475" s="4"/>
      <c r="D475" s="4" t="s">
        <v>42</v>
      </c>
      <c r="E475" s="8">
        <v>45114</v>
      </c>
      <c r="F475" s="4" t="s">
        <v>43</v>
      </c>
      <c r="G475" s="16" t="s">
        <v>44</v>
      </c>
      <c r="H475" s="4" t="s">
        <v>45</v>
      </c>
      <c r="I475" s="4" t="s">
        <v>432</v>
      </c>
      <c r="J475" s="10">
        <v>0.44880000000000003</v>
      </c>
      <c r="K475" s="10">
        <v>0.45300000000000001</v>
      </c>
      <c r="L475" s="10">
        <f t="shared" si="38"/>
        <v>0</v>
      </c>
      <c r="M475" s="10">
        <f t="shared" si="40"/>
        <v>0</v>
      </c>
      <c r="N475" s="10"/>
      <c r="O475" s="10"/>
      <c r="P475" s="10">
        <v>0</v>
      </c>
      <c r="Q475" s="10"/>
      <c r="R475" s="10"/>
      <c r="S475" s="10"/>
      <c r="T475" s="10"/>
      <c r="U475" s="10"/>
      <c r="V475" s="4" t="s">
        <v>22</v>
      </c>
      <c r="W475" s="4"/>
      <c r="X475" s="8">
        <v>45095</v>
      </c>
      <c r="Y475" s="4"/>
      <c r="Z475" s="4"/>
      <c r="AA475" s="8">
        <v>45103</v>
      </c>
      <c r="AB475" s="8">
        <v>45103</v>
      </c>
      <c r="AC475" s="4"/>
      <c r="AD475" s="4"/>
    </row>
    <row r="476" spans="1:30" hidden="1">
      <c r="A476" s="4">
        <v>336</v>
      </c>
      <c r="B476" s="8">
        <v>45092</v>
      </c>
      <c r="C476" s="4"/>
      <c r="D476" s="4" t="s">
        <v>42</v>
      </c>
      <c r="E476" s="8">
        <v>45114</v>
      </c>
      <c r="F476" s="4" t="s">
        <v>43</v>
      </c>
      <c r="G476" s="16" t="s">
        <v>44</v>
      </c>
      <c r="H476" s="4" t="s">
        <v>45</v>
      </c>
      <c r="I476" s="4" t="s">
        <v>474</v>
      </c>
      <c r="J476" s="10">
        <v>1.25868</v>
      </c>
      <c r="K476" s="10">
        <v>1.2589999999999999</v>
      </c>
      <c r="L476" s="10">
        <f t="shared" si="38"/>
        <v>0</v>
      </c>
      <c r="M476" s="10">
        <f t="shared" si="40"/>
        <v>0</v>
      </c>
      <c r="N476" s="10"/>
      <c r="O476" s="10"/>
      <c r="P476" s="10">
        <v>0</v>
      </c>
      <c r="Q476" s="10"/>
      <c r="R476" s="10"/>
      <c r="S476" s="10"/>
      <c r="T476" s="10"/>
      <c r="U476" s="10"/>
      <c r="V476" s="4" t="s">
        <v>22</v>
      </c>
      <c r="W476" s="4"/>
      <c r="X476" s="8">
        <v>45108</v>
      </c>
      <c r="Y476" s="4"/>
      <c r="Z476" s="4"/>
      <c r="AA476" s="8">
        <v>45113</v>
      </c>
      <c r="AB476" s="8">
        <v>45113</v>
      </c>
      <c r="AC476" s="4"/>
      <c r="AD476" s="4"/>
    </row>
    <row r="477" spans="1:30" hidden="1">
      <c r="A477" s="4">
        <v>336</v>
      </c>
      <c r="B477" s="8">
        <v>45092</v>
      </c>
      <c r="C477" s="4"/>
      <c r="D477" s="4" t="s">
        <v>42</v>
      </c>
      <c r="E477" s="8">
        <v>45114</v>
      </c>
      <c r="F477" s="4" t="s">
        <v>43</v>
      </c>
      <c r="G477" s="16" t="s">
        <v>44</v>
      </c>
      <c r="H477" s="4" t="s">
        <v>45</v>
      </c>
      <c r="I477" s="4" t="s">
        <v>434</v>
      </c>
      <c r="J477" s="10">
        <v>1.4016000000000002</v>
      </c>
      <c r="K477" s="10">
        <v>1.413</v>
      </c>
      <c r="L477" s="10">
        <f t="shared" si="38"/>
        <v>0</v>
      </c>
      <c r="M477" s="10">
        <f t="shared" si="40"/>
        <v>0</v>
      </c>
      <c r="N477" s="10"/>
      <c r="O477" s="10"/>
      <c r="P477" s="10">
        <v>0</v>
      </c>
      <c r="Q477" s="10"/>
      <c r="R477" s="10"/>
      <c r="S477" s="10"/>
      <c r="T477" s="10"/>
      <c r="U477" s="10"/>
      <c r="V477" s="4" t="s">
        <v>22</v>
      </c>
      <c r="W477" s="4"/>
      <c r="X477" s="8">
        <v>45108</v>
      </c>
      <c r="Y477" s="4"/>
      <c r="Z477" s="4"/>
      <c r="AA477" s="8">
        <v>45113</v>
      </c>
      <c r="AB477" s="8">
        <v>45113</v>
      </c>
      <c r="AC477" s="4"/>
      <c r="AD477" s="4"/>
    </row>
    <row r="478" spans="1:30" hidden="1">
      <c r="A478" s="4">
        <v>336</v>
      </c>
      <c r="B478" s="8">
        <v>45092</v>
      </c>
      <c r="C478" s="4"/>
      <c r="D478" s="4" t="s">
        <v>42</v>
      </c>
      <c r="E478" s="8">
        <v>45114</v>
      </c>
      <c r="F478" s="4" t="s">
        <v>43</v>
      </c>
      <c r="G478" s="16" t="s">
        <v>44</v>
      </c>
      <c r="H478" s="4" t="s">
        <v>45</v>
      </c>
      <c r="I478" s="4" t="s">
        <v>89</v>
      </c>
      <c r="J478" s="10">
        <v>0.48857600000000001</v>
      </c>
      <c r="K478" s="10">
        <v>0.48857600000000001</v>
      </c>
      <c r="L478" s="10">
        <f t="shared" si="38"/>
        <v>0</v>
      </c>
      <c r="M478" s="10">
        <f t="shared" si="40"/>
        <v>0</v>
      </c>
      <c r="N478" s="10"/>
      <c r="O478" s="10"/>
      <c r="P478" s="10">
        <v>0</v>
      </c>
      <c r="Q478" s="10"/>
      <c r="R478" s="10"/>
      <c r="S478" s="10"/>
      <c r="T478" s="10"/>
      <c r="U478" s="10"/>
      <c r="V478" s="4" t="s">
        <v>22</v>
      </c>
      <c r="W478" s="4" t="s">
        <v>577</v>
      </c>
      <c r="X478" s="8">
        <v>45099</v>
      </c>
      <c r="Y478" s="4"/>
      <c r="Z478" s="4"/>
      <c r="AA478" s="8">
        <v>45105</v>
      </c>
      <c r="AB478" s="8">
        <v>45105</v>
      </c>
      <c r="AC478" s="4"/>
      <c r="AD478" s="4"/>
    </row>
    <row r="479" spans="1:30" hidden="1">
      <c r="A479" s="4">
        <v>336</v>
      </c>
      <c r="B479" s="8">
        <v>45092</v>
      </c>
      <c r="C479" s="4"/>
      <c r="D479" s="4" t="s">
        <v>42</v>
      </c>
      <c r="E479" s="8">
        <v>45114</v>
      </c>
      <c r="F479" s="4" t="s">
        <v>43</v>
      </c>
      <c r="G479" s="16" t="s">
        <v>44</v>
      </c>
      <c r="H479" s="4" t="s">
        <v>45</v>
      </c>
      <c r="I479" s="4" t="s">
        <v>89</v>
      </c>
      <c r="J479" s="10">
        <v>1.0372999999999999</v>
      </c>
      <c r="K479" s="10">
        <v>1.149</v>
      </c>
      <c r="L479" s="10">
        <f t="shared" si="38"/>
        <v>0</v>
      </c>
      <c r="M479" s="10">
        <f t="shared" si="40"/>
        <v>0</v>
      </c>
      <c r="N479" s="10"/>
      <c r="O479" s="10"/>
      <c r="P479" s="10">
        <v>0</v>
      </c>
      <c r="Q479" s="10"/>
      <c r="R479" s="10"/>
      <c r="S479" s="10"/>
      <c r="T479" s="10"/>
      <c r="U479" s="10"/>
      <c r="V479" s="4" t="s">
        <v>22</v>
      </c>
      <c r="W479" s="4"/>
      <c r="X479" s="8">
        <v>45099</v>
      </c>
      <c r="Y479" s="4"/>
      <c r="Z479" s="4"/>
      <c r="AA479" s="8">
        <v>45105</v>
      </c>
      <c r="AB479" s="8">
        <v>45105</v>
      </c>
      <c r="AC479" s="4"/>
      <c r="AD479" s="4"/>
    </row>
    <row r="480" spans="1:30" hidden="1">
      <c r="A480" s="4">
        <v>336</v>
      </c>
      <c r="B480" s="8">
        <v>45092</v>
      </c>
      <c r="C480" s="4"/>
      <c r="D480" s="4" t="s">
        <v>42</v>
      </c>
      <c r="E480" s="8">
        <v>45114</v>
      </c>
      <c r="F480" s="4" t="s">
        <v>43</v>
      </c>
      <c r="G480" s="16" t="s">
        <v>51</v>
      </c>
      <c r="H480" s="4" t="s">
        <v>52</v>
      </c>
      <c r="I480" s="4" t="s">
        <v>54</v>
      </c>
      <c r="J480" s="10">
        <v>0.21224399999999999</v>
      </c>
      <c r="K480" s="10">
        <v>0.21199999999999999</v>
      </c>
      <c r="L480" s="10">
        <f t="shared" si="38"/>
        <v>0</v>
      </c>
      <c r="M480" s="10">
        <f t="shared" ref="M480:M487" si="41">SUM(N480:T480)</f>
        <v>0</v>
      </c>
      <c r="N480" s="10"/>
      <c r="O480" s="10"/>
      <c r="P480" s="10"/>
      <c r="Q480" s="10"/>
      <c r="R480" s="10"/>
      <c r="S480" s="10">
        <v>0</v>
      </c>
      <c r="T480" s="10"/>
      <c r="U480" s="10"/>
      <c r="V480" s="4" t="s">
        <v>22</v>
      </c>
      <c r="W480" s="4" t="s">
        <v>772</v>
      </c>
      <c r="X480" s="8">
        <v>45103</v>
      </c>
      <c r="Y480" s="4"/>
      <c r="Z480" s="4"/>
      <c r="AA480" s="8">
        <v>45107</v>
      </c>
      <c r="AB480" s="8">
        <v>45107</v>
      </c>
      <c r="AC480" s="4"/>
      <c r="AD480" s="4"/>
    </row>
    <row r="481" spans="1:30" hidden="1">
      <c r="A481" s="4">
        <v>336</v>
      </c>
      <c r="B481" s="8">
        <v>45092</v>
      </c>
      <c r="C481" s="4"/>
      <c r="D481" s="4" t="s">
        <v>42</v>
      </c>
      <c r="E481" s="8">
        <v>45114</v>
      </c>
      <c r="F481" s="4" t="s">
        <v>43</v>
      </c>
      <c r="G481" s="16" t="s">
        <v>51</v>
      </c>
      <c r="H481" s="4" t="s">
        <v>52</v>
      </c>
      <c r="I481" s="4" t="s">
        <v>54</v>
      </c>
      <c r="J481" s="10">
        <v>1.8712799999999998</v>
      </c>
      <c r="K481" s="10">
        <v>1.7789999999999999</v>
      </c>
      <c r="L481" s="10">
        <f t="shared" si="38"/>
        <v>0</v>
      </c>
      <c r="M481" s="10">
        <f t="shared" si="41"/>
        <v>0</v>
      </c>
      <c r="N481" s="10"/>
      <c r="O481" s="10"/>
      <c r="P481" s="10">
        <v>0</v>
      </c>
      <c r="Q481" s="10"/>
      <c r="R481" s="10"/>
      <c r="S481" s="10"/>
      <c r="T481" s="10"/>
      <c r="U481" s="10"/>
      <c r="V481" s="4" t="s">
        <v>22</v>
      </c>
      <c r="W481" s="4"/>
      <c r="X481" s="8">
        <v>45103</v>
      </c>
      <c r="Y481" s="4"/>
      <c r="Z481" s="4"/>
      <c r="AA481" s="8">
        <v>45107</v>
      </c>
      <c r="AB481" s="8">
        <v>45107</v>
      </c>
      <c r="AC481" s="4"/>
      <c r="AD481" s="4"/>
    </row>
    <row r="482" spans="1:30" hidden="1">
      <c r="A482" s="4">
        <v>336</v>
      </c>
      <c r="B482" s="8">
        <v>45092</v>
      </c>
      <c r="C482" s="4"/>
      <c r="D482" s="4" t="s">
        <v>42</v>
      </c>
      <c r="E482" s="8">
        <v>45114</v>
      </c>
      <c r="F482" s="4" t="s">
        <v>43</v>
      </c>
      <c r="G482" s="16" t="s">
        <v>51</v>
      </c>
      <c r="H482" s="4" t="s">
        <v>52</v>
      </c>
      <c r="I482" s="4" t="s">
        <v>56</v>
      </c>
      <c r="J482" s="10">
        <v>2.2726800000000003</v>
      </c>
      <c r="K482" s="10">
        <v>2.2789999999999999</v>
      </c>
      <c r="L482" s="10">
        <f t="shared" si="38"/>
        <v>0</v>
      </c>
      <c r="M482" s="10">
        <f t="shared" si="41"/>
        <v>0</v>
      </c>
      <c r="N482" s="10"/>
      <c r="O482" s="10"/>
      <c r="P482" s="10"/>
      <c r="Q482" s="10"/>
      <c r="R482" s="10"/>
      <c r="S482" s="10">
        <v>0</v>
      </c>
      <c r="T482" s="10"/>
      <c r="U482" s="10"/>
      <c r="V482" s="4" t="s">
        <v>22</v>
      </c>
      <c r="W482" s="4"/>
      <c r="X482" s="8">
        <v>45103</v>
      </c>
      <c r="Y482" s="4"/>
      <c r="Z482" s="4"/>
      <c r="AA482" s="8">
        <v>45114</v>
      </c>
      <c r="AB482" s="8">
        <v>45114</v>
      </c>
      <c r="AC482" s="4"/>
      <c r="AD482" s="4"/>
    </row>
    <row r="483" spans="1:30" hidden="1">
      <c r="A483" s="4">
        <v>336</v>
      </c>
      <c r="B483" s="8">
        <v>45092</v>
      </c>
      <c r="C483" s="4"/>
      <c r="D483" s="4" t="s">
        <v>42</v>
      </c>
      <c r="E483" s="8">
        <v>45114</v>
      </c>
      <c r="F483" s="4" t="s">
        <v>43</v>
      </c>
      <c r="G483" s="16" t="s">
        <v>51</v>
      </c>
      <c r="H483" s="4" t="s">
        <v>52</v>
      </c>
      <c r="I483" s="4" t="s">
        <v>48</v>
      </c>
      <c r="J483" s="10">
        <v>2.26512</v>
      </c>
      <c r="K483" s="10">
        <f>1.866+0.429</f>
        <v>2.2949999999999999</v>
      </c>
      <c r="L483" s="10">
        <f t="shared" si="38"/>
        <v>0</v>
      </c>
      <c r="M483" s="10">
        <f t="shared" si="41"/>
        <v>0</v>
      </c>
      <c r="N483" s="10"/>
      <c r="O483" s="10"/>
      <c r="P483" s="10">
        <v>0</v>
      </c>
      <c r="Q483" s="10"/>
      <c r="R483" s="10"/>
      <c r="S483" s="10">
        <v>0</v>
      </c>
      <c r="T483" s="10"/>
      <c r="U483" s="10"/>
      <c r="V483" s="4" t="s">
        <v>22</v>
      </c>
      <c r="W483" s="4" t="s">
        <v>839</v>
      </c>
      <c r="X483" s="8">
        <v>45103</v>
      </c>
      <c r="Y483" s="4"/>
      <c r="Z483" s="4"/>
      <c r="AA483" s="8">
        <v>45117</v>
      </c>
      <c r="AB483" s="8">
        <v>45127</v>
      </c>
      <c r="AC483" s="4"/>
      <c r="AD483" s="4"/>
    </row>
    <row r="484" spans="1:30" hidden="1">
      <c r="A484" s="4">
        <v>336</v>
      </c>
      <c r="B484" s="8">
        <v>45092</v>
      </c>
      <c r="C484" s="4"/>
      <c r="D484" s="4" t="s">
        <v>42</v>
      </c>
      <c r="E484" s="8">
        <v>45114</v>
      </c>
      <c r="F484" s="4" t="s">
        <v>43</v>
      </c>
      <c r="G484" s="16" t="s">
        <v>51</v>
      </c>
      <c r="H484" s="4" t="s">
        <v>52</v>
      </c>
      <c r="I484" s="4" t="s">
        <v>53</v>
      </c>
      <c r="J484" s="10">
        <v>0.435</v>
      </c>
      <c r="K484" s="10">
        <v>0.435</v>
      </c>
      <c r="L484" s="10">
        <f t="shared" si="38"/>
        <v>0</v>
      </c>
      <c r="M484" s="10">
        <f t="shared" si="41"/>
        <v>0</v>
      </c>
      <c r="N484" s="10"/>
      <c r="O484" s="10"/>
      <c r="P484" s="10">
        <v>0</v>
      </c>
      <c r="Q484" s="10"/>
      <c r="R484" s="10"/>
      <c r="S484" s="10"/>
      <c r="T484" s="10"/>
      <c r="U484" s="10"/>
      <c r="V484" s="4" t="s">
        <v>22</v>
      </c>
      <c r="W484" s="4" t="s">
        <v>127</v>
      </c>
      <c r="X484" s="8">
        <v>45097</v>
      </c>
      <c r="Y484" s="4"/>
      <c r="Z484" s="4"/>
      <c r="AA484" s="8">
        <v>45103</v>
      </c>
      <c r="AB484" s="8">
        <v>45103</v>
      </c>
      <c r="AC484" s="4"/>
      <c r="AD484" s="4"/>
    </row>
    <row r="485" spans="1:30" hidden="1">
      <c r="A485" s="4">
        <v>336</v>
      </c>
      <c r="B485" s="8">
        <v>45092</v>
      </c>
      <c r="C485" s="4"/>
      <c r="D485" s="4" t="s">
        <v>42</v>
      </c>
      <c r="E485" s="8">
        <v>45114</v>
      </c>
      <c r="F485" s="4" t="s">
        <v>43</v>
      </c>
      <c r="G485" s="16" t="s">
        <v>51</v>
      </c>
      <c r="H485" s="4" t="s">
        <v>52</v>
      </c>
      <c r="I485" s="4" t="s">
        <v>53</v>
      </c>
      <c r="J485" s="10">
        <v>1.20045</v>
      </c>
      <c r="K485" s="10">
        <v>1.3149999999999999</v>
      </c>
      <c r="L485" s="10">
        <f t="shared" si="38"/>
        <v>0</v>
      </c>
      <c r="M485" s="10">
        <f t="shared" si="41"/>
        <v>0</v>
      </c>
      <c r="N485" s="10"/>
      <c r="O485" s="10"/>
      <c r="P485" s="10">
        <v>0</v>
      </c>
      <c r="Q485" s="10"/>
      <c r="R485" s="10"/>
      <c r="S485" s="10"/>
      <c r="T485" s="10"/>
      <c r="U485" s="10"/>
      <c r="V485" s="4" t="s">
        <v>22</v>
      </c>
      <c r="W485" s="4"/>
      <c r="X485" s="8">
        <v>45097</v>
      </c>
      <c r="Y485" s="4"/>
      <c r="Z485" s="4"/>
      <c r="AA485" s="8">
        <v>45103</v>
      </c>
      <c r="AB485" s="8">
        <v>45103</v>
      </c>
      <c r="AC485" s="4"/>
      <c r="AD485" s="4"/>
    </row>
    <row r="486" spans="1:30" hidden="1">
      <c r="A486" s="4">
        <v>336</v>
      </c>
      <c r="B486" s="8">
        <v>45092</v>
      </c>
      <c r="C486" s="4"/>
      <c r="D486" s="4" t="s">
        <v>42</v>
      </c>
      <c r="E486" s="8">
        <v>45114</v>
      </c>
      <c r="F486" s="4" t="s">
        <v>43</v>
      </c>
      <c r="G486" s="16" t="s">
        <v>51</v>
      </c>
      <c r="H486" s="4" t="s">
        <v>52</v>
      </c>
      <c r="I486" s="4" t="s">
        <v>89</v>
      </c>
      <c r="J486" s="10">
        <v>1.4574</v>
      </c>
      <c r="K486" s="10">
        <v>1.4574</v>
      </c>
      <c r="L486" s="10">
        <f t="shared" si="38"/>
        <v>0</v>
      </c>
      <c r="M486" s="10">
        <f t="shared" si="41"/>
        <v>0</v>
      </c>
      <c r="N486" s="10"/>
      <c r="O486" s="10"/>
      <c r="P486" s="10"/>
      <c r="Q486" s="10"/>
      <c r="R486" s="10"/>
      <c r="S486" s="10">
        <v>0</v>
      </c>
      <c r="T486" s="10"/>
      <c r="U486" s="10"/>
      <c r="V486" s="4" t="s">
        <v>22</v>
      </c>
      <c r="W486" s="4" t="s">
        <v>801</v>
      </c>
      <c r="X486" s="8">
        <v>45099</v>
      </c>
      <c r="Y486" s="4"/>
      <c r="Z486" s="4"/>
      <c r="AA486" s="8">
        <v>45114</v>
      </c>
      <c r="AB486" s="8">
        <v>45114</v>
      </c>
      <c r="AC486" s="4"/>
      <c r="AD486" s="4"/>
    </row>
    <row r="487" spans="1:30" hidden="1">
      <c r="A487" s="4">
        <v>336</v>
      </c>
      <c r="B487" s="8">
        <v>45092</v>
      </c>
      <c r="C487" s="4"/>
      <c r="D487" s="4" t="s">
        <v>42</v>
      </c>
      <c r="E487" s="8">
        <v>45114</v>
      </c>
      <c r="F487" s="4" t="s">
        <v>43</v>
      </c>
      <c r="G487" s="16" t="s">
        <v>51</v>
      </c>
      <c r="H487" s="4" t="s">
        <v>52</v>
      </c>
      <c r="I487" s="4" t="s">
        <v>89</v>
      </c>
      <c r="J487" s="10">
        <v>1.9843999999999999</v>
      </c>
      <c r="K487" s="10">
        <v>2.2050000000000001</v>
      </c>
      <c r="L487" s="10">
        <f t="shared" si="38"/>
        <v>0</v>
      </c>
      <c r="M487" s="10">
        <f t="shared" si="41"/>
        <v>0</v>
      </c>
      <c r="N487" s="10"/>
      <c r="O487" s="10"/>
      <c r="P487" s="10"/>
      <c r="Q487" s="10"/>
      <c r="R487" s="10"/>
      <c r="S487" s="10">
        <v>0</v>
      </c>
      <c r="T487" s="10"/>
      <c r="U487" s="10"/>
      <c r="V487" s="4" t="s">
        <v>22</v>
      </c>
      <c r="W487" s="4" t="s">
        <v>521</v>
      </c>
      <c r="X487" s="8">
        <v>45099</v>
      </c>
      <c r="Y487" s="4"/>
      <c r="Z487" s="4"/>
      <c r="AA487" s="8">
        <v>45114</v>
      </c>
      <c r="AB487" s="8">
        <v>45114</v>
      </c>
      <c r="AC487" s="4"/>
      <c r="AD487" s="4"/>
    </row>
    <row r="488" spans="1:30" hidden="1">
      <c r="A488" s="4">
        <v>338</v>
      </c>
      <c r="B488" s="8">
        <v>45092</v>
      </c>
      <c r="C488" s="4"/>
      <c r="D488" s="4" t="s">
        <v>42</v>
      </c>
      <c r="E488" s="8">
        <v>45100</v>
      </c>
      <c r="F488" s="4" t="s">
        <v>43</v>
      </c>
      <c r="G488" s="40" t="s">
        <v>60</v>
      </c>
      <c r="H488" s="4" t="s">
        <v>45</v>
      </c>
      <c r="I488" s="4" t="s">
        <v>435</v>
      </c>
      <c r="J488" s="10">
        <v>3.1449600000000002</v>
      </c>
      <c r="K488" s="10">
        <f>2.834+0.415</f>
        <v>3.2490000000000001</v>
      </c>
      <c r="L488" s="10">
        <f t="shared" si="38"/>
        <v>0</v>
      </c>
      <c r="M488" s="10">
        <f t="shared" ref="M488:M492" si="42">SUM(N488:T488)</f>
        <v>0</v>
      </c>
      <c r="N488" s="10"/>
      <c r="O488" s="10"/>
      <c r="P488" s="10">
        <v>0</v>
      </c>
      <c r="Q488" s="10"/>
      <c r="R488" s="10"/>
      <c r="S488" s="10"/>
      <c r="T488" s="10"/>
      <c r="U488" s="10"/>
      <c r="V488" s="4" t="s">
        <v>661</v>
      </c>
      <c r="W488" s="4"/>
      <c r="X488" s="8">
        <v>45095</v>
      </c>
      <c r="Y488" s="4"/>
      <c r="Z488" s="4"/>
      <c r="AA488" s="8">
        <v>45098</v>
      </c>
      <c r="AB488" s="8">
        <v>45099</v>
      </c>
      <c r="AC488" s="4"/>
      <c r="AD488" s="4"/>
    </row>
    <row r="489" spans="1:30" hidden="1">
      <c r="A489" s="4">
        <v>338</v>
      </c>
      <c r="B489" s="8">
        <v>45092</v>
      </c>
      <c r="C489" s="4"/>
      <c r="D489" s="4" t="s">
        <v>42</v>
      </c>
      <c r="E489" s="8">
        <v>45100</v>
      </c>
      <c r="F489" s="4" t="s">
        <v>43</v>
      </c>
      <c r="G489" s="40" t="s">
        <v>60</v>
      </c>
      <c r="H489" s="4" t="s">
        <v>45</v>
      </c>
      <c r="I489" s="4" t="s">
        <v>432</v>
      </c>
      <c r="J489" s="10">
        <v>3.9497100000000001</v>
      </c>
      <c r="K489" s="10">
        <v>4.032</v>
      </c>
      <c r="L489" s="10">
        <f t="shared" si="38"/>
        <v>0</v>
      </c>
      <c r="M489" s="10">
        <f t="shared" si="42"/>
        <v>0</v>
      </c>
      <c r="N489" s="10"/>
      <c r="O489" s="10">
        <v>0</v>
      </c>
      <c r="P489" s="10"/>
      <c r="Q489" s="10"/>
      <c r="R489" s="10"/>
      <c r="S489" s="10"/>
      <c r="T489" s="10"/>
      <c r="U489" s="10"/>
      <c r="V489" s="4" t="s">
        <v>661</v>
      </c>
      <c r="W489" s="4"/>
      <c r="X489" s="8">
        <v>45095</v>
      </c>
      <c r="Y489" s="4"/>
      <c r="Z489" s="4"/>
      <c r="AA489" s="8">
        <v>45098</v>
      </c>
      <c r="AB489" s="8">
        <v>45098</v>
      </c>
      <c r="AC489" s="4"/>
      <c r="AD489" s="4"/>
    </row>
    <row r="490" spans="1:30" hidden="1">
      <c r="A490" s="4">
        <v>338</v>
      </c>
      <c r="B490" s="8">
        <v>45092</v>
      </c>
      <c r="C490" s="4"/>
      <c r="D490" s="4" t="s">
        <v>42</v>
      </c>
      <c r="E490" s="8">
        <v>45100</v>
      </c>
      <c r="F490" s="4" t="s">
        <v>43</v>
      </c>
      <c r="G490" s="40" t="s">
        <v>60</v>
      </c>
      <c r="H490" s="4" t="s">
        <v>45</v>
      </c>
      <c r="I490" s="4" t="s">
        <v>89</v>
      </c>
      <c r="J490" s="10">
        <v>10.0098</v>
      </c>
      <c r="K490" s="10">
        <f>6.938+3.162</f>
        <v>10.1</v>
      </c>
      <c r="L490" s="10">
        <f t="shared" si="38"/>
        <v>0</v>
      </c>
      <c r="M490" s="10">
        <f t="shared" si="42"/>
        <v>0</v>
      </c>
      <c r="N490" s="10"/>
      <c r="O490" s="10"/>
      <c r="P490" s="10">
        <v>0</v>
      </c>
      <c r="Q490" s="10"/>
      <c r="R490" s="10"/>
      <c r="S490" s="10"/>
      <c r="T490" s="10"/>
      <c r="U490" s="10"/>
      <c r="V490" s="4" t="s">
        <v>661</v>
      </c>
      <c r="W490" s="4"/>
      <c r="X490" s="8">
        <v>45099</v>
      </c>
      <c r="Y490" s="4"/>
      <c r="Z490" s="4"/>
      <c r="AA490" s="8">
        <v>45100</v>
      </c>
      <c r="AB490" s="8">
        <v>45100</v>
      </c>
      <c r="AC490" s="4"/>
      <c r="AD490" s="4"/>
    </row>
    <row r="491" spans="1:30" hidden="1">
      <c r="A491" s="4">
        <v>338</v>
      </c>
      <c r="B491" s="8">
        <v>45092</v>
      </c>
      <c r="C491" s="4"/>
      <c r="D491" s="4" t="s">
        <v>42</v>
      </c>
      <c r="E491" s="8">
        <v>45100</v>
      </c>
      <c r="F491" s="4" t="s">
        <v>43</v>
      </c>
      <c r="G491" s="40" t="s">
        <v>728</v>
      </c>
      <c r="H491" s="4" t="s">
        <v>52</v>
      </c>
      <c r="I491" s="4" t="s">
        <v>435</v>
      </c>
      <c r="J491" s="10">
        <v>1.3823999999999999</v>
      </c>
      <c r="K491" s="10">
        <v>1.3819999999999999</v>
      </c>
      <c r="L491" s="10">
        <f t="shared" si="38"/>
        <v>0</v>
      </c>
      <c r="M491" s="10">
        <f t="shared" si="42"/>
        <v>0</v>
      </c>
      <c r="N491" s="10"/>
      <c r="O491" s="10">
        <v>0</v>
      </c>
      <c r="P491" s="10"/>
      <c r="Q491" s="10"/>
      <c r="R491" s="10"/>
      <c r="S491" s="10"/>
      <c r="T491" s="10"/>
      <c r="U491" s="10"/>
      <c r="V491" s="4" t="s">
        <v>661</v>
      </c>
      <c r="W491" s="4"/>
      <c r="X491" s="8">
        <v>45096</v>
      </c>
      <c r="Y491" s="4"/>
      <c r="Z491" s="4"/>
      <c r="AA491" s="8">
        <v>45098</v>
      </c>
      <c r="AB491" s="8">
        <v>45098</v>
      </c>
      <c r="AC491" s="4"/>
      <c r="AD491" s="4"/>
    </row>
    <row r="492" spans="1:30" hidden="1">
      <c r="A492" s="4">
        <v>338</v>
      </c>
      <c r="B492" s="8">
        <v>45092</v>
      </c>
      <c r="C492" s="4"/>
      <c r="D492" s="4" t="s">
        <v>42</v>
      </c>
      <c r="E492" s="8">
        <v>45100</v>
      </c>
      <c r="F492" s="4" t="s">
        <v>43</v>
      </c>
      <c r="G492" s="40" t="s">
        <v>728</v>
      </c>
      <c r="H492" s="4" t="s">
        <v>52</v>
      </c>
      <c r="I492" s="4" t="s">
        <v>89</v>
      </c>
      <c r="J492" s="10">
        <v>1.0889599999999999</v>
      </c>
      <c r="K492" s="10">
        <v>1.1000000000000001</v>
      </c>
      <c r="L492" s="10">
        <f t="shared" si="38"/>
        <v>0</v>
      </c>
      <c r="M492" s="10">
        <f t="shared" si="42"/>
        <v>0</v>
      </c>
      <c r="N492" s="10"/>
      <c r="O492" s="10"/>
      <c r="P492" s="10"/>
      <c r="Q492" s="10"/>
      <c r="R492" s="10"/>
      <c r="S492" s="10">
        <v>0</v>
      </c>
      <c r="T492" s="10"/>
      <c r="U492" s="10"/>
      <c r="V492" s="4" t="s">
        <v>661</v>
      </c>
      <c r="W492" s="4" t="s">
        <v>521</v>
      </c>
      <c r="X492" s="8">
        <v>45099</v>
      </c>
      <c r="Y492" s="4"/>
      <c r="Z492" s="4"/>
      <c r="AA492" s="8">
        <v>45113</v>
      </c>
      <c r="AB492" s="8">
        <v>45113</v>
      </c>
      <c r="AC492" s="4"/>
      <c r="AD492" s="4"/>
    </row>
    <row r="493" spans="1:30" hidden="1">
      <c r="A493" s="4">
        <v>416</v>
      </c>
      <c r="B493" s="8">
        <v>45111</v>
      </c>
      <c r="C493" s="4"/>
      <c r="D493" s="4" t="s">
        <v>42</v>
      </c>
      <c r="E493" s="8">
        <v>45114</v>
      </c>
      <c r="F493" s="4" t="s">
        <v>43</v>
      </c>
      <c r="G493" s="15" t="s">
        <v>777</v>
      </c>
      <c r="H493" s="4" t="s">
        <v>45</v>
      </c>
      <c r="I493" s="4" t="s">
        <v>423</v>
      </c>
      <c r="J493" s="10">
        <v>3.5369999999999999</v>
      </c>
      <c r="K493" s="10">
        <v>3.5369999999999999</v>
      </c>
      <c r="L493" s="10">
        <f t="shared" si="38"/>
        <v>0</v>
      </c>
      <c r="M493" s="10">
        <f t="shared" ref="M493" si="43">SUM(N493:T493)</f>
        <v>0</v>
      </c>
      <c r="N493" s="10"/>
      <c r="O493" s="10"/>
      <c r="P493" s="10"/>
      <c r="Q493" s="10"/>
      <c r="R493" s="10"/>
      <c r="S493" s="10"/>
      <c r="T493" s="10"/>
      <c r="U493" s="10"/>
      <c r="V493" s="4" t="s">
        <v>572</v>
      </c>
      <c r="W493" s="4"/>
      <c r="X493" s="8"/>
      <c r="Y493" s="4"/>
      <c r="Z493" s="4"/>
      <c r="AA493" s="8">
        <v>45111</v>
      </c>
      <c r="AB493" s="8">
        <v>45111</v>
      </c>
      <c r="AC493" s="4"/>
      <c r="AD493" s="4"/>
    </row>
    <row r="494" spans="1:30" hidden="1">
      <c r="A494" s="4">
        <v>416</v>
      </c>
      <c r="B494" s="8">
        <v>45111</v>
      </c>
      <c r="C494" s="4"/>
      <c r="D494" s="4" t="s">
        <v>42</v>
      </c>
      <c r="E494" s="8">
        <v>45114</v>
      </c>
      <c r="F494" s="4" t="s">
        <v>43</v>
      </c>
      <c r="G494" s="15" t="s">
        <v>777</v>
      </c>
      <c r="H494" s="4" t="s">
        <v>45</v>
      </c>
      <c r="I494" s="4" t="s">
        <v>50</v>
      </c>
      <c r="J494" s="10">
        <v>1.716</v>
      </c>
      <c r="K494" s="10">
        <v>1.716</v>
      </c>
      <c r="L494" s="10">
        <f t="shared" si="38"/>
        <v>0</v>
      </c>
      <c r="M494" s="10">
        <f t="shared" ref="M494:M516" si="44">SUM(N494:T494)</f>
        <v>0</v>
      </c>
      <c r="N494" s="10"/>
      <c r="O494" s="10"/>
      <c r="P494" s="10"/>
      <c r="Q494" s="10"/>
      <c r="R494" s="10"/>
      <c r="S494" s="10"/>
      <c r="T494" s="10"/>
      <c r="U494" s="10"/>
      <c r="V494" s="4" t="s">
        <v>572</v>
      </c>
      <c r="W494" s="4"/>
      <c r="X494" s="8"/>
      <c r="Y494" s="4"/>
      <c r="Z494" s="4"/>
      <c r="AA494" s="8">
        <v>45111</v>
      </c>
      <c r="AB494" s="8">
        <v>45111</v>
      </c>
      <c r="AC494" s="4"/>
      <c r="AD494" s="4"/>
    </row>
    <row r="495" spans="1:30" hidden="1">
      <c r="A495" s="4">
        <v>416</v>
      </c>
      <c r="B495" s="8">
        <v>45111</v>
      </c>
      <c r="C495" s="4"/>
      <c r="D495" s="4" t="s">
        <v>42</v>
      </c>
      <c r="E495" s="8">
        <v>45114</v>
      </c>
      <c r="F495" s="4" t="s">
        <v>43</v>
      </c>
      <c r="G495" s="15" t="s">
        <v>777</v>
      </c>
      <c r="H495" s="4" t="s">
        <v>45</v>
      </c>
      <c r="I495" s="4" t="s">
        <v>517</v>
      </c>
      <c r="J495" s="10">
        <v>1.054</v>
      </c>
      <c r="K495" s="10">
        <v>1.054</v>
      </c>
      <c r="L495" s="10">
        <f t="shared" si="38"/>
        <v>0</v>
      </c>
      <c r="M495" s="10">
        <f t="shared" si="44"/>
        <v>0</v>
      </c>
      <c r="N495" s="10"/>
      <c r="O495" s="10"/>
      <c r="P495" s="10"/>
      <c r="Q495" s="10"/>
      <c r="R495" s="10"/>
      <c r="S495" s="10"/>
      <c r="T495" s="10"/>
      <c r="U495" s="10"/>
      <c r="V495" s="4" t="s">
        <v>572</v>
      </c>
      <c r="W495" s="4"/>
      <c r="X495" s="8"/>
      <c r="Y495" s="4"/>
      <c r="Z495" s="4"/>
      <c r="AA495" s="8">
        <v>45111</v>
      </c>
      <c r="AB495" s="8">
        <v>45111</v>
      </c>
      <c r="AC495" s="4"/>
      <c r="AD495" s="4"/>
    </row>
    <row r="496" spans="1:30" hidden="1">
      <c r="A496" s="4">
        <v>416</v>
      </c>
      <c r="B496" s="8">
        <v>45111</v>
      </c>
      <c r="C496" s="4"/>
      <c r="D496" s="4" t="s">
        <v>42</v>
      </c>
      <c r="E496" s="8">
        <v>45114</v>
      </c>
      <c r="F496" s="4" t="s">
        <v>43</v>
      </c>
      <c r="G496" s="39" t="s">
        <v>836</v>
      </c>
      <c r="H496" s="4" t="s">
        <v>45</v>
      </c>
      <c r="I496" s="4" t="s">
        <v>837</v>
      </c>
      <c r="J496" s="10">
        <v>0.879</v>
      </c>
      <c r="K496" s="10">
        <v>0.879</v>
      </c>
      <c r="L496" s="10">
        <f t="shared" si="38"/>
        <v>0</v>
      </c>
      <c r="M496" s="10">
        <f t="shared" si="44"/>
        <v>0</v>
      </c>
      <c r="N496" s="10"/>
      <c r="O496" s="10"/>
      <c r="P496" s="10"/>
      <c r="Q496" s="10"/>
      <c r="R496" s="10"/>
      <c r="S496" s="10"/>
      <c r="T496" s="10"/>
      <c r="U496" s="10"/>
      <c r="V496" s="4" t="s">
        <v>404</v>
      </c>
      <c r="W496" s="4"/>
      <c r="X496" s="8"/>
      <c r="Y496" s="4"/>
      <c r="Z496" s="4"/>
      <c r="AA496" s="8">
        <v>45111</v>
      </c>
      <c r="AB496" s="8">
        <v>45111</v>
      </c>
      <c r="AC496" s="4"/>
      <c r="AD496" s="4"/>
    </row>
    <row r="497" spans="1:30" hidden="1">
      <c r="A497" s="4">
        <v>416</v>
      </c>
      <c r="B497" s="8">
        <v>45111</v>
      </c>
      <c r="C497" s="4"/>
      <c r="D497" s="4" t="s">
        <v>42</v>
      </c>
      <c r="E497" s="8">
        <v>45114</v>
      </c>
      <c r="F497" s="4" t="s">
        <v>43</v>
      </c>
      <c r="G497" s="15" t="s">
        <v>838</v>
      </c>
      <c r="H497" s="4" t="s">
        <v>52</v>
      </c>
      <c r="I497" s="4" t="s">
        <v>435</v>
      </c>
      <c r="J497" s="10">
        <v>3.609</v>
      </c>
      <c r="K497" s="10">
        <v>3.609</v>
      </c>
      <c r="L497" s="10">
        <f t="shared" ref="L497:L560" si="45">M497+U497</f>
        <v>0</v>
      </c>
      <c r="M497" s="10">
        <f t="shared" si="44"/>
        <v>0</v>
      </c>
      <c r="N497" s="10"/>
      <c r="O497" s="10">
        <v>0</v>
      </c>
      <c r="P497" s="10"/>
      <c r="Q497" s="10"/>
      <c r="R497" s="10"/>
      <c r="S497" s="10"/>
      <c r="T497" s="10"/>
      <c r="U497" s="10"/>
      <c r="V497" s="4" t="s">
        <v>572</v>
      </c>
      <c r="W497" s="4"/>
      <c r="X497" s="8"/>
      <c r="Y497" s="4"/>
      <c r="Z497" s="4"/>
      <c r="AA497" s="8">
        <v>45111</v>
      </c>
      <c r="AB497" s="8">
        <v>45111</v>
      </c>
      <c r="AC497" s="4"/>
      <c r="AD497" s="4"/>
    </row>
    <row r="498" spans="1:30" hidden="1">
      <c r="A498" s="4">
        <v>416</v>
      </c>
      <c r="B498" s="8">
        <v>45111</v>
      </c>
      <c r="C498" s="4"/>
      <c r="D498" s="4" t="s">
        <v>42</v>
      </c>
      <c r="E498" s="8">
        <v>45114</v>
      </c>
      <c r="F498" s="4" t="s">
        <v>43</v>
      </c>
      <c r="G498" s="15" t="s">
        <v>838</v>
      </c>
      <c r="H498" s="4" t="s">
        <v>52</v>
      </c>
      <c r="I498" s="4" t="s">
        <v>48</v>
      </c>
      <c r="J498" s="10">
        <v>2.7290000000000001</v>
      </c>
      <c r="K498" s="10">
        <v>2.7290000000000001</v>
      </c>
      <c r="L498" s="10">
        <f t="shared" si="45"/>
        <v>0</v>
      </c>
      <c r="M498" s="10">
        <f t="shared" si="44"/>
        <v>0</v>
      </c>
      <c r="N498" s="10"/>
      <c r="O498" s="10">
        <v>0</v>
      </c>
      <c r="P498" s="10"/>
      <c r="Q498" s="10"/>
      <c r="R498" s="10"/>
      <c r="S498" s="10"/>
      <c r="T498" s="10"/>
      <c r="U498" s="10"/>
      <c r="V498" s="4" t="s">
        <v>572</v>
      </c>
      <c r="W498" s="4"/>
      <c r="X498" s="8"/>
      <c r="Y498" s="4"/>
      <c r="Z498" s="4"/>
      <c r="AA498" s="8">
        <v>45111</v>
      </c>
      <c r="AB498" s="8">
        <v>45111</v>
      </c>
      <c r="AC498" s="4"/>
      <c r="AD498" s="4"/>
    </row>
    <row r="499" spans="1:30" hidden="1">
      <c r="A499" s="4">
        <v>430</v>
      </c>
      <c r="B499" s="8">
        <v>45106</v>
      </c>
      <c r="C499" s="4"/>
      <c r="D499" s="4" t="s">
        <v>42</v>
      </c>
      <c r="E499" s="8">
        <v>45145</v>
      </c>
      <c r="F499" s="4" t="s">
        <v>43</v>
      </c>
      <c r="G499" s="15" t="s">
        <v>190</v>
      </c>
      <c r="H499" s="4" t="s">
        <v>52</v>
      </c>
      <c r="I499" s="4" t="s">
        <v>434</v>
      </c>
      <c r="J499" s="10">
        <v>19.440000000000001</v>
      </c>
      <c r="K499" s="10">
        <v>19.649999999999999</v>
      </c>
      <c r="L499" s="10">
        <f t="shared" si="45"/>
        <v>0</v>
      </c>
      <c r="M499" s="10">
        <f t="shared" si="44"/>
        <v>0</v>
      </c>
      <c r="N499" s="10"/>
      <c r="O499" s="10"/>
      <c r="P499" s="10">
        <v>0</v>
      </c>
      <c r="Q499" s="10"/>
      <c r="R499" s="10"/>
      <c r="S499" s="10"/>
      <c r="T499" s="10"/>
      <c r="U499" s="10"/>
      <c r="V499" s="4" t="s">
        <v>415</v>
      </c>
      <c r="W499" s="4"/>
      <c r="X499" s="8">
        <v>45108</v>
      </c>
      <c r="Y499" s="4"/>
      <c r="Z499" s="4"/>
      <c r="AA499" s="8">
        <v>45116</v>
      </c>
      <c r="AB499" s="8">
        <v>45116</v>
      </c>
      <c r="AC499" s="4"/>
      <c r="AD499" s="4"/>
    </row>
    <row r="500" spans="1:30" hidden="1">
      <c r="A500" s="4">
        <v>430</v>
      </c>
      <c r="B500" s="8">
        <v>45106</v>
      </c>
      <c r="C500" s="4"/>
      <c r="D500" s="4" t="s">
        <v>42</v>
      </c>
      <c r="E500" s="8">
        <v>45145</v>
      </c>
      <c r="F500" s="4" t="s">
        <v>43</v>
      </c>
      <c r="G500" s="15" t="s">
        <v>190</v>
      </c>
      <c r="H500" s="4" t="s">
        <v>52</v>
      </c>
      <c r="I500" s="4" t="s">
        <v>89</v>
      </c>
      <c r="J500" s="10">
        <v>57.719999999999992</v>
      </c>
      <c r="K500" s="10">
        <f>28.259+12.347+13.677+1.743+2.191</f>
        <v>58.217000000000006</v>
      </c>
      <c r="L500" s="10">
        <f t="shared" si="45"/>
        <v>0</v>
      </c>
      <c r="M500" s="10">
        <f t="shared" si="44"/>
        <v>0</v>
      </c>
      <c r="N500" s="10"/>
      <c r="O500" s="10"/>
      <c r="P500" s="10">
        <v>0</v>
      </c>
      <c r="Q500" s="10"/>
      <c r="R500" s="10"/>
      <c r="S500" s="10"/>
      <c r="T500" s="10"/>
      <c r="U500" s="10"/>
      <c r="V500" s="4" t="s">
        <v>415</v>
      </c>
      <c r="W500" s="4"/>
      <c r="X500" s="8">
        <v>45115</v>
      </c>
      <c r="Y500" s="4"/>
      <c r="Z500" s="4"/>
      <c r="AA500" s="8">
        <v>45118</v>
      </c>
      <c r="AB500" s="8"/>
      <c r="AC500" s="4"/>
      <c r="AD500" s="4"/>
    </row>
    <row r="501" spans="1:30" hidden="1">
      <c r="A501" s="4">
        <v>430</v>
      </c>
      <c r="B501" s="8">
        <v>45106</v>
      </c>
      <c r="C501" s="4"/>
      <c r="D501" s="4" t="s">
        <v>42</v>
      </c>
      <c r="E501" s="8">
        <v>45145</v>
      </c>
      <c r="F501" s="4" t="s">
        <v>43</v>
      </c>
      <c r="G501" s="15" t="s">
        <v>190</v>
      </c>
      <c r="H501" s="4" t="s">
        <v>52</v>
      </c>
      <c r="I501" s="4" t="s">
        <v>87</v>
      </c>
      <c r="J501" s="10">
        <v>0.79999999999999993</v>
      </c>
      <c r="K501" s="10">
        <v>0.83</v>
      </c>
      <c r="L501" s="10">
        <f t="shared" si="45"/>
        <v>0</v>
      </c>
      <c r="M501" s="10">
        <f t="shared" si="44"/>
        <v>0</v>
      </c>
      <c r="N501" s="10"/>
      <c r="O501" s="10"/>
      <c r="P501" s="10">
        <v>0</v>
      </c>
      <c r="Q501" s="10"/>
      <c r="R501" s="10"/>
      <c r="S501" s="10"/>
      <c r="T501" s="10"/>
      <c r="U501" s="10"/>
      <c r="V501" s="4" t="s">
        <v>415</v>
      </c>
      <c r="W501" s="4"/>
      <c r="X501" s="8">
        <v>45115</v>
      </c>
      <c r="Y501" s="4"/>
      <c r="Z501" s="4"/>
      <c r="AA501" s="8">
        <v>45122</v>
      </c>
      <c r="AB501" s="8">
        <v>45122</v>
      </c>
      <c r="AC501" s="4"/>
      <c r="AD501" s="4"/>
    </row>
    <row r="502" spans="1:30" hidden="1">
      <c r="A502" s="4">
        <v>431</v>
      </c>
      <c r="B502" s="8">
        <v>45106</v>
      </c>
      <c r="C502" s="4"/>
      <c r="D502" s="4" t="s">
        <v>42</v>
      </c>
      <c r="E502" s="8">
        <v>45153</v>
      </c>
      <c r="F502" s="4" t="s">
        <v>43</v>
      </c>
      <c r="G502" s="16" t="s">
        <v>44</v>
      </c>
      <c r="H502" s="4" t="s">
        <v>45</v>
      </c>
      <c r="I502" s="4" t="s">
        <v>408</v>
      </c>
      <c r="J502" s="10">
        <v>1.04</v>
      </c>
      <c r="K502" s="10">
        <v>1.53</v>
      </c>
      <c r="L502" s="10">
        <f t="shared" si="45"/>
        <v>0</v>
      </c>
      <c r="M502" s="10">
        <f t="shared" si="44"/>
        <v>0</v>
      </c>
      <c r="N502" s="10"/>
      <c r="O502" s="10"/>
      <c r="P502" s="10"/>
      <c r="Q502" s="10"/>
      <c r="R502" s="10"/>
      <c r="S502" s="10">
        <v>0</v>
      </c>
      <c r="T502" s="10"/>
      <c r="U502" s="10"/>
      <c r="V502" s="4" t="s">
        <v>22</v>
      </c>
      <c r="W502" s="4" t="s">
        <v>521</v>
      </c>
      <c r="X502" s="8">
        <v>45107</v>
      </c>
      <c r="Y502" s="4"/>
      <c r="Z502" s="4"/>
      <c r="AA502" s="8">
        <v>45125</v>
      </c>
      <c r="AB502" s="8">
        <v>45125</v>
      </c>
      <c r="AC502" s="4"/>
      <c r="AD502" s="4"/>
    </row>
    <row r="503" spans="1:30" hidden="1">
      <c r="A503" s="4">
        <v>431</v>
      </c>
      <c r="B503" s="8">
        <v>45106</v>
      </c>
      <c r="C503" s="4"/>
      <c r="D503" s="4" t="s">
        <v>42</v>
      </c>
      <c r="E503" s="8">
        <v>45153</v>
      </c>
      <c r="F503" s="4" t="s">
        <v>43</v>
      </c>
      <c r="G503" s="16" t="s">
        <v>44</v>
      </c>
      <c r="H503" s="4" t="s">
        <v>45</v>
      </c>
      <c r="I503" s="4" t="s">
        <v>434</v>
      </c>
      <c r="J503" s="10">
        <v>0.35</v>
      </c>
      <c r="K503" s="10">
        <v>0.35299999999999998</v>
      </c>
      <c r="L503" s="10">
        <f t="shared" si="45"/>
        <v>0</v>
      </c>
      <c r="M503" s="10">
        <f t="shared" si="44"/>
        <v>0</v>
      </c>
      <c r="N503" s="10"/>
      <c r="O503" s="10"/>
      <c r="P503" s="10">
        <v>0</v>
      </c>
      <c r="Q503" s="10"/>
      <c r="R503" s="10"/>
      <c r="S503" s="10"/>
      <c r="T503" s="10"/>
      <c r="U503" s="10"/>
      <c r="V503" s="4" t="s">
        <v>22</v>
      </c>
      <c r="W503" s="4"/>
      <c r="X503" s="8">
        <v>45108</v>
      </c>
      <c r="Y503" s="4"/>
      <c r="Z503" s="4"/>
      <c r="AA503" s="8"/>
      <c r="AB503" s="8"/>
      <c r="AC503" s="4"/>
      <c r="AD503" s="4"/>
    </row>
    <row r="504" spans="1:30" hidden="1">
      <c r="A504" s="4">
        <v>431</v>
      </c>
      <c r="B504" s="8">
        <v>45106</v>
      </c>
      <c r="C504" s="4"/>
      <c r="D504" s="4" t="s">
        <v>42</v>
      </c>
      <c r="E504" s="8">
        <v>45122</v>
      </c>
      <c r="F504" s="4" t="s">
        <v>43</v>
      </c>
      <c r="G504" s="16" t="s">
        <v>51</v>
      </c>
      <c r="H504" s="4" t="s">
        <v>52</v>
      </c>
      <c r="I504" s="4" t="s">
        <v>89</v>
      </c>
      <c r="J504" s="10">
        <v>0.79</v>
      </c>
      <c r="K504" s="10">
        <v>0.92800000000000005</v>
      </c>
      <c r="L504" s="10">
        <f t="shared" si="45"/>
        <v>0</v>
      </c>
      <c r="M504" s="10">
        <f t="shared" si="44"/>
        <v>0</v>
      </c>
      <c r="N504" s="10"/>
      <c r="O504" s="10"/>
      <c r="P504" s="10">
        <v>0</v>
      </c>
      <c r="Q504" s="10"/>
      <c r="R504" s="10"/>
      <c r="S504" s="10"/>
      <c r="T504" s="10"/>
      <c r="U504" s="10"/>
      <c r="V504" s="4" t="s">
        <v>22</v>
      </c>
      <c r="W504" s="4"/>
      <c r="X504" s="8">
        <v>45115</v>
      </c>
      <c r="Y504" s="4"/>
      <c r="Z504" s="4"/>
      <c r="AA504" s="8">
        <v>45127</v>
      </c>
      <c r="AB504" s="8">
        <v>45127</v>
      </c>
      <c r="AC504" s="4"/>
      <c r="AD504" s="4"/>
    </row>
    <row r="505" spans="1:30" hidden="1">
      <c r="A505" s="4">
        <v>432</v>
      </c>
      <c r="B505" s="8">
        <v>45106</v>
      </c>
      <c r="C505" s="4"/>
      <c r="D505" s="4" t="s">
        <v>42</v>
      </c>
      <c r="E505" s="8">
        <v>45122</v>
      </c>
      <c r="F505" s="4" t="s">
        <v>43</v>
      </c>
      <c r="G505" s="15" t="s">
        <v>19</v>
      </c>
      <c r="H505" s="4" t="s">
        <v>45</v>
      </c>
      <c r="I505" s="4" t="s">
        <v>815</v>
      </c>
      <c r="J505" s="10">
        <v>0.08</v>
      </c>
      <c r="K505" s="10">
        <v>9.5000000000000001E-2</v>
      </c>
      <c r="L505" s="10">
        <f t="shared" si="45"/>
        <v>0</v>
      </c>
      <c r="M505" s="10">
        <f t="shared" si="44"/>
        <v>0</v>
      </c>
      <c r="N505" s="10"/>
      <c r="O505" s="10"/>
      <c r="P505" s="10">
        <v>0</v>
      </c>
      <c r="Q505" s="10"/>
      <c r="R505" s="10"/>
      <c r="S505" s="10"/>
      <c r="T505" s="10"/>
      <c r="U505" s="10"/>
      <c r="V505" s="4" t="s">
        <v>813</v>
      </c>
      <c r="W505" s="4"/>
      <c r="X505" s="8">
        <v>45108</v>
      </c>
      <c r="Y505" s="4"/>
      <c r="Z505" s="4"/>
      <c r="AA505" s="8"/>
      <c r="AB505" s="8"/>
      <c r="AC505" s="4"/>
      <c r="AD505" s="4"/>
    </row>
    <row r="506" spans="1:30" hidden="1">
      <c r="A506" s="4">
        <v>432</v>
      </c>
      <c r="B506" s="8">
        <v>45106</v>
      </c>
      <c r="C506" s="4"/>
      <c r="D506" s="4" t="s">
        <v>42</v>
      </c>
      <c r="E506" s="8">
        <v>45122</v>
      </c>
      <c r="F506" s="4" t="s">
        <v>43</v>
      </c>
      <c r="G506" s="15" t="s">
        <v>19</v>
      </c>
      <c r="H506" s="4" t="s">
        <v>45</v>
      </c>
      <c r="I506" s="4" t="s">
        <v>87</v>
      </c>
      <c r="J506" s="10">
        <v>5.6499999999999995</v>
      </c>
      <c r="K506" s="10">
        <f>4.776+0.98</f>
        <v>5.7560000000000002</v>
      </c>
      <c r="L506" s="10">
        <f t="shared" si="45"/>
        <v>0</v>
      </c>
      <c r="M506" s="10">
        <f t="shared" si="44"/>
        <v>0</v>
      </c>
      <c r="N506" s="10"/>
      <c r="O506" s="10"/>
      <c r="P506" s="10">
        <v>0</v>
      </c>
      <c r="Q506" s="10"/>
      <c r="R506" s="10"/>
      <c r="S506" s="10"/>
      <c r="T506" s="10"/>
      <c r="U506" s="10"/>
      <c r="V506" s="4" t="s">
        <v>813</v>
      </c>
      <c r="W506" s="4"/>
      <c r="X506" s="8">
        <v>45117</v>
      </c>
      <c r="Y506" s="4"/>
      <c r="Z506" s="4"/>
      <c r="AA506" s="8">
        <v>45122</v>
      </c>
      <c r="AB506" s="8">
        <v>45123</v>
      </c>
      <c r="AC506" s="4"/>
      <c r="AD506" s="4"/>
    </row>
    <row r="507" spans="1:30" hidden="1">
      <c r="A507" s="4">
        <v>432</v>
      </c>
      <c r="B507" s="8">
        <v>45106</v>
      </c>
      <c r="C507" s="4"/>
      <c r="D507" s="4" t="s">
        <v>42</v>
      </c>
      <c r="E507" s="8">
        <v>45122</v>
      </c>
      <c r="F507" s="4" t="s">
        <v>43</v>
      </c>
      <c r="G507" s="15" t="s">
        <v>190</v>
      </c>
      <c r="H507" s="4" t="s">
        <v>52</v>
      </c>
      <c r="I507" s="4" t="s">
        <v>815</v>
      </c>
      <c r="J507" s="10">
        <v>6.67</v>
      </c>
      <c r="K507" s="10">
        <f>4.702+2.136</f>
        <v>6.8380000000000001</v>
      </c>
      <c r="L507" s="10">
        <f t="shared" si="45"/>
        <v>0</v>
      </c>
      <c r="M507" s="10">
        <f t="shared" si="44"/>
        <v>0</v>
      </c>
      <c r="N507" s="10"/>
      <c r="O507" s="10"/>
      <c r="P507" s="10">
        <v>0</v>
      </c>
      <c r="Q507" s="10"/>
      <c r="R507" s="10"/>
      <c r="S507" s="10"/>
      <c r="T507" s="10"/>
      <c r="U507" s="10"/>
      <c r="V507" s="4" t="s">
        <v>813</v>
      </c>
      <c r="W507" s="4"/>
      <c r="X507" s="8">
        <v>45108</v>
      </c>
      <c r="Y507" s="4"/>
      <c r="Z507" s="4"/>
      <c r="AA507" s="8">
        <v>45121</v>
      </c>
      <c r="AB507" s="8">
        <v>45121</v>
      </c>
      <c r="AC507" s="4"/>
      <c r="AD507" s="4"/>
    </row>
    <row r="508" spans="1:30" hidden="1">
      <c r="A508" s="4">
        <v>433</v>
      </c>
      <c r="B508" s="8">
        <v>45106</v>
      </c>
      <c r="C508" s="4"/>
      <c r="D508" s="4" t="s">
        <v>42</v>
      </c>
      <c r="E508" s="8">
        <v>45145</v>
      </c>
      <c r="F508" s="4" t="s">
        <v>43</v>
      </c>
      <c r="G508" s="39" t="s">
        <v>186</v>
      </c>
      <c r="H508" s="4" t="s">
        <v>45</v>
      </c>
      <c r="I508" s="4" t="s">
        <v>407</v>
      </c>
      <c r="J508" s="10">
        <v>36.979999999999997</v>
      </c>
      <c r="K508" s="10">
        <f>32.822+1.954+2.32</f>
        <v>37.096000000000004</v>
      </c>
      <c r="L508" s="10">
        <f t="shared" si="45"/>
        <v>0</v>
      </c>
      <c r="M508" s="10">
        <f t="shared" si="44"/>
        <v>0</v>
      </c>
      <c r="N508" s="10"/>
      <c r="O508" s="10"/>
      <c r="P508" s="10">
        <v>0</v>
      </c>
      <c r="Q508" s="10"/>
      <c r="R508" s="10"/>
      <c r="S508" s="10"/>
      <c r="T508" s="10"/>
      <c r="U508" s="10"/>
      <c r="V508" s="4" t="s">
        <v>411</v>
      </c>
      <c r="W508" s="4"/>
      <c r="X508" s="8">
        <v>45107</v>
      </c>
      <c r="Y508" s="4"/>
      <c r="Z508" s="4"/>
      <c r="AA508" s="8">
        <v>45117</v>
      </c>
      <c r="AB508" s="8">
        <v>45123</v>
      </c>
      <c r="AC508" s="4"/>
      <c r="AD508" s="4"/>
    </row>
    <row r="509" spans="1:30" hidden="1">
      <c r="A509" s="4">
        <v>433</v>
      </c>
      <c r="B509" s="8">
        <v>45106</v>
      </c>
      <c r="C509" s="4"/>
      <c r="D509" s="4" t="s">
        <v>42</v>
      </c>
      <c r="E509" s="8">
        <v>45145</v>
      </c>
      <c r="F509" s="4" t="s">
        <v>43</v>
      </c>
      <c r="G509" s="39" t="s">
        <v>186</v>
      </c>
      <c r="H509" s="4" t="s">
        <v>45</v>
      </c>
      <c r="I509" s="4" t="s">
        <v>408</v>
      </c>
      <c r="J509" s="10">
        <v>6.6400000000000006</v>
      </c>
      <c r="K509" s="10">
        <v>6.67</v>
      </c>
      <c r="L509" s="10">
        <f t="shared" si="45"/>
        <v>0</v>
      </c>
      <c r="M509" s="10">
        <f t="shared" si="44"/>
        <v>0</v>
      </c>
      <c r="N509" s="10"/>
      <c r="O509" s="10"/>
      <c r="P509" s="10">
        <v>0</v>
      </c>
      <c r="Q509" s="10"/>
      <c r="R509" s="10"/>
      <c r="S509" s="10"/>
      <c r="T509" s="10"/>
      <c r="U509" s="10"/>
      <c r="V509" s="4" t="s">
        <v>411</v>
      </c>
      <c r="W509" s="4"/>
      <c r="X509" s="8">
        <v>45107</v>
      </c>
      <c r="Y509" s="4"/>
      <c r="Z509" s="4"/>
      <c r="AA509" s="8">
        <v>45117</v>
      </c>
      <c r="AB509" s="8">
        <v>45117</v>
      </c>
      <c r="AC509" s="4"/>
      <c r="AD509" s="4"/>
    </row>
    <row r="510" spans="1:30" hidden="1">
      <c r="A510" s="4">
        <v>433</v>
      </c>
      <c r="B510" s="8">
        <v>45106</v>
      </c>
      <c r="C510" s="4"/>
      <c r="D510" s="4" t="s">
        <v>42</v>
      </c>
      <c r="E510" s="8">
        <v>45145</v>
      </c>
      <c r="F510" s="4" t="s">
        <v>43</v>
      </c>
      <c r="G510" s="39" t="s">
        <v>186</v>
      </c>
      <c r="H510" s="4" t="s">
        <v>45</v>
      </c>
      <c r="I510" s="4" t="s">
        <v>409</v>
      </c>
      <c r="J510" s="10">
        <v>18.959999999999997</v>
      </c>
      <c r="K510" s="10">
        <v>19.044</v>
      </c>
      <c r="L510" s="10">
        <f t="shared" si="45"/>
        <v>0</v>
      </c>
      <c r="M510" s="10">
        <f t="shared" si="44"/>
        <v>0</v>
      </c>
      <c r="N510" s="10"/>
      <c r="O510" s="10"/>
      <c r="P510" s="10"/>
      <c r="Q510" s="10"/>
      <c r="R510" s="10"/>
      <c r="S510" s="10">
        <v>0</v>
      </c>
      <c r="T510" s="10"/>
      <c r="U510" s="10"/>
      <c r="V510" s="4" t="s">
        <v>411</v>
      </c>
      <c r="W510" s="4"/>
      <c r="X510" s="8">
        <v>45107</v>
      </c>
      <c r="Y510" s="4"/>
      <c r="Z510" s="4"/>
      <c r="AA510" s="8">
        <v>45117</v>
      </c>
      <c r="AB510" s="8">
        <v>45117</v>
      </c>
      <c r="AC510" s="4"/>
      <c r="AD510" s="4"/>
    </row>
    <row r="511" spans="1:30" hidden="1">
      <c r="A511" s="4">
        <v>433</v>
      </c>
      <c r="B511" s="8">
        <v>45106</v>
      </c>
      <c r="C511" s="4"/>
      <c r="D511" s="4" t="s">
        <v>42</v>
      </c>
      <c r="E511" s="8">
        <v>45145</v>
      </c>
      <c r="F511" s="4" t="s">
        <v>43</v>
      </c>
      <c r="G511" s="39" t="s">
        <v>874</v>
      </c>
      <c r="H511" s="4" t="s">
        <v>45</v>
      </c>
      <c r="I511" s="4" t="s">
        <v>410</v>
      </c>
      <c r="J511" s="10">
        <v>0.19</v>
      </c>
      <c r="K511" s="10">
        <v>0.20200000000000001</v>
      </c>
      <c r="L511" s="10">
        <f t="shared" si="45"/>
        <v>0</v>
      </c>
      <c r="M511" s="10">
        <f t="shared" si="44"/>
        <v>0</v>
      </c>
      <c r="N511" s="10"/>
      <c r="O511" s="10"/>
      <c r="P511" s="10"/>
      <c r="Q511" s="10"/>
      <c r="R511" s="10"/>
      <c r="S511" s="10">
        <v>0</v>
      </c>
      <c r="T511" s="10"/>
      <c r="U511" s="10"/>
      <c r="V511" s="4" t="s">
        <v>411</v>
      </c>
      <c r="W511" s="4" t="s">
        <v>521</v>
      </c>
      <c r="X511" s="8">
        <v>45107</v>
      </c>
      <c r="Y511" s="4"/>
      <c r="Z511" s="4"/>
      <c r="AA511" s="8"/>
      <c r="AB511" s="8"/>
      <c r="AC511" s="4"/>
      <c r="AD511" s="4"/>
    </row>
    <row r="512" spans="1:30" hidden="1">
      <c r="A512" s="4">
        <v>433</v>
      </c>
      <c r="B512" s="8">
        <v>45106</v>
      </c>
      <c r="C512" s="4"/>
      <c r="D512" s="4" t="s">
        <v>42</v>
      </c>
      <c r="E512" s="8">
        <v>45145</v>
      </c>
      <c r="F512" s="4" t="s">
        <v>43</v>
      </c>
      <c r="G512" s="39" t="s">
        <v>186</v>
      </c>
      <c r="H512" s="4" t="s">
        <v>45</v>
      </c>
      <c r="I512" s="4" t="s">
        <v>434</v>
      </c>
      <c r="J512" s="10">
        <v>8.9799999999999986</v>
      </c>
      <c r="K512" s="10">
        <v>8.9860000000000007</v>
      </c>
      <c r="L512" s="10">
        <f t="shared" si="45"/>
        <v>0</v>
      </c>
      <c r="M512" s="10">
        <f t="shared" si="44"/>
        <v>0</v>
      </c>
      <c r="N512" s="10"/>
      <c r="O512" s="10"/>
      <c r="P512" s="10">
        <v>0</v>
      </c>
      <c r="Q512" s="10"/>
      <c r="R512" s="10"/>
      <c r="S512" s="10"/>
      <c r="T512" s="10"/>
      <c r="U512" s="10"/>
      <c r="V512" s="4" t="s">
        <v>411</v>
      </c>
      <c r="W512" s="4"/>
      <c r="X512" s="8">
        <v>45108</v>
      </c>
      <c r="Y512" s="4"/>
      <c r="Z512" s="4"/>
      <c r="AA512" s="8">
        <v>45116</v>
      </c>
      <c r="AB512" s="8">
        <v>45116</v>
      </c>
      <c r="AC512" s="4"/>
      <c r="AD512" s="4"/>
    </row>
    <row r="513" spans="1:30" hidden="1">
      <c r="A513" s="4">
        <v>433</v>
      </c>
      <c r="B513" s="8">
        <v>45106</v>
      </c>
      <c r="C513" s="4"/>
      <c r="D513" s="4" t="s">
        <v>42</v>
      </c>
      <c r="E513" s="8">
        <v>45145</v>
      </c>
      <c r="F513" s="4" t="s">
        <v>43</v>
      </c>
      <c r="G513" s="39" t="s">
        <v>186</v>
      </c>
      <c r="H513" s="4" t="s">
        <v>45</v>
      </c>
      <c r="I513" s="4" t="s">
        <v>89</v>
      </c>
      <c r="J513" s="10">
        <v>16.649999999999999</v>
      </c>
      <c r="K513" s="10">
        <f>9.662+7.147</f>
        <v>16.809000000000001</v>
      </c>
      <c r="L513" s="10">
        <f t="shared" si="45"/>
        <v>0</v>
      </c>
      <c r="M513" s="10">
        <f t="shared" si="44"/>
        <v>0</v>
      </c>
      <c r="N513" s="10"/>
      <c r="O513" s="10"/>
      <c r="P513" s="10">
        <v>0</v>
      </c>
      <c r="Q513" s="10"/>
      <c r="R513" s="10"/>
      <c r="S513" s="10"/>
      <c r="T513" s="10"/>
      <c r="U513" s="10"/>
      <c r="V513" s="4" t="s">
        <v>411</v>
      </c>
      <c r="W513" s="4"/>
      <c r="X513" s="8">
        <v>45117</v>
      </c>
      <c r="Y513" s="4"/>
      <c r="Z513" s="4"/>
      <c r="AA513" s="8">
        <v>45119</v>
      </c>
      <c r="AB513" s="8">
        <v>45119</v>
      </c>
      <c r="AC513" s="4"/>
      <c r="AD513" s="4"/>
    </row>
    <row r="514" spans="1:30" hidden="1">
      <c r="A514" s="4">
        <v>433</v>
      </c>
      <c r="B514" s="8">
        <v>45106</v>
      </c>
      <c r="C514" s="4"/>
      <c r="D514" s="4" t="s">
        <v>42</v>
      </c>
      <c r="E514" s="8">
        <v>45145</v>
      </c>
      <c r="F514" s="4" t="s">
        <v>43</v>
      </c>
      <c r="G514" s="39" t="s">
        <v>186</v>
      </c>
      <c r="H514" s="4" t="s">
        <v>45</v>
      </c>
      <c r="I514" s="4" t="s">
        <v>87</v>
      </c>
      <c r="J514" s="10">
        <v>6.2299999999999995</v>
      </c>
      <c r="K514" s="10">
        <v>6.2320000000000002</v>
      </c>
      <c r="L514" s="10">
        <f t="shared" si="45"/>
        <v>0</v>
      </c>
      <c r="M514" s="10">
        <f t="shared" si="44"/>
        <v>0</v>
      </c>
      <c r="N514" s="10"/>
      <c r="O514" s="10"/>
      <c r="P514" s="10">
        <v>0</v>
      </c>
      <c r="Q514" s="10"/>
      <c r="R514" s="10"/>
      <c r="S514" s="10"/>
      <c r="T514" s="10"/>
      <c r="U514" s="10"/>
      <c r="V514" s="4" t="s">
        <v>411</v>
      </c>
      <c r="W514" s="4"/>
      <c r="X514" s="8">
        <v>45117</v>
      </c>
      <c r="Y514" s="4"/>
      <c r="Z514" s="4"/>
      <c r="AA514" s="8">
        <v>45119</v>
      </c>
      <c r="AB514" s="8">
        <v>45119</v>
      </c>
      <c r="AC514" s="4"/>
      <c r="AD514" s="4"/>
    </row>
    <row r="515" spans="1:30" hidden="1">
      <c r="A515" s="4">
        <v>433</v>
      </c>
      <c r="B515" s="8">
        <v>45106</v>
      </c>
      <c r="C515" s="4"/>
      <c r="D515" s="4" t="s">
        <v>42</v>
      </c>
      <c r="E515" s="8">
        <v>45145</v>
      </c>
      <c r="F515" s="4" t="s">
        <v>43</v>
      </c>
      <c r="G515" s="15" t="s">
        <v>92</v>
      </c>
      <c r="H515" s="4" t="s">
        <v>52</v>
      </c>
      <c r="I515" s="4" t="s">
        <v>407</v>
      </c>
      <c r="J515" s="10">
        <v>3.1399999999999997</v>
      </c>
      <c r="K515" s="10">
        <v>3.1680000000000001</v>
      </c>
      <c r="L515" s="10">
        <f t="shared" si="45"/>
        <v>0</v>
      </c>
      <c r="M515" s="10">
        <f t="shared" si="44"/>
        <v>0</v>
      </c>
      <c r="N515" s="10"/>
      <c r="O515" s="10"/>
      <c r="P515" s="10">
        <v>0</v>
      </c>
      <c r="Q515" s="10"/>
      <c r="R515" s="10"/>
      <c r="S515" s="10"/>
      <c r="T515" s="10"/>
      <c r="U515" s="10"/>
      <c r="V515" s="4" t="s">
        <v>411</v>
      </c>
      <c r="W515" s="4"/>
      <c r="X515" s="8">
        <v>45107</v>
      </c>
      <c r="Y515" s="4"/>
      <c r="Z515" s="4"/>
      <c r="AA515" s="8">
        <v>45118</v>
      </c>
      <c r="AB515" s="8">
        <v>45118</v>
      </c>
      <c r="AC515" s="4"/>
      <c r="AD515" s="4"/>
    </row>
    <row r="516" spans="1:30" hidden="1">
      <c r="A516" s="4">
        <v>433</v>
      </c>
      <c r="B516" s="8">
        <v>45106</v>
      </c>
      <c r="C516" s="4"/>
      <c r="D516" s="4" t="s">
        <v>42</v>
      </c>
      <c r="E516" s="8">
        <v>45145</v>
      </c>
      <c r="F516" s="4" t="s">
        <v>43</v>
      </c>
      <c r="G516" s="15" t="s">
        <v>92</v>
      </c>
      <c r="H516" s="4" t="s">
        <v>52</v>
      </c>
      <c r="I516" s="4" t="s">
        <v>89</v>
      </c>
      <c r="J516" s="10">
        <v>0.4</v>
      </c>
      <c r="K516" s="10">
        <v>0.39800000000000002</v>
      </c>
      <c r="L516" s="10">
        <f t="shared" si="45"/>
        <v>0</v>
      </c>
      <c r="M516" s="10">
        <f t="shared" si="44"/>
        <v>0</v>
      </c>
      <c r="N516" s="10"/>
      <c r="O516" s="10"/>
      <c r="P516" s="10">
        <v>0</v>
      </c>
      <c r="Q516" s="10"/>
      <c r="R516" s="10"/>
      <c r="S516" s="10"/>
      <c r="T516" s="10"/>
      <c r="U516" s="10"/>
      <c r="V516" s="4" t="s">
        <v>411</v>
      </c>
      <c r="W516" s="4"/>
      <c r="X516" s="8">
        <v>45115</v>
      </c>
      <c r="Y516" s="4"/>
      <c r="Z516" s="4"/>
      <c r="AA516" s="8">
        <v>45119</v>
      </c>
      <c r="AB516" s="8">
        <v>45119</v>
      </c>
      <c r="AC516" s="4"/>
      <c r="AD516" s="4"/>
    </row>
    <row r="517" spans="1:30" hidden="1">
      <c r="A517" s="4">
        <v>405</v>
      </c>
      <c r="B517" s="8">
        <v>45107</v>
      </c>
      <c r="C517" s="4"/>
      <c r="D517" s="4" t="s">
        <v>42</v>
      </c>
      <c r="E517" s="8">
        <v>45114</v>
      </c>
      <c r="F517" s="4" t="s">
        <v>43</v>
      </c>
      <c r="G517" s="40" t="s">
        <v>20</v>
      </c>
      <c r="H517" s="4" t="s">
        <v>45</v>
      </c>
      <c r="I517" s="4" t="s">
        <v>56</v>
      </c>
      <c r="J517" s="10">
        <f>0.77</f>
        <v>0.77</v>
      </c>
      <c r="K517" s="10">
        <v>0.85299999999999998</v>
      </c>
      <c r="L517" s="10">
        <f t="shared" si="45"/>
        <v>0</v>
      </c>
      <c r="M517" s="10">
        <f t="shared" ref="M517" si="46">SUM(N517:T517)</f>
        <v>0</v>
      </c>
      <c r="N517" s="10"/>
      <c r="O517" s="10"/>
      <c r="P517" s="10"/>
      <c r="Q517" s="10"/>
      <c r="R517" s="10"/>
      <c r="S517" s="10">
        <v>0</v>
      </c>
      <c r="T517" s="10"/>
      <c r="U517" s="10"/>
      <c r="V517" s="4" t="s">
        <v>817</v>
      </c>
      <c r="W517" s="4" t="s">
        <v>521</v>
      </c>
      <c r="X517" s="8">
        <v>45121</v>
      </c>
      <c r="Y517" s="4"/>
      <c r="Z517" s="4"/>
      <c r="AA517" s="8">
        <v>45121</v>
      </c>
      <c r="AB517" s="8"/>
      <c r="AC517" s="4"/>
      <c r="AD517" s="4"/>
    </row>
    <row r="518" spans="1:30" hidden="1">
      <c r="A518" s="4">
        <v>436</v>
      </c>
      <c r="B518" s="8">
        <v>45109</v>
      </c>
      <c r="C518" s="4"/>
      <c r="D518" s="4" t="s">
        <v>42</v>
      </c>
      <c r="E518" s="8">
        <v>45145</v>
      </c>
      <c r="F518" s="4" t="s">
        <v>43</v>
      </c>
      <c r="G518" s="40" t="s">
        <v>20</v>
      </c>
      <c r="H518" s="4" t="s">
        <v>45</v>
      </c>
      <c r="I518" s="4" t="s">
        <v>435</v>
      </c>
      <c r="J518" s="10">
        <v>40.422528000000007</v>
      </c>
      <c r="K518" s="10">
        <f>3.458+20.515+15.059+1.621</f>
        <v>40.652999999999999</v>
      </c>
      <c r="L518" s="10">
        <f t="shared" si="45"/>
        <v>0</v>
      </c>
      <c r="M518" s="10">
        <f t="shared" ref="M518:M526" si="47">SUM(N518:T518)</f>
        <v>0</v>
      </c>
      <c r="N518" s="10"/>
      <c r="O518" s="10"/>
      <c r="P518" s="10">
        <v>0</v>
      </c>
      <c r="Q518" s="10"/>
      <c r="R518" s="10"/>
      <c r="S518" s="10"/>
      <c r="T518" s="10"/>
      <c r="U518" s="10"/>
      <c r="V518" s="4" t="s">
        <v>415</v>
      </c>
      <c r="W518" s="4"/>
      <c r="X518" s="8">
        <v>45110</v>
      </c>
      <c r="Y518" s="4"/>
      <c r="Z518" s="4"/>
      <c r="AA518" s="8">
        <v>45114</v>
      </c>
      <c r="AB518" s="8">
        <v>45122</v>
      </c>
      <c r="AC518" s="4"/>
      <c r="AD518" s="4"/>
    </row>
    <row r="519" spans="1:30" hidden="1">
      <c r="A519" s="4">
        <v>436</v>
      </c>
      <c r="B519" s="8">
        <v>45109</v>
      </c>
      <c r="C519" s="4"/>
      <c r="D519" s="4" t="s">
        <v>42</v>
      </c>
      <c r="E519" s="8">
        <v>45145</v>
      </c>
      <c r="F519" s="4" t="s">
        <v>43</v>
      </c>
      <c r="G519" s="40" t="s">
        <v>20</v>
      </c>
      <c r="H519" s="4" t="s">
        <v>45</v>
      </c>
      <c r="I519" s="4" t="s">
        <v>432</v>
      </c>
      <c r="J519" s="10">
        <v>20.186265000000002</v>
      </c>
      <c r="K519" s="10">
        <f>10.201+1.329+2.24+4.818+1.752</f>
        <v>20.34</v>
      </c>
      <c r="L519" s="10">
        <f t="shared" si="45"/>
        <v>0</v>
      </c>
      <c r="M519" s="10">
        <f t="shared" si="47"/>
        <v>0</v>
      </c>
      <c r="N519" s="10"/>
      <c r="O519" s="10"/>
      <c r="P519" s="10">
        <v>0</v>
      </c>
      <c r="Q519" s="10"/>
      <c r="R519" s="10"/>
      <c r="S519" s="10"/>
      <c r="T519" s="10"/>
      <c r="U519" s="10"/>
      <c r="V519" s="4" t="s">
        <v>415</v>
      </c>
      <c r="W519" s="4"/>
      <c r="X519" s="8">
        <v>45145</v>
      </c>
      <c r="Y519" s="4"/>
      <c r="Z519" s="4"/>
      <c r="AA519" s="8"/>
      <c r="AB519" s="8">
        <v>45159</v>
      </c>
      <c r="AC519" s="4"/>
      <c r="AD519" s="4"/>
    </row>
    <row r="520" spans="1:30" hidden="1">
      <c r="A520" s="4">
        <v>436</v>
      </c>
      <c r="B520" s="8">
        <v>45109</v>
      </c>
      <c r="C520" s="4"/>
      <c r="D520" s="4" t="s">
        <v>42</v>
      </c>
      <c r="E520" s="8">
        <v>45114</v>
      </c>
      <c r="F520" s="4" t="s">
        <v>43</v>
      </c>
      <c r="G520" s="15" t="s">
        <v>21</v>
      </c>
      <c r="H520" s="4" t="s">
        <v>52</v>
      </c>
      <c r="I520" s="4" t="s">
        <v>435</v>
      </c>
      <c r="J520" s="10">
        <v>6.2611200000000009</v>
      </c>
      <c r="K520" s="10">
        <f>1.464+2.848+1.802+0.19</f>
        <v>6.3039999999999994</v>
      </c>
      <c r="L520" s="10">
        <f t="shared" si="45"/>
        <v>0</v>
      </c>
      <c r="M520" s="10">
        <f t="shared" si="47"/>
        <v>0</v>
      </c>
      <c r="N520" s="10"/>
      <c r="O520" s="10"/>
      <c r="P520" s="10">
        <v>0</v>
      </c>
      <c r="Q520" s="10"/>
      <c r="R520" s="10"/>
      <c r="S520" s="10"/>
      <c r="T520" s="10"/>
      <c r="U520" s="10"/>
      <c r="V520" s="4" t="s">
        <v>415</v>
      </c>
      <c r="W520" s="4"/>
      <c r="X520" s="8">
        <v>45110</v>
      </c>
      <c r="Y520" s="4"/>
      <c r="Z520" s="4"/>
      <c r="AA520" s="8">
        <v>45118</v>
      </c>
      <c r="AB520" s="8">
        <v>45159</v>
      </c>
      <c r="AC520" s="4"/>
      <c r="AD520" s="4"/>
    </row>
    <row r="521" spans="1:30" hidden="1">
      <c r="A521" s="4">
        <v>436</v>
      </c>
      <c r="B521" s="8">
        <v>45109</v>
      </c>
      <c r="C521" s="4"/>
      <c r="D521" s="4" t="s">
        <v>42</v>
      </c>
      <c r="E521" s="8">
        <v>45114</v>
      </c>
      <c r="F521" s="4" t="s">
        <v>43</v>
      </c>
      <c r="G521" s="15" t="s">
        <v>21</v>
      </c>
      <c r="H521" s="4" t="s">
        <v>52</v>
      </c>
      <c r="I521" s="4" t="s">
        <v>432</v>
      </c>
      <c r="J521" s="10">
        <v>1.880325</v>
      </c>
      <c r="K521" s="10">
        <f>0.748+1.27</f>
        <v>2.0179999999999998</v>
      </c>
      <c r="L521" s="10">
        <f t="shared" si="45"/>
        <v>0</v>
      </c>
      <c r="M521" s="10">
        <f t="shared" si="47"/>
        <v>0</v>
      </c>
      <c r="N521" s="10"/>
      <c r="O521" s="10"/>
      <c r="P521" s="10">
        <v>0</v>
      </c>
      <c r="Q521" s="10"/>
      <c r="R521" s="10"/>
      <c r="S521" s="10"/>
      <c r="T521" s="10"/>
      <c r="U521" s="10"/>
      <c r="V521" s="4" t="s">
        <v>415</v>
      </c>
      <c r="W521" s="4"/>
      <c r="X521" s="8">
        <v>45110</v>
      </c>
      <c r="Y521" s="4"/>
      <c r="Z521" s="4"/>
      <c r="AA521" s="8">
        <v>45116</v>
      </c>
      <c r="AB521" s="8">
        <v>45118</v>
      </c>
      <c r="AC521" s="4"/>
      <c r="AD521" s="4"/>
    </row>
    <row r="522" spans="1:30" hidden="1">
      <c r="A522" s="4">
        <v>437</v>
      </c>
      <c r="B522" s="8">
        <v>45109</v>
      </c>
      <c r="C522" s="4"/>
      <c r="D522" s="4" t="s">
        <v>42</v>
      </c>
      <c r="E522" s="8">
        <v>45122</v>
      </c>
      <c r="F522" s="4" t="s">
        <v>43</v>
      </c>
      <c r="G522" s="16" t="s">
        <v>44</v>
      </c>
      <c r="H522" s="4" t="s">
        <v>45</v>
      </c>
      <c r="I522" s="4" t="s">
        <v>432</v>
      </c>
      <c r="J522" s="10">
        <v>0.61879999999999991</v>
      </c>
      <c r="K522" s="10">
        <v>0.624</v>
      </c>
      <c r="L522" s="10">
        <f t="shared" si="45"/>
        <v>0</v>
      </c>
      <c r="M522" s="10">
        <f t="shared" si="47"/>
        <v>0</v>
      </c>
      <c r="N522" s="10"/>
      <c r="O522" s="10"/>
      <c r="P522" s="10">
        <v>0</v>
      </c>
      <c r="Q522" s="10"/>
      <c r="R522" s="10"/>
      <c r="S522" s="10"/>
      <c r="T522" s="10"/>
      <c r="U522" s="10"/>
      <c r="V522" s="4" t="s">
        <v>22</v>
      </c>
      <c r="W522" s="4"/>
      <c r="X522" s="8">
        <v>45110</v>
      </c>
      <c r="Y522" s="4"/>
      <c r="Z522" s="4"/>
      <c r="AA522" s="8">
        <v>45119</v>
      </c>
      <c r="AB522" s="8">
        <v>45119</v>
      </c>
      <c r="AC522" s="4"/>
      <c r="AD522" s="4"/>
    </row>
    <row r="523" spans="1:30" hidden="1">
      <c r="A523" s="4">
        <v>437</v>
      </c>
      <c r="B523" s="8">
        <v>45109</v>
      </c>
      <c r="C523" s="4"/>
      <c r="D523" s="4" t="s">
        <v>42</v>
      </c>
      <c r="E523" s="8">
        <v>45122</v>
      </c>
      <c r="F523" s="4" t="s">
        <v>43</v>
      </c>
      <c r="G523" s="16" t="s">
        <v>44</v>
      </c>
      <c r="H523" s="4" t="s">
        <v>45</v>
      </c>
      <c r="I523" s="4" t="s">
        <v>577</v>
      </c>
      <c r="J523" s="10">
        <v>0.55520000000000003</v>
      </c>
      <c r="K523" s="10">
        <v>0.55800000000000005</v>
      </c>
      <c r="L523" s="10">
        <f t="shared" si="45"/>
        <v>0</v>
      </c>
      <c r="M523" s="10">
        <f t="shared" si="47"/>
        <v>0</v>
      </c>
      <c r="N523" s="10"/>
      <c r="O523" s="10"/>
      <c r="P523" s="10">
        <v>0</v>
      </c>
      <c r="Q523" s="10"/>
      <c r="R523" s="10"/>
      <c r="S523" s="10"/>
      <c r="T523" s="10"/>
      <c r="U523" s="10"/>
      <c r="V523" s="4" t="s">
        <v>22</v>
      </c>
      <c r="W523" s="4"/>
      <c r="X523" s="8">
        <v>45115</v>
      </c>
      <c r="Y523" s="4"/>
      <c r="Z523" s="4"/>
      <c r="AA523" s="8">
        <v>45121</v>
      </c>
      <c r="AB523" s="8">
        <v>45121</v>
      </c>
      <c r="AC523" s="4"/>
      <c r="AD523" s="4"/>
    </row>
    <row r="524" spans="1:30" hidden="1">
      <c r="A524" s="4">
        <v>437</v>
      </c>
      <c r="B524" s="8">
        <v>45109</v>
      </c>
      <c r="C524" s="4"/>
      <c r="D524" s="4" t="s">
        <v>42</v>
      </c>
      <c r="E524" s="8">
        <v>45122</v>
      </c>
      <c r="F524" s="4" t="s">
        <v>43</v>
      </c>
      <c r="G524" s="16" t="s">
        <v>44</v>
      </c>
      <c r="H524" s="4" t="s">
        <v>45</v>
      </c>
      <c r="I524" s="4" t="s">
        <v>89</v>
      </c>
      <c r="J524" s="10">
        <v>1.9064999999999999</v>
      </c>
      <c r="K524" s="10">
        <f>0.674+1.291</f>
        <v>1.9649999999999999</v>
      </c>
      <c r="L524" s="10">
        <f t="shared" si="45"/>
        <v>0</v>
      </c>
      <c r="M524" s="10">
        <f t="shared" si="47"/>
        <v>0</v>
      </c>
      <c r="N524" s="10"/>
      <c r="O524" s="10"/>
      <c r="P524" s="10">
        <v>0</v>
      </c>
      <c r="Q524" s="10"/>
      <c r="R524" s="10"/>
      <c r="S524" s="10"/>
      <c r="T524" s="10"/>
      <c r="U524" s="10"/>
      <c r="V524" s="4" t="s">
        <v>22</v>
      </c>
      <c r="W524" s="4"/>
      <c r="X524" s="8">
        <v>45116</v>
      </c>
      <c r="Y524" s="4"/>
      <c r="Z524" s="4"/>
      <c r="AA524" s="8">
        <v>45121</v>
      </c>
      <c r="AB524" s="8">
        <v>45122</v>
      </c>
      <c r="AC524" s="4"/>
      <c r="AD524" s="4"/>
    </row>
    <row r="525" spans="1:30" hidden="1">
      <c r="A525" s="4">
        <v>437</v>
      </c>
      <c r="B525" s="8">
        <v>45109</v>
      </c>
      <c r="C525" s="4"/>
      <c r="D525" s="4" t="s">
        <v>42</v>
      </c>
      <c r="E525" s="8">
        <v>45122</v>
      </c>
      <c r="F525" s="4" t="s">
        <v>43</v>
      </c>
      <c r="G525" s="16" t="s">
        <v>51</v>
      </c>
      <c r="H525" s="4" t="s">
        <v>52</v>
      </c>
      <c r="I525" s="4" t="s">
        <v>435</v>
      </c>
      <c r="J525" s="10">
        <v>1.3081500000000001</v>
      </c>
      <c r="K525" s="10">
        <f>1.186+0.231</f>
        <v>1.417</v>
      </c>
      <c r="L525" s="10">
        <f t="shared" si="45"/>
        <v>0</v>
      </c>
      <c r="M525" s="10">
        <f t="shared" si="47"/>
        <v>0</v>
      </c>
      <c r="N525" s="10"/>
      <c r="O525" s="10"/>
      <c r="P525" s="10">
        <v>0</v>
      </c>
      <c r="Q525" s="10"/>
      <c r="R525" s="10"/>
      <c r="S525" s="10"/>
      <c r="T525" s="10"/>
      <c r="U525" s="10"/>
      <c r="V525" s="4" t="s">
        <v>22</v>
      </c>
      <c r="W525" s="4"/>
      <c r="X525" s="8">
        <v>45110</v>
      </c>
      <c r="Y525" s="4"/>
      <c r="Z525" s="4"/>
      <c r="AA525" s="8">
        <v>45118</v>
      </c>
      <c r="AB525" s="8">
        <v>45122</v>
      </c>
      <c r="AC525" s="4"/>
      <c r="AD525" s="4"/>
    </row>
    <row r="526" spans="1:30" hidden="1">
      <c r="A526" s="4">
        <v>438</v>
      </c>
      <c r="B526" s="8">
        <v>45109</v>
      </c>
      <c r="C526" s="4"/>
      <c r="D526" s="4" t="s">
        <v>42</v>
      </c>
      <c r="E526" s="8">
        <v>45145</v>
      </c>
      <c r="F526" s="4" t="s">
        <v>43</v>
      </c>
      <c r="G526" s="15" t="s">
        <v>92</v>
      </c>
      <c r="H526" s="4" t="s">
        <v>52</v>
      </c>
      <c r="I526" s="4" t="s">
        <v>825</v>
      </c>
      <c r="J526" s="10">
        <v>0.65663999999999989</v>
      </c>
      <c r="K526" s="10">
        <v>0.65700000000000003</v>
      </c>
      <c r="L526" s="10">
        <f t="shared" si="45"/>
        <v>0</v>
      </c>
      <c r="M526" s="10">
        <f t="shared" si="47"/>
        <v>0</v>
      </c>
      <c r="N526" s="10"/>
      <c r="O526" s="10"/>
      <c r="P526" s="10">
        <v>0</v>
      </c>
      <c r="Q526" s="10"/>
      <c r="R526" s="10"/>
      <c r="S526" s="10"/>
      <c r="T526" s="10"/>
      <c r="U526" s="10"/>
      <c r="V526" s="4" t="s">
        <v>411</v>
      </c>
      <c r="W526" s="4"/>
      <c r="X526" s="8">
        <v>45110</v>
      </c>
      <c r="Y526" s="4"/>
      <c r="Z526" s="4"/>
      <c r="AA526" s="8">
        <v>45116</v>
      </c>
      <c r="AB526" s="8">
        <v>45116</v>
      </c>
      <c r="AC526" s="4"/>
      <c r="AD526" s="4"/>
    </row>
    <row r="527" spans="1:30" hidden="1">
      <c r="A527" s="4">
        <v>442</v>
      </c>
      <c r="B527" s="8">
        <v>45111</v>
      </c>
      <c r="C527" s="4"/>
      <c r="D527" s="4" t="s">
        <v>42</v>
      </c>
      <c r="E527" s="8">
        <v>45122</v>
      </c>
      <c r="F527" s="4" t="s">
        <v>43</v>
      </c>
      <c r="G527" s="16" t="s">
        <v>44</v>
      </c>
      <c r="H527" s="4" t="s">
        <v>45</v>
      </c>
      <c r="I527" s="4" t="s">
        <v>56</v>
      </c>
      <c r="J527" s="10">
        <v>0.64200000000000002</v>
      </c>
      <c r="K527" s="10">
        <v>0.64400000000000002</v>
      </c>
      <c r="L527" s="10">
        <f t="shared" si="45"/>
        <v>0</v>
      </c>
      <c r="M527" s="10">
        <f t="shared" ref="M527:M539" si="48">SUM(N527:T527)</f>
        <v>0</v>
      </c>
      <c r="N527" s="10"/>
      <c r="O527" s="10"/>
      <c r="P527" s="10">
        <v>0</v>
      </c>
      <c r="Q527" s="10"/>
      <c r="R527" s="10"/>
      <c r="S527" s="10"/>
      <c r="T527" s="10"/>
      <c r="U527" s="10"/>
      <c r="V527" s="4" t="s">
        <v>22</v>
      </c>
      <c r="W527" s="4"/>
      <c r="X527" s="8">
        <v>45121</v>
      </c>
      <c r="Y527" s="4"/>
      <c r="Z527" s="4"/>
      <c r="AA527" s="8"/>
      <c r="AB527" s="8"/>
      <c r="AC527" s="4"/>
      <c r="AD527" s="4"/>
    </row>
    <row r="528" spans="1:30" hidden="1">
      <c r="A528" s="4">
        <v>442</v>
      </c>
      <c r="B528" s="8">
        <v>45111</v>
      </c>
      <c r="C528" s="4"/>
      <c r="D528" s="4" t="s">
        <v>42</v>
      </c>
      <c r="E528" s="8">
        <v>45122</v>
      </c>
      <c r="F528" s="4" t="s">
        <v>43</v>
      </c>
      <c r="G528" s="16" t="s">
        <v>51</v>
      </c>
      <c r="H528" s="4" t="s">
        <v>52</v>
      </c>
      <c r="I528" s="4" t="s">
        <v>54</v>
      </c>
      <c r="J528" s="10">
        <v>0.55200000000000005</v>
      </c>
      <c r="K528" s="10">
        <v>0.65</v>
      </c>
      <c r="L528" s="10">
        <f t="shared" si="45"/>
        <v>0</v>
      </c>
      <c r="M528" s="10">
        <f t="shared" si="48"/>
        <v>0</v>
      </c>
      <c r="N528" s="10"/>
      <c r="O528" s="10"/>
      <c r="P528" s="10"/>
      <c r="Q528" s="10"/>
      <c r="R528" s="10"/>
      <c r="S528" s="10">
        <v>0</v>
      </c>
      <c r="T528" s="10"/>
      <c r="U528" s="10"/>
      <c r="V528" s="4" t="s">
        <v>22</v>
      </c>
      <c r="W528" s="4"/>
      <c r="X528" s="8">
        <v>45122</v>
      </c>
      <c r="Y528" s="4"/>
      <c r="Z528" s="4"/>
      <c r="AA528" s="8">
        <v>45127</v>
      </c>
      <c r="AB528" s="8">
        <v>45127</v>
      </c>
      <c r="AC528" s="4"/>
      <c r="AD528" s="4"/>
    </row>
    <row r="529" spans="1:30" hidden="1">
      <c r="A529" s="4">
        <v>444</v>
      </c>
      <c r="B529" s="8">
        <v>45111</v>
      </c>
      <c r="C529" s="4"/>
      <c r="D529" s="4" t="s">
        <v>42</v>
      </c>
      <c r="E529" s="8">
        <v>45122</v>
      </c>
      <c r="F529" s="4" t="s">
        <v>43</v>
      </c>
      <c r="G529" s="40" t="s">
        <v>60</v>
      </c>
      <c r="H529" s="4" t="s">
        <v>45</v>
      </c>
      <c r="I529" s="4" t="s">
        <v>577</v>
      </c>
      <c r="J529" s="10">
        <v>0.25092000000000003</v>
      </c>
      <c r="K529" s="10">
        <v>0.251</v>
      </c>
      <c r="L529" s="10">
        <f t="shared" si="45"/>
        <v>0</v>
      </c>
      <c r="M529" s="10">
        <f t="shared" si="48"/>
        <v>0</v>
      </c>
      <c r="N529" s="10"/>
      <c r="O529" s="10"/>
      <c r="P529" s="10">
        <v>0</v>
      </c>
      <c r="Q529" s="10"/>
      <c r="R529" s="10"/>
      <c r="S529" s="10"/>
      <c r="T529" s="10"/>
      <c r="U529" s="10"/>
      <c r="V529" s="4" t="s">
        <v>85</v>
      </c>
      <c r="W529" s="4"/>
      <c r="X529" s="8">
        <v>45115</v>
      </c>
      <c r="Y529" s="4"/>
      <c r="Z529" s="4"/>
      <c r="AA529" s="8">
        <v>45121</v>
      </c>
      <c r="AB529" s="8">
        <v>45121</v>
      </c>
      <c r="AC529" s="4"/>
      <c r="AD529" s="4"/>
    </row>
    <row r="530" spans="1:30" hidden="1">
      <c r="A530" s="4">
        <v>444</v>
      </c>
      <c r="B530" s="8">
        <v>45111</v>
      </c>
      <c r="C530" s="4"/>
      <c r="D530" s="4" t="s">
        <v>42</v>
      </c>
      <c r="E530" s="8">
        <v>45122</v>
      </c>
      <c r="F530" s="4" t="s">
        <v>43</v>
      </c>
      <c r="G530" s="40" t="s">
        <v>60</v>
      </c>
      <c r="H530" s="4" t="s">
        <v>45</v>
      </c>
      <c r="I530" s="4" t="s">
        <v>57</v>
      </c>
      <c r="J530" s="10">
        <v>48.073499999999996</v>
      </c>
      <c r="K530" s="10">
        <f>27.614+20.482</f>
        <v>48.096000000000004</v>
      </c>
      <c r="L530" s="10">
        <f t="shared" si="45"/>
        <v>0</v>
      </c>
      <c r="M530" s="10">
        <f t="shared" si="48"/>
        <v>0</v>
      </c>
      <c r="N530" s="10"/>
      <c r="O530" s="10"/>
      <c r="P530" s="10">
        <v>0</v>
      </c>
      <c r="Q530" s="10"/>
      <c r="R530" s="10"/>
      <c r="S530" s="10"/>
      <c r="T530" s="10"/>
      <c r="U530" s="10"/>
      <c r="V530" s="4" t="s">
        <v>85</v>
      </c>
      <c r="W530" s="4"/>
      <c r="X530" s="8">
        <v>45118</v>
      </c>
      <c r="Y530" s="4"/>
      <c r="Z530" s="4"/>
      <c r="AA530" s="8">
        <v>45120</v>
      </c>
      <c r="AB530" s="8">
        <v>45121</v>
      </c>
      <c r="AC530" s="4"/>
      <c r="AD530" s="4"/>
    </row>
    <row r="531" spans="1:30" hidden="1">
      <c r="A531" s="4">
        <v>444</v>
      </c>
      <c r="B531" s="8">
        <v>45111</v>
      </c>
      <c r="C531" s="4"/>
      <c r="D531" s="4" t="s">
        <v>42</v>
      </c>
      <c r="E531" s="8">
        <v>45122</v>
      </c>
      <c r="F531" s="4" t="s">
        <v>43</v>
      </c>
      <c r="G531" s="40" t="s">
        <v>60</v>
      </c>
      <c r="H531" s="4" t="s">
        <v>45</v>
      </c>
      <c r="I531" s="4" t="s">
        <v>54</v>
      </c>
      <c r="J531" s="10">
        <v>37.362248000000001</v>
      </c>
      <c r="K531" s="10">
        <f>7.119+16.386+10.81+3.221</f>
        <v>37.536000000000001</v>
      </c>
      <c r="L531" s="10">
        <f t="shared" si="45"/>
        <v>0</v>
      </c>
      <c r="M531" s="10">
        <f t="shared" si="48"/>
        <v>0</v>
      </c>
      <c r="N531" s="10"/>
      <c r="O531" s="10"/>
      <c r="P531" s="10">
        <v>0</v>
      </c>
      <c r="Q531" s="10"/>
      <c r="R531" s="10"/>
      <c r="S531" s="10"/>
      <c r="T531" s="10"/>
      <c r="U531" s="10"/>
      <c r="V531" s="4" t="s">
        <v>85</v>
      </c>
      <c r="W531" s="4"/>
      <c r="X531" s="8">
        <v>45121</v>
      </c>
      <c r="Y531" s="4"/>
      <c r="Z531" s="4"/>
      <c r="AA531" s="8">
        <v>45123</v>
      </c>
      <c r="AB531" s="8">
        <v>45127</v>
      </c>
      <c r="AC531" s="4"/>
      <c r="AD531" s="4"/>
    </row>
    <row r="532" spans="1:30" hidden="1">
      <c r="A532" s="4">
        <v>444</v>
      </c>
      <c r="B532" s="8">
        <v>45111</v>
      </c>
      <c r="C532" s="4"/>
      <c r="D532" s="4" t="s">
        <v>42</v>
      </c>
      <c r="E532" s="8">
        <v>45122</v>
      </c>
      <c r="F532" s="4" t="s">
        <v>43</v>
      </c>
      <c r="G532" s="40" t="s">
        <v>60</v>
      </c>
      <c r="H532" s="4" t="s">
        <v>45</v>
      </c>
      <c r="I532" s="4" t="s">
        <v>56</v>
      </c>
      <c r="J532" s="10">
        <v>27.695345000000003</v>
      </c>
      <c r="K532" s="10">
        <f>14.431+8.138+1.605+3.601</f>
        <v>27.774999999999999</v>
      </c>
      <c r="L532" s="10">
        <f t="shared" si="45"/>
        <v>0</v>
      </c>
      <c r="M532" s="10">
        <f t="shared" si="48"/>
        <v>0</v>
      </c>
      <c r="N532" s="10"/>
      <c r="O532" s="10"/>
      <c r="P532" s="10">
        <v>0</v>
      </c>
      <c r="Q532" s="10"/>
      <c r="R532" s="10"/>
      <c r="S532" s="10"/>
      <c r="T532" s="10"/>
      <c r="U532" s="10"/>
      <c r="V532" s="4" t="s">
        <v>85</v>
      </c>
      <c r="W532" s="4"/>
      <c r="X532" s="8">
        <v>45121</v>
      </c>
      <c r="Y532" s="4"/>
      <c r="Z532" s="4"/>
      <c r="AA532" s="8">
        <v>45123</v>
      </c>
      <c r="AB532" s="8">
        <v>45125</v>
      </c>
      <c r="AC532" s="4"/>
      <c r="AD532" s="4"/>
    </row>
    <row r="533" spans="1:30" hidden="1">
      <c r="A533" s="4">
        <v>444</v>
      </c>
      <c r="B533" s="8">
        <v>45111</v>
      </c>
      <c r="C533" s="4"/>
      <c r="D533" s="4" t="s">
        <v>42</v>
      </c>
      <c r="E533" s="8">
        <v>45122</v>
      </c>
      <c r="F533" s="4" t="s">
        <v>43</v>
      </c>
      <c r="G533" s="40" t="s">
        <v>60</v>
      </c>
      <c r="H533" s="4" t="s">
        <v>45</v>
      </c>
      <c r="I533" s="4" t="s">
        <v>48</v>
      </c>
      <c r="J533" s="10">
        <v>24.576899999999995</v>
      </c>
      <c r="K533" s="10">
        <f>3.947+4.801+10.827+2.593+0.622+1.872</f>
        <v>24.662000000000003</v>
      </c>
      <c r="L533" s="10">
        <f t="shared" si="45"/>
        <v>0</v>
      </c>
      <c r="M533" s="10">
        <f t="shared" si="48"/>
        <v>0</v>
      </c>
      <c r="N533" s="10"/>
      <c r="O533" s="10"/>
      <c r="P533" s="10">
        <v>0</v>
      </c>
      <c r="Q533" s="10"/>
      <c r="R533" s="10"/>
      <c r="S533" s="10"/>
      <c r="T533" s="10"/>
      <c r="U533" s="10"/>
      <c r="V533" s="4" t="s">
        <v>85</v>
      </c>
      <c r="W533" s="4"/>
      <c r="X533" s="8"/>
      <c r="Y533" s="4"/>
      <c r="Z533" s="4"/>
      <c r="AA533" s="8">
        <v>45120</v>
      </c>
      <c r="AB533" s="8">
        <v>45125</v>
      </c>
      <c r="AC533" s="4"/>
      <c r="AD533" s="4"/>
    </row>
    <row r="534" spans="1:30" hidden="1">
      <c r="A534" s="4">
        <v>444</v>
      </c>
      <c r="B534" s="8">
        <v>45111</v>
      </c>
      <c r="C534" s="4"/>
      <c r="D534" s="4" t="s">
        <v>42</v>
      </c>
      <c r="E534" s="8">
        <v>45122</v>
      </c>
      <c r="F534" s="4" t="s">
        <v>43</v>
      </c>
      <c r="G534" s="40" t="s">
        <v>60</v>
      </c>
      <c r="H534" s="4" t="s">
        <v>45</v>
      </c>
      <c r="I534" s="4" t="s">
        <v>89</v>
      </c>
      <c r="J534" s="10">
        <v>54.123469999999998</v>
      </c>
      <c r="K534" s="10">
        <f>22.292+31.199+0.713</f>
        <v>54.204000000000001</v>
      </c>
      <c r="L534" s="10">
        <f t="shared" si="45"/>
        <v>0</v>
      </c>
      <c r="M534" s="10">
        <f t="shared" si="48"/>
        <v>0</v>
      </c>
      <c r="N534" s="10"/>
      <c r="O534" s="10"/>
      <c r="P534" s="10">
        <v>0</v>
      </c>
      <c r="Q534" s="10"/>
      <c r="R534" s="10"/>
      <c r="S534" s="10"/>
      <c r="T534" s="10"/>
      <c r="U534" s="10"/>
      <c r="V534" s="4" t="s">
        <v>85</v>
      </c>
      <c r="W534" s="4"/>
      <c r="X534" s="8">
        <v>45116</v>
      </c>
      <c r="Y534" s="4"/>
      <c r="Z534" s="4"/>
      <c r="AA534" s="8">
        <v>45119</v>
      </c>
      <c r="AB534" s="8">
        <v>45122</v>
      </c>
      <c r="AC534" s="4"/>
      <c r="AD534" s="4"/>
    </row>
    <row r="535" spans="1:30" hidden="1">
      <c r="A535" s="4">
        <v>444</v>
      </c>
      <c r="B535" s="8">
        <v>45111</v>
      </c>
      <c r="C535" s="4"/>
      <c r="D535" s="4" t="s">
        <v>42</v>
      </c>
      <c r="E535" s="8">
        <v>45122</v>
      </c>
      <c r="F535" s="4" t="s">
        <v>43</v>
      </c>
      <c r="G535" s="40" t="s">
        <v>60</v>
      </c>
      <c r="H535" s="4" t="s">
        <v>45</v>
      </c>
      <c r="I535" s="4" t="s">
        <v>87</v>
      </c>
      <c r="J535" s="10">
        <v>17.940908999999998</v>
      </c>
      <c r="K535" s="10">
        <f>11.545+5.916+0.483+0.069</f>
        <v>18.012999999999998</v>
      </c>
      <c r="L535" s="10">
        <f t="shared" si="45"/>
        <v>0</v>
      </c>
      <c r="M535" s="10">
        <f t="shared" si="48"/>
        <v>0</v>
      </c>
      <c r="N535" s="10"/>
      <c r="O535" s="10"/>
      <c r="P535" s="10">
        <v>0</v>
      </c>
      <c r="Q535" s="10"/>
      <c r="R535" s="10"/>
      <c r="S535" s="10"/>
      <c r="T535" s="10"/>
      <c r="U535" s="10"/>
      <c r="V535" s="4" t="s">
        <v>85</v>
      </c>
      <c r="W535" s="4"/>
      <c r="X535" s="8">
        <v>45117</v>
      </c>
      <c r="Y535" s="4"/>
      <c r="Z535" s="4"/>
      <c r="AA535" s="8">
        <v>45121</v>
      </c>
      <c r="AB535" s="8">
        <v>45123</v>
      </c>
      <c r="AC535" s="4"/>
      <c r="AD535" s="4"/>
    </row>
    <row r="536" spans="1:30" hidden="1">
      <c r="A536" s="4">
        <v>444</v>
      </c>
      <c r="B536" s="8">
        <v>45111</v>
      </c>
      <c r="C536" s="4"/>
      <c r="D536" s="4" t="s">
        <v>42</v>
      </c>
      <c r="E536" s="8">
        <v>45122</v>
      </c>
      <c r="F536" s="4" t="s">
        <v>43</v>
      </c>
      <c r="G536" s="40" t="s">
        <v>60</v>
      </c>
      <c r="H536" s="4" t="s">
        <v>45</v>
      </c>
      <c r="I536" s="4" t="s">
        <v>125</v>
      </c>
      <c r="J536" s="10">
        <v>2.3505850000000001</v>
      </c>
      <c r="K536" s="10">
        <v>2.351</v>
      </c>
      <c r="L536" s="10">
        <f t="shared" si="45"/>
        <v>0</v>
      </c>
      <c r="M536" s="10">
        <f t="shared" si="48"/>
        <v>0</v>
      </c>
      <c r="N536" s="10"/>
      <c r="O536" s="10"/>
      <c r="P536" s="10">
        <v>0</v>
      </c>
      <c r="Q536" s="10"/>
      <c r="R536" s="10"/>
      <c r="S536" s="10"/>
      <c r="T536" s="10"/>
      <c r="U536" s="10"/>
      <c r="V536" s="4" t="s">
        <v>85</v>
      </c>
      <c r="W536" s="4"/>
      <c r="X536" s="8">
        <v>45117</v>
      </c>
      <c r="Y536" s="4"/>
      <c r="Z536" s="4"/>
      <c r="AA536" s="8">
        <v>45119</v>
      </c>
      <c r="AB536" s="8">
        <v>45119</v>
      </c>
      <c r="AC536" s="4"/>
      <c r="AD536" s="4"/>
    </row>
    <row r="537" spans="1:30" hidden="1">
      <c r="A537" s="4">
        <v>443</v>
      </c>
      <c r="B537" s="8">
        <v>45111</v>
      </c>
      <c r="C537" s="4"/>
      <c r="D537" s="4" t="s">
        <v>42</v>
      </c>
      <c r="E537" s="8">
        <v>45122</v>
      </c>
      <c r="F537" s="4" t="s">
        <v>43</v>
      </c>
      <c r="G537" s="15" t="s">
        <v>19</v>
      </c>
      <c r="H537" s="4" t="s">
        <v>45</v>
      </c>
      <c r="I537" s="4" t="s">
        <v>56</v>
      </c>
      <c r="J537" s="10">
        <v>0.67410000000000003</v>
      </c>
      <c r="K537" s="10">
        <v>0.85699999999999998</v>
      </c>
      <c r="L537" s="10">
        <f t="shared" si="45"/>
        <v>0</v>
      </c>
      <c r="M537" s="10">
        <f t="shared" si="48"/>
        <v>0</v>
      </c>
      <c r="N537" s="10"/>
      <c r="O537" s="10"/>
      <c r="P537" s="10">
        <v>0</v>
      </c>
      <c r="Q537" s="10"/>
      <c r="R537" s="10"/>
      <c r="S537" s="10"/>
      <c r="T537" s="10"/>
      <c r="U537" s="10"/>
      <c r="V537" s="4" t="s">
        <v>813</v>
      </c>
      <c r="W537" s="4"/>
      <c r="X537" s="8">
        <v>45121</v>
      </c>
      <c r="Y537" s="4"/>
      <c r="Z537" s="4"/>
      <c r="AA537" s="8">
        <v>45125</v>
      </c>
      <c r="AB537" s="8">
        <v>45125</v>
      </c>
      <c r="AC537" s="4"/>
      <c r="AD537" s="4"/>
    </row>
    <row r="538" spans="1:30" hidden="1">
      <c r="A538" s="4">
        <v>443</v>
      </c>
      <c r="B538" s="8">
        <v>45111</v>
      </c>
      <c r="C538" s="4"/>
      <c r="D538" s="4" t="s">
        <v>42</v>
      </c>
      <c r="E538" s="8">
        <v>45122</v>
      </c>
      <c r="F538" s="4" t="s">
        <v>43</v>
      </c>
      <c r="G538" s="15" t="s">
        <v>19</v>
      </c>
      <c r="H538" s="4" t="s">
        <v>45</v>
      </c>
      <c r="I538" s="4" t="s">
        <v>48</v>
      </c>
      <c r="J538" s="10">
        <v>0.21960000000000002</v>
      </c>
      <c r="K538" s="10">
        <v>0.22</v>
      </c>
      <c r="L538" s="10">
        <f t="shared" si="45"/>
        <v>0</v>
      </c>
      <c r="M538" s="10">
        <f t="shared" si="48"/>
        <v>0</v>
      </c>
      <c r="N538" s="10"/>
      <c r="O538" s="10"/>
      <c r="P538" s="10">
        <v>0</v>
      </c>
      <c r="Q538" s="10"/>
      <c r="R538" s="10"/>
      <c r="S538" s="10"/>
      <c r="T538" s="10"/>
      <c r="U538" s="10"/>
      <c r="V538" s="4" t="s">
        <v>813</v>
      </c>
      <c r="W538" s="4"/>
      <c r="X538" s="8"/>
      <c r="Y538" s="4"/>
      <c r="Z538" s="4"/>
      <c r="AA538" s="8">
        <v>45123</v>
      </c>
      <c r="AB538" s="8">
        <v>45123</v>
      </c>
      <c r="AC538" s="4"/>
      <c r="AD538" s="4"/>
    </row>
    <row r="539" spans="1:30" hidden="1">
      <c r="A539" s="4">
        <v>443</v>
      </c>
      <c r="B539" s="8">
        <v>45111</v>
      </c>
      <c r="C539" s="4"/>
      <c r="D539" s="4" t="s">
        <v>42</v>
      </c>
      <c r="E539" s="8">
        <v>45122</v>
      </c>
      <c r="F539" s="4" t="s">
        <v>43</v>
      </c>
      <c r="G539" s="15" t="s">
        <v>21</v>
      </c>
      <c r="H539" s="4" t="s">
        <v>52</v>
      </c>
      <c r="I539" s="4" t="s">
        <v>56</v>
      </c>
      <c r="J539" s="10">
        <v>6.4200000000000007E-2</v>
      </c>
      <c r="K539" s="10">
        <v>0.08</v>
      </c>
      <c r="L539" s="10">
        <f t="shared" si="45"/>
        <v>0</v>
      </c>
      <c r="M539" s="10">
        <f t="shared" si="48"/>
        <v>0</v>
      </c>
      <c r="N539" s="10"/>
      <c r="O539" s="10"/>
      <c r="P539" s="10"/>
      <c r="Q539" s="10"/>
      <c r="R539" s="10"/>
      <c r="S539" s="10">
        <v>0</v>
      </c>
      <c r="T539" s="10"/>
      <c r="U539" s="10"/>
      <c r="V539" s="4" t="s">
        <v>813</v>
      </c>
      <c r="W539" s="4" t="s">
        <v>521</v>
      </c>
      <c r="X539" s="8">
        <v>45122</v>
      </c>
      <c r="Y539" s="4"/>
      <c r="Z539" s="4"/>
      <c r="AA539" s="8"/>
      <c r="AB539" s="8"/>
      <c r="AC539" s="4"/>
      <c r="AD539" s="4"/>
    </row>
    <row r="540" spans="1:30" hidden="1">
      <c r="A540" s="4">
        <v>419</v>
      </c>
      <c r="B540" s="8">
        <v>45111</v>
      </c>
      <c r="C540" s="4"/>
      <c r="D540" s="4" t="s">
        <v>42</v>
      </c>
      <c r="E540" s="8">
        <v>45114</v>
      </c>
      <c r="F540" s="4" t="s">
        <v>43</v>
      </c>
      <c r="G540" s="16" t="s">
        <v>51</v>
      </c>
      <c r="H540" s="4" t="s">
        <v>52</v>
      </c>
      <c r="I540" s="4" t="s">
        <v>403</v>
      </c>
      <c r="J540" s="10">
        <v>1.9505000000000001</v>
      </c>
      <c r="K540" s="10">
        <v>1.998</v>
      </c>
      <c r="L540" s="10">
        <f t="shared" si="45"/>
        <v>0</v>
      </c>
      <c r="M540" s="10">
        <f t="shared" ref="M540:M568" si="49">SUM(N540:T540)</f>
        <v>0</v>
      </c>
      <c r="N540" s="10"/>
      <c r="O540" s="10"/>
      <c r="P540" s="10">
        <v>0</v>
      </c>
      <c r="Q540" s="10"/>
      <c r="R540" s="10"/>
      <c r="S540" s="10"/>
      <c r="T540" s="10"/>
      <c r="U540" s="10"/>
      <c r="V540" s="4" t="s">
        <v>22</v>
      </c>
      <c r="W540" s="4"/>
      <c r="X540" s="8">
        <v>45127</v>
      </c>
      <c r="Y540" s="4"/>
      <c r="Z540" s="4"/>
      <c r="AA540" s="8">
        <v>45129</v>
      </c>
      <c r="AB540" s="8">
        <v>45129</v>
      </c>
      <c r="AC540" s="4"/>
      <c r="AD540" s="4"/>
    </row>
    <row r="541" spans="1:30" hidden="1">
      <c r="A541" s="4">
        <v>419</v>
      </c>
      <c r="B541" s="8">
        <v>45111</v>
      </c>
      <c r="C541" s="4"/>
      <c r="D541" s="4" t="s">
        <v>42</v>
      </c>
      <c r="E541" s="8">
        <v>45114</v>
      </c>
      <c r="F541" s="4" t="s">
        <v>43</v>
      </c>
      <c r="G541" s="16" t="s">
        <v>51</v>
      </c>
      <c r="H541" s="4" t="s">
        <v>52</v>
      </c>
      <c r="I541" s="4" t="s">
        <v>46</v>
      </c>
      <c r="J541" s="10">
        <v>1.2649600000000001</v>
      </c>
      <c r="K541" s="10">
        <v>1.2649999999999999</v>
      </c>
      <c r="L541" s="10">
        <f t="shared" si="45"/>
        <v>0</v>
      </c>
      <c r="M541" s="10">
        <f t="shared" si="49"/>
        <v>0</v>
      </c>
      <c r="N541" s="10"/>
      <c r="O541" s="10"/>
      <c r="P541" s="10">
        <v>0</v>
      </c>
      <c r="Q541" s="10"/>
      <c r="R541" s="10"/>
      <c r="S541" s="10"/>
      <c r="T541" s="10"/>
      <c r="U541" s="10"/>
      <c r="V541" s="4" t="s">
        <v>22</v>
      </c>
      <c r="W541" s="4"/>
      <c r="X541" s="8">
        <v>45127</v>
      </c>
      <c r="Y541" s="4"/>
      <c r="Z541" s="4"/>
      <c r="AA541" s="8">
        <v>45129</v>
      </c>
      <c r="AB541" s="8">
        <v>45129</v>
      </c>
      <c r="AC541" s="4"/>
      <c r="AD541" s="4"/>
    </row>
    <row r="542" spans="1:30" hidden="1">
      <c r="A542" s="4">
        <v>420</v>
      </c>
      <c r="B542" s="8">
        <v>45111</v>
      </c>
      <c r="C542" s="4"/>
      <c r="D542" s="4" t="s">
        <v>42</v>
      </c>
      <c r="E542" s="8">
        <v>45114</v>
      </c>
      <c r="F542" s="4" t="s">
        <v>840</v>
      </c>
      <c r="G542" s="16" t="s">
        <v>44</v>
      </c>
      <c r="H542" s="4" t="s">
        <v>45</v>
      </c>
      <c r="I542" s="4" t="s">
        <v>54</v>
      </c>
      <c r="J542" s="10">
        <v>1.7779200000000002</v>
      </c>
      <c r="K542" s="10">
        <v>1.778</v>
      </c>
      <c r="L542" s="10">
        <f t="shared" si="45"/>
        <v>0</v>
      </c>
      <c r="M542" s="10">
        <f t="shared" si="49"/>
        <v>0</v>
      </c>
      <c r="N542" s="10"/>
      <c r="O542" s="10"/>
      <c r="P542" s="10">
        <v>0</v>
      </c>
      <c r="Q542" s="10"/>
      <c r="R542" s="10"/>
      <c r="S542" s="10"/>
      <c r="T542" s="10"/>
      <c r="U542" s="10"/>
      <c r="V542" s="4" t="s">
        <v>841</v>
      </c>
      <c r="W542" s="4" t="s">
        <v>842</v>
      </c>
      <c r="X542" s="8">
        <v>45124</v>
      </c>
      <c r="Y542" s="4"/>
      <c r="Z542" s="4"/>
      <c r="AA542" s="8">
        <v>45127</v>
      </c>
      <c r="AB542" s="8">
        <v>45127</v>
      </c>
      <c r="AC542" s="4"/>
      <c r="AD542" s="4"/>
    </row>
    <row r="543" spans="1:30" hidden="1">
      <c r="A543" s="4">
        <v>420</v>
      </c>
      <c r="B543" s="8">
        <v>45111</v>
      </c>
      <c r="C543" s="4"/>
      <c r="D543" s="4" t="s">
        <v>42</v>
      </c>
      <c r="E543" s="8">
        <v>45114</v>
      </c>
      <c r="F543" s="4" t="s">
        <v>840</v>
      </c>
      <c r="G543" s="16" t="s">
        <v>44</v>
      </c>
      <c r="H543" s="4" t="s">
        <v>45</v>
      </c>
      <c r="I543" s="4" t="s">
        <v>56</v>
      </c>
      <c r="J543" s="10">
        <v>0.77255999999999991</v>
      </c>
      <c r="K543" s="10">
        <v>0.77300000000000002</v>
      </c>
      <c r="L543" s="10">
        <f t="shared" si="45"/>
        <v>0</v>
      </c>
      <c r="M543" s="10">
        <f t="shared" si="49"/>
        <v>0</v>
      </c>
      <c r="N543" s="10"/>
      <c r="O543" s="10"/>
      <c r="P543" s="10">
        <v>0</v>
      </c>
      <c r="Q543" s="10"/>
      <c r="R543" s="10"/>
      <c r="S543" s="10"/>
      <c r="T543" s="10"/>
      <c r="U543" s="10"/>
      <c r="V543" s="4" t="s">
        <v>841</v>
      </c>
      <c r="W543" s="4" t="s">
        <v>842</v>
      </c>
      <c r="X543" s="8">
        <v>45124</v>
      </c>
      <c r="Y543" s="4"/>
      <c r="Z543" s="4"/>
      <c r="AA543" s="8">
        <v>45127</v>
      </c>
      <c r="AB543" s="8">
        <v>45127</v>
      </c>
      <c r="AC543" s="4"/>
      <c r="AD543" s="4"/>
    </row>
    <row r="544" spans="1:30" hidden="1">
      <c r="A544" s="4">
        <v>420</v>
      </c>
      <c r="B544" s="8">
        <v>45111</v>
      </c>
      <c r="C544" s="4"/>
      <c r="D544" s="4" t="s">
        <v>42</v>
      </c>
      <c r="E544" s="8">
        <v>45114</v>
      </c>
      <c r="F544" s="4" t="s">
        <v>840</v>
      </c>
      <c r="G544" s="16" t="s">
        <v>44</v>
      </c>
      <c r="H544" s="4" t="s">
        <v>45</v>
      </c>
      <c r="I544" s="4" t="s">
        <v>405</v>
      </c>
      <c r="J544" s="10">
        <v>0.48960000000000004</v>
      </c>
      <c r="K544" s="10">
        <v>0.49</v>
      </c>
      <c r="L544" s="10">
        <f t="shared" si="45"/>
        <v>0</v>
      </c>
      <c r="M544" s="10">
        <f t="shared" si="49"/>
        <v>0</v>
      </c>
      <c r="N544" s="10"/>
      <c r="O544" s="10">
        <v>0</v>
      </c>
      <c r="P544" s="10"/>
      <c r="Q544" s="10"/>
      <c r="R544" s="10"/>
      <c r="S544" s="10"/>
      <c r="T544" s="10"/>
      <c r="U544" s="10"/>
      <c r="V544" s="4" t="s">
        <v>841</v>
      </c>
      <c r="W544" s="4" t="s">
        <v>842</v>
      </c>
      <c r="X544" s="8">
        <v>45127</v>
      </c>
      <c r="Y544" s="4"/>
      <c r="Z544" s="4"/>
      <c r="AA544" s="8">
        <v>45131</v>
      </c>
      <c r="AB544" s="8">
        <v>45131</v>
      </c>
      <c r="AC544" s="4"/>
      <c r="AD544" s="4"/>
    </row>
    <row r="545" spans="1:30" hidden="1">
      <c r="A545" s="4">
        <v>420</v>
      </c>
      <c r="B545" s="8">
        <v>45111</v>
      </c>
      <c r="C545" s="4"/>
      <c r="D545" s="4" t="s">
        <v>42</v>
      </c>
      <c r="E545" s="8">
        <v>45114</v>
      </c>
      <c r="F545" s="4" t="s">
        <v>840</v>
      </c>
      <c r="G545" s="16" t="s">
        <v>44</v>
      </c>
      <c r="H545" s="4" t="s">
        <v>45</v>
      </c>
      <c r="I545" s="4" t="s">
        <v>46</v>
      </c>
      <c r="J545" s="10">
        <v>2.7336</v>
      </c>
      <c r="K545" s="10">
        <v>2.734</v>
      </c>
      <c r="L545" s="10">
        <f t="shared" si="45"/>
        <v>0</v>
      </c>
      <c r="M545" s="10">
        <f t="shared" si="49"/>
        <v>0</v>
      </c>
      <c r="N545" s="10"/>
      <c r="O545" s="10"/>
      <c r="P545" s="10">
        <v>0</v>
      </c>
      <c r="Q545" s="10"/>
      <c r="R545" s="10"/>
      <c r="S545" s="10"/>
      <c r="T545" s="10"/>
      <c r="U545" s="10"/>
      <c r="V545" s="4" t="s">
        <v>841</v>
      </c>
      <c r="W545" s="4" t="s">
        <v>842</v>
      </c>
      <c r="X545" s="8">
        <v>45127</v>
      </c>
      <c r="Y545" s="4"/>
      <c r="Z545" s="4"/>
      <c r="AA545" s="8">
        <v>45128</v>
      </c>
      <c r="AB545" s="8">
        <v>45128</v>
      </c>
      <c r="AC545" s="4"/>
      <c r="AD545" s="4"/>
    </row>
    <row r="546" spans="1:30" hidden="1">
      <c r="A546" s="4">
        <v>421</v>
      </c>
      <c r="B546" s="8">
        <v>45111</v>
      </c>
      <c r="C546" s="4"/>
      <c r="D546" s="4" t="s">
        <v>42</v>
      </c>
      <c r="E546" s="8">
        <v>45114</v>
      </c>
      <c r="F546" s="4" t="s">
        <v>840</v>
      </c>
      <c r="G546" s="16" t="s">
        <v>44</v>
      </c>
      <c r="H546" s="4" t="s">
        <v>45</v>
      </c>
      <c r="I546" s="4" t="s">
        <v>54</v>
      </c>
      <c r="J546" s="10">
        <v>16.395756000000002</v>
      </c>
      <c r="K546" s="10">
        <f>9.608+6.876</f>
        <v>16.484000000000002</v>
      </c>
      <c r="L546" s="10">
        <f t="shared" si="45"/>
        <v>0</v>
      </c>
      <c r="M546" s="10">
        <f t="shared" si="49"/>
        <v>0</v>
      </c>
      <c r="N546" s="10"/>
      <c r="O546" s="10"/>
      <c r="P546" s="10">
        <v>0</v>
      </c>
      <c r="Q546" s="10"/>
      <c r="R546" s="10"/>
      <c r="S546" s="10"/>
      <c r="T546" s="10"/>
      <c r="U546" s="10"/>
      <c r="V546" s="4" t="s">
        <v>841</v>
      </c>
      <c r="W546" s="4"/>
      <c r="X546" s="8">
        <v>45124</v>
      </c>
      <c r="Y546" s="4"/>
      <c r="Z546" s="4"/>
      <c r="AA546" s="8">
        <v>45133</v>
      </c>
      <c r="AB546" s="8"/>
      <c r="AC546" s="4"/>
      <c r="AD546" s="4"/>
    </row>
    <row r="547" spans="1:30" hidden="1">
      <c r="A547" s="4">
        <v>421</v>
      </c>
      <c r="B547" s="8">
        <v>45111</v>
      </c>
      <c r="C547" s="4"/>
      <c r="D547" s="4" t="s">
        <v>42</v>
      </c>
      <c r="E547" s="8">
        <v>45114</v>
      </c>
      <c r="F547" s="4" t="s">
        <v>840</v>
      </c>
      <c r="G547" s="16" t="s">
        <v>44</v>
      </c>
      <c r="H547" s="4" t="s">
        <v>45</v>
      </c>
      <c r="I547" s="4" t="s">
        <v>56</v>
      </c>
      <c r="J547" s="10">
        <v>15.687260000000002</v>
      </c>
      <c r="K547" s="10">
        <f>13.345+2.5</f>
        <v>15.845000000000001</v>
      </c>
      <c r="L547" s="10">
        <f t="shared" si="45"/>
        <v>0</v>
      </c>
      <c r="M547" s="10">
        <f t="shared" si="49"/>
        <v>0</v>
      </c>
      <c r="N547" s="10"/>
      <c r="O547" s="10"/>
      <c r="P547" s="10">
        <v>0</v>
      </c>
      <c r="Q547" s="10"/>
      <c r="R547" s="10"/>
      <c r="S547" s="10"/>
      <c r="T547" s="10"/>
      <c r="U547" s="10"/>
      <c r="V547" s="4" t="s">
        <v>841</v>
      </c>
      <c r="W547" s="4"/>
      <c r="X547" s="8">
        <v>45124</v>
      </c>
      <c r="Y547" s="4"/>
      <c r="Z547" s="4"/>
      <c r="AA547" s="8">
        <v>45133</v>
      </c>
      <c r="AB547" s="8"/>
      <c r="AC547" s="4"/>
      <c r="AD547" s="4"/>
    </row>
    <row r="548" spans="1:30" hidden="1">
      <c r="A548" s="4">
        <v>421</v>
      </c>
      <c r="B548" s="8">
        <v>45111</v>
      </c>
      <c r="C548" s="4"/>
      <c r="D548" s="4" t="s">
        <v>42</v>
      </c>
      <c r="E548" s="8">
        <v>45114</v>
      </c>
      <c r="F548" s="4" t="s">
        <v>840</v>
      </c>
      <c r="G548" s="16" t="s">
        <v>44</v>
      </c>
      <c r="H548" s="4" t="s">
        <v>45</v>
      </c>
      <c r="I548" s="4" t="s">
        <v>48</v>
      </c>
      <c r="J548" s="10">
        <v>5.2909920000000001</v>
      </c>
      <c r="K548" s="10">
        <v>5.2910000000000004</v>
      </c>
      <c r="L548" s="10">
        <f t="shared" si="45"/>
        <v>0</v>
      </c>
      <c r="M548" s="10">
        <f t="shared" si="49"/>
        <v>0</v>
      </c>
      <c r="N548" s="10"/>
      <c r="O548" s="10"/>
      <c r="P548" s="10">
        <v>0</v>
      </c>
      <c r="Q548" s="10"/>
      <c r="R548" s="10"/>
      <c r="S548" s="10"/>
      <c r="T548" s="10"/>
      <c r="U548" s="10"/>
      <c r="V548" s="4" t="s">
        <v>841</v>
      </c>
      <c r="W548" s="4"/>
      <c r="X548" s="8">
        <v>45124</v>
      </c>
      <c r="Y548" s="4"/>
      <c r="Z548" s="4"/>
      <c r="AA548" s="8"/>
      <c r="AB548" s="8"/>
      <c r="AC548" s="4"/>
      <c r="AD548" s="4"/>
    </row>
    <row r="549" spans="1:30" hidden="1">
      <c r="A549" s="4">
        <v>421</v>
      </c>
      <c r="B549" s="8">
        <v>45111</v>
      </c>
      <c r="C549" s="4"/>
      <c r="D549" s="4" t="s">
        <v>42</v>
      </c>
      <c r="E549" s="8">
        <v>45114</v>
      </c>
      <c r="F549" s="4" t="s">
        <v>840</v>
      </c>
      <c r="G549" s="16" t="s">
        <v>44</v>
      </c>
      <c r="H549" s="4" t="s">
        <v>45</v>
      </c>
      <c r="I549" s="4" t="s">
        <v>403</v>
      </c>
      <c r="J549" s="10">
        <v>1.1407039999999999</v>
      </c>
      <c r="K549" s="10">
        <v>1.141</v>
      </c>
      <c r="L549" s="10">
        <f t="shared" si="45"/>
        <v>0</v>
      </c>
      <c r="M549" s="10">
        <f t="shared" si="49"/>
        <v>0</v>
      </c>
      <c r="N549" s="10"/>
      <c r="O549" s="10"/>
      <c r="P549" s="10">
        <v>0</v>
      </c>
      <c r="Q549" s="10"/>
      <c r="R549" s="10"/>
      <c r="S549" s="10"/>
      <c r="T549" s="10"/>
      <c r="U549" s="10"/>
      <c r="V549" s="4" t="s">
        <v>841</v>
      </c>
      <c r="W549" s="4"/>
      <c r="X549" s="8">
        <v>45127</v>
      </c>
      <c r="Y549" s="4"/>
      <c r="Z549" s="4"/>
      <c r="AA549" s="8">
        <v>45143</v>
      </c>
      <c r="AB549" s="8">
        <v>45143</v>
      </c>
      <c r="AC549" s="4"/>
      <c r="AD549" s="4"/>
    </row>
    <row r="550" spans="1:30" hidden="1">
      <c r="A550" s="4">
        <v>421</v>
      </c>
      <c r="B550" s="8">
        <v>45111</v>
      </c>
      <c r="C550" s="4"/>
      <c r="D550" s="4" t="s">
        <v>42</v>
      </c>
      <c r="E550" s="8">
        <v>45114</v>
      </c>
      <c r="F550" s="4" t="s">
        <v>840</v>
      </c>
      <c r="G550" s="16" t="s">
        <v>44</v>
      </c>
      <c r="H550" s="4" t="s">
        <v>45</v>
      </c>
      <c r="I550" s="4" t="s">
        <v>405</v>
      </c>
      <c r="J550" s="10">
        <v>2.2989999999999999</v>
      </c>
      <c r="K550" s="10">
        <v>2.2749999999999999</v>
      </c>
      <c r="L550" s="10">
        <f t="shared" si="45"/>
        <v>0</v>
      </c>
      <c r="M550" s="10">
        <f t="shared" si="49"/>
        <v>0</v>
      </c>
      <c r="N550" s="10"/>
      <c r="O550" s="10"/>
      <c r="P550" s="10">
        <v>0</v>
      </c>
      <c r="Q550" s="10"/>
      <c r="R550" s="10"/>
      <c r="S550" s="10"/>
      <c r="T550" s="10"/>
      <c r="U550" s="10"/>
      <c r="V550" s="4" t="s">
        <v>841</v>
      </c>
      <c r="W550" s="4"/>
      <c r="X550" s="8">
        <v>45127</v>
      </c>
      <c r="Y550" s="4"/>
      <c r="Z550" s="4"/>
      <c r="AA550" s="8">
        <v>45143</v>
      </c>
      <c r="AB550" s="8">
        <v>45143</v>
      </c>
      <c r="AC550" s="4"/>
      <c r="AD550" s="4"/>
    </row>
    <row r="551" spans="1:30" hidden="1">
      <c r="A551" s="4">
        <v>421</v>
      </c>
      <c r="B551" s="8">
        <v>45111</v>
      </c>
      <c r="C551" s="4"/>
      <c r="D551" s="4" t="s">
        <v>42</v>
      </c>
      <c r="E551" s="8">
        <v>45114</v>
      </c>
      <c r="F551" s="4" t="s">
        <v>840</v>
      </c>
      <c r="G551" s="16" t="s">
        <v>44</v>
      </c>
      <c r="H551" s="4" t="s">
        <v>45</v>
      </c>
      <c r="I551" s="4" t="s">
        <v>400</v>
      </c>
      <c r="J551" s="10">
        <v>22.535640000000001</v>
      </c>
      <c r="K551" s="10">
        <f>13.614+9.044</f>
        <v>22.658000000000001</v>
      </c>
      <c r="L551" s="10">
        <f t="shared" si="45"/>
        <v>0</v>
      </c>
      <c r="M551" s="10">
        <f t="shared" si="49"/>
        <v>0</v>
      </c>
      <c r="N551" s="10"/>
      <c r="O551" s="10"/>
      <c r="P551" s="10">
        <v>0</v>
      </c>
      <c r="Q551" s="10"/>
      <c r="R551" s="10"/>
      <c r="S551" s="10"/>
      <c r="T551" s="10"/>
      <c r="U551" s="10"/>
      <c r="V551" s="4" t="s">
        <v>841</v>
      </c>
      <c r="W551" s="4"/>
      <c r="X551" s="8">
        <v>45127</v>
      </c>
      <c r="Y551" s="4"/>
      <c r="Z551" s="4"/>
      <c r="AA551" s="8">
        <v>45142</v>
      </c>
      <c r="AB551" s="8">
        <v>45143</v>
      </c>
      <c r="AC551" s="4"/>
      <c r="AD551" s="4"/>
    </row>
    <row r="552" spans="1:30" hidden="1">
      <c r="A552" s="4">
        <v>421</v>
      </c>
      <c r="B552" s="8">
        <v>45111</v>
      </c>
      <c r="C552" s="4"/>
      <c r="D552" s="4" t="s">
        <v>42</v>
      </c>
      <c r="E552" s="8">
        <v>45114</v>
      </c>
      <c r="F552" s="4" t="s">
        <v>840</v>
      </c>
      <c r="G552" s="16" t="s">
        <v>44</v>
      </c>
      <c r="H552" s="4" t="s">
        <v>45</v>
      </c>
      <c r="I552" s="4" t="s">
        <v>46</v>
      </c>
      <c r="J552" s="10">
        <v>10.012479800193361</v>
      </c>
      <c r="K552" s="10">
        <f>3.989+5.422+0.735</f>
        <v>10.145999999999999</v>
      </c>
      <c r="L552" s="10">
        <f t="shared" si="45"/>
        <v>0</v>
      </c>
      <c r="M552" s="10">
        <f t="shared" si="49"/>
        <v>0</v>
      </c>
      <c r="N552" s="10"/>
      <c r="O552" s="10"/>
      <c r="P552" s="10"/>
      <c r="Q552" s="10"/>
      <c r="R552" s="10"/>
      <c r="S552" s="10"/>
      <c r="T552" s="10"/>
      <c r="U552" s="10"/>
      <c r="V552" s="4" t="s">
        <v>841</v>
      </c>
      <c r="W552" s="4"/>
      <c r="X552" s="8">
        <v>45127</v>
      </c>
      <c r="Y552" s="4"/>
      <c r="Z552" s="4"/>
      <c r="AA552" s="8">
        <v>45142</v>
      </c>
      <c r="AB552" s="8">
        <v>45143</v>
      </c>
      <c r="AC552" s="4"/>
      <c r="AD552" s="4"/>
    </row>
    <row r="553" spans="1:30" hidden="1">
      <c r="A553" s="4">
        <v>421</v>
      </c>
      <c r="B553" s="8">
        <v>45111</v>
      </c>
      <c r="C553" s="4"/>
      <c r="D553" s="4" t="s">
        <v>42</v>
      </c>
      <c r="E553" s="8">
        <v>45114</v>
      </c>
      <c r="F553" s="4" t="s">
        <v>840</v>
      </c>
      <c r="G553" s="16" t="s">
        <v>51</v>
      </c>
      <c r="H553" s="4" t="s">
        <v>52</v>
      </c>
      <c r="I553" s="4" t="s">
        <v>54</v>
      </c>
      <c r="J553" s="10">
        <v>1.33344</v>
      </c>
      <c r="K553" s="10">
        <v>1.333</v>
      </c>
      <c r="L553" s="10">
        <f t="shared" si="45"/>
        <v>0</v>
      </c>
      <c r="M553" s="10">
        <f t="shared" si="49"/>
        <v>0</v>
      </c>
      <c r="N553" s="10"/>
      <c r="O553" s="10"/>
      <c r="P553" s="10">
        <v>0</v>
      </c>
      <c r="Q553" s="10"/>
      <c r="R553" s="10"/>
      <c r="S553" s="10"/>
      <c r="T553" s="10"/>
      <c r="U553" s="10"/>
      <c r="V553" s="4" t="s">
        <v>841</v>
      </c>
      <c r="W553" s="4"/>
      <c r="X553" s="8">
        <v>45124</v>
      </c>
      <c r="Y553" s="4"/>
      <c r="Z553" s="4"/>
      <c r="AA553" s="8"/>
      <c r="AB553" s="8"/>
      <c r="AC553" s="4"/>
      <c r="AD553" s="4"/>
    </row>
    <row r="554" spans="1:30" hidden="1">
      <c r="A554" s="4">
        <v>428</v>
      </c>
      <c r="B554" s="8">
        <v>45111</v>
      </c>
      <c r="C554" s="4"/>
      <c r="D554" s="4" t="s">
        <v>42</v>
      </c>
      <c r="E554" s="8">
        <v>45114</v>
      </c>
      <c r="F554" s="4" t="s">
        <v>840</v>
      </c>
      <c r="G554" s="16" t="s">
        <v>44</v>
      </c>
      <c r="H554" s="4" t="s">
        <v>45</v>
      </c>
      <c r="I554" s="4" t="s">
        <v>54</v>
      </c>
      <c r="J554" s="10">
        <v>0.55200000000000005</v>
      </c>
      <c r="K554" s="10">
        <v>0.55600000000000005</v>
      </c>
      <c r="L554" s="10">
        <f t="shared" si="45"/>
        <v>0</v>
      </c>
      <c r="M554" s="10">
        <f t="shared" si="49"/>
        <v>0</v>
      </c>
      <c r="N554" s="10"/>
      <c r="O554" s="10"/>
      <c r="P554" s="10">
        <v>0</v>
      </c>
      <c r="Q554" s="10"/>
      <c r="R554" s="10"/>
      <c r="S554" s="10"/>
      <c r="T554" s="10"/>
      <c r="U554" s="10"/>
      <c r="V554" s="4" t="s">
        <v>841</v>
      </c>
      <c r="W554" s="4"/>
      <c r="X554" s="8">
        <v>45124</v>
      </c>
      <c r="Y554" s="4"/>
      <c r="Z554" s="4"/>
      <c r="AA554" s="8">
        <v>45133</v>
      </c>
      <c r="AB554" s="8">
        <v>45133</v>
      </c>
      <c r="AC554" s="4"/>
      <c r="AD554" s="4"/>
    </row>
    <row r="555" spans="1:30" hidden="1">
      <c r="A555" s="4">
        <v>428</v>
      </c>
      <c r="B555" s="8">
        <v>45111</v>
      </c>
      <c r="C555" s="4"/>
      <c r="D555" s="4" t="s">
        <v>42</v>
      </c>
      <c r="E555" s="8">
        <v>45114</v>
      </c>
      <c r="F555" s="4" t="s">
        <v>840</v>
      </c>
      <c r="G555" s="16" t="s">
        <v>44</v>
      </c>
      <c r="H555" s="4" t="s">
        <v>45</v>
      </c>
      <c r="I555" s="4" t="s">
        <v>56</v>
      </c>
      <c r="J555" s="10">
        <v>0.64200000000000002</v>
      </c>
      <c r="K555" s="10">
        <v>0.64400000000000002</v>
      </c>
      <c r="L555" s="10">
        <f t="shared" si="45"/>
        <v>0</v>
      </c>
      <c r="M555" s="10">
        <f t="shared" si="49"/>
        <v>0</v>
      </c>
      <c r="N555" s="10"/>
      <c r="O555" s="10"/>
      <c r="P555" s="10">
        <v>0</v>
      </c>
      <c r="Q555" s="10"/>
      <c r="R555" s="10"/>
      <c r="S555" s="10"/>
      <c r="T555" s="10"/>
      <c r="U555" s="10"/>
      <c r="V555" s="4" t="s">
        <v>841</v>
      </c>
      <c r="W555" s="4"/>
      <c r="X555" s="8">
        <v>45124</v>
      </c>
      <c r="Y555" s="4"/>
      <c r="Z555" s="4"/>
      <c r="AA555" s="8"/>
      <c r="AB555" s="8"/>
      <c r="AC555" s="4"/>
      <c r="AD555" s="4"/>
    </row>
    <row r="556" spans="1:30" hidden="1">
      <c r="A556" s="4">
        <v>428</v>
      </c>
      <c r="B556" s="8">
        <v>45111</v>
      </c>
      <c r="C556" s="4"/>
      <c r="D556" s="4" t="s">
        <v>42</v>
      </c>
      <c r="E556" s="8">
        <v>45114</v>
      </c>
      <c r="F556" s="4" t="s">
        <v>840</v>
      </c>
      <c r="G556" s="16" t="s">
        <v>44</v>
      </c>
      <c r="H556" s="4" t="s">
        <v>45</v>
      </c>
      <c r="I556" s="4" t="s">
        <v>48</v>
      </c>
      <c r="J556" s="10">
        <v>0.72599999999999998</v>
      </c>
      <c r="K556" s="10">
        <v>0.73099999999999998</v>
      </c>
      <c r="L556" s="10">
        <f t="shared" si="45"/>
        <v>0</v>
      </c>
      <c r="M556" s="10">
        <f t="shared" si="49"/>
        <v>0</v>
      </c>
      <c r="N556" s="10"/>
      <c r="O556" s="10"/>
      <c r="P556" s="10">
        <v>0</v>
      </c>
      <c r="Q556" s="10"/>
      <c r="R556" s="10"/>
      <c r="S556" s="10"/>
      <c r="T556" s="10"/>
      <c r="U556" s="10"/>
      <c r="V556" s="4" t="s">
        <v>841</v>
      </c>
      <c r="W556" s="4"/>
      <c r="X556" s="8">
        <v>45124</v>
      </c>
      <c r="Y556" s="4"/>
      <c r="Z556" s="4"/>
      <c r="AA556" s="8"/>
      <c r="AB556" s="8"/>
      <c r="AC556" s="4"/>
      <c r="AD556" s="4"/>
    </row>
    <row r="557" spans="1:30" hidden="1">
      <c r="A557" s="4">
        <v>428</v>
      </c>
      <c r="B557" s="8">
        <v>45111</v>
      </c>
      <c r="C557" s="4"/>
      <c r="D557" s="4" t="s">
        <v>42</v>
      </c>
      <c r="E557" s="8">
        <v>45114</v>
      </c>
      <c r="F557" s="4" t="s">
        <v>840</v>
      </c>
      <c r="G557" s="16" t="s">
        <v>44</v>
      </c>
      <c r="H557" s="4" t="s">
        <v>45</v>
      </c>
      <c r="I557" s="4" t="s">
        <v>403</v>
      </c>
      <c r="J557" s="10">
        <v>0.996</v>
      </c>
      <c r="K557" s="10">
        <v>0.995</v>
      </c>
      <c r="L557" s="10">
        <f t="shared" si="45"/>
        <v>0</v>
      </c>
      <c r="M557" s="10">
        <f t="shared" si="49"/>
        <v>0</v>
      </c>
      <c r="N557" s="10"/>
      <c r="O557" s="10"/>
      <c r="P557" s="10">
        <v>0</v>
      </c>
      <c r="Q557" s="10"/>
      <c r="R557" s="10"/>
      <c r="S557" s="10"/>
      <c r="T557" s="10"/>
      <c r="U557" s="10"/>
      <c r="V557" s="4" t="s">
        <v>841</v>
      </c>
      <c r="W557" s="4"/>
      <c r="X557" s="8">
        <v>45127</v>
      </c>
      <c r="Y557" s="4"/>
      <c r="Z557" s="4"/>
      <c r="AA557" s="8">
        <v>45143</v>
      </c>
      <c r="AB557" s="8">
        <v>45143</v>
      </c>
      <c r="AC557" s="4"/>
      <c r="AD557" s="4"/>
    </row>
    <row r="558" spans="1:30" hidden="1">
      <c r="A558" s="4">
        <v>428</v>
      </c>
      <c r="B558" s="8">
        <v>45111</v>
      </c>
      <c r="C558" s="4"/>
      <c r="D558" s="4" t="s">
        <v>42</v>
      </c>
      <c r="E558" s="8">
        <v>45114</v>
      </c>
      <c r="F558" s="4" t="s">
        <v>840</v>
      </c>
      <c r="G558" s="16" t="s">
        <v>44</v>
      </c>
      <c r="H558" s="4" t="s">
        <v>45</v>
      </c>
      <c r="I558" s="4" t="s">
        <v>405</v>
      </c>
      <c r="J558" s="10">
        <v>0.61199999999999999</v>
      </c>
      <c r="K558" s="10">
        <v>0.61199999999999999</v>
      </c>
      <c r="L558" s="10">
        <f t="shared" si="45"/>
        <v>0</v>
      </c>
      <c r="M558" s="10">
        <f t="shared" si="49"/>
        <v>0</v>
      </c>
      <c r="N558" s="10"/>
      <c r="O558" s="10"/>
      <c r="P558" s="10">
        <v>0</v>
      </c>
      <c r="Q558" s="10"/>
      <c r="R558" s="10"/>
      <c r="S558" s="10"/>
      <c r="T558" s="10"/>
      <c r="U558" s="10"/>
      <c r="V558" s="4" t="s">
        <v>841</v>
      </c>
      <c r="W558" s="4"/>
      <c r="X558" s="8">
        <v>45127</v>
      </c>
      <c r="Y558" s="4"/>
      <c r="Z558" s="4"/>
      <c r="AA558" s="8">
        <v>45143</v>
      </c>
      <c r="AB558" s="8">
        <v>45143</v>
      </c>
      <c r="AC558" s="4"/>
      <c r="AD558" s="4"/>
    </row>
    <row r="559" spans="1:30" hidden="1">
      <c r="A559" s="4">
        <v>428</v>
      </c>
      <c r="B559" s="8">
        <v>45111</v>
      </c>
      <c r="C559" s="4"/>
      <c r="D559" s="4" t="s">
        <v>42</v>
      </c>
      <c r="E559" s="8">
        <v>45114</v>
      </c>
      <c r="F559" s="4" t="s">
        <v>840</v>
      </c>
      <c r="G559" s="16" t="s">
        <v>44</v>
      </c>
      <c r="H559" s="4" t="s">
        <v>45</v>
      </c>
      <c r="I559" s="4" t="s">
        <v>400</v>
      </c>
      <c r="J559" s="10">
        <v>0.70799999999999996</v>
      </c>
      <c r="K559" s="10">
        <v>0.70799999999999996</v>
      </c>
      <c r="L559" s="10">
        <f t="shared" si="45"/>
        <v>0</v>
      </c>
      <c r="M559" s="10">
        <f t="shared" si="49"/>
        <v>0</v>
      </c>
      <c r="N559" s="10"/>
      <c r="O559" s="10"/>
      <c r="P559" s="10">
        <v>0</v>
      </c>
      <c r="Q559" s="10"/>
      <c r="R559" s="10"/>
      <c r="S559" s="10"/>
      <c r="T559" s="10"/>
      <c r="U559" s="10"/>
      <c r="V559" s="4" t="s">
        <v>841</v>
      </c>
      <c r="W559" s="4"/>
      <c r="X559" s="8">
        <v>45127</v>
      </c>
      <c r="Y559" s="4"/>
      <c r="Z559" s="4"/>
      <c r="AA559" s="8">
        <v>45142</v>
      </c>
      <c r="AB559" s="8">
        <v>45142</v>
      </c>
      <c r="AC559" s="4"/>
      <c r="AD559" s="4"/>
    </row>
    <row r="560" spans="1:30" hidden="1">
      <c r="A560" s="4">
        <v>428</v>
      </c>
      <c r="B560" s="8">
        <v>45111</v>
      </c>
      <c r="C560" s="4"/>
      <c r="D560" s="4" t="s">
        <v>42</v>
      </c>
      <c r="E560" s="8">
        <v>45114</v>
      </c>
      <c r="F560" s="4" t="s">
        <v>840</v>
      </c>
      <c r="G560" s="16" t="s">
        <v>44</v>
      </c>
      <c r="H560" s="4" t="s">
        <v>45</v>
      </c>
      <c r="I560" s="4" t="s">
        <v>46</v>
      </c>
      <c r="J560" s="10">
        <v>0.80400000000000005</v>
      </c>
      <c r="K560" s="10">
        <v>0.80400000000000005</v>
      </c>
      <c r="L560" s="10">
        <f t="shared" si="45"/>
        <v>0</v>
      </c>
      <c r="M560" s="10">
        <f t="shared" si="49"/>
        <v>0</v>
      </c>
      <c r="N560" s="10"/>
      <c r="O560" s="10"/>
      <c r="P560" s="10">
        <v>0</v>
      </c>
      <c r="Q560" s="10"/>
      <c r="R560" s="10"/>
      <c r="S560" s="10"/>
      <c r="T560" s="10"/>
      <c r="U560" s="10"/>
      <c r="V560" s="4" t="s">
        <v>841</v>
      </c>
      <c r="W560" s="4"/>
      <c r="X560" s="8">
        <v>45127</v>
      </c>
      <c r="Y560" s="4"/>
      <c r="Z560" s="4"/>
      <c r="AA560" s="8">
        <v>45142</v>
      </c>
      <c r="AB560" s="8">
        <v>45142</v>
      </c>
      <c r="AC560" s="4"/>
      <c r="AD560" s="4"/>
    </row>
    <row r="561" spans="1:30" hidden="1">
      <c r="A561" s="4">
        <v>428</v>
      </c>
      <c r="B561" s="8">
        <v>45111</v>
      </c>
      <c r="C561" s="4"/>
      <c r="D561" s="4" t="s">
        <v>42</v>
      </c>
      <c r="E561" s="8">
        <v>45114</v>
      </c>
      <c r="F561" s="4" t="s">
        <v>840</v>
      </c>
      <c r="G561" s="16" t="s">
        <v>51</v>
      </c>
      <c r="H561" s="4" t="s">
        <v>52</v>
      </c>
      <c r="I561" s="4" t="s">
        <v>57</v>
      </c>
      <c r="J561" s="10">
        <v>0.89400000000000002</v>
      </c>
      <c r="K561" s="10">
        <v>0.90200000000000002</v>
      </c>
      <c r="L561" s="10">
        <f t="shared" ref="L561:L618" si="50">M561+U561</f>
        <v>0</v>
      </c>
      <c r="M561" s="10">
        <f t="shared" si="49"/>
        <v>0</v>
      </c>
      <c r="N561" s="10"/>
      <c r="O561" s="10"/>
      <c r="P561" s="10">
        <v>0</v>
      </c>
      <c r="Q561" s="10"/>
      <c r="R561" s="10"/>
      <c r="S561" s="10"/>
      <c r="T561" s="10"/>
      <c r="U561" s="10"/>
      <c r="V561" s="4" t="s">
        <v>841</v>
      </c>
      <c r="W561" s="4"/>
      <c r="X561" s="8">
        <v>45124</v>
      </c>
      <c r="Y561" s="4"/>
      <c r="Z561" s="4"/>
      <c r="AA561" s="8"/>
      <c r="AB561" s="8"/>
      <c r="AC561" s="4"/>
      <c r="AD561" s="4"/>
    </row>
    <row r="562" spans="1:30" hidden="1">
      <c r="A562" s="4">
        <v>428</v>
      </c>
      <c r="B562" s="8">
        <v>45111</v>
      </c>
      <c r="C562" s="4"/>
      <c r="D562" s="4" t="s">
        <v>42</v>
      </c>
      <c r="E562" s="8">
        <v>45114</v>
      </c>
      <c r="F562" s="4" t="s">
        <v>840</v>
      </c>
      <c r="G562" s="16" t="s">
        <v>51</v>
      </c>
      <c r="H562" s="4" t="s">
        <v>52</v>
      </c>
      <c r="I562" s="4" t="s">
        <v>54</v>
      </c>
      <c r="J562" s="10">
        <v>0.55200000000000005</v>
      </c>
      <c r="K562" s="10">
        <v>0.55600000000000005</v>
      </c>
      <c r="L562" s="10">
        <f t="shared" si="50"/>
        <v>0</v>
      </c>
      <c r="M562" s="10">
        <f t="shared" si="49"/>
        <v>0</v>
      </c>
      <c r="N562" s="10"/>
      <c r="O562" s="10"/>
      <c r="P562" s="10">
        <v>0</v>
      </c>
      <c r="Q562" s="10"/>
      <c r="R562" s="10"/>
      <c r="S562" s="10"/>
      <c r="T562" s="10"/>
      <c r="U562" s="10"/>
      <c r="V562" s="4" t="s">
        <v>841</v>
      </c>
      <c r="W562" s="4"/>
      <c r="X562" s="8">
        <v>45124</v>
      </c>
      <c r="Y562" s="4"/>
      <c r="Z562" s="4"/>
      <c r="AA562" s="8"/>
      <c r="AB562" s="8"/>
      <c r="AC562" s="4"/>
      <c r="AD562" s="4"/>
    </row>
    <row r="563" spans="1:30" hidden="1">
      <c r="A563" s="4">
        <v>428</v>
      </c>
      <c r="B563" s="8">
        <v>45111</v>
      </c>
      <c r="C563" s="4"/>
      <c r="D563" s="4" t="s">
        <v>42</v>
      </c>
      <c r="E563" s="8">
        <v>45114</v>
      </c>
      <c r="F563" s="4" t="s">
        <v>840</v>
      </c>
      <c r="G563" s="16" t="s">
        <v>51</v>
      </c>
      <c r="H563" s="4" t="s">
        <v>52</v>
      </c>
      <c r="I563" s="4" t="s">
        <v>403</v>
      </c>
      <c r="J563" s="10">
        <v>0.996</v>
      </c>
      <c r="K563" s="10">
        <v>0.995</v>
      </c>
      <c r="L563" s="10">
        <f t="shared" si="50"/>
        <v>0</v>
      </c>
      <c r="M563" s="10">
        <f t="shared" si="49"/>
        <v>0</v>
      </c>
      <c r="N563" s="10"/>
      <c r="O563" s="10"/>
      <c r="P563" s="10">
        <v>0</v>
      </c>
      <c r="Q563" s="10"/>
      <c r="R563" s="10"/>
      <c r="S563" s="10"/>
      <c r="T563" s="10"/>
      <c r="U563" s="10"/>
      <c r="V563" s="4" t="s">
        <v>841</v>
      </c>
      <c r="W563" s="4"/>
      <c r="X563" s="8">
        <v>45127</v>
      </c>
      <c r="Y563" s="4"/>
      <c r="Z563" s="4"/>
      <c r="AA563" s="8">
        <v>45143</v>
      </c>
      <c r="AB563" s="8">
        <v>45143</v>
      </c>
      <c r="AC563" s="4"/>
      <c r="AD563" s="4"/>
    </row>
    <row r="564" spans="1:30" hidden="1">
      <c r="A564" s="4">
        <v>428</v>
      </c>
      <c r="B564" s="8">
        <v>45111</v>
      </c>
      <c r="C564" s="4"/>
      <c r="D564" s="4" t="s">
        <v>42</v>
      </c>
      <c r="E564" s="8">
        <v>45114</v>
      </c>
      <c r="F564" s="4" t="s">
        <v>840</v>
      </c>
      <c r="G564" s="16" t="s">
        <v>51</v>
      </c>
      <c r="H564" s="4" t="s">
        <v>52</v>
      </c>
      <c r="I564" s="4" t="s">
        <v>405</v>
      </c>
      <c r="J564" s="10">
        <v>0.61199999999999999</v>
      </c>
      <c r="K564" s="10">
        <v>0.61199999999999999</v>
      </c>
      <c r="L564" s="10">
        <f t="shared" si="50"/>
        <v>0</v>
      </c>
      <c r="M564" s="10">
        <f t="shared" si="49"/>
        <v>0</v>
      </c>
      <c r="N564" s="10"/>
      <c r="O564" s="10"/>
      <c r="P564" s="10">
        <v>0</v>
      </c>
      <c r="Q564" s="10"/>
      <c r="R564" s="10"/>
      <c r="S564" s="10"/>
      <c r="T564" s="10"/>
      <c r="U564" s="10"/>
      <c r="V564" s="4" t="s">
        <v>841</v>
      </c>
      <c r="W564" s="4"/>
      <c r="X564" s="8">
        <v>45127</v>
      </c>
      <c r="Y564" s="4"/>
      <c r="Z564" s="4"/>
      <c r="AA564" s="8">
        <v>45142</v>
      </c>
      <c r="AB564" s="8">
        <v>45142</v>
      </c>
      <c r="AC564" s="4"/>
      <c r="AD564" s="4"/>
    </row>
    <row r="565" spans="1:30" hidden="1">
      <c r="A565" s="4">
        <v>429</v>
      </c>
      <c r="B565" s="8">
        <v>45111</v>
      </c>
      <c r="C565" s="4"/>
      <c r="D565" s="4" t="s">
        <v>42</v>
      </c>
      <c r="E565" s="8">
        <v>45114</v>
      </c>
      <c r="F565" s="4" t="s">
        <v>840</v>
      </c>
      <c r="G565" s="16" t="s">
        <v>44</v>
      </c>
      <c r="H565" s="4" t="s">
        <v>45</v>
      </c>
      <c r="I565" s="4" t="s">
        <v>54</v>
      </c>
      <c r="J565" s="10">
        <v>1.7779200000000002</v>
      </c>
      <c r="K565" s="10">
        <v>1.778</v>
      </c>
      <c r="L565" s="10">
        <f t="shared" si="50"/>
        <v>0</v>
      </c>
      <c r="M565" s="10">
        <f t="shared" si="49"/>
        <v>0</v>
      </c>
      <c r="N565" s="10"/>
      <c r="O565" s="10"/>
      <c r="P565" s="10">
        <v>0</v>
      </c>
      <c r="Q565" s="10"/>
      <c r="R565" s="10"/>
      <c r="S565" s="10"/>
      <c r="T565" s="10"/>
      <c r="U565" s="10"/>
      <c r="V565" s="4" t="s">
        <v>841</v>
      </c>
      <c r="W565" s="4"/>
      <c r="X565" s="8">
        <v>45124</v>
      </c>
      <c r="Y565" s="4"/>
      <c r="Z565" s="4"/>
      <c r="AA565" s="8">
        <v>45133</v>
      </c>
      <c r="AB565" s="8">
        <v>45133</v>
      </c>
      <c r="AC565" s="4"/>
      <c r="AD565" s="4"/>
    </row>
    <row r="566" spans="1:30" hidden="1">
      <c r="A566" s="4">
        <v>429</v>
      </c>
      <c r="B566" s="8">
        <v>45111</v>
      </c>
      <c r="C566" s="4"/>
      <c r="D566" s="4" t="s">
        <v>42</v>
      </c>
      <c r="E566" s="8">
        <v>45114</v>
      </c>
      <c r="F566" s="4" t="s">
        <v>840</v>
      </c>
      <c r="G566" s="16" t="s">
        <v>44</v>
      </c>
      <c r="H566" s="4" t="s">
        <v>45</v>
      </c>
      <c r="I566" s="4" t="s">
        <v>56</v>
      </c>
      <c r="J566" s="10">
        <v>0.77255999999999991</v>
      </c>
      <c r="K566" s="10">
        <v>0.77300000000000002</v>
      </c>
      <c r="L566" s="10">
        <f t="shared" si="50"/>
        <v>0</v>
      </c>
      <c r="M566" s="10">
        <f t="shared" si="49"/>
        <v>0</v>
      </c>
      <c r="N566" s="10"/>
      <c r="O566" s="10"/>
      <c r="P566" s="10">
        <v>0</v>
      </c>
      <c r="Q566" s="10"/>
      <c r="R566" s="10"/>
      <c r="S566" s="10"/>
      <c r="T566" s="10"/>
      <c r="U566" s="10"/>
      <c r="V566" s="4" t="s">
        <v>841</v>
      </c>
      <c r="W566" s="4"/>
      <c r="X566" s="8">
        <v>45124</v>
      </c>
      <c r="Y566" s="4"/>
      <c r="Z566" s="4"/>
      <c r="AA566" s="8">
        <v>45133</v>
      </c>
      <c r="AB566" s="8">
        <v>45133</v>
      </c>
      <c r="AC566" s="4"/>
      <c r="AD566" s="4"/>
    </row>
    <row r="567" spans="1:30" hidden="1">
      <c r="A567" s="4">
        <v>429</v>
      </c>
      <c r="B567" s="8">
        <v>45111</v>
      </c>
      <c r="C567" s="4"/>
      <c r="D567" s="4" t="s">
        <v>42</v>
      </c>
      <c r="E567" s="8">
        <v>45114</v>
      </c>
      <c r="F567" s="4" t="s">
        <v>840</v>
      </c>
      <c r="G567" s="16" t="s">
        <v>44</v>
      </c>
      <c r="H567" s="4" t="s">
        <v>45</v>
      </c>
      <c r="I567" s="4" t="s">
        <v>405</v>
      </c>
      <c r="J567" s="10">
        <v>0.48960000000000004</v>
      </c>
      <c r="K567" s="10">
        <v>0.49</v>
      </c>
      <c r="L567" s="10">
        <f t="shared" si="50"/>
        <v>0</v>
      </c>
      <c r="M567" s="10">
        <f t="shared" si="49"/>
        <v>0</v>
      </c>
      <c r="N567" s="10"/>
      <c r="O567" s="10"/>
      <c r="P567" s="10">
        <v>0</v>
      </c>
      <c r="Q567" s="10"/>
      <c r="R567" s="10"/>
      <c r="S567" s="10"/>
      <c r="T567" s="10"/>
      <c r="U567" s="10"/>
      <c r="V567" s="4" t="s">
        <v>841</v>
      </c>
      <c r="W567" s="4"/>
      <c r="X567" s="8">
        <v>45127</v>
      </c>
      <c r="Y567" s="4"/>
      <c r="Z567" s="4"/>
      <c r="AA567" s="8">
        <v>45143</v>
      </c>
      <c r="AB567" s="8">
        <v>45143</v>
      </c>
      <c r="AC567" s="4"/>
      <c r="AD567" s="4"/>
    </row>
    <row r="568" spans="1:30" hidden="1">
      <c r="A568" s="4">
        <v>429</v>
      </c>
      <c r="B568" s="8">
        <v>45111</v>
      </c>
      <c r="C568" s="4"/>
      <c r="D568" s="4" t="s">
        <v>42</v>
      </c>
      <c r="E568" s="8">
        <v>45114</v>
      </c>
      <c r="F568" s="4" t="s">
        <v>840</v>
      </c>
      <c r="G568" s="16" t="s">
        <v>44</v>
      </c>
      <c r="H568" s="4" t="s">
        <v>45</v>
      </c>
      <c r="I568" s="4" t="s">
        <v>46</v>
      </c>
      <c r="J568" s="10">
        <v>2.7336</v>
      </c>
      <c r="K568" s="10">
        <v>2.734</v>
      </c>
      <c r="L568" s="10">
        <f t="shared" si="50"/>
        <v>0</v>
      </c>
      <c r="M568" s="10">
        <f t="shared" si="49"/>
        <v>0</v>
      </c>
      <c r="N568" s="10"/>
      <c r="O568" s="10"/>
      <c r="P568" s="10">
        <v>0</v>
      </c>
      <c r="Q568" s="10"/>
      <c r="R568" s="10"/>
      <c r="S568" s="10"/>
      <c r="T568" s="10"/>
      <c r="U568" s="10"/>
      <c r="V568" s="4" t="s">
        <v>841</v>
      </c>
      <c r="W568" s="4"/>
      <c r="X568" s="8">
        <v>45127</v>
      </c>
      <c r="Y568" s="4"/>
      <c r="Z568" s="4"/>
      <c r="AA568" s="8">
        <v>45143</v>
      </c>
      <c r="AB568" s="8">
        <v>45143</v>
      </c>
      <c r="AC568" s="4"/>
      <c r="AD568" s="4"/>
    </row>
    <row r="569" spans="1:30" hidden="1">
      <c r="A569" s="4">
        <v>445</v>
      </c>
      <c r="B569" s="8">
        <v>45111</v>
      </c>
      <c r="C569" s="4"/>
      <c r="D569" s="4" t="s">
        <v>42</v>
      </c>
      <c r="E569" s="8">
        <v>45122</v>
      </c>
      <c r="F569" s="4" t="s">
        <v>840</v>
      </c>
      <c r="G569" s="16" t="s">
        <v>44</v>
      </c>
      <c r="H569" s="4" t="s">
        <v>45</v>
      </c>
      <c r="I569" s="4" t="s">
        <v>54</v>
      </c>
      <c r="J569" s="10">
        <v>5.7782400000000003</v>
      </c>
      <c r="K569" s="10">
        <v>5.7779999999999996</v>
      </c>
      <c r="L569" s="10">
        <f t="shared" si="50"/>
        <v>0</v>
      </c>
      <c r="M569" s="10">
        <f t="shared" ref="M569:M597" si="51">SUM(N569:T569)</f>
        <v>0</v>
      </c>
      <c r="N569" s="10"/>
      <c r="O569" s="10"/>
      <c r="P569" s="10">
        <v>0</v>
      </c>
      <c r="Q569" s="10"/>
      <c r="R569" s="10"/>
      <c r="S569" s="10"/>
      <c r="T569" s="10"/>
      <c r="U569" s="10"/>
      <c r="V569" s="4" t="s">
        <v>841</v>
      </c>
      <c r="W569" s="4"/>
      <c r="X569" s="8">
        <v>45124</v>
      </c>
      <c r="Y569" s="4"/>
      <c r="Z569" s="4"/>
      <c r="AA569" s="8">
        <v>45133</v>
      </c>
      <c r="AB569" s="8">
        <v>45133</v>
      </c>
      <c r="AC569" s="4"/>
      <c r="AD569" s="4"/>
    </row>
    <row r="570" spans="1:30" hidden="1">
      <c r="A570" s="4">
        <v>445</v>
      </c>
      <c r="B570" s="8">
        <v>45111</v>
      </c>
      <c r="C570" s="4"/>
      <c r="D570" s="4" t="s">
        <v>42</v>
      </c>
      <c r="E570" s="8">
        <v>45122</v>
      </c>
      <c r="F570" s="4" t="s">
        <v>840</v>
      </c>
      <c r="G570" s="16" t="s">
        <v>44</v>
      </c>
      <c r="H570" s="4" t="s">
        <v>45</v>
      </c>
      <c r="I570" s="4" t="s">
        <v>56</v>
      </c>
      <c r="J570" s="10">
        <v>0.51503999999999994</v>
      </c>
      <c r="K570" s="10">
        <v>0.51500000000000001</v>
      </c>
      <c r="L570" s="10">
        <f t="shared" si="50"/>
        <v>0</v>
      </c>
      <c r="M570" s="10">
        <f t="shared" si="51"/>
        <v>0</v>
      </c>
      <c r="N570" s="10"/>
      <c r="O570" s="10"/>
      <c r="P570" s="10">
        <v>0</v>
      </c>
      <c r="Q570" s="10"/>
      <c r="R570" s="10"/>
      <c r="S570" s="10"/>
      <c r="T570" s="10"/>
      <c r="U570" s="10"/>
      <c r="V570" s="4" t="s">
        <v>841</v>
      </c>
      <c r="W570" s="4"/>
      <c r="X570" s="8">
        <v>45124</v>
      </c>
      <c r="Y570" s="4"/>
      <c r="Z570" s="4"/>
      <c r="AA570" s="8">
        <v>45133</v>
      </c>
      <c r="AB570" s="8">
        <v>45133</v>
      </c>
      <c r="AC570" s="4"/>
      <c r="AD570" s="4"/>
    </row>
    <row r="571" spans="1:30" hidden="1">
      <c r="A571" s="4">
        <v>445</v>
      </c>
      <c r="B571" s="8">
        <v>45111</v>
      </c>
      <c r="C571" s="4"/>
      <c r="D571" s="4" t="s">
        <v>42</v>
      </c>
      <c r="E571" s="8">
        <v>45122</v>
      </c>
      <c r="F571" s="4" t="s">
        <v>840</v>
      </c>
      <c r="G571" s="16" t="s">
        <v>44</v>
      </c>
      <c r="H571" s="4" t="s">
        <v>45</v>
      </c>
      <c r="I571" s="4" t="s">
        <v>405</v>
      </c>
      <c r="J571" s="10">
        <v>0.73440000000000005</v>
      </c>
      <c r="K571" s="10">
        <v>0.73399999999999999</v>
      </c>
      <c r="L571" s="10">
        <f t="shared" si="50"/>
        <v>0</v>
      </c>
      <c r="M571" s="10">
        <f t="shared" si="51"/>
        <v>0</v>
      </c>
      <c r="N571" s="10"/>
      <c r="O571" s="10"/>
      <c r="P571" s="10">
        <v>0</v>
      </c>
      <c r="Q571" s="10"/>
      <c r="R571" s="10"/>
      <c r="S571" s="10"/>
      <c r="T571" s="10"/>
      <c r="U571" s="10"/>
      <c r="V571" s="4" t="s">
        <v>841</v>
      </c>
      <c r="W571" s="4"/>
      <c r="X571" s="8">
        <v>45127</v>
      </c>
      <c r="Y571" s="4"/>
      <c r="Z571" s="4"/>
      <c r="AA571" s="8">
        <v>45143</v>
      </c>
      <c r="AB571" s="8">
        <v>45143</v>
      </c>
      <c r="AC571" s="4"/>
      <c r="AD571" s="4"/>
    </row>
    <row r="572" spans="1:30" hidden="1">
      <c r="A572" s="4">
        <v>445</v>
      </c>
      <c r="B572" s="8">
        <v>45111</v>
      </c>
      <c r="C572" s="4"/>
      <c r="D572" s="4" t="s">
        <v>42</v>
      </c>
      <c r="E572" s="8">
        <v>45122</v>
      </c>
      <c r="F572" s="4" t="s">
        <v>840</v>
      </c>
      <c r="G572" s="16" t="s">
        <v>44</v>
      </c>
      <c r="H572" s="4" t="s">
        <v>45</v>
      </c>
      <c r="I572" s="4" t="s">
        <v>46</v>
      </c>
      <c r="J572" s="10">
        <v>0.64319999999999999</v>
      </c>
      <c r="K572" s="10">
        <v>0.64300000000000002</v>
      </c>
      <c r="L572" s="10">
        <f t="shared" si="50"/>
        <v>0</v>
      </c>
      <c r="M572" s="10">
        <f t="shared" si="51"/>
        <v>0</v>
      </c>
      <c r="N572" s="10"/>
      <c r="O572" s="10"/>
      <c r="P572" s="10">
        <v>0</v>
      </c>
      <c r="Q572" s="10"/>
      <c r="R572" s="10"/>
      <c r="S572" s="10"/>
      <c r="T572" s="10"/>
      <c r="U572" s="10"/>
      <c r="V572" s="4" t="s">
        <v>841</v>
      </c>
      <c r="W572" s="4"/>
      <c r="X572" s="8">
        <v>45127</v>
      </c>
      <c r="Y572" s="4"/>
      <c r="Z572" s="4"/>
      <c r="AA572" s="8">
        <v>45142</v>
      </c>
      <c r="AB572" s="8">
        <v>45142</v>
      </c>
      <c r="AC572" s="4"/>
      <c r="AD572" s="4"/>
    </row>
    <row r="573" spans="1:30" hidden="1">
      <c r="A573" s="4">
        <v>445</v>
      </c>
      <c r="B573" s="8">
        <v>45111</v>
      </c>
      <c r="C573" s="4"/>
      <c r="D573" s="4" t="s">
        <v>42</v>
      </c>
      <c r="E573" s="8">
        <v>45122</v>
      </c>
      <c r="F573" s="4" t="s">
        <v>840</v>
      </c>
      <c r="G573" s="16" t="s">
        <v>51</v>
      </c>
      <c r="H573" s="4" t="s">
        <v>52</v>
      </c>
      <c r="I573" s="4" t="s">
        <v>405</v>
      </c>
      <c r="J573" s="10">
        <v>0.24480000000000002</v>
      </c>
      <c r="K573" s="10">
        <v>0.245</v>
      </c>
      <c r="L573" s="10">
        <f t="shared" si="50"/>
        <v>0</v>
      </c>
      <c r="M573" s="10">
        <f t="shared" si="51"/>
        <v>0</v>
      </c>
      <c r="N573" s="10"/>
      <c r="O573" s="10"/>
      <c r="P573" s="10">
        <v>0</v>
      </c>
      <c r="Q573" s="10"/>
      <c r="R573" s="10"/>
      <c r="S573" s="10"/>
      <c r="T573" s="10"/>
      <c r="U573" s="10"/>
      <c r="V573" s="4" t="s">
        <v>841</v>
      </c>
      <c r="W573" s="4"/>
      <c r="X573" s="8">
        <v>45127</v>
      </c>
      <c r="Y573" s="4"/>
      <c r="Z573" s="4"/>
      <c r="AA573" s="8">
        <v>45142</v>
      </c>
      <c r="AB573" s="8">
        <v>45142</v>
      </c>
      <c r="AC573" s="4"/>
      <c r="AD573" s="4"/>
    </row>
    <row r="574" spans="1:30" hidden="1">
      <c r="A574" s="4">
        <v>493</v>
      </c>
      <c r="B574" s="8">
        <v>45111</v>
      </c>
      <c r="C574" s="4"/>
      <c r="D574" s="4" t="s">
        <v>42</v>
      </c>
      <c r="E574" s="8">
        <v>45122</v>
      </c>
      <c r="F574" s="4" t="s">
        <v>43</v>
      </c>
      <c r="G574" s="40" t="s">
        <v>20</v>
      </c>
      <c r="H574" s="4" t="s">
        <v>45</v>
      </c>
      <c r="I574" s="4" t="s">
        <v>518</v>
      </c>
      <c r="J574" s="10">
        <v>5.1425519999999993</v>
      </c>
      <c r="K574" s="10">
        <v>5.4279999999999999</v>
      </c>
      <c r="L574" s="10">
        <f t="shared" si="50"/>
        <v>0</v>
      </c>
      <c r="M574" s="10">
        <f t="shared" si="51"/>
        <v>0</v>
      </c>
      <c r="N574" s="10"/>
      <c r="O574" s="10">
        <v>0</v>
      </c>
      <c r="P574" s="10"/>
      <c r="Q574" s="10"/>
      <c r="R574" s="10"/>
      <c r="S574" s="10"/>
      <c r="T574" s="10"/>
      <c r="U574" s="10"/>
      <c r="V574" s="4" t="s">
        <v>415</v>
      </c>
      <c r="W574" s="4"/>
      <c r="X574" s="8">
        <v>45132</v>
      </c>
      <c r="Y574" s="4"/>
      <c r="Z574" s="4"/>
      <c r="AA574" s="8">
        <v>45135</v>
      </c>
      <c r="AB574" s="8">
        <v>45135</v>
      </c>
      <c r="AC574" s="4"/>
      <c r="AD574" s="4"/>
    </row>
    <row r="575" spans="1:30" hidden="1">
      <c r="A575" s="4">
        <v>496</v>
      </c>
      <c r="B575" s="8">
        <v>45111</v>
      </c>
      <c r="C575" s="4"/>
      <c r="D575" s="4" t="s">
        <v>42</v>
      </c>
      <c r="E575" s="8">
        <v>45122</v>
      </c>
      <c r="F575" s="4" t="s">
        <v>43</v>
      </c>
      <c r="G575" s="16" t="s">
        <v>44</v>
      </c>
      <c r="H575" s="4" t="s">
        <v>45</v>
      </c>
      <c r="I575" s="4" t="s">
        <v>403</v>
      </c>
      <c r="J575" s="10">
        <v>0.19920000000000002</v>
      </c>
      <c r="K575" s="10">
        <v>0.19900000000000001</v>
      </c>
      <c r="L575" s="10">
        <f t="shared" si="50"/>
        <v>0</v>
      </c>
      <c r="M575" s="10">
        <f t="shared" si="51"/>
        <v>0</v>
      </c>
      <c r="N575" s="10"/>
      <c r="O575" s="10"/>
      <c r="P575" s="10">
        <v>0</v>
      </c>
      <c r="Q575" s="10"/>
      <c r="R575" s="10"/>
      <c r="S575" s="10"/>
      <c r="T575" s="10"/>
      <c r="U575" s="10"/>
      <c r="V575" s="4" t="s">
        <v>22</v>
      </c>
      <c r="W575" s="4"/>
      <c r="X575" s="8">
        <v>45127</v>
      </c>
      <c r="Y575" s="4"/>
      <c r="Z575" s="4"/>
      <c r="AA575" s="8">
        <v>45131</v>
      </c>
      <c r="AB575" s="8">
        <v>45131</v>
      </c>
      <c r="AC575" s="4"/>
      <c r="AD575" s="4"/>
    </row>
    <row r="576" spans="1:30" hidden="1">
      <c r="A576" s="4">
        <v>496</v>
      </c>
      <c r="B576" s="8">
        <v>45111</v>
      </c>
      <c r="C576" s="4"/>
      <c r="D576" s="4" t="s">
        <v>42</v>
      </c>
      <c r="E576" s="8">
        <v>45122</v>
      </c>
      <c r="F576" s="4" t="s">
        <v>43</v>
      </c>
      <c r="G576" s="16" t="s">
        <v>44</v>
      </c>
      <c r="H576" s="4" t="s">
        <v>45</v>
      </c>
      <c r="I576" s="4" t="s">
        <v>405</v>
      </c>
      <c r="J576" s="10">
        <v>0.32130000000000003</v>
      </c>
      <c r="K576" s="10">
        <v>0.32300000000000001</v>
      </c>
      <c r="L576" s="10">
        <f t="shared" si="50"/>
        <v>0</v>
      </c>
      <c r="M576" s="10">
        <f t="shared" si="51"/>
        <v>0</v>
      </c>
      <c r="N576" s="10"/>
      <c r="O576" s="10"/>
      <c r="P576" s="10">
        <v>0</v>
      </c>
      <c r="Q576" s="10"/>
      <c r="R576" s="10"/>
      <c r="S576" s="10"/>
      <c r="T576" s="10"/>
      <c r="U576" s="10"/>
      <c r="V576" s="4" t="s">
        <v>22</v>
      </c>
      <c r="W576" s="4"/>
      <c r="X576" s="8">
        <v>45125</v>
      </c>
      <c r="Y576" s="4"/>
      <c r="Z576" s="4"/>
      <c r="AA576" s="8">
        <v>45129</v>
      </c>
      <c r="AB576" s="8">
        <v>45129</v>
      </c>
      <c r="AC576" s="4"/>
      <c r="AD576" s="4"/>
    </row>
    <row r="577" spans="1:30" hidden="1">
      <c r="A577" s="4">
        <v>496</v>
      </c>
      <c r="B577" s="8">
        <v>45111</v>
      </c>
      <c r="C577" s="4"/>
      <c r="D577" s="4" t="s">
        <v>42</v>
      </c>
      <c r="E577" s="8">
        <v>45122</v>
      </c>
      <c r="F577" s="4" t="s">
        <v>43</v>
      </c>
      <c r="G577" s="16" t="s">
        <v>44</v>
      </c>
      <c r="H577" s="4" t="s">
        <v>45</v>
      </c>
      <c r="I577" s="4" t="s">
        <v>400</v>
      </c>
      <c r="J577" s="10">
        <v>2.2656000000000001</v>
      </c>
      <c r="K577" s="10">
        <v>2.266</v>
      </c>
      <c r="L577" s="10">
        <f t="shared" si="50"/>
        <v>0</v>
      </c>
      <c r="M577" s="10">
        <f t="shared" si="51"/>
        <v>0</v>
      </c>
      <c r="N577" s="10"/>
      <c r="O577" s="10"/>
      <c r="P577" s="10">
        <v>0</v>
      </c>
      <c r="Q577" s="10"/>
      <c r="R577" s="10"/>
      <c r="S577" s="10"/>
      <c r="T577" s="10"/>
      <c r="U577" s="10"/>
      <c r="V577" s="4" t="s">
        <v>22</v>
      </c>
      <c r="W577" s="4"/>
      <c r="X577" s="8">
        <v>45125</v>
      </c>
      <c r="Y577" s="4"/>
      <c r="Z577" s="4"/>
      <c r="AA577" s="8">
        <v>45128</v>
      </c>
      <c r="AB577" s="8">
        <v>45128</v>
      </c>
      <c r="AC577" s="4"/>
      <c r="AD577" s="4"/>
    </row>
    <row r="578" spans="1:30" hidden="1">
      <c r="A578" s="4">
        <v>496</v>
      </c>
      <c r="B578" s="8">
        <v>45111</v>
      </c>
      <c r="C578" s="4"/>
      <c r="D578" s="4" t="s">
        <v>42</v>
      </c>
      <c r="E578" s="8">
        <v>45122</v>
      </c>
      <c r="F578" s="4" t="s">
        <v>43</v>
      </c>
      <c r="G578" s="16" t="s">
        <v>44</v>
      </c>
      <c r="H578" s="4" t="s">
        <v>45</v>
      </c>
      <c r="I578" s="4" t="s">
        <v>50</v>
      </c>
      <c r="J578" s="10">
        <v>1.0290000000000001</v>
      </c>
      <c r="K578" s="10">
        <v>1.1819999999999999</v>
      </c>
      <c r="L578" s="10">
        <f t="shared" si="50"/>
        <v>0</v>
      </c>
      <c r="M578" s="10">
        <f t="shared" si="51"/>
        <v>0</v>
      </c>
      <c r="N578" s="10"/>
      <c r="O578" s="10"/>
      <c r="P578" s="10">
        <v>0</v>
      </c>
      <c r="Q578" s="10"/>
      <c r="R578" s="10"/>
      <c r="S578" s="10"/>
      <c r="T578" s="10"/>
      <c r="U578" s="10"/>
      <c r="V578" s="4" t="s">
        <v>22</v>
      </c>
      <c r="W578" s="4"/>
      <c r="X578" s="8">
        <v>45129</v>
      </c>
      <c r="Y578" s="4"/>
      <c r="Z578" s="4"/>
      <c r="AA578" s="8">
        <v>45131</v>
      </c>
      <c r="AB578" s="8">
        <v>45131</v>
      </c>
      <c r="AC578" s="4"/>
      <c r="AD578" s="4"/>
    </row>
    <row r="579" spans="1:30" hidden="1">
      <c r="A579" s="4">
        <v>496</v>
      </c>
      <c r="B579" s="8">
        <v>45111</v>
      </c>
      <c r="C579" s="4"/>
      <c r="D579" s="4" t="s">
        <v>42</v>
      </c>
      <c r="E579" s="8">
        <v>45122</v>
      </c>
      <c r="F579" s="4" t="s">
        <v>43</v>
      </c>
      <c r="G579" s="16" t="s">
        <v>44</v>
      </c>
      <c r="H579" s="4" t="s">
        <v>45</v>
      </c>
      <c r="I579" s="4" t="s">
        <v>588</v>
      </c>
      <c r="J579" s="10">
        <v>0.47767500000000002</v>
      </c>
      <c r="K579" s="10">
        <v>0.54500000000000004</v>
      </c>
      <c r="L579" s="10">
        <f t="shared" si="50"/>
        <v>0</v>
      </c>
      <c r="M579" s="10">
        <f t="shared" si="51"/>
        <v>0</v>
      </c>
      <c r="N579" s="10"/>
      <c r="O579" s="10"/>
      <c r="P579" s="10">
        <v>0</v>
      </c>
      <c r="Q579" s="10"/>
      <c r="R579" s="10"/>
      <c r="S579" s="10"/>
      <c r="T579" s="10"/>
      <c r="U579" s="10"/>
      <c r="V579" s="4" t="s">
        <v>22</v>
      </c>
      <c r="W579" s="4"/>
      <c r="X579" s="8">
        <v>45128</v>
      </c>
      <c r="Y579" s="4"/>
      <c r="Z579" s="4"/>
      <c r="AA579" s="8">
        <v>45131</v>
      </c>
      <c r="AB579" s="8">
        <v>45131</v>
      </c>
      <c r="AC579" s="4"/>
      <c r="AD579" s="4"/>
    </row>
    <row r="580" spans="1:30" hidden="1">
      <c r="A580" s="4">
        <v>496</v>
      </c>
      <c r="B580" s="8">
        <v>45111</v>
      </c>
      <c r="C580" s="4"/>
      <c r="D580" s="4" t="s">
        <v>42</v>
      </c>
      <c r="E580" s="8">
        <v>45122</v>
      </c>
      <c r="F580" s="4" t="s">
        <v>43</v>
      </c>
      <c r="G580" s="16" t="s">
        <v>44</v>
      </c>
      <c r="H580" s="4" t="s">
        <v>45</v>
      </c>
      <c r="I580" s="4" t="s">
        <v>579</v>
      </c>
      <c r="J580" s="10">
        <v>0.7268</v>
      </c>
      <c r="K580" s="10">
        <v>0.85299999999999998</v>
      </c>
      <c r="L580" s="10">
        <f t="shared" si="50"/>
        <v>0</v>
      </c>
      <c r="M580" s="10">
        <f t="shared" si="51"/>
        <v>0</v>
      </c>
      <c r="N580" s="10"/>
      <c r="O580" s="10"/>
      <c r="P580" s="10"/>
      <c r="Q580" s="10"/>
      <c r="R580" s="10"/>
      <c r="S580" s="10">
        <v>0</v>
      </c>
      <c r="T580" s="10"/>
      <c r="U580" s="10"/>
      <c r="V580" s="4" t="s">
        <v>22</v>
      </c>
      <c r="W580" s="4" t="s">
        <v>521</v>
      </c>
      <c r="X580" s="8"/>
      <c r="Y580" s="4"/>
      <c r="Z580" s="4"/>
      <c r="AA580" s="8">
        <v>45135</v>
      </c>
      <c r="AB580" s="8">
        <v>45135</v>
      </c>
      <c r="AC580" s="4"/>
      <c r="AD580" s="4"/>
    </row>
    <row r="581" spans="1:30" hidden="1">
      <c r="A581" s="4">
        <v>496</v>
      </c>
      <c r="B581" s="8">
        <v>45111</v>
      </c>
      <c r="C581" s="4"/>
      <c r="D581" s="4" t="s">
        <v>42</v>
      </c>
      <c r="E581" s="8">
        <v>45122</v>
      </c>
      <c r="F581" s="4" t="s">
        <v>43</v>
      </c>
      <c r="G581" s="16" t="s">
        <v>44</v>
      </c>
      <c r="H581" s="4" t="s">
        <v>45</v>
      </c>
      <c r="I581" s="4" t="s">
        <v>448</v>
      </c>
      <c r="J581" s="10">
        <v>1.29792</v>
      </c>
      <c r="K581" s="10">
        <v>1.474</v>
      </c>
      <c r="L581" s="10">
        <f t="shared" si="50"/>
        <v>0</v>
      </c>
      <c r="M581" s="10">
        <f t="shared" si="51"/>
        <v>0</v>
      </c>
      <c r="N581" s="10"/>
      <c r="O581" s="10"/>
      <c r="P581" s="10"/>
      <c r="Q581" s="10"/>
      <c r="R581" s="10"/>
      <c r="S581" s="10">
        <v>0</v>
      </c>
      <c r="T581" s="10"/>
      <c r="U581" s="10"/>
      <c r="V581" s="4" t="s">
        <v>22</v>
      </c>
      <c r="W581" s="4" t="s">
        <v>521</v>
      </c>
      <c r="X581" s="8"/>
      <c r="Y581" s="4"/>
      <c r="Z581" s="4"/>
      <c r="AA581" s="8">
        <v>45135</v>
      </c>
      <c r="AB581" s="8">
        <v>45135</v>
      </c>
      <c r="AC581" s="4"/>
      <c r="AD581" s="4"/>
    </row>
    <row r="582" spans="1:30" hidden="1">
      <c r="A582" s="4">
        <v>496</v>
      </c>
      <c r="B582" s="8">
        <v>45111</v>
      </c>
      <c r="C582" s="4"/>
      <c r="D582" s="4" t="s">
        <v>42</v>
      </c>
      <c r="E582" s="8">
        <v>45122</v>
      </c>
      <c r="F582" s="4" t="s">
        <v>43</v>
      </c>
      <c r="G582" s="16" t="s">
        <v>51</v>
      </c>
      <c r="H582" s="4" t="s">
        <v>52</v>
      </c>
      <c r="I582" s="4" t="s">
        <v>405</v>
      </c>
      <c r="J582" s="10">
        <v>0.97920000000000007</v>
      </c>
      <c r="K582" s="10">
        <v>0.97899999999999998</v>
      </c>
      <c r="L582" s="10">
        <f t="shared" si="50"/>
        <v>0</v>
      </c>
      <c r="M582" s="10">
        <f t="shared" si="51"/>
        <v>0</v>
      </c>
      <c r="N582" s="10"/>
      <c r="O582" s="10"/>
      <c r="P582" s="10">
        <v>0</v>
      </c>
      <c r="Q582" s="10"/>
      <c r="R582" s="10"/>
      <c r="S582" s="10"/>
      <c r="T582" s="10"/>
      <c r="U582" s="10"/>
      <c r="V582" s="4" t="s">
        <v>22</v>
      </c>
      <c r="W582" s="4"/>
      <c r="X582" s="8"/>
      <c r="Y582" s="4"/>
      <c r="Z582" s="4"/>
      <c r="AA582" s="8">
        <v>45135</v>
      </c>
      <c r="AB582" s="8">
        <v>45135</v>
      </c>
      <c r="AC582" s="4"/>
      <c r="AD582" s="4"/>
    </row>
    <row r="583" spans="1:30" hidden="1">
      <c r="A583" s="4">
        <v>499</v>
      </c>
      <c r="B583" s="8">
        <v>45111</v>
      </c>
      <c r="C583" s="4"/>
      <c r="D583" s="4" t="s">
        <v>42</v>
      </c>
      <c r="E583" s="8">
        <v>45122</v>
      </c>
      <c r="F583" s="4" t="s">
        <v>43</v>
      </c>
      <c r="G583" s="40" t="s">
        <v>60</v>
      </c>
      <c r="H583" s="4" t="s">
        <v>45</v>
      </c>
      <c r="I583" s="4" t="s">
        <v>46</v>
      </c>
      <c r="J583" s="10">
        <v>3.2256</v>
      </c>
      <c r="K583" s="10">
        <v>3.2160000000000002</v>
      </c>
      <c r="L583" s="10">
        <f t="shared" si="50"/>
        <v>0</v>
      </c>
      <c r="M583" s="10">
        <f t="shared" si="51"/>
        <v>0</v>
      </c>
      <c r="N583" s="10"/>
      <c r="O583" s="10"/>
      <c r="P583" s="10">
        <v>0</v>
      </c>
      <c r="Q583" s="10"/>
      <c r="R583" s="10"/>
      <c r="S583" s="10"/>
      <c r="T583" s="10"/>
      <c r="U583" s="10"/>
      <c r="V583" s="4" t="s">
        <v>661</v>
      </c>
      <c r="W583" s="4"/>
      <c r="X583" s="8">
        <v>45125</v>
      </c>
      <c r="Y583" s="4"/>
      <c r="Z583" s="4"/>
      <c r="AA583" s="8">
        <v>45127</v>
      </c>
      <c r="AB583" s="8">
        <v>45127</v>
      </c>
      <c r="AC583" s="4"/>
      <c r="AD583" s="4"/>
    </row>
    <row r="584" spans="1:30" hidden="1">
      <c r="A584" s="4">
        <v>497</v>
      </c>
      <c r="B584" s="8">
        <v>45111</v>
      </c>
      <c r="C584" s="4"/>
      <c r="D584" s="4" t="s">
        <v>42</v>
      </c>
      <c r="E584" s="8">
        <v>45130</v>
      </c>
      <c r="F584" s="4" t="s">
        <v>43</v>
      </c>
      <c r="G584" s="40" t="s">
        <v>60</v>
      </c>
      <c r="H584" s="4" t="s">
        <v>45</v>
      </c>
      <c r="I584" s="4" t="s">
        <v>403</v>
      </c>
      <c r="J584" s="10">
        <v>19.690919999999998</v>
      </c>
      <c r="K584" s="10">
        <f>8.46+9.834+1.484</f>
        <v>19.777999999999999</v>
      </c>
      <c r="L584" s="10">
        <f t="shared" si="50"/>
        <v>0</v>
      </c>
      <c r="M584" s="10">
        <f t="shared" si="51"/>
        <v>0</v>
      </c>
      <c r="N584" s="10"/>
      <c r="O584" s="10"/>
      <c r="P584" s="10">
        <v>0</v>
      </c>
      <c r="Q584" s="10"/>
      <c r="R584" s="10"/>
      <c r="S584" s="10"/>
      <c r="T584" s="10"/>
      <c r="U584" s="10"/>
      <c r="V584" s="4" t="s">
        <v>85</v>
      </c>
      <c r="W584" s="4"/>
      <c r="X584" s="8">
        <v>45127</v>
      </c>
      <c r="Y584" s="4"/>
      <c r="Z584" s="4"/>
      <c r="AA584" s="8">
        <v>45128</v>
      </c>
      <c r="AB584" s="8"/>
      <c r="AC584" s="4"/>
      <c r="AD584" s="4"/>
    </row>
    <row r="585" spans="1:30" hidden="1">
      <c r="A585" s="4">
        <v>497</v>
      </c>
      <c r="B585" s="8">
        <v>45111</v>
      </c>
      <c r="C585" s="4"/>
      <c r="D585" s="4" t="s">
        <v>42</v>
      </c>
      <c r="E585" s="8">
        <v>45130</v>
      </c>
      <c r="F585" s="4" t="s">
        <v>43</v>
      </c>
      <c r="G585" s="40" t="s">
        <v>60</v>
      </c>
      <c r="H585" s="4" t="s">
        <v>45</v>
      </c>
      <c r="I585" s="4" t="s">
        <v>400</v>
      </c>
      <c r="J585" s="10">
        <v>23.142159999999997</v>
      </c>
      <c r="K585" s="10">
        <f>8.196+11.937+3.103</f>
        <v>23.236000000000001</v>
      </c>
      <c r="L585" s="10">
        <f t="shared" si="50"/>
        <v>0</v>
      </c>
      <c r="M585" s="10">
        <f t="shared" si="51"/>
        <v>0</v>
      </c>
      <c r="N585" s="10"/>
      <c r="O585" s="10"/>
      <c r="P585" s="10">
        <v>0</v>
      </c>
      <c r="Q585" s="10"/>
      <c r="R585" s="10"/>
      <c r="S585" s="10"/>
      <c r="T585" s="10"/>
      <c r="U585" s="10"/>
      <c r="V585" s="4" t="s">
        <v>85</v>
      </c>
      <c r="W585" s="4"/>
      <c r="X585" s="8">
        <v>45125</v>
      </c>
      <c r="Y585" s="4"/>
      <c r="Z585" s="4"/>
      <c r="AA585" s="8">
        <v>45128</v>
      </c>
      <c r="AB585" s="8">
        <v>45129</v>
      </c>
      <c r="AC585" s="4"/>
      <c r="AD585" s="4"/>
    </row>
    <row r="586" spans="1:30" hidden="1">
      <c r="A586" s="4">
        <v>497</v>
      </c>
      <c r="B586" s="8">
        <v>45111</v>
      </c>
      <c r="C586" s="4"/>
      <c r="D586" s="4" t="s">
        <v>42</v>
      </c>
      <c r="E586" s="8">
        <v>45130</v>
      </c>
      <c r="F586" s="4" t="s">
        <v>43</v>
      </c>
      <c r="G586" s="40" t="s">
        <v>60</v>
      </c>
      <c r="H586" s="4" t="s">
        <v>45</v>
      </c>
      <c r="I586" s="4" t="s">
        <v>46</v>
      </c>
      <c r="J586" s="10">
        <v>23.696559999999998</v>
      </c>
      <c r="K586" s="10">
        <f>18.308+5.451</f>
        <v>23.759</v>
      </c>
      <c r="L586" s="10">
        <f t="shared" si="50"/>
        <v>0</v>
      </c>
      <c r="M586" s="10">
        <f t="shared" si="51"/>
        <v>0</v>
      </c>
      <c r="N586" s="10"/>
      <c r="O586" s="10"/>
      <c r="P586" s="10">
        <v>0</v>
      </c>
      <c r="Q586" s="10"/>
      <c r="R586" s="10"/>
      <c r="S586" s="10"/>
      <c r="T586" s="10"/>
      <c r="U586" s="10"/>
      <c r="V586" s="4" t="s">
        <v>85</v>
      </c>
      <c r="W586" s="4"/>
      <c r="X586" s="8">
        <v>45125</v>
      </c>
      <c r="Y586" s="4"/>
      <c r="Z586" s="4"/>
      <c r="AA586" s="8">
        <v>45127</v>
      </c>
      <c r="AB586" s="8">
        <v>45128</v>
      </c>
      <c r="AC586" s="4"/>
      <c r="AD586" s="4"/>
    </row>
    <row r="587" spans="1:30" hidden="1">
      <c r="A587" s="4">
        <v>497</v>
      </c>
      <c r="B587" s="8">
        <v>45111</v>
      </c>
      <c r="C587" s="4"/>
      <c r="D587" s="4" t="s">
        <v>42</v>
      </c>
      <c r="E587" s="8">
        <v>45130</v>
      </c>
      <c r="F587" s="4" t="s">
        <v>43</v>
      </c>
      <c r="G587" s="40" t="s">
        <v>60</v>
      </c>
      <c r="H587" s="4" t="s">
        <v>45</v>
      </c>
      <c r="I587" s="4" t="s">
        <v>406</v>
      </c>
      <c r="J587" s="10">
        <v>0.84</v>
      </c>
      <c r="K587" s="10">
        <v>0.84</v>
      </c>
      <c r="L587" s="10">
        <f t="shared" si="50"/>
        <v>0</v>
      </c>
      <c r="M587" s="10">
        <f t="shared" si="51"/>
        <v>0</v>
      </c>
      <c r="N587" s="10"/>
      <c r="O587" s="10"/>
      <c r="P587" s="10">
        <v>0</v>
      </c>
      <c r="Q587" s="10"/>
      <c r="R587" s="10"/>
      <c r="S587" s="10"/>
      <c r="T587" s="10"/>
      <c r="U587" s="10"/>
      <c r="V587" s="4" t="s">
        <v>85</v>
      </c>
      <c r="W587" s="4"/>
      <c r="X587" s="8">
        <v>45125</v>
      </c>
      <c r="Y587" s="4"/>
      <c r="Z587" s="4"/>
      <c r="AA587" s="8">
        <v>45128</v>
      </c>
      <c r="AB587" s="8">
        <v>45128</v>
      </c>
      <c r="AC587" s="4"/>
      <c r="AD587" s="4"/>
    </row>
    <row r="588" spans="1:30" hidden="1">
      <c r="A588" s="4">
        <v>497</v>
      </c>
      <c r="B588" s="8">
        <v>45111</v>
      </c>
      <c r="C588" s="4"/>
      <c r="D588" s="4" t="s">
        <v>42</v>
      </c>
      <c r="E588" s="8">
        <v>45130</v>
      </c>
      <c r="F588" s="4" t="s">
        <v>43</v>
      </c>
      <c r="G588" s="40" t="s">
        <v>60</v>
      </c>
      <c r="H588" s="4" t="s">
        <v>45</v>
      </c>
      <c r="I588" s="4" t="s">
        <v>49</v>
      </c>
      <c r="J588" s="10">
        <v>32.809139999999999</v>
      </c>
      <c r="K588" s="10">
        <f>12.425+7.018+9.584+3.936</f>
        <v>32.963000000000001</v>
      </c>
      <c r="L588" s="10">
        <f t="shared" si="50"/>
        <v>0</v>
      </c>
      <c r="M588" s="10">
        <f t="shared" si="51"/>
        <v>0</v>
      </c>
      <c r="N588" s="10"/>
      <c r="O588" s="10"/>
      <c r="P588" s="10"/>
      <c r="Q588" s="10"/>
      <c r="R588" s="10"/>
      <c r="S588" s="10"/>
      <c r="T588" s="10"/>
      <c r="U588" s="10"/>
      <c r="V588" s="4" t="s">
        <v>85</v>
      </c>
      <c r="W588" s="4"/>
      <c r="X588" s="8">
        <v>45128</v>
      </c>
      <c r="Y588" s="4"/>
      <c r="Z588" s="4"/>
      <c r="AA588" s="8">
        <v>45130</v>
      </c>
      <c r="AB588" s="8"/>
      <c r="AC588" s="4"/>
      <c r="AD588" s="4"/>
    </row>
    <row r="589" spans="1:30" hidden="1">
      <c r="A589" s="4">
        <v>497</v>
      </c>
      <c r="B589" s="8">
        <v>45111</v>
      </c>
      <c r="C589" s="4"/>
      <c r="D589" s="4" t="s">
        <v>42</v>
      </c>
      <c r="E589" s="8">
        <v>45130</v>
      </c>
      <c r="F589" s="4" t="s">
        <v>43</v>
      </c>
      <c r="G589" s="40" t="s">
        <v>60</v>
      </c>
      <c r="H589" s="4" t="s">
        <v>45</v>
      </c>
      <c r="I589" s="4" t="s">
        <v>50</v>
      </c>
      <c r="J589" s="10">
        <v>8.24376</v>
      </c>
      <c r="K589" s="10">
        <f>4.167+1.976+2.161</f>
        <v>8.3040000000000003</v>
      </c>
      <c r="L589" s="10">
        <f t="shared" si="50"/>
        <v>0</v>
      </c>
      <c r="M589" s="10">
        <f t="shared" si="51"/>
        <v>0</v>
      </c>
      <c r="N589" s="10"/>
      <c r="O589" s="10"/>
      <c r="P589" s="10">
        <v>0</v>
      </c>
      <c r="Q589" s="10"/>
      <c r="R589" s="10"/>
      <c r="S589" s="10"/>
      <c r="T589" s="10"/>
      <c r="U589" s="10"/>
      <c r="V589" s="4" t="s">
        <v>85</v>
      </c>
      <c r="W589" s="4"/>
      <c r="X589" s="8">
        <v>45129</v>
      </c>
      <c r="Y589" s="4"/>
      <c r="Z589" s="4"/>
      <c r="AA589" s="8">
        <v>45131</v>
      </c>
      <c r="AB589" s="8"/>
      <c r="AC589" s="4"/>
      <c r="AD589" s="4"/>
    </row>
    <row r="590" spans="1:30" hidden="1">
      <c r="A590" s="4">
        <v>497</v>
      </c>
      <c r="B590" s="8">
        <v>45111</v>
      </c>
      <c r="C590" s="4"/>
      <c r="D590" s="4" t="s">
        <v>42</v>
      </c>
      <c r="E590" s="8">
        <v>45130</v>
      </c>
      <c r="F590" s="4" t="s">
        <v>43</v>
      </c>
      <c r="G590" s="40" t="s">
        <v>60</v>
      </c>
      <c r="H590" s="4" t="s">
        <v>45</v>
      </c>
      <c r="I590" s="4" t="s">
        <v>588</v>
      </c>
      <c r="J590" s="10">
        <v>17.857949999999999</v>
      </c>
      <c r="K590" s="10">
        <f>7.82+5.749+4.415</f>
        <v>17.983999999999998</v>
      </c>
      <c r="L590" s="10">
        <f t="shared" si="50"/>
        <v>0</v>
      </c>
      <c r="M590" s="10">
        <f t="shared" si="51"/>
        <v>0</v>
      </c>
      <c r="N590" s="10"/>
      <c r="O590" s="10"/>
      <c r="P590" s="10">
        <v>0</v>
      </c>
      <c r="Q590" s="10"/>
      <c r="R590" s="10"/>
      <c r="S590" s="10"/>
      <c r="T590" s="10"/>
      <c r="U590" s="10"/>
      <c r="V590" s="4" t="s">
        <v>85</v>
      </c>
      <c r="W590" s="4"/>
      <c r="X590" s="8">
        <v>45128</v>
      </c>
      <c r="Y590" s="4"/>
      <c r="Z590" s="4"/>
      <c r="AA590" s="8">
        <v>45130</v>
      </c>
      <c r="AB590" s="8">
        <v>45145</v>
      </c>
      <c r="AC590" s="4"/>
      <c r="AD590" s="4"/>
    </row>
    <row r="591" spans="1:30" hidden="1">
      <c r="A591" s="4">
        <v>497</v>
      </c>
      <c r="B591" s="8">
        <v>45111</v>
      </c>
      <c r="C591" s="4"/>
      <c r="D591" s="4" t="s">
        <v>42</v>
      </c>
      <c r="E591" s="8">
        <v>45130</v>
      </c>
      <c r="F591" s="4" t="s">
        <v>43</v>
      </c>
      <c r="G591" s="40" t="s">
        <v>60</v>
      </c>
      <c r="H591" s="4" t="s">
        <v>45</v>
      </c>
      <c r="I591" s="4" t="s">
        <v>407</v>
      </c>
      <c r="J591" s="10">
        <v>21.566160000000004</v>
      </c>
      <c r="K591" s="10">
        <f>14.777+6.888</f>
        <v>21.664999999999999</v>
      </c>
      <c r="L591" s="10">
        <f t="shared" si="50"/>
        <v>0</v>
      </c>
      <c r="M591" s="10">
        <f t="shared" si="51"/>
        <v>0</v>
      </c>
      <c r="N591" s="10"/>
      <c r="O591" s="10"/>
      <c r="P591" s="10">
        <v>0</v>
      </c>
      <c r="Q591" s="10"/>
      <c r="R591" s="10"/>
      <c r="S591" s="10"/>
      <c r="T591" s="10"/>
      <c r="U591" s="10"/>
      <c r="V591" s="4" t="s">
        <v>85</v>
      </c>
      <c r="W591" s="4"/>
      <c r="X591" s="8">
        <v>45130</v>
      </c>
      <c r="Y591" s="4"/>
      <c r="Z591" s="4"/>
      <c r="AA591" s="8">
        <v>45136</v>
      </c>
      <c r="AB591" s="8">
        <v>45137</v>
      </c>
      <c r="AC591" s="4"/>
      <c r="AD591" s="4"/>
    </row>
    <row r="592" spans="1:30" hidden="1">
      <c r="A592" s="4">
        <v>497</v>
      </c>
      <c r="B592" s="8">
        <v>45111</v>
      </c>
      <c r="C592" s="4"/>
      <c r="D592" s="4" t="s">
        <v>42</v>
      </c>
      <c r="E592" s="8">
        <v>45130</v>
      </c>
      <c r="F592" s="4" t="s">
        <v>43</v>
      </c>
      <c r="G592" s="40" t="s">
        <v>60</v>
      </c>
      <c r="H592" s="4" t="s">
        <v>45</v>
      </c>
      <c r="I592" s="4" t="s">
        <v>408</v>
      </c>
      <c r="J592" s="10">
        <v>9.8322699999999994</v>
      </c>
      <c r="K592" s="10">
        <f>5.899+3.431+0.723</f>
        <v>10.053000000000001</v>
      </c>
      <c r="L592" s="10">
        <f t="shared" si="50"/>
        <v>0</v>
      </c>
      <c r="M592" s="10">
        <f t="shared" si="51"/>
        <v>0</v>
      </c>
      <c r="N592" s="10"/>
      <c r="O592" s="10"/>
      <c r="P592" s="10">
        <v>0</v>
      </c>
      <c r="Q592" s="10"/>
      <c r="R592" s="10"/>
      <c r="S592" s="10">
        <v>0</v>
      </c>
      <c r="T592" s="10"/>
      <c r="U592" s="10"/>
      <c r="V592" s="4" t="s">
        <v>85</v>
      </c>
      <c r="W592" s="4" t="s">
        <v>798</v>
      </c>
      <c r="X592" s="8">
        <v>45130</v>
      </c>
      <c r="Y592" s="4"/>
      <c r="Z592" s="4"/>
      <c r="AA592" s="8">
        <v>45135</v>
      </c>
      <c r="AB592" s="8"/>
      <c r="AC592" s="4"/>
      <c r="AD592" s="4"/>
    </row>
    <row r="593" spans="1:30" hidden="1">
      <c r="A593" s="4">
        <v>497</v>
      </c>
      <c r="B593" s="8">
        <v>45111</v>
      </c>
      <c r="C593" s="4"/>
      <c r="D593" s="4" t="s">
        <v>42</v>
      </c>
      <c r="E593" s="8">
        <v>45130</v>
      </c>
      <c r="F593" s="4" t="s">
        <v>43</v>
      </c>
      <c r="G593" s="40" t="s">
        <v>60</v>
      </c>
      <c r="H593" s="4" t="s">
        <v>45</v>
      </c>
      <c r="I593" s="4" t="s">
        <v>409</v>
      </c>
      <c r="J593" s="10">
        <v>1.6000800000000002</v>
      </c>
      <c r="K593" s="10">
        <v>1.6</v>
      </c>
      <c r="L593" s="10">
        <f t="shared" si="50"/>
        <v>0</v>
      </c>
      <c r="M593" s="10">
        <f t="shared" si="51"/>
        <v>0</v>
      </c>
      <c r="N593" s="10"/>
      <c r="O593" s="10"/>
      <c r="P593" s="10">
        <v>0</v>
      </c>
      <c r="Q593" s="10"/>
      <c r="R593" s="10"/>
      <c r="S593" s="10"/>
      <c r="T593" s="10"/>
      <c r="U593" s="10"/>
      <c r="V593" s="4" t="s">
        <v>85</v>
      </c>
      <c r="W593" s="4"/>
      <c r="X593" s="8">
        <v>45130</v>
      </c>
      <c r="Y593" s="4"/>
      <c r="Z593" s="4"/>
      <c r="AA593" s="8">
        <v>45132</v>
      </c>
      <c r="AB593" s="8">
        <v>45132</v>
      </c>
      <c r="AC593" s="4"/>
      <c r="AD593" s="4"/>
    </row>
    <row r="594" spans="1:30" hidden="1">
      <c r="A594" s="4">
        <v>497</v>
      </c>
      <c r="B594" s="8">
        <v>45111</v>
      </c>
      <c r="C594" s="4"/>
      <c r="D594" s="4" t="s">
        <v>42</v>
      </c>
      <c r="E594" s="8">
        <v>45130</v>
      </c>
      <c r="F594" s="4" t="s">
        <v>43</v>
      </c>
      <c r="G594" s="40" t="s">
        <v>60</v>
      </c>
      <c r="H594" s="4" t="s">
        <v>45</v>
      </c>
      <c r="I594" s="4" t="s">
        <v>410</v>
      </c>
      <c r="J594" s="10">
        <v>12.043199999999999</v>
      </c>
      <c r="K594" s="10">
        <v>12.41</v>
      </c>
      <c r="L594" s="10">
        <f t="shared" si="50"/>
        <v>0</v>
      </c>
      <c r="M594" s="10">
        <f t="shared" si="51"/>
        <v>0</v>
      </c>
      <c r="N594" s="10"/>
      <c r="O594" s="10"/>
      <c r="P594" s="10">
        <v>0</v>
      </c>
      <c r="Q594" s="10"/>
      <c r="R594" s="10"/>
      <c r="S594" s="10">
        <v>0</v>
      </c>
      <c r="T594" s="10"/>
      <c r="U594" s="10"/>
      <c r="V594" s="4" t="s">
        <v>85</v>
      </c>
      <c r="W594" s="4"/>
      <c r="X594" s="8">
        <v>45131</v>
      </c>
      <c r="Y594" s="4"/>
      <c r="Z594" s="4"/>
      <c r="AA594" s="8"/>
      <c r="AB594" s="8"/>
      <c r="AC594" s="4"/>
      <c r="AD594" s="4"/>
    </row>
    <row r="595" spans="1:30" hidden="1">
      <c r="A595" s="4">
        <v>497</v>
      </c>
      <c r="B595" s="8">
        <v>45111</v>
      </c>
      <c r="C595" s="4"/>
      <c r="D595" s="4" t="s">
        <v>42</v>
      </c>
      <c r="E595" s="8">
        <v>45130</v>
      </c>
      <c r="F595" s="4" t="s">
        <v>43</v>
      </c>
      <c r="G595" s="40" t="s">
        <v>60</v>
      </c>
      <c r="H595" s="4" t="s">
        <v>45</v>
      </c>
      <c r="I595" s="4" t="s">
        <v>47</v>
      </c>
      <c r="J595" s="10">
        <v>19.059919999999998</v>
      </c>
      <c r="K595" s="10">
        <f>11.402+7.756</f>
        <v>19.158000000000001</v>
      </c>
      <c r="L595" s="10">
        <f t="shared" si="50"/>
        <v>0</v>
      </c>
      <c r="M595" s="10">
        <f t="shared" si="51"/>
        <v>0</v>
      </c>
      <c r="N595" s="10"/>
      <c r="O595" s="10"/>
      <c r="P595" s="10">
        <v>0</v>
      </c>
      <c r="Q595" s="10"/>
      <c r="R595" s="10"/>
      <c r="S595" s="10">
        <v>0</v>
      </c>
      <c r="T595" s="10"/>
      <c r="U595" s="10"/>
      <c r="V595" s="4" t="s">
        <v>85</v>
      </c>
      <c r="W595" s="4"/>
      <c r="X595" s="8">
        <v>45131</v>
      </c>
      <c r="Y595" s="4"/>
      <c r="Z595" s="4"/>
      <c r="AA595" s="8">
        <v>45134</v>
      </c>
      <c r="AB595" s="8"/>
      <c r="AC595" s="4"/>
      <c r="AD595" s="4"/>
    </row>
    <row r="596" spans="1:30" hidden="1">
      <c r="A596" s="4">
        <v>497</v>
      </c>
      <c r="B596" s="8">
        <v>45111</v>
      </c>
      <c r="C596" s="4"/>
      <c r="D596" s="4" t="s">
        <v>42</v>
      </c>
      <c r="E596" s="8">
        <v>45130</v>
      </c>
      <c r="F596" s="4" t="s">
        <v>43</v>
      </c>
      <c r="G596" s="40" t="s">
        <v>60</v>
      </c>
      <c r="H596" s="4" t="s">
        <v>45</v>
      </c>
      <c r="I596" s="4" t="s">
        <v>761</v>
      </c>
      <c r="J596" s="10">
        <v>17.985240000000001</v>
      </c>
      <c r="K596" s="10">
        <f>6.192+11.714</f>
        <v>17.905999999999999</v>
      </c>
      <c r="L596" s="10">
        <f t="shared" si="50"/>
        <v>0</v>
      </c>
      <c r="M596" s="10">
        <f t="shared" si="51"/>
        <v>0</v>
      </c>
      <c r="N596" s="10"/>
      <c r="O596" s="10"/>
      <c r="P596" s="10">
        <v>0</v>
      </c>
      <c r="Q596" s="10"/>
      <c r="R596" s="10"/>
      <c r="S596" s="10"/>
      <c r="T596" s="10"/>
      <c r="U596" s="10"/>
      <c r="V596" s="4" t="s">
        <v>85</v>
      </c>
      <c r="W596" s="4"/>
      <c r="X596" s="8">
        <v>45138</v>
      </c>
      <c r="Y596" s="4"/>
      <c r="Z596" s="4"/>
      <c r="AA596" s="8">
        <v>45143</v>
      </c>
      <c r="AB596" s="8">
        <v>45144</v>
      </c>
      <c r="AC596" s="4"/>
      <c r="AD596" s="4"/>
    </row>
    <row r="597" spans="1:30" hidden="1">
      <c r="A597" s="4">
        <v>497</v>
      </c>
      <c r="B597" s="8">
        <v>45111</v>
      </c>
      <c r="C597" s="4"/>
      <c r="D597" s="4" t="s">
        <v>42</v>
      </c>
      <c r="E597" s="8">
        <v>45130</v>
      </c>
      <c r="F597" s="4" t="s">
        <v>43</v>
      </c>
      <c r="G597" s="40" t="s">
        <v>60</v>
      </c>
      <c r="H597" s="4" t="s">
        <v>45</v>
      </c>
      <c r="I597" s="4" t="s">
        <v>517</v>
      </c>
      <c r="J597" s="10">
        <v>11.856390000000001</v>
      </c>
      <c r="K597" s="10">
        <f>4.368+7.779</f>
        <v>12.147</v>
      </c>
      <c r="L597" s="10">
        <f t="shared" si="50"/>
        <v>0</v>
      </c>
      <c r="M597" s="10">
        <f t="shared" si="51"/>
        <v>0</v>
      </c>
      <c r="N597" s="10"/>
      <c r="O597" s="10"/>
      <c r="P597" s="10"/>
      <c r="Q597" s="10"/>
      <c r="R597" s="10"/>
      <c r="S597" s="10"/>
      <c r="T597" s="10"/>
      <c r="U597" s="10"/>
      <c r="V597" s="4" t="s">
        <v>85</v>
      </c>
      <c r="W597" s="4"/>
      <c r="X597" s="8">
        <v>45138</v>
      </c>
      <c r="Y597" s="4"/>
      <c r="Z597" s="4"/>
      <c r="AA597" s="8"/>
      <c r="AB597" s="8"/>
      <c r="AC597" s="4"/>
      <c r="AD597" s="4"/>
    </row>
    <row r="598" spans="1:30" hidden="1">
      <c r="A598" s="4">
        <v>497</v>
      </c>
      <c r="B598" s="8">
        <v>45111</v>
      </c>
      <c r="C598" s="4"/>
      <c r="D598" s="4" t="s">
        <v>42</v>
      </c>
      <c r="E598" s="8">
        <v>45130</v>
      </c>
      <c r="F598" s="4" t="s">
        <v>43</v>
      </c>
      <c r="G598" s="40" t="s">
        <v>60</v>
      </c>
      <c r="H598" s="4" t="s">
        <v>45</v>
      </c>
      <c r="I598" s="4" t="s">
        <v>579</v>
      </c>
      <c r="J598" s="10">
        <v>76.143360000000001</v>
      </c>
      <c r="K598" s="10">
        <f>4.595+24.581+17.696+16.774+8.466+4.273</f>
        <v>76.384999999999991</v>
      </c>
      <c r="L598" s="10">
        <f t="shared" si="50"/>
        <v>0</v>
      </c>
      <c r="M598" s="10">
        <f t="shared" ref="M598:M628" si="52">SUM(N598:T598)</f>
        <v>0</v>
      </c>
      <c r="N598" s="10"/>
      <c r="O598" s="10"/>
      <c r="P598" s="10">
        <v>0</v>
      </c>
      <c r="Q598" s="10"/>
      <c r="R598" s="10"/>
      <c r="S598" s="10"/>
      <c r="T598" s="10"/>
      <c r="U598" s="10"/>
      <c r="V598" s="4" t="s">
        <v>85</v>
      </c>
      <c r="W598" s="4" t="s">
        <v>927</v>
      </c>
      <c r="X598" s="8">
        <v>45137</v>
      </c>
      <c r="Y598" s="4"/>
      <c r="Z598" s="4"/>
      <c r="AA598" s="8"/>
      <c r="AB598" s="8"/>
      <c r="AC598" s="4"/>
      <c r="AD598" s="4"/>
    </row>
    <row r="599" spans="1:30" hidden="1">
      <c r="A599" s="4">
        <v>497</v>
      </c>
      <c r="B599" s="8">
        <v>45111</v>
      </c>
      <c r="C599" s="4"/>
      <c r="D599" s="4" t="s">
        <v>42</v>
      </c>
      <c r="E599" s="8">
        <v>45130</v>
      </c>
      <c r="F599" s="4" t="s">
        <v>43</v>
      </c>
      <c r="G599" s="40" t="s">
        <v>60</v>
      </c>
      <c r="H599" s="4" t="s">
        <v>45</v>
      </c>
      <c r="I599" s="4" t="s">
        <v>448</v>
      </c>
      <c r="J599" s="10">
        <v>3.5827999999999998</v>
      </c>
      <c r="K599" s="10">
        <v>3.5960000000000001</v>
      </c>
      <c r="L599" s="10">
        <f t="shared" si="50"/>
        <v>0</v>
      </c>
      <c r="M599" s="10">
        <f t="shared" si="52"/>
        <v>0</v>
      </c>
      <c r="N599" s="10"/>
      <c r="O599" s="10"/>
      <c r="P599" s="10">
        <v>0</v>
      </c>
      <c r="Q599" s="10"/>
      <c r="R599" s="10"/>
      <c r="S599" s="10"/>
      <c r="T599" s="10"/>
      <c r="U599" s="10"/>
      <c r="V599" s="4" t="s">
        <v>85</v>
      </c>
      <c r="W599" s="4"/>
      <c r="X599" s="8">
        <v>45136</v>
      </c>
      <c r="Y599" s="4"/>
      <c r="Z599" s="4"/>
      <c r="AA599" s="8"/>
      <c r="AB599" s="8"/>
      <c r="AC599" s="4"/>
      <c r="AD599" s="4"/>
    </row>
    <row r="600" spans="1:30" hidden="1">
      <c r="A600" s="4">
        <v>497</v>
      </c>
      <c r="B600" s="8">
        <v>45111</v>
      </c>
      <c r="C600" s="4"/>
      <c r="D600" s="4" t="s">
        <v>42</v>
      </c>
      <c r="E600" s="8">
        <v>45130</v>
      </c>
      <c r="F600" s="4" t="s">
        <v>43</v>
      </c>
      <c r="G600" s="40" t="s">
        <v>60</v>
      </c>
      <c r="H600" s="4" t="s">
        <v>45</v>
      </c>
      <c r="I600" s="4" t="s">
        <v>449</v>
      </c>
      <c r="J600" s="10">
        <v>27.725569999999998</v>
      </c>
      <c r="K600" s="10">
        <f>19.914+5.707+2.322</f>
        <v>27.943000000000001</v>
      </c>
      <c r="L600" s="10">
        <f t="shared" si="50"/>
        <v>0</v>
      </c>
      <c r="M600" s="10">
        <f t="shared" si="52"/>
        <v>0</v>
      </c>
      <c r="N600" s="10"/>
      <c r="O600" s="10"/>
      <c r="P600" s="10">
        <v>0</v>
      </c>
      <c r="Q600" s="10"/>
      <c r="R600" s="10"/>
      <c r="S600" s="10"/>
      <c r="T600" s="10"/>
      <c r="U600" s="10"/>
      <c r="V600" s="4" t="s">
        <v>85</v>
      </c>
      <c r="W600" s="4" t="s">
        <v>37</v>
      </c>
      <c r="X600" s="8">
        <v>45136</v>
      </c>
      <c r="Y600" s="4"/>
      <c r="Z600" s="4"/>
      <c r="AA600" s="8">
        <v>45141</v>
      </c>
      <c r="AB600" s="8"/>
      <c r="AC600" s="4"/>
      <c r="AD600" s="4"/>
    </row>
    <row r="601" spans="1:30" hidden="1">
      <c r="A601" s="4">
        <v>497</v>
      </c>
      <c r="B601" s="8">
        <v>45111</v>
      </c>
      <c r="C601" s="4"/>
      <c r="D601" s="4" t="s">
        <v>42</v>
      </c>
      <c r="E601" s="8">
        <v>45130</v>
      </c>
      <c r="F601" s="4" t="s">
        <v>43</v>
      </c>
      <c r="G601" s="40" t="s">
        <v>60</v>
      </c>
      <c r="H601" s="4" t="s">
        <v>45</v>
      </c>
      <c r="I601" s="4" t="s">
        <v>447</v>
      </c>
      <c r="J601" s="10">
        <v>2.6385799999999997</v>
      </c>
      <c r="K601" s="10">
        <v>2.6469999999999998</v>
      </c>
      <c r="L601" s="10">
        <f t="shared" si="50"/>
        <v>0</v>
      </c>
      <c r="M601" s="10">
        <f t="shared" si="52"/>
        <v>0</v>
      </c>
      <c r="N601" s="10"/>
      <c r="O601" s="10"/>
      <c r="P601" s="10">
        <v>0</v>
      </c>
      <c r="Q601" s="10"/>
      <c r="R601" s="10"/>
      <c r="S601" s="10"/>
      <c r="T601" s="10"/>
      <c r="U601" s="10"/>
      <c r="V601" s="4" t="s">
        <v>85</v>
      </c>
      <c r="W601" s="4"/>
      <c r="X601" s="8">
        <v>45132</v>
      </c>
      <c r="Y601" s="4"/>
      <c r="Z601" s="4"/>
      <c r="AA601" s="8">
        <v>45138</v>
      </c>
      <c r="AB601" s="8">
        <v>45138</v>
      </c>
      <c r="AC601" s="4"/>
      <c r="AD601" s="4"/>
    </row>
    <row r="602" spans="1:30" hidden="1">
      <c r="A602" s="4">
        <v>497</v>
      </c>
      <c r="B602" s="8">
        <v>45111</v>
      </c>
      <c r="C602" s="4"/>
      <c r="D602" s="4" t="s">
        <v>42</v>
      </c>
      <c r="E602" s="8">
        <v>45130</v>
      </c>
      <c r="F602" s="4" t="s">
        <v>43</v>
      </c>
      <c r="G602" s="40" t="s">
        <v>60</v>
      </c>
      <c r="H602" s="4" t="s">
        <v>45</v>
      </c>
      <c r="I602" s="4" t="s">
        <v>518</v>
      </c>
      <c r="J602" s="10">
        <v>1.1271</v>
      </c>
      <c r="K602" s="10">
        <v>1.127</v>
      </c>
      <c r="L602" s="10">
        <f t="shared" si="50"/>
        <v>0</v>
      </c>
      <c r="M602" s="10">
        <f t="shared" si="52"/>
        <v>0</v>
      </c>
      <c r="N602" s="10"/>
      <c r="O602" s="10"/>
      <c r="P602" s="10">
        <v>0</v>
      </c>
      <c r="Q602" s="10"/>
      <c r="R602" s="10"/>
      <c r="S602" s="10"/>
      <c r="T602" s="10"/>
      <c r="U602" s="10"/>
      <c r="V602" s="4" t="s">
        <v>85</v>
      </c>
      <c r="W602" s="4"/>
      <c r="X602" s="8">
        <v>45132</v>
      </c>
      <c r="Y602" s="4"/>
      <c r="Z602" s="4"/>
      <c r="AA602" s="8">
        <v>45150</v>
      </c>
      <c r="AB602" s="8"/>
      <c r="AC602" s="4"/>
      <c r="AD602" s="4"/>
    </row>
    <row r="603" spans="1:30" hidden="1">
      <c r="A603" s="4">
        <v>497</v>
      </c>
      <c r="B603" s="8">
        <v>45111</v>
      </c>
      <c r="C603" s="4"/>
      <c r="D603" s="4" t="s">
        <v>42</v>
      </c>
      <c r="E603" s="8">
        <v>45130</v>
      </c>
      <c r="F603" s="4" t="s">
        <v>43</v>
      </c>
      <c r="G603" s="40" t="s">
        <v>60</v>
      </c>
      <c r="H603" s="4" t="s">
        <v>45</v>
      </c>
      <c r="I603" s="4" t="s">
        <v>435</v>
      </c>
      <c r="J603" s="10">
        <v>21.669119999999999</v>
      </c>
      <c r="K603" s="10">
        <f>9.459+1.187+0.824+9.717+0.544</f>
        <v>21.730999999999998</v>
      </c>
      <c r="L603" s="10">
        <f t="shared" si="50"/>
        <v>0</v>
      </c>
      <c r="M603" s="10">
        <f t="shared" si="52"/>
        <v>0</v>
      </c>
      <c r="N603" s="10"/>
      <c r="O603" s="10"/>
      <c r="P603" s="10">
        <v>0</v>
      </c>
      <c r="Q603" s="10"/>
      <c r="R603" s="10"/>
      <c r="S603" s="10"/>
      <c r="T603" s="10"/>
      <c r="U603" s="10"/>
      <c r="V603" s="4" t="s">
        <v>85</v>
      </c>
      <c r="W603" s="4"/>
      <c r="X603" s="8">
        <v>45146</v>
      </c>
      <c r="Y603" s="4"/>
      <c r="Z603" s="4"/>
      <c r="AA603" s="8"/>
      <c r="AB603" s="8"/>
      <c r="AC603" s="4"/>
      <c r="AD603" s="4"/>
    </row>
    <row r="604" spans="1:30" hidden="1">
      <c r="A604" s="4">
        <v>497</v>
      </c>
      <c r="B604" s="8">
        <v>45111</v>
      </c>
      <c r="C604" s="4"/>
      <c r="D604" s="4" t="s">
        <v>42</v>
      </c>
      <c r="E604" s="8">
        <v>45130</v>
      </c>
      <c r="F604" s="4" t="s">
        <v>43</v>
      </c>
      <c r="G604" s="40" t="s">
        <v>60</v>
      </c>
      <c r="H604" s="4" t="s">
        <v>45</v>
      </c>
      <c r="I604" s="4" t="s">
        <v>432</v>
      </c>
      <c r="J604" s="10">
        <v>25.496385</v>
      </c>
      <c r="K604" s="10">
        <f>15.931+9.602</f>
        <v>25.533000000000001</v>
      </c>
      <c r="L604" s="10">
        <f t="shared" si="50"/>
        <v>0</v>
      </c>
      <c r="M604" s="10">
        <f t="shared" si="52"/>
        <v>0</v>
      </c>
      <c r="N604" s="10"/>
      <c r="O604" s="10"/>
      <c r="P604" s="10"/>
      <c r="Q604" s="10"/>
      <c r="R604" s="10"/>
      <c r="S604" s="10"/>
      <c r="T604" s="10"/>
      <c r="U604" s="10"/>
      <c r="V604" s="4" t="s">
        <v>85</v>
      </c>
      <c r="W604" s="4"/>
      <c r="X604" s="8">
        <v>45145</v>
      </c>
      <c r="Y604" s="4"/>
      <c r="Z604" s="4"/>
      <c r="AA604" s="8">
        <v>45150</v>
      </c>
      <c r="AB604" s="8"/>
      <c r="AC604" s="4"/>
      <c r="AD604" s="4"/>
    </row>
    <row r="605" spans="1:30" hidden="1">
      <c r="A605" s="4">
        <v>497</v>
      </c>
      <c r="B605" s="8">
        <v>45111</v>
      </c>
      <c r="C605" s="4"/>
      <c r="D605" s="4" t="s">
        <v>42</v>
      </c>
      <c r="E605" s="8">
        <v>45130</v>
      </c>
      <c r="F605" s="4" t="s">
        <v>43</v>
      </c>
      <c r="G605" s="40" t="s">
        <v>60</v>
      </c>
      <c r="H605" s="4" t="s">
        <v>45</v>
      </c>
      <c r="I605" s="4" t="s">
        <v>474</v>
      </c>
      <c r="J605" s="10">
        <v>4.8181530000000006</v>
      </c>
      <c r="K605" s="10">
        <f>2.018+3.041</f>
        <v>5.0589999999999993</v>
      </c>
      <c r="L605" s="10">
        <f t="shared" si="50"/>
        <v>0</v>
      </c>
      <c r="M605" s="10">
        <f t="shared" si="52"/>
        <v>0</v>
      </c>
      <c r="N605" s="10"/>
      <c r="O605" s="10"/>
      <c r="P605" s="10">
        <v>0</v>
      </c>
      <c r="Q605" s="10"/>
      <c r="R605" s="10"/>
      <c r="S605" s="10"/>
      <c r="T605" s="10"/>
      <c r="U605" s="10"/>
      <c r="V605" s="4" t="s">
        <v>85</v>
      </c>
      <c r="W605" s="4"/>
      <c r="X605" s="8"/>
      <c r="Y605" s="4"/>
      <c r="Z605" s="4"/>
      <c r="AA605" s="8">
        <v>45156</v>
      </c>
      <c r="AB605" s="8">
        <v>45156</v>
      </c>
      <c r="AC605" s="4"/>
      <c r="AD605" s="4"/>
    </row>
    <row r="606" spans="1:30" hidden="1">
      <c r="A606" s="4">
        <v>497</v>
      </c>
      <c r="B606" s="8">
        <v>45111</v>
      </c>
      <c r="C606" s="4"/>
      <c r="D606" s="4" t="s">
        <v>42</v>
      </c>
      <c r="E606" s="8">
        <v>45130</v>
      </c>
      <c r="F606" s="4" t="s">
        <v>43</v>
      </c>
      <c r="G606" s="40" t="s">
        <v>60</v>
      </c>
      <c r="H606" s="4" t="s">
        <v>45</v>
      </c>
      <c r="I606" s="4" t="s">
        <v>434</v>
      </c>
      <c r="J606" s="10">
        <v>24.812869999999997</v>
      </c>
      <c r="K606" s="10">
        <f>6.971+1.65+2.665+2.758+9.037+1.819</f>
        <v>24.900000000000002</v>
      </c>
      <c r="L606" s="10">
        <f t="shared" si="50"/>
        <v>0</v>
      </c>
      <c r="M606" s="10">
        <f t="shared" si="52"/>
        <v>0</v>
      </c>
      <c r="N606" s="10"/>
      <c r="O606" s="10"/>
      <c r="P606" s="10"/>
      <c r="Q606" s="10"/>
      <c r="R606" s="10"/>
      <c r="S606" s="10"/>
      <c r="T606" s="10"/>
      <c r="U606" s="10"/>
      <c r="V606" s="4" t="s">
        <v>85</v>
      </c>
      <c r="W606" s="4"/>
      <c r="X606" s="8">
        <v>45148</v>
      </c>
      <c r="Y606" s="4"/>
      <c r="Z606" s="4"/>
      <c r="AA606" s="8">
        <v>45150</v>
      </c>
      <c r="AB606" s="8"/>
      <c r="AC606" s="4"/>
      <c r="AD606" s="4"/>
    </row>
    <row r="607" spans="1:30" hidden="1">
      <c r="A607" s="4">
        <v>497</v>
      </c>
      <c r="B607" s="8">
        <v>45111</v>
      </c>
      <c r="C607" s="4"/>
      <c r="D607" s="4" t="s">
        <v>42</v>
      </c>
      <c r="E607" s="8">
        <v>45130</v>
      </c>
      <c r="F607" s="4" t="s">
        <v>43</v>
      </c>
      <c r="G607" s="40" t="s">
        <v>728</v>
      </c>
      <c r="H607" s="4" t="s">
        <v>52</v>
      </c>
      <c r="I607" s="4" t="s">
        <v>434</v>
      </c>
      <c r="J607" s="10">
        <v>0.46242</v>
      </c>
      <c r="K607" s="10">
        <v>0.52800000000000002</v>
      </c>
      <c r="L607" s="10">
        <f t="shared" si="50"/>
        <v>0</v>
      </c>
      <c r="M607" s="10">
        <f t="shared" si="52"/>
        <v>0</v>
      </c>
      <c r="N607" s="10"/>
      <c r="O607" s="10"/>
      <c r="P607" s="10">
        <v>0</v>
      </c>
      <c r="Q607" s="10"/>
      <c r="R607" s="10"/>
      <c r="S607" s="10"/>
      <c r="T607" s="10"/>
      <c r="U607" s="10"/>
      <c r="V607" s="4" t="s">
        <v>85</v>
      </c>
      <c r="W607" s="4"/>
      <c r="X607" s="8"/>
      <c r="Y607" s="4"/>
      <c r="Z607" s="4"/>
      <c r="AA607" s="8"/>
      <c r="AB607" s="8"/>
      <c r="AC607" s="4"/>
      <c r="AD607" s="4"/>
    </row>
    <row r="608" spans="1:30" hidden="1">
      <c r="A608" s="4">
        <v>500</v>
      </c>
      <c r="B608" s="8">
        <v>45111</v>
      </c>
      <c r="C608" s="4"/>
      <c r="D608" s="4" t="s">
        <v>42</v>
      </c>
      <c r="E608" s="8">
        <v>45130</v>
      </c>
      <c r="F608" s="4" t="s">
        <v>43</v>
      </c>
      <c r="G608" s="15" t="s">
        <v>19</v>
      </c>
      <c r="H608" s="4" t="s">
        <v>45</v>
      </c>
      <c r="I608" s="4" t="s">
        <v>50</v>
      </c>
      <c r="J608" s="10">
        <v>1.12896</v>
      </c>
      <c r="K608" s="10">
        <v>1.1519999999999999</v>
      </c>
      <c r="L608" s="10">
        <f t="shared" si="50"/>
        <v>0</v>
      </c>
      <c r="M608" s="10">
        <f t="shared" si="52"/>
        <v>0</v>
      </c>
      <c r="N608" s="10"/>
      <c r="O608" s="10"/>
      <c r="P608" s="10">
        <v>0</v>
      </c>
      <c r="Q608" s="10"/>
      <c r="R608" s="10"/>
      <c r="S608" s="10"/>
      <c r="T608" s="10"/>
      <c r="U608" s="10"/>
      <c r="V608" s="4" t="s">
        <v>813</v>
      </c>
      <c r="W608" s="4"/>
      <c r="X608" s="8">
        <v>45129</v>
      </c>
      <c r="Y608" s="4"/>
      <c r="Z608" s="4"/>
      <c r="AA608" s="8">
        <v>45131</v>
      </c>
      <c r="AB608" s="8"/>
      <c r="AC608" s="4"/>
      <c r="AD608" s="4"/>
    </row>
    <row r="609" spans="1:30" hidden="1">
      <c r="A609" s="4">
        <v>500</v>
      </c>
      <c r="B609" s="8">
        <v>45111</v>
      </c>
      <c r="C609" s="4"/>
      <c r="D609" s="4" t="s">
        <v>42</v>
      </c>
      <c r="E609" s="8">
        <v>45130</v>
      </c>
      <c r="F609" s="4" t="s">
        <v>43</v>
      </c>
      <c r="G609" s="15" t="s">
        <v>19</v>
      </c>
      <c r="H609" s="4" t="s">
        <v>45</v>
      </c>
      <c r="I609" s="4" t="s">
        <v>517</v>
      </c>
      <c r="J609" s="10">
        <v>2.3205</v>
      </c>
      <c r="K609" s="10">
        <v>2.3210000000000002</v>
      </c>
      <c r="L609" s="10">
        <f t="shared" si="50"/>
        <v>0</v>
      </c>
      <c r="M609" s="10">
        <f t="shared" si="52"/>
        <v>0</v>
      </c>
      <c r="N609" s="10"/>
      <c r="O609" s="10"/>
      <c r="P609" s="10">
        <v>0</v>
      </c>
      <c r="Q609" s="10"/>
      <c r="R609" s="10"/>
      <c r="S609" s="10"/>
      <c r="T609" s="10"/>
      <c r="U609" s="10"/>
      <c r="V609" s="4" t="s">
        <v>813</v>
      </c>
      <c r="W609" s="4"/>
      <c r="X609" s="8">
        <v>45138</v>
      </c>
      <c r="Y609" s="4"/>
      <c r="Z609" s="4"/>
      <c r="AA609" s="8">
        <v>45143</v>
      </c>
      <c r="AB609" s="8">
        <v>45143</v>
      </c>
      <c r="AC609" s="4"/>
      <c r="AD609" s="4"/>
    </row>
    <row r="610" spans="1:30" hidden="1">
      <c r="A610" s="4">
        <v>500</v>
      </c>
      <c r="B610" s="8">
        <v>45111</v>
      </c>
      <c r="C610" s="4"/>
      <c r="D610" s="4" t="s">
        <v>42</v>
      </c>
      <c r="E610" s="8">
        <v>45130</v>
      </c>
      <c r="F610" s="4" t="s">
        <v>43</v>
      </c>
      <c r="G610" s="15" t="s">
        <v>19</v>
      </c>
      <c r="H610" s="4" t="s">
        <v>45</v>
      </c>
      <c r="I610" s="4" t="s">
        <v>579</v>
      </c>
      <c r="J610" s="10">
        <v>0.43607999999999991</v>
      </c>
      <c r="K610" s="10">
        <v>0.436</v>
      </c>
      <c r="L610" s="10">
        <f t="shared" si="50"/>
        <v>0</v>
      </c>
      <c r="M610" s="10">
        <f t="shared" si="52"/>
        <v>0</v>
      </c>
      <c r="N610" s="10"/>
      <c r="O610" s="10"/>
      <c r="P610" s="10"/>
      <c r="Q610" s="10"/>
      <c r="R610" s="10">
        <v>0</v>
      </c>
      <c r="S610" s="10"/>
      <c r="T610" s="10"/>
      <c r="U610" s="10"/>
      <c r="V610" s="4" t="s">
        <v>813</v>
      </c>
      <c r="W610" s="4" t="s">
        <v>926</v>
      </c>
      <c r="X610" s="8"/>
      <c r="Y610" s="4"/>
      <c r="Z610" s="4"/>
      <c r="AA610" s="8"/>
      <c r="AB610" s="8"/>
      <c r="AC610" s="4"/>
      <c r="AD610" s="4"/>
    </row>
    <row r="611" spans="1:30" hidden="1">
      <c r="A611" s="4">
        <v>500</v>
      </c>
      <c r="B611" s="8">
        <v>45111</v>
      </c>
      <c r="C611" s="4"/>
      <c r="D611" s="4" t="s">
        <v>42</v>
      </c>
      <c r="E611" s="8">
        <v>45130</v>
      </c>
      <c r="F611" s="4" t="s">
        <v>43</v>
      </c>
      <c r="G611" s="15" t="s">
        <v>19</v>
      </c>
      <c r="H611" s="4" t="s">
        <v>45</v>
      </c>
      <c r="I611" s="4" t="s">
        <v>447</v>
      </c>
      <c r="J611" s="10">
        <v>1.8446</v>
      </c>
      <c r="K611" s="10">
        <v>1.9730000000000001</v>
      </c>
      <c r="L611" s="10">
        <f t="shared" si="50"/>
        <v>0</v>
      </c>
      <c r="M611" s="10">
        <f t="shared" si="52"/>
        <v>0</v>
      </c>
      <c r="N611" s="10"/>
      <c r="O611" s="10"/>
      <c r="P611" s="10">
        <v>0</v>
      </c>
      <c r="Q611" s="10"/>
      <c r="R611" s="10"/>
      <c r="S611" s="10">
        <v>0</v>
      </c>
      <c r="T611" s="10"/>
      <c r="U611" s="10"/>
      <c r="V611" s="4" t="s">
        <v>813</v>
      </c>
      <c r="W611" s="4"/>
      <c r="X611" s="8">
        <v>45132</v>
      </c>
      <c r="Y611" s="4"/>
      <c r="Z611" s="4"/>
      <c r="AA611" s="8">
        <v>45138</v>
      </c>
      <c r="AB611" s="8">
        <v>45138</v>
      </c>
      <c r="AC611" s="4"/>
      <c r="AD611" s="4"/>
    </row>
    <row r="612" spans="1:30" hidden="1">
      <c r="A612" s="4">
        <v>494</v>
      </c>
      <c r="B612" s="8">
        <v>45111</v>
      </c>
      <c r="C612" s="4"/>
      <c r="D612" s="4" t="s">
        <v>42</v>
      </c>
      <c r="E612" s="8">
        <v>45145</v>
      </c>
      <c r="F612" s="4" t="s">
        <v>43</v>
      </c>
      <c r="G612" s="40" t="s">
        <v>20</v>
      </c>
      <c r="H612" s="4" t="s">
        <v>45</v>
      </c>
      <c r="I612" s="4" t="s">
        <v>57</v>
      </c>
      <c r="J612" s="10">
        <v>3.1244999999999998</v>
      </c>
      <c r="K612" s="10">
        <f>2.616+0.518</f>
        <v>3.1340000000000003</v>
      </c>
      <c r="L612" s="10">
        <f t="shared" si="50"/>
        <v>0</v>
      </c>
      <c r="M612" s="10">
        <f t="shared" si="52"/>
        <v>0</v>
      </c>
      <c r="N612" s="10"/>
      <c r="O612" s="10"/>
      <c r="P612" s="10"/>
      <c r="Q612" s="10"/>
      <c r="R612" s="10"/>
      <c r="S612" s="10">
        <v>0</v>
      </c>
      <c r="T612" s="10"/>
      <c r="U612" s="10"/>
      <c r="V612" s="4" t="s">
        <v>415</v>
      </c>
      <c r="W612" s="4"/>
      <c r="X612" s="8">
        <v>45118</v>
      </c>
      <c r="Y612" s="4"/>
      <c r="Z612" s="4"/>
      <c r="AA612" s="8">
        <v>45122</v>
      </c>
      <c r="AB612" s="8">
        <v>45123</v>
      </c>
      <c r="AC612" s="4"/>
      <c r="AD612" s="4"/>
    </row>
    <row r="613" spans="1:30" hidden="1">
      <c r="A613" s="4">
        <v>494</v>
      </c>
      <c r="B613" s="8">
        <v>45111</v>
      </c>
      <c r="C613" s="4"/>
      <c r="D613" s="4" t="s">
        <v>42</v>
      </c>
      <c r="E613" s="8">
        <v>45145</v>
      </c>
      <c r="F613" s="4" t="s">
        <v>43</v>
      </c>
      <c r="G613" s="40" t="s">
        <v>20</v>
      </c>
      <c r="H613" s="4" t="s">
        <v>45</v>
      </c>
      <c r="I613" s="4" t="s">
        <v>56</v>
      </c>
      <c r="J613" s="10">
        <v>17.779119999999999</v>
      </c>
      <c r="K613" s="10">
        <f>6.943+9.877+0.959</f>
        <v>17.779</v>
      </c>
      <c r="L613" s="10">
        <f t="shared" si="50"/>
        <v>0</v>
      </c>
      <c r="M613" s="10">
        <f t="shared" si="52"/>
        <v>0</v>
      </c>
      <c r="N613" s="10"/>
      <c r="O613" s="10"/>
      <c r="P613" s="10">
        <v>0</v>
      </c>
      <c r="Q613" s="10"/>
      <c r="R613" s="10"/>
      <c r="S613" s="10"/>
      <c r="T613" s="10"/>
      <c r="U613" s="10"/>
      <c r="V613" s="4" t="s">
        <v>415</v>
      </c>
      <c r="W613" s="4"/>
      <c r="X613" s="8">
        <v>45121</v>
      </c>
      <c r="Y613" s="4"/>
      <c r="Z613" s="4"/>
      <c r="AA613" s="8">
        <v>45123</v>
      </c>
      <c r="AB613" s="8">
        <v>45124</v>
      </c>
      <c r="AC613" s="4"/>
      <c r="AD613" s="4"/>
    </row>
    <row r="614" spans="1:30" hidden="1">
      <c r="A614" s="4">
        <v>494</v>
      </c>
      <c r="B614" s="8">
        <v>45111</v>
      </c>
      <c r="C614" s="4"/>
      <c r="D614" s="4" t="s">
        <v>42</v>
      </c>
      <c r="E614" s="8">
        <v>45145</v>
      </c>
      <c r="F614" s="4" t="s">
        <v>43</v>
      </c>
      <c r="G614" s="40" t="s">
        <v>20</v>
      </c>
      <c r="H614" s="4" t="s">
        <v>45</v>
      </c>
      <c r="I614" s="4" t="s">
        <v>48</v>
      </c>
      <c r="J614" s="10">
        <v>44.971639999999994</v>
      </c>
      <c r="K614" s="10">
        <f>18.238+12.462+3.782+7.562+2.945</f>
        <v>44.988999999999997</v>
      </c>
      <c r="L614" s="10">
        <f t="shared" si="50"/>
        <v>0</v>
      </c>
      <c r="M614" s="10">
        <f t="shared" si="52"/>
        <v>0</v>
      </c>
      <c r="N614" s="10"/>
      <c r="O614" s="10"/>
      <c r="P614" s="10">
        <v>0</v>
      </c>
      <c r="Q614" s="10"/>
      <c r="R614" s="10"/>
      <c r="S614" s="10"/>
      <c r="T614" s="10"/>
      <c r="U614" s="10"/>
      <c r="V614" s="4" t="s">
        <v>415</v>
      </c>
      <c r="W614" s="4"/>
      <c r="X614" s="8"/>
      <c r="Y614" s="4"/>
      <c r="Z614" s="4"/>
      <c r="AA614" s="8">
        <v>45121</v>
      </c>
      <c r="AB614" s="8">
        <v>45125</v>
      </c>
      <c r="AC614" s="4"/>
      <c r="AD614" s="4"/>
    </row>
    <row r="615" spans="1:30" hidden="1">
      <c r="A615" s="4">
        <v>494</v>
      </c>
      <c r="B615" s="8">
        <v>45111</v>
      </c>
      <c r="C615" s="4"/>
      <c r="D615" s="4" t="s">
        <v>42</v>
      </c>
      <c r="E615" s="8">
        <v>45145</v>
      </c>
      <c r="F615" s="4" t="s">
        <v>43</v>
      </c>
      <c r="G615" s="40" t="s">
        <v>20</v>
      </c>
      <c r="H615" s="4" t="s">
        <v>45</v>
      </c>
      <c r="I615" s="4" t="s">
        <v>403</v>
      </c>
      <c r="J615" s="10">
        <v>2.5198800000000006</v>
      </c>
      <c r="K615" s="10">
        <v>2.5510000000000002</v>
      </c>
      <c r="L615" s="10">
        <f t="shared" si="50"/>
        <v>0</v>
      </c>
      <c r="M615" s="10">
        <f t="shared" si="52"/>
        <v>0</v>
      </c>
      <c r="N615" s="10"/>
      <c r="O615" s="10"/>
      <c r="P615" s="10"/>
      <c r="Q615" s="10"/>
      <c r="R615" s="10"/>
      <c r="S615" s="10"/>
      <c r="T615" s="10"/>
      <c r="U615" s="10"/>
      <c r="V615" s="4" t="s">
        <v>415</v>
      </c>
      <c r="W615" s="4"/>
      <c r="X615" s="8">
        <v>45127</v>
      </c>
      <c r="Y615" s="4"/>
      <c r="Z615" s="4"/>
      <c r="AA615" s="8"/>
      <c r="AB615" s="8"/>
      <c r="AC615" s="4"/>
      <c r="AD615" s="4"/>
    </row>
    <row r="616" spans="1:30" hidden="1">
      <c r="A616" s="4">
        <v>494</v>
      </c>
      <c r="B616" s="8">
        <v>45111</v>
      </c>
      <c r="C616" s="4"/>
      <c r="D616" s="4" t="s">
        <v>42</v>
      </c>
      <c r="E616" s="8">
        <v>45145</v>
      </c>
      <c r="F616" s="4" t="s">
        <v>43</v>
      </c>
      <c r="G616" s="40" t="s">
        <v>20</v>
      </c>
      <c r="H616" s="4" t="s">
        <v>45</v>
      </c>
      <c r="I616" s="4" t="s">
        <v>49</v>
      </c>
      <c r="J616" s="10">
        <v>24.511759999999999</v>
      </c>
      <c r="K616" s="10">
        <f>13.415+11.097</f>
        <v>24.512</v>
      </c>
      <c r="L616" s="10">
        <f t="shared" si="50"/>
        <v>0</v>
      </c>
      <c r="M616" s="10">
        <f t="shared" si="52"/>
        <v>0</v>
      </c>
      <c r="N616" s="10"/>
      <c r="O616" s="10"/>
      <c r="P616" s="10">
        <v>0</v>
      </c>
      <c r="Q616" s="10"/>
      <c r="R616" s="10"/>
      <c r="S616" s="10">
        <v>0</v>
      </c>
      <c r="T616" s="10"/>
      <c r="U616" s="10"/>
      <c r="V616" s="4" t="s">
        <v>415</v>
      </c>
      <c r="W616" s="4"/>
      <c r="X616" s="8">
        <v>45128</v>
      </c>
      <c r="Y616" s="4"/>
      <c r="Z616" s="4"/>
      <c r="AA616" s="8">
        <v>45131</v>
      </c>
      <c r="AB616" s="8">
        <v>45131</v>
      </c>
      <c r="AC616" s="4"/>
      <c r="AD616" s="4"/>
    </row>
    <row r="617" spans="1:30" hidden="1">
      <c r="A617" s="4">
        <v>494</v>
      </c>
      <c r="B617" s="8">
        <v>45111</v>
      </c>
      <c r="C617" s="4"/>
      <c r="D617" s="4" t="s">
        <v>42</v>
      </c>
      <c r="E617" s="8">
        <v>45145</v>
      </c>
      <c r="F617" s="4" t="s">
        <v>43</v>
      </c>
      <c r="G617" s="40" t="s">
        <v>20</v>
      </c>
      <c r="H617" s="4" t="s">
        <v>45</v>
      </c>
      <c r="I617" s="4" t="s">
        <v>50</v>
      </c>
      <c r="J617" s="10">
        <v>40.031039999999997</v>
      </c>
      <c r="K617" s="10">
        <f>20.016+13.254+2.559+4.319</f>
        <v>40.147999999999996</v>
      </c>
      <c r="L617" s="10">
        <f t="shared" si="50"/>
        <v>0</v>
      </c>
      <c r="M617" s="10">
        <f t="shared" si="52"/>
        <v>0</v>
      </c>
      <c r="N617" s="10"/>
      <c r="O617" s="10"/>
      <c r="P617" s="10"/>
      <c r="Q617" s="10"/>
      <c r="R617" s="10"/>
      <c r="S617" s="10">
        <v>0</v>
      </c>
      <c r="T617" s="10"/>
      <c r="U617" s="10"/>
      <c r="V617" s="4" t="s">
        <v>415</v>
      </c>
      <c r="W617" s="4"/>
      <c r="X617" s="8">
        <v>45129</v>
      </c>
      <c r="Y617" s="4"/>
      <c r="Z617" s="4"/>
      <c r="AA617" s="8">
        <v>45131</v>
      </c>
      <c r="AB617" s="8"/>
      <c r="AC617" s="4"/>
      <c r="AD617" s="4"/>
    </row>
    <row r="618" spans="1:30" hidden="1">
      <c r="A618" s="4">
        <v>494</v>
      </c>
      <c r="B618" s="8">
        <v>45111</v>
      </c>
      <c r="C618" s="4"/>
      <c r="D618" s="4" t="s">
        <v>42</v>
      </c>
      <c r="E618" s="8">
        <v>45145</v>
      </c>
      <c r="F618" s="4" t="s">
        <v>43</v>
      </c>
      <c r="G618" s="40" t="s">
        <v>20</v>
      </c>
      <c r="H618" s="4" t="s">
        <v>45</v>
      </c>
      <c r="I618" s="4" t="s">
        <v>409</v>
      </c>
      <c r="J618" s="10">
        <v>26.769479999999998</v>
      </c>
      <c r="K618" s="10">
        <f>14.708+7.712-4.545</f>
        <v>17.875</v>
      </c>
      <c r="L618" s="10">
        <f t="shared" si="50"/>
        <v>0</v>
      </c>
      <c r="M618" s="10">
        <f t="shared" si="52"/>
        <v>0</v>
      </c>
      <c r="N618" s="10"/>
      <c r="O618" s="10"/>
      <c r="P618" s="10"/>
      <c r="Q618" s="10"/>
      <c r="R618" s="10"/>
      <c r="S618" s="10"/>
      <c r="T618" s="10"/>
      <c r="U618" s="10"/>
      <c r="V618" s="4" t="s">
        <v>415</v>
      </c>
      <c r="W618" s="4"/>
      <c r="X618" s="8">
        <v>45130</v>
      </c>
      <c r="Y618" s="4"/>
      <c r="Z618" s="4"/>
      <c r="AA618" s="8">
        <v>45132</v>
      </c>
      <c r="AB618" s="8"/>
      <c r="AC618" s="4"/>
      <c r="AD618" s="4"/>
    </row>
    <row r="619" spans="1:30" hidden="1">
      <c r="A619" s="4">
        <v>494</v>
      </c>
      <c r="B619" s="8">
        <v>45111</v>
      </c>
      <c r="C619" s="4"/>
      <c r="D619" s="4" t="s">
        <v>42</v>
      </c>
      <c r="E619" s="8">
        <v>45145</v>
      </c>
      <c r="F619" s="4" t="s">
        <v>43</v>
      </c>
      <c r="G619" s="40" t="s">
        <v>20</v>
      </c>
      <c r="H619" s="4" t="s">
        <v>45</v>
      </c>
      <c r="I619" s="4" t="s">
        <v>447</v>
      </c>
      <c r="J619" s="10">
        <v>93.216459999999998</v>
      </c>
      <c r="K619" s="10">
        <f>18.037+29.722+24.936+18.623+2.036</f>
        <v>93.353999999999999</v>
      </c>
      <c r="L619" s="10">
        <f t="shared" ref="L619:L682" si="53">M619+U619</f>
        <v>0</v>
      </c>
      <c r="M619" s="10">
        <f t="shared" si="52"/>
        <v>0</v>
      </c>
      <c r="N619" s="10"/>
      <c r="O619" s="10"/>
      <c r="P619" s="10"/>
      <c r="Q619" s="10"/>
      <c r="R619" s="10"/>
      <c r="S619" s="10"/>
      <c r="T619" s="10"/>
      <c r="U619" s="10"/>
      <c r="V619" s="4" t="s">
        <v>415</v>
      </c>
      <c r="W619" s="4"/>
      <c r="X619" s="8">
        <v>45132</v>
      </c>
      <c r="Y619" s="4"/>
      <c r="Z619" s="4"/>
      <c r="AA619" s="8">
        <v>45137</v>
      </c>
      <c r="AB619" s="8"/>
      <c r="AC619" s="4"/>
      <c r="AD619" s="4"/>
    </row>
    <row r="620" spans="1:30" hidden="1">
      <c r="A620" s="4">
        <v>494</v>
      </c>
      <c r="B620" s="8">
        <v>45111</v>
      </c>
      <c r="C620" s="4"/>
      <c r="D620" s="4" t="s">
        <v>42</v>
      </c>
      <c r="E620" s="8">
        <v>45145</v>
      </c>
      <c r="F620" s="4" t="s">
        <v>43</v>
      </c>
      <c r="G620" s="40" t="s">
        <v>20</v>
      </c>
      <c r="H620" s="4" t="s">
        <v>45</v>
      </c>
      <c r="I620" s="4" t="s">
        <v>518</v>
      </c>
      <c r="J620" s="10">
        <v>2.0110999999999999</v>
      </c>
      <c r="K620" s="10">
        <v>2.0110000000000001</v>
      </c>
      <c r="L620" s="10">
        <f t="shared" si="53"/>
        <v>0</v>
      </c>
      <c r="M620" s="10">
        <f t="shared" si="52"/>
        <v>0</v>
      </c>
      <c r="N620" s="10"/>
      <c r="O620" s="10"/>
      <c r="P620" s="10">
        <v>0</v>
      </c>
      <c r="Q620" s="10"/>
      <c r="R620" s="10"/>
      <c r="S620" s="10"/>
      <c r="T620" s="10"/>
      <c r="U620" s="10"/>
      <c r="V620" s="4" t="s">
        <v>415</v>
      </c>
      <c r="W620" s="4"/>
      <c r="X620" s="8">
        <v>45132</v>
      </c>
      <c r="Y620" s="4"/>
      <c r="Z620" s="4"/>
      <c r="AA620" s="8"/>
      <c r="AB620" s="8"/>
      <c r="AC620" s="4"/>
      <c r="AD620" s="4"/>
    </row>
    <row r="621" spans="1:30" hidden="1">
      <c r="A621" s="4">
        <v>494</v>
      </c>
      <c r="B621" s="8">
        <v>45111</v>
      </c>
      <c r="C621" s="4"/>
      <c r="D621" s="4" t="s">
        <v>42</v>
      </c>
      <c r="E621" s="8">
        <v>45145</v>
      </c>
      <c r="F621" s="4" t="s">
        <v>43</v>
      </c>
      <c r="G621" s="40" t="s">
        <v>20</v>
      </c>
      <c r="H621" s="4" t="s">
        <v>45</v>
      </c>
      <c r="I621" s="4" t="s">
        <v>434</v>
      </c>
      <c r="J621" s="10">
        <v>26.579608</v>
      </c>
      <c r="K621" s="10">
        <f>8.373+6.579+7.442+2.127+0.343+2.002</f>
        <v>26.865999999999996</v>
      </c>
      <c r="L621" s="10">
        <f t="shared" si="53"/>
        <v>0</v>
      </c>
      <c r="M621" s="10">
        <f t="shared" si="52"/>
        <v>0</v>
      </c>
      <c r="N621" s="10"/>
      <c r="O621" s="10"/>
      <c r="P621" s="10">
        <v>0</v>
      </c>
      <c r="Q621" s="10"/>
      <c r="R621" s="10"/>
      <c r="S621" s="10"/>
      <c r="T621" s="10"/>
      <c r="U621" s="10"/>
      <c r="V621" s="4" t="s">
        <v>415</v>
      </c>
      <c r="W621" s="4"/>
      <c r="X621" s="8">
        <v>45148</v>
      </c>
      <c r="Y621" s="4"/>
      <c r="Z621" s="4"/>
      <c r="AA621" s="8">
        <v>45150</v>
      </c>
      <c r="AB621" s="8">
        <v>45159</v>
      </c>
      <c r="AC621" s="4"/>
      <c r="AD621" s="4"/>
    </row>
    <row r="622" spans="1:30" hidden="1">
      <c r="A622" s="4">
        <v>494</v>
      </c>
      <c r="B622" s="8">
        <v>45111</v>
      </c>
      <c r="C622" s="4"/>
      <c r="D622" s="4" t="s">
        <v>42</v>
      </c>
      <c r="E622" s="8">
        <v>45145</v>
      </c>
      <c r="F622" s="4" t="s">
        <v>43</v>
      </c>
      <c r="G622" s="40" t="s">
        <v>20</v>
      </c>
      <c r="H622" s="4" t="s">
        <v>45</v>
      </c>
      <c r="I622" s="4" t="s">
        <v>89</v>
      </c>
      <c r="J622" s="10">
        <v>41.524900000000002</v>
      </c>
      <c r="K622" s="10">
        <f>21.954+8.383+10.807+0.394</f>
        <v>41.537999999999997</v>
      </c>
      <c r="L622" s="10">
        <f t="shared" si="53"/>
        <v>0</v>
      </c>
      <c r="M622" s="10">
        <f t="shared" si="52"/>
        <v>0</v>
      </c>
      <c r="N622" s="10"/>
      <c r="O622" s="10"/>
      <c r="P622" s="10">
        <v>0</v>
      </c>
      <c r="Q622" s="10"/>
      <c r="R622" s="10"/>
      <c r="S622" s="10"/>
      <c r="T622" s="10"/>
      <c r="U622" s="10"/>
      <c r="V622" s="4" t="s">
        <v>415</v>
      </c>
      <c r="W622" s="4"/>
      <c r="X622" s="8"/>
      <c r="Y622" s="4"/>
      <c r="Z622" s="4"/>
      <c r="AA622" s="8">
        <v>45154</v>
      </c>
      <c r="AB622" s="8">
        <v>45159</v>
      </c>
      <c r="AC622" s="4"/>
      <c r="AD622" s="4"/>
    </row>
    <row r="623" spans="1:30" hidden="1">
      <c r="A623" s="4">
        <v>494</v>
      </c>
      <c r="B623" s="8">
        <v>45111</v>
      </c>
      <c r="C623" s="4"/>
      <c r="D623" s="4" t="s">
        <v>42</v>
      </c>
      <c r="E623" s="8">
        <v>45145</v>
      </c>
      <c r="F623" s="4" t="s">
        <v>43</v>
      </c>
      <c r="G623" s="40" t="s">
        <v>20</v>
      </c>
      <c r="H623" s="4" t="s">
        <v>45</v>
      </c>
      <c r="I623" s="4" t="s">
        <v>87</v>
      </c>
      <c r="J623" s="10">
        <v>109.11578499999999</v>
      </c>
      <c r="K623" s="10">
        <f>15.607+25.06+3.013+4.613+12.099+8.562+19.055+8.296+8.303+3.086+1.58</f>
        <v>109.27399999999997</v>
      </c>
      <c r="L623" s="10">
        <f t="shared" si="53"/>
        <v>0</v>
      </c>
      <c r="M623" s="10">
        <f t="shared" si="52"/>
        <v>0</v>
      </c>
      <c r="N623" s="10"/>
      <c r="O623" s="10"/>
      <c r="P623" s="10">
        <v>0</v>
      </c>
      <c r="Q623" s="10"/>
      <c r="R623" s="10"/>
      <c r="S623" s="10"/>
      <c r="T623" s="10"/>
      <c r="U623" s="10"/>
      <c r="V623" s="4" t="s">
        <v>415</v>
      </c>
      <c r="W623" s="4"/>
      <c r="X623" s="8"/>
      <c r="Y623" s="4"/>
      <c r="Z623" s="4"/>
      <c r="AA623" s="8">
        <v>45151</v>
      </c>
      <c r="AB623" s="8">
        <v>45159</v>
      </c>
      <c r="AC623" s="4"/>
      <c r="AD623" s="4"/>
    </row>
    <row r="624" spans="1:30" hidden="1">
      <c r="A624" s="4">
        <v>498</v>
      </c>
      <c r="B624" s="8">
        <v>45111</v>
      </c>
      <c r="C624" s="4"/>
      <c r="D624" s="4" t="s">
        <v>42</v>
      </c>
      <c r="E624" s="8">
        <v>45145</v>
      </c>
      <c r="F624" s="4" t="s">
        <v>43</v>
      </c>
      <c r="G624" s="40" t="s">
        <v>60</v>
      </c>
      <c r="H624" s="4" t="s">
        <v>45</v>
      </c>
      <c r="I624" s="4" t="s">
        <v>57</v>
      </c>
      <c r="J624" s="10">
        <v>16.89</v>
      </c>
      <c r="K624" s="10">
        <f>2.159+11.618+1.782+1.332</f>
        <v>16.891000000000002</v>
      </c>
      <c r="L624" s="10">
        <f t="shared" si="53"/>
        <v>0</v>
      </c>
      <c r="M624" s="10">
        <f t="shared" si="52"/>
        <v>0</v>
      </c>
      <c r="N624" s="10"/>
      <c r="O624" s="10"/>
      <c r="P624" s="10">
        <v>0</v>
      </c>
      <c r="Q624" s="10"/>
      <c r="R624" s="10"/>
      <c r="S624" s="10"/>
      <c r="T624" s="10"/>
      <c r="U624" s="10"/>
      <c r="V624" s="4" t="s">
        <v>85</v>
      </c>
      <c r="W624" s="4"/>
      <c r="X624" s="8">
        <v>45118</v>
      </c>
      <c r="Y624" s="4"/>
      <c r="Z624" s="4"/>
      <c r="AA624" s="8">
        <v>45121</v>
      </c>
      <c r="AB624" s="8">
        <v>45123</v>
      </c>
      <c r="AC624" s="4"/>
      <c r="AD624" s="4"/>
    </row>
    <row r="625" spans="1:30" hidden="1">
      <c r="A625" s="4">
        <v>498</v>
      </c>
      <c r="B625" s="8">
        <v>45111</v>
      </c>
      <c r="C625" s="4"/>
      <c r="D625" s="4" t="s">
        <v>42</v>
      </c>
      <c r="E625" s="8">
        <v>45145</v>
      </c>
      <c r="F625" s="4" t="s">
        <v>43</v>
      </c>
      <c r="G625" s="40" t="s">
        <v>60</v>
      </c>
      <c r="H625" s="4" t="s">
        <v>45</v>
      </c>
      <c r="I625" s="4" t="s">
        <v>54</v>
      </c>
      <c r="J625" s="10">
        <v>30.611708</v>
      </c>
      <c r="K625" s="10">
        <f>3.959+10.841+14.67+1.263</f>
        <v>30.732999999999997</v>
      </c>
      <c r="L625" s="10">
        <f t="shared" si="53"/>
        <v>0</v>
      </c>
      <c r="M625" s="10">
        <f t="shared" si="52"/>
        <v>0</v>
      </c>
      <c r="N625" s="10"/>
      <c r="O625" s="10"/>
      <c r="P625" s="10">
        <v>0</v>
      </c>
      <c r="Q625" s="10"/>
      <c r="R625" s="10"/>
      <c r="S625" s="10"/>
      <c r="T625" s="10"/>
      <c r="U625" s="10"/>
      <c r="V625" s="4" t="s">
        <v>85</v>
      </c>
      <c r="W625" s="4"/>
      <c r="X625" s="8">
        <v>45122</v>
      </c>
      <c r="Y625" s="4"/>
      <c r="Z625" s="4"/>
      <c r="AA625" s="8">
        <v>45127</v>
      </c>
      <c r="AB625" s="8">
        <v>45127</v>
      </c>
      <c r="AC625" s="4"/>
      <c r="AD625" s="4"/>
    </row>
    <row r="626" spans="1:30" hidden="1">
      <c r="A626" s="4">
        <v>498</v>
      </c>
      <c r="B626" s="8">
        <v>45111</v>
      </c>
      <c r="C626" s="4"/>
      <c r="D626" s="4" t="s">
        <v>42</v>
      </c>
      <c r="E626" s="8">
        <v>45145</v>
      </c>
      <c r="F626" s="4" t="s">
        <v>43</v>
      </c>
      <c r="G626" s="40" t="s">
        <v>60</v>
      </c>
      <c r="H626" s="4" t="s">
        <v>45</v>
      </c>
      <c r="I626" s="4" t="s">
        <v>48</v>
      </c>
      <c r="J626" s="10">
        <v>17.486260000000001</v>
      </c>
      <c r="K626" s="10">
        <f>16.22+0.415+0.993</f>
        <v>17.627999999999997</v>
      </c>
      <c r="L626" s="10">
        <f t="shared" si="53"/>
        <v>0</v>
      </c>
      <c r="M626" s="10">
        <f t="shared" si="52"/>
        <v>0</v>
      </c>
      <c r="N626" s="10"/>
      <c r="O626" s="10"/>
      <c r="P626" s="10">
        <v>0</v>
      </c>
      <c r="Q626" s="10"/>
      <c r="R626" s="10"/>
      <c r="S626" s="10"/>
      <c r="T626" s="10"/>
      <c r="U626" s="10"/>
      <c r="V626" s="4" t="s">
        <v>85</v>
      </c>
      <c r="W626" s="4"/>
      <c r="X626" s="8">
        <v>45124</v>
      </c>
      <c r="Y626" s="4"/>
      <c r="Z626" s="4"/>
      <c r="AA626" s="8">
        <v>45125</v>
      </c>
      <c r="AB626" s="8">
        <v>45127</v>
      </c>
      <c r="AC626" s="4"/>
      <c r="AD626" s="4"/>
    </row>
    <row r="627" spans="1:30" hidden="1">
      <c r="A627" s="4">
        <v>498</v>
      </c>
      <c r="B627" s="8">
        <v>45111</v>
      </c>
      <c r="C627" s="4"/>
      <c r="D627" s="4" t="s">
        <v>42</v>
      </c>
      <c r="E627" s="8">
        <v>45145</v>
      </c>
      <c r="F627" s="4" t="s">
        <v>43</v>
      </c>
      <c r="G627" s="40" t="s">
        <v>60</v>
      </c>
      <c r="H627" s="4" t="s">
        <v>45</v>
      </c>
      <c r="I627" s="4" t="s">
        <v>403</v>
      </c>
      <c r="J627" s="10">
        <v>38.739419999999996</v>
      </c>
      <c r="K627" s="10">
        <f>11.084+10.144+5.777+11.882</f>
        <v>38.887</v>
      </c>
      <c r="L627" s="10">
        <f t="shared" si="53"/>
        <v>0</v>
      </c>
      <c r="M627" s="10">
        <f t="shared" si="52"/>
        <v>0</v>
      </c>
      <c r="N627" s="10"/>
      <c r="O627" s="10"/>
      <c r="P627" s="10">
        <v>0</v>
      </c>
      <c r="Q627" s="10"/>
      <c r="R627" s="10"/>
      <c r="S627" s="10"/>
      <c r="T627" s="10"/>
      <c r="U627" s="10"/>
      <c r="V627" s="4" t="s">
        <v>85</v>
      </c>
      <c r="W627" s="4" t="s">
        <v>951</v>
      </c>
      <c r="X627" s="8">
        <v>45163</v>
      </c>
      <c r="Y627" s="4"/>
      <c r="Z627" s="4"/>
      <c r="AA627" s="8">
        <v>45164</v>
      </c>
      <c r="AB627" s="8">
        <v>45167</v>
      </c>
      <c r="AC627" s="4"/>
      <c r="AD627" s="4"/>
    </row>
    <row r="628" spans="1:30" hidden="1">
      <c r="A628" s="4">
        <v>498</v>
      </c>
      <c r="B628" s="8">
        <v>45111</v>
      </c>
      <c r="C628" s="4"/>
      <c r="D628" s="4" t="s">
        <v>42</v>
      </c>
      <c r="E628" s="8">
        <v>45145</v>
      </c>
      <c r="F628" s="4" t="s">
        <v>43</v>
      </c>
      <c r="G628" s="40" t="s">
        <v>60</v>
      </c>
      <c r="H628" s="4" t="s">
        <v>45</v>
      </c>
      <c r="I628" s="4" t="s">
        <v>405</v>
      </c>
      <c r="J628" s="10">
        <v>0.35699999999999998</v>
      </c>
      <c r="K628" s="10">
        <v>0.47399999999999998</v>
      </c>
      <c r="L628" s="10">
        <f t="shared" si="53"/>
        <v>0</v>
      </c>
      <c r="M628" s="10">
        <f t="shared" si="52"/>
        <v>0</v>
      </c>
      <c r="N628" s="10"/>
      <c r="O628" s="10"/>
      <c r="P628" s="10">
        <v>0</v>
      </c>
      <c r="Q628" s="10"/>
      <c r="R628" s="10"/>
      <c r="S628" s="10"/>
      <c r="T628" s="10"/>
      <c r="U628" s="10"/>
      <c r="V628" s="4" t="s">
        <v>85</v>
      </c>
      <c r="W628" s="4"/>
      <c r="X628" s="8">
        <v>45125</v>
      </c>
      <c r="Y628" s="4"/>
      <c r="Z628" s="4"/>
      <c r="AA628" s="8">
        <v>45128</v>
      </c>
      <c r="AB628" s="8">
        <v>45128</v>
      </c>
      <c r="AC628" s="4"/>
      <c r="AD628" s="4"/>
    </row>
    <row r="629" spans="1:30" hidden="1">
      <c r="A629" s="4">
        <v>498</v>
      </c>
      <c r="B629" s="8">
        <v>45111</v>
      </c>
      <c r="C629" s="4"/>
      <c r="D629" s="4" t="s">
        <v>42</v>
      </c>
      <c r="E629" s="8">
        <v>45145</v>
      </c>
      <c r="F629" s="4" t="s">
        <v>43</v>
      </c>
      <c r="G629" s="40" t="s">
        <v>60</v>
      </c>
      <c r="H629" s="4" t="s">
        <v>45</v>
      </c>
      <c r="I629" s="4" t="s">
        <v>400</v>
      </c>
      <c r="J629" s="10">
        <v>24.697400000000002</v>
      </c>
      <c r="K629" s="10">
        <f>11.072+12.717+1.154</f>
        <v>24.943000000000001</v>
      </c>
      <c r="L629" s="10">
        <f t="shared" si="53"/>
        <v>0</v>
      </c>
      <c r="M629" s="10">
        <f t="shared" ref="M629:M660" si="54">SUM(N629:T629)</f>
        <v>0</v>
      </c>
      <c r="N629" s="10"/>
      <c r="O629" s="10"/>
      <c r="P629" s="10">
        <v>0</v>
      </c>
      <c r="Q629" s="10"/>
      <c r="R629" s="10"/>
      <c r="S629" s="10"/>
      <c r="T629" s="10"/>
      <c r="U629" s="10"/>
      <c r="V629" s="4" t="s">
        <v>85</v>
      </c>
      <c r="W629" s="4"/>
      <c r="X629" s="8">
        <v>45125</v>
      </c>
      <c r="Y629" s="4"/>
      <c r="Z629" s="4"/>
      <c r="AA629" s="8">
        <v>45128</v>
      </c>
      <c r="AB629" s="8">
        <v>45129</v>
      </c>
      <c r="AC629" s="4"/>
      <c r="AD629" s="4"/>
    </row>
    <row r="630" spans="1:30" hidden="1">
      <c r="A630" s="4">
        <v>498</v>
      </c>
      <c r="B630" s="8">
        <v>45111</v>
      </c>
      <c r="C630" s="4"/>
      <c r="D630" s="4" t="s">
        <v>42</v>
      </c>
      <c r="E630" s="8">
        <v>45145</v>
      </c>
      <c r="F630" s="4" t="s">
        <v>43</v>
      </c>
      <c r="G630" s="40" t="s">
        <v>60</v>
      </c>
      <c r="H630" s="4" t="s">
        <v>45</v>
      </c>
      <c r="I630" s="4" t="s">
        <v>46</v>
      </c>
      <c r="J630" s="10">
        <v>30.395220000000002</v>
      </c>
      <c r="K630" s="10">
        <f>6.295+13.941+6.33+4.058</f>
        <v>30.624000000000002</v>
      </c>
      <c r="L630" s="10">
        <f t="shared" si="53"/>
        <v>0</v>
      </c>
      <c r="M630" s="10">
        <f t="shared" si="54"/>
        <v>0</v>
      </c>
      <c r="N630" s="10"/>
      <c r="O630" s="10"/>
      <c r="P630" s="10">
        <v>0</v>
      </c>
      <c r="Q630" s="10"/>
      <c r="R630" s="10"/>
      <c r="S630" s="10"/>
      <c r="T630" s="10"/>
      <c r="U630" s="10"/>
      <c r="V630" s="4" t="s">
        <v>85</v>
      </c>
      <c r="W630" s="4" t="s">
        <v>951</v>
      </c>
      <c r="X630" s="8">
        <v>45164</v>
      </c>
      <c r="Y630" s="4"/>
      <c r="Z630" s="4"/>
      <c r="AA630" s="8">
        <v>45166</v>
      </c>
      <c r="AB630" s="8"/>
      <c r="AC630" s="4"/>
      <c r="AD630" s="4"/>
    </row>
    <row r="631" spans="1:30" hidden="1">
      <c r="A631" s="4">
        <v>498</v>
      </c>
      <c r="B631" s="8">
        <v>45111</v>
      </c>
      <c r="C631" s="4"/>
      <c r="D631" s="4" t="s">
        <v>42</v>
      </c>
      <c r="E631" s="8">
        <v>45145</v>
      </c>
      <c r="F631" s="4" t="s">
        <v>43</v>
      </c>
      <c r="G631" s="40" t="s">
        <v>60</v>
      </c>
      <c r="H631" s="4" t="s">
        <v>45</v>
      </c>
      <c r="I631" s="4" t="s">
        <v>49</v>
      </c>
      <c r="J631" s="10">
        <v>16.35088</v>
      </c>
      <c r="K631" s="10">
        <f>4.994+2.011+3.498+5.964</f>
        <v>16.466999999999999</v>
      </c>
      <c r="L631" s="10">
        <f t="shared" si="53"/>
        <v>0</v>
      </c>
      <c r="M631" s="10">
        <f t="shared" si="54"/>
        <v>0</v>
      </c>
      <c r="N631" s="10"/>
      <c r="O631" s="10"/>
      <c r="P631" s="10"/>
      <c r="Q631" s="10"/>
      <c r="R631" s="10"/>
      <c r="S631" s="10"/>
      <c r="T631" s="10"/>
      <c r="U631" s="10"/>
      <c r="V631" s="4" t="s">
        <v>85</v>
      </c>
      <c r="W631" s="4"/>
      <c r="X631" s="8">
        <v>45128</v>
      </c>
      <c r="Y631" s="4"/>
      <c r="Z631" s="4"/>
      <c r="AA631" s="8">
        <v>45130</v>
      </c>
      <c r="AB631" s="8"/>
      <c r="AC631" s="4"/>
      <c r="AD631" s="4"/>
    </row>
    <row r="632" spans="1:30" hidden="1">
      <c r="A632" s="4">
        <v>498</v>
      </c>
      <c r="B632" s="8">
        <v>45111</v>
      </c>
      <c r="C632" s="4"/>
      <c r="D632" s="4" t="s">
        <v>42</v>
      </c>
      <c r="E632" s="8">
        <v>45145</v>
      </c>
      <c r="F632" s="4" t="s">
        <v>43</v>
      </c>
      <c r="G632" s="40" t="s">
        <v>60</v>
      </c>
      <c r="H632" s="4" t="s">
        <v>45</v>
      </c>
      <c r="I632" s="4" t="s">
        <v>50</v>
      </c>
      <c r="J632" s="10">
        <v>17.39451</v>
      </c>
      <c r="K632" s="10">
        <f>9.524+7.852</f>
        <v>17.375999999999998</v>
      </c>
      <c r="L632" s="10">
        <f t="shared" si="53"/>
        <v>0</v>
      </c>
      <c r="M632" s="10">
        <f t="shared" si="54"/>
        <v>0</v>
      </c>
      <c r="N632" s="10"/>
      <c r="O632" s="10"/>
      <c r="P632" s="10">
        <v>0</v>
      </c>
      <c r="Q632" s="10"/>
      <c r="R632" s="10"/>
      <c r="S632" s="10"/>
      <c r="T632" s="10"/>
      <c r="U632" s="10"/>
      <c r="V632" s="4" t="s">
        <v>85</v>
      </c>
      <c r="W632" s="4"/>
      <c r="X632" s="8">
        <v>45129</v>
      </c>
      <c r="Y632" s="4"/>
      <c r="Z632" s="4"/>
      <c r="AA632" s="8">
        <v>45131</v>
      </c>
      <c r="AB632" s="8">
        <v>45132</v>
      </c>
      <c r="AC632" s="4"/>
      <c r="AD632" s="4"/>
    </row>
    <row r="633" spans="1:30" hidden="1">
      <c r="A633" s="4">
        <v>498</v>
      </c>
      <c r="B633" s="8">
        <v>45111</v>
      </c>
      <c r="C633" s="4"/>
      <c r="D633" s="4" t="s">
        <v>42</v>
      </c>
      <c r="E633" s="8">
        <v>45145</v>
      </c>
      <c r="F633" s="4" t="s">
        <v>43</v>
      </c>
      <c r="G633" s="40" t="s">
        <v>60</v>
      </c>
      <c r="H633" s="4" t="s">
        <v>45</v>
      </c>
      <c r="I633" s="4" t="s">
        <v>588</v>
      </c>
      <c r="J633" s="10">
        <v>16.094099999999997</v>
      </c>
      <c r="K633" s="10">
        <f>7.621+4.901+3.861</f>
        <v>16.382999999999999</v>
      </c>
      <c r="L633" s="10">
        <f t="shared" si="53"/>
        <v>0</v>
      </c>
      <c r="M633" s="10">
        <f t="shared" si="54"/>
        <v>0</v>
      </c>
      <c r="N633" s="10"/>
      <c r="O633" s="10"/>
      <c r="P633" s="10">
        <v>0</v>
      </c>
      <c r="Q633" s="10"/>
      <c r="R633" s="10"/>
      <c r="S633" s="10"/>
      <c r="T633" s="10"/>
      <c r="U633" s="10"/>
      <c r="V633" s="4" t="s">
        <v>85</v>
      </c>
      <c r="W633" s="4"/>
      <c r="X633" s="8">
        <v>45128</v>
      </c>
      <c r="Y633" s="4"/>
      <c r="Z633" s="4"/>
      <c r="AA633" s="8">
        <v>45130</v>
      </c>
      <c r="AB633" s="8"/>
      <c r="AC633" s="4"/>
      <c r="AD633" s="4"/>
    </row>
    <row r="634" spans="1:30" hidden="1">
      <c r="A634" s="4">
        <v>498</v>
      </c>
      <c r="B634" s="8">
        <v>45111</v>
      </c>
      <c r="C634" s="4"/>
      <c r="D634" s="4" t="s">
        <v>42</v>
      </c>
      <c r="E634" s="8">
        <v>45145</v>
      </c>
      <c r="F634" s="4" t="s">
        <v>43</v>
      </c>
      <c r="G634" s="40" t="s">
        <v>60</v>
      </c>
      <c r="H634" s="4" t="s">
        <v>45</v>
      </c>
      <c r="I634" s="4" t="s">
        <v>407</v>
      </c>
      <c r="J634" s="10">
        <v>22.781880000000001</v>
      </c>
      <c r="K634" s="10">
        <f>16.857+5.944</f>
        <v>22.800999999999998</v>
      </c>
      <c r="L634" s="10">
        <f t="shared" si="53"/>
        <v>0</v>
      </c>
      <c r="M634" s="10">
        <f t="shared" si="54"/>
        <v>0</v>
      </c>
      <c r="N634" s="10"/>
      <c r="O634" s="10"/>
      <c r="P634" s="10">
        <v>0</v>
      </c>
      <c r="Q634" s="10"/>
      <c r="R634" s="10"/>
      <c r="S634" s="10"/>
      <c r="T634" s="10"/>
      <c r="U634" s="10"/>
      <c r="V634" s="4" t="s">
        <v>85</v>
      </c>
      <c r="W634" s="4"/>
      <c r="X634" s="8">
        <v>45130</v>
      </c>
      <c r="Y634" s="4"/>
      <c r="Z634" s="4"/>
      <c r="AA634" s="8">
        <v>45136</v>
      </c>
      <c r="AB634" s="8">
        <v>45137</v>
      </c>
      <c r="AC634" s="4"/>
      <c r="AD634" s="4"/>
    </row>
    <row r="635" spans="1:30" hidden="1">
      <c r="A635" s="4">
        <v>498</v>
      </c>
      <c r="B635" s="8">
        <v>45111</v>
      </c>
      <c r="C635" s="4"/>
      <c r="D635" s="4" t="s">
        <v>42</v>
      </c>
      <c r="E635" s="8">
        <v>45145</v>
      </c>
      <c r="F635" s="4" t="s">
        <v>43</v>
      </c>
      <c r="G635" s="40" t="s">
        <v>60</v>
      </c>
      <c r="H635" s="4" t="s">
        <v>45</v>
      </c>
      <c r="I635" s="4" t="s">
        <v>408</v>
      </c>
      <c r="J635" s="10">
        <v>2.0832000000000002</v>
      </c>
      <c r="K635" s="10">
        <v>2.0830000000000002</v>
      </c>
      <c r="L635" s="10">
        <f t="shared" si="53"/>
        <v>0</v>
      </c>
      <c r="M635" s="10">
        <f t="shared" si="54"/>
        <v>0</v>
      </c>
      <c r="N635" s="10"/>
      <c r="O635" s="10"/>
      <c r="P635" s="10">
        <v>0</v>
      </c>
      <c r="Q635" s="10"/>
      <c r="R635" s="10"/>
      <c r="S635" s="10"/>
      <c r="T635" s="10"/>
      <c r="U635" s="10"/>
      <c r="V635" s="4" t="s">
        <v>85</v>
      </c>
      <c r="W635" s="4"/>
      <c r="X635" s="8">
        <v>45130</v>
      </c>
      <c r="Y635" s="4"/>
      <c r="Z635" s="4"/>
      <c r="AA635" s="8">
        <v>45139</v>
      </c>
      <c r="AB635" s="8">
        <v>45139</v>
      </c>
      <c r="AC635" s="4"/>
      <c r="AD635" s="4"/>
    </row>
    <row r="636" spans="1:30" hidden="1">
      <c r="A636" s="4">
        <v>498</v>
      </c>
      <c r="B636" s="8">
        <v>45111</v>
      </c>
      <c r="C636" s="4"/>
      <c r="D636" s="4" t="s">
        <v>42</v>
      </c>
      <c r="E636" s="8">
        <v>45145</v>
      </c>
      <c r="F636" s="4" t="s">
        <v>43</v>
      </c>
      <c r="G636" s="40" t="s">
        <v>60</v>
      </c>
      <c r="H636" s="4" t="s">
        <v>45</v>
      </c>
      <c r="I636" s="4" t="s">
        <v>409</v>
      </c>
      <c r="J636" s="10">
        <v>28.08164</v>
      </c>
      <c r="K636" s="10">
        <f>15.472+9.876+2.951</f>
        <v>28.298999999999999</v>
      </c>
      <c r="L636" s="10">
        <f t="shared" si="53"/>
        <v>0</v>
      </c>
      <c r="M636" s="10">
        <f t="shared" si="54"/>
        <v>0</v>
      </c>
      <c r="N636" s="10"/>
      <c r="O636" s="10"/>
      <c r="P636" s="10">
        <v>0</v>
      </c>
      <c r="Q636" s="10"/>
      <c r="R636" s="10"/>
      <c r="S636" s="10"/>
      <c r="T636" s="10"/>
      <c r="U636" s="10"/>
      <c r="V636" s="4" t="s">
        <v>85</v>
      </c>
      <c r="W636" s="4"/>
      <c r="X636" s="8">
        <v>45130</v>
      </c>
      <c r="Y636" s="4"/>
      <c r="Z636" s="4"/>
      <c r="AA636" s="8">
        <v>45132</v>
      </c>
      <c r="AB636" s="8">
        <v>45142</v>
      </c>
      <c r="AC636" s="4"/>
      <c r="AD636" s="4"/>
    </row>
    <row r="637" spans="1:30" hidden="1">
      <c r="A637" s="4">
        <v>498</v>
      </c>
      <c r="B637" s="8">
        <v>45111</v>
      </c>
      <c r="C637" s="4"/>
      <c r="D637" s="4" t="s">
        <v>42</v>
      </c>
      <c r="E637" s="8">
        <v>45145</v>
      </c>
      <c r="F637" s="4" t="s">
        <v>43</v>
      </c>
      <c r="G637" s="40" t="s">
        <v>60</v>
      </c>
      <c r="H637" s="4" t="s">
        <v>45</v>
      </c>
      <c r="I637" s="4" t="s">
        <v>410</v>
      </c>
      <c r="J637" s="10">
        <v>3</v>
      </c>
      <c r="K637" s="10">
        <v>3</v>
      </c>
      <c r="L637" s="10">
        <f t="shared" si="53"/>
        <v>0</v>
      </c>
      <c r="M637" s="10">
        <f t="shared" si="54"/>
        <v>0</v>
      </c>
      <c r="N637" s="10"/>
      <c r="O637" s="10"/>
      <c r="P637" s="10">
        <v>0</v>
      </c>
      <c r="Q637" s="10"/>
      <c r="R637" s="10"/>
      <c r="S637" s="10">
        <v>0</v>
      </c>
      <c r="T637" s="10"/>
      <c r="U637" s="10"/>
      <c r="V637" s="4" t="s">
        <v>85</v>
      </c>
      <c r="W637" s="4"/>
      <c r="X637" s="8">
        <v>45131</v>
      </c>
      <c r="Y637" s="4"/>
      <c r="Z637" s="4"/>
      <c r="AA637" s="8"/>
      <c r="AB637" s="8"/>
      <c r="AC637" s="4"/>
      <c r="AD637" s="4"/>
    </row>
    <row r="638" spans="1:30" hidden="1">
      <c r="A638" s="4">
        <v>498</v>
      </c>
      <c r="B638" s="8">
        <v>45111</v>
      </c>
      <c r="C638" s="4"/>
      <c r="D638" s="4" t="s">
        <v>42</v>
      </c>
      <c r="E638" s="8">
        <v>45145</v>
      </c>
      <c r="F638" s="4" t="s">
        <v>43</v>
      </c>
      <c r="G638" s="40" t="s">
        <v>60</v>
      </c>
      <c r="H638" s="4" t="s">
        <v>45</v>
      </c>
      <c r="I638" s="4" t="s">
        <v>47</v>
      </c>
      <c r="J638" s="10">
        <v>8.6618099999999991</v>
      </c>
      <c r="K638" s="10">
        <f>1.226+5.514+2.168</f>
        <v>8.9080000000000013</v>
      </c>
      <c r="L638" s="10">
        <f t="shared" si="53"/>
        <v>0</v>
      </c>
      <c r="M638" s="10">
        <f t="shared" si="54"/>
        <v>0</v>
      </c>
      <c r="N638" s="10"/>
      <c r="O638" s="10"/>
      <c r="P638" s="10">
        <v>0</v>
      </c>
      <c r="Q638" s="10"/>
      <c r="R638" s="10"/>
      <c r="S638" s="10">
        <v>0</v>
      </c>
      <c r="T638" s="10"/>
      <c r="U638" s="10"/>
      <c r="V638" s="4" t="s">
        <v>85</v>
      </c>
      <c r="W638" s="4" t="s">
        <v>798</v>
      </c>
      <c r="X638" s="8">
        <v>45131</v>
      </c>
      <c r="Y638" s="4"/>
      <c r="Z638" s="4"/>
      <c r="AA638" s="8">
        <v>45134</v>
      </c>
      <c r="AB638" s="8"/>
      <c r="AC638" s="4"/>
      <c r="AD638" s="4"/>
    </row>
    <row r="639" spans="1:30" hidden="1">
      <c r="A639" s="4">
        <v>498</v>
      </c>
      <c r="B639" s="8">
        <v>45111</v>
      </c>
      <c r="C639" s="4"/>
      <c r="D639" s="4" t="s">
        <v>42</v>
      </c>
      <c r="E639" s="8">
        <v>45145</v>
      </c>
      <c r="F639" s="4" t="s">
        <v>43</v>
      </c>
      <c r="G639" s="40" t="s">
        <v>60</v>
      </c>
      <c r="H639" s="4" t="s">
        <v>45</v>
      </c>
      <c r="I639" s="4" t="s">
        <v>761</v>
      </c>
      <c r="J639" s="10">
        <v>11.990159999999999</v>
      </c>
      <c r="K639" s="10">
        <v>12.291</v>
      </c>
      <c r="L639" s="10">
        <f t="shared" si="53"/>
        <v>0</v>
      </c>
      <c r="M639" s="10">
        <f t="shared" si="54"/>
        <v>0</v>
      </c>
      <c r="N639" s="10"/>
      <c r="O639" s="10"/>
      <c r="P639" s="10"/>
      <c r="Q639" s="10"/>
      <c r="R639" s="10"/>
      <c r="S639" s="10"/>
      <c r="T639" s="10"/>
      <c r="U639" s="10"/>
      <c r="V639" s="4" t="s">
        <v>85</v>
      </c>
      <c r="W639" s="4" t="s">
        <v>839</v>
      </c>
      <c r="X639" s="8">
        <v>45138</v>
      </c>
      <c r="Y639" s="4"/>
      <c r="Z639" s="4"/>
      <c r="AA639" s="8"/>
      <c r="AB639" s="8"/>
      <c r="AC639" s="4"/>
      <c r="AD639" s="4"/>
    </row>
    <row r="640" spans="1:30" hidden="1">
      <c r="A640" s="4">
        <v>498</v>
      </c>
      <c r="B640" s="8">
        <v>45111</v>
      </c>
      <c r="C640" s="4"/>
      <c r="D640" s="4" t="s">
        <v>42</v>
      </c>
      <c r="E640" s="8">
        <v>45145</v>
      </c>
      <c r="F640" s="4" t="s">
        <v>43</v>
      </c>
      <c r="G640" s="40" t="s">
        <v>60</v>
      </c>
      <c r="H640" s="4" t="s">
        <v>45</v>
      </c>
      <c r="I640" s="4" t="s">
        <v>517</v>
      </c>
      <c r="J640" s="10">
        <v>11.865945</v>
      </c>
      <c r="K640" s="10">
        <f>8.245+3.765</f>
        <v>12.01</v>
      </c>
      <c r="L640" s="10">
        <f t="shared" si="53"/>
        <v>0</v>
      </c>
      <c r="M640" s="10">
        <f t="shared" si="54"/>
        <v>0</v>
      </c>
      <c r="N640" s="10"/>
      <c r="O640" s="10"/>
      <c r="P640" s="10"/>
      <c r="Q640" s="10"/>
      <c r="R640" s="10"/>
      <c r="S640" s="10"/>
      <c r="T640" s="10"/>
      <c r="U640" s="10"/>
      <c r="V640" s="4" t="s">
        <v>85</v>
      </c>
      <c r="W640" s="4" t="s">
        <v>951</v>
      </c>
      <c r="X640" s="8">
        <v>45138</v>
      </c>
      <c r="Y640" s="4"/>
      <c r="Z640" s="4"/>
      <c r="AA640" s="8">
        <v>45143</v>
      </c>
      <c r="AB640" s="8"/>
      <c r="AC640" s="4"/>
      <c r="AD640" s="4"/>
    </row>
    <row r="641" spans="1:30" hidden="1">
      <c r="A641" s="4">
        <v>498</v>
      </c>
      <c r="B641" s="8">
        <v>45111</v>
      </c>
      <c r="C641" s="4"/>
      <c r="D641" s="4" t="s">
        <v>42</v>
      </c>
      <c r="E641" s="8">
        <v>45145</v>
      </c>
      <c r="F641" s="4" t="s">
        <v>43</v>
      </c>
      <c r="G641" s="40" t="s">
        <v>60</v>
      </c>
      <c r="H641" s="4" t="s">
        <v>45</v>
      </c>
      <c r="I641" s="4" t="s">
        <v>837</v>
      </c>
      <c r="J641" s="10">
        <v>1.5782499999999999</v>
      </c>
      <c r="K641" s="10">
        <v>1.6850000000000001</v>
      </c>
      <c r="L641" s="10">
        <f t="shared" si="53"/>
        <v>0</v>
      </c>
      <c r="M641" s="10">
        <f t="shared" si="54"/>
        <v>0</v>
      </c>
      <c r="N641" s="10"/>
      <c r="O641" s="10"/>
      <c r="P641" s="10"/>
      <c r="Q641" s="10"/>
      <c r="R641" s="10"/>
      <c r="S641" s="10"/>
      <c r="T641" s="10"/>
      <c r="U641" s="10"/>
      <c r="V641" s="4" t="s">
        <v>85</v>
      </c>
      <c r="W641" s="4"/>
      <c r="X641" s="8">
        <v>45138</v>
      </c>
      <c r="Y641" s="4"/>
      <c r="Z641" s="4"/>
      <c r="AA641" s="8"/>
      <c r="AB641" s="8"/>
      <c r="AC641" s="4"/>
      <c r="AD641" s="4"/>
    </row>
    <row r="642" spans="1:30" hidden="1">
      <c r="A642" s="4">
        <v>498</v>
      </c>
      <c r="B642" s="8">
        <v>45111</v>
      </c>
      <c r="C642" s="4"/>
      <c r="D642" s="4" t="s">
        <v>42</v>
      </c>
      <c r="E642" s="8">
        <v>45145</v>
      </c>
      <c r="F642" s="4" t="s">
        <v>43</v>
      </c>
      <c r="G642" s="40" t="s">
        <v>60</v>
      </c>
      <c r="H642" s="4" t="s">
        <v>45</v>
      </c>
      <c r="I642" s="4" t="s">
        <v>579</v>
      </c>
      <c r="J642" s="10">
        <v>31.6</v>
      </c>
      <c r="K642" s="10">
        <f>8.772+6.831+5.536+6.351+4.427</f>
        <v>31.917000000000002</v>
      </c>
      <c r="L642" s="10">
        <f t="shared" si="53"/>
        <v>0</v>
      </c>
      <c r="M642" s="10">
        <f t="shared" si="54"/>
        <v>0</v>
      </c>
      <c r="N642" s="10"/>
      <c r="O642" s="10"/>
      <c r="P642" s="10">
        <v>0</v>
      </c>
      <c r="Q642" s="10"/>
      <c r="R642" s="10">
        <v>0</v>
      </c>
      <c r="S642" s="10"/>
      <c r="T642" s="10"/>
      <c r="U642" s="10"/>
      <c r="V642" s="4" t="s">
        <v>85</v>
      </c>
      <c r="W642" s="4" t="s">
        <v>926</v>
      </c>
      <c r="X642" s="8">
        <v>45137</v>
      </c>
      <c r="Y642" s="4"/>
      <c r="Z642" s="4"/>
      <c r="AA642" s="8">
        <v>45145</v>
      </c>
      <c r="AB642" s="8">
        <v>45145</v>
      </c>
      <c r="AC642" s="4"/>
      <c r="AD642" s="4"/>
    </row>
    <row r="643" spans="1:30" hidden="1">
      <c r="A643" s="4">
        <v>498</v>
      </c>
      <c r="B643" s="8">
        <v>45111</v>
      </c>
      <c r="C643" s="4"/>
      <c r="D643" s="4" t="s">
        <v>42</v>
      </c>
      <c r="E643" s="8">
        <v>45145</v>
      </c>
      <c r="F643" s="4" t="s">
        <v>43</v>
      </c>
      <c r="G643" s="40" t="s">
        <v>60</v>
      </c>
      <c r="H643" s="4" t="s">
        <v>45</v>
      </c>
      <c r="I643" s="4" t="s">
        <v>448</v>
      </c>
      <c r="J643" s="10">
        <v>88.598250000000007</v>
      </c>
      <c r="K643" s="10">
        <f>31.93+21.803+7.261+9.09+4.627+8.808+1.161+4.237</f>
        <v>88.917000000000002</v>
      </c>
      <c r="L643" s="10">
        <f t="shared" si="53"/>
        <v>0</v>
      </c>
      <c r="M643" s="10">
        <f t="shared" si="54"/>
        <v>0</v>
      </c>
      <c r="N643" s="10"/>
      <c r="O643" s="10"/>
      <c r="P643" s="10"/>
      <c r="Q643" s="10"/>
      <c r="R643" s="10">
        <v>0</v>
      </c>
      <c r="S643" s="10"/>
      <c r="T643" s="10"/>
      <c r="U643" s="10"/>
      <c r="V643" s="4" t="s">
        <v>85</v>
      </c>
      <c r="W643" s="4" t="s">
        <v>37</v>
      </c>
      <c r="X643" s="8">
        <v>45136</v>
      </c>
      <c r="Y643" s="4"/>
      <c r="Z643" s="4"/>
      <c r="AA643" s="8">
        <v>45138</v>
      </c>
      <c r="AB643" s="8"/>
      <c r="AC643" s="4"/>
      <c r="AD643" s="4"/>
    </row>
    <row r="644" spans="1:30" hidden="1">
      <c r="A644" s="4">
        <v>498</v>
      </c>
      <c r="B644" s="8">
        <v>45111</v>
      </c>
      <c r="C644" s="4"/>
      <c r="D644" s="4" t="s">
        <v>42</v>
      </c>
      <c r="E644" s="8">
        <v>45145</v>
      </c>
      <c r="F644" s="4" t="s">
        <v>43</v>
      </c>
      <c r="G644" s="40" t="s">
        <v>60</v>
      </c>
      <c r="H644" s="4" t="s">
        <v>45</v>
      </c>
      <c r="I644" s="4" t="s">
        <v>449</v>
      </c>
      <c r="J644" s="10">
        <v>15.368789999999997</v>
      </c>
      <c r="K644" s="10">
        <f>11.352+1.486+2.696</f>
        <v>15.534000000000001</v>
      </c>
      <c r="L644" s="10">
        <f t="shared" si="53"/>
        <v>0</v>
      </c>
      <c r="M644" s="10">
        <f t="shared" si="54"/>
        <v>0</v>
      </c>
      <c r="N644" s="10"/>
      <c r="O644" s="10"/>
      <c r="P644" s="10">
        <v>0</v>
      </c>
      <c r="Q644" s="10"/>
      <c r="R644" s="10"/>
      <c r="S644" s="10"/>
      <c r="T644" s="10"/>
      <c r="U644" s="10"/>
      <c r="V644" s="4" t="s">
        <v>85</v>
      </c>
      <c r="W644" s="4" t="s">
        <v>37</v>
      </c>
      <c r="X644" s="8">
        <v>45136</v>
      </c>
      <c r="Y644" s="4"/>
      <c r="Z644" s="4"/>
      <c r="AA644" s="8">
        <v>45141</v>
      </c>
      <c r="AB644" s="8">
        <v>45158</v>
      </c>
      <c r="AC644" s="4"/>
      <c r="AD644" s="4"/>
    </row>
    <row r="645" spans="1:30" hidden="1">
      <c r="A645" s="4">
        <v>498</v>
      </c>
      <c r="B645" s="8">
        <v>45111</v>
      </c>
      <c r="C645" s="4"/>
      <c r="D645" s="4" t="s">
        <v>42</v>
      </c>
      <c r="E645" s="8">
        <v>45145</v>
      </c>
      <c r="F645" s="4" t="s">
        <v>43</v>
      </c>
      <c r="G645" s="40" t="s">
        <v>60</v>
      </c>
      <c r="H645" s="4" t="s">
        <v>45</v>
      </c>
      <c r="I645" s="4" t="s">
        <v>447</v>
      </c>
      <c r="J645" s="10">
        <v>3.5929599999999997</v>
      </c>
      <c r="K645" s="10">
        <v>3.617</v>
      </c>
      <c r="L645" s="10">
        <f t="shared" si="53"/>
        <v>0</v>
      </c>
      <c r="M645" s="10">
        <f t="shared" si="54"/>
        <v>0</v>
      </c>
      <c r="N645" s="10"/>
      <c r="O645" s="10"/>
      <c r="P645" s="10">
        <v>0</v>
      </c>
      <c r="Q645" s="10"/>
      <c r="R645" s="10"/>
      <c r="S645" s="10"/>
      <c r="T645" s="10"/>
      <c r="U645" s="10"/>
      <c r="V645" s="4" t="s">
        <v>85</v>
      </c>
      <c r="W645" s="4"/>
      <c r="X645" s="8">
        <v>45132</v>
      </c>
      <c r="Y645" s="4"/>
      <c r="Z645" s="4"/>
      <c r="AA645" s="8">
        <v>45138</v>
      </c>
      <c r="AB645" s="8">
        <v>45138</v>
      </c>
      <c r="AC645" s="4"/>
      <c r="AD645" s="4"/>
    </row>
    <row r="646" spans="1:30" hidden="1">
      <c r="A646" s="4">
        <v>498</v>
      </c>
      <c r="B646" s="8">
        <v>45111</v>
      </c>
      <c r="C646" s="4"/>
      <c r="D646" s="4" t="s">
        <v>42</v>
      </c>
      <c r="E646" s="8">
        <v>45145</v>
      </c>
      <c r="F646" s="4" t="s">
        <v>43</v>
      </c>
      <c r="G646" s="40" t="s">
        <v>60</v>
      </c>
      <c r="H646" s="4" t="s">
        <v>45</v>
      </c>
      <c r="I646" s="4" t="s">
        <v>518</v>
      </c>
      <c r="J646" s="10">
        <v>6.0112000000000005</v>
      </c>
      <c r="K646" s="10">
        <f>3.757+1.503+0.751</f>
        <v>6.0110000000000001</v>
      </c>
      <c r="L646" s="10">
        <f t="shared" si="53"/>
        <v>0</v>
      </c>
      <c r="M646" s="10">
        <f t="shared" si="54"/>
        <v>0</v>
      </c>
      <c r="N646" s="10"/>
      <c r="O646" s="10"/>
      <c r="P646" s="10"/>
      <c r="Q646" s="10"/>
      <c r="R646" s="10"/>
      <c r="S646" s="10"/>
      <c r="T646" s="10"/>
      <c r="U646" s="10"/>
      <c r="V646" s="4" t="s">
        <v>85</v>
      </c>
      <c r="W646" s="4"/>
      <c r="X646" s="8">
        <v>45132</v>
      </c>
      <c r="Y646" s="4"/>
      <c r="Z646" s="4"/>
      <c r="AA646" s="8">
        <v>45137</v>
      </c>
      <c r="AB646" s="8"/>
      <c r="AC646" s="4"/>
      <c r="AD646" s="4"/>
    </row>
    <row r="647" spans="1:30" hidden="1">
      <c r="A647" s="4">
        <v>498</v>
      </c>
      <c r="B647" s="8">
        <v>45111</v>
      </c>
      <c r="C647" s="4"/>
      <c r="D647" s="4" t="s">
        <v>42</v>
      </c>
      <c r="E647" s="8">
        <v>45145</v>
      </c>
      <c r="F647" s="4" t="s">
        <v>43</v>
      </c>
      <c r="G647" s="40" t="s">
        <v>60</v>
      </c>
      <c r="H647" s="4" t="s">
        <v>45</v>
      </c>
      <c r="I647" s="4" t="s">
        <v>435</v>
      </c>
      <c r="J647" s="10">
        <v>16.153344000000001</v>
      </c>
      <c r="K647" s="10">
        <f>5.55+4.17+1.077+3.712+1.222+0.497</f>
        <v>16.227999999999998</v>
      </c>
      <c r="L647" s="10">
        <f t="shared" si="53"/>
        <v>0</v>
      </c>
      <c r="M647" s="10">
        <f t="shared" si="54"/>
        <v>0</v>
      </c>
      <c r="N647" s="10"/>
      <c r="O647" s="10"/>
      <c r="P647" s="10">
        <v>0</v>
      </c>
      <c r="Q647" s="10"/>
      <c r="R647" s="10"/>
      <c r="S647" s="10"/>
      <c r="T647" s="10"/>
      <c r="U647" s="10"/>
      <c r="V647" s="4" t="s">
        <v>85</v>
      </c>
      <c r="W647" s="4"/>
      <c r="X647" s="8">
        <v>45146</v>
      </c>
      <c r="Y647" s="4"/>
      <c r="Z647" s="4"/>
      <c r="AA647" s="8">
        <v>45119</v>
      </c>
      <c r="AB647" s="8">
        <v>45159</v>
      </c>
      <c r="AC647" s="4"/>
      <c r="AD647" s="4"/>
    </row>
    <row r="648" spans="1:30" hidden="1">
      <c r="A648" s="4">
        <v>498</v>
      </c>
      <c r="B648" s="8">
        <v>45111</v>
      </c>
      <c r="C648" s="4"/>
      <c r="D648" s="4" t="s">
        <v>42</v>
      </c>
      <c r="E648" s="8">
        <v>45145</v>
      </c>
      <c r="F648" s="4" t="s">
        <v>43</v>
      </c>
      <c r="G648" s="40" t="s">
        <v>60</v>
      </c>
      <c r="H648" s="4" t="s">
        <v>45</v>
      </c>
      <c r="I648" s="4" t="s">
        <v>432</v>
      </c>
      <c r="J648" s="10">
        <v>23.458510511111115</v>
      </c>
      <c r="K648" s="10">
        <f>13.301+10.189</f>
        <v>23.490000000000002</v>
      </c>
      <c r="L648" s="10">
        <f t="shared" si="53"/>
        <v>0</v>
      </c>
      <c r="M648" s="10">
        <f t="shared" si="54"/>
        <v>0</v>
      </c>
      <c r="N648" s="10"/>
      <c r="O648" s="10"/>
      <c r="P648" s="10"/>
      <c r="Q648" s="10"/>
      <c r="R648" s="10"/>
      <c r="S648" s="10"/>
      <c r="T648" s="10"/>
      <c r="U648" s="10"/>
      <c r="V648" s="4" t="s">
        <v>85</v>
      </c>
      <c r="W648" s="4"/>
      <c r="X648" s="8">
        <v>45145</v>
      </c>
      <c r="Y648" s="4"/>
      <c r="Z648" s="4"/>
      <c r="AA648" s="8">
        <v>45149</v>
      </c>
      <c r="AB648" s="8"/>
      <c r="AC648" s="4"/>
      <c r="AD648" s="4"/>
    </row>
    <row r="649" spans="1:30" hidden="1">
      <c r="A649" s="4">
        <v>498</v>
      </c>
      <c r="B649" s="8">
        <v>45111</v>
      </c>
      <c r="C649" s="4"/>
      <c r="D649" s="4" t="s">
        <v>42</v>
      </c>
      <c r="E649" s="8">
        <v>45145</v>
      </c>
      <c r="F649" s="4" t="s">
        <v>43</v>
      </c>
      <c r="G649" s="40" t="s">
        <v>60</v>
      </c>
      <c r="H649" s="4" t="s">
        <v>45</v>
      </c>
      <c r="I649" s="4" t="s">
        <v>474</v>
      </c>
      <c r="J649" s="10">
        <v>4.0561580000000008</v>
      </c>
      <c r="K649" s="10">
        <v>4.069</v>
      </c>
      <c r="L649" s="10">
        <f t="shared" si="53"/>
        <v>0</v>
      </c>
      <c r="M649" s="10">
        <f t="shared" si="54"/>
        <v>0</v>
      </c>
      <c r="N649" s="10"/>
      <c r="O649" s="10"/>
      <c r="P649" s="10">
        <v>0</v>
      </c>
      <c r="Q649" s="10"/>
      <c r="R649" s="10"/>
      <c r="S649" s="10"/>
      <c r="T649" s="10"/>
      <c r="U649" s="10"/>
      <c r="V649" s="4" t="s">
        <v>85</v>
      </c>
      <c r="W649" s="4"/>
      <c r="X649" s="8"/>
      <c r="Y649" s="4"/>
      <c r="Z649" s="4"/>
      <c r="AA649" s="8">
        <v>45156</v>
      </c>
      <c r="AB649" s="8">
        <v>45156</v>
      </c>
      <c r="AC649" s="4"/>
      <c r="AD649" s="4"/>
    </row>
    <row r="650" spans="1:30" hidden="1">
      <c r="A650" s="4">
        <v>498</v>
      </c>
      <c r="B650" s="8">
        <v>45111</v>
      </c>
      <c r="C650" s="4"/>
      <c r="D650" s="4" t="s">
        <v>42</v>
      </c>
      <c r="E650" s="8">
        <v>45145</v>
      </c>
      <c r="F650" s="4" t="s">
        <v>43</v>
      </c>
      <c r="G650" s="40" t="s">
        <v>60</v>
      </c>
      <c r="H650" s="4" t="s">
        <v>45</v>
      </c>
      <c r="I650" s="4" t="s">
        <v>434</v>
      </c>
      <c r="J650" s="10">
        <v>35.073456</v>
      </c>
      <c r="K650" s="10">
        <f>13.848+5.262+7.555+4.922+1.637+1.908</f>
        <v>35.131999999999998</v>
      </c>
      <c r="L650" s="10">
        <f t="shared" si="53"/>
        <v>0</v>
      </c>
      <c r="M650" s="10">
        <f t="shared" si="54"/>
        <v>0</v>
      </c>
      <c r="N650" s="10"/>
      <c r="O650" s="10"/>
      <c r="P650" s="10"/>
      <c r="Q650" s="10"/>
      <c r="R650" s="10"/>
      <c r="S650" s="10"/>
      <c r="T650" s="10"/>
      <c r="U650" s="10"/>
      <c r="V650" s="4" t="s">
        <v>85</v>
      </c>
      <c r="W650" s="4"/>
      <c r="X650" s="8">
        <v>45148</v>
      </c>
      <c r="Y650" s="4"/>
      <c r="Z650" s="4"/>
      <c r="AA650" s="8">
        <v>45150</v>
      </c>
      <c r="AB650" s="8"/>
      <c r="AC650" s="4"/>
      <c r="AD650" s="4"/>
    </row>
    <row r="651" spans="1:30" hidden="1">
      <c r="A651" s="4">
        <v>498</v>
      </c>
      <c r="B651" s="8">
        <v>45111</v>
      </c>
      <c r="C651" s="4"/>
      <c r="D651" s="4" t="s">
        <v>42</v>
      </c>
      <c r="E651" s="8">
        <v>45145</v>
      </c>
      <c r="F651" s="4" t="s">
        <v>43</v>
      </c>
      <c r="G651" s="40" t="s">
        <v>60</v>
      </c>
      <c r="H651" s="4" t="s">
        <v>45</v>
      </c>
      <c r="I651" s="4" t="s">
        <v>577</v>
      </c>
      <c r="J651" s="10">
        <v>2.4144079999999999</v>
      </c>
      <c r="K651" s="10">
        <f>2.211+0.204</f>
        <v>2.415</v>
      </c>
      <c r="L651" s="10">
        <f t="shared" si="53"/>
        <v>0</v>
      </c>
      <c r="M651" s="10">
        <f t="shared" si="54"/>
        <v>0</v>
      </c>
      <c r="N651" s="10"/>
      <c r="O651" s="10"/>
      <c r="P651" s="10">
        <v>0</v>
      </c>
      <c r="Q651" s="10"/>
      <c r="R651" s="10"/>
      <c r="S651" s="10"/>
      <c r="T651" s="10"/>
      <c r="U651" s="10"/>
      <c r="V651" s="4" t="s">
        <v>85</v>
      </c>
      <c r="W651" s="4"/>
      <c r="X651" s="8">
        <v>45152</v>
      </c>
      <c r="Y651" s="4"/>
      <c r="Z651" s="4"/>
      <c r="AA651" s="8"/>
      <c r="AB651" s="8"/>
      <c r="AC651" s="4"/>
      <c r="AD651" s="4"/>
    </row>
    <row r="652" spans="1:30" hidden="1">
      <c r="A652" s="4">
        <v>498</v>
      </c>
      <c r="B652" s="8">
        <v>45111</v>
      </c>
      <c r="C652" s="4"/>
      <c r="D652" s="4" t="s">
        <v>42</v>
      </c>
      <c r="E652" s="8">
        <v>45145</v>
      </c>
      <c r="F652" s="4" t="s">
        <v>43</v>
      </c>
      <c r="G652" s="40" t="s">
        <v>60</v>
      </c>
      <c r="H652" s="4" t="s">
        <v>45</v>
      </c>
      <c r="I652" s="4" t="s">
        <v>89</v>
      </c>
      <c r="J652" s="10">
        <v>49.443929999999995</v>
      </c>
      <c r="K652" s="10">
        <f>9.403+9.88+8.836+1.992+19.338</f>
        <v>49.448999999999998</v>
      </c>
      <c r="L652" s="10">
        <f t="shared" si="53"/>
        <v>0</v>
      </c>
      <c r="M652" s="10">
        <f t="shared" si="54"/>
        <v>0</v>
      </c>
      <c r="N652" s="10"/>
      <c r="O652" s="10"/>
      <c r="P652" s="10">
        <v>0</v>
      </c>
      <c r="Q652" s="10"/>
      <c r="R652" s="10"/>
      <c r="S652" s="10"/>
      <c r="T652" s="10"/>
      <c r="U652" s="10"/>
      <c r="V652" s="4" t="s">
        <v>85</v>
      </c>
      <c r="W652" s="4"/>
      <c r="X652" s="8"/>
      <c r="Y652" s="4"/>
      <c r="Z652" s="4"/>
      <c r="AA652" s="8">
        <v>45155</v>
      </c>
      <c r="AB652" s="8">
        <v>45156</v>
      </c>
      <c r="AC652" s="4"/>
      <c r="AD652" s="4"/>
    </row>
    <row r="653" spans="1:30" hidden="1">
      <c r="A653" s="4">
        <v>498</v>
      </c>
      <c r="B653" s="8">
        <v>45111</v>
      </c>
      <c r="C653" s="4"/>
      <c r="D653" s="4" t="s">
        <v>42</v>
      </c>
      <c r="E653" s="8">
        <v>45145</v>
      </c>
      <c r="F653" s="4" t="s">
        <v>43</v>
      </c>
      <c r="G653" s="40" t="s">
        <v>60</v>
      </c>
      <c r="H653" s="4" t="s">
        <v>45</v>
      </c>
      <c r="I653" s="4" t="s">
        <v>87</v>
      </c>
      <c r="J653" s="10">
        <v>9.7229179999999999</v>
      </c>
      <c r="K653" s="10">
        <f>2.783+5.947+1.259</f>
        <v>9.9890000000000008</v>
      </c>
      <c r="L653" s="10">
        <f t="shared" si="53"/>
        <v>0</v>
      </c>
      <c r="M653" s="10">
        <f t="shared" si="54"/>
        <v>0</v>
      </c>
      <c r="N653" s="10"/>
      <c r="O653" s="10"/>
      <c r="P653" s="10">
        <v>0</v>
      </c>
      <c r="Q653" s="10"/>
      <c r="R653" s="10"/>
      <c r="S653" s="10"/>
      <c r="T653" s="10"/>
      <c r="U653" s="10"/>
      <c r="V653" s="4" t="s">
        <v>85</v>
      </c>
      <c r="W653" s="4"/>
      <c r="X653" s="8">
        <v>45150</v>
      </c>
      <c r="Y653" s="4"/>
      <c r="Z653" s="4"/>
      <c r="AA653" s="8"/>
      <c r="AB653" s="8">
        <v>45159</v>
      </c>
      <c r="AC653" s="4"/>
      <c r="AD653" s="4"/>
    </row>
    <row r="654" spans="1:30" hidden="1">
      <c r="A654" s="4">
        <v>498</v>
      </c>
      <c r="B654" s="8">
        <v>45111</v>
      </c>
      <c r="C654" s="4"/>
      <c r="D654" s="4" t="s">
        <v>42</v>
      </c>
      <c r="E654" s="8">
        <v>45145</v>
      </c>
      <c r="F654" s="4" t="s">
        <v>43</v>
      </c>
      <c r="G654" s="40" t="s">
        <v>728</v>
      </c>
      <c r="H654" s="4" t="s">
        <v>52</v>
      </c>
      <c r="I654" s="4" t="s">
        <v>54</v>
      </c>
      <c r="J654" s="10">
        <v>1.3889999999999998</v>
      </c>
      <c r="K654" s="10">
        <f>1.296+0.098</f>
        <v>1.3940000000000001</v>
      </c>
      <c r="L654" s="10">
        <f t="shared" si="53"/>
        <v>0</v>
      </c>
      <c r="M654" s="10">
        <f t="shared" si="54"/>
        <v>0</v>
      </c>
      <c r="N654" s="10"/>
      <c r="O654" s="10"/>
      <c r="P654" s="10">
        <v>0</v>
      </c>
      <c r="Q654" s="10"/>
      <c r="R654" s="10"/>
      <c r="S654" s="10"/>
      <c r="T654" s="10"/>
      <c r="U654" s="10"/>
      <c r="V654" s="4" t="s">
        <v>85</v>
      </c>
      <c r="W654" s="4"/>
      <c r="X654" s="8">
        <v>45122</v>
      </c>
      <c r="Y654" s="4"/>
      <c r="Z654" s="4"/>
      <c r="AA654" s="8">
        <v>45124</v>
      </c>
      <c r="AB654" s="8">
        <v>45127</v>
      </c>
      <c r="AC654" s="4"/>
      <c r="AD654" s="4"/>
    </row>
    <row r="655" spans="1:30" hidden="1">
      <c r="A655" s="4">
        <v>498</v>
      </c>
      <c r="B655" s="8">
        <v>45111</v>
      </c>
      <c r="C655" s="4"/>
      <c r="D655" s="4" t="s">
        <v>42</v>
      </c>
      <c r="E655" s="8">
        <v>45145</v>
      </c>
      <c r="F655" s="4" t="s">
        <v>43</v>
      </c>
      <c r="G655" s="40" t="s">
        <v>728</v>
      </c>
      <c r="H655" s="4" t="s">
        <v>52</v>
      </c>
      <c r="I655" s="4" t="s">
        <v>403</v>
      </c>
      <c r="J655" s="10">
        <v>0.35524</v>
      </c>
      <c r="K655" s="10">
        <v>0.39800000000000002</v>
      </c>
      <c r="L655" s="10">
        <f t="shared" si="53"/>
        <v>0</v>
      </c>
      <c r="M655" s="10">
        <f t="shared" si="54"/>
        <v>0</v>
      </c>
      <c r="N655" s="10"/>
      <c r="O655" s="10"/>
      <c r="P655" s="10">
        <v>0</v>
      </c>
      <c r="Q655" s="10"/>
      <c r="R655" s="10"/>
      <c r="S655" s="10"/>
      <c r="T655" s="10"/>
      <c r="U655" s="10"/>
      <c r="V655" s="4" t="s">
        <v>85</v>
      </c>
      <c r="W655" s="4"/>
      <c r="X655" s="8">
        <v>45127</v>
      </c>
      <c r="Y655" s="4"/>
      <c r="Z655" s="4"/>
      <c r="AA655" s="8">
        <v>45131</v>
      </c>
      <c r="AB655" s="8"/>
      <c r="AC655" s="4"/>
      <c r="AD655" s="4"/>
    </row>
    <row r="656" spans="1:30" hidden="1">
      <c r="A656" s="4">
        <v>498</v>
      </c>
      <c r="B656" s="8">
        <v>45111</v>
      </c>
      <c r="C656" s="4"/>
      <c r="D656" s="4" t="s">
        <v>42</v>
      </c>
      <c r="E656" s="8">
        <v>45145</v>
      </c>
      <c r="F656" s="4" t="s">
        <v>43</v>
      </c>
      <c r="G656" s="40" t="s">
        <v>728</v>
      </c>
      <c r="H656" s="4" t="s">
        <v>52</v>
      </c>
      <c r="I656" s="4" t="s">
        <v>400</v>
      </c>
      <c r="J656" s="10">
        <v>1.3451999999999997</v>
      </c>
      <c r="K656" s="10">
        <v>1.381</v>
      </c>
      <c r="L656" s="10">
        <f t="shared" si="53"/>
        <v>0</v>
      </c>
      <c r="M656" s="10">
        <f t="shared" si="54"/>
        <v>0</v>
      </c>
      <c r="N656" s="10"/>
      <c r="O656" s="10"/>
      <c r="P656" s="10">
        <v>0</v>
      </c>
      <c r="Q656" s="10"/>
      <c r="R656" s="10"/>
      <c r="S656" s="10"/>
      <c r="T656" s="10"/>
      <c r="U656" s="10"/>
      <c r="V656" s="4" t="s">
        <v>85</v>
      </c>
      <c r="W656" s="4"/>
      <c r="X656" s="8">
        <v>45127</v>
      </c>
      <c r="Y656" s="4"/>
      <c r="Z656" s="4"/>
      <c r="AA656" s="8">
        <v>45129</v>
      </c>
      <c r="AB656" s="8">
        <v>45129</v>
      </c>
      <c r="AC656" s="4"/>
      <c r="AD656" s="4"/>
    </row>
    <row r="657" spans="1:30" hidden="1">
      <c r="A657" s="4">
        <v>498</v>
      </c>
      <c r="B657" s="8">
        <v>45111</v>
      </c>
      <c r="C657" s="4"/>
      <c r="D657" s="4" t="s">
        <v>42</v>
      </c>
      <c r="E657" s="8">
        <v>45145</v>
      </c>
      <c r="F657" s="4" t="s">
        <v>43</v>
      </c>
      <c r="G657" s="40" t="s">
        <v>728</v>
      </c>
      <c r="H657" s="4" t="s">
        <v>52</v>
      </c>
      <c r="I657" s="4" t="s">
        <v>46</v>
      </c>
      <c r="J657" s="10">
        <v>1.0974600000000001</v>
      </c>
      <c r="K657" s="10">
        <v>1.097</v>
      </c>
      <c r="L657" s="10">
        <f t="shared" si="53"/>
        <v>0</v>
      </c>
      <c r="M657" s="10">
        <f t="shared" si="54"/>
        <v>0</v>
      </c>
      <c r="N657" s="10"/>
      <c r="O657" s="10"/>
      <c r="P657" s="10">
        <v>0</v>
      </c>
      <c r="Q657" s="10"/>
      <c r="R657" s="10"/>
      <c r="S657" s="10"/>
      <c r="T657" s="10"/>
      <c r="U657" s="10"/>
      <c r="V657" s="4" t="s">
        <v>85</v>
      </c>
      <c r="W657" s="4"/>
      <c r="X657" s="8">
        <v>45127</v>
      </c>
      <c r="Y657" s="4"/>
      <c r="Z657" s="4"/>
      <c r="AA657" s="8">
        <v>45129</v>
      </c>
      <c r="AB657" s="8">
        <v>45129</v>
      </c>
      <c r="AC657" s="4"/>
      <c r="AD657" s="4"/>
    </row>
    <row r="658" spans="1:30" hidden="1">
      <c r="A658" s="4">
        <v>498</v>
      </c>
      <c r="B658" s="8">
        <v>45111</v>
      </c>
      <c r="C658" s="4"/>
      <c r="D658" s="4" t="s">
        <v>42</v>
      </c>
      <c r="E658" s="8">
        <v>45145</v>
      </c>
      <c r="F658" s="4" t="s">
        <v>43</v>
      </c>
      <c r="G658" s="40" t="s">
        <v>728</v>
      </c>
      <c r="H658" s="4" t="s">
        <v>52</v>
      </c>
      <c r="I658" s="4" t="s">
        <v>407</v>
      </c>
      <c r="J658" s="10">
        <v>0.23760000000000001</v>
      </c>
      <c r="K658" s="10">
        <v>0.253</v>
      </c>
      <c r="L658" s="10">
        <f t="shared" si="53"/>
        <v>0</v>
      </c>
      <c r="M658" s="10">
        <f t="shared" si="54"/>
        <v>0</v>
      </c>
      <c r="N658" s="10"/>
      <c r="O658" s="10"/>
      <c r="P658" s="10">
        <v>0</v>
      </c>
      <c r="Q658" s="10"/>
      <c r="R658" s="10"/>
      <c r="S658" s="10"/>
      <c r="T658" s="10"/>
      <c r="U658" s="10"/>
      <c r="V658" s="4" t="s">
        <v>85</v>
      </c>
      <c r="W658" s="4"/>
      <c r="X658" s="8"/>
      <c r="Y658" s="4"/>
      <c r="Z658" s="4"/>
      <c r="AA658" s="8">
        <v>45158</v>
      </c>
      <c r="AB658" s="8">
        <v>45158</v>
      </c>
      <c r="AC658" s="4"/>
      <c r="AD658" s="4"/>
    </row>
    <row r="659" spans="1:30" hidden="1">
      <c r="A659" s="4">
        <v>498</v>
      </c>
      <c r="B659" s="8">
        <v>45111</v>
      </c>
      <c r="C659" s="4"/>
      <c r="D659" s="4" t="s">
        <v>42</v>
      </c>
      <c r="E659" s="8">
        <v>45145</v>
      </c>
      <c r="F659" s="4" t="s">
        <v>43</v>
      </c>
      <c r="G659" s="40" t="s">
        <v>728</v>
      </c>
      <c r="H659" s="4" t="s">
        <v>52</v>
      </c>
      <c r="I659" s="4" t="s">
        <v>435</v>
      </c>
      <c r="J659" s="10">
        <v>0.52991999999999995</v>
      </c>
      <c r="K659" s="10">
        <v>0.53</v>
      </c>
      <c r="L659" s="10">
        <f t="shared" si="53"/>
        <v>0</v>
      </c>
      <c r="M659" s="10">
        <f t="shared" si="54"/>
        <v>0</v>
      </c>
      <c r="N659" s="10"/>
      <c r="O659" s="10"/>
      <c r="P659" s="10">
        <v>0</v>
      </c>
      <c r="Q659" s="10"/>
      <c r="R659" s="10"/>
      <c r="S659" s="10"/>
      <c r="T659" s="10"/>
      <c r="U659" s="10"/>
      <c r="V659" s="4" t="s">
        <v>85</v>
      </c>
      <c r="W659" s="4"/>
      <c r="X659" s="8">
        <v>45146</v>
      </c>
      <c r="Y659" s="4"/>
      <c r="Z659" s="4"/>
      <c r="AA659" s="8">
        <v>45156</v>
      </c>
      <c r="AB659" s="8">
        <v>45156</v>
      </c>
      <c r="AC659" s="4"/>
      <c r="AD659" s="4"/>
    </row>
    <row r="660" spans="1:30" hidden="1">
      <c r="A660" s="4">
        <v>498</v>
      </c>
      <c r="B660" s="8">
        <v>45111</v>
      </c>
      <c r="C660" s="4"/>
      <c r="D660" s="4" t="s">
        <v>42</v>
      </c>
      <c r="E660" s="8">
        <v>45145</v>
      </c>
      <c r="F660" s="4" t="s">
        <v>43</v>
      </c>
      <c r="G660" s="40" t="s">
        <v>728</v>
      </c>
      <c r="H660" s="4" t="s">
        <v>52</v>
      </c>
      <c r="I660" s="4" t="s">
        <v>432</v>
      </c>
      <c r="J660" s="10">
        <v>1.1220300000000001</v>
      </c>
      <c r="K660" s="10">
        <v>1.1220000000000001</v>
      </c>
      <c r="L660" s="10">
        <f t="shared" si="53"/>
        <v>0</v>
      </c>
      <c r="M660" s="10">
        <f t="shared" si="54"/>
        <v>0</v>
      </c>
      <c r="N660" s="10"/>
      <c r="O660" s="10"/>
      <c r="P660" s="10">
        <v>0</v>
      </c>
      <c r="Q660" s="10"/>
      <c r="R660" s="10"/>
      <c r="S660" s="10"/>
      <c r="T660" s="10"/>
      <c r="U660" s="10"/>
      <c r="V660" s="4" t="s">
        <v>85</v>
      </c>
      <c r="W660" s="4"/>
      <c r="X660" s="8"/>
      <c r="Y660" s="4"/>
      <c r="Z660" s="4"/>
      <c r="AA660" s="8">
        <v>45160</v>
      </c>
      <c r="AB660" s="8">
        <v>45160</v>
      </c>
      <c r="AC660" s="4"/>
      <c r="AD660" s="4"/>
    </row>
    <row r="661" spans="1:30" hidden="1">
      <c r="A661" s="4">
        <v>498</v>
      </c>
      <c r="B661" s="8">
        <v>45111</v>
      </c>
      <c r="C661" s="4"/>
      <c r="D661" s="4" t="s">
        <v>42</v>
      </c>
      <c r="E661" s="8">
        <v>45145</v>
      </c>
      <c r="F661" s="4" t="s">
        <v>43</v>
      </c>
      <c r="G661" s="40" t="s">
        <v>728</v>
      </c>
      <c r="H661" s="4" t="s">
        <v>52</v>
      </c>
      <c r="I661" s="4" t="s">
        <v>474</v>
      </c>
      <c r="J661" s="10">
        <v>0.51827999999999996</v>
      </c>
      <c r="K661" s="10">
        <v>0.51800000000000002</v>
      </c>
      <c r="L661" s="10">
        <f t="shared" si="53"/>
        <v>0</v>
      </c>
      <c r="M661" s="10">
        <f t="shared" ref="M661:M687" si="55">SUM(N661:T661)</f>
        <v>0</v>
      </c>
      <c r="N661" s="10"/>
      <c r="O661" s="10"/>
      <c r="P661" s="10">
        <v>0</v>
      </c>
      <c r="Q661" s="10"/>
      <c r="R661" s="10"/>
      <c r="S661" s="10"/>
      <c r="T661" s="10"/>
      <c r="U661" s="10"/>
      <c r="V661" s="4" t="s">
        <v>85</v>
      </c>
      <c r="W661" s="4"/>
      <c r="X661" s="8"/>
      <c r="Y661" s="4"/>
      <c r="Z661" s="4"/>
      <c r="AA661" s="8">
        <v>45156</v>
      </c>
      <c r="AB661" s="8">
        <v>45156</v>
      </c>
      <c r="AC661" s="4"/>
      <c r="AD661" s="4"/>
    </row>
    <row r="662" spans="1:30" hidden="1">
      <c r="A662" s="4">
        <v>498</v>
      </c>
      <c r="B662" s="8">
        <v>45111</v>
      </c>
      <c r="C662" s="4"/>
      <c r="D662" s="4" t="s">
        <v>42</v>
      </c>
      <c r="E662" s="8">
        <v>45145</v>
      </c>
      <c r="F662" s="4" t="s">
        <v>43</v>
      </c>
      <c r="G662" s="40" t="s">
        <v>728</v>
      </c>
      <c r="H662" s="4" t="s">
        <v>52</v>
      </c>
      <c r="I662" s="4" t="s">
        <v>434</v>
      </c>
      <c r="J662" s="10">
        <v>1.0019100000000001</v>
      </c>
      <c r="K662" s="10">
        <v>1.002</v>
      </c>
      <c r="L662" s="10">
        <f t="shared" si="53"/>
        <v>0</v>
      </c>
      <c r="M662" s="10">
        <f t="shared" si="55"/>
        <v>0</v>
      </c>
      <c r="N662" s="10"/>
      <c r="O662" s="10"/>
      <c r="P662" s="10">
        <v>0</v>
      </c>
      <c r="Q662" s="10"/>
      <c r="R662" s="10"/>
      <c r="S662" s="10"/>
      <c r="T662" s="10"/>
      <c r="U662" s="10"/>
      <c r="V662" s="4" t="s">
        <v>85</v>
      </c>
      <c r="W662" s="4"/>
      <c r="X662" s="8"/>
      <c r="Y662" s="4"/>
      <c r="Z662" s="4"/>
      <c r="AA662" s="8">
        <v>45154</v>
      </c>
      <c r="AB662" s="8"/>
      <c r="AC662" s="4"/>
      <c r="AD662" s="4"/>
    </row>
    <row r="663" spans="1:30" hidden="1">
      <c r="A663" s="4">
        <v>501</v>
      </c>
      <c r="B663" s="8">
        <v>45111</v>
      </c>
      <c r="C663" s="4"/>
      <c r="D663" s="4" t="s">
        <v>42</v>
      </c>
      <c r="E663" s="8">
        <v>45145</v>
      </c>
      <c r="F663" s="4" t="s">
        <v>43</v>
      </c>
      <c r="G663" s="39" t="s">
        <v>874</v>
      </c>
      <c r="H663" s="4" t="s">
        <v>45</v>
      </c>
      <c r="I663" s="4" t="s">
        <v>403</v>
      </c>
      <c r="J663" s="10">
        <v>22.229059999999997</v>
      </c>
      <c r="K663" s="10">
        <f>11.256+11.209</f>
        <v>22.465</v>
      </c>
      <c r="L663" s="10">
        <f t="shared" si="53"/>
        <v>0</v>
      </c>
      <c r="M663" s="10">
        <f t="shared" si="55"/>
        <v>0</v>
      </c>
      <c r="N663" s="10"/>
      <c r="O663" s="10"/>
      <c r="P663" s="10">
        <v>0</v>
      </c>
      <c r="Q663" s="10"/>
      <c r="R663" s="10"/>
      <c r="S663" s="10"/>
      <c r="T663" s="10"/>
      <c r="U663" s="10"/>
      <c r="V663" s="4" t="s">
        <v>411</v>
      </c>
      <c r="W663" s="4" t="s">
        <v>951</v>
      </c>
      <c r="X663" s="8">
        <v>45163</v>
      </c>
      <c r="Y663" s="4"/>
      <c r="Z663" s="4"/>
      <c r="AA663" s="8">
        <v>45166</v>
      </c>
      <c r="AB663" s="8">
        <v>45167</v>
      </c>
      <c r="AC663" s="4"/>
      <c r="AD663" s="4"/>
    </row>
    <row r="664" spans="1:30" hidden="1">
      <c r="A664" s="4">
        <v>501</v>
      </c>
      <c r="B664" s="8">
        <v>45111</v>
      </c>
      <c r="C664" s="4"/>
      <c r="D664" s="4" t="s">
        <v>42</v>
      </c>
      <c r="E664" s="8">
        <v>45145</v>
      </c>
      <c r="F664" s="4" t="s">
        <v>43</v>
      </c>
      <c r="G664" s="39" t="s">
        <v>874</v>
      </c>
      <c r="H664" s="4" t="s">
        <v>45</v>
      </c>
      <c r="I664" s="4" t="s">
        <v>46</v>
      </c>
      <c r="J664" s="10">
        <v>24.697540000000004</v>
      </c>
      <c r="K664" s="10">
        <f>11.118+13.695</f>
        <v>24.813000000000002</v>
      </c>
      <c r="L664" s="10">
        <f t="shared" si="53"/>
        <v>0</v>
      </c>
      <c r="M664" s="10">
        <f t="shared" si="55"/>
        <v>0</v>
      </c>
      <c r="N664" s="10"/>
      <c r="O664" s="10"/>
      <c r="P664" s="10">
        <v>0</v>
      </c>
      <c r="Q664" s="10"/>
      <c r="R664" s="10"/>
      <c r="S664" s="10"/>
      <c r="T664" s="10"/>
      <c r="U664" s="10"/>
      <c r="V664" s="4" t="s">
        <v>411</v>
      </c>
      <c r="W664" s="4"/>
      <c r="X664" s="8">
        <v>45164</v>
      </c>
      <c r="Y664" s="4"/>
      <c r="Z664" s="4"/>
      <c r="AA664" s="8">
        <v>45140</v>
      </c>
      <c r="AB664" s="8">
        <v>45168</v>
      </c>
      <c r="AC664" s="4"/>
      <c r="AD664" s="4"/>
    </row>
    <row r="665" spans="1:30" hidden="1">
      <c r="A665" s="4">
        <v>501</v>
      </c>
      <c r="B665" s="8">
        <v>45111</v>
      </c>
      <c r="C665" s="4"/>
      <c r="D665" s="4" t="s">
        <v>42</v>
      </c>
      <c r="E665" s="8">
        <v>45145</v>
      </c>
      <c r="F665" s="4" t="s">
        <v>43</v>
      </c>
      <c r="G665" s="39" t="s">
        <v>874</v>
      </c>
      <c r="H665" s="4" t="s">
        <v>45</v>
      </c>
      <c r="I665" s="4" t="s">
        <v>49</v>
      </c>
      <c r="J665" s="10">
        <v>35.624679999999998</v>
      </c>
      <c r="K665" s="10">
        <f>9.96+14.5+6.939+0.988+3.456</f>
        <v>35.843000000000004</v>
      </c>
      <c r="L665" s="10">
        <f t="shared" si="53"/>
        <v>0</v>
      </c>
      <c r="M665" s="10">
        <f t="shared" si="55"/>
        <v>0</v>
      </c>
      <c r="N665" s="10"/>
      <c r="O665" s="10"/>
      <c r="P665" s="10">
        <v>0</v>
      </c>
      <c r="Q665" s="10"/>
      <c r="R665" s="10"/>
      <c r="S665" s="10"/>
      <c r="T665" s="10"/>
      <c r="U665" s="10"/>
      <c r="V665" s="4" t="s">
        <v>411</v>
      </c>
      <c r="W665" s="4" t="s">
        <v>970</v>
      </c>
      <c r="X665" s="8">
        <v>45139</v>
      </c>
      <c r="Y665" s="4"/>
      <c r="Z665" s="4"/>
      <c r="AA665" s="8">
        <v>45142</v>
      </c>
      <c r="AB665" s="8">
        <v>45170</v>
      </c>
      <c r="AC665" s="4"/>
      <c r="AD665" s="4"/>
    </row>
    <row r="666" spans="1:30" hidden="1">
      <c r="A666" s="4">
        <v>501</v>
      </c>
      <c r="B666" s="8">
        <v>45111</v>
      </c>
      <c r="C666" s="4"/>
      <c r="D666" s="4" t="s">
        <v>42</v>
      </c>
      <c r="E666" s="8">
        <v>45145</v>
      </c>
      <c r="F666" s="4" t="s">
        <v>43</v>
      </c>
      <c r="G666" s="39" t="s">
        <v>874</v>
      </c>
      <c r="H666" s="4" t="s">
        <v>45</v>
      </c>
      <c r="I666" s="4" t="s">
        <v>50</v>
      </c>
      <c r="J666" s="10">
        <v>9.338910000000002</v>
      </c>
      <c r="K666" s="10">
        <f>2.699+4.564+2.148</f>
        <v>9.4109999999999996</v>
      </c>
      <c r="L666" s="10">
        <f t="shared" si="53"/>
        <v>0</v>
      </c>
      <c r="M666" s="10">
        <f t="shared" si="55"/>
        <v>0</v>
      </c>
      <c r="N666" s="10"/>
      <c r="O666" s="10"/>
      <c r="P666" s="10">
        <v>0</v>
      </c>
      <c r="Q666" s="10"/>
      <c r="R666" s="10"/>
      <c r="S666" s="10"/>
      <c r="T666" s="10"/>
      <c r="U666" s="10"/>
      <c r="V666" s="4" t="s">
        <v>411</v>
      </c>
      <c r="W666" s="4"/>
      <c r="X666" s="8">
        <v>45139</v>
      </c>
      <c r="Y666" s="4"/>
      <c r="Z666" s="4"/>
      <c r="AA666" s="8">
        <v>45143</v>
      </c>
      <c r="AB666" s="8"/>
      <c r="AC666" s="4"/>
      <c r="AD666" s="4"/>
    </row>
    <row r="667" spans="1:30" hidden="1">
      <c r="A667" s="4">
        <v>501</v>
      </c>
      <c r="B667" s="8">
        <v>45111</v>
      </c>
      <c r="C667" s="4"/>
      <c r="D667" s="4" t="s">
        <v>42</v>
      </c>
      <c r="E667" s="8">
        <v>45145</v>
      </c>
      <c r="F667" s="4" t="s">
        <v>43</v>
      </c>
      <c r="G667" s="39" t="s">
        <v>874</v>
      </c>
      <c r="H667" s="4" t="s">
        <v>45</v>
      </c>
      <c r="I667" s="4" t="s">
        <v>519</v>
      </c>
      <c r="J667" s="10">
        <v>5.9799999999999995</v>
      </c>
      <c r="K667" s="10">
        <v>5.98</v>
      </c>
      <c r="L667" s="10">
        <f t="shared" si="53"/>
        <v>0</v>
      </c>
      <c r="M667" s="10">
        <f t="shared" si="55"/>
        <v>0</v>
      </c>
      <c r="N667" s="10"/>
      <c r="O667" s="10"/>
      <c r="P667" s="10"/>
      <c r="Q667" s="10"/>
      <c r="R667" s="10"/>
      <c r="S667" s="10"/>
      <c r="T667" s="10">
        <v>0</v>
      </c>
      <c r="U667" s="10"/>
      <c r="V667" s="4" t="s">
        <v>411</v>
      </c>
      <c r="W667" s="4"/>
      <c r="X667" s="8">
        <v>45160</v>
      </c>
      <c r="Y667" s="4"/>
      <c r="Z667" s="4"/>
      <c r="AA667" s="8">
        <v>45162</v>
      </c>
      <c r="AB667" s="8">
        <v>45162</v>
      </c>
      <c r="AC667" s="4"/>
      <c r="AD667" s="4"/>
    </row>
    <row r="668" spans="1:30" hidden="1">
      <c r="A668" s="4">
        <v>501</v>
      </c>
      <c r="B668" s="8">
        <v>45111</v>
      </c>
      <c r="C668" s="4"/>
      <c r="D668" s="4" t="s">
        <v>42</v>
      </c>
      <c r="E668" s="8">
        <v>45145</v>
      </c>
      <c r="F668" s="4" t="s">
        <v>43</v>
      </c>
      <c r="G668" s="39" t="s">
        <v>874</v>
      </c>
      <c r="H668" s="4" t="s">
        <v>45</v>
      </c>
      <c r="I668" s="4" t="s">
        <v>761</v>
      </c>
      <c r="J668" s="10">
        <v>4.8635999999999999</v>
      </c>
      <c r="K668" s="10">
        <v>4.9290000000000003</v>
      </c>
      <c r="L668" s="10">
        <f t="shared" si="53"/>
        <v>0</v>
      </c>
      <c r="M668" s="10">
        <f t="shared" si="55"/>
        <v>0</v>
      </c>
      <c r="N668" s="10"/>
      <c r="O668" s="10"/>
      <c r="P668" s="10"/>
      <c r="Q668" s="10"/>
      <c r="R668" s="10"/>
      <c r="S668" s="10"/>
      <c r="T668" s="10"/>
      <c r="U668" s="10"/>
      <c r="V668" s="4" t="s">
        <v>411</v>
      </c>
      <c r="W668" s="4"/>
      <c r="X668" s="8">
        <v>45160</v>
      </c>
      <c r="Y668" s="4"/>
      <c r="Z668" s="4"/>
      <c r="AA668" s="8">
        <v>45161</v>
      </c>
      <c r="AB668" s="8">
        <v>45161</v>
      </c>
      <c r="AC668" s="4"/>
      <c r="AD668" s="4"/>
    </row>
    <row r="669" spans="1:30" hidden="1">
      <c r="A669" s="4">
        <v>501</v>
      </c>
      <c r="B669" s="8">
        <v>45111</v>
      </c>
      <c r="C669" s="4"/>
      <c r="D669" s="4" t="s">
        <v>42</v>
      </c>
      <c r="E669" s="8">
        <v>45145</v>
      </c>
      <c r="F669" s="4" t="s">
        <v>43</v>
      </c>
      <c r="G669" s="39" t="s">
        <v>874</v>
      </c>
      <c r="H669" s="4" t="s">
        <v>45</v>
      </c>
      <c r="I669" s="4" t="s">
        <v>517</v>
      </c>
      <c r="J669" s="10">
        <v>32.847360000000002</v>
      </c>
      <c r="K669" s="10">
        <f>31.111+1.764</f>
        <v>32.875</v>
      </c>
      <c r="L669" s="10">
        <f t="shared" si="53"/>
        <v>0</v>
      </c>
      <c r="M669" s="10">
        <f t="shared" si="55"/>
        <v>0</v>
      </c>
      <c r="N669" s="10"/>
      <c r="O669" s="10"/>
      <c r="P669" s="10">
        <v>0</v>
      </c>
      <c r="Q669" s="10"/>
      <c r="R669" s="10"/>
      <c r="S669" s="10"/>
      <c r="T669" s="10"/>
      <c r="U669" s="10"/>
      <c r="V669" s="4" t="s">
        <v>411</v>
      </c>
      <c r="W669" s="4"/>
      <c r="X669" s="8">
        <v>45158</v>
      </c>
      <c r="Y669" s="4"/>
      <c r="Z669" s="4"/>
      <c r="AA669" s="8">
        <v>45160</v>
      </c>
      <c r="AB669" s="8">
        <v>45160</v>
      </c>
      <c r="AC669" s="4"/>
      <c r="AD669" s="4"/>
    </row>
    <row r="670" spans="1:30" hidden="1">
      <c r="A670" s="4">
        <v>501</v>
      </c>
      <c r="B670" s="8">
        <v>45111</v>
      </c>
      <c r="C670" s="4"/>
      <c r="D670" s="4" t="s">
        <v>42</v>
      </c>
      <c r="E670" s="8">
        <v>45145</v>
      </c>
      <c r="F670" s="4" t="s">
        <v>43</v>
      </c>
      <c r="G670" s="39" t="s">
        <v>874</v>
      </c>
      <c r="H670" s="4" t="s">
        <v>45</v>
      </c>
      <c r="I670" s="4" t="s">
        <v>579</v>
      </c>
      <c r="J670" s="10">
        <v>14.071480000000001</v>
      </c>
      <c r="K670" s="10">
        <v>14.071</v>
      </c>
      <c r="L670" s="10">
        <f t="shared" si="53"/>
        <v>0</v>
      </c>
      <c r="M670" s="10">
        <f t="shared" si="55"/>
        <v>0</v>
      </c>
      <c r="N670" s="10"/>
      <c r="O670" s="10"/>
      <c r="P670" s="10">
        <v>0</v>
      </c>
      <c r="Q670" s="10"/>
      <c r="R670" s="10"/>
      <c r="S670" s="10"/>
      <c r="T670" s="10"/>
      <c r="U670" s="10"/>
      <c r="V670" s="4" t="s">
        <v>411</v>
      </c>
      <c r="W670" s="4"/>
      <c r="X670" s="8">
        <v>45158</v>
      </c>
      <c r="Y670" s="4"/>
      <c r="Z670" s="4"/>
      <c r="AA670" s="8">
        <v>45160</v>
      </c>
      <c r="AB670" s="8">
        <v>45160</v>
      </c>
      <c r="AC670" s="4"/>
      <c r="AD670" s="4"/>
    </row>
    <row r="671" spans="1:30" hidden="1">
      <c r="A671" s="4">
        <v>501</v>
      </c>
      <c r="B671" s="8">
        <v>45111</v>
      </c>
      <c r="C671" s="4"/>
      <c r="D671" s="4" t="s">
        <v>42</v>
      </c>
      <c r="E671" s="8">
        <v>45145</v>
      </c>
      <c r="F671" s="4" t="s">
        <v>43</v>
      </c>
      <c r="G671" s="39" t="s">
        <v>874</v>
      </c>
      <c r="H671" s="4" t="s">
        <v>45</v>
      </c>
      <c r="I671" s="4" t="s">
        <v>448</v>
      </c>
      <c r="J671" s="10">
        <v>24.772020000000005</v>
      </c>
      <c r="K671" s="10">
        <f>6.341+9.129+3.922+5.56</f>
        <v>24.951999999999998</v>
      </c>
      <c r="L671" s="10">
        <f t="shared" si="53"/>
        <v>0</v>
      </c>
      <c r="M671" s="10">
        <f t="shared" si="55"/>
        <v>0</v>
      </c>
      <c r="N671" s="10"/>
      <c r="O671" s="10"/>
      <c r="P671" s="10">
        <v>0</v>
      </c>
      <c r="Q671" s="10"/>
      <c r="R671" s="10"/>
      <c r="S671" s="10"/>
      <c r="T671" s="10"/>
      <c r="U671" s="10"/>
      <c r="V671" s="4" t="s">
        <v>411</v>
      </c>
      <c r="W671" s="4" t="s">
        <v>37</v>
      </c>
      <c r="X671" s="8">
        <v>45137</v>
      </c>
      <c r="Y671" s="4"/>
      <c r="Z671" s="4"/>
      <c r="AA671" s="8">
        <v>45143</v>
      </c>
      <c r="AB671" s="8"/>
      <c r="AC671" s="4"/>
      <c r="AD671" s="4"/>
    </row>
    <row r="672" spans="1:30" hidden="1">
      <c r="A672" s="4">
        <v>501</v>
      </c>
      <c r="B672" s="8">
        <v>45111</v>
      </c>
      <c r="C672" s="4"/>
      <c r="D672" s="4" t="s">
        <v>42</v>
      </c>
      <c r="E672" s="8">
        <v>45145</v>
      </c>
      <c r="F672" s="4" t="s">
        <v>43</v>
      </c>
      <c r="G672" s="39" t="s">
        <v>874</v>
      </c>
      <c r="H672" s="4" t="s">
        <v>45</v>
      </c>
      <c r="I672" s="4" t="s">
        <v>449</v>
      </c>
      <c r="J672" s="10">
        <v>13.024520000000001</v>
      </c>
      <c r="K672" s="10">
        <v>13.025</v>
      </c>
      <c r="L672" s="10">
        <f t="shared" si="53"/>
        <v>0</v>
      </c>
      <c r="M672" s="10">
        <f t="shared" si="55"/>
        <v>0</v>
      </c>
      <c r="N672" s="10"/>
      <c r="O672" s="10"/>
      <c r="P672" s="10">
        <v>0</v>
      </c>
      <c r="Q672" s="10"/>
      <c r="R672" s="10"/>
      <c r="S672" s="10"/>
      <c r="T672" s="10"/>
      <c r="U672" s="10"/>
      <c r="V672" s="4" t="s">
        <v>411</v>
      </c>
      <c r="W672" s="4"/>
      <c r="X672" s="8">
        <v>45157</v>
      </c>
      <c r="Y672" s="4"/>
      <c r="Z672" s="4"/>
      <c r="AA672" s="8">
        <v>45159</v>
      </c>
      <c r="AB672" s="8">
        <v>45159</v>
      </c>
      <c r="AC672" s="4"/>
      <c r="AD672" s="4"/>
    </row>
    <row r="673" spans="1:30" hidden="1">
      <c r="A673" s="4">
        <v>501</v>
      </c>
      <c r="B673" s="8">
        <v>45111</v>
      </c>
      <c r="C673" s="4"/>
      <c r="D673" s="4" t="s">
        <v>42</v>
      </c>
      <c r="E673" s="8">
        <v>45145</v>
      </c>
      <c r="F673" s="4" t="s">
        <v>43</v>
      </c>
      <c r="G673" s="39" t="s">
        <v>874</v>
      </c>
      <c r="H673" s="4" t="s">
        <v>45</v>
      </c>
      <c r="I673" s="4" t="s">
        <v>447</v>
      </c>
      <c r="J673" s="10">
        <v>35.705039999999997</v>
      </c>
      <c r="K673" s="10">
        <f>14.903+2.322+16.05+2.572</f>
        <v>35.847000000000008</v>
      </c>
      <c r="L673" s="10">
        <f t="shared" si="53"/>
        <v>0</v>
      </c>
      <c r="M673" s="10">
        <f t="shared" si="55"/>
        <v>0</v>
      </c>
      <c r="N673" s="10"/>
      <c r="O673" s="10"/>
      <c r="P673" s="10">
        <v>0</v>
      </c>
      <c r="Q673" s="10"/>
      <c r="R673" s="10"/>
      <c r="S673" s="10"/>
      <c r="T673" s="10"/>
      <c r="U673" s="10"/>
      <c r="V673" s="4" t="s">
        <v>411</v>
      </c>
      <c r="W673" s="4"/>
      <c r="X673" s="8">
        <v>45157</v>
      </c>
      <c r="Y673" s="4"/>
      <c r="Z673" s="4"/>
      <c r="AA673" s="8">
        <v>45160</v>
      </c>
      <c r="AB673" s="8">
        <v>45160</v>
      </c>
      <c r="AC673" s="4"/>
      <c r="AD673" s="4"/>
    </row>
    <row r="674" spans="1:30" hidden="1">
      <c r="A674" s="4">
        <v>501</v>
      </c>
      <c r="B674" s="8">
        <v>45111</v>
      </c>
      <c r="C674" s="4"/>
      <c r="D674" s="4" t="s">
        <v>42</v>
      </c>
      <c r="E674" s="8">
        <v>45145</v>
      </c>
      <c r="F674" s="4" t="s">
        <v>43</v>
      </c>
      <c r="G674" s="39" t="s">
        <v>874</v>
      </c>
      <c r="H674" s="4" t="s">
        <v>45</v>
      </c>
      <c r="I674" s="4" t="s">
        <v>518</v>
      </c>
      <c r="J674" s="10">
        <v>22.104420000000001</v>
      </c>
      <c r="K674" s="10">
        <f>13.759+8.337</f>
        <v>22.096</v>
      </c>
      <c r="L674" s="10">
        <f t="shared" si="53"/>
        <v>0</v>
      </c>
      <c r="M674" s="10">
        <f t="shared" si="55"/>
        <v>0</v>
      </c>
      <c r="N674" s="10"/>
      <c r="O674" s="10"/>
      <c r="P674" s="10">
        <v>0</v>
      </c>
      <c r="Q674" s="10"/>
      <c r="R674" s="10"/>
      <c r="S674" s="10"/>
      <c r="T674" s="10"/>
      <c r="U674" s="10"/>
      <c r="V674" s="4" t="s">
        <v>411</v>
      </c>
      <c r="W674" s="4"/>
      <c r="X674" s="8">
        <v>45157</v>
      </c>
      <c r="Y674" s="4"/>
      <c r="Z674" s="4"/>
      <c r="AA674" s="8">
        <v>45158</v>
      </c>
      <c r="AB674" s="8">
        <v>45159</v>
      </c>
      <c r="AC674" s="4"/>
      <c r="AD674" s="4"/>
    </row>
    <row r="675" spans="1:30" hidden="1">
      <c r="A675" s="4">
        <v>501</v>
      </c>
      <c r="B675" s="8">
        <v>45111</v>
      </c>
      <c r="C675" s="4"/>
      <c r="D675" s="4" t="s">
        <v>42</v>
      </c>
      <c r="E675" s="8">
        <v>45145</v>
      </c>
      <c r="F675" s="4" t="s">
        <v>43</v>
      </c>
      <c r="G675" s="39" t="s">
        <v>874</v>
      </c>
      <c r="H675" s="4" t="s">
        <v>45</v>
      </c>
      <c r="I675" s="4" t="s">
        <v>435</v>
      </c>
      <c r="J675" s="10">
        <v>4.04352</v>
      </c>
      <c r="K675" s="10">
        <f>1.78+1.034+1.225</f>
        <v>4.0389999999999997</v>
      </c>
      <c r="L675" s="10">
        <f t="shared" si="53"/>
        <v>0</v>
      </c>
      <c r="M675" s="10">
        <f t="shared" si="55"/>
        <v>0</v>
      </c>
      <c r="N675" s="10"/>
      <c r="O675" s="10"/>
      <c r="P675" s="10">
        <v>0</v>
      </c>
      <c r="Q675" s="10"/>
      <c r="R675" s="10"/>
      <c r="S675" s="10"/>
      <c r="T675" s="10"/>
      <c r="U675" s="10"/>
      <c r="V675" s="4" t="s">
        <v>411</v>
      </c>
      <c r="W675" s="4"/>
      <c r="X675" s="8">
        <v>45146</v>
      </c>
      <c r="Y675" s="4"/>
      <c r="Z675" s="4"/>
      <c r="AA675" s="8">
        <v>45151</v>
      </c>
      <c r="AB675" s="8">
        <v>45158</v>
      </c>
      <c r="AC675" s="4"/>
      <c r="AD675" s="4"/>
    </row>
    <row r="676" spans="1:30" hidden="1">
      <c r="A676" s="4">
        <v>501</v>
      </c>
      <c r="B676" s="8">
        <v>45111</v>
      </c>
      <c r="C676" s="4"/>
      <c r="D676" s="4" t="s">
        <v>42</v>
      </c>
      <c r="E676" s="8">
        <v>45145</v>
      </c>
      <c r="F676" s="4" t="s">
        <v>43</v>
      </c>
      <c r="G676" s="39" t="s">
        <v>874</v>
      </c>
      <c r="H676" s="4" t="s">
        <v>45</v>
      </c>
      <c r="I676" s="4" t="s">
        <v>432</v>
      </c>
      <c r="J676" s="10">
        <v>9.2064000000000004</v>
      </c>
      <c r="K676" s="10">
        <v>9.2059999999999995</v>
      </c>
      <c r="L676" s="10">
        <f t="shared" si="53"/>
        <v>0</v>
      </c>
      <c r="M676" s="10">
        <f t="shared" si="55"/>
        <v>0</v>
      </c>
      <c r="N676" s="10"/>
      <c r="O676" s="10"/>
      <c r="P676" s="10"/>
      <c r="Q676" s="10"/>
      <c r="R676" s="10"/>
      <c r="S676" s="10"/>
      <c r="T676" s="10"/>
      <c r="U676" s="10"/>
      <c r="V676" s="4" t="s">
        <v>411</v>
      </c>
      <c r="W676" s="4"/>
      <c r="X676" s="8">
        <v>45145</v>
      </c>
      <c r="Y676" s="4"/>
      <c r="Z676" s="4"/>
      <c r="AA676" s="8">
        <v>45151</v>
      </c>
      <c r="AB676" s="8"/>
      <c r="AC676" s="4"/>
      <c r="AD676" s="4"/>
    </row>
    <row r="677" spans="1:30" hidden="1">
      <c r="A677" s="4">
        <v>501</v>
      </c>
      <c r="B677" s="8">
        <v>45111</v>
      </c>
      <c r="C677" s="4"/>
      <c r="D677" s="4" t="s">
        <v>42</v>
      </c>
      <c r="E677" s="8">
        <v>45145</v>
      </c>
      <c r="F677" s="4" t="s">
        <v>43</v>
      </c>
      <c r="G677" s="15" t="s">
        <v>843</v>
      </c>
      <c r="H677" s="4" t="s">
        <v>52</v>
      </c>
      <c r="I677" s="4" t="s">
        <v>56</v>
      </c>
      <c r="J677" s="10">
        <v>1.4926500000000003</v>
      </c>
      <c r="K677" s="10">
        <v>1.6060000000000001</v>
      </c>
      <c r="L677" s="10">
        <f t="shared" si="53"/>
        <v>0</v>
      </c>
      <c r="M677" s="10">
        <f t="shared" si="55"/>
        <v>0</v>
      </c>
      <c r="N677" s="10"/>
      <c r="O677" s="10"/>
      <c r="P677" s="10"/>
      <c r="Q677" s="10"/>
      <c r="R677" s="10"/>
      <c r="S677" s="10">
        <v>0</v>
      </c>
      <c r="T677" s="10"/>
      <c r="U677" s="10"/>
      <c r="V677" s="4" t="s">
        <v>411</v>
      </c>
      <c r="W677" s="4"/>
      <c r="X677" s="8">
        <v>45122</v>
      </c>
      <c r="Y677" s="4"/>
      <c r="Z677" s="4"/>
      <c r="AA677" s="8"/>
      <c r="AB677" s="8"/>
      <c r="AC677" s="4"/>
      <c r="AD677" s="4"/>
    </row>
    <row r="678" spans="1:30" hidden="1">
      <c r="A678" s="4">
        <v>501</v>
      </c>
      <c r="B678" s="8">
        <v>45111</v>
      </c>
      <c r="C678" s="4"/>
      <c r="D678" s="4" t="s">
        <v>42</v>
      </c>
      <c r="E678" s="8">
        <v>45145</v>
      </c>
      <c r="F678" s="4" t="s">
        <v>43</v>
      </c>
      <c r="G678" s="15" t="s">
        <v>843</v>
      </c>
      <c r="H678" s="4" t="s">
        <v>52</v>
      </c>
      <c r="I678" s="4" t="s">
        <v>48</v>
      </c>
      <c r="J678" s="10">
        <v>0.80276000000000003</v>
      </c>
      <c r="K678" s="10">
        <v>0.81100000000000005</v>
      </c>
      <c r="L678" s="10">
        <f t="shared" si="53"/>
        <v>0</v>
      </c>
      <c r="M678" s="10">
        <f t="shared" si="55"/>
        <v>0</v>
      </c>
      <c r="N678" s="10"/>
      <c r="O678" s="10"/>
      <c r="P678" s="10">
        <v>0</v>
      </c>
      <c r="Q678" s="10"/>
      <c r="R678" s="10"/>
      <c r="S678" s="10"/>
      <c r="T678" s="10"/>
      <c r="U678" s="10"/>
      <c r="V678" s="4" t="s">
        <v>411</v>
      </c>
      <c r="W678" s="4"/>
      <c r="X678" s="8"/>
      <c r="Y678" s="4"/>
      <c r="Z678" s="4"/>
      <c r="AA678" s="8">
        <v>45125</v>
      </c>
      <c r="AB678" s="8">
        <v>45125</v>
      </c>
      <c r="AC678" s="4"/>
      <c r="AD678" s="4"/>
    </row>
    <row r="679" spans="1:30" hidden="1">
      <c r="A679" s="4">
        <v>501</v>
      </c>
      <c r="B679" s="8">
        <v>45111</v>
      </c>
      <c r="C679" s="4"/>
      <c r="D679" s="4" t="s">
        <v>42</v>
      </c>
      <c r="E679" s="8">
        <v>45145</v>
      </c>
      <c r="F679" s="4" t="s">
        <v>43</v>
      </c>
      <c r="G679" s="15" t="s">
        <v>843</v>
      </c>
      <c r="H679" s="4" t="s">
        <v>52</v>
      </c>
      <c r="I679" s="4" t="s">
        <v>403</v>
      </c>
      <c r="J679" s="10">
        <v>0.53286</v>
      </c>
      <c r="K679" s="10">
        <v>0.57299999999999995</v>
      </c>
      <c r="L679" s="10">
        <f t="shared" si="53"/>
        <v>0</v>
      </c>
      <c r="M679" s="10">
        <f t="shared" si="55"/>
        <v>0</v>
      </c>
      <c r="N679" s="10"/>
      <c r="O679" s="10"/>
      <c r="P679" s="10">
        <v>0</v>
      </c>
      <c r="Q679" s="10"/>
      <c r="R679" s="10"/>
      <c r="S679" s="10"/>
      <c r="T679" s="10"/>
      <c r="U679" s="10"/>
      <c r="V679" s="4" t="s">
        <v>411</v>
      </c>
      <c r="W679" s="4"/>
      <c r="X679" s="8">
        <v>45127</v>
      </c>
      <c r="Y679" s="4"/>
      <c r="Z679" s="4"/>
      <c r="AA679" s="8">
        <v>45129</v>
      </c>
      <c r="AB679" s="8">
        <v>45129</v>
      </c>
      <c r="AC679" s="4"/>
      <c r="AD679" s="4"/>
    </row>
    <row r="680" spans="1:30" hidden="1">
      <c r="A680" s="4">
        <v>501</v>
      </c>
      <c r="B680" s="8">
        <v>45111</v>
      </c>
      <c r="C680" s="4"/>
      <c r="D680" s="4" t="s">
        <v>42</v>
      </c>
      <c r="E680" s="8">
        <v>45145</v>
      </c>
      <c r="F680" s="4" t="s">
        <v>43</v>
      </c>
      <c r="G680" s="15" t="s">
        <v>843</v>
      </c>
      <c r="H680" s="4" t="s">
        <v>52</v>
      </c>
      <c r="I680" s="4" t="s">
        <v>49</v>
      </c>
      <c r="J680" s="10">
        <v>1.0919999999999999</v>
      </c>
      <c r="K680" s="10">
        <v>1.0920000000000001</v>
      </c>
      <c r="L680" s="10">
        <f t="shared" si="53"/>
        <v>0</v>
      </c>
      <c r="M680" s="10">
        <f t="shared" si="55"/>
        <v>0</v>
      </c>
      <c r="N680" s="10"/>
      <c r="O680" s="10"/>
      <c r="P680" s="10">
        <v>0</v>
      </c>
      <c r="Q680" s="10"/>
      <c r="R680" s="10"/>
      <c r="S680" s="10"/>
      <c r="T680" s="10"/>
      <c r="U680" s="10"/>
      <c r="V680" s="4" t="s">
        <v>411</v>
      </c>
      <c r="W680" s="4"/>
      <c r="X680" s="8">
        <v>45129</v>
      </c>
      <c r="Y680" s="4"/>
      <c r="Z680" s="4"/>
      <c r="AA680" s="8">
        <v>45132</v>
      </c>
      <c r="AB680" s="8">
        <v>45132</v>
      </c>
      <c r="AC680" s="4"/>
      <c r="AD680" s="4"/>
    </row>
    <row r="681" spans="1:30" hidden="1">
      <c r="A681" s="4">
        <v>495</v>
      </c>
      <c r="B681" s="8">
        <v>45111</v>
      </c>
      <c r="C681" s="4"/>
      <c r="D681" s="4" t="s">
        <v>42</v>
      </c>
      <c r="E681" s="8">
        <v>45153</v>
      </c>
      <c r="F681" s="4" t="s">
        <v>43</v>
      </c>
      <c r="G681" s="40" t="s">
        <v>20</v>
      </c>
      <c r="H681" s="4" t="s">
        <v>45</v>
      </c>
      <c r="I681" s="4" t="s">
        <v>48</v>
      </c>
      <c r="J681" s="10">
        <v>24.593979999999998</v>
      </c>
      <c r="K681" s="10">
        <f>15.117+8.701+0.787</f>
        <v>24.605</v>
      </c>
      <c r="L681" s="10">
        <f t="shared" si="53"/>
        <v>0</v>
      </c>
      <c r="M681" s="10">
        <f t="shared" si="55"/>
        <v>0</v>
      </c>
      <c r="N681" s="10"/>
      <c r="O681" s="10"/>
      <c r="P681" s="10">
        <v>0</v>
      </c>
      <c r="Q681" s="10"/>
      <c r="R681" s="10"/>
      <c r="S681" s="10"/>
      <c r="T681" s="10"/>
      <c r="U681" s="10"/>
      <c r="V681" s="4" t="s">
        <v>415</v>
      </c>
      <c r="W681" s="4"/>
      <c r="X681" s="8">
        <v>45124</v>
      </c>
      <c r="Y681" s="4"/>
      <c r="Z681" s="4"/>
      <c r="AA681" s="8">
        <v>45125</v>
      </c>
      <c r="AB681" s="8">
        <v>45127</v>
      </c>
      <c r="AC681" s="4"/>
      <c r="AD681" s="4"/>
    </row>
    <row r="682" spans="1:30" hidden="1">
      <c r="A682" s="4">
        <v>495</v>
      </c>
      <c r="B682" s="8">
        <v>45111</v>
      </c>
      <c r="C682" s="4"/>
      <c r="D682" s="4" t="s">
        <v>42</v>
      </c>
      <c r="E682" s="8">
        <v>45153</v>
      </c>
      <c r="F682" s="4" t="s">
        <v>43</v>
      </c>
      <c r="G682" s="40" t="s">
        <v>20</v>
      </c>
      <c r="H682" s="4" t="s">
        <v>45</v>
      </c>
      <c r="I682" s="4" t="s">
        <v>403</v>
      </c>
      <c r="J682" s="10">
        <v>44.298759999999994</v>
      </c>
      <c r="K682" s="10">
        <f>18.74+9.57+9.661+6.374</f>
        <v>44.344999999999999</v>
      </c>
      <c r="L682" s="10">
        <f t="shared" si="53"/>
        <v>0</v>
      </c>
      <c r="M682" s="10">
        <f t="shared" si="55"/>
        <v>0</v>
      </c>
      <c r="N682" s="10"/>
      <c r="O682" s="10"/>
      <c r="P682" s="10">
        <v>0</v>
      </c>
      <c r="Q682" s="10"/>
      <c r="R682" s="10">
        <v>0</v>
      </c>
      <c r="S682" s="10"/>
      <c r="T682" s="10"/>
      <c r="U682" s="10"/>
      <c r="V682" s="4" t="s">
        <v>415</v>
      </c>
      <c r="W682" s="4" t="s">
        <v>951</v>
      </c>
      <c r="X682" s="8">
        <v>45163</v>
      </c>
      <c r="Y682" s="4"/>
      <c r="Z682" s="4"/>
      <c r="AA682" s="8">
        <v>45164</v>
      </c>
      <c r="AB682" s="8">
        <v>45167</v>
      </c>
      <c r="AC682" s="4"/>
      <c r="AD682" s="4"/>
    </row>
    <row r="683" spans="1:30" hidden="1">
      <c r="A683" s="4">
        <v>495</v>
      </c>
      <c r="B683" s="8">
        <v>45111</v>
      </c>
      <c r="C683" s="4"/>
      <c r="D683" s="4" t="s">
        <v>42</v>
      </c>
      <c r="E683" s="8">
        <v>45153</v>
      </c>
      <c r="F683" s="4" t="s">
        <v>43</v>
      </c>
      <c r="G683" s="40" t="s">
        <v>20</v>
      </c>
      <c r="H683" s="4" t="s">
        <v>45</v>
      </c>
      <c r="I683" s="4" t="s">
        <v>46</v>
      </c>
      <c r="J683" s="10">
        <v>53.478059999999999</v>
      </c>
      <c r="K683" s="10">
        <f>8.436+4.883+32.717+7.651</f>
        <v>53.686999999999998</v>
      </c>
      <c r="L683" s="10">
        <f t="shared" ref="L683:L746" si="56">M683+U683</f>
        <v>0</v>
      </c>
      <c r="M683" s="10">
        <f t="shared" si="55"/>
        <v>0</v>
      </c>
      <c r="N683" s="10"/>
      <c r="O683" s="10"/>
      <c r="P683" s="10">
        <v>0</v>
      </c>
      <c r="Q683" s="10"/>
      <c r="R683" s="10"/>
      <c r="S683" s="10"/>
      <c r="T683" s="10"/>
      <c r="U683" s="10"/>
      <c r="V683" s="4" t="s">
        <v>415</v>
      </c>
      <c r="W683" s="4"/>
      <c r="X683" s="8">
        <v>45164</v>
      </c>
      <c r="Y683" s="4"/>
      <c r="Z683" s="4"/>
      <c r="AA683" s="8">
        <v>45166</v>
      </c>
      <c r="AB683" s="8"/>
      <c r="AC683" s="4"/>
      <c r="AD683" s="4"/>
    </row>
    <row r="684" spans="1:30" hidden="1">
      <c r="A684" s="4">
        <v>495</v>
      </c>
      <c r="B684" s="8">
        <v>45111</v>
      </c>
      <c r="C684" s="4"/>
      <c r="D684" s="4" t="s">
        <v>42</v>
      </c>
      <c r="E684" s="8">
        <v>45153</v>
      </c>
      <c r="F684" s="4" t="s">
        <v>43</v>
      </c>
      <c r="G684" s="40" t="s">
        <v>20</v>
      </c>
      <c r="H684" s="4" t="s">
        <v>45</v>
      </c>
      <c r="I684" s="4" t="s">
        <v>49</v>
      </c>
      <c r="J684" s="10">
        <v>33.68092</v>
      </c>
      <c r="K684" s="10">
        <f>15.242+14.285+2.266+1.94</f>
        <v>33.732999999999997</v>
      </c>
      <c r="L684" s="10">
        <f t="shared" si="56"/>
        <v>0</v>
      </c>
      <c r="M684" s="10">
        <f t="shared" si="55"/>
        <v>0</v>
      </c>
      <c r="N684" s="10"/>
      <c r="O684" s="10"/>
      <c r="P684" s="10"/>
      <c r="Q684" s="10"/>
      <c r="R684" s="10">
        <v>0</v>
      </c>
      <c r="S684" s="10"/>
      <c r="T684" s="10"/>
      <c r="U684" s="10"/>
      <c r="V684" s="4" t="s">
        <v>415</v>
      </c>
      <c r="W684" s="4" t="s">
        <v>953</v>
      </c>
      <c r="X684" s="8">
        <v>45139</v>
      </c>
      <c r="Y684" s="4"/>
      <c r="Z684" s="4"/>
      <c r="AA684" s="8">
        <v>45142</v>
      </c>
      <c r="AB684" s="8">
        <v>45156</v>
      </c>
      <c r="AC684" s="4"/>
      <c r="AD684" s="4"/>
    </row>
    <row r="685" spans="1:30" hidden="1">
      <c r="A685" s="4">
        <v>495</v>
      </c>
      <c r="B685" s="8">
        <v>45111</v>
      </c>
      <c r="C685" s="4"/>
      <c r="D685" s="4" t="s">
        <v>42</v>
      </c>
      <c r="E685" s="8">
        <v>45153</v>
      </c>
      <c r="F685" s="4" t="s">
        <v>43</v>
      </c>
      <c r="G685" s="40" t="s">
        <v>20</v>
      </c>
      <c r="H685" s="4" t="s">
        <v>45</v>
      </c>
      <c r="I685" s="4" t="s">
        <v>50</v>
      </c>
      <c r="J685" s="10">
        <v>19.615679999999998</v>
      </c>
      <c r="K685" s="10">
        <f>6.423+7.835+5.44</f>
        <v>19.698</v>
      </c>
      <c r="L685" s="10">
        <f t="shared" si="56"/>
        <v>0</v>
      </c>
      <c r="M685" s="10">
        <f t="shared" si="55"/>
        <v>0</v>
      </c>
      <c r="N685" s="10"/>
      <c r="O685" s="10"/>
      <c r="P685" s="10">
        <v>0</v>
      </c>
      <c r="Q685" s="10"/>
      <c r="R685" s="10">
        <v>0</v>
      </c>
      <c r="S685" s="10"/>
      <c r="T685" s="10"/>
      <c r="U685" s="10"/>
      <c r="V685" s="4" t="s">
        <v>415</v>
      </c>
      <c r="W685" s="4" t="s">
        <v>955</v>
      </c>
      <c r="X685" s="8">
        <v>45139</v>
      </c>
      <c r="Y685" s="4"/>
      <c r="Z685" s="4"/>
      <c r="AA685" s="8">
        <v>45142</v>
      </c>
      <c r="AB685" s="8">
        <v>45145</v>
      </c>
      <c r="AC685" s="4"/>
      <c r="AD685" s="4"/>
    </row>
    <row r="686" spans="1:30" hidden="1">
      <c r="A686" s="4">
        <v>495</v>
      </c>
      <c r="B686" s="8">
        <v>45111</v>
      </c>
      <c r="C686" s="4"/>
      <c r="D686" s="4" t="s">
        <v>42</v>
      </c>
      <c r="E686" s="8">
        <v>45153</v>
      </c>
      <c r="F686" s="4" t="s">
        <v>43</v>
      </c>
      <c r="G686" s="40" t="s">
        <v>20</v>
      </c>
      <c r="H686" s="4" t="s">
        <v>45</v>
      </c>
      <c r="I686" s="4" t="s">
        <v>407</v>
      </c>
      <c r="J686" s="10">
        <v>14.45796</v>
      </c>
      <c r="K686" s="10">
        <v>14.757999999999999</v>
      </c>
      <c r="L686" s="10">
        <f t="shared" si="56"/>
        <v>0</v>
      </c>
      <c r="M686" s="10">
        <f t="shared" si="55"/>
        <v>0</v>
      </c>
      <c r="N686" s="10"/>
      <c r="O686" s="10"/>
      <c r="P686" s="10"/>
      <c r="Q686" s="10"/>
      <c r="R686" s="10"/>
      <c r="S686" s="10"/>
      <c r="T686" s="10"/>
      <c r="U686" s="10"/>
      <c r="V686" s="4" t="s">
        <v>415</v>
      </c>
      <c r="W686" s="4"/>
      <c r="X686" s="8">
        <v>45143</v>
      </c>
      <c r="Y686" s="4"/>
      <c r="Z686" s="4"/>
      <c r="AA686" s="8">
        <v>45148</v>
      </c>
      <c r="AB686" s="8"/>
      <c r="AC686" s="4"/>
      <c r="AD686" s="4"/>
    </row>
    <row r="687" spans="1:30" hidden="1">
      <c r="A687" s="4">
        <v>495</v>
      </c>
      <c r="B687" s="8">
        <v>45111</v>
      </c>
      <c r="C687" s="4"/>
      <c r="D687" s="4" t="s">
        <v>42</v>
      </c>
      <c r="E687" s="8">
        <v>45153</v>
      </c>
      <c r="F687" s="4" t="s">
        <v>43</v>
      </c>
      <c r="G687" s="40" t="s">
        <v>20</v>
      </c>
      <c r="H687" s="4" t="s">
        <v>45</v>
      </c>
      <c r="I687" s="4" t="s">
        <v>409</v>
      </c>
      <c r="J687" s="10">
        <v>29.313559999999999</v>
      </c>
      <c r="K687" s="10">
        <f>20.95+6.023+2.459</f>
        <v>29.431999999999999</v>
      </c>
      <c r="L687" s="10">
        <f t="shared" si="56"/>
        <v>0</v>
      </c>
      <c r="M687" s="10">
        <f t="shared" si="55"/>
        <v>0</v>
      </c>
      <c r="N687" s="10"/>
      <c r="O687" s="10"/>
      <c r="P687" s="10">
        <v>0</v>
      </c>
      <c r="Q687" s="10"/>
      <c r="R687" s="10"/>
      <c r="S687" s="10"/>
      <c r="T687" s="10"/>
      <c r="U687" s="10"/>
      <c r="V687" s="4" t="s">
        <v>415</v>
      </c>
      <c r="W687" s="4" t="s">
        <v>926</v>
      </c>
      <c r="X687" s="8">
        <v>45142</v>
      </c>
      <c r="Y687" s="4"/>
      <c r="Z687" s="4"/>
      <c r="AA687" s="8">
        <v>45144</v>
      </c>
      <c r="AB687" s="8">
        <v>45159</v>
      </c>
      <c r="AC687" s="4"/>
      <c r="AD687" s="4"/>
    </row>
    <row r="688" spans="1:30" hidden="1">
      <c r="A688" s="4">
        <v>495</v>
      </c>
      <c r="B688" s="8">
        <v>45111</v>
      </c>
      <c r="C688" s="4"/>
      <c r="D688" s="4" t="s">
        <v>42</v>
      </c>
      <c r="E688" s="8">
        <v>45153</v>
      </c>
      <c r="F688" s="4" t="s">
        <v>43</v>
      </c>
      <c r="G688" s="40" t="s">
        <v>20</v>
      </c>
      <c r="H688" s="4" t="s">
        <v>45</v>
      </c>
      <c r="I688" s="4" t="s">
        <v>517</v>
      </c>
      <c r="J688" s="10">
        <v>18.427500000000002</v>
      </c>
      <c r="K688" s="10">
        <f>8.402+6.804+3.268</f>
        <v>18.474</v>
      </c>
      <c r="L688" s="10">
        <f t="shared" si="56"/>
        <v>0</v>
      </c>
      <c r="M688" s="10">
        <f t="shared" ref="M688:M700" si="57">SUM(N688:T688)</f>
        <v>0</v>
      </c>
      <c r="N688" s="10"/>
      <c r="O688" s="10"/>
      <c r="P688" s="10">
        <v>0</v>
      </c>
      <c r="Q688" s="10"/>
      <c r="R688" s="10"/>
      <c r="S688" s="10"/>
      <c r="T688" s="10"/>
      <c r="U688" s="10"/>
      <c r="V688" s="4" t="s">
        <v>415</v>
      </c>
      <c r="W688" s="4"/>
      <c r="X688" s="8">
        <v>45138</v>
      </c>
      <c r="Y688" s="4"/>
      <c r="Z688" s="4"/>
      <c r="AA688" s="8">
        <v>45160</v>
      </c>
      <c r="AB688" s="8">
        <v>45160</v>
      </c>
      <c r="AC688" s="4"/>
      <c r="AD688" s="4"/>
    </row>
    <row r="689" spans="1:30" hidden="1">
      <c r="A689" s="4">
        <v>495</v>
      </c>
      <c r="B689" s="8">
        <v>45111</v>
      </c>
      <c r="C689" s="4"/>
      <c r="D689" s="4" t="s">
        <v>42</v>
      </c>
      <c r="E689" s="8">
        <v>45153</v>
      </c>
      <c r="F689" s="4" t="s">
        <v>43</v>
      </c>
      <c r="G689" s="40" t="s">
        <v>20</v>
      </c>
      <c r="H689" s="4" t="s">
        <v>45</v>
      </c>
      <c r="I689" s="4" t="s">
        <v>448</v>
      </c>
      <c r="J689" s="10">
        <v>22.923159999999999</v>
      </c>
      <c r="K689" s="10">
        <f>7.244+5.577+4.238+6.121</f>
        <v>23.18</v>
      </c>
      <c r="L689" s="10">
        <f t="shared" si="56"/>
        <v>0</v>
      </c>
      <c r="M689" s="10">
        <f t="shared" si="57"/>
        <v>0</v>
      </c>
      <c r="N689" s="10"/>
      <c r="O689" s="10"/>
      <c r="P689" s="10"/>
      <c r="Q689" s="10"/>
      <c r="R689" s="10"/>
      <c r="S689" s="10"/>
      <c r="T689" s="10"/>
      <c r="U689" s="10"/>
      <c r="V689" s="4" t="s">
        <v>415</v>
      </c>
      <c r="W689" s="4" t="s">
        <v>37</v>
      </c>
      <c r="X689" s="8">
        <v>45136</v>
      </c>
      <c r="Y689" s="4"/>
      <c r="Z689" s="4"/>
      <c r="AA689" s="8">
        <v>45139</v>
      </c>
      <c r="AB689" s="8"/>
      <c r="AC689" s="4"/>
      <c r="AD689" s="4"/>
    </row>
    <row r="690" spans="1:30" hidden="1">
      <c r="A690" s="4">
        <v>495</v>
      </c>
      <c r="B690" s="8">
        <v>45111</v>
      </c>
      <c r="C690" s="4"/>
      <c r="D690" s="4" t="s">
        <v>42</v>
      </c>
      <c r="E690" s="8">
        <v>45153</v>
      </c>
      <c r="F690" s="4" t="s">
        <v>43</v>
      </c>
      <c r="G690" s="40" t="s">
        <v>20</v>
      </c>
      <c r="H690" s="4" t="s">
        <v>45</v>
      </c>
      <c r="I690" s="4" t="s">
        <v>447</v>
      </c>
      <c r="J690" s="10">
        <v>9.8886599999999998</v>
      </c>
      <c r="K690" s="10">
        <f>1.588+3.176+5.125</f>
        <v>9.8889999999999993</v>
      </c>
      <c r="L690" s="10">
        <f t="shared" si="56"/>
        <v>0</v>
      </c>
      <c r="M690" s="10">
        <f t="shared" si="57"/>
        <v>0</v>
      </c>
      <c r="N690" s="10"/>
      <c r="O690" s="10"/>
      <c r="P690" s="10">
        <v>0</v>
      </c>
      <c r="Q690" s="10"/>
      <c r="R690" s="10"/>
      <c r="S690" s="10"/>
      <c r="T690" s="10"/>
      <c r="U690" s="10"/>
      <c r="V690" s="4" t="s">
        <v>415</v>
      </c>
      <c r="W690" s="4"/>
      <c r="X690" s="8">
        <v>45132</v>
      </c>
      <c r="Y690" s="4"/>
      <c r="Z690" s="4"/>
      <c r="AA690" s="8">
        <v>45137</v>
      </c>
      <c r="AB690" s="8">
        <v>45138</v>
      </c>
      <c r="AC690" s="4"/>
      <c r="AD690" s="4"/>
    </row>
    <row r="691" spans="1:30" hidden="1">
      <c r="A691" s="4">
        <v>495</v>
      </c>
      <c r="B691" s="8">
        <v>45111</v>
      </c>
      <c r="C691" s="4"/>
      <c r="D691" s="4" t="s">
        <v>42</v>
      </c>
      <c r="E691" s="8">
        <v>45153</v>
      </c>
      <c r="F691" s="4" t="s">
        <v>43</v>
      </c>
      <c r="G691" s="40" t="s">
        <v>20</v>
      </c>
      <c r="H691" s="4" t="s">
        <v>45</v>
      </c>
      <c r="I691" s="4" t="s">
        <v>434</v>
      </c>
      <c r="J691" s="10">
        <v>18.009056999999999</v>
      </c>
      <c r="K691" s="10">
        <f>1.534+14.17+2.306</f>
        <v>18.010000000000002</v>
      </c>
      <c r="L691" s="10">
        <f t="shared" si="56"/>
        <v>0</v>
      </c>
      <c r="M691" s="10">
        <f t="shared" si="57"/>
        <v>0</v>
      </c>
      <c r="N691" s="10"/>
      <c r="O691" s="10"/>
      <c r="P691" s="10"/>
      <c r="Q691" s="10"/>
      <c r="R691" s="10"/>
      <c r="S691" s="10"/>
      <c r="T691" s="10"/>
      <c r="U691" s="10"/>
      <c r="V691" s="4" t="s">
        <v>415</v>
      </c>
      <c r="W691" s="4"/>
      <c r="X691" s="8">
        <v>45148</v>
      </c>
      <c r="Y691" s="4"/>
      <c r="Z691" s="4"/>
      <c r="AA691" s="8">
        <v>45150</v>
      </c>
      <c r="AB691" s="8"/>
      <c r="AC691" s="4"/>
      <c r="AD691" s="4"/>
    </row>
    <row r="692" spans="1:30" hidden="1">
      <c r="A692" s="4">
        <v>495</v>
      </c>
      <c r="B692" s="8">
        <v>45111</v>
      </c>
      <c r="C692" s="4"/>
      <c r="D692" s="4" t="s">
        <v>42</v>
      </c>
      <c r="E692" s="8">
        <v>45153</v>
      </c>
      <c r="F692" s="4" t="s">
        <v>43</v>
      </c>
      <c r="G692" s="40" t="s">
        <v>20</v>
      </c>
      <c r="H692" s="4" t="s">
        <v>45</v>
      </c>
      <c r="I692" s="4" t="s">
        <v>89</v>
      </c>
      <c r="J692" s="10">
        <v>13.660140000000002</v>
      </c>
      <c r="K692" s="10">
        <f>11.002+1.187+1.634</f>
        <v>13.823</v>
      </c>
      <c r="L692" s="10">
        <f t="shared" si="56"/>
        <v>0</v>
      </c>
      <c r="M692" s="10">
        <f t="shared" si="57"/>
        <v>0</v>
      </c>
      <c r="N692" s="10"/>
      <c r="O692" s="10"/>
      <c r="P692" s="10">
        <v>0</v>
      </c>
      <c r="Q692" s="10"/>
      <c r="R692" s="10"/>
      <c r="S692" s="10"/>
      <c r="T692" s="10"/>
      <c r="U692" s="10"/>
      <c r="V692" s="4" t="s">
        <v>415</v>
      </c>
      <c r="W692" s="4"/>
      <c r="X692" s="8"/>
      <c r="Y692" s="4"/>
      <c r="Z692" s="4"/>
      <c r="AA692" s="8">
        <v>45160</v>
      </c>
      <c r="AB692" s="8">
        <v>45160</v>
      </c>
      <c r="AC692" s="4"/>
      <c r="AD692" s="4"/>
    </row>
    <row r="693" spans="1:30" hidden="1">
      <c r="A693" s="4">
        <v>495</v>
      </c>
      <c r="B693" s="8">
        <v>45111</v>
      </c>
      <c r="C693" s="4"/>
      <c r="D693" s="4" t="s">
        <v>42</v>
      </c>
      <c r="E693" s="8">
        <v>45153</v>
      </c>
      <c r="F693" s="4" t="s">
        <v>43</v>
      </c>
      <c r="G693" s="40" t="s">
        <v>20</v>
      </c>
      <c r="H693" s="4" t="s">
        <v>45</v>
      </c>
      <c r="I693" s="4" t="s">
        <v>87</v>
      </c>
      <c r="J693" s="10">
        <v>11.088978999999998</v>
      </c>
      <c r="K693" s="10">
        <f>8.48+2.652</f>
        <v>11.132000000000001</v>
      </c>
      <c r="L693" s="10">
        <f t="shared" si="56"/>
        <v>0</v>
      </c>
      <c r="M693" s="10">
        <f t="shared" si="57"/>
        <v>0</v>
      </c>
      <c r="N693" s="10"/>
      <c r="O693" s="10"/>
      <c r="P693" s="10"/>
      <c r="Q693" s="10"/>
      <c r="R693" s="10"/>
      <c r="S693" s="10"/>
      <c r="T693" s="10"/>
      <c r="U693" s="10"/>
      <c r="V693" s="4" t="s">
        <v>415</v>
      </c>
      <c r="W693" s="4" t="s">
        <v>37</v>
      </c>
      <c r="X693" s="8"/>
      <c r="Y693" s="4"/>
      <c r="Z693" s="4"/>
      <c r="AA693" s="8">
        <v>45154</v>
      </c>
      <c r="AB693" s="8"/>
      <c r="AC693" s="4"/>
      <c r="AD693" s="4"/>
    </row>
    <row r="694" spans="1:30" hidden="1">
      <c r="A694" s="4">
        <v>495</v>
      </c>
      <c r="B694" s="8">
        <v>45111</v>
      </c>
      <c r="C694" s="4"/>
      <c r="D694" s="4" t="s">
        <v>42</v>
      </c>
      <c r="E694" s="8">
        <v>45153</v>
      </c>
      <c r="F694" s="4" t="s">
        <v>43</v>
      </c>
      <c r="G694" s="15" t="s">
        <v>21</v>
      </c>
      <c r="H694" s="4" t="s">
        <v>52</v>
      </c>
      <c r="I694" s="4" t="s">
        <v>54</v>
      </c>
      <c r="J694" s="10">
        <v>3.5780639999999999</v>
      </c>
      <c r="K694" s="10">
        <f>1.789+1.986</f>
        <v>3.7749999999999999</v>
      </c>
      <c r="L694" s="10">
        <f t="shared" si="56"/>
        <v>0</v>
      </c>
      <c r="M694" s="10">
        <f t="shared" si="57"/>
        <v>0</v>
      </c>
      <c r="N694" s="10"/>
      <c r="O694" s="10"/>
      <c r="P694" s="10">
        <v>0</v>
      </c>
      <c r="Q694" s="10"/>
      <c r="R694" s="10"/>
      <c r="S694" s="10">
        <v>0</v>
      </c>
      <c r="T694" s="10"/>
      <c r="U694" s="10"/>
      <c r="V694" s="4" t="s">
        <v>415</v>
      </c>
      <c r="W694" s="4" t="s">
        <v>798</v>
      </c>
      <c r="X694" s="8">
        <v>45122</v>
      </c>
      <c r="Y694" s="4"/>
      <c r="Z694" s="4"/>
      <c r="AA694" s="8">
        <v>45124</v>
      </c>
      <c r="AB694" s="8"/>
      <c r="AC694" s="4"/>
      <c r="AD694" s="4"/>
    </row>
    <row r="695" spans="1:30" hidden="1">
      <c r="A695" s="4">
        <v>495</v>
      </c>
      <c r="B695" s="8">
        <v>45111</v>
      </c>
      <c r="C695" s="4"/>
      <c r="D695" s="4" t="s">
        <v>42</v>
      </c>
      <c r="E695" s="8">
        <v>45153</v>
      </c>
      <c r="F695" s="4" t="s">
        <v>43</v>
      </c>
      <c r="G695" s="15" t="s">
        <v>21</v>
      </c>
      <c r="H695" s="4" t="s">
        <v>52</v>
      </c>
      <c r="I695" s="4" t="s">
        <v>48</v>
      </c>
      <c r="J695" s="10">
        <v>1.9703000000000002</v>
      </c>
      <c r="K695" s="10">
        <v>1.97</v>
      </c>
      <c r="L695" s="10">
        <f t="shared" si="56"/>
        <v>0</v>
      </c>
      <c r="M695" s="10">
        <f t="shared" si="57"/>
        <v>0</v>
      </c>
      <c r="N695" s="10"/>
      <c r="O695" s="10"/>
      <c r="P695" s="10">
        <v>0</v>
      </c>
      <c r="Q695" s="10"/>
      <c r="R695" s="10"/>
      <c r="S695" s="10"/>
      <c r="T695" s="10"/>
      <c r="U695" s="10"/>
      <c r="V695" s="4" t="s">
        <v>415</v>
      </c>
      <c r="W695" s="4"/>
      <c r="X695" s="8"/>
      <c r="Y695" s="4"/>
      <c r="Z695" s="4"/>
      <c r="AA695" s="8">
        <v>45124</v>
      </c>
      <c r="AB695" s="8">
        <v>45124</v>
      </c>
      <c r="AC695" s="4"/>
      <c r="AD695" s="4"/>
    </row>
    <row r="696" spans="1:30" hidden="1">
      <c r="A696" s="4">
        <v>495</v>
      </c>
      <c r="B696" s="8">
        <v>45111</v>
      </c>
      <c r="C696" s="4"/>
      <c r="D696" s="4" t="s">
        <v>42</v>
      </c>
      <c r="E696" s="8">
        <v>45153</v>
      </c>
      <c r="F696" s="4" t="s">
        <v>43</v>
      </c>
      <c r="G696" s="15" t="s">
        <v>21</v>
      </c>
      <c r="H696" s="4" t="s">
        <v>52</v>
      </c>
      <c r="I696" s="4" t="s">
        <v>403</v>
      </c>
      <c r="J696" s="10">
        <v>7.9016000000000002</v>
      </c>
      <c r="K696" s="10">
        <v>7.9020000000000001</v>
      </c>
      <c r="L696" s="10">
        <f t="shared" si="56"/>
        <v>0</v>
      </c>
      <c r="M696" s="10">
        <f t="shared" si="57"/>
        <v>0</v>
      </c>
      <c r="N696" s="10"/>
      <c r="O696" s="10"/>
      <c r="P696" s="10">
        <v>0</v>
      </c>
      <c r="Q696" s="10"/>
      <c r="R696" s="10"/>
      <c r="S696" s="10"/>
      <c r="T696" s="10"/>
      <c r="U696" s="10"/>
      <c r="V696" s="4" t="s">
        <v>415</v>
      </c>
      <c r="W696" s="4"/>
      <c r="X696" s="8">
        <v>45127</v>
      </c>
      <c r="Y696" s="4"/>
      <c r="Z696" s="4"/>
      <c r="AA696" s="8">
        <v>45129</v>
      </c>
      <c r="AB696" s="8">
        <v>45129</v>
      </c>
      <c r="AC696" s="4"/>
      <c r="AD696" s="4"/>
    </row>
    <row r="697" spans="1:30" hidden="1">
      <c r="A697" s="4">
        <v>495</v>
      </c>
      <c r="B697" s="8">
        <v>45111</v>
      </c>
      <c r="C697" s="4"/>
      <c r="D697" s="4" t="s">
        <v>42</v>
      </c>
      <c r="E697" s="8">
        <v>45153</v>
      </c>
      <c r="F697" s="4" t="s">
        <v>43</v>
      </c>
      <c r="G697" s="15" t="s">
        <v>21</v>
      </c>
      <c r="H697" s="4" t="s">
        <v>52</v>
      </c>
      <c r="I697" s="4" t="s">
        <v>46</v>
      </c>
      <c r="J697" s="10">
        <v>3.10344</v>
      </c>
      <c r="K697" s="10">
        <v>3.17</v>
      </c>
      <c r="L697" s="10">
        <f t="shared" si="56"/>
        <v>0</v>
      </c>
      <c r="M697" s="10">
        <f t="shared" si="57"/>
        <v>0</v>
      </c>
      <c r="N697" s="10"/>
      <c r="O697" s="10"/>
      <c r="P697" s="10">
        <v>0</v>
      </c>
      <c r="Q697" s="10"/>
      <c r="R697" s="10"/>
      <c r="S697" s="10"/>
      <c r="T697" s="10"/>
      <c r="U697" s="10"/>
      <c r="V697" s="4" t="s">
        <v>415</v>
      </c>
      <c r="W697" s="4"/>
      <c r="X697" s="8">
        <v>45127</v>
      </c>
      <c r="Y697" s="4"/>
      <c r="Z697" s="4"/>
      <c r="AA697" s="8">
        <v>45129</v>
      </c>
      <c r="AB697" s="8">
        <v>45129</v>
      </c>
      <c r="AC697" s="4"/>
      <c r="AD697" s="4"/>
    </row>
    <row r="698" spans="1:30" hidden="1">
      <c r="A698" s="4">
        <v>495</v>
      </c>
      <c r="B698" s="8">
        <v>45111</v>
      </c>
      <c r="C698" s="4"/>
      <c r="D698" s="4" t="s">
        <v>42</v>
      </c>
      <c r="E698" s="8">
        <v>45153</v>
      </c>
      <c r="F698" s="4" t="s">
        <v>43</v>
      </c>
      <c r="G698" s="15" t="s">
        <v>21</v>
      </c>
      <c r="H698" s="4" t="s">
        <v>52</v>
      </c>
      <c r="I698" s="4" t="s">
        <v>49</v>
      </c>
      <c r="J698" s="10">
        <v>19.04448</v>
      </c>
      <c r="K698" s="10">
        <f>2.49+16.78</f>
        <v>19.270000000000003</v>
      </c>
      <c r="L698" s="10">
        <f t="shared" si="56"/>
        <v>0</v>
      </c>
      <c r="M698" s="10">
        <f t="shared" si="57"/>
        <v>0</v>
      </c>
      <c r="N698" s="10"/>
      <c r="O698" s="10"/>
      <c r="P698" s="10">
        <v>0</v>
      </c>
      <c r="Q698" s="10"/>
      <c r="R698" s="10"/>
      <c r="S698" s="10"/>
      <c r="T698" s="10"/>
      <c r="U698" s="10"/>
      <c r="V698" s="4" t="s">
        <v>415</v>
      </c>
      <c r="W698" s="4"/>
      <c r="X698" s="8">
        <v>45129</v>
      </c>
      <c r="Y698" s="4"/>
      <c r="Z698" s="4"/>
      <c r="AA698" s="8">
        <v>45131</v>
      </c>
      <c r="AB698" s="8">
        <v>45132</v>
      </c>
      <c r="AC698" s="4"/>
      <c r="AD698" s="4"/>
    </row>
    <row r="699" spans="1:30" hidden="1">
      <c r="A699" s="4">
        <v>495</v>
      </c>
      <c r="B699" s="8">
        <v>45111</v>
      </c>
      <c r="C699" s="4"/>
      <c r="D699" s="4" t="s">
        <v>42</v>
      </c>
      <c r="E699" s="8">
        <v>45153</v>
      </c>
      <c r="F699" s="4" t="s">
        <v>43</v>
      </c>
      <c r="G699" s="15" t="s">
        <v>21</v>
      </c>
      <c r="H699" s="4" t="s">
        <v>52</v>
      </c>
      <c r="I699" s="4" t="s">
        <v>50</v>
      </c>
      <c r="J699" s="10">
        <v>5.2743599999999997</v>
      </c>
      <c r="K699" s="10">
        <f>4.314+1.399</f>
        <v>5.7130000000000001</v>
      </c>
      <c r="L699" s="10">
        <f t="shared" si="56"/>
        <v>0</v>
      </c>
      <c r="M699" s="10">
        <f t="shared" si="57"/>
        <v>0</v>
      </c>
      <c r="N699" s="10"/>
      <c r="O699" s="10"/>
      <c r="P699" s="10"/>
      <c r="Q699" s="10"/>
      <c r="R699" s="10"/>
      <c r="S699" s="10">
        <v>0</v>
      </c>
      <c r="T699" s="10"/>
      <c r="U699" s="10"/>
      <c r="V699" s="4" t="s">
        <v>415</v>
      </c>
      <c r="W699" s="4" t="s">
        <v>798</v>
      </c>
      <c r="X699" s="8">
        <v>45129</v>
      </c>
      <c r="Y699" s="4"/>
      <c r="Z699" s="4"/>
      <c r="AA699" s="8">
        <v>45132</v>
      </c>
      <c r="AB699" s="8"/>
      <c r="AC699" s="4"/>
      <c r="AD699" s="4"/>
    </row>
    <row r="700" spans="1:30" hidden="1">
      <c r="A700" s="4">
        <v>495</v>
      </c>
      <c r="B700" s="8">
        <v>45111</v>
      </c>
      <c r="C700" s="4"/>
      <c r="D700" s="4" t="s">
        <v>42</v>
      </c>
      <c r="E700" s="8">
        <v>45153</v>
      </c>
      <c r="F700" s="4" t="s">
        <v>43</v>
      </c>
      <c r="G700" s="15" t="s">
        <v>21</v>
      </c>
      <c r="H700" s="4" t="s">
        <v>52</v>
      </c>
      <c r="I700" s="4" t="s">
        <v>407</v>
      </c>
      <c r="J700" s="10">
        <v>17.02008</v>
      </c>
      <c r="K700" s="10">
        <f>12.365+4.805</f>
        <v>17.170000000000002</v>
      </c>
      <c r="L700" s="10">
        <f t="shared" si="56"/>
        <v>0</v>
      </c>
      <c r="M700" s="10">
        <f t="shared" si="57"/>
        <v>0</v>
      </c>
      <c r="N700" s="10"/>
      <c r="O700" s="10"/>
      <c r="P700" s="10"/>
      <c r="Q700" s="10"/>
      <c r="R700" s="10"/>
      <c r="S700" s="10"/>
      <c r="T700" s="10"/>
      <c r="U700" s="10"/>
      <c r="V700" s="4" t="s">
        <v>415</v>
      </c>
      <c r="W700" s="4"/>
      <c r="X700" s="8"/>
      <c r="Y700" s="4"/>
      <c r="Z700" s="4"/>
      <c r="AA700" s="8">
        <v>45148</v>
      </c>
      <c r="AB700" s="8"/>
      <c r="AC700" s="4"/>
      <c r="AD700" s="4"/>
    </row>
    <row r="701" spans="1:30" hidden="1">
      <c r="A701" s="4">
        <v>563</v>
      </c>
      <c r="B701" s="8">
        <v>45135</v>
      </c>
      <c r="C701" s="4"/>
      <c r="D701" s="4" t="s">
        <v>42</v>
      </c>
      <c r="E701" s="8">
        <v>45145</v>
      </c>
      <c r="F701" s="4" t="s">
        <v>840</v>
      </c>
      <c r="G701" s="16" t="s">
        <v>44</v>
      </c>
      <c r="H701" s="4" t="s">
        <v>45</v>
      </c>
      <c r="I701" s="4" t="s">
        <v>50</v>
      </c>
      <c r="J701" s="10">
        <v>0.7056</v>
      </c>
      <c r="K701" s="10">
        <v>0.70399999999999996</v>
      </c>
      <c r="L701" s="10">
        <f t="shared" si="56"/>
        <v>0</v>
      </c>
      <c r="M701" s="10">
        <f t="shared" ref="M701:M718" si="58">SUM(N701:T701)</f>
        <v>0</v>
      </c>
      <c r="N701" s="10"/>
      <c r="O701" s="10"/>
      <c r="P701" s="10">
        <v>0</v>
      </c>
      <c r="Q701" s="10"/>
      <c r="R701" s="10"/>
      <c r="S701" s="10"/>
      <c r="T701" s="10"/>
      <c r="U701" s="10"/>
      <c r="V701" s="4" t="s">
        <v>841</v>
      </c>
      <c r="W701" s="4"/>
      <c r="X701" s="8">
        <v>45141</v>
      </c>
      <c r="Y701" s="4"/>
      <c r="Z701" s="4"/>
      <c r="AA701" s="8">
        <v>45176</v>
      </c>
      <c r="AB701" s="8">
        <v>45176</v>
      </c>
      <c r="AC701" s="4"/>
      <c r="AD701" s="4"/>
    </row>
    <row r="702" spans="1:30" hidden="1">
      <c r="A702" s="4">
        <v>563</v>
      </c>
      <c r="B702" s="8">
        <v>45135</v>
      </c>
      <c r="C702" s="4"/>
      <c r="D702" s="4" t="s">
        <v>42</v>
      </c>
      <c r="E702" s="8">
        <v>45145</v>
      </c>
      <c r="F702" s="4" t="s">
        <v>840</v>
      </c>
      <c r="G702" s="16" t="s">
        <v>44</v>
      </c>
      <c r="H702" s="4" t="s">
        <v>45</v>
      </c>
      <c r="I702" s="4" t="s">
        <v>435</v>
      </c>
      <c r="J702" s="10">
        <v>0.17100000000000001</v>
      </c>
      <c r="K702" s="10">
        <v>0.17100000000000001</v>
      </c>
      <c r="L702" s="10">
        <f t="shared" si="56"/>
        <v>0</v>
      </c>
      <c r="M702" s="10">
        <f t="shared" ref="M702" si="59">SUM(N702:T702)</f>
        <v>0</v>
      </c>
      <c r="N702" s="10"/>
      <c r="O702" s="10"/>
      <c r="P702" s="10">
        <v>0</v>
      </c>
      <c r="Q702" s="10"/>
      <c r="R702" s="10"/>
      <c r="S702" s="10"/>
      <c r="T702" s="10"/>
      <c r="U702" s="10"/>
      <c r="V702" s="4" t="s">
        <v>841</v>
      </c>
      <c r="W702" s="4"/>
      <c r="X702" s="8"/>
      <c r="Y702" s="4"/>
      <c r="Z702" s="4"/>
      <c r="AA702" s="8">
        <v>45177</v>
      </c>
      <c r="AB702" s="8">
        <v>45177</v>
      </c>
      <c r="AC702" s="4"/>
      <c r="AD702" s="4"/>
    </row>
    <row r="703" spans="1:30" hidden="1">
      <c r="A703" s="4">
        <v>563</v>
      </c>
      <c r="B703" s="8">
        <v>45135</v>
      </c>
      <c r="C703" s="4"/>
      <c r="D703" s="4" t="s">
        <v>42</v>
      </c>
      <c r="E703" s="8">
        <v>45145</v>
      </c>
      <c r="F703" s="4" t="s">
        <v>840</v>
      </c>
      <c r="G703" s="16" t="s">
        <v>44</v>
      </c>
      <c r="H703" s="4" t="s">
        <v>45</v>
      </c>
      <c r="I703" s="4" t="s">
        <v>405</v>
      </c>
      <c r="J703" s="10">
        <v>3.3099000000000003</v>
      </c>
      <c r="K703" s="10">
        <v>3.31</v>
      </c>
      <c r="L703" s="10">
        <f t="shared" si="56"/>
        <v>0</v>
      </c>
      <c r="M703" s="10">
        <f t="shared" si="58"/>
        <v>0</v>
      </c>
      <c r="N703" s="10"/>
      <c r="O703" s="10"/>
      <c r="P703" s="10">
        <v>0</v>
      </c>
      <c r="Q703" s="10"/>
      <c r="R703" s="10"/>
      <c r="S703" s="10"/>
      <c r="T703" s="10"/>
      <c r="U703" s="10"/>
      <c r="V703" s="4" t="s">
        <v>841</v>
      </c>
      <c r="W703" s="4" t="s">
        <v>1061</v>
      </c>
      <c r="X703" s="8">
        <v>45164</v>
      </c>
      <c r="Y703" s="4"/>
      <c r="Z703" s="4"/>
      <c r="AA703" s="8">
        <v>45176</v>
      </c>
      <c r="AB703" s="8">
        <v>45176</v>
      </c>
      <c r="AC703" s="4"/>
      <c r="AD703" s="4"/>
    </row>
    <row r="704" spans="1:30" hidden="1">
      <c r="A704" s="4">
        <v>563</v>
      </c>
      <c r="B704" s="8">
        <v>45135</v>
      </c>
      <c r="C704" s="4"/>
      <c r="D704" s="4" t="s">
        <v>42</v>
      </c>
      <c r="E704" s="8">
        <v>45145</v>
      </c>
      <c r="F704" s="4" t="s">
        <v>840</v>
      </c>
      <c r="G704" s="16" t="s">
        <v>44</v>
      </c>
      <c r="H704" s="4" t="s">
        <v>45</v>
      </c>
      <c r="I704" s="4" t="s">
        <v>49</v>
      </c>
      <c r="J704" s="10">
        <v>0.87120000000000009</v>
      </c>
      <c r="K704" s="10">
        <v>0.871</v>
      </c>
      <c r="L704" s="10">
        <f t="shared" si="56"/>
        <v>0</v>
      </c>
      <c r="M704" s="10">
        <f t="shared" si="58"/>
        <v>0</v>
      </c>
      <c r="N704" s="10"/>
      <c r="O704" s="10"/>
      <c r="P704" s="10">
        <v>0</v>
      </c>
      <c r="Q704" s="10"/>
      <c r="R704" s="10"/>
      <c r="S704" s="10"/>
      <c r="T704" s="10"/>
      <c r="U704" s="10"/>
      <c r="V704" s="4" t="s">
        <v>841</v>
      </c>
      <c r="W704" s="4"/>
      <c r="X704" s="8">
        <v>45141</v>
      </c>
      <c r="Y704" s="4"/>
      <c r="Z704" s="4"/>
      <c r="AA704" s="8">
        <v>45176</v>
      </c>
      <c r="AB704" s="8">
        <v>45176</v>
      </c>
      <c r="AC704" s="4"/>
      <c r="AD704" s="4"/>
    </row>
    <row r="705" spans="1:30" hidden="1">
      <c r="A705" s="4">
        <v>563</v>
      </c>
      <c r="B705" s="8">
        <v>45135</v>
      </c>
      <c r="C705" s="4"/>
      <c r="D705" s="4" t="s">
        <v>42</v>
      </c>
      <c r="E705" s="8">
        <v>45145</v>
      </c>
      <c r="F705" s="4" t="s">
        <v>840</v>
      </c>
      <c r="G705" s="16" t="s">
        <v>44</v>
      </c>
      <c r="H705" s="4" t="s">
        <v>45</v>
      </c>
      <c r="I705" s="4" t="s">
        <v>407</v>
      </c>
      <c r="J705" s="10">
        <v>3.5338240000000005</v>
      </c>
      <c r="K705" s="10">
        <v>3.5339999999999998</v>
      </c>
      <c r="L705" s="10">
        <f t="shared" si="56"/>
        <v>0</v>
      </c>
      <c r="M705" s="10">
        <f t="shared" si="58"/>
        <v>0</v>
      </c>
      <c r="N705" s="10"/>
      <c r="O705" s="10"/>
      <c r="P705" s="10">
        <v>0</v>
      </c>
      <c r="Q705" s="10"/>
      <c r="R705" s="10"/>
      <c r="S705" s="10"/>
      <c r="T705" s="10"/>
      <c r="U705" s="10"/>
      <c r="V705" s="4" t="s">
        <v>841</v>
      </c>
      <c r="W705" s="4"/>
      <c r="X705" s="8">
        <v>45144</v>
      </c>
      <c r="Y705" s="4"/>
      <c r="Z705" s="4"/>
      <c r="AA705" s="8">
        <v>45176</v>
      </c>
      <c r="AB705" s="8">
        <v>45176</v>
      </c>
      <c r="AC705" s="4"/>
      <c r="AD705" s="4"/>
    </row>
    <row r="706" spans="1:30" hidden="1">
      <c r="A706" s="4">
        <v>563</v>
      </c>
      <c r="B706" s="8">
        <v>45135</v>
      </c>
      <c r="C706" s="4"/>
      <c r="D706" s="4" t="s">
        <v>42</v>
      </c>
      <c r="E706" s="8">
        <v>45145</v>
      </c>
      <c r="F706" s="4" t="s">
        <v>840</v>
      </c>
      <c r="G706" s="16" t="s">
        <v>44</v>
      </c>
      <c r="H706" s="4" t="s">
        <v>45</v>
      </c>
      <c r="I706" s="4" t="s">
        <v>408</v>
      </c>
      <c r="J706" s="10">
        <v>0.38626000000000005</v>
      </c>
      <c r="K706" s="10">
        <v>0.38600000000000001</v>
      </c>
      <c r="L706" s="10">
        <f t="shared" si="56"/>
        <v>0</v>
      </c>
      <c r="M706" s="10">
        <f t="shared" si="58"/>
        <v>0</v>
      </c>
      <c r="N706" s="10"/>
      <c r="O706" s="10"/>
      <c r="P706" s="10">
        <v>0</v>
      </c>
      <c r="Q706" s="10"/>
      <c r="R706" s="10"/>
      <c r="S706" s="10"/>
      <c r="T706" s="10"/>
      <c r="U706" s="10"/>
      <c r="V706" s="4" t="s">
        <v>841</v>
      </c>
      <c r="W706" s="4"/>
      <c r="X706" s="8">
        <v>45143</v>
      </c>
      <c r="Y706" s="4"/>
      <c r="Z706" s="4"/>
      <c r="AA706" s="8">
        <v>45176</v>
      </c>
      <c r="AB706" s="8">
        <v>45176</v>
      </c>
      <c r="AC706" s="4"/>
      <c r="AD706" s="4"/>
    </row>
    <row r="707" spans="1:30" hidden="1">
      <c r="A707" s="4">
        <v>563</v>
      </c>
      <c r="B707" s="8">
        <v>45135</v>
      </c>
      <c r="C707" s="4"/>
      <c r="D707" s="4" t="s">
        <v>42</v>
      </c>
      <c r="E707" s="8">
        <v>45145</v>
      </c>
      <c r="F707" s="4" t="s">
        <v>840</v>
      </c>
      <c r="G707" s="16" t="s">
        <v>44</v>
      </c>
      <c r="H707" s="4" t="s">
        <v>45</v>
      </c>
      <c r="I707" s="4" t="s">
        <v>47</v>
      </c>
      <c r="J707" s="10">
        <v>0.21383999999999997</v>
      </c>
      <c r="K707" s="10">
        <v>0.214</v>
      </c>
      <c r="L707" s="10">
        <f t="shared" si="56"/>
        <v>0</v>
      </c>
      <c r="M707" s="10">
        <f t="shared" si="58"/>
        <v>0</v>
      </c>
      <c r="N707" s="10"/>
      <c r="O707" s="10"/>
      <c r="P707" s="10">
        <v>0</v>
      </c>
      <c r="Q707" s="10"/>
      <c r="R707" s="10"/>
      <c r="S707" s="10"/>
      <c r="T707" s="10"/>
      <c r="U707" s="10"/>
      <c r="V707" s="4" t="s">
        <v>841</v>
      </c>
      <c r="W707" s="4"/>
      <c r="X707" s="8"/>
      <c r="Y707" s="4"/>
      <c r="Z707" s="4"/>
      <c r="AA707" s="8">
        <v>45176</v>
      </c>
      <c r="AB707" s="8">
        <v>45176</v>
      </c>
      <c r="AC707" s="4"/>
      <c r="AD707" s="4"/>
    </row>
    <row r="708" spans="1:30" hidden="1">
      <c r="A708" s="4">
        <v>563</v>
      </c>
      <c r="B708" s="8">
        <v>45135</v>
      </c>
      <c r="C708" s="4"/>
      <c r="D708" s="4" t="s">
        <v>42</v>
      </c>
      <c r="E708" s="8">
        <v>45145</v>
      </c>
      <c r="F708" s="4" t="s">
        <v>840</v>
      </c>
      <c r="G708" s="16" t="s">
        <v>51</v>
      </c>
      <c r="H708" s="4" t="s">
        <v>52</v>
      </c>
      <c r="I708" s="4" t="s">
        <v>54</v>
      </c>
      <c r="J708" s="10">
        <v>0.22224000000000002</v>
      </c>
      <c r="K708" s="10">
        <v>0.29199999999999998</v>
      </c>
      <c r="L708" s="10">
        <f t="shared" si="56"/>
        <v>0</v>
      </c>
      <c r="M708" s="10">
        <f t="shared" si="58"/>
        <v>0</v>
      </c>
      <c r="N708" s="10">
        <v>0</v>
      </c>
      <c r="O708" s="10"/>
      <c r="P708" s="10"/>
      <c r="Q708" s="10"/>
      <c r="R708" s="10"/>
      <c r="S708" s="10"/>
      <c r="T708" s="10"/>
      <c r="U708" s="10"/>
      <c r="V708" s="4" t="s">
        <v>841</v>
      </c>
      <c r="W708" s="4"/>
      <c r="X708" s="8">
        <v>45162</v>
      </c>
      <c r="Y708" s="4"/>
      <c r="Z708" s="4"/>
      <c r="AA708" s="8">
        <v>45176</v>
      </c>
      <c r="AB708" s="8">
        <v>45176</v>
      </c>
      <c r="AC708" s="4"/>
      <c r="AD708" s="4"/>
    </row>
    <row r="709" spans="1:30" hidden="1">
      <c r="A709" s="4">
        <v>564</v>
      </c>
      <c r="B709" s="8">
        <v>45135</v>
      </c>
      <c r="C709" s="4"/>
      <c r="D709" s="4" t="s">
        <v>42</v>
      </c>
      <c r="E709" s="8">
        <v>45145</v>
      </c>
      <c r="F709" s="4" t="s">
        <v>43</v>
      </c>
      <c r="G709" s="16" t="s">
        <v>51</v>
      </c>
      <c r="H709" s="4" t="s">
        <v>52</v>
      </c>
      <c r="I709" s="4" t="s">
        <v>432</v>
      </c>
      <c r="J709" s="10">
        <v>1.0547249999999999</v>
      </c>
      <c r="K709" s="10">
        <v>1.0529999999999999</v>
      </c>
      <c r="L709" s="10">
        <f t="shared" si="56"/>
        <v>0</v>
      </c>
      <c r="M709" s="10">
        <f t="shared" si="58"/>
        <v>0</v>
      </c>
      <c r="N709" s="10"/>
      <c r="O709" s="10"/>
      <c r="P709" s="10">
        <v>0</v>
      </c>
      <c r="Q709" s="10"/>
      <c r="R709" s="10"/>
      <c r="S709" s="10"/>
      <c r="T709" s="10"/>
      <c r="U709" s="10"/>
      <c r="V709" s="4" t="s">
        <v>436</v>
      </c>
      <c r="W709" s="4"/>
      <c r="X709" s="8">
        <v>45146</v>
      </c>
      <c r="Y709" s="4"/>
      <c r="Z709" s="4"/>
      <c r="AA709" s="8">
        <v>45156</v>
      </c>
      <c r="AB709" s="8">
        <v>45156</v>
      </c>
      <c r="AC709" s="4"/>
      <c r="AD709" s="4"/>
    </row>
    <row r="710" spans="1:30" hidden="1">
      <c r="A710" s="4">
        <v>565</v>
      </c>
      <c r="B710" s="8">
        <v>45135</v>
      </c>
      <c r="C710" s="4"/>
      <c r="D710" s="4" t="s">
        <v>42</v>
      </c>
      <c r="E710" s="8">
        <v>45145</v>
      </c>
      <c r="F710" s="4" t="s">
        <v>43</v>
      </c>
      <c r="G710" s="40" t="s">
        <v>60</v>
      </c>
      <c r="H710" s="4" t="s">
        <v>45</v>
      </c>
      <c r="I710" s="4" t="s">
        <v>400</v>
      </c>
      <c r="J710" s="10">
        <v>0.52864</v>
      </c>
      <c r="K710" s="10">
        <v>0.58799999999999997</v>
      </c>
      <c r="L710" s="10">
        <f t="shared" si="56"/>
        <v>0</v>
      </c>
      <c r="M710" s="10">
        <f t="shared" si="58"/>
        <v>0</v>
      </c>
      <c r="N710" s="10"/>
      <c r="O710" s="10"/>
      <c r="P710" s="10"/>
      <c r="Q710" s="10"/>
      <c r="R710" s="10">
        <v>0</v>
      </c>
      <c r="S710" s="10"/>
      <c r="T710" s="10"/>
      <c r="U710" s="10"/>
      <c r="V710" s="4" t="s">
        <v>661</v>
      </c>
      <c r="W710" s="4"/>
      <c r="X710" s="8">
        <v>45164</v>
      </c>
      <c r="Y710" s="4"/>
      <c r="Z710" s="4"/>
      <c r="AA710" s="8">
        <v>45166</v>
      </c>
      <c r="AB710" s="8">
        <v>45166</v>
      </c>
      <c r="AC710" s="4"/>
      <c r="AD710" s="4"/>
    </row>
    <row r="711" spans="1:30" hidden="1">
      <c r="A711" s="4">
        <v>565</v>
      </c>
      <c r="B711" s="8">
        <v>45135</v>
      </c>
      <c r="C711" s="4"/>
      <c r="D711" s="4" t="s">
        <v>42</v>
      </c>
      <c r="E711" s="8">
        <v>45145</v>
      </c>
      <c r="F711" s="4" t="s">
        <v>43</v>
      </c>
      <c r="G711" s="40" t="s">
        <v>60</v>
      </c>
      <c r="H711" s="4" t="s">
        <v>45</v>
      </c>
      <c r="I711" s="4" t="s">
        <v>46</v>
      </c>
      <c r="J711" s="10">
        <v>0.13400000000000001</v>
      </c>
      <c r="K711" s="10">
        <v>0.14699999999999999</v>
      </c>
      <c r="L711" s="10">
        <f t="shared" si="56"/>
        <v>0</v>
      </c>
      <c r="M711" s="10">
        <f t="shared" si="58"/>
        <v>0</v>
      </c>
      <c r="N711" s="10"/>
      <c r="O711" s="10"/>
      <c r="P711" s="10"/>
      <c r="Q711" s="10"/>
      <c r="R711" s="10">
        <v>0</v>
      </c>
      <c r="S711" s="10"/>
      <c r="T711" s="10"/>
      <c r="U711" s="10"/>
      <c r="V711" s="4" t="s">
        <v>661</v>
      </c>
      <c r="W711" s="4"/>
      <c r="X711" s="8">
        <v>45164</v>
      </c>
      <c r="Y711" s="4"/>
      <c r="Z711" s="4"/>
      <c r="AA711" s="8">
        <v>45166</v>
      </c>
      <c r="AB711" s="8">
        <v>45166</v>
      </c>
      <c r="AC711" s="4"/>
      <c r="AD711" s="4"/>
    </row>
    <row r="712" spans="1:30" hidden="1">
      <c r="A712" s="4">
        <v>565</v>
      </c>
      <c r="B712" s="8">
        <v>45135</v>
      </c>
      <c r="C712" s="4"/>
      <c r="D712" s="4" t="s">
        <v>42</v>
      </c>
      <c r="E712" s="8">
        <v>45145</v>
      </c>
      <c r="F712" s="4" t="s">
        <v>43</v>
      </c>
      <c r="G712" s="40" t="s">
        <v>60</v>
      </c>
      <c r="H712" s="4" t="s">
        <v>45</v>
      </c>
      <c r="I712" s="4" t="s">
        <v>406</v>
      </c>
      <c r="J712" s="10">
        <v>0.15</v>
      </c>
      <c r="K712" s="10">
        <v>0.16500000000000001</v>
      </c>
      <c r="L712" s="10">
        <f t="shared" si="56"/>
        <v>0</v>
      </c>
      <c r="M712" s="10">
        <f t="shared" si="58"/>
        <v>0</v>
      </c>
      <c r="N712" s="10"/>
      <c r="O712" s="10"/>
      <c r="P712" s="10"/>
      <c r="Q712" s="10"/>
      <c r="R712" s="10">
        <v>0</v>
      </c>
      <c r="S712" s="10"/>
      <c r="T712" s="10"/>
      <c r="U712" s="10"/>
      <c r="V712" s="4" t="s">
        <v>661</v>
      </c>
      <c r="W712" s="4"/>
      <c r="X712" s="8">
        <v>45164</v>
      </c>
      <c r="Y712" s="4"/>
      <c r="Z712" s="4"/>
      <c r="AA712" s="8">
        <v>45166</v>
      </c>
      <c r="AB712" s="8">
        <v>45166</v>
      </c>
      <c r="AC712" s="4"/>
      <c r="AD712" s="4"/>
    </row>
    <row r="713" spans="1:30" hidden="1">
      <c r="A713" s="4">
        <v>565</v>
      </c>
      <c r="B713" s="8">
        <v>45135</v>
      </c>
      <c r="C713" s="4"/>
      <c r="D713" s="4" t="s">
        <v>42</v>
      </c>
      <c r="E713" s="8">
        <v>45145</v>
      </c>
      <c r="F713" s="4" t="s">
        <v>43</v>
      </c>
      <c r="G713" s="40" t="s">
        <v>60</v>
      </c>
      <c r="H713" s="4" t="s">
        <v>45</v>
      </c>
      <c r="I713" s="4" t="s">
        <v>49</v>
      </c>
      <c r="J713" s="10">
        <v>0.25480000000000003</v>
      </c>
      <c r="K713" s="10">
        <v>0.255</v>
      </c>
      <c r="L713" s="10">
        <f t="shared" si="56"/>
        <v>0</v>
      </c>
      <c r="M713" s="10">
        <f t="shared" si="58"/>
        <v>0</v>
      </c>
      <c r="N713" s="10"/>
      <c r="O713" s="10"/>
      <c r="P713" s="10">
        <v>0</v>
      </c>
      <c r="Q713" s="10"/>
      <c r="R713" s="10"/>
      <c r="S713" s="10"/>
      <c r="T713" s="10"/>
      <c r="U713" s="10"/>
      <c r="V713" s="4" t="s">
        <v>661</v>
      </c>
      <c r="W713" s="4"/>
      <c r="X713" s="8">
        <v>45139</v>
      </c>
      <c r="Y713" s="4"/>
      <c r="Z713" s="4"/>
      <c r="AA713" s="8"/>
      <c r="AB713" s="8"/>
      <c r="AC713" s="4"/>
      <c r="AD713" s="4"/>
    </row>
    <row r="714" spans="1:30" hidden="1">
      <c r="A714" s="4">
        <v>565</v>
      </c>
      <c r="B714" s="8">
        <v>45135</v>
      </c>
      <c r="C714" s="4"/>
      <c r="D714" s="4" t="s">
        <v>42</v>
      </c>
      <c r="E714" s="8">
        <v>45145</v>
      </c>
      <c r="F714" s="4" t="s">
        <v>43</v>
      </c>
      <c r="G714" s="40" t="s">
        <v>60</v>
      </c>
      <c r="H714" s="4" t="s">
        <v>45</v>
      </c>
      <c r="I714" s="4" t="s">
        <v>588</v>
      </c>
      <c r="J714" s="10">
        <v>1.32</v>
      </c>
      <c r="K714" s="10">
        <v>1.32</v>
      </c>
      <c r="L714" s="10">
        <f t="shared" si="56"/>
        <v>0</v>
      </c>
      <c r="M714" s="10">
        <f t="shared" si="58"/>
        <v>0</v>
      </c>
      <c r="N714" s="10"/>
      <c r="O714" s="10"/>
      <c r="P714" s="10"/>
      <c r="Q714" s="10"/>
      <c r="R714" s="10">
        <f>1.32-1.32</f>
        <v>0</v>
      </c>
      <c r="S714" s="10"/>
      <c r="T714" s="10"/>
      <c r="U714" s="10"/>
      <c r="V714" s="4" t="s">
        <v>661</v>
      </c>
      <c r="W714" s="4" t="s">
        <v>952</v>
      </c>
      <c r="X714" s="8">
        <v>45139</v>
      </c>
      <c r="Y714" s="4"/>
      <c r="Z714" s="4"/>
      <c r="AA714" s="8"/>
      <c r="AB714" s="8"/>
      <c r="AC714" s="4"/>
      <c r="AD714" s="4"/>
    </row>
    <row r="715" spans="1:30" hidden="1">
      <c r="A715" s="4">
        <v>565</v>
      </c>
      <c r="B715" s="8">
        <v>45135</v>
      </c>
      <c r="C715" s="4"/>
      <c r="D715" s="4" t="s">
        <v>42</v>
      </c>
      <c r="E715" s="8">
        <v>45145</v>
      </c>
      <c r="F715" s="4" t="s">
        <v>43</v>
      </c>
      <c r="G715" s="40" t="s">
        <v>60</v>
      </c>
      <c r="H715" s="4" t="s">
        <v>45</v>
      </c>
      <c r="I715" s="4" t="s">
        <v>409</v>
      </c>
      <c r="J715" s="10">
        <v>0.70799999999999996</v>
      </c>
      <c r="K715" s="10">
        <v>0.70799999999999996</v>
      </c>
      <c r="L715" s="10">
        <f t="shared" si="56"/>
        <v>0</v>
      </c>
      <c r="M715" s="10">
        <f t="shared" si="58"/>
        <v>0</v>
      </c>
      <c r="N715" s="10"/>
      <c r="O715" s="10"/>
      <c r="P715" s="10">
        <f>0.708-0.708</f>
        <v>0</v>
      </c>
      <c r="Q715" s="10"/>
      <c r="R715" s="10"/>
      <c r="S715" s="10"/>
      <c r="T715" s="10"/>
      <c r="U715" s="10"/>
      <c r="V715" s="4" t="s">
        <v>661</v>
      </c>
      <c r="W715" s="4"/>
      <c r="X715" s="8">
        <v>45142</v>
      </c>
      <c r="Y715" s="4"/>
      <c r="Z715" s="4"/>
      <c r="AA715" s="8"/>
      <c r="AB715" s="8"/>
      <c r="AC715" s="4"/>
      <c r="AD715" s="4"/>
    </row>
    <row r="716" spans="1:30" hidden="1">
      <c r="A716" s="4">
        <v>565</v>
      </c>
      <c r="B716" s="8">
        <v>45135</v>
      </c>
      <c r="C716" s="4"/>
      <c r="D716" s="4" t="s">
        <v>42</v>
      </c>
      <c r="E716" s="8">
        <v>45145</v>
      </c>
      <c r="F716" s="4" t="s">
        <v>43</v>
      </c>
      <c r="G716" s="40" t="s">
        <v>60</v>
      </c>
      <c r="H716" s="4" t="s">
        <v>45</v>
      </c>
      <c r="I716" s="4" t="s">
        <v>432</v>
      </c>
      <c r="J716" s="10">
        <v>6.8500000000000005E-2</v>
      </c>
      <c r="K716" s="10">
        <v>8.2000000000000003E-2</v>
      </c>
      <c r="L716" s="10">
        <f t="shared" si="56"/>
        <v>0</v>
      </c>
      <c r="M716" s="10">
        <f t="shared" si="58"/>
        <v>0</v>
      </c>
      <c r="N716" s="10"/>
      <c r="O716" s="10"/>
      <c r="P716" s="10"/>
      <c r="Q716" s="10"/>
      <c r="R716" s="10"/>
      <c r="S716" s="10"/>
      <c r="T716" s="10"/>
      <c r="U716" s="10"/>
      <c r="V716" s="4" t="s">
        <v>661</v>
      </c>
      <c r="W716" s="4"/>
      <c r="X716" s="8">
        <v>45145</v>
      </c>
      <c r="Y716" s="4"/>
      <c r="Z716" s="4"/>
      <c r="AA716" s="8">
        <v>45163</v>
      </c>
      <c r="AB716" s="8">
        <v>45163</v>
      </c>
      <c r="AC716" s="4"/>
      <c r="AD716" s="4"/>
    </row>
    <row r="717" spans="1:30" hidden="1">
      <c r="A717" s="4">
        <v>565</v>
      </c>
      <c r="B717" s="8">
        <v>45135</v>
      </c>
      <c r="C717" s="4"/>
      <c r="D717" s="4" t="s">
        <v>42</v>
      </c>
      <c r="E717" s="8">
        <v>45145</v>
      </c>
      <c r="F717" s="4" t="s">
        <v>43</v>
      </c>
      <c r="G717" s="40" t="s">
        <v>728</v>
      </c>
      <c r="H717" s="4" t="s">
        <v>52</v>
      </c>
      <c r="I717" s="4" t="s">
        <v>46</v>
      </c>
      <c r="J717" s="10">
        <v>0.3216</v>
      </c>
      <c r="K717" s="10">
        <v>0.33900000000000002</v>
      </c>
      <c r="L717" s="10">
        <f t="shared" si="56"/>
        <v>0</v>
      </c>
      <c r="M717" s="10">
        <f t="shared" si="58"/>
        <v>0</v>
      </c>
      <c r="N717" s="10"/>
      <c r="O717" s="10"/>
      <c r="P717" s="10"/>
      <c r="Q717" s="10"/>
      <c r="R717" s="10">
        <v>0</v>
      </c>
      <c r="S717" s="10"/>
      <c r="T717" s="10"/>
      <c r="U717" s="10"/>
      <c r="V717" s="4" t="s">
        <v>661</v>
      </c>
      <c r="W717" s="4"/>
      <c r="X717" s="8">
        <v>45164</v>
      </c>
      <c r="Y717" s="4"/>
      <c r="Z717" s="4"/>
      <c r="AA717" s="8">
        <v>45166</v>
      </c>
      <c r="AB717" s="8">
        <v>45166</v>
      </c>
      <c r="AC717" s="4"/>
      <c r="AD717" s="4"/>
    </row>
    <row r="718" spans="1:30" hidden="1">
      <c r="A718" s="4">
        <v>567</v>
      </c>
      <c r="B718" s="8">
        <v>45135</v>
      </c>
      <c r="C718" s="4"/>
      <c r="D718" s="4"/>
      <c r="E718" s="8">
        <v>45145</v>
      </c>
      <c r="F718" s="4" t="s">
        <v>43</v>
      </c>
      <c r="G718" s="39" t="s">
        <v>874</v>
      </c>
      <c r="H718" s="4" t="s">
        <v>45</v>
      </c>
      <c r="I718" s="4" t="s">
        <v>434</v>
      </c>
      <c r="J718" s="10">
        <v>0.26424000000000003</v>
      </c>
      <c r="K718" s="10">
        <v>0.26400000000000001</v>
      </c>
      <c r="L718" s="10">
        <f t="shared" si="56"/>
        <v>0</v>
      </c>
      <c r="M718" s="10">
        <f t="shared" si="58"/>
        <v>0</v>
      </c>
      <c r="N718" s="10"/>
      <c r="O718" s="10">
        <v>0</v>
      </c>
      <c r="P718" s="10"/>
      <c r="Q718" s="10"/>
      <c r="R718" s="10"/>
      <c r="S718" s="10"/>
      <c r="T718" s="10"/>
      <c r="U718" s="10"/>
      <c r="V718" s="4" t="s">
        <v>411</v>
      </c>
      <c r="W718" s="4" t="s">
        <v>1077</v>
      </c>
      <c r="X718" s="8">
        <v>45148</v>
      </c>
      <c r="Y718" s="4"/>
      <c r="Z718" s="4"/>
      <c r="AA718" s="8">
        <v>45179</v>
      </c>
      <c r="AB718" s="8">
        <v>45179</v>
      </c>
      <c r="AC718" s="4"/>
      <c r="AD718" s="4"/>
    </row>
    <row r="719" spans="1:30" hidden="1">
      <c r="A719" s="4">
        <v>567</v>
      </c>
      <c r="B719" s="8">
        <v>45135</v>
      </c>
      <c r="C719" s="4"/>
      <c r="D719" s="4"/>
      <c r="E719" s="8">
        <v>45145</v>
      </c>
      <c r="F719" s="4" t="s">
        <v>43</v>
      </c>
      <c r="G719" s="39" t="s">
        <v>874</v>
      </c>
      <c r="H719" s="4" t="s">
        <v>45</v>
      </c>
      <c r="I719" s="4" t="s">
        <v>89</v>
      </c>
      <c r="J719" s="10">
        <v>0.3</v>
      </c>
      <c r="K719" s="10">
        <v>0.29899999999999999</v>
      </c>
      <c r="L719" s="10">
        <f t="shared" si="56"/>
        <v>0</v>
      </c>
      <c r="M719" s="10">
        <f t="shared" ref="M719" si="60">SUM(N719:T719)</f>
        <v>0</v>
      </c>
      <c r="N719" s="10"/>
      <c r="O719" s="10"/>
      <c r="P719" s="10">
        <v>0</v>
      </c>
      <c r="Q719" s="10"/>
      <c r="R719" s="10"/>
      <c r="S719" s="10"/>
      <c r="T719" s="10"/>
      <c r="U719" s="10"/>
      <c r="V719" s="4" t="s">
        <v>411</v>
      </c>
      <c r="W719" s="4" t="s">
        <v>37</v>
      </c>
      <c r="X719" s="8">
        <v>45176</v>
      </c>
      <c r="Y719" s="4"/>
      <c r="Z719" s="4"/>
      <c r="AA719" s="8"/>
      <c r="AB719" s="8"/>
      <c r="AC719" s="4"/>
      <c r="AD719" s="4"/>
    </row>
    <row r="720" spans="1:30" hidden="1">
      <c r="A720" s="4">
        <v>619</v>
      </c>
      <c r="B720" s="8">
        <v>45135</v>
      </c>
      <c r="C720" s="4"/>
      <c r="D720" s="4" t="s">
        <v>42</v>
      </c>
      <c r="E720" s="8">
        <v>45145</v>
      </c>
      <c r="F720" s="4" t="s">
        <v>43</v>
      </c>
      <c r="G720" s="40" t="s">
        <v>60</v>
      </c>
      <c r="H720" s="4" t="s">
        <v>45</v>
      </c>
      <c r="I720" s="4" t="s">
        <v>57</v>
      </c>
      <c r="J720" s="10">
        <v>8.6129999999999995</v>
      </c>
      <c r="K720" s="10">
        <f>3.735+3.65+1.229</f>
        <v>8.6140000000000008</v>
      </c>
      <c r="L720" s="10">
        <f t="shared" si="56"/>
        <v>0</v>
      </c>
      <c r="M720" s="10">
        <f t="shared" ref="M720:M730" si="61">SUM(N720:T720)</f>
        <v>0</v>
      </c>
      <c r="N720" s="10"/>
      <c r="O720" s="10"/>
      <c r="P720" s="10">
        <v>0</v>
      </c>
      <c r="Q720" s="10"/>
      <c r="R720" s="10"/>
      <c r="S720" s="10"/>
      <c r="T720" s="10"/>
      <c r="U720" s="10"/>
      <c r="V720" s="4" t="s">
        <v>913</v>
      </c>
      <c r="W720" s="4"/>
      <c r="X720" s="8">
        <v>45162</v>
      </c>
      <c r="Y720" s="4"/>
      <c r="Z720" s="4"/>
      <c r="AA720" s="8">
        <v>45167</v>
      </c>
      <c r="AB720" s="8">
        <v>45169</v>
      </c>
      <c r="AC720" s="4"/>
      <c r="AD720" s="4"/>
    </row>
    <row r="721" spans="1:30" hidden="1">
      <c r="A721" s="4">
        <v>619</v>
      </c>
      <c r="B721" s="8">
        <v>45135</v>
      </c>
      <c r="C721" s="4"/>
      <c r="D721" s="4" t="s">
        <v>42</v>
      </c>
      <c r="E721" s="8">
        <v>45145</v>
      </c>
      <c r="F721" s="4" t="s">
        <v>43</v>
      </c>
      <c r="G721" s="40" t="s">
        <v>60</v>
      </c>
      <c r="H721" s="4" t="s">
        <v>45</v>
      </c>
      <c r="I721" s="4" t="s">
        <v>48</v>
      </c>
      <c r="J721" s="10">
        <v>32.109180000000002</v>
      </c>
      <c r="K721" s="10">
        <f>14.259+6.294+6.194+5.547</f>
        <v>32.293999999999997</v>
      </c>
      <c r="L721" s="10">
        <f t="shared" si="56"/>
        <v>0</v>
      </c>
      <c r="M721" s="10">
        <f t="shared" si="61"/>
        <v>0</v>
      </c>
      <c r="N721" s="10"/>
      <c r="O721" s="10"/>
      <c r="P721" s="10">
        <v>0</v>
      </c>
      <c r="Q721" s="10"/>
      <c r="R721" s="10"/>
      <c r="S721" s="10"/>
      <c r="T721" s="10"/>
      <c r="U721" s="10"/>
      <c r="V721" s="4" t="s">
        <v>913</v>
      </c>
      <c r="W721" s="4"/>
      <c r="X721" s="8">
        <v>45162</v>
      </c>
      <c r="Y721" s="4"/>
      <c r="Z721" s="4"/>
      <c r="AA721" s="8">
        <v>45164</v>
      </c>
      <c r="AB721" s="8">
        <v>45169</v>
      </c>
      <c r="AC721" s="4"/>
      <c r="AD721" s="4"/>
    </row>
    <row r="722" spans="1:30" hidden="1">
      <c r="A722" s="4">
        <v>619</v>
      </c>
      <c r="B722" s="8">
        <v>45135</v>
      </c>
      <c r="C722" s="4"/>
      <c r="D722" s="4" t="s">
        <v>42</v>
      </c>
      <c r="E722" s="8">
        <v>45145</v>
      </c>
      <c r="F722" s="4" t="s">
        <v>43</v>
      </c>
      <c r="G722" s="40" t="s">
        <v>60</v>
      </c>
      <c r="H722" s="4" t="s">
        <v>45</v>
      </c>
      <c r="I722" s="4" t="s">
        <v>516</v>
      </c>
      <c r="J722" s="10">
        <v>1.8604799999999999</v>
      </c>
      <c r="K722" s="10">
        <v>1.9279999999999999</v>
      </c>
      <c r="L722" s="10">
        <f t="shared" si="56"/>
        <v>0</v>
      </c>
      <c r="M722" s="10">
        <f t="shared" ref="M722" si="62">SUM(N722:T722)</f>
        <v>0</v>
      </c>
      <c r="N722" s="10"/>
      <c r="O722" s="10"/>
      <c r="P722" s="10">
        <v>0</v>
      </c>
      <c r="Q722" s="10"/>
      <c r="R722" s="10"/>
      <c r="S722" s="10"/>
      <c r="T722" s="10"/>
      <c r="U722" s="10"/>
      <c r="V722" s="4" t="s">
        <v>913</v>
      </c>
      <c r="W722" s="4"/>
      <c r="X722" s="8">
        <v>45162</v>
      </c>
      <c r="Y722" s="4"/>
      <c r="Z722" s="4"/>
      <c r="AA722" s="8"/>
      <c r="AB722" s="8"/>
      <c r="AC722" s="4"/>
      <c r="AD722" s="4"/>
    </row>
    <row r="723" spans="1:30" hidden="1">
      <c r="A723" s="4">
        <v>619</v>
      </c>
      <c r="B723" s="8">
        <v>45135</v>
      </c>
      <c r="C723" s="4"/>
      <c r="D723" s="4" t="s">
        <v>42</v>
      </c>
      <c r="E723" s="8">
        <v>45145</v>
      </c>
      <c r="F723" s="4" t="s">
        <v>43</v>
      </c>
      <c r="G723" s="40" t="s">
        <v>60</v>
      </c>
      <c r="H723" s="4" t="s">
        <v>45</v>
      </c>
      <c r="I723" s="4" t="s">
        <v>403</v>
      </c>
      <c r="J723" s="10">
        <v>64.188879999999997</v>
      </c>
      <c r="K723" s="10">
        <f>12.407+11.877+22.788+9.243+7.879</f>
        <v>64.194000000000003</v>
      </c>
      <c r="L723" s="10">
        <f t="shared" si="56"/>
        <v>0</v>
      </c>
      <c r="M723" s="10">
        <f t="shared" si="61"/>
        <v>0</v>
      </c>
      <c r="N723" s="10"/>
      <c r="O723" s="10"/>
      <c r="P723" s="10">
        <v>0</v>
      </c>
      <c r="Q723" s="10"/>
      <c r="R723" s="10"/>
      <c r="S723" s="10"/>
      <c r="T723" s="10"/>
      <c r="U723" s="10"/>
      <c r="V723" s="4" t="s">
        <v>913</v>
      </c>
      <c r="W723" s="4" t="s">
        <v>951</v>
      </c>
      <c r="X723" s="8">
        <v>45163</v>
      </c>
      <c r="Y723" s="4"/>
      <c r="Z723" s="4"/>
      <c r="AA723" s="8">
        <v>45164</v>
      </c>
      <c r="AB723" s="8">
        <v>45167</v>
      </c>
      <c r="AC723" s="4"/>
      <c r="AD723" s="4"/>
    </row>
    <row r="724" spans="1:30" hidden="1">
      <c r="A724" s="4">
        <v>619</v>
      </c>
      <c r="B724" s="8">
        <v>45135</v>
      </c>
      <c r="C724" s="4"/>
      <c r="D724" s="4" t="s">
        <v>42</v>
      </c>
      <c r="E724" s="8">
        <v>45145</v>
      </c>
      <c r="F724" s="4" t="s">
        <v>43</v>
      </c>
      <c r="G724" s="40" t="s">
        <v>60</v>
      </c>
      <c r="H724" s="4" t="s">
        <v>45</v>
      </c>
      <c r="I724" s="4" t="s">
        <v>46</v>
      </c>
      <c r="J724" s="10">
        <v>2.2190399999999997</v>
      </c>
      <c r="K724" s="10">
        <v>2.2189999999999999</v>
      </c>
      <c r="L724" s="10">
        <f t="shared" si="56"/>
        <v>0</v>
      </c>
      <c r="M724" s="10">
        <f t="shared" si="61"/>
        <v>0</v>
      </c>
      <c r="N724" s="10"/>
      <c r="O724" s="10"/>
      <c r="P724" s="10">
        <v>0</v>
      </c>
      <c r="Q724" s="10"/>
      <c r="R724" s="10"/>
      <c r="S724" s="10"/>
      <c r="T724" s="10"/>
      <c r="U724" s="10"/>
      <c r="V724" s="4" t="s">
        <v>913</v>
      </c>
      <c r="W724" s="4"/>
      <c r="X724" s="8">
        <v>45164</v>
      </c>
      <c r="Y724" s="4"/>
      <c r="Z724" s="4"/>
      <c r="AA724" s="8"/>
      <c r="AB724" s="8"/>
      <c r="AC724" s="4"/>
      <c r="AD724" s="4"/>
    </row>
    <row r="725" spans="1:30" hidden="1">
      <c r="A725" s="4">
        <v>619</v>
      </c>
      <c r="B725" s="8">
        <v>45135</v>
      </c>
      <c r="C725" s="4"/>
      <c r="D725" s="4" t="s">
        <v>42</v>
      </c>
      <c r="E725" s="8">
        <v>45145</v>
      </c>
      <c r="F725" s="4" t="s">
        <v>43</v>
      </c>
      <c r="G725" s="40" t="s">
        <v>60</v>
      </c>
      <c r="H725" s="4" t="s">
        <v>45</v>
      </c>
      <c r="I725" s="4" t="s">
        <v>49</v>
      </c>
      <c r="J725" s="10">
        <f>9.07816-4.145</f>
        <v>4.9331600000000009</v>
      </c>
      <c r="K725" s="10">
        <f>4.444+0.488</f>
        <v>4.9320000000000004</v>
      </c>
      <c r="L725" s="10">
        <f t="shared" si="56"/>
        <v>0</v>
      </c>
      <c r="M725" s="10">
        <f t="shared" si="61"/>
        <v>0</v>
      </c>
      <c r="N725" s="10"/>
      <c r="O725" s="10"/>
      <c r="P725" s="10">
        <v>0</v>
      </c>
      <c r="Q725" s="10"/>
      <c r="R725" s="10"/>
      <c r="S725" s="10"/>
      <c r="T725" s="10"/>
      <c r="U725" s="10"/>
      <c r="V725" s="4" t="s">
        <v>913</v>
      </c>
      <c r="W725" s="4"/>
      <c r="X725" s="8">
        <v>45139</v>
      </c>
      <c r="Y725" s="4"/>
      <c r="Z725" s="4"/>
      <c r="AA725" s="8">
        <v>45169</v>
      </c>
      <c r="AB725" s="8">
        <v>45169</v>
      </c>
      <c r="AC725" s="4"/>
      <c r="AD725" s="4"/>
    </row>
    <row r="726" spans="1:30" hidden="1">
      <c r="A726" s="4">
        <v>619</v>
      </c>
      <c r="B726" s="8">
        <v>45135</v>
      </c>
      <c r="C726" s="4"/>
      <c r="D726" s="4" t="s">
        <v>42</v>
      </c>
      <c r="E726" s="8">
        <v>45145</v>
      </c>
      <c r="F726" s="4" t="s">
        <v>43</v>
      </c>
      <c r="G726" s="40" t="s">
        <v>60</v>
      </c>
      <c r="H726" s="4" t="s">
        <v>45</v>
      </c>
      <c r="I726" s="4" t="s">
        <v>50</v>
      </c>
      <c r="J726" s="10">
        <f>43.03866-27.605</f>
        <v>15.43366</v>
      </c>
      <c r="K726" s="10">
        <f>3.096+5.705+3.096+2.699+0.911</f>
        <v>15.507</v>
      </c>
      <c r="L726" s="10">
        <f t="shared" si="56"/>
        <v>0</v>
      </c>
      <c r="M726" s="10">
        <f t="shared" si="61"/>
        <v>0</v>
      </c>
      <c r="N726" s="10"/>
      <c r="O726" s="10"/>
      <c r="P726" s="10">
        <v>0</v>
      </c>
      <c r="Q726" s="10"/>
      <c r="R726" s="10"/>
      <c r="S726" s="10"/>
      <c r="T726" s="10"/>
      <c r="U726" s="10"/>
      <c r="V726" s="4" t="s">
        <v>913</v>
      </c>
      <c r="W726" s="4" t="s">
        <v>1019</v>
      </c>
      <c r="X726" s="8">
        <v>45139</v>
      </c>
      <c r="Y726" s="4"/>
      <c r="Z726" s="4"/>
      <c r="AA726" s="8">
        <v>45179</v>
      </c>
      <c r="AB726" s="8">
        <v>45179</v>
      </c>
      <c r="AC726" s="4"/>
      <c r="AD726" s="4"/>
    </row>
    <row r="727" spans="1:30" hidden="1">
      <c r="A727" s="4">
        <v>619</v>
      </c>
      <c r="B727" s="8">
        <v>45135</v>
      </c>
      <c r="C727" s="4"/>
      <c r="D727" s="4" t="s">
        <v>42</v>
      </c>
      <c r="E727" s="8">
        <v>45145</v>
      </c>
      <c r="F727" s="4" t="s">
        <v>43</v>
      </c>
      <c r="G727" s="40" t="s">
        <v>60</v>
      </c>
      <c r="H727" s="4" t="s">
        <v>45</v>
      </c>
      <c r="I727" s="4" t="s">
        <v>409</v>
      </c>
      <c r="J727" s="10">
        <v>108.69688000000001</v>
      </c>
      <c r="K727" s="10">
        <f>9.532+33.168+11.948+12.747+32.993+8.309</f>
        <v>108.697</v>
      </c>
      <c r="L727" s="10">
        <f t="shared" si="56"/>
        <v>0</v>
      </c>
      <c r="M727" s="10">
        <f t="shared" si="61"/>
        <v>0</v>
      </c>
      <c r="N727" s="10"/>
      <c r="O727" s="10"/>
      <c r="P727" s="10">
        <v>0</v>
      </c>
      <c r="Q727" s="10"/>
      <c r="R727" s="10">
        <v>0</v>
      </c>
      <c r="S727" s="10"/>
      <c r="T727" s="10"/>
      <c r="U727" s="10"/>
      <c r="V727" s="4" t="s">
        <v>913</v>
      </c>
      <c r="W727" s="4" t="s">
        <v>967</v>
      </c>
      <c r="X727" s="8">
        <v>45142</v>
      </c>
      <c r="Y727" s="4"/>
      <c r="Z727" s="4"/>
      <c r="AA727" s="8">
        <v>45145</v>
      </c>
      <c r="AB727" s="8">
        <v>45158</v>
      </c>
      <c r="AC727" s="4"/>
      <c r="AD727" s="4"/>
    </row>
    <row r="728" spans="1:30" hidden="1">
      <c r="A728" s="4">
        <v>619</v>
      </c>
      <c r="B728" s="8">
        <v>45135</v>
      </c>
      <c r="C728" s="4"/>
      <c r="D728" s="4" t="s">
        <v>42</v>
      </c>
      <c r="E728" s="8">
        <v>45145</v>
      </c>
      <c r="F728" s="4" t="s">
        <v>43</v>
      </c>
      <c r="G728" s="40" t="s">
        <v>60</v>
      </c>
      <c r="H728" s="4" t="s">
        <v>45</v>
      </c>
      <c r="I728" s="4" t="s">
        <v>517</v>
      </c>
      <c r="J728" s="10">
        <v>188.13795000000002</v>
      </c>
      <c r="K728" s="10">
        <f>4.865+32.727+32.887+4.213+32.068+32.727+25.357+10.598+12.72</f>
        <v>188.16200000000001</v>
      </c>
      <c r="L728" s="10">
        <f t="shared" si="56"/>
        <v>0</v>
      </c>
      <c r="M728" s="10">
        <f t="shared" si="61"/>
        <v>0</v>
      </c>
      <c r="N728" s="10"/>
      <c r="O728" s="10"/>
      <c r="P728" s="10">
        <v>0</v>
      </c>
      <c r="Q728" s="10"/>
      <c r="R728" s="10"/>
      <c r="S728" s="10"/>
      <c r="T728" s="10"/>
      <c r="U728" s="10"/>
      <c r="V728" s="4" t="s">
        <v>1041</v>
      </c>
      <c r="W728" s="4"/>
      <c r="X728" s="8"/>
      <c r="Y728" s="4"/>
      <c r="Z728" s="4"/>
      <c r="AA728" s="8">
        <v>45161</v>
      </c>
      <c r="AB728" s="8">
        <v>45177</v>
      </c>
      <c r="AC728" s="4"/>
      <c r="AD728" s="4"/>
    </row>
    <row r="729" spans="1:30" hidden="1">
      <c r="A729" s="4">
        <v>619</v>
      </c>
      <c r="B729" s="8">
        <v>45135</v>
      </c>
      <c r="C729" s="4"/>
      <c r="D729" s="4" t="s">
        <v>42</v>
      </c>
      <c r="E729" s="8">
        <v>45145</v>
      </c>
      <c r="F729" s="4" t="s">
        <v>43</v>
      </c>
      <c r="G729" s="40" t="s">
        <v>60</v>
      </c>
      <c r="H729" s="4" t="s">
        <v>45</v>
      </c>
      <c r="I729" s="4" t="s">
        <v>96</v>
      </c>
      <c r="J729" s="10">
        <v>6.9672499999999999</v>
      </c>
      <c r="K729" s="10">
        <f>6.16+0.807</f>
        <v>6.9670000000000005</v>
      </c>
      <c r="L729" s="10">
        <f t="shared" si="56"/>
        <v>0</v>
      </c>
      <c r="M729" s="10">
        <f t="shared" si="61"/>
        <v>0</v>
      </c>
      <c r="N729" s="10"/>
      <c r="O729" s="10"/>
      <c r="P729" s="10">
        <v>0</v>
      </c>
      <c r="Q729" s="10"/>
      <c r="R729" s="10"/>
      <c r="S729" s="10"/>
      <c r="T729" s="10"/>
      <c r="U729" s="10"/>
      <c r="V729" s="4" t="s">
        <v>913</v>
      </c>
      <c r="W729" s="4"/>
      <c r="X729" s="8">
        <v>45150</v>
      </c>
      <c r="Y729" s="4"/>
      <c r="Z729" s="4"/>
      <c r="AA729" s="8">
        <v>45155</v>
      </c>
      <c r="AB729" s="8">
        <v>45158</v>
      </c>
      <c r="AC729" s="4"/>
      <c r="AD729" s="4"/>
    </row>
    <row r="730" spans="1:30" hidden="1">
      <c r="A730" s="4">
        <v>619</v>
      </c>
      <c r="B730" s="8">
        <v>45135</v>
      </c>
      <c r="C730" s="4"/>
      <c r="D730" s="4" t="s">
        <v>42</v>
      </c>
      <c r="E730" s="8">
        <v>45145</v>
      </c>
      <c r="F730" s="4" t="s">
        <v>43</v>
      </c>
      <c r="G730" s="40" t="s">
        <v>60</v>
      </c>
      <c r="H730" s="4" t="s">
        <v>45</v>
      </c>
      <c r="I730" s="4" t="s">
        <v>97</v>
      </c>
      <c r="J730" s="10">
        <v>66.548859999999991</v>
      </c>
      <c r="K730" s="10">
        <f>17.254+0.36+4.47+32.986+4.913+2.01+1.939+2.797</f>
        <v>66.728999999999985</v>
      </c>
      <c r="L730" s="10">
        <f t="shared" si="56"/>
        <v>0</v>
      </c>
      <c r="M730" s="10">
        <f t="shared" si="61"/>
        <v>0</v>
      </c>
      <c r="N730" s="10"/>
      <c r="O730" s="10"/>
      <c r="P730" s="10">
        <v>0</v>
      </c>
      <c r="Q730" s="10"/>
      <c r="R730" s="10"/>
      <c r="S730" s="10"/>
      <c r="T730" s="10"/>
      <c r="U730" s="10"/>
      <c r="V730" s="4" t="s">
        <v>913</v>
      </c>
      <c r="W730" s="4"/>
      <c r="X730" s="8">
        <v>45150</v>
      </c>
      <c r="Y730" s="4"/>
      <c r="Z730" s="4"/>
      <c r="AA730" s="8">
        <v>45166</v>
      </c>
      <c r="AB730" s="8">
        <v>45177</v>
      </c>
      <c r="AC730" s="4"/>
      <c r="AD730" s="4"/>
    </row>
    <row r="731" spans="1:30" hidden="1">
      <c r="A731" s="4">
        <v>642</v>
      </c>
      <c r="B731" s="8">
        <v>45141</v>
      </c>
      <c r="C731" s="4"/>
      <c r="D731" s="4" t="s">
        <v>42</v>
      </c>
      <c r="E731" s="8">
        <v>45153</v>
      </c>
      <c r="F731" s="4" t="s">
        <v>43</v>
      </c>
      <c r="G731" s="40" t="s">
        <v>60</v>
      </c>
      <c r="H731" s="4" t="s">
        <v>45</v>
      </c>
      <c r="I731" s="4" t="s">
        <v>54</v>
      </c>
      <c r="J731" s="10">
        <v>3.9040159999999995</v>
      </c>
      <c r="K731" s="10">
        <v>3.9039999999999999</v>
      </c>
      <c r="L731" s="10">
        <f t="shared" si="56"/>
        <v>0</v>
      </c>
      <c r="M731" s="10">
        <f t="shared" ref="M731:M739" si="63">SUM(N731:T731)</f>
        <v>0</v>
      </c>
      <c r="N731" s="10"/>
      <c r="O731" s="10"/>
      <c r="P731" s="10">
        <v>0</v>
      </c>
      <c r="Q731" s="10"/>
      <c r="R731" s="10"/>
      <c r="S731" s="10"/>
      <c r="T731" s="10"/>
      <c r="U731" s="10"/>
      <c r="V731" s="4" t="s">
        <v>913</v>
      </c>
      <c r="W731" s="4"/>
      <c r="X731" s="8">
        <v>45162</v>
      </c>
      <c r="Y731" s="4"/>
      <c r="Z731" s="4"/>
      <c r="AA731" s="8">
        <v>45166</v>
      </c>
      <c r="AB731" s="8">
        <v>45166</v>
      </c>
      <c r="AC731" s="4"/>
      <c r="AD731" s="4"/>
    </row>
    <row r="732" spans="1:30" hidden="1">
      <c r="A732" s="4">
        <v>642</v>
      </c>
      <c r="B732" s="8">
        <v>45141</v>
      </c>
      <c r="C732" s="4"/>
      <c r="D732" s="4" t="s">
        <v>42</v>
      </c>
      <c r="E732" s="8">
        <v>45153</v>
      </c>
      <c r="F732" s="4" t="s">
        <v>43</v>
      </c>
      <c r="G732" s="40" t="s">
        <v>60</v>
      </c>
      <c r="H732" s="4" t="s">
        <v>45</v>
      </c>
      <c r="I732" s="4" t="s">
        <v>53</v>
      </c>
      <c r="J732" s="10">
        <v>20.771159999999998</v>
      </c>
      <c r="K732" s="10">
        <f>14.44+6.382</f>
        <v>20.821999999999999</v>
      </c>
      <c r="L732" s="10">
        <f t="shared" si="56"/>
        <v>0</v>
      </c>
      <c r="M732" s="10">
        <f t="shared" si="63"/>
        <v>0</v>
      </c>
      <c r="N732" s="10"/>
      <c r="O732" s="10"/>
      <c r="P732" s="10">
        <v>0</v>
      </c>
      <c r="Q732" s="10"/>
      <c r="R732" s="10"/>
      <c r="S732" s="10"/>
      <c r="T732" s="10"/>
      <c r="U732" s="10"/>
      <c r="V732" s="4" t="s">
        <v>913</v>
      </c>
      <c r="W732" s="4"/>
      <c r="X732" s="8">
        <v>45167</v>
      </c>
      <c r="Y732" s="4"/>
      <c r="Z732" s="4"/>
      <c r="AA732" s="8"/>
      <c r="AB732" s="8"/>
      <c r="AC732" s="4"/>
      <c r="AD732" s="4"/>
    </row>
    <row r="733" spans="1:30" hidden="1">
      <c r="A733" s="4">
        <v>642</v>
      </c>
      <c r="B733" s="8">
        <v>45141</v>
      </c>
      <c r="C733" s="4"/>
      <c r="D733" s="4" t="s">
        <v>42</v>
      </c>
      <c r="E733" s="8">
        <v>45153</v>
      </c>
      <c r="F733" s="4" t="s">
        <v>43</v>
      </c>
      <c r="G733" s="40" t="s">
        <v>60</v>
      </c>
      <c r="H733" s="4" t="s">
        <v>45</v>
      </c>
      <c r="I733" s="4" t="s">
        <v>55</v>
      </c>
      <c r="J733" s="10">
        <v>80.860119999999995</v>
      </c>
      <c r="K733" s="10">
        <f>6.214+20.863+31.737+17.048+4.414+0.667</f>
        <v>80.942999999999998</v>
      </c>
      <c r="L733" s="10">
        <f t="shared" si="56"/>
        <v>0</v>
      </c>
      <c r="M733" s="10">
        <f t="shared" si="63"/>
        <v>0</v>
      </c>
      <c r="N733" s="10"/>
      <c r="O733" s="10"/>
      <c r="P733" s="10">
        <v>0</v>
      </c>
      <c r="Q733" s="10"/>
      <c r="R733" s="10"/>
      <c r="S733" s="10"/>
      <c r="T733" s="10"/>
      <c r="U733" s="10"/>
      <c r="V733" s="4" t="s">
        <v>913</v>
      </c>
      <c r="W733" s="4" t="s">
        <v>1090</v>
      </c>
      <c r="X733" s="8">
        <v>45167</v>
      </c>
      <c r="Y733" s="4"/>
      <c r="Z733" s="4"/>
      <c r="AA733" s="8">
        <v>45179</v>
      </c>
      <c r="AB733" s="8">
        <v>45179</v>
      </c>
      <c r="AC733" s="4"/>
      <c r="AD733" s="4"/>
    </row>
    <row r="734" spans="1:30" hidden="1">
      <c r="A734" s="4">
        <v>642</v>
      </c>
      <c r="B734" s="8">
        <v>45141</v>
      </c>
      <c r="C734" s="4"/>
      <c r="D734" s="4" t="s">
        <v>42</v>
      </c>
      <c r="E734" s="8">
        <v>45153</v>
      </c>
      <c r="F734" s="4" t="s">
        <v>43</v>
      </c>
      <c r="G734" s="40" t="s">
        <v>60</v>
      </c>
      <c r="H734" s="4" t="s">
        <v>45</v>
      </c>
      <c r="I734" s="4" t="s">
        <v>915</v>
      </c>
      <c r="J734" s="10">
        <v>23.320679999999996</v>
      </c>
      <c r="K734" s="10">
        <f>10.592+10.362+2.141</f>
        <v>23.094999999999999</v>
      </c>
      <c r="L734" s="10">
        <f t="shared" si="56"/>
        <v>0</v>
      </c>
      <c r="M734" s="10">
        <f t="shared" si="63"/>
        <v>0</v>
      </c>
      <c r="N734" s="10"/>
      <c r="O734" s="10"/>
      <c r="P734" s="10">
        <v>0</v>
      </c>
      <c r="Q734" s="10"/>
      <c r="R734" s="10"/>
      <c r="S734" s="10"/>
      <c r="T734" s="10"/>
      <c r="U734" s="10"/>
      <c r="V734" s="4" t="s">
        <v>913</v>
      </c>
      <c r="W734" s="4"/>
      <c r="X734" s="8">
        <v>45165</v>
      </c>
      <c r="Y734" s="4"/>
      <c r="Z734" s="4"/>
      <c r="AA734" s="8">
        <v>45168</v>
      </c>
      <c r="AB734" s="8"/>
      <c r="AC734" s="4"/>
      <c r="AD734" s="4"/>
    </row>
    <row r="735" spans="1:30" hidden="1">
      <c r="A735" s="4">
        <v>642</v>
      </c>
      <c r="B735" s="8">
        <v>45141</v>
      </c>
      <c r="C735" s="4"/>
      <c r="D735" s="4" t="s">
        <v>42</v>
      </c>
      <c r="E735" s="8">
        <v>45153</v>
      </c>
      <c r="F735" s="4" t="s">
        <v>43</v>
      </c>
      <c r="G735" s="40" t="s">
        <v>60</v>
      </c>
      <c r="H735" s="4" t="s">
        <v>45</v>
      </c>
      <c r="I735" s="4" t="s">
        <v>432</v>
      </c>
      <c r="J735" s="10">
        <v>81.573224999999994</v>
      </c>
      <c r="K735" s="10">
        <f>31.987+3.562+11.078+7.701+2.952+7.073+5.754+5.593+5.867</f>
        <v>81.567000000000007</v>
      </c>
      <c r="L735" s="10">
        <f t="shared" si="56"/>
        <v>0</v>
      </c>
      <c r="M735" s="10">
        <f t="shared" si="63"/>
        <v>0</v>
      </c>
      <c r="N735" s="10"/>
      <c r="O735" s="10"/>
      <c r="P735" s="10">
        <v>0</v>
      </c>
      <c r="Q735" s="10"/>
      <c r="R735" s="10"/>
      <c r="S735" s="10"/>
      <c r="T735" s="10"/>
      <c r="U735" s="10"/>
      <c r="V735" s="4" t="s">
        <v>913</v>
      </c>
      <c r="W735" s="4"/>
      <c r="X735" s="8">
        <v>45145</v>
      </c>
      <c r="Y735" s="4"/>
      <c r="Z735" s="4"/>
      <c r="AA735" s="8">
        <v>45157</v>
      </c>
      <c r="AB735" s="8">
        <v>45158</v>
      </c>
      <c r="AC735" s="4"/>
      <c r="AD735" s="4"/>
    </row>
    <row r="736" spans="1:30" hidden="1">
      <c r="A736" s="4">
        <v>642</v>
      </c>
      <c r="B736" s="8">
        <v>45141</v>
      </c>
      <c r="C736" s="4"/>
      <c r="D736" s="4" t="s">
        <v>42</v>
      </c>
      <c r="E736" s="8">
        <v>45153</v>
      </c>
      <c r="F736" s="4" t="s">
        <v>43</v>
      </c>
      <c r="G736" s="40" t="s">
        <v>60</v>
      </c>
      <c r="H736" s="4" t="s">
        <v>45</v>
      </c>
      <c r="I736" s="4" t="s">
        <v>474</v>
      </c>
      <c r="J736" s="10">
        <v>19.128851000000001</v>
      </c>
      <c r="K736" s="10">
        <f>11.891+3.667+0.819+2.332+0.417</f>
        <v>19.126000000000001</v>
      </c>
      <c r="L736" s="10">
        <f t="shared" si="56"/>
        <v>0</v>
      </c>
      <c r="M736" s="10">
        <f t="shared" si="63"/>
        <v>0</v>
      </c>
      <c r="N736" s="10"/>
      <c r="O736" s="10"/>
      <c r="P736" s="10">
        <v>0</v>
      </c>
      <c r="Q736" s="10"/>
      <c r="R736" s="10"/>
      <c r="S736" s="10"/>
      <c r="T736" s="10"/>
      <c r="U736" s="10"/>
      <c r="V736" s="4" t="s">
        <v>913</v>
      </c>
      <c r="W736" s="4"/>
      <c r="X736" s="8">
        <v>45149</v>
      </c>
      <c r="Y736" s="4"/>
      <c r="Z736" s="4"/>
      <c r="AA736" s="8">
        <v>45156</v>
      </c>
      <c r="AB736" s="8">
        <v>45179</v>
      </c>
      <c r="AC736" s="4"/>
      <c r="AD736" s="4"/>
    </row>
    <row r="737" spans="1:30" hidden="1">
      <c r="A737" s="4">
        <v>642</v>
      </c>
      <c r="B737" s="8">
        <v>45141</v>
      </c>
      <c r="C737" s="4"/>
      <c r="D737" s="4" t="s">
        <v>42</v>
      </c>
      <c r="E737" s="8">
        <v>45153</v>
      </c>
      <c r="F737" s="4" t="s">
        <v>43</v>
      </c>
      <c r="G737" s="40" t="s">
        <v>60</v>
      </c>
      <c r="H737" s="4" t="s">
        <v>45</v>
      </c>
      <c r="I737" s="4" t="s">
        <v>434</v>
      </c>
      <c r="J737" s="10">
        <v>115.20863999999999</v>
      </c>
      <c r="K737" s="10">
        <f>5.903+17.91+13.925+27.01+26.193+3.424+11.502+5.171+3.754</f>
        <v>114.79200000000002</v>
      </c>
      <c r="L737" s="10">
        <f t="shared" si="56"/>
        <v>0</v>
      </c>
      <c r="M737" s="10">
        <f t="shared" si="63"/>
        <v>0</v>
      </c>
      <c r="N737" s="10"/>
      <c r="O737" s="10"/>
      <c r="P737" s="10">
        <v>0</v>
      </c>
      <c r="Q737" s="10"/>
      <c r="R737" s="10"/>
      <c r="S737" s="10"/>
      <c r="T737" s="10"/>
      <c r="U737" s="10"/>
      <c r="V737" s="4" t="s">
        <v>913</v>
      </c>
      <c r="W737" s="4"/>
      <c r="X737" s="8">
        <v>45148</v>
      </c>
      <c r="Y737" s="4"/>
      <c r="Z737" s="4"/>
      <c r="AA737" s="8">
        <v>45155</v>
      </c>
      <c r="AB737" s="8">
        <v>45179</v>
      </c>
      <c r="AC737" s="4"/>
      <c r="AD737" s="4"/>
    </row>
    <row r="738" spans="1:30" hidden="1">
      <c r="A738" s="4">
        <v>642</v>
      </c>
      <c r="B738" s="8">
        <v>45141</v>
      </c>
      <c r="C738" s="4"/>
      <c r="D738" s="4" t="s">
        <v>42</v>
      </c>
      <c r="E738" s="8">
        <v>45153</v>
      </c>
      <c r="F738" s="4" t="s">
        <v>43</v>
      </c>
      <c r="G738" s="40" t="s">
        <v>60</v>
      </c>
      <c r="H738" s="4" t="s">
        <v>45</v>
      </c>
      <c r="I738" s="4" t="s">
        <v>577</v>
      </c>
      <c r="J738" s="10">
        <v>10.673161</v>
      </c>
      <c r="K738" s="10">
        <f>6.31+4.364</f>
        <v>10.673999999999999</v>
      </c>
      <c r="L738" s="10">
        <f t="shared" si="56"/>
        <v>0</v>
      </c>
      <c r="M738" s="10">
        <f t="shared" si="63"/>
        <v>0</v>
      </c>
      <c r="N738" s="10"/>
      <c r="O738" s="10"/>
      <c r="P738" s="10">
        <v>0</v>
      </c>
      <c r="Q738" s="10"/>
      <c r="R738" s="10"/>
      <c r="S738" s="10"/>
      <c r="T738" s="10"/>
      <c r="U738" s="10"/>
      <c r="V738" s="4" t="s">
        <v>913</v>
      </c>
      <c r="W738" s="4"/>
      <c r="X738" s="8">
        <v>45152</v>
      </c>
      <c r="Y738" s="4"/>
      <c r="Z738" s="4"/>
      <c r="AA738" s="8">
        <v>45156</v>
      </c>
      <c r="AB738" s="8">
        <v>45157</v>
      </c>
      <c r="AC738" s="4"/>
      <c r="AD738" s="4"/>
    </row>
    <row r="739" spans="1:30" hidden="1">
      <c r="A739" s="4">
        <v>642</v>
      </c>
      <c r="B739" s="8">
        <v>45141</v>
      </c>
      <c r="C739" s="4"/>
      <c r="D739" s="4" t="s">
        <v>42</v>
      </c>
      <c r="E739" s="8">
        <v>45153</v>
      </c>
      <c r="F739" s="4" t="s">
        <v>43</v>
      </c>
      <c r="G739" s="40" t="s">
        <v>60</v>
      </c>
      <c r="H739" s="4" t="s">
        <v>45</v>
      </c>
      <c r="I739" s="4" t="s">
        <v>89</v>
      </c>
      <c r="J739" s="10">
        <v>9.7641199999999984</v>
      </c>
      <c r="K739" s="10">
        <f>6.595+2.58+0.656</f>
        <v>9.8310000000000013</v>
      </c>
      <c r="L739" s="10">
        <f t="shared" si="56"/>
        <v>0</v>
      </c>
      <c r="M739" s="10">
        <f t="shared" si="63"/>
        <v>0</v>
      </c>
      <c r="N739" s="10"/>
      <c r="O739" s="10"/>
      <c r="P739" s="10">
        <v>0</v>
      </c>
      <c r="Q739" s="10"/>
      <c r="R739" s="10"/>
      <c r="S739" s="10"/>
      <c r="T739" s="10"/>
      <c r="U739" s="10"/>
      <c r="V739" s="4" t="s">
        <v>913</v>
      </c>
      <c r="W739" s="4"/>
      <c r="X739" s="8"/>
      <c r="Y739" s="4"/>
      <c r="Z739" s="4"/>
      <c r="AA739" s="8">
        <v>45156</v>
      </c>
      <c r="AB739" s="8">
        <v>45169</v>
      </c>
      <c r="AC739" s="4"/>
      <c r="AD739" s="4"/>
    </row>
    <row r="740" spans="1:30">
      <c r="A740" s="4">
        <v>643</v>
      </c>
      <c r="B740" s="8">
        <v>45141</v>
      </c>
      <c r="C740" s="4"/>
      <c r="D740" s="4" t="s">
        <v>42</v>
      </c>
      <c r="E740" s="8">
        <v>45222</v>
      </c>
      <c r="F740" s="4" t="s">
        <v>43</v>
      </c>
      <c r="G740" s="40" t="s">
        <v>60</v>
      </c>
      <c r="H740" s="4" t="s">
        <v>45</v>
      </c>
      <c r="I740" s="4" t="s">
        <v>54</v>
      </c>
      <c r="J740" s="10">
        <v>3.3298959999999997</v>
      </c>
      <c r="K740" s="10">
        <f>1.55+1.206</f>
        <v>2.7560000000000002</v>
      </c>
      <c r="L740" s="10">
        <f t="shared" si="56"/>
        <v>0.57400000000000007</v>
      </c>
      <c r="M740" s="10">
        <f t="shared" ref="M740:M748" si="64">SUM(N740:T740)</f>
        <v>0.57400000000000007</v>
      </c>
      <c r="N740" s="10"/>
      <c r="O740" s="10"/>
      <c r="P740" s="10">
        <f>1.78-1.206</f>
        <v>0.57400000000000007</v>
      </c>
      <c r="Q740" s="10"/>
      <c r="R740" s="10"/>
      <c r="S740" s="10"/>
      <c r="T740" s="10"/>
      <c r="U740" s="10"/>
      <c r="V740" s="4" t="s">
        <v>913</v>
      </c>
      <c r="W740" s="4" t="s">
        <v>649</v>
      </c>
      <c r="X740" s="8">
        <v>45162</v>
      </c>
      <c r="Y740" s="4"/>
      <c r="Z740" s="4"/>
      <c r="AA740" s="8">
        <v>45166</v>
      </c>
      <c r="AB740" s="8"/>
      <c r="AC740" s="4"/>
      <c r="AD740" s="4"/>
    </row>
    <row r="741" spans="1:30">
      <c r="A741" s="4">
        <v>643</v>
      </c>
      <c r="B741" s="8">
        <v>45141</v>
      </c>
      <c r="C741" s="4"/>
      <c r="D741" s="4" t="s">
        <v>42</v>
      </c>
      <c r="E741" s="8">
        <v>45222</v>
      </c>
      <c r="F741" s="4" t="s">
        <v>43</v>
      </c>
      <c r="G741" s="40" t="s">
        <v>60</v>
      </c>
      <c r="H741" s="4" t="s">
        <v>45</v>
      </c>
      <c r="I741" s="4" t="s">
        <v>53</v>
      </c>
      <c r="J741" s="10">
        <v>22.484190000000002</v>
      </c>
      <c r="K741" s="10">
        <f>4.742+1.929+13.676</f>
        <v>20.347000000000001</v>
      </c>
      <c r="L741" s="10">
        <f t="shared" si="56"/>
        <v>2.27</v>
      </c>
      <c r="M741" s="10">
        <f t="shared" si="64"/>
        <v>2.27</v>
      </c>
      <c r="N741" s="10"/>
      <c r="O741" s="10"/>
      <c r="P741" s="10">
        <v>2.27</v>
      </c>
      <c r="Q741" s="10"/>
      <c r="R741" s="10"/>
      <c r="S741" s="10"/>
      <c r="T741" s="10"/>
      <c r="U741" s="10"/>
      <c r="V741" s="4" t="s">
        <v>913</v>
      </c>
      <c r="W741" s="4"/>
      <c r="X741" s="8">
        <v>45167</v>
      </c>
      <c r="Y741" s="4"/>
      <c r="Z741" s="4"/>
      <c r="AA741" s="8"/>
      <c r="AB741" s="8"/>
      <c r="AC741" s="4"/>
      <c r="AD741" s="4"/>
    </row>
    <row r="742" spans="1:30">
      <c r="A742" s="4">
        <v>643</v>
      </c>
      <c r="B742" s="8">
        <v>45141</v>
      </c>
      <c r="C742" s="4"/>
      <c r="D742" s="4" t="s">
        <v>42</v>
      </c>
      <c r="E742" s="8">
        <v>45222</v>
      </c>
      <c r="F742" s="4" t="s">
        <v>43</v>
      </c>
      <c r="G742" s="40" t="s">
        <v>60</v>
      </c>
      <c r="H742" s="4" t="s">
        <v>45</v>
      </c>
      <c r="I742" s="4" t="s">
        <v>55</v>
      </c>
      <c r="J742" s="10">
        <f>80.61768</f>
        <v>80.617679999999993</v>
      </c>
      <c r="K742" s="10">
        <f>5.353+29.353</f>
        <v>34.706000000000003</v>
      </c>
      <c r="L742" s="10">
        <f t="shared" si="56"/>
        <v>45.911679999999997</v>
      </c>
      <c r="M742" s="10">
        <f t="shared" si="64"/>
        <v>45.911679999999997</v>
      </c>
      <c r="N742" s="10"/>
      <c r="O742" s="10"/>
      <c r="P742" s="10">
        <f>80.61768-5.353-29.353</f>
        <v>45.911679999999997</v>
      </c>
      <c r="Q742" s="10"/>
      <c r="R742" s="10"/>
      <c r="S742" s="10"/>
      <c r="T742" s="10"/>
      <c r="U742" s="10"/>
      <c r="V742" s="4" t="s">
        <v>913</v>
      </c>
      <c r="W742" s="4"/>
      <c r="X742" s="8">
        <v>45293</v>
      </c>
      <c r="Y742" s="4"/>
      <c r="Z742" s="4"/>
      <c r="AA742" s="8"/>
      <c r="AB742" s="8"/>
      <c r="AC742" s="4"/>
      <c r="AD742" s="4"/>
    </row>
    <row r="743" spans="1:30">
      <c r="A743" s="4">
        <v>643</v>
      </c>
      <c r="B743" s="8">
        <v>45141</v>
      </c>
      <c r="C743" s="4"/>
      <c r="D743" s="4" t="s">
        <v>42</v>
      </c>
      <c r="E743" s="8">
        <v>45222</v>
      </c>
      <c r="F743" s="4" t="s">
        <v>43</v>
      </c>
      <c r="G743" s="40" t="s">
        <v>60</v>
      </c>
      <c r="H743" s="4" t="s">
        <v>45</v>
      </c>
      <c r="I743" s="4" t="s">
        <v>915</v>
      </c>
      <c r="J743" s="10">
        <v>23.69454</v>
      </c>
      <c r="K743" s="10">
        <f>19.182+2.032</f>
        <v>21.213999999999999</v>
      </c>
      <c r="L743" s="10">
        <f t="shared" si="56"/>
        <v>2.4805400000000013</v>
      </c>
      <c r="M743" s="10">
        <f t="shared" si="64"/>
        <v>2.4805400000000013</v>
      </c>
      <c r="N743" s="10"/>
      <c r="O743" s="10"/>
      <c r="P743" s="10">
        <f>23.69454-19.182-2.032</f>
        <v>2.4805400000000013</v>
      </c>
      <c r="Q743" s="10"/>
      <c r="R743" s="10"/>
      <c r="S743" s="10"/>
      <c r="T743" s="10"/>
      <c r="U743" s="10"/>
      <c r="V743" s="4" t="s">
        <v>913</v>
      </c>
      <c r="W743" s="4"/>
      <c r="X743" s="8"/>
      <c r="Y743" s="4"/>
      <c r="Z743" s="4"/>
      <c r="AA743" s="8"/>
      <c r="AB743" s="8"/>
      <c r="AC743" s="4"/>
      <c r="AD743" s="4"/>
    </row>
    <row r="744" spans="1:30">
      <c r="A744" s="4">
        <v>643</v>
      </c>
      <c r="B744" s="8">
        <v>45141</v>
      </c>
      <c r="C744" s="4"/>
      <c r="D744" s="4" t="s">
        <v>42</v>
      </c>
      <c r="E744" s="8">
        <v>45222</v>
      </c>
      <c r="F744" s="4" t="s">
        <v>43</v>
      </c>
      <c r="G744" s="40" t="s">
        <v>60</v>
      </c>
      <c r="H744" s="4" t="s">
        <v>45</v>
      </c>
      <c r="I744" s="4" t="s">
        <v>432</v>
      </c>
      <c r="J744" s="10">
        <v>82.679500000000004</v>
      </c>
      <c r="K744" s="10">
        <f>31.946+11.463+17.252+16.516+1.791</f>
        <v>78.967999999999989</v>
      </c>
      <c r="L744" s="10">
        <f t="shared" si="56"/>
        <v>3.7120000000000037</v>
      </c>
      <c r="M744" s="10">
        <f t="shared" si="64"/>
        <v>3.7120000000000037</v>
      </c>
      <c r="N744" s="10"/>
      <c r="O744" s="10"/>
      <c r="P744" s="10">
        <f>20.331+28.22-31.946-11.463+34.129-17.252-16.516-1.791</f>
        <v>3.7120000000000037</v>
      </c>
      <c r="Q744" s="10"/>
      <c r="R744" s="10"/>
      <c r="S744" s="10"/>
      <c r="T744" s="10"/>
      <c r="U744" s="10"/>
      <c r="V744" s="4" t="s">
        <v>913</v>
      </c>
      <c r="W744" s="4"/>
      <c r="X744" s="8"/>
      <c r="Y744" s="4"/>
      <c r="Z744" s="4"/>
      <c r="AA744" s="8">
        <v>45213</v>
      </c>
      <c r="AB744" s="8"/>
      <c r="AC744" s="4"/>
      <c r="AD744" s="4"/>
    </row>
    <row r="745" spans="1:30">
      <c r="A745" s="4">
        <v>643</v>
      </c>
      <c r="B745" s="8">
        <v>45141</v>
      </c>
      <c r="C745" s="4"/>
      <c r="D745" s="4" t="s">
        <v>42</v>
      </c>
      <c r="E745" s="8">
        <v>45222</v>
      </c>
      <c r="F745" s="4" t="s">
        <v>43</v>
      </c>
      <c r="G745" s="40" t="s">
        <v>60</v>
      </c>
      <c r="H745" s="4" t="s">
        <v>45</v>
      </c>
      <c r="I745" s="4" t="s">
        <v>474</v>
      </c>
      <c r="J745" s="10">
        <v>21.474376999999997</v>
      </c>
      <c r="K745" s="10">
        <f>12.291+7.83</f>
        <v>20.121000000000002</v>
      </c>
      <c r="L745" s="10">
        <f t="shared" si="56"/>
        <v>1.3533770000000001</v>
      </c>
      <c r="M745" s="10">
        <f t="shared" si="64"/>
        <v>1.3533770000000001</v>
      </c>
      <c r="N745" s="10"/>
      <c r="O745" s="10"/>
      <c r="P745" s="10">
        <f>21.474377-12.291-7.83</f>
        <v>1.3533770000000001</v>
      </c>
      <c r="Q745" s="10"/>
      <c r="R745" s="10"/>
      <c r="S745" s="10"/>
      <c r="T745" s="10"/>
      <c r="U745" s="10"/>
      <c r="V745" s="4" t="s">
        <v>913</v>
      </c>
      <c r="W745" s="4"/>
      <c r="X745" s="8">
        <v>45213</v>
      </c>
      <c r="Y745" s="4"/>
      <c r="Z745" s="4"/>
      <c r="AA745" s="8">
        <v>45228</v>
      </c>
      <c r="AB745" s="8"/>
      <c r="AC745" s="4"/>
      <c r="AD745" s="4"/>
    </row>
    <row r="746" spans="1:30">
      <c r="A746" s="4">
        <v>643</v>
      </c>
      <c r="B746" s="8">
        <v>45141</v>
      </c>
      <c r="C746" s="4"/>
      <c r="D746" s="4" t="s">
        <v>42</v>
      </c>
      <c r="E746" s="8">
        <v>45222</v>
      </c>
      <c r="F746" s="4" t="s">
        <v>43</v>
      </c>
      <c r="G746" s="40" t="s">
        <v>60</v>
      </c>
      <c r="H746" s="4" t="s">
        <v>45</v>
      </c>
      <c r="I746" s="4" t="s">
        <v>434</v>
      </c>
      <c r="J746" s="10">
        <f>125.497118</f>
        <v>125.497118</v>
      </c>
      <c r="K746" s="10">
        <f>11.148+32.791+31.246+31.734+7.858+7.014</f>
        <v>121.79099999999998</v>
      </c>
      <c r="L746" s="10">
        <f t="shared" si="56"/>
        <v>3.7061180000000098</v>
      </c>
      <c r="M746" s="10">
        <f t="shared" si="64"/>
        <v>3.7061180000000098</v>
      </c>
      <c r="N746" s="10"/>
      <c r="O746" s="10"/>
      <c r="P746" s="10">
        <f>125.497118-11.148-32.791-31.246-31.734-7.858-7.014</f>
        <v>3.7061180000000098</v>
      </c>
      <c r="Q746" s="10"/>
      <c r="R746" s="10"/>
      <c r="S746" s="10"/>
      <c r="T746" s="10"/>
      <c r="U746" s="10"/>
      <c r="V746" s="4" t="s">
        <v>913</v>
      </c>
      <c r="W746" s="4"/>
      <c r="X746" s="8">
        <v>45214</v>
      </c>
      <c r="Y746" s="4"/>
      <c r="Z746" s="4"/>
      <c r="AA746" s="8">
        <v>45228</v>
      </c>
      <c r="AB746" s="8"/>
      <c r="AC746" s="4"/>
      <c r="AD746" s="4"/>
    </row>
    <row r="747" spans="1:30">
      <c r="A747" s="4">
        <v>643</v>
      </c>
      <c r="B747" s="8">
        <v>45141</v>
      </c>
      <c r="C747" s="4"/>
      <c r="D747" s="4" t="s">
        <v>42</v>
      </c>
      <c r="E747" s="8">
        <v>45222</v>
      </c>
      <c r="F747" s="4" t="s">
        <v>43</v>
      </c>
      <c r="G747" s="40" t="s">
        <v>60</v>
      </c>
      <c r="H747" s="4" t="s">
        <v>45</v>
      </c>
      <c r="I747" s="4" t="s">
        <v>577</v>
      </c>
      <c r="J747" s="10">
        <v>10.201989000000001</v>
      </c>
      <c r="K747" s="10">
        <v>2.76</v>
      </c>
      <c r="L747" s="10">
        <f t="shared" ref="L747:L810" si="65">M747+U747</f>
        <v>7.4420000000000002</v>
      </c>
      <c r="M747" s="10">
        <f t="shared" si="64"/>
        <v>7.4420000000000002</v>
      </c>
      <c r="N747" s="10"/>
      <c r="O747" s="10"/>
      <c r="P747" s="10">
        <f>3.01+7.192-2.76</f>
        <v>7.4420000000000002</v>
      </c>
      <c r="Q747" s="10"/>
      <c r="R747" s="10"/>
      <c r="S747" s="10"/>
      <c r="T747" s="10"/>
      <c r="U747" s="10"/>
      <c r="V747" s="4" t="s">
        <v>913</v>
      </c>
      <c r="W747" s="4"/>
      <c r="X747" s="8">
        <v>45215</v>
      </c>
      <c r="Y747" s="4"/>
      <c r="Z747" s="4"/>
      <c r="AA747" s="8">
        <v>45230</v>
      </c>
      <c r="AB747" s="8"/>
      <c r="AC747" s="4"/>
      <c r="AD747" s="4"/>
    </row>
    <row r="748" spans="1:30">
      <c r="A748" s="4">
        <v>643</v>
      </c>
      <c r="B748" s="8">
        <v>45141</v>
      </c>
      <c r="C748" s="4"/>
      <c r="D748" s="4" t="s">
        <v>42</v>
      </c>
      <c r="E748" s="8">
        <v>45222</v>
      </c>
      <c r="F748" s="4" t="s">
        <v>43</v>
      </c>
      <c r="G748" s="40" t="s">
        <v>60</v>
      </c>
      <c r="H748" s="4" t="s">
        <v>45</v>
      </c>
      <c r="I748" s="4" t="s">
        <v>89</v>
      </c>
      <c r="J748" s="10">
        <v>12.272380000000002</v>
      </c>
      <c r="K748" s="10">
        <f>1.836+9.204</f>
        <v>11.040000000000001</v>
      </c>
      <c r="L748" s="10">
        <f t="shared" si="65"/>
        <v>1.2319999999999993</v>
      </c>
      <c r="M748" s="10">
        <f t="shared" si="64"/>
        <v>1.2319999999999993</v>
      </c>
      <c r="N748" s="10"/>
      <c r="O748" s="10"/>
      <c r="P748" s="10">
        <f>8.9+3.372-1.836-9.204</f>
        <v>1.2319999999999993</v>
      </c>
      <c r="Q748" s="10"/>
      <c r="R748" s="10"/>
      <c r="S748" s="10"/>
      <c r="T748" s="10"/>
      <c r="U748" s="10"/>
      <c r="V748" s="4" t="s">
        <v>913</v>
      </c>
      <c r="W748" s="4"/>
      <c r="X748" s="8">
        <v>45215</v>
      </c>
      <c r="Y748" s="4"/>
      <c r="Z748" s="4"/>
      <c r="AA748" s="8"/>
      <c r="AB748" s="8"/>
      <c r="AC748" s="4"/>
      <c r="AD748" s="4"/>
    </row>
    <row r="749" spans="1:30">
      <c r="A749" s="4">
        <v>645</v>
      </c>
      <c r="B749" s="8">
        <v>45141</v>
      </c>
      <c r="C749" s="4"/>
      <c r="D749" s="4" t="s">
        <v>42</v>
      </c>
      <c r="E749" s="8">
        <v>45222</v>
      </c>
      <c r="F749" s="4" t="s">
        <v>43</v>
      </c>
      <c r="G749" s="40" t="s">
        <v>60</v>
      </c>
      <c r="H749" s="4" t="s">
        <v>45</v>
      </c>
      <c r="I749" s="4" t="s">
        <v>57</v>
      </c>
      <c r="J749" s="10">
        <v>6.9405000000000001</v>
      </c>
      <c r="K749" s="10"/>
      <c r="L749" s="10">
        <f t="shared" si="65"/>
        <v>6.9405000000000001</v>
      </c>
      <c r="M749" s="10">
        <f t="shared" ref="M749:M759" si="66">SUM(N749:T749)</f>
        <v>6.9405000000000001</v>
      </c>
      <c r="N749" s="10"/>
      <c r="O749" s="10"/>
      <c r="P749" s="10">
        <v>6.9405000000000001</v>
      </c>
      <c r="Q749" s="10"/>
      <c r="R749" s="10"/>
      <c r="S749" s="10"/>
      <c r="T749" s="10"/>
      <c r="U749" s="10"/>
      <c r="V749" s="4" t="s">
        <v>913</v>
      </c>
      <c r="W749" s="4"/>
      <c r="X749" s="8"/>
      <c r="Y749" s="4"/>
      <c r="Z749" s="4"/>
      <c r="AA749" s="8"/>
      <c r="AB749" s="8"/>
      <c r="AC749" s="4"/>
      <c r="AD749" s="4"/>
    </row>
    <row r="750" spans="1:30">
      <c r="A750" s="4">
        <v>645</v>
      </c>
      <c r="B750" s="8">
        <v>45141</v>
      </c>
      <c r="C750" s="4"/>
      <c r="D750" s="4" t="s">
        <v>42</v>
      </c>
      <c r="E750" s="8">
        <v>45222</v>
      </c>
      <c r="F750" s="4" t="s">
        <v>43</v>
      </c>
      <c r="G750" s="40" t="s">
        <v>60</v>
      </c>
      <c r="H750" s="4" t="s">
        <v>45</v>
      </c>
      <c r="I750" s="4" t="s">
        <v>48</v>
      </c>
      <c r="J750" s="10">
        <v>29.260480000000001</v>
      </c>
      <c r="K750" s="10">
        <f>15.038+6.815</f>
        <v>21.853000000000002</v>
      </c>
      <c r="L750" s="10">
        <f t="shared" si="65"/>
        <v>7.4074800000000005</v>
      </c>
      <c r="M750" s="10">
        <f t="shared" si="66"/>
        <v>7.4074800000000005</v>
      </c>
      <c r="N750" s="10"/>
      <c r="O750" s="10"/>
      <c r="P750" s="10">
        <f>29.26048-15.038-6.815</f>
        <v>7.4074800000000005</v>
      </c>
      <c r="Q750" s="10"/>
      <c r="R750" s="10"/>
      <c r="S750" s="10"/>
      <c r="T750" s="10"/>
      <c r="U750" s="10"/>
      <c r="V750" s="4" t="s">
        <v>913</v>
      </c>
      <c r="W750" s="4"/>
      <c r="X750" s="8"/>
      <c r="Y750" s="4"/>
      <c r="Z750" s="4"/>
      <c r="AA750" s="8"/>
      <c r="AB750" s="8"/>
      <c r="AC750" s="4"/>
      <c r="AD750" s="4"/>
    </row>
    <row r="751" spans="1:30" hidden="1">
      <c r="A751" s="4">
        <v>645</v>
      </c>
      <c r="B751" s="8">
        <v>45141</v>
      </c>
      <c r="C751" s="4"/>
      <c r="D751" s="4" t="s">
        <v>42</v>
      </c>
      <c r="E751" s="8">
        <v>45222</v>
      </c>
      <c r="F751" s="4" t="s">
        <v>43</v>
      </c>
      <c r="G751" s="40" t="s">
        <v>60</v>
      </c>
      <c r="H751" s="4" t="s">
        <v>45</v>
      </c>
      <c r="I751" s="4" t="s">
        <v>516</v>
      </c>
      <c r="J751" s="10">
        <v>2.4806399999999997</v>
      </c>
      <c r="K751" s="10">
        <v>2.4809999999999999</v>
      </c>
      <c r="L751" s="10">
        <f t="shared" si="65"/>
        <v>0</v>
      </c>
      <c r="M751" s="10">
        <f t="shared" si="66"/>
        <v>0</v>
      </c>
      <c r="N751" s="10"/>
      <c r="O751" s="10"/>
      <c r="P751" s="10">
        <v>0</v>
      </c>
      <c r="Q751" s="10"/>
      <c r="R751" s="10"/>
      <c r="S751" s="10"/>
      <c r="T751" s="10"/>
      <c r="U751" s="10"/>
      <c r="V751" s="4" t="s">
        <v>913</v>
      </c>
      <c r="W751" s="4"/>
      <c r="X751" s="8"/>
      <c r="Y751" s="4"/>
      <c r="Z751" s="4"/>
      <c r="AA751" s="8"/>
      <c r="AB751" s="8"/>
      <c r="AC751" s="4"/>
      <c r="AD751" s="4"/>
    </row>
    <row r="752" spans="1:30">
      <c r="A752" s="4">
        <v>645</v>
      </c>
      <c r="B752" s="8">
        <v>45141</v>
      </c>
      <c r="C752" s="4"/>
      <c r="D752" s="4" t="s">
        <v>42</v>
      </c>
      <c r="E752" s="8">
        <v>45222</v>
      </c>
      <c r="F752" s="4" t="s">
        <v>43</v>
      </c>
      <c r="G752" s="40" t="s">
        <v>60</v>
      </c>
      <c r="H752" s="4" t="s">
        <v>45</v>
      </c>
      <c r="I752" s="4" t="s">
        <v>403</v>
      </c>
      <c r="J752" s="10">
        <v>62.907359999999997</v>
      </c>
      <c r="K752" s="10">
        <f>31.535+23.977</f>
        <v>55.512</v>
      </c>
      <c r="L752" s="10">
        <f t="shared" si="65"/>
        <v>7.394999999999996</v>
      </c>
      <c r="M752" s="10">
        <f t="shared" si="66"/>
        <v>7.394999999999996</v>
      </c>
      <c r="N752" s="10"/>
      <c r="O752" s="10"/>
      <c r="P752" s="10">
        <f>27+35.907-31.535-23.977</f>
        <v>7.394999999999996</v>
      </c>
      <c r="Q752" s="10"/>
      <c r="R752" s="10"/>
      <c r="S752" s="10"/>
      <c r="T752" s="10"/>
      <c r="U752" s="10"/>
      <c r="V752" s="4" t="s">
        <v>913</v>
      </c>
      <c r="W752" s="4" t="s">
        <v>1200</v>
      </c>
      <c r="X752" s="8">
        <v>45204</v>
      </c>
      <c r="Y752" s="4"/>
      <c r="Z752" s="4"/>
      <c r="AA752" s="8"/>
      <c r="AB752" s="8"/>
      <c r="AC752" s="4"/>
      <c r="AD752" s="4"/>
    </row>
    <row r="753" spans="1:30">
      <c r="A753" s="4">
        <v>645</v>
      </c>
      <c r="B753" s="8">
        <v>45141</v>
      </c>
      <c r="C753" s="4"/>
      <c r="D753" s="4" t="s">
        <v>42</v>
      </c>
      <c r="E753" s="8">
        <v>45222</v>
      </c>
      <c r="F753" s="4" t="s">
        <v>43</v>
      </c>
      <c r="G753" s="40" t="s">
        <v>60</v>
      </c>
      <c r="H753" s="4" t="s">
        <v>45</v>
      </c>
      <c r="I753" s="4" t="s">
        <v>46</v>
      </c>
      <c r="J753" s="10">
        <v>2.4656000000000002</v>
      </c>
      <c r="K753" s="10">
        <v>1.726</v>
      </c>
      <c r="L753" s="10">
        <f t="shared" si="65"/>
        <v>0.74000000000000021</v>
      </c>
      <c r="M753" s="10">
        <f t="shared" si="66"/>
        <v>0.74000000000000021</v>
      </c>
      <c r="N753" s="10"/>
      <c r="O753" s="10"/>
      <c r="P753" s="10">
        <f>1.726+0.74-1.726</f>
        <v>0.74000000000000021</v>
      </c>
      <c r="Q753" s="10"/>
      <c r="R753" s="10"/>
      <c r="S753" s="10"/>
      <c r="T753" s="10"/>
      <c r="U753" s="10"/>
      <c r="V753" s="4" t="s">
        <v>913</v>
      </c>
      <c r="W753" s="4" t="s">
        <v>649</v>
      </c>
      <c r="X753" s="8">
        <v>45204</v>
      </c>
      <c r="Y753" s="4"/>
      <c r="Z753" s="4"/>
      <c r="AA753" s="8"/>
      <c r="AB753" s="8"/>
      <c r="AC753" s="4"/>
      <c r="AD753" s="4"/>
    </row>
    <row r="754" spans="1:30">
      <c r="A754" s="4">
        <v>645</v>
      </c>
      <c r="B754" s="8">
        <v>45141</v>
      </c>
      <c r="C754" s="4"/>
      <c r="D754" s="4" t="s">
        <v>42</v>
      </c>
      <c r="E754" s="8">
        <v>45222</v>
      </c>
      <c r="F754" s="4" t="s">
        <v>43</v>
      </c>
      <c r="G754" s="40" t="s">
        <v>60</v>
      </c>
      <c r="H754" s="4" t="s">
        <v>45</v>
      </c>
      <c r="I754" s="4" t="s">
        <v>49</v>
      </c>
      <c r="J754" s="10">
        <v>7.0652400000000002</v>
      </c>
      <c r="K754" s="10">
        <v>5.48</v>
      </c>
      <c r="L754" s="10">
        <f t="shared" si="65"/>
        <v>1.5852399999999998</v>
      </c>
      <c r="M754" s="10">
        <f t="shared" si="66"/>
        <v>1.5852399999999998</v>
      </c>
      <c r="N754" s="10"/>
      <c r="O754" s="10"/>
      <c r="P754" s="10">
        <f>7.06524-5.48</f>
        <v>1.5852399999999998</v>
      </c>
      <c r="Q754" s="10"/>
      <c r="R754" s="10"/>
      <c r="S754" s="10"/>
      <c r="T754" s="10"/>
      <c r="U754" s="10"/>
      <c r="V754" s="4" t="s">
        <v>913</v>
      </c>
      <c r="W754" s="4"/>
      <c r="X754" s="8"/>
      <c r="Y754" s="4"/>
      <c r="Z754" s="4"/>
      <c r="AA754" s="8"/>
      <c r="AB754" s="8"/>
      <c r="AC754" s="4"/>
      <c r="AD754" s="4"/>
    </row>
    <row r="755" spans="1:30">
      <c r="A755" s="4">
        <v>645</v>
      </c>
      <c r="B755" s="8">
        <v>45141</v>
      </c>
      <c r="C755" s="4"/>
      <c r="D755" s="4" t="s">
        <v>42</v>
      </c>
      <c r="E755" s="8">
        <v>45222</v>
      </c>
      <c r="F755" s="4" t="s">
        <v>43</v>
      </c>
      <c r="G755" s="40" t="s">
        <v>60</v>
      </c>
      <c r="H755" s="4" t="s">
        <v>45</v>
      </c>
      <c r="I755" s="4" t="s">
        <v>50</v>
      </c>
      <c r="J755" s="10">
        <v>42.559440000000002</v>
      </c>
      <c r="K755" s="10">
        <f>11.239+20.167+4.734+2.408</f>
        <v>38.548000000000002</v>
      </c>
      <c r="L755" s="10">
        <f t="shared" si="65"/>
        <v>4.0114400000000003</v>
      </c>
      <c r="M755" s="10">
        <f t="shared" si="66"/>
        <v>4.0114400000000003</v>
      </c>
      <c r="N755" s="10"/>
      <c r="O755" s="10"/>
      <c r="P755" s="10">
        <f>42.55944-11.239-20.167-4.734-2.408</f>
        <v>4.0114400000000003</v>
      </c>
      <c r="Q755" s="10"/>
      <c r="R755" s="10"/>
      <c r="S755" s="10"/>
      <c r="T755" s="10"/>
      <c r="U755" s="10"/>
      <c r="V755" s="4" t="s">
        <v>913</v>
      </c>
      <c r="W755" s="4"/>
      <c r="X755" s="8"/>
      <c r="Y755" s="4"/>
      <c r="Z755" s="4"/>
      <c r="AA755" s="8"/>
      <c r="AB755" s="8"/>
      <c r="AC755" s="4"/>
      <c r="AD755" s="4"/>
    </row>
    <row r="756" spans="1:30">
      <c r="A756" s="4">
        <v>645</v>
      </c>
      <c r="B756" s="8">
        <v>45141</v>
      </c>
      <c r="C756" s="4"/>
      <c r="D756" s="4" t="s">
        <v>42</v>
      </c>
      <c r="E756" s="8">
        <v>45222</v>
      </c>
      <c r="F756" s="4" t="s">
        <v>43</v>
      </c>
      <c r="G756" s="40" t="s">
        <v>60</v>
      </c>
      <c r="H756" s="4" t="s">
        <v>45</v>
      </c>
      <c r="I756" s="4" t="s">
        <v>409</v>
      </c>
      <c r="J756" s="10">
        <v>107.34696000000001</v>
      </c>
      <c r="K756" s="10">
        <f>31.252+32.569+32.993+8.933</f>
        <v>105.74699999999999</v>
      </c>
      <c r="L756" s="10">
        <f t="shared" si="65"/>
        <v>1.6000000000000085</v>
      </c>
      <c r="M756" s="10">
        <f t="shared" si="66"/>
        <v>1.6000000000000085</v>
      </c>
      <c r="N756" s="10"/>
      <c r="O756" s="10"/>
      <c r="P756" s="10">
        <f>65.4+41.947-31.252-32.569-32.993-8.933</f>
        <v>1.6000000000000085</v>
      </c>
      <c r="Q756" s="10"/>
      <c r="R756" s="10"/>
      <c r="S756" s="10"/>
      <c r="T756" s="10"/>
      <c r="U756" s="10"/>
      <c r="V756" s="4" t="s">
        <v>913</v>
      </c>
      <c r="W756" s="4"/>
      <c r="X756" s="8">
        <v>45211</v>
      </c>
      <c r="Y756" s="4"/>
      <c r="Z756" s="4"/>
      <c r="AA756" s="8"/>
      <c r="AB756" s="8"/>
      <c r="AC756" s="4"/>
      <c r="AD756" s="4"/>
    </row>
    <row r="757" spans="1:30">
      <c r="A757" s="4">
        <v>645</v>
      </c>
      <c r="B757" s="8">
        <v>45141</v>
      </c>
      <c r="C757" s="4"/>
      <c r="D757" s="4" t="s">
        <v>42</v>
      </c>
      <c r="E757" s="8">
        <v>45222</v>
      </c>
      <c r="F757" s="4" t="s">
        <v>43</v>
      </c>
      <c r="G757" s="40" t="s">
        <v>60</v>
      </c>
      <c r="H757" s="4" t="s">
        <v>45</v>
      </c>
      <c r="I757" s="4" t="s">
        <v>517</v>
      </c>
      <c r="J757" s="10">
        <v>203.69349</v>
      </c>
      <c r="K757" s="206">
        <f>26.867+11.343+33.374+22.113+32.719</f>
        <v>126.416</v>
      </c>
      <c r="L757" s="10">
        <f t="shared" si="65"/>
        <v>77.277000000000044</v>
      </c>
      <c r="M757" s="10">
        <f t="shared" si="66"/>
        <v>77.277000000000044</v>
      </c>
      <c r="N757" s="10"/>
      <c r="O757" s="10"/>
      <c r="P757" s="10">
        <f>101.208+23.907+75.918+2.66-26.867-11.343-33.374-22.113-32.719</f>
        <v>77.277000000000044</v>
      </c>
      <c r="Q757" s="10"/>
      <c r="R757" s="10"/>
      <c r="S757" s="10"/>
      <c r="T757" s="10"/>
      <c r="U757" s="10"/>
      <c r="V757" s="4" t="s">
        <v>913</v>
      </c>
      <c r="W757" s="4" t="s">
        <v>1287</v>
      </c>
      <c r="X757" s="8">
        <v>45230</v>
      </c>
      <c r="Y757" s="4"/>
      <c r="Z757" s="4"/>
      <c r="AA757" s="8"/>
      <c r="AB757" s="8"/>
      <c r="AC757" s="4"/>
      <c r="AD757" s="4"/>
    </row>
    <row r="758" spans="1:30" hidden="1">
      <c r="A758" s="4">
        <v>645</v>
      </c>
      <c r="B758" s="8">
        <v>45141</v>
      </c>
      <c r="C758" s="4"/>
      <c r="D758" s="4" t="s">
        <v>42</v>
      </c>
      <c r="E758" s="8">
        <v>45222</v>
      </c>
      <c r="F758" s="4" t="s">
        <v>43</v>
      </c>
      <c r="G758" s="40" t="s">
        <v>60</v>
      </c>
      <c r="H758" s="4" t="s">
        <v>45</v>
      </c>
      <c r="I758" s="4" t="s">
        <v>87</v>
      </c>
      <c r="J758" s="10">
        <v>6.3906499999999991</v>
      </c>
      <c r="K758" s="10">
        <v>6.39</v>
      </c>
      <c r="L758" s="10">
        <f t="shared" si="65"/>
        <v>0</v>
      </c>
      <c r="M758" s="10">
        <f t="shared" si="66"/>
        <v>0</v>
      </c>
      <c r="N758" s="10"/>
      <c r="O758" s="10"/>
      <c r="P758" s="10">
        <v>0</v>
      </c>
      <c r="Q758" s="10"/>
      <c r="R758" s="10"/>
      <c r="S758" s="10"/>
      <c r="T758" s="10"/>
      <c r="U758" s="10"/>
      <c r="V758" s="4" t="s">
        <v>913</v>
      </c>
      <c r="W758" s="4"/>
      <c r="X758" s="8"/>
      <c r="Y758" s="4"/>
      <c r="Z758" s="4"/>
      <c r="AA758" s="8"/>
      <c r="AB758" s="8"/>
      <c r="AC758" s="4"/>
      <c r="AD758" s="4"/>
    </row>
    <row r="759" spans="1:30">
      <c r="A759" s="4">
        <v>645</v>
      </c>
      <c r="B759" s="8">
        <v>45141</v>
      </c>
      <c r="C759" s="4"/>
      <c r="D759" s="4" t="s">
        <v>42</v>
      </c>
      <c r="E759" s="8">
        <v>45222</v>
      </c>
      <c r="F759" s="4" t="s">
        <v>43</v>
      </c>
      <c r="G759" s="40" t="s">
        <v>60</v>
      </c>
      <c r="H759" s="4" t="s">
        <v>45</v>
      </c>
      <c r="I759" s="4" t="s">
        <v>125</v>
      </c>
      <c r="J759" s="10">
        <v>65.295359999999988</v>
      </c>
      <c r="K759" s="10">
        <f>31.643+19.124+7.953</f>
        <v>58.72</v>
      </c>
      <c r="L759" s="10">
        <f t="shared" si="65"/>
        <v>6.575000000000002</v>
      </c>
      <c r="M759" s="10">
        <f t="shared" si="66"/>
        <v>6.575000000000002</v>
      </c>
      <c r="N759" s="10"/>
      <c r="O759" s="10"/>
      <c r="P759" s="10">
        <f>34+28.575+2.72-31.643-19.124-7.953</f>
        <v>6.575000000000002</v>
      </c>
      <c r="Q759" s="10"/>
      <c r="R759" s="10"/>
      <c r="S759" s="10"/>
      <c r="T759" s="10"/>
      <c r="U759" s="10"/>
      <c r="V759" s="4" t="s">
        <v>913</v>
      </c>
      <c r="W759" s="4" t="s">
        <v>1202</v>
      </c>
      <c r="X759" s="8"/>
      <c r="Y759" s="4"/>
      <c r="Z759" s="4"/>
      <c r="AA759" s="8"/>
      <c r="AB759" s="8"/>
      <c r="AC759" s="4"/>
      <c r="AD759" s="4"/>
    </row>
    <row r="760" spans="1:30" hidden="1">
      <c r="A760" s="4">
        <v>612</v>
      </c>
      <c r="B760" s="8">
        <v>45139</v>
      </c>
      <c r="C760" s="4"/>
      <c r="D760" s="4" t="s">
        <v>42</v>
      </c>
      <c r="E760" s="8">
        <v>45161</v>
      </c>
      <c r="F760" s="4" t="s">
        <v>43</v>
      </c>
      <c r="G760" s="16" t="s">
        <v>51</v>
      </c>
      <c r="H760" s="4" t="s">
        <v>52</v>
      </c>
      <c r="I760" s="4" t="s">
        <v>405</v>
      </c>
      <c r="J760" s="10">
        <v>0.12240000000000001</v>
      </c>
      <c r="K760" s="10">
        <v>0.122</v>
      </c>
      <c r="L760" s="10">
        <f t="shared" si="65"/>
        <v>0</v>
      </c>
      <c r="M760" s="10">
        <f t="shared" ref="M760:M775" si="67">SUM(N760:T760)</f>
        <v>0</v>
      </c>
      <c r="N760" s="10"/>
      <c r="O760" s="10"/>
      <c r="P760" s="10">
        <v>0</v>
      </c>
      <c r="Q760" s="10"/>
      <c r="R760" s="10"/>
      <c r="S760" s="10"/>
      <c r="T760" s="10"/>
      <c r="U760" s="10"/>
      <c r="V760" s="4" t="s">
        <v>846</v>
      </c>
      <c r="W760" s="4" t="s">
        <v>521</v>
      </c>
      <c r="X760" s="8"/>
      <c r="Y760" s="4"/>
      <c r="Z760" s="4"/>
      <c r="AA760" s="8">
        <v>45157</v>
      </c>
      <c r="AB760" s="8">
        <v>45157</v>
      </c>
      <c r="AC760" s="4"/>
      <c r="AD760" s="4"/>
    </row>
    <row r="761" spans="1:30" hidden="1">
      <c r="A761" s="4">
        <v>613</v>
      </c>
      <c r="B761" s="8">
        <v>45139</v>
      </c>
      <c r="C761" s="4"/>
      <c r="D761" s="4" t="s">
        <v>42</v>
      </c>
      <c r="E761" s="8">
        <v>45161</v>
      </c>
      <c r="F761" s="4" t="s">
        <v>840</v>
      </c>
      <c r="G761" s="16" t="s">
        <v>44</v>
      </c>
      <c r="H761" s="4" t="s">
        <v>45</v>
      </c>
      <c r="I761" s="4" t="s">
        <v>54</v>
      </c>
      <c r="J761" s="10">
        <f>55.572964-35.017</f>
        <v>20.555963999999996</v>
      </c>
      <c r="K761" s="10">
        <v>20.574000000000002</v>
      </c>
      <c r="L761" s="10">
        <f t="shared" si="65"/>
        <v>0</v>
      </c>
      <c r="M761" s="10">
        <f t="shared" si="67"/>
        <v>0</v>
      </c>
      <c r="N761" s="10"/>
      <c r="O761" s="10"/>
      <c r="P761" s="10">
        <v>0</v>
      </c>
      <c r="Q761" s="10"/>
      <c r="R761" s="10"/>
      <c r="S761" s="10"/>
      <c r="T761" s="10"/>
      <c r="U761" s="10"/>
      <c r="V761" s="4" t="s">
        <v>841</v>
      </c>
      <c r="W761" s="4"/>
      <c r="X761" s="8">
        <v>45179</v>
      </c>
      <c r="Y761" s="4"/>
      <c r="Z761" s="4"/>
      <c r="AA761" s="8">
        <v>45220</v>
      </c>
      <c r="AB761" s="8">
        <v>45220</v>
      </c>
      <c r="AC761" s="4"/>
      <c r="AD761" s="4"/>
    </row>
    <row r="762" spans="1:30" hidden="1">
      <c r="A762" s="4">
        <v>613</v>
      </c>
      <c r="B762" s="8">
        <v>45139</v>
      </c>
      <c r="C762" s="4"/>
      <c r="D762" s="4" t="s">
        <v>42</v>
      </c>
      <c r="E762" s="8">
        <v>45161</v>
      </c>
      <c r="F762" s="4" t="s">
        <v>840</v>
      </c>
      <c r="G762" s="16" t="s">
        <v>44</v>
      </c>
      <c r="H762" s="4" t="s">
        <v>45</v>
      </c>
      <c r="I762" s="4" t="s">
        <v>405</v>
      </c>
      <c r="J762" s="10">
        <f>86.46846-7.732</f>
        <v>78.736459999999994</v>
      </c>
      <c r="K762" s="10">
        <f>6.296+25.304+14.844+3.19+6.662+13.413+8.106+1.133</f>
        <v>78.947999999999979</v>
      </c>
      <c r="L762" s="10">
        <f t="shared" si="65"/>
        <v>0</v>
      </c>
      <c r="M762" s="10">
        <f t="shared" si="67"/>
        <v>0</v>
      </c>
      <c r="N762" s="10"/>
      <c r="O762" s="10"/>
      <c r="P762" s="10">
        <v>0</v>
      </c>
      <c r="Q762" s="10"/>
      <c r="R762" s="10"/>
      <c r="S762" s="10"/>
      <c r="T762" s="10"/>
      <c r="U762" s="10"/>
      <c r="V762" s="4" t="s">
        <v>841</v>
      </c>
      <c r="W762" s="4"/>
      <c r="X762" s="8">
        <v>45172</v>
      </c>
      <c r="Y762" s="4"/>
      <c r="Z762" s="4"/>
      <c r="AA762" s="8">
        <v>45199</v>
      </c>
      <c r="AB762" s="8"/>
      <c r="AC762" s="4"/>
      <c r="AD762" s="4"/>
    </row>
    <row r="763" spans="1:30" hidden="1">
      <c r="A763" s="4">
        <v>613</v>
      </c>
      <c r="B763" s="8">
        <v>45139</v>
      </c>
      <c r="C763" s="4"/>
      <c r="D763" s="4" t="s">
        <v>42</v>
      </c>
      <c r="E763" s="8">
        <v>45161</v>
      </c>
      <c r="F763" s="4" t="s">
        <v>840</v>
      </c>
      <c r="G763" s="16" t="s">
        <v>44</v>
      </c>
      <c r="H763" s="4" t="s">
        <v>45</v>
      </c>
      <c r="I763" s="4" t="s">
        <v>400</v>
      </c>
      <c r="J763" s="10">
        <f>55.40808-2.549</f>
        <v>52.859079999999999</v>
      </c>
      <c r="K763" s="10">
        <f>25.226+2.785+11.197+6.988+5.706+1.158</f>
        <v>53.06</v>
      </c>
      <c r="L763" s="10">
        <f t="shared" si="65"/>
        <v>0</v>
      </c>
      <c r="M763" s="10">
        <f t="shared" si="67"/>
        <v>0</v>
      </c>
      <c r="N763" s="10"/>
      <c r="O763" s="10"/>
      <c r="P763" s="10">
        <v>0</v>
      </c>
      <c r="Q763" s="10"/>
      <c r="R763" s="10"/>
      <c r="S763" s="10"/>
      <c r="T763" s="10"/>
      <c r="U763" s="10"/>
      <c r="V763" s="4" t="s">
        <v>841</v>
      </c>
      <c r="W763" s="4"/>
      <c r="X763" s="8">
        <v>45173</v>
      </c>
      <c r="Y763" s="4"/>
      <c r="Z763" s="4"/>
      <c r="AA763" s="8">
        <v>45198</v>
      </c>
      <c r="AB763" s="8"/>
      <c r="AC763" s="4"/>
      <c r="AD763" s="4"/>
    </row>
    <row r="764" spans="1:30" hidden="1">
      <c r="A764" s="4">
        <v>613</v>
      </c>
      <c r="B764" s="8">
        <v>45139</v>
      </c>
      <c r="C764" s="4"/>
      <c r="D764" s="4" t="s">
        <v>42</v>
      </c>
      <c r="E764" s="8">
        <v>45161</v>
      </c>
      <c r="F764" s="4" t="s">
        <v>840</v>
      </c>
      <c r="G764" s="16" t="s">
        <v>44</v>
      </c>
      <c r="H764" s="4" t="s">
        <v>45</v>
      </c>
      <c r="I764" s="4" t="s">
        <v>46</v>
      </c>
      <c r="J764" s="10">
        <f>75.72943-53.63</f>
        <v>22.099429999999991</v>
      </c>
      <c r="K764" s="10">
        <f>18.174+3.199+0.721</f>
        <v>22.093999999999998</v>
      </c>
      <c r="L764" s="10">
        <f t="shared" si="65"/>
        <v>0</v>
      </c>
      <c r="M764" s="10">
        <f t="shared" si="67"/>
        <v>0</v>
      </c>
      <c r="N764" s="10"/>
      <c r="O764" s="10"/>
      <c r="P764" s="10">
        <v>0</v>
      </c>
      <c r="Q764" s="10"/>
      <c r="R764" s="10"/>
      <c r="S764" s="10"/>
      <c r="T764" s="10"/>
      <c r="U764" s="10"/>
      <c r="V764" s="4" t="s">
        <v>841</v>
      </c>
      <c r="W764" s="4"/>
      <c r="X764" s="8">
        <v>45164</v>
      </c>
      <c r="Y764" s="4"/>
      <c r="Z764" s="4"/>
      <c r="AA764" s="8">
        <v>45201</v>
      </c>
      <c r="AB764" s="8"/>
      <c r="AC764" s="4"/>
      <c r="AD764" s="4"/>
    </row>
    <row r="765" spans="1:30" hidden="1">
      <c r="A765" s="4">
        <v>613</v>
      </c>
      <c r="B765" s="8">
        <v>45139</v>
      </c>
      <c r="C765" s="4"/>
      <c r="D765" s="4" t="s">
        <v>42</v>
      </c>
      <c r="E765" s="8">
        <v>45161</v>
      </c>
      <c r="F765" s="4" t="s">
        <v>840</v>
      </c>
      <c r="G765" s="16" t="s">
        <v>44</v>
      </c>
      <c r="H765" s="4" t="s">
        <v>45</v>
      </c>
      <c r="I765" s="4" t="s">
        <v>47</v>
      </c>
      <c r="J765" s="10">
        <v>17.97147</v>
      </c>
      <c r="K765" s="10">
        <f>11.82+5.821+0.463</f>
        <v>18.103999999999999</v>
      </c>
      <c r="L765" s="10">
        <f t="shared" si="65"/>
        <v>0</v>
      </c>
      <c r="M765" s="10">
        <f t="shared" si="67"/>
        <v>0</v>
      </c>
      <c r="N765" s="10"/>
      <c r="O765" s="10"/>
      <c r="P765" s="10">
        <v>0</v>
      </c>
      <c r="Q765" s="10"/>
      <c r="R765" s="10"/>
      <c r="S765" s="10"/>
      <c r="T765" s="10"/>
      <c r="U765" s="10"/>
      <c r="V765" s="4" t="s">
        <v>841</v>
      </c>
      <c r="W765" s="4" t="s">
        <v>1045</v>
      </c>
      <c r="X765" s="8"/>
      <c r="Y765" s="4"/>
      <c r="Z765" s="4"/>
      <c r="AA765" s="8"/>
      <c r="AB765" s="8"/>
      <c r="AC765" s="4"/>
      <c r="AD765" s="4"/>
    </row>
    <row r="766" spans="1:30" hidden="1">
      <c r="A766" s="4">
        <v>613</v>
      </c>
      <c r="B766" s="8">
        <v>45139</v>
      </c>
      <c r="C766" s="4"/>
      <c r="D766" s="4" t="s">
        <v>42</v>
      </c>
      <c r="E766" s="8">
        <v>45161</v>
      </c>
      <c r="F766" s="4" t="s">
        <v>840</v>
      </c>
      <c r="G766" s="16" t="s">
        <v>44</v>
      </c>
      <c r="H766" s="4" t="s">
        <v>45</v>
      </c>
      <c r="I766" s="4" t="s">
        <v>761</v>
      </c>
      <c r="J766" s="10">
        <f>45.7128-9.042</f>
        <v>36.6708</v>
      </c>
      <c r="K766" s="10">
        <f>4.526+10.052+17.731+4.596</f>
        <v>36.905000000000001</v>
      </c>
      <c r="L766" s="10">
        <f t="shared" si="65"/>
        <v>0</v>
      </c>
      <c r="M766" s="10">
        <f t="shared" si="67"/>
        <v>0</v>
      </c>
      <c r="N766" s="10"/>
      <c r="O766" s="10"/>
      <c r="P766" s="10">
        <v>0</v>
      </c>
      <c r="Q766" s="10"/>
      <c r="R766" s="10"/>
      <c r="S766" s="10"/>
      <c r="T766" s="10"/>
      <c r="U766" s="10"/>
      <c r="V766" s="4" t="s">
        <v>841</v>
      </c>
      <c r="W766" s="4"/>
      <c r="X766" s="8">
        <v>45171</v>
      </c>
      <c r="Y766" s="4"/>
      <c r="Z766" s="4"/>
      <c r="AA766" s="8"/>
      <c r="AB766" s="8"/>
      <c r="AC766" s="4"/>
      <c r="AD766" s="4"/>
    </row>
    <row r="767" spans="1:30" hidden="1">
      <c r="A767" s="4">
        <v>613</v>
      </c>
      <c r="B767" s="8">
        <v>45139</v>
      </c>
      <c r="C767" s="4"/>
      <c r="D767" s="4" t="s">
        <v>42</v>
      </c>
      <c r="E767" s="8">
        <v>45161</v>
      </c>
      <c r="F767" s="4" t="s">
        <v>840</v>
      </c>
      <c r="G767" s="16" t="s">
        <v>44</v>
      </c>
      <c r="H767" s="4" t="s">
        <v>45</v>
      </c>
      <c r="I767" s="4" t="s">
        <v>579</v>
      </c>
      <c r="J767" s="10">
        <f>43.15296-23.555</f>
        <v>19.59796</v>
      </c>
      <c r="K767" s="10">
        <f>16.723+1.548+1.517</f>
        <v>19.788</v>
      </c>
      <c r="L767" s="10">
        <f t="shared" si="65"/>
        <v>0</v>
      </c>
      <c r="M767" s="10">
        <f t="shared" si="67"/>
        <v>0</v>
      </c>
      <c r="N767" s="10"/>
      <c r="O767" s="10"/>
      <c r="P767" s="10">
        <v>0</v>
      </c>
      <c r="Q767" s="10"/>
      <c r="R767" s="10"/>
      <c r="S767" s="10"/>
      <c r="T767" s="10"/>
      <c r="U767" s="10"/>
      <c r="V767" s="4" t="s">
        <v>841</v>
      </c>
      <c r="W767" s="4"/>
      <c r="X767" s="8">
        <v>45171</v>
      </c>
      <c r="Y767" s="4"/>
      <c r="Z767" s="4"/>
      <c r="AA767" s="8">
        <v>45200</v>
      </c>
      <c r="AB767" s="8"/>
      <c r="AC767" s="4"/>
      <c r="AD767" s="4"/>
    </row>
    <row r="768" spans="1:30" hidden="1">
      <c r="A768" s="4">
        <v>613</v>
      </c>
      <c r="B768" s="8">
        <v>45139</v>
      </c>
      <c r="C768" s="4"/>
      <c r="D768" s="4" t="s">
        <v>42</v>
      </c>
      <c r="E768" s="8">
        <v>45161</v>
      </c>
      <c r="F768" s="4" t="s">
        <v>840</v>
      </c>
      <c r="G768" s="16" t="s">
        <v>44</v>
      </c>
      <c r="H768" s="4" t="s">
        <v>45</v>
      </c>
      <c r="I768" s="4" t="s">
        <v>670</v>
      </c>
      <c r="J768" s="10">
        <v>60.554900000000004</v>
      </c>
      <c r="K768" s="10">
        <f>32.399+15.814+4.972+7.493</f>
        <v>60.678000000000004</v>
      </c>
      <c r="L768" s="10">
        <f t="shared" si="65"/>
        <v>0</v>
      </c>
      <c r="M768" s="10">
        <f t="shared" si="67"/>
        <v>0</v>
      </c>
      <c r="N768" s="10"/>
      <c r="O768" s="10"/>
      <c r="P768" s="10">
        <v>0</v>
      </c>
      <c r="Q768" s="10"/>
      <c r="R768" s="10"/>
      <c r="S768" s="10"/>
      <c r="T768" s="10"/>
      <c r="U768" s="10"/>
      <c r="V768" s="4" t="s">
        <v>841</v>
      </c>
      <c r="W768" s="4"/>
      <c r="X768" s="8">
        <v>45171</v>
      </c>
      <c r="Y768" s="4"/>
      <c r="Z768" s="4"/>
      <c r="AA768" s="8">
        <v>45198</v>
      </c>
      <c r="AB768" s="8"/>
      <c r="AC768" s="4"/>
      <c r="AD768" s="4"/>
    </row>
    <row r="769" spans="1:30" hidden="1">
      <c r="A769" s="4">
        <v>613</v>
      </c>
      <c r="B769" s="8">
        <v>45139</v>
      </c>
      <c r="C769" s="4"/>
      <c r="D769" s="4" t="s">
        <v>42</v>
      </c>
      <c r="E769" s="8">
        <v>45161</v>
      </c>
      <c r="F769" s="4" t="s">
        <v>840</v>
      </c>
      <c r="G769" s="16" t="s">
        <v>44</v>
      </c>
      <c r="H769" s="4" t="s">
        <v>45</v>
      </c>
      <c r="I769" s="4" t="s">
        <v>435</v>
      </c>
      <c r="J769" s="10">
        <f>25.528788-5.011</f>
        <v>20.517787999999999</v>
      </c>
      <c r="K769" s="10">
        <f>8.967+9.543+2.13</f>
        <v>20.639999999999997</v>
      </c>
      <c r="L769" s="10">
        <f t="shared" si="65"/>
        <v>0</v>
      </c>
      <c r="M769" s="10">
        <f t="shared" si="67"/>
        <v>0</v>
      </c>
      <c r="N769" s="10"/>
      <c r="O769" s="10"/>
      <c r="P769" s="10">
        <v>0</v>
      </c>
      <c r="Q769" s="10"/>
      <c r="R769" s="10"/>
      <c r="S769" s="10"/>
      <c r="T769" s="10"/>
      <c r="U769" s="10"/>
      <c r="V769" s="4" t="s">
        <v>841</v>
      </c>
      <c r="W769" s="4"/>
      <c r="X769" s="8"/>
      <c r="Y769" s="4"/>
      <c r="Z769" s="4"/>
      <c r="AA769" s="8">
        <v>45201</v>
      </c>
      <c r="AB769" s="8"/>
      <c r="AC769" s="4"/>
      <c r="AD769" s="4"/>
    </row>
    <row r="770" spans="1:30" hidden="1">
      <c r="A770" s="4">
        <v>613</v>
      </c>
      <c r="B770" s="8">
        <v>45139</v>
      </c>
      <c r="C770" s="4"/>
      <c r="D770" s="4" t="s">
        <v>42</v>
      </c>
      <c r="E770" s="8">
        <v>45161</v>
      </c>
      <c r="F770" s="4" t="s">
        <v>840</v>
      </c>
      <c r="G770" s="16" t="s">
        <v>44</v>
      </c>
      <c r="H770" s="4" t="s">
        <v>45</v>
      </c>
      <c r="I770" s="4" t="s">
        <v>432</v>
      </c>
      <c r="J770" s="10">
        <v>19.970832000000001</v>
      </c>
      <c r="K770" s="10">
        <f>19.071+0.9</f>
        <v>19.971</v>
      </c>
      <c r="L770" s="10">
        <f t="shared" si="65"/>
        <v>0</v>
      </c>
      <c r="M770" s="10">
        <f t="shared" si="67"/>
        <v>0</v>
      </c>
      <c r="N770" s="10"/>
      <c r="O770" s="10"/>
      <c r="P770" s="10">
        <v>0</v>
      </c>
      <c r="Q770" s="10"/>
      <c r="R770" s="10"/>
      <c r="S770" s="10"/>
      <c r="T770" s="10"/>
      <c r="U770" s="10"/>
      <c r="V770" s="4" t="s">
        <v>841</v>
      </c>
      <c r="W770" s="4"/>
      <c r="X770" s="8"/>
      <c r="Y770" s="4"/>
      <c r="Z770" s="4"/>
      <c r="AA770" s="8">
        <v>45201</v>
      </c>
      <c r="AB770" s="8"/>
      <c r="AC770" s="4"/>
      <c r="AD770" s="4"/>
    </row>
    <row r="771" spans="1:30" hidden="1">
      <c r="A771" s="4">
        <v>613</v>
      </c>
      <c r="B771" s="8">
        <v>45139</v>
      </c>
      <c r="C771" s="4"/>
      <c r="D771" s="4" t="s">
        <v>42</v>
      </c>
      <c r="E771" s="8">
        <v>45161</v>
      </c>
      <c r="F771" s="4" t="s">
        <v>840</v>
      </c>
      <c r="G771" s="16" t="s">
        <v>44</v>
      </c>
      <c r="H771" s="4" t="s">
        <v>45</v>
      </c>
      <c r="I771" s="4" t="s">
        <v>89</v>
      </c>
      <c r="J771" s="10">
        <f>79.635712-35.848</f>
        <v>43.787711999999999</v>
      </c>
      <c r="K771" s="10">
        <f>6.373+32.319+5.186</f>
        <v>43.878</v>
      </c>
      <c r="L771" s="10">
        <f t="shared" si="65"/>
        <v>0</v>
      </c>
      <c r="M771" s="10">
        <f t="shared" si="67"/>
        <v>0</v>
      </c>
      <c r="N771" s="10"/>
      <c r="O771" s="10"/>
      <c r="P771" s="10">
        <v>0</v>
      </c>
      <c r="Q771" s="10"/>
      <c r="R771" s="10"/>
      <c r="S771" s="10"/>
      <c r="T771" s="10"/>
      <c r="U771" s="10"/>
      <c r="V771" s="4" t="s">
        <v>841</v>
      </c>
      <c r="W771" s="4" t="s">
        <v>1039</v>
      </c>
      <c r="X771" s="8"/>
      <c r="Y771" s="4"/>
      <c r="Z771" s="4"/>
      <c r="AA771" s="8">
        <v>45199</v>
      </c>
      <c r="AB771" s="8">
        <v>45201</v>
      </c>
      <c r="AC771" s="4"/>
      <c r="AD771" s="4"/>
    </row>
    <row r="772" spans="1:30" hidden="1">
      <c r="A772" s="4">
        <v>613</v>
      </c>
      <c r="B772" s="8">
        <v>45139</v>
      </c>
      <c r="C772" s="4"/>
      <c r="D772" s="4" t="s">
        <v>42</v>
      </c>
      <c r="E772" s="8">
        <v>45161</v>
      </c>
      <c r="F772" s="4" t="s">
        <v>840</v>
      </c>
      <c r="G772" s="16" t="s">
        <v>51</v>
      </c>
      <c r="H772" s="4" t="s">
        <v>52</v>
      </c>
      <c r="I772" s="4" t="s">
        <v>54</v>
      </c>
      <c r="J772" s="10">
        <f>21.920272-7.775</f>
        <v>14.145272</v>
      </c>
      <c r="K772" s="10">
        <v>14.164</v>
      </c>
      <c r="L772" s="10">
        <f t="shared" si="65"/>
        <v>0</v>
      </c>
      <c r="M772" s="10">
        <f t="shared" si="67"/>
        <v>0</v>
      </c>
      <c r="N772" s="10"/>
      <c r="O772" s="10"/>
      <c r="P772" s="10">
        <v>0</v>
      </c>
      <c r="Q772" s="10"/>
      <c r="R772" s="10"/>
      <c r="S772" s="10"/>
      <c r="T772" s="10"/>
      <c r="U772" s="10"/>
      <c r="V772" s="4" t="s">
        <v>841</v>
      </c>
      <c r="W772" s="4"/>
      <c r="X772" s="8">
        <v>45179</v>
      </c>
      <c r="Y772" s="4"/>
      <c r="Z772" s="4"/>
      <c r="AA772" s="8">
        <v>45207</v>
      </c>
      <c r="AB772" s="8">
        <v>45207</v>
      </c>
      <c r="AC772" s="4"/>
      <c r="AD772" s="4"/>
    </row>
    <row r="773" spans="1:30" hidden="1">
      <c r="A773" s="4">
        <v>613</v>
      </c>
      <c r="B773" s="8">
        <v>45139</v>
      </c>
      <c r="C773" s="4"/>
      <c r="D773" s="4" t="s">
        <v>42</v>
      </c>
      <c r="E773" s="8">
        <v>45161</v>
      </c>
      <c r="F773" s="4" t="s">
        <v>840</v>
      </c>
      <c r="G773" s="16" t="s">
        <v>51</v>
      </c>
      <c r="H773" s="4" t="s">
        <v>52</v>
      </c>
      <c r="I773" s="4" t="s">
        <v>405</v>
      </c>
      <c r="J773" s="10">
        <v>48.612180000000002</v>
      </c>
      <c r="K773" s="10">
        <f>26.261+18.546+3.929</f>
        <v>48.736000000000004</v>
      </c>
      <c r="L773" s="10">
        <f t="shared" si="65"/>
        <v>0</v>
      </c>
      <c r="M773" s="10">
        <f t="shared" si="67"/>
        <v>0</v>
      </c>
      <c r="N773" s="10"/>
      <c r="O773" s="10"/>
      <c r="P773" s="10">
        <v>0</v>
      </c>
      <c r="Q773" s="10"/>
      <c r="R773" s="10"/>
      <c r="S773" s="10"/>
      <c r="T773" s="10"/>
      <c r="U773" s="10"/>
      <c r="V773" s="4" t="s">
        <v>841</v>
      </c>
      <c r="W773" s="4"/>
      <c r="X773" s="8"/>
      <c r="Y773" s="4"/>
      <c r="Z773" s="4"/>
      <c r="AA773" s="8">
        <v>45199</v>
      </c>
      <c r="AB773" s="8"/>
      <c r="AC773" s="4"/>
      <c r="AD773" s="4"/>
    </row>
    <row r="774" spans="1:30" hidden="1">
      <c r="A774" s="4">
        <v>613</v>
      </c>
      <c r="B774" s="8">
        <v>45139</v>
      </c>
      <c r="C774" s="4"/>
      <c r="D774" s="4" t="s">
        <v>42</v>
      </c>
      <c r="E774" s="8">
        <v>45161</v>
      </c>
      <c r="F774" s="4" t="s">
        <v>840</v>
      </c>
      <c r="G774" s="16" t="s">
        <v>51</v>
      </c>
      <c r="H774" s="4" t="s">
        <v>52</v>
      </c>
      <c r="I774" s="4" t="s">
        <v>435</v>
      </c>
      <c r="J774" s="10">
        <f>11.944477-2.25</f>
        <v>9.6944769999999991</v>
      </c>
      <c r="K774" s="10">
        <v>9.6940000000000008</v>
      </c>
      <c r="L774" s="10">
        <f t="shared" si="65"/>
        <v>0</v>
      </c>
      <c r="M774" s="10">
        <f t="shared" si="67"/>
        <v>0</v>
      </c>
      <c r="N774" s="10"/>
      <c r="O774" s="10"/>
      <c r="P774" s="10">
        <f>3.892+5.802-9.694</f>
        <v>0</v>
      </c>
      <c r="Q774" s="10"/>
      <c r="R774" s="10"/>
      <c r="S774" s="10"/>
      <c r="T774" s="10"/>
      <c r="U774" s="10"/>
      <c r="V774" s="4" t="s">
        <v>841</v>
      </c>
      <c r="W774" s="4"/>
      <c r="X774" s="8"/>
      <c r="Y774" s="4"/>
      <c r="Z774" s="4"/>
      <c r="AA774" s="8"/>
      <c r="AB774" s="8"/>
      <c r="AC774" s="4"/>
      <c r="AD774" s="4"/>
    </row>
    <row r="775" spans="1:30" hidden="1">
      <c r="A775" s="4">
        <v>613</v>
      </c>
      <c r="B775" s="8">
        <v>45139</v>
      </c>
      <c r="C775" s="4"/>
      <c r="D775" s="4" t="s">
        <v>42</v>
      </c>
      <c r="E775" s="8">
        <v>45161</v>
      </c>
      <c r="F775" s="4" t="s">
        <v>840</v>
      </c>
      <c r="G775" s="16" t="s">
        <v>51</v>
      </c>
      <c r="H775" s="4" t="s">
        <v>52</v>
      </c>
      <c r="I775" s="4" t="s">
        <v>577</v>
      </c>
      <c r="J775" s="10">
        <v>4.8479999999999999</v>
      </c>
      <c r="K775" s="10">
        <f>2.714+2.206</f>
        <v>4.92</v>
      </c>
      <c r="L775" s="10">
        <f t="shared" si="65"/>
        <v>0</v>
      </c>
      <c r="M775" s="10">
        <f t="shared" si="67"/>
        <v>0</v>
      </c>
      <c r="N775" s="10"/>
      <c r="O775" s="10"/>
      <c r="P775" s="10">
        <v>0</v>
      </c>
      <c r="Q775" s="10"/>
      <c r="R775" s="10"/>
      <c r="S775" s="10"/>
      <c r="T775" s="10"/>
      <c r="U775" s="10"/>
      <c r="V775" s="4" t="s">
        <v>841</v>
      </c>
      <c r="W775" s="4"/>
      <c r="X775" s="8">
        <v>45156</v>
      </c>
      <c r="Y775" s="4"/>
      <c r="Z775" s="4"/>
      <c r="AA775" s="8"/>
      <c r="AB775" s="8"/>
      <c r="AC775" s="4"/>
      <c r="AD775" s="4"/>
    </row>
    <row r="776" spans="1:30" hidden="1">
      <c r="A776" s="4">
        <v>566</v>
      </c>
      <c r="B776" s="8">
        <v>45156</v>
      </c>
      <c r="C776" s="4"/>
      <c r="D776" s="4" t="s">
        <v>42</v>
      </c>
      <c r="E776" s="8">
        <v>45169</v>
      </c>
      <c r="F776" s="4" t="s">
        <v>43</v>
      </c>
      <c r="G776" s="15" t="s">
        <v>19</v>
      </c>
      <c r="H776" s="4" t="s">
        <v>45</v>
      </c>
      <c r="I776" s="4" t="s">
        <v>519</v>
      </c>
      <c r="J776" s="10">
        <v>0.27100000000000002</v>
      </c>
      <c r="K776" s="10">
        <v>0.27100000000000002</v>
      </c>
      <c r="L776" s="10">
        <f t="shared" si="65"/>
        <v>0</v>
      </c>
      <c r="M776" s="10">
        <f t="shared" ref="M776" si="68">SUM(N776:T776)</f>
        <v>0</v>
      </c>
      <c r="N776" s="10"/>
      <c r="O776" s="10"/>
      <c r="P776" s="10">
        <v>0</v>
      </c>
      <c r="Q776" s="10"/>
      <c r="R776" s="10"/>
      <c r="S776" s="10"/>
      <c r="T776" s="10"/>
      <c r="U776" s="10"/>
      <c r="V776" s="4" t="s">
        <v>813</v>
      </c>
      <c r="W776" s="4" t="s">
        <v>521</v>
      </c>
      <c r="X776" s="8"/>
      <c r="Y776" s="4"/>
      <c r="Z776" s="4"/>
      <c r="AA776" s="8"/>
      <c r="AB776" s="8"/>
      <c r="AC776" s="4"/>
      <c r="AD776" s="4"/>
    </row>
    <row r="777" spans="1:30" hidden="1">
      <c r="A777" s="4">
        <v>709</v>
      </c>
      <c r="B777" s="8">
        <v>45150</v>
      </c>
      <c r="C777" s="4"/>
      <c r="D777" s="4" t="s">
        <v>42</v>
      </c>
      <c r="E777" s="8">
        <v>45169</v>
      </c>
      <c r="F777" s="4" t="s">
        <v>43</v>
      </c>
      <c r="G777" s="15" t="s">
        <v>92</v>
      </c>
      <c r="H777" s="4" t="s">
        <v>52</v>
      </c>
      <c r="I777" s="4" t="s">
        <v>89</v>
      </c>
      <c r="J777" s="10">
        <v>47.255220000000001</v>
      </c>
      <c r="K777" s="10">
        <f>20.475+26.781</f>
        <v>47.256</v>
      </c>
      <c r="L777" s="10">
        <f t="shared" si="65"/>
        <v>0</v>
      </c>
      <c r="M777" s="10">
        <f t="shared" ref="M777:M832" si="69">SUM(N777:T777)</f>
        <v>0</v>
      </c>
      <c r="N777" s="10"/>
      <c r="O777" s="10"/>
      <c r="P777" s="10">
        <v>0</v>
      </c>
      <c r="Q777" s="10"/>
      <c r="R777" s="10"/>
      <c r="S777" s="10"/>
      <c r="T777" s="10"/>
      <c r="U777" s="10"/>
      <c r="V777" s="4" t="s">
        <v>572</v>
      </c>
      <c r="W777" s="4"/>
      <c r="X777" s="8"/>
      <c r="Y777" s="4"/>
      <c r="Z777" s="4"/>
      <c r="AA777" s="8">
        <v>45157</v>
      </c>
      <c r="AB777" s="8">
        <v>45157</v>
      </c>
      <c r="AC777" s="4"/>
      <c r="AD777" s="4"/>
    </row>
    <row r="778" spans="1:30" hidden="1">
      <c r="A778" s="4">
        <v>710</v>
      </c>
      <c r="B778" s="8">
        <v>45150</v>
      </c>
      <c r="C778" s="4"/>
      <c r="D778" s="4" t="s">
        <v>42</v>
      </c>
      <c r="E778" s="8">
        <v>45169</v>
      </c>
      <c r="F778" s="4" t="s">
        <v>43</v>
      </c>
      <c r="G778" s="15" t="s">
        <v>1020</v>
      </c>
      <c r="H778" s="4" t="s">
        <v>45</v>
      </c>
      <c r="I778" s="4" t="s">
        <v>517</v>
      </c>
      <c r="J778" s="10">
        <v>51.946439999999996</v>
      </c>
      <c r="K778" s="10">
        <f>21.379+23.47+7.041+0.262</f>
        <v>52.152000000000001</v>
      </c>
      <c r="L778" s="10">
        <f t="shared" si="65"/>
        <v>0</v>
      </c>
      <c r="M778" s="10">
        <f t="shared" si="69"/>
        <v>0</v>
      </c>
      <c r="N778" s="10"/>
      <c r="O778" s="10"/>
      <c r="P778" s="10"/>
      <c r="Q778" s="10"/>
      <c r="R778" s="10"/>
      <c r="S778" s="10"/>
      <c r="T778" s="10"/>
      <c r="U778" s="10"/>
      <c r="V778" s="4" t="s">
        <v>572</v>
      </c>
      <c r="W778" s="4" t="s">
        <v>37</v>
      </c>
      <c r="X778" s="8"/>
      <c r="Y778" s="4"/>
      <c r="Z778" s="4"/>
      <c r="AA778" s="8">
        <v>45161</v>
      </c>
      <c r="AB778" s="8">
        <v>45163</v>
      </c>
      <c r="AC778" s="4"/>
      <c r="AD778" s="4"/>
    </row>
    <row r="779" spans="1:30" hidden="1">
      <c r="A779" s="4">
        <v>710</v>
      </c>
      <c r="B779" s="8">
        <v>45150</v>
      </c>
      <c r="C779" s="4"/>
      <c r="D779" s="4" t="s">
        <v>42</v>
      </c>
      <c r="E779" s="8">
        <v>45169</v>
      </c>
      <c r="F779" s="4" t="s">
        <v>43</v>
      </c>
      <c r="G779" s="15" t="s">
        <v>1020</v>
      </c>
      <c r="H779" s="4" t="s">
        <v>45</v>
      </c>
      <c r="I779" s="4" t="s">
        <v>448</v>
      </c>
      <c r="J779" s="10">
        <v>230.15434000000002</v>
      </c>
      <c r="K779" s="10">
        <f>28.049+4.661+10.748+32.942+25.89+31.981+17.852+2.208+5.716+5.805+32.424+32.437</f>
        <v>230.71300000000002</v>
      </c>
      <c r="L779" s="10">
        <f t="shared" si="65"/>
        <v>0</v>
      </c>
      <c r="M779" s="10">
        <f t="shared" si="69"/>
        <v>0</v>
      </c>
      <c r="N779" s="10"/>
      <c r="O779" s="10"/>
      <c r="P779" s="10">
        <v>0</v>
      </c>
      <c r="Q779" s="10"/>
      <c r="R779" s="10"/>
      <c r="S779" s="10"/>
      <c r="T779" s="10"/>
      <c r="U779" s="10"/>
      <c r="V779" s="4" t="s">
        <v>572</v>
      </c>
      <c r="W779" s="4" t="s">
        <v>37</v>
      </c>
      <c r="X779" s="8">
        <v>45157</v>
      </c>
      <c r="Y779" s="4"/>
      <c r="Z779" s="4"/>
      <c r="AA779" s="8">
        <v>45160</v>
      </c>
      <c r="AB779" s="8">
        <v>45165</v>
      </c>
      <c r="AC779" s="4"/>
      <c r="AD779" s="4"/>
    </row>
    <row r="780" spans="1:30" hidden="1">
      <c r="A780" s="4">
        <v>711</v>
      </c>
      <c r="B780" s="8">
        <v>45150</v>
      </c>
      <c r="C780" s="4"/>
      <c r="D780" s="4"/>
      <c r="E780" s="8">
        <v>45161</v>
      </c>
      <c r="F780" s="4" t="s">
        <v>43</v>
      </c>
      <c r="G780" s="40" t="s">
        <v>60</v>
      </c>
      <c r="H780" s="4" t="s">
        <v>45</v>
      </c>
      <c r="I780" s="4" t="s">
        <v>448</v>
      </c>
      <c r="J780" s="10">
        <v>1.6900000000000002</v>
      </c>
      <c r="K780" s="10">
        <v>1.69</v>
      </c>
      <c r="L780" s="10">
        <f t="shared" si="65"/>
        <v>0</v>
      </c>
      <c r="M780" s="10">
        <f t="shared" si="69"/>
        <v>0</v>
      </c>
      <c r="N780" s="10"/>
      <c r="O780" s="10"/>
      <c r="P780" s="10">
        <v>0</v>
      </c>
      <c r="Q780" s="10"/>
      <c r="R780" s="10"/>
      <c r="S780" s="10"/>
      <c r="T780" s="10"/>
      <c r="U780" s="10"/>
      <c r="V780" s="4" t="s">
        <v>85</v>
      </c>
      <c r="W780" s="4" t="s">
        <v>1086</v>
      </c>
      <c r="X780" s="8"/>
      <c r="Y780" s="4"/>
      <c r="Z780" s="4"/>
      <c r="AA780" s="8"/>
      <c r="AB780" s="8"/>
      <c r="AC780" s="4"/>
      <c r="AD780" s="4"/>
    </row>
    <row r="781" spans="1:30" hidden="1">
      <c r="A781" s="4">
        <v>712</v>
      </c>
      <c r="B781" s="8">
        <v>45150</v>
      </c>
      <c r="C781" s="4"/>
      <c r="D781" s="4" t="s">
        <v>42</v>
      </c>
      <c r="E781" s="8">
        <v>45161</v>
      </c>
      <c r="F781" s="4" t="s">
        <v>43</v>
      </c>
      <c r="G781" s="15" t="s">
        <v>843</v>
      </c>
      <c r="H781" s="4" t="s">
        <v>52</v>
      </c>
      <c r="I781" s="4" t="s">
        <v>435</v>
      </c>
      <c r="J781" s="10">
        <v>11.8</v>
      </c>
      <c r="K781" s="10">
        <f>6.054+5.8</f>
        <v>11.853999999999999</v>
      </c>
      <c r="L781" s="10">
        <f t="shared" si="65"/>
        <v>0</v>
      </c>
      <c r="M781" s="10">
        <f t="shared" si="69"/>
        <v>0</v>
      </c>
      <c r="N781" s="10"/>
      <c r="O781" s="10"/>
      <c r="P781" s="10">
        <v>0</v>
      </c>
      <c r="Q781" s="10"/>
      <c r="R781" s="10"/>
      <c r="S781" s="10"/>
      <c r="T781" s="10"/>
      <c r="U781" s="10"/>
      <c r="V781" s="4" t="s">
        <v>572</v>
      </c>
      <c r="W781" s="4"/>
      <c r="X781" s="8">
        <v>45165</v>
      </c>
      <c r="Y781" s="4"/>
      <c r="Z781" s="4"/>
      <c r="AA781" s="8">
        <v>45167</v>
      </c>
      <c r="AB781" s="8"/>
      <c r="AC781" s="4"/>
      <c r="AD781" s="4"/>
    </row>
    <row r="782" spans="1:30" hidden="1">
      <c r="A782" s="4">
        <v>712</v>
      </c>
      <c r="B782" s="8">
        <v>45150</v>
      </c>
      <c r="C782" s="4"/>
      <c r="D782" s="4" t="s">
        <v>42</v>
      </c>
      <c r="E782" s="8">
        <v>45161</v>
      </c>
      <c r="F782" s="4" t="s">
        <v>43</v>
      </c>
      <c r="G782" s="15" t="s">
        <v>843</v>
      </c>
      <c r="H782" s="4" t="s">
        <v>52</v>
      </c>
      <c r="I782" s="4" t="s">
        <v>432</v>
      </c>
      <c r="J782" s="10">
        <v>23.4</v>
      </c>
      <c r="K782" s="10">
        <f>12.18+11.22</f>
        <v>23.4</v>
      </c>
      <c r="L782" s="10">
        <f t="shared" si="65"/>
        <v>0</v>
      </c>
      <c r="M782" s="10">
        <f t="shared" si="69"/>
        <v>0</v>
      </c>
      <c r="N782" s="10"/>
      <c r="O782" s="10"/>
      <c r="P782" s="10">
        <v>0</v>
      </c>
      <c r="Q782" s="10"/>
      <c r="R782" s="10"/>
      <c r="S782" s="10"/>
      <c r="T782" s="10"/>
      <c r="U782" s="10"/>
      <c r="V782" s="4" t="s">
        <v>572</v>
      </c>
      <c r="W782" s="4"/>
      <c r="X782" s="8">
        <v>45165</v>
      </c>
      <c r="Y782" s="4"/>
      <c r="Z782" s="4"/>
      <c r="AA782" s="8">
        <v>45168</v>
      </c>
      <c r="AB782" s="8">
        <v>45168</v>
      </c>
      <c r="AC782" s="4"/>
      <c r="AD782" s="4"/>
    </row>
    <row r="783" spans="1:30" hidden="1">
      <c r="A783" s="4">
        <v>712</v>
      </c>
      <c r="B783" s="8">
        <v>45150</v>
      </c>
      <c r="C783" s="4"/>
      <c r="D783" s="4" t="s">
        <v>42</v>
      </c>
      <c r="E783" s="8">
        <v>45161</v>
      </c>
      <c r="F783" s="4" t="s">
        <v>43</v>
      </c>
      <c r="G783" s="15" t="s">
        <v>843</v>
      </c>
      <c r="H783" s="4" t="s">
        <v>52</v>
      </c>
      <c r="I783" s="4" t="s">
        <v>46</v>
      </c>
      <c r="J783" s="10">
        <v>26.61</v>
      </c>
      <c r="K783" s="10">
        <f>8.166+12.386+6.531</f>
        <v>27.082999999999998</v>
      </c>
      <c r="L783" s="10">
        <f t="shared" si="65"/>
        <v>0</v>
      </c>
      <c r="M783" s="10">
        <f t="shared" si="69"/>
        <v>0</v>
      </c>
      <c r="N783" s="10"/>
      <c r="O783" s="10"/>
      <c r="P783" s="10">
        <v>0</v>
      </c>
      <c r="Q783" s="10"/>
      <c r="R783" s="10"/>
      <c r="S783" s="10"/>
      <c r="T783" s="10"/>
      <c r="U783" s="10"/>
      <c r="V783" s="4" t="s">
        <v>572</v>
      </c>
      <c r="W783" s="4"/>
      <c r="X783" s="8">
        <v>45164</v>
      </c>
      <c r="Y783" s="4"/>
      <c r="Z783" s="4"/>
      <c r="AA783" s="8">
        <v>45169</v>
      </c>
      <c r="AB783" s="8"/>
      <c r="AC783" s="4"/>
      <c r="AD783" s="4"/>
    </row>
    <row r="784" spans="1:30" hidden="1">
      <c r="A784" s="4">
        <v>712</v>
      </c>
      <c r="B784" s="8">
        <v>45150</v>
      </c>
      <c r="C784" s="4"/>
      <c r="D784" s="4" t="s">
        <v>42</v>
      </c>
      <c r="E784" s="8">
        <v>45161</v>
      </c>
      <c r="F784" s="4" t="s">
        <v>43</v>
      </c>
      <c r="G784" s="15" t="s">
        <v>848</v>
      </c>
      <c r="H784" s="4" t="s">
        <v>45</v>
      </c>
      <c r="I784" s="4" t="s">
        <v>46</v>
      </c>
      <c r="J784" s="10">
        <v>2.6290800000000001</v>
      </c>
      <c r="K784" s="10">
        <v>2.629</v>
      </c>
      <c r="L784" s="10">
        <f t="shared" si="65"/>
        <v>0</v>
      </c>
      <c r="M784" s="10">
        <f t="shared" si="69"/>
        <v>0</v>
      </c>
      <c r="N784" s="10"/>
      <c r="O784" s="10"/>
      <c r="P784" s="10">
        <v>0</v>
      </c>
      <c r="Q784" s="10"/>
      <c r="R784" s="10"/>
      <c r="S784" s="10"/>
      <c r="T784" s="10"/>
      <c r="U784" s="10"/>
      <c r="V784" s="4" t="s">
        <v>572</v>
      </c>
      <c r="W784" s="4"/>
      <c r="X784" s="8">
        <v>45164</v>
      </c>
      <c r="Y784" s="4"/>
      <c r="Z784" s="4"/>
      <c r="AA784" s="8">
        <v>45169</v>
      </c>
      <c r="AB784" s="8">
        <v>45169</v>
      </c>
      <c r="AC784" s="4"/>
      <c r="AD784" s="4"/>
    </row>
    <row r="785" spans="1:30" hidden="1">
      <c r="A785" s="4">
        <v>712</v>
      </c>
      <c r="B785" s="8">
        <v>45150</v>
      </c>
      <c r="C785" s="4"/>
      <c r="D785" s="4" t="s">
        <v>42</v>
      </c>
      <c r="E785" s="8">
        <v>45161</v>
      </c>
      <c r="F785" s="4" t="s">
        <v>43</v>
      </c>
      <c r="G785" s="15" t="s">
        <v>848</v>
      </c>
      <c r="H785" s="4" t="s">
        <v>45</v>
      </c>
      <c r="I785" s="4" t="s">
        <v>405</v>
      </c>
      <c r="J785" s="10">
        <v>0.88944000000000001</v>
      </c>
      <c r="K785" s="10">
        <v>1.1539999999999999</v>
      </c>
      <c r="L785" s="10">
        <f t="shared" si="65"/>
        <v>0</v>
      </c>
      <c r="M785" s="10">
        <f t="shared" si="69"/>
        <v>0</v>
      </c>
      <c r="N785" s="10"/>
      <c r="O785" s="10"/>
      <c r="P785" s="10">
        <v>0</v>
      </c>
      <c r="Q785" s="10"/>
      <c r="R785" s="10"/>
      <c r="S785" s="10"/>
      <c r="T785" s="10"/>
      <c r="U785" s="10"/>
      <c r="V785" s="4" t="s">
        <v>572</v>
      </c>
      <c r="W785" s="4"/>
      <c r="X785" s="8">
        <v>45164</v>
      </c>
      <c r="Y785" s="4"/>
      <c r="Z785" s="4"/>
      <c r="AA785" s="8">
        <v>45169</v>
      </c>
      <c r="AB785" s="8">
        <v>45169</v>
      </c>
      <c r="AC785" s="4"/>
      <c r="AD785" s="4"/>
    </row>
    <row r="786" spans="1:30" hidden="1">
      <c r="A786" s="4">
        <v>713</v>
      </c>
      <c r="B786" s="8">
        <v>45150</v>
      </c>
      <c r="C786" s="4"/>
      <c r="D786" s="4" t="s">
        <v>42</v>
      </c>
      <c r="E786" s="8">
        <v>45161</v>
      </c>
      <c r="F786" s="4" t="s">
        <v>43</v>
      </c>
      <c r="G786" s="39" t="s">
        <v>874</v>
      </c>
      <c r="H786" s="4" t="s">
        <v>45</v>
      </c>
      <c r="I786" s="4" t="s">
        <v>46</v>
      </c>
      <c r="J786" s="10">
        <v>0.60031999999999996</v>
      </c>
      <c r="K786" s="10">
        <v>0.6</v>
      </c>
      <c r="L786" s="10">
        <f t="shared" si="65"/>
        <v>0</v>
      </c>
      <c r="M786" s="10">
        <f t="shared" si="69"/>
        <v>0</v>
      </c>
      <c r="N786" s="10"/>
      <c r="O786" s="10"/>
      <c r="P786" s="10">
        <v>0</v>
      </c>
      <c r="Q786" s="10"/>
      <c r="R786" s="10"/>
      <c r="S786" s="10"/>
      <c r="T786" s="10"/>
      <c r="U786" s="10"/>
      <c r="V786" s="4" t="s">
        <v>411</v>
      </c>
      <c r="W786" s="4"/>
      <c r="X786" s="8">
        <v>45164</v>
      </c>
      <c r="Y786" s="4"/>
      <c r="Z786" s="4"/>
      <c r="AA786" s="8">
        <v>45168</v>
      </c>
      <c r="AB786" s="8">
        <v>45168</v>
      </c>
      <c r="AC786" s="4"/>
      <c r="AD786" s="4"/>
    </row>
    <row r="787" spans="1:30" hidden="1">
      <c r="A787" s="4">
        <v>713</v>
      </c>
      <c r="B787" s="8">
        <v>45150</v>
      </c>
      <c r="C787" s="4"/>
      <c r="D787" s="4" t="s">
        <v>42</v>
      </c>
      <c r="E787" s="8">
        <v>45161</v>
      </c>
      <c r="F787" s="4" t="s">
        <v>43</v>
      </c>
      <c r="G787" s="39" t="s">
        <v>874</v>
      </c>
      <c r="H787" s="4" t="s">
        <v>45</v>
      </c>
      <c r="I787" s="4" t="s">
        <v>403</v>
      </c>
      <c r="J787" s="10">
        <v>1.8</v>
      </c>
      <c r="K787" s="10">
        <v>1.7989999999999999</v>
      </c>
      <c r="L787" s="10">
        <f t="shared" si="65"/>
        <v>0</v>
      </c>
      <c r="M787" s="10">
        <f t="shared" si="69"/>
        <v>0</v>
      </c>
      <c r="N787" s="10"/>
      <c r="O787" s="10"/>
      <c r="P787" s="10">
        <v>0</v>
      </c>
      <c r="Q787" s="10"/>
      <c r="R787" s="10"/>
      <c r="S787" s="10"/>
      <c r="T787" s="10"/>
      <c r="U787" s="10"/>
      <c r="V787" s="4" t="s">
        <v>411</v>
      </c>
      <c r="W787" s="4"/>
      <c r="X787" s="8">
        <v>45163</v>
      </c>
      <c r="Y787" s="4"/>
      <c r="Z787" s="4"/>
      <c r="AA787" s="8">
        <v>45167</v>
      </c>
      <c r="AB787" s="8">
        <v>45167</v>
      </c>
      <c r="AC787" s="4"/>
      <c r="AD787" s="4"/>
    </row>
    <row r="788" spans="1:30" hidden="1">
      <c r="A788" s="4">
        <v>713</v>
      </c>
      <c r="B788" s="8">
        <v>45150</v>
      </c>
      <c r="C788" s="4"/>
      <c r="D788" s="4" t="s">
        <v>42</v>
      </c>
      <c r="E788" s="8">
        <v>45161</v>
      </c>
      <c r="F788" s="4" t="s">
        <v>43</v>
      </c>
      <c r="G788" s="39" t="s">
        <v>874</v>
      </c>
      <c r="H788" s="4" t="s">
        <v>45</v>
      </c>
      <c r="I788" s="4" t="s">
        <v>49</v>
      </c>
      <c r="J788" s="10">
        <v>1.88</v>
      </c>
      <c r="K788" s="10">
        <v>1.8819999999999999</v>
      </c>
      <c r="L788" s="10">
        <f t="shared" si="65"/>
        <v>0</v>
      </c>
      <c r="M788" s="10">
        <f t="shared" si="69"/>
        <v>0</v>
      </c>
      <c r="N788" s="10"/>
      <c r="O788" s="10"/>
      <c r="P788" s="10">
        <v>0</v>
      </c>
      <c r="Q788" s="10"/>
      <c r="R788" s="10"/>
      <c r="S788" s="10"/>
      <c r="T788" s="10"/>
      <c r="U788" s="10"/>
      <c r="V788" s="4" t="s">
        <v>411</v>
      </c>
      <c r="W788" s="4"/>
      <c r="X788" s="8">
        <v>45169</v>
      </c>
      <c r="Y788" s="4"/>
      <c r="Z788" s="4"/>
      <c r="AA788" s="8"/>
      <c r="AB788" s="8"/>
      <c r="AC788" s="4"/>
      <c r="AD788" s="4"/>
    </row>
    <row r="789" spans="1:30" hidden="1">
      <c r="A789" s="4">
        <v>713</v>
      </c>
      <c r="B789" s="8">
        <v>45150</v>
      </c>
      <c r="C789" s="4"/>
      <c r="D789" s="4" t="s">
        <v>42</v>
      </c>
      <c r="E789" s="8">
        <v>45161</v>
      </c>
      <c r="F789" s="4" t="s">
        <v>43</v>
      </c>
      <c r="G789" s="39" t="s">
        <v>321</v>
      </c>
      <c r="H789" s="4" t="s">
        <v>45</v>
      </c>
      <c r="I789" s="4" t="s">
        <v>517</v>
      </c>
      <c r="J789" s="10">
        <v>6.0389999999999997</v>
      </c>
      <c r="K789" s="10">
        <f>1.212+4.794</f>
        <v>6.0059999999999993</v>
      </c>
      <c r="L789" s="10">
        <f t="shared" si="65"/>
        <v>0</v>
      </c>
      <c r="M789" s="10">
        <f t="shared" si="69"/>
        <v>0</v>
      </c>
      <c r="N789" s="10"/>
      <c r="O789" s="10"/>
      <c r="P789" s="10">
        <v>0</v>
      </c>
      <c r="Q789" s="10"/>
      <c r="R789" s="10"/>
      <c r="S789" s="10"/>
      <c r="T789" s="10"/>
      <c r="U789" s="10"/>
      <c r="V789" s="4" t="s">
        <v>411</v>
      </c>
      <c r="W789" s="4"/>
      <c r="X789" s="8">
        <v>45158</v>
      </c>
      <c r="Y789" s="4"/>
      <c r="Z789" s="4"/>
      <c r="AA789" s="8">
        <v>45160</v>
      </c>
      <c r="AB789" s="8">
        <v>45160</v>
      </c>
      <c r="AC789" s="4"/>
      <c r="AD789" s="4"/>
    </row>
    <row r="790" spans="1:30" hidden="1">
      <c r="A790" s="4">
        <v>713</v>
      </c>
      <c r="B790" s="8">
        <v>45150</v>
      </c>
      <c r="C790" s="4"/>
      <c r="D790" s="4" t="s">
        <v>42</v>
      </c>
      <c r="E790" s="8">
        <v>45161</v>
      </c>
      <c r="F790" s="4" t="s">
        <v>43</v>
      </c>
      <c r="G790" s="39" t="s">
        <v>321</v>
      </c>
      <c r="H790" s="4" t="s">
        <v>45</v>
      </c>
      <c r="I790" s="4" t="s">
        <v>579</v>
      </c>
      <c r="J790" s="10">
        <v>1.7949999999999999</v>
      </c>
      <c r="K790" s="10">
        <v>1.744</v>
      </c>
      <c r="L790" s="10">
        <f t="shared" si="65"/>
        <v>0</v>
      </c>
      <c r="M790" s="10">
        <f t="shared" si="69"/>
        <v>0</v>
      </c>
      <c r="N790" s="10"/>
      <c r="O790" s="10"/>
      <c r="P790" s="10">
        <v>0</v>
      </c>
      <c r="Q790" s="10"/>
      <c r="R790" s="10"/>
      <c r="S790" s="10"/>
      <c r="T790" s="10"/>
      <c r="U790" s="10"/>
      <c r="V790" s="4" t="s">
        <v>411</v>
      </c>
      <c r="W790" s="4"/>
      <c r="X790" s="8">
        <v>45158</v>
      </c>
      <c r="Y790" s="4"/>
      <c r="Z790" s="4"/>
      <c r="AA790" s="8">
        <v>45160</v>
      </c>
      <c r="AB790" s="8">
        <v>45160</v>
      </c>
      <c r="AC790" s="4"/>
      <c r="AD790" s="4"/>
    </row>
    <row r="791" spans="1:30" hidden="1">
      <c r="A791" s="4">
        <v>713</v>
      </c>
      <c r="B791" s="8">
        <v>45150</v>
      </c>
      <c r="C791" s="4"/>
      <c r="D791" s="4" t="s">
        <v>42</v>
      </c>
      <c r="E791" s="8">
        <v>45161</v>
      </c>
      <c r="F791" s="4" t="s">
        <v>43</v>
      </c>
      <c r="G791" s="39" t="s">
        <v>321</v>
      </c>
      <c r="H791" s="4" t="s">
        <v>45</v>
      </c>
      <c r="I791" s="4" t="s">
        <v>518</v>
      </c>
      <c r="J791" s="10">
        <v>5.516</v>
      </c>
      <c r="K791" s="10">
        <v>5.516</v>
      </c>
      <c r="L791" s="10">
        <f t="shared" si="65"/>
        <v>0</v>
      </c>
      <c r="M791" s="10">
        <f t="shared" si="69"/>
        <v>0</v>
      </c>
      <c r="N791" s="10"/>
      <c r="O791" s="10"/>
      <c r="P791" s="10">
        <v>0</v>
      </c>
      <c r="Q791" s="10"/>
      <c r="R791" s="10"/>
      <c r="S791" s="10"/>
      <c r="T791" s="10"/>
      <c r="U791" s="10"/>
      <c r="V791" s="4" t="s">
        <v>411</v>
      </c>
      <c r="W791" s="4"/>
      <c r="X791" s="8">
        <v>45157</v>
      </c>
      <c r="Y791" s="4"/>
      <c r="Z791" s="4"/>
      <c r="AA791" s="8">
        <v>45159</v>
      </c>
      <c r="AB791" s="8">
        <v>45159</v>
      </c>
      <c r="AC791" s="4"/>
      <c r="AD791" s="4"/>
    </row>
    <row r="792" spans="1:30" hidden="1">
      <c r="A792" s="4">
        <v>713</v>
      </c>
      <c r="B792" s="8">
        <v>45150</v>
      </c>
      <c r="C792" s="4"/>
      <c r="D792" s="4" t="s">
        <v>42</v>
      </c>
      <c r="E792" s="8">
        <v>45161</v>
      </c>
      <c r="F792" s="4" t="s">
        <v>43</v>
      </c>
      <c r="G792" s="39" t="s">
        <v>321</v>
      </c>
      <c r="H792" s="4" t="s">
        <v>45</v>
      </c>
      <c r="I792" s="4" t="s">
        <v>449</v>
      </c>
      <c r="J792" s="10">
        <v>2.7639999999999998</v>
      </c>
      <c r="K792" s="10">
        <v>2.7639999999999998</v>
      </c>
      <c r="L792" s="10">
        <f t="shared" si="65"/>
        <v>0</v>
      </c>
      <c r="M792" s="10">
        <f t="shared" si="69"/>
        <v>0</v>
      </c>
      <c r="N792" s="10"/>
      <c r="O792" s="10"/>
      <c r="P792" s="10">
        <v>0</v>
      </c>
      <c r="Q792" s="10"/>
      <c r="R792" s="10"/>
      <c r="S792" s="10"/>
      <c r="T792" s="10"/>
      <c r="U792" s="10"/>
      <c r="V792" s="4" t="s">
        <v>411</v>
      </c>
      <c r="W792" s="4"/>
      <c r="X792" s="8">
        <v>45157</v>
      </c>
      <c r="Y792" s="4"/>
      <c r="Z792" s="4"/>
      <c r="AA792" s="8">
        <v>45159</v>
      </c>
      <c r="AB792" s="8">
        <v>45159</v>
      </c>
      <c r="AC792" s="4"/>
      <c r="AD792" s="4"/>
    </row>
    <row r="793" spans="1:30" hidden="1">
      <c r="A793" s="4">
        <v>713</v>
      </c>
      <c r="B793" s="8">
        <v>45150</v>
      </c>
      <c r="C793" s="4"/>
      <c r="D793" s="4" t="s">
        <v>42</v>
      </c>
      <c r="E793" s="8">
        <v>45161</v>
      </c>
      <c r="F793" s="4" t="s">
        <v>43</v>
      </c>
      <c r="G793" s="39" t="s">
        <v>321</v>
      </c>
      <c r="H793" s="4" t="s">
        <v>45</v>
      </c>
      <c r="I793" s="4" t="s">
        <v>447</v>
      </c>
      <c r="J793" s="10">
        <v>1.764</v>
      </c>
      <c r="K793" s="10">
        <v>1.764</v>
      </c>
      <c r="L793" s="10">
        <f t="shared" si="65"/>
        <v>0</v>
      </c>
      <c r="M793" s="10">
        <f t="shared" si="69"/>
        <v>0</v>
      </c>
      <c r="N793" s="10"/>
      <c r="O793" s="10"/>
      <c r="P793" s="10">
        <v>0</v>
      </c>
      <c r="Q793" s="10"/>
      <c r="R793" s="10"/>
      <c r="S793" s="10"/>
      <c r="T793" s="10"/>
      <c r="U793" s="10"/>
      <c r="V793" s="4" t="s">
        <v>411</v>
      </c>
      <c r="W793" s="4"/>
      <c r="X793" s="8">
        <v>45157</v>
      </c>
      <c r="Y793" s="4"/>
      <c r="Z793" s="4"/>
      <c r="AA793" s="8">
        <v>45160</v>
      </c>
      <c r="AB793" s="8">
        <v>45160</v>
      </c>
      <c r="AC793" s="4"/>
      <c r="AD793" s="4"/>
    </row>
    <row r="794" spans="1:30" hidden="1">
      <c r="A794" s="4">
        <v>713</v>
      </c>
      <c r="B794" s="8">
        <v>45150</v>
      </c>
      <c r="C794" s="4"/>
      <c r="D794" s="4" t="s">
        <v>42</v>
      </c>
      <c r="E794" s="8">
        <v>45161</v>
      </c>
      <c r="F794" s="4" t="s">
        <v>43</v>
      </c>
      <c r="G794" s="39" t="s">
        <v>321</v>
      </c>
      <c r="H794" s="4" t="s">
        <v>45</v>
      </c>
      <c r="I794" s="4" t="s">
        <v>435</v>
      </c>
      <c r="J794" s="10">
        <v>0.13800000000000001</v>
      </c>
      <c r="K794" s="10">
        <v>0.17299999999999999</v>
      </c>
      <c r="L794" s="10">
        <f t="shared" si="65"/>
        <v>0</v>
      </c>
      <c r="M794" s="10">
        <f t="shared" si="69"/>
        <v>0</v>
      </c>
      <c r="N794" s="10"/>
      <c r="O794" s="10"/>
      <c r="P794" s="10">
        <v>0</v>
      </c>
      <c r="Q794" s="10"/>
      <c r="R794" s="10"/>
      <c r="S794" s="10"/>
      <c r="T794" s="10"/>
      <c r="U794" s="10"/>
      <c r="V794" s="4" t="s">
        <v>411</v>
      </c>
      <c r="W794" s="4" t="s">
        <v>1071</v>
      </c>
      <c r="X794" s="8"/>
      <c r="Y794" s="4"/>
      <c r="Z794" s="4"/>
      <c r="AA794" s="8">
        <v>45169</v>
      </c>
      <c r="AB794" s="8">
        <v>45169</v>
      </c>
      <c r="AC794" s="4"/>
      <c r="AD794" s="4"/>
    </row>
    <row r="795" spans="1:30" hidden="1">
      <c r="A795" s="4">
        <v>713</v>
      </c>
      <c r="B795" s="8">
        <v>45150</v>
      </c>
      <c r="C795" s="4"/>
      <c r="D795" s="4" t="s">
        <v>42</v>
      </c>
      <c r="E795" s="8">
        <v>45161</v>
      </c>
      <c r="F795" s="4" t="s">
        <v>43</v>
      </c>
      <c r="G795" s="39" t="s">
        <v>874</v>
      </c>
      <c r="H795" s="4" t="s">
        <v>45</v>
      </c>
      <c r="I795" s="4" t="s">
        <v>434</v>
      </c>
      <c r="J795" s="10">
        <v>0.26400000000000001</v>
      </c>
      <c r="K795" s="10">
        <v>0.28799999999999998</v>
      </c>
      <c r="L795" s="10">
        <f t="shared" si="65"/>
        <v>0</v>
      </c>
      <c r="M795" s="10">
        <f t="shared" si="69"/>
        <v>0</v>
      </c>
      <c r="N795" s="10"/>
      <c r="O795" s="10"/>
      <c r="P795" s="10">
        <v>0</v>
      </c>
      <c r="Q795" s="10"/>
      <c r="R795" s="10"/>
      <c r="S795" s="10"/>
      <c r="T795" s="10"/>
      <c r="U795" s="10"/>
      <c r="V795" s="4" t="s">
        <v>411</v>
      </c>
      <c r="W795" s="4" t="s">
        <v>1076</v>
      </c>
      <c r="X795" s="8"/>
      <c r="Y795" s="4"/>
      <c r="Z795" s="4"/>
      <c r="AA795" s="8">
        <v>45169</v>
      </c>
      <c r="AB795" s="8">
        <v>45169</v>
      </c>
      <c r="AC795" s="4"/>
      <c r="AD795" s="4"/>
    </row>
    <row r="796" spans="1:30" hidden="1">
      <c r="A796" s="4">
        <v>713</v>
      </c>
      <c r="B796" s="8">
        <v>45150</v>
      </c>
      <c r="C796" s="4"/>
      <c r="D796" s="4" t="s">
        <v>42</v>
      </c>
      <c r="E796" s="8">
        <v>45161</v>
      </c>
      <c r="F796" s="4" t="s">
        <v>43</v>
      </c>
      <c r="G796" s="39" t="s">
        <v>874</v>
      </c>
      <c r="H796" s="4" t="s">
        <v>45</v>
      </c>
      <c r="I796" s="4" t="s">
        <v>89</v>
      </c>
      <c r="J796" s="10">
        <v>0.46</v>
      </c>
      <c r="K796" s="10">
        <v>0.46500000000000002</v>
      </c>
      <c r="L796" s="10">
        <f t="shared" si="65"/>
        <v>0</v>
      </c>
      <c r="M796" s="10">
        <f t="shared" ref="M796:M797" si="70">SUM(N796:T796)</f>
        <v>0</v>
      </c>
      <c r="N796" s="10"/>
      <c r="O796" s="10"/>
      <c r="P796" s="10">
        <v>0</v>
      </c>
      <c r="Q796" s="10"/>
      <c r="R796" s="10"/>
      <c r="S796" s="10"/>
      <c r="T796" s="10"/>
      <c r="U796" s="10"/>
      <c r="V796" s="4" t="s">
        <v>411</v>
      </c>
      <c r="W796" s="4" t="s">
        <v>37</v>
      </c>
      <c r="X796" s="8">
        <v>45176</v>
      </c>
      <c r="Y796" s="4"/>
      <c r="Z796" s="4"/>
      <c r="AA796" s="8">
        <v>45169</v>
      </c>
      <c r="AB796" s="8">
        <v>45169</v>
      </c>
      <c r="AC796" s="4"/>
      <c r="AD796" s="4"/>
    </row>
    <row r="797" spans="1:30" hidden="1">
      <c r="A797" s="4">
        <v>713</v>
      </c>
      <c r="B797" s="8">
        <v>45150</v>
      </c>
      <c r="C797" s="4"/>
      <c r="D797" s="4" t="s">
        <v>42</v>
      </c>
      <c r="E797" s="8">
        <v>45161</v>
      </c>
      <c r="F797" s="4" t="s">
        <v>43</v>
      </c>
      <c r="G797" s="39" t="s">
        <v>874</v>
      </c>
      <c r="H797" s="4" t="s">
        <v>45</v>
      </c>
      <c r="I797" s="4" t="s">
        <v>87</v>
      </c>
      <c r="J797" s="10">
        <v>0.1</v>
      </c>
      <c r="K797" s="10">
        <v>0.19</v>
      </c>
      <c r="L797" s="10">
        <f t="shared" si="65"/>
        <v>0</v>
      </c>
      <c r="M797" s="10">
        <f t="shared" si="70"/>
        <v>0</v>
      </c>
      <c r="N797" s="10"/>
      <c r="O797" s="10"/>
      <c r="P797" s="10">
        <v>0</v>
      </c>
      <c r="Q797" s="10"/>
      <c r="R797" s="10"/>
      <c r="S797" s="10"/>
      <c r="T797" s="10"/>
      <c r="U797" s="10"/>
      <c r="V797" s="4" t="s">
        <v>411</v>
      </c>
      <c r="W797" s="4"/>
      <c r="X797" s="8">
        <v>45176</v>
      </c>
      <c r="Y797" s="4"/>
      <c r="Z797" s="4"/>
      <c r="AA797" s="8">
        <v>45169</v>
      </c>
      <c r="AB797" s="8">
        <v>45169</v>
      </c>
      <c r="AC797" s="4"/>
      <c r="AD797" s="4"/>
    </row>
    <row r="798" spans="1:30" hidden="1">
      <c r="A798" s="4">
        <v>714</v>
      </c>
      <c r="B798" s="8">
        <v>45150</v>
      </c>
      <c r="C798" s="4"/>
      <c r="D798" s="4" t="s">
        <v>42</v>
      </c>
      <c r="E798" s="8">
        <v>45184</v>
      </c>
      <c r="F798" s="4" t="s">
        <v>43</v>
      </c>
      <c r="G798" s="15" t="s">
        <v>1021</v>
      </c>
      <c r="H798" s="4" t="s">
        <v>45</v>
      </c>
      <c r="I798" s="4" t="s">
        <v>423</v>
      </c>
      <c r="J798" s="10">
        <v>56.877119999999998</v>
      </c>
      <c r="K798" s="10">
        <f>12.096+20.622+2.991+21.168</f>
        <v>56.877000000000002</v>
      </c>
      <c r="L798" s="10">
        <f t="shared" si="65"/>
        <v>0</v>
      </c>
      <c r="M798" s="10">
        <f t="shared" si="69"/>
        <v>0</v>
      </c>
      <c r="N798" s="10"/>
      <c r="O798" s="10"/>
      <c r="P798" s="10">
        <f>34.176+22.701-12.096-20.622-2.991-21.168</f>
        <v>0</v>
      </c>
      <c r="Q798" s="10"/>
      <c r="R798" s="10"/>
      <c r="S798" s="10"/>
      <c r="T798" s="10"/>
      <c r="U798" s="10"/>
      <c r="V798" s="4" t="s">
        <v>572</v>
      </c>
      <c r="W798" s="4"/>
      <c r="X798" s="8">
        <v>45169</v>
      </c>
      <c r="Y798" s="4"/>
      <c r="Z798" s="4"/>
      <c r="AA798" s="8">
        <v>45174</v>
      </c>
      <c r="AB798" s="8"/>
      <c r="AC798" s="4"/>
      <c r="AD798" s="4"/>
    </row>
    <row r="799" spans="1:30" hidden="1">
      <c r="A799" s="4">
        <v>714</v>
      </c>
      <c r="B799" s="8">
        <v>45150</v>
      </c>
      <c r="C799" s="4"/>
      <c r="D799" s="4" t="s">
        <v>42</v>
      </c>
      <c r="E799" s="8">
        <v>45184</v>
      </c>
      <c r="F799" s="4" t="s">
        <v>43</v>
      </c>
      <c r="G799" s="15" t="s">
        <v>1021</v>
      </c>
      <c r="H799" s="4" t="s">
        <v>45</v>
      </c>
      <c r="I799" s="4" t="s">
        <v>517</v>
      </c>
      <c r="J799" s="10">
        <v>52.579799999999999</v>
      </c>
      <c r="K799" s="10">
        <f>10.746+14.289+4.229+15.339+8.292</f>
        <v>52.895000000000003</v>
      </c>
      <c r="L799" s="10">
        <f t="shared" si="65"/>
        <v>0</v>
      </c>
      <c r="M799" s="10">
        <f t="shared" si="69"/>
        <v>0</v>
      </c>
      <c r="N799" s="10"/>
      <c r="O799" s="10"/>
      <c r="P799" s="10">
        <v>0</v>
      </c>
      <c r="Q799" s="10"/>
      <c r="R799" s="10">
        <v>0</v>
      </c>
      <c r="S799" s="10"/>
      <c r="T799" s="10"/>
      <c r="U799" s="10"/>
      <c r="V799" s="4" t="s">
        <v>572</v>
      </c>
      <c r="W799" s="4"/>
      <c r="X799" s="8">
        <v>45194</v>
      </c>
      <c r="Y799" s="4"/>
      <c r="Z799" s="4"/>
      <c r="AA799" s="8">
        <v>45180</v>
      </c>
      <c r="AB799" s="8"/>
      <c r="AC799" s="4"/>
      <c r="AD799" s="4"/>
    </row>
    <row r="800" spans="1:30" hidden="1">
      <c r="A800" s="4">
        <v>714</v>
      </c>
      <c r="B800" s="8">
        <v>45150</v>
      </c>
      <c r="C800" s="4"/>
      <c r="D800" s="4" t="s">
        <v>42</v>
      </c>
      <c r="E800" s="8">
        <v>45184</v>
      </c>
      <c r="F800" s="4" t="s">
        <v>43</v>
      </c>
      <c r="G800" s="15" t="s">
        <v>1021</v>
      </c>
      <c r="H800" s="4" t="s">
        <v>45</v>
      </c>
      <c r="I800" s="4" t="s">
        <v>448</v>
      </c>
      <c r="J800" s="10">
        <v>77.969840000000005</v>
      </c>
      <c r="K800" s="10">
        <f>2.961+26.648+8.883+32.57+6.902</f>
        <v>77.963999999999999</v>
      </c>
      <c r="L800" s="10">
        <f t="shared" si="65"/>
        <v>0</v>
      </c>
      <c r="M800" s="10">
        <f t="shared" si="69"/>
        <v>0</v>
      </c>
      <c r="N800" s="10"/>
      <c r="O800" s="10"/>
      <c r="P800" s="10">
        <v>0</v>
      </c>
      <c r="Q800" s="10"/>
      <c r="R800" s="10"/>
      <c r="S800" s="10"/>
      <c r="T800" s="10"/>
      <c r="U800" s="10"/>
      <c r="V800" s="4" t="s">
        <v>572</v>
      </c>
      <c r="W800" s="4"/>
      <c r="X800" s="8">
        <v>45188</v>
      </c>
      <c r="Y800" s="4"/>
      <c r="Z800" s="4"/>
      <c r="AA800" s="8">
        <v>45191</v>
      </c>
      <c r="AB800" s="8">
        <v>45196</v>
      </c>
      <c r="AC800" s="4"/>
      <c r="AD800" s="4"/>
    </row>
    <row r="801" spans="1:30" hidden="1">
      <c r="A801" s="4">
        <v>714</v>
      </c>
      <c r="B801" s="8">
        <v>45150</v>
      </c>
      <c r="C801" s="4"/>
      <c r="D801" s="4" t="s">
        <v>42</v>
      </c>
      <c r="E801" s="8">
        <v>45184</v>
      </c>
      <c r="F801" s="4" t="s">
        <v>43</v>
      </c>
      <c r="G801" s="15" t="s">
        <v>1021</v>
      </c>
      <c r="H801" s="4" t="s">
        <v>45</v>
      </c>
      <c r="I801" s="4" t="s">
        <v>54</v>
      </c>
      <c r="J801" s="10">
        <v>0.80747199999999997</v>
      </c>
      <c r="K801" s="10">
        <v>0.80700000000000005</v>
      </c>
      <c r="L801" s="10">
        <f t="shared" si="65"/>
        <v>0</v>
      </c>
      <c r="M801" s="10">
        <f t="shared" si="69"/>
        <v>0</v>
      </c>
      <c r="N801" s="10"/>
      <c r="O801" s="10"/>
      <c r="P801" s="10">
        <v>0</v>
      </c>
      <c r="Q801" s="10"/>
      <c r="R801" s="10"/>
      <c r="S801" s="10"/>
      <c r="T801" s="10"/>
      <c r="U801" s="10"/>
      <c r="V801" s="4" t="s">
        <v>572</v>
      </c>
      <c r="W801" s="4"/>
      <c r="X801" s="8">
        <v>45179</v>
      </c>
      <c r="Y801" s="4"/>
      <c r="Z801" s="4"/>
      <c r="AA801" s="8">
        <v>45180</v>
      </c>
      <c r="AB801" s="8"/>
      <c r="AC801" s="4"/>
      <c r="AD801" s="4"/>
    </row>
    <row r="802" spans="1:30" hidden="1">
      <c r="A802" s="4">
        <v>714</v>
      </c>
      <c r="B802" s="8">
        <v>45150</v>
      </c>
      <c r="C802" s="4"/>
      <c r="D802" s="4" t="s">
        <v>42</v>
      </c>
      <c r="E802" s="8">
        <v>45184</v>
      </c>
      <c r="F802" s="4" t="s">
        <v>43</v>
      </c>
      <c r="G802" s="15" t="s">
        <v>1021</v>
      </c>
      <c r="H802" s="4" t="s">
        <v>45</v>
      </c>
      <c r="I802" s="4" t="s">
        <v>405</v>
      </c>
      <c r="J802" s="10">
        <v>0.88944000000000001</v>
      </c>
      <c r="K802" s="10">
        <v>0.89800000000000002</v>
      </c>
      <c r="L802" s="10">
        <f t="shared" si="65"/>
        <v>0</v>
      </c>
      <c r="M802" s="10">
        <f t="shared" si="69"/>
        <v>0</v>
      </c>
      <c r="N802" s="10"/>
      <c r="O802" s="10"/>
      <c r="P802" s="10">
        <v>0</v>
      </c>
      <c r="Q802" s="10"/>
      <c r="R802" s="10"/>
      <c r="S802" s="10"/>
      <c r="T802" s="10"/>
      <c r="U802" s="10"/>
      <c r="V802" s="4" t="s">
        <v>572</v>
      </c>
      <c r="W802" s="4"/>
      <c r="X802" s="8"/>
      <c r="Y802" s="4"/>
      <c r="Z802" s="4"/>
      <c r="AA802" s="8">
        <v>45180</v>
      </c>
      <c r="AB802" s="8"/>
      <c r="AC802" s="4"/>
      <c r="AD802" s="4"/>
    </row>
    <row r="803" spans="1:30" hidden="1">
      <c r="A803" s="4">
        <v>714</v>
      </c>
      <c r="B803" s="8">
        <v>45150</v>
      </c>
      <c r="C803" s="4"/>
      <c r="D803" s="4" t="s">
        <v>42</v>
      </c>
      <c r="E803" s="8">
        <v>45184</v>
      </c>
      <c r="F803" s="4" t="s">
        <v>43</v>
      </c>
      <c r="G803" s="15" t="s">
        <v>1021</v>
      </c>
      <c r="H803" s="4" t="s">
        <v>45</v>
      </c>
      <c r="I803" s="4" t="s">
        <v>46</v>
      </c>
      <c r="J803" s="10">
        <v>2.6290800000000001</v>
      </c>
      <c r="K803" s="10">
        <v>2.629</v>
      </c>
      <c r="L803" s="10">
        <f t="shared" si="65"/>
        <v>0</v>
      </c>
      <c r="M803" s="10">
        <f t="shared" si="69"/>
        <v>0</v>
      </c>
      <c r="N803" s="10"/>
      <c r="O803" s="10"/>
      <c r="P803" s="10">
        <v>0</v>
      </c>
      <c r="Q803" s="10"/>
      <c r="R803" s="10"/>
      <c r="S803" s="10"/>
      <c r="T803" s="10"/>
      <c r="U803" s="10"/>
      <c r="V803" s="4" t="s">
        <v>572</v>
      </c>
      <c r="W803" s="4" t="s">
        <v>37</v>
      </c>
      <c r="X803" s="8">
        <v>45204</v>
      </c>
      <c r="Y803" s="4"/>
      <c r="Z803" s="4"/>
      <c r="AA803" s="8"/>
      <c r="AB803" s="8"/>
      <c r="AC803" s="4"/>
      <c r="AD803" s="4"/>
    </row>
    <row r="804" spans="1:30" hidden="1">
      <c r="A804" s="4">
        <v>714</v>
      </c>
      <c r="B804" s="8">
        <v>45150</v>
      </c>
      <c r="C804" s="4"/>
      <c r="D804" s="4" t="s">
        <v>42</v>
      </c>
      <c r="E804" s="8">
        <v>45184</v>
      </c>
      <c r="F804" s="4" t="s">
        <v>43</v>
      </c>
      <c r="G804" s="15" t="s">
        <v>92</v>
      </c>
      <c r="H804" s="4" t="s">
        <v>52</v>
      </c>
      <c r="I804" s="4" t="s">
        <v>50</v>
      </c>
      <c r="J804" s="10">
        <v>133.25256000000002</v>
      </c>
      <c r="K804" s="10">
        <f>32.625+32.136+32.491+31.123+5.023</f>
        <v>133.398</v>
      </c>
      <c r="L804" s="10">
        <f t="shared" si="65"/>
        <v>0</v>
      </c>
      <c r="M804" s="10">
        <f t="shared" si="69"/>
        <v>0</v>
      </c>
      <c r="N804" s="10"/>
      <c r="O804" s="10"/>
      <c r="P804" s="10">
        <v>0</v>
      </c>
      <c r="Q804" s="10"/>
      <c r="R804" s="10"/>
      <c r="S804" s="10"/>
      <c r="T804" s="10"/>
      <c r="U804" s="10"/>
      <c r="V804" s="4" t="s">
        <v>572</v>
      </c>
      <c r="W804" s="4"/>
      <c r="X804" s="8">
        <v>45183</v>
      </c>
      <c r="Y804" s="4"/>
      <c r="Z804" s="4"/>
      <c r="AA804" s="8">
        <v>45190</v>
      </c>
      <c r="AB804" s="8">
        <v>45191</v>
      </c>
      <c r="AC804" s="4"/>
      <c r="AD804" s="4"/>
    </row>
    <row r="805" spans="1:30" hidden="1">
      <c r="A805" s="4">
        <v>714</v>
      </c>
      <c r="B805" s="8">
        <v>45150</v>
      </c>
      <c r="C805" s="4"/>
      <c r="D805" s="4" t="s">
        <v>42</v>
      </c>
      <c r="E805" s="8">
        <v>45184</v>
      </c>
      <c r="F805" s="4" t="s">
        <v>43</v>
      </c>
      <c r="G805" s="15" t="s">
        <v>92</v>
      </c>
      <c r="H805" s="4" t="s">
        <v>52</v>
      </c>
      <c r="I805" s="4" t="s">
        <v>54</v>
      </c>
      <c r="J805" s="10">
        <v>40.284704000000005</v>
      </c>
      <c r="K805" s="10">
        <f>20.439+20.146</f>
        <v>40.585000000000001</v>
      </c>
      <c r="L805" s="10">
        <f t="shared" si="65"/>
        <v>0</v>
      </c>
      <c r="M805" s="10">
        <f t="shared" si="69"/>
        <v>0</v>
      </c>
      <c r="N805" s="10"/>
      <c r="O805" s="10"/>
      <c r="P805" s="10">
        <v>0</v>
      </c>
      <c r="Q805" s="10"/>
      <c r="R805" s="10"/>
      <c r="S805" s="10"/>
      <c r="T805" s="10"/>
      <c r="U805" s="10"/>
      <c r="V805" s="4" t="s">
        <v>572</v>
      </c>
      <c r="W805" s="4"/>
      <c r="X805" s="8">
        <v>45179</v>
      </c>
      <c r="Y805" s="4"/>
      <c r="Z805" s="4"/>
      <c r="AA805" s="8">
        <v>45180</v>
      </c>
      <c r="AB805" s="8">
        <v>45181</v>
      </c>
      <c r="AC805" s="4"/>
      <c r="AD805" s="4"/>
    </row>
    <row r="806" spans="1:30" hidden="1">
      <c r="A806" s="4">
        <v>714</v>
      </c>
      <c r="B806" s="8">
        <v>45150</v>
      </c>
      <c r="C806" s="4"/>
      <c r="D806" s="4" t="s">
        <v>42</v>
      </c>
      <c r="E806" s="8">
        <v>45184</v>
      </c>
      <c r="F806" s="4" t="s">
        <v>43</v>
      </c>
      <c r="G806" s="15" t="s">
        <v>92</v>
      </c>
      <c r="H806" s="4" t="s">
        <v>52</v>
      </c>
      <c r="I806" s="4" t="s">
        <v>48</v>
      </c>
      <c r="J806" s="10">
        <f>47.96064+5</f>
        <v>52.960639999999998</v>
      </c>
      <c r="K806" s="10">
        <f>11.99+23.439+5.068+12.651</f>
        <v>53.147999999999996</v>
      </c>
      <c r="L806" s="10">
        <f t="shared" si="65"/>
        <v>0</v>
      </c>
      <c r="M806" s="10">
        <f t="shared" si="69"/>
        <v>0</v>
      </c>
      <c r="N806" s="10"/>
      <c r="O806" s="10"/>
      <c r="P806" s="10">
        <v>0</v>
      </c>
      <c r="Q806" s="10"/>
      <c r="R806" s="10"/>
      <c r="S806" s="10"/>
      <c r="T806" s="10"/>
      <c r="U806" s="10"/>
      <c r="V806" s="4" t="s">
        <v>572</v>
      </c>
      <c r="W806" s="4"/>
      <c r="X806" s="8">
        <v>45179</v>
      </c>
      <c r="Y806" s="4"/>
      <c r="Z806" s="4"/>
      <c r="AA806" s="8">
        <v>45180</v>
      </c>
      <c r="AB806" s="8">
        <v>45181</v>
      </c>
      <c r="AC806" s="4"/>
      <c r="AD806" s="4"/>
    </row>
    <row r="807" spans="1:30" hidden="1">
      <c r="A807" s="4">
        <v>714</v>
      </c>
      <c r="B807" s="8">
        <v>45150</v>
      </c>
      <c r="C807" s="4"/>
      <c r="D807" s="4" t="s">
        <v>42</v>
      </c>
      <c r="E807" s="8">
        <v>45184</v>
      </c>
      <c r="F807" s="4" t="s">
        <v>43</v>
      </c>
      <c r="G807" s="15" t="s">
        <v>92</v>
      </c>
      <c r="H807" s="4" t="s">
        <v>52</v>
      </c>
      <c r="I807" s="4" t="s">
        <v>89</v>
      </c>
      <c r="J807" s="10">
        <v>94.510440000000003</v>
      </c>
      <c r="K807" s="10">
        <f>26.184+21.854+30.848+15.917</f>
        <v>94.802999999999997</v>
      </c>
      <c r="L807" s="10">
        <f t="shared" si="65"/>
        <v>0</v>
      </c>
      <c r="M807" s="10">
        <f t="shared" si="69"/>
        <v>0</v>
      </c>
      <c r="N807" s="10"/>
      <c r="O807" s="10"/>
      <c r="P807" s="10">
        <v>0</v>
      </c>
      <c r="Q807" s="10"/>
      <c r="R807" s="10"/>
      <c r="S807" s="10"/>
      <c r="T807" s="10"/>
      <c r="U807" s="10"/>
      <c r="V807" s="4" t="s">
        <v>572</v>
      </c>
      <c r="W807" s="4"/>
      <c r="X807" s="8">
        <v>45176</v>
      </c>
      <c r="Y807" s="4"/>
      <c r="Z807" s="4"/>
      <c r="AA807" s="8"/>
      <c r="AB807" s="8"/>
      <c r="AC807" s="4"/>
      <c r="AD807" s="4"/>
    </row>
    <row r="808" spans="1:30" hidden="1">
      <c r="A808" s="4">
        <v>714</v>
      </c>
      <c r="B808" s="8">
        <v>45150</v>
      </c>
      <c r="C808" s="4"/>
      <c r="D808" s="4" t="s">
        <v>42</v>
      </c>
      <c r="E808" s="8">
        <v>45184</v>
      </c>
      <c r="F808" s="4" t="s">
        <v>43</v>
      </c>
      <c r="G808" s="15" t="s">
        <v>92</v>
      </c>
      <c r="H808" s="4" t="s">
        <v>52</v>
      </c>
      <c r="I808" s="4" t="s">
        <v>435</v>
      </c>
      <c r="J808" s="10">
        <v>11.50848</v>
      </c>
      <c r="K808" s="10">
        <f>9.201+0.873+1.564</f>
        <v>11.638</v>
      </c>
      <c r="L808" s="10">
        <f t="shared" si="65"/>
        <v>0</v>
      </c>
      <c r="M808" s="10">
        <f t="shared" si="69"/>
        <v>0</v>
      </c>
      <c r="N808" s="10"/>
      <c r="O808" s="10"/>
      <c r="P808" s="10">
        <v>0</v>
      </c>
      <c r="Q808" s="10"/>
      <c r="R808" s="10"/>
      <c r="S808" s="10"/>
      <c r="T808" s="10"/>
      <c r="U808" s="10"/>
      <c r="V808" s="4" t="s">
        <v>572</v>
      </c>
      <c r="W808" s="4"/>
      <c r="X808" s="8">
        <v>45165</v>
      </c>
      <c r="Y808" s="4"/>
      <c r="Z808" s="4"/>
      <c r="AA808" s="8">
        <v>45169</v>
      </c>
      <c r="AB808" s="8">
        <v>45192</v>
      </c>
      <c r="AC808" s="4"/>
      <c r="AD808" s="4"/>
    </row>
    <row r="809" spans="1:30" hidden="1">
      <c r="A809" s="4">
        <v>714</v>
      </c>
      <c r="B809" s="8">
        <v>45150</v>
      </c>
      <c r="C809" s="4"/>
      <c r="D809" s="4" t="s">
        <v>42</v>
      </c>
      <c r="E809" s="8">
        <v>45184</v>
      </c>
      <c r="F809" s="4" t="s">
        <v>43</v>
      </c>
      <c r="G809" s="15" t="s">
        <v>92</v>
      </c>
      <c r="H809" s="4" t="s">
        <v>52</v>
      </c>
      <c r="I809" s="4" t="s">
        <v>432</v>
      </c>
      <c r="J809" s="10">
        <v>29.000160000000001</v>
      </c>
      <c r="K809" s="10">
        <f>11.163+15.056+2.817</f>
        <v>29.036000000000001</v>
      </c>
      <c r="L809" s="10">
        <f t="shared" si="65"/>
        <v>0</v>
      </c>
      <c r="M809" s="10">
        <f t="shared" si="69"/>
        <v>0</v>
      </c>
      <c r="N809" s="10"/>
      <c r="O809" s="10"/>
      <c r="P809" s="10">
        <v>0</v>
      </c>
      <c r="Q809" s="10"/>
      <c r="R809" s="10"/>
      <c r="S809" s="10"/>
      <c r="T809" s="10"/>
      <c r="U809" s="10"/>
      <c r="V809" s="4" t="s">
        <v>572</v>
      </c>
      <c r="W809" s="4"/>
      <c r="X809" s="8">
        <v>45165</v>
      </c>
      <c r="Y809" s="4"/>
      <c r="Z809" s="4"/>
      <c r="AA809" s="8">
        <v>45169</v>
      </c>
      <c r="AB809" s="8">
        <v>45170</v>
      </c>
      <c r="AC809" s="4"/>
      <c r="AD809" s="4"/>
    </row>
    <row r="810" spans="1:30" hidden="1">
      <c r="A810" s="4">
        <v>714</v>
      </c>
      <c r="B810" s="8">
        <v>45150</v>
      </c>
      <c r="C810" s="4"/>
      <c r="D810" s="4" t="s">
        <v>42</v>
      </c>
      <c r="E810" s="8">
        <v>45184</v>
      </c>
      <c r="F810" s="4" t="s">
        <v>43</v>
      </c>
      <c r="G810" s="15" t="s">
        <v>92</v>
      </c>
      <c r="H810" s="4" t="s">
        <v>52</v>
      </c>
      <c r="I810" s="4" t="s">
        <v>46</v>
      </c>
      <c r="J810" s="10">
        <v>27.872</v>
      </c>
      <c r="K810" s="10">
        <v>27.872</v>
      </c>
      <c r="L810" s="10">
        <f t="shared" si="65"/>
        <v>0</v>
      </c>
      <c r="M810" s="10">
        <f t="shared" si="69"/>
        <v>0</v>
      </c>
      <c r="N810" s="10"/>
      <c r="O810" s="10"/>
      <c r="P810" s="10">
        <v>0</v>
      </c>
      <c r="Q810" s="10"/>
      <c r="R810" s="10"/>
      <c r="S810" s="10"/>
      <c r="T810" s="10"/>
      <c r="U810" s="10"/>
      <c r="V810" s="4" t="s">
        <v>572</v>
      </c>
      <c r="W810" s="4"/>
      <c r="X810" s="8">
        <v>45204</v>
      </c>
      <c r="Y810" s="4"/>
      <c r="Z810" s="4"/>
      <c r="AA810" s="8">
        <v>45205</v>
      </c>
      <c r="AB810" s="8">
        <v>45205</v>
      </c>
      <c r="AC810" s="4"/>
      <c r="AD810" s="4"/>
    </row>
    <row r="811" spans="1:30" hidden="1">
      <c r="A811" s="4">
        <v>715</v>
      </c>
      <c r="B811" s="8">
        <v>45150</v>
      </c>
      <c r="C811" s="4"/>
      <c r="D811" s="4" t="s">
        <v>42</v>
      </c>
      <c r="E811" s="8">
        <v>45184</v>
      </c>
      <c r="F811" s="4" t="s">
        <v>43</v>
      </c>
      <c r="G811" s="15" t="s">
        <v>190</v>
      </c>
      <c r="H811" s="4" t="s">
        <v>52</v>
      </c>
      <c r="I811" s="4" t="s">
        <v>54</v>
      </c>
      <c r="J811" s="10">
        <v>0.86673599999999995</v>
      </c>
      <c r="K811" s="10">
        <v>0.86699999999999999</v>
      </c>
      <c r="L811" s="10">
        <f t="shared" ref="L811:L873" si="71">M811+U811</f>
        <v>0</v>
      </c>
      <c r="M811" s="10">
        <f t="shared" si="69"/>
        <v>0</v>
      </c>
      <c r="N811" s="10"/>
      <c r="O811" s="10"/>
      <c r="P811" s="10">
        <v>0</v>
      </c>
      <c r="Q811" s="10"/>
      <c r="R811" s="10"/>
      <c r="S811" s="10"/>
      <c r="T811" s="10"/>
      <c r="U811" s="10"/>
      <c r="V811" s="4" t="s">
        <v>404</v>
      </c>
      <c r="W811" s="4"/>
      <c r="X811" s="8">
        <v>45179</v>
      </c>
      <c r="Y811" s="4"/>
      <c r="Z811" s="4"/>
      <c r="AA811" s="8"/>
      <c r="AB811" s="8"/>
      <c r="AC811" s="4"/>
      <c r="AD811" s="4"/>
    </row>
    <row r="812" spans="1:30" hidden="1">
      <c r="A812" s="4">
        <v>715</v>
      </c>
      <c r="B812" s="8">
        <v>45150</v>
      </c>
      <c r="C812" s="4"/>
      <c r="D812" s="4" t="s">
        <v>42</v>
      </c>
      <c r="E812" s="8">
        <v>45184</v>
      </c>
      <c r="F812" s="4" t="s">
        <v>43</v>
      </c>
      <c r="G812" s="15" t="s">
        <v>190</v>
      </c>
      <c r="H812" s="4" t="s">
        <v>52</v>
      </c>
      <c r="I812" s="4" t="s">
        <v>56</v>
      </c>
      <c r="J812" s="10">
        <v>0.36593999999999999</v>
      </c>
      <c r="K812" s="10">
        <v>0.46700000000000003</v>
      </c>
      <c r="L812" s="10">
        <f t="shared" si="71"/>
        <v>0</v>
      </c>
      <c r="M812" s="10">
        <f t="shared" si="69"/>
        <v>0</v>
      </c>
      <c r="N812" s="10"/>
      <c r="O812" s="10"/>
      <c r="P812" s="10">
        <v>0</v>
      </c>
      <c r="Q812" s="10"/>
      <c r="R812" s="10"/>
      <c r="S812" s="10"/>
      <c r="T812" s="10"/>
      <c r="U812" s="10"/>
      <c r="V812" s="4" t="s">
        <v>404</v>
      </c>
      <c r="W812" s="4"/>
      <c r="X812" s="8"/>
      <c r="Y812" s="4"/>
      <c r="Z812" s="4"/>
      <c r="AA812" s="8">
        <v>45211</v>
      </c>
      <c r="AB812" s="8">
        <v>45211</v>
      </c>
      <c r="AC812" s="4"/>
      <c r="AD812" s="4"/>
    </row>
    <row r="813" spans="1:30" hidden="1">
      <c r="A813" s="4">
        <v>715</v>
      </c>
      <c r="B813" s="8">
        <v>45150</v>
      </c>
      <c r="C813" s="4"/>
      <c r="D813" s="4" t="s">
        <v>42</v>
      </c>
      <c r="E813" s="8">
        <v>45184</v>
      </c>
      <c r="F813" s="4" t="s">
        <v>43</v>
      </c>
      <c r="G813" s="15" t="s">
        <v>190</v>
      </c>
      <c r="H813" s="4" t="s">
        <v>52</v>
      </c>
      <c r="I813" s="4" t="s">
        <v>48</v>
      </c>
      <c r="J813" s="10">
        <v>2.33142</v>
      </c>
      <c r="K813" s="10">
        <v>2.5230000000000001</v>
      </c>
      <c r="L813" s="10">
        <f t="shared" si="71"/>
        <v>0</v>
      </c>
      <c r="M813" s="10">
        <f t="shared" si="69"/>
        <v>0</v>
      </c>
      <c r="N813" s="10"/>
      <c r="O813" s="10"/>
      <c r="P813" s="10">
        <v>0</v>
      </c>
      <c r="Q813" s="10"/>
      <c r="R813" s="10"/>
      <c r="S813" s="10"/>
      <c r="T813" s="10"/>
      <c r="U813" s="10"/>
      <c r="V813" s="4" t="s">
        <v>404</v>
      </c>
      <c r="W813" s="4"/>
      <c r="X813" s="8">
        <v>45179</v>
      </c>
      <c r="Y813" s="4"/>
      <c r="Z813" s="4"/>
      <c r="AA813" s="8"/>
      <c r="AB813" s="8"/>
      <c r="AC813" s="4"/>
      <c r="AD813" s="4"/>
    </row>
    <row r="814" spans="1:30" hidden="1">
      <c r="A814" s="4">
        <v>715</v>
      </c>
      <c r="B814" s="8">
        <v>45150</v>
      </c>
      <c r="C814" s="4"/>
      <c r="D814" s="4" t="s">
        <v>42</v>
      </c>
      <c r="E814" s="8">
        <v>45184</v>
      </c>
      <c r="F814" s="4" t="s">
        <v>43</v>
      </c>
      <c r="G814" s="15" t="s">
        <v>190</v>
      </c>
      <c r="H814" s="4" t="s">
        <v>52</v>
      </c>
      <c r="I814" s="4" t="s">
        <v>89</v>
      </c>
      <c r="J814" s="10">
        <v>2.4900000000000002</v>
      </c>
      <c r="K814" s="10">
        <v>2.4900000000000002</v>
      </c>
      <c r="L814" s="10">
        <f t="shared" si="71"/>
        <v>0</v>
      </c>
      <c r="M814" s="10">
        <f t="shared" si="69"/>
        <v>0</v>
      </c>
      <c r="N814" s="10"/>
      <c r="O814" s="10"/>
      <c r="P814" s="10">
        <v>0</v>
      </c>
      <c r="Q814" s="10"/>
      <c r="R814" s="10"/>
      <c r="S814" s="10"/>
      <c r="T814" s="10"/>
      <c r="U814" s="10"/>
      <c r="V814" s="4" t="s">
        <v>404</v>
      </c>
      <c r="W814" s="4"/>
      <c r="X814" s="8">
        <v>45176</v>
      </c>
      <c r="Y814" s="4"/>
      <c r="Z814" s="4"/>
      <c r="AA814" s="8"/>
      <c r="AB814" s="8"/>
      <c r="AC814" s="4"/>
      <c r="AD814" s="4"/>
    </row>
    <row r="815" spans="1:30" hidden="1">
      <c r="A815" s="4">
        <v>715</v>
      </c>
      <c r="B815" s="8">
        <v>45150</v>
      </c>
      <c r="C815" s="4"/>
      <c r="D815" s="4" t="s">
        <v>42</v>
      </c>
      <c r="E815" s="8">
        <v>45184</v>
      </c>
      <c r="F815" s="4" t="s">
        <v>43</v>
      </c>
      <c r="G815" s="15" t="s">
        <v>190</v>
      </c>
      <c r="H815" s="4" t="s">
        <v>52</v>
      </c>
      <c r="I815" s="4" t="s">
        <v>434</v>
      </c>
      <c r="J815" s="10">
        <v>2.3781599999999998</v>
      </c>
      <c r="K815" s="10">
        <v>2.3780000000000001</v>
      </c>
      <c r="L815" s="10">
        <f t="shared" si="71"/>
        <v>0</v>
      </c>
      <c r="M815" s="10">
        <f t="shared" si="69"/>
        <v>0</v>
      </c>
      <c r="N815" s="10"/>
      <c r="O815" s="10"/>
      <c r="P815" s="10">
        <v>0</v>
      </c>
      <c r="Q815" s="10"/>
      <c r="R815" s="10"/>
      <c r="S815" s="10"/>
      <c r="T815" s="10"/>
      <c r="U815" s="10"/>
      <c r="V815" s="4" t="s">
        <v>404</v>
      </c>
      <c r="W815" s="4"/>
      <c r="X815" s="8"/>
      <c r="Y815" s="4"/>
      <c r="Z815" s="4"/>
      <c r="AA815" s="8"/>
      <c r="AB815" s="8"/>
      <c r="AC815" s="4"/>
      <c r="AD815" s="4"/>
    </row>
    <row r="816" spans="1:30" hidden="1">
      <c r="A816" s="4">
        <v>715</v>
      </c>
      <c r="B816" s="8">
        <v>45150</v>
      </c>
      <c r="C816" s="4"/>
      <c r="D816" s="4" t="s">
        <v>42</v>
      </c>
      <c r="E816" s="8">
        <v>45184</v>
      </c>
      <c r="F816" s="4" t="s">
        <v>43</v>
      </c>
      <c r="G816" s="15" t="s">
        <v>190</v>
      </c>
      <c r="H816" s="4" t="s">
        <v>52</v>
      </c>
      <c r="I816" s="4" t="s">
        <v>435</v>
      </c>
      <c r="J816" s="10">
        <v>2.3846399999999996</v>
      </c>
      <c r="K816" s="10">
        <f>0.265+2.175</f>
        <v>2.44</v>
      </c>
      <c r="L816" s="10">
        <f t="shared" si="71"/>
        <v>0</v>
      </c>
      <c r="M816" s="10">
        <f t="shared" si="69"/>
        <v>0</v>
      </c>
      <c r="N816" s="10"/>
      <c r="O816" s="10"/>
      <c r="P816" s="10">
        <v>0</v>
      </c>
      <c r="Q816" s="10"/>
      <c r="R816" s="10"/>
      <c r="S816" s="10"/>
      <c r="T816" s="10"/>
      <c r="U816" s="10"/>
      <c r="V816" s="4" t="s">
        <v>404</v>
      </c>
      <c r="W816" s="4"/>
      <c r="X816" s="8"/>
      <c r="Y816" s="4"/>
      <c r="Z816" s="4"/>
      <c r="AA816" s="8"/>
      <c r="AB816" s="8"/>
      <c r="AC816" s="4"/>
      <c r="AD816" s="4"/>
    </row>
    <row r="817" spans="1:30" hidden="1">
      <c r="A817" s="4">
        <v>715</v>
      </c>
      <c r="B817" s="8">
        <v>45150</v>
      </c>
      <c r="C817" s="4"/>
      <c r="D817" s="4" t="s">
        <v>42</v>
      </c>
      <c r="E817" s="8">
        <v>45184</v>
      </c>
      <c r="F817" s="4" t="s">
        <v>43</v>
      </c>
      <c r="G817" s="15" t="s">
        <v>190</v>
      </c>
      <c r="H817" s="4" t="s">
        <v>52</v>
      </c>
      <c r="I817" s="4" t="s">
        <v>432</v>
      </c>
      <c r="J817" s="10">
        <v>2.3016000000000001</v>
      </c>
      <c r="K817" s="10">
        <v>2.302</v>
      </c>
      <c r="L817" s="10">
        <f t="shared" si="71"/>
        <v>0</v>
      </c>
      <c r="M817" s="10">
        <f t="shared" si="69"/>
        <v>0</v>
      </c>
      <c r="N817" s="10"/>
      <c r="O817" s="10"/>
      <c r="P817" s="10">
        <v>0</v>
      </c>
      <c r="Q817" s="10"/>
      <c r="R817" s="10"/>
      <c r="S817" s="10"/>
      <c r="T817" s="10"/>
      <c r="U817" s="10"/>
      <c r="V817" s="4" t="s">
        <v>404</v>
      </c>
      <c r="W817" s="4"/>
      <c r="X817" s="8"/>
      <c r="Y817" s="4"/>
      <c r="Z817" s="4"/>
      <c r="AA817" s="8"/>
      <c r="AB817" s="8"/>
      <c r="AC817" s="4"/>
      <c r="AD817" s="4"/>
    </row>
    <row r="818" spans="1:30" hidden="1">
      <c r="A818" s="4">
        <v>715</v>
      </c>
      <c r="B818" s="8">
        <v>45150</v>
      </c>
      <c r="C818" s="4"/>
      <c r="D818" s="4" t="s">
        <v>42</v>
      </c>
      <c r="E818" s="8">
        <v>45184</v>
      </c>
      <c r="F818" s="4" t="s">
        <v>43</v>
      </c>
      <c r="G818" s="15" t="s">
        <v>190</v>
      </c>
      <c r="H818" s="4" t="s">
        <v>52</v>
      </c>
      <c r="I818" s="4" t="s">
        <v>407</v>
      </c>
      <c r="J818" s="10">
        <v>0.76032</v>
      </c>
      <c r="K818" s="10">
        <v>0.76</v>
      </c>
      <c r="L818" s="10">
        <f t="shared" si="71"/>
        <v>0</v>
      </c>
      <c r="M818" s="10">
        <f t="shared" si="69"/>
        <v>0</v>
      </c>
      <c r="N818" s="10"/>
      <c r="O818" s="10"/>
      <c r="P818" s="10"/>
      <c r="Q818" s="10"/>
      <c r="R818" s="10"/>
      <c r="S818" s="10"/>
      <c r="T818" s="10"/>
      <c r="U818" s="10"/>
      <c r="V818" s="4" t="s">
        <v>404</v>
      </c>
      <c r="W818" s="4" t="s">
        <v>1086</v>
      </c>
      <c r="X818" s="8">
        <v>45181</v>
      </c>
      <c r="Y818" s="4"/>
      <c r="Z818" s="4"/>
      <c r="AA818" s="8"/>
      <c r="AB818" s="8"/>
      <c r="AC818" s="4"/>
      <c r="AD818" s="4"/>
    </row>
    <row r="819" spans="1:30" hidden="1">
      <c r="A819" s="4">
        <v>715</v>
      </c>
      <c r="B819" s="8">
        <v>45150</v>
      </c>
      <c r="C819" s="4"/>
      <c r="D819" s="4" t="s">
        <v>42</v>
      </c>
      <c r="E819" s="8">
        <v>45184</v>
      </c>
      <c r="F819" s="4" t="s">
        <v>43</v>
      </c>
      <c r="G819" s="15" t="s">
        <v>190</v>
      </c>
      <c r="H819" s="4" t="s">
        <v>52</v>
      </c>
      <c r="I819" s="4" t="s">
        <v>46</v>
      </c>
      <c r="J819" s="10">
        <v>0.56816</v>
      </c>
      <c r="K819" s="10">
        <v>0.56799999999999995</v>
      </c>
      <c r="L819" s="10">
        <f t="shared" si="71"/>
        <v>0</v>
      </c>
      <c r="M819" s="10">
        <f t="shared" si="69"/>
        <v>0</v>
      </c>
      <c r="N819" s="10"/>
      <c r="O819" s="10"/>
      <c r="P819" s="10">
        <v>0</v>
      </c>
      <c r="Q819" s="10"/>
      <c r="R819" s="10"/>
      <c r="S819" s="10"/>
      <c r="T819" s="10"/>
      <c r="U819" s="10"/>
      <c r="V819" s="4" t="s">
        <v>404</v>
      </c>
      <c r="W819" s="4"/>
      <c r="X819" s="8">
        <v>45204</v>
      </c>
      <c r="Y819" s="4"/>
      <c r="Z819" s="4"/>
      <c r="AA819" s="8">
        <v>45205</v>
      </c>
      <c r="AB819" s="8">
        <v>45205</v>
      </c>
      <c r="AC819" s="4"/>
      <c r="AD819" s="4"/>
    </row>
    <row r="820" spans="1:30" hidden="1">
      <c r="A820" s="4">
        <v>715</v>
      </c>
      <c r="B820" s="8">
        <v>45150</v>
      </c>
      <c r="C820" s="4"/>
      <c r="D820" s="4" t="s">
        <v>42</v>
      </c>
      <c r="E820" s="8">
        <v>45184</v>
      </c>
      <c r="F820" s="4" t="s">
        <v>43</v>
      </c>
      <c r="G820" s="40" t="s">
        <v>20</v>
      </c>
      <c r="H820" s="4" t="s">
        <v>45</v>
      </c>
      <c r="I820" s="4" t="s">
        <v>518</v>
      </c>
      <c r="J820" s="10">
        <v>0.26519999999999999</v>
      </c>
      <c r="K820" s="10">
        <v>0.26500000000000001</v>
      </c>
      <c r="L820" s="10">
        <f t="shared" si="71"/>
        <v>0</v>
      </c>
      <c r="M820" s="10">
        <f t="shared" si="69"/>
        <v>0</v>
      </c>
      <c r="N820" s="10"/>
      <c r="O820" s="10"/>
      <c r="P820" s="10">
        <v>0</v>
      </c>
      <c r="Q820" s="10"/>
      <c r="R820" s="10"/>
      <c r="S820" s="10"/>
      <c r="T820" s="10"/>
      <c r="U820" s="10"/>
      <c r="V820" s="4" t="s">
        <v>404</v>
      </c>
      <c r="W820" s="4" t="s">
        <v>37</v>
      </c>
      <c r="X820" s="8">
        <v>45195</v>
      </c>
      <c r="Y820" s="4"/>
      <c r="Z820" s="4"/>
      <c r="AA820" s="8"/>
      <c r="AB820" s="8"/>
      <c r="AC820" s="4"/>
      <c r="AD820" s="4"/>
    </row>
    <row r="821" spans="1:30" hidden="1">
      <c r="A821" s="4">
        <v>715</v>
      </c>
      <c r="B821" s="8">
        <v>45150</v>
      </c>
      <c r="C821" s="4"/>
      <c r="D821" s="4" t="s">
        <v>42</v>
      </c>
      <c r="E821" s="8">
        <v>45184</v>
      </c>
      <c r="F821" s="4" t="s">
        <v>43</v>
      </c>
      <c r="G821" s="15" t="s">
        <v>19</v>
      </c>
      <c r="H821" s="4" t="s">
        <v>45</v>
      </c>
      <c r="I821" s="4" t="s">
        <v>519</v>
      </c>
      <c r="J821" s="10">
        <v>0.90850000000000009</v>
      </c>
      <c r="K821" s="10">
        <v>0.90900000000000003</v>
      </c>
      <c r="L821" s="10">
        <f t="shared" si="71"/>
        <v>0</v>
      </c>
      <c r="M821" s="10">
        <f t="shared" si="69"/>
        <v>0</v>
      </c>
      <c r="N821" s="10"/>
      <c r="O821" s="10"/>
      <c r="P821" s="10">
        <v>0</v>
      </c>
      <c r="Q821" s="10"/>
      <c r="R821" s="10"/>
      <c r="S821" s="10"/>
      <c r="T821" s="10"/>
      <c r="U821" s="10"/>
      <c r="V821" s="4" t="s">
        <v>404</v>
      </c>
      <c r="W821" s="4"/>
      <c r="X821" s="8">
        <v>45194</v>
      </c>
      <c r="Y821" s="4"/>
      <c r="Z821" s="4"/>
      <c r="AA821" s="8"/>
      <c r="AB821" s="8"/>
      <c r="AC821" s="4"/>
      <c r="AD821" s="4"/>
    </row>
    <row r="822" spans="1:30" hidden="1">
      <c r="A822" s="4">
        <v>715</v>
      </c>
      <c r="B822" s="8">
        <v>45150</v>
      </c>
      <c r="C822" s="4"/>
      <c r="D822" s="4" t="s">
        <v>42</v>
      </c>
      <c r="E822" s="8">
        <v>45184</v>
      </c>
      <c r="F822" s="4" t="s">
        <v>43</v>
      </c>
      <c r="G822" s="15" t="s">
        <v>19</v>
      </c>
      <c r="H822" s="4" t="s">
        <v>45</v>
      </c>
      <c r="I822" s="4" t="s">
        <v>517</v>
      </c>
      <c r="J822" s="10">
        <v>4.70106</v>
      </c>
      <c r="K822" s="10">
        <v>4.702</v>
      </c>
      <c r="L822" s="10">
        <f t="shared" si="71"/>
        <v>0</v>
      </c>
      <c r="M822" s="10">
        <f t="shared" si="69"/>
        <v>0</v>
      </c>
      <c r="N822" s="10"/>
      <c r="O822" s="10"/>
      <c r="P822" s="10">
        <v>0</v>
      </c>
      <c r="Q822" s="10"/>
      <c r="R822" s="10">
        <v>0</v>
      </c>
      <c r="S822" s="10"/>
      <c r="T822" s="10"/>
      <c r="U822" s="10"/>
      <c r="V822" s="4" t="s">
        <v>404</v>
      </c>
      <c r="W822" s="4"/>
      <c r="X822" s="8">
        <v>45194</v>
      </c>
      <c r="Y822" s="4"/>
      <c r="Z822" s="4"/>
      <c r="AA822" s="8"/>
      <c r="AB822" s="8"/>
      <c r="AC822" s="4"/>
      <c r="AD822" s="4"/>
    </row>
    <row r="823" spans="1:30" hidden="1">
      <c r="A823" s="4">
        <v>715</v>
      </c>
      <c r="B823" s="8">
        <v>45150</v>
      </c>
      <c r="C823" s="4"/>
      <c r="D823" s="4" t="s">
        <v>42</v>
      </c>
      <c r="E823" s="8">
        <v>45184</v>
      </c>
      <c r="F823" s="4" t="s">
        <v>43</v>
      </c>
      <c r="G823" s="15" t="s">
        <v>19</v>
      </c>
      <c r="H823" s="4" t="s">
        <v>45</v>
      </c>
      <c r="I823" s="4" t="s">
        <v>579</v>
      </c>
      <c r="J823" s="10">
        <v>3.4127999999999998</v>
      </c>
      <c r="K823" s="10">
        <v>3.4129999999999998</v>
      </c>
      <c r="L823" s="10">
        <f t="shared" si="71"/>
        <v>0</v>
      </c>
      <c r="M823" s="10">
        <f t="shared" si="69"/>
        <v>0</v>
      </c>
      <c r="N823" s="10"/>
      <c r="O823" s="10"/>
      <c r="P823" s="10">
        <v>0</v>
      </c>
      <c r="Q823" s="10"/>
      <c r="R823" s="10"/>
      <c r="S823" s="10"/>
      <c r="T823" s="10"/>
      <c r="U823" s="10"/>
      <c r="V823" s="4" t="s">
        <v>404</v>
      </c>
      <c r="W823" s="4"/>
      <c r="X823" s="8">
        <v>45188</v>
      </c>
      <c r="Y823" s="4"/>
      <c r="Z823" s="4"/>
      <c r="AA823" s="8"/>
      <c r="AB823" s="8"/>
      <c r="AC823" s="4"/>
      <c r="AD823" s="4"/>
    </row>
    <row r="824" spans="1:30" hidden="1">
      <c r="A824" s="4">
        <v>715</v>
      </c>
      <c r="B824" s="8">
        <v>45150</v>
      </c>
      <c r="C824" s="4"/>
      <c r="D824" s="4" t="s">
        <v>42</v>
      </c>
      <c r="E824" s="8">
        <v>45184</v>
      </c>
      <c r="F824" s="4" t="s">
        <v>43</v>
      </c>
      <c r="G824" s="15" t="s">
        <v>19</v>
      </c>
      <c r="H824" s="4" t="s">
        <v>45</v>
      </c>
      <c r="I824" s="4" t="s">
        <v>448</v>
      </c>
      <c r="J824" s="10">
        <v>1.8928000000000003</v>
      </c>
      <c r="K824" s="10">
        <v>1.893</v>
      </c>
      <c r="L824" s="10">
        <f t="shared" si="71"/>
        <v>0</v>
      </c>
      <c r="M824" s="10">
        <f t="shared" si="69"/>
        <v>0</v>
      </c>
      <c r="N824" s="10"/>
      <c r="O824" s="10"/>
      <c r="P824" s="10">
        <v>0</v>
      </c>
      <c r="Q824" s="10"/>
      <c r="R824" s="10"/>
      <c r="S824" s="10"/>
      <c r="T824" s="10"/>
      <c r="U824" s="10"/>
      <c r="V824" s="4" t="s">
        <v>404</v>
      </c>
      <c r="W824" s="4"/>
      <c r="X824" s="8">
        <v>45188</v>
      </c>
      <c r="Y824" s="4"/>
      <c r="Z824" s="4"/>
      <c r="AA824" s="8"/>
      <c r="AB824" s="8"/>
      <c r="AC824" s="4"/>
      <c r="AD824" s="4"/>
    </row>
    <row r="825" spans="1:30" hidden="1">
      <c r="A825" s="4">
        <v>715</v>
      </c>
      <c r="B825" s="8">
        <v>45150</v>
      </c>
      <c r="C825" s="4"/>
      <c r="D825" s="4" t="s">
        <v>42</v>
      </c>
      <c r="E825" s="8">
        <v>45184</v>
      </c>
      <c r="F825" s="4" t="s">
        <v>43</v>
      </c>
      <c r="G825" s="15" t="s">
        <v>19</v>
      </c>
      <c r="H825" s="4" t="s">
        <v>45</v>
      </c>
      <c r="I825" s="4" t="s">
        <v>449</v>
      </c>
      <c r="J825" s="10">
        <v>0.58875999999999995</v>
      </c>
      <c r="K825" s="10">
        <v>0.86199999999999999</v>
      </c>
      <c r="L825" s="10">
        <f t="shared" si="71"/>
        <v>0</v>
      </c>
      <c r="M825" s="10">
        <f t="shared" si="69"/>
        <v>0</v>
      </c>
      <c r="N825" s="10"/>
      <c r="O825" s="10"/>
      <c r="P825" s="10">
        <v>0</v>
      </c>
      <c r="Q825" s="10"/>
      <c r="R825" s="10"/>
      <c r="S825" s="10"/>
      <c r="T825" s="10"/>
      <c r="U825" s="10"/>
      <c r="V825" s="4" t="s">
        <v>404</v>
      </c>
      <c r="W825" s="4" t="s">
        <v>521</v>
      </c>
      <c r="X825" s="8">
        <v>45194</v>
      </c>
      <c r="Y825" s="4"/>
      <c r="Z825" s="4"/>
      <c r="AA825" s="8"/>
      <c r="AB825" s="8"/>
      <c r="AC825" s="4"/>
      <c r="AD825" s="4"/>
    </row>
    <row r="826" spans="1:30" hidden="1">
      <c r="A826" s="4">
        <v>715</v>
      </c>
      <c r="B826" s="8">
        <v>45150</v>
      </c>
      <c r="C826" s="4"/>
      <c r="D826" s="4" t="s">
        <v>42</v>
      </c>
      <c r="E826" s="8">
        <v>45184</v>
      </c>
      <c r="F826" s="4" t="s">
        <v>43</v>
      </c>
      <c r="G826" s="15" t="s">
        <v>19</v>
      </c>
      <c r="H826" s="4" t="s">
        <v>45</v>
      </c>
      <c r="I826" s="4" t="s">
        <v>447</v>
      </c>
      <c r="J826" s="10">
        <v>6.2235200000000006</v>
      </c>
      <c r="K826" s="10">
        <f>1.518+3.928+0.778</f>
        <v>6.2240000000000002</v>
      </c>
      <c r="L826" s="10">
        <f t="shared" si="71"/>
        <v>0</v>
      </c>
      <c r="M826" s="10">
        <f t="shared" si="69"/>
        <v>0</v>
      </c>
      <c r="N826" s="10"/>
      <c r="O826" s="10"/>
      <c r="P826" s="10">
        <v>0</v>
      </c>
      <c r="Q826" s="10"/>
      <c r="R826" s="10"/>
      <c r="S826" s="10"/>
      <c r="T826" s="10"/>
      <c r="U826" s="10"/>
      <c r="V826" s="4" t="s">
        <v>404</v>
      </c>
      <c r="W826" s="4"/>
      <c r="X826" s="8">
        <v>45194</v>
      </c>
      <c r="Y826" s="4"/>
      <c r="Z826" s="4"/>
      <c r="AA826" s="8"/>
      <c r="AB826" s="8"/>
      <c r="AC826" s="4"/>
      <c r="AD826" s="4"/>
    </row>
    <row r="827" spans="1:30" hidden="1">
      <c r="A827" s="4">
        <v>715</v>
      </c>
      <c r="B827" s="8">
        <v>45150</v>
      </c>
      <c r="C827" s="4"/>
      <c r="D827" s="4" t="s">
        <v>42</v>
      </c>
      <c r="E827" s="8">
        <v>45184</v>
      </c>
      <c r="F827" s="4" t="s">
        <v>43</v>
      </c>
      <c r="G827" s="15" t="s">
        <v>19</v>
      </c>
      <c r="H827" s="4" t="s">
        <v>45</v>
      </c>
      <c r="I827" s="4" t="s">
        <v>518</v>
      </c>
      <c r="J827" s="10">
        <v>2.1083400000000001</v>
      </c>
      <c r="K827" s="10">
        <f>1.874+0.265</f>
        <v>2.1390000000000002</v>
      </c>
      <c r="L827" s="10">
        <f t="shared" si="71"/>
        <v>0</v>
      </c>
      <c r="M827" s="10">
        <f t="shared" si="69"/>
        <v>0</v>
      </c>
      <c r="N827" s="10"/>
      <c r="O827" s="10"/>
      <c r="P827" s="10">
        <v>0</v>
      </c>
      <c r="Q827" s="10"/>
      <c r="R827" s="10"/>
      <c r="S827" s="10"/>
      <c r="T827" s="10"/>
      <c r="U827" s="10"/>
      <c r="V827" s="4" t="s">
        <v>404</v>
      </c>
      <c r="W827" s="4" t="s">
        <v>37</v>
      </c>
      <c r="X827" s="8">
        <v>45195</v>
      </c>
      <c r="Y827" s="4"/>
      <c r="Z827" s="4"/>
      <c r="AA827" s="8"/>
      <c r="AB827" s="8"/>
      <c r="AC827" s="4"/>
      <c r="AD827" s="4"/>
    </row>
    <row r="828" spans="1:30" hidden="1">
      <c r="A828" s="4">
        <v>715</v>
      </c>
      <c r="B828" s="8">
        <v>45150</v>
      </c>
      <c r="C828" s="4"/>
      <c r="D828" s="4" t="s">
        <v>42</v>
      </c>
      <c r="E828" s="8">
        <v>45184</v>
      </c>
      <c r="F828" s="4" t="s">
        <v>43</v>
      </c>
      <c r="G828" s="15" t="s">
        <v>19</v>
      </c>
      <c r="H828" s="4" t="s">
        <v>45</v>
      </c>
      <c r="I828" s="4" t="s">
        <v>54</v>
      </c>
      <c r="J828" s="10">
        <v>3.6151040000000001</v>
      </c>
      <c r="K828" s="10">
        <f>2.155+1.459</f>
        <v>3.6139999999999999</v>
      </c>
      <c r="L828" s="10">
        <f t="shared" si="71"/>
        <v>0</v>
      </c>
      <c r="M828" s="10">
        <f t="shared" si="69"/>
        <v>0</v>
      </c>
      <c r="N828" s="10"/>
      <c r="O828" s="10"/>
      <c r="P828" s="10">
        <v>0</v>
      </c>
      <c r="Q828" s="10"/>
      <c r="R828" s="10"/>
      <c r="S828" s="10"/>
      <c r="T828" s="10"/>
      <c r="U828" s="10"/>
      <c r="V828" s="4" t="s">
        <v>404</v>
      </c>
      <c r="W828" s="4"/>
      <c r="X828" s="8">
        <v>45179</v>
      </c>
      <c r="Y828" s="4"/>
      <c r="Z828" s="4"/>
      <c r="AA828" s="8"/>
      <c r="AB828" s="8"/>
      <c r="AC828" s="4"/>
      <c r="AD828" s="4"/>
    </row>
    <row r="829" spans="1:30" hidden="1">
      <c r="A829" s="4">
        <v>715</v>
      </c>
      <c r="B829" s="8">
        <v>45150</v>
      </c>
      <c r="C829" s="4"/>
      <c r="D829" s="4" t="s">
        <v>42</v>
      </c>
      <c r="E829" s="8">
        <v>45184</v>
      </c>
      <c r="F829" s="4" t="s">
        <v>43</v>
      </c>
      <c r="G829" s="15" t="s">
        <v>19</v>
      </c>
      <c r="H829" s="4" t="s">
        <v>45</v>
      </c>
      <c r="I829" s="4" t="s">
        <v>56</v>
      </c>
      <c r="J829" s="10">
        <v>4.5678300000000007</v>
      </c>
      <c r="K829" s="10">
        <v>4.5679999999999996</v>
      </c>
      <c r="L829" s="10">
        <f t="shared" si="71"/>
        <v>0</v>
      </c>
      <c r="M829" s="10">
        <f t="shared" si="69"/>
        <v>0</v>
      </c>
      <c r="N829" s="10"/>
      <c r="O829" s="10"/>
      <c r="P829" s="10">
        <v>0</v>
      </c>
      <c r="Q829" s="10"/>
      <c r="R829" s="10"/>
      <c r="S829" s="10"/>
      <c r="T829" s="10"/>
      <c r="U829" s="10"/>
      <c r="V829" s="4" t="s">
        <v>404</v>
      </c>
      <c r="W829" s="4"/>
      <c r="X829" s="8">
        <v>45179</v>
      </c>
      <c r="Y829" s="4"/>
      <c r="Z829" s="4"/>
      <c r="AA829" s="8">
        <v>45196</v>
      </c>
      <c r="AB829" s="8">
        <v>45196</v>
      </c>
      <c r="AC829" s="4"/>
      <c r="AD829" s="4"/>
    </row>
    <row r="830" spans="1:30" hidden="1">
      <c r="A830" s="4">
        <v>715</v>
      </c>
      <c r="B830" s="8">
        <v>45150</v>
      </c>
      <c r="C830" s="4"/>
      <c r="D830" s="4" t="s">
        <v>42</v>
      </c>
      <c r="E830" s="8">
        <v>45184</v>
      </c>
      <c r="F830" s="4" t="s">
        <v>43</v>
      </c>
      <c r="G830" s="15" t="s">
        <v>19</v>
      </c>
      <c r="H830" s="4" t="s">
        <v>45</v>
      </c>
      <c r="I830" s="4" t="s">
        <v>48</v>
      </c>
      <c r="J830" s="10">
        <v>5.49</v>
      </c>
      <c r="K830" s="10">
        <v>5.8230000000000004</v>
      </c>
      <c r="L830" s="10">
        <f t="shared" si="71"/>
        <v>0</v>
      </c>
      <c r="M830" s="10">
        <f t="shared" si="69"/>
        <v>0</v>
      </c>
      <c r="N830" s="10"/>
      <c r="O830" s="10"/>
      <c r="P830" s="10">
        <v>0</v>
      </c>
      <c r="Q830" s="10"/>
      <c r="R830" s="10"/>
      <c r="S830" s="10"/>
      <c r="T830" s="10"/>
      <c r="U830" s="10"/>
      <c r="V830" s="4" t="s">
        <v>404</v>
      </c>
      <c r="W830" s="4"/>
      <c r="X830" s="8">
        <v>45179</v>
      </c>
      <c r="Y830" s="4"/>
      <c r="Z830" s="4"/>
      <c r="AA830" s="8"/>
      <c r="AB830" s="8"/>
      <c r="AC830" s="4"/>
      <c r="AD830" s="4"/>
    </row>
    <row r="831" spans="1:30" hidden="1">
      <c r="A831" s="4">
        <v>715</v>
      </c>
      <c r="B831" s="8">
        <v>45150</v>
      </c>
      <c r="C831" s="4"/>
      <c r="D831" s="4" t="s">
        <v>42</v>
      </c>
      <c r="E831" s="8">
        <v>45184</v>
      </c>
      <c r="F831" s="4" t="s">
        <v>43</v>
      </c>
      <c r="G831" s="15" t="s">
        <v>19</v>
      </c>
      <c r="H831" s="4" t="s">
        <v>45</v>
      </c>
      <c r="I831" s="4" t="s">
        <v>89</v>
      </c>
      <c r="J831" s="10">
        <v>6.6649001008506525</v>
      </c>
      <c r="K831" s="10">
        <v>6.7489999999999997</v>
      </c>
      <c r="L831" s="10">
        <f t="shared" si="71"/>
        <v>0</v>
      </c>
      <c r="M831" s="10">
        <f t="shared" si="69"/>
        <v>0</v>
      </c>
      <c r="N831" s="10"/>
      <c r="O831" s="10"/>
      <c r="P831" s="10">
        <v>0</v>
      </c>
      <c r="Q831" s="10"/>
      <c r="R831" s="10"/>
      <c r="S831" s="10"/>
      <c r="T831" s="10"/>
      <c r="U831" s="10"/>
      <c r="V831" s="4" t="s">
        <v>404</v>
      </c>
      <c r="W831" s="4"/>
      <c r="X831" s="8">
        <v>45176</v>
      </c>
      <c r="Y831" s="4"/>
      <c r="Z831" s="4"/>
      <c r="AA831" s="8">
        <v>45196</v>
      </c>
      <c r="AB831" s="8">
        <v>45196</v>
      </c>
      <c r="AC831" s="4"/>
      <c r="AD831" s="4"/>
    </row>
    <row r="832" spans="1:30" hidden="1">
      <c r="A832" s="4">
        <v>715</v>
      </c>
      <c r="B832" s="8">
        <v>45150</v>
      </c>
      <c r="C832" s="4"/>
      <c r="D832" s="4" t="s">
        <v>42</v>
      </c>
      <c r="E832" s="8">
        <v>45184</v>
      </c>
      <c r="F832" s="4" t="s">
        <v>43</v>
      </c>
      <c r="G832" s="15" t="s">
        <v>19</v>
      </c>
      <c r="H832" s="4" t="s">
        <v>45</v>
      </c>
      <c r="I832" s="4" t="s">
        <v>87</v>
      </c>
      <c r="J832" s="10">
        <v>2.2967899999999997</v>
      </c>
      <c r="K832" s="10">
        <v>2.2970000000000002</v>
      </c>
      <c r="L832" s="10">
        <f t="shared" si="71"/>
        <v>0</v>
      </c>
      <c r="M832" s="10">
        <f t="shared" si="69"/>
        <v>0</v>
      </c>
      <c r="N832" s="10"/>
      <c r="O832" s="10"/>
      <c r="P832" s="10">
        <v>0</v>
      </c>
      <c r="Q832" s="10"/>
      <c r="R832" s="10"/>
      <c r="S832" s="10"/>
      <c r="T832" s="10"/>
      <c r="U832" s="10"/>
      <c r="V832" s="4" t="s">
        <v>404</v>
      </c>
      <c r="W832" s="4"/>
      <c r="X832" s="8">
        <v>45176</v>
      </c>
      <c r="Y832" s="4"/>
      <c r="Z832" s="4"/>
      <c r="AA832" s="8">
        <v>45196</v>
      </c>
      <c r="AB832" s="8">
        <v>45196</v>
      </c>
      <c r="AC832" s="4"/>
      <c r="AD832" s="4"/>
    </row>
    <row r="833" spans="1:30" hidden="1">
      <c r="A833" s="4">
        <v>715</v>
      </c>
      <c r="B833" s="8">
        <v>45150</v>
      </c>
      <c r="C833" s="4"/>
      <c r="D833" s="4" t="s">
        <v>42</v>
      </c>
      <c r="E833" s="8">
        <v>45184</v>
      </c>
      <c r="F833" s="4" t="s">
        <v>43</v>
      </c>
      <c r="G833" s="15" t="s">
        <v>19</v>
      </c>
      <c r="H833" s="4" t="s">
        <v>45</v>
      </c>
      <c r="I833" s="4" t="s">
        <v>434</v>
      </c>
      <c r="J833" s="10">
        <v>5.1746999999999996</v>
      </c>
      <c r="K833" s="10">
        <v>5.1970000000000001</v>
      </c>
      <c r="L833" s="10">
        <f t="shared" si="71"/>
        <v>0</v>
      </c>
      <c r="M833" s="10">
        <f t="shared" ref="M833:M867" si="72">SUM(N833:T833)</f>
        <v>0</v>
      </c>
      <c r="N833" s="10"/>
      <c r="O833" s="10"/>
      <c r="P833" s="10">
        <v>0</v>
      </c>
      <c r="Q833" s="10"/>
      <c r="R833" s="10"/>
      <c r="S833" s="10"/>
      <c r="T833" s="10"/>
      <c r="U833" s="10"/>
      <c r="V833" s="4" t="s">
        <v>404</v>
      </c>
      <c r="W833" s="4"/>
      <c r="X833" s="8"/>
      <c r="Y833" s="4"/>
      <c r="Z833" s="4"/>
      <c r="AA833" s="8">
        <v>45196</v>
      </c>
      <c r="AB833" s="8">
        <v>45196</v>
      </c>
      <c r="AC833" s="4"/>
      <c r="AD833" s="4"/>
    </row>
    <row r="834" spans="1:30" hidden="1">
      <c r="A834" s="4">
        <v>715</v>
      </c>
      <c r="B834" s="8">
        <v>45150</v>
      </c>
      <c r="C834" s="4"/>
      <c r="D834" s="4" t="s">
        <v>42</v>
      </c>
      <c r="E834" s="8">
        <v>45184</v>
      </c>
      <c r="F834" s="4" t="s">
        <v>43</v>
      </c>
      <c r="G834" s="15" t="s">
        <v>19</v>
      </c>
      <c r="H834" s="4" t="s">
        <v>45</v>
      </c>
      <c r="I834" s="4" t="s">
        <v>435</v>
      </c>
      <c r="J834" s="10">
        <v>1.7539199999999999</v>
      </c>
      <c r="K834" s="10">
        <v>1.76</v>
      </c>
      <c r="L834" s="10">
        <f t="shared" si="71"/>
        <v>0</v>
      </c>
      <c r="M834" s="10">
        <f t="shared" si="72"/>
        <v>0</v>
      </c>
      <c r="N834" s="10"/>
      <c r="O834" s="10"/>
      <c r="P834" s="10">
        <v>0</v>
      </c>
      <c r="Q834" s="10"/>
      <c r="R834" s="10"/>
      <c r="S834" s="10"/>
      <c r="T834" s="10"/>
      <c r="U834" s="10"/>
      <c r="V834" s="4" t="s">
        <v>404</v>
      </c>
      <c r="W834" s="4"/>
      <c r="X834" s="8"/>
      <c r="Y834" s="4"/>
      <c r="Z834" s="4"/>
      <c r="AA834" s="8"/>
      <c r="AB834" s="8"/>
      <c r="AC834" s="4"/>
      <c r="AD834" s="4"/>
    </row>
    <row r="835" spans="1:30" hidden="1">
      <c r="A835" s="4">
        <v>715</v>
      </c>
      <c r="B835" s="8">
        <v>45150</v>
      </c>
      <c r="C835" s="4"/>
      <c r="D835" s="4" t="s">
        <v>42</v>
      </c>
      <c r="E835" s="8">
        <v>45184</v>
      </c>
      <c r="F835" s="4" t="s">
        <v>43</v>
      </c>
      <c r="G835" s="15" t="s">
        <v>19</v>
      </c>
      <c r="H835" s="4" t="s">
        <v>45</v>
      </c>
      <c r="I835" s="4" t="s">
        <v>432</v>
      </c>
      <c r="J835" s="10">
        <v>2.7126000000000001</v>
      </c>
      <c r="K835" s="10">
        <v>2.7130000000000001</v>
      </c>
      <c r="L835" s="10">
        <f t="shared" si="71"/>
        <v>0</v>
      </c>
      <c r="M835" s="10">
        <f t="shared" si="72"/>
        <v>0</v>
      </c>
      <c r="N835" s="10"/>
      <c r="O835" s="10"/>
      <c r="P835" s="10">
        <v>0</v>
      </c>
      <c r="Q835" s="10"/>
      <c r="R835" s="10"/>
      <c r="S835" s="10"/>
      <c r="T835" s="10"/>
      <c r="U835" s="10"/>
      <c r="V835" s="4" t="s">
        <v>404</v>
      </c>
      <c r="W835" s="4"/>
      <c r="X835" s="8"/>
      <c r="Y835" s="4"/>
      <c r="Z835" s="4"/>
      <c r="AA835" s="8"/>
      <c r="AB835" s="8"/>
      <c r="AC835" s="4"/>
      <c r="AD835" s="4"/>
    </row>
    <row r="836" spans="1:30" hidden="1">
      <c r="A836" s="4">
        <v>715</v>
      </c>
      <c r="B836" s="8">
        <v>45150</v>
      </c>
      <c r="C836" s="4"/>
      <c r="D836" s="4" t="s">
        <v>42</v>
      </c>
      <c r="E836" s="8">
        <v>45184</v>
      </c>
      <c r="F836" s="4" t="s">
        <v>43</v>
      </c>
      <c r="G836" s="15" t="s">
        <v>19</v>
      </c>
      <c r="H836" s="4" t="s">
        <v>45</v>
      </c>
      <c r="I836" s="4" t="s">
        <v>403</v>
      </c>
      <c r="J836" s="10">
        <v>1.07568</v>
      </c>
      <c r="K836" s="10">
        <v>1.153</v>
      </c>
      <c r="L836" s="10">
        <f t="shared" si="71"/>
        <v>0</v>
      </c>
      <c r="M836" s="10">
        <f t="shared" si="72"/>
        <v>0</v>
      </c>
      <c r="N836" s="10"/>
      <c r="O836" s="10"/>
      <c r="P836" s="10">
        <v>0</v>
      </c>
      <c r="Q836" s="10"/>
      <c r="R836" s="10"/>
      <c r="S836" s="10"/>
      <c r="T836" s="10"/>
      <c r="U836" s="10"/>
      <c r="V836" s="4" t="s">
        <v>404</v>
      </c>
      <c r="W836" s="4"/>
      <c r="X836" s="8"/>
      <c r="Y836" s="4"/>
      <c r="Z836" s="4"/>
      <c r="AA836" s="8"/>
      <c r="AB836" s="8"/>
      <c r="AC836" s="4"/>
      <c r="AD836" s="4"/>
    </row>
    <row r="837" spans="1:30" hidden="1">
      <c r="A837" s="4">
        <v>715</v>
      </c>
      <c r="B837" s="8">
        <v>45150</v>
      </c>
      <c r="C837" s="4"/>
      <c r="D837" s="4" t="s">
        <v>42</v>
      </c>
      <c r="E837" s="8">
        <v>45184</v>
      </c>
      <c r="F837" s="4" t="s">
        <v>43</v>
      </c>
      <c r="G837" s="15" t="s">
        <v>19</v>
      </c>
      <c r="H837" s="4" t="s">
        <v>45</v>
      </c>
      <c r="I837" s="4" t="s">
        <v>46</v>
      </c>
      <c r="J837" s="10">
        <v>6.4360200000000001</v>
      </c>
      <c r="K837" s="10">
        <v>6.4660000000000002</v>
      </c>
      <c r="L837" s="10">
        <f t="shared" si="71"/>
        <v>0</v>
      </c>
      <c r="M837" s="10">
        <f t="shared" si="72"/>
        <v>0</v>
      </c>
      <c r="N837" s="10"/>
      <c r="O837" s="10"/>
      <c r="P837" s="10">
        <v>0</v>
      </c>
      <c r="Q837" s="10"/>
      <c r="R837" s="10"/>
      <c r="S837" s="10"/>
      <c r="T837" s="10"/>
      <c r="U837" s="10"/>
      <c r="V837" s="4" t="s">
        <v>404</v>
      </c>
      <c r="W837" s="4" t="s">
        <v>37</v>
      </c>
      <c r="X837" s="8">
        <v>45204</v>
      </c>
      <c r="Y837" s="4"/>
      <c r="Z837" s="4"/>
      <c r="AA837" s="8"/>
      <c r="AB837" s="8"/>
      <c r="AC837" s="4"/>
      <c r="AD837" s="4"/>
    </row>
    <row r="838" spans="1:30" hidden="1">
      <c r="A838" s="4">
        <v>715</v>
      </c>
      <c r="B838" s="8">
        <v>45150</v>
      </c>
      <c r="C838" s="4"/>
      <c r="D838" s="4" t="s">
        <v>42</v>
      </c>
      <c r="E838" s="8">
        <v>45184</v>
      </c>
      <c r="F838" s="4" t="s">
        <v>43</v>
      </c>
      <c r="G838" s="39" t="s">
        <v>874</v>
      </c>
      <c r="H838" s="4" t="s">
        <v>45</v>
      </c>
      <c r="I838" s="4" t="s">
        <v>519</v>
      </c>
      <c r="J838" s="10">
        <v>1.2098</v>
      </c>
      <c r="K838" s="10">
        <v>1.21</v>
      </c>
      <c r="L838" s="10">
        <f t="shared" si="71"/>
        <v>0</v>
      </c>
      <c r="M838" s="10">
        <f t="shared" si="72"/>
        <v>0</v>
      </c>
      <c r="N838" s="10"/>
      <c r="O838" s="10"/>
      <c r="P838" s="10">
        <v>0</v>
      </c>
      <c r="Q838" s="10"/>
      <c r="R838" s="10"/>
      <c r="S838" s="10"/>
      <c r="T838" s="10"/>
      <c r="U838" s="10"/>
      <c r="V838" s="4" t="s">
        <v>404</v>
      </c>
      <c r="W838" s="4"/>
      <c r="X838" s="8">
        <v>45194</v>
      </c>
      <c r="Y838" s="4"/>
      <c r="Z838" s="4"/>
      <c r="AA838" s="8"/>
      <c r="AB838" s="8"/>
      <c r="AC838" s="4"/>
      <c r="AD838" s="4"/>
    </row>
    <row r="839" spans="1:30" hidden="1">
      <c r="A839" s="4">
        <v>715</v>
      </c>
      <c r="B839" s="8">
        <v>45150</v>
      </c>
      <c r="C839" s="4"/>
      <c r="D839" s="4" t="s">
        <v>42</v>
      </c>
      <c r="E839" s="8">
        <v>45184</v>
      </c>
      <c r="F839" s="4" t="s">
        <v>43</v>
      </c>
      <c r="G839" s="39" t="s">
        <v>874</v>
      </c>
      <c r="H839" s="4" t="s">
        <v>45</v>
      </c>
      <c r="I839" s="4" t="s">
        <v>837</v>
      </c>
      <c r="J839" s="10">
        <v>3.3984000000000001</v>
      </c>
      <c r="K839" s="10">
        <v>3.3980000000000001</v>
      </c>
      <c r="L839" s="10">
        <f t="shared" si="71"/>
        <v>0</v>
      </c>
      <c r="M839" s="10">
        <f t="shared" si="72"/>
        <v>0</v>
      </c>
      <c r="N839" s="10"/>
      <c r="O839" s="10"/>
      <c r="P839" s="10">
        <v>0</v>
      </c>
      <c r="Q839" s="10"/>
      <c r="R839" s="10"/>
      <c r="S839" s="10"/>
      <c r="T839" s="10"/>
      <c r="U839" s="10"/>
      <c r="V839" s="4" t="s">
        <v>404</v>
      </c>
      <c r="W839" s="4"/>
      <c r="X839" s="8">
        <v>45188</v>
      </c>
      <c r="Y839" s="4"/>
      <c r="Z839" s="4"/>
      <c r="AA839" s="8"/>
      <c r="AB839" s="8"/>
      <c r="AC839" s="4"/>
      <c r="AD839" s="4"/>
    </row>
    <row r="840" spans="1:30" hidden="1">
      <c r="A840" s="4">
        <v>715</v>
      </c>
      <c r="B840" s="8">
        <v>45150</v>
      </c>
      <c r="C840" s="4"/>
      <c r="D840" s="4" t="s">
        <v>42</v>
      </c>
      <c r="E840" s="8">
        <v>45184</v>
      </c>
      <c r="F840" s="4" t="s">
        <v>43</v>
      </c>
      <c r="G840" s="39" t="s">
        <v>874</v>
      </c>
      <c r="H840" s="4" t="s">
        <v>45</v>
      </c>
      <c r="I840" s="4" t="s">
        <v>579</v>
      </c>
      <c r="J840" s="10">
        <v>2.1235200000000001</v>
      </c>
      <c r="K840" s="10">
        <v>2.1240000000000001</v>
      </c>
      <c r="L840" s="10">
        <f t="shared" si="71"/>
        <v>0</v>
      </c>
      <c r="M840" s="10">
        <f t="shared" si="72"/>
        <v>0</v>
      </c>
      <c r="N840" s="10"/>
      <c r="O840" s="10"/>
      <c r="P840" s="10">
        <v>0</v>
      </c>
      <c r="Q840" s="10"/>
      <c r="R840" s="10"/>
      <c r="S840" s="10"/>
      <c r="T840" s="10"/>
      <c r="U840" s="10"/>
      <c r="V840" s="4" t="s">
        <v>404</v>
      </c>
      <c r="W840" s="4"/>
      <c r="X840" s="8">
        <v>45188</v>
      </c>
      <c r="Y840" s="4"/>
      <c r="Z840" s="4"/>
      <c r="AA840" s="8"/>
      <c r="AB840" s="8"/>
      <c r="AC840" s="4"/>
      <c r="AD840" s="4"/>
    </row>
    <row r="841" spans="1:30" hidden="1">
      <c r="A841" s="4">
        <v>715</v>
      </c>
      <c r="B841" s="8">
        <v>45150</v>
      </c>
      <c r="C841" s="4"/>
      <c r="D841" s="4" t="s">
        <v>42</v>
      </c>
      <c r="E841" s="8">
        <v>45184</v>
      </c>
      <c r="F841" s="4" t="s">
        <v>43</v>
      </c>
      <c r="G841" s="39" t="s">
        <v>874</v>
      </c>
      <c r="H841" s="4" t="s">
        <v>45</v>
      </c>
      <c r="I841" s="4" t="s">
        <v>449</v>
      </c>
      <c r="J841" s="10">
        <v>2.41248</v>
      </c>
      <c r="K841" s="10">
        <v>2.4119999999999999</v>
      </c>
      <c r="L841" s="10">
        <f t="shared" si="71"/>
        <v>0</v>
      </c>
      <c r="M841" s="10">
        <f t="shared" si="72"/>
        <v>0</v>
      </c>
      <c r="N841" s="10"/>
      <c r="O841" s="10"/>
      <c r="P841" s="10">
        <v>0</v>
      </c>
      <c r="Q841" s="10"/>
      <c r="R841" s="10"/>
      <c r="S841" s="10"/>
      <c r="T841" s="10"/>
      <c r="U841" s="10"/>
      <c r="V841" s="4" t="s">
        <v>404</v>
      </c>
      <c r="W841" s="4"/>
      <c r="X841" s="8">
        <v>45194</v>
      </c>
      <c r="Y841" s="4"/>
      <c r="Z841" s="4"/>
      <c r="AA841" s="8"/>
      <c r="AB841" s="8"/>
      <c r="AC841" s="4"/>
      <c r="AD841" s="4"/>
    </row>
    <row r="842" spans="1:30" hidden="1">
      <c r="A842" s="4">
        <v>715</v>
      </c>
      <c r="B842" s="8">
        <v>45150</v>
      </c>
      <c r="C842" s="4"/>
      <c r="D842" s="4" t="s">
        <v>42</v>
      </c>
      <c r="E842" s="8">
        <v>45184</v>
      </c>
      <c r="F842" s="4" t="s">
        <v>43</v>
      </c>
      <c r="G842" s="39" t="s">
        <v>874</v>
      </c>
      <c r="H842" s="4" t="s">
        <v>45</v>
      </c>
      <c r="I842" s="4" t="s">
        <v>518</v>
      </c>
      <c r="J842" s="10">
        <v>3.5713600000000003</v>
      </c>
      <c r="K842" s="10">
        <v>3.5710000000000002</v>
      </c>
      <c r="L842" s="10">
        <f t="shared" si="71"/>
        <v>3.599999999996939E-4</v>
      </c>
      <c r="M842" s="10">
        <f t="shared" si="72"/>
        <v>3.599999999996939E-4</v>
      </c>
      <c r="N842" s="10"/>
      <c r="O842" s="10"/>
      <c r="P842" s="10">
        <f>3.57136-3.571</f>
        <v>3.599999999996939E-4</v>
      </c>
      <c r="Q842" s="10"/>
      <c r="R842" s="10"/>
      <c r="S842" s="10"/>
      <c r="T842" s="10"/>
      <c r="U842" s="10"/>
      <c r="V842" s="4" t="s">
        <v>404</v>
      </c>
      <c r="W842" s="4"/>
      <c r="X842" s="8">
        <v>45194</v>
      </c>
      <c r="Y842" s="4"/>
      <c r="Z842" s="4"/>
      <c r="AA842" s="8"/>
      <c r="AB842" s="8"/>
      <c r="AC842" s="4"/>
      <c r="AD842" s="4"/>
    </row>
    <row r="843" spans="1:30" hidden="1">
      <c r="A843" s="4">
        <v>715</v>
      </c>
      <c r="B843" s="8">
        <v>45150</v>
      </c>
      <c r="C843" s="4"/>
      <c r="D843" s="4" t="s">
        <v>42</v>
      </c>
      <c r="E843" s="8">
        <v>45184</v>
      </c>
      <c r="F843" s="4" t="s">
        <v>43</v>
      </c>
      <c r="G843" s="39" t="s">
        <v>874</v>
      </c>
      <c r="H843" s="4" t="s">
        <v>45</v>
      </c>
      <c r="I843" s="4" t="s">
        <v>49</v>
      </c>
      <c r="J843" s="10">
        <v>7.0688800000000001</v>
      </c>
      <c r="K843" s="10">
        <v>7.2649999999999997</v>
      </c>
      <c r="L843" s="10">
        <f t="shared" si="71"/>
        <v>0</v>
      </c>
      <c r="M843" s="10">
        <f t="shared" si="72"/>
        <v>0</v>
      </c>
      <c r="N843" s="10"/>
      <c r="O843" s="10"/>
      <c r="P843" s="10">
        <v>0</v>
      </c>
      <c r="Q843" s="10"/>
      <c r="R843" s="10"/>
      <c r="S843" s="10"/>
      <c r="T843" s="10"/>
      <c r="U843" s="10"/>
      <c r="V843" s="4" t="s">
        <v>404</v>
      </c>
      <c r="W843" s="4"/>
      <c r="X843" s="8">
        <v>45183</v>
      </c>
      <c r="Y843" s="4"/>
      <c r="Z843" s="4"/>
      <c r="AA843" s="8"/>
      <c r="AB843" s="8"/>
      <c r="AC843" s="4"/>
      <c r="AD843" s="4"/>
    </row>
    <row r="844" spans="1:30" hidden="1">
      <c r="A844" s="4">
        <v>715</v>
      </c>
      <c r="B844" s="8">
        <v>45150</v>
      </c>
      <c r="C844" s="4"/>
      <c r="D844" s="4" t="s">
        <v>42</v>
      </c>
      <c r="E844" s="8">
        <v>45184</v>
      </c>
      <c r="F844" s="4" t="s">
        <v>43</v>
      </c>
      <c r="G844" s="39" t="s">
        <v>874</v>
      </c>
      <c r="H844" s="4" t="s">
        <v>45</v>
      </c>
      <c r="I844" s="4" t="s">
        <v>50</v>
      </c>
      <c r="J844" s="10">
        <v>7.8086399999999996</v>
      </c>
      <c r="K844" s="10">
        <v>8.0950000000000006</v>
      </c>
      <c r="L844" s="10">
        <f t="shared" si="71"/>
        <v>0</v>
      </c>
      <c r="M844" s="10">
        <f t="shared" si="72"/>
        <v>0</v>
      </c>
      <c r="N844" s="10"/>
      <c r="O844" s="10"/>
      <c r="P844" s="10">
        <v>0</v>
      </c>
      <c r="Q844" s="10"/>
      <c r="R844" s="10"/>
      <c r="S844" s="10"/>
      <c r="T844" s="10"/>
      <c r="U844" s="10"/>
      <c r="V844" s="4" t="s">
        <v>404</v>
      </c>
      <c r="W844" s="4" t="s">
        <v>37</v>
      </c>
      <c r="X844" s="8">
        <v>45183</v>
      </c>
      <c r="Y844" s="4"/>
      <c r="Z844" s="4"/>
      <c r="AA844" s="8"/>
      <c r="AB844" s="8"/>
      <c r="AC844" s="4"/>
      <c r="AD844" s="4"/>
    </row>
    <row r="845" spans="1:30" hidden="1">
      <c r="A845" s="4">
        <v>715</v>
      </c>
      <c r="B845" s="8">
        <v>45150</v>
      </c>
      <c r="C845" s="4"/>
      <c r="D845" s="4" t="s">
        <v>42</v>
      </c>
      <c r="E845" s="8">
        <v>45184</v>
      </c>
      <c r="F845" s="4" t="s">
        <v>43</v>
      </c>
      <c r="G845" s="39" t="s">
        <v>874</v>
      </c>
      <c r="H845" s="4" t="s">
        <v>45</v>
      </c>
      <c r="I845" s="4" t="s">
        <v>588</v>
      </c>
      <c r="J845" s="10">
        <v>3.0987</v>
      </c>
      <c r="K845" s="10">
        <v>3.3050000000000002</v>
      </c>
      <c r="L845" s="10">
        <f t="shared" si="71"/>
        <v>0</v>
      </c>
      <c r="M845" s="10">
        <f t="shared" si="72"/>
        <v>0</v>
      </c>
      <c r="N845" s="10"/>
      <c r="O845" s="10"/>
      <c r="P845" s="10">
        <v>0</v>
      </c>
      <c r="Q845" s="10"/>
      <c r="R845" s="10">
        <v>0</v>
      </c>
      <c r="S845" s="10"/>
      <c r="T845" s="10"/>
      <c r="U845" s="10"/>
      <c r="V845" s="4" t="s">
        <v>404</v>
      </c>
      <c r="W845" s="4"/>
      <c r="X845" s="8">
        <v>45183</v>
      </c>
      <c r="Y845" s="4"/>
      <c r="Z845" s="4"/>
      <c r="AA845" s="8"/>
      <c r="AB845" s="8"/>
      <c r="AC845" s="4"/>
      <c r="AD845" s="4"/>
    </row>
    <row r="846" spans="1:30" hidden="1">
      <c r="A846" s="4">
        <v>715</v>
      </c>
      <c r="B846" s="8">
        <v>45150</v>
      </c>
      <c r="C846" s="4"/>
      <c r="D846" s="4" t="s">
        <v>42</v>
      </c>
      <c r="E846" s="8">
        <v>45184</v>
      </c>
      <c r="F846" s="4" t="s">
        <v>43</v>
      </c>
      <c r="G846" s="39" t="s">
        <v>874</v>
      </c>
      <c r="H846" s="4" t="s">
        <v>45</v>
      </c>
      <c r="I846" s="4" t="s">
        <v>54</v>
      </c>
      <c r="J846" s="10">
        <v>1.8557040000000002</v>
      </c>
      <c r="K846" s="10">
        <v>1.861</v>
      </c>
      <c r="L846" s="10">
        <f t="shared" si="71"/>
        <v>0</v>
      </c>
      <c r="M846" s="10">
        <f t="shared" si="72"/>
        <v>0</v>
      </c>
      <c r="N846" s="10"/>
      <c r="O846" s="10"/>
      <c r="P846" s="10">
        <v>0</v>
      </c>
      <c r="Q846" s="10"/>
      <c r="R846" s="10"/>
      <c r="S846" s="10"/>
      <c r="T846" s="10"/>
      <c r="U846" s="10"/>
      <c r="V846" s="4" t="s">
        <v>404</v>
      </c>
      <c r="W846" s="4"/>
      <c r="X846" s="8"/>
      <c r="Y846" s="4"/>
      <c r="Z846" s="4"/>
      <c r="AA846" s="8"/>
      <c r="AB846" s="8"/>
      <c r="AC846" s="4"/>
      <c r="AD846" s="4"/>
    </row>
    <row r="847" spans="1:30" hidden="1">
      <c r="A847" s="4">
        <v>715</v>
      </c>
      <c r="B847" s="8">
        <v>45150</v>
      </c>
      <c r="C847" s="4"/>
      <c r="D847" s="4" t="s">
        <v>42</v>
      </c>
      <c r="E847" s="8">
        <v>45184</v>
      </c>
      <c r="F847" s="4" t="s">
        <v>43</v>
      </c>
      <c r="G847" s="39" t="s">
        <v>874</v>
      </c>
      <c r="H847" s="4" t="s">
        <v>45</v>
      </c>
      <c r="I847" s="4" t="s">
        <v>56</v>
      </c>
      <c r="J847" s="10">
        <v>1.0272000000000001</v>
      </c>
      <c r="K847" s="10">
        <v>1.0269999999999999</v>
      </c>
      <c r="L847" s="10">
        <f t="shared" si="71"/>
        <v>0</v>
      </c>
      <c r="M847" s="10">
        <f t="shared" si="72"/>
        <v>0</v>
      </c>
      <c r="N847" s="10"/>
      <c r="O847" s="10"/>
      <c r="P847" s="10">
        <v>0</v>
      </c>
      <c r="Q847" s="10"/>
      <c r="R847" s="10"/>
      <c r="S847" s="10"/>
      <c r="T847" s="10"/>
      <c r="U847" s="10"/>
      <c r="V847" s="4" t="s">
        <v>404</v>
      </c>
      <c r="W847" s="4"/>
      <c r="X847" s="8"/>
      <c r="Y847" s="4"/>
      <c r="Z847" s="4"/>
      <c r="AA847" s="8"/>
      <c r="AB847" s="8"/>
      <c r="AC847" s="4"/>
      <c r="AD847" s="4"/>
    </row>
    <row r="848" spans="1:30" hidden="1">
      <c r="A848" s="4">
        <v>715</v>
      </c>
      <c r="B848" s="8">
        <v>45150</v>
      </c>
      <c r="C848" s="4"/>
      <c r="D848" s="4" t="s">
        <v>42</v>
      </c>
      <c r="E848" s="8">
        <v>45184</v>
      </c>
      <c r="F848" s="4" t="s">
        <v>43</v>
      </c>
      <c r="G848" s="39" t="s">
        <v>874</v>
      </c>
      <c r="H848" s="4" t="s">
        <v>45</v>
      </c>
      <c r="I848" s="4" t="s">
        <v>89</v>
      </c>
      <c r="J848" s="10">
        <v>0.58548</v>
      </c>
      <c r="K848" s="10">
        <v>0.69699999999999995</v>
      </c>
      <c r="L848" s="10">
        <f t="shared" si="71"/>
        <v>0</v>
      </c>
      <c r="M848" s="10">
        <f t="shared" si="72"/>
        <v>0</v>
      </c>
      <c r="N848" s="10"/>
      <c r="O848" s="10"/>
      <c r="P848" s="10">
        <v>0</v>
      </c>
      <c r="Q848" s="10"/>
      <c r="R848" s="10"/>
      <c r="S848" s="10"/>
      <c r="T848" s="10"/>
      <c r="U848" s="10"/>
      <c r="V848" s="4" t="s">
        <v>404</v>
      </c>
      <c r="W848" s="4" t="s">
        <v>1195</v>
      </c>
      <c r="X848" s="8"/>
      <c r="Y848" s="4"/>
      <c r="Z848" s="4"/>
      <c r="AA848" s="8"/>
      <c r="AB848" s="8"/>
      <c r="AC848" s="4"/>
      <c r="AD848" s="4"/>
    </row>
    <row r="849" spans="1:30" hidden="1">
      <c r="A849" s="4">
        <v>715</v>
      </c>
      <c r="B849" s="8">
        <v>45150</v>
      </c>
      <c r="C849" s="4"/>
      <c r="D849" s="4" t="s">
        <v>42</v>
      </c>
      <c r="E849" s="8">
        <v>45184</v>
      </c>
      <c r="F849" s="4" t="s">
        <v>43</v>
      </c>
      <c r="G849" s="39" t="s">
        <v>874</v>
      </c>
      <c r="H849" s="4" t="s">
        <v>45</v>
      </c>
      <c r="I849" s="4" t="s">
        <v>89</v>
      </c>
      <c r="J849" s="10">
        <v>1.5803199999999997</v>
      </c>
      <c r="K849" s="10">
        <v>1.5109999999999999</v>
      </c>
      <c r="L849" s="10">
        <f t="shared" si="71"/>
        <v>0</v>
      </c>
      <c r="M849" s="10">
        <f t="shared" si="72"/>
        <v>0</v>
      </c>
      <c r="N849" s="10"/>
      <c r="O849" s="10"/>
      <c r="P849" s="10">
        <v>0</v>
      </c>
      <c r="Q849" s="10"/>
      <c r="R849" s="10"/>
      <c r="S849" s="10"/>
      <c r="T849" s="10"/>
      <c r="U849" s="10"/>
      <c r="V849" s="4" t="s">
        <v>404</v>
      </c>
      <c r="W849" s="4" t="s">
        <v>37</v>
      </c>
      <c r="X849" s="8">
        <v>45176</v>
      </c>
      <c r="Y849" s="4"/>
      <c r="Z849" s="4"/>
      <c r="AA849" s="8"/>
      <c r="AB849" s="8"/>
      <c r="AC849" s="4"/>
      <c r="AD849" s="4"/>
    </row>
    <row r="850" spans="1:30" hidden="1">
      <c r="A850" s="4">
        <v>715</v>
      </c>
      <c r="B850" s="8">
        <v>45150</v>
      </c>
      <c r="C850" s="4"/>
      <c r="D850" s="4" t="s">
        <v>42</v>
      </c>
      <c r="E850" s="8">
        <v>45184</v>
      </c>
      <c r="F850" s="4" t="s">
        <v>43</v>
      </c>
      <c r="G850" s="39" t="s">
        <v>874</v>
      </c>
      <c r="H850" s="4" t="s">
        <v>45</v>
      </c>
      <c r="I850" s="4" t="s">
        <v>87</v>
      </c>
      <c r="J850" s="10">
        <v>0.80723999999999996</v>
      </c>
      <c r="K850" s="10">
        <v>0.80700000000000005</v>
      </c>
      <c r="L850" s="10">
        <f t="shared" si="71"/>
        <v>0</v>
      </c>
      <c r="M850" s="10">
        <f t="shared" si="72"/>
        <v>0</v>
      </c>
      <c r="N850" s="10"/>
      <c r="O850" s="10"/>
      <c r="P850" s="10">
        <v>0</v>
      </c>
      <c r="Q850" s="10"/>
      <c r="R850" s="10"/>
      <c r="S850" s="10"/>
      <c r="T850" s="10"/>
      <c r="U850" s="10"/>
      <c r="V850" s="4" t="s">
        <v>404</v>
      </c>
      <c r="W850" s="4"/>
      <c r="X850" s="8">
        <v>45176</v>
      </c>
      <c r="Y850" s="4"/>
      <c r="Z850" s="4"/>
      <c r="AA850" s="8">
        <v>45196</v>
      </c>
      <c r="AB850" s="8">
        <v>45196</v>
      </c>
      <c r="AC850" s="4"/>
      <c r="AD850" s="4"/>
    </row>
    <row r="851" spans="1:30" hidden="1">
      <c r="A851" s="4">
        <v>715</v>
      </c>
      <c r="B851" s="8">
        <v>45150</v>
      </c>
      <c r="C851" s="4"/>
      <c r="D851" s="4" t="s">
        <v>42</v>
      </c>
      <c r="E851" s="8">
        <v>45184</v>
      </c>
      <c r="F851" s="4" t="s">
        <v>43</v>
      </c>
      <c r="G851" s="39" t="s">
        <v>874</v>
      </c>
      <c r="H851" s="4" t="s">
        <v>45</v>
      </c>
      <c r="I851" s="4" t="s">
        <v>474</v>
      </c>
      <c r="J851" s="10">
        <f>0.7404+0.06</f>
        <v>0.8004</v>
      </c>
      <c r="K851" s="10">
        <f>0.81+0.06+0.009</f>
        <v>0.87900000000000011</v>
      </c>
      <c r="L851" s="10">
        <f t="shared" si="71"/>
        <v>0</v>
      </c>
      <c r="M851" s="10">
        <f t="shared" si="72"/>
        <v>0</v>
      </c>
      <c r="N851" s="10"/>
      <c r="O851" s="10"/>
      <c r="P851" s="10">
        <v>0</v>
      </c>
      <c r="Q851" s="10"/>
      <c r="R851" s="10"/>
      <c r="S851" s="10"/>
      <c r="T851" s="10"/>
      <c r="U851" s="10"/>
      <c r="V851" s="4" t="s">
        <v>404</v>
      </c>
      <c r="W851" s="4" t="s">
        <v>36</v>
      </c>
      <c r="X851" s="8"/>
      <c r="Y851" s="4"/>
      <c r="Z851" s="4"/>
      <c r="AA851" s="8"/>
      <c r="AB851" s="8"/>
      <c r="AC851" s="4"/>
      <c r="AD851" s="4"/>
    </row>
    <row r="852" spans="1:30" hidden="1">
      <c r="A852" s="4">
        <v>715</v>
      </c>
      <c r="B852" s="8">
        <v>45150</v>
      </c>
      <c r="C852" s="4"/>
      <c r="D852" s="4" t="s">
        <v>42</v>
      </c>
      <c r="E852" s="8">
        <v>45184</v>
      </c>
      <c r="F852" s="4" t="s">
        <v>43</v>
      </c>
      <c r="G852" s="39" t="s">
        <v>874</v>
      </c>
      <c r="H852" s="4" t="s">
        <v>45</v>
      </c>
      <c r="I852" s="4" t="s">
        <v>434</v>
      </c>
      <c r="J852" s="10">
        <v>8.8080000000000006E-2</v>
      </c>
      <c r="K852" s="10">
        <f>0.088+0.011</f>
        <v>9.8999999999999991E-2</v>
      </c>
      <c r="L852" s="10">
        <f t="shared" si="71"/>
        <v>0</v>
      </c>
      <c r="M852" s="10">
        <f t="shared" si="72"/>
        <v>0</v>
      </c>
      <c r="N852" s="10"/>
      <c r="O852" s="10"/>
      <c r="P852" s="10">
        <v>0</v>
      </c>
      <c r="Q852" s="10"/>
      <c r="R852" s="10"/>
      <c r="S852" s="10"/>
      <c r="T852" s="10"/>
      <c r="U852" s="10"/>
      <c r="V852" s="4" t="s">
        <v>404</v>
      </c>
      <c r="W852" s="4"/>
      <c r="X852" s="8"/>
      <c r="Y852" s="4"/>
      <c r="Z852" s="4"/>
      <c r="AA852" s="8"/>
      <c r="AB852" s="8"/>
      <c r="AC852" s="4"/>
      <c r="AD852" s="4"/>
    </row>
    <row r="853" spans="1:30" hidden="1">
      <c r="A853" s="4">
        <v>715</v>
      </c>
      <c r="B853" s="8">
        <v>45150</v>
      </c>
      <c r="C853" s="4"/>
      <c r="D853" s="4" t="s">
        <v>42</v>
      </c>
      <c r="E853" s="8">
        <v>45184</v>
      </c>
      <c r="F853" s="4" t="s">
        <v>43</v>
      </c>
      <c r="G853" s="39" t="s">
        <v>874</v>
      </c>
      <c r="H853" s="4" t="s">
        <v>45</v>
      </c>
      <c r="I853" s="4" t="s">
        <v>435</v>
      </c>
      <c r="J853" s="10">
        <v>0.20736000000000002</v>
      </c>
      <c r="K853" s="10">
        <v>0.27100000000000002</v>
      </c>
      <c r="L853" s="10">
        <f t="shared" si="71"/>
        <v>0</v>
      </c>
      <c r="M853" s="10">
        <f t="shared" si="72"/>
        <v>0</v>
      </c>
      <c r="N853" s="10"/>
      <c r="O853" s="10"/>
      <c r="P853" s="10">
        <v>0</v>
      </c>
      <c r="Q853" s="10"/>
      <c r="R853" s="10"/>
      <c r="S853" s="10"/>
      <c r="T853" s="10"/>
      <c r="U853" s="10"/>
      <c r="V853" s="4" t="s">
        <v>404</v>
      </c>
      <c r="W853" s="4" t="s">
        <v>521</v>
      </c>
      <c r="X853" s="8"/>
      <c r="Y853" s="4"/>
      <c r="Z853" s="4"/>
      <c r="AA853" s="8">
        <v>45207</v>
      </c>
      <c r="AB853" s="8">
        <v>45207</v>
      </c>
      <c r="AC853" s="4"/>
      <c r="AD853" s="4"/>
    </row>
    <row r="854" spans="1:30" hidden="1">
      <c r="A854" s="4">
        <v>715</v>
      </c>
      <c r="B854" s="8">
        <v>45150</v>
      </c>
      <c r="C854" s="4"/>
      <c r="D854" s="4" t="s">
        <v>42</v>
      </c>
      <c r="E854" s="8">
        <v>45184</v>
      </c>
      <c r="F854" s="4" t="s">
        <v>43</v>
      </c>
      <c r="G854" s="39" t="s">
        <v>874</v>
      </c>
      <c r="H854" s="4" t="s">
        <v>45</v>
      </c>
      <c r="I854" s="4" t="s">
        <v>432</v>
      </c>
      <c r="J854" s="10">
        <f>2.5345+0.007</f>
        <v>2.5415000000000001</v>
      </c>
      <c r="K854" s="10">
        <f>2.535+0.007+10</f>
        <v>12.542</v>
      </c>
      <c r="L854" s="10">
        <f t="shared" si="71"/>
        <v>0</v>
      </c>
      <c r="M854" s="10">
        <f t="shared" si="72"/>
        <v>0</v>
      </c>
      <c r="N854" s="10"/>
      <c r="O854" s="10"/>
      <c r="P854" s="10">
        <v>0</v>
      </c>
      <c r="Q854" s="10"/>
      <c r="R854" s="10"/>
      <c r="S854" s="10"/>
      <c r="T854" s="10"/>
      <c r="U854" s="10"/>
      <c r="V854" s="4" t="s">
        <v>404</v>
      </c>
      <c r="W854" s="4"/>
      <c r="X854" s="8"/>
      <c r="Y854" s="4"/>
      <c r="Z854" s="4"/>
      <c r="AA854" s="8"/>
      <c r="AB854" s="8"/>
      <c r="AC854" s="4"/>
      <c r="AD854" s="4"/>
    </row>
    <row r="855" spans="1:30" hidden="1">
      <c r="A855" s="4">
        <v>715</v>
      </c>
      <c r="B855" s="8">
        <v>45150</v>
      </c>
      <c r="C855" s="4"/>
      <c r="D855" s="4" t="s">
        <v>42</v>
      </c>
      <c r="E855" s="8">
        <v>45184</v>
      </c>
      <c r="F855" s="4" t="s">
        <v>43</v>
      </c>
      <c r="G855" s="39" t="s">
        <v>874</v>
      </c>
      <c r="H855" s="4" t="s">
        <v>45</v>
      </c>
      <c r="I855" s="4" t="s">
        <v>407</v>
      </c>
      <c r="J855" s="10">
        <v>3.3276669999999999</v>
      </c>
      <c r="K855" s="10">
        <v>3.3279999999999998</v>
      </c>
      <c r="L855" s="10">
        <f t="shared" si="71"/>
        <v>0</v>
      </c>
      <c r="M855" s="10">
        <f t="shared" si="72"/>
        <v>0</v>
      </c>
      <c r="N855" s="10"/>
      <c r="O855" s="10"/>
      <c r="P855" s="10">
        <v>0</v>
      </c>
      <c r="Q855" s="10"/>
      <c r="R855" s="10"/>
      <c r="S855" s="10"/>
      <c r="T855" s="10"/>
      <c r="U855" s="10"/>
      <c r="V855" s="4" t="s">
        <v>404</v>
      </c>
      <c r="W855" s="4"/>
      <c r="X855" s="8">
        <v>45181</v>
      </c>
      <c r="Y855" s="4"/>
      <c r="Z855" s="4"/>
      <c r="AA855" s="8">
        <v>45196</v>
      </c>
      <c r="AB855" s="8">
        <v>45196</v>
      </c>
      <c r="AC855" s="4"/>
      <c r="AD855" s="4"/>
    </row>
    <row r="856" spans="1:30" hidden="1">
      <c r="A856" s="4">
        <v>715</v>
      </c>
      <c r="B856" s="8">
        <v>45150</v>
      </c>
      <c r="C856" s="4"/>
      <c r="D856" s="4" t="s">
        <v>42</v>
      </c>
      <c r="E856" s="8">
        <v>45184</v>
      </c>
      <c r="F856" s="4" t="s">
        <v>43</v>
      </c>
      <c r="G856" s="39" t="s">
        <v>874</v>
      </c>
      <c r="H856" s="4" t="s">
        <v>45</v>
      </c>
      <c r="I856" s="4" t="s">
        <v>409</v>
      </c>
      <c r="J856" s="10">
        <v>1.62368</v>
      </c>
      <c r="K856" s="10">
        <v>1.6240000000000001</v>
      </c>
      <c r="L856" s="10">
        <f t="shared" si="71"/>
        <v>0</v>
      </c>
      <c r="M856" s="10">
        <f t="shared" si="72"/>
        <v>0</v>
      </c>
      <c r="N856" s="10"/>
      <c r="O856" s="10"/>
      <c r="P856" s="10">
        <v>0</v>
      </c>
      <c r="Q856" s="10"/>
      <c r="R856" s="10"/>
      <c r="S856" s="10"/>
      <c r="T856" s="10"/>
      <c r="U856" s="10"/>
      <c r="V856" s="4" t="s">
        <v>404</v>
      </c>
      <c r="W856" s="4"/>
      <c r="X856" s="8">
        <v>45181</v>
      </c>
      <c r="Y856" s="4"/>
      <c r="Z856" s="4"/>
      <c r="AA856" s="8"/>
      <c r="AB856" s="8"/>
      <c r="AC856" s="4"/>
      <c r="AD856" s="4"/>
    </row>
    <row r="857" spans="1:30" hidden="1">
      <c r="A857" s="4">
        <v>715</v>
      </c>
      <c r="B857" s="8">
        <v>45150</v>
      </c>
      <c r="C857" s="4"/>
      <c r="D857" s="4" t="s">
        <v>42</v>
      </c>
      <c r="E857" s="8">
        <v>45184</v>
      </c>
      <c r="F857" s="4" t="s">
        <v>43</v>
      </c>
      <c r="G857" s="39" t="s">
        <v>874</v>
      </c>
      <c r="H857" s="4" t="s">
        <v>45</v>
      </c>
      <c r="I857" s="4" t="s">
        <v>403</v>
      </c>
      <c r="J857" s="10">
        <v>0.13778000000000001</v>
      </c>
      <c r="K857" s="10">
        <v>0.13800000000000001</v>
      </c>
      <c r="L857" s="10">
        <f t="shared" si="71"/>
        <v>0</v>
      </c>
      <c r="M857" s="10">
        <f t="shared" si="72"/>
        <v>0</v>
      </c>
      <c r="N857" s="10"/>
      <c r="O857" s="10"/>
      <c r="P857" s="10">
        <v>0</v>
      </c>
      <c r="Q857" s="10"/>
      <c r="R857" s="10"/>
      <c r="S857" s="10"/>
      <c r="T857" s="10"/>
      <c r="U857" s="10"/>
      <c r="V857" s="4" t="s">
        <v>404</v>
      </c>
      <c r="W857" s="4"/>
      <c r="X857" s="8">
        <v>45204</v>
      </c>
      <c r="Y857" s="4"/>
      <c r="Z857" s="4"/>
      <c r="AA857" s="8"/>
      <c r="AB857" s="8"/>
      <c r="AC857" s="4"/>
      <c r="AD857" s="4"/>
    </row>
    <row r="858" spans="1:30" hidden="1">
      <c r="A858" s="4">
        <v>715</v>
      </c>
      <c r="B858" s="8">
        <v>45150</v>
      </c>
      <c r="C858" s="4"/>
      <c r="D858" s="4" t="s">
        <v>42</v>
      </c>
      <c r="E858" s="8">
        <v>45184</v>
      </c>
      <c r="F858" s="4" t="s">
        <v>43</v>
      </c>
      <c r="G858" s="39" t="s">
        <v>874</v>
      </c>
      <c r="H858" s="4" t="s">
        <v>45</v>
      </c>
      <c r="I858" s="4" t="s">
        <v>400</v>
      </c>
      <c r="J858" s="10">
        <v>0.25296000000000002</v>
      </c>
      <c r="K858" s="10">
        <v>0.253</v>
      </c>
      <c r="L858" s="10">
        <f t="shared" si="71"/>
        <v>0</v>
      </c>
      <c r="M858" s="10">
        <f t="shared" si="72"/>
        <v>0</v>
      </c>
      <c r="N858" s="10"/>
      <c r="O858" s="10"/>
      <c r="P858" s="10">
        <v>0</v>
      </c>
      <c r="Q858" s="10"/>
      <c r="R858" s="10"/>
      <c r="S858" s="10"/>
      <c r="T858" s="10"/>
      <c r="U858" s="10"/>
      <c r="V858" s="4" t="s">
        <v>404</v>
      </c>
      <c r="W858" s="4" t="s">
        <v>1210</v>
      </c>
      <c r="X858" s="8">
        <v>45204</v>
      </c>
      <c r="Y858" s="4"/>
      <c r="Z858" s="4"/>
      <c r="AA858" s="8">
        <v>45211</v>
      </c>
      <c r="AB858" s="8">
        <v>45211</v>
      </c>
      <c r="AC858" s="4"/>
      <c r="AD858" s="4"/>
    </row>
    <row r="859" spans="1:30" hidden="1">
      <c r="A859" s="4">
        <v>715</v>
      </c>
      <c r="B859" s="8">
        <v>45150</v>
      </c>
      <c r="C859" s="4"/>
      <c r="D859" s="4" t="s">
        <v>42</v>
      </c>
      <c r="E859" s="8">
        <v>45184</v>
      </c>
      <c r="F859" s="4" t="s">
        <v>43</v>
      </c>
      <c r="G859" s="39" t="s">
        <v>874</v>
      </c>
      <c r="H859" s="4" t="s">
        <v>45</v>
      </c>
      <c r="I859" s="4" t="s">
        <v>400</v>
      </c>
      <c r="J859" s="10">
        <v>3.2332000000000001</v>
      </c>
      <c r="K859" s="10">
        <v>3.9009999999999998</v>
      </c>
      <c r="L859" s="10">
        <f t="shared" si="71"/>
        <v>0</v>
      </c>
      <c r="M859" s="10">
        <f t="shared" si="72"/>
        <v>0</v>
      </c>
      <c r="N859" s="10"/>
      <c r="O859" s="10"/>
      <c r="P859" s="10">
        <v>0</v>
      </c>
      <c r="Q859" s="10"/>
      <c r="R859" s="10"/>
      <c r="S859" s="10"/>
      <c r="T859" s="10"/>
      <c r="U859" s="10"/>
      <c r="V859" s="4" t="s">
        <v>404</v>
      </c>
      <c r="W859" s="4"/>
      <c r="X859" s="8">
        <v>45204</v>
      </c>
      <c r="Y859" s="4"/>
      <c r="Z859" s="4"/>
      <c r="AA859" s="8">
        <v>45211</v>
      </c>
      <c r="AB859" s="8">
        <v>45211</v>
      </c>
      <c r="AC859" s="4"/>
      <c r="AD859" s="4"/>
    </row>
    <row r="860" spans="1:30" hidden="1">
      <c r="A860" s="4">
        <v>715</v>
      </c>
      <c r="B860" s="8">
        <v>45150</v>
      </c>
      <c r="C860" s="4"/>
      <c r="D860" s="4" t="s">
        <v>42</v>
      </c>
      <c r="E860" s="8">
        <v>45184</v>
      </c>
      <c r="F860" s="4" t="s">
        <v>43</v>
      </c>
      <c r="G860" s="39" t="s">
        <v>874</v>
      </c>
      <c r="H860" s="4" t="s">
        <v>45</v>
      </c>
      <c r="I860" s="4" t="s">
        <v>46</v>
      </c>
      <c r="J860" s="10">
        <v>1.5007999999999999</v>
      </c>
      <c r="K860" s="10">
        <v>1.5009999999999999</v>
      </c>
      <c r="L860" s="10">
        <f t="shared" si="71"/>
        <v>0</v>
      </c>
      <c r="M860" s="10">
        <f t="shared" si="72"/>
        <v>0</v>
      </c>
      <c r="N860" s="10"/>
      <c r="O860" s="10"/>
      <c r="P860" s="10">
        <v>0</v>
      </c>
      <c r="Q860" s="10"/>
      <c r="R860" s="10"/>
      <c r="S860" s="10"/>
      <c r="T860" s="10"/>
      <c r="U860" s="10"/>
      <c r="V860" s="4" t="s">
        <v>404</v>
      </c>
      <c r="W860" s="4"/>
      <c r="X860" s="8">
        <v>45204</v>
      </c>
      <c r="Y860" s="4"/>
      <c r="Z860" s="4"/>
      <c r="AA860" s="8">
        <v>45207</v>
      </c>
      <c r="AB860" s="8">
        <v>45207</v>
      </c>
      <c r="AC860" s="4"/>
      <c r="AD860" s="4"/>
    </row>
    <row r="861" spans="1:30" hidden="1">
      <c r="A861" s="4">
        <v>716</v>
      </c>
      <c r="B861" s="8">
        <v>45150</v>
      </c>
      <c r="C861" s="4"/>
      <c r="D861" s="4" t="s">
        <v>42</v>
      </c>
      <c r="E861" s="8">
        <v>45184</v>
      </c>
      <c r="F861" s="4" t="s">
        <v>43</v>
      </c>
      <c r="G861" s="39" t="s">
        <v>874</v>
      </c>
      <c r="H861" s="4" t="s">
        <v>45</v>
      </c>
      <c r="I861" s="4" t="s">
        <v>48</v>
      </c>
      <c r="J861" s="10">
        <v>0.1037</v>
      </c>
      <c r="K861" s="10"/>
      <c r="L861" s="10">
        <f t="shared" si="71"/>
        <v>0</v>
      </c>
      <c r="M861" s="10">
        <f t="shared" si="72"/>
        <v>0</v>
      </c>
      <c r="N861" s="10"/>
      <c r="O861" s="10"/>
      <c r="P861" s="10">
        <v>0</v>
      </c>
      <c r="Q861" s="10"/>
      <c r="R861" s="10"/>
      <c r="S861" s="10"/>
      <c r="T861" s="10"/>
      <c r="U861" s="10"/>
      <c r="V861" s="4" t="s">
        <v>411</v>
      </c>
      <c r="W861" s="4"/>
      <c r="X861" s="8"/>
      <c r="Y861" s="4"/>
      <c r="Z861" s="4"/>
      <c r="AA861" s="8"/>
      <c r="AB861" s="8"/>
      <c r="AC861" s="4"/>
      <c r="AD861" s="4"/>
    </row>
    <row r="862" spans="1:30" hidden="1">
      <c r="A862" s="4">
        <v>716</v>
      </c>
      <c r="B862" s="8">
        <v>45150</v>
      </c>
      <c r="C862" s="4"/>
      <c r="D862" s="4" t="s">
        <v>42</v>
      </c>
      <c r="E862" s="8">
        <v>45184</v>
      </c>
      <c r="F862" s="4" t="s">
        <v>43</v>
      </c>
      <c r="G862" s="39" t="s">
        <v>874</v>
      </c>
      <c r="H862" s="4" t="s">
        <v>45</v>
      </c>
      <c r="I862" s="4" t="s">
        <v>89</v>
      </c>
      <c r="J862" s="10">
        <v>0.18592</v>
      </c>
      <c r="K862" s="10">
        <v>0.186</v>
      </c>
      <c r="L862" s="10">
        <f t="shared" si="71"/>
        <v>0</v>
      </c>
      <c r="M862" s="10">
        <f t="shared" si="72"/>
        <v>0</v>
      </c>
      <c r="N862" s="10"/>
      <c r="O862" s="10"/>
      <c r="P862" s="10">
        <v>0</v>
      </c>
      <c r="Q862" s="10"/>
      <c r="R862" s="10"/>
      <c r="S862" s="10"/>
      <c r="T862" s="10"/>
      <c r="U862" s="10"/>
      <c r="V862" s="4" t="s">
        <v>411</v>
      </c>
      <c r="W862" s="4" t="s">
        <v>37</v>
      </c>
      <c r="X862" s="8">
        <v>45176</v>
      </c>
      <c r="Y862" s="4"/>
      <c r="Z862" s="4"/>
      <c r="AA862" s="8">
        <v>45181</v>
      </c>
      <c r="AB862" s="8">
        <v>45181</v>
      </c>
      <c r="AC862" s="4"/>
      <c r="AD862" s="4"/>
    </row>
    <row r="863" spans="1:30" hidden="1">
      <c r="A863" s="4">
        <v>716</v>
      </c>
      <c r="B863" s="8">
        <v>45150</v>
      </c>
      <c r="C863" s="4"/>
      <c r="D863" s="4" t="s">
        <v>42</v>
      </c>
      <c r="E863" s="8">
        <v>45184</v>
      </c>
      <c r="F863" s="4" t="s">
        <v>43</v>
      </c>
      <c r="G863" s="39" t="s">
        <v>874</v>
      </c>
      <c r="H863" s="4" t="s">
        <v>45</v>
      </c>
      <c r="I863" s="4" t="s">
        <v>87</v>
      </c>
      <c r="J863" s="10">
        <v>0.10090499999999999</v>
      </c>
      <c r="K863" s="10">
        <v>0.10100000000000001</v>
      </c>
      <c r="L863" s="10">
        <f t="shared" si="71"/>
        <v>0</v>
      </c>
      <c r="M863" s="10">
        <f t="shared" si="72"/>
        <v>0</v>
      </c>
      <c r="N863" s="10"/>
      <c r="O863" s="10"/>
      <c r="P863" s="10">
        <v>0</v>
      </c>
      <c r="Q863" s="10"/>
      <c r="R863" s="10"/>
      <c r="S863" s="10"/>
      <c r="T863" s="10"/>
      <c r="U863" s="10"/>
      <c r="V863" s="4" t="s">
        <v>411</v>
      </c>
      <c r="W863" s="4"/>
      <c r="X863" s="8">
        <v>45176</v>
      </c>
      <c r="Y863" s="4"/>
      <c r="Z863" s="4"/>
      <c r="AA863" s="8">
        <v>45181</v>
      </c>
      <c r="AB863" s="8">
        <v>45181</v>
      </c>
      <c r="AC863" s="4"/>
      <c r="AD863" s="4"/>
    </row>
    <row r="864" spans="1:30" hidden="1">
      <c r="A864" s="4">
        <v>716</v>
      </c>
      <c r="B864" s="8">
        <v>45150</v>
      </c>
      <c r="C864" s="4"/>
      <c r="D864" s="4" t="s">
        <v>42</v>
      </c>
      <c r="E864" s="8">
        <v>45184</v>
      </c>
      <c r="F864" s="4" t="s">
        <v>43</v>
      </c>
      <c r="G864" s="39" t="s">
        <v>874</v>
      </c>
      <c r="H864" s="4" t="s">
        <v>45</v>
      </c>
      <c r="I864" s="4" t="s">
        <v>434</v>
      </c>
      <c r="J864" s="10">
        <v>0.35232000000000002</v>
      </c>
      <c r="K864" s="10">
        <v>0.35199999999999998</v>
      </c>
      <c r="L864" s="10">
        <f t="shared" si="71"/>
        <v>0</v>
      </c>
      <c r="M864" s="10">
        <f t="shared" si="72"/>
        <v>0</v>
      </c>
      <c r="N864" s="10"/>
      <c r="O864" s="10"/>
      <c r="P864" s="10">
        <v>0</v>
      </c>
      <c r="Q864" s="10"/>
      <c r="R864" s="10"/>
      <c r="S864" s="10"/>
      <c r="T864" s="10"/>
      <c r="U864" s="10"/>
      <c r="V864" s="4" t="s">
        <v>411</v>
      </c>
      <c r="W864" s="4"/>
      <c r="X864" s="8"/>
      <c r="Y864" s="4"/>
      <c r="Z864" s="4"/>
      <c r="AA864" s="8">
        <v>45181</v>
      </c>
      <c r="AB864" s="8">
        <v>45181</v>
      </c>
      <c r="AC864" s="4"/>
      <c r="AD864" s="4"/>
    </row>
    <row r="865" spans="1:30" hidden="1">
      <c r="A865" s="4">
        <v>716</v>
      </c>
      <c r="B865" s="8">
        <v>45150</v>
      </c>
      <c r="C865" s="4"/>
      <c r="D865" s="4" t="s">
        <v>42</v>
      </c>
      <c r="E865" s="8">
        <v>45184</v>
      </c>
      <c r="F865" s="4" t="s">
        <v>43</v>
      </c>
      <c r="G865" s="39" t="s">
        <v>874</v>
      </c>
      <c r="H865" s="4" t="s">
        <v>45</v>
      </c>
      <c r="I865" s="4" t="s">
        <v>435</v>
      </c>
      <c r="J865" s="10">
        <v>6.9120000000000001E-2</v>
      </c>
      <c r="K865" s="10">
        <v>0.115</v>
      </c>
      <c r="L865" s="10">
        <f t="shared" si="71"/>
        <v>0</v>
      </c>
      <c r="M865" s="10">
        <f t="shared" si="72"/>
        <v>0</v>
      </c>
      <c r="N865" s="10"/>
      <c r="O865" s="10"/>
      <c r="P865" s="10">
        <v>0</v>
      </c>
      <c r="Q865" s="10"/>
      <c r="R865" s="10"/>
      <c r="S865" s="10"/>
      <c r="T865" s="10"/>
      <c r="U865" s="10"/>
      <c r="V865" s="4" t="s">
        <v>411</v>
      </c>
      <c r="W865" s="4" t="s">
        <v>521</v>
      </c>
      <c r="X865" s="8"/>
      <c r="Y865" s="4"/>
      <c r="Z865" s="4"/>
      <c r="AA865" s="8">
        <v>45185</v>
      </c>
      <c r="AB865" s="8">
        <v>45185</v>
      </c>
      <c r="AC865" s="4"/>
      <c r="AD865" s="4"/>
    </row>
    <row r="866" spans="1:30" hidden="1">
      <c r="A866" s="4">
        <v>716</v>
      </c>
      <c r="B866" s="8">
        <v>45150</v>
      </c>
      <c r="C866" s="4"/>
      <c r="D866" s="4" t="s">
        <v>42</v>
      </c>
      <c r="E866" s="8">
        <v>45184</v>
      </c>
      <c r="F866" s="4" t="s">
        <v>43</v>
      </c>
      <c r="G866" s="39" t="s">
        <v>874</v>
      </c>
      <c r="H866" s="4" t="s">
        <v>45</v>
      </c>
      <c r="I866" s="4" t="s">
        <v>432</v>
      </c>
      <c r="J866" s="10">
        <v>6.8500000000000005E-2</v>
      </c>
      <c r="K866" s="10">
        <v>0.13700000000000001</v>
      </c>
      <c r="L866" s="10">
        <f t="shared" si="71"/>
        <v>0</v>
      </c>
      <c r="M866" s="10">
        <f t="shared" si="72"/>
        <v>0</v>
      </c>
      <c r="N866" s="10"/>
      <c r="O866" s="10"/>
      <c r="P866" s="10">
        <v>0</v>
      </c>
      <c r="Q866" s="10"/>
      <c r="R866" s="10"/>
      <c r="S866" s="10"/>
      <c r="T866" s="10"/>
      <c r="U866" s="10"/>
      <c r="V866" s="4" t="s">
        <v>411</v>
      </c>
      <c r="W866" s="4" t="s">
        <v>521</v>
      </c>
      <c r="X866" s="8"/>
      <c r="Y866" s="4"/>
      <c r="Z866" s="4"/>
      <c r="AA866" s="8">
        <v>45185</v>
      </c>
      <c r="AB866" s="8">
        <v>45185</v>
      </c>
      <c r="AC866" s="4"/>
      <c r="AD866" s="4"/>
    </row>
    <row r="867" spans="1:30" hidden="1">
      <c r="A867" s="4">
        <v>716</v>
      </c>
      <c r="B867" s="8">
        <v>45150</v>
      </c>
      <c r="C867" s="4"/>
      <c r="D867" s="4" t="s">
        <v>42</v>
      </c>
      <c r="E867" s="8">
        <v>45184</v>
      </c>
      <c r="F867" s="4" t="s">
        <v>43</v>
      </c>
      <c r="G867" s="39" t="s">
        <v>874</v>
      </c>
      <c r="H867" s="4" t="s">
        <v>45</v>
      </c>
      <c r="I867" s="4" t="s">
        <v>46</v>
      </c>
      <c r="J867" s="10">
        <v>0.15007999999999999</v>
      </c>
      <c r="K867" s="10">
        <v>0.24099999999999999</v>
      </c>
      <c r="L867" s="10">
        <f t="shared" si="71"/>
        <v>0</v>
      </c>
      <c r="M867" s="10">
        <f t="shared" si="72"/>
        <v>0</v>
      </c>
      <c r="N867" s="10"/>
      <c r="O867" s="10"/>
      <c r="P867" s="10"/>
      <c r="Q867" s="10"/>
      <c r="R867" s="10"/>
      <c r="S867" s="10"/>
      <c r="T867" s="10"/>
      <c r="U867" s="10"/>
      <c r="V867" s="4" t="s">
        <v>411</v>
      </c>
      <c r="W867" s="4"/>
      <c r="X867" s="8"/>
      <c r="Y867" s="4"/>
      <c r="Z867" s="4"/>
      <c r="AA867" s="8">
        <v>45181</v>
      </c>
      <c r="AB867" s="8">
        <v>45181</v>
      </c>
      <c r="AC867" s="4"/>
      <c r="AD867" s="4"/>
    </row>
    <row r="868" spans="1:30" hidden="1">
      <c r="A868" s="4">
        <v>749</v>
      </c>
      <c r="B868" s="8">
        <v>45166</v>
      </c>
      <c r="C868" s="4"/>
      <c r="D868" s="4" t="s">
        <v>42</v>
      </c>
      <c r="E868" s="8">
        <v>45176</v>
      </c>
      <c r="F868" s="4" t="s">
        <v>43</v>
      </c>
      <c r="G868" s="40" t="s">
        <v>20</v>
      </c>
      <c r="H868" s="4" t="s">
        <v>45</v>
      </c>
      <c r="I868" s="4" t="s">
        <v>435</v>
      </c>
      <c r="J868" s="10">
        <v>1.04</v>
      </c>
      <c r="K868" s="10">
        <v>1.0369999999999999</v>
      </c>
      <c r="L868" s="10">
        <f t="shared" si="71"/>
        <v>0</v>
      </c>
      <c r="M868" s="10">
        <f t="shared" ref="M868" si="73">SUM(N868:T868)</f>
        <v>0</v>
      </c>
      <c r="N868" s="10"/>
      <c r="O868" s="10"/>
      <c r="P868" s="10">
        <v>0</v>
      </c>
      <c r="Q868" s="10"/>
      <c r="R868" s="10"/>
      <c r="S868" s="10"/>
      <c r="T868" s="10"/>
      <c r="U868" s="10"/>
      <c r="V868" s="4" t="s">
        <v>415</v>
      </c>
      <c r="W868" s="4"/>
      <c r="X868" s="8"/>
      <c r="Y868" s="4"/>
      <c r="Z868" s="4"/>
      <c r="AA868" s="8">
        <v>45174</v>
      </c>
      <c r="AB868" s="8">
        <v>45174</v>
      </c>
      <c r="AC868" s="4"/>
      <c r="AD868" s="4"/>
    </row>
    <row r="869" spans="1:30" hidden="1">
      <c r="A869" s="4">
        <v>764</v>
      </c>
      <c r="B869" s="8">
        <v>45167</v>
      </c>
      <c r="C869" s="4"/>
      <c r="D869" s="4" t="s">
        <v>42</v>
      </c>
      <c r="E869" s="8">
        <v>45176</v>
      </c>
      <c r="F869" s="4" t="s">
        <v>43</v>
      </c>
      <c r="G869" s="40" t="s">
        <v>1070</v>
      </c>
      <c r="H869" s="4" t="s">
        <v>45</v>
      </c>
      <c r="I869" s="4" t="s">
        <v>48</v>
      </c>
      <c r="J869" s="10">
        <v>0.73199999999999998</v>
      </c>
      <c r="K869" s="10">
        <v>0.871</v>
      </c>
      <c r="L869" s="10">
        <f t="shared" si="71"/>
        <v>0</v>
      </c>
      <c r="M869" s="10">
        <f t="shared" ref="M869:M886" si="74">SUM(N869:T869)</f>
        <v>0</v>
      </c>
      <c r="N869" s="10"/>
      <c r="O869" s="10"/>
      <c r="P869" s="10">
        <v>0</v>
      </c>
      <c r="Q869" s="10"/>
      <c r="R869" s="10"/>
      <c r="S869" s="10"/>
      <c r="T869" s="10"/>
      <c r="U869" s="10"/>
      <c r="V869" s="4" t="s">
        <v>85</v>
      </c>
      <c r="W869" s="4" t="s">
        <v>1091</v>
      </c>
      <c r="X869" s="8"/>
      <c r="Y869" s="4"/>
      <c r="Z869" s="4"/>
      <c r="AA869" s="8">
        <v>45179</v>
      </c>
      <c r="AB869" s="8">
        <v>45179</v>
      </c>
      <c r="AC869" s="4"/>
      <c r="AD869" s="4"/>
    </row>
    <row r="870" spans="1:30" hidden="1">
      <c r="A870" s="4">
        <v>764</v>
      </c>
      <c r="B870" s="8">
        <v>45167</v>
      </c>
      <c r="C870" s="4"/>
      <c r="D870" s="4" t="s">
        <v>42</v>
      </c>
      <c r="E870" s="8">
        <v>45176</v>
      </c>
      <c r="F870" s="4" t="s">
        <v>43</v>
      </c>
      <c r="G870" s="40" t="s">
        <v>94</v>
      </c>
      <c r="H870" s="4" t="s">
        <v>45</v>
      </c>
      <c r="I870" s="4" t="s">
        <v>518</v>
      </c>
      <c r="J870" s="10">
        <v>0.99008000000000007</v>
      </c>
      <c r="K870" s="10">
        <v>1.2909999999999999</v>
      </c>
      <c r="L870" s="10">
        <f t="shared" si="71"/>
        <v>0</v>
      </c>
      <c r="M870" s="10">
        <f t="shared" si="74"/>
        <v>0</v>
      </c>
      <c r="N870" s="10"/>
      <c r="O870" s="10"/>
      <c r="P870" s="10">
        <v>0</v>
      </c>
      <c r="Q870" s="10"/>
      <c r="R870" s="10"/>
      <c r="S870" s="10"/>
      <c r="T870" s="10"/>
      <c r="U870" s="10"/>
      <c r="V870" s="4" t="s">
        <v>415</v>
      </c>
      <c r="W870" s="4"/>
      <c r="X870" s="8"/>
      <c r="Y870" s="4"/>
      <c r="Z870" s="4"/>
      <c r="AA870" s="8"/>
      <c r="AB870" s="8"/>
      <c r="AC870" s="4"/>
      <c r="AD870" s="4"/>
    </row>
    <row r="871" spans="1:30" hidden="1">
      <c r="A871" s="4">
        <v>764</v>
      </c>
      <c r="B871" s="8">
        <v>45167</v>
      </c>
      <c r="C871" s="4"/>
      <c r="D871" s="4" t="s">
        <v>42</v>
      </c>
      <c r="E871" s="8">
        <v>45176</v>
      </c>
      <c r="F871" s="4" t="s">
        <v>43</v>
      </c>
      <c r="G871" s="40" t="s">
        <v>1070</v>
      </c>
      <c r="H871" s="4" t="s">
        <v>45</v>
      </c>
      <c r="I871" s="4" t="s">
        <v>448</v>
      </c>
      <c r="J871" s="10">
        <v>3.718</v>
      </c>
      <c r="K871" s="10">
        <v>3.8029999999999999</v>
      </c>
      <c r="L871" s="10">
        <f t="shared" si="71"/>
        <v>0</v>
      </c>
      <c r="M871" s="10">
        <f t="shared" si="74"/>
        <v>0</v>
      </c>
      <c r="N871" s="10"/>
      <c r="O871" s="10"/>
      <c r="P871" s="10">
        <v>0</v>
      </c>
      <c r="Q871" s="10"/>
      <c r="R871" s="10"/>
      <c r="S871" s="10"/>
      <c r="T871" s="10"/>
      <c r="U871" s="10"/>
      <c r="V871" s="4" t="s">
        <v>85</v>
      </c>
      <c r="W871" s="4" t="s">
        <v>1091</v>
      </c>
      <c r="X871" s="8"/>
      <c r="Y871" s="4"/>
      <c r="Z871" s="4"/>
      <c r="AA871" s="8">
        <v>45179</v>
      </c>
      <c r="AB871" s="8">
        <v>45179</v>
      </c>
      <c r="AC871" s="4"/>
      <c r="AD871" s="4"/>
    </row>
    <row r="872" spans="1:30" hidden="1">
      <c r="A872" s="4">
        <v>765</v>
      </c>
      <c r="B872" s="8">
        <v>45167</v>
      </c>
      <c r="C872" s="4"/>
      <c r="D872" s="4" t="s">
        <v>42</v>
      </c>
      <c r="E872" s="8">
        <v>45206</v>
      </c>
      <c r="F872" s="4" t="s">
        <v>43</v>
      </c>
      <c r="G872" s="15" t="s">
        <v>1020</v>
      </c>
      <c r="H872" s="4" t="s">
        <v>45</v>
      </c>
      <c r="I872" s="4" t="s">
        <v>48</v>
      </c>
      <c r="J872" s="10">
        <v>0.185</v>
      </c>
      <c r="K872" s="10">
        <v>0.185</v>
      </c>
      <c r="L872" s="10">
        <f t="shared" si="71"/>
        <v>0</v>
      </c>
      <c r="M872" s="10">
        <f t="shared" si="74"/>
        <v>0</v>
      </c>
      <c r="N872" s="10"/>
      <c r="O872" s="10"/>
      <c r="P872" s="10">
        <v>0</v>
      </c>
      <c r="Q872" s="10"/>
      <c r="R872" s="10"/>
      <c r="S872" s="10"/>
      <c r="T872" s="10"/>
      <c r="U872" s="10"/>
      <c r="V872" s="4" t="s">
        <v>572</v>
      </c>
      <c r="W872" s="4"/>
      <c r="X872" s="8"/>
      <c r="Y872" s="4"/>
      <c r="Z872" s="4"/>
      <c r="AA872" s="8">
        <v>45211</v>
      </c>
      <c r="AB872" s="8">
        <v>45211</v>
      </c>
      <c r="AC872" s="4"/>
      <c r="AD872" s="4"/>
    </row>
    <row r="873" spans="1:30" hidden="1">
      <c r="A873" s="4">
        <v>765</v>
      </c>
      <c r="B873" s="8">
        <v>45167</v>
      </c>
      <c r="C873" s="4"/>
      <c r="D873" s="4" t="s">
        <v>42</v>
      </c>
      <c r="E873" s="8">
        <v>45206</v>
      </c>
      <c r="F873" s="4" t="s">
        <v>43</v>
      </c>
      <c r="G873" s="15" t="s">
        <v>1020</v>
      </c>
      <c r="H873" s="4" t="s">
        <v>45</v>
      </c>
      <c r="I873" s="4" t="s">
        <v>519</v>
      </c>
      <c r="J873" s="10">
        <v>4.8420000000000005</v>
      </c>
      <c r="K873" s="10">
        <v>4.8419999999999996</v>
      </c>
      <c r="L873" s="10">
        <f t="shared" si="71"/>
        <v>0</v>
      </c>
      <c r="M873" s="10">
        <f t="shared" si="74"/>
        <v>0</v>
      </c>
      <c r="N873" s="10"/>
      <c r="O873" s="10"/>
      <c r="P873" s="10">
        <v>0</v>
      </c>
      <c r="Q873" s="10"/>
      <c r="R873" s="10"/>
      <c r="S873" s="10"/>
      <c r="T873" s="10"/>
      <c r="U873" s="10"/>
      <c r="V873" s="4" t="s">
        <v>572</v>
      </c>
      <c r="W873" s="4"/>
      <c r="X873" s="8">
        <v>45194</v>
      </c>
      <c r="Y873" s="4"/>
      <c r="Z873" s="4"/>
      <c r="AA873" s="8"/>
      <c r="AB873" s="8"/>
      <c r="AC873" s="4"/>
      <c r="AD873" s="4"/>
    </row>
    <row r="874" spans="1:30" hidden="1">
      <c r="A874" s="4">
        <v>765</v>
      </c>
      <c r="B874" s="8">
        <v>45167</v>
      </c>
      <c r="C874" s="4"/>
      <c r="D874" s="4" t="s">
        <v>42</v>
      </c>
      <c r="E874" s="8">
        <v>45206</v>
      </c>
      <c r="F874" s="4" t="s">
        <v>43</v>
      </c>
      <c r="G874" s="15" t="s">
        <v>1020</v>
      </c>
      <c r="H874" s="4" t="s">
        <v>45</v>
      </c>
      <c r="I874" s="4" t="s">
        <v>517</v>
      </c>
      <c r="J874" s="10">
        <v>37.673999999999999</v>
      </c>
      <c r="K874" s="10">
        <f>18.796+13.432+3.131+2.517</f>
        <v>37.876000000000005</v>
      </c>
      <c r="L874" s="10">
        <f>M874+U874</f>
        <v>0</v>
      </c>
      <c r="M874" s="10">
        <f>SUM(N874:T874)</f>
        <v>0</v>
      </c>
      <c r="N874" s="10"/>
      <c r="O874" s="10"/>
      <c r="P874" s="10">
        <v>0</v>
      </c>
      <c r="Q874" s="10"/>
      <c r="R874" s="10"/>
      <c r="S874" s="10"/>
      <c r="T874" s="10"/>
      <c r="U874" s="10"/>
      <c r="V874" s="4" t="s">
        <v>572</v>
      </c>
      <c r="W874" s="4"/>
      <c r="X874" s="8">
        <v>45194</v>
      </c>
      <c r="Y874" s="4"/>
      <c r="Z874" s="4"/>
      <c r="AA874" s="8">
        <v>45199</v>
      </c>
      <c r="AB874" s="8">
        <v>45207</v>
      </c>
      <c r="AC874" s="4"/>
      <c r="AD874" s="4"/>
    </row>
    <row r="875" spans="1:30" hidden="1">
      <c r="A875" s="4">
        <v>765</v>
      </c>
      <c r="B875" s="8">
        <v>45167</v>
      </c>
      <c r="C875" s="4"/>
      <c r="D875" s="4" t="s">
        <v>42</v>
      </c>
      <c r="E875" s="8">
        <v>45206</v>
      </c>
      <c r="F875" s="4" t="s">
        <v>43</v>
      </c>
      <c r="G875" s="15" t="s">
        <v>1020</v>
      </c>
      <c r="H875" s="4" t="s">
        <v>45</v>
      </c>
      <c r="I875" s="4" t="s">
        <v>579</v>
      </c>
      <c r="J875" s="10">
        <v>4.0572399999999993</v>
      </c>
      <c r="K875" s="10">
        <f>2.029+2.029</f>
        <v>4.0579999999999998</v>
      </c>
      <c r="L875" s="10">
        <f t="shared" ref="L875:L908" si="75">M875+U875</f>
        <v>0</v>
      </c>
      <c r="M875" s="10">
        <f t="shared" si="74"/>
        <v>0</v>
      </c>
      <c r="N875" s="10"/>
      <c r="O875" s="10"/>
      <c r="P875" s="10">
        <v>0</v>
      </c>
      <c r="Q875" s="10"/>
      <c r="R875" s="10"/>
      <c r="S875" s="10"/>
      <c r="T875" s="10"/>
      <c r="U875" s="10"/>
      <c r="V875" s="4" t="s">
        <v>572</v>
      </c>
      <c r="W875" s="4" t="s">
        <v>37</v>
      </c>
      <c r="X875" s="8">
        <v>45195</v>
      </c>
      <c r="Y875" s="4"/>
      <c r="Z875" s="4"/>
      <c r="AA875" s="8">
        <v>45207</v>
      </c>
      <c r="AB875" s="8">
        <v>45207</v>
      </c>
      <c r="AC875" s="4"/>
      <c r="AD875" s="4"/>
    </row>
    <row r="876" spans="1:30" hidden="1">
      <c r="A876" s="4">
        <v>765</v>
      </c>
      <c r="B876" s="8">
        <v>45167</v>
      </c>
      <c r="C876" s="4"/>
      <c r="D876" s="4" t="s">
        <v>42</v>
      </c>
      <c r="E876" s="8">
        <v>45206</v>
      </c>
      <c r="F876" s="4" t="s">
        <v>43</v>
      </c>
      <c r="G876" s="15" t="s">
        <v>1020</v>
      </c>
      <c r="H876" s="4" t="s">
        <v>45</v>
      </c>
      <c r="I876" s="4" t="s">
        <v>449</v>
      </c>
      <c r="J876" s="10">
        <v>62.359000000000002</v>
      </c>
      <c r="K876" s="10">
        <f>24.843+30.874+3.287+3.608</f>
        <v>62.611999999999995</v>
      </c>
      <c r="L876" s="10">
        <f t="shared" si="75"/>
        <v>0</v>
      </c>
      <c r="M876" s="10">
        <f t="shared" si="74"/>
        <v>0</v>
      </c>
      <c r="N876" s="10"/>
      <c r="O876" s="10"/>
      <c r="P876" s="10">
        <v>0</v>
      </c>
      <c r="Q876" s="10"/>
      <c r="R876" s="10"/>
      <c r="S876" s="10"/>
      <c r="T876" s="10"/>
      <c r="U876" s="10"/>
      <c r="V876" s="4" t="s">
        <v>572</v>
      </c>
      <c r="W876" s="4"/>
      <c r="X876" s="8">
        <v>45195</v>
      </c>
      <c r="Y876" s="4"/>
      <c r="Z876" s="4"/>
      <c r="AA876" s="8">
        <v>45199</v>
      </c>
      <c r="AB876" s="8">
        <v>45207</v>
      </c>
      <c r="AC876" s="4"/>
      <c r="AD876" s="4"/>
    </row>
    <row r="877" spans="1:30" hidden="1">
      <c r="A877" s="4">
        <v>765</v>
      </c>
      <c r="B877" s="8">
        <v>45167</v>
      </c>
      <c r="C877" s="4"/>
      <c r="D877" s="4" t="s">
        <v>42</v>
      </c>
      <c r="E877" s="8">
        <v>45206</v>
      </c>
      <c r="F877" s="4" t="s">
        <v>43</v>
      </c>
      <c r="G877" s="15" t="s">
        <v>1020</v>
      </c>
      <c r="H877" s="4" t="s">
        <v>45</v>
      </c>
      <c r="I877" s="4" t="s">
        <v>447</v>
      </c>
      <c r="J877" s="10">
        <v>16.361000000000001</v>
      </c>
      <c r="K877" s="10">
        <f>2.045+5.934+1.224+2.005+2.386+3.348</f>
        <v>16.941999999999997</v>
      </c>
      <c r="L877" s="10">
        <f t="shared" si="75"/>
        <v>0</v>
      </c>
      <c r="M877" s="10">
        <f t="shared" si="74"/>
        <v>0</v>
      </c>
      <c r="N877" s="10"/>
      <c r="O877" s="10"/>
      <c r="P877" s="10">
        <v>0</v>
      </c>
      <c r="Q877" s="10"/>
      <c r="R877" s="10"/>
      <c r="S877" s="10"/>
      <c r="T877" s="10"/>
      <c r="U877" s="10"/>
      <c r="V877" s="4" t="s">
        <v>572</v>
      </c>
      <c r="W877" s="4" t="s">
        <v>37</v>
      </c>
      <c r="X877" s="8">
        <v>45195</v>
      </c>
      <c r="Y877" s="4"/>
      <c r="Z877" s="4"/>
      <c r="AA877" s="8">
        <v>45201</v>
      </c>
      <c r="AB877" s="8">
        <v>45207</v>
      </c>
      <c r="AC877" s="4"/>
      <c r="AD877" s="4"/>
    </row>
    <row r="878" spans="1:30" hidden="1">
      <c r="A878" s="4">
        <v>765</v>
      </c>
      <c r="B878" s="8">
        <v>45167</v>
      </c>
      <c r="C878" s="4"/>
      <c r="D878" s="4" t="s">
        <v>42</v>
      </c>
      <c r="E878" s="8">
        <v>45206</v>
      </c>
      <c r="F878" s="4" t="s">
        <v>43</v>
      </c>
      <c r="G878" s="15" t="s">
        <v>1020</v>
      </c>
      <c r="H878" s="4" t="s">
        <v>45</v>
      </c>
      <c r="I878" s="4" t="s">
        <v>423</v>
      </c>
      <c r="J878" s="10">
        <f>0.551+0.791+0.694</f>
        <v>2.036</v>
      </c>
      <c r="K878" s="10">
        <f>0.551+0.791+0.694</f>
        <v>2.036</v>
      </c>
      <c r="L878" s="10">
        <f t="shared" si="75"/>
        <v>0</v>
      </c>
      <c r="M878" s="10">
        <f t="shared" ref="M878" si="76">SUM(N878:T878)</f>
        <v>0</v>
      </c>
      <c r="N878" s="10"/>
      <c r="O878" s="10"/>
      <c r="P878" s="10">
        <v>0</v>
      </c>
      <c r="Q878" s="10"/>
      <c r="R878" s="10"/>
      <c r="S878" s="10"/>
      <c r="T878" s="10"/>
      <c r="U878" s="10"/>
      <c r="V878" s="4" t="s">
        <v>572</v>
      </c>
      <c r="W878" s="4" t="s">
        <v>37</v>
      </c>
      <c r="X878" s="8"/>
      <c r="Y878" s="4"/>
      <c r="Z878" s="4"/>
      <c r="AA878" s="8"/>
      <c r="AB878" s="8">
        <v>45214</v>
      </c>
      <c r="AC878" s="4"/>
      <c r="AD878" s="4"/>
    </row>
    <row r="879" spans="1:30" hidden="1">
      <c r="A879" s="4">
        <v>765</v>
      </c>
      <c r="B879" s="8">
        <v>45167</v>
      </c>
      <c r="C879" s="4"/>
      <c r="D879" s="4" t="s">
        <v>42</v>
      </c>
      <c r="E879" s="8">
        <v>45206</v>
      </c>
      <c r="F879" s="4" t="s">
        <v>43</v>
      </c>
      <c r="G879" s="15" t="s">
        <v>92</v>
      </c>
      <c r="H879" s="4" t="s">
        <v>52</v>
      </c>
      <c r="I879" s="4" t="s">
        <v>54</v>
      </c>
      <c r="J879" s="10">
        <v>29.751724974721942</v>
      </c>
      <c r="K879" s="10">
        <f>6.001+4.975+15.647+3.353</f>
        <v>29.975999999999999</v>
      </c>
      <c r="L879" s="10">
        <f t="shared" si="75"/>
        <v>0</v>
      </c>
      <c r="M879" s="10">
        <f t="shared" si="74"/>
        <v>0</v>
      </c>
      <c r="N879" s="10"/>
      <c r="O879" s="10"/>
      <c r="P879" s="10">
        <v>0</v>
      </c>
      <c r="Q879" s="10"/>
      <c r="R879" s="10"/>
      <c r="S879" s="10"/>
      <c r="T879" s="10"/>
      <c r="U879" s="10"/>
      <c r="V879" s="4" t="s">
        <v>572</v>
      </c>
      <c r="W879" s="4" t="s">
        <v>1122</v>
      </c>
      <c r="X879" s="8">
        <v>45179</v>
      </c>
      <c r="Y879" s="4"/>
      <c r="Z879" s="4"/>
      <c r="AA879" s="8">
        <v>45192</v>
      </c>
      <c r="AB879" s="8">
        <v>45207</v>
      </c>
      <c r="AC879" s="4"/>
      <c r="AD879" s="4"/>
    </row>
    <row r="880" spans="1:30" hidden="1">
      <c r="A880" s="4">
        <v>765</v>
      </c>
      <c r="B880" s="8">
        <v>45167</v>
      </c>
      <c r="C880" s="4"/>
      <c r="D880" s="4" t="s">
        <v>42</v>
      </c>
      <c r="E880" s="8">
        <v>45206</v>
      </c>
      <c r="F880" s="4" t="s">
        <v>43</v>
      </c>
      <c r="G880" s="15" t="s">
        <v>92</v>
      </c>
      <c r="H880" s="4" t="s">
        <v>52</v>
      </c>
      <c r="I880" s="4" t="s">
        <v>56</v>
      </c>
      <c r="J880" s="10">
        <v>11.180191842223218</v>
      </c>
      <c r="K880" s="10">
        <f>5.366+5.847</f>
        <v>11.213000000000001</v>
      </c>
      <c r="L880" s="10">
        <f t="shared" si="75"/>
        <v>0</v>
      </c>
      <c r="M880" s="10">
        <f t="shared" si="74"/>
        <v>0</v>
      </c>
      <c r="N880" s="10"/>
      <c r="O880" s="10"/>
      <c r="P880" s="10">
        <v>0</v>
      </c>
      <c r="Q880" s="10"/>
      <c r="R880" s="10"/>
      <c r="S880" s="10"/>
      <c r="T880" s="10"/>
      <c r="U880" s="10"/>
      <c r="V880" s="4" t="s">
        <v>572</v>
      </c>
      <c r="W880" s="4"/>
      <c r="X880" s="8"/>
      <c r="Y880" s="4"/>
      <c r="Z880" s="4"/>
      <c r="AA880" s="8">
        <v>45210</v>
      </c>
      <c r="AB880" s="8"/>
      <c r="AC880" s="4"/>
      <c r="AD880" s="4"/>
    </row>
    <row r="881" spans="1:30" hidden="1">
      <c r="A881" s="4">
        <v>765</v>
      </c>
      <c r="B881" s="8">
        <v>45167</v>
      </c>
      <c r="C881" s="4"/>
      <c r="D881" s="4" t="s">
        <v>42</v>
      </c>
      <c r="E881" s="8">
        <v>45206</v>
      </c>
      <c r="F881" s="4" t="s">
        <v>43</v>
      </c>
      <c r="G881" s="15" t="s">
        <v>92</v>
      </c>
      <c r="H881" s="4" t="s">
        <v>52</v>
      </c>
      <c r="I881" s="4" t="s">
        <v>48</v>
      </c>
      <c r="J881" s="10">
        <v>25.045485481194689</v>
      </c>
      <c r="K881" s="10">
        <f>9.422+2.417+12.432+0.847</f>
        <v>25.118000000000002</v>
      </c>
      <c r="L881" s="10">
        <f t="shared" si="75"/>
        <v>0</v>
      </c>
      <c r="M881" s="10">
        <f t="shared" si="74"/>
        <v>0</v>
      </c>
      <c r="N881" s="10"/>
      <c r="O881" s="10"/>
      <c r="P881" s="10">
        <v>0</v>
      </c>
      <c r="Q881" s="10"/>
      <c r="R881" s="10"/>
      <c r="S881" s="10"/>
      <c r="T881" s="10"/>
      <c r="U881" s="10"/>
      <c r="V881" s="4" t="s">
        <v>572</v>
      </c>
      <c r="W881" s="4"/>
      <c r="X881" s="8"/>
      <c r="Y881" s="4"/>
      <c r="Z881" s="4"/>
      <c r="AA881" s="8">
        <v>45210</v>
      </c>
      <c r="AB881" s="8">
        <v>45211</v>
      </c>
      <c r="AC881" s="4"/>
      <c r="AD881" s="4"/>
    </row>
    <row r="882" spans="1:30" hidden="1">
      <c r="A882" s="4">
        <v>765</v>
      </c>
      <c r="B882" s="8">
        <v>45167</v>
      </c>
      <c r="C882" s="4"/>
      <c r="D882" s="4" t="s">
        <v>42</v>
      </c>
      <c r="E882" s="8">
        <v>45206</v>
      </c>
      <c r="F882" s="4" t="s">
        <v>43</v>
      </c>
      <c r="G882" s="15" t="s">
        <v>92</v>
      </c>
      <c r="H882" s="4" t="s">
        <v>52</v>
      </c>
      <c r="I882" s="4" t="s">
        <v>50</v>
      </c>
      <c r="J882" s="10">
        <f>26.361+11.907+5.783</f>
        <v>44.051000000000002</v>
      </c>
      <c r="K882" s="10">
        <f>26.361+11.907+5.783</f>
        <v>44.051000000000002</v>
      </c>
      <c r="L882" s="10">
        <f t="shared" si="75"/>
        <v>0</v>
      </c>
      <c r="M882" s="10">
        <f t="shared" si="74"/>
        <v>0</v>
      </c>
      <c r="N882" s="10"/>
      <c r="O882" s="10"/>
      <c r="P882" s="10"/>
      <c r="Q882" s="10"/>
      <c r="R882" s="10"/>
      <c r="S882" s="10"/>
      <c r="T882" s="10"/>
      <c r="U882" s="10"/>
      <c r="V882" s="4" t="s">
        <v>572</v>
      </c>
      <c r="W882" s="4"/>
      <c r="X882" s="8"/>
      <c r="Y882" s="4"/>
      <c r="Z882" s="4"/>
      <c r="AA882" s="8">
        <v>45190</v>
      </c>
      <c r="AB882" s="8">
        <v>45192</v>
      </c>
      <c r="AC882" s="4"/>
      <c r="AD882" s="4"/>
    </row>
    <row r="883" spans="1:30" hidden="1">
      <c r="A883" s="4">
        <v>765</v>
      </c>
      <c r="B883" s="8">
        <v>45167</v>
      </c>
      <c r="C883" s="4"/>
      <c r="D883" s="4" t="s">
        <v>42</v>
      </c>
      <c r="E883" s="8">
        <v>45206</v>
      </c>
      <c r="F883" s="4" t="s">
        <v>43</v>
      </c>
      <c r="G883" s="15" t="s">
        <v>92</v>
      </c>
      <c r="H883" s="4" t="s">
        <v>52</v>
      </c>
      <c r="I883" s="4" t="s">
        <v>435</v>
      </c>
      <c r="J883" s="10">
        <v>8.5710245836637604</v>
      </c>
      <c r="K883" s="10">
        <f>4.268+4.303</f>
        <v>8.5709999999999997</v>
      </c>
      <c r="L883" s="10">
        <f t="shared" si="75"/>
        <v>0</v>
      </c>
      <c r="M883" s="10">
        <f t="shared" si="74"/>
        <v>0</v>
      </c>
      <c r="N883" s="10"/>
      <c r="O883" s="10"/>
      <c r="P883" s="10">
        <v>0</v>
      </c>
      <c r="Q883" s="10"/>
      <c r="R883" s="10"/>
      <c r="S883" s="10"/>
      <c r="T883" s="10"/>
      <c r="U883" s="10"/>
      <c r="V883" s="4" t="s">
        <v>572</v>
      </c>
      <c r="W883" s="4"/>
      <c r="X883" s="8"/>
      <c r="Y883" s="4"/>
      <c r="Z883" s="4"/>
      <c r="AA883" s="8"/>
      <c r="AB883" s="8"/>
      <c r="AC883" s="4"/>
      <c r="AD883" s="4"/>
    </row>
    <row r="884" spans="1:30" hidden="1">
      <c r="A884" s="4">
        <v>765</v>
      </c>
      <c r="B884" s="8">
        <v>45167</v>
      </c>
      <c r="C884" s="4"/>
      <c r="D884" s="4" t="s">
        <v>42</v>
      </c>
      <c r="E884" s="8">
        <v>45206</v>
      </c>
      <c r="F884" s="4" t="s">
        <v>43</v>
      </c>
      <c r="G884" s="15" t="s">
        <v>92</v>
      </c>
      <c r="H884" s="4" t="s">
        <v>52</v>
      </c>
      <c r="I884" s="4" t="s">
        <v>432</v>
      </c>
      <c r="J884" s="10">
        <v>18.79485018412478</v>
      </c>
      <c r="K884" s="10">
        <f>2.854+12.634+3.403</f>
        <v>18.890999999999998</v>
      </c>
      <c r="L884" s="10">
        <f t="shared" si="75"/>
        <v>0</v>
      </c>
      <c r="M884" s="10">
        <f t="shared" si="74"/>
        <v>0</v>
      </c>
      <c r="N884" s="10"/>
      <c r="O884" s="10"/>
      <c r="P884" s="10">
        <v>0</v>
      </c>
      <c r="Q884" s="10"/>
      <c r="R884" s="10">
        <v>0</v>
      </c>
      <c r="S884" s="10"/>
      <c r="T884" s="10"/>
      <c r="U884" s="10"/>
      <c r="V884" s="4" t="s">
        <v>572</v>
      </c>
      <c r="W884" s="4"/>
      <c r="X884" s="8"/>
      <c r="Y884" s="4"/>
      <c r="Z884" s="4"/>
      <c r="AA884" s="8"/>
      <c r="AB884" s="8"/>
      <c r="AC884" s="4"/>
      <c r="AD884" s="4"/>
    </row>
    <row r="885" spans="1:30" hidden="1">
      <c r="A885" s="4">
        <v>765</v>
      </c>
      <c r="B885" s="8">
        <v>45167</v>
      </c>
      <c r="C885" s="4"/>
      <c r="D885" s="4" t="s">
        <v>42</v>
      </c>
      <c r="E885" s="8">
        <v>45206</v>
      </c>
      <c r="F885" s="4" t="s">
        <v>43</v>
      </c>
      <c r="G885" s="15" t="s">
        <v>92</v>
      </c>
      <c r="H885" s="4" t="s">
        <v>52</v>
      </c>
      <c r="I885" s="4" t="s">
        <v>434</v>
      </c>
      <c r="J885" s="10">
        <v>30.912621592920356</v>
      </c>
      <c r="K885" s="10">
        <f>5.637+17.87+7.494</f>
        <v>31.001000000000001</v>
      </c>
      <c r="L885" s="10">
        <f t="shared" si="75"/>
        <v>0</v>
      </c>
      <c r="M885" s="10">
        <f t="shared" si="74"/>
        <v>0</v>
      </c>
      <c r="N885" s="10"/>
      <c r="O885" s="10"/>
      <c r="P885" s="10">
        <v>0</v>
      </c>
      <c r="Q885" s="10"/>
      <c r="R885" s="10"/>
      <c r="S885" s="10"/>
      <c r="T885" s="10"/>
      <c r="U885" s="10"/>
      <c r="V885" s="4" t="s">
        <v>572</v>
      </c>
      <c r="W885" s="4"/>
      <c r="X885" s="8"/>
      <c r="Y885" s="4"/>
      <c r="Z885" s="4"/>
      <c r="AA885" s="8">
        <v>45190</v>
      </c>
      <c r="AB885" s="8">
        <v>45192</v>
      </c>
      <c r="AC885" s="4"/>
      <c r="AD885" s="4"/>
    </row>
    <row r="886" spans="1:30" hidden="1">
      <c r="A886" s="4">
        <v>765</v>
      </c>
      <c r="B886" s="8">
        <v>45167</v>
      </c>
      <c r="C886" s="4"/>
      <c r="D886" s="4" t="s">
        <v>42</v>
      </c>
      <c r="E886" s="8">
        <v>45206</v>
      </c>
      <c r="F886" s="4" t="s">
        <v>43</v>
      </c>
      <c r="G886" s="15" t="s">
        <v>92</v>
      </c>
      <c r="H886" s="4" t="s">
        <v>52</v>
      </c>
      <c r="I886" s="4" t="s">
        <v>89</v>
      </c>
      <c r="J886" s="10">
        <v>18.799782608695651</v>
      </c>
      <c r="K886" s="10">
        <f>6.785+9.923+1.537+0.71</f>
        <v>18.954999999999998</v>
      </c>
      <c r="L886" s="10">
        <f t="shared" si="75"/>
        <v>0</v>
      </c>
      <c r="M886" s="10">
        <f t="shared" si="74"/>
        <v>0</v>
      </c>
      <c r="N886" s="10"/>
      <c r="O886" s="10"/>
      <c r="P886" s="10">
        <v>0</v>
      </c>
      <c r="Q886" s="10"/>
      <c r="R886" s="10"/>
      <c r="S886" s="10"/>
      <c r="T886" s="10"/>
      <c r="U886" s="10"/>
      <c r="V886" s="4" t="s">
        <v>572</v>
      </c>
      <c r="W886" s="4"/>
      <c r="X886" s="8"/>
      <c r="Y886" s="4"/>
      <c r="Z886" s="4"/>
      <c r="AA886" s="8">
        <v>45207</v>
      </c>
      <c r="AB886" s="8">
        <v>45207</v>
      </c>
      <c r="AC886" s="4"/>
      <c r="AD886" s="4"/>
    </row>
    <row r="887" spans="1:30" hidden="1">
      <c r="A887" s="4">
        <v>832</v>
      </c>
      <c r="B887" s="8">
        <v>45188</v>
      </c>
      <c r="C887" s="4"/>
      <c r="D887" s="4" t="s">
        <v>42</v>
      </c>
      <c r="E887" s="8">
        <v>45192</v>
      </c>
      <c r="F887" s="4" t="s">
        <v>840</v>
      </c>
      <c r="G887" s="16" t="s">
        <v>44</v>
      </c>
      <c r="H887" s="4" t="s">
        <v>45</v>
      </c>
      <c r="I887" s="4" t="s">
        <v>761</v>
      </c>
      <c r="J887" s="10">
        <v>4.7880000000000003</v>
      </c>
      <c r="K887" s="10">
        <v>4.7880000000000003</v>
      </c>
      <c r="L887" s="10">
        <f t="shared" si="75"/>
        <v>0</v>
      </c>
      <c r="M887" s="10">
        <f t="shared" ref="M887:M896" si="77">SUM(N887:T887)</f>
        <v>0</v>
      </c>
      <c r="N887" s="10"/>
      <c r="O887" s="10"/>
      <c r="P887" s="10">
        <v>0</v>
      </c>
      <c r="Q887" s="10"/>
      <c r="R887" s="10"/>
      <c r="S887" s="10"/>
      <c r="T887" s="10"/>
      <c r="U887" s="10"/>
      <c r="V887" s="4" t="s">
        <v>841</v>
      </c>
      <c r="W887" s="4"/>
      <c r="X887" s="8">
        <v>45195</v>
      </c>
      <c r="Y887" s="4"/>
      <c r="Z887" s="4"/>
      <c r="AA887" s="8">
        <v>45211</v>
      </c>
      <c r="AB887" s="8">
        <v>45211</v>
      </c>
      <c r="AC887" s="4"/>
      <c r="AD887" s="4"/>
    </row>
    <row r="888" spans="1:30" hidden="1">
      <c r="A888" s="4">
        <v>832</v>
      </c>
      <c r="B888" s="8">
        <v>45188</v>
      </c>
      <c r="C888" s="4"/>
      <c r="D888" s="4" t="s">
        <v>42</v>
      </c>
      <c r="E888" s="8">
        <v>45206</v>
      </c>
      <c r="F888" s="4" t="s">
        <v>840</v>
      </c>
      <c r="G888" s="16" t="s">
        <v>44</v>
      </c>
      <c r="H888" s="4" t="s">
        <v>45</v>
      </c>
      <c r="I888" s="4" t="s">
        <v>761</v>
      </c>
      <c r="J888" s="10">
        <v>1.512</v>
      </c>
      <c r="K888" s="10">
        <v>1.512</v>
      </c>
      <c r="L888" s="10">
        <f t="shared" si="75"/>
        <v>0</v>
      </c>
      <c r="M888" s="10">
        <f t="shared" ref="M888" si="78">SUM(N888:T888)</f>
        <v>0</v>
      </c>
      <c r="N888" s="10"/>
      <c r="O888" s="10"/>
      <c r="P888" s="10">
        <v>0</v>
      </c>
      <c r="Q888" s="10"/>
      <c r="R888" s="10"/>
      <c r="S888" s="10"/>
      <c r="T888" s="10"/>
      <c r="U888" s="10"/>
      <c r="V888" s="4" t="s">
        <v>841</v>
      </c>
      <c r="W888" s="4" t="s">
        <v>1156</v>
      </c>
      <c r="X888" s="8">
        <v>45195</v>
      </c>
      <c r="Y888" s="4"/>
      <c r="Z888" s="4"/>
      <c r="AA888" s="8">
        <v>45211</v>
      </c>
      <c r="AB888" s="8">
        <v>45211</v>
      </c>
      <c r="AC888" s="4"/>
      <c r="AD888" s="4"/>
    </row>
    <row r="889" spans="1:30" hidden="1">
      <c r="A889" s="4">
        <v>832</v>
      </c>
      <c r="B889" s="8">
        <v>45188</v>
      </c>
      <c r="C889" s="4"/>
      <c r="D889" s="4" t="s">
        <v>42</v>
      </c>
      <c r="E889" s="8">
        <v>45192</v>
      </c>
      <c r="F889" s="4" t="s">
        <v>840</v>
      </c>
      <c r="G889" s="16" t="s">
        <v>44</v>
      </c>
      <c r="H889" s="4" t="s">
        <v>45</v>
      </c>
      <c r="I889" s="4" t="s">
        <v>448</v>
      </c>
      <c r="J889" s="10">
        <f>1.183572+0.297</f>
        <v>1.480572</v>
      </c>
      <c r="K889" s="10">
        <f>1.194+0.297</f>
        <v>1.4909999999999999</v>
      </c>
      <c r="L889" s="10">
        <f t="shared" si="75"/>
        <v>0</v>
      </c>
      <c r="M889" s="10">
        <f t="shared" si="77"/>
        <v>0</v>
      </c>
      <c r="N889" s="10"/>
      <c r="O889" s="10"/>
      <c r="P889" s="10">
        <v>0</v>
      </c>
      <c r="Q889" s="10"/>
      <c r="R889" s="10"/>
      <c r="S889" s="10"/>
      <c r="T889" s="10"/>
      <c r="U889" s="10"/>
      <c r="V889" s="4" t="s">
        <v>841</v>
      </c>
      <c r="W889" s="4"/>
      <c r="X889" s="8">
        <v>45195</v>
      </c>
      <c r="Y889" s="4"/>
      <c r="Z889" s="4"/>
      <c r="AA889" s="8">
        <v>45228</v>
      </c>
      <c r="AB889" s="8">
        <v>45228</v>
      </c>
      <c r="AC889" s="4"/>
      <c r="AD889" s="4"/>
    </row>
    <row r="890" spans="1:30" hidden="1">
      <c r="A890" s="4">
        <v>833</v>
      </c>
      <c r="B890" s="8">
        <v>45188</v>
      </c>
      <c r="C890" s="4"/>
      <c r="D890" s="4"/>
      <c r="E890" s="8">
        <v>45206</v>
      </c>
      <c r="F890" s="4" t="s">
        <v>43</v>
      </c>
      <c r="G890" s="15" t="s">
        <v>19</v>
      </c>
      <c r="H890" s="4" t="s">
        <v>45</v>
      </c>
      <c r="I890" s="4" t="s">
        <v>46</v>
      </c>
      <c r="J890" s="10">
        <v>0.46771200000000002</v>
      </c>
      <c r="K890" s="10">
        <v>0.46899999999999997</v>
      </c>
      <c r="L890" s="10">
        <f t="shared" si="75"/>
        <v>0</v>
      </c>
      <c r="M890" s="10">
        <f t="shared" si="77"/>
        <v>0</v>
      </c>
      <c r="N890" s="10"/>
      <c r="O890" s="10"/>
      <c r="P890" s="10">
        <v>0</v>
      </c>
      <c r="Q890" s="10"/>
      <c r="R890" s="10"/>
      <c r="S890" s="10"/>
      <c r="T890" s="10"/>
      <c r="U890" s="10"/>
      <c r="V890" s="4" t="s">
        <v>189</v>
      </c>
      <c r="W890" s="4" t="s">
        <v>37</v>
      </c>
      <c r="X890" s="8">
        <v>45204</v>
      </c>
      <c r="Y890" s="4"/>
      <c r="Z890" s="4"/>
      <c r="AA890" s="8"/>
      <c r="AB890" s="8"/>
      <c r="AC890" s="4"/>
      <c r="AD890" s="4"/>
    </row>
    <row r="891" spans="1:30" hidden="1">
      <c r="A891" s="4">
        <v>832</v>
      </c>
      <c r="B891" s="8">
        <v>45188</v>
      </c>
      <c r="C891" s="4"/>
      <c r="D891" s="4" t="s">
        <v>42</v>
      </c>
      <c r="E891" s="8">
        <v>45192</v>
      </c>
      <c r="F891" s="4" t="s">
        <v>840</v>
      </c>
      <c r="G891" s="16" t="s">
        <v>44</v>
      </c>
      <c r="H891" s="4" t="s">
        <v>45</v>
      </c>
      <c r="I891" s="4" t="s">
        <v>517</v>
      </c>
      <c r="J891" s="10">
        <f>0.366+0.224</f>
        <v>0.59</v>
      </c>
      <c r="K891" s="10">
        <f>0.366+0.224</f>
        <v>0.59</v>
      </c>
      <c r="L891" s="10">
        <f t="shared" si="75"/>
        <v>0</v>
      </c>
      <c r="M891" s="10">
        <f t="shared" ref="M891" si="79">SUM(N891:T891)</f>
        <v>0</v>
      </c>
      <c r="N891" s="10"/>
      <c r="O891" s="10"/>
      <c r="P891" s="10">
        <v>0</v>
      </c>
      <c r="Q891" s="10"/>
      <c r="R891" s="10"/>
      <c r="S891" s="10"/>
      <c r="T891" s="10"/>
      <c r="U891" s="10"/>
      <c r="V891" s="4" t="s">
        <v>841</v>
      </c>
      <c r="W891" s="4"/>
      <c r="X891" s="8">
        <v>45195</v>
      </c>
      <c r="Y891" s="4"/>
      <c r="Z891" s="4"/>
      <c r="AA891" s="8">
        <v>45228</v>
      </c>
      <c r="AB891" s="8">
        <v>45228</v>
      </c>
      <c r="AC891" s="4"/>
      <c r="AD891" s="4"/>
    </row>
    <row r="892" spans="1:30" hidden="1">
      <c r="A892" s="4">
        <v>833</v>
      </c>
      <c r="B892" s="8">
        <v>45188</v>
      </c>
      <c r="C892" s="4"/>
      <c r="D892" s="4" t="s">
        <v>42</v>
      </c>
      <c r="E892" s="8">
        <v>45206</v>
      </c>
      <c r="F892" s="4" t="s">
        <v>43</v>
      </c>
      <c r="G892" s="15" t="s">
        <v>1020</v>
      </c>
      <c r="H892" s="4" t="s">
        <v>45</v>
      </c>
      <c r="I892" s="4" t="s">
        <v>1149</v>
      </c>
      <c r="J892" s="10">
        <v>0.15128</v>
      </c>
      <c r="K892" s="10">
        <v>0.151</v>
      </c>
      <c r="L892" s="10">
        <f t="shared" si="75"/>
        <v>0</v>
      </c>
      <c r="M892" s="10">
        <f t="shared" si="77"/>
        <v>0</v>
      </c>
      <c r="N892" s="10"/>
      <c r="O892" s="10"/>
      <c r="P892" s="10">
        <v>0</v>
      </c>
      <c r="Q892" s="10"/>
      <c r="R892" s="10"/>
      <c r="S892" s="10"/>
      <c r="T892" s="10"/>
      <c r="U892" s="10"/>
      <c r="V892" s="4" t="s">
        <v>1143</v>
      </c>
      <c r="W892" s="4"/>
      <c r="X892" s="8"/>
      <c r="Y892" s="4"/>
      <c r="Z892" s="4"/>
      <c r="AA892" s="8">
        <v>45211</v>
      </c>
      <c r="AB892" s="8">
        <v>45211</v>
      </c>
      <c r="AC892" s="4"/>
      <c r="AD892" s="4"/>
    </row>
    <row r="893" spans="1:30" hidden="1">
      <c r="A893" s="4">
        <v>833</v>
      </c>
      <c r="B893" s="8">
        <v>45188</v>
      </c>
      <c r="C893" s="4"/>
      <c r="D893" s="4" t="s">
        <v>42</v>
      </c>
      <c r="E893" s="8">
        <v>45206</v>
      </c>
      <c r="F893" s="4" t="s">
        <v>43</v>
      </c>
      <c r="G893" s="15" t="s">
        <v>92</v>
      </c>
      <c r="H893" s="4" t="s">
        <v>52</v>
      </c>
      <c r="I893" s="4" t="s">
        <v>56</v>
      </c>
      <c r="J893" s="10">
        <v>8.0110899999999994</v>
      </c>
      <c r="K893" s="10">
        <f>5.107+2.912</f>
        <v>8.0190000000000001</v>
      </c>
      <c r="L893" s="10">
        <f t="shared" si="75"/>
        <v>0</v>
      </c>
      <c r="M893" s="10">
        <f t="shared" si="77"/>
        <v>0</v>
      </c>
      <c r="N893" s="10"/>
      <c r="O893" s="10"/>
      <c r="P893" s="10">
        <v>0</v>
      </c>
      <c r="Q893" s="10"/>
      <c r="R893" s="10"/>
      <c r="S893" s="10"/>
      <c r="T893" s="10"/>
      <c r="U893" s="10"/>
      <c r="V893" s="4" t="s">
        <v>1143</v>
      </c>
      <c r="W893" s="4"/>
      <c r="X893" s="8"/>
      <c r="Y893" s="4"/>
      <c r="Z893" s="4"/>
      <c r="AA893" s="8">
        <v>45210</v>
      </c>
      <c r="AB893" s="8"/>
      <c r="AC893" s="4"/>
      <c r="AD893" s="4"/>
    </row>
    <row r="894" spans="1:30" hidden="1">
      <c r="A894" s="4">
        <v>833</v>
      </c>
      <c r="B894" s="8">
        <v>45188</v>
      </c>
      <c r="C894" s="4"/>
      <c r="D894" s="4" t="s">
        <v>42</v>
      </c>
      <c r="E894" s="8">
        <v>45206</v>
      </c>
      <c r="F894" s="4" t="s">
        <v>43</v>
      </c>
      <c r="G894" s="15" t="s">
        <v>92</v>
      </c>
      <c r="H894" s="4" t="s">
        <v>52</v>
      </c>
      <c r="I894" s="4" t="s">
        <v>101</v>
      </c>
      <c r="J894" s="10">
        <v>31.726099999999999</v>
      </c>
      <c r="K894" s="10">
        <f>7.336+5.242+17.107+2.172</f>
        <v>31.856999999999999</v>
      </c>
      <c r="L894" s="10">
        <f t="shared" si="75"/>
        <v>0</v>
      </c>
      <c r="M894" s="10">
        <f t="shared" si="77"/>
        <v>0</v>
      </c>
      <c r="N894" s="10"/>
      <c r="O894" s="10"/>
      <c r="P894" s="10">
        <v>0</v>
      </c>
      <c r="Q894" s="10"/>
      <c r="R894" s="10"/>
      <c r="S894" s="10"/>
      <c r="T894" s="10"/>
      <c r="U894" s="10"/>
      <c r="V894" s="4" t="s">
        <v>1143</v>
      </c>
      <c r="W894" s="4"/>
      <c r="X894" s="8"/>
      <c r="Y894" s="4"/>
      <c r="Z894" s="4"/>
      <c r="AA894" s="8">
        <v>45210</v>
      </c>
      <c r="AB894" s="8">
        <v>45211</v>
      </c>
      <c r="AC894" s="4"/>
      <c r="AD894" s="4"/>
    </row>
    <row r="895" spans="1:30" hidden="1">
      <c r="A895" s="4">
        <v>833</v>
      </c>
      <c r="B895" s="8">
        <v>45188</v>
      </c>
      <c r="C895" s="4"/>
      <c r="D895" s="4"/>
      <c r="E895" s="8">
        <v>45206</v>
      </c>
      <c r="F895" s="4" t="s">
        <v>43</v>
      </c>
      <c r="G895" s="15" t="s">
        <v>92</v>
      </c>
      <c r="H895" s="4" t="s">
        <v>52</v>
      </c>
      <c r="I895" s="4" t="s">
        <v>472</v>
      </c>
      <c r="J895" s="10">
        <v>2.5315200000000004</v>
      </c>
      <c r="K895" s="10">
        <f>2.117+0.53</f>
        <v>2.6470000000000002</v>
      </c>
      <c r="L895" s="10">
        <f t="shared" si="75"/>
        <v>0</v>
      </c>
      <c r="M895" s="10">
        <f t="shared" si="77"/>
        <v>0</v>
      </c>
      <c r="N895" s="10"/>
      <c r="O895" s="10"/>
      <c r="P895" s="10">
        <v>0</v>
      </c>
      <c r="Q895" s="10"/>
      <c r="R895" s="10"/>
      <c r="S895" s="10"/>
      <c r="T895" s="10"/>
      <c r="U895" s="10"/>
      <c r="V895" s="4" t="s">
        <v>1143</v>
      </c>
      <c r="W895" s="4"/>
      <c r="X895" s="8"/>
      <c r="Y895" s="4"/>
      <c r="Z895" s="4"/>
      <c r="AA895" s="8"/>
      <c r="AB895" s="8"/>
      <c r="AC895" s="4"/>
      <c r="AD895" s="4"/>
    </row>
    <row r="896" spans="1:30" hidden="1">
      <c r="A896" s="4">
        <v>833</v>
      </c>
      <c r="B896" s="8">
        <v>45188</v>
      </c>
      <c r="C896" s="4"/>
      <c r="D896" s="4"/>
      <c r="E896" s="8">
        <v>45206</v>
      </c>
      <c r="F896" s="4" t="s">
        <v>43</v>
      </c>
      <c r="G896" s="15" t="s">
        <v>92</v>
      </c>
      <c r="H896" s="4" t="s">
        <v>52</v>
      </c>
      <c r="I896" s="4" t="s">
        <v>473</v>
      </c>
      <c r="J896" s="10">
        <v>6.0485500000000005</v>
      </c>
      <c r="K896" s="10">
        <f>2.678+3.37</f>
        <v>6.048</v>
      </c>
      <c r="L896" s="10">
        <f t="shared" si="75"/>
        <v>0</v>
      </c>
      <c r="M896" s="10">
        <f t="shared" si="77"/>
        <v>0</v>
      </c>
      <c r="N896" s="10"/>
      <c r="O896" s="10"/>
      <c r="P896" s="10">
        <v>0</v>
      </c>
      <c r="Q896" s="10"/>
      <c r="R896" s="10"/>
      <c r="S896" s="10"/>
      <c r="T896" s="10"/>
      <c r="U896" s="10"/>
      <c r="V896" s="4" t="s">
        <v>1143</v>
      </c>
      <c r="W896" s="4"/>
      <c r="X896" s="8"/>
      <c r="Y896" s="4"/>
      <c r="Z896" s="4"/>
      <c r="AA896" s="8"/>
      <c r="AB896" s="8"/>
      <c r="AC896" s="4"/>
      <c r="AD896" s="4"/>
    </row>
    <row r="897" spans="1:30" hidden="1">
      <c r="A897" s="4">
        <v>896</v>
      </c>
      <c r="B897" s="8">
        <v>45197</v>
      </c>
      <c r="C897" s="4"/>
      <c r="D897" s="4"/>
      <c r="E897" s="8">
        <v>45206</v>
      </c>
      <c r="F897" s="4" t="s">
        <v>43</v>
      </c>
      <c r="G897" s="15" t="s">
        <v>21</v>
      </c>
      <c r="H897" s="4" t="s">
        <v>52</v>
      </c>
      <c r="I897" s="4" t="s">
        <v>472</v>
      </c>
      <c r="J897" s="10">
        <v>8.9499999999999993</v>
      </c>
      <c r="K897" s="10">
        <v>8.9920000000000009</v>
      </c>
      <c r="L897" s="10">
        <f t="shared" si="75"/>
        <v>0</v>
      </c>
      <c r="M897" s="10">
        <f t="shared" ref="M897" si="80">SUM(N897:T897)</f>
        <v>0</v>
      </c>
      <c r="N897" s="10"/>
      <c r="O897" s="10"/>
      <c r="P897" s="10">
        <v>0</v>
      </c>
      <c r="Q897" s="10"/>
      <c r="R897" s="10"/>
      <c r="S897" s="10"/>
      <c r="T897" s="10"/>
      <c r="U897" s="10"/>
      <c r="V897" s="4" t="s">
        <v>307</v>
      </c>
      <c r="W897" s="4"/>
      <c r="X897" s="8"/>
      <c r="Y897" s="4"/>
      <c r="Z897" s="4"/>
      <c r="AA897" s="8"/>
      <c r="AB897" s="8"/>
      <c r="AC897" s="4"/>
      <c r="AD897" s="4"/>
    </row>
    <row r="898" spans="1:30" hidden="1">
      <c r="A898" s="4">
        <v>896</v>
      </c>
      <c r="B898" s="8">
        <v>45197</v>
      </c>
      <c r="C898" s="4"/>
      <c r="D898" s="4" t="s">
        <v>42</v>
      </c>
      <c r="E898" s="8">
        <v>45222</v>
      </c>
      <c r="F898" s="4" t="s">
        <v>43</v>
      </c>
      <c r="G898" s="15" t="s">
        <v>19</v>
      </c>
      <c r="H898" s="4" t="s">
        <v>45</v>
      </c>
      <c r="I898" s="4" t="s">
        <v>57</v>
      </c>
      <c r="J898" s="10">
        <v>1.8240000000000001</v>
      </c>
      <c r="K898" s="10">
        <v>2.0339999999999998</v>
      </c>
      <c r="L898" s="10">
        <f t="shared" si="75"/>
        <v>0</v>
      </c>
      <c r="M898" s="10">
        <f t="shared" ref="M898:M899" si="81">SUM(N898:T898)</f>
        <v>0</v>
      </c>
      <c r="N898" s="10"/>
      <c r="O898" s="10"/>
      <c r="P898" s="10">
        <v>0</v>
      </c>
      <c r="Q898" s="10"/>
      <c r="R898" s="10"/>
      <c r="S898" s="10"/>
      <c r="T898" s="10"/>
      <c r="U898" s="10"/>
      <c r="V898" s="4" t="s">
        <v>813</v>
      </c>
      <c r="W898" s="4"/>
      <c r="X898" s="8"/>
      <c r="Y898" s="4"/>
      <c r="Z898" s="4"/>
      <c r="AA898" s="8">
        <v>45211</v>
      </c>
      <c r="AB898" s="8">
        <v>45211</v>
      </c>
      <c r="AC898" s="4"/>
      <c r="AD898" s="4"/>
    </row>
    <row r="899" spans="1:30" hidden="1">
      <c r="A899" s="4">
        <v>896</v>
      </c>
      <c r="B899" s="8">
        <v>45197</v>
      </c>
      <c r="C899" s="4"/>
      <c r="D899" s="4"/>
      <c r="E899" s="8">
        <v>45222</v>
      </c>
      <c r="F899" s="4" t="s">
        <v>43</v>
      </c>
      <c r="G899" s="15" t="s">
        <v>19</v>
      </c>
      <c r="H899" s="4" t="s">
        <v>45</v>
      </c>
      <c r="I899" s="4" t="s">
        <v>1174</v>
      </c>
      <c r="J899" s="10">
        <v>4.6116000000000001</v>
      </c>
      <c r="K899" s="10">
        <f>4.099+0.573</f>
        <v>4.6720000000000006</v>
      </c>
      <c r="L899" s="10">
        <f t="shared" si="75"/>
        <v>0</v>
      </c>
      <c r="M899" s="10">
        <f t="shared" si="81"/>
        <v>0</v>
      </c>
      <c r="N899" s="10"/>
      <c r="O899" s="10"/>
      <c r="P899" s="10">
        <v>0</v>
      </c>
      <c r="Q899" s="10"/>
      <c r="R899" s="10"/>
      <c r="S899" s="10"/>
      <c r="T899" s="10"/>
      <c r="U899" s="10"/>
      <c r="V899" s="4" t="s">
        <v>813</v>
      </c>
      <c r="W899" s="4"/>
      <c r="X899" s="8"/>
      <c r="Y899" s="4"/>
      <c r="Z899" s="4"/>
      <c r="AA899" s="8">
        <v>45207</v>
      </c>
      <c r="AB899" s="8">
        <v>45207</v>
      </c>
      <c r="AC899" s="4"/>
      <c r="AD899" s="4"/>
    </row>
    <row r="900" spans="1:30" hidden="1">
      <c r="A900" s="4">
        <v>897</v>
      </c>
      <c r="B900" s="8">
        <v>45197</v>
      </c>
      <c r="C900" s="4"/>
      <c r="D900" s="4" t="s">
        <v>42</v>
      </c>
      <c r="E900" s="8">
        <v>45222</v>
      </c>
      <c r="F900" s="4" t="s">
        <v>43</v>
      </c>
      <c r="G900" s="40" t="s">
        <v>60</v>
      </c>
      <c r="H900" s="4" t="s">
        <v>45</v>
      </c>
      <c r="I900" s="4" t="s">
        <v>101</v>
      </c>
      <c r="J900" s="10">
        <v>1.9032</v>
      </c>
      <c r="K900" s="10">
        <v>1.903</v>
      </c>
      <c r="L900" s="10">
        <f t="shared" si="75"/>
        <v>0</v>
      </c>
      <c r="M900" s="10">
        <f t="shared" ref="M900" si="82">SUM(N900:T900)</f>
        <v>0</v>
      </c>
      <c r="N900" s="10"/>
      <c r="O900" s="10"/>
      <c r="P900" s="10">
        <v>0</v>
      </c>
      <c r="Q900" s="10"/>
      <c r="R900" s="10"/>
      <c r="S900" s="10"/>
      <c r="T900" s="10"/>
      <c r="U900" s="10"/>
      <c r="V900" s="4" t="s">
        <v>1175</v>
      </c>
      <c r="W900" s="4"/>
      <c r="X900" s="8"/>
      <c r="Y900" s="4"/>
      <c r="Z900" s="4"/>
      <c r="AA900" s="8">
        <v>45211</v>
      </c>
      <c r="AB900" s="8">
        <v>45211</v>
      </c>
      <c r="AC900" s="4"/>
      <c r="AD900" s="4"/>
    </row>
    <row r="901" spans="1:30" hidden="1">
      <c r="A901" s="4">
        <v>975</v>
      </c>
      <c r="B901" s="8">
        <v>45217</v>
      </c>
      <c r="C901" s="4"/>
      <c r="D901" s="4"/>
      <c r="E901" s="8">
        <v>45222</v>
      </c>
      <c r="F901" s="4" t="s">
        <v>840</v>
      </c>
      <c r="G901" s="16" t="s">
        <v>51</v>
      </c>
      <c r="H901" s="4" t="s">
        <v>52</v>
      </c>
      <c r="I901" s="4" t="s">
        <v>89</v>
      </c>
      <c r="J901" s="10">
        <v>19.95</v>
      </c>
      <c r="K901" s="10">
        <v>19.946000000000002</v>
      </c>
      <c r="L901" s="10">
        <f t="shared" si="75"/>
        <v>0</v>
      </c>
      <c r="M901" s="10">
        <f t="shared" ref="M901" si="83">SUM(N901:T901)</f>
        <v>0</v>
      </c>
      <c r="N901" s="10"/>
      <c r="O901" s="10"/>
      <c r="P901" s="10">
        <v>0</v>
      </c>
      <c r="Q901" s="10"/>
      <c r="R901" s="10"/>
      <c r="S901" s="10"/>
      <c r="T901" s="10"/>
      <c r="U901" s="10"/>
      <c r="V901" s="4" t="s">
        <v>841</v>
      </c>
      <c r="W901" s="4"/>
      <c r="X901" s="8">
        <v>45216</v>
      </c>
      <c r="Y901" s="4"/>
      <c r="Z901" s="4"/>
      <c r="AA901" s="8">
        <v>45228</v>
      </c>
      <c r="AB901" s="8">
        <v>45228</v>
      </c>
      <c r="AC901" s="4"/>
      <c r="AD901" s="4"/>
    </row>
    <row r="902" spans="1:30" hidden="1">
      <c r="A902" s="4">
        <v>972</v>
      </c>
      <c r="B902" s="8">
        <v>45217</v>
      </c>
      <c r="C902" s="4"/>
      <c r="D902" s="4" t="s">
        <v>42</v>
      </c>
      <c r="E902" s="8">
        <v>45237</v>
      </c>
      <c r="F902" s="4" t="s">
        <v>43</v>
      </c>
      <c r="G902" s="40" t="s">
        <v>60</v>
      </c>
      <c r="H902" s="4" t="s">
        <v>45</v>
      </c>
      <c r="I902" s="4" t="s">
        <v>407</v>
      </c>
      <c r="J902" s="10">
        <v>1.4730000000000001</v>
      </c>
      <c r="K902" s="10">
        <v>1.651</v>
      </c>
      <c r="L902" s="10">
        <f t="shared" si="75"/>
        <v>0</v>
      </c>
      <c r="M902" s="10">
        <f t="shared" ref="M902:M908" si="84">SUM(N902:T902)</f>
        <v>0</v>
      </c>
      <c r="N902" s="10"/>
      <c r="O902" s="10"/>
      <c r="P902" s="10"/>
      <c r="Q902" s="10"/>
      <c r="R902" s="10">
        <v>0</v>
      </c>
      <c r="S902" s="10"/>
      <c r="T902" s="10"/>
      <c r="U902" s="10"/>
      <c r="V902" s="4" t="s">
        <v>661</v>
      </c>
      <c r="W902" s="4" t="s">
        <v>36</v>
      </c>
      <c r="X902" s="8"/>
      <c r="Y902" s="4"/>
      <c r="Z902" s="4"/>
      <c r="AA902" s="8">
        <v>45235</v>
      </c>
      <c r="AB902" s="8">
        <v>45235</v>
      </c>
      <c r="AC902" s="4"/>
      <c r="AD902" s="4"/>
    </row>
    <row r="903" spans="1:30" hidden="1">
      <c r="A903" s="4">
        <v>972</v>
      </c>
      <c r="B903" s="8">
        <v>45217</v>
      </c>
      <c r="C903" s="4"/>
      <c r="D903" s="4" t="s">
        <v>42</v>
      </c>
      <c r="E903" s="8">
        <v>45237</v>
      </c>
      <c r="F903" s="4" t="s">
        <v>43</v>
      </c>
      <c r="G903" s="40" t="s">
        <v>60</v>
      </c>
      <c r="H903" s="4" t="s">
        <v>45</v>
      </c>
      <c r="I903" s="4" t="s">
        <v>409</v>
      </c>
      <c r="J903" s="10">
        <v>0.64400000000000002</v>
      </c>
      <c r="K903" s="10">
        <v>0.82499999999999996</v>
      </c>
      <c r="L903" s="10">
        <f t="shared" si="75"/>
        <v>0</v>
      </c>
      <c r="M903" s="10">
        <f t="shared" si="84"/>
        <v>0</v>
      </c>
      <c r="N903" s="10"/>
      <c r="O903" s="10"/>
      <c r="P903" s="10"/>
      <c r="Q903" s="10"/>
      <c r="R903" s="10">
        <v>0</v>
      </c>
      <c r="S903" s="10"/>
      <c r="T903" s="10"/>
      <c r="U903" s="10"/>
      <c r="V903" s="4" t="s">
        <v>661</v>
      </c>
      <c r="W903" s="4" t="s">
        <v>36</v>
      </c>
      <c r="X903" s="8"/>
      <c r="Y903" s="4"/>
      <c r="Z903" s="4"/>
      <c r="AA903" s="8">
        <v>45235</v>
      </c>
      <c r="AB903" s="8">
        <v>45235</v>
      </c>
      <c r="AC903" s="4"/>
      <c r="AD903" s="4"/>
    </row>
    <row r="904" spans="1:30" hidden="1">
      <c r="A904" s="4">
        <v>1006</v>
      </c>
      <c r="B904" s="8">
        <v>45222</v>
      </c>
      <c r="C904" s="4"/>
      <c r="D904" s="4" t="s">
        <v>42</v>
      </c>
      <c r="E904" s="8">
        <v>45230</v>
      </c>
      <c r="F904" s="4" t="s">
        <v>43</v>
      </c>
      <c r="G904" s="40" t="s">
        <v>60</v>
      </c>
      <c r="H904" s="4" t="s">
        <v>45</v>
      </c>
      <c r="I904" s="4" t="s">
        <v>46</v>
      </c>
      <c r="J904" s="10">
        <v>1.13632</v>
      </c>
      <c r="K904" s="10">
        <v>1.1359999999999999</v>
      </c>
      <c r="L904" s="10">
        <f t="shared" si="75"/>
        <v>0</v>
      </c>
      <c r="M904" s="10">
        <f t="shared" si="84"/>
        <v>0</v>
      </c>
      <c r="N904" s="10"/>
      <c r="O904" s="10"/>
      <c r="P904" s="10"/>
      <c r="Q904" s="10"/>
      <c r="R904" s="10">
        <v>0</v>
      </c>
      <c r="S904" s="10"/>
      <c r="T904" s="10"/>
      <c r="U904" s="10"/>
      <c r="V904" s="4" t="s">
        <v>661</v>
      </c>
      <c r="W904" s="4" t="s">
        <v>521</v>
      </c>
      <c r="X904" s="8"/>
      <c r="Y904" s="4"/>
      <c r="Z904" s="4"/>
      <c r="AA904" s="8">
        <v>45235</v>
      </c>
      <c r="AB904" s="8">
        <v>45235</v>
      </c>
      <c r="AC904" s="4"/>
      <c r="AD904" s="4"/>
    </row>
    <row r="905" spans="1:30" hidden="1">
      <c r="A905" s="4">
        <v>1006</v>
      </c>
      <c r="B905" s="8">
        <v>45222</v>
      </c>
      <c r="C905" s="4"/>
      <c r="D905" s="4" t="s">
        <v>42</v>
      </c>
      <c r="E905" s="8">
        <v>45230</v>
      </c>
      <c r="F905" s="4" t="s">
        <v>43</v>
      </c>
      <c r="G905" s="40" t="s">
        <v>60</v>
      </c>
      <c r="H905" s="4" t="s">
        <v>45</v>
      </c>
      <c r="I905" s="4" t="s">
        <v>517</v>
      </c>
      <c r="J905" s="10">
        <v>0.57329999999999992</v>
      </c>
      <c r="K905" s="10">
        <v>0.57299999999999995</v>
      </c>
      <c r="L905" s="10">
        <f t="shared" si="75"/>
        <v>0</v>
      </c>
      <c r="M905" s="10">
        <f t="shared" si="84"/>
        <v>0</v>
      </c>
      <c r="N905" s="10"/>
      <c r="O905" s="10"/>
      <c r="P905" s="10"/>
      <c r="Q905" s="10"/>
      <c r="R905" s="10">
        <v>0</v>
      </c>
      <c r="S905" s="10"/>
      <c r="T905" s="10"/>
      <c r="U905" s="10"/>
      <c r="V905" s="4" t="s">
        <v>1286</v>
      </c>
      <c r="W905" s="4" t="s">
        <v>521</v>
      </c>
      <c r="X905" s="8">
        <v>45230</v>
      </c>
      <c r="Y905" s="4"/>
      <c r="Z905" s="4"/>
      <c r="AA905" s="8">
        <v>45235</v>
      </c>
      <c r="AB905" s="8">
        <v>45235</v>
      </c>
      <c r="AC905" s="4"/>
      <c r="AD905" s="4"/>
    </row>
    <row r="906" spans="1:30" hidden="1">
      <c r="A906" s="4">
        <v>1006</v>
      </c>
      <c r="B906" s="8">
        <v>45222</v>
      </c>
      <c r="C906" s="4"/>
      <c r="D906" s="4" t="s">
        <v>42</v>
      </c>
      <c r="E906" s="8">
        <v>45230</v>
      </c>
      <c r="F906" s="4" t="s">
        <v>43</v>
      </c>
      <c r="G906" s="40" t="s">
        <v>60</v>
      </c>
      <c r="H906" s="4" t="s">
        <v>45</v>
      </c>
      <c r="I906" s="4" t="s">
        <v>579</v>
      </c>
      <c r="J906" s="10">
        <v>0.31900000000000001</v>
      </c>
      <c r="K906" s="10">
        <v>0.31900000000000001</v>
      </c>
      <c r="L906" s="10">
        <f t="shared" ref="L906" si="85">M906+U906</f>
        <v>0</v>
      </c>
      <c r="M906" s="10">
        <f t="shared" ref="M906" si="86">SUM(N906:T906)</f>
        <v>0</v>
      </c>
      <c r="N906" s="10"/>
      <c r="O906" s="10"/>
      <c r="P906" s="10">
        <v>0</v>
      </c>
      <c r="Q906" s="10"/>
      <c r="R906" s="10"/>
      <c r="S906" s="10"/>
      <c r="T906" s="10"/>
      <c r="U906" s="10"/>
      <c r="V906" s="4" t="s">
        <v>661</v>
      </c>
      <c r="W906" s="4"/>
      <c r="X906" s="8"/>
      <c r="Y906" s="4"/>
      <c r="Z906" s="4"/>
      <c r="AA906" s="8">
        <v>45257</v>
      </c>
      <c r="AB906" s="8">
        <v>45257</v>
      </c>
      <c r="AC906" s="4"/>
      <c r="AD906" s="4"/>
    </row>
    <row r="907" spans="1:30" hidden="1">
      <c r="A907" s="4">
        <v>1006</v>
      </c>
      <c r="B907" s="8">
        <v>45222</v>
      </c>
      <c r="C907" s="4"/>
      <c r="D907" s="4" t="s">
        <v>42</v>
      </c>
      <c r="E907" s="8">
        <v>45230</v>
      </c>
      <c r="F907" s="4" t="s">
        <v>43</v>
      </c>
      <c r="G907" s="40" t="s">
        <v>60</v>
      </c>
      <c r="H907" s="4" t="s">
        <v>45</v>
      </c>
      <c r="I907" s="4" t="s">
        <v>837</v>
      </c>
      <c r="J907" s="10">
        <v>0.29799999999999999</v>
      </c>
      <c r="K907" s="10">
        <v>0.29799999999999999</v>
      </c>
      <c r="L907" s="10">
        <f t="shared" ref="L907" si="87">M907+U907</f>
        <v>0</v>
      </c>
      <c r="M907" s="10">
        <f t="shared" ref="M907" si="88">SUM(N907:T907)</f>
        <v>0</v>
      </c>
      <c r="N907" s="10"/>
      <c r="O907" s="10"/>
      <c r="P907" s="10">
        <v>0</v>
      </c>
      <c r="Q907" s="10"/>
      <c r="R907" s="10"/>
      <c r="S907" s="10"/>
      <c r="T907" s="10"/>
      <c r="U907" s="10"/>
      <c r="V907" s="4" t="s">
        <v>661</v>
      </c>
      <c r="W907" s="4"/>
      <c r="X907" s="8"/>
      <c r="Y907" s="4"/>
      <c r="Z907" s="4"/>
      <c r="AA907" s="8">
        <v>45257</v>
      </c>
      <c r="AB907" s="8">
        <v>45257</v>
      </c>
      <c r="AC907" s="4"/>
      <c r="AD907" s="4"/>
    </row>
    <row r="908" spans="1:30" hidden="1">
      <c r="A908" s="4">
        <v>1006</v>
      </c>
      <c r="B908" s="8">
        <v>45222</v>
      </c>
      <c r="C908" s="4"/>
      <c r="D908" s="4" t="s">
        <v>42</v>
      </c>
      <c r="E908" s="8">
        <v>45230</v>
      </c>
      <c r="F908" s="4" t="s">
        <v>43</v>
      </c>
      <c r="G908" s="40" t="s">
        <v>60</v>
      </c>
      <c r="H908" s="4" t="s">
        <v>45</v>
      </c>
      <c r="I908" s="4" t="s">
        <v>448</v>
      </c>
      <c r="J908" s="10">
        <v>14.398800000000001</v>
      </c>
      <c r="K908" s="10">
        <f>8.876+5.84</f>
        <v>14.715999999999999</v>
      </c>
      <c r="L908" s="10">
        <f t="shared" si="75"/>
        <v>0</v>
      </c>
      <c r="M908" s="10">
        <f t="shared" si="84"/>
        <v>0</v>
      </c>
      <c r="N908" s="10"/>
      <c r="O908" s="10"/>
      <c r="P908" s="10">
        <v>0</v>
      </c>
      <c r="Q908" s="10"/>
      <c r="R908" s="10"/>
      <c r="S908" s="10"/>
      <c r="T908" s="10"/>
      <c r="U908" s="10"/>
      <c r="V908" s="4" t="s">
        <v>661</v>
      </c>
      <c r="W908" s="4"/>
      <c r="X908" s="8">
        <v>45232</v>
      </c>
      <c r="Y908" s="4"/>
      <c r="Z908" s="4"/>
      <c r="AA908" s="8">
        <v>45235</v>
      </c>
      <c r="AB908" s="8"/>
      <c r="AC908" s="4"/>
      <c r="AD908" s="4"/>
    </row>
    <row r="909" spans="1:30" hidden="1">
      <c r="A909" s="4">
        <v>1022</v>
      </c>
      <c r="B909" s="8">
        <v>45227</v>
      </c>
      <c r="C909" s="4"/>
      <c r="D909" s="4" t="s">
        <v>42</v>
      </c>
      <c r="E909" s="8">
        <v>45245</v>
      </c>
      <c r="F909" s="4" t="s">
        <v>840</v>
      </c>
      <c r="G909" s="16" t="s">
        <v>44</v>
      </c>
      <c r="H909" s="4" t="s">
        <v>45</v>
      </c>
      <c r="I909" s="4" t="s">
        <v>54</v>
      </c>
      <c r="J909" s="10">
        <f>45.208709+0.621</f>
        <v>45.829709000000001</v>
      </c>
      <c r="K909" s="10">
        <f>24.975+13.178+3.737+1.979+1.471+0.621</f>
        <v>45.961000000000006</v>
      </c>
      <c r="L909" s="10">
        <f t="shared" ref="L909:L952" si="89">M909+U909</f>
        <v>0</v>
      </c>
      <c r="M909" s="10">
        <f t="shared" ref="M909" si="90">SUM(N909:T909)</f>
        <v>0</v>
      </c>
      <c r="N909" s="10"/>
      <c r="O909" s="10"/>
      <c r="P909" s="10"/>
      <c r="Q909" s="10"/>
      <c r="R909" s="10"/>
      <c r="S909" s="10"/>
      <c r="T909" s="10"/>
      <c r="U909" s="10"/>
      <c r="V909" s="4" t="s">
        <v>841</v>
      </c>
      <c r="W909" s="4"/>
      <c r="X909" s="8"/>
      <c r="Y909" s="4"/>
      <c r="Z909" s="4"/>
      <c r="AA909" s="8">
        <v>45251</v>
      </c>
      <c r="AB909" s="8"/>
      <c r="AC909" s="4"/>
      <c r="AD909" s="4"/>
    </row>
    <row r="910" spans="1:30" hidden="1">
      <c r="A910" s="4">
        <v>1022</v>
      </c>
      <c r="B910" s="8">
        <v>45227</v>
      </c>
      <c r="C910" s="4"/>
      <c r="D910" s="4" t="s">
        <v>42</v>
      </c>
      <c r="E910" s="8">
        <v>45245</v>
      </c>
      <c r="F910" s="4" t="s">
        <v>840</v>
      </c>
      <c r="G910" s="16" t="s">
        <v>44</v>
      </c>
      <c r="H910" s="4" t="s">
        <v>45</v>
      </c>
      <c r="I910" s="4" t="s">
        <v>56</v>
      </c>
      <c r="J910" s="10">
        <f>60.309038+0.386+0.364</f>
        <v>61.059038000000001</v>
      </c>
      <c r="K910" s="10">
        <f>20.67+14.976+9.449+11.327+2.549+1.479+0.364+0.386</f>
        <v>61.199999999999996</v>
      </c>
      <c r="L910" s="10">
        <f t="shared" si="89"/>
        <v>0</v>
      </c>
      <c r="M910" s="10">
        <f t="shared" ref="M910:M943" si="91">SUM(N910:T910)</f>
        <v>0</v>
      </c>
      <c r="N910" s="10"/>
      <c r="O910" s="10"/>
      <c r="P910" s="10"/>
      <c r="Q910" s="10"/>
      <c r="R910" s="10"/>
      <c r="S910" s="10"/>
      <c r="T910" s="10"/>
      <c r="U910" s="10"/>
      <c r="V910" s="4" t="s">
        <v>841</v>
      </c>
      <c r="W910" s="4"/>
      <c r="X910" s="8"/>
      <c r="Y910" s="4"/>
      <c r="Z910" s="4"/>
      <c r="AA910" s="8">
        <v>45251</v>
      </c>
      <c r="AB910" s="8"/>
      <c r="AC910" s="4"/>
      <c r="AD910" s="4"/>
    </row>
    <row r="911" spans="1:30" hidden="1">
      <c r="A911" s="4">
        <v>1022</v>
      </c>
      <c r="B911" s="8">
        <v>45227</v>
      </c>
      <c r="C911" s="4"/>
      <c r="D911" s="4" t="s">
        <v>42</v>
      </c>
      <c r="E911" s="8">
        <v>45245</v>
      </c>
      <c r="F911" s="4" t="s">
        <v>840</v>
      </c>
      <c r="G911" s="16" t="s">
        <v>44</v>
      </c>
      <c r="H911" s="4" t="s">
        <v>45</v>
      </c>
      <c r="I911" s="4" t="s">
        <v>48</v>
      </c>
      <c r="J911" s="10">
        <v>9.3786000000000005</v>
      </c>
      <c r="K911" s="10">
        <f>4.522+4.981</f>
        <v>9.5030000000000001</v>
      </c>
      <c r="L911" s="10">
        <f t="shared" si="89"/>
        <v>0</v>
      </c>
      <c r="M911" s="10">
        <f t="shared" si="91"/>
        <v>0</v>
      </c>
      <c r="N911" s="10"/>
      <c r="O911" s="10"/>
      <c r="P911" s="10">
        <v>0</v>
      </c>
      <c r="Q911" s="10"/>
      <c r="R911" s="10"/>
      <c r="S911" s="10"/>
      <c r="T911" s="10"/>
      <c r="U911" s="10"/>
      <c r="V911" s="4" t="s">
        <v>841</v>
      </c>
      <c r="W911" s="4"/>
      <c r="X911" s="8"/>
      <c r="Y911" s="4"/>
      <c r="Z911" s="4"/>
      <c r="AA911" s="8">
        <v>45251</v>
      </c>
      <c r="AB911" s="8"/>
      <c r="AC911" s="4"/>
      <c r="AD911" s="4"/>
    </row>
    <row r="912" spans="1:30" hidden="1">
      <c r="A912" s="4">
        <v>1022</v>
      </c>
      <c r="B912" s="8">
        <v>45227</v>
      </c>
      <c r="C912" s="4"/>
      <c r="D912" s="4" t="s">
        <v>42</v>
      </c>
      <c r="E912" s="8">
        <v>45245</v>
      </c>
      <c r="F912" s="4" t="s">
        <v>840</v>
      </c>
      <c r="G912" s="16" t="s">
        <v>44</v>
      </c>
      <c r="H912" s="4" t="s">
        <v>45</v>
      </c>
      <c r="I912" s="4" t="s">
        <v>403</v>
      </c>
      <c r="J912" s="10">
        <v>2.8550759999999999</v>
      </c>
      <c r="K912" s="10">
        <v>2.855</v>
      </c>
      <c r="L912" s="10">
        <f t="shared" si="89"/>
        <v>0</v>
      </c>
      <c r="M912" s="10">
        <f t="shared" si="91"/>
        <v>0</v>
      </c>
      <c r="N912" s="10"/>
      <c r="O912" s="10"/>
      <c r="P912" s="10">
        <v>0</v>
      </c>
      <c r="Q912" s="10"/>
      <c r="R912" s="10"/>
      <c r="S912" s="10"/>
      <c r="T912" s="10"/>
      <c r="U912" s="10"/>
      <c r="V912" s="4" t="s">
        <v>841</v>
      </c>
      <c r="W912" s="4"/>
      <c r="X912" s="8"/>
      <c r="Y912" s="4"/>
      <c r="Z912" s="4"/>
      <c r="AA912" s="8"/>
      <c r="AB912" s="8"/>
      <c r="AC912" s="4"/>
      <c r="AD912" s="4"/>
    </row>
    <row r="913" spans="1:30" hidden="1">
      <c r="A913" s="4">
        <v>1022</v>
      </c>
      <c r="B913" s="8">
        <v>45227</v>
      </c>
      <c r="C913" s="4"/>
      <c r="D913" s="4" t="s">
        <v>42</v>
      </c>
      <c r="E913" s="8">
        <v>45245</v>
      </c>
      <c r="F913" s="4" t="s">
        <v>840</v>
      </c>
      <c r="G913" s="16" t="s">
        <v>44</v>
      </c>
      <c r="H913" s="4" t="s">
        <v>45</v>
      </c>
      <c r="I913" s="4" t="s">
        <v>405</v>
      </c>
      <c r="J913" s="10">
        <v>3.1518000000000002</v>
      </c>
      <c r="K913" s="10">
        <f>0.875+2.453</f>
        <v>3.3279999999999998</v>
      </c>
      <c r="L913" s="10">
        <f t="shared" si="89"/>
        <v>0</v>
      </c>
      <c r="M913" s="10">
        <f t="shared" si="91"/>
        <v>0</v>
      </c>
      <c r="N913" s="10"/>
      <c r="O913" s="10"/>
      <c r="P913" s="10">
        <v>0</v>
      </c>
      <c r="Q913" s="10">
        <v>0</v>
      </c>
      <c r="R913" s="10"/>
      <c r="S913" s="10"/>
      <c r="T913" s="10"/>
      <c r="U913" s="10"/>
      <c r="V913" s="4" t="s">
        <v>841</v>
      </c>
      <c r="W913" s="4" t="s">
        <v>1297</v>
      </c>
      <c r="X913" s="8"/>
      <c r="Y913" s="4"/>
      <c r="Z913" s="4">
        <v>45246</v>
      </c>
      <c r="AA913" s="8">
        <v>45246</v>
      </c>
      <c r="AB913" s="8"/>
      <c r="AC913" s="4"/>
      <c r="AD913" s="4"/>
    </row>
    <row r="914" spans="1:30" hidden="1">
      <c r="A914" s="4">
        <v>1022</v>
      </c>
      <c r="B914" s="8">
        <v>45227</v>
      </c>
      <c r="C914" s="4"/>
      <c r="D914" s="4" t="s">
        <v>42</v>
      </c>
      <c r="E914" s="8">
        <v>45245</v>
      </c>
      <c r="F914" s="4" t="s">
        <v>840</v>
      </c>
      <c r="G914" s="16" t="s">
        <v>44</v>
      </c>
      <c r="H914" s="4" t="s">
        <v>45</v>
      </c>
      <c r="I914" s="4" t="s">
        <v>400</v>
      </c>
      <c r="J914" s="10">
        <v>14.410159999999999</v>
      </c>
      <c r="K914" s="10">
        <f>8.225+6.435</f>
        <v>14.66</v>
      </c>
      <c r="L914" s="10">
        <f t="shared" si="89"/>
        <v>0</v>
      </c>
      <c r="M914" s="10">
        <f t="shared" si="91"/>
        <v>0</v>
      </c>
      <c r="N914" s="10"/>
      <c r="O914" s="10"/>
      <c r="P914" s="10">
        <v>0</v>
      </c>
      <c r="Q914" s="10"/>
      <c r="R914" s="10"/>
      <c r="S914" s="10"/>
      <c r="T914" s="10"/>
      <c r="U914" s="10"/>
      <c r="V914" s="4" t="s">
        <v>841</v>
      </c>
      <c r="W914" s="4"/>
      <c r="X914" s="8"/>
      <c r="Y914" s="4"/>
      <c r="Z914" s="4">
        <v>45246</v>
      </c>
      <c r="AA914" s="8">
        <v>45246</v>
      </c>
      <c r="AB914" s="8"/>
      <c r="AC914" s="4"/>
      <c r="AD914" s="4"/>
    </row>
    <row r="915" spans="1:30" hidden="1">
      <c r="A915" s="4">
        <v>1022</v>
      </c>
      <c r="B915" s="8">
        <v>45227</v>
      </c>
      <c r="C915" s="4"/>
      <c r="D915" s="4" t="s">
        <v>42</v>
      </c>
      <c r="E915" s="8">
        <v>45245</v>
      </c>
      <c r="F915" s="4" t="s">
        <v>840</v>
      </c>
      <c r="G915" s="16" t="s">
        <v>44</v>
      </c>
      <c r="H915" s="4" t="s">
        <v>45</v>
      </c>
      <c r="I915" s="4" t="s">
        <v>46</v>
      </c>
      <c r="J915" s="10">
        <v>8.5183800000000005</v>
      </c>
      <c r="K915" s="10">
        <f>6.338+2.206</f>
        <v>8.5440000000000005</v>
      </c>
      <c r="L915" s="10">
        <f t="shared" si="89"/>
        <v>0</v>
      </c>
      <c r="M915" s="10">
        <f t="shared" si="91"/>
        <v>0</v>
      </c>
      <c r="N915" s="10"/>
      <c r="O915" s="10"/>
      <c r="P915" s="10">
        <v>0</v>
      </c>
      <c r="Q915" s="10"/>
      <c r="R915" s="10"/>
      <c r="S915" s="10"/>
      <c r="T915" s="10"/>
      <c r="U915" s="10"/>
      <c r="V915" s="4" t="s">
        <v>841</v>
      </c>
      <c r="W915" s="4"/>
      <c r="X915" s="8"/>
      <c r="Y915" s="4"/>
      <c r="Z915" s="4">
        <v>45246</v>
      </c>
      <c r="AA915" s="8">
        <v>45246</v>
      </c>
      <c r="AB915" s="8"/>
      <c r="AC915" s="4"/>
      <c r="AD915" s="4"/>
    </row>
    <row r="916" spans="1:30" hidden="1">
      <c r="A916" s="4">
        <v>1022</v>
      </c>
      <c r="B916" s="8">
        <v>45227</v>
      </c>
      <c r="C916" s="4"/>
      <c r="D916" s="4" t="s">
        <v>42</v>
      </c>
      <c r="E916" s="8">
        <v>45245</v>
      </c>
      <c r="F916" s="4" t="s">
        <v>840</v>
      </c>
      <c r="G916" s="16" t="s">
        <v>44</v>
      </c>
      <c r="H916" s="4" t="s">
        <v>45</v>
      </c>
      <c r="I916" s="4" t="s">
        <v>49</v>
      </c>
      <c r="J916" s="10">
        <v>6.2599349999999996</v>
      </c>
      <c r="K916" s="10">
        <f>6.111+0.172</f>
        <v>6.2829999999999995</v>
      </c>
      <c r="L916" s="10">
        <f t="shared" si="89"/>
        <v>0</v>
      </c>
      <c r="M916" s="10">
        <f t="shared" si="91"/>
        <v>0</v>
      </c>
      <c r="N916" s="10"/>
      <c r="O916" s="10"/>
      <c r="P916" s="10">
        <v>0</v>
      </c>
      <c r="Q916" s="10"/>
      <c r="R916" s="10"/>
      <c r="S916" s="10"/>
      <c r="T916" s="10"/>
      <c r="U916" s="10"/>
      <c r="V916" s="4" t="s">
        <v>841</v>
      </c>
      <c r="W916" s="4"/>
      <c r="X916" s="8">
        <v>45246</v>
      </c>
      <c r="Y916" s="4"/>
      <c r="Z916" s="4"/>
      <c r="AA916" s="8"/>
      <c r="AB916" s="8"/>
      <c r="AC916" s="4"/>
      <c r="AD916" s="4"/>
    </row>
    <row r="917" spans="1:30" hidden="1">
      <c r="A917" s="4">
        <v>1022</v>
      </c>
      <c r="B917" s="8">
        <v>45227</v>
      </c>
      <c r="C917" s="4"/>
      <c r="D917" s="4" t="s">
        <v>42</v>
      </c>
      <c r="E917" s="8">
        <v>45245</v>
      </c>
      <c r="F917" s="4" t="s">
        <v>840</v>
      </c>
      <c r="G917" s="16" t="s">
        <v>44</v>
      </c>
      <c r="H917" s="4" t="s">
        <v>45</v>
      </c>
      <c r="I917" s="4" t="s">
        <v>423</v>
      </c>
      <c r="J917" s="10">
        <v>3.7143540000000002</v>
      </c>
      <c r="K917" s="10">
        <v>3.714</v>
      </c>
      <c r="L917" s="10">
        <f t="shared" si="89"/>
        <v>0</v>
      </c>
      <c r="M917" s="10">
        <f t="shared" si="91"/>
        <v>0</v>
      </c>
      <c r="N917" s="10"/>
      <c r="O917" s="10"/>
      <c r="P917" s="10">
        <v>0</v>
      </c>
      <c r="Q917" s="10"/>
      <c r="R917" s="10"/>
      <c r="S917" s="10"/>
      <c r="T917" s="10"/>
      <c r="U917" s="10"/>
      <c r="V917" s="4" t="s">
        <v>841</v>
      </c>
      <c r="W917" s="4"/>
      <c r="X917" s="8">
        <v>45246</v>
      </c>
      <c r="Y917" s="4"/>
      <c r="Z917" s="4"/>
      <c r="AA917" s="8">
        <v>45270</v>
      </c>
      <c r="AB917" s="8">
        <v>45270</v>
      </c>
      <c r="AC917" s="4"/>
      <c r="AD917" s="4"/>
    </row>
    <row r="918" spans="1:30" hidden="1">
      <c r="A918" s="4">
        <v>1022</v>
      </c>
      <c r="B918" s="8">
        <v>45227</v>
      </c>
      <c r="C918" s="4"/>
      <c r="D918" s="4" t="s">
        <v>42</v>
      </c>
      <c r="E918" s="8">
        <v>45245</v>
      </c>
      <c r="F918" s="4" t="s">
        <v>840</v>
      </c>
      <c r="G918" s="16" t="s">
        <v>44</v>
      </c>
      <c r="H918" s="4" t="s">
        <v>45</v>
      </c>
      <c r="I918" s="4" t="s">
        <v>588</v>
      </c>
      <c r="J918" s="10">
        <v>5.3064</v>
      </c>
      <c r="K918" s="10">
        <v>5.306</v>
      </c>
      <c r="L918" s="10">
        <f t="shared" si="89"/>
        <v>0</v>
      </c>
      <c r="M918" s="10">
        <f t="shared" si="91"/>
        <v>0</v>
      </c>
      <c r="N918" s="10"/>
      <c r="O918" s="10"/>
      <c r="P918" s="10">
        <v>0</v>
      </c>
      <c r="Q918" s="10"/>
      <c r="R918" s="10"/>
      <c r="S918" s="10"/>
      <c r="T918" s="10"/>
      <c r="U918" s="10"/>
      <c r="V918" s="4" t="s">
        <v>841</v>
      </c>
      <c r="W918" s="4"/>
      <c r="X918" s="8">
        <v>45246</v>
      </c>
      <c r="Y918" s="4"/>
      <c r="Z918" s="4"/>
      <c r="AA918" s="8">
        <v>45270</v>
      </c>
      <c r="AB918" s="8">
        <v>45270</v>
      </c>
      <c r="AC918" s="4"/>
      <c r="AD918" s="4"/>
    </row>
    <row r="919" spans="1:30" hidden="1">
      <c r="A919" s="4">
        <v>1022</v>
      </c>
      <c r="B919" s="8">
        <v>45227</v>
      </c>
      <c r="C919" s="4"/>
      <c r="D919" s="4" t="s">
        <v>42</v>
      </c>
      <c r="E919" s="8">
        <v>45245</v>
      </c>
      <c r="F919" s="4" t="s">
        <v>840</v>
      </c>
      <c r="G919" s="16" t="s">
        <v>44</v>
      </c>
      <c r="H919" s="4" t="s">
        <v>45</v>
      </c>
      <c r="I919" s="4" t="s">
        <v>407</v>
      </c>
      <c r="J919" s="10">
        <v>8.487487999999999</v>
      </c>
      <c r="K919" s="10">
        <v>8.4870000000000001</v>
      </c>
      <c r="L919" s="10">
        <f t="shared" si="89"/>
        <v>0</v>
      </c>
      <c r="M919" s="10">
        <f t="shared" si="91"/>
        <v>0</v>
      </c>
      <c r="N919" s="10"/>
      <c r="O919" s="10"/>
      <c r="P919" s="10">
        <v>0</v>
      </c>
      <c r="Q919" s="10"/>
      <c r="R919" s="10"/>
      <c r="S919" s="10"/>
      <c r="T919" s="10"/>
      <c r="U919" s="10"/>
      <c r="V919" s="4" t="s">
        <v>841</v>
      </c>
      <c r="W919" s="4"/>
      <c r="X919" s="8">
        <v>45248</v>
      </c>
      <c r="Y919" s="4"/>
      <c r="Z919" s="4"/>
      <c r="AA919" s="8">
        <v>45270</v>
      </c>
      <c r="AB919" s="8">
        <v>45270</v>
      </c>
      <c r="AC919" s="4"/>
      <c r="AD919" s="4"/>
    </row>
    <row r="920" spans="1:30" hidden="1">
      <c r="A920" s="4">
        <v>1022</v>
      </c>
      <c r="B920" s="8">
        <v>45227</v>
      </c>
      <c r="C920" s="4"/>
      <c r="D920" s="4" t="s">
        <v>42</v>
      </c>
      <c r="E920" s="8">
        <v>45245</v>
      </c>
      <c r="F920" s="4" t="s">
        <v>840</v>
      </c>
      <c r="G920" s="16" t="s">
        <v>44</v>
      </c>
      <c r="H920" s="4" t="s">
        <v>45</v>
      </c>
      <c r="I920" s="4" t="s">
        <v>408</v>
      </c>
      <c r="J920" s="10">
        <v>23.744140000000002</v>
      </c>
      <c r="K920" s="10">
        <f>22.286+1.54</f>
        <v>23.826000000000001</v>
      </c>
      <c r="L920" s="10">
        <f t="shared" si="89"/>
        <v>0</v>
      </c>
      <c r="M920" s="10">
        <f t="shared" si="91"/>
        <v>0</v>
      </c>
      <c r="N920" s="10"/>
      <c r="O920" s="10"/>
      <c r="P920" s="10">
        <v>0</v>
      </c>
      <c r="Q920" s="10"/>
      <c r="R920" s="10"/>
      <c r="S920" s="10"/>
      <c r="T920" s="10"/>
      <c r="U920" s="10"/>
      <c r="V920" s="4" t="s">
        <v>841</v>
      </c>
      <c r="W920" s="4"/>
      <c r="X920" s="8">
        <v>45248</v>
      </c>
      <c r="Y920" s="4"/>
      <c r="Z920" s="4"/>
      <c r="AA920" s="8"/>
      <c r="AB920" s="8">
        <v>45271</v>
      </c>
      <c r="AC920" s="4"/>
      <c r="AD920" s="4"/>
    </row>
    <row r="921" spans="1:30" hidden="1">
      <c r="A921" s="4">
        <v>1022</v>
      </c>
      <c r="B921" s="8">
        <v>45227</v>
      </c>
      <c r="C921" s="4"/>
      <c r="D921" s="4" t="s">
        <v>42</v>
      </c>
      <c r="E921" s="8">
        <v>45245</v>
      </c>
      <c r="F921" s="4" t="s">
        <v>840</v>
      </c>
      <c r="G921" s="16" t="s">
        <v>44</v>
      </c>
      <c r="H921" s="4" t="s">
        <v>45</v>
      </c>
      <c r="I921" s="4" t="s">
        <v>519</v>
      </c>
      <c r="J921" s="10">
        <v>11.153152</v>
      </c>
      <c r="K921" s="10">
        <v>11.153</v>
      </c>
      <c r="L921" s="10">
        <f t="shared" si="89"/>
        <v>0</v>
      </c>
      <c r="M921" s="10">
        <f t="shared" si="91"/>
        <v>0</v>
      </c>
      <c r="N921" s="10"/>
      <c r="O921" s="10"/>
      <c r="P921" s="10">
        <v>0</v>
      </c>
      <c r="Q921" s="10"/>
      <c r="R921" s="10"/>
      <c r="S921" s="10"/>
      <c r="T921" s="10"/>
      <c r="U921" s="10"/>
      <c r="V921" s="4" t="s">
        <v>841</v>
      </c>
      <c r="W921" s="4"/>
      <c r="X921" s="8">
        <v>45233</v>
      </c>
      <c r="Y921" s="4"/>
      <c r="Z921" s="4"/>
      <c r="AA921" s="8"/>
      <c r="AB921" s="8"/>
      <c r="AC921" s="4"/>
      <c r="AD921" s="4"/>
    </row>
    <row r="922" spans="1:30" hidden="1">
      <c r="A922" s="4">
        <v>1022</v>
      </c>
      <c r="B922" s="8">
        <v>45227</v>
      </c>
      <c r="C922" s="4"/>
      <c r="D922" s="4" t="s">
        <v>42</v>
      </c>
      <c r="E922" s="8">
        <v>45245</v>
      </c>
      <c r="F922" s="4" t="s">
        <v>840</v>
      </c>
      <c r="G922" s="16" t="s">
        <v>44</v>
      </c>
      <c r="H922" s="4" t="s">
        <v>45</v>
      </c>
      <c r="I922" s="4" t="s">
        <v>761</v>
      </c>
      <c r="J922" s="10">
        <v>8.6108399999999996</v>
      </c>
      <c r="K922" s="10">
        <f>5.998+1.222+1.391</f>
        <v>8.6110000000000007</v>
      </c>
      <c r="L922" s="10">
        <f t="shared" si="89"/>
        <v>0</v>
      </c>
      <c r="M922" s="10">
        <f t="shared" si="91"/>
        <v>0</v>
      </c>
      <c r="N922" s="10"/>
      <c r="O922" s="10"/>
      <c r="P922" s="10">
        <v>0</v>
      </c>
      <c r="Q922" s="10"/>
      <c r="R922" s="10"/>
      <c r="S922" s="10"/>
      <c r="T922" s="10"/>
      <c r="U922" s="10"/>
      <c r="V922" s="4" t="s">
        <v>841</v>
      </c>
      <c r="W922" s="4"/>
      <c r="X922" s="8">
        <v>45233</v>
      </c>
      <c r="Y922" s="4"/>
      <c r="Z922" s="4"/>
      <c r="AA922" s="8">
        <v>45251</v>
      </c>
      <c r="AB922" s="8">
        <v>45264</v>
      </c>
      <c r="AC922" s="4"/>
      <c r="AD922" s="4"/>
    </row>
    <row r="923" spans="1:30" hidden="1">
      <c r="A923" s="4">
        <v>1022</v>
      </c>
      <c r="B923" s="8">
        <v>45227</v>
      </c>
      <c r="C923" s="4"/>
      <c r="D923" s="4" t="s">
        <v>42</v>
      </c>
      <c r="E923" s="8">
        <v>45245</v>
      </c>
      <c r="F923" s="4" t="s">
        <v>840</v>
      </c>
      <c r="G923" s="16" t="s">
        <v>44</v>
      </c>
      <c r="H923" s="4" t="s">
        <v>45</v>
      </c>
      <c r="I923" s="4" t="s">
        <v>517</v>
      </c>
      <c r="J923" s="10">
        <v>8.2961600000000004</v>
      </c>
      <c r="K923" s="10">
        <f>6.653+1.725</f>
        <v>8.3780000000000001</v>
      </c>
      <c r="L923" s="10">
        <f t="shared" si="89"/>
        <v>0</v>
      </c>
      <c r="M923" s="10">
        <f t="shared" si="91"/>
        <v>0</v>
      </c>
      <c r="N923" s="10"/>
      <c r="O923" s="10"/>
      <c r="P923" s="10">
        <v>0</v>
      </c>
      <c r="Q923" s="10"/>
      <c r="R923" s="10"/>
      <c r="S923" s="10"/>
      <c r="T923" s="10"/>
      <c r="U923" s="10"/>
      <c r="V923" s="4" t="s">
        <v>841</v>
      </c>
      <c r="W923" s="4" t="s">
        <v>1308</v>
      </c>
      <c r="X923" s="8">
        <v>45233</v>
      </c>
      <c r="Y923" s="4"/>
      <c r="Z923" s="4"/>
      <c r="AA923" s="8"/>
      <c r="AB923" s="8">
        <v>45264</v>
      </c>
      <c r="AC923" s="4"/>
      <c r="AD923" s="4"/>
    </row>
    <row r="924" spans="1:30" hidden="1">
      <c r="A924" s="4">
        <v>1022</v>
      </c>
      <c r="B924" s="8">
        <v>45227</v>
      </c>
      <c r="C924" s="4"/>
      <c r="D924" s="4" t="s">
        <v>42</v>
      </c>
      <c r="E924" s="8">
        <v>45245</v>
      </c>
      <c r="F924" s="4" t="s">
        <v>840</v>
      </c>
      <c r="G924" s="16" t="s">
        <v>44</v>
      </c>
      <c r="H924" s="4" t="s">
        <v>45</v>
      </c>
      <c r="I924" s="4" t="s">
        <v>837</v>
      </c>
      <c r="J924" s="10">
        <v>25.588299999999997</v>
      </c>
      <c r="K924" s="10">
        <f>8.844+8.561+8.57</f>
        <v>25.975000000000001</v>
      </c>
      <c r="L924" s="10">
        <f t="shared" si="89"/>
        <v>0</v>
      </c>
      <c r="M924" s="10">
        <f t="shared" si="91"/>
        <v>0</v>
      </c>
      <c r="N924" s="10"/>
      <c r="O924" s="10"/>
      <c r="P924" s="10">
        <v>0</v>
      </c>
      <c r="Q924" s="10"/>
      <c r="R924" s="10"/>
      <c r="S924" s="10"/>
      <c r="T924" s="10"/>
      <c r="U924" s="10"/>
      <c r="V924" s="4" t="s">
        <v>841</v>
      </c>
      <c r="W924" s="4"/>
      <c r="X924" s="8">
        <v>45233</v>
      </c>
      <c r="Y924" s="4"/>
      <c r="Z924" s="4"/>
      <c r="AA924" s="8">
        <v>45252</v>
      </c>
      <c r="AB924" s="8"/>
      <c r="AC924" s="4"/>
      <c r="AD924" s="4"/>
    </row>
    <row r="925" spans="1:30" hidden="1">
      <c r="A925" s="4">
        <v>1022</v>
      </c>
      <c r="B925" s="8">
        <v>45227</v>
      </c>
      <c r="C925" s="4"/>
      <c r="D925" s="4" t="s">
        <v>42</v>
      </c>
      <c r="E925" s="8">
        <v>45245</v>
      </c>
      <c r="F925" s="4" t="s">
        <v>840</v>
      </c>
      <c r="G925" s="16" t="s">
        <v>44</v>
      </c>
      <c r="H925" s="4" t="s">
        <v>45</v>
      </c>
      <c r="I925" s="4" t="s">
        <v>448</v>
      </c>
      <c r="J925" s="10">
        <v>13.204751999999999</v>
      </c>
      <c r="K925" s="10">
        <f>3.264+9.967</f>
        <v>13.231</v>
      </c>
      <c r="L925" s="10">
        <f t="shared" si="89"/>
        <v>0</v>
      </c>
      <c r="M925" s="10">
        <f t="shared" si="91"/>
        <v>0</v>
      </c>
      <c r="N925" s="10"/>
      <c r="O925" s="10"/>
      <c r="P925" s="10">
        <v>0</v>
      </c>
      <c r="Q925" s="10"/>
      <c r="R925" s="10"/>
      <c r="S925" s="10"/>
      <c r="T925" s="10"/>
      <c r="U925" s="10"/>
      <c r="V925" s="4" t="s">
        <v>841</v>
      </c>
      <c r="W925" s="4"/>
      <c r="X925" s="8">
        <v>45233</v>
      </c>
      <c r="Y925" s="4"/>
      <c r="Z925" s="4"/>
      <c r="AA925" s="8"/>
      <c r="AB925" s="8"/>
      <c r="AC925" s="4"/>
      <c r="AD925" s="4"/>
    </row>
    <row r="926" spans="1:30" hidden="1">
      <c r="A926" s="4">
        <v>1022</v>
      </c>
      <c r="B926" s="8">
        <v>45227</v>
      </c>
      <c r="C926" s="4"/>
      <c r="D926" s="4" t="s">
        <v>42</v>
      </c>
      <c r="E926" s="8">
        <v>45245</v>
      </c>
      <c r="F926" s="4" t="s">
        <v>840</v>
      </c>
      <c r="G926" s="16" t="s">
        <v>44</v>
      </c>
      <c r="H926" s="4" t="s">
        <v>45</v>
      </c>
      <c r="I926" s="4" t="s">
        <v>449</v>
      </c>
      <c r="J926" s="10">
        <v>19.722752000000003</v>
      </c>
      <c r="K926" s="10">
        <f>14.587+4.459+0.717</f>
        <v>19.762999999999998</v>
      </c>
      <c r="L926" s="10">
        <f t="shared" si="89"/>
        <v>0</v>
      </c>
      <c r="M926" s="10">
        <f t="shared" si="91"/>
        <v>0</v>
      </c>
      <c r="N926" s="10"/>
      <c r="O926" s="10"/>
      <c r="P926" s="10">
        <v>0</v>
      </c>
      <c r="Q926" s="10"/>
      <c r="R926" s="10"/>
      <c r="S926" s="10"/>
      <c r="T926" s="10"/>
      <c r="U926" s="10"/>
      <c r="V926" s="4" t="s">
        <v>841</v>
      </c>
      <c r="W926" s="4"/>
      <c r="X926" s="8">
        <v>45233</v>
      </c>
      <c r="Y926" s="4"/>
      <c r="Z926" s="4"/>
      <c r="AA926" s="8">
        <v>45252</v>
      </c>
      <c r="AB926" s="8">
        <v>45264</v>
      </c>
      <c r="AC926" s="4"/>
      <c r="AD926" s="4"/>
    </row>
    <row r="927" spans="1:30" hidden="1">
      <c r="A927" s="4">
        <v>1022</v>
      </c>
      <c r="B927" s="8">
        <v>45227</v>
      </c>
      <c r="C927" s="4"/>
      <c r="D927" s="4" t="s">
        <v>42</v>
      </c>
      <c r="E927" s="8">
        <v>45245</v>
      </c>
      <c r="F927" s="4" t="s">
        <v>840</v>
      </c>
      <c r="G927" s="16" t="s">
        <v>44</v>
      </c>
      <c r="H927" s="4" t="s">
        <v>45</v>
      </c>
      <c r="I927" s="4" t="s">
        <v>670</v>
      </c>
      <c r="J927" s="10">
        <v>5.7379999999999995</v>
      </c>
      <c r="K927" s="10">
        <v>5.7380000000000004</v>
      </c>
      <c r="L927" s="10">
        <f t="shared" si="89"/>
        <v>0</v>
      </c>
      <c r="M927" s="10">
        <f t="shared" si="91"/>
        <v>0</v>
      </c>
      <c r="N927" s="10"/>
      <c r="O927" s="10"/>
      <c r="P927" s="10">
        <v>0</v>
      </c>
      <c r="Q927" s="10"/>
      <c r="R927" s="10"/>
      <c r="S927" s="10"/>
      <c r="T927" s="10"/>
      <c r="U927" s="10"/>
      <c r="V927" s="4" t="s">
        <v>841</v>
      </c>
      <c r="W927" s="4"/>
      <c r="X927" s="8">
        <v>45233</v>
      </c>
      <c r="Y927" s="4"/>
      <c r="Z927" s="4"/>
      <c r="AA927" s="8"/>
      <c r="AB927" s="8"/>
      <c r="AC927" s="4"/>
      <c r="AD927" s="4"/>
    </row>
    <row r="928" spans="1:30" hidden="1">
      <c r="A928" s="4">
        <v>1022</v>
      </c>
      <c r="B928" s="8">
        <v>45227</v>
      </c>
      <c r="C928" s="4"/>
      <c r="D928" s="4" t="s">
        <v>42</v>
      </c>
      <c r="E928" s="8">
        <v>45245</v>
      </c>
      <c r="F928" s="4" t="s">
        <v>840</v>
      </c>
      <c r="G928" s="16" t="s">
        <v>44</v>
      </c>
      <c r="H928" s="4" t="s">
        <v>45</v>
      </c>
      <c r="I928" s="4" t="s">
        <v>447</v>
      </c>
      <c r="J928" s="10">
        <v>34.908740999999992</v>
      </c>
      <c r="K928" s="10">
        <f>5.24+8.771+6.531+5.879+0.64+7.856</f>
        <v>34.917000000000002</v>
      </c>
      <c r="L928" s="10">
        <f t="shared" si="89"/>
        <v>0</v>
      </c>
      <c r="M928" s="10">
        <f t="shared" si="91"/>
        <v>0</v>
      </c>
      <c r="N928" s="10"/>
      <c r="O928" s="10"/>
      <c r="P928" s="10">
        <v>0</v>
      </c>
      <c r="Q928" s="10"/>
      <c r="R928" s="10"/>
      <c r="S928" s="10"/>
      <c r="T928" s="10"/>
      <c r="U928" s="10"/>
      <c r="V928" s="4" t="s">
        <v>841</v>
      </c>
      <c r="W928" s="4" t="s">
        <v>37</v>
      </c>
      <c r="X928" s="8">
        <v>45233</v>
      </c>
      <c r="Y928" s="4"/>
      <c r="Z928" s="4"/>
      <c r="AA928" s="8"/>
      <c r="AB928" s="8">
        <v>45264</v>
      </c>
      <c r="AC928" s="4"/>
      <c r="AD928" s="4"/>
    </row>
    <row r="929" spans="1:30" hidden="1">
      <c r="A929" s="4">
        <v>1022</v>
      </c>
      <c r="B929" s="8">
        <v>45227</v>
      </c>
      <c r="C929" s="4"/>
      <c r="D929" s="4" t="s">
        <v>42</v>
      </c>
      <c r="E929" s="8">
        <v>45245</v>
      </c>
      <c r="F929" s="4" t="s">
        <v>840</v>
      </c>
      <c r="G929" s="16" t="s">
        <v>44</v>
      </c>
      <c r="H929" s="4" t="s">
        <v>45</v>
      </c>
      <c r="I929" s="4" t="s">
        <v>518</v>
      </c>
      <c r="J929" s="10">
        <f>44.402368+0.507</f>
        <v>44.909368000000001</v>
      </c>
      <c r="K929" s="10">
        <f>17.335+5.14+2.515+8.947+5.117+5.347+0.507</f>
        <v>44.907999999999994</v>
      </c>
      <c r="L929" s="10">
        <f t="shared" si="89"/>
        <v>0</v>
      </c>
      <c r="M929" s="10">
        <f t="shared" si="91"/>
        <v>0</v>
      </c>
      <c r="N929" s="10"/>
      <c r="O929" s="10"/>
      <c r="P929" s="10">
        <v>0</v>
      </c>
      <c r="Q929" s="10"/>
      <c r="R929" s="10"/>
      <c r="S929" s="10"/>
      <c r="T929" s="10"/>
      <c r="U929" s="10"/>
      <c r="V929" s="4" t="s">
        <v>841</v>
      </c>
      <c r="W929" s="4" t="s">
        <v>37</v>
      </c>
      <c r="X929" s="8">
        <v>45233</v>
      </c>
      <c r="Y929" s="4"/>
      <c r="Z929" s="4"/>
      <c r="AA929" s="8"/>
      <c r="AB929" s="8">
        <v>45264</v>
      </c>
      <c r="AC929" s="4"/>
      <c r="AD929" s="4"/>
    </row>
    <row r="930" spans="1:30" hidden="1">
      <c r="A930" s="4">
        <v>1022</v>
      </c>
      <c r="B930" s="8">
        <v>45227</v>
      </c>
      <c r="C930" s="4"/>
      <c r="D930" s="4" t="s">
        <v>42</v>
      </c>
      <c r="E930" s="8">
        <v>45245</v>
      </c>
      <c r="F930" s="4" t="s">
        <v>840</v>
      </c>
      <c r="G930" s="16" t="s">
        <v>44</v>
      </c>
      <c r="H930" s="4" t="s">
        <v>45</v>
      </c>
      <c r="I930" s="4" t="s">
        <v>472</v>
      </c>
      <c r="J930" s="10">
        <f>82.45907+0.51</f>
        <v>82.969070000000002</v>
      </c>
      <c r="K930" s="10">
        <f>31.438+32.967+3.119+11.258+3.823+0.449</f>
        <v>83.053999999999988</v>
      </c>
      <c r="L930" s="10">
        <f t="shared" si="89"/>
        <v>0</v>
      </c>
      <c r="M930" s="10">
        <f t="shared" si="91"/>
        <v>0</v>
      </c>
      <c r="N930" s="10"/>
      <c r="O930" s="10"/>
      <c r="P930" s="10">
        <v>0</v>
      </c>
      <c r="Q930" s="10"/>
      <c r="R930" s="10"/>
      <c r="S930" s="10"/>
      <c r="T930" s="10"/>
      <c r="U930" s="10"/>
      <c r="V930" s="4" t="s">
        <v>841</v>
      </c>
      <c r="W930" s="4" t="s">
        <v>1382</v>
      </c>
      <c r="X930" s="8">
        <v>45251</v>
      </c>
      <c r="Y930" s="4"/>
      <c r="Z930" s="4"/>
      <c r="AA930" s="8"/>
      <c r="AB930" s="8"/>
      <c r="AC930" s="4"/>
      <c r="AD930" s="4"/>
    </row>
    <row r="931" spans="1:30" hidden="1">
      <c r="A931" s="4">
        <v>1022</v>
      </c>
      <c r="B931" s="8">
        <v>45227</v>
      </c>
      <c r="C931" s="4"/>
      <c r="D931" s="4" t="s">
        <v>42</v>
      </c>
      <c r="E931" s="8">
        <v>45245</v>
      </c>
      <c r="F931" s="4" t="s">
        <v>840</v>
      </c>
      <c r="G931" s="16" t="s">
        <v>44</v>
      </c>
      <c r="H931" s="4" t="s">
        <v>45</v>
      </c>
      <c r="I931" s="4" t="s">
        <v>473</v>
      </c>
      <c r="J931" s="10">
        <v>48.805471994459829</v>
      </c>
      <c r="K931" s="10">
        <f>32.134+13.435+3.329</f>
        <v>48.898000000000003</v>
      </c>
      <c r="L931" s="10">
        <f t="shared" si="89"/>
        <v>0</v>
      </c>
      <c r="M931" s="10">
        <f t="shared" si="91"/>
        <v>0</v>
      </c>
      <c r="N931" s="10"/>
      <c r="O931" s="10"/>
      <c r="P931" s="10">
        <v>0</v>
      </c>
      <c r="Q931" s="10"/>
      <c r="R931" s="10"/>
      <c r="S931" s="10"/>
      <c r="T931" s="10"/>
      <c r="U931" s="10"/>
      <c r="V931" s="4" t="s">
        <v>841</v>
      </c>
      <c r="W931" s="4"/>
      <c r="X931" s="8">
        <v>45226</v>
      </c>
      <c r="Y931" s="4"/>
      <c r="Z931" s="4"/>
      <c r="AA931" s="8"/>
      <c r="AB931" s="8"/>
      <c r="AC931" s="4"/>
      <c r="AD931" s="4"/>
    </row>
    <row r="932" spans="1:30" hidden="1">
      <c r="A932" s="4">
        <v>1022</v>
      </c>
      <c r="B932" s="8">
        <v>45227</v>
      </c>
      <c r="C932" s="4"/>
      <c r="D932" s="4" t="s">
        <v>42</v>
      </c>
      <c r="E932" s="8">
        <v>45245</v>
      </c>
      <c r="F932" s="4" t="s">
        <v>840</v>
      </c>
      <c r="G932" s="16" t="s">
        <v>44</v>
      </c>
      <c r="H932" s="4" t="s">
        <v>45</v>
      </c>
      <c r="I932" s="4" t="s">
        <v>237</v>
      </c>
      <c r="J932" s="10">
        <v>58.748581000000001</v>
      </c>
      <c r="K932" s="10">
        <f>29.535+28.626+0.625</f>
        <v>58.786000000000001</v>
      </c>
      <c r="L932" s="10">
        <f t="shared" si="89"/>
        <v>0</v>
      </c>
      <c r="M932" s="10">
        <f t="shared" si="91"/>
        <v>0</v>
      </c>
      <c r="N932" s="10"/>
      <c r="O932" s="10"/>
      <c r="P932" s="10">
        <v>0</v>
      </c>
      <c r="Q932" s="10"/>
      <c r="R932" s="10"/>
      <c r="S932" s="10"/>
      <c r="T932" s="10"/>
      <c r="U932" s="10"/>
      <c r="V932" s="4" t="s">
        <v>841</v>
      </c>
      <c r="W932" s="4"/>
      <c r="X932" s="8"/>
      <c r="Y932" s="4"/>
      <c r="Z932" s="4"/>
      <c r="AA932" s="8"/>
      <c r="AB932" s="8"/>
      <c r="AC932" s="4"/>
      <c r="AD932" s="4"/>
    </row>
    <row r="933" spans="1:30" hidden="1">
      <c r="A933" s="4">
        <v>1022</v>
      </c>
      <c r="B933" s="8">
        <v>45227</v>
      </c>
      <c r="C933" s="4"/>
      <c r="D933" s="4" t="s">
        <v>42</v>
      </c>
      <c r="E933" s="8">
        <v>45245</v>
      </c>
      <c r="F933" s="4" t="s">
        <v>840</v>
      </c>
      <c r="G933" s="16" t="s">
        <v>44</v>
      </c>
      <c r="H933" s="4" t="s">
        <v>45</v>
      </c>
      <c r="I933" s="4" t="s">
        <v>235</v>
      </c>
      <c r="J933" s="10">
        <v>46.866640000000011</v>
      </c>
      <c r="K933" s="10">
        <f>21.769+3.161+16.044+4.657+1.27</f>
        <v>46.901000000000003</v>
      </c>
      <c r="L933" s="10">
        <f t="shared" si="89"/>
        <v>0</v>
      </c>
      <c r="M933" s="10">
        <f t="shared" si="91"/>
        <v>0</v>
      </c>
      <c r="N933" s="10"/>
      <c r="O933" s="10"/>
      <c r="P933" s="10">
        <v>0</v>
      </c>
      <c r="Q933" s="10"/>
      <c r="R933" s="10"/>
      <c r="S933" s="10"/>
      <c r="T933" s="10"/>
      <c r="U933" s="10"/>
      <c r="V933" s="4" t="s">
        <v>841</v>
      </c>
      <c r="W933" s="4"/>
      <c r="X933" s="8">
        <v>45249</v>
      </c>
      <c r="Y933" s="4"/>
      <c r="Z933" s="4"/>
      <c r="AA933" s="8"/>
      <c r="AB933" s="8"/>
      <c r="AC933" s="4"/>
      <c r="AD933" s="4"/>
    </row>
    <row r="934" spans="1:30" hidden="1">
      <c r="A934" s="4">
        <v>1022</v>
      </c>
      <c r="B934" s="8">
        <v>45227</v>
      </c>
      <c r="C934" s="4"/>
      <c r="D934" s="4" t="s">
        <v>42</v>
      </c>
      <c r="E934" s="8">
        <v>45245</v>
      </c>
      <c r="F934" s="4" t="s">
        <v>840</v>
      </c>
      <c r="G934" s="16" t="s">
        <v>44</v>
      </c>
      <c r="H934" s="4" t="s">
        <v>45</v>
      </c>
      <c r="I934" s="4" t="s">
        <v>246</v>
      </c>
      <c r="J934" s="10">
        <v>43.61756299999999</v>
      </c>
      <c r="K934" s="10">
        <f>18.496+17.931+4.977+2.594</f>
        <v>43.997999999999998</v>
      </c>
      <c r="L934" s="10">
        <f t="shared" si="89"/>
        <v>0</v>
      </c>
      <c r="M934" s="10">
        <f t="shared" si="91"/>
        <v>0</v>
      </c>
      <c r="N934" s="10"/>
      <c r="O934" s="10"/>
      <c r="P934" s="10">
        <v>0</v>
      </c>
      <c r="Q934" s="10"/>
      <c r="R934" s="10"/>
      <c r="S934" s="10"/>
      <c r="T934" s="10"/>
      <c r="U934" s="10"/>
      <c r="V934" s="4" t="s">
        <v>841</v>
      </c>
      <c r="W934" s="4"/>
      <c r="X934" s="8">
        <v>45239</v>
      </c>
      <c r="Y934" s="4"/>
      <c r="Z934" s="4"/>
      <c r="AA934" s="8"/>
      <c r="AB934" s="8"/>
      <c r="AC934" s="4"/>
      <c r="AD934" s="4"/>
    </row>
    <row r="935" spans="1:30" hidden="1">
      <c r="A935" s="4">
        <v>1022</v>
      </c>
      <c r="B935" s="8">
        <v>45227</v>
      </c>
      <c r="C935" s="4"/>
      <c r="D935" s="4" t="s">
        <v>42</v>
      </c>
      <c r="E935" s="8">
        <v>45245</v>
      </c>
      <c r="F935" s="4" t="s">
        <v>840</v>
      </c>
      <c r="G935" s="16" t="s">
        <v>44</v>
      </c>
      <c r="H935" s="4" t="s">
        <v>45</v>
      </c>
      <c r="I935" s="4" t="s">
        <v>100</v>
      </c>
      <c r="J935" s="10">
        <v>110.6456</v>
      </c>
      <c r="K935" s="10">
        <f>21.098+31.292+32.02+8.532+12.427+1.969+3.237+0.25</f>
        <v>110.82499999999999</v>
      </c>
      <c r="L935" s="10">
        <f t="shared" si="89"/>
        <v>0</v>
      </c>
      <c r="M935" s="10">
        <f t="shared" si="91"/>
        <v>0</v>
      </c>
      <c r="N935" s="10"/>
      <c r="O935" s="10"/>
      <c r="P935" s="10"/>
      <c r="Q935" s="10"/>
      <c r="R935" s="10"/>
      <c r="S935" s="10"/>
      <c r="T935" s="10"/>
      <c r="U935" s="10"/>
      <c r="V935" s="4" t="s">
        <v>841</v>
      </c>
      <c r="W935" s="4"/>
      <c r="X935" s="8">
        <v>45240</v>
      </c>
      <c r="Y935" s="4"/>
      <c r="Z935" s="4"/>
      <c r="AA935" s="8"/>
      <c r="AB935" s="8"/>
      <c r="AC935" s="4"/>
      <c r="AD935" s="4"/>
    </row>
    <row r="936" spans="1:30" hidden="1">
      <c r="A936" s="4">
        <v>1022</v>
      </c>
      <c r="B936" s="8">
        <v>45227</v>
      </c>
      <c r="C936" s="4"/>
      <c r="D936" s="4" t="s">
        <v>42</v>
      </c>
      <c r="E936" s="8">
        <v>45245</v>
      </c>
      <c r="F936" s="4" t="s">
        <v>840</v>
      </c>
      <c r="G936" s="16" t="s">
        <v>44</v>
      </c>
      <c r="H936" s="4" t="s">
        <v>45</v>
      </c>
      <c r="I936" s="4" t="s">
        <v>96</v>
      </c>
      <c r="J936" s="10">
        <v>21.995368000000003</v>
      </c>
      <c r="K936" s="10">
        <f>5.659+7.663+7.578+1.093</f>
        <v>21.992999999999999</v>
      </c>
      <c r="L936" s="10">
        <f t="shared" si="89"/>
        <v>0</v>
      </c>
      <c r="M936" s="10">
        <f t="shared" si="91"/>
        <v>0</v>
      </c>
      <c r="N936" s="10"/>
      <c r="O936" s="10"/>
      <c r="P936" s="10">
        <v>0</v>
      </c>
      <c r="Q936" s="10"/>
      <c r="R936" s="10"/>
      <c r="S936" s="10"/>
      <c r="T936" s="10"/>
      <c r="U936" s="10"/>
      <c r="V936" s="4" t="s">
        <v>841</v>
      </c>
      <c r="W936" s="4"/>
      <c r="X936" s="8">
        <v>45240</v>
      </c>
      <c r="Y936" s="4"/>
      <c r="Z936" s="4"/>
      <c r="AA936" s="8"/>
      <c r="AB936" s="8">
        <v>45264</v>
      </c>
      <c r="AC936" s="4"/>
      <c r="AD936" s="4"/>
    </row>
    <row r="937" spans="1:30" hidden="1">
      <c r="A937" s="4">
        <v>1022</v>
      </c>
      <c r="B937" s="8">
        <v>45227</v>
      </c>
      <c r="C937" s="4"/>
      <c r="D937" s="4" t="s">
        <v>42</v>
      </c>
      <c r="E937" s="8">
        <v>45245</v>
      </c>
      <c r="F937" s="4" t="s">
        <v>840</v>
      </c>
      <c r="G937" s="16" t="s">
        <v>51</v>
      </c>
      <c r="H937" s="4" t="s">
        <v>52</v>
      </c>
      <c r="I937" s="4" t="s">
        <v>54</v>
      </c>
      <c r="J937" s="10">
        <v>1.4445600000000001</v>
      </c>
      <c r="K937" s="10">
        <v>1.4450000000000001</v>
      </c>
      <c r="L937" s="10">
        <f t="shared" si="89"/>
        <v>0</v>
      </c>
      <c r="M937" s="10">
        <f t="shared" si="91"/>
        <v>0</v>
      </c>
      <c r="N937" s="10"/>
      <c r="O937" s="10"/>
      <c r="P937" s="10">
        <v>0</v>
      </c>
      <c r="Q937" s="10"/>
      <c r="R937" s="10"/>
      <c r="S937" s="10"/>
      <c r="T937" s="10"/>
      <c r="U937" s="10"/>
      <c r="V937" s="4" t="s">
        <v>841</v>
      </c>
      <c r="W937" s="4"/>
      <c r="X937" s="8">
        <v>45237</v>
      </c>
      <c r="Y937" s="4"/>
      <c r="Z937" s="4"/>
      <c r="AA937" s="8"/>
      <c r="AB937" s="8"/>
      <c r="AC937" s="4"/>
      <c r="AD937" s="4"/>
    </row>
    <row r="938" spans="1:30" hidden="1">
      <c r="A938" s="4">
        <v>1022</v>
      </c>
      <c r="B938" s="8">
        <v>45227</v>
      </c>
      <c r="C938" s="4"/>
      <c r="D938" s="4" t="s">
        <v>42</v>
      </c>
      <c r="E938" s="8">
        <v>45245</v>
      </c>
      <c r="F938" s="4" t="s">
        <v>840</v>
      </c>
      <c r="G938" s="16" t="s">
        <v>51</v>
      </c>
      <c r="H938" s="4" t="s">
        <v>52</v>
      </c>
      <c r="I938" s="4" t="s">
        <v>472</v>
      </c>
      <c r="J938" s="10">
        <v>1.3109440000000001</v>
      </c>
      <c r="K938" s="10">
        <v>1.857</v>
      </c>
      <c r="L938" s="10">
        <f t="shared" si="89"/>
        <v>0</v>
      </c>
      <c r="M938" s="10">
        <f t="shared" si="91"/>
        <v>0</v>
      </c>
      <c r="N938" s="10"/>
      <c r="O938" s="10"/>
      <c r="P938" s="10">
        <v>0</v>
      </c>
      <c r="Q938" s="10"/>
      <c r="R938" s="10"/>
      <c r="S938" s="10"/>
      <c r="T938" s="10"/>
      <c r="U938" s="10"/>
      <c r="V938" s="4" t="s">
        <v>841</v>
      </c>
      <c r="W938" s="4"/>
      <c r="X938" s="8">
        <v>45251</v>
      </c>
      <c r="Y938" s="4"/>
      <c r="Z938" s="4"/>
      <c r="AA938" s="8"/>
      <c r="AB938" s="8">
        <v>45271</v>
      </c>
      <c r="AC938" s="4"/>
      <c r="AD938" s="4"/>
    </row>
    <row r="939" spans="1:30" hidden="1">
      <c r="A939" s="4">
        <v>1022</v>
      </c>
      <c r="B939" s="8">
        <v>45227</v>
      </c>
      <c r="C939" s="4"/>
      <c r="D939" s="4" t="s">
        <v>42</v>
      </c>
      <c r="E939" s="8">
        <v>45245</v>
      </c>
      <c r="F939" s="4" t="s">
        <v>840</v>
      </c>
      <c r="G939" s="16" t="s">
        <v>51</v>
      </c>
      <c r="H939" s="4" t="s">
        <v>52</v>
      </c>
      <c r="I939" s="4" t="s">
        <v>237</v>
      </c>
      <c r="J939" s="10">
        <v>1.064325</v>
      </c>
      <c r="K939" s="10">
        <v>1.052</v>
      </c>
      <c r="L939" s="10">
        <f t="shared" si="89"/>
        <v>0</v>
      </c>
      <c r="M939" s="10">
        <f t="shared" si="91"/>
        <v>0</v>
      </c>
      <c r="N939" s="10"/>
      <c r="O939" s="10"/>
      <c r="P939" s="10">
        <v>0</v>
      </c>
      <c r="Q939" s="10"/>
      <c r="R939" s="10"/>
      <c r="S939" s="10"/>
      <c r="T939" s="10"/>
      <c r="U939" s="10"/>
      <c r="V939" s="4" t="s">
        <v>841</v>
      </c>
      <c r="W939" s="4"/>
      <c r="X939" s="8">
        <v>45250</v>
      </c>
      <c r="Y939" s="4"/>
      <c r="Z939" s="4"/>
      <c r="AA939" s="8">
        <v>45270</v>
      </c>
      <c r="AB939" s="8">
        <v>45270</v>
      </c>
      <c r="AC939" s="4"/>
      <c r="AD939" s="4"/>
    </row>
    <row r="940" spans="1:30" hidden="1">
      <c r="A940" s="4">
        <v>1022</v>
      </c>
      <c r="B940" s="8">
        <v>45227</v>
      </c>
      <c r="C940" s="4"/>
      <c r="D940" s="4" t="s">
        <v>42</v>
      </c>
      <c r="E940" s="8">
        <v>45245</v>
      </c>
      <c r="F940" s="4" t="s">
        <v>840</v>
      </c>
      <c r="G940" s="16" t="s">
        <v>51</v>
      </c>
      <c r="H940" s="4" t="s">
        <v>52</v>
      </c>
      <c r="I940" s="4" t="s">
        <v>235</v>
      </c>
      <c r="J940" s="10">
        <v>0.36799999999999999</v>
      </c>
      <c r="K940" s="10">
        <v>0.36799999999999999</v>
      </c>
      <c r="L940" s="10">
        <f t="shared" si="89"/>
        <v>0</v>
      </c>
      <c r="M940" s="10">
        <f t="shared" si="91"/>
        <v>0</v>
      </c>
      <c r="N940" s="10"/>
      <c r="O940" s="10"/>
      <c r="P940" s="10">
        <v>0</v>
      </c>
      <c r="Q940" s="10"/>
      <c r="R940" s="10"/>
      <c r="S940" s="10"/>
      <c r="T940" s="10"/>
      <c r="U940" s="10"/>
      <c r="V940" s="4" t="s">
        <v>841</v>
      </c>
      <c r="W940" s="4"/>
      <c r="X940" s="8">
        <v>45250</v>
      </c>
      <c r="Y940" s="4"/>
      <c r="Z940" s="4"/>
      <c r="AA940" s="8">
        <v>45270</v>
      </c>
      <c r="AB940" s="8">
        <v>45270</v>
      </c>
      <c r="AC940" s="4"/>
      <c r="AD940" s="4"/>
    </row>
    <row r="941" spans="1:30" hidden="1">
      <c r="A941" s="4">
        <v>1022</v>
      </c>
      <c r="B941" s="8">
        <v>45227</v>
      </c>
      <c r="C941" s="4"/>
      <c r="D941" s="4" t="s">
        <v>42</v>
      </c>
      <c r="E941" s="8">
        <v>45245</v>
      </c>
      <c r="F941" s="4" t="s">
        <v>840</v>
      </c>
      <c r="G941" s="16" t="s">
        <v>51</v>
      </c>
      <c r="H941" s="4" t="s">
        <v>52</v>
      </c>
      <c r="I941" s="4" t="s">
        <v>246</v>
      </c>
      <c r="J941" s="10">
        <v>0.52900000000000003</v>
      </c>
      <c r="K941" s="10">
        <v>0.56200000000000006</v>
      </c>
      <c r="L941" s="10">
        <f t="shared" si="89"/>
        <v>0</v>
      </c>
      <c r="M941" s="10">
        <f t="shared" si="91"/>
        <v>0</v>
      </c>
      <c r="N941" s="10"/>
      <c r="O941" s="10"/>
      <c r="P941" s="10">
        <v>0</v>
      </c>
      <c r="Q941" s="10"/>
      <c r="R941" s="10"/>
      <c r="S941" s="10"/>
      <c r="T941" s="10"/>
      <c r="U941" s="10"/>
      <c r="V941" s="4" t="s">
        <v>841</v>
      </c>
      <c r="W941" s="4" t="s">
        <v>521</v>
      </c>
      <c r="X941" s="8">
        <v>45240</v>
      </c>
      <c r="Y941" s="4"/>
      <c r="Z941" s="4"/>
      <c r="AA941" s="8"/>
      <c r="AB941" s="8">
        <v>45264</v>
      </c>
      <c r="AC941" s="4"/>
      <c r="AD941" s="4"/>
    </row>
    <row r="942" spans="1:30" hidden="1">
      <c r="A942" s="4">
        <v>1022</v>
      </c>
      <c r="B942" s="8">
        <v>45227</v>
      </c>
      <c r="C942" s="4"/>
      <c r="D942" s="4" t="s">
        <v>42</v>
      </c>
      <c r="E942" s="8">
        <v>45245</v>
      </c>
      <c r="F942" s="4" t="s">
        <v>840</v>
      </c>
      <c r="G942" s="16" t="s">
        <v>51</v>
      </c>
      <c r="H942" s="4" t="s">
        <v>52</v>
      </c>
      <c r="I942" s="4" t="s">
        <v>100</v>
      </c>
      <c r="J942" s="10">
        <v>0.49919999999999998</v>
      </c>
      <c r="K942" s="10">
        <v>0.499</v>
      </c>
      <c r="L942" s="10">
        <f t="shared" si="89"/>
        <v>0</v>
      </c>
      <c r="M942" s="10">
        <f t="shared" si="91"/>
        <v>0</v>
      </c>
      <c r="N942" s="10"/>
      <c r="O942" s="10"/>
      <c r="P942" s="10">
        <v>0</v>
      </c>
      <c r="Q942" s="10"/>
      <c r="R942" s="10"/>
      <c r="S942" s="10"/>
      <c r="T942" s="10"/>
      <c r="U942" s="10"/>
      <c r="V942" s="4" t="s">
        <v>841</v>
      </c>
      <c r="W942" s="4"/>
      <c r="X942" s="8">
        <v>45240</v>
      </c>
      <c r="Y942" s="4"/>
      <c r="Z942" s="4"/>
      <c r="AA942" s="8"/>
      <c r="AB942" s="8">
        <v>45264</v>
      </c>
      <c r="AC942" s="4"/>
      <c r="AD942" s="4"/>
    </row>
    <row r="943" spans="1:30" hidden="1">
      <c r="A943" s="4">
        <v>1022</v>
      </c>
      <c r="B943" s="8">
        <v>45227</v>
      </c>
      <c r="C943" s="4"/>
      <c r="D943" s="4" t="s">
        <v>42</v>
      </c>
      <c r="E943" s="8">
        <v>45245</v>
      </c>
      <c r="F943" s="4" t="s">
        <v>840</v>
      </c>
      <c r="G943" s="16" t="s">
        <v>51</v>
      </c>
      <c r="H943" s="4" t="s">
        <v>52</v>
      </c>
      <c r="I943" s="4" t="s">
        <v>96</v>
      </c>
      <c r="J943" s="10">
        <v>0.51894000000000007</v>
      </c>
      <c r="K943" s="10">
        <v>0.51900000000000002</v>
      </c>
      <c r="L943" s="10">
        <f t="shared" si="89"/>
        <v>0</v>
      </c>
      <c r="M943" s="10">
        <f t="shared" si="91"/>
        <v>0</v>
      </c>
      <c r="N943" s="10"/>
      <c r="O943" s="10"/>
      <c r="P943" s="10">
        <v>0</v>
      </c>
      <c r="Q943" s="10"/>
      <c r="R943" s="10"/>
      <c r="S943" s="10"/>
      <c r="T943" s="10"/>
      <c r="U943" s="10"/>
      <c r="V943" s="4" t="s">
        <v>841</v>
      </c>
      <c r="W943" s="4"/>
      <c r="X943" s="8">
        <v>45240</v>
      </c>
      <c r="Y943" s="4"/>
      <c r="Z943" s="4"/>
      <c r="AA943" s="8"/>
      <c r="AB943" s="8"/>
      <c r="AC943" s="4"/>
      <c r="AD943" s="4"/>
    </row>
    <row r="944" spans="1:30">
      <c r="A944" s="4">
        <v>1045</v>
      </c>
      <c r="B944" s="8">
        <v>45231</v>
      </c>
      <c r="C944" s="4"/>
      <c r="D944" s="4" t="s">
        <v>42</v>
      </c>
      <c r="E944" s="8">
        <v>45237</v>
      </c>
      <c r="F944" s="4" t="s">
        <v>43</v>
      </c>
      <c r="G944" s="40" t="s">
        <v>60</v>
      </c>
      <c r="H944" s="4" t="s">
        <v>45</v>
      </c>
      <c r="I944" s="4" t="s">
        <v>48</v>
      </c>
      <c r="J944" s="10">
        <v>1.7567999999999999</v>
      </c>
      <c r="K944" s="10"/>
      <c r="L944" s="10">
        <f t="shared" si="89"/>
        <v>1.7567999999999999</v>
      </c>
      <c r="M944" s="10">
        <f t="shared" ref="M944:M1006" si="92">SUM(N944:T944)</f>
        <v>1.7567999999999999</v>
      </c>
      <c r="N944" s="10"/>
      <c r="O944" s="10"/>
      <c r="P944" s="10">
        <v>1.7567999999999999</v>
      </c>
      <c r="Q944" s="10"/>
      <c r="R944" s="10"/>
      <c r="S944" s="10"/>
      <c r="T944" s="10"/>
      <c r="U944" s="10"/>
      <c r="V944" s="4" t="s">
        <v>1278</v>
      </c>
      <c r="W944" s="4"/>
      <c r="X944" s="8">
        <v>45236</v>
      </c>
      <c r="Y944" s="4"/>
      <c r="Z944" s="4"/>
      <c r="AA944" s="8"/>
      <c r="AB944" s="8"/>
      <c r="AC944" s="4"/>
      <c r="AD944" s="4"/>
    </row>
    <row r="945" spans="1:30">
      <c r="A945" s="4">
        <v>1045</v>
      </c>
      <c r="B945" s="8">
        <v>45231</v>
      </c>
      <c r="C945" s="4"/>
      <c r="D945" s="4" t="s">
        <v>42</v>
      </c>
      <c r="E945" s="8">
        <v>45237</v>
      </c>
      <c r="F945" s="4" t="s">
        <v>43</v>
      </c>
      <c r="G945" s="40" t="s">
        <v>60</v>
      </c>
      <c r="H945" s="4" t="s">
        <v>45</v>
      </c>
      <c r="I945" s="4" t="s">
        <v>50</v>
      </c>
      <c r="J945" s="10">
        <v>1.5875999999999999</v>
      </c>
      <c r="K945" s="10"/>
      <c r="L945" s="10">
        <f t="shared" si="89"/>
        <v>1.5875999999999999</v>
      </c>
      <c r="M945" s="10">
        <f t="shared" si="92"/>
        <v>1.5875999999999999</v>
      </c>
      <c r="N945" s="10"/>
      <c r="O945" s="10"/>
      <c r="P945" s="10">
        <v>1.5875999999999999</v>
      </c>
      <c r="Q945" s="10"/>
      <c r="R945" s="10"/>
      <c r="S945" s="10"/>
      <c r="T945" s="10"/>
      <c r="U945" s="10"/>
      <c r="V945" s="4" t="s">
        <v>1278</v>
      </c>
      <c r="W945" s="4"/>
      <c r="X945" s="8"/>
      <c r="Y945" s="4"/>
      <c r="Z945" s="4"/>
      <c r="AA945" s="8"/>
      <c r="AB945" s="8"/>
      <c r="AC945" s="4"/>
      <c r="AD945" s="4"/>
    </row>
    <row r="946" spans="1:30">
      <c r="A946" s="4">
        <v>1045</v>
      </c>
      <c r="B946" s="8">
        <v>45231</v>
      </c>
      <c r="C946" s="4"/>
      <c r="D946" s="4" t="s">
        <v>42</v>
      </c>
      <c r="E946" s="8">
        <v>45237</v>
      </c>
      <c r="F946" s="4" t="s">
        <v>43</v>
      </c>
      <c r="G946" s="40" t="s">
        <v>60</v>
      </c>
      <c r="H946" s="4" t="s">
        <v>45</v>
      </c>
      <c r="I946" s="4" t="s">
        <v>474</v>
      </c>
      <c r="J946" s="10">
        <v>0.37019999999999997</v>
      </c>
      <c r="K946" s="10"/>
      <c r="L946" s="10">
        <f t="shared" si="89"/>
        <v>0.37019999999999997</v>
      </c>
      <c r="M946" s="10">
        <f t="shared" si="92"/>
        <v>0.37019999999999997</v>
      </c>
      <c r="N946" s="10"/>
      <c r="O946" s="10"/>
      <c r="P946" s="10">
        <v>0.37019999999999997</v>
      </c>
      <c r="Q946" s="10"/>
      <c r="R946" s="10"/>
      <c r="S946" s="10"/>
      <c r="T946" s="10"/>
      <c r="U946" s="10"/>
      <c r="V946" s="4" t="s">
        <v>1292</v>
      </c>
      <c r="W946" s="4"/>
      <c r="X946" s="8">
        <v>45267</v>
      </c>
      <c r="Y946" s="4"/>
      <c r="Z946" s="4"/>
      <c r="AA946" s="8"/>
      <c r="AB946" s="8"/>
      <c r="AC946" s="4"/>
      <c r="AD946" s="4"/>
    </row>
    <row r="947" spans="1:30">
      <c r="A947" s="4">
        <v>1045</v>
      </c>
      <c r="B947" s="8">
        <v>45231</v>
      </c>
      <c r="C947" s="4"/>
      <c r="D947" s="4" t="s">
        <v>42</v>
      </c>
      <c r="E947" s="8">
        <v>45237</v>
      </c>
      <c r="F947" s="4" t="s">
        <v>43</v>
      </c>
      <c r="G947" s="40" t="s">
        <v>60</v>
      </c>
      <c r="H947" s="4" t="s">
        <v>45</v>
      </c>
      <c r="I947" s="4" t="s">
        <v>235</v>
      </c>
      <c r="J947" s="10">
        <v>2.2900800000000001</v>
      </c>
      <c r="K947" s="10"/>
      <c r="L947" s="10">
        <f t="shared" si="89"/>
        <v>2.2900800000000001</v>
      </c>
      <c r="M947" s="10">
        <f t="shared" si="92"/>
        <v>2.2900800000000001</v>
      </c>
      <c r="N947" s="10"/>
      <c r="O947" s="10"/>
      <c r="P947" s="10">
        <v>2.2900800000000001</v>
      </c>
      <c r="Q947" s="10"/>
      <c r="R947" s="10"/>
      <c r="S947" s="10"/>
      <c r="T947" s="10"/>
      <c r="U947" s="10"/>
      <c r="V947" s="4" t="s">
        <v>1292</v>
      </c>
      <c r="W947" s="4"/>
      <c r="X947" s="8">
        <v>45267</v>
      </c>
      <c r="Y947" s="4"/>
      <c r="Z947" s="4"/>
      <c r="AA947" s="8"/>
      <c r="AB947" s="8"/>
      <c r="AC947" s="4"/>
      <c r="AD947" s="4"/>
    </row>
    <row r="948" spans="1:30">
      <c r="A948" s="4">
        <v>1045</v>
      </c>
      <c r="B948" s="8">
        <v>45231</v>
      </c>
      <c r="C948" s="4"/>
      <c r="D948" s="4" t="s">
        <v>42</v>
      </c>
      <c r="E948" s="8">
        <v>45237</v>
      </c>
      <c r="F948" s="4" t="s">
        <v>43</v>
      </c>
      <c r="G948" s="40" t="s">
        <v>60</v>
      </c>
      <c r="H948" s="4" t="s">
        <v>45</v>
      </c>
      <c r="I948" s="4" t="s">
        <v>100</v>
      </c>
      <c r="J948" s="10">
        <v>0.89639999999999997</v>
      </c>
      <c r="K948" s="10"/>
      <c r="L948" s="10">
        <f t="shared" si="89"/>
        <v>0.89639999999999997</v>
      </c>
      <c r="M948" s="10">
        <f t="shared" si="92"/>
        <v>0.89639999999999997</v>
      </c>
      <c r="N948" s="10"/>
      <c r="O948" s="10"/>
      <c r="P948" s="10">
        <v>0.89639999999999997</v>
      </c>
      <c r="Q948" s="10"/>
      <c r="R948" s="10"/>
      <c r="S948" s="10"/>
      <c r="T948" s="10"/>
      <c r="U948" s="10"/>
      <c r="V948" s="4" t="s">
        <v>1292</v>
      </c>
      <c r="W948" s="4"/>
      <c r="X948" s="8"/>
      <c r="Y948" s="4"/>
      <c r="Z948" s="4"/>
      <c r="AA948" s="8"/>
      <c r="AB948" s="8"/>
      <c r="AC948" s="4"/>
      <c r="AD948" s="4"/>
    </row>
    <row r="949" spans="1:30" hidden="1">
      <c r="A949" s="4">
        <v>1046</v>
      </c>
      <c r="B949" s="8">
        <v>45231</v>
      </c>
      <c r="C949" s="4"/>
      <c r="D949" s="4" t="s">
        <v>42</v>
      </c>
      <c r="E949" s="8">
        <v>45245</v>
      </c>
      <c r="F949" s="4" t="s">
        <v>43</v>
      </c>
      <c r="G949" s="15" t="s">
        <v>1021</v>
      </c>
      <c r="H949" s="4" t="s">
        <v>45</v>
      </c>
      <c r="I949" s="4" t="s">
        <v>54</v>
      </c>
      <c r="J949" s="10">
        <v>1.1510179999999999</v>
      </c>
      <c r="K949" s="10">
        <v>1.151</v>
      </c>
      <c r="L949" s="10">
        <f t="shared" si="89"/>
        <v>0</v>
      </c>
      <c r="M949" s="10">
        <f t="shared" si="92"/>
        <v>0</v>
      </c>
      <c r="N949" s="10"/>
      <c r="O949" s="10"/>
      <c r="P949" s="10">
        <v>0</v>
      </c>
      <c r="Q949" s="10"/>
      <c r="R949" s="10"/>
      <c r="S949" s="10"/>
      <c r="T949" s="10"/>
      <c r="U949" s="10"/>
      <c r="V949" s="4" t="s">
        <v>411</v>
      </c>
      <c r="W949" s="4"/>
      <c r="X949" s="8"/>
      <c r="Y949" s="4"/>
      <c r="Z949" s="4"/>
      <c r="AA949" s="8">
        <v>45236</v>
      </c>
      <c r="AB949" s="8">
        <v>45236</v>
      </c>
      <c r="AC949" s="4"/>
      <c r="AD949" s="4"/>
    </row>
    <row r="950" spans="1:30" hidden="1">
      <c r="A950" s="4">
        <v>1046</v>
      </c>
      <c r="B950" s="8">
        <v>45231</v>
      </c>
      <c r="C950" s="4"/>
      <c r="D950" s="4" t="s">
        <v>42</v>
      </c>
      <c r="E950" s="8">
        <v>45245</v>
      </c>
      <c r="F950" s="4" t="s">
        <v>43</v>
      </c>
      <c r="G950" s="15" t="s">
        <v>1021</v>
      </c>
      <c r="H950" s="4" t="s">
        <v>45</v>
      </c>
      <c r="I950" s="4" t="s">
        <v>56</v>
      </c>
      <c r="J950" s="10">
        <v>3.7450000000000001</v>
      </c>
      <c r="K950" s="10">
        <v>3.7450000000000001</v>
      </c>
      <c r="L950" s="10">
        <f t="shared" si="89"/>
        <v>0</v>
      </c>
      <c r="M950" s="10">
        <f t="shared" si="92"/>
        <v>0</v>
      </c>
      <c r="N950" s="10"/>
      <c r="O950" s="10"/>
      <c r="P950" s="10">
        <v>0</v>
      </c>
      <c r="Q950" s="10"/>
      <c r="R950" s="10"/>
      <c r="S950" s="10"/>
      <c r="T950" s="10"/>
      <c r="U950" s="10"/>
      <c r="V950" s="4" t="s">
        <v>411</v>
      </c>
      <c r="W950" s="4"/>
      <c r="X950" s="8"/>
      <c r="Y950" s="4"/>
      <c r="Z950" s="4"/>
      <c r="AA950" s="8">
        <v>45236</v>
      </c>
      <c r="AB950" s="8">
        <v>45236</v>
      </c>
      <c r="AC950" s="4"/>
      <c r="AD950" s="4"/>
    </row>
    <row r="951" spans="1:30" hidden="1">
      <c r="A951" s="4">
        <v>1046</v>
      </c>
      <c r="B951" s="8">
        <v>45231</v>
      </c>
      <c r="C951" s="4"/>
      <c r="D951" s="4" t="s">
        <v>42</v>
      </c>
      <c r="E951" s="8">
        <v>45245</v>
      </c>
      <c r="F951" s="4" t="s">
        <v>43</v>
      </c>
      <c r="G951" s="15" t="s">
        <v>1021</v>
      </c>
      <c r="H951" s="4" t="s">
        <v>45</v>
      </c>
      <c r="I951" s="4" t="s">
        <v>48</v>
      </c>
      <c r="J951" s="10">
        <v>3.0804999999999998</v>
      </c>
      <c r="K951" s="10">
        <v>3.1480000000000001</v>
      </c>
      <c r="L951" s="10">
        <f t="shared" si="89"/>
        <v>0</v>
      </c>
      <c r="M951" s="10">
        <f t="shared" si="92"/>
        <v>0</v>
      </c>
      <c r="N951" s="10"/>
      <c r="O951" s="10"/>
      <c r="P951" s="10">
        <v>0</v>
      </c>
      <c r="Q951" s="10"/>
      <c r="R951" s="10"/>
      <c r="S951" s="10"/>
      <c r="T951" s="10"/>
      <c r="U951" s="10"/>
      <c r="V951" s="4" t="s">
        <v>411</v>
      </c>
      <c r="W951" s="4"/>
      <c r="X951" s="8">
        <v>45236</v>
      </c>
      <c r="Y951" s="4"/>
      <c r="Z951" s="4"/>
      <c r="AA951" s="8"/>
      <c r="AB951" s="8"/>
      <c r="AC951" s="4"/>
      <c r="AD951" s="4"/>
    </row>
    <row r="952" spans="1:30" hidden="1">
      <c r="A952" s="4">
        <v>1046</v>
      </c>
      <c r="B952" s="8">
        <v>45231</v>
      </c>
      <c r="C952" s="4"/>
      <c r="D952" s="4" t="s">
        <v>42</v>
      </c>
      <c r="E952" s="8">
        <v>45245</v>
      </c>
      <c r="F952" s="4" t="s">
        <v>43</v>
      </c>
      <c r="G952" s="15" t="s">
        <v>1021</v>
      </c>
      <c r="H952" s="4" t="s">
        <v>45</v>
      </c>
      <c r="I952" s="4" t="s">
        <v>516</v>
      </c>
      <c r="J952" s="10">
        <v>0.71808000000000005</v>
      </c>
      <c r="K952" s="10">
        <v>0.71799999999999997</v>
      </c>
      <c r="L952" s="10">
        <f t="shared" si="89"/>
        <v>0</v>
      </c>
      <c r="M952" s="10">
        <f t="shared" si="92"/>
        <v>0</v>
      </c>
      <c r="N952" s="10"/>
      <c r="O952" s="10"/>
      <c r="P952" s="10"/>
      <c r="Q952" s="10"/>
      <c r="R952" s="10">
        <v>0</v>
      </c>
      <c r="S952" s="10"/>
      <c r="T952" s="10"/>
      <c r="U952" s="10"/>
      <c r="V952" s="4" t="s">
        <v>411</v>
      </c>
      <c r="W952" s="4" t="s">
        <v>521</v>
      </c>
      <c r="X952" s="8"/>
      <c r="Y952" s="4"/>
      <c r="Z952" s="4"/>
      <c r="AA952" s="8">
        <v>45240</v>
      </c>
      <c r="AB952" s="8">
        <v>45240</v>
      </c>
      <c r="AC952" s="4"/>
      <c r="AD952" s="4"/>
    </row>
    <row r="953" spans="1:30" hidden="1">
      <c r="A953" s="4">
        <v>1046</v>
      </c>
      <c r="B953" s="8">
        <v>45231</v>
      </c>
      <c r="C953" s="4"/>
      <c r="D953" s="4" t="s">
        <v>42</v>
      </c>
      <c r="E953" s="8">
        <v>45245</v>
      </c>
      <c r="F953" s="4" t="s">
        <v>43</v>
      </c>
      <c r="G953" s="15" t="s">
        <v>1021</v>
      </c>
      <c r="H953" s="4" t="s">
        <v>45</v>
      </c>
      <c r="I953" s="4" t="s">
        <v>46</v>
      </c>
      <c r="J953" s="10">
        <v>0.61103999999999992</v>
      </c>
      <c r="K953" s="10">
        <v>0.65500000000000003</v>
      </c>
      <c r="L953" s="10">
        <f t="shared" ref="L953:L1016" si="93">M953+U953</f>
        <v>0</v>
      </c>
      <c r="M953" s="10">
        <f t="shared" si="92"/>
        <v>0</v>
      </c>
      <c r="N953" s="10"/>
      <c r="O953" s="10"/>
      <c r="P953" s="10"/>
      <c r="Q953" s="10"/>
      <c r="R953" s="10">
        <v>0</v>
      </c>
      <c r="S953" s="10"/>
      <c r="T953" s="10"/>
      <c r="U953" s="10"/>
      <c r="V953" s="4" t="s">
        <v>411</v>
      </c>
      <c r="W953" s="4" t="s">
        <v>521</v>
      </c>
      <c r="X953" s="8"/>
      <c r="Y953" s="4"/>
      <c r="Z953" s="4"/>
      <c r="AA953" s="8">
        <v>45238</v>
      </c>
      <c r="AB953" s="8">
        <v>45238</v>
      </c>
      <c r="AC953" s="4"/>
      <c r="AD953" s="4"/>
    </row>
    <row r="954" spans="1:30" hidden="1">
      <c r="A954" s="4">
        <v>1046</v>
      </c>
      <c r="B954" s="8">
        <v>45231</v>
      </c>
      <c r="C954" s="4"/>
      <c r="D954" s="4" t="s">
        <v>42</v>
      </c>
      <c r="E954" s="8">
        <v>45245</v>
      </c>
      <c r="F954" s="4" t="s">
        <v>43</v>
      </c>
      <c r="G954" s="15" t="s">
        <v>1021</v>
      </c>
      <c r="H954" s="4" t="s">
        <v>45</v>
      </c>
      <c r="I954" s="4" t="s">
        <v>49</v>
      </c>
      <c r="J954" s="10">
        <v>0.43679999999999997</v>
      </c>
      <c r="K954" s="10">
        <v>0.53</v>
      </c>
      <c r="L954" s="10">
        <f t="shared" si="93"/>
        <v>0</v>
      </c>
      <c r="M954" s="10">
        <f t="shared" si="92"/>
        <v>0</v>
      </c>
      <c r="N954" s="10"/>
      <c r="O954" s="10"/>
      <c r="P954" s="10"/>
      <c r="Q954" s="10"/>
      <c r="R954" s="10">
        <v>0</v>
      </c>
      <c r="S954" s="10"/>
      <c r="T954" s="10"/>
      <c r="U954" s="10"/>
      <c r="V954" s="4" t="s">
        <v>411</v>
      </c>
      <c r="W954" s="4" t="s">
        <v>521</v>
      </c>
      <c r="X954" s="8"/>
      <c r="Y954" s="4"/>
      <c r="Z954" s="4"/>
      <c r="AA954" s="8">
        <v>45238</v>
      </c>
      <c r="AB954" s="8">
        <v>45238</v>
      </c>
      <c r="AC954" s="4"/>
      <c r="AD954" s="4"/>
    </row>
    <row r="955" spans="1:30" hidden="1">
      <c r="A955" s="4">
        <v>1046</v>
      </c>
      <c r="B955" s="8">
        <v>45231</v>
      </c>
      <c r="C955" s="4"/>
      <c r="D955" s="4" t="s">
        <v>42</v>
      </c>
      <c r="E955" s="8">
        <v>45245</v>
      </c>
      <c r="F955" s="4" t="s">
        <v>43</v>
      </c>
      <c r="G955" s="15" t="s">
        <v>1021</v>
      </c>
      <c r="H955" s="4" t="s">
        <v>45</v>
      </c>
      <c r="I955" s="4" t="s">
        <v>1288</v>
      </c>
      <c r="J955" s="10">
        <v>0.23083999999999999</v>
      </c>
      <c r="K955" s="10">
        <v>0.23899999999999999</v>
      </c>
      <c r="L955" s="10">
        <f t="shared" si="93"/>
        <v>0</v>
      </c>
      <c r="M955" s="10">
        <f t="shared" si="92"/>
        <v>0</v>
      </c>
      <c r="N955" s="10"/>
      <c r="O955" s="10"/>
      <c r="P955" s="10"/>
      <c r="Q955" s="10"/>
      <c r="R955" s="10">
        <v>0</v>
      </c>
      <c r="S955" s="10"/>
      <c r="T955" s="10"/>
      <c r="U955" s="10"/>
      <c r="V955" s="4" t="s">
        <v>411</v>
      </c>
      <c r="W955" s="4" t="s">
        <v>521</v>
      </c>
      <c r="X955" s="8"/>
      <c r="Y955" s="4"/>
      <c r="Z955" s="4"/>
      <c r="AA955" s="8">
        <v>45238</v>
      </c>
      <c r="AB955" s="8">
        <v>45238</v>
      </c>
      <c r="AC955" s="4"/>
      <c r="AD955" s="4"/>
    </row>
    <row r="956" spans="1:30" hidden="1">
      <c r="A956" s="4">
        <v>1046</v>
      </c>
      <c r="B956" s="8">
        <v>45231</v>
      </c>
      <c r="C956" s="4"/>
      <c r="D956" s="4" t="s">
        <v>42</v>
      </c>
      <c r="E956" s="8">
        <v>45245</v>
      </c>
      <c r="F956" s="4" t="s">
        <v>43</v>
      </c>
      <c r="G956" s="15" t="s">
        <v>1021</v>
      </c>
      <c r="H956" s="4" t="s">
        <v>45</v>
      </c>
      <c r="I956" s="4" t="s">
        <v>50</v>
      </c>
      <c r="J956" s="10">
        <v>0.12642</v>
      </c>
      <c r="K956" s="10">
        <v>0.14699999999999999</v>
      </c>
      <c r="L956" s="10">
        <f t="shared" si="93"/>
        <v>0</v>
      </c>
      <c r="M956" s="10">
        <f t="shared" si="92"/>
        <v>0</v>
      </c>
      <c r="N956" s="10"/>
      <c r="O956" s="10"/>
      <c r="P956" s="10"/>
      <c r="Q956" s="10"/>
      <c r="R956" s="10">
        <v>0</v>
      </c>
      <c r="S956" s="10"/>
      <c r="T956" s="10"/>
      <c r="U956" s="10"/>
      <c r="V956" s="4" t="s">
        <v>411</v>
      </c>
      <c r="W956" s="4" t="s">
        <v>521</v>
      </c>
      <c r="X956" s="8"/>
      <c r="Y956" s="4"/>
      <c r="Z956" s="4"/>
      <c r="AA956" s="8"/>
      <c r="AB956" s="8"/>
      <c r="AC956" s="4"/>
      <c r="AD956" s="4"/>
    </row>
    <row r="957" spans="1:30" hidden="1">
      <c r="A957" s="4">
        <v>1046</v>
      </c>
      <c r="B957" s="8">
        <v>45231</v>
      </c>
      <c r="C957" s="4"/>
      <c r="D957" s="4" t="s">
        <v>42</v>
      </c>
      <c r="E957" s="8">
        <v>45245</v>
      </c>
      <c r="F957" s="4" t="s">
        <v>43</v>
      </c>
      <c r="G957" s="15" t="s">
        <v>1021</v>
      </c>
      <c r="H957" s="4" t="s">
        <v>45</v>
      </c>
      <c r="I957" s="4" t="s">
        <v>588</v>
      </c>
      <c r="J957" s="10">
        <v>2.5739999999999998</v>
      </c>
      <c r="K957" s="10">
        <f>1.105+1.798</f>
        <v>2.903</v>
      </c>
      <c r="L957" s="10">
        <f t="shared" si="93"/>
        <v>0</v>
      </c>
      <c r="M957" s="10">
        <f t="shared" si="92"/>
        <v>0</v>
      </c>
      <c r="N957" s="10"/>
      <c r="O957" s="10"/>
      <c r="P957" s="10">
        <v>0</v>
      </c>
      <c r="Q957" s="10"/>
      <c r="R957" s="10"/>
      <c r="S957" s="10"/>
      <c r="T957" s="10"/>
      <c r="U957" s="10"/>
      <c r="V957" s="4" t="s">
        <v>411</v>
      </c>
      <c r="W957" s="4" t="s">
        <v>521</v>
      </c>
      <c r="X957" s="8">
        <v>45241</v>
      </c>
      <c r="Y957" s="4"/>
      <c r="Z957" s="4"/>
      <c r="AA957" s="8">
        <v>45238</v>
      </c>
      <c r="AB957" s="8">
        <v>45240</v>
      </c>
      <c r="AC957" s="4"/>
      <c r="AD957" s="4"/>
    </row>
    <row r="958" spans="1:30" hidden="1">
      <c r="A958" s="4">
        <v>1046</v>
      </c>
      <c r="B958" s="8">
        <v>45231</v>
      </c>
      <c r="C958" s="4"/>
      <c r="D958" s="4" t="s">
        <v>42</v>
      </c>
      <c r="E958" s="8">
        <v>45245</v>
      </c>
      <c r="F958" s="4" t="s">
        <v>43</v>
      </c>
      <c r="G958" s="15" t="s">
        <v>1021</v>
      </c>
      <c r="H958" s="4" t="s">
        <v>45</v>
      </c>
      <c r="I958" s="4" t="s">
        <v>409</v>
      </c>
      <c r="J958" s="10">
        <v>0.54279999999999995</v>
      </c>
      <c r="K958" s="10">
        <v>0.55000000000000004</v>
      </c>
      <c r="L958" s="10">
        <f t="shared" si="93"/>
        <v>0</v>
      </c>
      <c r="M958" s="10">
        <f t="shared" si="92"/>
        <v>0</v>
      </c>
      <c r="N958" s="10"/>
      <c r="O958" s="10"/>
      <c r="P958" s="10"/>
      <c r="Q958" s="10"/>
      <c r="R958" s="10">
        <v>0</v>
      </c>
      <c r="S958" s="10"/>
      <c r="T958" s="10"/>
      <c r="U958" s="10"/>
      <c r="V958" s="4" t="s">
        <v>411</v>
      </c>
      <c r="W958" s="4" t="s">
        <v>521</v>
      </c>
      <c r="X958" s="8"/>
      <c r="Y958" s="4"/>
      <c r="Z958" s="4"/>
      <c r="AA958" s="8">
        <v>45238</v>
      </c>
      <c r="AB958" s="8">
        <v>45238</v>
      </c>
      <c r="AC958" s="4"/>
      <c r="AD958" s="4"/>
    </row>
    <row r="959" spans="1:30" hidden="1">
      <c r="A959" s="4">
        <v>1046</v>
      </c>
      <c r="B959" s="8">
        <v>45231</v>
      </c>
      <c r="C959" s="4"/>
      <c r="D959" s="4" t="s">
        <v>42</v>
      </c>
      <c r="E959" s="8">
        <v>45245</v>
      </c>
      <c r="F959" s="4" t="s">
        <v>43</v>
      </c>
      <c r="G959" s="15" t="s">
        <v>1021</v>
      </c>
      <c r="H959" s="4" t="s">
        <v>45</v>
      </c>
      <c r="I959" s="4" t="s">
        <v>837</v>
      </c>
      <c r="J959" s="10">
        <v>0.7198</v>
      </c>
      <c r="K959" s="10">
        <v>0.94099999999999995</v>
      </c>
      <c r="L959" s="10">
        <f t="shared" si="93"/>
        <v>0</v>
      </c>
      <c r="M959" s="10">
        <f t="shared" si="92"/>
        <v>0</v>
      </c>
      <c r="N959" s="10"/>
      <c r="O959" s="10"/>
      <c r="P959" s="10"/>
      <c r="Q959" s="10"/>
      <c r="R959" s="10">
        <v>0</v>
      </c>
      <c r="S959" s="10"/>
      <c r="T959" s="10"/>
      <c r="U959" s="10"/>
      <c r="V959" s="4" t="s">
        <v>411</v>
      </c>
      <c r="W959" s="4" t="s">
        <v>521</v>
      </c>
      <c r="X959" s="8"/>
      <c r="Y959" s="4"/>
      <c r="Z959" s="4"/>
      <c r="AA959" s="8"/>
      <c r="AB959" s="8"/>
      <c r="AC959" s="4"/>
      <c r="AD959" s="4"/>
    </row>
    <row r="960" spans="1:30" hidden="1">
      <c r="A960" s="4">
        <v>1046</v>
      </c>
      <c r="B960" s="8">
        <v>45231</v>
      </c>
      <c r="C960" s="4"/>
      <c r="D960" s="4" t="s">
        <v>42</v>
      </c>
      <c r="E960" s="8">
        <v>45245</v>
      </c>
      <c r="F960" s="4" t="s">
        <v>43</v>
      </c>
      <c r="G960" s="15" t="s">
        <v>1021</v>
      </c>
      <c r="H960" s="4" t="s">
        <v>45</v>
      </c>
      <c r="I960" s="4" t="s">
        <v>579</v>
      </c>
      <c r="J960" s="10">
        <v>1.5041600000000002</v>
      </c>
      <c r="K960" s="10">
        <v>1.669</v>
      </c>
      <c r="L960" s="10">
        <f t="shared" si="93"/>
        <v>0</v>
      </c>
      <c r="M960" s="10">
        <f t="shared" si="92"/>
        <v>0</v>
      </c>
      <c r="N960" s="10"/>
      <c r="O960" s="10"/>
      <c r="P960" s="10"/>
      <c r="Q960" s="10"/>
      <c r="R960" s="10">
        <v>0</v>
      </c>
      <c r="S960" s="10"/>
      <c r="T960" s="10"/>
      <c r="U960" s="10"/>
      <c r="V960" s="4" t="s">
        <v>411</v>
      </c>
      <c r="W960" s="4" t="s">
        <v>521</v>
      </c>
      <c r="X960" s="8"/>
      <c r="Y960" s="4"/>
      <c r="Z960" s="4"/>
      <c r="AA960" s="8">
        <v>45240</v>
      </c>
      <c r="AB960" s="8">
        <v>45240</v>
      </c>
      <c r="AC960" s="4"/>
      <c r="AD960" s="4"/>
    </row>
    <row r="961" spans="1:30" hidden="1">
      <c r="A961" s="4">
        <v>1046</v>
      </c>
      <c r="B961" s="8">
        <v>45231</v>
      </c>
      <c r="C961" s="4"/>
      <c r="D961" s="4" t="s">
        <v>42</v>
      </c>
      <c r="E961" s="8">
        <v>45245</v>
      </c>
      <c r="F961" s="4" t="s">
        <v>43</v>
      </c>
      <c r="G961" s="15" t="s">
        <v>1021</v>
      </c>
      <c r="H961" s="4" t="s">
        <v>45</v>
      </c>
      <c r="I961" s="4" t="s">
        <v>448</v>
      </c>
      <c r="J961" s="10">
        <v>2.8662399999999999</v>
      </c>
      <c r="K961" s="10">
        <v>3.37</v>
      </c>
      <c r="L961" s="10">
        <f t="shared" si="93"/>
        <v>0</v>
      </c>
      <c r="M961" s="10">
        <f t="shared" si="92"/>
        <v>0</v>
      </c>
      <c r="N961" s="10"/>
      <c r="O961" s="10"/>
      <c r="P961" s="10"/>
      <c r="Q961" s="10"/>
      <c r="R961" s="10">
        <v>0</v>
      </c>
      <c r="S961" s="10"/>
      <c r="T961" s="10"/>
      <c r="U961" s="10"/>
      <c r="V961" s="4" t="s">
        <v>411</v>
      </c>
      <c r="W961" s="4" t="s">
        <v>521</v>
      </c>
      <c r="X961" s="8"/>
      <c r="Y961" s="4"/>
      <c r="Z961" s="4"/>
      <c r="AA961" s="8"/>
      <c r="AB961" s="8"/>
      <c r="AC961" s="4"/>
      <c r="AD961" s="4"/>
    </row>
    <row r="962" spans="1:30" hidden="1">
      <c r="A962" s="4">
        <v>1046</v>
      </c>
      <c r="B962" s="8">
        <v>45231</v>
      </c>
      <c r="C962" s="4"/>
      <c r="D962" s="4" t="s">
        <v>42</v>
      </c>
      <c r="E962" s="8">
        <v>45245</v>
      </c>
      <c r="F962" s="4" t="s">
        <v>43</v>
      </c>
      <c r="G962" s="15" t="s">
        <v>1021</v>
      </c>
      <c r="H962" s="4" t="s">
        <v>45</v>
      </c>
      <c r="I962" s="4" t="s">
        <v>449</v>
      </c>
      <c r="J962" s="10">
        <v>3.2453599999999998</v>
      </c>
      <c r="K962" s="10">
        <v>3.2450000000000001</v>
      </c>
      <c r="L962" s="10">
        <f t="shared" si="93"/>
        <v>0</v>
      </c>
      <c r="M962" s="10">
        <f t="shared" si="92"/>
        <v>0</v>
      </c>
      <c r="N962" s="10"/>
      <c r="O962" s="10"/>
      <c r="P962" s="10">
        <v>0</v>
      </c>
      <c r="Q962" s="10"/>
      <c r="R962" s="10"/>
      <c r="S962" s="10"/>
      <c r="T962" s="10"/>
      <c r="U962" s="10"/>
      <c r="V962" s="4" t="s">
        <v>411</v>
      </c>
      <c r="W962" s="4"/>
      <c r="X962" s="8"/>
      <c r="Y962" s="4"/>
      <c r="Z962" s="4"/>
      <c r="AA962" s="8"/>
      <c r="AB962" s="8"/>
      <c r="AC962" s="4"/>
      <c r="AD962" s="4"/>
    </row>
    <row r="963" spans="1:30" hidden="1">
      <c r="A963" s="4">
        <v>1046</v>
      </c>
      <c r="B963" s="8">
        <v>45231</v>
      </c>
      <c r="C963" s="4"/>
      <c r="D963" s="4" t="s">
        <v>42</v>
      </c>
      <c r="E963" s="8">
        <v>45245</v>
      </c>
      <c r="F963" s="4" t="s">
        <v>43</v>
      </c>
      <c r="G963" s="15" t="s">
        <v>1021</v>
      </c>
      <c r="H963" s="4" t="s">
        <v>45</v>
      </c>
      <c r="I963" s="4" t="s">
        <v>473</v>
      </c>
      <c r="J963" s="10">
        <v>0.159605</v>
      </c>
      <c r="K963" s="10">
        <v>0.216</v>
      </c>
      <c r="L963" s="10">
        <f t="shared" si="93"/>
        <v>0</v>
      </c>
      <c r="M963" s="10">
        <f t="shared" si="92"/>
        <v>0</v>
      </c>
      <c r="N963" s="10"/>
      <c r="O963" s="10"/>
      <c r="P963" s="10"/>
      <c r="Q963" s="10"/>
      <c r="R963" s="10">
        <v>0</v>
      </c>
      <c r="S963" s="10"/>
      <c r="T963" s="10"/>
      <c r="U963" s="10"/>
      <c r="V963" s="4" t="s">
        <v>411</v>
      </c>
      <c r="W963" s="4" t="s">
        <v>521</v>
      </c>
      <c r="X963" s="8"/>
      <c r="Y963" s="4"/>
      <c r="Z963" s="4"/>
      <c r="AA963" s="8">
        <v>45238</v>
      </c>
      <c r="AB963" s="8">
        <v>45238</v>
      </c>
      <c r="AC963" s="4"/>
      <c r="AD963" s="4"/>
    </row>
    <row r="964" spans="1:30" hidden="1">
      <c r="A964" s="4">
        <v>1046</v>
      </c>
      <c r="B964" s="8">
        <v>45231</v>
      </c>
      <c r="C964" s="4"/>
      <c r="D964" s="4" t="s">
        <v>42</v>
      </c>
      <c r="E964" s="8">
        <v>45245</v>
      </c>
      <c r="F964" s="4" t="s">
        <v>43</v>
      </c>
      <c r="G964" s="15" t="s">
        <v>1021</v>
      </c>
      <c r="H964" s="4" t="s">
        <v>45</v>
      </c>
      <c r="I964" s="4" t="s">
        <v>235</v>
      </c>
      <c r="J964" s="10">
        <v>0.49912000000000001</v>
      </c>
      <c r="K964" s="10">
        <v>0.51</v>
      </c>
      <c r="L964" s="10">
        <f t="shared" si="93"/>
        <v>0</v>
      </c>
      <c r="M964" s="10">
        <f t="shared" si="92"/>
        <v>0</v>
      </c>
      <c r="N964" s="10"/>
      <c r="O964" s="10"/>
      <c r="P964" s="10"/>
      <c r="Q964" s="10"/>
      <c r="R964" s="10">
        <v>0</v>
      </c>
      <c r="S964" s="10"/>
      <c r="T964" s="10"/>
      <c r="U964" s="10"/>
      <c r="V964" s="4" t="s">
        <v>411</v>
      </c>
      <c r="W964" s="4" t="s">
        <v>521</v>
      </c>
      <c r="X964" s="8"/>
      <c r="Y964" s="4"/>
      <c r="Z964" s="4"/>
      <c r="AA964" s="8"/>
      <c r="AB964" s="8"/>
      <c r="AC964" s="4"/>
      <c r="AD964" s="4"/>
    </row>
    <row r="965" spans="1:30" hidden="1">
      <c r="A965" s="4">
        <v>1046</v>
      </c>
      <c r="B965" s="8">
        <v>45231</v>
      </c>
      <c r="C965" s="4"/>
      <c r="D965" s="4" t="s">
        <v>42</v>
      </c>
      <c r="E965" s="8">
        <v>45245</v>
      </c>
      <c r="F965" s="4" t="s">
        <v>43</v>
      </c>
      <c r="G965" s="15" t="s">
        <v>1021</v>
      </c>
      <c r="H965" s="4" t="s">
        <v>45</v>
      </c>
      <c r="I965" s="4" t="s">
        <v>1289</v>
      </c>
      <c r="J965" s="10">
        <v>8.4900000000000003E-2</v>
      </c>
      <c r="K965" s="10">
        <v>8.5000000000000006E-2</v>
      </c>
      <c r="L965" s="10">
        <f t="shared" si="93"/>
        <v>0</v>
      </c>
      <c r="M965" s="10">
        <f t="shared" si="92"/>
        <v>0</v>
      </c>
      <c r="N965" s="10"/>
      <c r="O965" s="10"/>
      <c r="P965" s="10"/>
      <c r="Q965" s="10"/>
      <c r="R965" s="10">
        <v>0</v>
      </c>
      <c r="S965" s="10"/>
      <c r="T965" s="10"/>
      <c r="U965" s="10"/>
      <c r="V965" s="4" t="s">
        <v>411</v>
      </c>
      <c r="W965" s="4" t="s">
        <v>1294</v>
      </c>
      <c r="X965" s="8"/>
      <c r="Y965" s="4"/>
      <c r="Z965" s="4"/>
      <c r="AA965" s="8">
        <v>45238</v>
      </c>
      <c r="AB965" s="8">
        <v>45238</v>
      </c>
      <c r="AC965" s="4"/>
      <c r="AD965" s="4"/>
    </row>
    <row r="966" spans="1:30" hidden="1">
      <c r="A966" s="4">
        <v>1046</v>
      </c>
      <c r="B966" s="8">
        <v>45231</v>
      </c>
      <c r="C966" s="4"/>
      <c r="D966" s="4" t="s">
        <v>42</v>
      </c>
      <c r="E966" s="8">
        <v>45245</v>
      </c>
      <c r="F966" s="4" t="s">
        <v>43</v>
      </c>
      <c r="G966" s="15" t="s">
        <v>1021</v>
      </c>
      <c r="H966" s="4" t="s">
        <v>45</v>
      </c>
      <c r="I966" s="4" t="s">
        <v>100</v>
      </c>
      <c r="J966" s="10">
        <v>0.69720000000000004</v>
      </c>
      <c r="K966" s="10">
        <v>0.69699999999999995</v>
      </c>
      <c r="L966" s="10">
        <f t="shared" si="93"/>
        <v>0</v>
      </c>
      <c r="M966" s="10">
        <f t="shared" si="92"/>
        <v>0</v>
      </c>
      <c r="N966" s="10"/>
      <c r="O966" s="10"/>
      <c r="P966" s="10"/>
      <c r="Q966" s="10"/>
      <c r="R966" s="10">
        <v>0</v>
      </c>
      <c r="S966" s="10"/>
      <c r="T966" s="10"/>
      <c r="U966" s="10"/>
      <c r="V966" s="4" t="s">
        <v>411</v>
      </c>
      <c r="W966" s="4" t="s">
        <v>521</v>
      </c>
      <c r="X966" s="8"/>
      <c r="Y966" s="4"/>
      <c r="Z966" s="4"/>
      <c r="AA966" s="8"/>
      <c r="AB966" s="8"/>
      <c r="AC966" s="4"/>
      <c r="AD966" s="4"/>
    </row>
    <row r="967" spans="1:30" hidden="1">
      <c r="A967" s="4">
        <v>1046</v>
      </c>
      <c r="B967" s="8">
        <v>45231</v>
      </c>
      <c r="C967" s="4"/>
      <c r="D967" s="4" t="s">
        <v>42</v>
      </c>
      <c r="E967" s="8">
        <v>45245</v>
      </c>
      <c r="F967" s="4" t="s">
        <v>43</v>
      </c>
      <c r="G967" s="15" t="s">
        <v>1021</v>
      </c>
      <c r="H967" s="4" t="s">
        <v>45</v>
      </c>
      <c r="I967" s="4" t="s">
        <v>96</v>
      </c>
      <c r="J967" s="10">
        <v>0.63426000000000005</v>
      </c>
      <c r="K967" s="10">
        <v>0.69599999999999995</v>
      </c>
      <c r="L967" s="10">
        <f t="shared" si="93"/>
        <v>0</v>
      </c>
      <c r="M967" s="10">
        <f t="shared" si="92"/>
        <v>0</v>
      </c>
      <c r="N967" s="10"/>
      <c r="O967" s="10"/>
      <c r="P967" s="10"/>
      <c r="Q967" s="10"/>
      <c r="R967" s="10">
        <v>0</v>
      </c>
      <c r="S967" s="10"/>
      <c r="T967" s="10"/>
      <c r="U967" s="10"/>
      <c r="V967" s="4" t="s">
        <v>411</v>
      </c>
      <c r="W967" s="4" t="s">
        <v>521</v>
      </c>
      <c r="X967" s="8"/>
      <c r="Y967" s="4"/>
      <c r="Z967" s="4"/>
      <c r="AA967" s="8">
        <v>45240</v>
      </c>
      <c r="AB967" s="8">
        <v>45240</v>
      </c>
      <c r="AC967" s="4"/>
      <c r="AD967" s="4"/>
    </row>
    <row r="968" spans="1:30" hidden="1">
      <c r="A968" s="4">
        <v>1046</v>
      </c>
      <c r="B968" s="8">
        <v>45231</v>
      </c>
      <c r="C968" s="4"/>
      <c r="D968" s="4" t="s">
        <v>42</v>
      </c>
      <c r="E968" s="8">
        <v>45245</v>
      </c>
      <c r="F968" s="4" t="s">
        <v>43</v>
      </c>
      <c r="G968" s="15" t="s">
        <v>1293</v>
      </c>
      <c r="H968" s="4" t="s">
        <v>52</v>
      </c>
      <c r="I968" s="4" t="s">
        <v>54</v>
      </c>
      <c r="J968" s="10">
        <v>1.5982759999999998</v>
      </c>
      <c r="K968" s="10">
        <v>1.591</v>
      </c>
      <c r="L968" s="10">
        <f t="shared" si="93"/>
        <v>0</v>
      </c>
      <c r="M968" s="10">
        <f t="shared" si="92"/>
        <v>0</v>
      </c>
      <c r="N968" s="10"/>
      <c r="O968" s="10"/>
      <c r="P968" s="10">
        <v>0</v>
      </c>
      <c r="Q968" s="10"/>
      <c r="R968" s="10"/>
      <c r="S968" s="10"/>
      <c r="T968" s="10"/>
      <c r="U968" s="10"/>
      <c r="V968" s="4" t="s">
        <v>411</v>
      </c>
      <c r="W968" s="4"/>
      <c r="X968" s="8">
        <v>45237</v>
      </c>
      <c r="Y968" s="4"/>
      <c r="Z968" s="4"/>
      <c r="AA968" s="8">
        <v>45238</v>
      </c>
      <c r="AB968" s="8">
        <v>45238</v>
      </c>
      <c r="AC968" s="4"/>
      <c r="AD968" s="4"/>
    </row>
    <row r="969" spans="1:30" hidden="1">
      <c r="A969" s="4">
        <v>1046</v>
      </c>
      <c r="B969" s="8">
        <v>45231</v>
      </c>
      <c r="C969" s="4"/>
      <c r="D969" s="4" t="s">
        <v>42</v>
      </c>
      <c r="E969" s="8">
        <v>45245</v>
      </c>
      <c r="F969" s="4" t="s">
        <v>43</v>
      </c>
      <c r="G969" s="15" t="s">
        <v>1293</v>
      </c>
      <c r="H969" s="4" t="s">
        <v>52</v>
      </c>
      <c r="I969" s="4" t="s">
        <v>56</v>
      </c>
      <c r="J969" s="10">
        <v>0.2782</v>
      </c>
      <c r="K969" s="10">
        <v>0.27800000000000002</v>
      </c>
      <c r="L969" s="10">
        <f t="shared" si="93"/>
        <v>0</v>
      </c>
      <c r="M969" s="10">
        <f t="shared" si="92"/>
        <v>0</v>
      </c>
      <c r="N969" s="10"/>
      <c r="O969" s="10"/>
      <c r="P969" s="10"/>
      <c r="Q969" s="10"/>
      <c r="R969" s="10">
        <v>0</v>
      </c>
      <c r="S969" s="10"/>
      <c r="T969" s="10"/>
      <c r="U969" s="10"/>
      <c r="V969" s="4" t="s">
        <v>411</v>
      </c>
      <c r="W969" s="4" t="s">
        <v>521</v>
      </c>
      <c r="X969" s="8">
        <v>45237</v>
      </c>
      <c r="Y969" s="4"/>
      <c r="Z969" s="4"/>
      <c r="AA969" s="8">
        <v>45240</v>
      </c>
      <c r="AB969" s="8">
        <v>45240</v>
      </c>
      <c r="AC969" s="4"/>
      <c r="AD969" s="4"/>
    </row>
    <row r="970" spans="1:30" hidden="1">
      <c r="A970" s="4">
        <v>1046</v>
      </c>
      <c r="B970" s="8">
        <v>45231</v>
      </c>
      <c r="C970" s="4"/>
      <c r="D970" s="4" t="s">
        <v>42</v>
      </c>
      <c r="E970" s="8">
        <v>45245</v>
      </c>
      <c r="F970" s="4" t="s">
        <v>43</v>
      </c>
      <c r="G970" s="15" t="s">
        <v>1293</v>
      </c>
      <c r="H970" s="4" t="s">
        <v>52</v>
      </c>
      <c r="I970" s="4" t="s">
        <v>48</v>
      </c>
      <c r="J970" s="10">
        <v>0.19519999999999998</v>
      </c>
      <c r="K970" s="10">
        <v>0.19500000000000001</v>
      </c>
      <c r="L970" s="10">
        <f t="shared" si="93"/>
        <v>0</v>
      </c>
      <c r="M970" s="10">
        <f t="shared" si="92"/>
        <v>0</v>
      </c>
      <c r="N970" s="10"/>
      <c r="O970" s="10"/>
      <c r="P970" s="10">
        <v>0</v>
      </c>
      <c r="Q970" s="10"/>
      <c r="R970" s="10"/>
      <c r="S970" s="10"/>
      <c r="T970" s="10"/>
      <c r="U970" s="10"/>
      <c r="V970" s="4" t="s">
        <v>411</v>
      </c>
      <c r="W970" s="4"/>
      <c r="X970" s="8">
        <v>45237</v>
      </c>
      <c r="Y970" s="4"/>
      <c r="Z970" s="4"/>
      <c r="AA970" s="8"/>
      <c r="AB970" s="8"/>
      <c r="AC970" s="4"/>
      <c r="AD970" s="4"/>
    </row>
    <row r="971" spans="1:30" hidden="1">
      <c r="A971" s="4">
        <v>1046</v>
      </c>
      <c r="B971" s="8">
        <v>45231</v>
      </c>
      <c r="C971" s="4"/>
      <c r="D971" s="4" t="s">
        <v>42</v>
      </c>
      <c r="E971" s="8">
        <v>45245</v>
      </c>
      <c r="F971" s="4" t="s">
        <v>43</v>
      </c>
      <c r="G971" s="15" t="s">
        <v>1293</v>
      </c>
      <c r="H971" s="4" t="s">
        <v>52</v>
      </c>
      <c r="I971" s="4" t="s">
        <v>46</v>
      </c>
      <c r="J971" s="10">
        <v>0.41808000000000001</v>
      </c>
      <c r="K971" s="10">
        <v>0.57399999999999995</v>
      </c>
      <c r="L971" s="10">
        <f t="shared" si="93"/>
        <v>0</v>
      </c>
      <c r="M971" s="10">
        <f t="shared" si="92"/>
        <v>0</v>
      </c>
      <c r="N971" s="10"/>
      <c r="O971" s="10"/>
      <c r="P971" s="10"/>
      <c r="Q971" s="10"/>
      <c r="R971" s="10">
        <v>0</v>
      </c>
      <c r="S971" s="10"/>
      <c r="T971" s="10"/>
      <c r="U971" s="10"/>
      <c r="V971" s="4" t="s">
        <v>411</v>
      </c>
      <c r="W971" s="4" t="s">
        <v>521</v>
      </c>
      <c r="X971" s="8"/>
      <c r="Y971" s="4"/>
      <c r="Z971" s="4"/>
      <c r="AA971" s="8">
        <v>45238</v>
      </c>
      <c r="AB971" s="8">
        <v>45238</v>
      </c>
      <c r="AC971" s="4"/>
      <c r="AD971" s="4"/>
    </row>
    <row r="972" spans="1:30" hidden="1">
      <c r="A972" s="4">
        <v>1046</v>
      </c>
      <c r="B972" s="8">
        <v>45231</v>
      </c>
      <c r="C972" s="4"/>
      <c r="D972" s="4" t="s">
        <v>42</v>
      </c>
      <c r="E972" s="8">
        <v>45245</v>
      </c>
      <c r="F972" s="4" t="s">
        <v>43</v>
      </c>
      <c r="G972" s="15" t="s">
        <v>1293</v>
      </c>
      <c r="H972" s="4" t="s">
        <v>52</v>
      </c>
      <c r="I972" s="4" t="s">
        <v>472</v>
      </c>
      <c r="J972" s="10">
        <v>0.736128</v>
      </c>
      <c r="K972" s="10">
        <v>0.92900000000000005</v>
      </c>
      <c r="L972" s="10">
        <f t="shared" si="93"/>
        <v>0</v>
      </c>
      <c r="M972" s="10">
        <f t="shared" si="92"/>
        <v>0</v>
      </c>
      <c r="N972" s="10"/>
      <c r="O972" s="10"/>
      <c r="P972" s="10"/>
      <c r="Q972" s="10"/>
      <c r="R972" s="10">
        <v>0</v>
      </c>
      <c r="S972" s="10"/>
      <c r="T972" s="10"/>
      <c r="U972" s="10"/>
      <c r="V972" s="4" t="s">
        <v>411</v>
      </c>
      <c r="W972" s="4" t="s">
        <v>521</v>
      </c>
      <c r="X972" s="8"/>
      <c r="Y972" s="4"/>
      <c r="Z972" s="4"/>
      <c r="AA972" s="8">
        <v>45240</v>
      </c>
      <c r="AB972" s="8">
        <v>45240</v>
      </c>
      <c r="AC972" s="4"/>
      <c r="AD972" s="4"/>
    </row>
    <row r="973" spans="1:30" hidden="1">
      <c r="A973" s="4">
        <v>1046</v>
      </c>
      <c r="B973" s="8">
        <v>45231</v>
      </c>
      <c r="C973" s="4"/>
      <c r="D973" s="4" t="s">
        <v>42</v>
      </c>
      <c r="E973" s="8">
        <v>45245</v>
      </c>
      <c r="F973" s="4" t="s">
        <v>43</v>
      </c>
      <c r="G973" s="15" t="s">
        <v>1293</v>
      </c>
      <c r="H973" s="4" t="s">
        <v>52</v>
      </c>
      <c r="I973" s="4" t="s">
        <v>473</v>
      </c>
      <c r="J973" s="10">
        <v>0.49320000000000008</v>
      </c>
      <c r="K973" s="10">
        <v>0.56000000000000005</v>
      </c>
      <c r="L973" s="10">
        <f t="shared" si="93"/>
        <v>0</v>
      </c>
      <c r="M973" s="10">
        <f t="shared" si="92"/>
        <v>0</v>
      </c>
      <c r="N973" s="10"/>
      <c r="O973" s="10"/>
      <c r="P973" s="10"/>
      <c r="Q973" s="10"/>
      <c r="R973" s="10">
        <v>0</v>
      </c>
      <c r="S973" s="10"/>
      <c r="T973" s="10"/>
      <c r="U973" s="10"/>
      <c r="V973" s="4" t="s">
        <v>411</v>
      </c>
      <c r="W973" s="4" t="s">
        <v>521</v>
      </c>
      <c r="X973" s="8"/>
      <c r="Y973" s="4"/>
      <c r="Z973" s="4"/>
      <c r="AA973" s="8">
        <v>45238</v>
      </c>
      <c r="AB973" s="8">
        <v>45238</v>
      </c>
      <c r="AC973" s="4"/>
      <c r="AD973" s="4"/>
    </row>
    <row r="974" spans="1:30" hidden="1">
      <c r="A974" s="4">
        <v>1046</v>
      </c>
      <c r="B974" s="8">
        <v>45231</v>
      </c>
      <c r="C974" s="4"/>
      <c r="D974" s="4" t="s">
        <v>42</v>
      </c>
      <c r="E974" s="8">
        <v>45245</v>
      </c>
      <c r="F974" s="4" t="s">
        <v>43</v>
      </c>
      <c r="G974" s="15" t="s">
        <v>1293</v>
      </c>
      <c r="H974" s="4" t="s">
        <v>52</v>
      </c>
      <c r="I974" s="4" t="s">
        <v>237</v>
      </c>
      <c r="J974" s="10">
        <v>1.1105999999999998</v>
      </c>
      <c r="K974" s="10">
        <f>0.845+0.339</f>
        <v>1.1839999999999999</v>
      </c>
      <c r="L974" s="10">
        <f t="shared" si="93"/>
        <v>0</v>
      </c>
      <c r="M974" s="10">
        <f t="shared" si="92"/>
        <v>0</v>
      </c>
      <c r="N974" s="10"/>
      <c r="O974" s="10"/>
      <c r="P974" s="10"/>
      <c r="Q974" s="10"/>
      <c r="R974" s="10">
        <v>0</v>
      </c>
      <c r="S974" s="10"/>
      <c r="T974" s="10"/>
      <c r="U974" s="10"/>
      <c r="V974" s="4" t="s">
        <v>411</v>
      </c>
      <c r="W974" s="4" t="s">
        <v>521</v>
      </c>
      <c r="X974" s="8"/>
      <c r="Y974" s="4"/>
      <c r="Z974" s="4"/>
      <c r="AA974" s="8"/>
      <c r="AB974" s="8"/>
      <c r="AC974" s="4"/>
      <c r="AD974" s="4"/>
    </row>
    <row r="975" spans="1:30" hidden="1">
      <c r="A975" s="4">
        <v>1046</v>
      </c>
      <c r="B975" s="8">
        <v>45231</v>
      </c>
      <c r="C975" s="4"/>
      <c r="D975" s="4" t="s">
        <v>42</v>
      </c>
      <c r="E975" s="8">
        <v>45245</v>
      </c>
      <c r="F975" s="4" t="s">
        <v>43</v>
      </c>
      <c r="G975" s="15" t="s">
        <v>1293</v>
      </c>
      <c r="H975" s="4" t="s">
        <v>52</v>
      </c>
      <c r="I975" s="4" t="s">
        <v>235</v>
      </c>
      <c r="J975" s="10">
        <v>0.65032400000000001</v>
      </c>
      <c r="K975" s="10">
        <v>0.77400000000000002</v>
      </c>
      <c r="L975" s="10">
        <f t="shared" si="93"/>
        <v>0</v>
      </c>
      <c r="M975" s="10">
        <f t="shared" si="92"/>
        <v>0</v>
      </c>
      <c r="N975" s="10"/>
      <c r="O975" s="10"/>
      <c r="P975" s="10"/>
      <c r="Q975" s="10"/>
      <c r="R975" s="10">
        <v>0</v>
      </c>
      <c r="S975" s="10"/>
      <c r="T975" s="10"/>
      <c r="U975" s="10"/>
      <c r="V975" s="4" t="s">
        <v>411</v>
      </c>
      <c r="W975" s="4" t="s">
        <v>521</v>
      </c>
      <c r="X975" s="8"/>
      <c r="Y975" s="4"/>
      <c r="Z975" s="4"/>
      <c r="AA975" s="8">
        <v>45240</v>
      </c>
      <c r="AB975" s="8">
        <v>45240</v>
      </c>
      <c r="AC975" s="4"/>
      <c r="AD975" s="4"/>
    </row>
    <row r="976" spans="1:30" hidden="1">
      <c r="A976" s="4">
        <v>1046</v>
      </c>
      <c r="B976" s="8">
        <v>45231</v>
      </c>
      <c r="C976" s="4"/>
      <c r="D976" s="4" t="s">
        <v>42</v>
      </c>
      <c r="E976" s="8">
        <v>45245</v>
      </c>
      <c r="F976" s="4" t="s">
        <v>43</v>
      </c>
      <c r="G976" s="15" t="s">
        <v>1293</v>
      </c>
      <c r="H976" s="4" t="s">
        <v>52</v>
      </c>
      <c r="I976" s="4" t="s">
        <v>729</v>
      </c>
      <c r="J976" s="10">
        <v>0.51619199999999998</v>
      </c>
      <c r="K976" s="10">
        <v>0.58699999999999997</v>
      </c>
      <c r="L976" s="10">
        <f t="shared" si="93"/>
        <v>0</v>
      </c>
      <c r="M976" s="10">
        <f t="shared" si="92"/>
        <v>0</v>
      </c>
      <c r="N976" s="10"/>
      <c r="O976" s="10"/>
      <c r="P976" s="10"/>
      <c r="Q976" s="10"/>
      <c r="R976" s="10">
        <v>0</v>
      </c>
      <c r="S976" s="10"/>
      <c r="T976" s="10"/>
      <c r="U976" s="10"/>
      <c r="V976" s="4" t="s">
        <v>411</v>
      </c>
      <c r="W976" s="4" t="s">
        <v>1302</v>
      </c>
      <c r="X976" s="8"/>
      <c r="Y976" s="4"/>
      <c r="Z976" s="4"/>
      <c r="AA976" s="8">
        <v>45240</v>
      </c>
      <c r="AB976" s="8">
        <v>45240</v>
      </c>
      <c r="AC976" s="4"/>
      <c r="AD976" s="4"/>
    </row>
    <row r="977" spans="1:30" hidden="1">
      <c r="A977" s="4">
        <v>1046</v>
      </c>
      <c r="B977" s="8">
        <v>45231</v>
      </c>
      <c r="C977" s="4"/>
      <c r="D977" s="4" t="s">
        <v>42</v>
      </c>
      <c r="E977" s="8">
        <v>45245</v>
      </c>
      <c r="F977" s="4" t="s">
        <v>43</v>
      </c>
      <c r="G977" s="15" t="s">
        <v>1293</v>
      </c>
      <c r="H977" s="4" t="s">
        <v>52</v>
      </c>
      <c r="I977" s="4" t="s">
        <v>100</v>
      </c>
      <c r="J977" s="10">
        <v>1.434655</v>
      </c>
      <c r="K977" s="10">
        <v>1.748</v>
      </c>
      <c r="L977" s="10">
        <f t="shared" si="93"/>
        <v>0</v>
      </c>
      <c r="M977" s="10">
        <f t="shared" si="92"/>
        <v>0</v>
      </c>
      <c r="N977" s="10"/>
      <c r="O977" s="10"/>
      <c r="P977" s="10"/>
      <c r="Q977" s="10"/>
      <c r="R977" s="10">
        <v>0</v>
      </c>
      <c r="S977" s="10"/>
      <c r="T977" s="10"/>
      <c r="U977" s="10"/>
      <c r="V977" s="4" t="s">
        <v>411</v>
      </c>
      <c r="W977" s="4" t="s">
        <v>521</v>
      </c>
      <c r="X977" s="8"/>
      <c r="Y977" s="4"/>
      <c r="Z977" s="4"/>
      <c r="AA977" s="8">
        <v>45240</v>
      </c>
      <c r="AB977" s="8">
        <v>45240</v>
      </c>
      <c r="AC977" s="4"/>
      <c r="AD977" s="4"/>
    </row>
    <row r="978" spans="1:30" hidden="1">
      <c r="A978" s="4">
        <v>1046</v>
      </c>
      <c r="B978" s="8">
        <v>45231</v>
      </c>
      <c r="C978" s="4"/>
      <c r="D978" s="4" t="s">
        <v>42</v>
      </c>
      <c r="E978" s="8">
        <v>45245</v>
      </c>
      <c r="F978" s="4" t="s">
        <v>43</v>
      </c>
      <c r="G978" s="15" t="s">
        <v>1293</v>
      </c>
      <c r="H978" s="4" t="s">
        <v>52</v>
      </c>
      <c r="I978" s="4" t="s">
        <v>96</v>
      </c>
      <c r="J978" s="10">
        <v>0.84183599999999992</v>
      </c>
      <c r="K978" s="10">
        <v>0.96899999999999997</v>
      </c>
      <c r="L978" s="10">
        <f t="shared" si="93"/>
        <v>0</v>
      </c>
      <c r="M978" s="10">
        <f t="shared" si="92"/>
        <v>0</v>
      </c>
      <c r="N978" s="10"/>
      <c r="O978" s="10"/>
      <c r="P978" s="10"/>
      <c r="Q978" s="10"/>
      <c r="R978" s="10">
        <v>0</v>
      </c>
      <c r="S978" s="10"/>
      <c r="T978" s="10"/>
      <c r="U978" s="10"/>
      <c r="V978" s="4" t="s">
        <v>411</v>
      </c>
      <c r="W978" s="4" t="s">
        <v>521</v>
      </c>
      <c r="X978" s="8"/>
      <c r="Y978" s="4"/>
      <c r="Z978" s="4"/>
      <c r="AA978" s="8">
        <v>45240</v>
      </c>
      <c r="AB978" s="8">
        <v>45240</v>
      </c>
      <c r="AC978" s="4"/>
      <c r="AD978" s="4"/>
    </row>
    <row r="979" spans="1:30" hidden="1">
      <c r="A979" s="4">
        <v>1048</v>
      </c>
      <c r="B979" s="8">
        <v>45231</v>
      </c>
      <c r="C979" s="4"/>
      <c r="D979" s="4" t="s">
        <v>42</v>
      </c>
      <c r="E979" s="8">
        <v>45245</v>
      </c>
      <c r="F979" s="4" t="s">
        <v>43</v>
      </c>
      <c r="G979" s="15" t="s">
        <v>1021</v>
      </c>
      <c r="H979" s="4" t="s">
        <v>45</v>
      </c>
      <c r="I979" s="4" t="s">
        <v>54</v>
      </c>
      <c r="J979" s="10">
        <v>28.042984000000004</v>
      </c>
      <c r="K979" s="10">
        <f>13.209+3.278+7.405+4.494</f>
        <v>28.385999999999999</v>
      </c>
      <c r="L979" s="10">
        <f t="shared" si="93"/>
        <v>0</v>
      </c>
      <c r="M979" s="10">
        <f t="shared" si="92"/>
        <v>0</v>
      </c>
      <c r="N979" s="10"/>
      <c r="O979" s="10"/>
      <c r="P979" s="10">
        <v>0</v>
      </c>
      <c r="Q979" s="10">
        <v>0</v>
      </c>
      <c r="R979" s="10"/>
      <c r="S979" s="10"/>
      <c r="T979" s="10"/>
      <c r="U979" s="10"/>
      <c r="V979" s="4" t="s">
        <v>411</v>
      </c>
      <c r="W979" s="4"/>
      <c r="X979" s="8">
        <v>45234</v>
      </c>
      <c r="Y979" s="4"/>
      <c r="Z979" s="4"/>
      <c r="AA979" s="8">
        <v>45236</v>
      </c>
      <c r="AB979" s="8">
        <v>45250</v>
      </c>
      <c r="AC979" s="4"/>
      <c r="AD979" s="4"/>
    </row>
    <row r="980" spans="1:30" hidden="1">
      <c r="A980" s="4">
        <v>1048</v>
      </c>
      <c r="B980" s="8">
        <v>45231</v>
      </c>
      <c r="C980" s="4"/>
      <c r="D980" s="4" t="s">
        <v>42</v>
      </c>
      <c r="E980" s="8">
        <v>45245</v>
      </c>
      <c r="F980" s="4" t="s">
        <v>43</v>
      </c>
      <c r="G980" s="15" t="s">
        <v>1021</v>
      </c>
      <c r="H980" s="4" t="s">
        <v>45</v>
      </c>
      <c r="I980" s="4" t="s">
        <v>56</v>
      </c>
      <c r="J980" s="10">
        <v>153.06135999999998</v>
      </c>
      <c r="K980" s="10">
        <f>7.425+32.143+31.875+15.136+32.395+13.766+0.501+2.568+12.016+5.713</f>
        <v>153.53799999999998</v>
      </c>
      <c r="L980" s="10">
        <f t="shared" si="93"/>
        <v>0</v>
      </c>
      <c r="M980" s="10">
        <f t="shared" si="92"/>
        <v>0</v>
      </c>
      <c r="N980" s="10"/>
      <c r="O980" s="10"/>
      <c r="P980" s="10">
        <v>0</v>
      </c>
      <c r="Q980" s="10"/>
      <c r="R980" s="10"/>
      <c r="S980" s="10"/>
      <c r="T980" s="10"/>
      <c r="U980" s="10"/>
      <c r="V980" s="4" t="s">
        <v>411</v>
      </c>
      <c r="W980" s="4"/>
      <c r="X980" s="8">
        <v>45235</v>
      </c>
      <c r="Y980" s="4"/>
      <c r="Z980" s="4"/>
      <c r="AA980" s="8">
        <v>45236</v>
      </c>
      <c r="AB980" s="8">
        <v>45251</v>
      </c>
      <c r="AC980" s="4"/>
      <c r="AD980" s="4"/>
    </row>
    <row r="981" spans="1:30" hidden="1">
      <c r="A981" s="4">
        <v>1048</v>
      </c>
      <c r="B981" s="8">
        <v>45231</v>
      </c>
      <c r="C981" s="4"/>
      <c r="D981" s="4" t="s">
        <v>42</v>
      </c>
      <c r="E981" s="8">
        <v>45245</v>
      </c>
      <c r="F981" s="4" t="s">
        <v>43</v>
      </c>
      <c r="G981" s="15" t="s">
        <v>1021</v>
      </c>
      <c r="H981" s="4" t="s">
        <v>45</v>
      </c>
      <c r="I981" s="4" t="s">
        <v>48</v>
      </c>
      <c r="J981" s="10">
        <v>121.8963</v>
      </c>
      <c r="K981" s="10">
        <f>16.092+8.784+8.693+26.026+23.369+33.486+1.751+0.982+2.865</f>
        <v>122.04799999999999</v>
      </c>
      <c r="L981" s="10">
        <f t="shared" si="93"/>
        <v>0</v>
      </c>
      <c r="M981" s="10">
        <f t="shared" si="92"/>
        <v>0</v>
      </c>
      <c r="N981" s="10"/>
      <c r="O981" s="10"/>
      <c r="P981" s="10">
        <v>0</v>
      </c>
      <c r="Q981" s="10"/>
      <c r="R981" s="10"/>
      <c r="S981" s="10"/>
      <c r="T981" s="10"/>
      <c r="U981" s="10"/>
      <c r="V981" s="4" t="s">
        <v>411</v>
      </c>
      <c r="W981" s="4"/>
      <c r="X981" s="8">
        <v>45236</v>
      </c>
      <c r="Y981" s="4"/>
      <c r="Z981" s="4"/>
      <c r="AA981" s="8"/>
      <c r="AB981" s="8">
        <v>45251</v>
      </c>
      <c r="AC981" s="4"/>
      <c r="AD981" s="4"/>
    </row>
    <row r="982" spans="1:30" hidden="1">
      <c r="A982" s="4">
        <v>1048</v>
      </c>
      <c r="B982" s="8">
        <v>45231</v>
      </c>
      <c r="C982" s="4"/>
      <c r="D982" s="4" t="s">
        <v>42</v>
      </c>
      <c r="E982" s="8">
        <v>45245</v>
      </c>
      <c r="F982" s="4" t="s">
        <v>43</v>
      </c>
      <c r="G982" s="15" t="s">
        <v>1021</v>
      </c>
      <c r="H982" s="4" t="s">
        <v>45</v>
      </c>
      <c r="I982" s="4" t="s">
        <v>516</v>
      </c>
      <c r="J982" s="10">
        <v>10.053119999999998</v>
      </c>
      <c r="K982" s="10">
        <f>6.283+2.334+1.436</f>
        <v>10.053000000000001</v>
      </c>
      <c r="L982" s="10">
        <f t="shared" si="93"/>
        <v>0</v>
      </c>
      <c r="M982" s="10">
        <f t="shared" si="92"/>
        <v>0</v>
      </c>
      <c r="N982" s="10"/>
      <c r="O982" s="10"/>
      <c r="P982" s="10"/>
      <c r="Q982" s="10"/>
      <c r="R982" s="10"/>
      <c r="S982" s="10"/>
      <c r="T982" s="10"/>
      <c r="U982" s="10"/>
      <c r="V982" s="4" t="s">
        <v>411</v>
      </c>
      <c r="W982" s="4"/>
      <c r="X982" s="8">
        <v>45240</v>
      </c>
      <c r="Y982" s="4"/>
      <c r="Z982" s="4"/>
      <c r="AA982" s="8"/>
      <c r="AB982" s="8"/>
      <c r="AC982" s="4"/>
      <c r="AD982" s="4"/>
    </row>
    <row r="983" spans="1:30" hidden="1">
      <c r="A983" s="4">
        <v>1048</v>
      </c>
      <c r="B983" s="8">
        <v>45231</v>
      </c>
      <c r="C983" s="4"/>
      <c r="D983" s="4" t="s">
        <v>42</v>
      </c>
      <c r="E983" s="8">
        <v>45245</v>
      </c>
      <c r="F983" s="4" t="s">
        <v>43</v>
      </c>
      <c r="G983" s="15" t="s">
        <v>1021</v>
      </c>
      <c r="H983" s="4" t="s">
        <v>45</v>
      </c>
      <c r="I983" s="4" t="s">
        <v>46</v>
      </c>
      <c r="J983" s="10">
        <v>24.2272</v>
      </c>
      <c r="K983" s="10">
        <v>24.227</v>
      </c>
      <c r="L983" s="10">
        <f t="shared" si="93"/>
        <v>0</v>
      </c>
      <c r="M983" s="10">
        <f t="shared" si="92"/>
        <v>0</v>
      </c>
      <c r="N983" s="10"/>
      <c r="O983" s="10"/>
      <c r="P983" s="10">
        <v>0</v>
      </c>
      <c r="Q983" s="10"/>
      <c r="R983" s="10"/>
      <c r="S983" s="10"/>
      <c r="T983" s="10"/>
      <c r="U983" s="10"/>
      <c r="V983" s="4" t="s">
        <v>411</v>
      </c>
      <c r="W983" s="4"/>
      <c r="X983" s="8">
        <v>45253</v>
      </c>
      <c r="Y983" s="4"/>
      <c r="Z983" s="4"/>
      <c r="AA983" s="8"/>
      <c r="AB983" s="8"/>
      <c r="AC983" s="4"/>
      <c r="AD983" s="4"/>
    </row>
    <row r="984" spans="1:30" hidden="1">
      <c r="A984" s="4">
        <v>1048</v>
      </c>
      <c r="B984" s="8">
        <v>45231</v>
      </c>
      <c r="C984" s="4"/>
      <c r="D984" s="4" t="s">
        <v>42</v>
      </c>
      <c r="E984" s="8">
        <v>45245</v>
      </c>
      <c r="F984" s="4" t="s">
        <v>43</v>
      </c>
      <c r="G984" s="15" t="s">
        <v>1021</v>
      </c>
      <c r="H984" s="4" t="s">
        <v>45</v>
      </c>
      <c r="I984" s="4" t="s">
        <v>49</v>
      </c>
      <c r="J984" s="10">
        <v>65.665599999999984</v>
      </c>
      <c r="K984" s="10">
        <f>28.816+32.287+4.675</f>
        <v>65.777999999999992</v>
      </c>
      <c r="L984" s="10">
        <f t="shared" si="93"/>
        <v>0</v>
      </c>
      <c r="M984" s="10">
        <f t="shared" si="92"/>
        <v>0</v>
      </c>
      <c r="N984" s="10"/>
      <c r="O984" s="10"/>
      <c r="P984" s="10"/>
      <c r="Q984" s="10"/>
      <c r="R984" s="10"/>
      <c r="S984" s="10"/>
      <c r="T984" s="10"/>
      <c r="U984" s="10"/>
      <c r="V984" s="4" t="s">
        <v>411</v>
      </c>
      <c r="W984" s="4"/>
      <c r="X984" s="8">
        <v>45241</v>
      </c>
      <c r="Y984" s="4"/>
      <c r="Z984" s="4"/>
      <c r="AA984" s="8">
        <v>45246</v>
      </c>
      <c r="AB984" s="8"/>
      <c r="AC984" s="4"/>
      <c r="AD984" s="4"/>
    </row>
    <row r="985" spans="1:30" hidden="1">
      <c r="A985" s="4">
        <v>1048</v>
      </c>
      <c r="B985" s="8">
        <v>45231</v>
      </c>
      <c r="C985" s="4"/>
      <c r="D985" s="4" t="s">
        <v>42</v>
      </c>
      <c r="E985" s="8">
        <v>45245</v>
      </c>
      <c r="F985" s="4" t="s">
        <v>43</v>
      </c>
      <c r="G985" s="15" t="s">
        <v>1021</v>
      </c>
      <c r="H985" s="4" t="s">
        <v>45</v>
      </c>
      <c r="I985" s="4" t="s">
        <v>1288</v>
      </c>
      <c r="J985" s="10">
        <v>5.5401600000000002</v>
      </c>
      <c r="K985" s="10">
        <v>5.54</v>
      </c>
      <c r="L985" s="10">
        <f t="shared" si="93"/>
        <v>0</v>
      </c>
      <c r="M985" s="10">
        <f t="shared" si="92"/>
        <v>0</v>
      </c>
      <c r="N985" s="10"/>
      <c r="O985" s="10"/>
      <c r="P985" s="10">
        <v>0</v>
      </c>
      <c r="Q985" s="10"/>
      <c r="R985" s="10"/>
      <c r="S985" s="10"/>
      <c r="T985" s="10"/>
      <c r="U985" s="10"/>
      <c r="V985" s="4" t="s">
        <v>411</v>
      </c>
      <c r="W985" s="4"/>
      <c r="X985" s="8">
        <v>45241</v>
      </c>
      <c r="Y985" s="4"/>
      <c r="Z985" s="4"/>
      <c r="AA985" s="8"/>
      <c r="AB985" s="8"/>
      <c r="AC985" s="4"/>
      <c r="AD985" s="4"/>
    </row>
    <row r="986" spans="1:30" hidden="1">
      <c r="A986" s="4">
        <v>1048</v>
      </c>
      <c r="B986" s="8">
        <v>45231</v>
      </c>
      <c r="C986" s="4"/>
      <c r="D986" s="4" t="s">
        <v>42</v>
      </c>
      <c r="E986" s="8">
        <v>45245</v>
      </c>
      <c r="F986" s="4" t="s">
        <v>43</v>
      </c>
      <c r="G986" s="15" t="s">
        <v>1021</v>
      </c>
      <c r="H986" s="4" t="s">
        <v>45</v>
      </c>
      <c r="I986" s="4" t="s">
        <v>50</v>
      </c>
      <c r="J986" s="10">
        <v>5.0568</v>
      </c>
      <c r="K986" s="10">
        <f>4.172+0.885</f>
        <v>5.0569999999999995</v>
      </c>
      <c r="L986" s="10">
        <f t="shared" si="93"/>
        <v>0</v>
      </c>
      <c r="M986" s="10">
        <f t="shared" si="92"/>
        <v>0</v>
      </c>
      <c r="N986" s="10"/>
      <c r="O986" s="10"/>
      <c r="P986" s="10">
        <v>0</v>
      </c>
      <c r="Q986" s="10"/>
      <c r="R986" s="10"/>
      <c r="S986" s="10"/>
      <c r="T986" s="10"/>
      <c r="U986" s="10"/>
      <c r="V986" s="4" t="s">
        <v>411</v>
      </c>
      <c r="W986" s="4"/>
      <c r="X986" s="8"/>
      <c r="Y986" s="4"/>
      <c r="Z986" s="4"/>
      <c r="AA986" s="8"/>
      <c r="AB986" s="8">
        <v>45251</v>
      </c>
      <c r="AC986" s="4"/>
      <c r="AD986" s="4"/>
    </row>
    <row r="987" spans="1:30" hidden="1">
      <c r="A987" s="4">
        <v>1048</v>
      </c>
      <c r="B987" s="8">
        <v>45231</v>
      </c>
      <c r="C987" s="4"/>
      <c r="D987" s="4" t="s">
        <v>42</v>
      </c>
      <c r="E987" s="8">
        <v>45245</v>
      </c>
      <c r="F987" s="4" t="s">
        <v>43</v>
      </c>
      <c r="G987" s="15" t="s">
        <v>1021</v>
      </c>
      <c r="H987" s="4" t="s">
        <v>45</v>
      </c>
      <c r="I987" s="4" t="s">
        <v>588</v>
      </c>
      <c r="J987" s="10">
        <v>102.762</v>
      </c>
      <c r="K987" s="10">
        <f>2.442+18.57+28.837+28.571+24.343</f>
        <v>102.76300000000001</v>
      </c>
      <c r="L987" s="10">
        <f t="shared" si="93"/>
        <v>0</v>
      </c>
      <c r="M987" s="10">
        <f t="shared" si="92"/>
        <v>0</v>
      </c>
      <c r="N987" s="10"/>
      <c r="O987" s="10"/>
      <c r="P987" s="10">
        <v>0</v>
      </c>
      <c r="Q987" s="10"/>
      <c r="R987" s="10"/>
      <c r="S987" s="10"/>
      <c r="T987" s="10"/>
      <c r="U987" s="10"/>
      <c r="V987" s="4" t="s">
        <v>411</v>
      </c>
      <c r="W987" s="4"/>
      <c r="X987" s="8">
        <v>45241</v>
      </c>
      <c r="Y987" s="4"/>
      <c r="Z987" s="4"/>
      <c r="AA987" s="8"/>
      <c r="AB987" s="8"/>
      <c r="AC987" s="4"/>
      <c r="AD987" s="4"/>
    </row>
    <row r="988" spans="1:30" hidden="1">
      <c r="A988" s="4">
        <v>1048</v>
      </c>
      <c r="B988" s="8">
        <v>45231</v>
      </c>
      <c r="C988" s="4"/>
      <c r="D988" s="4" t="s">
        <v>42</v>
      </c>
      <c r="E988" s="8">
        <v>45245</v>
      </c>
      <c r="F988" s="4" t="s">
        <v>43</v>
      </c>
      <c r="G988" s="15" t="s">
        <v>1021</v>
      </c>
      <c r="H988" s="4" t="s">
        <v>45</v>
      </c>
      <c r="I988" s="4" t="s">
        <v>409</v>
      </c>
      <c r="J988" s="10">
        <v>21.59872</v>
      </c>
      <c r="K988" s="10">
        <v>21.599</v>
      </c>
      <c r="L988" s="10">
        <f t="shared" si="93"/>
        <v>0</v>
      </c>
      <c r="M988" s="10">
        <f t="shared" si="92"/>
        <v>0</v>
      </c>
      <c r="N988" s="10"/>
      <c r="O988" s="10">
        <v>0</v>
      </c>
      <c r="P988" s="10"/>
      <c r="Q988" s="10"/>
      <c r="R988" s="10"/>
      <c r="S988" s="10"/>
      <c r="T988" s="10"/>
      <c r="U988" s="10"/>
      <c r="V988" s="4" t="s">
        <v>411</v>
      </c>
      <c r="W988" s="4"/>
      <c r="X988" s="8">
        <v>45247</v>
      </c>
      <c r="Y988" s="4"/>
      <c r="Z988" s="4"/>
      <c r="AA988" s="8"/>
      <c r="AB988" s="8"/>
      <c r="AC988" s="4"/>
      <c r="AD988" s="4"/>
    </row>
    <row r="989" spans="1:30" hidden="1">
      <c r="A989" s="4">
        <v>1048</v>
      </c>
      <c r="B989" s="8">
        <v>45231</v>
      </c>
      <c r="C989" s="4"/>
      <c r="D989" s="4" t="s">
        <v>42</v>
      </c>
      <c r="E989" s="8">
        <v>45245</v>
      </c>
      <c r="F989" s="4" t="s">
        <v>43</v>
      </c>
      <c r="G989" s="15" t="s">
        <v>1021</v>
      </c>
      <c r="H989" s="4" t="s">
        <v>45</v>
      </c>
      <c r="I989" s="4" t="s">
        <v>837</v>
      </c>
      <c r="J989" s="10">
        <v>28.532399999999999</v>
      </c>
      <c r="K989" s="10">
        <v>28.532</v>
      </c>
      <c r="L989" s="10">
        <f t="shared" si="93"/>
        <v>0</v>
      </c>
      <c r="M989" s="10">
        <f t="shared" si="92"/>
        <v>0</v>
      </c>
      <c r="N989" s="10"/>
      <c r="O989" s="10"/>
      <c r="P989" s="10">
        <v>0</v>
      </c>
      <c r="Q989" s="10"/>
      <c r="R989" s="10"/>
      <c r="S989" s="10"/>
      <c r="T989" s="10"/>
      <c r="U989" s="10"/>
      <c r="V989" s="4" t="s">
        <v>411</v>
      </c>
      <c r="W989" s="4"/>
      <c r="X989" s="8">
        <v>45257</v>
      </c>
      <c r="Y989" s="4"/>
      <c r="Z989" s="4"/>
      <c r="AA989" s="8"/>
      <c r="AB989" s="8"/>
      <c r="AC989" s="4"/>
      <c r="AD989" s="4"/>
    </row>
    <row r="990" spans="1:30" hidden="1">
      <c r="A990" s="4">
        <v>1048</v>
      </c>
      <c r="B990" s="8">
        <v>45231</v>
      </c>
      <c r="C990" s="4"/>
      <c r="D990" s="4" t="s">
        <v>42</v>
      </c>
      <c r="E990" s="8">
        <v>45245</v>
      </c>
      <c r="F990" s="4" t="s">
        <v>43</v>
      </c>
      <c r="G990" s="15" t="s">
        <v>1021</v>
      </c>
      <c r="H990" s="4" t="s">
        <v>45</v>
      </c>
      <c r="I990" s="4" t="s">
        <v>579</v>
      </c>
      <c r="J990" s="10">
        <v>57.082239999999999</v>
      </c>
      <c r="K990" s="10">
        <f>28.405+28.677</f>
        <v>57.082000000000001</v>
      </c>
      <c r="L990" s="10">
        <f t="shared" si="93"/>
        <v>0</v>
      </c>
      <c r="M990" s="10">
        <f t="shared" si="92"/>
        <v>0</v>
      </c>
      <c r="N990" s="10"/>
      <c r="O990" s="10"/>
      <c r="P990" s="10">
        <v>0</v>
      </c>
      <c r="Q990" s="10"/>
      <c r="R990" s="10"/>
      <c r="S990" s="10"/>
      <c r="T990" s="10"/>
      <c r="U990" s="10"/>
      <c r="V990" s="4" t="s">
        <v>411</v>
      </c>
      <c r="W990" s="4"/>
      <c r="X990" s="8"/>
      <c r="Y990" s="4"/>
      <c r="Z990" s="4"/>
      <c r="AA990" s="8">
        <v>45260</v>
      </c>
      <c r="AB990" s="8"/>
      <c r="AC990" s="4"/>
      <c r="AD990" s="4"/>
    </row>
    <row r="991" spans="1:30" hidden="1">
      <c r="A991" s="4">
        <v>1048</v>
      </c>
      <c r="B991" s="8">
        <v>45231</v>
      </c>
      <c r="C991" s="4"/>
      <c r="D991" s="4" t="s">
        <v>42</v>
      </c>
      <c r="E991" s="8">
        <v>45245</v>
      </c>
      <c r="F991" s="4" t="s">
        <v>43</v>
      </c>
      <c r="G991" s="15" t="s">
        <v>1021</v>
      </c>
      <c r="H991" s="4" t="s">
        <v>45</v>
      </c>
      <c r="I991" s="4" t="s">
        <v>448</v>
      </c>
      <c r="J991" s="10">
        <v>76.482640000000004</v>
      </c>
      <c r="K991" s="10">
        <f>32.286+22.741+4.38+17.075</f>
        <v>76.481999999999999</v>
      </c>
      <c r="L991" s="10">
        <f t="shared" si="93"/>
        <v>0</v>
      </c>
      <c r="M991" s="10">
        <f t="shared" si="92"/>
        <v>0</v>
      </c>
      <c r="N991" s="10"/>
      <c r="O991" s="10"/>
      <c r="P991" s="10">
        <v>0</v>
      </c>
      <c r="Q991" s="10"/>
      <c r="R991" s="10"/>
      <c r="S991" s="10"/>
      <c r="T991" s="10"/>
      <c r="U991" s="10"/>
      <c r="V991" s="4" t="s">
        <v>411</v>
      </c>
      <c r="W991" s="4"/>
      <c r="X991" s="8">
        <v>45255</v>
      </c>
      <c r="Y991" s="4"/>
      <c r="Z991" s="4"/>
      <c r="AA991" s="8"/>
      <c r="AB991" s="8"/>
      <c r="AC991" s="4"/>
      <c r="AD991" s="4"/>
    </row>
    <row r="992" spans="1:30" hidden="1">
      <c r="A992" s="4">
        <v>1048</v>
      </c>
      <c r="B992" s="8">
        <v>45231</v>
      </c>
      <c r="C992" s="4"/>
      <c r="D992" s="4" t="s">
        <v>42</v>
      </c>
      <c r="E992" s="8">
        <v>45245</v>
      </c>
      <c r="F992" s="4" t="s">
        <v>43</v>
      </c>
      <c r="G992" s="15" t="s">
        <v>1021</v>
      </c>
      <c r="H992" s="4" t="s">
        <v>45</v>
      </c>
      <c r="I992" s="4" t="s">
        <v>449</v>
      </c>
      <c r="J992" s="10">
        <v>92.611229999999992</v>
      </c>
      <c r="K992" s="10">
        <f>32.795+32.468+8.821+14.065+4.462</f>
        <v>92.611000000000004</v>
      </c>
      <c r="L992" s="10">
        <f t="shared" si="93"/>
        <v>0</v>
      </c>
      <c r="M992" s="10">
        <f t="shared" si="92"/>
        <v>0</v>
      </c>
      <c r="N992" s="10"/>
      <c r="O992" s="10"/>
      <c r="P992" s="10">
        <v>0</v>
      </c>
      <c r="Q992" s="10"/>
      <c r="R992" s="10"/>
      <c r="S992" s="10"/>
      <c r="T992" s="10"/>
      <c r="U992" s="10"/>
      <c r="V992" s="4" t="s">
        <v>411</v>
      </c>
      <c r="W992" s="4"/>
      <c r="X992" s="8">
        <v>45255</v>
      </c>
      <c r="Y992" s="4"/>
      <c r="Z992" s="4"/>
      <c r="AA992" s="8">
        <v>45261</v>
      </c>
      <c r="AB992" s="8"/>
      <c r="AC992" s="4"/>
      <c r="AD992" s="4"/>
    </row>
    <row r="993" spans="1:30" hidden="1">
      <c r="A993" s="4">
        <v>1048</v>
      </c>
      <c r="B993" s="8">
        <v>45231</v>
      </c>
      <c r="C993" s="4"/>
      <c r="D993" s="4" t="s">
        <v>42</v>
      </c>
      <c r="E993" s="8">
        <v>45245</v>
      </c>
      <c r="F993" s="4" t="s">
        <v>43</v>
      </c>
      <c r="G993" s="15" t="s">
        <v>1021</v>
      </c>
      <c r="H993" s="4" t="s">
        <v>45</v>
      </c>
      <c r="I993" s="4" t="s">
        <v>447</v>
      </c>
      <c r="J993" s="10">
        <v>172.31370999999999</v>
      </c>
      <c r="K993" s="10">
        <f>31.436+32.6+31.824+32.212+7.001+16.337+18.671+2.282</f>
        <v>172.363</v>
      </c>
      <c r="L993" s="10">
        <f t="shared" si="93"/>
        <v>0</v>
      </c>
      <c r="M993" s="10">
        <f t="shared" si="92"/>
        <v>0</v>
      </c>
      <c r="N993" s="10"/>
      <c r="O993" s="10"/>
      <c r="P993" s="10">
        <v>0</v>
      </c>
      <c r="Q993" s="10"/>
      <c r="R993" s="10"/>
      <c r="S993" s="10"/>
      <c r="T993" s="10"/>
      <c r="U993" s="10"/>
      <c r="V993" s="4" t="s">
        <v>411</v>
      </c>
      <c r="W993" s="4"/>
      <c r="X993" s="8">
        <v>45254</v>
      </c>
      <c r="Y993" s="4"/>
      <c r="Z993" s="4"/>
      <c r="AA993" s="8"/>
      <c r="AB993" s="8">
        <v>45264</v>
      </c>
      <c r="AC993" s="4"/>
      <c r="AD993" s="4"/>
    </row>
    <row r="994" spans="1:30" hidden="1">
      <c r="A994" s="4">
        <v>1048</v>
      </c>
      <c r="B994" s="8">
        <v>45231</v>
      </c>
      <c r="C994" s="4"/>
      <c r="D994" s="4" t="s">
        <v>42</v>
      </c>
      <c r="E994" s="8">
        <v>45245</v>
      </c>
      <c r="F994" s="4" t="s">
        <v>43</v>
      </c>
      <c r="G994" s="15" t="s">
        <v>1021</v>
      </c>
      <c r="H994" s="4" t="s">
        <v>45</v>
      </c>
      <c r="I994" s="4" t="s">
        <v>473</v>
      </c>
      <c r="J994" s="10">
        <v>4.3093360000000001</v>
      </c>
      <c r="K994" s="10">
        <v>4.3090000000000002</v>
      </c>
      <c r="L994" s="10">
        <f t="shared" si="93"/>
        <v>0</v>
      </c>
      <c r="M994" s="10">
        <f t="shared" si="92"/>
        <v>0</v>
      </c>
      <c r="N994" s="10"/>
      <c r="O994" s="10"/>
      <c r="P994" s="10">
        <v>0</v>
      </c>
      <c r="Q994" s="10"/>
      <c r="R994" s="10"/>
      <c r="S994" s="10"/>
      <c r="T994" s="10"/>
      <c r="U994" s="10"/>
      <c r="V994" s="4" t="s">
        <v>411</v>
      </c>
      <c r="W994" s="4"/>
      <c r="X994" s="8">
        <v>45251</v>
      </c>
      <c r="Y994" s="4"/>
      <c r="Z994" s="4"/>
      <c r="AA994" s="8"/>
      <c r="AB994" s="8"/>
      <c r="AC994" s="4"/>
      <c r="AD994" s="4"/>
    </row>
    <row r="995" spans="1:30" hidden="1">
      <c r="A995" s="4">
        <v>1048</v>
      </c>
      <c r="B995" s="8">
        <v>45231</v>
      </c>
      <c r="C995" s="4"/>
      <c r="D995" s="4" t="s">
        <v>42</v>
      </c>
      <c r="E995" s="8">
        <v>45245</v>
      </c>
      <c r="F995" s="4" t="s">
        <v>43</v>
      </c>
      <c r="G995" s="15" t="s">
        <v>1021</v>
      </c>
      <c r="H995" s="4" t="s">
        <v>45</v>
      </c>
      <c r="I995" s="4" t="s">
        <v>235</v>
      </c>
      <c r="J995" s="10">
        <v>15.634199999999998</v>
      </c>
      <c r="K995" s="10">
        <f>8.788+6.846</f>
        <v>15.634</v>
      </c>
      <c r="L995" s="10">
        <f t="shared" si="93"/>
        <v>0</v>
      </c>
      <c r="M995" s="10">
        <f t="shared" si="92"/>
        <v>0</v>
      </c>
      <c r="N995" s="10"/>
      <c r="O995" s="10"/>
      <c r="P995" s="10">
        <v>0</v>
      </c>
      <c r="Q995" s="10"/>
      <c r="R995" s="10"/>
      <c r="S995" s="10"/>
      <c r="T995" s="10"/>
      <c r="U995" s="10"/>
      <c r="V995" s="4" t="s">
        <v>411</v>
      </c>
      <c r="W995" s="4"/>
      <c r="X995" s="8">
        <v>45250</v>
      </c>
      <c r="Y995" s="4"/>
      <c r="Z995" s="4"/>
      <c r="AA995" s="8">
        <v>45252</v>
      </c>
      <c r="AB995" s="8"/>
      <c r="AC995" s="4"/>
      <c r="AD995" s="4"/>
    </row>
    <row r="996" spans="1:30" hidden="1">
      <c r="A996" s="4">
        <v>1048</v>
      </c>
      <c r="B996" s="8">
        <v>45231</v>
      </c>
      <c r="C996" s="4"/>
      <c r="D996" s="4" t="s">
        <v>42</v>
      </c>
      <c r="E996" s="8">
        <v>45245</v>
      </c>
      <c r="F996" s="4" t="s">
        <v>43</v>
      </c>
      <c r="G996" s="15" t="s">
        <v>1021</v>
      </c>
      <c r="H996" s="4" t="s">
        <v>45</v>
      </c>
      <c r="I996" s="4" t="s">
        <v>1289</v>
      </c>
      <c r="J996" s="10">
        <v>0.50939999999999996</v>
      </c>
      <c r="K996" s="10">
        <v>0.50900000000000001</v>
      </c>
      <c r="L996" s="10">
        <f t="shared" si="93"/>
        <v>0</v>
      </c>
      <c r="M996" s="10">
        <f t="shared" si="92"/>
        <v>0</v>
      </c>
      <c r="N996" s="10"/>
      <c r="O996" s="10"/>
      <c r="P996" s="10">
        <v>0</v>
      </c>
      <c r="Q996" s="10"/>
      <c r="R996" s="10"/>
      <c r="S996" s="10"/>
      <c r="T996" s="10"/>
      <c r="U996" s="10"/>
      <c r="V996" s="4" t="s">
        <v>411</v>
      </c>
      <c r="W996" s="4"/>
      <c r="X996" s="8">
        <v>45250</v>
      </c>
      <c r="Y996" s="4"/>
      <c r="Z996" s="4"/>
      <c r="AA996" s="8"/>
      <c r="AB996" s="8"/>
      <c r="AC996" s="4"/>
      <c r="AD996" s="4"/>
    </row>
    <row r="997" spans="1:30" hidden="1">
      <c r="A997" s="4">
        <v>1048</v>
      </c>
      <c r="B997" s="8">
        <v>45231</v>
      </c>
      <c r="C997" s="4"/>
      <c r="D997" s="4" t="s">
        <v>42</v>
      </c>
      <c r="E997" s="8">
        <v>45245</v>
      </c>
      <c r="F997" s="4" t="s">
        <v>43</v>
      </c>
      <c r="G997" s="15" t="s">
        <v>1021</v>
      </c>
      <c r="H997" s="4" t="s">
        <v>45</v>
      </c>
      <c r="I997" s="4" t="s">
        <v>100</v>
      </c>
      <c r="J997" s="10">
        <v>26.692799999999998</v>
      </c>
      <c r="K997" s="10">
        <f>13.683+7.333+2.988+2.689</f>
        <v>26.692999999999998</v>
      </c>
      <c r="L997" s="10">
        <f t="shared" si="93"/>
        <v>0</v>
      </c>
      <c r="M997" s="10">
        <f t="shared" si="92"/>
        <v>0</v>
      </c>
      <c r="N997" s="10"/>
      <c r="O997" s="10"/>
      <c r="P997" s="10">
        <v>0</v>
      </c>
      <c r="Q997" s="10"/>
      <c r="R997" s="10"/>
      <c r="S997" s="10"/>
      <c r="T997" s="10"/>
      <c r="U997" s="10"/>
      <c r="V997" s="4" t="s">
        <v>411</v>
      </c>
      <c r="W997" s="4"/>
      <c r="X997" s="8">
        <v>45239</v>
      </c>
      <c r="Y997" s="4"/>
      <c r="Z997" s="4"/>
      <c r="AA997" s="8">
        <v>45240</v>
      </c>
      <c r="AB997" s="8"/>
      <c r="AC997" s="4"/>
      <c r="AD997" s="4"/>
    </row>
    <row r="998" spans="1:30" hidden="1">
      <c r="A998" s="4">
        <v>1048</v>
      </c>
      <c r="B998" s="8">
        <v>45231</v>
      </c>
      <c r="C998" s="4"/>
      <c r="D998" s="4" t="s">
        <v>42</v>
      </c>
      <c r="E998" s="8">
        <v>45245</v>
      </c>
      <c r="F998" s="4" t="s">
        <v>43</v>
      </c>
      <c r="G998" s="15" t="s">
        <v>1021</v>
      </c>
      <c r="H998" s="4" t="s">
        <v>45</v>
      </c>
      <c r="I998" s="4" t="s">
        <v>96</v>
      </c>
      <c r="J998" s="10">
        <v>22.602720000000001</v>
      </c>
      <c r="K998" s="10">
        <f>11.432+2.981+2.078+3.26+2.852</f>
        <v>22.602999999999998</v>
      </c>
      <c r="L998" s="10">
        <f t="shared" si="93"/>
        <v>0</v>
      </c>
      <c r="M998" s="10">
        <f t="shared" si="92"/>
        <v>0</v>
      </c>
      <c r="N998" s="10"/>
      <c r="O998" s="10"/>
      <c r="P998" s="10">
        <v>0</v>
      </c>
      <c r="Q998" s="10"/>
      <c r="R998" s="10"/>
      <c r="S998" s="10"/>
      <c r="T998" s="10"/>
      <c r="U998" s="10"/>
      <c r="V998" s="4" t="s">
        <v>411</v>
      </c>
      <c r="W998" s="4"/>
      <c r="X998" s="8">
        <v>45239</v>
      </c>
      <c r="Y998" s="4"/>
      <c r="Z998" s="4"/>
      <c r="AA998" s="8">
        <v>45240</v>
      </c>
      <c r="AB998" s="8"/>
      <c r="AC998" s="4"/>
      <c r="AD998" s="4"/>
    </row>
    <row r="999" spans="1:30" hidden="1">
      <c r="A999" s="4">
        <v>1048</v>
      </c>
      <c r="B999" s="8">
        <v>45231</v>
      </c>
      <c r="C999" s="4"/>
      <c r="D999" s="4" t="s">
        <v>42</v>
      </c>
      <c r="E999" s="8">
        <v>45245</v>
      </c>
      <c r="F999" s="4" t="s">
        <v>43</v>
      </c>
      <c r="G999" s="15" t="s">
        <v>1293</v>
      </c>
      <c r="H999" s="4" t="s">
        <v>52</v>
      </c>
      <c r="I999" s="4" t="s">
        <v>54</v>
      </c>
      <c r="J999" s="10">
        <v>55.782240000000002</v>
      </c>
      <c r="K999" s="10">
        <f>25+20.45+4.454+5.471+0.417</f>
        <v>55.792000000000002</v>
      </c>
      <c r="L999" s="10">
        <f t="shared" si="93"/>
        <v>0</v>
      </c>
      <c r="M999" s="10">
        <f t="shared" si="92"/>
        <v>0</v>
      </c>
      <c r="N999" s="10"/>
      <c r="O999" s="10"/>
      <c r="P999" s="10">
        <v>0</v>
      </c>
      <c r="Q999" s="10"/>
      <c r="R999" s="10">
        <v>0</v>
      </c>
      <c r="S999" s="10"/>
      <c r="T999" s="10"/>
      <c r="U999" s="10"/>
      <c r="V999" s="4" t="s">
        <v>411</v>
      </c>
      <c r="W999" s="4"/>
      <c r="X999" s="8">
        <v>45237</v>
      </c>
      <c r="Y999" s="4"/>
      <c r="Z999" s="4"/>
      <c r="AA999" s="8">
        <v>45238</v>
      </c>
      <c r="AB999" s="8">
        <v>45251</v>
      </c>
      <c r="AC999" s="4"/>
      <c r="AD999" s="4"/>
    </row>
    <row r="1000" spans="1:30" hidden="1">
      <c r="A1000" s="4">
        <v>1048</v>
      </c>
      <c r="B1000" s="8">
        <v>45231</v>
      </c>
      <c r="C1000" s="4"/>
      <c r="D1000" s="4" t="s">
        <v>42</v>
      </c>
      <c r="E1000" s="8">
        <v>45245</v>
      </c>
      <c r="F1000" s="4" t="s">
        <v>43</v>
      </c>
      <c r="G1000" s="15" t="s">
        <v>1293</v>
      </c>
      <c r="H1000" s="4" t="s">
        <v>52</v>
      </c>
      <c r="I1000" s="4" t="s">
        <v>56</v>
      </c>
      <c r="J1000" s="10">
        <v>11.128</v>
      </c>
      <c r="K1000" s="10">
        <f>4.869+5.425+0.837</f>
        <v>11.131</v>
      </c>
      <c r="L1000" s="10">
        <f t="shared" si="93"/>
        <v>0</v>
      </c>
      <c r="M1000" s="10">
        <f t="shared" si="92"/>
        <v>0</v>
      </c>
      <c r="N1000" s="10"/>
      <c r="O1000" s="10"/>
      <c r="P1000" s="10">
        <v>0</v>
      </c>
      <c r="Q1000" s="10"/>
      <c r="R1000" s="10">
        <v>0</v>
      </c>
      <c r="S1000" s="10"/>
      <c r="T1000" s="10"/>
      <c r="U1000" s="10"/>
      <c r="V1000" s="4" t="s">
        <v>411</v>
      </c>
      <c r="W1000" s="4"/>
      <c r="X1000" s="8">
        <v>45237</v>
      </c>
      <c r="Y1000" s="4"/>
      <c r="Z1000" s="4"/>
      <c r="AA1000" s="8"/>
      <c r="AB1000" s="8">
        <v>45251</v>
      </c>
      <c r="AC1000" s="4"/>
      <c r="AD1000" s="4"/>
    </row>
    <row r="1001" spans="1:30" hidden="1">
      <c r="A1001" s="4">
        <v>1048</v>
      </c>
      <c r="B1001" s="8">
        <v>45231</v>
      </c>
      <c r="C1001" s="4"/>
      <c r="D1001" s="4" t="s">
        <v>42</v>
      </c>
      <c r="E1001" s="8">
        <v>45245</v>
      </c>
      <c r="F1001" s="4" t="s">
        <v>43</v>
      </c>
      <c r="G1001" s="15" t="s">
        <v>1293</v>
      </c>
      <c r="H1001" s="4" t="s">
        <v>52</v>
      </c>
      <c r="I1001" s="4" t="s">
        <v>48</v>
      </c>
      <c r="J1001" s="10">
        <v>7.7591999999999999</v>
      </c>
      <c r="K1001" s="10">
        <f>6.447+1.313</f>
        <v>7.76</v>
      </c>
      <c r="L1001" s="10">
        <f t="shared" si="93"/>
        <v>0</v>
      </c>
      <c r="M1001" s="10">
        <f t="shared" si="92"/>
        <v>0</v>
      </c>
      <c r="N1001" s="10"/>
      <c r="O1001" s="10"/>
      <c r="P1001" s="10">
        <v>0</v>
      </c>
      <c r="Q1001" s="10"/>
      <c r="R1001" s="10">
        <v>0</v>
      </c>
      <c r="S1001" s="10"/>
      <c r="T1001" s="10"/>
      <c r="U1001" s="10"/>
      <c r="V1001" s="4" t="s">
        <v>411</v>
      </c>
      <c r="W1001" s="4"/>
      <c r="X1001" s="8">
        <v>45237</v>
      </c>
      <c r="Y1001" s="4"/>
      <c r="Z1001" s="4"/>
      <c r="AA1001" s="8"/>
      <c r="AB1001" s="8">
        <v>45250</v>
      </c>
      <c r="AC1001" s="4"/>
      <c r="AD1001" s="4"/>
    </row>
    <row r="1002" spans="1:30" hidden="1">
      <c r="A1002" s="4">
        <v>1048</v>
      </c>
      <c r="B1002" s="8">
        <v>45231</v>
      </c>
      <c r="C1002" s="4"/>
      <c r="D1002" s="4" t="s">
        <v>42</v>
      </c>
      <c r="E1002" s="8">
        <v>45245</v>
      </c>
      <c r="F1002" s="4" t="s">
        <v>43</v>
      </c>
      <c r="G1002" s="15" t="s">
        <v>1293</v>
      </c>
      <c r="H1002" s="4" t="s">
        <v>52</v>
      </c>
      <c r="I1002" s="4" t="s">
        <v>46</v>
      </c>
      <c r="J1002" s="10">
        <v>0.41808000000000001</v>
      </c>
      <c r="K1002" s="10">
        <v>0.64300000000000002</v>
      </c>
      <c r="L1002" s="10">
        <f t="shared" si="93"/>
        <v>0</v>
      </c>
      <c r="M1002" s="10">
        <f t="shared" si="92"/>
        <v>0</v>
      </c>
      <c r="N1002" s="10"/>
      <c r="O1002" s="10"/>
      <c r="P1002" s="10"/>
      <c r="Q1002" s="10"/>
      <c r="R1002" s="10">
        <v>0</v>
      </c>
      <c r="S1002" s="10"/>
      <c r="T1002" s="10"/>
      <c r="U1002" s="10"/>
      <c r="V1002" s="4" t="s">
        <v>411</v>
      </c>
      <c r="W1002" s="4" t="s">
        <v>1071</v>
      </c>
      <c r="X1002" s="8"/>
      <c r="Y1002" s="4"/>
      <c r="Z1002" s="4"/>
      <c r="AA1002" s="8">
        <v>45260</v>
      </c>
      <c r="AB1002" s="8">
        <v>45260</v>
      </c>
      <c r="AC1002" s="4"/>
      <c r="AD1002" s="4"/>
    </row>
    <row r="1003" spans="1:30" hidden="1">
      <c r="A1003" s="4">
        <v>1048</v>
      </c>
      <c r="B1003" s="8">
        <v>45231</v>
      </c>
      <c r="C1003" s="4"/>
      <c r="D1003" s="4" t="s">
        <v>42</v>
      </c>
      <c r="E1003" s="8">
        <v>45245</v>
      </c>
      <c r="F1003" s="4" t="s">
        <v>43</v>
      </c>
      <c r="G1003" s="15" t="s">
        <v>1293</v>
      </c>
      <c r="H1003" s="4" t="s">
        <v>52</v>
      </c>
      <c r="I1003" s="4" t="s">
        <v>472</v>
      </c>
      <c r="J1003" s="10">
        <v>31.364352</v>
      </c>
      <c r="K1003" s="10">
        <f>28.038+3.327</f>
        <v>31.365000000000002</v>
      </c>
      <c r="L1003" s="10">
        <f t="shared" si="93"/>
        <v>0</v>
      </c>
      <c r="M1003" s="10">
        <f t="shared" si="92"/>
        <v>0</v>
      </c>
      <c r="N1003" s="10"/>
      <c r="O1003" s="10"/>
      <c r="P1003" s="10">
        <v>0</v>
      </c>
      <c r="Q1003" s="10"/>
      <c r="R1003" s="10">
        <v>0</v>
      </c>
      <c r="S1003" s="10"/>
      <c r="T1003" s="10"/>
      <c r="U1003" s="10"/>
      <c r="V1003" s="4" t="s">
        <v>411</v>
      </c>
      <c r="W1003" s="4"/>
      <c r="X1003" s="8">
        <v>45251</v>
      </c>
      <c r="Y1003" s="4"/>
      <c r="Z1003" s="4"/>
      <c r="AA1003" s="8">
        <v>45260</v>
      </c>
      <c r="AB1003" s="8">
        <v>45260</v>
      </c>
      <c r="AC1003" s="4"/>
      <c r="AD1003" s="4"/>
    </row>
    <row r="1004" spans="1:30" hidden="1">
      <c r="A1004" s="4">
        <v>1048</v>
      </c>
      <c r="B1004" s="8">
        <v>45231</v>
      </c>
      <c r="C1004" s="4"/>
      <c r="D1004" s="4" t="s">
        <v>42</v>
      </c>
      <c r="E1004" s="8">
        <v>45245</v>
      </c>
      <c r="F1004" s="4" t="s">
        <v>43</v>
      </c>
      <c r="G1004" s="15" t="s">
        <v>1293</v>
      </c>
      <c r="H1004" s="4" t="s">
        <v>52</v>
      </c>
      <c r="I1004" s="4" t="s">
        <v>473</v>
      </c>
      <c r="J1004" s="10">
        <v>0.65759999999999996</v>
      </c>
      <c r="K1004" s="10">
        <v>0.65800000000000003</v>
      </c>
      <c r="L1004" s="10">
        <f t="shared" si="93"/>
        <v>0</v>
      </c>
      <c r="M1004" s="10">
        <f t="shared" si="92"/>
        <v>0</v>
      </c>
      <c r="N1004" s="10"/>
      <c r="O1004" s="10"/>
      <c r="P1004" s="10">
        <v>0</v>
      </c>
      <c r="Q1004" s="10"/>
      <c r="R1004" s="10"/>
      <c r="S1004" s="10"/>
      <c r="T1004" s="10"/>
      <c r="U1004" s="10"/>
      <c r="V1004" s="4" t="s">
        <v>411</v>
      </c>
      <c r="W1004" s="4"/>
      <c r="X1004" s="8">
        <v>45251</v>
      </c>
      <c r="Y1004" s="4"/>
      <c r="Z1004" s="4"/>
      <c r="AA1004" s="8">
        <v>45260</v>
      </c>
      <c r="AB1004" s="8">
        <v>45260</v>
      </c>
      <c r="AC1004" s="4"/>
      <c r="AD1004" s="4"/>
    </row>
    <row r="1005" spans="1:30" hidden="1">
      <c r="A1005" s="4">
        <v>1048</v>
      </c>
      <c r="B1005" s="8">
        <v>45231</v>
      </c>
      <c r="C1005" s="4"/>
      <c r="D1005" s="4" t="s">
        <v>42</v>
      </c>
      <c r="E1005" s="8">
        <v>45245</v>
      </c>
      <c r="F1005" s="4" t="s">
        <v>43</v>
      </c>
      <c r="G1005" s="15" t="s">
        <v>1293</v>
      </c>
      <c r="H1005" s="4" t="s">
        <v>52</v>
      </c>
      <c r="I1005" s="4" t="s">
        <v>237</v>
      </c>
      <c r="J1005" s="10">
        <v>16.530664000000002</v>
      </c>
      <c r="K1005" s="10">
        <f>11.069+5.461</f>
        <v>16.53</v>
      </c>
      <c r="L1005" s="10">
        <f t="shared" si="93"/>
        <v>0</v>
      </c>
      <c r="M1005" s="10">
        <f t="shared" si="92"/>
        <v>0</v>
      </c>
      <c r="N1005" s="10"/>
      <c r="O1005" s="10"/>
      <c r="P1005" s="10">
        <v>0</v>
      </c>
      <c r="Q1005" s="10"/>
      <c r="R1005" s="10"/>
      <c r="S1005" s="10"/>
      <c r="T1005" s="10"/>
      <c r="U1005" s="10"/>
      <c r="V1005" s="4" t="s">
        <v>411</v>
      </c>
      <c r="W1005" s="4"/>
      <c r="X1005" s="8">
        <v>45250</v>
      </c>
      <c r="Y1005" s="4"/>
      <c r="Z1005" s="4"/>
      <c r="AA1005" s="8">
        <v>45252</v>
      </c>
      <c r="AB1005" s="8"/>
      <c r="AC1005" s="4"/>
      <c r="AD1005" s="4"/>
    </row>
    <row r="1006" spans="1:30" hidden="1">
      <c r="A1006" s="4">
        <v>1048</v>
      </c>
      <c r="B1006" s="8">
        <v>45231</v>
      </c>
      <c r="C1006" s="4"/>
      <c r="D1006" s="4" t="s">
        <v>42</v>
      </c>
      <c r="E1006" s="8">
        <v>45245</v>
      </c>
      <c r="F1006" s="4" t="s">
        <v>43</v>
      </c>
      <c r="G1006" s="15" t="s">
        <v>1293</v>
      </c>
      <c r="H1006" s="4" t="s">
        <v>52</v>
      </c>
      <c r="I1006" s="4" t="s">
        <v>235</v>
      </c>
      <c r="J1006" s="10">
        <v>15.048467999999998</v>
      </c>
      <c r="K1006" s="10">
        <f>4.433+10.615</f>
        <v>15.048</v>
      </c>
      <c r="L1006" s="10">
        <f t="shared" si="93"/>
        <v>0</v>
      </c>
      <c r="M1006" s="10">
        <f t="shared" si="92"/>
        <v>0</v>
      </c>
      <c r="N1006" s="10"/>
      <c r="O1006" s="10"/>
      <c r="P1006" s="10">
        <v>0</v>
      </c>
      <c r="Q1006" s="10"/>
      <c r="R1006" s="10"/>
      <c r="S1006" s="10"/>
      <c r="T1006" s="10"/>
      <c r="U1006" s="10"/>
      <c r="V1006" s="4" t="s">
        <v>411</v>
      </c>
      <c r="W1006" s="4"/>
      <c r="X1006" s="8">
        <v>45249</v>
      </c>
      <c r="Y1006" s="4"/>
      <c r="Z1006" s="4"/>
      <c r="AA1006" s="8">
        <v>45252</v>
      </c>
      <c r="AB1006" s="8">
        <v>45252</v>
      </c>
      <c r="AC1006" s="4"/>
      <c r="AD1006" s="4"/>
    </row>
    <row r="1007" spans="1:30" hidden="1">
      <c r="A1007" s="4">
        <v>1048</v>
      </c>
      <c r="B1007" s="8">
        <v>45231</v>
      </c>
      <c r="C1007" s="4"/>
      <c r="D1007" s="4" t="s">
        <v>42</v>
      </c>
      <c r="E1007" s="8">
        <v>45245</v>
      </c>
      <c r="F1007" s="4" t="s">
        <v>43</v>
      </c>
      <c r="G1007" s="15" t="s">
        <v>1293</v>
      </c>
      <c r="H1007" s="4" t="s">
        <v>52</v>
      </c>
      <c r="I1007" s="4" t="s">
        <v>1289</v>
      </c>
      <c r="J1007" s="10">
        <v>0.51619199999999998</v>
      </c>
      <c r="K1007" s="10">
        <v>0.51600000000000001</v>
      </c>
      <c r="L1007" s="10">
        <f t="shared" si="93"/>
        <v>0</v>
      </c>
      <c r="M1007" s="10">
        <f t="shared" ref="M1007:M1012" si="94">SUM(N1007:T1007)</f>
        <v>0</v>
      </c>
      <c r="N1007" s="10"/>
      <c r="O1007" s="10"/>
      <c r="P1007" s="10">
        <v>0</v>
      </c>
      <c r="Q1007" s="10"/>
      <c r="R1007" s="10"/>
      <c r="S1007" s="10"/>
      <c r="T1007" s="10"/>
      <c r="U1007" s="10"/>
      <c r="V1007" s="4" t="s">
        <v>411</v>
      </c>
      <c r="W1007" s="4"/>
      <c r="X1007" s="8">
        <v>45250</v>
      </c>
      <c r="Y1007" s="4"/>
      <c r="Z1007" s="4"/>
      <c r="AA1007" s="8"/>
      <c r="AB1007" s="8"/>
      <c r="AC1007" s="4"/>
      <c r="AD1007" s="4"/>
    </row>
    <row r="1008" spans="1:30" hidden="1">
      <c r="A1008" s="4">
        <v>1048</v>
      </c>
      <c r="B1008" s="8">
        <v>45231</v>
      </c>
      <c r="C1008" s="4"/>
      <c r="D1008" s="4" t="s">
        <v>42</v>
      </c>
      <c r="E1008" s="8">
        <v>45245</v>
      </c>
      <c r="F1008" s="4" t="s">
        <v>43</v>
      </c>
      <c r="G1008" s="15" t="s">
        <v>1293</v>
      </c>
      <c r="H1008" s="4" t="s">
        <v>52</v>
      </c>
      <c r="I1008" s="4" t="s">
        <v>100</v>
      </c>
      <c r="J1008" s="10">
        <v>32.836459999999995</v>
      </c>
      <c r="K1008" s="10">
        <f>6.434+11.006+8.974+3.109+3.64</f>
        <v>33.163000000000004</v>
      </c>
      <c r="L1008" s="10">
        <f t="shared" si="93"/>
        <v>0</v>
      </c>
      <c r="M1008" s="10">
        <f t="shared" si="94"/>
        <v>0</v>
      </c>
      <c r="N1008" s="10"/>
      <c r="O1008" s="10"/>
      <c r="P1008" s="10">
        <v>0</v>
      </c>
      <c r="Q1008" s="10"/>
      <c r="R1008" s="10"/>
      <c r="S1008" s="10"/>
      <c r="T1008" s="10"/>
      <c r="U1008" s="10"/>
      <c r="V1008" s="4" t="s">
        <v>411</v>
      </c>
      <c r="W1008" s="4"/>
      <c r="X1008" s="8">
        <v>45239</v>
      </c>
      <c r="Y1008" s="4"/>
      <c r="Z1008" s="4"/>
      <c r="AA1008" s="8">
        <v>45240</v>
      </c>
      <c r="AB1008" s="8">
        <v>45250</v>
      </c>
      <c r="AC1008" s="4"/>
      <c r="AD1008" s="4"/>
    </row>
    <row r="1009" spans="1:30" hidden="1">
      <c r="A1009" s="4">
        <v>1048</v>
      </c>
      <c r="B1009" s="8">
        <v>45231</v>
      </c>
      <c r="C1009" s="4"/>
      <c r="D1009" s="4" t="s">
        <v>42</v>
      </c>
      <c r="E1009" s="8">
        <v>45245</v>
      </c>
      <c r="F1009" s="4" t="s">
        <v>43</v>
      </c>
      <c r="G1009" s="15" t="s">
        <v>1293</v>
      </c>
      <c r="H1009" s="4" t="s">
        <v>52</v>
      </c>
      <c r="I1009" s="4" t="s">
        <v>96</v>
      </c>
      <c r="J1009" s="10">
        <v>27.599919999999997</v>
      </c>
      <c r="K1009" s="10">
        <f>10.551+14.794+2.399</f>
        <v>27.744</v>
      </c>
      <c r="L1009" s="10">
        <f t="shared" si="93"/>
        <v>0</v>
      </c>
      <c r="M1009" s="10">
        <f t="shared" si="94"/>
        <v>0</v>
      </c>
      <c r="N1009" s="10"/>
      <c r="O1009" s="10"/>
      <c r="P1009" s="10">
        <v>0</v>
      </c>
      <c r="Q1009" s="10"/>
      <c r="R1009" s="10"/>
      <c r="S1009" s="10"/>
      <c r="T1009" s="10"/>
      <c r="U1009" s="10"/>
      <c r="V1009" s="4" t="s">
        <v>411</v>
      </c>
      <c r="W1009" s="4"/>
      <c r="X1009" s="8">
        <v>45239</v>
      </c>
      <c r="Y1009" s="4"/>
      <c r="Z1009" s="4"/>
      <c r="AA1009" s="8"/>
      <c r="AB1009" s="8">
        <v>45250</v>
      </c>
      <c r="AC1009" s="4"/>
      <c r="AD1009" s="4"/>
    </row>
    <row r="1010" spans="1:30" hidden="1">
      <c r="A1010" s="4">
        <v>1049</v>
      </c>
      <c r="B1010" s="8">
        <v>45231</v>
      </c>
      <c r="C1010" s="4"/>
      <c r="D1010" s="4" t="s">
        <v>42</v>
      </c>
      <c r="E1010" s="8">
        <v>45260</v>
      </c>
      <c r="F1010" s="4" t="s">
        <v>43</v>
      </c>
      <c r="G1010" s="15" t="s">
        <v>1021</v>
      </c>
      <c r="H1010" s="4" t="s">
        <v>45</v>
      </c>
      <c r="I1010" s="4" t="s">
        <v>54</v>
      </c>
      <c r="J1010" s="10">
        <v>64.980198000000001</v>
      </c>
      <c r="K1010" s="10">
        <f>15.9+32.242+10.949+3.606+3.01</f>
        <v>65.706999999999994</v>
      </c>
      <c r="L1010" s="10">
        <f t="shared" si="93"/>
        <v>0</v>
      </c>
      <c r="M1010" s="10">
        <f t="shared" si="94"/>
        <v>0</v>
      </c>
      <c r="N1010" s="10"/>
      <c r="O1010" s="10"/>
      <c r="P1010" s="10">
        <v>0</v>
      </c>
      <c r="Q1010" s="10"/>
      <c r="R1010" s="10"/>
      <c r="S1010" s="10"/>
      <c r="T1010" s="10"/>
      <c r="U1010" s="10"/>
      <c r="V1010" s="4" t="s">
        <v>411</v>
      </c>
      <c r="W1010" s="4"/>
      <c r="X1010" s="8">
        <v>45261</v>
      </c>
      <c r="Y1010" s="4"/>
      <c r="Z1010" s="4"/>
      <c r="AA1010" s="8"/>
      <c r="AB1010" s="8">
        <v>45277</v>
      </c>
      <c r="AC1010" s="4"/>
      <c r="AD1010" s="4"/>
    </row>
    <row r="1011" spans="1:30" hidden="1">
      <c r="A1011" s="4">
        <v>1049</v>
      </c>
      <c r="B1011" s="8">
        <v>45231</v>
      </c>
      <c r="C1011" s="4"/>
      <c r="D1011" s="4" t="s">
        <v>42</v>
      </c>
      <c r="E1011" s="8">
        <v>45260</v>
      </c>
      <c r="F1011" s="4" t="s">
        <v>43</v>
      </c>
      <c r="G1011" s="15" t="s">
        <v>1021</v>
      </c>
      <c r="H1011" s="4" t="s">
        <v>45</v>
      </c>
      <c r="I1011" s="4" t="s">
        <v>56</v>
      </c>
      <c r="J1011" s="10">
        <v>168.77323999999999</v>
      </c>
      <c r="K1011" s="10">
        <f>32.532+32.079+32.221+19.41+33.255+8.054+3.561+2.557+5.408</f>
        <v>169.07699999999997</v>
      </c>
      <c r="L1011" s="10">
        <f t="shared" si="93"/>
        <v>0</v>
      </c>
      <c r="M1011" s="10">
        <f t="shared" si="94"/>
        <v>0</v>
      </c>
      <c r="N1011" s="10"/>
      <c r="O1011" s="10"/>
      <c r="P1011" s="10">
        <v>0</v>
      </c>
      <c r="Q1011" s="10"/>
      <c r="R1011" s="10"/>
      <c r="S1011" s="10"/>
      <c r="T1011" s="10"/>
      <c r="U1011" s="10"/>
      <c r="V1011" s="4" t="s">
        <v>411</v>
      </c>
      <c r="W1011" s="4" t="s">
        <v>37</v>
      </c>
      <c r="X1011" s="8">
        <v>45261</v>
      </c>
      <c r="Y1011" s="4"/>
      <c r="Z1011" s="4"/>
      <c r="AA1011" s="8"/>
      <c r="AB1011" s="8"/>
      <c r="AC1011" s="4"/>
      <c r="AD1011" s="4"/>
    </row>
    <row r="1012" spans="1:30" hidden="1">
      <c r="A1012" s="4">
        <v>1049</v>
      </c>
      <c r="B1012" s="8">
        <v>45231</v>
      </c>
      <c r="C1012" s="4"/>
      <c r="D1012" s="4" t="s">
        <v>42</v>
      </c>
      <c r="E1012" s="8">
        <v>45260</v>
      </c>
      <c r="F1012" s="4" t="s">
        <v>43</v>
      </c>
      <c r="G1012" s="15" t="s">
        <v>1021</v>
      </c>
      <c r="H1012" s="4" t="s">
        <v>45</v>
      </c>
      <c r="I1012" s="4" t="s">
        <v>48</v>
      </c>
      <c r="J1012" s="10">
        <v>295.69444999999996</v>
      </c>
      <c r="K1012" s="10">
        <f>31.15+33.004+31.991+32.208+32.016+29.802+32.992+32.956+3.431+3.459+8.491+6.683+3.074+2.09+1.75+7.442+3.385</f>
        <v>295.92399999999992</v>
      </c>
      <c r="L1012" s="10">
        <f t="shared" si="93"/>
        <v>0</v>
      </c>
      <c r="M1012" s="10">
        <f t="shared" si="94"/>
        <v>0</v>
      </c>
      <c r="N1012" s="10"/>
      <c r="O1012" s="10"/>
      <c r="P1012" s="10">
        <v>0</v>
      </c>
      <c r="Q1012" s="10">
        <v>0</v>
      </c>
      <c r="R1012" s="10"/>
      <c r="S1012" s="10"/>
      <c r="T1012" s="10"/>
      <c r="U1012" s="10"/>
      <c r="V1012" s="4" t="s">
        <v>411</v>
      </c>
      <c r="W1012" s="4" t="s">
        <v>1381</v>
      </c>
      <c r="X1012" s="8">
        <v>45258</v>
      </c>
      <c r="Y1012" s="4"/>
      <c r="Z1012" s="4"/>
      <c r="AA1012" s="8"/>
      <c r="AB1012" s="8"/>
      <c r="AC1012" s="4"/>
      <c r="AD1012" s="4"/>
    </row>
    <row r="1013" spans="1:30" hidden="1">
      <c r="A1013" s="4">
        <v>1049</v>
      </c>
      <c r="B1013" s="8">
        <v>45231</v>
      </c>
      <c r="C1013" s="4"/>
      <c r="D1013" s="4" t="s">
        <v>42</v>
      </c>
      <c r="E1013" s="8">
        <v>45260</v>
      </c>
      <c r="F1013" s="4" t="s">
        <v>43</v>
      </c>
      <c r="G1013" s="15" t="s">
        <v>1021</v>
      </c>
      <c r="H1013" s="4" t="s">
        <v>45</v>
      </c>
      <c r="I1013" s="4" t="s">
        <v>46</v>
      </c>
      <c r="J1013" s="10">
        <v>58.750959999999992</v>
      </c>
      <c r="K1013" s="10">
        <f>32.555+6.057+14.991+2.139+3.093</f>
        <v>58.835000000000008</v>
      </c>
      <c r="L1013" s="10">
        <f t="shared" si="93"/>
        <v>0</v>
      </c>
      <c r="M1013" s="10">
        <f t="shared" ref="M1013:M1045" si="95">SUM(N1013:T1013)</f>
        <v>0</v>
      </c>
      <c r="N1013" s="10"/>
      <c r="O1013" s="10"/>
      <c r="P1013" s="10">
        <v>0</v>
      </c>
      <c r="Q1013" s="10">
        <v>0</v>
      </c>
      <c r="R1013" s="10"/>
      <c r="S1013" s="10"/>
      <c r="T1013" s="10"/>
      <c r="U1013" s="10"/>
      <c r="V1013" s="4" t="s">
        <v>411</v>
      </c>
      <c r="W1013" s="4" t="s">
        <v>1389</v>
      </c>
      <c r="X1013" s="8">
        <v>45253</v>
      </c>
      <c r="Y1013" s="4"/>
      <c r="Z1013" s="4"/>
      <c r="AA1013" s="8">
        <v>45257</v>
      </c>
      <c r="AB1013" s="8"/>
      <c r="AC1013" s="4"/>
      <c r="AD1013" s="4"/>
    </row>
    <row r="1014" spans="1:30" hidden="1">
      <c r="A1014" s="4">
        <v>1049</v>
      </c>
      <c r="B1014" s="8">
        <v>45231</v>
      </c>
      <c r="C1014" s="4"/>
      <c r="D1014" s="4" t="s">
        <v>42</v>
      </c>
      <c r="E1014" s="8">
        <v>45260</v>
      </c>
      <c r="F1014" s="4" t="s">
        <v>43</v>
      </c>
      <c r="G1014" s="15" t="s">
        <v>1021</v>
      </c>
      <c r="H1014" s="4" t="s">
        <v>45</v>
      </c>
      <c r="I1014" s="4" t="s">
        <v>49</v>
      </c>
      <c r="J1014" s="10">
        <v>40.074579999999997</v>
      </c>
      <c r="K1014" s="10">
        <f>18.591+14.666+4.958+1.866</f>
        <v>40.081000000000003</v>
      </c>
      <c r="L1014" s="10">
        <f t="shared" si="93"/>
        <v>0</v>
      </c>
      <c r="M1014" s="10">
        <f t="shared" si="95"/>
        <v>0</v>
      </c>
      <c r="N1014" s="10"/>
      <c r="O1014" s="10"/>
      <c r="P1014" s="10">
        <v>0</v>
      </c>
      <c r="Q1014" s="10"/>
      <c r="R1014" s="10"/>
      <c r="S1014" s="10"/>
      <c r="T1014" s="10"/>
      <c r="U1014" s="10"/>
      <c r="V1014" s="4" t="s">
        <v>411</v>
      </c>
      <c r="W1014" s="4"/>
      <c r="X1014" s="8"/>
      <c r="Y1014" s="4"/>
      <c r="Z1014" s="4"/>
      <c r="AA1014" s="8"/>
      <c r="AB1014" s="8">
        <v>45277</v>
      </c>
      <c r="AC1014" s="4"/>
      <c r="AD1014" s="4"/>
    </row>
    <row r="1015" spans="1:30" hidden="1">
      <c r="A1015" s="4">
        <v>1049</v>
      </c>
      <c r="B1015" s="8">
        <v>45231</v>
      </c>
      <c r="C1015" s="4"/>
      <c r="D1015" s="4" t="s">
        <v>42</v>
      </c>
      <c r="E1015" s="8">
        <v>45260</v>
      </c>
      <c r="F1015" s="4" t="s">
        <v>43</v>
      </c>
      <c r="G1015" s="15" t="s">
        <v>1021</v>
      </c>
      <c r="H1015" s="4" t="s">
        <v>45</v>
      </c>
      <c r="I1015" s="4" t="s">
        <v>1288</v>
      </c>
      <c r="J1015" s="10">
        <v>13.61956</v>
      </c>
      <c r="K1015" s="10">
        <f>4.515+2.504+5.313+1.574</f>
        <v>13.906000000000001</v>
      </c>
      <c r="L1015" s="10">
        <f t="shared" si="93"/>
        <v>0</v>
      </c>
      <c r="M1015" s="10">
        <f t="shared" si="95"/>
        <v>0</v>
      </c>
      <c r="N1015" s="10"/>
      <c r="O1015" s="10"/>
      <c r="P1015" s="10">
        <v>0</v>
      </c>
      <c r="Q1015" s="10"/>
      <c r="R1015" s="10">
        <v>0</v>
      </c>
      <c r="S1015" s="10"/>
      <c r="T1015" s="10"/>
      <c r="U1015" s="10"/>
      <c r="V1015" s="4" t="s">
        <v>411</v>
      </c>
      <c r="W1015" s="4"/>
      <c r="X1015" s="8"/>
      <c r="Y1015" s="4"/>
      <c r="Z1015" s="4"/>
      <c r="AA1015" s="8"/>
      <c r="AB1015" s="8">
        <v>45277</v>
      </c>
      <c r="AC1015" s="4"/>
      <c r="AD1015" s="4"/>
    </row>
    <row r="1016" spans="1:30" hidden="1">
      <c r="A1016" s="4">
        <v>1049</v>
      </c>
      <c r="B1016" s="8">
        <v>45231</v>
      </c>
      <c r="C1016" s="4"/>
      <c r="D1016" s="4" t="s">
        <v>42</v>
      </c>
      <c r="E1016" s="8">
        <v>45260</v>
      </c>
      <c r="F1016" s="4" t="s">
        <v>43</v>
      </c>
      <c r="G1016" s="15" t="s">
        <v>1021</v>
      </c>
      <c r="H1016" s="4" t="s">
        <v>45</v>
      </c>
      <c r="I1016" s="4" t="s">
        <v>50</v>
      </c>
      <c r="J1016" s="10">
        <v>12.262739999999999</v>
      </c>
      <c r="K1016" s="10">
        <f>4.172+6.321+1.77</f>
        <v>12.262999999999998</v>
      </c>
      <c r="L1016" s="10">
        <f t="shared" si="93"/>
        <v>0</v>
      </c>
      <c r="M1016" s="10">
        <f t="shared" si="95"/>
        <v>0</v>
      </c>
      <c r="N1016" s="10"/>
      <c r="O1016" s="10"/>
      <c r="P1016" s="10">
        <v>0</v>
      </c>
      <c r="Q1016" s="10"/>
      <c r="R1016" s="10">
        <v>0</v>
      </c>
      <c r="S1016" s="10"/>
      <c r="T1016" s="10"/>
      <c r="U1016" s="10"/>
      <c r="V1016" s="4" t="s">
        <v>411</v>
      </c>
      <c r="W1016" s="4"/>
      <c r="X1016" s="8"/>
      <c r="Y1016" s="4"/>
      <c r="Z1016" s="4"/>
      <c r="AA1016" s="8"/>
      <c r="AB1016" s="8">
        <v>45277</v>
      </c>
      <c r="AC1016" s="4"/>
      <c r="AD1016" s="4"/>
    </row>
    <row r="1017" spans="1:30" hidden="1">
      <c r="A1017" s="4">
        <v>1049</v>
      </c>
      <c r="B1017" s="8">
        <v>45231</v>
      </c>
      <c r="C1017" s="4"/>
      <c r="D1017" s="4" t="s">
        <v>42</v>
      </c>
      <c r="E1017" s="8">
        <v>45260</v>
      </c>
      <c r="F1017" s="4" t="s">
        <v>43</v>
      </c>
      <c r="G1017" s="15" t="s">
        <v>1021</v>
      </c>
      <c r="H1017" s="4" t="s">
        <v>45</v>
      </c>
      <c r="I1017" s="4" t="s">
        <v>588</v>
      </c>
      <c r="J1017" s="10">
        <v>249.19784999999996</v>
      </c>
      <c r="K1017" s="10">
        <f>31.746+4.884+32.484+18.869+17.338+31.546+32.012+32.401+8.515+16.742+6.623+8.763+7.389</f>
        <v>249.31200000000001</v>
      </c>
      <c r="L1017" s="10">
        <f t="shared" ref="L1017:L1080" si="96">M1017+U1017</f>
        <v>0</v>
      </c>
      <c r="M1017" s="10">
        <f t="shared" si="95"/>
        <v>0</v>
      </c>
      <c r="N1017" s="10"/>
      <c r="O1017" s="10"/>
      <c r="P1017" s="10">
        <v>0</v>
      </c>
      <c r="Q1017" s="10">
        <v>0</v>
      </c>
      <c r="R1017" s="10">
        <v>0</v>
      </c>
      <c r="S1017" s="10"/>
      <c r="T1017" s="10"/>
      <c r="U1017" s="10"/>
      <c r="V1017" s="4" t="s">
        <v>411</v>
      </c>
      <c r="W1017" s="4" t="s">
        <v>1388</v>
      </c>
      <c r="X1017" s="8">
        <v>45241</v>
      </c>
      <c r="Y1017" s="4"/>
      <c r="Z1017" s="4"/>
      <c r="AA1017" s="8">
        <v>45249</v>
      </c>
      <c r="AB1017" s="8">
        <v>45278</v>
      </c>
      <c r="AC1017" s="4"/>
      <c r="AD1017" s="4"/>
    </row>
    <row r="1018" spans="1:30" hidden="1">
      <c r="A1018" s="4">
        <v>1049</v>
      </c>
      <c r="B1018" s="8">
        <v>45231</v>
      </c>
      <c r="C1018" s="4"/>
      <c r="D1018" s="4" t="s">
        <v>42</v>
      </c>
      <c r="E1018" s="8">
        <v>45260</v>
      </c>
      <c r="F1018" s="4" t="s">
        <v>43</v>
      </c>
      <c r="G1018" s="15" t="s">
        <v>1021</v>
      </c>
      <c r="H1018" s="4" t="s">
        <v>45</v>
      </c>
      <c r="I1018" s="4" t="s">
        <v>409</v>
      </c>
      <c r="J1018" s="10">
        <v>50.1736</v>
      </c>
      <c r="K1018" s="10">
        <f>31.416+10.308+2.454+2.945+3.342</f>
        <v>50.465000000000003</v>
      </c>
      <c r="L1018" s="10">
        <f t="shared" si="96"/>
        <v>0</v>
      </c>
      <c r="M1018" s="10">
        <f t="shared" si="95"/>
        <v>0</v>
      </c>
      <c r="N1018" s="10"/>
      <c r="O1018" s="10"/>
      <c r="P1018" s="10">
        <v>0</v>
      </c>
      <c r="Q1018" s="10"/>
      <c r="R1018" s="10"/>
      <c r="S1018" s="10"/>
      <c r="T1018" s="10"/>
      <c r="U1018" s="10"/>
      <c r="V1018" s="4" t="s">
        <v>411</v>
      </c>
      <c r="W1018" s="4" t="s">
        <v>951</v>
      </c>
      <c r="X1018" s="8">
        <v>45247</v>
      </c>
      <c r="Y1018" s="4"/>
      <c r="Z1018" s="4"/>
      <c r="AA1018" s="8"/>
      <c r="AB1018" s="8"/>
      <c r="AC1018" s="4"/>
      <c r="AD1018" s="4"/>
    </row>
    <row r="1019" spans="1:30" hidden="1">
      <c r="A1019" s="4">
        <v>1049</v>
      </c>
      <c r="B1019" s="8">
        <v>45231</v>
      </c>
      <c r="C1019" s="4"/>
      <c r="D1019" s="4" t="s">
        <v>42</v>
      </c>
      <c r="E1019" s="8">
        <v>45260</v>
      </c>
      <c r="F1019" s="4" t="s">
        <v>43</v>
      </c>
      <c r="G1019" s="15" t="s">
        <v>1021</v>
      </c>
      <c r="H1019" s="4" t="s">
        <v>45</v>
      </c>
      <c r="I1019" s="4" t="s">
        <v>837</v>
      </c>
      <c r="J1019" s="10">
        <v>69.28370000000001</v>
      </c>
      <c r="K1019" s="10">
        <f>33.12+12.862+5.329+11.986+1.35-5.145</f>
        <v>59.501999999999995</v>
      </c>
      <c r="L1019" s="10">
        <f t="shared" si="96"/>
        <v>0</v>
      </c>
      <c r="M1019" s="10">
        <f t="shared" si="95"/>
        <v>0</v>
      </c>
      <c r="N1019" s="10"/>
      <c r="O1019" s="10"/>
      <c r="P1019" s="10"/>
      <c r="Q1019" s="10"/>
      <c r="R1019" s="10"/>
      <c r="S1019" s="10"/>
      <c r="T1019" s="10"/>
      <c r="U1019" s="10"/>
      <c r="V1019" s="4" t="s">
        <v>411</v>
      </c>
      <c r="W1019" s="4" t="s">
        <v>951</v>
      </c>
      <c r="X1019" s="8">
        <v>45257</v>
      </c>
      <c r="Y1019" s="4"/>
      <c r="Z1019" s="4"/>
      <c r="AA1019" s="8">
        <v>45261</v>
      </c>
      <c r="AB1019" s="8"/>
      <c r="AC1019" s="4"/>
      <c r="AD1019" s="4"/>
    </row>
    <row r="1020" spans="1:30" hidden="1">
      <c r="A1020" s="4">
        <v>1049</v>
      </c>
      <c r="B1020" s="8">
        <v>45231</v>
      </c>
      <c r="C1020" s="4"/>
      <c r="D1020" s="4" t="s">
        <v>42</v>
      </c>
      <c r="E1020" s="8">
        <v>45260</v>
      </c>
      <c r="F1020" s="4" t="s">
        <v>43</v>
      </c>
      <c r="G1020" s="15" t="s">
        <v>1021</v>
      </c>
      <c r="H1020" s="4" t="s">
        <v>45</v>
      </c>
      <c r="I1020" s="4" t="s">
        <v>579</v>
      </c>
      <c r="J1020" s="10">
        <v>138.44275999999999</v>
      </c>
      <c r="K1020" s="10">
        <f>31.916+13.221+10.213+20.426+2.553+9.597+23.741+14.362+7.076+5.802</f>
        <v>138.90699999999998</v>
      </c>
      <c r="L1020" s="10">
        <f t="shared" si="96"/>
        <v>0</v>
      </c>
      <c r="M1020" s="10">
        <f t="shared" si="95"/>
        <v>0</v>
      </c>
      <c r="N1020" s="10"/>
      <c r="O1020" s="10"/>
      <c r="P1020" s="10">
        <v>0</v>
      </c>
      <c r="Q1020" s="10">
        <v>0</v>
      </c>
      <c r="R1020" s="10"/>
      <c r="S1020" s="10"/>
      <c r="T1020" s="10"/>
      <c r="U1020" s="10"/>
      <c r="V1020" s="4" t="s">
        <v>411</v>
      </c>
      <c r="W1020" s="4" t="s">
        <v>1379</v>
      </c>
      <c r="X1020" s="8">
        <v>45257</v>
      </c>
      <c r="Y1020" s="4"/>
      <c r="Z1020" s="4"/>
      <c r="AA1020" s="8"/>
      <c r="AB1020" s="8">
        <v>45278</v>
      </c>
      <c r="AC1020" s="4"/>
      <c r="AD1020" s="4"/>
    </row>
    <row r="1021" spans="1:30" hidden="1">
      <c r="A1021" s="4">
        <v>1049</v>
      </c>
      <c r="B1021" s="8">
        <v>45231</v>
      </c>
      <c r="C1021" s="4"/>
      <c r="D1021" s="4" t="s">
        <v>42</v>
      </c>
      <c r="E1021" s="8">
        <v>45260</v>
      </c>
      <c r="F1021" s="4" t="s">
        <v>43</v>
      </c>
      <c r="G1021" s="15" t="s">
        <v>1021</v>
      </c>
      <c r="H1021" s="4" t="s">
        <v>45</v>
      </c>
      <c r="I1021" s="4" t="s">
        <v>448</v>
      </c>
      <c r="J1021" s="10">
        <v>182.89518000000001</v>
      </c>
      <c r="K1021" s="10">
        <f>11.6+11.924+18.455+21.456+5.8+6.03+22.717+32.174+15.867+15.332+5.911+5.958+2.118+1.927+6.422</f>
        <v>183.69099999999997</v>
      </c>
      <c r="L1021" s="10">
        <f t="shared" si="96"/>
        <v>0</v>
      </c>
      <c r="M1021" s="10">
        <f t="shared" si="95"/>
        <v>0</v>
      </c>
      <c r="N1021" s="10"/>
      <c r="O1021" s="10"/>
      <c r="P1021" s="10"/>
      <c r="Q1021" s="10"/>
      <c r="R1021" s="10"/>
      <c r="S1021" s="10"/>
      <c r="T1021" s="10"/>
      <c r="U1021" s="10"/>
      <c r="V1021" s="4" t="s">
        <v>411</v>
      </c>
      <c r="W1021" s="4" t="s">
        <v>1380</v>
      </c>
      <c r="X1021" s="8">
        <v>45257</v>
      </c>
      <c r="Y1021" s="4"/>
      <c r="Z1021" s="4"/>
      <c r="AA1021" s="8">
        <v>45262</v>
      </c>
      <c r="AB1021" s="8"/>
      <c r="AC1021" s="4"/>
      <c r="AD1021" s="4"/>
    </row>
    <row r="1022" spans="1:30" hidden="1">
      <c r="A1022" s="4">
        <v>1049</v>
      </c>
      <c r="B1022" s="8">
        <v>45231</v>
      </c>
      <c r="C1022" s="4"/>
      <c r="D1022" s="4" t="s">
        <v>42</v>
      </c>
      <c r="E1022" s="8">
        <v>45260</v>
      </c>
      <c r="F1022" s="4" t="s">
        <v>43</v>
      </c>
      <c r="G1022" s="15" t="s">
        <v>1021</v>
      </c>
      <c r="H1022" s="4" t="s">
        <v>45</v>
      </c>
      <c r="I1022" s="4" t="s">
        <v>473</v>
      </c>
      <c r="J1022" s="10">
        <v>10.454129999999999</v>
      </c>
      <c r="K1022" s="10">
        <f>7.741+1.756+1.022</f>
        <v>10.519</v>
      </c>
      <c r="L1022" s="10">
        <f t="shared" si="96"/>
        <v>0</v>
      </c>
      <c r="M1022" s="10">
        <f t="shared" si="95"/>
        <v>0</v>
      </c>
      <c r="N1022" s="10"/>
      <c r="O1022" s="10"/>
      <c r="P1022" s="10">
        <v>0</v>
      </c>
      <c r="Q1022" s="10">
        <v>0</v>
      </c>
      <c r="R1022" s="10"/>
      <c r="S1022" s="10"/>
      <c r="T1022" s="10"/>
      <c r="U1022" s="10"/>
      <c r="V1022" s="4" t="s">
        <v>411</v>
      </c>
      <c r="W1022" s="4" t="s">
        <v>1370</v>
      </c>
      <c r="X1022" s="8">
        <v>45251</v>
      </c>
      <c r="Y1022" s="4"/>
      <c r="Z1022" s="4"/>
      <c r="AA1022" s="8"/>
      <c r="AB1022" s="8"/>
      <c r="AC1022" s="4"/>
      <c r="AD1022" s="4"/>
    </row>
    <row r="1023" spans="1:30" hidden="1">
      <c r="A1023" s="4">
        <v>1049</v>
      </c>
      <c r="B1023" s="8">
        <v>45231</v>
      </c>
      <c r="C1023" s="4"/>
      <c r="D1023" s="4" t="s">
        <v>42</v>
      </c>
      <c r="E1023" s="8">
        <v>45260</v>
      </c>
      <c r="F1023" s="4" t="s">
        <v>43</v>
      </c>
      <c r="G1023" s="15" t="s">
        <v>1021</v>
      </c>
      <c r="H1023" s="4" t="s">
        <v>45</v>
      </c>
      <c r="I1023" s="4" t="s">
        <v>235</v>
      </c>
      <c r="J1023" s="10">
        <v>37.734939999999995</v>
      </c>
      <c r="K1023" s="10">
        <f>17.048+2.789+14.077+4.002</f>
        <v>37.916000000000004</v>
      </c>
      <c r="L1023" s="10">
        <f t="shared" si="96"/>
        <v>0</v>
      </c>
      <c r="M1023" s="10">
        <f t="shared" si="95"/>
        <v>0</v>
      </c>
      <c r="N1023" s="10"/>
      <c r="O1023" s="10"/>
      <c r="P1023" s="10">
        <v>0</v>
      </c>
      <c r="Q1023" s="10"/>
      <c r="R1023" s="10">
        <v>0</v>
      </c>
      <c r="S1023" s="10"/>
      <c r="T1023" s="10"/>
      <c r="U1023" s="10"/>
      <c r="V1023" s="4" t="s">
        <v>411</v>
      </c>
      <c r="W1023" s="4"/>
      <c r="X1023" s="8">
        <v>45267</v>
      </c>
      <c r="Y1023" s="4"/>
      <c r="Z1023" s="4"/>
      <c r="AA1023" s="8"/>
      <c r="AB1023" s="8">
        <v>45277</v>
      </c>
      <c r="AC1023" s="4"/>
      <c r="AD1023" s="4"/>
    </row>
    <row r="1024" spans="1:30" hidden="1">
      <c r="A1024" s="4">
        <v>1049</v>
      </c>
      <c r="B1024" s="8">
        <v>45231</v>
      </c>
      <c r="C1024" s="4"/>
      <c r="D1024" s="4" t="s">
        <v>42</v>
      </c>
      <c r="E1024" s="8">
        <v>45260</v>
      </c>
      <c r="F1024" s="4" t="s">
        <v>43</v>
      </c>
      <c r="G1024" s="15" t="s">
        <v>1021</v>
      </c>
      <c r="H1024" s="4" t="s">
        <v>45</v>
      </c>
      <c r="I1024" s="4" t="s">
        <v>1289</v>
      </c>
      <c r="J1024" s="10">
        <v>1.2734999999999999</v>
      </c>
      <c r="K1024" s="10">
        <v>1.278</v>
      </c>
      <c r="L1024" s="10">
        <f t="shared" si="96"/>
        <v>0</v>
      </c>
      <c r="M1024" s="10">
        <f t="shared" si="95"/>
        <v>0</v>
      </c>
      <c r="N1024" s="10"/>
      <c r="O1024" s="10"/>
      <c r="P1024" s="10">
        <v>0</v>
      </c>
      <c r="Q1024" s="10"/>
      <c r="R1024" s="10"/>
      <c r="S1024" s="10"/>
      <c r="T1024" s="10"/>
      <c r="U1024" s="10"/>
      <c r="V1024" s="4" t="s">
        <v>411</v>
      </c>
      <c r="W1024" s="4"/>
      <c r="X1024" s="8">
        <v>45250</v>
      </c>
      <c r="Y1024" s="4"/>
      <c r="Z1024" s="4"/>
      <c r="AA1024" s="8"/>
      <c r="AB1024" s="8"/>
      <c r="AC1024" s="4"/>
      <c r="AD1024" s="4"/>
    </row>
    <row r="1025" spans="1:30" hidden="1">
      <c r="A1025" s="4">
        <v>1049</v>
      </c>
      <c r="B1025" s="8">
        <v>45231</v>
      </c>
      <c r="C1025" s="4"/>
      <c r="D1025" s="4" t="s">
        <v>42</v>
      </c>
      <c r="E1025" s="8">
        <v>45260</v>
      </c>
      <c r="F1025" s="4" t="s">
        <v>43</v>
      </c>
      <c r="G1025" s="15" t="s">
        <v>1021</v>
      </c>
      <c r="H1025" s="4" t="s">
        <v>45</v>
      </c>
      <c r="I1025" s="4" t="s">
        <v>100</v>
      </c>
      <c r="J1025" s="10">
        <v>64.730040000000002</v>
      </c>
      <c r="K1025" s="10">
        <f>7.63+5.817+11.45+32.031+5.179+2.938</f>
        <v>65.045000000000002</v>
      </c>
      <c r="L1025" s="10">
        <f t="shared" si="96"/>
        <v>0</v>
      </c>
      <c r="M1025" s="10">
        <f t="shared" si="95"/>
        <v>0</v>
      </c>
      <c r="N1025" s="10"/>
      <c r="O1025" s="10"/>
      <c r="P1025" s="10">
        <v>0</v>
      </c>
      <c r="Q1025" s="10">
        <v>0</v>
      </c>
      <c r="R1025" s="10"/>
      <c r="S1025" s="10"/>
      <c r="T1025" s="10"/>
      <c r="U1025" s="10"/>
      <c r="V1025" s="4" t="s">
        <v>411</v>
      </c>
      <c r="W1025" s="4" t="s">
        <v>1399</v>
      </c>
      <c r="X1025" s="8"/>
      <c r="Y1025" s="4"/>
      <c r="Z1025" s="4"/>
      <c r="AA1025" s="8"/>
      <c r="AB1025" s="8"/>
      <c r="AC1025" s="4"/>
      <c r="AD1025" s="4"/>
    </row>
    <row r="1026" spans="1:30" hidden="1">
      <c r="A1026" s="4">
        <v>1049</v>
      </c>
      <c r="B1026" s="8">
        <v>45231</v>
      </c>
      <c r="C1026" s="4"/>
      <c r="D1026" s="4" t="s">
        <v>42</v>
      </c>
      <c r="E1026" s="8">
        <v>45260</v>
      </c>
      <c r="F1026" s="4" t="s">
        <v>43</v>
      </c>
      <c r="G1026" s="15" t="s">
        <v>1021</v>
      </c>
      <c r="H1026" s="4" t="s">
        <v>45</v>
      </c>
      <c r="I1026" s="4" t="s">
        <v>96</v>
      </c>
      <c r="J1026" s="10">
        <v>54.811596000000002</v>
      </c>
      <c r="K1026" s="10">
        <f>7.355+11.388+10.619+11.337+6.985+3.056+4.263</f>
        <v>55.002999999999993</v>
      </c>
      <c r="L1026" s="10">
        <f t="shared" si="96"/>
        <v>0</v>
      </c>
      <c r="M1026" s="10">
        <f t="shared" si="95"/>
        <v>0</v>
      </c>
      <c r="N1026" s="10"/>
      <c r="O1026" s="10"/>
      <c r="P1026" s="10"/>
      <c r="Q1026" s="10">
        <v>0</v>
      </c>
      <c r="R1026" s="10">
        <v>0</v>
      </c>
      <c r="S1026" s="10"/>
      <c r="T1026" s="10"/>
      <c r="U1026" s="10"/>
      <c r="V1026" s="4" t="s">
        <v>411</v>
      </c>
      <c r="W1026" s="4"/>
      <c r="X1026" s="8">
        <v>45263</v>
      </c>
      <c r="Y1026" s="4"/>
      <c r="Z1026" s="4"/>
      <c r="AA1026" s="8"/>
      <c r="AB1026" s="8">
        <v>45277</v>
      </c>
      <c r="AC1026" s="4"/>
      <c r="AD1026" s="4"/>
    </row>
    <row r="1027" spans="1:30" hidden="1">
      <c r="A1027" s="4">
        <v>1049</v>
      </c>
      <c r="B1027" s="8">
        <v>45231</v>
      </c>
      <c r="C1027" s="4"/>
      <c r="D1027" s="4" t="s">
        <v>42</v>
      </c>
      <c r="E1027" s="8">
        <v>45260</v>
      </c>
      <c r="F1027" s="4" t="s">
        <v>43</v>
      </c>
      <c r="G1027" s="15" t="s">
        <v>1293</v>
      </c>
      <c r="H1027" s="4" t="s">
        <v>52</v>
      </c>
      <c r="I1027" s="4" t="s">
        <v>54</v>
      </c>
      <c r="J1027" s="10">
        <v>135.27193199999999</v>
      </c>
      <c r="K1027" s="10">
        <f>5.931+8.436+32.704+31.638+31.233+5.8+14.514+2.689+3.27</f>
        <v>136.215</v>
      </c>
      <c r="L1027" s="10">
        <f t="shared" si="96"/>
        <v>0</v>
      </c>
      <c r="M1027" s="10">
        <f t="shared" si="95"/>
        <v>0</v>
      </c>
      <c r="N1027" s="10"/>
      <c r="O1027" s="10"/>
      <c r="P1027" s="10">
        <v>0</v>
      </c>
      <c r="Q1027" s="10"/>
      <c r="R1027" s="10"/>
      <c r="S1027" s="10"/>
      <c r="T1027" s="10"/>
      <c r="U1027" s="10"/>
      <c r="V1027" s="4" t="s">
        <v>411</v>
      </c>
      <c r="W1027" s="4" t="s">
        <v>37</v>
      </c>
      <c r="X1027" s="8">
        <v>45261</v>
      </c>
      <c r="Y1027" s="4"/>
      <c r="Z1027" s="4"/>
      <c r="AA1027" s="8"/>
      <c r="AB1027" s="8"/>
      <c r="AC1027" s="4"/>
      <c r="AD1027" s="4"/>
    </row>
    <row r="1028" spans="1:30" hidden="1">
      <c r="A1028" s="4">
        <v>1049</v>
      </c>
      <c r="B1028" s="8">
        <v>45231</v>
      </c>
      <c r="C1028" s="4"/>
      <c r="D1028" s="4" t="s">
        <v>42</v>
      </c>
      <c r="E1028" s="8">
        <v>45260</v>
      </c>
      <c r="F1028" s="4" t="s">
        <v>43</v>
      </c>
      <c r="G1028" s="15" t="s">
        <v>1293</v>
      </c>
      <c r="H1028" s="4" t="s">
        <v>52</v>
      </c>
      <c r="I1028" s="4" t="s">
        <v>56</v>
      </c>
      <c r="J1028" s="10">
        <v>26.985399999999998</v>
      </c>
      <c r="K1028" s="10">
        <f>10.224+6.455+8.498+1.873</f>
        <v>27.05</v>
      </c>
      <c r="L1028" s="10">
        <f t="shared" si="96"/>
        <v>0</v>
      </c>
      <c r="M1028" s="10">
        <f t="shared" si="95"/>
        <v>0</v>
      </c>
      <c r="N1028" s="10"/>
      <c r="O1028" s="10"/>
      <c r="P1028" s="10">
        <v>0</v>
      </c>
      <c r="Q1028" s="10"/>
      <c r="R1028" s="10"/>
      <c r="S1028" s="10"/>
      <c r="T1028" s="10"/>
      <c r="U1028" s="10"/>
      <c r="V1028" s="4" t="s">
        <v>411</v>
      </c>
      <c r="W1028" s="4" t="s">
        <v>37</v>
      </c>
      <c r="X1028" s="8">
        <v>45262</v>
      </c>
      <c r="Y1028" s="4"/>
      <c r="Z1028" s="4"/>
      <c r="AA1028" s="8"/>
      <c r="AB1028" s="8"/>
      <c r="AC1028" s="4"/>
      <c r="AD1028" s="4"/>
    </row>
    <row r="1029" spans="1:30" hidden="1">
      <c r="A1029" s="4">
        <v>1049</v>
      </c>
      <c r="B1029" s="8">
        <v>45231</v>
      </c>
      <c r="C1029" s="4"/>
      <c r="D1029" s="4" t="s">
        <v>42</v>
      </c>
      <c r="E1029" s="8">
        <v>45260</v>
      </c>
      <c r="F1029" s="4" t="s">
        <v>43</v>
      </c>
      <c r="G1029" s="15" t="s">
        <v>1293</v>
      </c>
      <c r="H1029" s="4" t="s">
        <v>52</v>
      </c>
      <c r="I1029" s="4" t="s">
        <v>48</v>
      </c>
      <c r="J1029" s="10">
        <v>18.8368</v>
      </c>
      <c r="K1029" s="10">
        <f>10.734+6.746+1.395</f>
        <v>18.875</v>
      </c>
      <c r="L1029" s="10">
        <f t="shared" si="96"/>
        <v>0</v>
      </c>
      <c r="M1029" s="10">
        <f t="shared" si="95"/>
        <v>0</v>
      </c>
      <c r="N1029" s="10"/>
      <c r="O1029" s="10"/>
      <c r="P1029" s="10">
        <v>0</v>
      </c>
      <c r="Q1029" s="10"/>
      <c r="R1029" s="10"/>
      <c r="S1029" s="10"/>
      <c r="T1029" s="10"/>
      <c r="U1029" s="10"/>
      <c r="V1029" s="4" t="s">
        <v>411</v>
      </c>
      <c r="W1029" s="4"/>
      <c r="X1029" s="8">
        <v>45262</v>
      </c>
      <c r="Y1029" s="4"/>
      <c r="Z1029" s="4"/>
      <c r="AA1029" s="8"/>
      <c r="AB1029" s="8">
        <v>45277</v>
      </c>
      <c r="AC1029" s="4"/>
      <c r="AD1029" s="4"/>
    </row>
    <row r="1030" spans="1:30" hidden="1">
      <c r="A1030" s="4">
        <v>1049</v>
      </c>
      <c r="B1030" s="8">
        <v>45231</v>
      </c>
      <c r="C1030" s="4"/>
      <c r="D1030" s="4" t="s">
        <v>42</v>
      </c>
      <c r="E1030" s="8">
        <v>45260</v>
      </c>
      <c r="F1030" s="4" t="s">
        <v>43</v>
      </c>
      <c r="G1030" s="15" t="s">
        <v>1293</v>
      </c>
      <c r="H1030" s="4" t="s">
        <v>52</v>
      </c>
      <c r="I1030" s="4" t="s">
        <v>472</v>
      </c>
      <c r="J1030" s="10">
        <v>6.1459199999999994</v>
      </c>
      <c r="K1030" s="10">
        <f>1.647+4.63</f>
        <v>6.2770000000000001</v>
      </c>
      <c r="L1030" s="10">
        <f t="shared" si="96"/>
        <v>0</v>
      </c>
      <c r="M1030" s="10">
        <f t="shared" si="95"/>
        <v>0</v>
      </c>
      <c r="N1030" s="10"/>
      <c r="O1030" s="10"/>
      <c r="P1030" s="10">
        <v>0</v>
      </c>
      <c r="Q1030" s="10"/>
      <c r="R1030" s="10"/>
      <c r="S1030" s="10"/>
      <c r="T1030" s="10"/>
      <c r="U1030" s="10"/>
      <c r="V1030" s="4" t="s">
        <v>411</v>
      </c>
      <c r="W1030" s="4"/>
      <c r="X1030" s="8">
        <v>45251</v>
      </c>
      <c r="Y1030" s="4"/>
      <c r="Z1030" s="4"/>
      <c r="AA1030" s="8"/>
      <c r="AB1030" s="8"/>
      <c r="AC1030" s="4"/>
      <c r="AD1030" s="4"/>
    </row>
    <row r="1031" spans="1:30" hidden="1">
      <c r="A1031" s="4">
        <v>1049</v>
      </c>
      <c r="B1031" s="8">
        <v>45231</v>
      </c>
      <c r="C1031" s="4"/>
      <c r="D1031" s="4" t="s">
        <v>42</v>
      </c>
      <c r="E1031" s="8">
        <v>45260</v>
      </c>
      <c r="F1031" s="4" t="s">
        <v>43</v>
      </c>
      <c r="G1031" s="15" t="s">
        <v>1293</v>
      </c>
      <c r="H1031" s="4" t="s">
        <v>52</v>
      </c>
      <c r="I1031" s="4" t="s">
        <v>237</v>
      </c>
      <c r="J1031" s="10">
        <v>17.715304</v>
      </c>
      <c r="K1031" s="10">
        <f>5.433+7.26+3.835+1.238</f>
        <v>17.765999999999998</v>
      </c>
      <c r="L1031" s="10">
        <f t="shared" si="96"/>
        <v>0</v>
      </c>
      <c r="M1031" s="10">
        <f t="shared" si="95"/>
        <v>0</v>
      </c>
      <c r="N1031" s="10"/>
      <c r="O1031" s="10"/>
      <c r="P1031" s="10">
        <v>0</v>
      </c>
      <c r="Q1031" s="10"/>
      <c r="R1031" s="10"/>
      <c r="S1031" s="10"/>
      <c r="T1031" s="10"/>
      <c r="U1031" s="10"/>
      <c r="V1031" s="4" t="s">
        <v>411</v>
      </c>
      <c r="W1031" s="4" t="s">
        <v>1355</v>
      </c>
      <c r="X1031" s="8">
        <v>45250</v>
      </c>
      <c r="Y1031" s="4"/>
      <c r="Z1031" s="4"/>
      <c r="AA1031" s="8"/>
      <c r="AB1031" s="8"/>
      <c r="AC1031" s="4"/>
      <c r="AD1031" s="4"/>
    </row>
    <row r="1032" spans="1:30" hidden="1">
      <c r="A1032" s="4">
        <v>1049</v>
      </c>
      <c r="B1032" s="8">
        <v>45231</v>
      </c>
      <c r="C1032" s="4"/>
      <c r="D1032" s="4" t="s">
        <v>42</v>
      </c>
      <c r="E1032" s="8">
        <v>45260</v>
      </c>
      <c r="F1032" s="4" t="s">
        <v>43</v>
      </c>
      <c r="G1032" s="15" t="s">
        <v>1293</v>
      </c>
      <c r="H1032" s="4" t="s">
        <v>52</v>
      </c>
      <c r="I1032" s="4" t="s">
        <v>235</v>
      </c>
      <c r="J1032" s="10">
        <v>35.954989999999995</v>
      </c>
      <c r="K1032" s="10">
        <f>10.935+17.013+4.098+1.041+0.65+2.251</f>
        <v>35.987999999999992</v>
      </c>
      <c r="L1032" s="10">
        <f t="shared" si="96"/>
        <v>0</v>
      </c>
      <c r="M1032" s="10">
        <f t="shared" si="95"/>
        <v>0</v>
      </c>
      <c r="N1032" s="10"/>
      <c r="O1032" s="10"/>
      <c r="P1032" s="10">
        <v>0</v>
      </c>
      <c r="Q1032" s="10"/>
      <c r="R1032" s="10"/>
      <c r="S1032" s="10"/>
      <c r="T1032" s="10"/>
      <c r="U1032" s="10"/>
      <c r="V1032" s="4" t="s">
        <v>411</v>
      </c>
      <c r="W1032" s="4"/>
      <c r="X1032" s="8">
        <v>45250</v>
      </c>
      <c r="Y1032" s="4"/>
      <c r="Z1032" s="4"/>
      <c r="AA1032" s="8"/>
      <c r="AB1032" s="8">
        <v>45278</v>
      </c>
      <c r="AC1032" s="4"/>
      <c r="AD1032" s="4"/>
    </row>
    <row r="1033" spans="1:30" hidden="1">
      <c r="A1033" s="4">
        <v>1049</v>
      </c>
      <c r="B1033" s="8">
        <v>45231</v>
      </c>
      <c r="C1033" s="4"/>
      <c r="D1033" s="4" t="s">
        <v>42</v>
      </c>
      <c r="E1033" s="8">
        <v>45260</v>
      </c>
      <c r="F1033" s="4" t="s">
        <v>43</v>
      </c>
      <c r="G1033" s="15" t="s">
        <v>1293</v>
      </c>
      <c r="H1033" s="4" t="s">
        <v>52</v>
      </c>
      <c r="I1033" s="4" t="s">
        <v>100</v>
      </c>
      <c r="J1033" s="10">
        <v>77.989289999999997</v>
      </c>
      <c r="K1033" s="10">
        <f>33.21+15.149+21.927+5.926+2.028</f>
        <v>78.240000000000009</v>
      </c>
      <c r="L1033" s="10">
        <f t="shared" si="96"/>
        <v>0</v>
      </c>
      <c r="M1033" s="10">
        <f t="shared" si="95"/>
        <v>0</v>
      </c>
      <c r="N1033" s="10"/>
      <c r="O1033" s="10"/>
      <c r="P1033" s="10">
        <v>0</v>
      </c>
      <c r="Q1033" s="10"/>
      <c r="R1033" s="10">
        <v>0</v>
      </c>
      <c r="S1033" s="10"/>
      <c r="T1033" s="10"/>
      <c r="U1033" s="10"/>
      <c r="V1033" s="4" t="s">
        <v>411</v>
      </c>
      <c r="W1033" s="4"/>
      <c r="X1033" s="8">
        <v>45265</v>
      </c>
      <c r="Y1033" s="4"/>
      <c r="Z1033" s="4"/>
      <c r="AA1033" s="8"/>
      <c r="AB1033" s="8">
        <v>45277</v>
      </c>
      <c r="AC1033" s="4"/>
      <c r="AD1033" s="4"/>
    </row>
    <row r="1034" spans="1:30" hidden="1">
      <c r="A1034" s="4">
        <v>1049</v>
      </c>
      <c r="B1034" s="8">
        <v>45231</v>
      </c>
      <c r="C1034" s="4"/>
      <c r="D1034" s="4" t="s">
        <v>42</v>
      </c>
      <c r="E1034" s="8">
        <v>45260</v>
      </c>
      <c r="F1034" s="4" t="s">
        <v>43</v>
      </c>
      <c r="G1034" s="15" t="s">
        <v>1293</v>
      </c>
      <c r="H1034" s="4" t="s">
        <v>52</v>
      </c>
      <c r="I1034" s="4" t="s">
        <v>96</v>
      </c>
      <c r="J1034" s="10">
        <v>48.286405999999999</v>
      </c>
      <c r="K1034" s="10">
        <f>33.115+14.796+0.414</f>
        <v>48.325000000000003</v>
      </c>
      <c r="L1034" s="10">
        <f t="shared" si="96"/>
        <v>0</v>
      </c>
      <c r="M1034" s="10">
        <f t="shared" si="95"/>
        <v>0</v>
      </c>
      <c r="N1034" s="10"/>
      <c r="O1034" s="10"/>
      <c r="P1034" s="10">
        <v>0</v>
      </c>
      <c r="Q1034" s="10"/>
      <c r="R1034" s="10">
        <v>0</v>
      </c>
      <c r="S1034" s="10"/>
      <c r="T1034" s="10"/>
      <c r="U1034" s="10"/>
      <c r="V1034" s="4" t="s">
        <v>411</v>
      </c>
      <c r="W1034" s="4"/>
      <c r="X1034" s="8">
        <v>45265</v>
      </c>
      <c r="Y1034" s="4"/>
      <c r="Z1034" s="4"/>
      <c r="AA1034" s="8"/>
      <c r="AB1034" s="8">
        <v>45277</v>
      </c>
      <c r="AC1034" s="4"/>
      <c r="AD1034" s="4"/>
    </row>
    <row r="1035" spans="1:30" hidden="1">
      <c r="A1035" s="4">
        <v>1047</v>
      </c>
      <c r="B1035" s="8">
        <v>45231</v>
      </c>
      <c r="C1035" s="4"/>
      <c r="D1035" s="4" t="s">
        <v>42</v>
      </c>
      <c r="E1035" s="8">
        <v>45267</v>
      </c>
      <c r="F1035" s="4" t="s">
        <v>43</v>
      </c>
      <c r="G1035" s="16" t="s">
        <v>44</v>
      </c>
      <c r="H1035" s="4" t="s">
        <v>45</v>
      </c>
      <c r="I1035" s="4" t="s">
        <v>409</v>
      </c>
      <c r="J1035" s="10">
        <v>2.1619999999999999</v>
      </c>
      <c r="K1035" s="10">
        <v>2.181</v>
      </c>
      <c r="L1035" s="10">
        <f t="shared" si="96"/>
        <v>0</v>
      </c>
      <c r="M1035" s="10">
        <f t="shared" si="95"/>
        <v>0</v>
      </c>
      <c r="N1035" s="10"/>
      <c r="O1035" s="10"/>
      <c r="P1035" s="10">
        <v>0</v>
      </c>
      <c r="Q1035" s="10"/>
      <c r="R1035" s="10"/>
      <c r="S1035" s="10"/>
      <c r="T1035" s="10"/>
      <c r="U1035" s="10"/>
      <c r="V1035" s="4" t="s">
        <v>1277</v>
      </c>
      <c r="W1035" s="4" t="s">
        <v>37</v>
      </c>
      <c r="X1035" s="8">
        <v>45247</v>
      </c>
      <c r="Y1035" s="4"/>
      <c r="Z1035" s="4"/>
      <c r="AA1035" s="8">
        <v>45282</v>
      </c>
      <c r="AB1035" s="8">
        <v>45282</v>
      </c>
      <c r="AC1035" s="4"/>
      <c r="AD1035" s="4"/>
    </row>
    <row r="1036" spans="1:30" hidden="1">
      <c r="A1036" s="4">
        <v>1047</v>
      </c>
      <c r="B1036" s="8">
        <v>45231</v>
      </c>
      <c r="C1036" s="4"/>
      <c r="D1036" s="4" t="s">
        <v>42</v>
      </c>
      <c r="E1036" s="8">
        <v>45267</v>
      </c>
      <c r="F1036" s="4" t="s">
        <v>43</v>
      </c>
      <c r="G1036" s="16" t="s">
        <v>44</v>
      </c>
      <c r="H1036" s="4" t="s">
        <v>45</v>
      </c>
      <c r="I1036" s="4" t="s">
        <v>407</v>
      </c>
      <c r="J1036" s="10">
        <v>3.3568800000000003</v>
      </c>
      <c r="K1036" s="10">
        <f>2.717+0.843</f>
        <v>3.56</v>
      </c>
      <c r="L1036" s="10">
        <f t="shared" si="96"/>
        <v>0</v>
      </c>
      <c r="M1036" s="10">
        <f t="shared" si="95"/>
        <v>0</v>
      </c>
      <c r="N1036" s="10"/>
      <c r="O1036" s="10"/>
      <c r="P1036" s="10">
        <v>0</v>
      </c>
      <c r="Q1036" s="10"/>
      <c r="R1036" s="10"/>
      <c r="S1036" s="10"/>
      <c r="T1036" s="10"/>
      <c r="U1036" s="10"/>
      <c r="V1036" s="4" t="s">
        <v>1277</v>
      </c>
      <c r="W1036" s="4"/>
      <c r="X1036" s="8"/>
      <c r="Y1036" s="4"/>
      <c r="Z1036" s="4"/>
      <c r="AA1036" s="8"/>
      <c r="AB1036" s="8"/>
      <c r="AC1036" s="4"/>
      <c r="AD1036" s="4"/>
    </row>
    <row r="1037" spans="1:30" hidden="1">
      <c r="A1037" s="4">
        <v>1047</v>
      </c>
      <c r="B1037" s="8">
        <v>45231</v>
      </c>
      <c r="C1037" s="4"/>
      <c r="D1037" s="4" t="s">
        <v>42</v>
      </c>
      <c r="E1037" s="8">
        <v>45267</v>
      </c>
      <c r="F1037" s="4" t="s">
        <v>43</v>
      </c>
      <c r="G1037" s="16" t="s">
        <v>51</v>
      </c>
      <c r="H1037" s="4" t="s">
        <v>52</v>
      </c>
      <c r="I1037" s="4" t="s">
        <v>235</v>
      </c>
      <c r="J1037" s="10">
        <v>2.0148000000000001</v>
      </c>
      <c r="K1037" s="10">
        <f>1.148+1.108</f>
        <v>2.2560000000000002</v>
      </c>
      <c r="L1037" s="10">
        <f t="shared" si="96"/>
        <v>0</v>
      </c>
      <c r="M1037" s="10">
        <f t="shared" si="95"/>
        <v>0</v>
      </c>
      <c r="N1037" s="10"/>
      <c r="O1037" s="10"/>
      <c r="P1037" s="10">
        <v>0</v>
      </c>
      <c r="Q1037" s="10"/>
      <c r="R1037" s="10"/>
      <c r="S1037" s="10"/>
      <c r="T1037" s="10"/>
      <c r="U1037" s="10"/>
      <c r="V1037" s="4" t="s">
        <v>1277</v>
      </c>
      <c r="W1037" s="4"/>
      <c r="X1037" s="8">
        <v>45249</v>
      </c>
      <c r="Y1037" s="4"/>
      <c r="Z1037" s="4"/>
      <c r="AA1037" s="8">
        <v>45282</v>
      </c>
      <c r="AB1037" s="8">
        <v>45282</v>
      </c>
      <c r="AC1037" s="4"/>
      <c r="AD1037" s="4"/>
    </row>
    <row r="1038" spans="1:30" hidden="1">
      <c r="A1038" s="4">
        <v>1047</v>
      </c>
      <c r="B1038" s="8">
        <v>45231</v>
      </c>
      <c r="C1038" s="4"/>
      <c r="D1038" s="4" t="s">
        <v>42</v>
      </c>
      <c r="E1038" s="8">
        <v>45267</v>
      </c>
      <c r="F1038" s="4" t="s">
        <v>43</v>
      </c>
      <c r="G1038" s="16" t="s">
        <v>51</v>
      </c>
      <c r="H1038" s="4" t="s">
        <v>52</v>
      </c>
      <c r="I1038" s="4" t="s">
        <v>472</v>
      </c>
      <c r="J1038" s="10">
        <v>2.3940000000000001</v>
      </c>
      <c r="K1038" s="10">
        <f>1.108+1.316</f>
        <v>2.4240000000000004</v>
      </c>
      <c r="L1038" s="10">
        <f t="shared" si="96"/>
        <v>0</v>
      </c>
      <c r="M1038" s="10">
        <f t="shared" si="95"/>
        <v>0</v>
      </c>
      <c r="N1038" s="10"/>
      <c r="O1038" s="10"/>
      <c r="P1038" s="10">
        <v>0</v>
      </c>
      <c r="Q1038" s="10"/>
      <c r="R1038" s="10"/>
      <c r="S1038" s="10"/>
      <c r="T1038" s="10"/>
      <c r="U1038" s="10"/>
      <c r="V1038" s="4" t="s">
        <v>1277</v>
      </c>
      <c r="W1038" s="4"/>
      <c r="X1038" s="8">
        <v>45251</v>
      </c>
      <c r="Y1038" s="4"/>
      <c r="Z1038" s="4"/>
      <c r="AA1038" s="8">
        <v>45282</v>
      </c>
      <c r="AB1038" s="8">
        <v>45282</v>
      </c>
      <c r="AC1038" s="4"/>
      <c r="AD1038" s="4"/>
    </row>
    <row r="1039" spans="1:30" hidden="1">
      <c r="A1039" s="4">
        <v>1047</v>
      </c>
      <c r="B1039" s="8">
        <v>45231</v>
      </c>
      <c r="C1039" s="4"/>
      <c r="D1039" s="4" t="s">
        <v>42</v>
      </c>
      <c r="E1039" s="8">
        <v>45267</v>
      </c>
      <c r="F1039" s="4" t="s">
        <v>43</v>
      </c>
      <c r="G1039" s="16" t="s">
        <v>51</v>
      </c>
      <c r="H1039" s="4" t="s">
        <v>52</v>
      </c>
      <c r="I1039" s="4" t="s">
        <v>473</v>
      </c>
      <c r="J1039" s="10">
        <v>1.1424000000000001</v>
      </c>
      <c r="K1039" s="10">
        <v>1.1519999999999999</v>
      </c>
      <c r="L1039" s="10">
        <f t="shared" si="96"/>
        <v>0</v>
      </c>
      <c r="M1039" s="10">
        <f t="shared" si="95"/>
        <v>0</v>
      </c>
      <c r="N1039" s="10"/>
      <c r="O1039" s="10"/>
      <c r="P1039" s="10">
        <v>0</v>
      </c>
      <c r="Q1039" s="10"/>
      <c r="R1039" s="10"/>
      <c r="S1039" s="10"/>
      <c r="T1039" s="10"/>
      <c r="U1039" s="10"/>
      <c r="V1039" s="4" t="s">
        <v>1277</v>
      </c>
      <c r="W1039" s="4"/>
      <c r="X1039" s="8">
        <v>45251</v>
      </c>
      <c r="Y1039" s="4"/>
      <c r="Z1039" s="4"/>
      <c r="AA1039" s="8"/>
      <c r="AB1039" s="8"/>
      <c r="AC1039" s="4"/>
      <c r="AD1039" s="4"/>
    </row>
    <row r="1040" spans="1:30" hidden="1">
      <c r="A1040" s="4">
        <v>1047</v>
      </c>
      <c r="B1040" s="8">
        <v>45231</v>
      </c>
      <c r="C1040" s="4"/>
      <c r="D1040" s="4" t="s">
        <v>42</v>
      </c>
      <c r="E1040" s="8">
        <v>45267</v>
      </c>
      <c r="F1040" s="4" t="s">
        <v>43</v>
      </c>
      <c r="G1040" s="16" t="s">
        <v>51</v>
      </c>
      <c r="H1040" s="4" t="s">
        <v>52</v>
      </c>
      <c r="I1040" s="4" t="s">
        <v>403</v>
      </c>
      <c r="J1040" s="10">
        <v>0.1411</v>
      </c>
      <c r="K1040" s="10">
        <v>0.17399999999999999</v>
      </c>
      <c r="L1040" s="10">
        <f t="shared" si="96"/>
        <v>0</v>
      </c>
      <c r="M1040" s="10">
        <f t="shared" si="95"/>
        <v>0</v>
      </c>
      <c r="N1040" s="10"/>
      <c r="O1040" s="10"/>
      <c r="P1040" s="10"/>
      <c r="Q1040" s="10"/>
      <c r="R1040" s="10">
        <v>0</v>
      </c>
      <c r="S1040" s="10"/>
      <c r="T1040" s="10"/>
      <c r="U1040" s="10"/>
      <c r="V1040" s="4" t="s">
        <v>1277</v>
      </c>
      <c r="W1040" s="4" t="s">
        <v>1071</v>
      </c>
      <c r="X1040" s="8"/>
      <c r="Y1040" s="4"/>
      <c r="Z1040" s="4"/>
      <c r="AA1040" s="8"/>
      <c r="AB1040" s="8"/>
      <c r="AC1040" s="4"/>
      <c r="AD1040" s="4"/>
    </row>
    <row r="1041" spans="1:30" hidden="1">
      <c r="A1041" s="4">
        <v>1047</v>
      </c>
      <c r="B1041" s="8">
        <v>45231</v>
      </c>
      <c r="C1041" s="4"/>
      <c r="D1041" s="4" t="s">
        <v>42</v>
      </c>
      <c r="E1041" s="8">
        <v>45267</v>
      </c>
      <c r="F1041" s="4" t="s">
        <v>43</v>
      </c>
      <c r="G1041" s="16" t="s">
        <v>51</v>
      </c>
      <c r="H1041" s="4" t="s">
        <v>52</v>
      </c>
      <c r="I1041" s="4" t="s">
        <v>49</v>
      </c>
      <c r="J1041" s="10">
        <v>0.43680000000000002</v>
      </c>
      <c r="K1041" s="10">
        <v>0.436</v>
      </c>
      <c r="L1041" s="10">
        <f t="shared" si="96"/>
        <v>0</v>
      </c>
      <c r="M1041" s="10">
        <f t="shared" si="95"/>
        <v>0</v>
      </c>
      <c r="N1041" s="10"/>
      <c r="O1041" s="10"/>
      <c r="P1041" s="10"/>
      <c r="Q1041" s="10"/>
      <c r="R1041" s="10">
        <v>0</v>
      </c>
      <c r="S1041" s="10"/>
      <c r="T1041" s="10"/>
      <c r="U1041" s="10"/>
      <c r="V1041" s="4" t="s">
        <v>1277</v>
      </c>
      <c r="W1041" s="4" t="s">
        <v>521</v>
      </c>
      <c r="X1041" s="8"/>
      <c r="Y1041" s="4"/>
      <c r="Z1041" s="4"/>
      <c r="AA1041" s="8">
        <v>45282</v>
      </c>
      <c r="AB1041" s="8">
        <v>45282</v>
      </c>
      <c r="AC1041" s="4"/>
      <c r="AD1041" s="4"/>
    </row>
    <row r="1042" spans="1:30" hidden="1">
      <c r="A1042" s="4">
        <v>1047</v>
      </c>
      <c r="B1042" s="8">
        <v>45231</v>
      </c>
      <c r="C1042" s="4"/>
      <c r="D1042" s="4" t="s">
        <v>42</v>
      </c>
      <c r="E1042" s="8">
        <v>45267</v>
      </c>
      <c r="F1042" s="4" t="s">
        <v>43</v>
      </c>
      <c r="G1042" s="16" t="s">
        <v>51</v>
      </c>
      <c r="H1042" s="4" t="s">
        <v>52</v>
      </c>
      <c r="I1042" s="4" t="s">
        <v>263</v>
      </c>
      <c r="J1042" s="10">
        <v>0.22080000000000002</v>
      </c>
      <c r="K1042" s="10">
        <v>0.222</v>
      </c>
      <c r="L1042" s="10">
        <f t="shared" si="96"/>
        <v>0</v>
      </c>
      <c r="M1042" s="10">
        <f t="shared" si="95"/>
        <v>0</v>
      </c>
      <c r="N1042" s="10"/>
      <c r="O1042" s="10"/>
      <c r="P1042" s="10"/>
      <c r="Q1042" s="10"/>
      <c r="R1042" s="10">
        <v>0</v>
      </c>
      <c r="S1042" s="10"/>
      <c r="T1042" s="10"/>
      <c r="U1042" s="10"/>
      <c r="V1042" s="4" t="s">
        <v>1277</v>
      </c>
      <c r="W1042" s="4" t="s">
        <v>446</v>
      </c>
      <c r="X1042" s="8"/>
      <c r="Y1042" s="4"/>
      <c r="Z1042" s="4"/>
      <c r="AA1042" s="8">
        <v>45282</v>
      </c>
      <c r="AB1042" s="8">
        <v>45282</v>
      </c>
      <c r="AC1042" s="4"/>
      <c r="AD1042" s="4"/>
    </row>
    <row r="1043" spans="1:30" hidden="1">
      <c r="A1043" s="4">
        <v>1047</v>
      </c>
      <c r="B1043" s="8">
        <v>45231</v>
      </c>
      <c r="C1043" s="4"/>
      <c r="D1043" s="4" t="s">
        <v>42</v>
      </c>
      <c r="E1043" s="8">
        <v>45267</v>
      </c>
      <c r="F1043" s="4" t="s">
        <v>43</v>
      </c>
      <c r="G1043" s="16" t="s">
        <v>51</v>
      </c>
      <c r="H1043" s="4" t="s">
        <v>52</v>
      </c>
      <c r="I1043" s="4" t="s">
        <v>470</v>
      </c>
      <c r="J1043" s="10">
        <v>0.34338000000000002</v>
      </c>
      <c r="K1043" s="10">
        <v>0.41</v>
      </c>
      <c r="L1043" s="10">
        <f t="shared" si="96"/>
        <v>0</v>
      </c>
      <c r="M1043" s="10">
        <f t="shared" si="95"/>
        <v>0</v>
      </c>
      <c r="N1043" s="10"/>
      <c r="O1043" s="10"/>
      <c r="P1043" s="10"/>
      <c r="Q1043" s="10"/>
      <c r="R1043" s="10">
        <v>0</v>
      </c>
      <c r="S1043" s="10"/>
      <c r="T1043" s="10"/>
      <c r="U1043" s="10"/>
      <c r="V1043" s="4" t="s">
        <v>1277</v>
      </c>
      <c r="W1043" s="4" t="s">
        <v>521</v>
      </c>
      <c r="X1043" s="8"/>
      <c r="Y1043" s="4"/>
      <c r="Z1043" s="4"/>
      <c r="AA1043" s="8"/>
      <c r="AB1043" s="8"/>
      <c r="AC1043" s="4"/>
      <c r="AD1043" s="4"/>
    </row>
    <row r="1044" spans="1:30" hidden="1">
      <c r="A1044" s="4">
        <v>1047</v>
      </c>
      <c r="B1044" s="8">
        <v>45231</v>
      </c>
      <c r="C1044" s="4"/>
      <c r="D1044" s="4" t="s">
        <v>42</v>
      </c>
      <c r="E1044" s="8">
        <v>45267</v>
      </c>
      <c r="F1044" s="4" t="s">
        <v>43</v>
      </c>
      <c r="G1044" s="16" t="s">
        <v>51</v>
      </c>
      <c r="H1044" s="4" t="s">
        <v>52</v>
      </c>
      <c r="I1044" s="4" t="s">
        <v>409</v>
      </c>
      <c r="J1044" s="10">
        <v>0.16450000000000001</v>
      </c>
      <c r="K1044" s="10">
        <v>0.16400000000000001</v>
      </c>
      <c r="L1044" s="10">
        <f t="shared" si="96"/>
        <v>0</v>
      </c>
      <c r="M1044" s="10">
        <f t="shared" si="95"/>
        <v>0</v>
      </c>
      <c r="N1044" s="10"/>
      <c r="O1044" s="10"/>
      <c r="P1044" s="10">
        <v>0</v>
      </c>
      <c r="Q1044" s="10"/>
      <c r="R1044" s="10"/>
      <c r="S1044" s="10"/>
      <c r="T1044" s="10"/>
      <c r="U1044" s="10"/>
      <c r="V1044" s="4" t="s">
        <v>1277</v>
      </c>
      <c r="W1044" s="4"/>
      <c r="X1044" s="8">
        <v>45248</v>
      </c>
      <c r="Y1044" s="4"/>
      <c r="Z1044" s="4"/>
      <c r="AA1044" s="8"/>
      <c r="AB1044" s="8"/>
      <c r="AC1044" s="4"/>
      <c r="AD1044" s="4"/>
    </row>
    <row r="1045" spans="1:30" hidden="1">
      <c r="A1045" s="4">
        <v>1047</v>
      </c>
      <c r="B1045" s="8">
        <v>45231</v>
      </c>
      <c r="C1045" s="4"/>
      <c r="D1045" s="4" t="s">
        <v>42</v>
      </c>
      <c r="E1045" s="8">
        <v>45267</v>
      </c>
      <c r="F1045" s="4" t="s">
        <v>43</v>
      </c>
      <c r="G1045" s="16" t="s">
        <v>51</v>
      </c>
      <c r="H1045" s="4" t="s">
        <v>52</v>
      </c>
      <c r="I1045" s="4" t="s">
        <v>87</v>
      </c>
      <c r="J1045" s="10">
        <v>0.11531999999999999</v>
      </c>
      <c r="K1045" s="10">
        <v>0.115</v>
      </c>
      <c r="L1045" s="10">
        <f t="shared" si="96"/>
        <v>0</v>
      </c>
      <c r="M1045" s="10">
        <f t="shared" si="95"/>
        <v>0</v>
      </c>
      <c r="N1045" s="10"/>
      <c r="O1045" s="10"/>
      <c r="P1045" s="10"/>
      <c r="Q1045" s="10"/>
      <c r="R1045" s="10">
        <v>0</v>
      </c>
      <c r="S1045" s="10"/>
      <c r="T1045" s="10"/>
      <c r="U1045" s="10"/>
      <c r="V1045" s="4" t="s">
        <v>1277</v>
      </c>
      <c r="W1045" s="4"/>
      <c r="X1045" s="8">
        <v>45265</v>
      </c>
      <c r="Y1045" s="4"/>
      <c r="Z1045" s="4"/>
      <c r="AA1045" s="8"/>
      <c r="AB1045" s="8"/>
      <c r="AC1045" s="4"/>
      <c r="AD1045" s="4"/>
    </row>
    <row r="1046" spans="1:30" hidden="1">
      <c r="A1046" s="4">
        <v>1131</v>
      </c>
      <c r="B1046" s="8">
        <v>45252</v>
      </c>
      <c r="C1046" s="4"/>
      <c r="D1046" s="4" t="s">
        <v>42</v>
      </c>
      <c r="E1046" s="8">
        <v>45267</v>
      </c>
      <c r="F1046" s="4" t="s">
        <v>43</v>
      </c>
      <c r="G1046" s="40" t="s">
        <v>60</v>
      </c>
      <c r="H1046" s="4" t="s">
        <v>45</v>
      </c>
      <c r="I1046" s="4" t="s">
        <v>57</v>
      </c>
      <c r="J1046" s="10">
        <v>2.145</v>
      </c>
      <c r="K1046" s="10">
        <f>2.067+0.27</f>
        <v>2.3370000000000002</v>
      </c>
      <c r="L1046" s="10">
        <f t="shared" si="96"/>
        <v>0</v>
      </c>
      <c r="M1046" s="10">
        <f t="shared" ref="M1046" si="97">SUM(N1046:T1046)</f>
        <v>0</v>
      </c>
      <c r="N1046" s="10"/>
      <c r="O1046" s="10"/>
      <c r="P1046" s="10"/>
      <c r="Q1046" s="10"/>
      <c r="R1046" s="10">
        <v>0</v>
      </c>
      <c r="S1046" s="10"/>
      <c r="T1046" s="10"/>
      <c r="U1046" s="10"/>
      <c r="V1046" s="4" t="s">
        <v>85</v>
      </c>
      <c r="W1046" s="4" t="s">
        <v>634</v>
      </c>
      <c r="X1046" s="8">
        <v>45261</v>
      </c>
      <c r="Y1046" s="4"/>
      <c r="Z1046" s="4"/>
      <c r="AA1046" s="8">
        <v>45282</v>
      </c>
      <c r="AB1046" s="8">
        <v>45282</v>
      </c>
      <c r="AC1046" s="4"/>
      <c r="AD1046" s="4"/>
    </row>
    <row r="1047" spans="1:30" hidden="1">
      <c r="A1047" s="4">
        <v>1131</v>
      </c>
      <c r="B1047" s="8">
        <v>45252</v>
      </c>
      <c r="C1047" s="4"/>
      <c r="D1047" s="4" t="s">
        <v>42</v>
      </c>
      <c r="E1047" s="8">
        <v>45267</v>
      </c>
      <c r="F1047" s="4" t="s">
        <v>43</v>
      </c>
      <c r="G1047" s="40" t="s">
        <v>60</v>
      </c>
      <c r="H1047" s="4" t="s">
        <v>45</v>
      </c>
      <c r="I1047" s="4" t="s">
        <v>54</v>
      </c>
      <c r="J1047" s="10">
        <v>2.8891200000000001</v>
      </c>
      <c r="K1047" s="10">
        <f>1.889+1.149</f>
        <v>3.0380000000000003</v>
      </c>
      <c r="L1047" s="10">
        <f t="shared" si="96"/>
        <v>0</v>
      </c>
      <c r="M1047" s="10">
        <f t="shared" ref="M1047:M1091" si="98">SUM(N1047:T1047)</f>
        <v>0</v>
      </c>
      <c r="N1047" s="10"/>
      <c r="O1047" s="10"/>
      <c r="P1047" s="10">
        <v>0</v>
      </c>
      <c r="Q1047" s="10"/>
      <c r="R1047" s="10"/>
      <c r="S1047" s="10"/>
      <c r="T1047" s="10"/>
      <c r="U1047" s="10"/>
      <c r="V1047" s="4" t="s">
        <v>85</v>
      </c>
      <c r="W1047" s="4" t="s">
        <v>634</v>
      </c>
      <c r="X1047" s="8">
        <v>45261</v>
      </c>
      <c r="Y1047" s="4"/>
      <c r="Z1047" s="4"/>
      <c r="AA1047" s="8">
        <v>45282</v>
      </c>
      <c r="AB1047" s="8">
        <v>45282</v>
      </c>
      <c r="AC1047" s="4"/>
      <c r="AD1047" s="4"/>
    </row>
    <row r="1048" spans="1:30" hidden="1">
      <c r="A1048" s="4">
        <v>1131</v>
      </c>
      <c r="B1048" s="8">
        <v>45252</v>
      </c>
      <c r="C1048" s="4"/>
      <c r="D1048" s="4" t="s">
        <v>42</v>
      </c>
      <c r="E1048" s="8">
        <v>45267</v>
      </c>
      <c r="F1048" s="4" t="s">
        <v>43</v>
      </c>
      <c r="G1048" s="40" t="s">
        <v>60</v>
      </c>
      <c r="H1048" s="4" t="s">
        <v>45</v>
      </c>
      <c r="I1048" s="4" t="s">
        <v>56</v>
      </c>
      <c r="J1048" s="10">
        <v>3.2742000000000004</v>
      </c>
      <c r="K1048" s="10">
        <v>3.274</v>
      </c>
      <c r="L1048" s="10">
        <f t="shared" si="96"/>
        <v>1.9999999999997797E-4</v>
      </c>
      <c r="M1048" s="10">
        <f t="shared" si="98"/>
        <v>1.9999999999997797E-4</v>
      </c>
      <c r="N1048" s="10"/>
      <c r="O1048" s="10"/>
      <c r="P1048" s="10">
        <f>3.2742-3.274</f>
        <v>1.9999999999997797E-4</v>
      </c>
      <c r="Q1048" s="10"/>
      <c r="R1048" s="10"/>
      <c r="S1048" s="10"/>
      <c r="T1048" s="10"/>
      <c r="U1048" s="10"/>
      <c r="V1048" s="4" t="s">
        <v>85</v>
      </c>
      <c r="W1048" s="4" t="s">
        <v>37</v>
      </c>
      <c r="X1048" s="8">
        <v>45261</v>
      </c>
      <c r="Y1048" s="4"/>
      <c r="Z1048" s="4"/>
      <c r="AA1048" s="8"/>
      <c r="AB1048" s="8"/>
      <c r="AC1048" s="4"/>
      <c r="AD1048" s="4"/>
    </row>
    <row r="1049" spans="1:30" hidden="1">
      <c r="A1049" s="4">
        <v>1131</v>
      </c>
      <c r="B1049" s="8">
        <v>45252</v>
      </c>
      <c r="C1049" s="4"/>
      <c r="D1049" s="4" t="s">
        <v>42</v>
      </c>
      <c r="E1049" s="8">
        <v>45267</v>
      </c>
      <c r="F1049" s="4" t="s">
        <v>43</v>
      </c>
      <c r="G1049" s="40" t="s">
        <v>60</v>
      </c>
      <c r="H1049" s="4" t="s">
        <v>45</v>
      </c>
      <c r="I1049" s="4" t="s">
        <v>48</v>
      </c>
      <c r="J1049" s="10">
        <v>0.93940000000000001</v>
      </c>
      <c r="K1049" s="10">
        <v>0.93899999999999995</v>
      </c>
      <c r="L1049" s="10">
        <f t="shared" si="96"/>
        <v>0</v>
      </c>
      <c r="M1049" s="10">
        <f t="shared" si="98"/>
        <v>0</v>
      </c>
      <c r="N1049" s="10"/>
      <c r="O1049" s="10"/>
      <c r="P1049" s="10"/>
      <c r="Q1049" s="10"/>
      <c r="R1049" s="10">
        <v>0</v>
      </c>
      <c r="S1049" s="10"/>
      <c r="T1049" s="10"/>
      <c r="U1049" s="10"/>
      <c r="V1049" s="4" t="s">
        <v>85</v>
      </c>
      <c r="W1049" s="4" t="s">
        <v>634</v>
      </c>
      <c r="X1049" s="8">
        <v>45258</v>
      </c>
      <c r="Y1049" s="4"/>
      <c r="Z1049" s="4"/>
      <c r="AA1049" s="8"/>
      <c r="AB1049" s="8"/>
      <c r="AC1049" s="4"/>
      <c r="AD1049" s="4"/>
    </row>
    <row r="1050" spans="1:30" hidden="1">
      <c r="A1050" s="4">
        <v>1131</v>
      </c>
      <c r="B1050" s="8">
        <v>45252</v>
      </c>
      <c r="C1050" s="4"/>
      <c r="D1050" s="4" t="s">
        <v>42</v>
      </c>
      <c r="E1050" s="8">
        <v>45267</v>
      </c>
      <c r="F1050" s="4" t="s">
        <v>43</v>
      </c>
      <c r="G1050" s="40" t="s">
        <v>60</v>
      </c>
      <c r="H1050" s="4" t="s">
        <v>45</v>
      </c>
      <c r="I1050" s="4" t="s">
        <v>403</v>
      </c>
      <c r="J1050" s="10">
        <v>2.2659000000000002</v>
      </c>
      <c r="K1050" s="10">
        <v>2.581</v>
      </c>
      <c r="L1050" s="10">
        <f t="shared" si="96"/>
        <v>0</v>
      </c>
      <c r="M1050" s="10">
        <f t="shared" si="98"/>
        <v>0</v>
      </c>
      <c r="N1050" s="10"/>
      <c r="O1050" s="10"/>
      <c r="P1050" s="10"/>
      <c r="Q1050" s="10"/>
      <c r="R1050" s="10">
        <v>0</v>
      </c>
      <c r="S1050" s="10"/>
      <c r="T1050" s="10"/>
      <c r="U1050" s="10"/>
      <c r="V1050" s="4" t="s">
        <v>85</v>
      </c>
      <c r="W1050" s="4" t="s">
        <v>634</v>
      </c>
      <c r="X1050" s="8"/>
      <c r="Y1050" s="4"/>
      <c r="Z1050" s="4"/>
      <c r="AA1050" s="8">
        <v>45282</v>
      </c>
      <c r="AB1050" s="8">
        <v>45282</v>
      </c>
      <c r="AC1050" s="4"/>
      <c r="AD1050" s="4"/>
    </row>
    <row r="1051" spans="1:30" hidden="1">
      <c r="A1051" s="4">
        <v>1131</v>
      </c>
      <c r="B1051" s="8">
        <v>45252</v>
      </c>
      <c r="C1051" s="4"/>
      <c r="D1051" s="4" t="s">
        <v>42</v>
      </c>
      <c r="E1051" s="8">
        <v>45267</v>
      </c>
      <c r="F1051" s="4" t="s">
        <v>43</v>
      </c>
      <c r="G1051" s="40" t="s">
        <v>60</v>
      </c>
      <c r="H1051" s="4" t="s">
        <v>45</v>
      </c>
      <c r="I1051" s="4" t="s">
        <v>405</v>
      </c>
      <c r="J1051" s="10">
        <v>6.1200000000000004E-2</v>
      </c>
      <c r="K1051" s="10">
        <v>6.0999999999999999E-2</v>
      </c>
      <c r="L1051" s="10">
        <f t="shared" si="96"/>
        <v>0</v>
      </c>
      <c r="M1051" s="10">
        <f t="shared" si="98"/>
        <v>0</v>
      </c>
      <c r="N1051" s="10"/>
      <c r="O1051" s="10"/>
      <c r="P1051" s="10"/>
      <c r="Q1051" s="10"/>
      <c r="R1051" s="10">
        <v>0</v>
      </c>
      <c r="S1051" s="10"/>
      <c r="T1051" s="10"/>
      <c r="U1051" s="10"/>
      <c r="V1051" s="4" t="s">
        <v>85</v>
      </c>
      <c r="W1051" s="4" t="s">
        <v>634</v>
      </c>
      <c r="X1051" s="8"/>
      <c r="Y1051" s="4"/>
      <c r="Z1051" s="4"/>
      <c r="AA1051" s="8"/>
      <c r="AB1051" s="8"/>
      <c r="AC1051" s="4"/>
      <c r="AD1051" s="4"/>
    </row>
    <row r="1052" spans="1:30" hidden="1">
      <c r="A1052" s="4">
        <v>1131</v>
      </c>
      <c r="B1052" s="8">
        <v>45252</v>
      </c>
      <c r="C1052" s="4"/>
      <c r="D1052" s="4" t="s">
        <v>42</v>
      </c>
      <c r="E1052" s="8">
        <v>45267</v>
      </c>
      <c r="F1052" s="4" t="s">
        <v>43</v>
      </c>
      <c r="G1052" s="40" t="s">
        <v>60</v>
      </c>
      <c r="H1052" s="4" t="s">
        <v>45</v>
      </c>
      <c r="I1052" s="4" t="s">
        <v>400</v>
      </c>
      <c r="J1052" s="10">
        <v>3.5223</v>
      </c>
      <c r="K1052" s="10">
        <f>2.539+0.983</f>
        <v>3.5220000000000002</v>
      </c>
      <c r="L1052" s="10">
        <f t="shared" si="96"/>
        <v>2.9999999999985594E-4</v>
      </c>
      <c r="M1052" s="10">
        <f t="shared" si="98"/>
        <v>2.9999999999985594E-4</v>
      </c>
      <c r="N1052" s="10"/>
      <c r="O1052" s="10"/>
      <c r="P1052" s="10">
        <f>3.5223-2.539-0.983</f>
        <v>2.9999999999985594E-4</v>
      </c>
      <c r="Q1052" s="10"/>
      <c r="R1052" s="10"/>
      <c r="S1052" s="10"/>
      <c r="T1052" s="10"/>
      <c r="U1052" s="10"/>
      <c r="V1052" s="4" t="s">
        <v>85</v>
      </c>
      <c r="W1052" s="4" t="s">
        <v>1253</v>
      </c>
      <c r="X1052" s="8"/>
      <c r="Y1052" s="4"/>
      <c r="Z1052" s="4"/>
      <c r="AA1052" s="8"/>
      <c r="AB1052" s="8"/>
      <c r="AC1052" s="4"/>
      <c r="AD1052" s="4"/>
    </row>
    <row r="1053" spans="1:30" hidden="1">
      <c r="A1053" s="4">
        <v>1131</v>
      </c>
      <c r="B1053" s="8">
        <v>45252</v>
      </c>
      <c r="C1053" s="4"/>
      <c r="D1053" s="4" t="s">
        <v>42</v>
      </c>
      <c r="E1053" s="8">
        <v>45267</v>
      </c>
      <c r="F1053" s="4" t="s">
        <v>43</v>
      </c>
      <c r="G1053" s="40" t="s">
        <v>60</v>
      </c>
      <c r="H1053" s="4" t="s">
        <v>45</v>
      </c>
      <c r="I1053" s="4" t="s">
        <v>46</v>
      </c>
      <c r="J1053" s="10">
        <v>2.59022</v>
      </c>
      <c r="K1053" s="10">
        <f>0.916+1.795</f>
        <v>2.7109999999999999</v>
      </c>
      <c r="L1053" s="10">
        <f t="shared" si="96"/>
        <v>0</v>
      </c>
      <c r="M1053" s="10">
        <f t="shared" si="98"/>
        <v>0</v>
      </c>
      <c r="N1053" s="10"/>
      <c r="O1053" s="10"/>
      <c r="P1053" s="10"/>
      <c r="Q1053" s="10"/>
      <c r="R1053" s="10">
        <v>0</v>
      </c>
      <c r="S1053" s="10"/>
      <c r="T1053" s="10"/>
      <c r="U1053" s="10"/>
      <c r="V1053" s="4" t="s">
        <v>85</v>
      </c>
      <c r="W1053" s="4" t="s">
        <v>634</v>
      </c>
      <c r="X1053" s="8"/>
      <c r="Y1053" s="4"/>
      <c r="Z1053" s="4"/>
      <c r="AA1053" s="8"/>
      <c r="AB1053" s="8"/>
      <c r="AC1053" s="4"/>
      <c r="AD1053" s="4"/>
    </row>
    <row r="1054" spans="1:30" hidden="1">
      <c r="A1054" s="4">
        <v>1131</v>
      </c>
      <c r="B1054" s="8">
        <v>45252</v>
      </c>
      <c r="C1054" s="4"/>
      <c r="D1054" s="4" t="s">
        <v>42</v>
      </c>
      <c r="E1054" s="8">
        <v>45267</v>
      </c>
      <c r="F1054" s="4" t="s">
        <v>43</v>
      </c>
      <c r="G1054" s="40" t="s">
        <v>60</v>
      </c>
      <c r="H1054" s="4" t="s">
        <v>45</v>
      </c>
      <c r="I1054" s="4" t="s">
        <v>406</v>
      </c>
      <c r="J1054" s="10">
        <v>0.21</v>
      </c>
      <c r="K1054" s="10">
        <v>0.28499999999999998</v>
      </c>
      <c r="L1054" s="10">
        <f t="shared" si="96"/>
        <v>0</v>
      </c>
      <c r="M1054" s="10">
        <f t="shared" si="98"/>
        <v>0</v>
      </c>
      <c r="N1054" s="10"/>
      <c r="O1054" s="10"/>
      <c r="P1054" s="10"/>
      <c r="Q1054" s="10"/>
      <c r="R1054" s="10">
        <v>0</v>
      </c>
      <c r="S1054" s="10"/>
      <c r="T1054" s="10"/>
      <c r="U1054" s="10"/>
      <c r="V1054" s="4" t="s">
        <v>85</v>
      </c>
      <c r="W1054" s="4" t="s">
        <v>634</v>
      </c>
      <c r="X1054" s="8"/>
      <c r="Y1054" s="4"/>
      <c r="Z1054" s="4"/>
      <c r="AA1054" s="8"/>
      <c r="AB1054" s="8"/>
      <c r="AC1054" s="4"/>
      <c r="AD1054" s="4"/>
    </row>
    <row r="1055" spans="1:30" hidden="1">
      <c r="A1055" s="4">
        <v>1131</v>
      </c>
      <c r="B1055" s="8">
        <v>45252</v>
      </c>
      <c r="C1055" s="4"/>
      <c r="D1055" s="4" t="s">
        <v>42</v>
      </c>
      <c r="E1055" s="8">
        <v>45267</v>
      </c>
      <c r="F1055" s="4" t="s">
        <v>43</v>
      </c>
      <c r="G1055" s="40" t="s">
        <v>60</v>
      </c>
      <c r="H1055" s="4" t="s">
        <v>45</v>
      </c>
      <c r="I1055" s="4" t="s">
        <v>49</v>
      </c>
      <c r="J1055" s="10">
        <v>1.4141399999999997</v>
      </c>
      <c r="K1055" s="10">
        <f>0.819+0.595</f>
        <v>1.4139999999999999</v>
      </c>
      <c r="L1055" s="10">
        <f t="shared" si="96"/>
        <v>0</v>
      </c>
      <c r="M1055" s="10">
        <f t="shared" si="98"/>
        <v>0</v>
      </c>
      <c r="N1055" s="10"/>
      <c r="O1055" s="10"/>
      <c r="P1055" s="10">
        <v>0</v>
      </c>
      <c r="Q1055" s="10"/>
      <c r="R1055" s="10">
        <v>0</v>
      </c>
      <c r="S1055" s="10"/>
      <c r="T1055" s="10"/>
      <c r="U1055" s="10"/>
      <c r="V1055" s="4" t="s">
        <v>85</v>
      </c>
      <c r="W1055" s="4" t="s">
        <v>1253</v>
      </c>
      <c r="X1055" s="8"/>
      <c r="Y1055" s="4"/>
      <c r="Z1055" s="4"/>
      <c r="AA1055" s="8"/>
      <c r="AB1055" s="8"/>
      <c r="AC1055" s="4"/>
      <c r="AD1055" s="4"/>
    </row>
    <row r="1056" spans="1:30" hidden="1">
      <c r="A1056" s="4">
        <v>1131</v>
      </c>
      <c r="B1056" s="8">
        <v>45252</v>
      </c>
      <c r="C1056" s="4"/>
      <c r="D1056" s="4" t="s">
        <v>42</v>
      </c>
      <c r="E1056" s="8">
        <v>45267</v>
      </c>
      <c r="F1056" s="4" t="s">
        <v>43</v>
      </c>
      <c r="G1056" s="40" t="s">
        <v>60</v>
      </c>
      <c r="H1056" s="4" t="s">
        <v>45</v>
      </c>
      <c r="I1056" s="4" t="s">
        <v>50</v>
      </c>
      <c r="J1056" s="10">
        <v>4.1762699999999997</v>
      </c>
      <c r="K1056" s="10">
        <f>3.314+0.891</f>
        <v>4.2050000000000001</v>
      </c>
      <c r="L1056" s="10">
        <f t="shared" si="96"/>
        <v>0</v>
      </c>
      <c r="M1056" s="10">
        <f t="shared" si="98"/>
        <v>0</v>
      </c>
      <c r="N1056" s="10"/>
      <c r="O1056" s="10"/>
      <c r="P1056" s="10">
        <v>0</v>
      </c>
      <c r="Q1056" s="10"/>
      <c r="R1056" s="10"/>
      <c r="S1056" s="10"/>
      <c r="T1056" s="10"/>
      <c r="U1056" s="10"/>
      <c r="V1056" s="4" t="s">
        <v>85</v>
      </c>
      <c r="W1056" s="4" t="s">
        <v>1253</v>
      </c>
      <c r="X1056" s="8"/>
      <c r="Y1056" s="4"/>
      <c r="Z1056" s="4"/>
      <c r="AA1056" s="8">
        <v>45282</v>
      </c>
      <c r="AB1056" s="8">
        <v>45282</v>
      </c>
      <c r="AC1056" s="4"/>
      <c r="AD1056" s="4"/>
    </row>
    <row r="1057" spans="1:30" hidden="1">
      <c r="A1057" s="4">
        <v>1131</v>
      </c>
      <c r="B1057" s="8">
        <v>45252</v>
      </c>
      <c r="C1057" s="4"/>
      <c r="D1057" s="4" t="s">
        <v>42</v>
      </c>
      <c r="E1057" s="8">
        <v>45267</v>
      </c>
      <c r="F1057" s="4" t="s">
        <v>43</v>
      </c>
      <c r="G1057" s="40" t="s">
        <v>60</v>
      </c>
      <c r="H1057" s="4" t="s">
        <v>45</v>
      </c>
      <c r="I1057" s="4" t="s">
        <v>588</v>
      </c>
      <c r="J1057" s="10">
        <v>2.8182</v>
      </c>
      <c r="K1057" s="10">
        <f>0.078+1.562+1.28</f>
        <v>2.92</v>
      </c>
      <c r="L1057" s="10">
        <f t="shared" si="96"/>
        <v>1.9999999999997797E-4</v>
      </c>
      <c r="M1057" s="10">
        <f t="shared" si="98"/>
        <v>1.9999999999997797E-4</v>
      </c>
      <c r="N1057" s="10"/>
      <c r="O1057" s="10"/>
      <c r="P1057" s="10">
        <f>2.8182-1.178-0.078-1.562</f>
        <v>1.9999999999997797E-4</v>
      </c>
      <c r="Q1057" s="10"/>
      <c r="R1057" s="10">
        <v>0</v>
      </c>
      <c r="S1057" s="10"/>
      <c r="T1057" s="10"/>
      <c r="U1057" s="10"/>
      <c r="V1057" s="4" t="s">
        <v>85</v>
      </c>
      <c r="W1057" s="4" t="s">
        <v>1253</v>
      </c>
      <c r="X1057" s="8">
        <v>45272</v>
      </c>
      <c r="Y1057" s="4"/>
      <c r="Z1057" s="4"/>
      <c r="AA1057" s="8"/>
      <c r="AB1057" s="8"/>
      <c r="AC1057" s="4"/>
      <c r="AD1057" s="4"/>
    </row>
    <row r="1058" spans="1:30" hidden="1">
      <c r="A1058" s="4">
        <v>1131</v>
      </c>
      <c r="B1058" s="8">
        <v>45252</v>
      </c>
      <c r="C1058" s="4"/>
      <c r="D1058" s="4" t="s">
        <v>42</v>
      </c>
      <c r="E1058" s="8">
        <v>45267</v>
      </c>
      <c r="F1058" s="4" t="s">
        <v>43</v>
      </c>
      <c r="G1058" s="40" t="s">
        <v>60</v>
      </c>
      <c r="H1058" s="4" t="s">
        <v>45</v>
      </c>
      <c r="I1058" s="4" t="s">
        <v>407</v>
      </c>
      <c r="J1058" s="10">
        <v>5.3697599999999994</v>
      </c>
      <c r="K1058" s="10">
        <v>5.37</v>
      </c>
      <c r="L1058" s="10">
        <f t="shared" si="96"/>
        <v>-2.3999999999979593E-4</v>
      </c>
      <c r="M1058" s="10">
        <f t="shared" si="98"/>
        <v>-2.3999999999979593E-4</v>
      </c>
      <c r="N1058" s="10"/>
      <c r="O1058" s="10"/>
      <c r="P1058" s="10">
        <f>5.36976-5.37</f>
        <v>-2.3999999999979593E-4</v>
      </c>
      <c r="Q1058" s="10"/>
      <c r="R1058" s="10"/>
      <c r="S1058" s="10"/>
      <c r="T1058" s="10"/>
      <c r="U1058" s="10"/>
      <c r="V1058" s="4" t="s">
        <v>85</v>
      </c>
      <c r="W1058" s="4" t="s">
        <v>1253</v>
      </c>
      <c r="X1058" s="8"/>
      <c r="Y1058" s="4"/>
      <c r="Z1058" s="4"/>
      <c r="AA1058" s="8"/>
      <c r="AB1058" s="8"/>
      <c r="AC1058" s="4"/>
      <c r="AD1058" s="4"/>
    </row>
    <row r="1059" spans="1:30" hidden="1">
      <c r="A1059" s="4">
        <v>1131</v>
      </c>
      <c r="B1059" s="8">
        <v>45252</v>
      </c>
      <c r="C1059" s="4"/>
      <c r="D1059" s="4" t="s">
        <v>42</v>
      </c>
      <c r="E1059" s="8">
        <v>45267</v>
      </c>
      <c r="F1059" s="4" t="s">
        <v>43</v>
      </c>
      <c r="G1059" s="40" t="s">
        <v>60</v>
      </c>
      <c r="H1059" s="4" t="s">
        <v>45</v>
      </c>
      <c r="I1059" s="4" t="s">
        <v>409</v>
      </c>
      <c r="J1059" s="10">
        <v>6.8203999999999994</v>
      </c>
      <c r="K1059" s="10">
        <f>3.398+3.47</f>
        <v>6.8680000000000003</v>
      </c>
      <c r="L1059" s="10">
        <f t="shared" si="96"/>
        <v>0</v>
      </c>
      <c r="M1059" s="10">
        <f t="shared" si="98"/>
        <v>0</v>
      </c>
      <c r="N1059" s="10"/>
      <c r="O1059" s="10"/>
      <c r="P1059" s="10">
        <v>0</v>
      </c>
      <c r="Q1059" s="10"/>
      <c r="R1059" s="10">
        <v>0</v>
      </c>
      <c r="S1059" s="10"/>
      <c r="T1059" s="10"/>
      <c r="U1059" s="10"/>
      <c r="V1059" s="4" t="s">
        <v>85</v>
      </c>
      <c r="W1059" s="4" t="s">
        <v>1253</v>
      </c>
      <c r="X1059" s="8"/>
      <c r="Y1059" s="4"/>
      <c r="Z1059" s="4"/>
      <c r="AA1059" s="8">
        <v>45282</v>
      </c>
      <c r="AB1059" s="8">
        <v>45282</v>
      </c>
      <c r="AC1059" s="4"/>
      <c r="AD1059" s="4"/>
    </row>
    <row r="1060" spans="1:30" hidden="1">
      <c r="A1060" s="4">
        <v>1131</v>
      </c>
      <c r="B1060" s="8">
        <v>45252</v>
      </c>
      <c r="C1060" s="4"/>
      <c r="D1060" s="4" t="s">
        <v>42</v>
      </c>
      <c r="E1060" s="8">
        <v>45267</v>
      </c>
      <c r="F1060" s="4" t="s">
        <v>43</v>
      </c>
      <c r="G1060" s="40" t="s">
        <v>60</v>
      </c>
      <c r="H1060" s="4" t="s">
        <v>45</v>
      </c>
      <c r="I1060" s="4" t="s">
        <v>410</v>
      </c>
      <c r="J1060" s="10">
        <v>1.52</v>
      </c>
      <c r="K1060" s="10">
        <v>1.7</v>
      </c>
      <c r="L1060" s="10">
        <f t="shared" si="96"/>
        <v>0</v>
      </c>
      <c r="M1060" s="10">
        <f t="shared" si="98"/>
        <v>0</v>
      </c>
      <c r="N1060" s="10"/>
      <c r="O1060" s="10"/>
      <c r="P1060" s="28"/>
      <c r="Q1060" s="10"/>
      <c r="R1060" s="28">
        <v>0</v>
      </c>
      <c r="S1060" s="10"/>
      <c r="T1060" s="10"/>
      <c r="U1060" s="10"/>
      <c r="V1060" s="4" t="s">
        <v>85</v>
      </c>
      <c r="W1060" s="4" t="s">
        <v>634</v>
      </c>
      <c r="X1060" s="8"/>
      <c r="Y1060" s="4"/>
      <c r="Z1060" s="4"/>
      <c r="AA1060" s="8"/>
      <c r="AB1060" s="8"/>
      <c r="AC1060" s="4"/>
      <c r="AD1060" s="4"/>
    </row>
    <row r="1061" spans="1:30" hidden="1">
      <c r="A1061" s="4">
        <v>1131</v>
      </c>
      <c r="B1061" s="8">
        <v>45252</v>
      </c>
      <c r="C1061" s="4"/>
      <c r="D1061" s="4" t="s">
        <v>42</v>
      </c>
      <c r="E1061" s="8">
        <v>45267</v>
      </c>
      <c r="F1061" s="4" t="s">
        <v>43</v>
      </c>
      <c r="G1061" s="40" t="s">
        <v>60</v>
      </c>
      <c r="H1061" s="4" t="s">
        <v>45</v>
      </c>
      <c r="I1061" s="4" t="s">
        <v>47</v>
      </c>
      <c r="J1061" s="10">
        <v>2.0764</v>
      </c>
      <c r="K1061" s="10">
        <f>1.868+0.644</f>
        <v>2.512</v>
      </c>
      <c r="L1061" s="10">
        <f t="shared" si="96"/>
        <v>0</v>
      </c>
      <c r="M1061" s="10">
        <f t="shared" si="98"/>
        <v>0</v>
      </c>
      <c r="N1061" s="10"/>
      <c r="O1061" s="10"/>
      <c r="P1061" s="10"/>
      <c r="Q1061" s="10"/>
      <c r="R1061" s="10">
        <v>0</v>
      </c>
      <c r="S1061" s="10"/>
      <c r="T1061" s="10"/>
      <c r="U1061" s="10"/>
      <c r="V1061" s="4" t="s">
        <v>85</v>
      </c>
      <c r="W1061" s="4" t="s">
        <v>634</v>
      </c>
      <c r="X1061" s="8"/>
      <c r="Y1061" s="4"/>
      <c r="Z1061" s="4"/>
      <c r="AA1061" s="8"/>
      <c r="AB1061" s="8"/>
      <c r="AC1061" s="4"/>
      <c r="AD1061" s="4"/>
    </row>
    <row r="1062" spans="1:30" hidden="1">
      <c r="A1062" s="4">
        <v>1131</v>
      </c>
      <c r="B1062" s="8">
        <v>45252</v>
      </c>
      <c r="C1062" s="4"/>
      <c r="D1062" s="4" t="s">
        <v>42</v>
      </c>
      <c r="E1062" s="8">
        <v>45267</v>
      </c>
      <c r="F1062" s="4" t="s">
        <v>43</v>
      </c>
      <c r="G1062" s="40" t="s">
        <v>60</v>
      </c>
      <c r="H1062" s="4" t="s">
        <v>45</v>
      </c>
      <c r="I1062" s="4" t="s">
        <v>761</v>
      </c>
      <c r="J1062" s="10">
        <v>1.54728</v>
      </c>
      <c r="K1062" s="10">
        <v>1.7370000000000001</v>
      </c>
      <c r="L1062" s="10">
        <f t="shared" si="96"/>
        <v>0</v>
      </c>
      <c r="M1062" s="10">
        <f t="shared" si="98"/>
        <v>0</v>
      </c>
      <c r="N1062" s="10"/>
      <c r="O1062" s="10"/>
      <c r="P1062" s="10"/>
      <c r="Q1062" s="10"/>
      <c r="R1062" s="10">
        <v>0</v>
      </c>
      <c r="S1062" s="10"/>
      <c r="T1062" s="10"/>
      <c r="U1062" s="10"/>
      <c r="V1062" s="4" t="s">
        <v>85</v>
      </c>
      <c r="W1062" s="4" t="s">
        <v>634</v>
      </c>
      <c r="X1062" s="8"/>
      <c r="Y1062" s="4"/>
      <c r="Z1062" s="4"/>
      <c r="AA1062" s="8">
        <v>45282</v>
      </c>
      <c r="AB1062" s="8">
        <v>45282</v>
      </c>
      <c r="AC1062" s="4"/>
      <c r="AD1062" s="4"/>
    </row>
    <row r="1063" spans="1:30">
      <c r="A1063" s="4">
        <v>1131</v>
      </c>
      <c r="B1063" s="8">
        <v>45252</v>
      </c>
      <c r="C1063" s="4"/>
      <c r="D1063" s="4" t="s">
        <v>42</v>
      </c>
      <c r="E1063" s="8">
        <v>45267</v>
      </c>
      <c r="F1063" s="4" t="s">
        <v>43</v>
      </c>
      <c r="G1063" s="40" t="s">
        <v>60</v>
      </c>
      <c r="H1063" s="4" t="s">
        <v>45</v>
      </c>
      <c r="I1063" s="4" t="s">
        <v>517</v>
      </c>
      <c r="J1063" s="10">
        <v>10.78077</v>
      </c>
      <c r="K1063" s="10"/>
      <c r="L1063" s="10">
        <f t="shared" si="96"/>
        <v>10.78077</v>
      </c>
      <c r="M1063" s="10">
        <f t="shared" si="98"/>
        <v>10.78077</v>
      </c>
      <c r="N1063" s="10"/>
      <c r="O1063" s="10"/>
      <c r="P1063" s="10">
        <v>10.78077</v>
      </c>
      <c r="Q1063" s="10"/>
      <c r="R1063" s="10"/>
      <c r="S1063" s="10"/>
      <c r="T1063" s="10"/>
      <c r="U1063" s="10"/>
      <c r="V1063" s="4" t="s">
        <v>85</v>
      </c>
      <c r="W1063" s="4" t="s">
        <v>1253</v>
      </c>
      <c r="X1063" s="8">
        <v>45295</v>
      </c>
      <c r="Y1063" s="4"/>
      <c r="Z1063" s="4"/>
      <c r="AA1063" s="8"/>
      <c r="AB1063" s="8"/>
      <c r="AC1063" s="4"/>
      <c r="AD1063" s="4"/>
    </row>
    <row r="1064" spans="1:30" hidden="1">
      <c r="A1064" s="4">
        <v>1131</v>
      </c>
      <c r="B1064" s="8">
        <v>45252</v>
      </c>
      <c r="C1064" s="4"/>
      <c r="D1064" s="4" t="s">
        <v>42</v>
      </c>
      <c r="E1064" s="8">
        <v>45267</v>
      </c>
      <c r="F1064" s="4" t="s">
        <v>43</v>
      </c>
      <c r="G1064" s="40" t="s">
        <v>60</v>
      </c>
      <c r="H1064" s="4" t="s">
        <v>45</v>
      </c>
      <c r="I1064" s="4" t="s">
        <v>837</v>
      </c>
      <c r="J1064" s="10">
        <v>1.2625999999999999</v>
      </c>
      <c r="K1064" s="10">
        <v>1.3540000000000001</v>
      </c>
      <c r="L1064" s="10">
        <f t="shared" si="96"/>
        <v>0</v>
      </c>
      <c r="M1064" s="10">
        <f t="shared" si="98"/>
        <v>0</v>
      </c>
      <c r="N1064" s="10"/>
      <c r="O1064" s="10"/>
      <c r="P1064" s="10"/>
      <c r="Q1064" s="10"/>
      <c r="R1064" s="10">
        <v>0</v>
      </c>
      <c r="S1064" s="10"/>
      <c r="T1064" s="10"/>
      <c r="U1064" s="10"/>
      <c r="V1064" s="4" t="s">
        <v>85</v>
      </c>
      <c r="W1064" s="4" t="s">
        <v>634</v>
      </c>
      <c r="X1064" s="8"/>
      <c r="Y1064" s="4"/>
      <c r="Z1064" s="4"/>
      <c r="AA1064" s="8">
        <v>45282</v>
      </c>
      <c r="AB1064" s="8">
        <v>45282</v>
      </c>
      <c r="AC1064" s="4"/>
      <c r="AD1064" s="4"/>
    </row>
    <row r="1065" spans="1:30">
      <c r="A1065" s="4">
        <v>1131</v>
      </c>
      <c r="B1065" s="8">
        <v>45252</v>
      </c>
      <c r="C1065" s="4"/>
      <c r="D1065" s="4" t="s">
        <v>42</v>
      </c>
      <c r="E1065" s="8">
        <v>45267</v>
      </c>
      <c r="F1065" s="4" t="s">
        <v>43</v>
      </c>
      <c r="G1065" s="40" t="s">
        <v>60</v>
      </c>
      <c r="H1065" s="4" t="s">
        <v>45</v>
      </c>
      <c r="I1065" s="4" t="s">
        <v>579</v>
      </c>
      <c r="J1065" s="10">
        <v>8.8416800000000002</v>
      </c>
      <c r="K1065" s="10"/>
      <c r="L1065" s="10">
        <f t="shared" si="96"/>
        <v>8.8416800000000002</v>
      </c>
      <c r="M1065" s="10">
        <f t="shared" si="98"/>
        <v>8.8416800000000002</v>
      </c>
      <c r="N1065" s="10"/>
      <c r="O1065" s="10"/>
      <c r="P1065" s="10">
        <v>4.7460000000000004</v>
      </c>
      <c r="Q1065" s="10"/>
      <c r="R1065" s="10"/>
      <c r="S1065" s="10"/>
      <c r="T1065" s="10">
        <f>8.84168-4.746</f>
        <v>4.0956799999999998</v>
      </c>
      <c r="U1065" s="10"/>
      <c r="V1065" s="4" t="s">
        <v>85</v>
      </c>
      <c r="W1065" s="4" t="s">
        <v>1253</v>
      </c>
      <c r="X1065" s="8">
        <v>45295</v>
      </c>
      <c r="Y1065" s="4"/>
      <c r="Z1065" s="4"/>
      <c r="AA1065" s="8"/>
      <c r="AB1065" s="8"/>
      <c r="AC1065" s="4"/>
      <c r="AD1065" s="4"/>
    </row>
    <row r="1066" spans="1:30">
      <c r="A1066" s="4">
        <v>1131</v>
      </c>
      <c r="B1066" s="8">
        <v>45252</v>
      </c>
      <c r="C1066" s="4"/>
      <c r="D1066" s="4" t="s">
        <v>42</v>
      </c>
      <c r="E1066" s="8">
        <v>45267</v>
      </c>
      <c r="F1066" s="4" t="s">
        <v>43</v>
      </c>
      <c r="G1066" s="40" t="s">
        <v>60</v>
      </c>
      <c r="H1066" s="4" t="s">
        <v>45</v>
      </c>
      <c r="I1066" s="4" t="s">
        <v>448</v>
      </c>
      <c r="J1066" s="10">
        <v>35.652239999999992</v>
      </c>
      <c r="K1066" s="10"/>
      <c r="L1066" s="10">
        <f t="shared" si="96"/>
        <v>35.652000000000001</v>
      </c>
      <c r="M1066" s="10">
        <f t="shared" si="98"/>
        <v>35.652000000000001</v>
      </c>
      <c r="N1066" s="10"/>
      <c r="O1066" s="10"/>
      <c r="P1066" s="10">
        <f>16.305+5.09+14.257</f>
        <v>35.652000000000001</v>
      </c>
      <c r="Q1066" s="10"/>
      <c r="R1066" s="10"/>
      <c r="S1066" s="10"/>
      <c r="T1066" s="10"/>
      <c r="U1066" s="10"/>
      <c r="V1066" s="4" t="s">
        <v>85</v>
      </c>
      <c r="W1066" s="4" t="s">
        <v>1253</v>
      </c>
      <c r="X1066" s="8">
        <v>45295</v>
      </c>
      <c r="Y1066" s="4"/>
      <c r="Z1066" s="4"/>
      <c r="AA1066" s="8"/>
      <c r="AB1066" s="8"/>
      <c r="AC1066" s="4"/>
      <c r="AD1066" s="4"/>
    </row>
    <row r="1067" spans="1:30" hidden="1">
      <c r="A1067" s="4">
        <v>1131</v>
      </c>
      <c r="B1067" s="8">
        <v>45252</v>
      </c>
      <c r="C1067" s="4"/>
      <c r="D1067" s="4" t="s">
        <v>42</v>
      </c>
      <c r="E1067" s="8">
        <v>45267</v>
      </c>
      <c r="F1067" s="4" t="s">
        <v>43</v>
      </c>
      <c r="G1067" s="40" t="s">
        <v>60</v>
      </c>
      <c r="H1067" s="4" t="s">
        <v>45</v>
      </c>
      <c r="I1067" s="4" t="s">
        <v>449</v>
      </c>
      <c r="J1067" s="10">
        <v>3.0802199999999997</v>
      </c>
      <c r="K1067" s="10">
        <v>3.4649999999999999</v>
      </c>
      <c r="L1067" s="10">
        <f t="shared" si="96"/>
        <v>0</v>
      </c>
      <c r="M1067" s="10">
        <f t="shared" si="98"/>
        <v>0</v>
      </c>
      <c r="N1067" s="10"/>
      <c r="O1067" s="10"/>
      <c r="P1067" s="10"/>
      <c r="Q1067" s="10"/>
      <c r="R1067" s="10">
        <v>0</v>
      </c>
      <c r="S1067" s="10"/>
      <c r="T1067" s="10"/>
      <c r="U1067" s="10"/>
      <c r="V1067" s="4" t="s">
        <v>85</v>
      </c>
      <c r="W1067" s="4" t="s">
        <v>634</v>
      </c>
      <c r="X1067" s="8"/>
      <c r="Y1067" s="4"/>
      <c r="Z1067" s="4"/>
      <c r="AA1067" s="8">
        <v>45282</v>
      </c>
      <c r="AB1067" s="8">
        <v>45282</v>
      </c>
      <c r="AC1067" s="4"/>
      <c r="AD1067" s="4"/>
    </row>
    <row r="1068" spans="1:30" hidden="1">
      <c r="A1068" s="4">
        <v>1131</v>
      </c>
      <c r="B1068" s="8">
        <v>45252</v>
      </c>
      <c r="C1068" s="4"/>
      <c r="D1068" s="4" t="s">
        <v>42</v>
      </c>
      <c r="E1068" s="8">
        <v>45267</v>
      </c>
      <c r="F1068" s="4" t="s">
        <v>43</v>
      </c>
      <c r="G1068" s="40" t="s">
        <v>60</v>
      </c>
      <c r="H1068" s="4" t="s">
        <v>45</v>
      </c>
      <c r="I1068" s="4" t="s">
        <v>447</v>
      </c>
      <c r="J1068" s="10">
        <v>0.86616000000000004</v>
      </c>
      <c r="K1068" s="10">
        <v>1.107</v>
      </c>
      <c r="L1068" s="10">
        <f t="shared" si="96"/>
        <v>0</v>
      </c>
      <c r="M1068" s="10">
        <f t="shared" si="98"/>
        <v>0</v>
      </c>
      <c r="N1068" s="10"/>
      <c r="O1068" s="10"/>
      <c r="P1068" s="10"/>
      <c r="Q1068" s="10"/>
      <c r="R1068" s="10">
        <v>0</v>
      </c>
      <c r="S1068" s="10"/>
      <c r="T1068" s="10"/>
      <c r="U1068" s="10"/>
      <c r="V1068" s="4" t="s">
        <v>85</v>
      </c>
      <c r="W1068" s="4" t="s">
        <v>634</v>
      </c>
      <c r="X1068" s="8"/>
      <c r="Y1068" s="4"/>
      <c r="Z1068" s="4"/>
      <c r="AA1068" s="8">
        <v>45282</v>
      </c>
      <c r="AB1068" s="8">
        <v>45282</v>
      </c>
      <c r="AC1068" s="4"/>
      <c r="AD1068" s="4"/>
    </row>
    <row r="1069" spans="1:30" hidden="1">
      <c r="A1069" s="4">
        <v>1131</v>
      </c>
      <c r="B1069" s="8">
        <v>45252</v>
      </c>
      <c r="C1069" s="4"/>
      <c r="D1069" s="4" t="s">
        <v>42</v>
      </c>
      <c r="E1069" s="8">
        <v>45267</v>
      </c>
      <c r="F1069" s="4" t="s">
        <v>43</v>
      </c>
      <c r="G1069" s="40" t="s">
        <v>60</v>
      </c>
      <c r="H1069" s="4" t="s">
        <v>45</v>
      </c>
      <c r="I1069" s="4" t="s">
        <v>435</v>
      </c>
      <c r="J1069" s="10">
        <v>1.3823999999999999</v>
      </c>
      <c r="K1069" s="10">
        <f>1.037+0.562</f>
        <v>1.599</v>
      </c>
      <c r="L1069" s="10">
        <f t="shared" si="96"/>
        <v>0</v>
      </c>
      <c r="M1069" s="10">
        <f t="shared" si="98"/>
        <v>0</v>
      </c>
      <c r="N1069" s="10"/>
      <c r="O1069" s="10"/>
      <c r="P1069" s="10">
        <v>0</v>
      </c>
      <c r="Q1069" s="10"/>
      <c r="R1069" s="10"/>
      <c r="S1069" s="10"/>
      <c r="T1069" s="10"/>
      <c r="U1069" s="10"/>
      <c r="V1069" s="4" t="s">
        <v>85</v>
      </c>
      <c r="W1069" s="4" t="s">
        <v>1253</v>
      </c>
      <c r="X1069" s="8">
        <v>45270</v>
      </c>
      <c r="Y1069" s="4"/>
      <c r="Z1069" s="4"/>
      <c r="AA1069" s="8"/>
      <c r="AB1069" s="8"/>
      <c r="AC1069" s="4"/>
      <c r="AD1069" s="4"/>
    </row>
    <row r="1070" spans="1:30" hidden="1">
      <c r="A1070" s="4">
        <v>1131</v>
      </c>
      <c r="B1070" s="8">
        <v>45252</v>
      </c>
      <c r="C1070" s="4"/>
      <c r="D1070" s="4" t="s">
        <v>42</v>
      </c>
      <c r="E1070" s="8">
        <v>45267</v>
      </c>
      <c r="F1070" s="4" t="s">
        <v>43</v>
      </c>
      <c r="G1070" s="40" t="s">
        <v>60</v>
      </c>
      <c r="H1070" s="4" t="s">
        <v>45</v>
      </c>
      <c r="I1070" s="4" t="s">
        <v>432</v>
      </c>
      <c r="J1070" s="10">
        <v>11.00384</v>
      </c>
      <c r="K1070" s="10">
        <f>9.741+1.263</f>
        <v>11.004</v>
      </c>
      <c r="L1070" s="10">
        <f t="shared" si="96"/>
        <v>0</v>
      </c>
      <c r="M1070" s="10">
        <f t="shared" si="98"/>
        <v>0</v>
      </c>
      <c r="N1070" s="10"/>
      <c r="O1070" s="10"/>
      <c r="P1070" s="10">
        <v>0</v>
      </c>
      <c r="Q1070" s="10"/>
      <c r="R1070" s="10">
        <v>0</v>
      </c>
      <c r="S1070" s="10"/>
      <c r="T1070" s="10"/>
      <c r="U1070" s="10"/>
      <c r="V1070" s="4" t="s">
        <v>85</v>
      </c>
      <c r="W1070" s="4" t="s">
        <v>1253</v>
      </c>
      <c r="X1070" s="8">
        <v>45269</v>
      </c>
      <c r="Y1070" s="4"/>
      <c r="Z1070" s="4"/>
      <c r="AA1070" s="8">
        <v>45282</v>
      </c>
      <c r="AB1070" s="8">
        <v>45282</v>
      </c>
      <c r="AC1070" s="4"/>
      <c r="AD1070" s="4"/>
    </row>
    <row r="1071" spans="1:30" hidden="1">
      <c r="A1071" s="4">
        <v>1131</v>
      </c>
      <c r="B1071" s="8">
        <v>45252</v>
      </c>
      <c r="C1071" s="4"/>
      <c r="D1071" s="4" t="s">
        <v>42</v>
      </c>
      <c r="E1071" s="8">
        <v>45267</v>
      </c>
      <c r="F1071" s="4" t="s">
        <v>43</v>
      </c>
      <c r="G1071" s="40" t="s">
        <v>60</v>
      </c>
      <c r="H1071" s="4" t="s">
        <v>45</v>
      </c>
      <c r="I1071" s="4" t="s">
        <v>474</v>
      </c>
      <c r="J1071" s="10">
        <v>0.29615999999999998</v>
      </c>
      <c r="K1071" s="10">
        <v>0.29599999999999999</v>
      </c>
      <c r="L1071" s="10">
        <f t="shared" si="96"/>
        <v>0</v>
      </c>
      <c r="M1071" s="10">
        <f t="shared" si="98"/>
        <v>0</v>
      </c>
      <c r="N1071" s="10"/>
      <c r="O1071" s="10"/>
      <c r="P1071" s="10">
        <v>0</v>
      </c>
      <c r="Q1071" s="10"/>
      <c r="R1071" s="10"/>
      <c r="S1071" s="10"/>
      <c r="T1071" s="10"/>
      <c r="U1071" s="10"/>
      <c r="V1071" s="4" t="s">
        <v>85</v>
      </c>
      <c r="W1071" s="4" t="s">
        <v>634</v>
      </c>
      <c r="X1071" s="8">
        <v>45267</v>
      </c>
      <c r="Y1071" s="4"/>
      <c r="Z1071" s="4"/>
      <c r="AA1071" s="8">
        <v>45282</v>
      </c>
      <c r="AB1071" s="8">
        <v>45282</v>
      </c>
      <c r="AC1071" s="4"/>
      <c r="AD1071" s="4"/>
    </row>
    <row r="1072" spans="1:30">
      <c r="A1072" s="4">
        <v>1131</v>
      </c>
      <c r="B1072" s="8">
        <v>45252</v>
      </c>
      <c r="C1072" s="4"/>
      <c r="D1072" s="4" t="s">
        <v>42</v>
      </c>
      <c r="E1072" s="8">
        <v>45267</v>
      </c>
      <c r="F1072" s="4" t="s">
        <v>43</v>
      </c>
      <c r="G1072" s="40" t="s">
        <v>60</v>
      </c>
      <c r="H1072" s="4" t="s">
        <v>45</v>
      </c>
      <c r="I1072" s="4" t="s">
        <v>434</v>
      </c>
      <c r="J1072" s="10">
        <v>2.8479200000000002</v>
      </c>
      <c r="K1072" s="10"/>
      <c r="L1072" s="10">
        <f t="shared" si="96"/>
        <v>2.8479200000000002</v>
      </c>
      <c r="M1072" s="10">
        <f t="shared" si="98"/>
        <v>0</v>
      </c>
      <c r="N1072" s="10"/>
      <c r="O1072" s="10"/>
      <c r="P1072" s="10"/>
      <c r="Q1072" s="10"/>
      <c r="R1072" s="10"/>
      <c r="S1072" s="10"/>
      <c r="T1072" s="10"/>
      <c r="U1072" s="10">
        <v>2.8479200000000002</v>
      </c>
      <c r="V1072" s="4" t="s">
        <v>85</v>
      </c>
      <c r="W1072" s="4"/>
      <c r="X1072" s="8"/>
      <c r="Y1072" s="4"/>
      <c r="Z1072" s="4"/>
      <c r="AA1072" s="8"/>
      <c r="AB1072" s="8"/>
      <c r="AC1072" s="4"/>
      <c r="AD1072" s="4"/>
    </row>
    <row r="1073" spans="1:30" hidden="1">
      <c r="A1073" s="4">
        <v>1131</v>
      </c>
      <c r="B1073" s="8">
        <v>45252</v>
      </c>
      <c r="C1073" s="4"/>
      <c r="D1073" s="4" t="s">
        <v>42</v>
      </c>
      <c r="E1073" s="8">
        <v>45267</v>
      </c>
      <c r="F1073" s="4" t="s">
        <v>43</v>
      </c>
      <c r="G1073" s="40" t="s">
        <v>60</v>
      </c>
      <c r="H1073" s="4" t="s">
        <v>45</v>
      </c>
      <c r="I1073" s="4" t="s">
        <v>89</v>
      </c>
      <c r="J1073" s="10">
        <v>2.3198500000000002</v>
      </c>
      <c r="K1073" s="10">
        <v>2.3199999999999998</v>
      </c>
      <c r="L1073" s="10">
        <f t="shared" si="96"/>
        <v>0</v>
      </c>
      <c r="M1073" s="10">
        <f t="shared" si="98"/>
        <v>0</v>
      </c>
      <c r="N1073" s="10"/>
      <c r="O1073" s="10">
        <v>0</v>
      </c>
      <c r="P1073" s="10"/>
      <c r="Q1073" s="10"/>
      <c r="R1073" s="10"/>
      <c r="S1073" s="10"/>
      <c r="T1073" s="10"/>
      <c r="U1073" s="10"/>
      <c r="V1073" s="4" t="s">
        <v>85</v>
      </c>
      <c r="W1073" s="4" t="s">
        <v>1253</v>
      </c>
      <c r="X1073" s="8">
        <v>45286</v>
      </c>
      <c r="Y1073" s="4"/>
      <c r="Z1073" s="4"/>
      <c r="AA1073" s="8"/>
      <c r="AB1073" s="8"/>
      <c r="AC1073" s="4"/>
      <c r="AD1073" s="4"/>
    </row>
    <row r="1074" spans="1:30" hidden="1">
      <c r="A1074" s="4">
        <v>1131</v>
      </c>
      <c r="B1074" s="8">
        <v>45252</v>
      </c>
      <c r="C1074" s="4"/>
      <c r="D1074" s="4" t="s">
        <v>42</v>
      </c>
      <c r="E1074" s="8">
        <v>45267</v>
      </c>
      <c r="F1074" s="4" t="s">
        <v>43</v>
      </c>
      <c r="G1074" s="40" t="s">
        <v>60</v>
      </c>
      <c r="H1074" s="4" t="s">
        <v>45</v>
      </c>
      <c r="I1074" s="4" t="s">
        <v>87</v>
      </c>
      <c r="J1074" s="10">
        <v>13.354056000000002</v>
      </c>
      <c r="K1074" s="10">
        <f>12.843+0.511</f>
        <v>13.353999999999999</v>
      </c>
      <c r="L1074" s="10">
        <f t="shared" si="96"/>
        <v>0</v>
      </c>
      <c r="M1074" s="10">
        <f t="shared" si="98"/>
        <v>0</v>
      </c>
      <c r="N1074" s="10"/>
      <c r="O1074" s="10"/>
      <c r="P1074" s="10">
        <v>0</v>
      </c>
      <c r="Q1074" s="10"/>
      <c r="R1074" s="10"/>
      <c r="S1074" s="10"/>
      <c r="T1074" s="10"/>
      <c r="U1074" s="10"/>
      <c r="V1074" s="4" t="s">
        <v>85</v>
      </c>
      <c r="W1074" s="4" t="s">
        <v>1253</v>
      </c>
      <c r="X1074" s="8"/>
      <c r="Y1074" s="4"/>
      <c r="Z1074" s="4"/>
      <c r="AA1074" s="8"/>
      <c r="AB1074" s="8"/>
      <c r="AC1074" s="4"/>
      <c r="AD1074" s="4"/>
    </row>
    <row r="1075" spans="1:30" hidden="1">
      <c r="A1075" s="56">
        <v>1131</v>
      </c>
      <c r="B1075" s="8">
        <v>45252</v>
      </c>
      <c r="C1075" s="56"/>
      <c r="D1075" s="56" t="s">
        <v>42</v>
      </c>
      <c r="E1075" s="8">
        <v>45267</v>
      </c>
      <c r="F1075" s="56" t="s">
        <v>43</v>
      </c>
      <c r="G1075" s="40" t="s">
        <v>60</v>
      </c>
      <c r="H1075" s="56" t="s">
        <v>45</v>
      </c>
      <c r="I1075" s="56" t="s">
        <v>125</v>
      </c>
      <c r="J1075" s="10">
        <v>0.10900000000000001</v>
      </c>
      <c r="K1075" s="10">
        <v>0.111</v>
      </c>
      <c r="L1075" s="10">
        <f t="shared" si="96"/>
        <v>0</v>
      </c>
      <c r="M1075" s="10">
        <f t="shared" si="98"/>
        <v>0</v>
      </c>
      <c r="N1075" s="10"/>
      <c r="O1075" s="10"/>
      <c r="P1075" s="10">
        <v>0</v>
      </c>
      <c r="Q1075" s="10"/>
      <c r="R1075" s="10"/>
      <c r="S1075" s="10"/>
      <c r="T1075" s="10"/>
      <c r="U1075" s="10"/>
      <c r="V1075" s="56" t="s">
        <v>85</v>
      </c>
      <c r="W1075" s="56" t="s">
        <v>634</v>
      </c>
      <c r="X1075" s="8"/>
      <c r="Y1075" s="56"/>
      <c r="Z1075" s="56"/>
      <c r="AA1075" s="8"/>
      <c r="AB1075" s="8"/>
      <c r="AC1075" s="56"/>
      <c r="AD1075" s="56"/>
    </row>
    <row r="1076" spans="1:30" hidden="1">
      <c r="A1076" s="56">
        <v>1131</v>
      </c>
      <c r="B1076" s="8">
        <v>45252</v>
      </c>
      <c r="C1076" s="56"/>
      <c r="D1076" s="56" t="s">
        <v>42</v>
      </c>
      <c r="E1076" s="8">
        <v>45267</v>
      </c>
      <c r="F1076" s="56" t="s">
        <v>43</v>
      </c>
      <c r="G1076" s="40" t="s">
        <v>728</v>
      </c>
      <c r="H1076" s="56" t="s">
        <v>52</v>
      </c>
      <c r="I1076" s="56" t="s">
        <v>54</v>
      </c>
      <c r="J1076" s="10">
        <v>4.3114559999999997</v>
      </c>
      <c r="K1076" s="10">
        <f>3.773+0.539</f>
        <v>4.3120000000000003</v>
      </c>
      <c r="L1076" s="10">
        <f t="shared" si="96"/>
        <v>0</v>
      </c>
      <c r="M1076" s="10">
        <f t="shared" si="98"/>
        <v>0</v>
      </c>
      <c r="N1076" s="10"/>
      <c r="O1076" s="10"/>
      <c r="P1076" s="10">
        <v>0</v>
      </c>
      <c r="Q1076" s="10"/>
      <c r="R1076" s="10"/>
      <c r="S1076" s="10"/>
      <c r="T1076" s="10"/>
      <c r="U1076" s="10"/>
      <c r="V1076" s="56" t="s">
        <v>85</v>
      </c>
      <c r="W1076" s="56" t="s">
        <v>1253</v>
      </c>
      <c r="X1076" s="8">
        <v>45262</v>
      </c>
      <c r="Y1076" s="56"/>
      <c r="Z1076" s="56"/>
      <c r="AA1076" s="8">
        <v>45282</v>
      </c>
      <c r="AB1076" s="8">
        <v>45282</v>
      </c>
      <c r="AC1076" s="56"/>
      <c r="AD1076" s="56"/>
    </row>
    <row r="1077" spans="1:30" hidden="1">
      <c r="A1077" s="56">
        <v>1131</v>
      </c>
      <c r="B1077" s="8">
        <v>45252</v>
      </c>
      <c r="C1077" s="56"/>
      <c r="D1077" s="56" t="s">
        <v>42</v>
      </c>
      <c r="E1077" s="8">
        <v>45267</v>
      </c>
      <c r="F1077" s="56" t="s">
        <v>43</v>
      </c>
      <c r="G1077" s="40" t="s">
        <v>728</v>
      </c>
      <c r="H1077" s="56" t="s">
        <v>52</v>
      </c>
      <c r="I1077" s="56" t="s">
        <v>400</v>
      </c>
      <c r="J1077" s="10">
        <v>0.43895999999999996</v>
      </c>
      <c r="K1077" s="10">
        <v>0.439</v>
      </c>
      <c r="L1077" s="10">
        <f t="shared" si="96"/>
        <v>0</v>
      </c>
      <c r="M1077" s="10">
        <f t="shared" si="98"/>
        <v>0</v>
      </c>
      <c r="N1077" s="10"/>
      <c r="O1077" s="10"/>
      <c r="P1077" s="10">
        <v>0</v>
      </c>
      <c r="Q1077" s="10"/>
      <c r="R1077" s="10"/>
      <c r="S1077" s="10"/>
      <c r="T1077" s="10"/>
      <c r="U1077" s="10"/>
      <c r="V1077" s="56" t="s">
        <v>85</v>
      </c>
      <c r="W1077" s="56"/>
      <c r="X1077" s="8"/>
      <c r="Y1077" s="56"/>
      <c r="Z1077" s="56"/>
      <c r="AA1077" s="8"/>
      <c r="AB1077" s="8"/>
      <c r="AC1077" s="56"/>
      <c r="AD1077" s="56"/>
    </row>
    <row r="1078" spans="1:30" hidden="1">
      <c r="A1078" s="56">
        <v>1131</v>
      </c>
      <c r="B1078" s="8">
        <v>45252</v>
      </c>
      <c r="C1078" s="56"/>
      <c r="D1078" s="56" t="s">
        <v>42</v>
      </c>
      <c r="E1078" s="8">
        <v>45267</v>
      </c>
      <c r="F1078" s="56" t="s">
        <v>43</v>
      </c>
      <c r="G1078" s="40" t="s">
        <v>728</v>
      </c>
      <c r="H1078" s="56" t="s">
        <v>52</v>
      </c>
      <c r="I1078" s="56" t="s">
        <v>407</v>
      </c>
      <c r="J1078" s="10">
        <v>0.1188</v>
      </c>
      <c r="K1078" s="10">
        <v>0.11899999999999999</v>
      </c>
      <c r="L1078" s="10">
        <f t="shared" si="96"/>
        <v>0</v>
      </c>
      <c r="M1078" s="10">
        <f t="shared" si="98"/>
        <v>0</v>
      </c>
      <c r="N1078" s="10"/>
      <c r="O1078" s="10"/>
      <c r="P1078" s="10"/>
      <c r="Q1078" s="10"/>
      <c r="R1078" s="10">
        <v>0</v>
      </c>
      <c r="S1078" s="10"/>
      <c r="T1078" s="10"/>
      <c r="U1078" s="10"/>
      <c r="V1078" s="56" t="s">
        <v>85</v>
      </c>
      <c r="W1078" s="56" t="s">
        <v>634</v>
      </c>
      <c r="X1078" s="8"/>
      <c r="Y1078" s="56"/>
      <c r="Z1078" s="56"/>
      <c r="AA1078" s="8"/>
      <c r="AB1078" s="8"/>
      <c r="AC1078" s="56"/>
      <c r="AD1078" s="56"/>
    </row>
    <row r="1079" spans="1:30" hidden="1">
      <c r="A1079" s="56">
        <v>1131</v>
      </c>
      <c r="B1079" s="8">
        <v>45252</v>
      </c>
      <c r="C1079" s="56"/>
      <c r="D1079" s="56" t="s">
        <v>42</v>
      </c>
      <c r="E1079" s="8">
        <v>45267</v>
      </c>
      <c r="F1079" s="56" t="s">
        <v>43</v>
      </c>
      <c r="G1079" s="40" t="s">
        <v>728</v>
      </c>
      <c r="H1079" s="56" t="s">
        <v>52</v>
      </c>
      <c r="I1079" s="56" t="s">
        <v>432</v>
      </c>
      <c r="J1079" s="10">
        <v>0.65760000000000007</v>
      </c>
      <c r="K1079" s="10">
        <v>0.78800000000000003</v>
      </c>
      <c r="L1079" s="10">
        <f t="shared" si="96"/>
        <v>0</v>
      </c>
      <c r="M1079" s="10">
        <f t="shared" si="98"/>
        <v>0</v>
      </c>
      <c r="N1079" s="10"/>
      <c r="O1079" s="10"/>
      <c r="P1079" s="10"/>
      <c r="Q1079" s="10"/>
      <c r="R1079" s="10">
        <v>0</v>
      </c>
      <c r="S1079" s="10"/>
      <c r="T1079" s="10"/>
      <c r="U1079" s="10"/>
      <c r="V1079" s="56" t="s">
        <v>85</v>
      </c>
      <c r="W1079" s="56" t="s">
        <v>521</v>
      </c>
      <c r="X1079" s="8">
        <v>45270</v>
      </c>
      <c r="Y1079" s="56"/>
      <c r="Z1079" s="56"/>
      <c r="AA1079" s="8">
        <v>45282</v>
      </c>
      <c r="AB1079" s="8">
        <v>45282</v>
      </c>
      <c r="AC1079" s="56"/>
      <c r="AD1079" s="56"/>
    </row>
    <row r="1080" spans="1:30" hidden="1">
      <c r="A1080" s="56">
        <v>1131</v>
      </c>
      <c r="B1080" s="8">
        <v>45252</v>
      </c>
      <c r="C1080" s="56"/>
      <c r="D1080" s="56" t="s">
        <v>42</v>
      </c>
      <c r="E1080" s="8">
        <v>45267</v>
      </c>
      <c r="F1080" s="56" t="s">
        <v>43</v>
      </c>
      <c r="G1080" s="40" t="s">
        <v>728</v>
      </c>
      <c r="H1080" s="56" t="s">
        <v>52</v>
      </c>
      <c r="I1080" s="56" t="s">
        <v>434</v>
      </c>
      <c r="J1080" s="10">
        <v>0.416912</v>
      </c>
      <c r="K1080" s="10">
        <v>0.41699999999999998</v>
      </c>
      <c r="L1080" s="10">
        <f t="shared" si="96"/>
        <v>0</v>
      </c>
      <c r="M1080" s="10">
        <f t="shared" si="98"/>
        <v>0</v>
      </c>
      <c r="N1080" s="10"/>
      <c r="O1080" s="10"/>
      <c r="P1080" s="10"/>
      <c r="Q1080" s="10"/>
      <c r="R1080" s="10">
        <v>0</v>
      </c>
      <c r="S1080" s="10"/>
      <c r="T1080" s="10"/>
      <c r="U1080" s="10"/>
      <c r="V1080" s="56" t="s">
        <v>85</v>
      </c>
      <c r="W1080" s="56" t="s">
        <v>634</v>
      </c>
      <c r="X1080" s="8"/>
      <c r="Y1080" s="56"/>
      <c r="Z1080" s="56"/>
      <c r="AA1080" s="8"/>
      <c r="AB1080" s="8"/>
      <c r="AC1080" s="56"/>
      <c r="AD1080" s="56"/>
    </row>
    <row r="1081" spans="1:30" hidden="1">
      <c r="A1081" s="56">
        <v>1131</v>
      </c>
      <c r="B1081" s="8">
        <v>45252</v>
      </c>
      <c r="C1081" s="56"/>
      <c r="D1081" s="56" t="s">
        <v>42</v>
      </c>
      <c r="E1081" s="8">
        <v>45267</v>
      </c>
      <c r="F1081" s="56" t="s">
        <v>43</v>
      </c>
      <c r="G1081" s="40" t="s">
        <v>728</v>
      </c>
      <c r="H1081" s="56" t="s">
        <v>52</v>
      </c>
      <c r="I1081" s="56" t="s">
        <v>89</v>
      </c>
      <c r="J1081" s="10">
        <v>0.17015000000000002</v>
      </c>
      <c r="K1081" s="10">
        <v>0.17</v>
      </c>
      <c r="L1081" s="10">
        <f t="shared" ref="L1081:L1091" si="99">M1081+U1081</f>
        <v>0</v>
      </c>
      <c r="M1081" s="10">
        <f t="shared" si="98"/>
        <v>0</v>
      </c>
      <c r="N1081" s="10"/>
      <c r="O1081" s="10"/>
      <c r="P1081" s="10">
        <v>0</v>
      </c>
      <c r="Q1081" s="10"/>
      <c r="R1081" s="10"/>
      <c r="S1081" s="10"/>
      <c r="T1081" s="10"/>
      <c r="U1081" s="10"/>
      <c r="V1081" s="56" t="s">
        <v>85</v>
      </c>
      <c r="W1081" s="56" t="s">
        <v>634</v>
      </c>
      <c r="X1081" s="8">
        <v>45265</v>
      </c>
      <c r="Y1081" s="56"/>
      <c r="Z1081" s="56"/>
      <c r="AA1081" s="8"/>
      <c r="AB1081" s="8"/>
      <c r="AC1081" s="56"/>
      <c r="AD1081" s="56"/>
    </row>
    <row r="1082" spans="1:30">
      <c r="A1082" s="56">
        <v>1132</v>
      </c>
      <c r="B1082" s="8">
        <v>45252</v>
      </c>
      <c r="C1082" s="56"/>
      <c r="D1082" s="56" t="s">
        <v>42</v>
      </c>
      <c r="E1082" s="8">
        <v>45267</v>
      </c>
      <c r="F1082" s="56" t="s">
        <v>43</v>
      </c>
      <c r="G1082" s="39" t="s">
        <v>874</v>
      </c>
      <c r="H1082" s="56" t="s">
        <v>45</v>
      </c>
      <c r="I1082" s="56" t="s">
        <v>400</v>
      </c>
      <c r="J1082" s="10">
        <v>0.24480000000000002</v>
      </c>
      <c r="K1082" s="10"/>
      <c r="L1082" s="10">
        <f t="shared" si="99"/>
        <v>0.24480000000000002</v>
      </c>
      <c r="M1082" s="10">
        <f t="shared" si="98"/>
        <v>0.24480000000000002</v>
      </c>
      <c r="N1082" s="10"/>
      <c r="O1082" s="10"/>
      <c r="P1082" s="10"/>
      <c r="Q1082" s="10"/>
      <c r="R1082" s="10">
        <v>0.24480000000000002</v>
      </c>
      <c r="S1082" s="10"/>
      <c r="T1082" s="10"/>
      <c r="U1082" s="10"/>
      <c r="V1082" s="56" t="s">
        <v>404</v>
      </c>
      <c r="W1082" s="56" t="s">
        <v>1456</v>
      </c>
      <c r="X1082" s="8"/>
      <c r="Y1082" s="56"/>
      <c r="Z1082" s="56"/>
      <c r="AA1082" s="8"/>
      <c r="AB1082" s="8"/>
      <c r="AC1082" s="56"/>
      <c r="AD1082" s="56"/>
    </row>
    <row r="1083" spans="1:30" s="96" customFormat="1">
      <c r="A1083" s="97">
        <v>1132</v>
      </c>
      <c r="B1083" s="8">
        <v>45252</v>
      </c>
      <c r="C1083" s="97"/>
      <c r="D1083" s="97" t="s">
        <v>42</v>
      </c>
      <c r="E1083" s="8">
        <v>45267</v>
      </c>
      <c r="F1083" s="97" t="s">
        <v>43</v>
      </c>
      <c r="G1083" s="39" t="s">
        <v>874</v>
      </c>
      <c r="H1083" s="97" t="s">
        <v>45</v>
      </c>
      <c r="I1083" s="104" t="s">
        <v>89</v>
      </c>
      <c r="J1083" s="10">
        <v>0.35199999999999998</v>
      </c>
      <c r="K1083" s="10"/>
      <c r="L1083" s="10">
        <f t="shared" ref="L1083" si="100">M1083+U1083</f>
        <v>0.35199999999999998</v>
      </c>
      <c r="M1083" s="10">
        <f t="shared" ref="M1083" si="101">SUM(N1083:T1083)</f>
        <v>0.35199999999999998</v>
      </c>
      <c r="N1083" s="10"/>
      <c r="O1083" s="10"/>
      <c r="P1083" s="10"/>
      <c r="Q1083" s="10"/>
      <c r="R1083" s="10">
        <v>0.35199999999999998</v>
      </c>
      <c r="S1083" s="10"/>
      <c r="T1083" s="10"/>
      <c r="U1083" s="10"/>
      <c r="V1083" s="97" t="s">
        <v>404</v>
      </c>
      <c r="W1083" s="104" t="s">
        <v>1480</v>
      </c>
      <c r="X1083" s="8"/>
      <c r="Y1083" s="97"/>
      <c r="Z1083" s="97"/>
      <c r="AA1083" s="8"/>
      <c r="AB1083" s="8"/>
      <c r="AC1083" s="97"/>
      <c r="AD1083" s="97"/>
    </row>
    <row r="1084" spans="1:30">
      <c r="A1084" s="56">
        <v>1132</v>
      </c>
      <c r="B1084" s="8">
        <v>45252</v>
      </c>
      <c r="C1084" s="56"/>
      <c r="D1084" s="56" t="s">
        <v>42</v>
      </c>
      <c r="E1084" s="8">
        <v>45267</v>
      </c>
      <c r="F1084" s="56" t="s">
        <v>43</v>
      </c>
      <c r="G1084" s="39" t="s">
        <v>874</v>
      </c>
      <c r="H1084" s="56" t="s">
        <v>45</v>
      </c>
      <c r="I1084" s="104" t="s">
        <v>87</v>
      </c>
      <c r="J1084" s="10">
        <v>0.86099999999999999</v>
      </c>
      <c r="K1084" s="10"/>
      <c r="L1084" s="10">
        <f t="shared" si="99"/>
        <v>0.86099999999999999</v>
      </c>
      <c r="M1084" s="10">
        <f t="shared" si="98"/>
        <v>0.86099999999999999</v>
      </c>
      <c r="N1084" s="10"/>
      <c r="O1084" s="10"/>
      <c r="P1084" s="10"/>
      <c r="Q1084" s="10"/>
      <c r="R1084" s="10">
        <v>0.86099999999999999</v>
      </c>
      <c r="S1084" s="10"/>
      <c r="T1084" s="10"/>
      <c r="U1084" s="10"/>
      <c r="V1084" s="56" t="s">
        <v>404</v>
      </c>
      <c r="W1084" s="104" t="s">
        <v>1480</v>
      </c>
      <c r="X1084" s="8"/>
      <c r="Y1084" s="56"/>
      <c r="Z1084" s="56"/>
      <c r="AA1084" s="8"/>
      <c r="AB1084" s="8"/>
      <c r="AC1084" s="56"/>
      <c r="AD1084" s="56"/>
    </row>
    <row r="1085" spans="1:30">
      <c r="A1085" s="56">
        <v>1133</v>
      </c>
      <c r="B1085" s="8">
        <v>45252</v>
      </c>
      <c r="C1085" s="56"/>
      <c r="D1085" s="56" t="s">
        <v>42</v>
      </c>
      <c r="E1085" s="8">
        <v>45267</v>
      </c>
      <c r="F1085" s="56" t="s">
        <v>43</v>
      </c>
      <c r="G1085" s="40" t="s">
        <v>60</v>
      </c>
      <c r="H1085" s="56" t="s">
        <v>45</v>
      </c>
      <c r="I1085" s="56" t="s">
        <v>48</v>
      </c>
      <c r="J1085" s="10">
        <v>2.1960000000000002</v>
      </c>
      <c r="K1085" s="10"/>
      <c r="L1085" s="10">
        <f t="shared" si="99"/>
        <v>2.1960000000000002</v>
      </c>
      <c r="M1085" s="10">
        <f t="shared" si="98"/>
        <v>2.1960000000000002</v>
      </c>
      <c r="N1085" s="10"/>
      <c r="O1085" s="10"/>
      <c r="P1085" s="10">
        <v>2.1960000000000002</v>
      </c>
      <c r="Q1085" s="10"/>
      <c r="R1085" s="10"/>
      <c r="S1085" s="10"/>
      <c r="T1085" s="10"/>
      <c r="U1085" s="10"/>
      <c r="V1085" s="56" t="s">
        <v>1278</v>
      </c>
      <c r="W1085" s="56" t="s">
        <v>1253</v>
      </c>
      <c r="X1085" s="8">
        <v>45258</v>
      </c>
      <c r="Y1085" s="56"/>
      <c r="Z1085" s="56"/>
      <c r="AA1085" s="8"/>
      <c r="AB1085" s="8"/>
      <c r="AC1085" s="56"/>
      <c r="AD1085" s="56"/>
    </row>
    <row r="1086" spans="1:30">
      <c r="A1086" s="56">
        <v>1133</v>
      </c>
      <c r="B1086" s="8">
        <v>45252</v>
      </c>
      <c r="C1086" s="56"/>
      <c r="D1086" s="56" t="s">
        <v>42</v>
      </c>
      <c r="E1086" s="8">
        <v>45267</v>
      </c>
      <c r="F1086" s="56" t="s">
        <v>43</v>
      </c>
      <c r="G1086" s="40" t="s">
        <v>60</v>
      </c>
      <c r="H1086" s="56" t="s">
        <v>45</v>
      </c>
      <c r="I1086" s="56" t="s">
        <v>50</v>
      </c>
      <c r="J1086" s="10">
        <v>2.1168</v>
      </c>
      <c r="K1086" s="10"/>
      <c r="L1086" s="10">
        <f t="shared" si="99"/>
        <v>2.1168</v>
      </c>
      <c r="M1086" s="10">
        <f t="shared" si="98"/>
        <v>2.1168</v>
      </c>
      <c r="N1086" s="10"/>
      <c r="O1086" s="10"/>
      <c r="P1086" s="10">
        <v>2.1168</v>
      </c>
      <c r="Q1086" s="10"/>
      <c r="R1086" s="10"/>
      <c r="S1086" s="10"/>
      <c r="T1086" s="10"/>
      <c r="U1086" s="10"/>
      <c r="V1086" s="56" t="s">
        <v>1278</v>
      </c>
      <c r="W1086" s="56" t="s">
        <v>1253</v>
      </c>
      <c r="X1086" s="8"/>
      <c r="Y1086" s="56"/>
      <c r="Z1086" s="56"/>
      <c r="AA1086" s="8"/>
      <c r="AB1086" s="8"/>
      <c r="AC1086" s="56"/>
      <c r="AD1086" s="56"/>
    </row>
    <row r="1087" spans="1:30">
      <c r="A1087" s="56">
        <v>1133</v>
      </c>
      <c r="B1087" s="8">
        <v>45252</v>
      </c>
      <c r="C1087" s="56"/>
      <c r="D1087" s="56" t="s">
        <v>42</v>
      </c>
      <c r="E1087" s="8">
        <v>45267</v>
      </c>
      <c r="F1087" s="56" t="s">
        <v>43</v>
      </c>
      <c r="G1087" s="40" t="s">
        <v>60</v>
      </c>
      <c r="H1087" s="56" t="s">
        <v>45</v>
      </c>
      <c r="I1087" s="56" t="s">
        <v>409</v>
      </c>
      <c r="J1087" s="10">
        <v>1.4159999999999999</v>
      </c>
      <c r="K1087" s="10"/>
      <c r="L1087" s="10">
        <f t="shared" si="99"/>
        <v>1.4159999999999999</v>
      </c>
      <c r="M1087" s="10">
        <f t="shared" si="98"/>
        <v>1.4159999999999999</v>
      </c>
      <c r="N1087" s="10"/>
      <c r="O1087" s="10"/>
      <c r="P1087" s="10">
        <v>1.4159999999999999</v>
      </c>
      <c r="Q1087" s="10"/>
      <c r="R1087" s="10"/>
      <c r="S1087" s="10"/>
      <c r="T1087" s="10"/>
      <c r="U1087" s="10"/>
      <c r="V1087" s="56" t="s">
        <v>1278</v>
      </c>
      <c r="W1087" s="56" t="s">
        <v>1253</v>
      </c>
      <c r="X1087" s="8"/>
      <c r="Y1087" s="56"/>
      <c r="Z1087" s="56"/>
      <c r="AA1087" s="8"/>
      <c r="AB1087" s="8"/>
      <c r="AC1087" s="56"/>
      <c r="AD1087" s="56"/>
    </row>
    <row r="1088" spans="1:30">
      <c r="A1088" s="56">
        <v>1133</v>
      </c>
      <c r="B1088" s="8">
        <v>45252</v>
      </c>
      <c r="C1088" s="56"/>
      <c r="D1088" s="56" t="s">
        <v>42</v>
      </c>
      <c r="E1088" s="8">
        <v>45267</v>
      </c>
      <c r="F1088" s="56" t="s">
        <v>43</v>
      </c>
      <c r="G1088" s="40" t="s">
        <v>60</v>
      </c>
      <c r="H1088" s="56" t="s">
        <v>45</v>
      </c>
      <c r="I1088" s="56" t="s">
        <v>55</v>
      </c>
      <c r="J1088" s="10">
        <v>1.1479999999999999</v>
      </c>
      <c r="K1088" s="10"/>
      <c r="L1088" s="10">
        <f t="shared" ref="L1088" si="102">M1088+U1088</f>
        <v>1.1479999999999999</v>
      </c>
      <c r="M1088" s="10">
        <f t="shared" ref="M1088" si="103">SUM(N1088:T1088)</f>
        <v>1.1479999999999999</v>
      </c>
      <c r="N1088" s="10"/>
      <c r="O1088" s="10"/>
      <c r="P1088" s="10">
        <v>1.1479999999999999</v>
      </c>
      <c r="Q1088" s="10"/>
      <c r="R1088" s="10"/>
      <c r="S1088" s="10"/>
      <c r="T1088" s="10"/>
      <c r="U1088" s="10"/>
      <c r="V1088" s="56" t="s">
        <v>1348</v>
      </c>
      <c r="W1088" s="56" t="s">
        <v>1253</v>
      </c>
      <c r="X1088" s="8">
        <v>45293</v>
      </c>
      <c r="Y1088" s="56"/>
      <c r="Z1088" s="56"/>
      <c r="AA1088" s="8"/>
      <c r="AB1088" s="8"/>
      <c r="AC1088" s="56"/>
      <c r="AD1088" s="56"/>
    </row>
    <row r="1089" spans="1:30">
      <c r="A1089" s="56">
        <v>1133</v>
      </c>
      <c r="B1089" s="8">
        <v>45252</v>
      </c>
      <c r="C1089" s="56"/>
      <c r="D1089" s="56" t="s">
        <v>42</v>
      </c>
      <c r="E1089" s="8">
        <v>45267</v>
      </c>
      <c r="F1089" s="56" t="s">
        <v>43</v>
      </c>
      <c r="G1089" s="40" t="s">
        <v>60</v>
      </c>
      <c r="H1089" s="56" t="s">
        <v>45</v>
      </c>
      <c r="I1089" s="56" t="s">
        <v>474</v>
      </c>
      <c r="J1089" s="10">
        <v>0.59232000000000007</v>
      </c>
      <c r="K1089" s="10"/>
      <c r="L1089" s="10">
        <f t="shared" si="99"/>
        <v>0.59232000000000007</v>
      </c>
      <c r="M1089" s="10">
        <f t="shared" si="98"/>
        <v>0.59232000000000007</v>
      </c>
      <c r="N1089" s="10"/>
      <c r="O1089" s="10"/>
      <c r="P1089" s="10">
        <v>0.59232000000000007</v>
      </c>
      <c r="Q1089" s="10"/>
      <c r="R1089" s="10"/>
      <c r="S1089" s="10"/>
      <c r="T1089" s="10"/>
      <c r="U1089" s="10"/>
      <c r="V1089" s="56" t="s">
        <v>1348</v>
      </c>
      <c r="W1089" s="56" t="s">
        <v>1253</v>
      </c>
      <c r="X1089" s="8">
        <v>45267</v>
      </c>
      <c r="Y1089" s="56"/>
      <c r="Z1089" s="56"/>
      <c r="AA1089" s="8"/>
      <c r="AB1089" s="8"/>
      <c r="AC1089" s="56"/>
      <c r="AD1089" s="56"/>
    </row>
    <row r="1090" spans="1:30">
      <c r="A1090" s="56">
        <v>1133</v>
      </c>
      <c r="B1090" s="8">
        <v>45252</v>
      </c>
      <c r="C1090" s="56"/>
      <c r="D1090" s="56" t="s">
        <v>42</v>
      </c>
      <c r="E1090" s="8">
        <v>45267</v>
      </c>
      <c r="F1090" s="56" t="s">
        <v>43</v>
      </c>
      <c r="G1090" s="40" t="s">
        <v>60</v>
      </c>
      <c r="H1090" s="56" t="s">
        <v>45</v>
      </c>
      <c r="I1090" s="56" t="s">
        <v>434</v>
      </c>
      <c r="J1090" s="10">
        <v>3.0828000000000002</v>
      </c>
      <c r="K1090" s="10"/>
      <c r="L1090" s="10">
        <f t="shared" si="99"/>
        <v>3.0828000000000002</v>
      </c>
      <c r="M1090" s="10">
        <f t="shared" si="98"/>
        <v>3.0828000000000002</v>
      </c>
      <c r="N1090" s="10"/>
      <c r="O1090" s="10"/>
      <c r="P1090" s="10">
        <v>3.0828000000000002</v>
      </c>
      <c r="Q1090" s="10"/>
      <c r="R1090" s="10"/>
      <c r="S1090" s="10"/>
      <c r="T1090" s="10"/>
      <c r="U1090" s="10"/>
      <c r="V1090" s="56" t="s">
        <v>1348</v>
      </c>
      <c r="W1090" s="56" t="s">
        <v>1253</v>
      </c>
      <c r="X1090" s="8">
        <v>45267</v>
      </c>
      <c r="Y1090" s="56"/>
      <c r="Z1090" s="56"/>
      <c r="AA1090" s="8"/>
      <c r="AB1090" s="8"/>
      <c r="AC1090" s="56"/>
      <c r="AD1090" s="56"/>
    </row>
    <row r="1091" spans="1:30">
      <c r="A1091" s="56">
        <v>1133</v>
      </c>
      <c r="B1091" s="8">
        <v>45252</v>
      </c>
      <c r="C1091" s="56"/>
      <c r="D1091" s="56" t="s">
        <v>42</v>
      </c>
      <c r="E1091" s="8">
        <v>45267</v>
      </c>
      <c r="F1091" s="56" t="s">
        <v>43</v>
      </c>
      <c r="G1091" s="40" t="s">
        <v>60</v>
      </c>
      <c r="H1091" s="56" t="s">
        <v>45</v>
      </c>
      <c r="I1091" s="56" t="s">
        <v>89</v>
      </c>
      <c r="J1091" s="10">
        <v>1.494</v>
      </c>
      <c r="K1091" s="10"/>
      <c r="L1091" s="10">
        <f t="shared" si="99"/>
        <v>1.494</v>
      </c>
      <c r="M1091" s="10">
        <f t="shared" si="98"/>
        <v>1.494</v>
      </c>
      <c r="N1091" s="10"/>
      <c r="O1091" s="10"/>
      <c r="P1091" s="10">
        <v>1.494</v>
      </c>
      <c r="Q1091" s="10"/>
      <c r="R1091" s="10"/>
      <c r="S1091" s="10"/>
      <c r="T1091" s="10"/>
      <c r="U1091" s="10"/>
      <c r="V1091" s="56" t="s">
        <v>1348</v>
      </c>
      <c r="W1091" s="56" t="s">
        <v>1253</v>
      </c>
      <c r="X1091" s="8"/>
      <c r="Y1091" s="56"/>
      <c r="Z1091" s="56"/>
      <c r="AA1091" s="8"/>
      <c r="AB1091" s="8"/>
      <c r="AC1091" s="56"/>
      <c r="AD1091" s="56"/>
    </row>
    <row r="1092" spans="1:30" hidden="1">
      <c r="A1092" s="56">
        <v>1190</v>
      </c>
      <c r="B1092" s="8">
        <v>45261</v>
      </c>
      <c r="C1092" s="56"/>
      <c r="D1092" s="189" t="s">
        <v>42</v>
      </c>
      <c r="E1092" s="8">
        <v>45267</v>
      </c>
      <c r="F1092" s="56" t="s">
        <v>43</v>
      </c>
      <c r="G1092" s="40" t="s">
        <v>60</v>
      </c>
      <c r="H1092" s="56" t="s">
        <v>45</v>
      </c>
      <c r="I1092" s="56" t="s">
        <v>53</v>
      </c>
      <c r="J1092" s="10">
        <v>1.9332000000000003</v>
      </c>
      <c r="K1092" s="10">
        <v>1.9330000000000001</v>
      </c>
      <c r="L1092" s="10">
        <f t="shared" ref="L1092:L1093" si="104">M1092+U1092</f>
        <v>0</v>
      </c>
      <c r="M1092" s="10">
        <f t="shared" ref="M1092:M1093" si="105">SUM(N1092:T1092)</f>
        <v>0</v>
      </c>
      <c r="N1092" s="10"/>
      <c r="O1092" s="10"/>
      <c r="P1092" s="10">
        <v>0</v>
      </c>
      <c r="Q1092" s="10"/>
      <c r="R1092" s="10"/>
      <c r="S1092" s="10"/>
      <c r="T1092" s="10"/>
      <c r="U1092" s="10"/>
      <c r="V1092" s="56" t="s">
        <v>85</v>
      </c>
      <c r="W1092" s="56"/>
      <c r="X1092" s="8">
        <v>45293</v>
      </c>
      <c r="Y1092" s="56"/>
      <c r="Z1092" s="56"/>
      <c r="AA1092" s="8"/>
      <c r="AB1092" s="8"/>
      <c r="AC1092" s="56"/>
      <c r="AD1092" s="56"/>
    </row>
    <row r="1093" spans="1:30" hidden="1">
      <c r="A1093" s="56">
        <v>1190</v>
      </c>
      <c r="B1093" s="8">
        <v>45261</v>
      </c>
      <c r="C1093" s="56"/>
      <c r="D1093" s="189" t="s">
        <v>42</v>
      </c>
      <c r="E1093" s="8">
        <v>45267</v>
      </c>
      <c r="F1093" s="56" t="s">
        <v>43</v>
      </c>
      <c r="G1093" s="40" t="s">
        <v>60</v>
      </c>
      <c r="H1093" s="56" t="s">
        <v>45</v>
      </c>
      <c r="I1093" s="56" t="s">
        <v>55</v>
      </c>
      <c r="J1093" s="10">
        <v>0.22968000000000002</v>
      </c>
      <c r="K1093" s="10">
        <v>0.23</v>
      </c>
      <c r="L1093" s="10">
        <f t="shared" si="104"/>
        <v>0</v>
      </c>
      <c r="M1093" s="10">
        <f t="shared" si="105"/>
        <v>0</v>
      </c>
      <c r="N1093" s="10"/>
      <c r="O1093" s="10"/>
      <c r="P1093" s="10"/>
      <c r="Q1093" s="10"/>
      <c r="R1093" s="10">
        <v>0</v>
      </c>
      <c r="S1093" s="10"/>
      <c r="T1093" s="10"/>
      <c r="U1093" s="10"/>
      <c r="V1093" s="56" t="s">
        <v>85</v>
      </c>
      <c r="W1093" s="56"/>
      <c r="X1093" s="8">
        <v>45293</v>
      </c>
      <c r="Y1093" s="56"/>
      <c r="Z1093" s="56"/>
      <c r="AA1093" s="8"/>
      <c r="AB1093" s="8"/>
      <c r="AC1093" s="56"/>
      <c r="AD1093" s="56"/>
    </row>
    <row r="1094" spans="1:30" hidden="1">
      <c r="A1094" s="56">
        <v>1190</v>
      </c>
      <c r="B1094" s="8">
        <v>45261</v>
      </c>
      <c r="C1094" s="56"/>
      <c r="D1094" s="189" t="s">
        <v>42</v>
      </c>
      <c r="E1094" s="8">
        <v>45267</v>
      </c>
      <c r="F1094" s="56" t="s">
        <v>43</v>
      </c>
      <c r="G1094" s="40" t="s">
        <v>728</v>
      </c>
      <c r="H1094" s="56" t="s">
        <v>52</v>
      </c>
      <c r="I1094" s="56" t="s">
        <v>53</v>
      </c>
      <c r="J1094" s="10">
        <v>0.67930500000000005</v>
      </c>
      <c r="K1094" s="10">
        <v>0.67900000000000005</v>
      </c>
      <c r="L1094" s="10">
        <f t="shared" ref="L1094" si="106">M1094+U1094</f>
        <v>0</v>
      </c>
      <c r="M1094" s="10">
        <f t="shared" ref="M1094" si="107">SUM(N1094:T1094)</f>
        <v>0</v>
      </c>
      <c r="N1094" s="10"/>
      <c r="O1094" s="10"/>
      <c r="P1094" s="10">
        <v>0</v>
      </c>
      <c r="Q1094" s="10"/>
      <c r="R1094" s="10"/>
      <c r="S1094" s="10"/>
      <c r="T1094" s="10"/>
      <c r="U1094" s="10"/>
      <c r="V1094" s="56" t="s">
        <v>85</v>
      </c>
      <c r="W1094" s="56"/>
      <c r="X1094" s="8">
        <v>45293</v>
      </c>
      <c r="Y1094" s="56"/>
      <c r="Z1094" s="56"/>
      <c r="AA1094" s="8"/>
      <c r="AB1094" s="8"/>
      <c r="AC1094" s="56"/>
      <c r="AD1094" s="56"/>
    </row>
    <row r="1095" spans="1:30">
      <c r="A1095" s="56">
        <v>1191</v>
      </c>
      <c r="B1095" s="8">
        <v>45261</v>
      </c>
      <c r="C1095" s="56"/>
      <c r="D1095" s="189" t="s">
        <v>42</v>
      </c>
      <c r="E1095" s="8">
        <v>45267</v>
      </c>
      <c r="F1095" s="56" t="s">
        <v>43</v>
      </c>
      <c r="G1095" s="40" t="s">
        <v>60</v>
      </c>
      <c r="H1095" s="56" t="s">
        <v>45</v>
      </c>
      <c r="I1095" s="56" t="s">
        <v>55</v>
      </c>
      <c r="J1095" s="10">
        <v>1.1484000000000001</v>
      </c>
      <c r="K1095" s="10"/>
      <c r="L1095" s="10">
        <f t="shared" ref="L1095" si="108">M1095+U1095</f>
        <v>1.1484000000000001</v>
      </c>
      <c r="M1095" s="10">
        <f t="shared" ref="M1095" si="109">SUM(N1095:T1095)</f>
        <v>1.1484000000000001</v>
      </c>
      <c r="N1095" s="10"/>
      <c r="O1095" s="10"/>
      <c r="P1095" s="10">
        <v>1.1484000000000001</v>
      </c>
      <c r="Q1095" s="10"/>
      <c r="R1095" s="10"/>
      <c r="S1095" s="10"/>
      <c r="T1095" s="10"/>
      <c r="U1095" s="10"/>
      <c r="V1095" s="56" t="s">
        <v>1348</v>
      </c>
      <c r="W1095" s="56"/>
      <c r="X1095" s="8">
        <v>45293</v>
      </c>
      <c r="Y1095" s="56"/>
      <c r="Z1095" s="56"/>
      <c r="AA1095" s="8"/>
      <c r="AB1095" s="8"/>
      <c r="AC1095" s="56"/>
      <c r="AD1095" s="56"/>
    </row>
    <row r="1096" spans="1:30">
      <c r="A1096" s="56">
        <v>1331</v>
      </c>
      <c r="B1096" s="8">
        <v>45275</v>
      </c>
      <c r="C1096" s="56"/>
      <c r="D1096" s="189" t="s">
        <v>42</v>
      </c>
      <c r="E1096" s="8">
        <v>45298</v>
      </c>
      <c r="F1096" s="56" t="s">
        <v>43</v>
      </c>
      <c r="G1096" s="16" t="s">
        <v>44</v>
      </c>
      <c r="H1096" s="56" t="s">
        <v>45</v>
      </c>
      <c r="I1096" s="56" t="s">
        <v>517</v>
      </c>
      <c r="J1096" s="10">
        <v>0.54852900000000004</v>
      </c>
      <c r="K1096" s="10"/>
      <c r="L1096" s="10">
        <f t="shared" ref="L1096:L1124" si="110">M1096+U1096</f>
        <v>0.54852900000000004</v>
      </c>
      <c r="M1096" s="10">
        <f t="shared" ref="M1096:M1124" si="111">SUM(N1096:T1096)</f>
        <v>0.54852900000000004</v>
      </c>
      <c r="N1096" s="10"/>
      <c r="O1096" s="10"/>
      <c r="P1096" s="10">
        <v>0.54852900000000004</v>
      </c>
      <c r="Q1096" s="10"/>
      <c r="R1096" s="10"/>
      <c r="S1096" s="10"/>
      <c r="T1096" s="10"/>
      <c r="U1096" s="10"/>
      <c r="V1096" s="56" t="s">
        <v>425</v>
      </c>
      <c r="W1096" s="56" t="s">
        <v>1253</v>
      </c>
      <c r="X1096" s="8">
        <v>45295</v>
      </c>
      <c r="Y1096" s="56"/>
      <c r="Z1096" s="56"/>
      <c r="AA1096" s="8"/>
      <c r="AB1096" s="8"/>
      <c r="AC1096" s="56"/>
      <c r="AD1096" s="56"/>
    </row>
    <row r="1097" spans="1:30">
      <c r="A1097" s="56">
        <v>1331</v>
      </c>
      <c r="B1097" s="8">
        <v>45275</v>
      </c>
      <c r="C1097" s="56"/>
      <c r="D1097" s="189" t="s">
        <v>42</v>
      </c>
      <c r="E1097" s="8">
        <v>45298</v>
      </c>
      <c r="F1097" s="56" t="s">
        <v>43</v>
      </c>
      <c r="G1097" s="16" t="s">
        <v>44</v>
      </c>
      <c r="H1097" s="56" t="s">
        <v>45</v>
      </c>
      <c r="I1097" s="56" t="s">
        <v>447</v>
      </c>
      <c r="J1097" s="10">
        <v>1.6204050000000001</v>
      </c>
      <c r="K1097" s="10"/>
      <c r="L1097" s="10">
        <f t="shared" si="110"/>
        <v>1.6204050000000001</v>
      </c>
      <c r="M1097" s="10">
        <f t="shared" si="111"/>
        <v>1.6204050000000001</v>
      </c>
      <c r="N1097" s="10"/>
      <c r="O1097" s="10"/>
      <c r="P1097" s="10"/>
      <c r="Q1097" s="10"/>
      <c r="R1097" s="77">
        <v>1.6204050000000001</v>
      </c>
      <c r="S1097" s="10"/>
      <c r="T1097" s="10"/>
      <c r="U1097" s="10"/>
      <c r="V1097" s="56" t="s">
        <v>425</v>
      </c>
      <c r="W1097" s="56" t="s">
        <v>1417</v>
      </c>
      <c r="X1097" s="8"/>
      <c r="Y1097" s="56"/>
      <c r="Z1097" s="56"/>
      <c r="AA1097" s="8"/>
      <c r="AB1097" s="8"/>
      <c r="AC1097" s="56"/>
      <c r="AD1097" s="56"/>
    </row>
    <row r="1098" spans="1:30">
      <c r="A1098" s="56">
        <v>1331</v>
      </c>
      <c r="B1098" s="8">
        <v>45275</v>
      </c>
      <c r="C1098" s="56"/>
      <c r="D1098" s="189" t="s">
        <v>42</v>
      </c>
      <c r="E1098" s="8">
        <v>45298</v>
      </c>
      <c r="F1098" s="56" t="s">
        <v>43</v>
      </c>
      <c r="G1098" s="16" t="s">
        <v>44</v>
      </c>
      <c r="H1098" s="56" t="s">
        <v>45</v>
      </c>
      <c r="I1098" s="56" t="s">
        <v>55</v>
      </c>
      <c r="J1098" s="10">
        <v>0.76679999999999993</v>
      </c>
      <c r="K1098" s="10"/>
      <c r="L1098" s="10">
        <f t="shared" si="110"/>
        <v>0.76680000000000004</v>
      </c>
      <c r="M1098" s="10">
        <f t="shared" si="111"/>
        <v>0.76680000000000004</v>
      </c>
      <c r="N1098" s="10"/>
      <c r="O1098" s="10"/>
      <c r="P1098" s="10">
        <f>0.7668-0.256</f>
        <v>0.51080000000000003</v>
      </c>
      <c r="Q1098" s="10"/>
      <c r="R1098" s="10">
        <v>0.25600000000000001</v>
      </c>
      <c r="S1098" s="10"/>
      <c r="T1098" s="10"/>
      <c r="U1098" s="10"/>
      <c r="V1098" s="56" t="s">
        <v>425</v>
      </c>
      <c r="W1098" s="56" t="s">
        <v>1253</v>
      </c>
      <c r="X1098" s="8">
        <v>45293</v>
      </c>
      <c r="Y1098" s="56"/>
      <c r="Z1098" s="56"/>
      <c r="AA1098" s="8"/>
      <c r="AB1098" s="8"/>
      <c r="AC1098" s="56"/>
      <c r="AD1098" s="56"/>
    </row>
    <row r="1099" spans="1:30">
      <c r="A1099" s="56">
        <v>1331</v>
      </c>
      <c r="B1099" s="8">
        <v>45275</v>
      </c>
      <c r="C1099" s="56"/>
      <c r="D1099" s="189" t="s">
        <v>42</v>
      </c>
      <c r="E1099" s="8">
        <v>45298</v>
      </c>
      <c r="F1099" s="56" t="s">
        <v>43</v>
      </c>
      <c r="G1099" s="16" t="s">
        <v>44</v>
      </c>
      <c r="H1099" s="56" t="s">
        <v>45</v>
      </c>
      <c r="I1099" s="56" t="s">
        <v>55</v>
      </c>
      <c r="J1099" s="10">
        <v>6.3899999999999998E-2</v>
      </c>
      <c r="K1099" s="10"/>
      <c r="L1099" s="10">
        <f t="shared" si="110"/>
        <v>6.3899999999999998E-2</v>
      </c>
      <c r="M1099" s="10">
        <f t="shared" si="111"/>
        <v>6.3899999999999998E-2</v>
      </c>
      <c r="N1099" s="10"/>
      <c r="O1099" s="10"/>
      <c r="P1099" s="10">
        <v>6.3899999999999998E-2</v>
      </c>
      <c r="Q1099" s="10"/>
      <c r="R1099" s="10"/>
      <c r="S1099" s="10"/>
      <c r="T1099" s="10"/>
      <c r="U1099" s="10"/>
      <c r="V1099" s="56" t="s">
        <v>425</v>
      </c>
      <c r="W1099" s="56" t="s">
        <v>1253</v>
      </c>
      <c r="X1099" s="8">
        <v>45293</v>
      </c>
      <c r="Y1099" s="56"/>
      <c r="Z1099" s="56"/>
      <c r="AA1099" s="8"/>
      <c r="AB1099" s="8"/>
      <c r="AC1099" s="56"/>
      <c r="AD1099" s="56"/>
    </row>
    <row r="1100" spans="1:30">
      <c r="A1100" s="56">
        <v>1331</v>
      </c>
      <c r="B1100" s="8">
        <v>45275</v>
      </c>
      <c r="C1100" s="56"/>
      <c r="D1100" s="189" t="s">
        <v>42</v>
      </c>
      <c r="E1100" s="8">
        <v>45298</v>
      </c>
      <c r="F1100" s="56" t="s">
        <v>43</v>
      </c>
      <c r="G1100" s="16" t="s">
        <v>44</v>
      </c>
      <c r="H1100" s="56" t="s">
        <v>45</v>
      </c>
      <c r="I1100" s="56" t="s">
        <v>434</v>
      </c>
      <c r="J1100" s="10">
        <v>0.36799999999999999</v>
      </c>
      <c r="K1100" s="10"/>
      <c r="L1100" s="10">
        <f t="shared" si="110"/>
        <v>0.36799999999999999</v>
      </c>
      <c r="M1100" s="10">
        <f t="shared" si="111"/>
        <v>0</v>
      </c>
      <c r="N1100" s="10"/>
      <c r="O1100" s="10"/>
      <c r="P1100" s="10"/>
      <c r="Q1100" s="10"/>
      <c r="R1100" s="10"/>
      <c r="S1100" s="10"/>
      <c r="T1100" s="10"/>
      <c r="U1100" s="10">
        <v>0.36799999999999999</v>
      </c>
      <c r="V1100" s="56" t="s">
        <v>425</v>
      </c>
      <c r="W1100" s="56"/>
      <c r="X1100" s="8"/>
      <c r="Y1100" s="56"/>
      <c r="Z1100" s="56"/>
      <c r="AA1100" s="8"/>
      <c r="AB1100" s="8"/>
      <c r="AC1100" s="56"/>
      <c r="AD1100" s="56"/>
    </row>
    <row r="1101" spans="1:30" hidden="1">
      <c r="A1101" s="56">
        <v>1331</v>
      </c>
      <c r="B1101" s="8">
        <v>45275</v>
      </c>
      <c r="C1101" s="56"/>
      <c r="D1101" s="189" t="s">
        <v>42</v>
      </c>
      <c r="E1101" s="8">
        <v>45298</v>
      </c>
      <c r="F1101" s="56" t="s">
        <v>43</v>
      </c>
      <c r="G1101" s="16" t="s">
        <v>51</v>
      </c>
      <c r="H1101" s="56" t="s">
        <v>52</v>
      </c>
      <c r="I1101" s="56" t="s">
        <v>53</v>
      </c>
      <c r="J1101" s="10">
        <v>0.37660000000000005</v>
      </c>
      <c r="K1101" s="10"/>
      <c r="L1101" s="10">
        <f t="shared" si="110"/>
        <v>0.37660000000000005</v>
      </c>
      <c r="M1101" s="10">
        <f t="shared" si="111"/>
        <v>0.37660000000000005</v>
      </c>
      <c r="N1101" s="10"/>
      <c r="O1101" s="10"/>
      <c r="P1101" s="10">
        <v>0.37660000000000005</v>
      </c>
      <c r="Q1101" s="10"/>
      <c r="R1101" s="10"/>
      <c r="S1101" s="10"/>
      <c r="T1101" s="10"/>
      <c r="U1101" s="10"/>
      <c r="V1101" s="56" t="s">
        <v>425</v>
      </c>
      <c r="W1101" s="56" t="s">
        <v>1418</v>
      </c>
      <c r="X1101" s="8">
        <v>45293</v>
      </c>
      <c r="Y1101" s="56"/>
      <c r="Z1101" s="56"/>
      <c r="AA1101" s="8"/>
      <c r="AB1101" s="8"/>
      <c r="AC1101" s="56"/>
      <c r="AD1101" s="56"/>
    </row>
    <row r="1102" spans="1:30" hidden="1">
      <c r="A1102" s="56">
        <v>1331</v>
      </c>
      <c r="B1102" s="8">
        <v>45275</v>
      </c>
      <c r="C1102" s="56"/>
      <c r="D1102" s="189" t="s">
        <v>42</v>
      </c>
      <c r="E1102" s="8">
        <v>45298</v>
      </c>
      <c r="F1102" s="56" t="s">
        <v>43</v>
      </c>
      <c r="G1102" s="16" t="s">
        <v>51</v>
      </c>
      <c r="H1102" s="56" t="s">
        <v>52</v>
      </c>
      <c r="I1102" s="56" t="s">
        <v>55</v>
      </c>
      <c r="J1102" s="10">
        <v>0.16869599999999998</v>
      </c>
      <c r="K1102" s="10"/>
      <c r="L1102" s="10">
        <f t="shared" si="110"/>
        <v>0.16869599999999998</v>
      </c>
      <c r="M1102" s="10">
        <f t="shared" si="111"/>
        <v>0.16869599999999998</v>
      </c>
      <c r="N1102" s="10"/>
      <c r="O1102" s="10"/>
      <c r="P1102" s="10"/>
      <c r="Q1102" s="10"/>
      <c r="R1102" s="10">
        <v>0.16869599999999998</v>
      </c>
      <c r="S1102" s="10"/>
      <c r="T1102" s="10"/>
      <c r="U1102" s="10"/>
      <c r="V1102" s="56" t="s">
        <v>425</v>
      </c>
      <c r="W1102" s="56" t="s">
        <v>1419</v>
      </c>
      <c r="X1102" s="8">
        <v>45293</v>
      </c>
      <c r="Y1102" s="56"/>
      <c r="Z1102" s="56"/>
      <c r="AA1102" s="8"/>
      <c r="AB1102" s="8"/>
      <c r="AC1102" s="56"/>
      <c r="AD1102" s="56"/>
    </row>
    <row r="1103" spans="1:30" hidden="1">
      <c r="A1103" s="56">
        <v>1331</v>
      </c>
      <c r="B1103" s="8">
        <v>45275</v>
      </c>
      <c r="C1103" s="56"/>
      <c r="D1103" s="189" t="s">
        <v>42</v>
      </c>
      <c r="E1103" s="8">
        <v>45298</v>
      </c>
      <c r="F1103" s="56" t="s">
        <v>43</v>
      </c>
      <c r="G1103" s="16" t="s">
        <v>51</v>
      </c>
      <c r="H1103" s="56" t="s">
        <v>52</v>
      </c>
      <c r="I1103" s="56" t="s">
        <v>434</v>
      </c>
      <c r="J1103" s="10">
        <v>0.54096</v>
      </c>
      <c r="K1103" s="10"/>
      <c r="L1103" s="10">
        <f t="shared" si="110"/>
        <v>0.54096</v>
      </c>
      <c r="M1103" s="10">
        <f t="shared" si="111"/>
        <v>0</v>
      </c>
      <c r="N1103" s="10"/>
      <c r="O1103" s="10"/>
      <c r="P1103" s="10"/>
      <c r="Q1103" s="10"/>
      <c r="R1103" s="10"/>
      <c r="S1103" s="10"/>
      <c r="T1103" s="10"/>
      <c r="U1103" s="10">
        <v>0.54096</v>
      </c>
      <c r="V1103" s="56" t="s">
        <v>425</v>
      </c>
      <c r="W1103" s="56" t="s">
        <v>1253</v>
      </c>
      <c r="X1103" s="8"/>
      <c r="Y1103" s="56"/>
      <c r="Z1103" s="56"/>
      <c r="AA1103" s="8"/>
      <c r="AB1103" s="8"/>
      <c r="AC1103" s="56"/>
      <c r="AD1103" s="56"/>
    </row>
    <row r="1104" spans="1:30" hidden="1">
      <c r="A1104" s="56">
        <v>1331</v>
      </c>
      <c r="B1104" s="8">
        <v>45275</v>
      </c>
      <c r="C1104" s="56"/>
      <c r="D1104" s="189" t="s">
        <v>42</v>
      </c>
      <c r="E1104" s="8">
        <v>45298</v>
      </c>
      <c r="F1104" s="56" t="s">
        <v>43</v>
      </c>
      <c r="G1104" s="16" t="s">
        <v>51</v>
      </c>
      <c r="H1104" s="56" t="s">
        <v>52</v>
      </c>
      <c r="I1104" s="56" t="s">
        <v>434</v>
      </c>
      <c r="J1104" s="10">
        <v>0.30912000000000001</v>
      </c>
      <c r="K1104" s="10"/>
      <c r="L1104" s="10">
        <f t="shared" si="110"/>
        <v>0.30912000000000001</v>
      </c>
      <c r="M1104" s="10">
        <f t="shared" si="111"/>
        <v>0</v>
      </c>
      <c r="N1104" s="10"/>
      <c r="O1104" s="10"/>
      <c r="P1104" s="10"/>
      <c r="Q1104" s="10"/>
      <c r="R1104" s="10"/>
      <c r="S1104" s="10"/>
      <c r="T1104" s="10"/>
      <c r="U1104" s="10">
        <v>0.30912000000000001</v>
      </c>
      <c r="V1104" s="56" t="s">
        <v>425</v>
      </c>
      <c r="W1104" s="56" t="s">
        <v>1253</v>
      </c>
      <c r="X1104" s="8"/>
      <c r="Y1104" s="56"/>
      <c r="Z1104" s="56"/>
      <c r="AA1104" s="8"/>
      <c r="AB1104" s="8"/>
      <c r="AC1104" s="56"/>
      <c r="AD1104" s="56"/>
    </row>
    <row r="1105" spans="1:30">
      <c r="A1105" s="56">
        <v>1332</v>
      </c>
      <c r="B1105" s="8">
        <v>45275</v>
      </c>
      <c r="C1105" s="56"/>
      <c r="D1105" s="189" t="s">
        <v>42</v>
      </c>
      <c r="E1105" s="8">
        <v>45298</v>
      </c>
      <c r="F1105" s="56" t="s">
        <v>840</v>
      </c>
      <c r="G1105" s="16" t="s">
        <v>1394</v>
      </c>
      <c r="H1105" s="56" t="s">
        <v>45</v>
      </c>
      <c r="I1105" s="56" t="s">
        <v>408</v>
      </c>
      <c r="J1105" s="10">
        <v>0.26039999999999996</v>
      </c>
      <c r="K1105" s="10"/>
      <c r="L1105" s="10">
        <f t="shared" si="110"/>
        <v>0.26039999999999996</v>
      </c>
      <c r="M1105" s="10">
        <f t="shared" si="111"/>
        <v>0.26039999999999996</v>
      </c>
      <c r="N1105" s="10">
        <v>0.26039999999999996</v>
      </c>
      <c r="O1105" s="10"/>
      <c r="P1105" s="10"/>
      <c r="Q1105" s="10"/>
      <c r="R1105" s="10"/>
      <c r="S1105" s="10"/>
      <c r="T1105" s="10"/>
      <c r="U1105" s="10"/>
      <c r="V1105" s="56" t="s">
        <v>841</v>
      </c>
      <c r="W1105" s="56" t="s">
        <v>1420</v>
      </c>
      <c r="X1105" s="8"/>
      <c r="Y1105" s="56"/>
      <c r="Z1105" s="56"/>
      <c r="AA1105" s="8"/>
      <c r="AB1105" s="8"/>
      <c r="AC1105" s="56"/>
      <c r="AD1105" s="56"/>
    </row>
    <row r="1106" spans="1:30">
      <c r="A1106" s="56">
        <v>1332</v>
      </c>
      <c r="B1106" s="8">
        <v>45275</v>
      </c>
      <c r="C1106" s="56"/>
      <c r="D1106" s="189" t="s">
        <v>42</v>
      </c>
      <c r="E1106" s="8">
        <v>45298</v>
      </c>
      <c r="F1106" s="56" t="s">
        <v>840</v>
      </c>
      <c r="G1106" s="16" t="s">
        <v>1394</v>
      </c>
      <c r="H1106" s="56" t="s">
        <v>45</v>
      </c>
      <c r="I1106" s="56" t="s">
        <v>519</v>
      </c>
      <c r="J1106" s="10">
        <v>0.27516000000000002</v>
      </c>
      <c r="K1106" s="10"/>
      <c r="L1106" s="10">
        <f t="shared" si="110"/>
        <v>0.27516000000000002</v>
      </c>
      <c r="M1106" s="10">
        <f t="shared" si="111"/>
        <v>0.27516000000000002</v>
      </c>
      <c r="N1106" s="10">
        <v>0.27516000000000002</v>
      </c>
      <c r="O1106" s="10"/>
      <c r="P1106" s="10"/>
      <c r="Q1106" s="10"/>
      <c r="R1106" s="10"/>
      <c r="S1106" s="10"/>
      <c r="T1106" s="10"/>
      <c r="U1106" s="10"/>
      <c r="V1106" s="56" t="s">
        <v>841</v>
      </c>
      <c r="W1106" s="56" t="s">
        <v>1421</v>
      </c>
      <c r="X1106" s="8"/>
      <c r="Y1106" s="56"/>
      <c r="Z1106" s="56"/>
      <c r="AA1106" s="8"/>
      <c r="AB1106" s="8"/>
      <c r="AC1106" s="56"/>
      <c r="AD1106" s="56"/>
    </row>
    <row r="1107" spans="1:30">
      <c r="A1107" s="56">
        <v>1333</v>
      </c>
      <c r="B1107" s="8">
        <v>45275</v>
      </c>
      <c r="C1107" s="56"/>
      <c r="D1107" s="189" t="s">
        <v>42</v>
      </c>
      <c r="E1107" s="8">
        <v>45298</v>
      </c>
      <c r="F1107" s="56" t="s">
        <v>43</v>
      </c>
      <c r="G1107" s="39" t="s">
        <v>874</v>
      </c>
      <c r="H1107" s="15" t="s">
        <v>45</v>
      </c>
      <c r="I1107" s="15" t="s">
        <v>57</v>
      </c>
      <c r="J1107" s="28">
        <v>0.09</v>
      </c>
      <c r="K1107" s="28"/>
      <c r="L1107" s="28">
        <f t="shared" si="110"/>
        <v>0.09</v>
      </c>
      <c r="M1107" s="28">
        <f t="shared" si="111"/>
        <v>0</v>
      </c>
      <c r="N1107" s="28"/>
      <c r="O1107" s="28"/>
      <c r="P1107" s="28"/>
      <c r="Q1107" s="28"/>
      <c r="R1107" s="28"/>
      <c r="S1107" s="28"/>
      <c r="T1107" s="28"/>
      <c r="U1107" s="28">
        <v>0.09</v>
      </c>
      <c r="V1107" s="15" t="s">
        <v>411</v>
      </c>
      <c r="W1107" s="15" t="s">
        <v>1422</v>
      </c>
      <c r="X1107" s="37"/>
      <c r="Y1107" s="56"/>
      <c r="Z1107" s="56"/>
      <c r="AA1107" s="8"/>
      <c r="AB1107" s="8"/>
      <c r="AC1107" s="56"/>
      <c r="AD1107" s="56"/>
    </row>
    <row r="1108" spans="1:30">
      <c r="A1108" s="56">
        <v>1333</v>
      </c>
      <c r="B1108" s="8">
        <v>45275</v>
      </c>
      <c r="C1108" s="56"/>
      <c r="D1108" s="189" t="s">
        <v>42</v>
      </c>
      <c r="E1108" s="8">
        <v>45298</v>
      </c>
      <c r="F1108" s="56" t="s">
        <v>43</v>
      </c>
      <c r="G1108" s="39" t="s">
        <v>874</v>
      </c>
      <c r="H1108" s="56" t="s">
        <v>45</v>
      </c>
      <c r="I1108" s="56" t="s">
        <v>46</v>
      </c>
      <c r="J1108" s="10">
        <v>0.1608</v>
      </c>
      <c r="K1108" s="10"/>
      <c r="L1108" s="10">
        <f t="shared" si="110"/>
        <v>0.1608</v>
      </c>
      <c r="M1108" s="10">
        <f t="shared" si="111"/>
        <v>0.1608</v>
      </c>
      <c r="N1108" s="10"/>
      <c r="O1108" s="10"/>
      <c r="P1108" s="10"/>
      <c r="Q1108" s="10"/>
      <c r="R1108" s="10">
        <v>0.1608</v>
      </c>
      <c r="S1108" s="10"/>
      <c r="T1108" s="10"/>
      <c r="U1108" s="10"/>
      <c r="V1108" s="56" t="s">
        <v>411</v>
      </c>
      <c r="W1108" s="56" t="s">
        <v>1423</v>
      </c>
      <c r="X1108" s="8">
        <v>45284</v>
      </c>
      <c r="Y1108" s="56"/>
      <c r="Z1108" s="56"/>
      <c r="AA1108" s="8"/>
      <c r="AB1108" s="8"/>
      <c r="AC1108" s="56"/>
      <c r="AD1108" s="56"/>
    </row>
    <row r="1109" spans="1:30">
      <c r="A1109" s="56">
        <v>1333</v>
      </c>
      <c r="B1109" s="8">
        <v>45275</v>
      </c>
      <c r="C1109" s="56"/>
      <c r="D1109" s="189" t="s">
        <v>42</v>
      </c>
      <c r="E1109" s="8">
        <v>45298</v>
      </c>
      <c r="F1109" s="56" t="s">
        <v>43</v>
      </c>
      <c r="G1109" s="39" t="s">
        <v>874</v>
      </c>
      <c r="H1109" s="56" t="s">
        <v>45</v>
      </c>
      <c r="I1109" s="56" t="s">
        <v>409</v>
      </c>
      <c r="J1109" s="10">
        <v>0.1416</v>
      </c>
      <c r="K1109" s="10"/>
      <c r="L1109" s="10">
        <f t="shared" si="110"/>
        <v>0.1416</v>
      </c>
      <c r="M1109" s="10">
        <f t="shared" si="111"/>
        <v>0.1416</v>
      </c>
      <c r="N1109" s="10"/>
      <c r="O1109" s="10"/>
      <c r="P1109" s="10"/>
      <c r="Q1109" s="10"/>
      <c r="R1109" s="77">
        <v>0.1416</v>
      </c>
      <c r="S1109" s="10"/>
      <c r="T1109" s="10"/>
      <c r="U1109" s="10"/>
      <c r="V1109" s="56" t="s">
        <v>411</v>
      </c>
      <c r="W1109" s="74" t="s">
        <v>1467</v>
      </c>
      <c r="X1109" s="8">
        <v>45282</v>
      </c>
      <c r="Y1109" s="56"/>
      <c r="Z1109" s="56"/>
      <c r="AA1109" s="8"/>
      <c r="AB1109" s="8"/>
      <c r="AC1109" s="56"/>
      <c r="AD1109" s="56"/>
    </row>
    <row r="1110" spans="1:30">
      <c r="A1110" s="56">
        <v>1333</v>
      </c>
      <c r="B1110" s="8">
        <v>45275</v>
      </c>
      <c r="C1110" s="56"/>
      <c r="D1110" s="189" t="s">
        <v>42</v>
      </c>
      <c r="E1110" s="8">
        <v>45298</v>
      </c>
      <c r="F1110" s="56" t="s">
        <v>43</v>
      </c>
      <c r="G1110" s="39" t="s">
        <v>874</v>
      </c>
      <c r="H1110" s="56" t="s">
        <v>45</v>
      </c>
      <c r="I1110" s="56" t="s">
        <v>235</v>
      </c>
      <c r="J1110" s="10">
        <v>0.51379999999999992</v>
      </c>
      <c r="K1110" s="10"/>
      <c r="L1110" s="10">
        <f t="shared" si="110"/>
        <v>0.51379999999999992</v>
      </c>
      <c r="M1110" s="10">
        <f t="shared" si="111"/>
        <v>0</v>
      </c>
      <c r="N1110" s="10"/>
      <c r="O1110" s="10"/>
      <c r="P1110" s="10"/>
      <c r="Q1110" s="10"/>
      <c r="R1110" s="10"/>
      <c r="S1110" s="10"/>
      <c r="T1110" s="10"/>
      <c r="U1110" s="10">
        <v>0.51379999999999992</v>
      </c>
      <c r="V1110" s="56" t="s">
        <v>411</v>
      </c>
      <c r="W1110" s="56" t="s">
        <v>1424</v>
      </c>
      <c r="X1110" s="8"/>
      <c r="Y1110" s="56"/>
      <c r="Z1110" s="56"/>
      <c r="AA1110" s="8"/>
      <c r="AB1110" s="8"/>
      <c r="AC1110" s="56"/>
      <c r="AD1110" s="56"/>
    </row>
    <row r="1111" spans="1:30">
      <c r="A1111" s="56">
        <v>1333</v>
      </c>
      <c r="B1111" s="8">
        <v>45275</v>
      </c>
      <c r="C1111" s="56"/>
      <c r="D1111" s="189" t="s">
        <v>42</v>
      </c>
      <c r="E1111" s="8">
        <v>45298</v>
      </c>
      <c r="F1111" s="56" t="s">
        <v>43</v>
      </c>
      <c r="G1111" s="39" t="s">
        <v>874</v>
      </c>
      <c r="H1111" s="56" t="s">
        <v>45</v>
      </c>
      <c r="I1111" s="56" t="s">
        <v>96</v>
      </c>
      <c r="J1111" s="10">
        <v>0.10571</v>
      </c>
      <c r="K1111" s="10"/>
      <c r="L1111" s="10">
        <f t="shared" si="110"/>
        <v>0.10571</v>
      </c>
      <c r="M1111" s="10">
        <f t="shared" si="111"/>
        <v>0</v>
      </c>
      <c r="N1111" s="10"/>
      <c r="O1111" s="10"/>
      <c r="P1111" s="10"/>
      <c r="Q1111" s="10"/>
      <c r="R1111" s="10"/>
      <c r="S1111" s="10"/>
      <c r="T1111" s="10"/>
      <c r="U1111" s="10">
        <v>0.10571</v>
      </c>
      <c r="V1111" s="56" t="s">
        <v>411</v>
      </c>
      <c r="W1111" s="56" t="s">
        <v>1424</v>
      </c>
      <c r="X1111" s="8"/>
      <c r="Y1111" s="56"/>
      <c r="Z1111" s="56"/>
      <c r="AA1111" s="8"/>
      <c r="AB1111" s="8"/>
      <c r="AC1111" s="56"/>
      <c r="AD1111" s="56"/>
    </row>
    <row r="1112" spans="1:30" hidden="1">
      <c r="A1112" s="56">
        <v>1333</v>
      </c>
      <c r="B1112" s="8">
        <v>45275</v>
      </c>
      <c r="C1112" s="56"/>
      <c r="D1112" s="189" t="s">
        <v>42</v>
      </c>
      <c r="E1112" s="8">
        <v>45298</v>
      </c>
      <c r="F1112" s="56" t="s">
        <v>43</v>
      </c>
      <c r="G1112" s="15" t="s">
        <v>1293</v>
      </c>
      <c r="H1112" s="56" t="s">
        <v>52</v>
      </c>
      <c r="I1112" s="56" t="s">
        <v>133</v>
      </c>
      <c r="J1112" s="10">
        <v>8.0399999999999999E-2</v>
      </c>
      <c r="K1112" s="10"/>
      <c r="L1112" s="10">
        <f t="shared" si="110"/>
        <v>8.0399999999999999E-2</v>
      </c>
      <c r="M1112" s="10">
        <f t="shared" si="111"/>
        <v>8.0399999999999999E-2</v>
      </c>
      <c r="N1112" s="10"/>
      <c r="O1112" s="10"/>
      <c r="P1112" s="10"/>
      <c r="Q1112" s="10"/>
      <c r="R1112" s="77">
        <v>8.0399999999999999E-2</v>
      </c>
      <c r="S1112" s="10"/>
      <c r="T1112" s="10"/>
      <c r="U1112" s="10"/>
      <c r="V1112" s="56" t="s">
        <v>411</v>
      </c>
      <c r="W1112" s="56" t="s">
        <v>1425</v>
      </c>
      <c r="X1112" s="8">
        <v>45284</v>
      </c>
      <c r="Y1112" s="56"/>
      <c r="Z1112" s="56"/>
      <c r="AA1112" s="8"/>
      <c r="AB1112" s="8"/>
      <c r="AC1112" s="56"/>
      <c r="AD1112" s="56"/>
    </row>
    <row r="1113" spans="1:30" hidden="1">
      <c r="A1113" s="56">
        <v>1333</v>
      </c>
      <c r="B1113" s="8">
        <v>45275</v>
      </c>
      <c r="C1113" s="56"/>
      <c r="D1113" s="189" t="s">
        <v>42</v>
      </c>
      <c r="E1113" s="8">
        <v>45298</v>
      </c>
      <c r="F1113" s="56" t="s">
        <v>43</v>
      </c>
      <c r="G1113" s="15" t="s">
        <v>1293</v>
      </c>
      <c r="H1113" s="56" t="s">
        <v>52</v>
      </c>
      <c r="I1113" s="56" t="s">
        <v>95</v>
      </c>
      <c r="J1113" s="10">
        <v>4.8893849999999999</v>
      </c>
      <c r="K1113" s="10"/>
      <c r="L1113" s="10">
        <f t="shared" si="110"/>
        <v>4.8890000000000002</v>
      </c>
      <c r="M1113" s="10">
        <f t="shared" si="111"/>
        <v>4.8890000000000002</v>
      </c>
      <c r="N1113" s="10"/>
      <c r="O1113" s="10"/>
      <c r="P1113" s="10">
        <f>1.74+2.301</f>
        <v>4.0410000000000004</v>
      </c>
      <c r="Q1113" s="10"/>
      <c r="R1113" s="10">
        <v>0.84799999999999998</v>
      </c>
      <c r="S1113" s="10"/>
      <c r="T1113" s="10"/>
      <c r="U1113" s="10"/>
      <c r="V1113" s="56" t="s">
        <v>411</v>
      </c>
      <c r="W1113" s="56" t="s">
        <v>1418</v>
      </c>
      <c r="X1113" s="8">
        <v>45293</v>
      </c>
      <c r="Y1113" s="56"/>
      <c r="Z1113" s="56"/>
      <c r="AA1113" s="8"/>
      <c r="AB1113" s="8"/>
      <c r="AC1113" s="56"/>
      <c r="AD1113" s="56"/>
    </row>
    <row r="1114" spans="1:30" hidden="1">
      <c r="A1114" s="56">
        <v>1333</v>
      </c>
      <c r="B1114" s="8">
        <v>45275</v>
      </c>
      <c r="C1114" s="56"/>
      <c r="D1114" s="189" t="s">
        <v>42</v>
      </c>
      <c r="E1114" s="8">
        <v>45298</v>
      </c>
      <c r="F1114" s="56" t="s">
        <v>43</v>
      </c>
      <c r="G1114" s="15" t="s">
        <v>1293</v>
      </c>
      <c r="H1114" s="56" t="s">
        <v>52</v>
      </c>
      <c r="I1114" s="56" t="s">
        <v>96</v>
      </c>
      <c r="J1114" s="10">
        <v>3.423082</v>
      </c>
      <c r="K1114" s="10"/>
      <c r="L1114" s="10">
        <f t="shared" si="110"/>
        <v>3.423082</v>
      </c>
      <c r="M1114" s="10">
        <f t="shared" si="111"/>
        <v>3.423082</v>
      </c>
      <c r="N1114" s="10"/>
      <c r="O1114" s="10"/>
      <c r="P1114" s="10">
        <v>3.423082</v>
      </c>
      <c r="Q1114" s="10"/>
      <c r="R1114" s="10"/>
      <c r="S1114" s="10"/>
      <c r="T1114" s="10"/>
      <c r="U1114" s="10"/>
      <c r="V1114" s="56" t="s">
        <v>411</v>
      </c>
      <c r="W1114" s="56" t="s">
        <v>1253</v>
      </c>
      <c r="X1114" s="8">
        <v>45286</v>
      </c>
      <c r="Y1114" s="56"/>
      <c r="Z1114" s="56"/>
      <c r="AA1114" s="8"/>
      <c r="AB1114" s="8"/>
      <c r="AC1114" s="56"/>
      <c r="AD1114" s="56"/>
    </row>
    <row r="1115" spans="1:30" hidden="1">
      <c r="A1115" s="56">
        <v>1333</v>
      </c>
      <c r="B1115" s="8">
        <v>45275</v>
      </c>
      <c r="C1115" s="56"/>
      <c r="D1115" s="189" t="s">
        <v>42</v>
      </c>
      <c r="E1115" s="8">
        <v>45298</v>
      </c>
      <c r="F1115" s="56" t="s">
        <v>43</v>
      </c>
      <c r="G1115" s="15" t="s">
        <v>1293</v>
      </c>
      <c r="H1115" s="56" t="s">
        <v>52</v>
      </c>
      <c r="I1115" s="56" t="s">
        <v>98</v>
      </c>
      <c r="J1115" s="10">
        <v>0.17686600000000002</v>
      </c>
      <c r="K1115" s="10"/>
      <c r="L1115" s="10">
        <f t="shared" si="110"/>
        <v>0.17686600000000002</v>
      </c>
      <c r="M1115" s="10">
        <f t="shared" si="111"/>
        <v>0.17686600000000002</v>
      </c>
      <c r="N1115" s="10"/>
      <c r="O1115" s="10"/>
      <c r="P1115" s="10">
        <v>0.17686600000000002</v>
      </c>
      <c r="Q1115" s="10"/>
      <c r="R1115" s="10"/>
      <c r="S1115" s="10"/>
      <c r="T1115" s="10"/>
      <c r="U1115" s="10"/>
      <c r="V1115" s="56" t="s">
        <v>411</v>
      </c>
      <c r="W1115" s="56" t="s">
        <v>1253</v>
      </c>
      <c r="X1115" s="8"/>
      <c r="Y1115" s="56"/>
      <c r="Z1115" s="56"/>
      <c r="AA1115" s="8"/>
      <c r="AB1115" s="8"/>
      <c r="AC1115" s="56"/>
      <c r="AD1115" s="56"/>
    </row>
    <row r="1116" spans="1:30">
      <c r="A1116" s="56">
        <v>1334</v>
      </c>
      <c r="B1116" s="8">
        <v>45275</v>
      </c>
      <c r="C1116" s="56"/>
      <c r="D1116" s="189" t="s">
        <v>42</v>
      </c>
      <c r="E1116" s="8">
        <v>45298</v>
      </c>
      <c r="F1116" s="56" t="s">
        <v>43</v>
      </c>
      <c r="G1116" s="40" t="s">
        <v>60</v>
      </c>
      <c r="H1116" s="56" t="s">
        <v>45</v>
      </c>
      <c r="I1116" s="56" t="s">
        <v>48</v>
      </c>
      <c r="J1116" s="10">
        <v>0.71736</v>
      </c>
      <c r="K1116" s="10"/>
      <c r="L1116" s="10">
        <f t="shared" si="110"/>
        <v>0.71736</v>
      </c>
      <c r="M1116" s="10">
        <f t="shared" si="111"/>
        <v>0.71736</v>
      </c>
      <c r="N1116" s="10"/>
      <c r="O1116" s="10"/>
      <c r="P1116" s="10"/>
      <c r="Q1116" s="10"/>
      <c r="R1116" s="77">
        <v>0.71736</v>
      </c>
      <c r="S1116" s="10"/>
      <c r="T1116" s="10"/>
      <c r="U1116" s="10"/>
      <c r="V1116" s="56" t="s">
        <v>1278</v>
      </c>
      <c r="W1116" s="56" t="s">
        <v>1427</v>
      </c>
      <c r="X1116" s="8"/>
      <c r="Y1116" s="56"/>
      <c r="Z1116" s="56"/>
      <c r="AA1116" s="8"/>
      <c r="AB1116" s="8"/>
      <c r="AC1116" s="56"/>
      <c r="AD1116" s="56"/>
    </row>
    <row r="1117" spans="1:30">
      <c r="A1117" s="56">
        <v>1334</v>
      </c>
      <c r="B1117" s="8">
        <v>45275</v>
      </c>
      <c r="C1117" s="56"/>
      <c r="D1117" s="189" t="s">
        <v>42</v>
      </c>
      <c r="E1117" s="8">
        <v>45298</v>
      </c>
      <c r="F1117" s="56" t="s">
        <v>43</v>
      </c>
      <c r="G1117" s="40" t="s">
        <v>60</v>
      </c>
      <c r="H1117" s="56" t="s">
        <v>45</v>
      </c>
      <c r="I1117" s="56" t="s">
        <v>516</v>
      </c>
      <c r="J1117" s="10">
        <v>0.10335999999999999</v>
      </c>
      <c r="K1117" s="10"/>
      <c r="L1117" s="10">
        <f t="shared" si="110"/>
        <v>0.10335999999999999</v>
      </c>
      <c r="M1117" s="10">
        <f t="shared" si="111"/>
        <v>0.10335999999999999</v>
      </c>
      <c r="N1117" s="10"/>
      <c r="O1117" s="10"/>
      <c r="P1117" s="10"/>
      <c r="Q1117" s="10"/>
      <c r="R1117" s="77">
        <v>0.10335999999999999</v>
      </c>
      <c r="S1117" s="10"/>
      <c r="T1117" s="10"/>
      <c r="U1117" s="10"/>
      <c r="V1117" s="56" t="s">
        <v>1278</v>
      </c>
      <c r="W1117" s="56" t="s">
        <v>1428</v>
      </c>
      <c r="X1117" s="8"/>
      <c r="Y1117" s="56"/>
      <c r="Z1117" s="56"/>
      <c r="AA1117" s="8"/>
      <c r="AB1117" s="8"/>
      <c r="AC1117" s="56"/>
      <c r="AD1117" s="56"/>
    </row>
    <row r="1118" spans="1:30">
      <c r="A1118" s="56">
        <v>1334</v>
      </c>
      <c r="B1118" s="8">
        <v>45275</v>
      </c>
      <c r="C1118" s="56"/>
      <c r="D1118" s="189" t="s">
        <v>42</v>
      </c>
      <c r="E1118" s="8">
        <v>45298</v>
      </c>
      <c r="F1118" s="56" t="s">
        <v>43</v>
      </c>
      <c r="G1118" s="40" t="s">
        <v>60</v>
      </c>
      <c r="H1118" s="56" t="s">
        <v>45</v>
      </c>
      <c r="I1118" s="56" t="s">
        <v>409</v>
      </c>
      <c r="J1118" s="10">
        <v>0.53336000000000006</v>
      </c>
      <c r="K1118" s="10"/>
      <c r="L1118" s="10">
        <f t="shared" si="110"/>
        <v>0.53336000000000006</v>
      </c>
      <c r="M1118" s="10">
        <f t="shared" si="111"/>
        <v>0.53336000000000006</v>
      </c>
      <c r="N1118" s="10"/>
      <c r="O1118" s="10"/>
      <c r="P1118" s="10"/>
      <c r="Q1118" s="10"/>
      <c r="R1118" s="77">
        <v>0.53336000000000006</v>
      </c>
      <c r="S1118" s="10"/>
      <c r="T1118" s="10"/>
      <c r="U1118" s="10"/>
      <c r="V1118" s="56" t="s">
        <v>1278</v>
      </c>
      <c r="W1118" s="56" t="s">
        <v>1429</v>
      </c>
      <c r="X1118" s="8">
        <v>45282</v>
      </c>
      <c r="Y1118" s="56"/>
      <c r="Z1118" s="56"/>
      <c r="AA1118" s="8"/>
      <c r="AB1118" s="8"/>
      <c r="AC1118" s="56"/>
      <c r="AD1118" s="56"/>
    </row>
    <row r="1119" spans="1:30">
      <c r="A1119" s="56">
        <v>1334</v>
      </c>
      <c r="B1119" s="8">
        <v>45275</v>
      </c>
      <c r="C1119" s="56"/>
      <c r="D1119" s="189" t="s">
        <v>42</v>
      </c>
      <c r="E1119" s="8">
        <v>45298</v>
      </c>
      <c r="F1119" s="56" t="s">
        <v>43</v>
      </c>
      <c r="G1119" s="40" t="s">
        <v>60</v>
      </c>
      <c r="H1119" s="56" t="s">
        <v>45</v>
      </c>
      <c r="I1119" s="56" t="s">
        <v>517</v>
      </c>
      <c r="J1119" s="10">
        <v>1.3922999999999999</v>
      </c>
      <c r="K1119" s="10"/>
      <c r="L1119" s="10">
        <f t="shared" si="110"/>
        <v>1.3922999999999999</v>
      </c>
      <c r="M1119" s="10">
        <f t="shared" si="111"/>
        <v>1.3922999999999999</v>
      </c>
      <c r="N1119" s="10"/>
      <c r="O1119" s="10"/>
      <c r="P1119" s="10">
        <v>1.3922999999999999</v>
      </c>
      <c r="Q1119" s="10"/>
      <c r="R1119" s="10"/>
      <c r="S1119" s="10"/>
      <c r="T1119" s="10"/>
      <c r="U1119" s="10"/>
      <c r="V1119" s="56" t="s">
        <v>1278</v>
      </c>
      <c r="W1119" s="56" t="s">
        <v>1253</v>
      </c>
      <c r="X1119" s="8">
        <v>45295</v>
      </c>
      <c r="Y1119" s="56"/>
      <c r="Z1119" s="56"/>
      <c r="AA1119" s="8"/>
      <c r="AB1119" s="8"/>
      <c r="AC1119" s="56"/>
      <c r="AD1119" s="56"/>
    </row>
    <row r="1120" spans="1:30">
      <c r="A1120" s="56">
        <v>1334</v>
      </c>
      <c r="B1120" s="8">
        <v>45275</v>
      </c>
      <c r="C1120" s="56"/>
      <c r="D1120" s="189" t="s">
        <v>42</v>
      </c>
      <c r="E1120" s="8">
        <v>45298</v>
      </c>
      <c r="F1120" s="56" t="s">
        <v>43</v>
      </c>
      <c r="G1120" s="40" t="s">
        <v>60</v>
      </c>
      <c r="H1120" s="56" t="s">
        <v>45</v>
      </c>
      <c r="I1120" s="56" t="s">
        <v>1426</v>
      </c>
      <c r="J1120" s="10">
        <v>2.1053999999999999</v>
      </c>
      <c r="K1120" s="10"/>
      <c r="L1120" s="10">
        <f t="shared" si="110"/>
        <v>2.1053999999999999</v>
      </c>
      <c r="M1120" s="10">
        <f t="shared" si="111"/>
        <v>2.1053999999999999</v>
      </c>
      <c r="N1120" s="10"/>
      <c r="O1120" s="10"/>
      <c r="P1120" s="10">
        <v>2.1053999999999999</v>
      </c>
      <c r="Q1120" s="10"/>
      <c r="R1120" s="10"/>
      <c r="S1120" s="10"/>
      <c r="T1120" s="10"/>
      <c r="U1120" s="10"/>
      <c r="V1120" s="56" t="s">
        <v>1348</v>
      </c>
      <c r="W1120" s="56" t="s">
        <v>1253</v>
      </c>
      <c r="X1120" s="8">
        <v>45293</v>
      </c>
      <c r="Y1120" s="56"/>
      <c r="Z1120" s="56"/>
      <c r="AA1120" s="8"/>
      <c r="AB1120" s="8"/>
      <c r="AC1120" s="56"/>
      <c r="AD1120" s="56"/>
    </row>
    <row r="1121" spans="1:30">
      <c r="A1121" s="56">
        <v>1334</v>
      </c>
      <c r="B1121" s="8">
        <v>45275</v>
      </c>
      <c r="C1121" s="56"/>
      <c r="D1121" s="189" t="s">
        <v>42</v>
      </c>
      <c r="E1121" s="8">
        <v>45298</v>
      </c>
      <c r="F1121" s="56" t="s">
        <v>43</v>
      </c>
      <c r="G1121" s="40" t="s">
        <v>60</v>
      </c>
      <c r="H1121" s="56" t="s">
        <v>45</v>
      </c>
      <c r="I1121" s="56" t="s">
        <v>472</v>
      </c>
      <c r="J1121" s="10">
        <v>0.13950000000000001</v>
      </c>
      <c r="K1121" s="10"/>
      <c r="L1121" s="10">
        <f t="shared" si="110"/>
        <v>0.13950000000000001</v>
      </c>
      <c r="M1121" s="10">
        <f t="shared" si="111"/>
        <v>0</v>
      </c>
      <c r="N1121" s="10"/>
      <c r="O1121" s="10"/>
      <c r="P1121" s="10"/>
      <c r="Q1121" s="10"/>
      <c r="R1121" s="10"/>
      <c r="S1121" s="10"/>
      <c r="T1121" s="10"/>
      <c r="U1121" s="10">
        <v>0.13950000000000001</v>
      </c>
      <c r="V1121" s="91" t="s">
        <v>1278</v>
      </c>
      <c r="W1121" s="93" t="s">
        <v>634</v>
      </c>
      <c r="X1121" s="8"/>
      <c r="Y1121" s="56"/>
      <c r="Z1121" s="56"/>
      <c r="AA1121" s="8"/>
      <c r="AB1121" s="8"/>
      <c r="AC1121" s="56"/>
      <c r="AD1121" s="56"/>
    </row>
    <row r="1122" spans="1:30">
      <c r="A1122" s="56">
        <v>1334</v>
      </c>
      <c r="B1122" s="8">
        <v>45275</v>
      </c>
      <c r="C1122" s="56"/>
      <c r="D1122" s="189" t="s">
        <v>42</v>
      </c>
      <c r="E1122" s="8">
        <v>45298</v>
      </c>
      <c r="F1122" s="56" t="s">
        <v>43</v>
      </c>
      <c r="G1122" s="40" t="s">
        <v>60</v>
      </c>
      <c r="H1122" s="56" t="s">
        <v>45</v>
      </c>
      <c r="I1122" s="56" t="s">
        <v>473</v>
      </c>
      <c r="J1122" s="10">
        <v>0.47949999999999998</v>
      </c>
      <c r="K1122" s="10"/>
      <c r="L1122" s="10">
        <f t="shared" si="110"/>
        <v>0.47949999999999998</v>
      </c>
      <c r="M1122" s="10">
        <f t="shared" si="111"/>
        <v>0</v>
      </c>
      <c r="N1122" s="10"/>
      <c r="O1122" s="10"/>
      <c r="P1122" s="10"/>
      <c r="Q1122" s="10"/>
      <c r="R1122" s="10"/>
      <c r="S1122" s="10"/>
      <c r="T1122" s="10"/>
      <c r="U1122" s="10">
        <v>0.47949999999999998</v>
      </c>
      <c r="V1122" s="91" t="s">
        <v>1278</v>
      </c>
      <c r="W1122" s="93" t="s">
        <v>634</v>
      </c>
      <c r="X1122" s="8"/>
      <c r="Y1122" s="56"/>
      <c r="Z1122" s="56"/>
      <c r="AA1122" s="8"/>
      <c r="AB1122" s="8"/>
      <c r="AC1122" s="56"/>
      <c r="AD1122" s="56"/>
    </row>
    <row r="1123" spans="1:30">
      <c r="A1123" s="56">
        <v>1334</v>
      </c>
      <c r="B1123" s="8">
        <v>45275</v>
      </c>
      <c r="C1123" s="56"/>
      <c r="D1123" s="189" t="s">
        <v>42</v>
      </c>
      <c r="E1123" s="8">
        <v>45298</v>
      </c>
      <c r="F1123" s="56" t="s">
        <v>43</v>
      </c>
      <c r="G1123" s="40" t="s">
        <v>60</v>
      </c>
      <c r="H1123" s="56" t="s">
        <v>45</v>
      </c>
      <c r="I1123" s="56" t="s">
        <v>235</v>
      </c>
      <c r="J1123" s="10">
        <v>0.5651799999999999</v>
      </c>
      <c r="K1123" s="10"/>
      <c r="L1123" s="10">
        <f t="shared" si="110"/>
        <v>0.5651799999999999</v>
      </c>
      <c r="M1123" s="10">
        <f t="shared" si="111"/>
        <v>0</v>
      </c>
      <c r="N1123" s="10"/>
      <c r="O1123" s="10"/>
      <c r="P1123" s="10"/>
      <c r="Q1123" s="10"/>
      <c r="R1123" s="10"/>
      <c r="S1123" s="10"/>
      <c r="T1123" s="10"/>
      <c r="U1123" s="10">
        <v>0.5651799999999999</v>
      </c>
      <c r="V1123" s="56" t="s">
        <v>1348</v>
      </c>
      <c r="W1123" s="34" t="s">
        <v>634</v>
      </c>
      <c r="X1123" s="8"/>
      <c r="Y1123" s="56"/>
      <c r="Z1123" s="56"/>
      <c r="AA1123" s="8"/>
      <c r="AB1123" s="8"/>
      <c r="AC1123" s="56"/>
      <c r="AD1123" s="56"/>
    </row>
    <row r="1124" spans="1:30">
      <c r="A1124" s="56">
        <v>1334</v>
      </c>
      <c r="B1124" s="8">
        <v>45275</v>
      </c>
      <c r="C1124" s="56"/>
      <c r="D1124" s="189" t="s">
        <v>42</v>
      </c>
      <c r="E1124" s="8">
        <v>45298</v>
      </c>
      <c r="F1124" s="56" t="s">
        <v>43</v>
      </c>
      <c r="G1124" s="40" t="s">
        <v>60</v>
      </c>
      <c r="H1124" s="56" t="s">
        <v>45</v>
      </c>
      <c r="I1124" s="56" t="s">
        <v>96</v>
      </c>
      <c r="J1124" s="10">
        <v>0.80723999999999996</v>
      </c>
      <c r="K1124" s="10"/>
      <c r="L1124" s="10">
        <f t="shared" si="110"/>
        <v>0.80723999999999996</v>
      </c>
      <c r="M1124" s="10">
        <f t="shared" si="111"/>
        <v>0.80723999999999996</v>
      </c>
      <c r="N1124" s="10"/>
      <c r="O1124" s="10"/>
      <c r="P1124" s="10">
        <v>0.80723999999999996</v>
      </c>
      <c r="Q1124" s="10"/>
      <c r="R1124" s="10"/>
      <c r="S1124" s="10"/>
      <c r="T1124" s="10"/>
      <c r="U1124" s="10"/>
      <c r="V1124" s="56" t="s">
        <v>1278</v>
      </c>
      <c r="W1124" s="56" t="s">
        <v>1253</v>
      </c>
      <c r="X1124" s="8"/>
      <c r="Y1124" s="56"/>
      <c r="Z1124" s="56"/>
      <c r="AA1124" s="8"/>
      <c r="AB1124" s="8"/>
      <c r="AC1124" s="56"/>
      <c r="AD1124" s="56"/>
    </row>
    <row r="1125" spans="1:30">
      <c r="A1125" s="56">
        <v>1356</v>
      </c>
      <c r="B1125" s="8">
        <v>45278</v>
      </c>
      <c r="C1125" s="56"/>
      <c r="D1125" s="189" t="s">
        <v>42</v>
      </c>
      <c r="E1125" s="8">
        <v>45298</v>
      </c>
      <c r="F1125" s="60" t="s">
        <v>43</v>
      </c>
      <c r="G1125" s="40" t="s">
        <v>60</v>
      </c>
      <c r="H1125" s="56" t="s">
        <v>45</v>
      </c>
      <c r="I1125" s="23" t="s">
        <v>409</v>
      </c>
      <c r="J1125" s="27">
        <v>0.48616000000000004</v>
      </c>
      <c r="K1125" s="56"/>
      <c r="L1125" s="10">
        <f t="shared" ref="L1125:L1131" si="112">M1125+U1125</f>
        <v>0.48616000000000004</v>
      </c>
      <c r="M1125" s="10">
        <f t="shared" ref="M1125:M1131" si="113">SUM(N1125:T1125)</f>
        <v>0.48616000000000004</v>
      </c>
      <c r="N1125" s="10"/>
      <c r="O1125" s="10"/>
      <c r="P1125" s="10"/>
      <c r="Q1125" s="10"/>
      <c r="R1125" s="78">
        <v>0.48616000000000004</v>
      </c>
      <c r="S1125" s="10"/>
      <c r="T1125" s="10"/>
      <c r="U1125" s="27"/>
      <c r="V1125" s="22" t="s">
        <v>85</v>
      </c>
      <c r="W1125" s="74" t="s">
        <v>634</v>
      </c>
      <c r="X1125" s="8">
        <v>45282</v>
      </c>
      <c r="Y1125" s="56"/>
      <c r="Z1125" s="56"/>
      <c r="AA1125" s="8"/>
      <c r="AB1125" s="8"/>
      <c r="AC1125" s="56"/>
      <c r="AD1125" s="56"/>
    </row>
    <row r="1126" spans="1:30" hidden="1">
      <c r="A1126" s="56">
        <v>1356</v>
      </c>
      <c r="B1126" s="8">
        <v>45278</v>
      </c>
      <c r="C1126" s="56"/>
      <c r="D1126" s="56"/>
      <c r="E1126" s="8">
        <v>45298</v>
      </c>
      <c r="F1126" s="60" t="s">
        <v>43</v>
      </c>
      <c r="G1126" s="40" t="s">
        <v>60</v>
      </c>
      <c r="H1126" s="56" t="s">
        <v>45</v>
      </c>
      <c r="I1126" s="23" t="s">
        <v>46</v>
      </c>
      <c r="J1126" s="27">
        <v>0.10050000000000001</v>
      </c>
      <c r="K1126" s="56">
        <v>0.109</v>
      </c>
      <c r="L1126" s="10">
        <f t="shared" si="112"/>
        <v>0</v>
      </c>
      <c r="M1126" s="10">
        <f t="shared" si="113"/>
        <v>0</v>
      </c>
      <c r="N1126" s="10"/>
      <c r="O1126" s="10"/>
      <c r="P1126" s="10"/>
      <c r="Q1126" s="10"/>
      <c r="R1126" s="27">
        <v>0</v>
      </c>
      <c r="S1126" s="10"/>
      <c r="T1126" s="10"/>
      <c r="U1126" s="27"/>
      <c r="V1126" s="22" t="s">
        <v>85</v>
      </c>
      <c r="W1126" s="82" t="s">
        <v>634</v>
      </c>
      <c r="X1126" s="8">
        <v>45284</v>
      </c>
      <c r="Y1126" s="56"/>
      <c r="Z1126" s="56"/>
      <c r="AA1126" s="8"/>
      <c r="AB1126" s="8"/>
      <c r="AC1126" s="56"/>
      <c r="AD1126" s="56"/>
    </row>
    <row r="1127" spans="1:30">
      <c r="A1127" s="56">
        <v>1356</v>
      </c>
      <c r="B1127" s="8">
        <v>45278</v>
      </c>
      <c r="C1127" s="56"/>
      <c r="D1127" s="189" t="s">
        <v>42</v>
      </c>
      <c r="E1127" s="8">
        <v>45298</v>
      </c>
      <c r="F1127" s="60" t="s">
        <v>43</v>
      </c>
      <c r="G1127" s="40" t="s">
        <v>60</v>
      </c>
      <c r="H1127" s="56" t="s">
        <v>45</v>
      </c>
      <c r="I1127" s="23" t="s">
        <v>56</v>
      </c>
      <c r="J1127" s="27">
        <v>6.5270000000000009E-2</v>
      </c>
      <c r="K1127" s="56"/>
      <c r="L1127" s="10">
        <f t="shared" si="112"/>
        <v>6.5270000000000009E-2</v>
      </c>
      <c r="M1127" s="10">
        <f t="shared" si="113"/>
        <v>0</v>
      </c>
      <c r="N1127" s="10"/>
      <c r="O1127" s="10"/>
      <c r="P1127" s="10"/>
      <c r="Q1127" s="10"/>
      <c r="R1127" s="10"/>
      <c r="S1127" s="10"/>
      <c r="T1127" s="10"/>
      <c r="U1127" s="27">
        <v>6.5270000000000009E-2</v>
      </c>
      <c r="V1127" s="22" t="s">
        <v>85</v>
      </c>
      <c r="W1127" s="22" t="s">
        <v>634</v>
      </c>
      <c r="X1127" s="8"/>
      <c r="Y1127" s="56"/>
      <c r="Z1127" s="56"/>
      <c r="AA1127" s="8"/>
      <c r="AB1127" s="8"/>
      <c r="AC1127" s="56"/>
      <c r="AD1127" s="56"/>
    </row>
    <row r="1128" spans="1:30">
      <c r="A1128" s="56">
        <v>1356</v>
      </c>
      <c r="B1128" s="8">
        <v>45278</v>
      </c>
      <c r="C1128" s="56"/>
      <c r="D1128" s="189" t="s">
        <v>42</v>
      </c>
      <c r="E1128" s="8">
        <v>45298</v>
      </c>
      <c r="F1128" s="60" t="s">
        <v>43</v>
      </c>
      <c r="G1128" s="40" t="s">
        <v>60</v>
      </c>
      <c r="H1128" s="56" t="s">
        <v>45</v>
      </c>
      <c r="I1128" s="23" t="s">
        <v>48</v>
      </c>
      <c r="J1128" s="27">
        <v>0.14884</v>
      </c>
      <c r="K1128" s="56"/>
      <c r="L1128" s="10">
        <f t="shared" si="112"/>
        <v>0.14884</v>
      </c>
      <c r="M1128" s="10">
        <f t="shared" si="113"/>
        <v>0</v>
      </c>
      <c r="N1128" s="10"/>
      <c r="O1128" s="10"/>
      <c r="P1128" s="10"/>
      <c r="Q1128" s="10"/>
      <c r="R1128" s="10"/>
      <c r="S1128" s="10"/>
      <c r="T1128" s="10"/>
      <c r="U1128" s="27">
        <v>0.14884</v>
      </c>
      <c r="V1128" s="22" t="s">
        <v>85</v>
      </c>
      <c r="W1128" s="22" t="s">
        <v>634</v>
      </c>
      <c r="X1128" s="8"/>
      <c r="Y1128" s="56"/>
      <c r="Z1128" s="56"/>
      <c r="AA1128" s="8"/>
      <c r="AB1128" s="8"/>
      <c r="AC1128" s="56"/>
      <c r="AD1128" s="56"/>
    </row>
    <row r="1129" spans="1:30">
      <c r="A1129" s="56">
        <v>1356</v>
      </c>
      <c r="B1129" s="8">
        <v>45278</v>
      </c>
      <c r="C1129" s="56"/>
      <c r="D1129" s="189" t="s">
        <v>42</v>
      </c>
      <c r="E1129" s="8">
        <v>45298</v>
      </c>
      <c r="F1129" s="60" t="s">
        <v>43</v>
      </c>
      <c r="G1129" s="40" t="s">
        <v>60</v>
      </c>
      <c r="H1129" s="56" t="s">
        <v>45</v>
      </c>
      <c r="I1129" s="23" t="s">
        <v>49</v>
      </c>
      <c r="J1129" s="27">
        <v>0.3458</v>
      </c>
      <c r="K1129" s="56"/>
      <c r="L1129" s="10">
        <f t="shared" si="112"/>
        <v>0.3458</v>
      </c>
      <c r="M1129" s="10">
        <f t="shared" si="113"/>
        <v>0.3458</v>
      </c>
      <c r="N1129" s="10"/>
      <c r="O1129" s="10"/>
      <c r="P1129" s="10"/>
      <c r="Q1129" s="10"/>
      <c r="R1129" s="78">
        <v>0.3458</v>
      </c>
      <c r="S1129" s="10"/>
      <c r="T1129" s="10"/>
      <c r="U1129" s="27"/>
      <c r="V1129" s="22" t="s">
        <v>85</v>
      </c>
      <c r="W1129" s="83" t="s">
        <v>1086</v>
      </c>
      <c r="X1129" s="8"/>
      <c r="Y1129" s="56"/>
      <c r="Z1129" s="56"/>
      <c r="AA1129" s="8"/>
      <c r="AB1129" s="8"/>
      <c r="AC1129" s="56"/>
      <c r="AD1129" s="56"/>
    </row>
    <row r="1130" spans="1:30">
      <c r="A1130" s="56">
        <v>1356</v>
      </c>
      <c r="B1130" s="8">
        <v>45278</v>
      </c>
      <c r="C1130" s="56"/>
      <c r="D1130" s="189" t="s">
        <v>42</v>
      </c>
      <c r="E1130" s="8">
        <v>45298</v>
      </c>
      <c r="F1130" s="60" t="s">
        <v>43</v>
      </c>
      <c r="G1130" s="40" t="s">
        <v>60</v>
      </c>
      <c r="H1130" s="56" t="s">
        <v>45</v>
      </c>
      <c r="I1130" s="23" t="s">
        <v>50</v>
      </c>
      <c r="J1130" s="27">
        <v>0.25137000000000004</v>
      </c>
      <c r="K1130" s="56"/>
      <c r="L1130" s="10">
        <f t="shared" si="112"/>
        <v>0.25137000000000004</v>
      </c>
      <c r="M1130" s="10">
        <f t="shared" si="113"/>
        <v>0.25137000000000004</v>
      </c>
      <c r="N1130" s="10"/>
      <c r="O1130" s="10"/>
      <c r="P1130" s="10"/>
      <c r="Q1130" s="10"/>
      <c r="R1130" s="78">
        <v>0.25137000000000004</v>
      </c>
      <c r="S1130" s="10"/>
      <c r="T1130" s="10"/>
      <c r="U1130" s="27"/>
      <c r="V1130" s="22" t="s">
        <v>85</v>
      </c>
      <c r="W1130" s="83" t="s">
        <v>1086</v>
      </c>
      <c r="X1130" s="8"/>
      <c r="Y1130" s="56"/>
      <c r="Z1130" s="56"/>
      <c r="AA1130" s="8"/>
      <c r="AB1130" s="8"/>
      <c r="AC1130" s="56"/>
      <c r="AD1130" s="56"/>
    </row>
    <row r="1131" spans="1:30">
      <c r="A1131" s="56">
        <v>1356</v>
      </c>
      <c r="B1131" s="8">
        <v>45278</v>
      </c>
      <c r="C1131" s="56"/>
      <c r="D1131" s="189" t="s">
        <v>42</v>
      </c>
      <c r="E1131" s="8">
        <v>45298</v>
      </c>
      <c r="F1131" s="60" t="s">
        <v>43</v>
      </c>
      <c r="G1131" s="40" t="s">
        <v>60</v>
      </c>
      <c r="H1131" s="56" t="s">
        <v>45</v>
      </c>
      <c r="I1131" s="23" t="s">
        <v>837</v>
      </c>
      <c r="J1131" s="27">
        <v>0.43069999999999997</v>
      </c>
      <c r="K1131" s="56"/>
      <c r="L1131" s="10">
        <f t="shared" si="112"/>
        <v>0.43069999999999997</v>
      </c>
      <c r="M1131" s="10">
        <f t="shared" si="113"/>
        <v>0.43069999999999997</v>
      </c>
      <c r="N1131" s="10"/>
      <c r="O1131" s="10"/>
      <c r="P1131" s="10"/>
      <c r="Q1131" s="10"/>
      <c r="R1131" s="27">
        <v>0.43069999999999997</v>
      </c>
      <c r="S1131" s="10"/>
      <c r="T1131" s="10"/>
      <c r="U1131" s="27"/>
      <c r="V1131" s="22" t="s">
        <v>85</v>
      </c>
      <c r="W1131" s="56"/>
      <c r="X1131" s="8"/>
      <c r="Y1131" s="56"/>
      <c r="Z1131" s="56"/>
      <c r="AA1131" s="8"/>
      <c r="AB1131" s="8"/>
      <c r="AC1131" s="56"/>
      <c r="AD1131" s="56"/>
    </row>
    <row r="1132" spans="1:30">
      <c r="A1132" s="56">
        <v>1357</v>
      </c>
      <c r="B1132" s="8">
        <v>45278</v>
      </c>
      <c r="C1132" s="56"/>
      <c r="D1132" s="189" t="s">
        <v>42</v>
      </c>
      <c r="E1132" s="8">
        <v>45306</v>
      </c>
      <c r="F1132" s="60" t="s">
        <v>43</v>
      </c>
      <c r="G1132" s="25" t="s">
        <v>93</v>
      </c>
      <c r="H1132" s="56" t="s">
        <v>45</v>
      </c>
      <c r="I1132" s="23" t="s">
        <v>407</v>
      </c>
      <c r="J1132" s="27">
        <v>1.2755749999999999</v>
      </c>
      <c r="K1132" s="56"/>
      <c r="L1132" s="10">
        <f t="shared" ref="L1132:L1154" si="114">M1132+U1132</f>
        <v>1.2755749999999999</v>
      </c>
      <c r="M1132" s="10">
        <f t="shared" ref="M1132:M1154" si="115">SUM(N1132:T1132)</f>
        <v>1.2755749999999999</v>
      </c>
      <c r="N1132" s="10"/>
      <c r="O1132" s="27"/>
      <c r="P1132" s="27">
        <v>1.2755749999999999</v>
      </c>
      <c r="Q1132" s="10"/>
      <c r="R1132" s="10"/>
      <c r="S1132" s="10"/>
      <c r="T1132" s="27"/>
      <c r="U1132" s="27"/>
      <c r="V1132" s="22" t="s">
        <v>189</v>
      </c>
      <c r="W1132" s="56"/>
      <c r="X1132" s="8">
        <v>45282</v>
      </c>
      <c r="Y1132" s="56"/>
      <c r="Z1132" s="56"/>
      <c r="AA1132" s="8"/>
      <c r="AB1132" s="8"/>
      <c r="AC1132" s="56"/>
      <c r="AD1132" s="56"/>
    </row>
    <row r="1133" spans="1:30">
      <c r="A1133" s="56">
        <v>1357</v>
      </c>
      <c r="B1133" s="8">
        <v>45278</v>
      </c>
      <c r="C1133" s="56"/>
      <c r="D1133" s="189" t="s">
        <v>42</v>
      </c>
      <c r="E1133" s="8">
        <v>45306</v>
      </c>
      <c r="F1133" s="60" t="s">
        <v>43</v>
      </c>
      <c r="G1133" s="25" t="s">
        <v>93</v>
      </c>
      <c r="H1133" s="56" t="s">
        <v>45</v>
      </c>
      <c r="I1133" s="23" t="s">
        <v>408</v>
      </c>
      <c r="J1133" s="27">
        <v>8.0872440000000001</v>
      </c>
      <c r="K1133" s="56"/>
      <c r="L1133" s="10">
        <f t="shared" si="114"/>
        <v>8.0872440000000001</v>
      </c>
      <c r="M1133" s="10">
        <f t="shared" si="115"/>
        <v>2.5702439999999998</v>
      </c>
      <c r="N1133" s="10"/>
      <c r="O1133" s="10"/>
      <c r="P1133" s="10"/>
      <c r="Q1133" s="10"/>
      <c r="R1133" s="78">
        <f>8.087244-5.517</f>
        <v>2.5702439999999998</v>
      </c>
      <c r="S1133" s="10"/>
      <c r="T1133" s="10"/>
      <c r="U1133" s="27">
        <v>5.5170000000000003</v>
      </c>
      <c r="V1133" s="22" t="s">
        <v>189</v>
      </c>
      <c r="W1133" s="56"/>
      <c r="X1133" s="8">
        <v>45282</v>
      </c>
      <c r="Y1133" s="56"/>
      <c r="Z1133" s="56"/>
      <c r="AA1133" s="8"/>
      <c r="AB1133" s="8"/>
      <c r="AC1133" s="56"/>
      <c r="AD1133" s="56"/>
    </row>
    <row r="1134" spans="1:30">
      <c r="A1134" s="56">
        <v>1357</v>
      </c>
      <c r="B1134" s="8">
        <v>45278</v>
      </c>
      <c r="C1134" s="56"/>
      <c r="D1134" s="189" t="s">
        <v>42</v>
      </c>
      <c r="E1134" s="8">
        <v>45306</v>
      </c>
      <c r="F1134" s="60" t="s">
        <v>43</v>
      </c>
      <c r="G1134" s="25" t="s">
        <v>93</v>
      </c>
      <c r="H1134" s="56" t="s">
        <v>45</v>
      </c>
      <c r="I1134" s="23" t="s">
        <v>409</v>
      </c>
      <c r="J1134" s="27">
        <v>3.9624399999999995</v>
      </c>
      <c r="K1134" s="56"/>
      <c r="L1134" s="10">
        <f t="shared" si="114"/>
        <v>3.9624399999999995</v>
      </c>
      <c r="M1134" s="10">
        <f t="shared" si="115"/>
        <v>3.9624399999999995</v>
      </c>
      <c r="N1134" s="10"/>
      <c r="O1134" s="27"/>
      <c r="P1134" s="27">
        <v>3.9624399999999995</v>
      </c>
      <c r="Q1134" s="10"/>
      <c r="R1134" s="10"/>
      <c r="S1134" s="10"/>
      <c r="T1134" s="27"/>
      <c r="U1134" s="27"/>
      <c r="V1134" s="22" t="s">
        <v>189</v>
      </c>
      <c r="W1134" s="56"/>
      <c r="X1134" s="8">
        <v>45282</v>
      </c>
      <c r="Y1134" s="56"/>
      <c r="Z1134" s="56"/>
      <c r="AA1134" s="8"/>
      <c r="AB1134" s="8"/>
      <c r="AC1134" s="56"/>
      <c r="AD1134" s="56"/>
    </row>
    <row r="1135" spans="1:30">
      <c r="A1135" s="56">
        <v>1357</v>
      </c>
      <c r="B1135" s="8">
        <v>45278</v>
      </c>
      <c r="C1135" s="56"/>
      <c r="D1135" s="189" t="s">
        <v>42</v>
      </c>
      <c r="E1135" s="8">
        <v>45306</v>
      </c>
      <c r="F1135" s="60" t="s">
        <v>43</v>
      </c>
      <c r="G1135" s="25" t="s">
        <v>93</v>
      </c>
      <c r="H1135" s="56" t="s">
        <v>45</v>
      </c>
      <c r="I1135" s="23" t="s">
        <v>47</v>
      </c>
      <c r="J1135" s="27">
        <v>4.9797799999999999</v>
      </c>
      <c r="K1135" s="56"/>
      <c r="L1135" s="10">
        <f t="shared" si="114"/>
        <v>4.9797799999999999</v>
      </c>
      <c r="M1135" s="10">
        <f t="shared" si="115"/>
        <v>4.9797799999999999</v>
      </c>
      <c r="N1135" s="10"/>
      <c r="O1135" s="10"/>
      <c r="P1135" s="10"/>
      <c r="Q1135" s="10"/>
      <c r="R1135" s="78">
        <v>4.9797799999999999</v>
      </c>
      <c r="S1135" s="10"/>
      <c r="T1135" s="10"/>
      <c r="U1135" s="27"/>
      <c r="V1135" s="22" t="s">
        <v>189</v>
      </c>
      <c r="W1135" s="56"/>
      <c r="X1135" s="8">
        <v>45282</v>
      </c>
      <c r="Y1135" s="56"/>
      <c r="Z1135" s="56"/>
      <c r="AA1135" s="8"/>
      <c r="AB1135" s="8"/>
      <c r="AC1135" s="56"/>
      <c r="AD1135" s="56"/>
    </row>
    <row r="1136" spans="1:30">
      <c r="A1136" s="56">
        <v>1357</v>
      </c>
      <c r="B1136" s="8">
        <v>45278</v>
      </c>
      <c r="C1136" s="56"/>
      <c r="D1136" s="189" t="s">
        <v>42</v>
      </c>
      <c r="E1136" s="8">
        <v>45306</v>
      </c>
      <c r="F1136" s="60" t="s">
        <v>43</v>
      </c>
      <c r="G1136" s="25" t="s">
        <v>93</v>
      </c>
      <c r="H1136" s="56" t="s">
        <v>45</v>
      </c>
      <c r="I1136" s="23" t="s">
        <v>403</v>
      </c>
      <c r="J1136" s="26">
        <v>3.0133559999999999</v>
      </c>
      <c r="K1136" s="56"/>
      <c r="L1136" s="10">
        <f t="shared" si="114"/>
        <v>3.0133559999999999</v>
      </c>
      <c r="M1136" s="10">
        <f t="shared" si="115"/>
        <v>3.0133559999999999</v>
      </c>
      <c r="N1136" s="10"/>
      <c r="O1136" s="10"/>
      <c r="P1136" s="10"/>
      <c r="Q1136" s="10"/>
      <c r="R1136" s="78">
        <v>3.0133559999999999</v>
      </c>
      <c r="S1136" s="10"/>
      <c r="T1136" s="10"/>
      <c r="U1136" s="26"/>
      <c r="V1136" s="22" t="s">
        <v>189</v>
      </c>
      <c r="W1136" s="83" t="s">
        <v>1086</v>
      </c>
      <c r="X1136" s="8"/>
      <c r="Y1136" s="56"/>
      <c r="Z1136" s="56"/>
      <c r="AA1136" s="8"/>
      <c r="AB1136" s="8"/>
      <c r="AC1136" s="56"/>
      <c r="AD1136" s="56"/>
    </row>
    <row r="1137" spans="1:30">
      <c r="A1137" s="56">
        <v>1357</v>
      </c>
      <c r="B1137" s="8">
        <v>45278</v>
      </c>
      <c r="C1137" s="56"/>
      <c r="D1137" s="189" t="s">
        <v>42</v>
      </c>
      <c r="E1137" s="8">
        <v>45306</v>
      </c>
      <c r="F1137" s="60" t="s">
        <v>43</v>
      </c>
      <c r="G1137" s="25" t="s">
        <v>93</v>
      </c>
      <c r="H1137" s="56" t="s">
        <v>45</v>
      </c>
      <c r="I1137" s="23" t="s">
        <v>46</v>
      </c>
      <c r="J1137" s="26">
        <v>4.3666560000000008</v>
      </c>
      <c r="K1137" s="56"/>
      <c r="L1137" s="10">
        <f t="shared" si="114"/>
        <v>4.367</v>
      </c>
      <c r="M1137" s="10">
        <f t="shared" si="115"/>
        <v>4.367</v>
      </c>
      <c r="N1137" s="10"/>
      <c r="O1137" s="10"/>
      <c r="P1137" s="10">
        <f>1.114+3.253</f>
        <v>4.367</v>
      </c>
      <c r="Q1137" s="10"/>
      <c r="R1137" s="10"/>
      <c r="S1137" s="10"/>
      <c r="T1137" s="26"/>
      <c r="U1137" s="26"/>
      <c r="V1137" s="22" t="s">
        <v>189</v>
      </c>
      <c r="W1137" s="56"/>
      <c r="X1137" s="8">
        <v>45284</v>
      </c>
      <c r="Y1137" s="56"/>
      <c r="Z1137" s="56"/>
      <c r="AA1137" s="8"/>
      <c r="AB1137" s="8"/>
      <c r="AC1137" s="56"/>
      <c r="AD1137" s="56"/>
    </row>
    <row r="1138" spans="1:30">
      <c r="A1138" s="56">
        <v>1357</v>
      </c>
      <c r="B1138" s="8">
        <v>45278</v>
      </c>
      <c r="C1138" s="56"/>
      <c r="D1138" s="189" t="s">
        <v>42</v>
      </c>
      <c r="E1138" s="8">
        <v>45306</v>
      </c>
      <c r="F1138" s="60" t="s">
        <v>43</v>
      </c>
      <c r="G1138" s="25" t="s">
        <v>93</v>
      </c>
      <c r="H1138" s="56" t="s">
        <v>45</v>
      </c>
      <c r="I1138" s="23" t="s">
        <v>54</v>
      </c>
      <c r="J1138" s="26">
        <v>5.4634</v>
      </c>
      <c r="K1138" s="56"/>
      <c r="L1138" s="10">
        <f t="shared" si="114"/>
        <v>5.4634</v>
      </c>
      <c r="M1138" s="10">
        <f t="shared" si="115"/>
        <v>0</v>
      </c>
      <c r="N1138" s="10"/>
      <c r="O1138" s="10"/>
      <c r="P1138" s="10"/>
      <c r="Q1138" s="10"/>
      <c r="R1138" s="10"/>
      <c r="S1138" s="10"/>
      <c r="T1138" s="10"/>
      <c r="U1138" s="26">
        <v>5.4634</v>
      </c>
      <c r="V1138" s="22" t="s">
        <v>189</v>
      </c>
      <c r="W1138" s="56"/>
      <c r="X1138" s="8"/>
      <c r="Y1138" s="56"/>
      <c r="Z1138" s="56"/>
      <c r="AA1138" s="8"/>
      <c r="AB1138" s="8"/>
      <c r="AC1138" s="56"/>
      <c r="AD1138" s="56"/>
    </row>
    <row r="1139" spans="1:30">
      <c r="A1139" s="56">
        <v>1357</v>
      </c>
      <c r="B1139" s="8">
        <v>45278</v>
      </c>
      <c r="C1139" s="56"/>
      <c r="D1139" s="189" t="s">
        <v>42</v>
      </c>
      <c r="E1139" s="8">
        <v>45306</v>
      </c>
      <c r="F1139" s="60" t="s">
        <v>43</v>
      </c>
      <c r="G1139" s="25" t="s">
        <v>93</v>
      </c>
      <c r="H1139" s="56" t="s">
        <v>45</v>
      </c>
      <c r="I1139" s="23" t="s">
        <v>56</v>
      </c>
      <c r="J1139" s="26">
        <v>6.6032419999999998</v>
      </c>
      <c r="K1139" s="56"/>
      <c r="L1139" s="10">
        <f t="shared" si="114"/>
        <v>6.6032419999999998</v>
      </c>
      <c r="M1139" s="10">
        <f t="shared" si="115"/>
        <v>0</v>
      </c>
      <c r="N1139" s="10"/>
      <c r="O1139" s="10"/>
      <c r="P1139" s="10"/>
      <c r="Q1139" s="10"/>
      <c r="R1139" s="10"/>
      <c r="S1139" s="10"/>
      <c r="T1139" s="10"/>
      <c r="U1139" s="26">
        <v>6.6032419999999998</v>
      </c>
      <c r="V1139" s="22" t="s">
        <v>189</v>
      </c>
      <c r="W1139" s="56"/>
      <c r="X1139" s="8"/>
      <c r="Y1139" s="56"/>
      <c r="Z1139" s="56"/>
      <c r="AA1139" s="8"/>
      <c r="AB1139" s="8"/>
      <c r="AC1139" s="56"/>
      <c r="AD1139" s="56"/>
    </row>
    <row r="1140" spans="1:30">
      <c r="A1140" s="56">
        <v>1357</v>
      </c>
      <c r="B1140" s="8">
        <v>45278</v>
      </c>
      <c r="C1140" s="56"/>
      <c r="D1140" s="189" t="s">
        <v>42</v>
      </c>
      <c r="E1140" s="8">
        <v>45306</v>
      </c>
      <c r="F1140" s="60" t="s">
        <v>43</v>
      </c>
      <c r="G1140" s="25" t="s">
        <v>93</v>
      </c>
      <c r="H1140" s="56" t="s">
        <v>45</v>
      </c>
      <c r="I1140" s="23" t="s">
        <v>48</v>
      </c>
      <c r="J1140" s="26">
        <v>8.3344300000000011</v>
      </c>
      <c r="K1140" s="56"/>
      <c r="L1140" s="10">
        <f t="shared" si="114"/>
        <v>8.3344300000000011</v>
      </c>
      <c r="M1140" s="10">
        <f t="shared" si="115"/>
        <v>0</v>
      </c>
      <c r="N1140" s="10"/>
      <c r="O1140" s="10"/>
      <c r="P1140" s="10"/>
      <c r="Q1140" s="10"/>
      <c r="R1140" s="10"/>
      <c r="S1140" s="10"/>
      <c r="T1140" s="10"/>
      <c r="U1140" s="26">
        <v>8.3344300000000011</v>
      </c>
      <c r="V1140" s="22" t="s">
        <v>189</v>
      </c>
      <c r="W1140" s="56"/>
      <c r="X1140" s="8"/>
      <c r="Y1140" s="56"/>
      <c r="Z1140" s="56"/>
      <c r="AA1140" s="8"/>
      <c r="AB1140" s="8"/>
      <c r="AC1140" s="56"/>
      <c r="AD1140" s="56"/>
    </row>
    <row r="1141" spans="1:30">
      <c r="A1141" s="56">
        <v>1357</v>
      </c>
      <c r="B1141" s="8">
        <v>45278</v>
      </c>
      <c r="C1141" s="56"/>
      <c r="D1141" s="189" t="s">
        <v>42</v>
      </c>
      <c r="E1141" s="8">
        <v>45306</v>
      </c>
      <c r="F1141" s="60" t="s">
        <v>43</v>
      </c>
      <c r="G1141" s="25" t="s">
        <v>93</v>
      </c>
      <c r="H1141" s="56" t="s">
        <v>45</v>
      </c>
      <c r="I1141" s="23" t="s">
        <v>49</v>
      </c>
      <c r="J1141" s="26">
        <v>13.003900000000002</v>
      </c>
      <c r="K1141" s="56"/>
      <c r="L1141" s="10">
        <f t="shared" si="114"/>
        <v>13.003900000000002</v>
      </c>
      <c r="M1141" s="10">
        <f t="shared" si="115"/>
        <v>0</v>
      </c>
      <c r="N1141" s="10"/>
      <c r="O1141" s="10"/>
      <c r="P1141" s="10"/>
      <c r="Q1141" s="10"/>
      <c r="R1141" s="10"/>
      <c r="S1141" s="10"/>
      <c r="T1141" s="10"/>
      <c r="U1141" s="26">
        <v>13.003900000000002</v>
      </c>
      <c r="V1141" s="22" t="s">
        <v>189</v>
      </c>
      <c r="W1141" s="56"/>
      <c r="X1141" s="8"/>
      <c r="Y1141" s="56"/>
      <c r="Z1141" s="56"/>
      <c r="AA1141" s="8"/>
      <c r="AB1141" s="8"/>
      <c r="AC1141" s="56"/>
      <c r="AD1141" s="56"/>
    </row>
    <row r="1142" spans="1:30">
      <c r="A1142" s="56">
        <v>1357</v>
      </c>
      <c r="B1142" s="8">
        <v>45278</v>
      </c>
      <c r="C1142" s="56"/>
      <c r="D1142" s="189" t="s">
        <v>42</v>
      </c>
      <c r="E1142" s="8">
        <v>45306</v>
      </c>
      <c r="F1142" s="60" t="s">
        <v>43</v>
      </c>
      <c r="G1142" s="25" t="s">
        <v>93</v>
      </c>
      <c r="H1142" s="56" t="s">
        <v>45</v>
      </c>
      <c r="I1142" s="23" t="s">
        <v>50</v>
      </c>
      <c r="J1142" s="26">
        <v>1.6769400000000001</v>
      </c>
      <c r="K1142" s="56"/>
      <c r="L1142" s="10">
        <f t="shared" si="114"/>
        <v>1.6769400000000001</v>
      </c>
      <c r="M1142" s="10">
        <f t="shared" si="115"/>
        <v>0</v>
      </c>
      <c r="N1142" s="10"/>
      <c r="O1142" s="10"/>
      <c r="P1142" s="10"/>
      <c r="Q1142" s="10"/>
      <c r="R1142" s="10"/>
      <c r="S1142" s="10"/>
      <c r="T1142" s="10"/>
      <c r="U1142" s="26">
        <v>1.6769400000000001</v>
      </c>
      <c r="V1142" s="22" t="s">
        <v>189</v>
      </c>
      <c r="W1142" s="56"/>
      <c r="X1142" s="8"/>
      <c r="Y1142" s="56"/>
      <c r="Z1142" s="56"/>
      <c r="AA1142" s="8"/>
      <c r="AB1142" s="8"/>
      <c r="AC1142" s="56"/>
      <c r="AD1142" s="56"/>
    </row>
    <row r="1143" spans="1:30">
      <c r="A1143" s="56">
        <v>1357</v>
      </c>
      <c r="B1143" s="8">
        <v>45278</v>
      </c>
      <c r="C1143" s="56"/>
      <c r="D1143" s="189" t="s">
        <v>42</v>
      </c>
      <c r="E1143" s="8">
        <v>45306</v>
      </c>
      <c r="F1143" s="60" t="s">
        <v>43</v>
      </c>
      <c r="G1143" s="25" t="s">
        <v>93</v>
      </c>
      <c r="H1143" s="56" t="s">
        <v>45</v>
      </c>
      <c r="I1143" s="23" t="s">
        <v>579</v>
      </c>
      <c r="J1143" s="26">
        <v>2.3283899999999997</v>
      </c>
      <c r="K1143" s="56"/>
      <c r="L1143" s="10">
        <f t="shared" si="114"/>
        <v>2.3283899999999997</v>
      </c>
      <c r="M1143" s="10">
        <f t="shared" si="115"/>
        <v>0</v>
      </c>
      <c r="N1143" s="10"/>
      <c r="O1143" s="10"/>
      <c r="P1143" s="10"/>
      <c r="Q1143" s="10"/>
      <c r="R1143" s="10"/>
      <c r="S1143" s="10"/>
      <c r="T1143" s="10"/>
      <c r="U1143" s="26">
        <v>2.3283899999999997</v>
      </c>
      <c r="V1143" s="22" t="s">
        <v>189</v>
      </c>
      <c r="W1143" s="56"/>
      <c r="X1143" s="8"/>
      <c r="Y1143" s="56"/>
      <c r="Z1143" s="56"/>
      <c r="AA1143" s="8"/>
      <c r="AB1143" s="8"/>
      <c r="AC1143" s="56"/>
      <c r="AD1143" s="56"/>
    </row>
    <row r="1144" spans="1:30">
      <c r="A1144" s="56">
        <v>1357</v>
      </c>
      <c r="B1144" s="8">
        <v>45278</v>
      </c>
      <c r="C1144" s="56"/>
      <c r="D1144" s="189" t="s">
        <v>42</v>
      </c>
      <c r="E1144" s="8">
        <v>45306</v>
      </c>
      <c r="F1144" s="60" t="s">
        <v>43</v>
      </c>
      <c r="G1144" s="25" t="s">
        <v>93</v>
      </c>
      <c r="H1144" s="56" t="s">
        <v>45</v>
      </c>
      <c r="I1144" s="23" t="s">
        <v>448</v>
      </c>
      <c r="J1144" s="26">
        <v>14.74694</v>
      </c>
      <c r="K1144" s="56"/>
      <c r="L1144" s="10">
        <f t="shared" si="114"/>
        <v>14.74694</v>
      </c>
      <c r="M1144" s="10">
        <f t="shared" si="115"/>
        <v>0</v>
      </c>
      <c r="N1144" s="10"/>
      <c r="O1144" s="10"/>
      <c r="P1144" s="10"/>
      <c r="Q1144" s="10"/>
      <c r="R1144" s="10"/>
      <c r="S1144" s="10"/>
      <c r="T1144" s="10"/>
      <c r="U1144" s="26">
        <v>14.74694</v>
      </c>
      <c r="V1144" s="22" t="s">
        <v>189</v>
      </c>
      <c r="W1144" s="56"/>
      <c r="X1144" s="8"/>
      <c r="Y1144" s="56"/>
      <c r="Z1144" s="56"/>
      <c r="AA1144" s="8"/>
      <c r="AB1144" s="8"/>
      <c r="AC1144" s="56"/>
      <c r="AD1144" s="56"/>
    </row>
    <row r="1145" spans="1:30">
      <c r="A1145" s="56">
        <v>1357</v>
      </c>
      <c r="B1145" s="8">
        <v>45278</v>
      </c>
      <c r="C1145" s="56"/>
      <c r="D1145" s="189" t="s">
        <v>42</v>
      </c>
      <c r="E1145" s="8">
        <v>45306</v>
      </c>
      <c r="F1145" s="60" t="s">
        <v>43</v>
      </c>
      <c r="G1145" s="25" t="s">
        <v>93</v>
      </c>
      <c r="H1145" s="56" t="s">
        <v>45</v>
      </c>
      <c r="I1145" s="23" t="s">
        <v>447</v>
      </c>
      <c r="J1145" s="26">
        <v>2.8041999999999998</v>
      </c>
      <c r="K1145" s="56"/>
      <c r="L1145" s="10">
        <f t="shared" si="114"/>
        <v>2.8041999999999998</v>
      </c>
      <c r="M1145" s="10">
        <f t="shared" si="115"/>
        <v>2.8041999999999998</v>
      </c>
      <c r="N1145" s="10"/>
      <c r="O1145" s="26">
        <v>2.8041999999999998</v>
      </c>
      <c r="P1145" s="10"/>
      <c r="Q1145" s="10"/>
      <c r="R1145" s="10"/>
      <c r="S1145" s="10"/>
      <c r="T1145" s="26"/>
      <c r="U1145" s="26"/>
      <c r="V1145" s="22" t="s">
        <v>189</v>
      </c>
      <c r="W1145" s="56"/>
      <c r="X1145" s="8"/>
      <c r="Y1145" s="56"/>
      <c r="Z1145" s="56"/>
      <c r="AA1145" s="8"/>
      <c r="AB1145" s="8"/>
      <c r="AC1145" s="56"/>
      <c r="AD1145" s="56"/>
    </row>
    <row r="1146" spans="1:30">
      <c r="A1146" s="56">
        <v>1357</v>
      </c>
      <c r="B1146" s="8">
        <v>45278</v>
      </c>
      <c r="C1146" s="56"/>
      <c r="D1146" s="189" t="s">
        <v>42</v>
      </c>
      <c r="E1146" s="8">
        <v>45306</v>
      </c>
      <c r="F1146" s="60" t="s">
        <v>43</v>
      </c>
      <c r="G1146" s="25" t="s">
        <v>93</v>
      </c>
      <c r="H1146" s="56" t="s">
        <v>45</v>
      </c>
      <c r="I1146" s="23" t="s">
        <v>95</v>
      </c>
      <c r="J1146" s="26">
        <v>4.9065689999999993</v>
      </c>
      <c r="K1146" s="56"/>
      <c r="L1146" s="10">
        <f t="shared" si="114"/>
        <v>4.9065690000000002</v>
      </c>
      <c r="M1146" s="10">
        <f t="shared" si="115"/>
        <v>4.9065690000000002</v>
      </c>
      <c r="N1146" s="10"/>
      <c r="O1146" s="26"/>
      <c r="P1146" s="26">
        <f>4.906569-0.142</f>
        <v>4.7645689999999998</v>
      </c>
      <c r="Q1146" s="10"/>
      <c r="R1146" s="10">
        <v>0.14199999999999999</v>
      </c>
      <c r="S1146" s="10"/>
      <c r="T1146" s="26"/>
      <c r="U1146" s="26"/>
      <c r="V1146" s="22" t="s">
        <v>189</v>
      </c>
      <c r="W1146" s="56"/>
      <c r="X1146" s="8">
        <v>45293</v>
      </c>
      <c r="Y1146" s="56"/>
      <c r="Z1146" s="56"/>
      <c r="AA1146" s="8"/>
      <c r="AB1146" s="8"/>
      <c r="AC1146" s="56"/>
      <c r="AD1146" s="56"/>
    </row>
    <row r="1147" spans="1:30">
      <c r="A1147" s="56">
        <v>1357</v>
      </c>
      <c r="B1147" s="8">
        <v>45278</v>
      </c>
      <c r="C1147" s="56"/>
      <c r="D1147" s="189" t="s">
        <v>42</v>
      </c>
      <c r="E1147" s="8">
        <v>45306</v>
      </c>
      <c r="F1147" s="60" t="s">
        <v>43</v>
      </c>
      <c r="G1147" s="25" t="s">
        <v>93</v>
      </c>
      <c r="H1147" s="56" t="s">
        <v>45</v>
      </c>
      <c r="I1147" s="23" t="s">
        <v>1426</v>
      </c>
      <c r="J1147" s="26">
        <v>5.1665239999999999</v>
      </c>
      <c r="K1147" s="56"/>
      <c r="L1147" s="10">
        <f t="shared" si="114"/>
        <v>5.1665239999999999</v>
      </c>
      <c r="M1147" s="10">
        <f t="shared" si="115"/>
        <v>5.1665239999999999</v>
      </c>
      <c r="N1147" s="10"/>
      <c r="O1147" s="26"/>
      <c r="P1147" s="26">
        <v>5.1665239999999999</v>
      </c>
      <c r="Q1147" s="10"/>
      <c r="R1147" s="10"/>
      <c r="S1147" s="10"/>
      <c r="T1147" s="26"/>
      <c r="U1147" s="26"/>
      <c r="V1147" s="22" t="s">
        <v>189</v>
      </c>
      <c r="W1147" s="56"/>
      <c r="X1147" s="8">
        <v>45293</v>
      </c>
      <c r="Y1147" s="56"/>
      <c r="Z1147" s="56"/>
      <c r="AA1147" s="8"/>
      <c r="AB1147" s="8"/>
      <c r="AC1147" s="56"/>
      <c r="AD1147" s="56"/>
    </row>
    <row r="1148" spans="1:30">
      <c r="A1148" s="56">
        <v>1357</v>
      </c>
      <c r="B1148" s="8">
        <v>45278</v>
      </c>
      <c r="C1148" s="56"/>
      <c r="D1148" s="189" t="s">
        <v>42</v>
      </c>
      <c r="E1148" s="8">
        <v>45306</v>
      </c>
      <c r="F1148" s="60" t="s">
        <v>43</v>
      </c>
      <c r="G1148" s="25" t="s">
        <v>93</v>
      </c>
      <c r="H1148" s="56" t="s">
        <v>45</v>
      </c>
      <c r="I1148" s="23" t="s">
        <v>472</v>
      </c>
      <c r="J1148" s="26">
        <v>4.4392319999999996</v>
      </c>
      <c r="K1148" s="56"/>
      <c r="L1148" s="10">
        <f t="shared" si="114"/>
        <v>4.4392319999999996</v>
      </c>
      <c r="M1148" s="10">
        <f t="shared" si="115"/>
        <v>0</v>
      </c>
      <c r="N1148" s="10"/>
      <c r="O1148" s="10"/>
      <c r="P1148" s="10"/>
      <c r="Q1148" s="10"/>
      <c r="R1148" s="10"/>
      <c r="S1148" s="10"/>
      <c r="T1148" s="10"/>
      <c r="U1148" s="26">
        <v>4.4392319999999996</v>
      </c>
      <c r="V1148" s="22" t="s">
        <v>189</v>
      </c>
      <c r="W1148" s="56"/>
      <c r="X1148" s="8"/>
      <c r="Y1148" s="56"/>
      <c r="Z1148" s="56"/>
      <c r="AA1148" s="8"/>
      <c r="AB1148" s="8"/>
      <c r="AC1148" s="56"/>
      <c r="AD1148" s="56"/>
    </row>
    <row r="1149" spans="1:30">
      <c r="A1149" s="56">
        <v>1357</v>
      </c>
      <c r="B1149" s="8">
        <v>45278</v>
      </c>
      <c r="C1149" s="56"/>
      <c r="D1149" s="189" t="s">
        <v>42</v>
      </c>
      <c r="E1149" s="8">
        <v>45306</v>
      </c>
      <c r="F1149" s="60" t="s">
        <v>43</v>
      </c>
      <c r="G1149" s="25" t="s">
        <v>93</v>
      </c>
      <c r="H1149" s="56" t="s">
        <v>45</v>
      </c>
      <c r="I1149" s="23" t="s">
        <v>473</v>
      </c>
      <c r="J1149" s="26">
        <v>5.7814000000000005</v>
      </c>
      <c r="K1149" s="56"/>
      <c r="L1149" s="10">
        <f t="shared" si="114"/>
        <v>5.7814000000000005</v>
      </c>
      <c r="M1149" s="10">
        <f t="shared" si="115"/>
        <v>0</v>
      </c>
      <c r="N1149" s="10"/>
      <c r="O1149" s="10"/>
      <c r="P1149" s="10"/>
      <c r="Q1149" s="10"/>
      <c r="R1149" s="10"/>
      <c r="S1149" s="10"/>
      <c r="T1149" s="10"/>
      <c r="U1149" s="26">
        <v>5.7814000000000005</v>
      </c>
      <c r="V1149" s="22" t="s">
        <v>189</v>
      </c>
      <c r="W1149" s="56"/>
      <c r="X1149" s="8"/>
      <c r="Y1149" s="56"/>
      <c r="Z1149" s="56"/>
      <c r="AA1149" s="8"/>
      <c r="AB1149" s="8"/>
      <c r="AC1149" s="56"/>
      <c r="AD1149" s="56"/>
    </row>
    <row r="1150" spans="1:30">
      <c r="A1150" s="56">
        <v>1357</v>
      </c>
      <c r="B1150" s="8">
        <v>45278</v>
      </c>
      <c r="C1150" s="56"/>
      <c r="D1150" s="189" t="s">
        <v>42</v>
      </c>
      <c r="E1150" s="8">
        <v>45306</v>
      </c>
      <c r="F1150" s="60" t="s">
        <v>43</v>
      </c>
      <c r="G1150" s="25" t="s">
        <v>93</v>
      </c>
      <c r="H1150" s="56" t="s">
        <v>45</v>
      </c>
      <c r="I1150" s="23" t="s">
        <v>235</v>
      </c>
      <c r="J1150" s="26">
        <v>9.7130219999999987</v>
      </c>
      <c r="K1150" s="56"/>
      <c r="L1150" s="10">
        <f t="shared" si="114"/>
        <v>9.7130219999999987</v>
      </c>
      <c r="M1150" s="10">
        <f t="shared" si="115"/>
        <v>0</v>
      </c>
      <c r="N1150" s="10"/>
      <c r="O1150" s="10"/>
      <c r="P1150" s="10"/>
      <c r="Q1150" s="10"/>
      <c r="R1150" s="10"/>
      <c r="S1150" s="10"/>
      <c r="T1150" s="10"/>
      <c r="U1150" s="26">
        <v>9.7130219999999987</v>
      </c>
      <c r="V1150" s="22" t="s">
        <v>189</v>
      </c>
      <c r="W1150" s="56"/>
      <c r="X1150" s="8"/>
      <c r="Y1150" s="56"/>
      <c r="Z1150" s="56"/>
      <c r="AA1150" s="8"/>
      <c r="AB1150" s="8"/>
      <c r="AC1150" s="56"/>
      <c r="AD1150" s="56"/>
    </row>
    <row r="1151" spans="1:30">
      <c r="A1151" s="56">
        <v>1357</v>
      </c>
      <c r="B1151" s="8">
        <v>45278</v>
      </c>
      <c r="C1151" s="56"/>
      <c r="D1151" s="189" t="s">
        <v>42</v>
      </c>
      <c r="E1151" s="8">
        <v>45306</v>
      </c>
      <c r="F1151" s="60" t="s">
        <v>43</v>
      </c>
      <c r="G1151" s="25" t="s">
        <v>93</v>
      </c>
      <c r="H1151" s="56" t="s">
        <v>45</v>
      </c>
      <c r="I1151" s="23" t="s">
        <v>100</v>
      </c>
      <c r="J1151" s="26">
        <v>18.394045000000002</v>
      </c>
      <c r="K1151" s="56"/>
      <c r="L1151" s="10">
        <f t="shared" si="114"/>
        <v>18.394045000000002</v>
      </c>
      <c r="M1151" s="10">
        <f t="shared" si="115"/>
        <v>0</v>
      </c>
      <c r="N1151" s="10"/>
      <c r="O1151" s="10"/>
      <c r="P1151" s="10"/>
      <c r="Q1151" s="10"/>
      <c r="R1151" s="10"/>
      <c r="S1151" s="10"/>
      <c r="T1151" s="10"/>
      <c r="U1151" s="26">
        <v>18.394045000000002</v>
      </c>
      <c r="V1151" s="22" t="s">
        <v>189</v>
      </c>
      <c r="W1151" s="56"/>
      <c r="X1151" s="8"/>
      <c r="Y1151" s="56"/>
      <c r="Z1151" s="56"/>
      <c r="AA1151" s="8"/>
      <c r="AB1151" s="8"/>
      <c r="AC1151" s="56"/>
      <c r="AD1151" s="56"/>
    </row>
    <row r="1152" spans="1:30">
      <c r="A1152" s="56">
        <v>1357</v>
      </c>
      <c r="B1152" s="8">
        <v>45278</v>
      </c>
      <c r="C1152" s="56"/>
      <c r="D1152" s="189" t="s">
        <v>42</v>
      </c>
      <c r="E1152" s="8">
        <v>45306</v>
      </c>
      <c r="F1152" s="60" t="s">
        <v>43</v>
      </c>
      <c r="G1152" s="25" t="s">
        <v>93</v>
      </c>
      <c r="H1152" s="56" t="s">
        <v>45</v>
      </c>
      <c r="I1152" s="23" t="s">
        <v>96</v>
      </c>
      <c r="J1152" s="26">
        <v>1.256988</v>
      </c>
      <c r="K1152" s="56"/>
      <c r="L1152" s="10">
        <f t="shared" si="114"/>
        <v>1.256988</v>
      </c>
      <c r="M1152" s="10">
        <f t="shared" si="115"/>
        <v>0</v>
      </c>
      <c r="N1152" s="10"/>
      <c r="O1152" s="10"/>
      <c r="P1152" s="10"/>
      <c r="Q1152" s="10"/>
      <c r="R1152" s="10"/>
      <c r="S1152" s="10"/>
      <c r="T1152" s="10"/>
      <c r="U1152" s="26">
        <v>1.256988</v>
      </c>
      <c r="V1152" s="22" t="s">
        <v>189</v>
      </c>
      <c r="W1152" s="56"/>
      <c r="X1152" s="8"/>
      <c r="Y1152" s="56"/>
      <c r="Z1152" s="56"/>
      <c r="AA1152" s="8"/>
      <c r="AB1152" s="8"/>
      <c r="AC1152" s="56"/>
      <c r="AD1152" s="56"/>
    </row>
    <row r="1153" spans="1:30">
      <c r="A1153" s="56">
        <v>1357</v>
      </c>
      <c r="B1153" s="8">
        <v>45278</v>
      </c>
      <c r="C1153" s="56"/>
      <c r="D1153" s="189" t="s">
        <v>42</v>
      </c>
      <c r="E1153" s="8">
        <v>45306</v>
      </c>
      <c r="F1153" s="60" t="s">
        <v>43</v>
      </c>
      <c r="G1153" s="25" t="s">
        <v>93</v>
      </c>
      <c r="H1153" s="56" t="s">
        <v>45</v>
      </c>
      <c r="I1153" s="23" t="s">
        <v>97</v>
      </c>
      <c r="J1153" s="26">
        <v>0.42728000000000005</v>
      </c>
      <c r="K1153" s="56"/>
      <c r="L1153" s="10">
        <f t="shared" si="114"/>
        <v>0.42728000000000005</v>
      </c>
      <c r="M1153" s="10">
        <f t="shared" si="115"/>
        <v>0.42728000000000005</v>
      </c>
      <c r="N1153" s="10"/>
      <c r="O1153" s="10"/>
      <c r="P1153" s="10"/>
      <c r="Q1153" s="10"/>
      <c r="R1153" s="26">
        <v>0.42728000000000005</v>
      </c>
      <c r="S1153" s="10"/>
      <c r="T1153" s="10"/>
      <c r="U1153" s="26"/>
      <c r="V1153" s="22" t="s">
        <v>189</v>
      </c>
      <c r="W1153" s="97" t="s">
        <v>634</v>
      </c>
      <c r="X1153" s="8"/>
      <c r="Y1153" s="56"/>
      <c r="Z1153" s="56"/>
      <c r="AA1153" s="8"/>
      <c r="AB1153" s="8"/>
      <c r="AC1153" s="56"/>
      <c r="AD1153" s="56"/>
    </row>
    <row r="1154" spans="1:30" hidden="1">
      <c r="A1154" s="56">
        <v>1357</v>
      </c>
      <c r="B1154" s="8">
        <v>45278</v>
      </c>
      <c r="C1154" s="56"/>
      <c r="D1154" s="189" t="s">
        <v>42</v>
      </c>
      <c r="E1154" s="8">
        <v>45306</v>
      </c>
      <c r="F1154" s="60" t="s">
        <v>43</v>
      </c>
      <c r="G1154" s="25" t="s">
        <v>190</v>
      </c>
      <c r="H1154" s="56" t="s">
        <v>52</v>
      </c>
      <c r="I1154" s="23" t="s">
        <v>48</v>
      </c>
      <c r="J1154" s="26">
        <v>9.6990000000000007E-2</v>
      </c>
      <c r="K1154" s="56"/>
      <c r="L1154" s="10">
        <f t="shared" si="114"/>
        <v>9.6990000000000007E-2</v>
      </c>
      <c r="M1154" s="10">
        <f t="shared" si="115"/>
        <v>0</v>
      </c>
      <c r="N1154" s="10"/>
      <c r="O1154" s="10"/>
      <c r="P1154" s="10"/>
      <c r="Q1154" s="10"/>
      <c r="R1154" s="10"/>
      <c r="S1154" s="10"/>
      <c r="T1154" s="10"/>
      <c r="U1154" s="26">
        <v>9.6990000000000007E-2</v>
      </c>
      <c r="V1154" s="22" t="s">
        <v>189</v>
      </c>
      <c r="W1154" s="56"/>
      <c r="X1154" s="8"/>
      <c r="Y1154" s="56"/>
      <c r="Z1154" s="56"/>
      <c r="AA1154" s="8"/>
      <c r="AB1154" s="8"/>
      <c r="AC1154" s="56"/>
      <c r="AD1154" s="56"/>
    </row>
    <row r="1155" spans="1:30" s="54" customFormat="1" hidden="1">
      <c r="A1155" s="56">
        <v>1358</v>
      </c>
      <c r="B1155" s="8">
        <v>45278</v>
      </c>
      <c r="C1155" s="56"/>
      <c r="D1155" s="189" t="s">
        <v>42</v>
      </c>
      <c r="E1155" s="8">
        <v>45306</v>
      </c>
      <c r="F1155" s="61" t="s">
        <v>43</v>
      </c>
      <c r="G1155" s="63" t="s">
        <v>1028</v>
      </c>
      <c r="H1155" s="56" t="s">
        <v>45</v>
      </c>
      <c r="I1155" s="62" t="s">
        <v>409</v>
      </c>
      <c r="J1155" s="27">
        <v>32.369760000000007</v>
      </c>
      <c r="K1155" s="56">
        <v>32.411999999999999</v>
      </c>
      <c r="L1155" s="10">
        <f t="shared" ref="L1155:L1183" si="116">M1155+U1155</f>
        <v>0</v>
      </c>
      <c r="M1155" s="10">
        <f t="shared" ref="M1155:M1183" si="117">SUM(N1155:T1155)</f>
        <v>0</v>
      </c>
      <c r="N1155" s="10"/>
      <c r="O1155" s="27"/>
      <c r="P1155" s="27">
        <v>0</v>
      </c>
      <c r="Q1155" s="10"/>
      <c r="R1155" s="10"/>
      <c r="S1155" s="10"/>
      <c r="T1155" s="27"/>
      <c r="U1155" s="27"/>
      <c r="V1155" s="22" t="s">
        <v>411</v>
      </c>
      <c r="W1155" s="56"/>
      <c r="X1155" s="8">
        <v>45282</v>
      </c>
      <c r="Y1155" s="56"/>
      <c r="Z1155" s="56"/>
      <c r="AA1155" s="8">
        <v>45294</v>
      </c>
      <c r="AB1155" s="8">
        <v>45294</v>
      </c>
      <c r="AC1155" s="56"/>
      <c r="AD1155" s="56"/>
    </row>
    <row r="1156" spans="1:30">
      <c r="A1156" s="56">
        <v>1358</v>
      </c>
      <c r="B1156" s="8">
        <v>45278</v>
      </c>
      <c r="C1156" s="56"/>
      <c r="D1156" s="189" t="s">
        <v>42</v>
      </c>
      <c r="E1156" s="8">
        <v>45306</v>
      </c>
      <c r="F1156" s="61" t="s">
        <v>43</v>
      </c>
      <c r="G1156" s="63" t="s">
        <v>1028</v>
      </c>
      <c r="H1156" s="56" t="s">
        <v>45</v>
      </c>
      <c r="I1156" s="62" t="s">
        <v>46</v>
      </c>
      <c r="J1156" s="27">
        <v>36.694560000000003</v>
      </c>
      <c r="K1156" s="56">
        <v>32.570999999999998</v>
      </c>
      <c r="L1156" s="10">
        <f t="shared" si="116"/>
        <v>4.1240000000000023</v>
      </c>
      <c r="M1156" s="10">
        <f t="shared" si="117"/>
        <v>4.1240000000000023</v>
      </c>
      <c r="N1156" s="10"/>
      <c r="O1156" s="10"/>
      <c r="P1156" s="10">
        <f>11.647+3.98+21.068-32.571</f>
        <v>4.1240000000000023</v>
      </c>
      <c r="Q1156" s="10"/>
      <c r="R1156" s="10"/>
      <c r="S1156" s="10"/>
      <c r="T1156" s="27"/>
      <c r="U1156" s="27"/>
      <c r="V1156" s="22" t="s">
        <v>411</v>
      </c>
      <c r="W1156" s="56"/>
      <c r="X1156" s="8">
        <v>45284</v>
      </c>
      <c r="Y1156" s="56"/>
      <c r="Z1156" s="56"/>
      <c r="AA1156" s="8"/>
      <c r="AB1156" s="8"/>
      <c r="AC1156" s="56"/>
      <c r="AD1156" s="56"/>
    </row>
    <row r="1157" spans="1:30">
      <c r="A1157" s="56">
        <v>1358</v>
      </c>
      <c r="B1157" s="8">
        <v>45278</v>
      </c>
      <c r="C1157" s="56"/>
      <c r="D1157" s="189" t="s">
        <v>42</v>
      </c>
      <c r="E1157" s="8">
        <v>45306</v>
      </c>
      <c r="F1157" s="61" t="s">
        <v>43</v>
      </c>
      <c r="G1157" s="63" t="s">
        <v>1028</v>
      </c>
      <c r="H1157" s="56" t="s">
        <v>45</v>
      </c>
      <c r="I1157" s="62" t="s">
        <v>54</v>
      </c>
      <c r="J1157" s="27">
        <v>37.744686000000002</v>
      </c>
      <c r="K1157" s="56"/>
      <c r="L1157" s="10">
        <f t="shared" si="116"/>
        <v>37.744686000000002</v>
      </c>
      <c r="M1157" s="10">
        <f t="shared" si="117"/>
        <v>0</v>
      </c>
      <c r="N1157" s="10"/>
      <c r="O1157" s="10"/>
      <c r="P1157" s="10"/>
      <c r="Q1157" s="10"/>
      <c r="R1157" s="10"/>
      <c r="S1157" s="10"/>
      <c r="T1157" s="10"/>
      <c r="U1157" s="27">
        <v>37.744686000000002</v>
      </c>
      <c r="V1157" s="22" t="s">
        <v>411</v>
      </c>
      <c r="W1157" s="56"/>
      <c r="X1157" s="8"/>
      <c r="Y1157" s="56"/>
      <c r="Z1157" s="56"/>
      <c r="AA1157" s="8"/>
      <c r="AB1157" s="8"/>
      <c r="AC1157" s="56"/>
      <c r="AD1157" s="56"/>
    </row>
    <row r="1158" spans="1:30">
      <c r="A1158" s="56">
        <v>1358</v>
      </c>
      <c r="B1158" s="8">
        <v>45278</v>
      </c>
      <c r="C1158" s="56"/>
      <c r="D1158" s="189" t="s">
        <v>42</v>
      </c>
      <c r="E1158" s="8">
        <v>45306</v>
      </c>
      <c r="F1158" s="61" t="s">
        <v>43</v>
      </c>
      <c r="G1158" s="63" t="s">
        <v>1028</v>
      </c>
      <c r="H1158" s="56" t="s">
        <v>45</v>
      </c>
      <c r="I1158" s="62" t="s">
        <v>56</v>
      </c>
      <c r="J1158" s="27">
        <v>217.08159999999998</v>
      </c>
      <c r="K1158" s="56"/>
      <c r="L1158" s="10">
        <f t="shared" si="116"/>
        <v>217.08159999999998</v>
      </c>
      <c r="M1158" s="10">
        <f t="shared" si="117"/>
        <v>0</v>
      </c>
      <c r="N1158" s="10"/>
      <c r="O1158" s="10"/>
      <c r="P1158" s="10"/>
      <c r="Q1158" s="10"/>
      <c r="R1158" s="10"/>
      <c r="S1158" s="10"/>
      <c r="T1158" s="10"/>
      <c r="U1158" s="27">
        <v>217.08159999999998</v>
      </c>
      <c r="V1158" s="22" t="s">
        <v>411</v>
      </c>
      <c r="W1158" s="56"/>
      <c r="X1158" s="8"/>
      <c r="Y1158" s="56"/>
      <c r="Z1158" s="56"/>
      <c r="AA1158" s="8"/>
      <c r="AB1158" s="8"/>
      <c r="AC1158" s="56"/>
      <c r="AD1158" s="56"/>
    </row>
    <row r="1159" spans="1:30">
      <c r="A1159" s="56">
        <v>1358</v>
      </c>
      <c r="B1159" s="8">
        <v>45278</v>
      </c>
      <c r="C1159" s="56"/>
      <c r="D1159" s="189" t="s">
        <v>42</v>
      </c>
      <c r="E1159" s="8">
        <v>45306</v>
      </c>
      <c r="F1159" s="61" t="s">
        <v>43</v>
      </c>
      <c r="G1159" s="63" t="s">
        <v>1028</v>
      </c>
      <c r="H1159" s="56" t="s">
        <v>45</v>
      </c>
      <c r="I1159" s="62" t="s">
        <v>48</v>
      </c>
      <c r="J1159" s="27">
        <v>182.22408000000001</v>
      </c>
      <c r="K1159" s="56"/>
      <c r="L1159" s="10">
        <f t="shared" si="116"/>
        <v>182.22408000000001</v>
      </c>
      <c r="M1159" s="10">
        <f t="shared" si="117"/>
        <v>0</v>
      </c>
      <c r="N1159" s="10"/>
      <c r="O1159" s="10"/>
      <c r="P1159" s="10"/>
      <c r="Q1159" s="10"/>
      <c r="R1159" s="10"/>
      <c r="S1159" s="10"/>
      <c r="T1159" s="10"/>
      <c r="U1159" s="27">
        <v>182.22408000000001</v>
      </c>
      <c r="V1159" s="22" t="s">
        <v>411</v>
      </c>
      <c r="W1159" s="56"/>
      <c r="X1159" s="8"/>
      <c r="Y1159" s="56"/>
      <c r="Z1159" s="56"/>
      <c r="AA1159" s="8"/>
      <c r="AB1159" s="8"/>
      <c r="AC1159" s="56"/>
      <c r="AD1159" s="56"/>
    </row>
    <row r="1160" spans="1:30">
      <c r="A1160" s="56">
        <v>1358</v>
      </c>
      <c r="B1160" s="8">
        <v>45278</v>
      </c>
      <c r="C1160" s="56"/>
      <c r="D1160" s="189" t="s">
        <v>42</v>
      </c>
      <c r="E1160" s="8">
        <v>45306</v>
      </c>
      <c r="F1160" s="61" t="s">
        <v>43</v>
      </c>
      <c r="G1160" s="63" t="s">
        <v>1028</v>
      </c>
      <c r="H1160" s="56" t="s">
        <v>45</v>
      </c>
      <c r="I1160" s="62" t="s">
        <v>516</v>
      </c>
      <c r="J1160" s="27">
        <v>8.5516800000000011</v>
      </c>
      <c r="K1160" s="56"/>
      <c r="L1160" s="10">
        <f t="shared" si="116"/>
        <v>8.5516800000000011</v>
      </c>
      <c r="M1160" s="10">
        <f t="shared" si="117"/>
        <v>0</v>
      </c>
      <c r="N1160" s="10"/>
      <c r="O1160" s="10"/>
      <c r="P1160" s="10"/>
      <c r="Q1160" s="10"/>
      <c r="R1160" s="10"/>
      <c r="S1160" s="10"/>
      <c r="T1160" s="10"/>
      <c r="U1160" s="27">
        <v>8.5516800000000011</v>
      </c>
      <c r="V1160" s="22" t="s">
        <v>411</v>
      </c>
      <c r="W1160" s="56"/>
      <c r="X1160" s="8"/>
      <c r="Y1160" s="56"/>
      <c r="Z1160" s="56"/>
      <c r="AA1160" s="8"/>
      <c r="AB1160" s="8"/>
      <c r="AC1160" s="56"/>
      <c r="AD1160" s="56"/>
    </row>
    <row r="1161" spans="1:30">
      <c r="A1161" s="56">
        <v>1358</v>
      </c>
      <c r="B1161" s="8">
        <v>45278</v>
      </c>
      <c r="C1161" s="56"/>
      <c r="D1161" s="189" t="s">
        <v>42</v>
      </c>
      <c r="E1161" s="8">
        <v>45306</v>
      </c>
      <c r="F1161" s="61" t="s">
        <v>43</v>
      </c>
      <c r="G1161" s="63" t="s">
        <v>1028</v>
      </c>
      <c r="H1161" s="56" t="s">
        <v>45</v>
      </c>
      <c r="I1161" s="62" t="s">
        <v>49</v>
      </c>
      <c r="J1161" s="27">
        <v>24.788400000000003</v>
      </c>
      <c r="K1161" s="56"/>
      <c r="L1161" s="10">
        <f t="shared" si="116"/>
        <v>24.788400000000003</v>
      </c>
      <c r="M1161" s="10">
        <f t="shared" si="117"/>
        <v>0</v>
      </c>
      <c r="N1161" s="10"/>
      <c r="O1161" s="10"/>
      <c r="P1161" s="10"/>
      <c r="Q1161" s="10"/>
      <c r="R1161" s="10"/>
      <c r="S1161" s="10"/>
      <c r="T1161" s="10"/>
      <c r="U1161" s="27">
        <v>24.788400000000003</v>
      </c>
      <c r="V1161" s="22" t="s">
        <v>411</v>
      </c>
      <c r="W1161" s="56"/>
      <c r="X1161" s="8"/>
      <c r="Y1161" s="56"/>
      <c r="Z1161" s="56"/>
      <c r="AA1161" s="8"/>
      <c r="AB1161" s="8"/>
      <c r="AC1161" s="56"/>
      <c r="AD1161" s="56"/>
    </row>
    <row r="1162" spans="1:30">
      <c r="A1162" s="56">
        <v>1358</v>
      </c>
      <c r="B1162" s="8">
        <v>45278</v>
      </c>
      <c r="C1162" s="56"/>
      <c r="D1162" s="189" t="s">
        <v>42</v>
      </c>
      <c r="E1162" s="8">
        <v>45306</v>
      </c>
      <c r="F1162" s="61" t="s">
        <v>43</v>
      </c>
      <c r="G1162" s="63" t="s">
        <v>1028</v>
      </c>
      <c r="H1162" s="56" t="s">
        <v>45</v>
      </c>
      <c r="I1162" s="62" t="s">
        <v>1288</v>
      </c>
      <c r="J1162" s="27">
        <v>8.4057600000000008</v>
      </c>
      <c r="K1162" s="56"/>
      <c r="L1162" s="10">
        <f t="shared" si="116"/>
        <v>8.4057600000000008</v>
      </c>
      <c r="M1162" s="10">
        <f t="shared" si="117"/>
        <v>0</v>
      </c>
      <c r="N1162" s="10"/>
      <c r="O1162" s="10"/>
      <c r="P1162" s="10"/>
      <c r="Q1162" s="10"/>
      <c r="R1162" s="10"/>
      <c r="S1162" s="10"/>
      <c r="T1162" s="10"/>
      <c r="U1162" s="27">
        <v>8.4057600000000008</v>
      </c>
      <c r="V1162" s="22" t="s">
        <v>411</v>
      </c>
      <c r="W1162" s="56"/>
      <c r="X1162" s="8"/>
      <c r="Y1162" s="56"/>
      <c r="Z1162" s="56"/>
      <c r="AA1162" s="8"/>
      <c r="AB1162" s="8"/>
      <c r="AC1162" s="56"/>
      <c r="AD1162" s="56"/>
    </row>
    <row r="1163" spans="1:30">
      <c r="A1163" s="56">
        <v>1358</v>
      </c>
      <c r="B1163" s="8">
        <v>45278</v>
      </c>
      <c r="C1163" s="56"/>
      <c r="D1163" s="189" t="s">
        <v>42</v>
      </c>
      <c r="E1163" s="8">
        <v>45306</v>
      </c>
      <c r="F1163" s="61" t="s">
        <v>43</v>
      </c>
      <c r="G1163" s="63" t="s">
        <v>1028</v>
      </c>
      <c r="H1163" s="56" t="s">
        <v>45</v>
      </c>
      <c r="I1163" s="62" t="s">
        <v>50</v>
      </c>
      <c r="J1163" s="27">
        <v>7.5410999999999984</v>
      </c>
      <c r="K1163" s="56"/>
      <c r="L1163" s="10">
        <f t="shared" si="116"/>
        <v>7.5410999999999984</v>
      </c>
      <c r="M1163" s="10">
        <f t="shared" si="117"/>
        <v>0</v>
      </c>
      <c r="N1163" s="10"/>
      <c r="O1163" s="10"/>
      <c r="P1163" s="10"/>
      <c r="Q1163" s="10"/>
      <c r="R1163" s="10"/>
      <c r="S1163" s="10"/>
      <c r="T1163" s="10"/>
      <c r="U1163" s="27">
        <v>7.5410999999999984</v>
      </c>
      <c r="V1163" s="22" t="s">
        <v>411</v>
      </c>
      <c r="W1163" s="56"/>
      <c r="X1163" s="8"/>
      <c r="Y1163" s="56"/>
      <c r="Z1163" s="56"/>
      <c r="AA1163" s="8"/>
      <c r="AB1163" s="8"/>
      <c r="AC1163" s="56"/>
      <c r="AD1163" s="56"/>
    </row>
    <row r="1164" spans="1:30">
      <c r="A1164" s="56">
        <v>1358</v>
      </c>
      <c r="B1164" s="8">
        <v>45278</v>
      </c>
      <c r="C1164" s="56"/>
      <c r="D1164" s="189" t="s">
        <v>42</v>
      </c>
      <c r="E1164" s="8">
        <v>45306</v>
      </c>
      <c r="F1164" s="61" t="s">
        <v>43</v>
      </c>
      <c r="G1164" s="63" t="s">
        <v>1028</v>
      </c>
      <c r="H1164" s="56" t="s">
        <v>45</v>
      </c>
      <c r="I1164" s="62" t="s">
        <v>588</v>
      </c>
      <c r="J1164" s="27">
        <v>153.43020000000001</v>
      </c>
      <c r="K1164" s="56"/>
      <c r="L1164" s="10">
        <f t="shared" si="116"/>
        <v>153.43020000000001</v>
      </c>
      <c r="M1164" s="10">
        <f t="shared" si="117"/>
        <v>0</v>
      </c>
      <c r="N1164" s="10"/>
      <c r="O1164" s="10"/>
      <c r="P1164" s="10"/>
      <c r="Q1164" s="10"/>
      <c r="R1164" s="10"/>
      <c r="S1164" s="10"/>
      <c r="T1164" s="10"/>
      <c r="U1164" s="27">
        <v>153.43020000000001</v>
      </c>
      <c r="V1164" s="22" t="s">
        <v>411</v>
      </c>
      <c r="W1164" s="56"/>
      <c r="X1164" s="8"/>
      <c r="Y1164" s="56"/>
      <c r="Z1164" s="56"/>
      <c r="AA1164" s="8"/>
      <c r="AB1164" s="8"/>
      <c r="AC1164" s="56"/>
      <c r="AD1164" s="56"/>
    </row>
    <row r="1165" spans="1:30">
      <c r="A1165" s="56">
        <v>1358</v>
      </c>
      <c r="B1165" s="8">
        <v>45278</v>
      </c>
      <c r="C1165" s="56"/>
      <c r="D1165" s="189" t="s">
        <v>42</v>
      </c>
      <c r="E1165" s="8">
        <v>45306</v>
      </c>
      <c r="F1165" s="61" t="s">
        <v>43</v>
      </c>
      <c r="G1165" s="63" t="s">
        <v>1028</v>
      </c>
      <c r="H1165" s="56" t="s">
        <v>45</v>
      </c>
      <c r="I1165" s="62" t="s">
        <v>837</v>
      </c>
      <c r="J1165" s="27">
        <v>42.7986</v>
      </c>
      <c r="K1165" s="56"/>
      <c r="L1165" s="10">
        <f t="shared" si="116"/>
        <v>42.7986</v>
      </c>
      <c r="M1165" s="10">
        <f t="shared" si="117"/>
        <v>0</v>
      </c>
      <c r="N1165" s="10"/>
      <c r="O1165" s="10"/>
      <c r="P1165" s="10"/>
      <c r="Q1165" s="10"/>
      <c r="R1165" s="10"/>
      <c r="S1165" s="10"/>
      <c r="T1165" s="10"/>
      <c r="U1165" s="27">
        <v>42.7986</v>
      </c>
      <c r="V1165" s="22" t="s">
        <v>411</v>
      </c>
      <c r="W1165" s="56"/>
      <c r="X1165" s="8"/>
      <c r="Y1165" s="56"/>
      <c r="Z1165" s="56"/>
      <c r="AA1165" s="8"/>
      <c r="AB1165" s="8"/>
      <c r="AC1165" s="56"/>
      <c r="AD1165" s="56"/>
    </row>
    <row r="1166" spans="1:30">
      <c r="A1166" s="56">
        <v>1358</v>
      </c>
      <c r="B1166" s="8">
        <v>45278</v>
      </c>
      <c r="C1166" s="56"/>
      <c r="D1166" s="189" t="s">
        <v>42</v>
      </c>
      <c r="E1166" s="8">
        <v>45306</v>
      </c>
      <c r="F1166" s="61" t="s">
        <v>43</v>
      </c>
      <c r="G1166" s="63" t="s">
        <v>1028</v>
      </c>
      <c r="H1166" s="56" t="s">
        <v>45</v>
      </c>
      <c r="I1166" s="62" t="s">
        <v>579</v>
      </c>
      <c r="J1166" s="27">
        <v>85.69919999999999</v>
      </c>
      <c r="K1166" s="56"/>
      <c r="L1166" s="10">
        <f t="shared" si="116"/>
        <v>85.69919999999999</v>
      </c>
      <c r="M1166" s="10">
        <f t="shared" si="117"/>
        <v>0</v>
      </c>
      <c r="N1166" s="10"/>
      <c r="O1166" s="10"/>
      <c r="P1166" s="10"/>
      <c r="Q1166" s="10"/>
      <c r="R1166" s="10"/>
      <c r="S1166" s="10"/>
      <c r="T1166" s="10"/>
      <c r="U1166" s="27">
        <v>85.69919999999999</v>
      </c>
      <c r="V1166" s="22" t="s">
        <v>411</v>
      </c>
      <c r="W1166" s="56"/>
      <c r="X1166" s="8"/>
      <c r="Y1166" s="56"/>
      <c r="Z1166" s="56"/>
      <c r="AA1166" s="8"/>
      <c r="AB1166" s="8"/>
      <c r="AC1166" s="56"/>
      <c r="AD1166" s="56"/>
    </row>
    <row r="1167" spans="1:30">
      <c r="A1167" s="56">
        <v>1358</v>
      </c>
      <c r="B1167" s="8">
        <v>45278</v>
      </c>
      <c r="C1167" s="56"/>
      <c r="D1167" s="189" t="s">
        <v>42</v>
      </c>
      <c r="E1167" s="8">
        <v>45306</v>
      </c>
      <c r="F1167" s="61" t="s">
        <v>43</v>
      </c>
      <c r="G1167" s="63" t="s">
        <v>1028</v>
      </c>
      <c r="H1167" s="56" t="s">
        <v>45</v>
      </c>
      <c r="I1167" s="62" t="s">
        <v>448</v>
      </c>
      <c r="J1167" s="27">
        <v>113.08128000000001</v>
      </c>
      <c r="K1167" s="56"/>
      <c r="L1167" s="10">
        <f t="shared" si="116"/>
        <v>113.08128000000001</v>
      </c>
      <c r="M1167" s="10">
        <f t="shared" si="117"/>
        <v>0</v>
      </c>
      <c r="N1167" s="10"/>
      <c r="O1167" s="10"/>
      <c r="P1167" s="10"/>
      <c r="Q1167" s="10"/>
      <c r="R1167" s="10"/>
      <c r="S1167" s="10"/>
      <c r="T1167" s="10"/>
      <c r="U1167" s="27">
        <v>113.08128000000001</v>
      </c>
      <c r="V1167" s="22" t="s">
        <v>411</v>
      </c>
      <c r="W1167" s="56"/>
      <c r="X1167" s="8"/>
      <c r="Y1167" s="56"/>
      <c r="Z1167" s="56"/>
      <c r="AA1167" s="8"/>
      <c r="AB1167" s="8"/>
      <c r="AC1167" s="56"/>
      <c r="AD1167" s="56"/>
    </row>
    <row r="1168" spans="1:30">
      <c r="A1168" s="56">
        <v>1358</v>
      </c>
      <c r="B1168" s="8">
        <v>45278</v>
      </c>
      <c r="C1168" s="56"/>
      <c r="D1168" s="189" t="s">
        <v>42</v>
      </c>
      <c r="E1168" s="8">
        <v>45306</v>
      </c>
      <c r="F1168" s="61" t="s">
        <v>43</v>
      </c>
      <c r="G1168" s="63" t="s">
        <v>1028</v>
      </c>
      <c r="H1168" s="56" t="s">
        <v>45</v>
      </c>
      <c r="I1168" s="62" t="s">
        <v>449</v>
      </c>
      <c r="J1168" s="27">
        <v>142.54095000000004</v>
      </c>
      <c r="K1168" s="56"/>
      <c r="L1168" s="10">
        <f t="shared" si="116"/>
        <v>142.54095000000004</v>
      </c>
      <c r="M1168" s="10">
        <f t="shared" si="117"/>
        <v>0</v>
      </c>
      <c r="N1168" s="10"/>
      <c r="O1168" s="10"/>
      <c r="P1168" s="10"/>
      <c r="Q1168" s="10"/>
      <c r="R1168" s="10"/>
      <c r="S1168" s="10"/>
      <c r="T1168" s="10"/>
      <c r="U1168" s="27">
        <v>142.54095000000004</v>
      </c>
      <c r="V1168" s="22" t="s">
        <v>411</v>
      </c>
      <c r="W1168" s="56"/>
      <c r="X1168" s="8"/>
      <c r="Y1168" s="56"/>
      <c r="Z1168" s="56"/>
      <c r="AA1168" s="8"/>
      <c r="AB1168" s="8"/>
      <c r="AC1168" s="56"/>
      <c r="AD1168" s="56"/>
    </row>
    <row r="1169" spans="1:30">
      <c r="A1169" s="56">
        <v>1358</v>
      </c>
      <c r="B1169" s="8">
        <v>45278</v>
      </c>
      <c r="C1169" s="56"/>
      <c r="D1169" s="189" t="s">
        <v>42</v>
      </c>
      <c r="E1169" s="8">
        <v>45306</v>
      </c>
      <c r="F1169" s="61" t="s">
        <v>43</v>
      </c>
      <c r="G1169" s="63" t="s">
        <v>1028</v>
      </c>
      <c r="H1169" s="56" t="s">
        <v>45</v>
      </c>
      <c r="I1169" s="62" t="s">
        <v>473</v>
      </c>
      <c r="J1169" s="27">
        <v>6.4116</v>
      </c>
      <c r="K1169" s="56"/>
      <c r="L1169" s="10">
        <f t="shared" si="116"/>
        <v>6.4116</v>
      </c>
      <c r="M1169" s="10">
        <f t="shared" si="117"/>
        <v>0</v>
      </c>
      <c r="N1169" s="10"/>
      <c r="O1169" s="10"/>
      <c r="P1169" s="10"/>
      <c r="Q1169" s="10"/>
      <c r="R1169" s="10"/>
      <c r="S1169" s="10"/>
      <c r="T1169" s="10"/>
      <c r="U1169" s="27">
        <v>6.4116</v>
      </c>
      <c r="V1169" s="22" t="s">
        <v>411</v>
      </c>
      <c r="W1169" s="56"/>
      <c r="X1169" s="8"/>
      <c r="Y1169" s="56"/>
      <c r="Z1169" s="56"/>
      <c r="AA1169" s="8"/>
      <c r="AB1169" s="8"/>
      <c r="AC1169" s="56"/>
      <c r="AD1169" s="56"/>
    </row>
    <row r="1170" spans="1:30">
      <c r="A1170" s="56">
        <v>1358</v>
      </c>
      <c r="B1170" s="8">
        <v>45278</v>
      </c>
      <c r="C1170" s="56"/>
      <c r="D1170" s="189" t="s">
        <v>42</v>
      </c>
      <c r="E1170" s="8">
        <v>45306</v>
      </c>
      <c r="F1170" s="61" t="s">
        <v>43</v>
      </c>
      <c r="G1170" s="63" t="s">
        <v>1028</v>
      </c>
      <c r="H1170" s="56" t="s">
        <v>45</v>
      </c>
      <c r="I1170" s="62" t="s">
        <v>235</v>
      </c>
      <c r="J1170" s="27">
        <v>23.341200000000001</v>
      </c>
      <c r="K1170" s="56"/>
      <c r="L1170" s="10">
        <f t="shared" si="116"/>
        <v>23.341200000000001</v>
      </c>
      <c r="M1170" s="10">
        <f t="shared" si="117"/>
        <v>0</v>
      </c>
      <c r="N1170" s="10"/>
      <c r="O1170" s="10"/>
      <c r="P1170" s="10"/>
      <c r="Q1170" s="10"/>
      <c r="R1170" s="10"/>
      <c r="S1170" s="10"/>
      <c r="T1170" s="10"/>
      <c r="U1170" s="27">
        <v>23.341200000000001</v>
      </c>
      <c r="V1170" s="22" t="s">
        <v>411</v>
      </c>
      <c r="W1170" s="56"/>
      <c r="X1170" s="8"/>
      <c r="Y1170" s="56"/>
      <c r="Z1170" s="56"/>
      <c r="AA1170" s="8"/>
      <c r="AB1170" s="8"/>
      <c r="AC1170" s="56"/>
      <c r="AD1170" s="56"/>
    </row>
    <row r="1171" spans="1:30">
      <c r="A1171" s="56">
        <v>1358</v>
      </c>
      <c r="B1171" s="8">
        <v>45278</v>
      </c>
      <c r="C1171" s="56"/>
      <c r="D1171" s="189" t="s">
        <v>42</v>
      </c>
      <c r="E1171" s="8">
        <v>45306</v>
      </c>
      <c r="F1171" s="61" t="s">
        <v>43</v>
      </c>
      <c r="G1171" s="63" t="s">
        <v>1028</v>
      </c>
      <c r="H1171" s="56" t="s">
        <v>45</v>
      </c>
      <c r="I1171" s="62" t="s">
        <v>1289</v>
      </c>
      <c r="J1171" s="27">
        <v>0.62656200000000006</v>
      </c>
      <c r="K1171" s="56"/>
      <c r="L1171" s="10">
        <f t="shared" si="116"/>
        <v>0.62656200000000006</v>
      </c>
      <c r="M1171" s="10">
        <f t="shared" si="117"/>
        <v>0</v>
      </c>
      <c r="N1171" s="10"/>
      <c r="O1171" s="10"/>
      <c r="P1171" s="10"/>
      <c r="Q1171" s="10"/>
      <c r="R1171" s="10"/>
      <c r="S1171" s="10"/>
      <c r="T1171" s="10"/>
      <c r="U1171" s="27">
        <v>0.62656200000000006</v>
      </c>
      <c r="V1171" s="22" t="s">
        <v>411</v>
      </c>
      <c r="W1171" s="56"/>
      <c r="X1171" s="8"/>
      <c r="Y1171" s="56"/>
      <c r="Z1171" s="56"/>
      <c r="AA1171" s="8"/>
      <c r="AB1171" s="8"/>
      <c r="AC1171" s="56"/>
      <c r="AD1171" s="56"/>
    </row>
    <row r="1172" spans="1:30">
      <c r="A1172" s="56">
        <v>1358</v>
      </c>
      <c r="B1172" s="8">
        <v>45278</v>
      </c>
      <c r="C1172" s="56"/>
      <c r="D1172" s="189" t="s">
        <v>42</v>
      </c>
      <c r="E1172" s="8">
        <v>45306</v>
      </c>
      <c r="F1172" s="61" t="s">
        <v>43</v>
      </c>
      <c r="G1172" s="63" t="s">
        <v>1028</v>
      </c>
      <c r="H1172" s="56" t="s">
        <v>45</v>
      </c>
      <c r="I1172" s="62" t="s">
        <v>100</v>
      </c>
      <c r="J1172" s="27">
        <v>40.188600000000001</v>
      </c>
      <c r="K1172" s="56"/>
      <c r="L1172" s="10">
        <f t="shared" si="116"/>
        <v>40.188600000000001</v>
      </c>
      <c r="M1172" s="10">
        <f t="shared" si="117"/>
        <v>0</v>
      </c>
      <c r="N1172" s="10"/>
      <c r="O1172" s="10"/>
      <c r="P1172" s="10"/>
      <c r="Q1172" s="10"/>
      <c r="R1172" s="10"/>
      <c r="S1172" s="10"/>
      <c r="T1172" s="10"/>
      <c r="U1172" s="27">
        <v>40.188600000000001</v>
      </c>
      <c r="V1172" s="22" t="s">
        <v>411</v>
      </c>
      <c r="W1172" s="56"/>
      <c r="X1172" s="8"/>
      <c r="Y1172" s="56"/>
      <c r="Z1172" s="56"/>
      <c r="AA1172" s="8"/>
      <c r="AB1172" s="8"/>
      <c r="AC1172" s="56"/>
      <c r="AD1172" s="56"/>
    </row>
    <row r="1173" spans="1:30">
      <c r="A1173" s="56">
        <v>1358</v>
      </c>
      <c r="B1173" s="8">
        <v>45278</v>
      </c>
      <c r="C1173" s="56"/>
      <c r="D1173" s="189" t="s">
        <v>42</v>
      </c>
      <c r="E1173" s="8">
        <v>45306</v>
      </c>
      <c r="F1173" s="61" t="s">
        <v>43</v>
      </c>
      <c r="G1173" s="63" t="s">
        <v>1028</v>
      </c>
      <c r="H1173" s="56" t="s">
        <v>45</v>
      </c>
      <c r="I1173" s="62" t="s">
        <v>96</v>
      </c>
      <c r="J1173" s="27">
        <v>33.846419999999995</v>
      </c>
      <c r="K1173" s="56"/>
      <c r="L1173" s="10">
        <f t="shared" si="116"/>
        <v>33.846419999999995</v>
      </c>
      <c r="M1173" s="10">
        <f t="shared" si="117"/>
        <v>0</v>
      </c>
      <c r="N1173" s="10"/>
      <c r="O1173" s="10"/>
      <c r="P1173" s="10"/>
      <c r="Q1173" s="10"/>
      <c r="R1173" s="10"/>
      <c r="S1173" s="10"/>
      <c r="T1173" s="10"/>
      <c r="U1173" s="27">
        <v>33.846419999999995</v>
      </c>
      <c r="V1173" s="22" t="s">
        <v>411</v>
      </c>
      <c r="W1173" s="56"/>
      <c r="X1173" s="8"/>
      <c r="Y1173" s="56"/>
      <c r="Z1173" s="56"/>
      <c r="AA1173" s="8"/>
      <c r="AB1173" s="8"/>
      <c r="AC1173" s="56"/>
      <c r="AD1173" s="56"/>
    </row>
    <row r="1174" spans="1:30" hidden="1">
      <c r="A1174" s="56">
        <v>1358</v>
      </c>
      <c r="B1174" s="8">
        <v>45278</v>
      </c>
      <c r="C1174" s="56"/>
      <c r="D1174" s="189" t="s">
        <v>42</v>
      </c>
      <c r="E1174" s="8">
        <v>45306</v>
      </c>
      <c r="F1174" s="61" t="s">
        <v>43</v>
      </c>
      <c r="G1174" s="63" t="s">
        <v>1409</v>
      </c>
      <c r="H1174" s="56" t="s">
        <v>52</v>
      </c>
      <c r="I1174" s="62" t="s">
        <v>98</v>
      </c>
      <c r="J1174" s="27">
        <v>83.784480000000002</v>
      </c>
      <c r="K1174" s="56"/>
      <c r="L1174" s="10">
        <f t="shared" si="116"/>
        <v>83.784480000000002</v>
      </c>
      <c r="M1174" s="10">
        <f t="shared" si="117"/>
        <v>0</v>
      </c>
      <c r="N1174" s="10"/>
      <c r="O1174" s="10"/>
      <c r="P1174" s="10"/>
      <c r="Q1174" s="10"/>
      <c r="R1174" s="10"/>
      <c r="S1174" s="10"/>
      <c r="T1174" s="10"/>
      <c r="U1174" s="27">
        <v>83.784480000000002</v>
      </c>
      <c r="V1174" s="22" t="s">
        <v>411</v>
      </c>
      <c r="W1174" s="56"/>
      <c r="X1174" s="8"/>
      <c r="Y1174" s="56"/>
      <c r="Z1174" s="56"/>
      <c r="AA1174" s="8"/>
      <c r="AB1174" s="8"/>
      <c r="AC1174" s="56"/>
      <c r="AD1174" s="56"/>
    </row>
    <row r="1175" spans="1:30" hidden="1">
      <c r="A1175" s="56">
        <v>1358</v>
      </c>
      <c r="B1175" s="8">
        <v>45278</v>
      </c>
      <c r="C1175" s="56"/>
      <c r="D1175" s="189" t="s">
        <v>42</v>
      </c>
      <c r="E1175" s="8">
        <v>45306</v>
      </c>
      <c r="F1175" s="61" t="s">
        <v>43</v>
      </c>
      <c r="G1175" s="63" t="s">
        <v>1409</v>
      </c>
      <c r="H1175" s="56" t="s">
        <v>52</v>
      </c>
      <c r="I1175" s="62" t="s">
        <v>56</v>
      </c>
      <c r="J1175" s="27">
        <v>16.563599999999997</v>
      </c>
      <c r="K1175" s="56"/>
      <c r="L1175" s="10">
        <f t="shared" si="116"/>
        <v>16.563599999999997</v>
      </c>
      <c r="M1175" s="10">
        <f t="shared" si="117"/>
        <v>0</v>
      </c>
      <c r="N1175" s="10"/>
      <c r="O1175" s="10"/>
      <c r="P1175" s="10"/>
      <c r="Q1175" s="10"/>
      <c r="R1175" s="10"/>
      <c r="S1175" s="10"/>
      <c r="T1175" s="10"/>
      <c r="U1175" s="27">
        <v>16.563599999999997</v>
      </c>
      <c r="V1175" s="22" t="s">
        <v>411</v>
      </c>
      <c r="W1175" s="56"/>
      <c r="X1175" s="8"/>
      <c r="Y1175" s="56"/>
      <c r="Z1175" s="56"/>
      <c r="AA1175" s="8"/>
      <c r="AB1175" s="8"/>
      <c r="AC1175" s="56"/>
      <c r="AD1175" s="56"/>
    </row>
    <row r="1176" spans="1:30" hidden="1">
      <c r="A1176" s="56">
        <v>1358</v>
      </c>
      <c r="B1176" s="8">
        <v>45278</v>
      </c>
      <c r="C1176" s="56"/>
      <c r="D1176" s="189" t="s">
        <v>42</v>
      </c>
      <c r="E1176" s="8">
        <v>45306</v>
      </c>
      <c r="F1176" s="61" t="s">
        <v>43</v>
      </c>
      <c r="G1176" s="63" t="s">
        <v>1409</v>
      </c>
      <c r="H1176" s="56" t="s">
        <v>52</v>
      </c>
      <c r="I1176" s="62" t="s">
        <v>101</v>
      </c>
      <c r="J1176" s="27">
        <v>11.6388</v>
      </c>
      <c r="K1176" s="56"/>
      <c r="L1176" s="10">
        <f t="shared" si="116"/>
        <v>11.6388</v>
      </c>
      <c r="M1176" s="10">
        <f t="shared" si="117"/>
        <v>0</v>
      </c>
      <c r="N1176" s="10"/>
      <c r="O1176" s="10"/>
      <c r="P1176" s="10"/>
      <c r="Q1176" s="10"/>
      <c r="R1176" s="10"/>
      <c r="S1176" s="10"/>
      <c r="T1176" s="10"/>
      <c r="U1176" s="27">
        <v>11.6388</v>
      </c>
      <c r="V1176" s="22" t="s">
        <v>411</v>
      </c>
      <c r="W1176" s="56"/>
      <c r="X1176" s="8"/>
      <c r="Y1176" s="56"/>
      <c r="Z1176" s="56"/>
      <c r="AA1176" s="8"/>
      <c r="AB1176" s="8"/>
      <c r="AC1176" s="56"/>
      <c r="AD1176" s="56"/>
    </row>
    <row r="1177" spans="1:30" hidden="1">
      <c r="A1177" s="56">
        <v>1358</v>
      </c>
      <c r="B1177" s="8">
        <v>45278</v>
      </c>
      <c r="C1177" s="56"/>
      <c r="D1177" s="189" t="s">
        <v>42</v>
      </c>
      <c r="E1177" s="8">
        <v>45306</v>
      </c>
      <c r="F1177" s="61" t="s">
        <v>43</v>
      </c>
      <c r="G1177" s="63" t="s">
        <v>1409</v>
      </c>
      <c r="H1177" s="56" t="s">
        <v>52</v>
      </c>
      <c r="I1177" s="62" t="s">
        <v>95</v>
      </c>
      <c r="J1177" s="27">
        <v>46.709334000000005</v>
      </c>
      <c r="K1177" s="56"/>
      <c r="L1177" s="10">
        <f t="shared" si="116"/>
        <v>46.709333999999998</v>
      </c>
      <c r="M1177" s="10">
        <f t="shared" si="117"/>
        <v>1.452</v>
      </c>
      <c r="N1177" s="10"/>
      <c r="O1177" s="10"/>
      <c r="P1177" s="10"/>
      <c r="Q1177" s="10"/>
      <c r="R1177" s="10">
        <v>1.452</v>
      </c>
      <c r="S1177" s="10"/>
      <c r="T1177" s="10"/>
      <c r="U1177" s="27">
        <f>46.709334-1.452</f>
        <v>45.257334</v>
      </c>
      <c r="V1177" s="22" t="s">
        <v>411</v>
      </c>
      <c r="W1177" s="56"/>
      <c r="X1177" s="8"/>
      <c r="Y1177" s="56"/>
      <c r="Z1177" s="56"/>
      <c r="AA1177" s="8"/>
      <c r="AB1177" s="8"/>
      <c r="AC1177" s="56"/>
      <c r="AD1177" s="56"/>
    </row>
    <row r="1178" spans="1:30" hidden="1">
      <c r="A1178" s="56">
        <v>1358</v>
      </c>
      <c r="B1178" s="8">
        <v>45278</v>
      </c>
      <c r="C1178" s="56"/>
      <c r="D1178" s="189" t="s">
        <v>42</v>
      </c>
      <c r="E1178" s="8">
        <v>45306</v>
      </c>
      <c r="F1178" s="61" t="s">
        <v>43</v>
      </c>
      <c r="G1178" s="63" t="s">
        <v>1409</v>
      </c>
      <c r="H1178" s="56" t="s">
        <v>52</v>
      </c>
      <c r="I1178" s="62" t="s">
        <v>1426</v>
      </c>
      <c r="J1178" s="27">
        <v>4.5936000000000003</v>
      </c>
      <c r="K1178" s="56"/>
      <c r="L1178" s="10">
        <f t="shared" si="116"/>
        <v>4.5936000000000003</v>
      </c>
      <c r="M1178" s="10">
        <f t="shared" si="117"/>
        <v>4.5936000000000003</v>
      </c>
      <c r="N1178" s="10"/>
      <c r="O1178" s="10"/>
      <c r="P1178" s="10"/>
      <c r="Q1178" s="10"/>
      <c r="R1178" s="27">
        <v>4.5936000000000003</v>
      </c>
      <c r="S1178" s="10"/>
      <c r="T1178" s="27"/>
      <c r="U1178" s="27"/>
      <c r="V1178" s="22" t="s">
        <v>411</v>
      </c>
      <c r="W1178" s="56"/>
      <c r="X1178" s="8">
        <v>45293</v>
      </c>
      <c r="Y1178" s="56"/>
      <c r="Z1178" s="56"/>
      <c r="AA1178" s="8"/>
      <c r="AB1178" s="8"/>
      <c r="AC1178" s="56"/>
      <c r="AD1178" s="56"/>
    </row>
    <row r="1179" spans="1:30" hidden="1">
      <c r="A1179" s="56">
        <v>1358</v>
      </c>
      <c r="B1179" s="8">
        <v>45278</v>
      </c>
      <c r="C1179" s="56"/>
      <c r="D1179" s="189" t="s">
        <v>42</v>
      </c>
      <c r="E1179" s="8">
        <v>45306</v>
      </c>
      <c r="F1179" s="61" t="s">
        <v>43</v>
      </c>
      <c r="G1179" s="63" t="s">
        <v>1409</v>
      </c>
      <c r="H1179" s="56" t="s">
        <v>52</v>
      </c>
      <c r="I1179" s="62" t="s">
        <v>472</v>
      </c>
      <c r="J1179" s="27">
        <v>29.387520000000002</v>
      </c>
      <c r="K1179" s="56"/>
      <c r="L1179" s="10">
        <f t="shared" si="116"/>
        <v>29.387520000000002</v>
      </c>
      <c r="M1179" s="10">
        <f t="shared" si="117"/>
        <v>0</v>
      </c>
      <c r="N1179" s="10"/>
      <c r="O1179" s="10"/>
      <c r="P1179" s="10"/>
      <c r="Q1179" s="10"/>
      <c r="R1179" s="10"/>
      <c r="S1179" s="10"/>
      <c r="T1179" s="10"/>
      <c r="U1179" s="27">
        <v>29.387520000000002</v>
      </c>
      <c r="V1179" s="22" t="s">
        <v>411</v>
      </c>
      <c r="W1179" s="56"/>
      <c r="X1179" s="8"/>
      <c r="Y1179" s="56"/>
      <c r="Z1179" s="56"/>
      <c r="AA1179" s="8"/>
      <c r="AB1179" s="8"/>
      <c r="AC1179" s="56"/>
      <c r="AD1179" s="56"/>
    </row>
    <row r="1180" spans="1:30" hidden="1">
      <c r="A1180" s="56">
        <v>1358</v>
      </c>
      <c r="B1180" s="8">
        <v>45278</v>
      </c>
      <c r="C1180" s="56"/>
      <c r="D1180" s="189" t="s">
        <v>42</v>
      </c>
      <c r="E1180" s="8">
        <v>45306</v>
      </c>
      <c r="F1180" s="61" t="s">
        <v>43</v>
      </c>
      <c r="G1180" s="63" t="s">
        <v>1409</v>
      </c>
      <c r="H1180" s="56" t="s">
        <v>52</v>
      </c>
      <c r="I1180" s="62" t="s">
        <v>237</v>
      </c>
      <c r="J1180" s="27">
        <v>37.70487</v>
      </c>
      <c r="K1180" s="56"/>
      <c r="L1180" s="10">
        <f t="shared" si="116"/>
        <v>37.70487</v>
      </c>
      <c r="M1180" s="10">
        <f t="shared" si="117"/>
        <v>0</v>
      </c>
      <c r="N1180" s="10"/>
      <c r="O1180" s="10"/>
      <c r="P1180" s="10"/>
      <c r="Q1180" s="10"/>
      <c r="R1180" s="10"/>
      <c r="S1180" s="10"/>
      <c r="T1180" s="10"/>
      <c r="U1180" s="27">
        <v>37.70487</v>
      </c>
      <c r="V1180" s="22" t="s">
        <v>411</v>
      </c>
      <c r="W1180" s="56"/>
      <c r="X1180" s="8"/>
      <c r="Y1180" s="56"/>
      <c r="Z1180" s="56"/>
      <c r="AA1180" s="8"/>
      <c r="AB1180" s="8"/>
      <c r="AC1180" s="56"/>
      <c r="AD1180" s="56"/>
    </row>
    <row r="1181" spans="1:30" hidden="1">
      <c r="A1181" s="112">
        <v>1358</v>
      </c>
      <c r="B1181" s="113">
        <v>45278</v>
      </c>
      <c r="C1181" s="112"/>
      <c r="D1181" s="189" t="s">
        <v>42</v>
      </c>
      <c r="E1181" s="113">
        <v>45306</v>
      </c>
      <c r="F1181" s="114" t="s">
        <v>43</v>
      </c>
      <c r="G1181" s="63" t="s">
        <v>1409</v>
      </c>
      <c r="H1181" s="112" t="s">
        <v>52</v>
      </c>
      <c r="I1181" s="62" t="s">
        <v>235</v>
      </c>
      <c r="J1181" s="27">
        <v>22.240199999999998</v>
      </c>
      <c r="K1181" s="112"/>
      <c r="L1181" s="115">
        <f t="shared" si="116"/>
        <v>22.240199999999998</v>
      </c>
      <c r="M1181" s="115">
        <f t="shared" si="117"/>
        <v>0</v>
      </c>
      <c r="N1181" s="115"/>
      <c r="O1181" s="115"/>
      <c r="P1181" s="115"/>
      <c r="Q1181" s="115"/>
      <c r="R1181" s="115"/>
      <c r="S1181" s="115"/>
      <c r="T1181" s="115"/>
      <c r="U1181" s="27">
        <v>22.240199999999998</v>
      </c>
      <c r="V1181" s="22" t="s">
        <v>411</v>
      </c>
      <c r="W1181" s="112"/>
      <c r="X1181" s="113"/>
      <c r="Y1181" s="112"/>
      <c r="Z1181" s="112"/>
      <c r="AA1181" s="113"/>
      <c r="AB1181" s="113"/>
      <c r="AC1181" s="112"/>
      <c r="AD1181" s="112"/>
    </row>
    <row r="1182" spans="1:30" hidden="1">
      <c r="A1182" s="112">
        <v>1358</v>
      </c>
      <c r="B1182" s="113">
        <v>45278</v>
      </c>
      <c r="C1182" s="112"/>
      <c r="D1182" s="189" t="s">
        <v>42</v>
      </c>
      <c r="E1182" s="113">
        <v>45306</v>
      </c>
      <c r="F1182" s="114" t="s">
        <v>43</v>
      </c>
      <c r="G1182" s="63" t="s">
        <v>1409</v>
      </c>
      <c r="H1182" s="112" t="s">
        <v>52</v>
      </c>
      <c r="I1182" s="62" t="s">
        <v>100</v>
      </c>
      <c r="J1182" s="27">
        <v>48.156600000000005</v>
      </c>
      <c r="K1182" s="112"/>
      <c r="L1182" s="115">
        <f t="shared" si="116"/>
        <v>48.156600000000005</v>
      </c>
      <c r="M1182" s="115">
        <f t="shared" si="117"/>
        <v>0</v>
      </c>
      <c r="N1182" s="115"/>
      <c r="O1182" s="115"/>
      <c r="P1182" s="115"/>
      <c r="Q1182" s="115"/>
      <c r="R1182" s="115"/>
      <c r="S1182" s="115"/>
      <c r="T1182" s="115"/>
      <c r="U1182" s="27">
        <v>48.156600000000005</v>
      </c>
      <c r="V1182" s="22" t="s">
        <v>411</v>
      </c>
      <c r="W1182" s="112"/>
      <c r="X1182" s="113"/>
      <c r="Y1182" s="112"/>
      <c r="Z1182" s="112"/>
      <c r="AA1182" s="113"/>
      <c r="AB1182" s="113"/>
      <c r="AC1182" s="112"/>
      <c r="AD1182" s="112"/>
    </row>
    <row r="1183" spans="1:30" hidden="1">
      <c r="A1183" s="112">
        <v>1358</v>
      </c>
      <c r="B1183" s="113">
        <v>45278</v>
      </c>
      <c r="C1183" s="112"/>
      <c r="D1183" s="189" t="s">
        <v>42</v>
      </c>
      <c r="E1183" s="113">
        <v>45306</v>
      </c>
      <c r="F1183" s="114" t="s">
        <v>43</v>
      </c>
      <c r="G1183" s="63" t="s">
        <v>1409</v>
      </c>
      <c r="H1183" s="112" t="s">
        <v>52</v>
      </c>
      <c r="I1183" s="62" t="s">
        <v>96</v>
      </c>
      <c r="J1183" s="27">
        <v>29.867879999999996</v>
      </c>
      <c r="K1183" s="112"/>
      <c r="L1183" s="115">
        <f t="shared" si="116"/>
        <v>29.867879999999996</v>
      </c>
      <c r="M1183" s="115">
        <f t="shared" si="117"/>
        <v>0</v>
      </c>
      <c r="N1183" s="115"/>
      <c r="O1183" s="115"/>
      <c r="P1183" s="115"/>
      <c r="Q1183" s="115"/>
      <c r="R1183" s="115"/>
      <c r="S1183" s="115"/>
      <c r="T1183" s="115"/>
      <c r="U1183" s="27">
        <v>29.867879999999996</v>
      </c>
      <c r="V1183" s="22" t="s">
        <v>411</v>
      </c>
      <c r="W1183" s="112"/>
      <c r="X1183" s="113"/>
      <c r="Y1183" s="112"/>
      <c r="Z1183" s="112"/>
      <c r="AA1183" s="113"/>
      <c r="AB1183" s="113"/>
      <c r="AC1183" s="112"/>
      <c r="AD1183" s="112"/>
    </row>
    <row r="1184" spans="1:30" hidden="1">
      <c r="A1184" s="112">
        <v>1395</v>
      </c>
      <c r="B1184" s="113">
        <v>45288</v>
      </c>
      <c r="C1184" s="112"/>
      <c r="D1184" s="112"/>
      <c r="E1184" s="113">
        <v>45329</v>
      </c>
      <c r="F1184" s="112" t="s">
        <v>43</v>
      </c>
      <c r="G1184" s="116" t="s">
        <v>51</v>
      </c>
      <c r="H1184" s="112" t="s">
        <v>52</v>
      </c>
      <c r="I1184" s="52" t="s">
        <v>57</v>
      </c>
      <c r="J1184" s="117">
        <v>1.1174999999999999</v>
      </c>
      <c r="K1184" s="112"/>
      <c r="L1184" s="115">
        <f t="shared" ref="L1184:L1230" si="118">M1184+U1184</f>
        <v>1.1174999999999999</v>
      </c>
      <c r="M1184" s="115">
        <f t="shared" ref="M1184:M1230" si="119">SUM(N1184:T1184)</f>
        <v>0</v>
      </c>
      <c r="N1184" s="115"/>
      <c r="O1184" s="115"/>
      <c r="P1184" s="115"/>
      <c r="Q1184" s="115"/>
      <c r="R1184" s="115"/>
      <c r="S1184" s="115"/>
      <c r="T1184" s="115"/>
      <c r="U1184" s="117">
        <v>1.1174999999999999</v>
      </c>
      <c r="V1184" s="112" t="s">
        <v>1485</v>
      </c>
      <c r="W1184" s="112"/>
      <c r="X1184" s="113"/>
      <c r="Y1184" s="112"/>
      <c r="Z1184" s="112"/>
      <c r="AA1184" s="113"/>
      <c r="AB1184" s="113"/>
      <c r="AC1184" s="112"/>
      <c r="AD1184" s="112"/>
    </row>
    <row r="1185" spans="1:30" hidden="1">
      <c r="A1185" s="112">
        <v>1395</v>
      </c>
      <c r="B1185" s="113">
        <v>45288</v>
      </c>
      <c r="C1185" s="112"/>
      <c r="D1185" s="112"/>
      <c r="E1185" s="113">
        <v>45329</v>
      </c>
      <c r="F1185" s="112" t="s">
        <v>43</v>
      </c>
      <c r="G1185" s="116" t="s">
        <v>51</v>
      </c>
      <c r="H1185" s="112" t="s">
        <v>52</v>
      </c>
      <c r="I1185" s="52" t="s">
        <v>54</v>
      </c>
      <c r="J1185" s="117">
        <v>0.40848000000000001</v>
      </c>
      <c r="K1185" s="112"/>
      <c r="L1185" s="115">
        <f t="shared" si="118"/>
        <v>0.40848000000000001</v>
      </c>
      <c r="M1185" s="115">
        <f t="shared" si="119"/>
        <v>0</v>
      </c>
      <c r="N1185" s="115"/>
      <c r="O1185" s="115"/>
      <c r="P1185" s="115"/>
      <c r="Q1185" s="115"/>
      <c r="R1185" s="115"/>
      <c r="S1185" s="115"/>
      <c r="T1185" s="115"/>
      <c r="U1185" s="117">
        <v>0.40848000000000001</v>
      </c>
      <c r="V1185" s="112" t="s">
        <v>436</v>
      </c>
      <c r="W1185" s="112"/>
      <c r="X1185" s="113"/>
      <c r="Y1185" s="112"/>
      <c r="Z1185" s="112"/>
      <c r="AA1185" s="113"/>
      <c r="AB1185" s="113"/>
      <c r="AC1185" s="112"/>
      <c r="AD1185" s="112"/>
    </row>
    <row r="1186" spans="1:30" hidden="1">
      <c r="A1186" s="112">
        <v>1395</v>
      </c>
      <c r="B1186" s="113">
        <v>45288</v>
      </c>
      <c r="C1186" s="112"/>
      <c r="D1186" s="112"/>
      <c r="E1186" s="113">
        <v>45329</v>
      </c>
      <c r="F1186" s="112" t="s">
        <v>43</v>
      </c>
      <c r="G1186" s="116" t="s">
        <v>51</v>
      </c>
      <c r="H1186" s="112" t="s">
        <v>52</v>
      </c>
      <c r="I1186" s="52" t="s">
        <v>423</v>
      </c>
      <c r="J1186" s="117">
        <v>1.5422400000000001</v>
      </c>
      <c r="K1186" s="112"/>
      <c r="L1186" s="115">
        <f t="shared" si="118"/>
        <v>1.5422400000000001</v>
      </c>
      <c r="M1186" s="115">
        <f t="shared" si="119"/>
        <v>0</v>
      </c>
      <c r="N1186" s="115"/>
      <c r="O1186" s="115"/>
      <c r="P1186" s="115"/>
      <c r="Q1186" s="115"/>
      <c r="R1186" s="115"/>
      <c r="S1186" s="115"/>
      <c r="T1186" s="115"/>
      <c r="U1186" s="117">
        <v>1.5422400000000001</v>
      </c>
      <c r="V1186" s="112" t="s">
        <v>1485</v>
      </c>
      <c r="W1186" s="112"/>
      <c r="X1186" s="113"/>
      <c r="Y1186" s="112"/>
      <c r="Z1186" s="112"/>
      <c r="AA1186" s="113"/>
      <c r="AB1186" s="113"/>
      <c r="AC1186" s="112"/>
      <c r="AD1186" s="112"/>
    </row>
    <row r="1187" spans="1:30" hidden="1">
      <c r="A1187" s="112">
        <v>1395</v>
      </c>
      <c r="B1187" s="113">
        <v>45288</v>
      </c>
      <c r="C1187" s="112"/>
      <c r="D1187" s="112"/>
      <c r="E1187" s="113">
        <v>45329</v>
      </c>
      <c r="F1187" s="112" t="s">
        <v>43</v>
      </c>
      <c r="G1187" s="116" t="s">
        <v>51</v>
      </c>
      <c r="H1187" s="112" t="s">
        <v>52</v>
      </c>
      <c r="I1187" s="52" t="s">
        <v>1426</v>
      </c>
      <c r="J1187" s="117">
        <v>6.3E-2</v>
      </c>
      <c r="K1187" s="112"/>
      <c r="L1187" s="115">
        <f t="shared" si="118"/>
        <v>6.3E-2</v>
      </c>
      <c r="M1187" s="115">
        <f t="shared" si="119"/>
        <v>6.3E-2</v>
      </c>
      <c r="N1187" s="115"/>
      <c r="O1187" s="115"/>
      <c r="P1187" s="115"/>
      <c r="Q1187" s="115"/>
      <c r="R1187" s="117">
        <v>6.3E-2</v>
      </c>
      <c r="S1187" s="115"/>
      <c r="T1187" s="117"/>
      <c r="U1187" s="117"/>
      <c r="V1187" s="112" t="s">
        <v>1485</v>
      </c>
      <c r="W1187" s="112"/>
      <c r="X1187" s="8">
        <v>45293</v>
      </c>
      <c r="Y1187" s="112"/>
      <c r="Z1187" s="112"/>
      <c r="AA1187" s="113"/>
      <c r="AB1187" s="113"/>
      <c r="AC1187" s="112"/>
      <c r="AD1187" s="112"/>
    </row>
    <row r="1188" spans="1:30" hidden="1">
      <c r="A1188" s="112">
        <v>1395</v>
      </c>
      <c r="B1188" s="113">
        <v>45288</v>
      </c>
      <c r="C1188" s="112"/>
      <c r="D1188" s="112"/>
      <c r="E1188" s="113">
        <v>45329</v>
      </c>
      <c r="F1188" s="112" t="s">
        <v>43</v>
      </c>
      <c r="G1188" s="116" t="s">
        <v>51</v>
      </c>
      <c r="H1188" s="112" t="s">
        <v>52</v>
      </c>
      <c r="I1188" s="52" t="s">
        <v>473</v>
      </c>
      <c r="J1188" s="117">
        <v>0.97920000000000007</v>
      </c>
      <c r="K1188" s="112"/>
      <c r="L1188" s="115">
        <f t="shared" si="118"/>
        <v>0.97920000000000007</v>
      </c>
      <c r="M1188" s="115">
        <f t="shared" si="119"/>
        <v>0</v>
      </c>
      <c r="N1188" s="115"/>
      <c r="O1188" s="115"/>
      <c r="P1188" s="115"/>
      <c r="Q1188" s="115"/>
      <c r="R1188" s="115"/>
      <c r="S1188" s="115"/>
      <c r="T1188" s="115"/>
      <c r="U1188" s="117">
        <v>0.97920000000000007</v>
      </c>
      <c r="V1188" s="112" t="s">
        <v>1485</v>
      </c>
      <c r="W1188" s="112"/>
      <c r="X1188" s="113"/>
      <c r="Y1188" s="112"/>
      <c r="Z1188" s="112"/>
      <c r="AA1188" s="113"/>
      <c r="AB1188" s="113"/>
      <c r="AC1188" s="112"/>
      <c r="AD1188" s="112"/>
    </row>
    <row r="1189" spans="1:30" hidden="1">
      <c r="A1189" s="112">
        <v>1395</v>
      </c>
      <c r="B1189" s="113">
        <v>45288</v>
      </c>
      <c r="C1189" s="112"/>
      <c r="D1189" s="112"/>
      <c r="E1189" s="113">
        <v>45329</v>
      </c>
      <c r="F1189" s="112" t="s">
        <v>43</v>
      </c>
      <c r="G1189" s="116" t="s">
        <v>51</v>
      </c>
      <c r="H1189" s="112" t="s">
        <v>52</v>
      </c>
      <c r="I1189" s="52" t="s">
        <v>671</v>
      </c>
      <c r="J1189" s="117">
        <v>3.4710000000000001</v>
      </c>
      <c r="K1189" s="112"/>
      <c r="L1189" s="115">
        <f t="shared" si="118"/>
        <v>3.4710000000000001</v>
      </c>
      <c r="M1189" s="115">
        <f t="shared" si="119"/>
        <v>0</v>
      </c>
      <c r="N1189" s="115"/>
      <c r="O1189" s="115"/>
      <c r="P1189" s="115"/>
      <c r="Q1189" s="115"/>
      <c r="R1189" s="115"/>
      <c r="S1189" s="115"/>
      <c r="T1189" s="115"/>
      <c r="U1189" s="117">
        <v>3.4710000000000001</v>
      </c>
      <c r="V1189" s="112" t="s">
        <v>1485</v>
      </c>
      <c r="W1189" s="112"/>
      <c r="X1189" s="113"/>
      <c r="Y1189" s="112"/>
      <c r="Z1189" s="112"/>
      <c r="AA1189" s="113"/>
      <c r="AB1189" s="113"/>
      <c r="AC1189" s="112"/>
      <c r="AD1189" s="112"/>
    </row>
    <row r="1190" spans="1:30" hidden="1">
      <c r="A1190" s="112">
        <v>1395</v>
      </c>
      <c r="B1190" s="113">
        <v>45288</v>
      </c>
      <c r="C1190" s="112"/>
      <c r="D1190" s="112"/>
      <c r="E1190" s="113">
        <v>45329</v>
      </c>
      <c r="F1190" s="112" t="s">
        <v>43</v>
      </c>
      <c r="G1190" s="116" t="s">
        <v>51</v>
      </c>
      <c r="H1190" s="112" t="s">
        <v>52</v>
      </c>
      <c r="I1190" s="52" t="s">
        <v>235</v>
      </c>
      <c r="J1190" s="117">
        <v>0.67159999999999997</v>
      </c>
      <c r="K1190" s="112"/>
      <c r="L1190" s="115">
        <f t="shared" si="118"/>
        <v>0.67159999999999997</v>
      </c>
      <c r="M1190" s="115">
        <f t="shared" si="119"/>
        <v>0</v>
      </c>
      <c r="N1190" s="115"/>
      <c r="O1190" s="115"/>
      <c r="P1190" s="115"/>
      <c r="Q1190" s="115"/>
      <c r="R1190" s="115"/>
      <c r="S1190" s="115"/>
      <c r="T1190" s="115"/>
      <c r="U1190" s="117">
        <v>0.67159999999999997</v>
      </c>
      <c r="V1190" s="112" t="s">
        <v>1485</v>
      </c>
      <c r="W1190" s="112"/>
      <c r="X1190" s="113"/>
      <c r="Y1190" s="112"/>
      <c r="Z1190" s="112"/>
      <c r="AA1190" s="113"/>
      <c r="AB1190" s="113"/>
      <c r="AC1190" s="112"/>
      <c r="AD1190" s="112"/>
    </row>
    <row r="1191" spans="1:30" hidden="1">
      <c r="A1191" s="112">
        <v>1395</v>
      </c>
      <c r="B1191" s="113">
        <v>45288</v>
      </c>
      <c r="C1191" s="112"/>
      <c r="D1191" s="112"/>
      <c r="E1191" s="113">
        <v>45329</v>
      </c>
      <c r="F1191" s="112" t="s">
        <v>43</v>
      </c>
      <c r="G1191" s="116" t="s">
        <v>51</v>
      </c>
      <c r="H1191" s="112" t="s">
        <v>52</v>
      </c>
      <c r="I1191" s="52" t="s">
        <v>89</v>
      </c>
      <c r="J1191" s="117">
        <v>8.3199999999999996E-2</v>
      </c>
      <c r="K1191" s="112"/>
      <c r="L1191" s="115">
        <f t="shared" si="118"/>
        <v>8.3199999999999996E-2</v>
      </c>
      <c r="M1191" s="115">
        <f t="shared" si="119"/>
        <v>0</v>
      </c>
      <c r="N1191" s="115"/>
      <c r="O1191" s="115"/>
      <c r="P1191" s="115"/>
      <c r="Q1191" s="115"/>
      <c r="R1191" s="115"/>
      <c r="S1191" s="115"/>
      <c r="T1191" s="115"/>
      <c r="U1191" s="117">
        <v>8.3199999999999996E-2</v>
      </c>
      <c r="V1191" s="112" t="s">
        <v>436</v>
      </c>
      <c r="W1191" s="112"/>
      <c r="X1191" s="113"/>
      <c r="Y1191" s="112"/>
      <c r="Z1191" s="112"/>
      <c r="AA1191" s="113"/>
      <c r="AB1191" s="113"/>
      <c r="AC1191" s="112"/>
      <c r="AD1191" s="112"/>
    </row>
    <row r="1192" spans="1:30" hidden="1">
      <c r="A1192" s="112">
        <v>1395</v>
      </c>
      <c r="B1192" s="113">
        <v>45288</v>
      </c>
      <c r="C1192" s="112"/>
      <c r="D1192" s="112"/>
      <c r="E1192" s="113">
        <v>45329</v>
      </c>
      <c r="F1192" s="112" t="s">
        <v>43</v>
      </c>
      <c r="G1192" s="116" t="s">
        <v>51</v>
      </c>
      <c r="H1192" s="112" t="s">
        <v>52</v>
      </c>
      <c r="I1192" s="52" t="s">
        <v>97</v>
      </c>
      <c r="J1192" s="117">
        <v>0.74520000000000008</v>
      </c>
      <c r="K1192" s="112"/>
      <c r="L1192" s="115">
        <f t="shared" si="118"/>
        <v>0.74520000000000008</v>
      </c>
      <c r="M1192" s="115">
        <f t="shared" si="119"/>
        <v>0</v>
      </c>
      <c r="N1192" s="115"/>
      <c r="O1192" s="115"/>
      <c r="P1192" s="115"/>
      <c r="Q1192" s="115"/>
      <c r="R1192" s="115"/>
      <c r="S1192" s="115"/>
      <c r="T1192" s="115"/>
      <c r="U1192" s="117">
        <v>0.74520000000000008</v>
      </c>
      <c r="V1192" s="112" t="s">
        <v>1485</v>
      </c>
      <c r="W1192" s="112"/>
      <c r="X1192" s="113"/>
      <c r="Y1192" s="112"/>
      <c r="Z1192" s="112"/>
      <c r="AA1192" s="113"/>
      <c r="AB1192" s="113"/>
      <c r="AC1192" s="112"/>
      <c r="AD1192" s="112"/>
    </row>
    <row r="1193" spans="1:30">
      <c r="A1193" s="112">
        <v>1396</v>
      </c>
      <c r="B1193" s="113">
        <v>45288</v>
      </c>
      <c r="C1193" s="112"/>
      <c r="D1193" s="112"/>
      <c r="E1193" s="113">
        <v>45306</v>
      </c>
      <c r="F1193" s="114" t="s">
        <v>43</v>
      </c>
      <c r="G1193" s="63" t="s">
        <v>20</v>
      </c>
      <c r="H1193" s="112" t="s">
        <v>45</v>
      </c>
      <c r="I1193" s="52" t="s">
        <v>57</v>
      </c>
      <c r="J1193" s="117">
        <v>0.72</v>
      </c>
      <c r="K1193" s="112"/>
      <c r="L1193" s="115">
        <f t="shared" si="118"/>
        <v>0.72</v>
      </c>
      <c r="M1193" s="115">
        <f t="shared" si="119"/>
        <v>0</v>
      </c>
      <c r="N1193" s="115"/>
      <c r="O1193" s="115"/>
      <c r="P1193" s="115"/>
      <c r="Q1193" s="115"/>
      <c r="R1193" s="115"/>
      <c r="S1193" s="115"/>
      <c r="T1193" s="115"/>
      <c r="U1193" s="117">
        <v>0.72</v>
      </c>
      <c r="V1193" s="112" t="s">
        <v>1487</v>
      </c>
      <c r="W1193" s="112"/>
      <c r="X1193" s="113"/>
      <c r="Y1193" s="112"/>
      <c r="Z1193" s="112"/>
      <c r="AA1193" s="113"/>
      <c r="AB1193" s="113"/>
      <c r="AC1193" s="112"/>
      <c r="AD1193" s="112"/>
    </row>
    <row r="1194" spans="1:30">
      <c r="A1194" s="112">
        <v>1396</v>
      </c>
      <c r="B1194" s="113">
        <v>45288</v>
      </c>
      <c r="C1194" s="112"/>
      <c r="D1194" s="112"/>
      <c r="E1194" s="113">
        <v>45306</v>
      </c>
      <c r="F1194" s="114" t="s">
        <v>43</v>
      </c>
      <c r="G1194" s="63" t="s">
        <v>20</v>
      </c>
      <c r="H1194" s="112" t="s">
        <v>45</v>
      </c>
      <c r="I1194" s="52" t="s">
        <v>54</v>
      </c>
      <c r="J1194" s="117">
        <v>1.4445599999999998</v>
      </c>
      <c r="K1194" s="112"/>
      <c r="L1194" s="115">
        <f t="shared" si="118"/>
        <v>1.4445599999999998</v>
      </c>
      <c r="M1194" s="115">
        <f t="shared" si="119"/>
        <v>0</v>
      </c>
      <c r="N1194" s="115"/>
      <c r="O1194" s="115"/>
      <c r="P1194" s="115"/>
      <c r="Q1194" s="115"/>
      <c r="R1194" s="115"/>
      <c r="S1194" s="115"/>
      <c r="T1194" s="115"/>
      <c r="U1194" s="117">
        <v>1.4445599999999998</v>
      </c>
      <c r="V1194" s="112" t="s">
        <v>1487</v>
      </c>
      <c r="W1194" s="112"/>
      <c r="X1194" s="113"/>
      <c r="Y1194" s="112"/>
      <c r="Z1194" s="112"/>
      <c r="AA1194" s="113"/>
      <c r="AB1194" s="113"/>
      <c r="AC1194" s="112"/>
      <c r="AD1194" s="112"/>
    </row>
    <row r="1195" spans="1:30">
      <c r="A1195" s="112">
        <v>1396</v>
      </c>
      <c r="B1195" s="113">
        <v>45288</v>
      </c>
      <c r="C1195" s="112"/>
      <c r="D1195" s="112"/>
      <c r="E1195" s="113">
        <v>45306</v>
      </c>
      <c r="F1195" s="114" t="s">
        <v>43</v>
      </c>
      <c r="G1195" s="63" t="s">
        <v>20</v>
      </c>
      <c r="H1195" s="112" t="s">
        <v>45</v>
      </c>
      <c r="I1195" s="52" t="s">
        <v>56</v>
      </c>
      <c r="J1195" s="117">
        <v>1.1588399999999999</v>
      </c>
      <c r="K1195" s="112"/>
      <c r="L1195" s="115">
        <f t="shared" si="118"/>
        <v>1.1588399999999999</v>
      </c>
      <c r="M1195" s="115">
        <f t="shared" si="119"/>
        <v>0</v>
      </c>
      <c r="N1195" s="115"/>
      <c r="O1195" s="115"/>
      <c r="P1195" s="115"/>
      <c r="Q1195" s="115"/>
      <c r="R1195" s="115"/>
      <c r="S1195" s="115"/>
      <c r="T1195" s="115"/>
      <c r="U1195" s="117">
        <v>1.1588399999999999</v>
      </c>
      <c r="V1195" s="112" t="s">
        <v>1487</v>
      </c>
      <c r="W1195" s="112"/>
      <c r="X1195" s="113"/>
      <c r="Y1195" s="112"/>
      <c r="Z1195" s="112"/>
      <c r="AA1195" s="113"/>
      <c r="AB1195" s="113"/>
      <c r="AC1195" s="112"/>
      <c r="AD1195" s="112"/>
    </row>
    <row r="1196" spans="1:30">
      <c r="A1196" s="112">
        <v>1396</v>
      </c>
      <c r="B1196" s="113">
        <v>45288</v>
      </c>
      <c r="C1196" s="112"/>
      <c r="D1196" s="112"/>
      <c r="E1196" s="113">
        <v>45306</v>
      </c>
      <c r="F1196" s="114" t="s">
        <v>43</v>
      </c>
      <c r="G1196" s="63" t="s">
        <v>20</v>
      </c>
      <c r="H1196" s="112" t="s">
        <v>45</v>
      </c>
      <c r="I1196" s="52" t="s">
        <v>48</v>
      </c>
      <c r="J1196" s="117">
        <v>2.4888000000000003</v>
      </c>
      <c r="K1196" s="112"/>
      <c r="L1196" s="115">
        <f t="shared" si="118"/>
        <v>2.4888000000000003</v>
      </c>
      <c r="M1196" s="115">
        <f t="shared" si="119"/>
        <v>0</v>
      </c>
      <c r="N1196" s="115"/>
      <c r="O1196" s="115"/>
      <c r="P1196" s="115"/>
      <c r="Q1196" s="115"/>
      <c r="R1196" s="115"/>
      <c r="S1196" s="115"/>
      <c r="T1196" s="115"/>
      <c r="U1196" s="117">
        <v>2.4888000000000003</v>
      </c>
      <c r="V1196" s="112" t="s">
        <v>1487</v>
      </c>
      <c r="W1196" s="112"/>
      <c r="X1196" s="113"/>
      <c r="Y1196" s="112"/>
      <c r="Z1196" s="112"/>
      <c r="AA1196" s="113"/>
      <c r="AB1196" s="113"/>
      <c r="AC1196" s="112"/>
      <c r="AD1196" s="112"/>
    </row>
    <row r="1197" spans="1:30">
      <c r="A1197" s="112">
        <v>1396</v>
      </c>
      <c r="B1197" s="113">
        <v>45288</v>
      </c>
      <c r="C1197" s="112"/>
      <c r="D1197" s="112"/>
      <c r="E1197" s="113">
        <v>45306</v>
      </c>
      <c r="F1197" s="114" t="s">
        <v>43</v>
      </c>
      <c r="G1197" s="63" t="s">
        <v>20</v>
      </c>
      <c r="H1197" s="112" t="s">
        <v>45</v>
      </c>
      <c r="I1197" s="52" t="s">
        <v>403</v>
      </c>
      <c r="J1197" s="117">
        <v>0.39912000000000003</v>
      </c>
      <c r="K1197" s="112"/>
      <c r="L1197" s="115">
        <f t="shared" si="118"/>
        <v>0.39912000000000003</v>
      </c>
      <c r="M1197" s="115">
        <f t="shared" si="119"/>
        <v>0</v>
      </c>
      <c r="N1197" s="115"/>
      <c r="O1197" s="115"/>
      <c r="P1197" s="115"/>
      <c r="Q1197" s="115"/>
      <c r="R1197" s="115"/>
      <c r="S1197" s="115"/>
      <c r="T1197" s="115"/>
      <c r="U1197" s="117">
        <v>0.39912000000000003</v>
      </c>
      <c r="V1197" s="112" t="s">
        <v>1487</v>
      </c>
      <c r="W1197" s="112"/>
      <c r="X1197" s="113"/>
      <c r="Y1197" s="112"/>
      <c r="Z1197" s="112"/>
      <c r="AA1197" s="113"/>
      <c r="AB1197" s="113"/>
      <c r="AC1197" s="112"/>
      <c r="AD1197" s="112"/>
    </row>
    <row r="1198" spans="1:30">
      <c r="A1198" s="112">
        <v>1396</v>
      </c>
      <c r="B1198" s="113">
        <v>45288</v>
      </c>
      <c r="C1198" s="112"/>
      <c r="D1198" s="112"/>
      <c r="E1198" s="113">
        <v>45306</v>
      </c>
      <c r="F1198" s="114" t="s">
        <v>43</v>
      </c>
      <c r="G1198" s="63" t="s">
        <v>20</v>
      </c>
      <c r="H1198" s="112" t="s">
        <v>45</v>
      </c>
      <c r="I1198" s="52" t="s">
        <v>844</v>
      </c>
      <c r="J1198" s="117">
        <v>0.47232000000000002</v>
      </c>
      <c r="K1198" s="112"/>
      <c r="L1198" s="115">
        <f t="shared" si="118"/>
        <v>0.47232000000000002</v>
      </c>
      <c r="M1198" s="115">
        <f t="shared" si="119"/>
        <v>0</v>
      </c>
      <c r="N1198" s="115"/>
      <c r="O1198" s="115"/>
      <c r="P1198" s="115"/>
      <c r="Q1198" s="115"/>
      <c r="R1198" s="115"/>
      <c r="S1198" s="115"/>
      <c r="T1198" s="115"/>
      <c r="U1198" s="117">
        <v>0.47232000000000002</v>
      </c>
      <c r="V1198" s="112" t="s">
        <v>1487</v>
      </c>
      <c r="W1198" s="112"/>
      <c r="X1198" s="113"/>
      <c r="Y1198" s="112"/>
      <c r="Z1198" s="112"/>
      <c r="AA1198" s="113"/>
      <c r="AB1198" s="113"/>
      <c r="AC1198" s="112"/>
      <c r="AD1198" s="112"/>
    </row>
    <row r="1199" spans="1:30">
      <c r="A1199" s="112">
        <v>1396</v>
      </c>
      <c r="B1199" s="113">
        <v>45288</v>
      </c>
      <c r="C1199" s="112"/>
      <c r="D1199" s="112"/>
      <c r="E1199" s="113">
        <v>45306</v>
      </c>
      <c r="F1199" s="114" t="s">
        <v>43</v>
      </c>
      <c r="G1199" s="63" t="s">
        <v>20</v>
      </c>
      <c r="H1199" s="112" t="s">
        <v>45</v>
      </c>
      <c r="I1199" s="52" t="s">
        <v>46</v>
      </c>
      <c r="J1199" s="117">
        <v>0.32256000000000001</v>
      </c>
      <c r="K1199" s="112"/>
      <c r="L1199" s="115">
        <f t="shared" si="118"/>
        <v>0.32256000000000001</v>
      </c>
      <c r="M1199" s="115">
        <f t="shared" si="119"/>
        <v>0</v>
      </c>
      <c r="N1199" s="115"/>
      <c r="O1199" s="115"/>
      <c r="P1199" s="115"/>
      <c r="Q1199" s="115"/>
      <c r="R1199" s="115"/>
      <c r="S1199" s="115"/>
      <c r="T1199" s="115"/>
      <c r="U1199" s="117">
        <v>0.32256000000000001</v>
      </c>
      <c r="V1199" s="112" t="s">
        <v>1487</v>
      </c>
      <c r="W1199" s="112"/>
      <c r="X1199" s="113"/>
      <c r="Y1199" s="112"/>
      <c r="Z1199" s="112"/>
      <c r="AA1199" s="113"/>
      <c r="AB1199" s="113"/>
      <c r="AC1199" s="112"/>
      <c r="AD1199" s="112"/>
    </row>
    <row r="1200" spans="1:30">
      <c r="A1200" s="112">
        <v>1396</v>
      </c>
      <c r="B1200" s="113">
        <v>45288</v>
      </c>
      <c r="C1200" s="112"/>
      <c r="D1200" s="112"/>
      <c r="E1200" s="113">
        <v>45306</v>
      </c>
      <c r="F1200" s="114" t="s">
        <v>43</v>
      </c>
      <c r="G1200" s="63" t="s">
        <v>20</v>
      </c>
      <c r="H1200" s="112" t="s">
        <v>45</v>
      </c>
      <c r="I1200" s="52" t="s">
        <v>50</v>
      </c>
      <c r="J1200" s="117">
        <v>0.35304000000000002</v>
      </c>
      <c r="K1200" s="112"/>
      <c r="L1200" s="115">
        <f t="shared" si="118"/>
        <v>0.35304000000000002</v>
      </c>
      <c r="M1200" s="115">
        <f t="shared" si="119"/>
        <v>0</v>
      </c>
      <c r="N1200" s="115"/>
      <c r="O1200" s="115"/>
      <c r="P1200" s="115"/>
      <c r="Q1200" s="115"/>
      <c r="R1200" s="115"/>
      <c r="S1200" s="115"/>
      <c r="T1200" s="115"/>
      <c r="U1200" s="117">
        <v>0.35304000000000002</v>
      </c>
      <c r="V1200" s="112" t="s">
        <v>1487</v>
      </c>
      <c r="W1200" s="112"/>
      <c r="X1200" s="113"/>
      <c r="Y1200" s="112"/>
      <c r="Z1200" s="112"/>
      <c r="AA1200" s="113"/>
      <c r="AB1200" s="113"/>
      <c r="AC1200" s="112"/>
      <c r="AD1200" s="112"/>
    </row>
    <row r="1201" spans="1:30">
      <c r="A1201" s="112">
        <v>1396</v>
      </c>
      <c r="B1201" s="113">
        <v>45288</v>
      </c>
      <c r="C1201" s="112"/>
      <c r="D1201" s="112"/>
      <c r="E1201" s="113">
        <v>45306</v>
      </c>
      <c r="F1201" s="114" t="s">
        <v>43</v>
      </c>
      <c r="G1201" s="63" t="s">
        <v>20</v>
      </c>
      <c r="H1201" s="112" t="s">
        <v>45</v>
      </c>
      <c r="I1201" s="52" t="s">
        <v>407</v>
      </c>
      <c r="J1201" s="117">
        <v>0.9456</v>
      </c>
      <c r="K1201" s="112"/>
      <c r="L1201" s="115">
        <f t="shared" si="118"/>
        <v>0.9456</v>
      </c>
      <c r="M1201" s="115">
        <f t="shared" si="119"/>
        <v>0</v>
      </c>
      <c r="N1201" s="115"/>
      <c r="O1201" s="115"/>
      <c r="P1201" s="115"/>
      <c r="Q1201" s="115"/>
      <c r="R1201" s="115"/>
      <c r="S1201" s="115"/>
      <c r="T1201" s="115"/>
      <c r="U1201" s="117">
        <v>0.9456</v>
      </c>
      <c r="V1201" s="112" t="s">
        <v>1487</v>
      </c>
      <c r="W1201" s="112"/>
      <c r="X1201" s="113"/>
      <c r="Y1201" s="112"/>
      <c r="Z1201" s="112"/>
      <c r="AA1201" s="113"/>
      <c r="AB1201" s="113"/>
      <c r="AC1201" s="112"/>
      <c r="AD1201" s="112"/>
    </row>
    <row r="1202" spans="1:30">
      <c r="A1202" s="112">
        <v>1396</v>
      </c>
      <c r="B1202" s="113">
        <v>45288</v>
      </c>
      <c r="C1202" s="112"/>
      <c r="D1202" s="112"/>
      <c r="E1202" s="113">
        <v>45306</v>
      </c>
      <c r="F1202" s="114" t="s">
        <v>43</v>
      </c>
      <c r="G1202" s="63" t="s">
        <v>20</v>
      </c>
      <c r="H1202" s="112" t="s">
        <v>45</v>
      </c>
      <c r="I1202" s="52" t="s">
        <v>47</v>
      </c>
      <c r="J1202" s="117">
        <v>0.71599999999999997</v>
      </c>
      <c r="K1202" s="112"/>
      <c r="L1202" s="115">
        <f t="shared" si="118"/>
        <v>0.71599999999999997</v>
      </c>
      <c r="M1202" s="115">
        <f t="shared" si="119"/>
        <v>0</v>
      </c>
      <c r="N1202" s="115"/>
      <c r="O1202" s="115"/>
      <c r="P1202" s="115"/>
      <c r="Q1202" s="115"/>
      <c r="R1202" s="115"/>
      <c r="S1202" s="115"/>
      <c r="T1202" s="115"/>
      <c r="U1202" s="117">
        <v>0.71599999999999997</v>
      </c>
      <c r="V1202" s="112" t="s">
        <v>1487</v>
      </c>
      <c r="W1202" s="112"/>
      <c r="X1202" s="113"/>
      <c r="Y1202" s="112"/>
      <c r="Z1202" s="112"/>
      <c r="AA1202" s="113"/>
      <c r="AB1202" s="113"/>
      <c r="AC1202" s="112"/>
      <c r="AD1202" s="112"/>
    </row>
    <row r="1203" spans="1:30">
      <c r="A1203" s="112">
        <v>1396</v>
      </c>
      <c r="B1203" s="113">
        <v>45288</v>
      </c>
      <c r="C1203" s="112"/>
      <c r="D1203" s="112"/>
      <c r="E1203" s="113">
        <v>45306</v>
      </c>
      <c r="F1203" s="114" t="s">
        <v>43</v>
      </c>
      <c r="G1203" s="63" t="s">
        <v>20</v>
      </c>
      <c r="H1203" s="112" t="s">
        <v>45</v>
      </c>
      <c r="I1203" s="52" t="s">
        <v>517</v>
      </c>
      <c r="J1203" s="117">
        <v>1.365</v>
      </c>
      <c r="K1203" s="112"/>
      <c r="L1203" s="115">
        <f t="shared" si="118"/>
        <v>1.365</v>
      </c>
      <c r="M1203" s="115">
        <f t="shared" si="119"/>
        <v>1.365</v>
      </c>
      <c r="N1203" s="115"/>
      <c r="O1203" s="117"/>
      <c r="P1203" s="117">
        <v>1.365</v>
      </c>
      <c r="Q1203" s="115"/>
      <c r="R1203" s="115"/>
      <c r="S1203" s="115"/>
      <c r="T1203" s="117"/>
      <c r="U1203" s="117"/>
      <c r="V1203" s="112" t="s">
        <v>1487</v>
      </c>
      <c r="W1203" s="112"/>
      <c r="X1203" s="8">
        <v>45295</v>
      </c>
      <c r="Y1203" s="112"/>
      <c r="Z1203" s="112"/>
      <c r="AA1203" s="113"/>
      <c r="AB1203" s="113"/>
      <c r="AC1203" s="112"/>
      <c r="AD1203" s="112"/>
    </row>
    <row r="1204" spans="1:30">
      <c r="A1204" s="112">
        <v>1396</v>
      </c>
      <c r="B1204" s="113">
        <v>45288</v>
      </c>
      <c r="C1204" s="112"/>
      <c r="D1204" s="112"/>
      <c r="E1204" s="113">
        <v>45306</v>
      </c>
      <c r="F1204" s="114" t="s">
        <v>43</v>
      </c>
      <c r="G1204" s="63" t="s">
        <v>20</v>
      </c>
      <c r="H1204" s="112" t="s">
        <v>45</v>
      </c>
      <c r="I1204" s="52" t="s">
        <v>448</v>
      </c>
      <c r="J1204" s="117">
        <v>1.0816000000000001</v>
      </c>
      <c r="K1204" s="112"/>
      <c r="L1204" s="115">
        <f t="shared" si="118"/>
        <v>1.0816000000000001</v>
      </c>
      <c r="M1204" s="115">
        <f t="shared" si="119"/>
        <v>1.0816000000000001</v>
      </c>
      <c r="N1204" s="115"/>
      <c r="O1204" s="115"/>
      <c r="P1204" s="235">
        <v>1.0816000000000001</v>
      </c>
      <c r="Q1204" s="115"/>
      <c r="R1204" s="115"/>
      <c r="S1204" s="115"/>
      <c r="T1204" s="235"/>
      <c r="U1204" s="117"/>
      <c r="V1204" s="112" t="s">
        <v>1487</v>
      </c>
      <c r="W1204" s="112"/>
      <c r="X1204" s="8">
        <v>45295</v>
      </c>
      <c r="Y1204" s="112"/>
      <c r="Z1204" s="112"/>
      <c r="AA1204" s="113"/>
      <c r="AB1204" s="113"/>
      <c r="AC1204" s="112"/>
      <c r="AD1204" s="112"/>
    </row>
    <row r="1205" spans="1:30">
      <c r="A1205" s="112">
        <v>1396</v>
      </c>
      <c r="B1205" s="113">
        <v>45288</v>
      </c>
      <c r="C1205" s="112"/>
      <c r="D1205" s="112"/>
      <c r="E1205" s="113">
        <v>45306</v>
      </c>
      <c r="F1205" s="114" t="s">
        <v>43</v>
      </c>
      <c r="G1205" s="63" t="s">
        <v>20</v>
      </c>
      <c r="H1205" s="112" t="s">
        <v>45</v>
      </c>
      <c r="I1205" s="52" t="s">
        <v>95</v>
      </c>
      <c r="J1205" s="117">
        <v>1.2887999999999999</v>
      </c>
      <c r="K1205" s="112"/>
      <c r="L1205" s="115">
        <f t="shared" si="118"/>
        <v>1.2887999999999999</v>
      </c>
      <c r="M1205" s="115">
        <f t="shared" si="119"/>
        <v>1.2887999999999999</v>
      </c>
      <c r="N1205" s="115"/>
      <c r="O1205" s="117"/>
      <c r="P1205" s="117">
        <v>1.2887999999999999</v>
      </c>
      <c r="Q1205" s="115"/>
      <c r="R1205" s="115"/>
      <c r="S1205" s="115"/>
      <c r="T1205" s="117"/>
      <c r="U1205" s="117"/>
      <c r="V1205" s="112" t="s">
        <v>1487</v>
      </c>
      <c r="W1205" s="112"/>
      <c r="X1205" s="8">
        <v>45293</v>
      </c>
      <c r="Y1205" s="112"/>
      <c r="Z1205" s="112"/>
      <c r="AA1205" s="113"/>
      <c r="AB1205" s="113"/>
      <c r="AC1205" s="112"/>
      <c r="AD1205" s="112"/>
    </row>
    <row r="1206" spans="1:30">
      <c r="A1206" s="112">
        <v>1396</v>
      </c>
      <c r="B1206" s="113">
        <v>45288</v>
      </c>
      <c r="C1206" s="112"/>
      <c r="D1206" s="112"/>
      <c r="E1206" s="113">
        <v>45306</v>
      </c>
      <c r="F1206" s="114" t="s">
        <v>43</v>
      </c>
      <c r="G1206" s="63" t="s">
        <v>20</v>
      </c>
      <c r="H1206" s="112" t="s">
        <v>45</v>
      </c>
      <c r="I1206" s="52" t="s">
        <v>1426</v>
      </c>
      <c r="J1206" s="117">
        <v>0.91871999999999998</v>
      </c>
      <c r="K1206" s="112"/>
      <c r="L1206" s="115">
        <f t="shared" si="118"/>
        <v>0.91871999999999998</v>
      </c>
      <c r="M1206" s="115">
        <f t="shared" si="119"/>
        <v>0.91871999999999998</v>
      </c>
      <c r="N1206" s="115"/>
      <c r="O1206" s="117"/>
      <c r="P1206" s="117">
        <v>0.91871999999999998</v>
      </c>
      <c r="Q1206" s="115"/>
      <c r="R1206" s="115"/>
      <c r="S1206" s="115"/>
      <c r="T1206" s="117"/>
      <c r="U1206" s="117"/>
      <c r="V1206" s="112" t="s">
        <v>1487</v>
      </c>
      <c r="W1206" s="112"/>
      <c r="X1206" s="8">
        <v>45293</v>
      </c>
      <c r="Y1206" s="112"/>
      <c r="Z1206" s="112"/>
      <c r="AA1206" s="113"/>
      <c r="AB1206" s="113"/>
      <c r="AC1206" s="112"/>
      <c r="AD1206" s="112"/>
    </row>
    <row r="1207" spans="1:30">
      <c r="A1207" s="123">
        <v>1396</v>
      </c>
      <c r="B1207" s="124">
        <v>45288</v>
      </c>
      <c r="C1207" s="123"/>
      <c r="D1207" s="123"/>
      <c r="E1207" s="124">
        <v>45306</v>
      </c>
      <c r="F1207" s="119" t="s">
        <v>43</v>
      </c>
      <c r="G1207" s="63" t="s">
        <v>20</v>
      </c>
      <c r="H1207" s="123" t="s">
        <v>45</v>
      </c>
      <c r="I1207" s="25" t="s">
        <v>1486</v>
      </c>
      <c r="J1207" s="194">
        <v>8.3599999999999994E-2</v>
      </c>
      <c r="K1207" s="123"/>
      <c r="L1207" s="172">
        <f t="shared" si="118"/>
        <v>8.3599999999999994E-2</v>
      </c>
      <c r="M1207" s="172">
        <f t="shared" si="119"/>
        <v>0</v>
      </c>
      <c r="N1207" s="172"/>
      <c r="O1207" s="172"/>
      <c r="P1207" s="172"/>
      <c r="Q1207" s="172"/>
      <c r="R1207" s="172"/>
      <c r="S1207" s="172"/>
      <c r="T1207" s="172"/>
      <c r="U1207" s="194">
        <v>8.3599999999999994E-2</v>
      </c>
      <c r="V1207" s="123" t="s">
        <v>1487</v>
      </c>
      <c r="W1207" s="123" t="s">
        <v>1489</v>
      </c>
      <c r="X1207" s="113"/>
      <c r="Y1207" s="112"/>
      <c r="Z1207" s="112"/>
      <c r="AA1207" s="113"/>
      <c r="AB1207" s="113"/>
      <c r="AC1207" s="112"/>
      <c r="AD1207" s="112"/>
    </row>
    <row r="1208" spans="1:30">
      <c r="A1208" s="112">
        <v>1396</v>
      </c>
      <c r="B1208" s="113">
        <v>45288</v>
      </c>
      <c r="C1208" s="112"/>
      <c r="D1208" s="112"/>
      <c r="E1208" s="113">
        <v>45306</v>
      </c>
      <c r="F1208" s="114" t="s">
        <v>43</v>
      </c>
      <c r="G1208" s="63" t="s">
        <v>20</v>
      </c>
      <c r="H1208" s="112" t="s">
        <v>45</v>
      </c>
      <c r="I1208" s="52" t="s">
        <v>472</v>
      </c>
      <c r="J1208" s="117">
        <v>0.69120000000000004</v>
      </c>
      <c r="K1208" s="112"/>
      <c r="L1208" s="115">
        <f t="shared" si="118"/>
        <v>0.69120000000000004</v>
      </c>
      <c r="M1208" s="115">
        <f t="shared" si="119"/>
        <v>0</v>
      </c>
      <c r="N1208" s="115"/>
      <c r="O1208" s="115"/>
      <c r="P1208" s="115"/>
      <c r="Q1208" s="115"/>
      <c r="R1208" s="115"/>
      <c r="S1208" s="115"/>
      <c r="T1208" s="115"/>
      <c r="U1208" s="117">
        <v>0.69120000000000004</v>
      </c>
      <c r="V1208" s="112" t="s">
        <v>1487</v>
      </c>
      <c r="W1208" s="112"/>
      <c r="X1208" s="113"/>
      <c r="Y1208" s="112"/>
      <c r="Z1208" s="112"/>
      <c r="AA1208" s="113"/>
      <c r="AB1208" s="113"/>
      <c r="AC1208" s="112"/>
      <c r="AD1208" s="112"/>
    </row>
    <row r="1209" spans="1:30">
      <c r="A1209" s="112">
        <v>1396</v>
      </c>
      <c r="B1209" s="113">
        <v>45288</v>
      </c>
      <c r="C1209" s="112"/>
      <c r="D1209" s="112"/>
      <c r="E1209" s="113">
        <v>45306</v>
      </c>
      <c r="F1209" s="114" t="s">
        <v>43</v>
      </c>
      <c r="G1209" s="63" t="s">
        <v>20</v>
      </c>
      <c r="H1209" s="112" t="s">
        <v>45</v>
      </c>
      <c r="I1209" s="52" t="s">
        <v>473</v>
      </c>
      <c r="J1209" s="117">
        <v>1.7262</v>
      </c>
      <c r="K1209" s="112"/>
      <c r="L1209" s="115">
        <f t="shared" si="118"/>
        <v>1.7262</v>
      </c>
      <c r="M1209" s="115">
        <f t="shared" si="119"/>
        <v>0</v>
      </c>
      <c r="N1209" s="115"/>
      <c r="O1209" s="115"/>
      <c r="P1209" s="115"/>
      <c r="Q1209" s="115"/>
      <c r="R1209" s="115"/>
      <c r="S1209" s="115"/>
      <c r="T1209" s="115"/>
      <c r="U1209" s="117">
        <v>1.7262</v>
      </c>
      <c r="V1209" s="112" t="s">
        <v>1487</v>
      </c>
      <c r="W1209" s="112"/>
      <c r="X1209" s="113"/>
      <c r="Y1209" s="112"/>
      <c r="Z1209" s="112"/>
      <c r="AA1209" s="113"/>
      <c r="AB1209" s="113"/>
      <c r="AC1209" s="112"/>
      <c r="AD1209" s="112"/>
    </row>
    <row r="1210" spans="1:30">
      <c r="A1210" s="112">
        <v>1396</v>
      </c>
      <c r="B1210" s="113">
        <v>45288</v>
      </c>
      <c r="C1210" s="112"/>
      <c r="D1210" s="112"/>
      <c r="E1210" s="113">
        <v>45306</v>
      </c>
      <c r="F1210" s="114" t="s">
        <v>43</v>
      </c>
      <c r="G1210" s="63" t="s">
        <v>20</v>
      </c>
      <c r="H1210" s="112" t="s">
        <v>45</v>
      </c>
      <c r="I1210" s="52" t="s">
        <v>235</v>
      </c>
      <c r="J1210" s="117">
        <v>2.202</v>
      </c>
      <c r="K1210" s="112"/>
      <c r="L1210" s="115">
        <f t="shared" si="118"/>
        <v>2.202</v>
      </c>
      <c r="M1210" s="115">
        <f t="shared" si="119"/>
        <v>0</v>
      </c>
      <c r="N1210" s="115"/>
      <c r="O1210" s="115"/>
      <c r="P1210" s="115"/>
      <c r="Q1210" s="115"/>
      <c r="R1210" s="115"/>
      <c r="S1210" s="115"/>
      <c r="T1210" s="115"/>
      <c r="U1210" s="117">
        <v>2.202</v>
      </c>
      <c r="V1210" s="112" t="s">
        <v>1487</v>
      </c>
      <c r="W1210" s="112"/>
      <c r="X1210" s="113"/>
      <c r="Y1210" s="112"/>
      <c r="Z1210" s="112"/>
      <c r="AA1210" s="113"/>
      <c r="AB1210" s="113"/>
      <c r="AC1210" s="112"/>
      <c r="AD1210" s="112"/>
    </row>
    <row r="1211" spans="1:30">
      <c r="A1211" s="112">
        <v>1396</v>
      </c>
      <c r="B1211" s="113">
        <v>45288</v>
      </c>
      <c r="C1211" s="112"/>
      <c r="D1211" s="112"/>
      <c r="E1211" s="113">
        <v>45306</v>
      </c>
      <c r="F1211" s="114" t="s">
        <v>43</v>
      </c>
      <c r="G1211" s="63" t="s">
        <v>20</v>
      </c>
      <c r="H1211" s="112" t="s">
        <v>45</v>
      </c>
      <c r="I1211" s="52" t="s">
        <v>100</v>
      </c>
      <c r="J1211" s="117">
        <v>1.2948</v>
      </c>
      <c r="K1211" s="112"/>
      <c r="L1211" s="115">
        <f t="shared" si="118"/>
        <v>1.2948</v>
      </c>
      <c r="M1211" s="115">
        <f t="shared" si="119"/>
        <v>0</v>
      </c>
      <c r="N1211" s="115"/>
      <c r="O1211" s="115"/>
      <c r="P1211" s="115"/>
      <c r="Q1211" s="115"/>
      <c r="R1211" s="115"/>
      <c r="S1211" s="115"/>
      <c r="T1211" s="115"/>
      <c r="U1211" s="117">
        <v>1.2948</v>
      </c>
      <c r="V1211" s="112" t="s">
        <v>1487</v>
      </c>
      <c r="W1211" s="112"/>
      <c r="X1211" s="113"/>
      <c r="Y1211" s="112"/>
      <c r="Z1211" s="112"/>
      <c r="AA1211" s="113"/>
      <c r="AB1211" s="113"/>
      <c r="AC1211" s="112"/>
      <c r="AD1211" s="112"/>
    </row>
    <row r="1212" spans="1:30">
      <c r="A1212" s="112">
        <v>1397</v>
      </c>
      <c r="B1212" s="113">
        <v>45288</v>
      </c>
      <c r="C1212" s="112"/>
      <c r="D1212" s="112"/>
      <c r="E1212" s="113">
        <v>45329</v>
      </c>
      <c r="F1212" s="114" t="s">
        <v>43</v>
      </c>
      <c r="G1212" s="63" t="s">
        <v>19</v>
      </c>
      <c r="H1212" s="112" t="s">
        <v>45</v>
      </c>
      <c r="I1212" s="52" t="s">
        <v>57</v>
      </c>
      <c r="J1212" s="117">
        <v>0.20100000000000001</v>
      </c>
      <c r="K1212" s="112"/>
      <c r="L1212" s="115">
        <f t="shared" si="118"/>
        <v>0.20100000000000001</v>
      </c>
      <c r="M1212" s="115">
        <f t="shared" si="119"/>
        <v>0</v>
      </c>
      <c r="N1212" s="115"/>
      <c r="O1212" s="115"/>
      <c r="P1212" s="115"/>
      <c r="Q1212" s="115"/>
      <c r="R1212" s="115"/>
      <c r="S1212" s="115"/>
      <c r="T1212" s="115"/>
      <c r="U1212" s="117">
        <v>0.20100000000000001</v>
      </c>
      <c r="V1212" s="112" t="s">
        <v>189</v>
      </c>
      <c r="W1212" s="112"/>
      <c r="X1212" s="113"/>
      <c r="Y1212" s="112"/>
      <c r="Z1212" s="112"/>
      <c r="AA1212" s="113"/>
      <c r="AB1212" s="113"/>
      <c r="AC1212" s="112"/>
      <c r="AD1212" s="112"/>
    </row>
    <row r="1213" spans="1:30">
      <c r="A1213" s="112">
        <v>1397</v>
      </c>
      <c r="B1213" s="113">
        <v>45288</v>
      </c>
      <c r="C1213" s="112"/>
      <c r="D1213" s="112"/>
      <c r="E1213" s="113">
        <v>45329</v>
      </c>
      <c r="F1213" s="114" t="s">
        <v>43</v>
      </c>
      <c r="G1213" s="63" t="s">
        <v>19</v>
      </c>
      <c r="H1213" s="112" t="s">
        <v>45</v>
      </c>
      <c r="I1213" s="52" t="s">
        <v>54</v>
      </c>
      <c r="J1213" s="117">
        <v>1.5464200000000001</v>
      </c>
      <c r="K1213" s="112"/>
      <c r="L1213" s="115">
        <f t="shared" si="118"/>
        <v>1.5464200000000001</v>
      </c>
      <c r="M1213" s="115">
        <f t="shared" si="119"/>
        <v>0</v>
      </c>
      <c r="N1213" s="115"/>
      <c r="O1213" s="115"/>
      <c r="P1213" s="115"/>
      <c r="Q1213" s="115"/>
      <c r="R1213" s="115"/>
      <c r="S1213" s="115"/>
      <c r="T1213" s="115"/>
      <c r="U1213" s="117">
        <v>1.5464200000000001</v>
      </c>
      <c r="V1213" s="112" t="s">
        <v>189</v>
      </c>
      <c r="W1213" s="112"/>
      <c r="X1213" s="113"/>
      <c r="Y1213" s="112"/>
      <c r="Z1213" s="112"/>
      <c r="AA1213" s="113"/>
      <c r="AB1213" s="113"/>
      <c r="AC1213" s="112"/>
      <c r="AD1213" s="112"/>
    </row>
    <row r="1214" spans="1:30">
      <c r="A1214" s="112">
        <v>1397</v>
      </c>
      <c r="B1214" s="113">
        <v>45288</v>
      </c>
      <c r="C1214" s="112"/>
      <c r="D1214" s="112"/>
      <c r="E1214" s="113">
        <v>45329</v>
      </c>
      <c r="F1214" s="114" t="s">
        <v>43</v>
      </c>
      <c r="G1214" s="63" t="s">
        <v>19</v>
      </c>
      <c r="H1214" s="112" t="s">
        <v>45</v>
      </c>
      <c r="I1214" s="52" t="s">
        <v>56</v>
      </c>
      <c r="J1214" s="117">
        <v>0.61804799999999993</v>
      </c>
      <c r="K1214" s="112"/>
      <c r="L1214" s="115">
        <f t="shared" si="118"/>
        <v>0.61804799999999993</v>
      </c>
      <c r="M1214" s="115">
        <f t="shared" si="119"/>
        <v>0</v>
      </c>
      <c r="N1214" s="115"/>
      <c r="O1214" s="115"/>
      <c r="P1214" s="115"/>
      <c r="Q1214" s="115"/>
      <c r="R1214" s="115"/>
      <c r="S1214" s="115"/>
      <c r="T1214" s="115"/>
      <c r="U1214" s="117">
        <v>0.61804799999999993</v>
      </c>
      <c r="V1214" s="112" t="s">
        <v>189</v>
      </c>
      <c r="W1214" s="112"/>
      <c r="X1214" s="113"/>
      <c r="Y1214" s="112"/>
      <c r="Z1214" s="112"/>
      <c r="AA1214" s="113"/>
      <c r="AB1214" s="113"/>
      <c r="AC1214" s="112"/>
      <c r="AD1214" s="112"/>
    </row>
    <row r="1215" spans="1:30">
      <c r="A1215" s="112">
        <v>1397</v>
      </c>
      <c r="B1215" s="113">
        <v>45288</v>
      </c>
      <c r="C1215" s="112"/>
      <c r="D1215" s="112"/>
      <c r="E1215" s="113">
        <v>45329</v>
      </c>
      <c r="F1215" s="114" t="s">
        <v>43</v>
      </c>
      <c r="G1215" s="63" t="s">
        <v>19</v>
      </c>
      <c r="H1215" s="112" t="s">
        <v>45</v>
      </c>
      <c r="I1215" s="52" t="s">
        <v>48</v>
      </c>
      <c r="J1215" s="117">
        <v>0.15128</v>
      </c>
      <c r="K1215" s="112"/>
      <c r="L1215" s="115">
        <f t="shared" si="118"/>
        <v>0.15128</v>
      </c>
      <c r="M1215" s="115">
        <f t="shared" si="119"/>
        <v>0</v>
      </c>
      <c r="N1215" s="115"/>
      <c r="O1215" s="115"/>
      <c r="P1215" s="115"/>
      <c r="Q1215" s="115"/>
      <c r="R1215" s="115"/>
      <c r="S1215" s="115"/>
      <c r="T1215" s="115"/>
      <c r="U1215" s="117">
        <v>0.15128</v>
      </c>
      <c r="V1215" s="112" t="s">
        <v>189</v>
      </c>
      <c r="W1215" s="112"/>
      <c r="X1215" s="113"/>
      <c r="Y1215" s="112"/>
      <c r="Z1215" s="112"/>
      <c r="AA1215" s="113"/>
      <c r="AB1215" s="113"/>
      <c r="AC1215" s="112"/>
      <c r="AD1215" s="112"/>
    </row>
    <row r="1216" spans="1:30">
      <c r="A1216" s="112">
        <v>1397</v>
      </c>
      <c r="B1216" s="113">
        <v>45288</v>
      </c>
      <c r="C1216" s="112"/>
      <c r="D1216" s="112"/>
      <c r="E1216" s="113">
        <v>45329</v>
      </c>
      <c r="F1216" s="114" t="s">
        <v>43</v>
      </c>
      <c r="G1216" s="63" t="s">
        <v>19</v>
      </c>
      <c r="H1216" s="112" t="s">
        <v>45</v>
      </c>
      <c r="I1216" s="52" t="s">
        <v>46</v>
      </c>
      <c r="J1216" s="117">
        <v>0.38303999999999999</v>
      </c>
      <c r="K1216" s="112"/>
      <c r="L1216" s="115">
        <f t="shared" si="118"/>
        <v>0.38303999999999999</v>
      </c>
      <c r="M1216" s="115">
        <f t="shared" si="119"/>
        <v>0</v>
      </c>
      <c r="N1216" s="115"/>
      <c r="O1216" s="115"/>
      <c r="P1216" s="115"/>
      <c r="Q1216" s="115"/>
      <c r="R1216" s="115"/>
      <c r="S1216" s="115"/>
      <c r="T1216" s="115"/>
      <c r="U1216" s="117">
        <v>0.38303999999999999</v>
      </c>
      <c r="V1216" s="112" t="s">
        <v>189</v>
      </c>
      <c r="W1216" s="112"/>
      <c r="X1216" s="113"/>
      <c r="Y1216" s="112"/>
      <c r="Z1216" s="112"/>
      <c r="AA1216" s="113"/>
      <c r="AB1216" s="113"/>
      <c r="AC1216" s="112"/>
      <c r="AD1216" s="112"/>
    </row>
    <row r="1217" spans="1:30">
      <c r="A1217" s="112">
        <v>1397</v>
      </c>
      <c r="B1217" s="113">
        <v>45288</v>
      </c>
      <c r="C1217" s="112"/>
      <c r="D1217" s="112"/>
      <c r="E1217" s="113">
        <v>45329</v>
      </c>
      <c r="F1217" s="114" t="s">
        <v>43</v>
      </c>
      <c r="G1217" s="63" t="s">
        <v>19</v>
      </c>
      <c r="H1217" s="112" t="s">
        <v>45</v>
      </c>
      <c r="I1217" s="52" t="s">
        <v>49</v>
      </c>
      <c r="J1217" s="117">
        <v>0.90089999999999992</v>
      </c>
      <c r="K1217" s="112"/>
      <c r="L1217" s="115">
        <f t="shared" si="118"/>
        <v>0.90089999999999992</v>
      </c>
      <c r="M1217" s="115">
        <f t="shared" si="119"/>
        <v>0</v>
      </c>
      <c r="N1217" s="115"/>
      <c r="O1217" s="115"/>
      <c r="P1217" s="115"/>
      <c r="Q1217" s="115"/>
      <c r="R1217" s="115"/>
      <c r="S1217" s="115"/>
      <c r="T1217" s="115"/>
      <c r="U1217" s="117">
        <v>0.90089999999999992</v>
      </c>
      <c r="V1217" s="112" t="s">
        <v>189</v>
      </c>
      <c r="W1217" s="112"/>
      <c r="X1217" s="113"/>
      <c r="Y1217" s="112"/>
      <c r="Z1217" s="112"/>
      <c r="AA1217" s="113"/>
      <c r="AB1217" s="113"/>
      <c r="AC1217" s="112"/>
      <c r="AD1217" s="112"/>
    </row>
    <row r="1218" spans="1:30">
      <c r="A1218" s="112">
        <v>1397</v>
      </c>
      <c r="B1218" s="113">
        <v>45288</v>
      </c>
      <c r="C1218" s="112"/>
      <c r="D1218" s="112"/>
      <c r="E1218" s="113">
        <v>45329</v>
      </c>
      <c r="F1218" s="114" t="s">
        <v>43</v>
      </c>
      <c r="G1218" s="63" t="s">
        <v>19</v>
      </c>
      <c r="H1218" s="112" t="s">
        <v>45</v>
      </c>
      <c r="I1218" s="52" t="s">
        <v>407</v>
      </c>
      <c r="J1218" s="117">
        <v>4.2680050000000005</v>
      </c>
      <c r="K1218" s="112"/>
      <c r="L1218" s="115">
        <f t="shared" si="118"/>
        <v>4.2680050000000005</v>
      </c>
      <c r="M1218" s="115">
        <f t="shared" si="119"/>
        <v>0</v>
      </c>
      <c r="N1218" s="115"/>
      <c r="O1218" s="115"/>
      <c r="P1218" s="115"/>
      <c r="Q1218" s="115"/>
      <c r="R1218" s="115"/>
      <c r="S1218" s="115"/>
      <c r="T1218" s="115"/>
      <c r="U1218" s="117">
        <v>4.2680050000000005</v>
      </c>
      <c r="V1218" s="112" t="s">
        <v>189</v>
      </c>
      <c r="W1218" s="112"/>
      <c r="X1218" s="113"/>
      <c r="Y1218" s="112"/>
      <c r="Z1218" s="112"/>
      <c r="AA1218" s="113"/>
      <c r="AB1218" s="113"/>
      <c r="AC1218" s="112"/>
      <c r="AD1218" s="112"/>
    </row>
    <row r="1219" spans="1:30">
      <c r="A1219" s="112">
        <v>1397</v>
      </c>
      <c r="B1219" s="113">
        <v>45288</v>
      </c>
      <c r="C1219" s="112"/>
      <c r="D1219" s="112"/>
      <c r="E1219" s="113">
        <v>45329</v>
      </c>
      <c r="F1219" s="114" t="s">
        <v>43</v>
      </c>
      <c r="G1219" s="63" t="s">
        <v>19</v>
      </c>
      <c r="H1219" s="112" t="s">
        <v>45</v>
      </c>
      <c r="I1219" s="52" t="s">
        <v>409</v>
      </c>
      <c r="J1219" s="117">
        <v>4.9548199999999998</v>
      </c>
      <c r="K1219" s="112"/>
      <c r="L1219" s="115">
        <f t="shared" si="118"/>
        <v>4.9548199999999998</v>
      </c>
      <c r="M1219" s="115">
        <f t="shared" si="119"/>
        <v>0</v>
      </c>
      <c r="N1219" s="115"/>
      <c r="O1219" s="115"/>
      <c r="P1219" s="115"/>
      <c r="Q1219" s="115"/>
      <c r="R1219" s="115"/>
      <c r="S1219" s="115"/>
      <c r="T1219" s="115"/>
      <c r="U1219" s="117">
        <v>4.9548199999999998</v>
      </c>
      <c r="V1219" s="112" t="s">
        <v>189</v>
      </c>
      <c r="W1219" s="112"/>
      <c r="X1219" s="113"/>
      <c r="Y1219" s="112"/>
      <c r="Z1219" s="112"/>
      <c r="AA1219" s="113"/>
      <c r="AB1219" s="113"/>
      <c r="AC1219" s="112"/>
      <c r="AD1219" s="112"/>
    </row>
    <row r="1220" spans="1:30">
      <c r="A1220" s="112">
        <v>1397</v>
      </c>
      <c r="B1220" s="113">
        <v>45288</v>
      </c>
      <c r="C1220" s="112"/>
      <c r="D1220" s="112"/>
      <c r="E1220" s="113">
        <v>45329</v>
      </c>
      <c r="F1220" s="114" t="s">
        <v>43</v>
      </c>
      <c r="G1220" s="63" t="s">
        <v>19</v>
      </c>
      <c r="H1220" s="112" t="s">
        <v>45</v>
      </c>
      <c r="I1220" s="52" t="s">
        <v>517</v>
      </c>
      <c r="J1220" s="117">
        <v>0.1638</v>
      </c>
      <c r="K1220" s="112"/>
      <c r="L1220" s="115">
        <f t="shared" si="118"/>
        <v>0.1638</v>
      </c>
      <c r="M1220" s="115">
        <f t="shared" si="119"/>
        <v>0.1638</v>
      </c>
      <c r="N1220" s="115"/>
      <c r="O1220" s="115"/>
      <c r="P1220" s="115"/>
      <c r="Q1220" s="115"/>
      <c r="R1220" s="233">
        <v>0.1638</v>
      </c>
      <c r="S1220" s="115"/>
      <c r="T1220" s="115"/>
      <c r="U1220" s="117"/>
      <c r="V1220" s="112" t="s">
        <v>189</v>
      </c>
      <c r="W1220" s="112"/>
      <c r="X1220" s="113"/>
      <c r="Y1220" s="112"/>
      <c r="Z1220" s="112"/>
      <c r="AA1220" s="113"/>
      <c r="AB1220" s="113"/>
      <c r="AC1220" s="112"/>
      <c r="AD1220" s="112"/>
    </row>
    <row r="1221" spans="1:30">
      <c r="A1221" s="112">
        <v>1397</v>
      </c>
      <c r="B1221" s="113">
        <v>45288</v>
      </c>
      <c r="C1221" s="112"/>
      <c r="D1221" s="112"/>
      <c r="E1221" s="113">
        <v>45329</v>
      </c>
      <c r="F1221" s="114" t="s">
        <v>43</v>
      </c>
      <c r="G1221" s="63" t="s">
        <v>19</v>
      </c>
      <c r="H1221" s="112" t="s">
        <v>45</v>
      </c>
      <c r="I1221" s="52" t="s">
        <v>579</v>
      </c>
      <c r="J1221" s="117">
        <v>0.37860000000000005</v>
      </c>
      <c r="K1221" s="112"/>
      <c r="L1221" s="115">
        <f t="shared" si="118"/>
        <v>0.37860000000000005</v>
      </c>
      <c r="M1221" s="115">
        <f t="shared" si="119"/>
        <v>0.37860000000000005</v>
      </c>
      <c r="N1221" s="115"/>
      <c r="O1221" s="115"/>
      <c r="P1221" s="115"/>
      <c r="Q1221" s="115"/>
      <c r="R1221" s="233">
        <v>0.37860000000000005</v>
      </c>
      <c r="S1221" s="115"/>
      <c r="T1221" s="117"/>
      <c r="U1221" s="117"/>
      <c r="V1221" s="112" t="s">
        <v>189</v>
      </c>
      <c r="W1221" s="112"/>
      <c r="X1221" s="113"/>
      <c r="Y1221" s="112"/>
      <c r="Z1221" s="112"/>
      <c r="AA1221" s="113"/>
      <c r="AB1221" s="113"/>
      <c r="AC1221" s="112"/>
      <c r="AD1221" s="112"/>
    </row>
    <row r="1222" spans="1:30">
      <c r="A1222" s="112">
        <v>1397</v>
      </c>
      <c r="B1222" s="113">
        <v>45288</v>
      </c>
      <c r="C1222" s="112"/>
      <c r="D1222" s="112"/>
      <c r="E1222" s="113">
        <v>45329</v>
      </c>
      <c r="F1222" s="114" t="s">
        <v>43</v>
      </c>
      <c r="G1222" s="63" t="s">
        <v>19</v>
      </c>
      <c r="H1222" s="112" t="s">
        <v>45</v>
      </c>
      <c r="I1222" s="52" t="s">
        <v>448</v>
      </c>
      <c r="J1222" s="117">
        <v>5.1612600000000004</v>
      </c>
      <c r="K1222" s="112"/>
      <c r="L1222" s="115">
        <f t="shared" si="118"/>
        <v>5.1612600000000004</v>
      </c>
      <c r="M1222" s="115">
        <f t="shared" si="119"/>
        <v>0</v>
      </c>
      <c r="N1222" s="115"/>
      <c r="O1222" s="115"/>
      <c r="P1222" s="115"/>
      <c r="Q1222" s="115"/>
      <c r="R1222" s="115"/>
      <c r="S1222" s="115"/>
      <c r="T1222" s="115"/>
      <c r="U1222" s="117">
        <v>5.1612600000000004</v>
      </c>
      <c r="V1222" s="112" t="s">
        <v>189</v>
      </c>
      <c r="W1222" s="112"/>
      <c r="X1222" s="113"/>
      <c r="Y1222" s="112"/>
      <c r="Z1222" s="112"/>
      <c r="AA1222" s="113"/>
      <c r="AB1222" s="113"/>
      <c r="AC1222" s="112"/>
      <c r="AD1222" s="112"/>
    </row>
    <row r="1223" spans="1:30">
      <c r="A1223" s="112">
        <v>1397</v>
      </c>
      <c r="B1223" s="113">
        <v>45288</v>
      </c>
      <c r="C1223" s="112"/>
      <c r="D1223" s="112"/>
      <c r="E1223" s="113">
        <v>45329</v>
      </c>
      <c r="F1223" s="114" t="s">
        <v>43</v>
      </c>
      <c r="G1223" s="63" t="s">
        <v>19</v>
      </c>
      <c r="H1223" s="112" t="s">
        <v>45</v>
      </c>
      <c r="I1223" s="52" t="s">
        <v>1488</v>
      </c>
      <c r="J1223" s="117">
        <v>0.36231799999999997</v>
      </c>
      <c r="K1223" s="112"/>
      <c r="L1223" s="115">
        <f t="shared" si="118"/>
        <v>0.36231799999999997</v>
      </c>
      <c r="M1223" s="115">
        <f t="shared" si="119"/>
        <v>0</v>
      </c>
      <c r="N1223" s="115"/>
      <c r="O1223" s="115"/>
      <c r="P1223" s="115"/>
      <c r="Q1223" s="115"/>
      <c r="R1223" s="115"/>
      <c r="S1223" s="115"/>
      <c r="T1223" s="115"/>
      <c r="U1223" s="117">
        <v>0.36231799999999997</v>
      </c>
      <c r="V1223" s="112" t="s">
        <v>189</v>
      </c>
      <c r="W1223" s="112"/>
      <c r="X1223" s="113"/>
      <c r="Y1223" s="112"/>
      <c r="Z1223" s="112"/>
      <c r="AA1223" s="113"/>
      <c r="AB1223" s="113"/>
      <c r="AC1223" s="112"/>
      <c r="AD1223" s="112"/>
    </row>
    <row r="1224" spans="1:30">
      <c r="A1224" s="112">
        <v>1397</v>
      </c>
      <c r="B1224" s="113">
        <v>45288</v>
      </c>
      <c r="C1224" s="112"/>
      <c r="D1224" s="112"/>
      <c r="E1224" s="113">
        <v>45329</v>
      </c>
      <c r="F1224" s="114" t="s">
        <v>43</v>
      </c>
      <c r="G1224" s="63" t="s">
        <v>19</v>
      </c>
      <c r="H1224" s="112" t="s">
        <v>45</v>
      </c>
      <c r="I1224" s="52" t="s">
        <v>95</v>
      </c>
      <c r="J1224" s="117">
        <v>1.8419099999999999</v>
      </c>
      <c r="K1224" s="112"/>
      <c r="L1224" s="115">
        <f t="shared" si="118"/>
        <v>1.8419099999999999</v>
      </c>
      <c r="M1224" s="115">
        <f t="shared" si="119"/>
        <v>1.8419099999999999</v>
      </c>
      <c r="N1224" s="115"/>
      <c r="O1224" s="117"/>
      <c r="P1224" s="117">
        <v>1.8419099999999999</v>
      </c>
      <c r="Q1224" s="115"/>
      <c r="R1224" s="115"/>
      <c r="S1224" s="115"/>
      <c r="T1224" s="117"/>
      <c r="U1224" s="117"/>
      <c r="V1224" s="112" t="s">
        <v>189</v>
      </c>
      <c r="W1224" s="112"/>
      <c r="X1224" s="8">
        <v>45293</v>
      </c>
      <c r="Y1224" s="112"/>
      <c r="Z1224" s="112"/>
      <c r="AA1224" s="113"/>
      <c r="AB1224" s="113"/>
      <c r="AC1224" s="112"/>
      <c r="AD1224" s="112"/>
    </row>
    <row r="1225" spans="1:30">
      <c r="A1225" s="112">
        <v>1397</v>
      </c>
      <c r="B1225" s="113">
        <v>45288</v>
      </c>
      <c r="C1225" s="112"/>
      <c r="D1225" s="112"/>
      <c r="E1225" s="113">
        <v>45329</v>
      </c>
      <c r="F1225" s="114" t="s">
        <v>43</v>
      </c>
      <c r="G1225" s="63" t="s">
        <v>19</v>
      </c>
      <c r="H1225" s="112" t="s">
        <v>45</v>
      </c>
      <c r="I1225" s="52" t="s">
        <v>1426</v>
      </c>
      <c r="J1225" s="117">
        <v>0.52826399999999996</v>
      </c>
      <c r="K1225" s="112"/>
      <c r="L1225" s="115">
        <f t="shared" si="118"/>
        <v>0.52826399999999996</v>
      </c>
      <c r="M1225" s="115">
        <f t="shared" si="119"/>
        <v>0.52826399999999996</v>
      </c>
      <c r="N1225" s="115"/>
      <c r="O1225" s="117"/>
      <c r="P1225" s="117">
        <v>0.52826399999999996</v>
      </c>
      <c r="Q1225" s="115"/>
      <c r="R1225" s="115"/>
      <c r="S1225" s="115"/>
      <c r="T1225" s="117"/>
      <c r="U1225" s="117"/>
      <c r="V1225" s="112" t="s">
        <v>189</v>
      </c>
      <c r="W1225" s="112"/>
      <c r="X1225" s="8">
        <v>45293</v>
      </c>
      <c r="Y1225" s="112"/>
      <c r="Z1225" s="112"/>
      <c r="AA1225" s="113"/>
      <c r="AB1225" s="113"/>
      <c r="AC1225" s="112"/>
      <c r="AD1225" s="112"/>
    </row>
    <row r="1226" spans="1:30">
      <c r="A1226" s="112">
        <v>1397</v>
      </c>
      <c r="B1226" s="113">
        <v>45288</v>
      </c>
      <c r="C1226" s="112"/>
      <c r="D1226" s="112"/>
      <c r="E1226" s="113">
        <v>45329</v>
      </c>
      <c r="F1226" s="114" t="s">
        <v>43</v>
      </c>
      <c r="G1226" s="63" t="s">
        <v>19</v>
      </c>
      <c r="H1226" s="112" t="s">
        <v>45</v>
      </c>
      <c r="I1226" s="52" t="s">
        <v>472</v>
      </c>
      <c r="J1226" s="117">
        <v>0.66239999999999999</v>
      </c>
      <c r="K1226" s="112"/>
      <c r="L1226" s="115">
        <f t="shared" si="118"/>
        <v>0.66239999999999999</v>
      </c>
      <c r="M1226" s="115">
        <f t="shared" si="119"/>
        <v>0</v>
      </c>
      <c r="N1226" s="115"/>
      <c r="O1226" s="115"/>
      <c r="P1226" s="115"/>
      <c r="Q1226" s="115"/>
      <c r="R1226" s="115"/>
      <c r="S1226" s="115"/>
      <c r="T1226" s="115"/>
      <c r="U1226" s="117">
        <v>0.66239999999999999</v>
      </c>
      <c r="V1226" s="112" t="s">
        <v>189</v>
      </c>
      <c r="W1226" s="112"/>
      <c r="X1226" s="113"/>
      <c r="Y1226" s="112"/>
      <c r="Z1226" s="112"/>
      <c r="AA1226" s="113"/>
      <c r="AB1226" s="113"/>
      <c r="AC1226" s="112"/>
      <c r="AD1226" s="112"/>
    </row>
    <row r="1227" spans="1:30">
      <c r="A1227" s="112">
        <v>1397</v>
      </c>
      <c r="B1227" s="113">
        <v>45288</v>
      </c>
      <c r="C1227" s="112"/>
      <c r="D1227" s="112"/>
      <c r="E1227" s="113">
        <v>45329</v>
      </c>
      <c r="F1227" s="114" t="s">
        <v>43</v>
      </c>
      <c r="G1227" s="63" t="s">
        <v>19</v>
      </c>
      <c r="H1227" s="112" t="s">
        <v>45</v>
      </c>
      <c r="I1227" s="52" t="s">
        <v>473</v>
      </c>
      <c r="J1227" s="117">
        <v>3.5126799999999996</v>
      </c>
      <c r="K1227" s="112"/>
      <c r="L1227" s="115">
        <f t="shared" si="118"/>
        <v>3.5126799999999996</v>
      </c>
      <c r="M1227" s="115">
        <f t="shared" si="119"/>
        <v>0</v>
      </c>
      <c r="N1227" s="115"/>
      <c r="O1227" s="115"/>
      <c r="P1227" s="115"/>
      <c r="Q1227" s="115"/>
      <c r="R1227" s="115"/>
      <c r="S1227" s="115"/>
      <c r="T1227" s="115"/>
      <c r="U1227" s="117">
        <v>3.5126799999999996</v>
      </c>
      <c r="V1227" s="112" t="s">
        <v>189</v>
      </c>
      <c r="W1227" s="112"/>
      <c r="X1227" s="113"/>
      <c r="Y1227" s="112"/>
      <c r="Z1227" s="112"/>
      <c r="AA1227" s="113"/>
      <c r="AB1227" s="113"/>
      <c r="AC1227" s="112"/>
      <c r="AD1227" s="112"/>
    </row>
    <row r="1228" spans="1:30">
      <c r="A1228" s="112">
        <v>1397</v>
      </c>
      <c r="B1228" s="113">
        <v>45288</v>
      </c>
      <c r="C1228" s="112"/>
      <c r="D1228" s="112"/>
      <c r="E1228" s="113">
        <v>45329</v>
      </c>
      <c r="F1228" s="114" t="s">
        <v>43</v>
      </c>
      <c r="G1228" s="63" t="s">
        <v>19</v>
      </c>
      <c r="H1228" s="112" t="s">
        <v>45</v>
      </c>
      <c r="I1228" s="52" t="s">
        <v>235</v>
      </c>
      <c r="J1228" s="117">
        <v>1.4936900000000002</v>
      </c>
      <c r="K1228" s="112"/>
      <c r="L1228" s="115">
        <f t="shared" si="118"/>
        <v>1.4936900000000002</v>
      </c>
      <c r="M1228" s="115">
        <f t="shared" si="119"/>
        <v>0</v>
      </c>
      <c r="N1228" s="115"/>
      <c r="O1228" s="115"/>
      <c r="P1228" s="115"/>
      <c r="Q1228" s="115"/>
      <c r="R1228" s="115"/>
      <c r="S1228" s="115"/>
      <c r="T1228" s="115"/>
      <c r="U1228" s="117">
        <v>1.4936900000000002</v>
      </c>
      <c r="V1228" s="112" t="s">
        <v>189</v>
      </c>
      <c r="W1228" s="112"/>
      <c r="X1228" s="113"/>
      <c r="Y1228" s="112"/>
      <c r="Z1228" s="112"/>
      <c r="AA1228" s="113"/>
      <c r="AB1228" s="113"/>
      <c r="AC1228" s="112"/>
      <c r="AD1228" s="112"/>
    </row>
    <row r="1229" spans="1:30">
      <c r="A1229" s="112">
        <v>1397</v>
      </c>
      <c r="B1229" s="113">
        <v>45288</v>
      </c>
      <c r="C1229" s="112"/>
      <c r="D1229" s="112"/>
      <c r="E1229" s="113">
        <v>45329</v>
      </c>
      <c r="F1229" s="114" t="s">
        <v>43</v>
      </c>
      <c r="G1229" s="63" t="s">
        <v>19</v>
      </c>
      <c r="H1229" s="112" t="s">
        <v>45</v>
      </c>
      <c r="I1229" s="52" t="s">
        <v>100</v>
      </c>
      <c r="J1229" s="117">
        <v>5.3053599999999985</v>
      </c>
      <c r="K1229" s="112"/>
      <c r="L1229" s="115">
        <f t="shared" si="118"/>
        <v>5.3053599999999985</v>
      </c>
      <c r="M1229" s="115">
        <f t="shared" si="119"/>
        <v>0</v>
      </c>
      <c r="N1229" s="115"/>
      <c r="O1229" s="115"/>
      <c r="P1229" s="115"/>
      <c r="Q1229" s="115"/>
      <c r="R1229" s="115"/>
      <c r="S1229" s="115"/>
      <c r="T1229" s="115"/>
      <c r="U1229" s="117">
        <v>5.3053599999999985</v>
      </c>
      <c r="V1229" s="112" t="s">
        <v>189</v>
      </c>
      <c r="W1229" s="112"/>
      <c r="X1229" s="113"/>
      <c r="Y1229" s="112"/>
      <c r="Z1229" s="112"/>
      <c r="AA1229" s="113"/>
      <c r="AB1229" s="113"/>
      <c r="AC1229" s="112"/>
      <c r="AD1229" s="112"/>
    </row>
    <row r="1230" spans="1:30">
      <c r="A1230" s="112">
        <v>1397</v>
      </c>
      <c r="B1230" s="113">
        <v>45288</v>
      </c>
      <c r="C1230" s="112"/>
      <c r="D1230" s="112"/>
      <c r="E1230" s="113">
        <v>45329</v>
      </c>
      <c r="F1230" s="114" t="s">
        <v>43</v>
      </c>
      <c r="G1230" s="63" t="s">
        <v>19</v>
      </c>
      <c r="H1230" s="112" t="s">
        <v>45</v>
      </c>
      <c r="I1230" s="52" t="s">
        <v>96</v>
      </c>
      <c r="J1230" s="117">
        <v>2.7369279999999998</v>
      </c>
      <c r="K1230" s="112"/>
      <c r="L1230" s="115">
        <f t="shared" si="118"/>
        <v>2.7369279999999998</v>
      </c>
      <c r="M1230" s="115">
        <f t="shared" si="119"/>
        <v>0</v>
      </c>
      <c r="N1230" s="115"/>
      <c r="O1230" s="115"/>
      <c r="P1230" s="115"/>
      <c r="Q1230" s="115"/>
      <c r="R1230" s="115"/>
      <c r="S1230" s="115"/>
      <c r="T1230" s="115"/>
      <c r="U1230" s="117">
        <v>2.7369279999999998</v>
      </c>
      <c r="V1230" s="112" t="s">
        <v>189</v>
      </c>
      <c r="W1230" s="112"/>
      <c r="X1230" s="113"/>
      <c r="Y1230" s="112"/>
      <c r="Z1230" s="112"/>
      <c r="AA1230" s="113"/>
      <c r="AB1230" s="113"/>
      <c r="AC1230" s="112"/>
      <c r="AD1230" s="112"/>
    </row>
    <row r="1231" spans="1:30" s="127" customFormat="1">
      <c r="A1231" s="112">
        <v>1459</v>
      </c>
      <c r="B1231" s="113">
        <v>45288</v>
      </c>
      <c r="C1231" s="112"/>
      <c r="D1231" s="112"/>
      <c r="E1231" s="113">
        <v>45329</v>
      </c>
      <c r="F1231" s="114" t="s">
        <v>43</v>
      </c>
      <c r="G1231" s="63" t="s">
        <v>20</v>
      </c>
      <c r="H1231" s="112" t="s">
        <v>45</v>
      </c>
      <c r="I1231" s="52" t="s">
        <v>1496</v>
      </c>
      <c r="J1231" s="117">
        <v>101.944</v>
      </c>
      <c r="K1231" s="112"/>
      <c r="L1231" s="115">
        <f t="shared" ref="L1231" si="120">M1231+U1231</f>
        <v>101.944</v>
      </c>
      <c r="M1231" s="115">
        <f t="shared" ref="M1231" si="121">SUM(N1231:T1231)</f>
        <v>0</v>
      </c>
      <c r="N1231" s="115"/>
      <c r="O1231" s="115"/>
      <c r="P1231" s="115"/>
      <c r="Q1231" s="115"/>
      <c r="R1231" s="115"/>
      <c r="S1231" s="115"/>
      <c r="T1231" s="115"/>
      <c r="U1231" s="117">
        <v>101.944</v>
      </c>
      <c r="V1231" s="112" t="s">
        <v>1497</v>
      </c>
      <c r="W1231" s="112"/>
      <c r="X1231" s="113"/>
      <c r="Y1231" s="112"/>
      <c r="Z1231" s="112"/>
      <c r="AA1231" s="113"/>
      <c r="AB1231" s="113"/>
      <c r="AC1231" s="112"/>
      <c r="AD1231" s="112"/>
    </row>
  </sheetData>
  <autoFilter ref="A4:AD1231">
    <filterColumn colId="7">
      <filters>
        <filter val="HTA"/>
      </filters>
    </filterColumn>
    <filterColumn colId="11">
      <filters>
        <filter val="0.063"/>
        <filter val="0.064"/>
        <filter val="0.065"/>
        <filter val="0.080"/>
        <filter val="0.083"/>
        <filter val="0.084"/>
        <filter val="0.090"/>
        <filter val="0.097"/>
        <filter val="0.103"/>
        <filter val="0.106"/>
        <filter val="0.140"/>
        <filter val="0.142"/>
        <filter val="0.149"/>
        <filter val="0.151"/>
        <filter val="0.161"/>
        <filter val="0.164"/>
        <filter val="0.169"/>
        <filter val="0.177"/>
        <filter val="0.201"/>
        <filter val="0.245"/>
        <filter val="0.251"/>
        <filter val="0.260"/>
        <filter val="0.275"/>
        <filter val="0.309"/>
        <filter val="0.323"/>
        <filter val="0.346"/>
        <filter val="0.352"/>
        <filter val="0.353"/>
        <filter val="0.362"/>
        <filter val="0.368"/>
        <filter val="0.370"/>
        <filter val="0.377"/>
        <filter val="0.379"/>
        <filter val="0.383"/>
        <filter val="0.399"/>
        <filter val="0.408"/>
        <filter val="0.427"/>
        <filter val="0.431"/>
        <filter val="0.472"/>
        <filter val="0.480"/>
        <filter val="0.486"/>
        <filter val="0.514"/>
        <filter val="0.528"/>
        <filter val="0.533"/>
        <filter val="0.541"/>
        <filter val="0.549"/>
        <filter val="0.565"/>
        <filter val="0.574"/>
        <filter val="0.592"/>
        <filter val="0.618"/>
        <filter val="0.627"/>
        <filter val="0.662"/>
        <filter val="0.672"/>
        <filter val="0.691"/>
        <filter val="0.716"/>
        <filter val="0.717"/>
        <filter val="0.720"/>
        <filter val="0.740"/>
        <filter val="0.745"/>
        <filter val="0.767"/>
        <filter val="0.807"/>
        <filter val="0.861"/>
        <filter val="0.896"/>
        <filter val="0.901"/>
        <filter val="0.919"/>
        <filter val="0.946"/>
        <filter val="0.979"/>
        <filter val="1.082"/>
        <filter val="1.118"/>
        <filter val="1.148"/>
        <filter val="1.159"/>
        <filter val="1.232"/>
        <filter val="1.257"/>
        <filter val="1.276"/>
        <filter val="1.289"/>
        <filter val="1.295"/>
        <filter val="1.353"/>
        <filter val="1.365"/>
        <filter val="1.392"/>
        <filter val="1.416"/>
        <filter val="1.445"/>
        <filter val="1.494"/>
        <filter val="1.542"/>
        <filter val="1.546"/>
        <filter val="1.585"/>
        <filter val="1.588"/>
        <filter val="1.600"/>
        <filter val="1.620"/>
        <filter val="1.677"/>
        <filter val="1.726"/>
        <filter val="1.757"/>
        <filter val="1.842"/>
        <filter val="10.781"/>
        <filter val="101.944"/>
        <filter val="11.639"/>
        <filter val="113.081"/>
        <filter val="13.004"/>
        <filter val="14.747"/>
        <filter val="142.541"/>
        <filter val="153.430"/>
        <filter val="16.564"/>
        <filter val="18.394"/>
        <filter val="182.224"/>
        <filter val="2.105"/>
        <filter val="2.117"/>
        <filter val="2.196"/>
        <filter val="2.202"/>
        <filter val="2.270"/>
        <filter val="2.290"/>
        <filter val="2.328"/>
        <filter val="2.481"/>
        <filter val="2.489"/>
        <filter val="2.737"/>
        <filter val="2.804"/>
        <filter val="2.848"/>
        <filter val="217.082"/>
        <filter val="22.240"/>
        <filter val="23.341"/>
        <filter val="24.788"/>
        <filter val="29.388"/>
        <filter val="29.868"/>
        <filter val="3.013"/>
        <filter val="3.083"/>
        <filter val="3.423"/>
        <filter val="3.471"/>
        <filter val="3.513"/>
        <filter val="3.706"/>
        <filter val="3.712"/>
        <filter val="3.962"/>
        <filter val="33.846"/>
        <filter val="35.652"/>
        <filter val="37.705"/>
        <filter val="37.745"/>
        <filter val="4.011"/>
        <filter val="4.124"/>
        <filter val="4.268"/>
        <filter val="4.367"/>
        <filter val="4.439"/>
        <filter val="4.594"/>
        <filter val="4.889"/>
        <filter val="4.907"/>
        <filter val="4.955"/>
        <filter val="4.980"/>
        <filter val="40.189"/>
        <filter val="42.799"/>
        <filter val="45.912"/>
        <filter val="46.709"/>
        <filter val="48.157"/>
        <filter val="5.161"/>
        <filter val="5.167"/>
        <filter val="5.305"/>
        <filter val="5.463"/>
        <filter val="5.781"/>
        <filter val="6.412"/>
        <filter val="6.575"/>
        <filter val="6.603"/>
        <filter val="6.941"/>
        <filter val="7.395"/>
        <filter val="7.407"/>
        <filter val="7.442"/>
        <filter val="7.541"/>
        <filter val="77.277"/>
        <filter val="8.087"/>
        <filter val="8.334"/>
        <filter val="8.406"/>
        <filter val="8.552"/>
        <filter val="8.842"/>
        <filter val="83.784"/>
        <filter val="85.699"/>
        <filter val="9.713"/>
      </filters>
    </filterColumn>
  </autoFilter>
  <sortState ref="A1157:V1186">
    <sortCondition ref="H1157:H1186"/>
  </sortState>
  <mergeCells count="2">
    <mergeCell ref="A2:L2"/>
    <mergeCell ref="A3:G3"/>
  </mergeCells>
  <pageMargins left="0.24" right="0.16" top="0.2" bottom="0.21" header="0.23" footer="0.2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filterMode="1"/>
  <dimension ref="A2:AD100"/>
  <sheetViews>
    <sheetView zoomScale="85" zoomScaleNormal="85" workbookViewId="0">
      <pane ySplit="4" topLeftCell="A5" activePane="bottomLeft" state="frozen"/>
      <selection activeCell="P252" sqref="P252"/>
      <selection pane="bottomLeft" activeCell="H99" sqref="H99"/>
    </sheetView>
  </sheetViews>
  <sheetFormatPr defaultRowHeight="14.4"/>
  <cols>
    <col min="1" max="1" width="8" customWidth="1"/>
    <col min="2" max="2" width="8.6640625" style="7" customWidth="1"/>
    <col min="3" max="3" width="12.44140625" customWidth="1"/>
    <col min="4" max="4" width="12" customWidth="1"/>
    <col min="5" max="5" width="9" style="7" bestFit="1" customWidth="1"/>
    <col min="6" max="6" width="6.88671875" customWidth="1"/>
    <col min="7" max="7" width="9.44140625" customWidth="1"/>
    <col min="8" max="8" width="6.44140625" customWidth="1"/>
    <col min="9" max="9" width="14.44140625" customWidth="1"/>
    <col min="10" max="10" width="10.6640625" customWidth="1"/>
    <col min="11" max="11" width="10.33203125" customWidth="1"/>
    <col min="12" max="12" width="9.109375" customWidth="1"/>
    <col min="13" max="13" width="9.44140625" customWidth="1"/>
    <col min="14" max="14" width="11.109375" customWidth="1"/>
    <col min="15" max="15" width="8.6640625" customWidth="1"/>
    <col min="16" max="16" width="8.88671875" customWidth="1"/>
    <col min="17" max="18" width="9.109375" customWidth="1"/>
    <col min="19" max="19" width="8.6640625" customWidth="1"/>
    <col min="20" max="20" width="10.88671875" customWidth="1"/>
    <col min="21" max="21" width="8.88671875" customWidth="1"/>
    <col min="22" max="22" width="16.33203125" customWidth="1"/>
    <col min="23" max="23" width="19.5546875" customWidth="1"/>
    <col min="24" max="24" width="10.109375" style="7" customWidth="1"/>
    <col min="27" max="28" width="9.109375" style="7"/>
  </cols>
  <sheetData>
    <row r="2" spans="1:30">
      <c r="A2" s="236" t="s">
        <v>24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T2" t="s">
        <v>332</v>
      </c>
      <c r="AD2" t="s">
        <v>768</v>
      </c>
    </row>
    <row r="3" spans="1:30">
      <c r="A3" s="238" t="s">
        <v>1530</v>
      </c>
      <c r="B3" s="238"/>
      <c r="C3" s="238"/>
      <c r="D3" s="238"/>
      <c r="E3" s="238"/>
      <c r="F3" s="238"/>
      <c r="G3" s="238"/>
      <c r="H3" s="1"/>
      <c r="I3" s="1"/>
      <c r="J3" s="41">
        <f>SUBTOTAL(9,J5:J171)</f>
        <v>122.45603699999999</v>
      </c>
      <c r="K3" s="41">
        <f t="shared" ref="K3:T3" si="0">SUBTOTAL(9,K5:K171)</f>
        <v>0</v>
      </c>
      <c r="L3" s="41">
        <f>SUBTOTAL(9,L5:L171)</f>
        <v>122.45603699999999</v>
      </c>
      <c r="M3" s="41">
        <f>SUBTOTAL(9,M5:M171)</f>
        <v>0</v>
      </c>
      <c r="N3" s="41">
        <f t="shared" si="0"/>
        <v>0</v>
      </c>
      <c r="O3" s="41">
        <f t="shared" si="0"/>
        <v>0</v>
      </c>
      <c r="P3" s="41">
        <f t="shared" si="0"/>
        <v>0</v>
      </c>
      <c r="Q3" s="41">
        <f t="shared" si="0"/>
        <v>0</v>
      </c>
      <c r="R3" s="41">
        <f t="shared" si="0"/>
        <v>0</v>
      </c>
      <c r="S3" s="41">
        <f t="shared" si="0"/>
        <v>0</v>
      </c>
      <c r="T3" s="41">
        <f t="shared" si="0"/>
        <v>0</v>
      </c>
      <c r="U3" s="41">
        <f>SUBTOTAL(9,U5:U171)</f>
        <v>122.45603699999999</v>
      </c>
      <c r="V3" s="1"/>
      <c r="W3" s="1"/>
      <c r="X3" s="12"/>
      <c r="Y3" s="1"/>
      <c r="Z3" s="1"/>
      <c r="AA3" s="12"/>
      <c r="AB3" s="12"/>
      <c r="AC3" s="1"/>
      <c r="AD3" s="1"/>
    </row>
    <row r="4" spans="1:30" ht="40.5" customHeight="1">
      <c r="A4" s="20" t="s">
        <v>25</v>
      </c>
      <c r="B4" s="38" t="s">
        <v>26</v>
      </c>
      <c r="C4" s="20" t="s">
        <v>27</v>
      </c>
      <c r="D4" s="20" t="s">
        <v>28</v>
      </c>
      <c r="E4" s="38" t="s">
        <v>11</v>
      </c>
      <c r="F4" s="20" t="s">
        <v>29</v>
      </c>
      <c r="G4" s="20" t="s">
        <v>30</v>
      </c>
      <c r="H4" s="20" t="s">
        <v>31</v>
      </c>
      <c r="I4" s="20" t="s">
        <v>32</v>
      </c>
      <c r="J4" s="20" t="s">
        <v>33</v>
      </c>
      <c r="K4" s="20" t="s">
        <v>34</v>
      </c>
      <c r="L4" s="20" t="s">
        <v>35</v>
      </c>
      <c r="M4" s="20" t="s">
        <v>36</v>
      </c>
      <c r="N4" s="20" t="s">
        <v>882</v>
      </c>
      <c r="O4" s="20" t="s">
        <v>522</v>
      </c>
      <c r="P4" s="20" t="s">
        <v>37</v>
      </c>
      <c r="Q4" s="20" t="s">
        <v>38</v>
      </c>
      <c r="R4" s="20" t="s">
        <v>978</v>
      </c>
      <c r="S4" s="20" t="s">
        <v>979</v>
      </c>
      <c r="T4" s="20" t="s">
        <v>39</v>
      </c>
      <c r="U4" s="20" t="s">
        <v>40</v>
      </c>
      <c r="V4" s="20" t="s">
        <v>12</v>
      </c>
      <c r="W4" s="20" t="s">
        <v>41</v>
      </c>
      <c r="X4" s="38" t="s">
        <v>218</v>
      </c>
      <c r="Y4" s="20" t="s">
        <v>280</v>
      </c>
      <c r="Z4" s="20" t="s">
        <v>281</v>
      </c>
      <c r="AA4" s="38" t="s">
        <v>282</v>
      </c>
      <c r="AB4" s="38" t="s">
        <v>283</v>
      </c>
      <c r="AC4" s="20" t="s">
        <v>284</v>
      </c>
      <c r="AD4" s="20" t="s">
        <v>1</v>
      </c>
    </row>
    <row r="5" spans="1:30" hidden="1">
      <c r="A5" s="4">
        <v>2562</v>
      </c>
      <c r="B5" s="8">
        <v>44656</v>
      </c>
      <c r="C5" s="4" t="s">
        <v>439</v>
      </c>
      <c r="D5" s="4" t="s">
        <v>397</v>
      </c>
      <c r="E5" s="8">
        <v>44666</v>
      </c>
      <c r="F5" s="4" t="s">
        <v>43</v>
      </c>
      <c r="G5" s="4" t="s">
        <v>44</v>
      </c>
      <c r="H5" s="4" t="s">
        <v>45</v>
      </c>
      <c r="I5" s="4" t="s">
        <v>49</v>
      </c>
      <c r="J5" s="10">
        <v>4.5481800000000003</v>
      </c>
      <c r="K5" s="10">
        <v>4.32</v>
      </c>
      <c r="L5" s="10">
        <v>0</v>
      </c>
      <c r="M5" s="10">
        <v>0</v>
      </c>
      <c r="N5" s="10"/>
      <c r="O5" s="10"/>
      <c r="P5" s="10">
        <v>0</v>
      </c>
      <c r="Q5" s="10"/>
      <c r="R5" s="10"/>
      <c r="S5" s="10"/>
      <c r="T5" s="10"/>
      <c r="U5" s="10"/>
      <c r="V5" s="4" t="s">
        <v>440</v>
      </c>
      <c r="W5" s="4" t="s">
        <v>441</v>
      </c>
      <c r="X5" s="8">
        <v>44679</v>
      </c>
      <c r="Y5" s="4"/>
      <c r="Z5" s="4"/>
      <c r="AA5" s="8">
        <v>44697</v>
      </c>
      <c r="AB5" s="8">
        <v>44697</v>
      </c>
      <c r="AC5" s="4"/>
      <c r="AD5" s="4"/>
    </row>
    <row r="6" spans="1:30" hidden="1">
      <c r="A6" s="4">
        <v>2562</v>
      </c>
      <c r="B6" s="8">
        <v>44656</v>
      </c>
      <c r="C6" s="4" t="s">
        <v>439</v>
      </c>
      <c r="D6" s="4" t="s">
        <v>397</v>
      </c>
      <c r="E6" s="8">
        <v>44666</v>
      </c>
      <c r="F6" s="4" t="s">
        <v>43</v>
      </c>
      <c r="G6" s="4" t="s">
        <v>44</v>
      </c>
      <c r="H6" s="4" t="s">
        <v>45</v>
      </c>
      <c r="I6" s="4" t="s">
        <v>406</v>
      </c>
      <c r="J6" s="10">
        <v>3.6255000000000002</v>
      </c>
      <c r="K6" s="10">
        <v>3.7429999999999999</v>
      </c>
      <c r="L6" s="10">
        <v>0</v>
      </c>
      <c r="M6" s="10">
        <v>0</v>
      </c>
      <c r="N6" s="10"/>
      <c r="O6" s="10"/>
      <c r="P6" s="10">
        <v>0</v>
      </c>
      <c r="Q6" s="10"/>
      <c r="R6" s="10"/>
      <c r="S6" s="10"/>
      <c r="T6" s="10"/>
      <c r="U6" s="10"/>
      <c r="V6" s="4" t="s">
        <v>440</v>
      </c>
      <c r="W6" s="4" t="s">
        <v>441</v>
      </c>
      <c r="X6" s="8">
        <v>44663</v>
      </c>
      <c r="Y6" s="4"/>
      <c r="Z6" s="4"/>
      <c r="AA6" s="8">
        <v>44697</v>
      </c>
      <c r="AB6" s="8">
        <v>44697</v>
      </c>
      <c r="AC6" s="4"/>
      <c r="AD6" s="4"/>
    </row>
    <row r="7" spans="1:30" hidden="1">
      <c r="A7" s="4">
        <v>2563</v>
      </c>
      <c r="B7" s="8">
        <v>44656</v>
      </c>
      <c r="C7" s="4" t="s">
        <v>442</v>
      </c>
      <c r="D7" s="4" t="s">
        <v>42</v>
      </c>
      <c r="E7" s="8">
        <v>44666</v>
      </c>
      <c r="F7" s="4" t="s">
        <v>43</v>
      </c>
      <c r="G7" s="4" t="s">
        <v>21</v>
      </c>
      <c r="H7" s="4" t="s">
        <v>52</v>
      </c>
      <c r="I7" s="4" t="s">
        <v>435</v>
      </c>
      <c r="J7" s="10">
        <v>54.08</v>
      </c>
      <c r="K7" s="10">
        <v>54.131</v>
      </c>
      <c r="L7" s="10">
        <v>0</v>
      </c>
      <c r="M7" s="10">
        <v>0</v>
      </c>
      <c r="N7" s="10"/>
      <c r="O7" s="10"/>
      <c r="P7" s="10">
        <v>0</v>
      </c>
      <c r="Q7" s="10"/>
      <c r="R7" s="10"/>
      <c r="S7" s="10"/>
      <c r="T7" s="10"/>
      <c r="U7" s="10"/>
      <c r="V7" s="4" t="s">
        <v>414</v>
      </c>
      <c r="W7" s="4" t="s">
        <v>441</v>
      </c>
      <c r="X7" s="8"/>
      <c r="Y7" s="4"/>
      <c r="Z7" s="4"/>
      <c r="AA7" s="8"/>
      <c r="AB7" s="8"/>
      <c r="AC7" s="4"/>
      <c r="AD7" s="4"/>
    </row>
    <row r="8" spans="1:30" hidden="1">
      <c r="A8" s="4">
        <v>2563</v>
      </c>
      <c r="B8" s="8">
        <v>44656</v>
      </c>
      <c r="C8" s="4" t="s">
        <v>442</v>
      </c>
      <c r="D8" s="4" t="s">
        <v>42</v>
      </c>
      <c r="E8" s="8">
        <v>44666</v>
      </c>
      <c r="F8" s="4" t="s">
        <v>43</v>
      </c>
      <c r="G8" s="4" t="s">
        <v>21</v>
      </c>
      <c r="H8" s="4" t="s">
        <v>52</v>
      </c>
      <c r="I8" s="4" t="s">
        <v>432</v>
      </c>
      <c r="J8" s="10">
        <v>85.35</v>
      </c>
      <c r="K8" s="10">
        <v>85.302999999999997</v>
      </c>
      <c r="L8" s="10">
        <v>0</v>
      </c>
      <c r="M8" s="10">
        <v>0</v>
      </c>
      <c r="N8" s="10"/>
      <c r="O8" s="10"/>
      <c r="P8" s="10">
        <v>0</v>
      </c>
      <c r="Q8" s="10"/>
      <c r="R8" s="10"/>
      <c r="S8" s="10">
        <v>0</v>
      </c>
      <c r="T8" s="10">
        <v>0</v>
      </c>
      <c r="U8" s="10"/>
      <c r="V8" s="4" t="s">
        <v>414</v>
      </c>
      <c r="W8" s="4" t="s">
        <v>441</v>
      </c>
      <c r="X8" s="8">
        <v>44668</v>
      </c>
      <c r="Y8" s="4"/>
      <c r="Z8" s="4"/>
      <c r="AA8" s="8"/>
      <c r="AB8" s="8">
        <v>44697</v>
      </c>
      <c r="AC8" s="4"/>
      <c r="AD8" s="4"/>
    </row>
    <row r="9" spans="1:30" hidden="1">
      <c r="A9" s="4">
        <v>2563</v>
      </c>
      <c r="B9" s="8">
        <v>44656</v>
      </c>
      <c r="C9" s="4" t="s">
        <v>442</v>
      </c>
      <c r="D9" s="4" t="s">
        <v>42</v>
      </c>
      <c r="E9" s="8">
        <v>44666</v>
      </c>
      <c r="F9" s="4" t="s">
        <v>43</v>
      </c>
      <c r="G9" s="4" t="s">
        <v>21</v>
      </c>
      <c r="H9" s="4" t="s">
        <v>52</v>
      </c>
      <c r="I9" s="4" t="s">
        <v>434</v>
      </c>
      <c r="J9" s="10">
        <v>90.080999999999989</v>
      </c>
      <c r="K9" s="10">
        <v>90.080999999999989</v>
      </c>
      <c r="L9" s="10">
        <f>M9+U9</f>
        <v>0</v>
      </c>
      <c r="M9" s="10">
        <v>0</v>
      </c>
      <c r="N9" s="10"/>
      <c r="O9" s="10"/>
      <c r="P9" s="10"/>
      <c r="Q9" s="10"/>
      <c r="R9" s="10"/>
      <c r="S9" s="10"/>
      <c r="T9" s="10"/>
      <c r="U9" s="10">
        <v>0</v>
      </c>
      <c r="V9" s="4" t="s">
        <v>414</v>
      </c>
      <c r="W9" s="4" t="s">
        <v>441</v>
      </c>
      <c r="X9" s="8">
        <v>44675</v>
      </c>
      <c r="Y9" s="4"/>
      <c r="Z9" s="4"/>
      <c r="AA9" s="8"/>
      <c r="AB9" s="8">
        <v>44697</v>
      </c>
      <c r="AC9" s="4"/>
      <c r="AD9" s="4"/>
    </row>
    <row r="10" spans="1:30" hidden="1">
      <c r="A10" s="4">
        <v>5</v>
      </c>
      <c r="B10" s="8">
        <v>44659</v>
      </c>
      <c r="C10" s="4" t="s">
        <v>439</v>
      </c>
      <c r="D10" s="4" t="s">
        <v>397</v>
      </c>
      <c r="E10" s="8">
        <v>44666</v>
      </c>
      <c r="F10" s="4" t="s">
        <v>43</v>
      </c>
      <c r="G10" s="4" t="s">
        <v>44</v>
      </c>
      <c r="H10" s="4" t="s">
        <v>45</v>
      </c>
      <c r="I10" s="4" t="s">
        <v>434</v>
      </c>
      <c r="J10" s="10">
        <v>7.102170000000001</v>
      </c>
      <c r="K10" s="10">
        <v>7.35</v>
      </c>
      <c r="L10" s="10">
        <v>0</v>
      </c>
      <c r="M10" s="10">
        <v>0</v>
      </c>
      <c r="N10" s="10"/>
      <c r="O10" s="10"/>
      <c r="P10" s="10">
        <v>0</v>
      </c>
      <c r="Q10" s="10"/>
      <c r="R10" s="10"/>
      <c r="S10" s="10"/>
      <c r="T10" s="10"/>
      <c r="U10" s="10"/>
      <c r="V10" s="4" t="s">
        <v>23</v>
      </c>
      <c r="W10" s="4" t="s">
        <v>441</v>
      </c>
      <c r="X10" s="8"/>
      <c r="Y10" s="4"/>
      <c r="Z10" s="4"/>
      <c r="AA10" s="8">
        <v>44697</v>
      </c>
      <c r="AB10" s="8">
        <v>44697</v>
      </c>
      <c r="AC10" s="4"/>
      <c r="AD10" s="4"/>
    </row>
    <row r="11" spans="1:30" hidden="1">
      <c r="A11" s="4">
        <v>5</v>
      </c>
      <c r="B11" s="8">
        <v>44659</v>
      </c>
      <c r="C11" s="4" t="s">
        <v>443</v>
      </c>
      <c r="D11" s="4" t="s">
        <v>42</v>
      </c>
      <c r="E11" s="8">
        <v>44666</v>
      </c>
      <c r="F11" s="4" t="s">
        <v>43</v>
      </c>
      <c r="G11" s="4" t="s">
        <v>51</v>
      </c>
      <c r="H11" s="4" t="s">
        <v>52</v>
      </c>
      <c r="I11" s="4" t="s">
        <v>54</v>
      </c>
      <c r="J11" s="10">
        <v>46.346379999999996</v>
      </c>
      <c r="K11" s="10">
        <v>46.238</v>
      </c>
      <c r="L11" s="10">
        <v>0</v>
      </c>
      <c r="M11" s="10">
        <v>0</v>
      </c>
      <c r="N11" s="10"/>
      <c r="O11" s="10"/>
      <c r="P11" s="10">
        <v>0</v>
      </c>
      <c r="Q11" s="10"/>
      <c r="R11" s="10"/>
      <c r="S11" s="10"/>
      <c r="T11" s="10"/>
      <c r="U11" s="10"/>
      <c r="V11" s="4" t="s">
        <v>23</v>
      </c>
      <c r="W11" s="4" t="s">
        <v>441</v>
      </c>
      <c r="X11" s="8"/>
      <c r="Y11" s="4"/>
      <c r="Z11" s="4"/>
      <c r="AA11" s="8">
        <v>44668</v>
      </c>
      <c r="AB11" s="8">
        <v>44673</v>
      </c>
      <c r="AC11" s="4"/>
      <c r="AD11" s="4"/>
    </row>
    <row r="12" spans="1:30" hidden="1">
      <c r="A12" s="4">
        <v>5</v>
      </c>
      <c r="B12" s="8">
        <v>44659</v>
      </c>
      <c r="C12" s="4" t="s">
        <v>443</v>
      </c>
      <c r="D12" s="4" t="s">
        <v>42</v>
      </c>
      <c r="E12" s="8">
        <v>44666</v>
      </c>
      <c r="F12" s="4" t="s">
        <v>43</v>
      </c>
      <c r="G12" s="4" t="s">
        <v>51</v>
      </c>
      <c r="H12" s="4" t="s">
        <v>52</v>
      </c>
      <c r="I12" s="4" t="s">
        <v>56</v>
      </c>
      <c r="J12" s="10">
        <v>1.68632</v>
      </c>
      <c r="K12" s="10">
        <v>1.6870000000000001</v>
      </c>
      <c r="L12" s="10">
        <v>0</v>
      </c>
      <c r="M12" s="10">
        <v>0</v>
      </c>
      <c r="N12" s="10"/>
      <c r="O12" s="10"/>
      <c r="P12" s="10">
        <v>0</v>
      </c>
      <c r="Q12" s="10"/>
      <c r="R12" s="10"/>
      <c r="S12" s="10"/>
      <c r="T12" s="10"/>
      <c r="U12" s="10"/>
      <c r="V12" s="4" t="s">
        <v>23</v>
      </c>
      <c r="W12" s="4" t="s">
        <v>441</v>
      </c>
      <c r="X12" s="8"/>
      <c r="Y12" s="4"/>
      <c r="Z12" s="4"/>
      <c r="AA12" s="8">
        <v>44668</v>
      </c>
      <c r="AB12" s="8">
        <v>44668</v>
      </c>
      <c r="AC12" s="4"/>
      <c r="AD12" s="4"/>
    </row>
    <row r="13" spans="1:30" hidden="1">
      <c r="A13" s="4">
        <v>5</v>
      </c>
      <c r="B13" s="8">
        <v>44659</v>
      </c>
      <c r="C13" s="4" t="s">
        <v>443</v>
      </c>
      <c r="D13" s="4" t="s">
        <v>42</v>
      </c>
      <c r="E13" s="8">
        <v>44666</v>
      </c>
      <c r="F13" s="4" t="s">
        <v>43</v>
      </c>
      <c r="G13" s="4" t="s">
        <v>51</v>
      </c>
      <c r="H13" s="4" t="s">
        <v>52</v>
      </c>
      <c r="I13" s="4" t="s">
        <v>435</v>
      </c>
      <c r="J13" s="10">
        <v>14.850780000000002</v>
      </c>
      <c r="K13" s="10">
        <v>15.032</v>
      </c>
      <c r="L13" s="10">
        <v>0</v>
      </c>
      <c r="M13" s="10">
        <v>0</v>
      </c>
      <c r="N13" s="10"/>
      <c r="O13" s="10"/>
      <c r="P13" s="10">
        <v>0</v>
      </c>
      <c r="Q13" s="10"/>
      <c r="R13" s="10"/>
      <c r="S13" s="10"/>
      <c r="T13" s="10"/>
      <c r="U13" s="10"/>
      <c r="V13" s="4" t="s">
        <v>23</v>
      </c>
      <c r="W13" s="4" t="s">
        <v>441</v>
      </c>
      <c r="X13" s="8"/>
      <c r="Y13" s="4"/>
      <c r="Z13" s="4"/>
      <c r="AA13" s="8"/>
      <c r="AB13" s="8">
        <v>44697</v>
      </c>
      <c r="AC13" s="4"/>
      <c r="AD13" s="4"/>
    </row>
    <row r="14" spans="1:30" hidden="1">
      <c r="A14" s="4">
        <v>5</v>
      </c>
      <c r="B14" s="8">
        <v>44659</v>
      </c>
      <c r="C14" s="4" t="s">
        <v>443</v>
      </c>
      <c r="D14" s="4" t="s">
        <v>42</v>
      </c>
      <c r="E14" s="8">
        <v>44666</v>
      </c>
      <c r="F14" s="4" t="s">
        <v>43</v>
      </c>
      <c r="G14" s="4" t="s">
        <v>51</v>
      </c>
      <c r="H14" s="4" t="s">
        <v>52</v>
      </c>
      <c r="I14" s="4" t="s">
        <v>432</v>
      </c>
      <c r="J14" s="10">
        <v>1.6932</v>
      </c>
      <c r="K14" s="10">
        <v>1.6930000000000001</v>
      </c>
      <c r="L14" s="10">
        <v>0</v>
      </c>
      <c r="M14" s="10">
        <v>0</v>
      </c>
      <c r="N14" s="10"/>
      <c r="O14" s="10"/>
      <c r="P14" s="10">
        <v>0</v>
      </c>
      <c r="Q14" s="10"/>
      <c r="R14" s="10"/>
      <c r="S14" s="10"/>
      <c r="T14" s="10"/>
      <c r="U14" s="10"/>
      <c r="V14" s="4" t="s">
        <v>23</v>
      </c>
      <c r="W14" s="4" t="s">
        <v>441</v>
      </c>
      <c r="X14" s="8"/>
      <c r="Y14" s="4"/>
      <c r="Z14" s="4"/>
      <c r="AA14" s="8">
        <v>44694</v>
      </c>
      <c r="AB14" s="8">
        <v>44694</v>
      </c>
      <c r="AC14" s="4"/>
      <c r="AD14" s="4"/>
    </row>
    <row r="15" spans="1:30" hidden="1">
      <c r="A15" s="4">
        <v>5</v>
      </c>
      <c r="B15" s="8">
        <v>44659</v>
      </c>
      <c r="C15" s="4" t="s">
        <v>443</v>
      </c>
      <c r="D15" s="4" t="s">
        <v>42</v>
      </c>
      <c r="E15" s="8">
        <v>44666</v>
      </c>
      <c r="F15" s="4" t="s">
        <v>43</v>
      </c>
      <c r="G15" s="4" t="s">
        <v>51</v>
      </c>
      <c r="H15" s="4" t="s">
        <v>52</v>
      </c>
      <c r="I15" s="4" t="s">
        <v>434</v>
      </c>
      <c r="J15" s="10">
        <v>63.262530000000005</v>
      </c>
      <c r="K15" s="10">
        <v>63.242999999999995</v>
      </c>
      <c r="L15" s="10">
        <v>0</v>
      </c>
      <c r="M15" s="10">
        <v>0</v>
      </c>
      <c r="N15" s="10"/>
      <c r="O15" s="10"/>
      <c r="P15" s="10">
        <v>0</v>
      </c>
      <c r="Q15" s="10"/>
      <c r="R15" s="10"/>
      <c r="S15" s="10"/>
      <c r="T15" s="10"/>
      <c r="U15" s="10"/>
      <c r="V15" s="4" t="s">
        <v>23</v>
      </c>
      <c r="W15" s="4" t="s">
        <v>441</v>
      </c>
      <c r="X15" s="8">
        <v>44676</v>
      </c>
      <c r="Y15" s="4"/>
      <c r="Z15" s="4"/>
      <c r="AA15" s="8">
        <v>44694</v>
      </c>
      <c r="AB15" s="8"/>
      <c r="AC15" s="4"/>
      <c r="AD15" s="4"/>
    </row>
    <row r="16" spans="1:30" hidden="1">
      <c r="A16" s="4">
        <v>427</v>
      </c>
      <c r="B16" s="8">
        <v>45111</v>
      </c>
      <c r="C16" s="4"/>
      <c r="D16" s="4" t="s">
        <v>397</v>
      </c>
      <c r="E16" s="8">
        <v>45114</v>
      </c>
      <c r="F16" s="4" t="s">
        <v>43</v>
      </c>
      <c r="G16" s="4" t="s">
        <v>44</v>
      </c>
      <c r="H16" s="4" t="s">
        <v>45</v>
      </c>
      <c r="I16" s="4" t="s">
        <v>54</v>
      </c>
      <c r="J16" s="10">
        <v>0.46299999999999997</v>
      </c>
      <c r="K16" s="10">
        <v>0.46300000000000002</v>
      </c>
      <c r="L16" s="10">
        <f t="shared" ref="L16:L18" si="1">M16+U16</f>
        <v>0</v>
      </c>
      <c r="M16" s="10">
        <f t="shared" ref="M16:M18" si="2">SUM(N16:T16)</f>
        <v>0</v>
      </c>
      <c r="N16" s="10"/>
      <c r="O16" s="10"/>
      <c r="P16" s="10">
        <v>0</v>
      </c>
      <c r="Q16" s="10"/>
      <c r="R16" s="10"/>
      <c r="S16" s="10"/>
      <c r="T16" s="10"/>
      <c r="U16" s="10"/>
      <c r="V16" s="4" t="s">
        <v>466</v>
      </c>
      <c r="W16" s="4" t="s">
        <v>845</v>
      </c>
      <c r="X16" s="8">
        <v>45122</v>
      </c>
      <c r="Y16" s="4"/>
      <c r="Z16" s="4"/>
      <c r="AA16" s="8">
        <v>45162</v>
      </c>
      <c r="AB16" s="8">
        <v>45162</v>
      </c>
      <c r="AC16" s="4"/>
      <c r="AD16" s="4"/>
    </row>
    <row r="17" spans="1:30" hidden="1">
      <c r="A17" s="4">
        <v>427</v>
      </c>
      <c r="B17" s="8">
        <v>45111</v>
      </c>
      <c r="C17" s="4"/>
      <c r="D17" s="4" t="s">
        <v>397</v>
      </c>
      <c r="E17" s="8">
        <v>45114</v>
      </c>
      <c r="F17" s="4" t="s">
        <v>43</v>
      </c>
      <c r="G17" s="4" t="s">
        <v>44</v>
      </c>
      <c r="H17" s="4" t="s">
        <v>45</v>
      </c>
      <c r="I17" s="4" t="s">
        <v>56</v>
      </c>
      <c r="J17" s="10">
        <v>0.31760799999999995</v>
      </c>
      <c r="K17" s="10">
        <v>0.318</v>
      </c>
      <c r="L17" s="10">
        <f t="shared" si="1"/>
        <v>0</v>
      </c>
      <c r="M17" s="10">
        <f t="shared" si="2"/>
        <v>0</v>
      </c>
      <c r="N17" s="10"/>
      <c r="O17" s="10"/>
      <c r="P17" s="10">
        <v>0</v>
      </c>
      <c r="Q17" s="10"/>
      <c r="R17" s="10"/>
      <c r="S17" s="10"/>
      <c r="T17" s="10"/>
      <c r="U17" s="10"/>
      <c r="V17" s="4" t="s">
        <v>466</v>
      </c>
      <c r="W17" s="4" t="s">
        <v>845</v>
      </c>
      <c r="X17" s="8">
        <v>45121</v>
      </c>
      <c r="Y17" s="4"/>
      <c r="Z17" s="4"/>
      <c r="AA17" s="8">
        <v>45162</v>
      </c>
      <c r="AB17" s="8">
        <v>45162</v>
      </c>
      <c r="AC17" s="4"/>
      <c r="AD17" s="4"/>
    </row>
    <row r="18" spans="1:30" hidden="1">
      <c r="A18" s="4">
        <v>427</v>
      </c>
      <c r="B18" s="8">
        <v>45111</v>
      </c>
      <c r="C18" s="4"/>
      <c r="D18" s="4" t="s">
        <v>397</v>
      </c>
      <c r="E18" s="8">
        <v>45114</v>
      </c>
      <c r="F18" s="4" t="s">
        <v>43</v>
      </c>
      <c r="G18" s="4" t="s">
        <v>44</v>
      </c>
      <c r="H18" s="4" t="s">
        <v>45</v>
      </c>
      <c r="I18" s="4" t="s">
        <v>48</v>
      </c>
      <c r="J18" s="10">
        <v>1.0085040000000001</v>
      </c>
      <c r="K18" s="10">
        <v>1.0089999999999999</v>
      </c>
      <c r="L18" s="10">
        <f t="shared" si="1"/>
        <v>0</v>
      </c>
      <c r="M18" s="10">
        <f t="shared" si="2"/>
        <v>0</v>
      </c>
      <c r="N18" s="10"/>
      <c r="O18" s="10"/>
      <c r="P18" s="10">
        <v>0</v>
      </c>
      <c r="Q18" s="10"/>
      <c r="R18" s="10"/>
      <c r="S18" s="10"/>
      <c r="T18" s="10"/>
      <c r="U18" s="10"/>
      <c r="V18" s="4" t="s">
        <v>466</v>
      </c>
      <c r="W18" s="4" t="s">
        <v>845</v>
      </c>
      <c r="X18" s="8"/>
      <c r="Y18" s="4"/>
      <c r="Z18" s="4"/>
      <c r="AA18" s="8">
        <v>45162</v>
      </c>
      <c r="AB18" s="8">
        <v>45162</v>
      </c>
      <c r="AC18" s="4"/>
      <c r="AD18" s="4"/>
    </row>
    <row r="19" spans="1:30" hidden="1">
      <c r="A19" s="4">
        <v>427</v>
      </c>
      <c r="B19" s="8">
        <v>45111</v>
      </c>
      <c r="C19" s="4"/>
      <c r="D19" s="4" t="s">
        <v>397</v>
      </c>
      <c r="E19" s="8">
        <v>45114</v>
      </c>
      <c r="F19" s="4" t="s">
        <v>43</v>
      </c>
      <c r="G19" s="4" t="s">
        <v>44</v>
      </c>
      <c r="H19" s="4" t="s">
        <v>45</v>
      </c>
      <c r="I19" s="4" t="s">
        <v>403</v>
      </c>
      <c r="J19" s="10">
        <v>0.19896</v>
      </c>
      <c r="K19" s="10">
        <v>0.19900000000000001</v>
      </c>
      <c r="L19" s="10">
        <f t="shared" ref="L19:L21" si="3">M19+U19</f>
        <v>0</v>
      </c>
      <c r="M19" s="10">
        <f t="shared" ref="M19:M21" si="4">SUM(N19:T19)</f>
        <v>0</v>
      </c>
      <c r="N19" s="10"/>
      <c r="O19" s="10"/>
      <c r="P19" s="10">
        <v>0</v>
      </c>
      <c r="Q19" s="10"/>
      <c r="R19" s="10"/>
      <c r="S19" s="10"/>
      <c r="T19" s="10"/>
      <c r="U19" s="10"/>
      <c r="V19" s="4" t="s">
        <v>466</v>
      </c>
      <c r="W19" s="4" t="s">
        <v>845</v>
      </c>
      <c r="X19" s="8">
        <v>45127</v>
      </c>
      <c r="Y19" s="4"/>
      <c r="Z19" s="4"/>
      <c r="AA19" s="8">
        <v>45162</v>
      </c>
      <c r="AB19" s="8">
        <v>45162</v>
      </c>
      <c r="AC19" s="4"/>
      <c r="AD19" s="4"/>
    </row>
    <row r="20" spans="1:30" hidden="1">
      <c r="A20" s="4">
        <v>427</v>
      </c>
      <c r="B20" s="8">
        <v>45111</v>
      </c>
      <c r="C20" s="4"/>
      <c r="D20" s="4" t="s">
        <v>397</v>
      </c>
      <c r="E20" s="8">
        <v>45114</v>
      </c>
      <c r="F20" s="4" t="s">
        <v>43</v>
      </c>
      <c r="G20" s="4" t="s">
        <v>44</v>
      </c>
      <c r="H20" s="4" t="s">
        <v>45</v>
      </c>
      <c r="I20" s="4" t="s">
        <v>46</v>
      </c>
      <c r="J20" s="10">
        <v>0.80400000000000005</v>
      </c>
      <c r="K20" s="10">
        <v>0.80400000000000005</v>
      </c>
      <c r="L20" s="10">
        <f t="shared" si="3"/>
        <v>0</v>
      </c>
      <c r="M20" s="10">
        <f t="shared" si="4"/>
        <v>0</v>
      </c>
      <c r="N20" s="10"/>
      <c r="O20" s="10"/>
      <c r="P20" s="10">
        <v>0</v>
      </c>
      <c r="Q20" s="10"/>
      <c r="R20" s="10"/>
      <c r="S20" s="10"/>
      <c r="T20" s="10"/>
      <c r="U20" s="10"/>
      <c r="V20" s="4" t="s">
        <v>466</v>
      </c>
      <c r="W20" s="4" t="s">
        <v>845</v>
      </c>
      <c r="X20" s="8">
        <v>45125</v>
      </c>
      <c r="Y20" s="4"/>
      <c r="Z20" s="4"/>
      <c r="AA20" s="8">
        <v>45162</v>
      </c>
      <c r="AB20" s="8">
        <v>45162</v>
      </c>
      <c r="AC20" s="4"/>
      <c r="AD20" s="4"/>
    </row>
    <row r="21" spans="1:30" hidden="1">
      <c r="A21" s="4">
        <v>427</v>
      </c>
      <c r="B21" s="8">
        <v>45111</v>
      </c>
      <c r="C21" s="4"/>
      <c r="D21" s="4" t="s">
        <v>397</v>
      </c>
      <c r="E21" s="8">
        <v>45114</v>
      </c>
      <c r="F21" s="4" t="s">
        <v>43</v>
      </c>
      <c r="G21" s="4" t="s">
        <v>51</v>
      </c>
      <c r="H21" s="4" t="s">
        <v>52</v>
      </c>
      <c r="I21" s="4" t="s">
        <v>54</v>
      </c>
      <c r="J21" s="10">
        <v>0.7407999999999999</v>
      </c>
      <c r="K21" s="10">
        <v>0.82899999999999996</v>
      </c>
      <c r="L21" s="10">
        <f t="shared" si="3"/>
        <v>0</v>
      </c>
      <c r="M21" s="10">
        <f t="shared" si="4"/>
        <v>0</v>
      </c>
      <c r="N21" s="10"/>
      <c r="O21" s="10"/>
      <c r="P21" s="10"/>
      <c r="Q21" s="10"/>
      <c r="R21" s="10">
        <v>0</v>
      </c>
      <c r="S21" s="10"/>
      <c r="T21" s="10"/>
      <c r="U21" s="10"/>
      <c r="V21" s="4" t="s">
        <v>466</v>
      </c>
      <c r="W21" s="4" t="s">
        <v>845</v>
      </c>
      <c r="X21" s="8">
        <v>45122</v>
      </c>
      <c r="Y21" s="4"/>
      <c r="Z21" s="4"/>
      <c r="AA21" s="8">
        <v>45162</v>
      </c>
      <c r="AB21" s="8">
        <v>45162</v>
      </c>
      <c r="AC21" s="4"/>
      <c r="AD21" s="4"/>
    </row>
    <row r="22" spans="1:30" hidden="1">
      <c r="A22" s="4">
        <v>965</v>
      </c>
      <c r="B22" s="8">
        <v>45207</v>
      </c>
      <c r="C22" s="4" t="s">
        <v>1242</v>
      </c>
      <c r="D22" s="4" t="s">
        <v>1237</v>
      </c>
      <c r="E22" s="8">
        <v>45222</v>
      </c>
      <c r="F22" s="4" t="s">
        <v>43</v>
      </c>
      <c r="G22" s="4" t="s">
        <v>44</v>
      </c>
      <c r="H22" s="4" t="s">
        <v>45</v>
      </c>
      <c r="I22" s="4" t="s">
        <v>407</v>
      </c>
      <c r="J22" s="10">
        <v>56.32</v>
      </c>
      <c r="K22" s="10">
        <f>31.915+18.304+6.115</f>
        <v>56.333999999999996</v>
      </c>
      <c r="L22" s="10">
        <f t="shared" ref="L22" si="5">M22+U22</f>
        <v>0</v>
      </c>
      <c r="M22" s="10">
        <f t="shared" ref="M22" si="6">SUM(N22:T22)</f>
        <v>0</v>
      </c>
      <c r="N22" s="10"/>
      <c r="O22" s="10"/>
      <c r="P22" s="10">
        <v>0</v>
      </c>
      <c r="Q22" s="10"/>
      <c r="R22" s="10"/>
      <c r="S22" s="10"/>
      <c r="T22" s="10"/>
      <c r="U22" s="10"/>
      <c r="V22" s="4" t="s">
        <v>466</v>
      </c>
      <c r="W22" s="4" t="s">
        <v>845</v>
      </c>
      <c r="X22" s="8"/>
      <c r="Y22" s="4"/>
      <c r="Z22" s="4"/>
      <c r="AA22" s="8">
        <v>45214</v>
      </c>
      <c r="AB22" s="8">
        <v>45250</v>
      </c>
      <c r="AC22" s="4"/>
      <c r="AD22" s="4"/>
    </row>
    <row r="23" spans="1:30" hidden="1">
      <c r="A23" s="4">
        <v>965</v>
      </c>
      <c r="B23" s="8">
        <v>45207</v>
      </c>
      <c r="C23" s="4" t="s">
        <v>1242</v>
      </c>
      <c r="D23" s="4" t="s">
        <v>1240</v>
      </c>
      <c r="E23" s="8">
        <v>45222</v>
      </c>
      <c r="F23" s="4" t="s">
        <v>43</v>
      </c>
      <c r="G23" s="4" t="s">
        <v>44</v>
      </c>
      <c r="H23" s="4" t="s">
        <v>45</v>
      </c>
      <c r="I23" s="4" t="s">
        <v>47</v>
      </c>
      <c r="J23" s="10">
        <v>180.74</v>
      </c>
      <c r="K23" s="10">
        <f>13.825+32.324+32.105+32.509+32.572+7.483+7.68+7.68+14.831</f>
        <v>181.00899999999999</v>
      </c>
      <c r="L23" s="10">
        <f t="shared" ref="L23" si="7">M23+U23</f>
        <v>0</v>
      </c>
      <c r="M23" s="10">
        <f t="shared" ref="M23" si="8">SUM(N23:T23)</f>
        <v>0</v>
      </c>
      <c r="N23" s="10"/>
      <c r="O23" s="10"/>
      <c r="P23" s="10">
        <v>0</v>
      </c>
      <c r="Q23" s="10">
        <v>0</v>
      </c>
      <c r="R23" s="10"/>
      <c r="S23" s="10"/>
      <c r="T23" s="10"/>
      <c r="U23" s="10"/>
      <c r="V23" s="4" t="s">
        <v>466</v>
      </c>
      <c r="W23" s="4" t="s">
        <v>1224</v>
      </c>
      <c r="X23" s="8"/>
      <c r="Y23" s="4"/>
      <c r="Z23" s="4"/>
      <c r="AA23" s="8">
        <v>45214</v>
      </c>
      <c r="AB23" s="8"/>
      <c r="AC23" s="4"/>
      <c r="AD23" s="4"/>
    </row>
    <row r="24" spans="1:30" hidden="1">
      <c r="A24" s="4">
        <v>965</v>
      </c>
      <c r="B24" s="8">
        <v>45211</v>
      </c>
      <c r="C24" s="4" t="s">
        <v>1242</v>
      </c>
      <c r="D24" s="4" t="s">
        <v>1239</v>
      </c>
      <c r="E24" s="8">
        <v>45222</v>
      </c>
      <c r="F24" s="4" t="s">
        <v>43</v>
      </c>
      <c r="G24" s="4" t="s">
        <v>44</v>
      </c>
      <c r="H24" s="4" t="s">
        <v>45</v>
      </c>
      <c r="I24" s="4" t="s">
        <v>474</v>
      </c>
      <c r="J24" s="10">
        <v>34.64</v>
      </c>
      <c r="K24" s="10">
        <f>3.381+24.981+2.36+3.952</f>
        <v>34.673999999999999</v>
      </c>
      <c r="L24" s="10">
        <f t="shared" ref="L24:L27" si="9">M24+U24</f>
        <v>0</v>
      </c>
      <c r="M24" s="10">
        <f t="shared" ref="M24:M27" si="10">SUM(N24:T24)</f>
        <v>0</v>
      </c>
      <c r="N24" s="10"/>
      <c r="O24" s="10"/>
      <c r="P24" s="10">
        <v>0</v>
      </c>
      <c r="Q24" s="10"/>
      <c r="R24" s="10"/>
      <c r="S24" s="10"/>
      <c r="T24" s="10"/>
      <c r="U24" s="10"/>
      <c r="V24" s="4" t="s">
        <v>466</v>
      </c>
      <c r="W24" s="4" t="s">
        <v>845</v>
      </c>
      <c r="X24" s="8">
        <v>45213</v>
      </c>
      <c r="Y24" s="4"/>
      <c r="Z24" s="4"/>
      <c r="AA24" s="8">
        <v>45215</v>
      </c>
      <c r="AB24" s="8"/>
      <c r="AC24" s="4"/>
      <c r="AD24" s="4"/>
    </row>
    <row r="25" spans="1:30" hidden="1">
      <c r="A25" s="4">
        <v>965</v>
      </c>
      <c r="B25" s="8">
        <v>45211</v>
      </c>
      <c r="C25" s="4" t="s">
        <v>1242</v>
      </c>
      <c r="D25" s="4" t="s">
        <v>1238</v>
      </c>
      <c r="E25" s="8">
        <v>45222</v>
      </c>
      <c r="F25" s="4" t="s">
        <v>43</v>
      </c>
      <c r="G25" s="4" t="s">
        <v>44</v>
      </c>
      <c r="H25" s="4" t="s">
        <v>45</v>
      </c>
      <c r="I25" s="4" t="s">
        <v>434</v>
      </c>
      <c r="J25" s="10">
        <v>54.375999999999998</v>
      </c>
      <c r="K25" s="10">
        <f>25.37+28.123+0.883</f>
        <v>54.376000000000005</v>
      </c>
      <c r="L25" s="10">
        <f t="shared" si="9"/>
        <v>0</v>
      </c>
      <c r="M25" s="10">
        <f t="shared" si="10"/>
        <v>0</v>
      </c>
      <c r="N25" s="10"/>
      <c r="O25" s="10"/>
      <c r="P25" s="10">
        <v>0</v>
      </c>
      <c r="Q25" s="10"/>
      <c r="R25" s="10"/>
      <c r="S25" s="10"/>
      <c r="T25" s="10"/>
      <c r="U25" s="10"/>
      <c r="V25" s="4" t="s">
        <v>466</v>
      </c>
      <c r="W25" s="4" t="s">
        <v>845</v>
      </c>
      <c r="X25" s="8">
        <v>45213</v>
      </c>
      <c r="Y25" s="4"/>
      <c r="Z25" s="4"/>
      <c r="AA25" s="8">
        <v>45215</v>
      </c>
      <c r="AB25" s="8">
        <v>45235</v>
      </c>
      <c r="AC25" s="4"/>
      <c r="AD25" s="4"/>
    </row>
    <row r="26" spans="1:30" hidden="1">
      <c r="A26" s="4">
        <v>965</v>
      </c>
      <c r="B26" s="8">
        <v>45211</v>
      </c>
      <c r="C26" s="4" t="s">
        <v>1242</v>
      </c>
      <c r="D26" s="4" t="s">
        <v>397</v>
      </c>
      <c r="E26" s="8">
        <v>45222</v>
      </c>
      <c r="F26" s="4" t="s">
        <v>43</v>
      </c>
      <c r="G26" s="4" t="s">
        <v>44</v>
      </c>
      <c r="H26" s="4" t="s">
        <v>45</v>
      </c>
      <c r="I26" s="4" t="s">
        <v>577</v>
      </c>
      <c r="J26" s="10">
        <v>40.14</v>
      </c>
      <c r="K26" s="10">
        <f>5.001+32.004+3.233</f>
        <v>40.237999999999992</v>
      </c>
      <c r="L26" s="10">
        <f t="shared" si="9"/>
        <v>0</v>
      </c>
      <c r="M26" s="10">
        <f t="shared" si="10"/>
        <v>0</v>
      </c>
      <c r="N26" s="10"/>
      <c r="O26" s="10"/>
      <c r="P26" s="10">
        <v>0</v>
      </c>
      <c r="Q26" s="10"/>
      <c r="R26" s="10"/>
      <c r="S26" s="10"/>
      <c r="T26" s="10"/>
      <c r="U26" s="10"/>
      <c r="V26" s="4" t="s">
        <v>466</v>
      </c>
      <c r="W26" s="4" t="s">
        <v>845</v>
      </c>
      <c r="X26" s="8">
        <v>45215</v>
      </c>
      <c r="Y26" s="4"/>
      <c r="Z26" s="4"/>
      <c r="AA26" s="8">
        <v>45218</v>
      </c>
      <c r="AB26" s="8">
        <v>45235</v>
      </c>
      <c r="AC26" s="4"/>
      <c r="AD26" s="4"/>
    </row>
    <row r="27" spans="1:30" hidden="1">
      <c r="A27" s="4">
        <v>965</v>
      </c>
      <c r="B27" s="8">
        <v>45211</v>
      </c>
      <c r="C27" s="4" t="s">
        <v>1242</v>
      </c>
      <c r="D27" s="4" t="s">
        <v>397</v>
      </c>
      <c r="E27" s="8">
        <v>45222</v>
      </c>
      <c r="F27" s="4" t="s">
        <v>43</v>
      </c>
      <c r="G27" s="4" t="s">
        <v>44</v>
      </c>
      <c r="H27" s="4" t="s">
        <v>45</v>
      </c>
      <c r="I27" s="4" t="s">
        <v>89</v>
      </c>
      <c r="J27" s="10">
        <v>46.99</v>
      </c>
      <c r="K27" s="10">
        <f>20.233+26.196+0.559</f>
        <v>46.988</v>
      </c>
      <c r="L27" s="10">
        <f t="shared" si="9"/>
        <v>0</v>
      </c>
      <c r="M27" s="10">
        <f t="shared" si="10"/>
        <v>0</v>
      </c>
      <c r="N27" s="10"/>
      <c r="O27" s="10"/>
      <c r="P27" s="10">
        <v>0</v>
      </c>
      <c r="Q27" s="10"/>
      <c r="R27" s="10"/>
      <c r="S27" s="10"/>
      <c r="T27" s="10"/>
      <c r="U27" s="10"/>
      <c r="V27" s="4" t="s">
        <v>466</v>
      </c>
      <c r="W27" s="4" t="s">
        <v>845</v>
      </c>
      <c r="X27" s="8">
        <v>45215</v>
      </c>
      <c r="Y27" s="4"/>
      <c r="Z27" s="4"/>
      <c r="AA27" s="8">
        <v>45218</v>
      </c>
      <c r="AB27" s="8">
        <v>45235</v>
      </c>
      <c r="AC27" s="4"/>
      <c r="AD27" s="4"/>
    </row>
    <row r="28" spans="1:30" hidden="1">
      <c r="A28" s="4">
        <v>966</v>
      </c>
      <c r="B28" s="8">
        <v>45213</v>
      </c>
      <c r="C28" s="4"/>
      <c r="D28" s="4" t="s">
        <v>42</v>
      </c>
      <c r="E28" s="8">
        <v>45222</v>
      </c>
      <c r="F28" s="4" t="s">
        <v>840</v>
      </c>
      <c r="G28" s="4" t="s">
        <v>44</v>
      </c>
      <c r="H28" s="4" t="s">
        <v>45</v>
      </c>
      <c r="I28" s="4" t="s">
        <v>474</v>
      </c>
      <c r="J28" s="10">
        <v>3.3180000000000001</v>
      </c>
      <c r="K28" s="10">
        <v>3.3180000000000001</v>
      </c>
      <c r="L28" s="10">
        <f t="shared" ref="L28:L38" si="11">M28+U28</f>
        <v>0</v>
      </c>
      <c r="M28" s="10">
        <f t="shared" ref="M28:M38" si="12">SUM(N28:T28)</f>
        <v>0</v>
      </c>
      <c r="N28" s="10"/>
      <c r="O28" s="10"/>
      <c r="P28" s="10">
        <v>0</v>
      </c>
      <c r="Q28" s="10"/>
      <c r="R28" s="10"/>
      <c r="S28" s="10"/>
      <c r="T28" s="10"/>
      <c r="U28" s="10"/>
      <c r="V28" s="4" t="s">
        <v>841</v>
      </c>
      <c r="W28" s="4" t="s">
        <v>845</v>
      </c>
      <c r="X28" s="8">
        <v>45213</v>
      </c>
      <c r="Y28" s="4"/>
      <c r="Z28" s="4"/>
      <c r="AA28" s="8"/>
      <c r="AB28" s="8"/>
      <c r="AC28" s="4"/>
      <c r="AD28" s="4"/>
    </row>
    <row r="29" spans="1:30" hidden="1">
      <c r="A29" s="4">
        <v>966</v>
      </c>
      <c r="B29" s="8">
        <v>45213</v>
      </c>
      <c r="C29" s="4"/>
      <c r="D29" s="4" t="s">
        <v>42</v>
      </c>
      <c r="E29" s="8">
        <v>45222</v>
      </c>
      <c r="F29" s="4" t="s">
        <v>840</v>
      </c>
      <c r="G29" s="4" t="s">
        <v>44</v>
      </c>
      <c r="H29" s="4" t="s">
        <v>45</v>
      </c>
      <c r="I29" s="4" t="s">
        <v>434</v>
      </c>
      <c r="J29" s="10">
        <v>53.81</v>
      </c>
      <c r="K29" s="10">
        <f>25.789+2.491+25.828</f>
        <v>54.108000000000004</v>
      </c>
      <c r="L29" s="10">
        <f t="shared" si="11"/>
        <v>0</v>
      </c>
      <c r="M29" s="10">
        <f t="shared" si="12"/>
        <v>0</v>
      </c>
      <c r="N29" s="10"/>
      <c r="O29" s="10"/>
      <c r="P29" s="10">
        <v>0</v>
      </c>
      <c r="Q29" s="10"/>
      <c r="R29" s="10"/>
      <c r="S29" s="10"/>
      <c r="T29" s="10"/>
      <c r="U29" s="10"/>
      <c r="V29" s="4" t="s">
        <v>841</v>
      </c>
      <c r="W29" s="4" t="s">
        <v>845</v>
      </c>
      <c r="X29" s="8">
        <v>45213</v>
      </c>
      <c r="Y29" s="4"/>
      <c r="Z29" s="4"/>
      <c r="AA29" s="8">
        <v>45229</v>
      </c>
      <c r="AB29" s="8"/>
      <c r="AC29" s="4"/>
      <c r="AD29" s="4"/>
    </row>
    <row r="30" spans="1:30" hidden="1">
      <c r="A30" s="4">
        <v>966</v>
      </c>
      <c r="B30" s="8">
        <v>45213</v>
      </c>
      <c r="C30" s="4"/>
      <c r="D30" s="4" t="s">
        <v>397</v>
      </c>
      <c r="E30" s="8">
        <v>45222</v>
      </c>
      <c r="F30" s="4" t="s">
        <v>840</v>
      </c>
      <c r="G30" s="4" t="s">
        <v>44</v>
      </c>
      <c r="H30" s="4" t="s">
        <v>45</v>
      </c>
      <c r="I30" s="4" t="s">
        <v>729</v>
      </c>
      <c r="J30" s="10">
        <v>1.08</v>
      </c>
      <c r="K30" s="10">
        <v>1.081</v>
      </c>
      <c r="L30" s="10">
        <f t="shared" si="11"/>
        <v>0</v>
      </c>
      <c r="M30" s="10">
        <f t="shared" si="12"/>
        <v>0</v>
      </c>
      <c r="N30" s="10"/>
      <c r="O30" s="10"/>
      <c r="P30" s="10">
        <v>0</v>
      </c>
      <c r="Q30" s="10"/>
      <c r="R30" s="10"/>
      <c r="S30" s="10"/>
      <c r="T30" s="10"/>
      <c r="U30" s="10"/>
      <c r="V30" s="4" t="s">
        <v>841</v>
      </c>
      <c r="W30" s="4" t="s">
        <v>845</v>
      </c>
      <c r="X30" s="8">
        <v>45213</v>
      </c>
      <c r="Y30" s="4"/>
      <c r="Z30" s="4"/>
      <c r="AA30" s="8"/>
      <c r="AB30" s="8">
        <v>45235</v>
      </c>
      <c r="AC30" s="4"/>
      <c r="AD30" s="4"/>
    </row>
    <row r="31" spans="1:30" hidden="1">
      <c r="A31" s="4">
        <v>966</v>
      </c>
      <c r="B31" s="8">
        <v>45213</v>
      </c>
      <c r="C31" s="4"/>
      <c r="D31" s="4" t="s">
        <v>397</v>
      </c>
      <c r="E31" s="8">
        <v>45222</v>
      </c>
      <c r="F31" s="4" t="s">
        <v>840</v>
      </c>
      <c r="G31" s="4" t="s">
        <v>44</v>
      </c>
      <c r="H31" s="4" t="s">
        <v>45</v>
      </c>
      <c r="I31" s="4" t="s">
        <v>577</v>
      </c>
      <c r="J31" s="10">
        <v>4.37</v>
      </c>
      <c r="K31" s="10">
        <v>4.6820000000000004</v>
      </c>
      <c r="L31" s="10">
        <f t="shared" si="11"/>
        <v>0</v>
      </c>
      <c r="M31" s="10">
        <f t="shared" si="12"/>
        <v>0</v>
      </c>
      <c r="N31" s="10"/>
      <c r="O31" s="10"/>
      <c r="P31" s="10">
        <v>0</v>
      </c>
      <c r="Q31" s="10"/>
      <c r="R31" s="10"/>
      <c r="S31" s="10"/>
      <c r="T31" s="10"/>
      <c r="U31" s="10"/>
      <c r="V31" s="4" t="s">
        <v>841</v>
      </c>
      <c r="W31" s="4" t="s">
        <v>845</v>
      </c>
      <c r="X31" s="8">
        <v>45215</v>
      </c>
      <c r="Y31" s="4"/>
      <c r="Z31" s="4"/>
      <c r="AA31" s="8"/>
      <c r="AB31" s="8">
        <v>45235</v>
      </c>
      <c r="AC31" s="4"/>
      <c r="AD31" s="4"/>
    </row>
    <row r="32" spans="1:30" hidden="1">
      <c r="A32" s="4">
        <v>966</v>
      </c>
      <c r="B32" s="8">
        <v>45213</v>
      </c>
      <c r="C32" s="4"/>
      <c r="D32" s="4" t="s">
        <v>42</v>
      </c>
      <c r="E32" s="8">
        <v>45222</v>
      </c>
      <c r="F32" s="4" t="s">
        <v>840</v>
      </c>
      <c r="G32" s="4" t="s">
        <v>44</v>
      </c>
      <c r="H32" s="4" t="s">
        <v>45</v>
      </c>
      <c r="I32" s="4" t="s">
        <v>89</v>
      </c>
      <c r="J32" s="10">
        <v>72.67</v>
      </c>
      <c r="K32" s="10">
        <f>32.281+7.081+10.868+4.843+10.551+7.421</f>
        <v>73.045000000000016</v>
      </c>
      <c r="L32" s="10">
        <f t="shared" si="11"/>
        <v>0</v>
      </c>
      <c r="M32" s="10">
        <f t="shared" si="12"/>
        <v>0</v>
      </c>
      <c r="N32" s="10"/>
      <c r="O32" s="10"/>
      <c r="P32" s="10">
        <v>0</v>
      </c>
      <c r="Q32" s="10"/>
      <c r="R32" s="10"/>
      <c r="S32" s="10"/>
      <c r="T32" s="10"/>
      <c r="U32" s="10"/>
      <c r="V32" s="4" t="s">
        <v>841</v>
      </c>
      <c r="W32" s="4" t="s">
        <v>845</v>
      </c>
      <c r="X32" s="8">
        <v>45215</v>
      </c>
      <c r="Y32" s="4"/>
      <c r="Z32" s="4"/>
      <c r="AA32" s="8">
        <v>45230</v>
      </c>
      <c r="AB32" s="8">
        <v>45238</v>
      </c>
      <c r="AC32" s="4"/>
      <c r="AD32" s="4"/>
    </row>
    <row r="33" spans="1:30" hidden="1">
      <c r="A33" s="4">
        <v>966</v>
      </c>
      <c r="B33" s="8">
        <v>45213</v>
      </c>
      <c r="C33" s="4"/>
      <c r="D33" s="4" t="s">
        <v>42</v>
      </c>
      <c r="E33" s="8">
        <v>45222</v>
      </c>
      <c r="F33" s="4" t="s">
        <v>840</v>
      </c>
      <c r="G33" s="4" t="s">
        <v>44</v>
      </c>
      <c r="H33" s="4" t="s">
        <v>45</v>
      </c>
      <c r="I33" s="4" t="s">
        <v>87</v>
      </c>
      <c r="J33" s="10">
        <v>20.07</v>
      </c>
      <c r="K33" s="10">
        <f>7.48+11.011+1.914</f>
        <v>20.405000000000001</v>
      </c>
      <c r="L33" s="10">
        <f t="shared" si="11"/>
        <v>0</v>
      </c>
      <c r="M33" s="10">
        <f t="shared" si="12"/>
        <v>0</v>
      </c>
      <c r="N33" s="10"/>
      <c r="O33" s="10"/>
      <c r="P33" s="10">
        <v>0</v>
      </c>
      <c r="Q33" s="10"/>
      <c r="R33" s="10"/>
      <c r="S33" s="10"/>
      <c r="T33" s="10"/>
      <c r="U33" s="10"/>
      <c r="V33" s="4" t="s">
        <v>841</v>
      </c>
      <c r="W33" s="4" t="s">
        <v>845</v>
      </c>
      <c r="X33" s="8">
        <v>45216</v>
      </c>
      <c r="Y33" s="4"/>
      <c r="Z33" s="4"/>
      <c r="AA33" s="8">
        <v>45230</v>
      </c>
      <c r="AB33" s="8">
        <v>45238</v>
      </c>
      <c r="AC33" s="4"/>
      <c r="AD33" s="4"/>
    </row>
    <row r="34" spans="1:30" hidden="1">
      <c r="A34" s="4">
        <v>966</v>
      </c>
      <c r="B34" s="8">
        <v>45213</v>
      </c>
      <c r="C34" s="4"/>
      <c r="D34" s="4" t="s">
        <v>42</v>
      </c>
      <c r="E34" s="8">
        <v>45222</v>
      </c>
      <c r="F34" s="4" t="s">
        <v>840</v>
      </c>
      <c r="G34" s="4" t="s">
        <v>44</v>
      </c>
      <c r="H34" s="4" t="s">
        <v>45</v>
      </c>
      <c r="I34" s="4" t="s">
        <v>125</v>
      </c>
      <c r="J34" s="10">
        <v>3.13</v>
      </c>
      <c r="K34" s="10">
        <f>2.511+0.622</f>
        <v>3.133</v>
      </c>
      <c r="L34" s="10">
        <f t="shared" si="11"/>
        <v>0</v>
      </c>
      <c r="M34" s="10">
        <f t="shared" si="12"/>
        <v>0</v>
      </c>
      <c r="N34" s="10"/>
      <c r="O34" s="10"/>
      <c r="P34" s="10">
        <v>0</v>
      </c>
      <c r="Q34" s="10"/>
      <c r="R34" s="10"/>
      <c r="S34" s="10"/>
      <c r="T34" s="10"/>
      <c r="U34" s="10"/>
      <c r="V34" s="4" t="s">
        <v>841</v>
      </c>
      <c r="W34" s="4" t="s">
        <v>845</v>
      </c>
      <c r="X34" s="8">
        <v>45216</v>
      </c>
      <c r="Y34" s="4"/>
      <c r="Z34" s="4"/>
      <c r="AA34" s="8">
        <v>45230</v>
      </c>
      <c r="AB34" s="8">
        <v>45238</v>
      </c>
      <c r="AC34" s="4"/>
      <c r="AD34" s="4"/>
    </row>
    <row r="35" spans="1:30" hidden="1">
      <c r="A35" s="4">
        <v>966</v>
      </c>
      <c r="B35" s="8">
        <v>45213</v>
      </c>
      <c r="C35" s="4"/>
      <c r="D35" s="4" t="s">
        <v>42</v>
      </c>
      <c r="E35" s="8">
        <v>45222</v>
      </c>
      <c r="F35" s="4" t="s">
        <v>840</v>
      </c>
      <c r="G35" s="4" t="s">
        <v>51</v>
      </c>
      <c r="H35" s="4" t="s">
        <v>52</v>
      </c>
      <c r="I35" s="4" t="s">
        <v>474</v>
      </c>
      <c r="J35" s="10">
        <v>1.1299999999999999</v>
      </c>
      <c r="K35" s="10">
        <v>1.1830000000000001</v>
      </c>
      <c r="L35" s="10">
        <f t="shared" si="11"/>
        <v>0</v>
      </c>
      <c r="M35" s="10">
        <f t="shared" si="12"/>
        <v>0</v>
      </c>
      <c r="N35" s="10"/>
      <c r="O35" s="10"/>
      <c r="P35" s="10">
        <v>0</v>
      </c>
      <c r="Q35" s="10"/>
      <c r="R35" s="10"/>
      <c r="S35" s="10"/>
      <c r="T35" s="10"/>
      <c r="U35" s="10"/>
      <c r="V35" s="4" t="s">
        <v>841</v>
      </c>
      <c r="W35" s="4" t="s">
        <v>845</v>
      </c>
      <c r="X35" s="8">
        <v>45213</v>
      </c>
      <c r="Y35" s="4"/>
      <c r="Z35" s="4"/>
      <c r="AA35" s="8"/>
      <c r="AB35" s="8">
        <v>45238</v>
      </c>
      <c r="AC35" s="4"/>
      <c r="AD35" s="4"/>
    </row>
    <row r="36" spans="1:30" hidden="1">
      <c r="A36" s="4">
        <v>966</v>
      </c>
      <c r="B36" s="8">
        <v>45213</v>
      </c>
      <c r="C36" s="4"/>
      <c r="D36" s="4" t="s">
        <v>42</v>
      </c>
      <c r="E36" s="8">
        <v>45222</v>
      </c>
      <c r="F36" s="4" t="s">
        <v>840</v>
      </c>
      <c r="G36" s="4" t="s">
        <v>51</v>
      </c>
      <c r="H36" s="4" t="s">
        <v>52</v>
      </c>
      <c r="I36" s="4" t="s">
        <v>434</v>
      </c>
      <c r="J36" s="10">
        <v>10.71</v>
      </c>
      <c r="K36" s="10">
        <f>4.223+6.512</f>
        <v>10.734999999999999</v>
      </c>
      <c r="L36" s="10">
        <f t="shared" si="11"/>
        <v>0</v>
      </c>
      <c r="M36" s="10">
        <f t="shared" si="12"/>
        <v>0</v>
      </c>
      <c r="N36" s="10"/>
      <c r="O36" s="10"/>
      <c r="P36" s="10">
        <v>0</v>
      </c>
      <c r="Q36" s="10"/>
      <c r="R36" s="10"/>
      <c r="S36" s="10"/>
      <c r="T36" s="10"/>
      <c r="U36" s="10"/>
      <c r="V36" s="4" t="s">
        <v>841</v>
      </c>
      <c r="W36" s="4" t="s">
        <v>845</v>
      </c>
      <c r="X36" s="8">
        <v>45213</v>
      </c>
      <c r="Y36" s="4"/>
      <c r="Z36" s="4"/>
      <c r="AA36" s="8">
        <v>45230</v>
      </c>
      <c r="AB36" s="8">
        <v>45238</v>
      </c>
      <c r="AC36" s="4"/>
      <c r="AD36" s="4"/>
    </row>
    <row r="37" spans="1:30" hidden="1">
      <c r="A37" s="4">
        <v>966</v>
      </c>
      <c r="B37" s="8">
        <v>45213</v>
      </c>
      <c r="C37" s="4"/>
      <c r="D37" s="4" t="s">
        <v>42</v>
      </c>
      <c r="E37" s="8">
        <v>45222</v>
      </c>
      <c r="F37" s="4" t="s">
        <v>840</v>
      </c>
      <c r="G37" s="4" t="s">
        <v>51</v>
      </c>
      <c r="H37" s="4" t="s">
        <v>52</v>
      </c>
      <c r="I37" s="4" t="s">
        <v>577</v>
      </c>
      <c r="J37" s="10">
        <v>3.51</v>
      </c>
      <c r="K37" s="10">
        <v>3.6030000000000002</v>
      </c>
      <c r="L37" s="10">
        <f t="shared" si="11"/>
        <v>0</v>
      </c>
      <c r="M37" s="10">
        <f t="shared" si="12"/>
        <v>0</v>
      </c>
      <c r="N37" s="10"/>
      <c r="O37" s="10"/>
      <c r="P37" s="10">
        <v>0</v>
      </c>
      <c r="Q37" s="10"/>
      <c r="R37" s="10"/>
      <c r="S37" s="10"/>
      <c r="T37" s="10"/>
      <c r="U37" s="10"/>
      <c r="V37" s="4" t="s">
        <v>841</v>
      </c>
      <c r="W37" s="4" t="s">
        <v>845</v>
      </c>
      <c r="X37" s="8">
        <v>45216</v>
      </c>
      <c r="Y37" s="4"/>
      <c r="Z37" s="4"/>
      <c r="AA37" s="8"/>
      <c r="AB37" s="8"/>
      <c r="AC37" s="4"/>
      <c r="AD37" s="4"/>
    </row>
    <row r="38" spans="1:30" hidden="1">
      <c r="A38" s="4">
        <v>966</v>
      </c>
      <c r="B38" s="8">
        <v>45213</v>
      </c>
      <c r="C38" s="4"/>
      <c r="D38" s="4" t="s">
        <v>42</v>
      </c>
      <c r="E38" s="8">
        <v>45222</v>
      </c>
      <c r="F38" s="4" t="s">
        <v>840</v>
      </c>
      <c r="G38" s="4" t="s">
        <v>51</v>
      </c>
      <c r="H38" s="4" t="s">
        <v>52</v>
      </c>
      <c r="I38" s="4" t="s">
        <v>89</v>
      </c>
      <c r="J38" s="10">
        <v>7</v>
      </c>
      <c r="K38" s="10">
        <f>4.418+3.056</f>
        <v>7.4740000000000002</v>
      </c>
      <c r="L38" s="10">
        <f t="shared" si="11"/>
        <v>0</v>
      </c>
      <c r="M38" s="10">
        <f t="shared" si="12"/>
        <v>0</v>
      </c>
      <c r="N38" s="10"/>
      <c r="O38" s="10"/>
      <c r="P38" s="10">
        <v>0</v>
      </c>
      <c r="Q38" s="10"/>
      <c r="R38" s="10"/>
      <c r="S38" s="10"/>
      <c r="T38" s="10"/>
      <c r="U38" s="10"/>
      <c r="V38" s="4" t="s">
        <v>841</v>
      </c>
      <c r="W38" s="4" t="s">
        <v>845</v>
      </c>
      <c r="X38" s="8">
        <v>45216</v>
      </c>
      <c r="Y38" s="4"/>
      <c r="Z38" s="4"/>
      <c r="AA38" s="8">
        <v>45230</v>
      </c>
      <c r="AB38" s="8">
        <v>45238</v>
      </c>
      <c r="AC38" s="4"/>
      <c r="AD38" s="4"/>
    </row>
    <row r="39" spans="1:30" hidden="1">
      <c r="A39" s="4">
        <v>970</v>
      </c>
      <c r="B39" s="8">
        <v>45217</v>
      </c>
      <c r="C39" s="4"/>
      <c r="D39" s="4" t="s">
        <v>42</v>
      </c>
      <c r="E39" s="8">
        <v>45222</v>
      </c>
      <c r="F39" s="4" t="s">
        <v>840</v>
      </c>
      <c r="G39" s="4" t="s">
        <v>51</v>
      </c>
      <c r="H39" s="4" t="s">
        <v>52</v>
      </c>
      <c r="I39" s="4" t="s">
        <v>434</v>
      </c>
      <c r="J39" s="10">
        <v>0.68</v>
      </c>
      <c r="K39" s="10">
        <v>0.68</v>
      </c>
      <c r="L39" s="10">
        <f t="shared" ref="L39:L41" si="13">M39+U39</f>
        <v>0</v>
      </c>
      <c r="M39" s="10">
        <f t="shared" ref="M39:M40" si="14">SUM(N39:T39)</f>
        <v>0</v>
      </c>
      <c r="N39" s="10"/>
      <c r="O39" s="10"/>
      <c r="P39" s="10">
        <v>0</v>
      </c>
      <c r="Q39" s="10"/>
      <c r="R39" s="10"/>
      <c r="S39" s="10"/>
      <c r="T39" s="10"/>
      <c r="U39" s="10"/>
      <c r="V39" s="4" t="s">
        <v>841</v>
      </c>
      <c r="W39" s="4" t="s">
        <v>845</v>
      </c>
      <c r="X39" s="8">
        <v>45213</v>
      </c>
      <c r="Y39" s="4"/>
      <c r="Z39" s="4"/>
      <c r="AA39" s="8"/>
      <c r="AB39" s="8">
        <v>45238</v>
      </c>
      <c r="AC39" s="4"/>
      <c r="AD39" s="4"/>
    </row>
    <row r="40" spans="1:30" hidden="1">
      <c r="A40" s="4">
        <v>970</v>
      </c>
      <c r="B40" s="8">
        <v>45217</v>
      </c>
      <c r="C40" s="4"/>
      <c r="D40" s="4" t="s">
        <v>42</v>
      </c>
      <c r="E40" s="8">
        <v>45222</v>
      </c>
      <c r="F40" s="4" t="s">
        <v>840</v>
      </c>
      <c r="G40" s="4" t="s">
        <v>44</v>
      </c>
      <c r="H40" s="4" t="s">
        <v>45</v>
      </c>
      <c r="I40" s="4" t="s">
        <v>434</v>
      </c>
      <c r="J40" s="10">
        <v>2.31</v>
      </c>
      <c r="K40" s="10">
        <v>2.3140000000000001</v>
      </c>
      <c r="L40" s="10">
        <f t="shared" si="13"/>
        <v>0</v>
      </c>
      <c r="M40" s="10">
        <f t="shared" si="14"/>
        <v>0</v>
      </c>
      <c r="N40" s="10"/>
      <c r="O40" s="10"/>
      <c r="P40" s="10">
        <v>0</v>
      </c>
      <c r="Q40" s="10"/>
      <c r="R40" s="10"/>
      <c r="S40" s="10"/>
      <c r="T40" s="10"/>
      <c r="U40" s="10"/>
      <c r="V40" s="4" t="s">
        <v>841</v>
      </c>
      <c r="W40" s="4" t="s">
        <v>845</v>
      </c>
      <c r="X40" s="8">
        <v>45214</v>
      </c>
      <c r="Y40" s="4"/>
      <c r="Z40" s="4"/>
      <c r="AA40" s="8">
        <v>45230</v>
      </c>
      <c r="AB40" s="8">
        <v>45230</v>
      </c>
      <c r="AC40" s="4"/>
      <c r="AD40" s="4"/>
    </row>
    <row r="41" spans="1:30" hidden="1">
      <c r="A41" s="4">
        <v>971</v>
      </c>
      <c r="B41" s="8">
        <v>45217</v>
      </c>
      <c r="C41" s="4" t="s">
        <v>1243</v>
      </c>
      <c r="D41" s="4" t="s">
        <v>397</v>
      </c>
      <c r="E41" s="8">
        <v>45222</v>
      </c>
      <c r="F41" s="4" t="s">
        <v>43</v>
      </c>
      <c r="G41" s="4" t="s">
        <v>44</v>
      </c>
      <c r="H41" s="4" t="s">
        <v>45</v>
      </c>
      <c r="I41" s="4" t="s">
        <v>434</v>
      </c>
      <c r="J41" s="10">
        <v>0.15</v>
      </c>
      <c r="K41" s="10">
        <v>0.153</v>
      </c>
      <c r="L41" s="10">
        <f t="shared" si="13"/>
        <v>0</v>
      </c>
      <c r="M41" s="10">
        <f t="shared" ref="M41" si="15">SUM(N41:T41)</f>
        <v>0</v>
      </c>
      <c r="N41" s="10"/>
      <c r="O41" s="10"/>
      <c r="P41" s="10">
        <v>0</v>
      </c>
      <c r="Q41" s="10"/>
      <c r="R41" s="10"/>
      <c r="S41" s="10"/>
      <c r="T41" s="10"/>
      <c r="U41" s="10"/>
      <c r="V41" s="4" t="s">
        <v>466</v>
      </c>
      <c r="W41" s="4" t="s">
        <v>845</v>
      </c>
      <c r="X41" s="8">
        <v>45214</v>
      </c>
      <c r="Y41" s="4"/>
      <c r="Z41" s="4"/>
      <c r="AA41" s="8"/>
      <c r="AB41" s="8"/>
      <c r="AC41" s="4"/>
      <c r="AD41" s="4"/>
    </row>
    <row r="42" spans="1:30" hidden="1">
      <c r="A42" s="4">
        <v>971</v>
      </c>
      <c r="B42" s="8">
        <v>45217</v>
      </c>
      <c r="C42" s="4" t="s">
        <v>1243</v>
      </c>
      <c r="D42" s="4" t="s">
        <v>397</v>
      </c>
      <c r="E42" s="8">
        <v>45222</v>
      </c>
      <c r="F42" s="4" t="s">
        <v>43</v>
      </c>
      <c r="G42" s="4" t="s">
        <v>51</v>
      </c>
      <c r="H42" s="4" t="s">
        <v>52</v>
      </c>
      <c r="I42" s="4" t="s">
        <v>474</v>
      </c>
      <c r="J42" s="10">
        <v>0.23</v>
      </c>
      <c r="K42" s="10">
        <v>0.23100000000000001</v>
      </c>
      <c r="L42" s="10">
        <f t="shared" ref="L42:L43" si="16">M42+U42</f>
        <v>0</v>
      </c>
      <c r="M42" s="10">
        <f t="shared" ref="M42:M43" si="17">SUM(N42:T42)</f>
        <v>0</v>
      </c>
      <c r="N42" s="10"/>
      <c r="O42" s="10"/>
      <c r="P42" s="10">
        <v>0</v>
      </c>
      <c r="Q42" s="10"/>
      <c r="R42" s="10"/>
      <c r="S42" s="10"/>
      <c r="T42" s="10"/>
      <c r="U42" s="10"/>
      <c r="V42" s="4" t="s">
        <v>466</v>
      </c>
      <c r="W42" s="4" t="s">
        <v>845</v>
      </c>
      <c r="X42" s="8">
        <v>45213</v>
      </c>
      <c r="Y42" s="4"/>
      <c r="Z42" s="4"/>
      <c r="AA42" s="8"/>
      <c r="AB42" s="8"/>
      <c r="AC42" s="4"/>
      <c r="AD42" s="4"/>
    </row>
    <row r="43" spans="1:30" hidden="1">
      <c r="A43" s="4">
        <v>971</v>
      </c>
      <c r="B43" s="8">
        <v>45217</v>
      </c>
      <c r="C43" s="4" t="s">
        <v>1243</v>
      </c>
      <c r="D43" s="4" t="s">
        <v>397</v>
      </c>
      <c r="E43" s="8">
        <v>45222</v>
      </c>
      <c r="F43" s="4" t="s">
        <v>43</v>
      </c>
      <c r="G43" s="4" t="s">
        <v>51</v>
      </c>
      <c r="H43" s="4" t="s">
        <v>52</v>
      </c>
      <c r="I43" s="4" t="s">
        <v>434</v>
      </c>
      <c r="J43" s="10">
        <v>0.84</v>
      </c>
      <c r="K43" s="10">
        <f>0.559+0.287</f>
        <v>0.84600000000000009</v>
      </c>
      <c r="L43" s="10">
        <f t="shared" si="16"/>
        <v>0</v>
      </c>
      <c r="M43" s="10">
        <f t="shared" si="17"/>
        <v>0</v>
      </c>
      <c r="N43" s="10"/>
      <c r="O43" s="10"/>
      <c r="P43" s="10">
        <v>0</v>
      </c>
      <c r="Q43" s="10"/>
      <c r="R43" s="10"/>
      <c r="S43" s="10"/>
      <c r="T43" s="10"/>
      <c r="U43" s="10"/>
      <c r="V43" s="4" t="s">
        <v>466</v>
      </c>
      <c r="W43" s="4" t="s">
        <v>845</v>
      </c>
      <c r="X43" s="8">
        <v>45213</v>
      </c>
      <c r="Y43" s="4"/>
      <c r="Z43" s="4"/>
      <c r="AA43" s="8"/>
      <c r="AB43" s="8"/>
      <c r="AC43" s="4"/>
      <c r="AD43" s="4"/>
    </row>
    <row r="44" spans="1:30" hidden="1">
      <c r="A44" s="4">
        <v>970</v>
      </c>
      <c r="B44" s="8">
        <v>45217</v>
      </c>
      <c r="C44" s="4"/>
      <c r="D44" s="4" t="s">
        <v>42</v>
      </c>
      <c r="E44" s="8">
        <v>45222</v>
      </c>
      <c r="F44" s="4" t="s">
        <v>840</v>
      </c>
      <c r="G44" s="4" t="s">
        <v>51</v>
      </c>
      <c r="H44" s="4" t="s">
        <v>52</v>
      </c>
      <c r="I44" s="4" t="s">
        <v>577</v>
      </c>
      <c r="J44" s="10">
        <v>0.04</v>
      </c>
      <c r="K44" s="10">
        <v>4.2000000000000003E-2</v>
      </c>
      <c r="L44" s="10">
        <f t="shared" ref="L44:L46" si="18">M44+U44</f>
        <v>0</v>
      </c>
      <c r="M44" s="10">
        <f t="shared" ref="M44:M46" si="19">SUM(N44:T44)</f>
        <v>0</v>
      </c>
      <c r="N44" s="10"/>
      <c r="O44" s="10"/>
      <c r="P44" s="10">
        <v>0</v>
      </c>
      <c r="Q44" s="10"/>
      <c r="R44" s="10"/>
      <c r="S44" s="10"/>
      <c r="T44" s="10"/>
      <c r="U44" s="10"/>
      <c r="V44" s="4" t="s">
        <v>841</v>
      </c>
      <c r="W44" s="4" t="s">
        <v>845</v>
      </c>
      <c r="X44" s="8">
        <v>45216</v>
      </c>
      <c r="Y44" s="4"/>
      <c r="Z44" s="4"/>
      <c r="AA44" s="8"/>
      <c r="AB44" s="8"/>
      <c r="AC44" s="4"/>
      <c r="AD44" s="4"/>
    </row>
    <row r="45" spans="1:30" hidden="1">
      <c r="A45" s="4">
        <v>970</v>
      </c>
      <c r="B45" s="8">
        <v>45217</v>
      </c>
      <c r="C45" s="4"/>
      <c r="D45" s="4" t="s">
        <v>42</v>
      </c>
      <c r="E45" s="8">
        <v>45222</v>
      </c>
      <c r="F45" s="4" t="s">
        <v>840</v>
      </c>
      <c r="G45" s="4" t="s">
        <v>51</v>
      </c>
      <c r="H45" s="4" t="s">
        <v>52</v>
      </c>
      <c r="I45" s="4" t="s">
        <v>89</v>
      </c>
      <c r="J45" s="10">
        <v>0.28999999999999998</v>
      </c>
      <c r="K45" s="10">
        <v>0.28799999999999998</v>
      </c>
      <c r="L45" s="10">
        <f t="shared" si="18"/>
        <v>0</v>
      </c>
      <c r="M45" s="10">
        <f t="shared" si="19"/>
        <v>0</v>
      </c>
      <c r="N45" s="10"/>
      <c r="O45" s="10"/>
      <c r="P45" s="10">
        <v>0</v>
      </c>
      <c r="Q45" s="10"/>
      <c r="R45" s="10"/>
      <c r="S45" s="10"/>
      <c r="T45" s="10"/>
      <c r="U45" s="10"/>
      <c r="V45" s="4" t="s">
        <v>841</v>
      </c>
      <c r="W45" s="4" t="s">
        <v>845</v>
      </c>
      <c r="X45" s="8">
        <v>45216</v>
      </c>
      <c r="Y45" s="4"/>
      <c r="Z45" s="4"/>
      <c r="AA45" s="8"/>
      <c r="AB45" s="8">
        <v>45238</v>
      </c>
      <c r="AC45" s="4"/>
      <c r="AD45" s="4"/>
    </row>
    <row r="46" spans="1:30" hidden="1">
      <c r="A46" s="4">
        <v>970</v>
      </c>
      <c r="B46" s="8">
        <v>45217</v>
      </c>
      <c r="C46" s="4"/>
      <c r="D46" s="4" t="s">
        <v>42</v>
      </c>
      <c r="E46" s="8">
        <v>45222</v>
      </c>
      <c r="F46" s="4" t="s">
        <v>840</v>
      </c>
      <c r="G46" s="4" t="s">
        <v>44</v>
      </c>
      <c r="H46" s="4" t="s">
        <v>45</v>
      </c>
      <c r="I46" s="4" t="s">
        <v>89</v>
      </c>
      <c r="J46" s="10">
        <v>4.29</v>
      </c>
      <c r="K46" s="10">
        <f>0.395+0.258+3.709</f>
        <v>4.3620000000000001</v>
      </c>
      <c r="L46" s="10">
        <f t="shared" si="18"/>
        <v>0</v>
      </c>
      <c r="M46" s="10">
        <f t="shared" si="19"/>
        <v>0</v>
      </c>
      <c r="N46" s="10"/>
      <c r="O46" s="10"/>
      <c r="P46" s="10">
        <v>0</v>
      </c>
      <c r="Q46" s="10"/>
      <c r="R46" s="10"/>
      <c r="S46" s="10"/>
      <c r="T46" s="10"/>
      <c r="U46" s="10"/>
      <c r="V46" s="4" t="s">
        <v>841</v>
      </c>
      <c r="W46" s="4" t="s">
        <v>845</v>
      </c>
      <c r="X46" s="8">
        <v>45216</v>
      </c>
      <c r="Y46" s="4"/>
      <c r="Z46" s="4"/>
      <c r="AA46" s="8">
        <v>45230</v>
      </c>
      <c r="AB46" s="8"/>
      <c r="AC46" s="4"/>
      <c r="AD46" s="4"/>
    </row>
    <row r="47" spans="1:30" hidden="1">
      <c r="A47" s="4">
        <v>970</v>
      </c>
      <c r="B47" s="8">
        <v>45217</v>
      </c>
      <c r="C47" s="4"/>
      <c r="D47" s="4" t="s">
        <v>42</v>
      </c>
      <c r="E47" s="8">
        <v>45222</v>
      </c>
      <c r="F47" s="4" t="s">
        <v>840</v>
      </c>
      <c r="G47" s="4" t="s">
        <v>44</v>
      </c>
      <c r="H47" s="4" t="s">
        <v>45</v>
      </c>
      <c r="I47" s="4" t="s">
        <v>87</v>
      </c>
      <c r="J47" s="10">
        <v>0.69</v>
      </c>
      <c r="K47" s="10">
        <v>0.69199999999999995</v>
      </c>
      <c r="L47" s="10">
        <f t="shared" ref="L47:L50" si="20">M47+U47</f>
        <v>0</v>
      </c>
      <c r="M47" s="10">
        <f t="shared" ref="M47:M48" si="21">SUM(N47:T47)</f>
        <v>0</v>
      </c>
      <c r="N47" s="10"/>
      <c r="O47" s="10"/>
      <c r="P47" s="10">
        <v>0</v>
      </c>
      <c r="Q47" s="10"/>
      <c r="R47" s="10"/>
      <c r="S47" s="10"/>
      <c r="T47" s="10"/>
      <c r="U47" s="10"/>
      <c r="V47" s="4" t="s">
        <v>841</v>
      </c>
      <c r="W47" s="4" t="s">
        <v>845</v>
      </c>
      <c r="X47" s="8">
        <v>45216</v>
      </c>
      <c r="Y47" s="4"/>
      <c r="Z47" s="4"/>
      <c r="AA47" s="8"/>
      <c r="AB47" s="8"/>
      <c r="AC47" s="4"/>
      <c r="AD47" s="4"/>
    </row>
    <row r="48" spans="1:30" hidden="1">
      <c r="A48" s="4">
        <v>970</v>
      </c>
      <c r="B48" s="8">
        <v>45217</v>
      </c>
      <c r="C48" s="4"/>
      <c r="D48" s="4" t="s">
        <v>42</v>
      </c>
      <c r="E48" s="8">
        <v>45222</v>
      </c>
      <c r="F48" s="4" t="s">
        <v>840</v>
      </c>
      <c r="G48" s="4" t="s">
        <v>44</v>
      </c>
      <c r="H48" s="4" t="s">
        <v>45</v>
      </c>
      <c r="I48" s="4" t="s">
        <v>577</v>
      </c>
      <c r="J48" s="10">
        <v>0.7</v>
      </c>
      <c r="K48" s="10">
        <v>0.70199999999999996</v>
      </c>
      <c r="L48" s="10">
        <f t="shared" si="20"/>
        <v>0</v>
      </c>
      <c r="M48" s="10">
        <f t="shared" si="21"/>
        <v>0</v>
      </c>
      <c r="N48" s="10"/>
      <c r="O48" s="10"/>
      <c r="P48" s="10">
        <v>0</v>
      </c>
      <c r="Q48" s="10"/>
      <c r="R48" s="10"/>
      <c r="S48" s="10"/>
      <c r="T48" s="10"/>
      <c r="U48" s="10"/>
      <c r="V48" s="4" t="s">
        <v>841</v>
      </c>
      <c r="W48" s="4" t="s">
        <v>845</v>
      </c>
      <c r="X48" s="8">
        <v>45215</v>
      </c>
      <c r="Y48" s="4"/>
      <c r="Z48" s="4"/>
      <c r="AA48" s="8"/>
      <c r="AB48" s="8">
        <v>45238</v>
      </c>
      <c r="AC48" s="4"/>
      <c r="AD48" s="4"/>
    </row>
    <row r="49" spans="1:30" hidden="1">
      <c r="A49" s="4">
        <v>971</v>
      </c>
      <c r="B49" s="8">
        <v>45217</v>
      </c>
      <c r="C49" s="4" t="s">
        <v>1243</v>
      </c>
      <c r="D49" s="4" t="s">
        <v>397</v>
      </c>
      <c r="E49" s="8">
        <v>45222</v>
      </c>
      <c r="F49" s="4" t="s">
        <v>43</v>
      </c>
      <c r="G49" s="4" t="s">
        <v>44</v>
      </c>
      <c r="H49" s="4" t="s">
        <v>45</v>
      </c>
      <c r="I49" s="4" t="s">
        <v>577</v>
      </c>
      <c r="J49" s="10">
        <v>0.83</v>
      </c>
      <c r="K49" s="10">
        <f>0.361+0.464</f>
        <v>0.82499999999999996</v>
      </c>
      <c r="L49" s="10">
        <f t="shared" si="20"/>
        <v>0</v>
      </c>
      <c r="M49" s="10">
        <f t="shared" ref="M49:M50" si="22">SUM(N49:T49)</f>
        <v>0</v>
      </c>
      <c r="N49" s="10"/>
      <c r="O49" s="10"/>
      <c r="P49" s="10">
        <v>0</v>
      </c>
      <c r="Q49" s="10"/>
      <c r="R49" s="10"/>
      <c r="S49" s="10"/>
      <c r="T49" s="10"/>
      <c r="U49" s="10"/>
      <c r="V49" s="4" t="s">
        <v>466</v>
      </c>
      <c r="W49" s="4" t="s">
        <v>1241</v>
      </c>
      <c r="X49" s="8">
        <v>45215</v>
      </c>
      <c r="Y49" s="4"/>
      <c r="Z49" s="4"/>
      <c r="AA49" s="8"/>
      <c r="AB49" s="8">
        <v>45235</v>
      </c>
      <c r="AC49" s="4"/>
      <c r="AD49" s="4"/>
    </row>
    <row r="50" spans="1:30" hidden="1">
      <c r="A50" s="4">
        <v>971</v>
      </c>
      <c r="B50" s="8">
        <v>45217</v>
      </c>
      <c r="C50" s="4" t="s">
        <v>1243</v>
      </c>
      <c r="D50" s="4" t="s">
        <v>397</v>
      </c>
      <c r="E50" s="8">
        <v>45222</v>
      </c>
      <c r="F50" s="4" t="s">
        <v>43</v>
      </c>
      <c r="G50" s="4" t="s">
        <v>44</v>
      </c>
      <c r="H50" s="4" t="s">
        <v>45</v>
      </c>
      <c r="I50" s="4" t="s">
        <v>89</v>
      </c>
      <c r="J50" s="10">
        <v>17.170000000000002</v>
      </c>
      <c r="K50" s="10">
        <f>7.353+6.436+3.372</f>
        <v>17.161000000000001</v>
      </c>
      <c r="L50" s="10">
        <f t="shared" si="20"/>
        <v>0</v>
      </c>
      <c r="M50" s="10">
        <f t="shared" si="22"/>
        <v>0</v>
      </c>
      <c r="N50" s="10"/>
      <c r="O50" s="10"/>
      <c r="P50" s="10">
        <v>0</v>
      </c>
      <c r="Q50" s="10"/>
      <c r="R50" s="10"/>
      <c r="S50" s="10"/>
      <c r="T50" s="10"/>
      <c r="U50" s="10"/>
      <c r="V50" s="4" t="s">
        <v>466</v>
      </c>
      <c r="W50" s="4" t="s">
        <v>845</v>
      </c>
      <c r="X50" s="8">
        <v>45215</v>
      </c>
      <c r="Y50" s="4"/>
      <c r="Z50" s="4"/>
      <c r="AA50" s="8">
        <v>45218</v>
      </c>
      <c r="AB50" s="8">
        <v>45235</v>
      </c>
      <c r="AC50" s="4"/>
      <c r="AD50" s="4"/>
    </row>
    <row r="51" spans="1:30" hidden="1">
      <c r="A51" s="4">
        <v>1030</v>
      </c>
      <c r="B51" s="8">
        <v>45220</v>
      </c>
      <c r="C51" s="4"/>
      <c r="D51" s="4" t="s">
        <v>42</v>
      </c>
      <c r="E51" s="8">
        <v>45230</v>
      </c>
      <c r="F51" s="4" t="s">
        <v>43</v>
      </c>
      <c r="G51" s="4" t="s">
        <v>44</v>
      </c>
      <c r="H51" s="4" t="s">
        <v>45</v>
      </c>
      <c r="I51" s="4" t="s">
        <v>915</v>
      </c>
      <c r="J51" s="10">
        <v>24.106000000000002</v>
      </c>
      <c r="K51" s="10">
        <f>8.193+15.913</f>
        <v>24.106000000000002</v>
      </c>
      <c r="L51" s="10">
        <f t="shared" ref="L51" si="23">M51+U51</f>
        <v>0</v>
      </c>
      <c r="M51" s="10">
        <f t="shared" ref="M51" si="24">SUM(N51:T51)</f>
        <v>0</v>
      </c>
      <c r="N51" s="10"/>
      <c r="O51" s="10"/>
      <c r="P51" s="10">
        <f>24.106-8.193-15.913</f>
        <v>0</v>
      </c>
      <c r="Q51" s="10"/>
      <c r="R51" s="10"/>
      <c r="S51" s="10"/>
      <c r="T51" s="10"/>
      <c r="U51" s="10"/>
      <c r="V51" s="4" t="s">
        <v>466</v>
      </c>
      <c r="W51" s="4" t="s">
        <v>845</v>
      </c>
      <c r="X51" s="8">
        <v>45227</v>
      </c>
      <c r="Y51" s="4"/>
      <c r="Z51" s="4"/>
      <c r="AA51" s="8">
        <v>45234</v>
      </c>
      <c r="AB51" s="8">
        <v>45234</v>
      </c>
      <c r="AC51" s="4"/>
      <c r="AD51" s="4"/>
    </row>
    <row r="52" spans="1:30" hidden="1">
      <c r="A52" s="4">
        <v>1030</v>
      </c>
      <c r="B52" s="8">
        <v>45220</v>
      </c>
      <c r="C52" s="4"/>
      <c r="D52" s="4" t="s">
        <v>42</v>
      </c>
      <c r="E52" s="8">
        <v>45230</v>
      </c>
      <c r="F52" s="4" t="s">
        <v>43</v>
      </c>
      <c r="G52" s="4" t="s">
        <v>44</v>
      </c>
      <c r="H52" s="4" t="s">
        <v>45</v>
      </c>
      <c r="I52" s="4" t="s">
        <v>435</v>
      </c>
      <c r="J52" s="10">
        <v>72.680000000000007</v>
      </c>
      <c r="K52" s="10">
        <f>32.56+32.382+6.571+1.281</f>
        <v>72.794000000000011</v>
      </c>
      <c r="L52" s="10">
        <f t="shared" ref="L52:L53" si="25">M52+U52</f>
        <v>0</v>
      </c>
      <c r="M52" s="10">
        <f t="shared" ref="M52:M53" si="26">SUM(N52:T52)</f>
        <v>0</v>
      </c>
      <c r="N52" s="10"/>
      <c r="O52" s="10"/>
      <c r="P52" s="10">
        <v>0</v>
      </c>
      <c r="Q52" s="10"/>
      <c r="R52" s="10"/>
      <c r="S52" s="10"/>
      <c r="T52" s="10"/>
      <c r="U52" s="10"/>
      <c r="V52" s="4" t="s">
        <v>466</v>
      </c>
      <c r="W52" s="4" t="s">
        <v>845</v>
      </c>
      <c r="X52" s="8">
        <v>45226</v>
      </c>
      <c r="Y52" s="4"/>
      <c r="Z52" s="4"/>
      <c r="AA52" s="8">
        <v>45232</v>
      </c>
      <c r="AB52" s="8">
        <v>45270</v>
      </c>
      <c r="AC52" s="4"/>
      <c r="AD52" s="4"/>
    </row>
    <row r="53" spans="1:30" hidden="1">
      <c r="A53" s="4">
        <v>1030</v>
      </c>
      <c r="B53" s="8">
        <v>45220</v>
      </c>
      <c r="C53" s="4"/>
      <c r="D53" s="4" t="s">
        <v>42</v>
      </c>
      <c r="E53" s="8">
        <v>45230</v>
      </c>
      <c r="F53" s="4" t="s">
        <v>43</v>
      </c>
      <c r="G53" s="4" t="s">
        <v>44</v>
      </c>
      <c r="H53" s="4" t="s">
        <v>45</v>
      </c>
      <c r="I53" s="4" t="s">
        <v>432</v>
      </c>
      <c r="J53" s="10">
        <v>40.880000000000003</v>
      </c>
      <c r="K53" s="10">
        <f>32.77+8.311</f>
        <v>41.081000000000003</v>
      </c>
      <c r="L53" s="10">
        <f t="shared" si="25"/>
        <v>0</v>
      </c>
      <c r="M53" s="10">
        <f t="shared" si="26"/>
        <v>0</v>
      </c>
      <c r="N53" s="10"/>
      <c r="O53" s="10"/>
      <c r="P53" s="10">
        <v>0</v>
      </c>
      <c r="Q53" s="10"/>
      <c r="R53" s="10"/>
      <c r="S53" s="10"/>
      <c r="T53" s="10"/>
      <c r="U53" s="10"/>
      <c r="V53" s="4" t="s">
        <v>466</v>
      </c>
      <c r="W53" s="4" t="s">
        <v>845</v>
      </c>
      <c r="X53" s="8">
        <v>45226</v>
      </c>
      <c r="Y53" s="4"/>
      <c r="Z53" s="4"/>
      <c r="AA53" s="8">
        <v>45233</v>
      </c>
      <c r="AB53" s="8">
        <v>45234</v>
      </c>
      <c r="AC53" s="4"/>
      <c r="AD53" s="4"/>
    </row>
    <row r="54" spans="1:30" hidden="1">
      <c r="A54" s="4">
        <v>1030</v>
      </c>
      <c r="B54" s="8">
        <v>45220</v>
      </c>
      <c r="C54" s="4"/>
      <c r="D54" s="4" t="s">
        <v>42</v>
      </c>
      <c r="E54" s="8">
        <v>45230</v>
      </c>
      <c r="F54" s="4" t="s">
        <v>43</v>
      </c>
      <c r="G54" s="4" t="s">
        <v>51</v>
      </c>
      <c r="H54" s="4" t="s">
        <v>52</v>
      </c>
      <c r="I54" s="4" t="s">
        <v>432</v>
      </c>
      <c r="J54" s="10">
        <v>5.12</v>
      </c>
      <c r="K54" s="10">
        <f>3.565+1.545</f>
        <v>5.1099999999999994</v>
      </c>
      <c r="L54" s="10">
        <f t="shared" ref="L54" si="27">M54+U54</f>
        <v>0</v>
      </c>
      <c r="M54" s="10">
        <f t="shared" ref="M54" si="28">SUM(N54:T54)</f>
        <v>0</v>
      </c>
      <c r="N54" s="10"/>
      <c r="O54" s="10"/>
      <c r="P54" s="10">
        <v>0</v>
      </c>
      <c r="Q54" s="10"/>
      <c r="R54" s="10"/>
      <c r="S54" s="10"/>
      <c r="T54" s="10"/>
      <c r="U54" s="10"/>
      <c r="V54" s="4" t="s">
        <v>466</v>
      </c>
      <c r="W54" s="4" t="s">
        <v>845</v>
      </c>
      <c r="X54" s="8">
        <v>45227</v>
      </c>
      <c r="Y54" s="4"/>
      <c r="Z54" s="4"/>
      <c r="AA54" s="8"/>
      <c r="AB54" s="8">
        <v>45270</v>
      </c>
      <c r="AC54" s="4"/>
      <c r="AD54" s="4"/>
    </row>
    <row r="55" spans="1:30" hidden="1">
      <c r="A55" s="4">
        <v>1033</v>
      </c>
      <c r="B55" s="8">
        <v>45218</v>
      </c>
      <c r="C55" s="4"/>
      <c r="D55" s="4" t="s">
        <v>42</v>
      </c>
      <c r="E55" s="8">
        <v>45230</v>
      </c>
      <c r="F55" s="4" t="s">
        <v>43</v>
      </c>
      <c r="G55" s="4" t="s">
        <v>44</v>
      </c>
      <c r="H55" s="4" t="s">
        <v>45</v>
      </c>
      <c r="I55" s="4" t="s">
        <v>54</v>
      </c>
      <c r="J55" s="10">
        <v>0.52</v>
      </c>
      <c r="K55" s="10">
        <v>0.55000000000000004</v>
      </c>
      <c r="L55" s="10">
        <f t="shared" ref="L55:L66" si="29">M55+U55</f>
        <v>0</v>
      </c>
      <c r="M55" s="10">
        <f t="shared" ref="M55:M66" si="30">SUM(N55:T55)</f>
        <v>0</v>
      </c>
      <c r="N55" s="10"/>
      <c r="O55" s="10"/>
      <c r="P55" s="10"/>
      <c r="Q55" s="10"/>
      <c r="R55" s="10">
        <v>0</v>
      </c>
      <c r="S55" s="10"/>
      <c r="T55" s="10"/>
      <c r="U55" s="10"/>
      <c r="V55" s="4" t="s">
        <v>466</v>
      </c>
      <c r="W55" s="4" t="s">
        <v>845</v>
      </c>
      <c r="X55" s="8"/>
      <c r="Y55" s="4"/>
      <c r="Z55" s="4"/>
      <c r="AA55" s="8"/>
      <c r="AB55" s="8">
        <v>45270</v>
      </c>
      <c r="AC55" s="4"/>
      <c r="AD55" s="4"/>
    </row>
    <row r="56" spans="1:30" hidden="1">
      <c r="A56" s="4">
        <v>1033</v>
      </c>
      <c r="B56" s="8">
        <v>45218</v>
      </c>
      <c r="C56" s="4"/>
      <c r="D56" s="4" t="s">
        <v>42</v>
      </c>
      <c r="E56" s="8">
        <v>45230</v>
      </c>
      <c r="F56" s="4" t="s">
        <v>43</v>
      </c>
      <c r="G56" s="4" t="s">
        <v>44</v>
      </c>
      <c r="H56" s="4" t="s">
        <v>45</v>
      </c>
      <c r="I56" s="4" t="s">
        <v>56</v>
      </c>
      <c r="J56" s="10">
        <v>2.0700000000000003</v>
      </c>
      <c r="K56" s="10">
        <v>2.246</v>
      </c>
      <c r="L56" s="10">
        <f t="shared" si="29"/>
        <v>0</v>
      </c>
      <c r="M56" s="10">
        <f t="shared" si="30"/>
        <v>0</v>
      </c>
      <c r="N56" s="10"/>
      <c r="O56" s="10"/>
      <c r="P56" s="10"/>
      <c r="Q56" s="10"/>
      <c r="R56" s="10">
        <v>0</v>
      </c>
      <c r="S56" s="10"/>
      <c r="T56" s="10"/>
      <c r="U56" s="10"/>
      <c r="V56" s="4" t="s">
        <v>466</v>
      </c>
      <c r="W56" s="4" t="s">
        <v>845</v>
      </c>
      <c r="X56" s="8"/>
      <c r="Y56" s="4"/>
      <c r="Z56" s="4"/>
      <c r="AA56" s="8"/>
      <c r="AB56" s="8">
        <v>45270</v>
      </c>
      <c r="AC56" s="4"/>
      <c r="AD56" s="4"/>
    </row>
    <row r="57" spans="1:30" hidden="1">
      <c r="A57" s="4">
        <v>1033</v>
      </c>
      <c r="B57" s="8">
        <v>45218</v>
      </c>
      <c r="C57" s="4"/>
      <c r="D57" s="4" t="s">
        <v>42</v>
      </c>
      <c r="E57" s="8">
        <v>45230</v>
      </c>
      <c r="F57" s="4" t="s">
        <v>43</v>
      </c>
      <c r="G57" s="4" t="s">
        <v>44</v>
      </c>
      <c r="H57" s="4" t="s">
        <v>45</v>
      </c>
      <c r="I57" s="4" t="s">
        <v>587</v>
      </c>
      <c r="J57" s="10">
        <v>0.87</v>
      </c>
      <c r="K57" s="10">
        <v>0.90700000000000003</v>
      </c>
      <c r="L57" s="10">
        <f t="shared" si="29"/>
        <v>0</v>
      </c>
      <c r="M57" s="10">
        <f t="shared" si="30"/>
        <v>0</v>
      </c>
      <c r="N57" s="10"/>
      <c r="O57" s="10"/>
      <c r="P57" s="10"/>
      <c r="Q57" s="10"/>
      <c r="R57" s="10">
        <v>0</v>
      </c>
      <c r="S57" s="10"/>
      <c r="T57" s="10"/>
      <c r="U57" s="10"/>
      <c r="V57" s="4" t="s">
        <v>466</v>
      </c>
      <c r="W57" s="4" t="s">
        <v>845</v>
      </c>
      <c r="X57" s="8"/>
      <c r="Y57" s="4"/>
      <c r="Z57" s="4"/>
      <c r="AA57" s="8"/>
      <c r="AB57" s="8">
        <v>45270</v>
      </c>
      <c r="AC57" s="4"/>
      <c r="AD57" s="4"/>
    </row>
    <row r="58" spans="1:30" hidden="1">
      <c r="A58" s="4">
        <v>1033</v>
      </c>
      <c r="B58" s="8">
        <v>45218</v>
      </c>
      <c r="C58" s="4"/>
      <c r="D58" s="4" t="s">
        <v>42</v>
      </c>
      <c r="E58" s="8">
        <v>45230</v>
      </c>
      <c r="F58" s="4" t="s">
        <v>43</v>
      </c>
      <c r="G58" s="4" t="s">
        <v>44</v>
      </c>
      <c r="H58" s="4" t="s">
        <v>45</v>
      </c>
      <c r="I58" s="4" t="s">
        <v>588</v>
      </c>
      <c r="J58" s="10">
        <v>0.51</v>
      </c>
      <c r="K58" s="10">
        <v>0.70299999999999996</v>
      </c>
      <c r="L58" s="10">
        <f t="shared" si="29"/>
        <v>0</v>
      </c>
      <c r="M58" s="10">
        <f t="shared" si="30"/>
        <v>0</v>
      </c>
      <c r="N58" s="10"/>
      <c r="O58" s="10"/>
      <c r="P58" s="10"/>
      <c r="Q58" s="10"/>
      <c r="R58" s="10">
        <v>0</v>
      </c>
      <c r="S58" s="10"/>
      <c r="T58" s="10"/>
      <c r="U58" s="10"/>
      <c r="V58" s="4" t="s">
        <v>466</v>
      </c>
      <c r="W58" s="4" t="s">
        <v>845</v>
      </c>
      <c r="X58" s="8"/>
      <c r="Y58" s="4"/>
      <c r="Z58" s="4"/>
      <c r="AA58" s="8"/>
      <c r="AB58" s="8">
        <v>45270</v>
      </c>
      <c r="AC58" s="4"/>
      <c r="AD58" s="4"/>
    </row>
    <row r="59" spans="1:30" hidden="1">
      <c r="A59" s="4">
        <v>1033</v>
      </c>
      <c r="B59" s="8">
        <v>45218</v>
      </c>
      <c r="C59" s="4"/>
      <c r="D59" s="4" t="s">
        <v>42</v>
      </c>
      <c r="E59" s="8">
        <v>45230</v>
      </c>
      <c r="F59" s="4" t="s">
        <v>43</v>
      </c>
      <c r="G59" s="4" t="s">
        <v>44</v>
      </c>
      <c r="H59" s="4" t="s">
        <v>45</v>
      </c>
      <c r="I59" s="4" t="s">
        <v>47</v>
      </c>
      <c r="J59" s="10">
        <v>1.3699999999999999</v>
      </c>
      <c r="K59" s="10">
        <v>1.508</v>
      </c>
      <c r="L59" s="10">
        <f t="shared" si="29"/>
        <v>0</v>
      </c>
      <c r="M59" s="10">
        <f t="shared" si="30"/>
        <v>0</v>
      </c>
      <c r="N59" s="10"/>
      <c r="O59" s="10"/>
      <c r="P59" s="10"/>
      <c r="Q59" s="10"/>
      <c r="R59" s="10">
        <v>0</v>
      </c>
      <c r="S59" s="10"/>
      <c r="T59" s="10"/>
      <c r="U59" s="10"/>
      <c r="V59" s="4" t="s">
        <v>466</v>
      </c>
      <c r="W59" s="4" t="s">
        <v>845</v>
      </c>
      <c r="X59" s="8"/>
      <c r="Y59" s="4"/>
      <c r="Z59" s="4"/>
      <c r="AA59" s="8"/>
      <c r="AB59" s="8">
        <v>45270</v>
      </c>
      <c r="AC59" s="4"/>
      <c r="AD59" s="4"/>
    </row>
    <row r="60" spans="1:30" hidden="1">
      <c r="A60" s="4">
        <v>1033</v>
      </c>
      <c r="B60" s="8">
        <v>45218</v>
      </c>
      <c r="C60" s="4"/>
      <c r="D60" s="4" t="s">
        <v>42</v>
      </c>
      <c r="E60" s="8">
        <v>45230</v>
      </c>
      <c r="F60" s="4" t="s">
        <v>43</v>
      </c>
      <c r="G60" s="4" t="s">
        <v>44</v>
      </c>
      <c r="H60" s="4" t="s">
        <v>45</v>
      </c>
      <c r="I60" s="4" t="s">
        <v>915</v>
      </c>
      <c r="J60" s="10">
        <v>0.85000000000000009</v>
      </c>
      <c r="K60" s="10">
        <v>0.90200000000000002</v>
      </c>
      <c r="L60" s="10">
        <f t="shared" si="29"/>
        <v>0</v>
      </c>
      <c r="M60" s="10">
        <f t="shared" si="30"/>
        <v>0</v>
      </c>
      <c r="N60" s="10"/>
      <c r="O60" s="10"/>
      <c r="P60" s="10"/>
      <c r="Q60" s="10"/>
      <c r="R60" s="10">
        <v>0</v>
      </c>
      <c r="S60" s="10"/>
      <c r="T60" s="10"/>
      <c r="U60" s="10"/>
      <c r="V60" s="4" t="s">
        <v>466</v>
      </c>
      <c r="W60" s="4" t="s">
        <v>845</v>
      </c>
      <c r="X60" s="8"/>
      <c r="Y60" s="4"/>
      <c r="Z60" s="4"/>
      <c r="AA60" s="8"/>
      <c r="AB60" s="8">
        <v>45270</v>
      </c>
      <c r="AC60" s="4"/>
      <c r="AD60" s="4"/>
    </row>
    <row r="61" spans="1:30" hidden="1">
      <c r="A61" s="4">
        <v>1033</v>
      </c>
      <c r="B61" s="8">
        <v>45218</v>
      </c>
      <c r="C61" s="4"/>
      <c r="D61" s="4" t="s">
        <v>42</v>
      </c>
      <c r="E61" s="8">
        <v>45230</v>
      </c>
      <c r="F61" s="4" t="s">
        <v>43</v>
      </c>
      <c r="G61" s="4" t="s">
        <v>44</v>
      </c>
      <c r="H61" s="4" t="s">
        <v>45</v>
      </c>
      <c r="I61" s="4" t="s">
        <v>435</v>
      </c>
      <c r="J61" s="10">
        <v>0.6</v>
      </c>
      <c r="K61" s="10">
        <v>0.74299999999999999</v>
      </c>
      <c r="L61" s="10">
        <f t="shared" si="29"/>
        <v>0</v>
      </c>
      <c r="M61" s="10">
        <f t="shared" si="30"/>
        <v>0</v>
      </c>
      <c r="N61" s="10"/>
      <c r="O61" s="10"/>
      <c r="P61" s="10"/>
      <c r="Q61" s="10"/>
      <c r="R61" s="10">
        <v>0</v>
      </c>
      <c r="S61" s="10"/>
      <c r="T61" s="10"/>
      <c r="U61" s="10"/>
      <c r="V61" s="4" t="s">
        <v>466</v>
      </c>
      <c r="W61" s="4" t="s">
        <v>845</v>
      </c>
      <c r="X61" s="8"/>
      <c r="Y61" s="4"/>
      <c r="Z61" s="4"/>
      <c r="AA61" s="8"/>
      <c r="AB61" s="8">
        <v>45270</v>
      </c>
      <c r="AC61" s="4"/>
      <c r="AD61" s="4"/>
    </row>
    <row r="62" spans="1:30" hidden="1">
      <c r="A62" s="4">
        <v>1033</v>
      </c>
      <c r="B62" s="8">
        <v>45218</v>
      </c>
      <c r="C62" s="4"/>
      <c r="D62" s="4" t="s">
        <v>42</v>
      </c>
      <c r="E62" s="8">
        <v>45230</v>
      </c>
      <c r="F62" s="4" t="s">
        <v>43</v>
      </c>
      <c r="G62" s="4" t="s">
        <v>44</v>
      </c>
      <c r="H62" s="4" t="s">
        <v>45</v>
      </c>
      <c r="I62" s="4" t="s">
        <v>432</v>
      </c>
      <c r="J62" s="10">
        <v>1.1400000000000001</v>
      </c>
      <c r="K62" s="10">
        <v>1.175</v>
      </c>
      <c r="L62" s="10">
        <f t="shared" si="29"/>
        <v>0</v>
      </c>
      <c r="M62" s="10">
        <f t="shared" si="30"/>
        <v>0</v>
      </c>
      <c r="N62" s="10"/>
      <c r="O62" s="10"/>
      <c r="P62" s="10"/>
      <c r="Q62" s="10"/>
      <c r="R62" s="10">
        <v>0</v>
      </c>
      <c r="S62" s="10"/>
      <c r="T62" s="10"/>
      <c r="U62" s="10"/>
      <c r="V62" s="4" t="s">
        <v>466</v>
      </c>
      <c r="W62" s="4" t="s">
        <v>845</v>
      </c>
      <c r="X62" s="8"/>
      <c r="Y62" s="4"/>
      <c r="Z62" s="4"/>
      <c r="AA62" s="8"/>
      <c r="AB62" s="8">
        <v>45270</v>
      </c>
      <c r="AC62" s="4"/>
      <c r="AD62" s="4"/>
    </row>
    <row r="63" spans="1:30" hidden="1">
      <c r="A63" s="4">
        <v>1033</v>
      </c>
      <c r="B63" s="8">
        <v>45218</v>
      </c>
      <c r="C63" s="4"/>
      <c r="D63" s="4" t="s">
        <v>42</v>
      </c>
      <c r="E63" s="8">
        <v>45230</v>
      </c>
      <c r="F63" s="4" t="s">
        <v>43</v>
      </c>
      <c r="G63" s="4" t="s">
        <v>44</v>
      </c>
      <c r="H63" s="4" t="s">
        <v>45</v>
      </c>
      <c r="I63" s="4" t="s">
        <v>577</v>
      </c>
      <c r="J63" s="10">
        <v>0.57999999999999996</v>
      </c>
      <c r="K63" s="10">
        <v>0.502</v>
      </c>
      <c r="L63" s="10">
        <f t="shared" si="29"/>
        <v>0</v>
      </c>
      <c r="M63" s="10">
        <f t="shared" si="30"/>
        <v>0</v>
      </c>
      <c r="N63" s="10"/>
      <c r="O63" s="10"/>
      <c r="P63" s="10"/>
      <c r="Q63" s="10"/>
      <c r="R63" s="10">
        <v>0</v>
      </c>
      <c r="S63" s="10"/>
      <c r="T63" s="10"/>
      <c r="U63" s="10"/>
      <c r="V63" s="4" t="s">
        <v>466</v>
      </c>
      <c r="W63" s="4" t="s">
        <v>845</v>
      </c>
      <c r="X63" s="8"/>
      <c r="Y63" s="4"/>
      <c r="Z63" s="4"/>
      <c r="AA63" s="8"/>
      <c r="AB63" s="8">
        <v>45270</v>
      </c>
      <c r="AC63" s="4"/>
      <c r="AD63" s="4"/>
    </row>
    <row r="64" spans="1:30" hidden="1">
      <c r="A64" s="4">
        <v>1033</v>
      </c>
      <c r="B64" s="8">
        <v>45218</v>
      </c>
      <c r="C64" s="4"/>
      <c r="D64" s="4" t="s">
        <v>42</v>
      </c>
      <c r="E64" s="8">
        <v>45230</v>
      </c>
      <c r="F64" s="4" t="s">
        <v>43</v>
      </c>
      <c r="G64" s="4" t="s">
        <v>44</v>
      </c>
      <c r="H64" s="4" t="s">
        <v>45</v>
      </c>
      <c r="I64" s="4" t="s">
        <v>87</v>
      </c>
      <c r="J64" s="10">
        <v>2.5300000000000002</v>
      </c>
      <c r="K64" s="10">
        <v>2.7669999999999999</v>
      </c>
      <c r="L64" s="10">
        <f t="shared" si="29"/>
        <v>0</v>
      </c>
      <c r="M64" s="10">
        <f t="shared" si="30"/>
        <v>0</v>
      </c>
      <c r="N64" s="10"/>
      <c r="O64" s="10"/>
      <c r="P64" s="10"/>
      <c r="Q64" s="10"/>
      <c r="R64" s="10">
        <v>0</v>
      </c>
      <c r="S64" s="10"/>
      <c r="T64" s="10"/>
      <c r="U64" s="10"/>
      <c r="V64" s="4" t="s">
        <v>466</v>
      </c>
      <c r="W64" s="4" t="s">
        <v>845</v>
      </c>
      <c r="X64" s="8"/>
      <c r="Y64" s="4"/>
      <c r="Z64" s="4"/>
      <c r="AA64" s="8"/>
      <c r="AB64" s="8">
        <v>45270</v>
      </c>
      <c r="AC64" s="4"/>
      <c r="AD64" s="4"/>
    </row>
    <row r="65" spans="1:30" hidden="1">
      <c r="A65" s="4">
        <v>1033</v>
      </c>
      <c r="B65" s="8">
        <v>45218</v>
      </c>
      <c r="C65" s="4"/>
      <c r="D65" s="4" t="s">
        <v>42</v>
      </c>
      <c r="E65" s="8">
        <v>45230</v>
      </c>
      <c r="F65" s="4" t="s">
        <v>43</v>
      </c>
      <c r="G65" s="4" t="s">
        <v>51</v>
      </c>
      <c r="H65" s="4" t="s">
        <v>52</v>
      </c>
      <c r="I65" s="4" t="s">
        <v>56</v>
      </c>
      <c r="J65" s="10">
        <v>2.4300000000000002</v>
      </c>
      <c r="K65" s="10">
        <v>2.5830000000000002</v>
      </c>
      <c r="L65" s="10">
        <f t="shared" si="29"/>
        <v>0</v>
      </c>
      <c r="M65" s="10">
        <f t="shared" si="30"/>
        <v>0</v>
      </c>
      <c r="N65" s="10"/>
      <c r="O65" s="10"/>
      <c r="P65" s="10"/>
      <c r="Q65" s="10"/>
      <c r="R65" s="10">
        <v>0</v>
      </c>
      <c r="S65" s="10"/>
      <c r="T65" s="10"/>
      <c r="U65" s="10"/>
      <c r="V65" s="4" t="s">
        <v>466</v>
      </c>
      <c r="W65" s="4" t="s">
        <v>845</v>
      </c>
      <c r="X65" s="8"/>
      <c r="Y65" s="4"/>
      <c r="Z65" s="4"/>
      <c r="AA65" s="8"/>
      <c r="AB65" s="8">
        <v>45270</v>
      </c>
      <c r="AC65" s="4"/>
      <c r="AD65" s="4"/>
    </row>
    <row r="66" spans="1:30" hidden="1">
      <c r="A66" s="4">
        <v>1033</v>
      </c>
      <c r="B66" s="8">
        <v>45218</v>
      </c>
      <c r="C66" s="4"/>
      <c r="D66" s="4" t="s">
        <v>42</v>
      </c>
      <c r="E66" s="8">
        <v>45230</v>
      </c>
      <c r="F66" s="4" t="s">
        <v>43</v>
      </c>
      <c r="G66" s="4" t="s">
        <v>51</v>
      </c>
      <c r="H66" s="4" t="s">
        <v>52</v>
      </c>
      <c r="I66" s="4" t="s">
        <v>582</v>
      </c>
      <c r="J66" s="10">
        <v>9.36</v>
      </c>
      <c r="K66" s="10">
        <v>9.42</v>
      </c>
      <c r="L66" s="10">
        <f t="shared" si="29"/>
        <v>0</v>
      </c>
      <c r="M66" s="10">
        <f t="shared" si="30"/>
        <v>0</v>
      </c>
      <c r="N66" s="10"/>
      <c r="O66" s="10"/>
      <c r="P66" s="10">
        <v>0</v>
      </c>
      <c r="Q66" s="10"/>
      <c r="R66" s="10"/>
      <c r="S66" s="10"/>
      <c r="T66" s="10"/>
      <c r="U66" s="10"/>
      <c r="V66" s="4" t="s">
        <v>466</v>
      </c>
      <c r="W66" s="4" t="s">
        <v>845</v>
      </c>
      <c r="X66" s="8"/>
      <c r="Y66" s="4"/>
      <c r="Z66" s="4"/>
      <c r="AA66" s="8">
        <v>45250</v>
      </c>
      <c r="AB66" s="8">
        <v>45250</v>
      </c>
      <c r="AC66" s="4"/>
      <c r="AD66" s="4"/>
    </row>
    <row r="67" spans="1:30" hidden="1">
      <c r="A67" s="4">
        <v>966</v>
      </c>
      <c r="B67" s="8">
        <v>45229</v>
      </c>
      <c r="C67" s="4"/>
      <c r="D67" s="4" t="s">
        <v>42</v>
      </c>
      <c r="E67" s="8">
        <v>45245</v>
      </c>
      <c r="F67" s="4" t="s">
        <v>840</v>
      </c>
      <c r="G67" s="4" t="s">
        <v>44</v>
      </c>
      <c r="H67" s="4" t="s">
        <v>45</v>
      </c>
      <c r="I67" s="4" t="s">
        <v>54</v>
      </c>
      <c r="J67" s="10">
        <v>3.69</v>
      </c>
      <c r="K67" s="10">
        <v>4.1989999999999998</v>
      </c>
      <c r="L67" s="10">
        <f t="shared" ref="L67" si="31">M67+U67</f>
        <v>0</v>
      </c>
      <c r="M67" s="10">
        <f t="shared" ref="M67" si="32">SUM(N67:T67)</f>
        <v>0</v>
      </c>
      <c r="N67" s="10"/>
      <c r="O67" s="10"/>
      <c r="P67" s="10">
        <v>0</v>
      </c>
      <c r="Q67" s="10"/>
      <c r="R67" s="10"/>
      <c r="S67" s="10"/>
      <c r="T67" s="10"/>
      <c r="U67" s="10"/>
      <c r="V67" s="4" t="s">
        <v>1274</v>
      </c>
      <c r="W67" s="4" t="s">
        <v>845</v>
      </c>
      <c r="X67" s="8"/>
      <c r="Y67" s="4"/>
      <c r="Z67" s="4"/>
      <c r="AA67" s="8">
        <v>45250</v>
      </c>
      <c r="AB67" s="8">
        <v>45250</v>
      </c>
      <c r="AC67" s="4"/>
      <c r="AD67" s="4"/>
    </row>
    <row r="68" spans="1:30" hidden="1">
      <c r="A68" s="4">
        <v>966</v>
      </c>
      <c r="B68" s="8">
        <v>45229</v>
      </c>
      <c r="C68" s="4"/>
      <c r="D68" s="4" t="s">
        <v>42</v>
      </c>
      <c r="E68" s="8">
        <v>45245</v>
      </c>
      <c r="F68" s="4" t="s">
        <v>840</v>
      </c>
      <c r="G68" s="4" t="s">
        <v>44</v>
      </c>
      <c r="H68" s="4" t="s">
        <v>45</v>
      </c>
      <c r="I68" s="4" t="s">
        <v>48</v>
      </c>
      <c r="J68" s="10">
        <v>0.4</v>
      </c>
      <c r="K68" s="10">
        <v>0.46400000000000002</v>
      </c>
      <c r="L68" s="10">
        <f t="shared" ref="L68" si="33">M68+U68</f>
        <v>0</v>
      </c>
      <c r="M68" s="10">
        <f t="shared" ref="M68" si="34">SUM(N68:T68)</f>
        <v>0</v>
      </c>
      <c r="N68" s="10"/>
      <c r="O68" s="10"/>
      <c r="P68" s="10">
        <v>0</v>
      </c>
      <c r="Q68" s="10"/>
      <c r="R68" s="10"/>
      <c r="S68" s="10"/>
      <c r="T68" s="10"/>
      <c r="U68" s="10"/>
      <c r="V68" s="4" t="s">
        <v>1274</v>
      </c>
      <c r="W68" s="4" t="s">
        <v>845</v>
      </c>
      <c r="X68" s="8"/>
      <c r="Y68" s="4"/>
      <c r="Z68" s="4"/>
      <c r="AA68" s="8">
        <v>45250</v>
      </c>
      <c r="AB68" s="8">
        <v>45250</v>
      </c>
      <c r="AC68" s="4"/>
      <c r="AD68" s="4"/>
    </row>
    <row r="69" spans="1:30" hidden="1">
      <c r="A69" s="4">
        <v>966</v>
      </c>
      <c r="B69" s="8">
        <v>45229</v>
      </c>
      <c r="C69" s="4"/>
      <c r="D69" s="4" t="s">
        <v>42</v>
      </c>
      <c r="E69" s="8">
        <v>45245</v>
      </c>
      <c r="F69" s="4" t="s">
        <v>840</v>
      </c>
      <c r="G69" s="4" t="s">
        <v>44</v>
      </c>
      <c r="H69" s="4" t="s">
        <v>45</v>
      </c>
      <c r="I69" s="4" t="s">
        <v>579</v>
      </c>
      <c r="J69" s="10">
        <v>0.77700000000000002</v>
      </c>
      <c r="K69" s="10">
        <v>0.63200000000000001</v>
      </c>
      <c r="L69" s="10">
        <f t="shared" ref="L69:L70" si="35">M69+U69</f>
        <v>0</v>
      </c>
      <c r="M69" s="10">
        <f t="shared" ref="M69:M70" si="36">SUM(N69:T69)</f>
        <v>0</v>
      </c>
      <c r="N69" s="10"/>
      <c r="O69" s="10"/>
      <c r="P69" s="10">
        <v>0</v>
      </c>
      <c r="Q69" s="10"/>
      <c r="R69" s="10"/>
      <c r="S69" s="10"/>
      <c r="T69" s="10"/>
      <c r="U69" s="10"/>
      <c r="V69" s="4" t="s">
        <v>1274</v>
      </c>
      <c r="W69" s="4" t="s">
        <v>845</v>
      </c>
      <c r="X69" s="8"/>
      <c r="Y69" s="4"/>
      <c r="Z69" s="4"/>
      <c r="AA69" s="8"/>
      <c r="AB69" s="8">
        <v>45270</v>
      </c>
      <c r="AC69" s="4"/>
      <c r="AD69" s="4"/>
    </row>
    <row r="70" spans="1:30" hidden="1">
      <c r="A70" s="4">
        <v>966</v>
      </c>
      <c r="B70" s="8">
        <v>45229</v>
      </c>
      <c r="C70" s="4"/>
      <c r="D70" s="4" t="s">
        <v>42</v>
      </c>
      <c r="E70" s="8">
        <v>45245</v>
      </c>
      <c r="F70" s="4" t="s">
        <v>840</v>
      </c>
      <c r="G70" s="4" t="s">
        <v>44</v>
      </c>
      <c r="H70" s="4" t="s">
        <v>45</v>
      </c>
      <c r="I70" s="4" t="s">
        <v>448</v>
      </c>
      <c r="J70" s="10">
        <v>0.32</v>
      </c>
      <c r="K70" s="10">
        <v>0.40500000000000003</v>
      </c>
      <c r="L70" s="10">
        <f t="shared" si="35"/>
        <v>0</v>
      </c>
      <c r="M70" s="10">
        <f t="shared" si="36"/>
        <v>0</v>
      </c>
      <c r="N70" s="10"/>
      <c r="O70" s="10"/>
      <c r="P70" s="10">
        <v>0</v>
      </c>
      <c r="Q70" s="10"/>
      <c r="R70" s="10"/>
      <c r="S70" s="10"/>
      <c r="T70" s="10"/>
      <c r="U70" s="10"/>
      <c r="V70" s="4" t="s">
        <v>1274</v>
      </c>
      <c r="W70" s="4" t="s">
        <v>845</v>
      </c>
      <c r="X70" s="8"/>
      <c r="Y70" s="4"/>
      <c r="Z70" s="4"/>
      <c r="AA70" s="8"/>
      <c r="AB70" s="8">
        <v>45270</v>
      </c>
      <c r="AC70" s="4"/>
      <c r="AD70" s="4"/>
    </row>
    <row r="71" spans="1:30" hidden="1">
      <c r="A71" s="4">
        <v>966</v>
      </c>
      <c r="B71" s="8">
        <v>45229</v>
      </c>
      <c r="C71" s="4"/>
      <c r="D71" s="4" t="s">
        <v>42</v>
      </c>
      <c r="E71" s="8">
        <v>45245</v>
      </c>
      <c r="F71" s="4" t="s">
        <v>840</v>
      </c>
      <c r="G71" s="4" t="s">
        <v>51</v>
      </c>
      <c r="H71" s="4" t="s">
        <v>52</v>
      </c>
      <c r="I71" s="4" t="s">
        <v>54</v>
      </c>
      <c r="J71" s="10">
        <v>2.92</v>
      </c>
      <c r="K71" s="10">
        <v>3.0449999999999999</v>
      </c>
      <c r="L71" s="10">
        <f t="shared" ref="L71" si="37">M71+U71</f>
        <v>0</v>
      </c>
      <c r="M71" s="10">
        <f t="shared" ref="M71" si="38">SUM(N71:T71)</f>
        <v>0</v>
      </c>
      <c r="N71" s="10"/>
      <c r="O71" s="10"/>
      <c r="P71" s="10">
        <v>0</v>
      </c>
      <c r="Q71" s="10"/>
      <c r="R71" s="10"/>
      <c r="S71" s="10"/>
      <c r="T71" s="10"/>
      <c r="U71" s="10"/>
      <c r="V71" s="4" t="s">
        <v>1274</v>
      </c>
      <c r="W71" s="4" t="s">
        <v>845</v>
      </c>
      <c r="X71" s="8"/>
      <c r="Y71" s="4"/>
      <c r="Z71" s="4"/>
      <c r="AA71" s="8"/>
      <c r="AB71" s="8">
        <v>45250</v>
      </c>
      <c r="AC71" s="4"/>
      <c r="AD71" s="4"/>
    </row>
    <row r="72" spans="1:30" hidden="1">
      <c r="A72" s="4">
        <v>1123</v>
      </c>
      <c r="B72" s="8">
        <v>45238</v>
      </c>
      <c r="C72" s="4"/>
      <c r="D72" s="4" t="s">
        <v>42</v>
      </c>
      <c r="E72" s="8">
        <v>45253</v>
      </c>
      <c r="F72" s="4" t="s">
        <v>43</v>
      </c>
      <c r="G72" s="4" t="s">
        <v>51</v>
      </c>
      <c r="H72" s="4" t="s">
        <v>52</v>
      </c>
      <c r="I72" s="4" t="s">
        <v>587</v>
      </c>
      <c r="J72" s="10">
        <v>40.247999999999998</v>
      </c>
      <c r="K72" s="10">
        <f>31.947+8.385</f>
        <v>40.332000000000001</v>
      </c>
      <c r="L72" s="10">
        <f t="shared" ref="L72" si="39">M72+U72</f>
        <v>0</v>
      </c>
      <c r="M72" s="10">
        <f t="shared" ref="M72" si="40">SUM(N72:T72)</f>
        <v>0</v>
      </c>
      <c r="N72" s="10"/>
      <c r="O72" s="10"/>
      <c r="P72" s="10">
        <v>0</v>
      </c>
      <c r="Q72" s="10"/>
      <c r="R72" s="10"/>
      <c r="S72" s="10"/>
      <c r="T72" s="10"/>
      <c r="U72" s="10"/>
      <c r="V72" s="4" t="s">
        <v>466</v>
      </c>
      <c r="W72" s="4" t="s">
        <v>845</v>
      </c>
      <c r="X72" s="8">
        <v>45246</v>
      </c>
      <c r="Y72" s="4"/>
      <c r="Z72" s="4"/>
      <c r="AA72" s="8"/>
      <c r="AB72" s="8">
        <v>45250</v>
      </c>
      <c r="AC72" s="4"/>
      <c r="AD72" s="4"/>
    </row>
    <row r="73" spans="1:30" hidden="1">
      <c r="A73" s="4">
        <v>1138</v>
      </c>
      <c r="B73" s="8">
        <v>45252</v>
      </c>
      <c r="C73" s="4"/>
      <c r="D73" s="4" t="s">
        <v>42</v>
      </c>
      <c r="E73" s="8">
        <v>45267</v>
      </c>
      <c r="F73" s="4" t="s">
        <v>43</v>
      </c>
      <c r="G73" s="4" t="s">
        <v>60</v>
      </c>
      <c r="H73" s="4" t="s">
        <v>45</v>
      </c>
      <c r="I73" s="4" t="s">
        <v>435</v>
      </c>
      <c r="J73" s="10">
        <v>1.3824000000000001</v>
      </c>
      <c r="K73" s="10">
        <v>1.498</v>
      </c>
      <c r="L73" s="10">
        <f t="shared" ref="L73:L82" si="41">M73+U73</f>
        <v>0</v>
      </c>
      <c r="M73" s="10">
        <f t="shared" ref="M73:M82" si="42">SUM(N73:T73)</f>
        <v>0</v>
      </c>
      <c r="N73" s="10"/>
      <c r="O73" s="10"/>
      <c r="P73" s="10">
        <v>0</v>
      </c>
      <c r="Q73" s="10"/>
      <c r="R73" s="10"/>
      <c r="S73" s="10"/>
      <c r="T73" s="10"/>
      <c r="U73" s="10"/>
      <c r="V73" s="4" t="s">
        <v>85</v>
      </c>
      <c r="W73" s="4" t="s">
        <v>845</v>
      </c>
      <c r="X73" s="8">
        <v>45270</v>
      </c>
      <c r="Y73" s="4"/>
      <c r="Z73" s="4"/>
      <c r="AA73" s="8">
        <v>45295</v>
      </c>
      <c r="AB73" s="8">
        <v>45295</v>
      </c>
      <c r="AC73" s="4"/>
      <c r="AD73" s="4"/>
    </row>
    <row r="74" spans="1:30" hidden="1">
      <c r="A74" s="4">
        <v>1138</v>
      </c>
      <c r="B74" s="8">
        <v>45252</v>
      </c>
      <c r="C74" s="4"/>
      <c r="D74" s="4" t="s">
        <v>42</v>
      </c>
      <c r="E74" s="8">
        <v>45267</v>
      </c>
      <c r="F74" s="4" t="s">
        <v>43</v>
      </c>
      <c r="G74" s="4" t="s">
        <v>60</v>
      </c>
      <c r="H74" s="4" t="s">
        <v>45</v>
      </c>
      <c r="I74" s="4" t="s">
        <v>432</v>
      </c>
      <c r="J74" s="10">
        <v>2.7126000000000001</v>
      </c>
      <c r="K74" s="10">
        <v>2.8849999999999998</v>
      </c>
      <c r="L74" s="10">
        <f t="shared" si="41"/>
        <v>0</v>
      </c>
      <c r="M74" s="10">
        <f t="shared" si="42"/>
        <v>0</v>
      </c>
      <c r="N74" s="10"/>
      <c r="O74" s="10"/>
      <c r="P74" s="10">
        <v>0</v>
      </c>
      <c r="Q74" s="10"/>
      <c r="R74" s="10"/>
      <c r="S74" s="10"/>
      <c r="T74" s="10"/>
      <c r="U74" s="10"/>
      <c r="V74" s="4" t="s">
        <v>85</v>
      </c>
      <c r="W74" s="4" t="s">
        <v>845</v>
      </c>
      <c r="X74" s="8">
        <v>45269</v>
      </c>
      <c r="Y74" s="4"/>
      <c r="Z74" s="4"/>
      <c r="AA74" s="8">
        <v>45295</v>
      </c>
      <c r="AB74" s="8">
        <v>45295</v>
      </c>
      <c r="AC74" s="4"/>
      <c r="AD74" s="4"/>
    </row>
    <row r="75" spans="1:30">
      <c r="A75" s="4">
        <v>1138</v>
      </c>
      <c r="B75" s="8">
        <v>45252</v>
      </c>
      <c r="C75" s="4"/>
      <c r="D75" s="4" t="s">
        <v>42</v>
      </c>
      <c r="E75" s="8">
        <v>45267</v>
      </c>
      <c r="F75" s="4" t="s">
        <v>43</v>
      </c>
      <c r="G75" s="4" t="s">
        <v>60</v>
      </c>
      <c r="H75" s="4" t="s">
        <v>45</v>
      </c>
      <c r="I75" s="4" t="s">
        <v>434</v>
      </c>
      <c r="J75" s="10">
        <v>6.1105499999999999</v>
      </c>
      <c r="K75" s="10"/>
      <c r="L75" s="10">
        <f t="shared" si="41"/>
        <v>6.1105499999999999</v>
      </c>
      <c r="M75" s="10">
        <f t="shared" si="42"/>
        <v>0</v>
      </c>
      <c r="N75" s="10"/>
      <c r="O75" s="10"/>
      <c r="P75" s="10"/>
      <c r="Q75" s="10"/>
      <c r="R75" s="10"/>
      <c r="S75" s="10"/>
      <c r="T75" s="10"/>
      <c r="U75" s="10">
        <v>6.1105499999999999</v>
      </c>
      <c r="V75" s="4" t="s">
        <v>85</v>
      </c>
      <c r="W75" s="4" t="s">
        <v>845</v>
      </c>
      <c r="X75" s="8"/>
      <c r="Y75" s="4"/>
      <c r="Z75" s="4"/>
      <c r="AA75" s="8"/>
      <c r="AB75" s="8"/>
      <c r="AC75" s="4"/>
      <c r="AD75" s="4"/>
    </row>
    <row r="76" spans="1:30" hidden="1">
      <c r="A76" s="4">
        <v>1138</v>
      </c>
      <c r="B76" s="8">
        <v>45252</v>
      </c>
      <c r="C76" s="4"/>
      <c r="D76" s="4" t="s">
        <v>42</v>
      </c>
      <c r="E76" s="8">
        <v>45267</v>
      </c>
      <c r="F76" s="4" t="s">
        <v>43</v>
      </c>
      <c r="G76" s="4" t="s">
        <v>60</v>
      </c>
      <c r="H76" s="4" t="s">
        <v>45</v>
      </c>
      <c r="I76" s="4" t="s">
        <v>577</v>
      </c>
      <c r="J76" s="10">
        <v>1.09429</v>
      </c>
      <c r="K76" s="10">
        <v>1.1950000000000001</v>
      </c>
      <c r="L76" s="10">
        <f t="shared" si="41"/>
        <v>0</v>
      </c>
      <c r="M76" s="10">
        <f t="shared" si="42"/>
        <v>0</v>
      </c>
      <c r="N76" s="10"/>
      <c r="O76" s="10"/>
      <c r="P76" s="10">
        <v>0</v>
      </c>
      <c r="Q76" s="10"/>
      <c r="R76" s="10"/>
      <c r="S76" s="10"/>
      <c r="T76" s="10"/>
      <c r="U76" s="10"/>
      <c r="V76" s="4" t="s">
        <v>85</v>
      </c>
      <c r="W76" s="4" t="s">
        <v>845</v>
      </c>
      <c r="X76" s="8">
        <v>45265</v>
      </c>
      <c r="Y76" s="4"/>
      <c r="Z76" s="4"/>
      <c r="AA76" s="8"/>
      <c r="AB76" s="8">
        <v>45270</v>
      </c>
      <c r="AC76" s="4"/>
      <c r="AD76" s="4"/>
    </row>
    <row r="77" spans="1:30" hidden="1">
      <c r="A77" s="4">
        <v>1138</v>
      </c>
      <c r="B77" s="8">
        <v>45252</v>
      </c>
      <c r="C77" s="4"/>
      <c r="D77" s="4" t="s">
        <v>42</v>
      </c>
      <c r="E77" s="8">
        <v>45267</v>
      </c>
      <c r="F77" s="4" t="s">
        <v>43</v>
      </c>
      <c r="G77" s="4" t="s">
        <v>60</v>
      </c>
      <c r="H77" s="4" t="s">
        <v>45</v>
      </c>
      <c r="I77" s="4" t="s">
        <v>89</v>
      </c>
      <c r="J77" s="10">
        <v>8.5074999999999985</v>
      </c>
      <c r="K77" s="10">
        <v>8.5869999999999997</v>
      </c>
      <c r="L77" s="10">
        <f t="shared" si="41"/>
        <v>0</v>
      </c>
      <c r="M77" s="10">
        <f t="shared" si="42"/>
        <v>0</v>
      </c>
      <c r="N77" s="10"/>
      <c r="O77" s="10"/>
      <c r="P77" s="10">
        <v>0</v>
      </c>
      <c r="Q77" s="10"/>
      <c r="R77" s="10"/>
      <c r="S77" s="10"/>
      <c r="T77" s="10"/>
      <c r="U77" s="10"/>
      <c r="V77" s="4" t="s">
        <v>85</v>
      </c>
      <c r="W77" s="4" t="s">
        <v>845</v>
      </c>
      <c r="X77" s="8">
        <v>45286</v>
      </c>
      <c r="Y77" s="4"/>
      <c r="Z77" s="4"/>
      <c r="AA77" s="8">
        <v>45295</v>
      </c>
      <c r="AB77" s="8">
        <v>45295</v>
      </c>
      <c r="AC77" s="4"/>
      <c r="AD77" s="4"/>
    </row>
    <row r="78" spans="1:30" hidden="1">
      <c r="A78" s="4">
        <v>1138</v>
      </c>
      <c r="B78" s="8">
        <v>45252</v>
      </c>
      <c r="C78" s="4"/>
      <c r="D78" s="4" t="s">
        <v>42</v>
      </c>
      <c r="E78" s="8">
        <v>45267</v>
      </c>
      <c r="F78" s="4" t="s">
        <v>43</v>
      </c>
      <c r="G78" s="4" t="s">
        <v>60</v>
      </c>
      <c r="H78" s="4" t="s">
        <v>45</v>
      </c>
      <c r="I78" s="4" t="s">
        <v>87</v>
      </c>
      <c r="J78" s="10">
        <v>1.9892699999999999</v>
      </c>
      <c r="K78" s="10">
        <v>2.0489999999999999</v>
      </c>
      <c r="L78" s="10">
        <f t="shared" si="41"/>
        <v>0</v>
      </c>
      <c r="M78" s="10">
        <f t="shared" si="42"/>
        <v>0</v>
      </c>
      <c r="N78" s="10"/>
      <c r="O78" s="10"/>
      <c r="P78" s="10">
        <v>0</v>
      </c>
      <c r="Q78" s="10"/>
      <c r="R78" s="10"/>
      <c r="S78" s="10"/>
      <c r="T78" s="10"/>
      <c r="U78" s="10"/>
      <c r="V78" s="4" t="s">
        <v>85</v>
      </c>
      <c r="W78" s="4" t="s">
        <v>845</v>
      </c>
      <c r="X78" s="8">
        <v>45286</v>
      </c>
      <c r="Y78" s="4"/>
      <c r="Z78" s="4"/>
      <c r="AA78" s="8">
        <v>45295</v>
      </c>
      <c r="AB78" s="8">
        <v>45295</v>
      </c>
      <c r="AC78" s="4"/>
      <c r="AD78" s="4"/>
    </row>
    <row r="79" spans="1:30" hidden="1">
      <c r="A79" s="4">
        <v>1138</v>
      </c>
      <c r="B79" s="8">
        <v>45252</v>
      </c>
      <c r="C79" s="4"/>
      <c r="D79" s="4" t="s">
        <v>42</v>
      </c>
      <c r="E79" s="8">
        <v>45267</v>
      </c>
      <c r="F79" s="4" t="s">
        <v>43</v>
      </c>
      <c r="G79" s="4" t="s">
        <v>60</v>
      </c>
      <c r="H79" s="4" t="s">
        <v>45</v>
      </c>
      <c r="I79" s="4" t="s">
        <v>125</v>
      </c>
      <c r="J79" s="10">
        <v>0.57116</v>
      </c>
      <c r="K79" s="10">
        <v>0.70399999999999996</v>
      </c>
      <c r="L79" s="10">
        <f t="shared" si="41"/>
        <v>0</v>
      </c>
      <c r="M79" s="10">
        <f t="shared" si="42"/>
        <v>0</v>
      </c>
      <c r="N79" s="10"/>
      <c r="O79" s="10"/>
      <c r="P79" s="10">
        <v>0</v>
      </c>
      <c r="Q79" s="10"/>
      <c r="R79" s="10"/>
      <c r="S79" s="10"/>
      <c r="T79" s="10"/>
      <c r="U79" s="10"/>
      <c r="V79" s="4" t="s">
        <v>85</v>
      </c>
      <c r="W79" s="4" t="s">
        <v>1350</v>
      </c>
      <c r="X79" s="8"/>
      <c r="Y79" s="4"/>
      <c r="Z79" s="4"/>
      <c r="AA79" s="8"/>
      <c r="AB79" s="8">
        <v>45270</v>
      </c>
      <c r="AC79" s="4"/>
      <c r="AD79" s="4"/>
    </row>
    <row r="80" spans="1:30" hidden="1">
      <c r="A80" s="4">
        <v>1138</v>
      </c>
      <c r="B80" s="8">
        <v>45252</v>
      </c>
      <c r="C80" s="4"/>
      <c r="D80" s="4" t="s">
        <v>42</v>
      </c>
      <c r="E80" s="8">
        <v>45267</v>
      </c>
      <c r="F80" s="4" t="s">
        <v>43</v>
      </c>
      <c r="G80" s="4" t="s">
        <v>1349</v>
      </c>
      <c r="H80" s="4" t="s">
        <v>52</v>
      </c>
      <c r="I80" s="4" t="s">
        <v>435</v>
      </c>
      <c r="J80" s="10">
        <v>0.52415999999999996</v>
      </c>
      <c r="K80" s="10">
        <v>0.52400000000000002</v>
      </c>
      <c r="L80" s="10">
        <f t="shared" si="41"/>
        <v>0</v>
      </c>
      <c r="M80" s="10">
        <f t="shared" si="42"/>
        <v>0</v>
      </c>
      <c r="N80" s="10"/>
      <c r="O80" s="10"/>
      <c r="P80" s="10">
        <v>0</v>
      </c>
      <c r="Q80" s="10"/>
      <c r="R80" s="10">
        <v>0</v>
      </c>
      <c r="S80" s="10"/>
      <c r="T80" s="10"/>
      <c r="U80" s="10"/>
      <c r="V80" s="4" t="s">
        <v>85</v>
      </c>
      <c r="W80" s="4" t="s">
        <v>845</v>
      </c>
      <c r="X80" s="8">
        <v>45270</v>
      </c>
      <c r="Y80" s="4"/>
      <c r="Z80" s="4"/>
      <c r="AA80" s="8">
        <v>45295</v>
      </c>
      <c r="AB80" s="8">
        <v>45295</v>
      </c>
      <c r="AC80" s="4"/>
      <c r="AD80" s="4"/>
    </row>
    <row r="81" spans="1:30" hidden="1">
      <c r="A81" s="4">
        <v>1138</v>
      </c>
      <c r="B81" s="8">
        <v>45252</v>
      </c>
      <c r="C81" s="4"/>
      <c r="D81" s="4" t="s">
        <v>42</v>
      </c>
      <c r="E81" s="8">
        <v>45267</v>
      </c>
      <c r="F81" s="4" t="s">
        <v>43</v>
      </c>
      <c r="G81" s="4" t="s">
        <v>1349</v>
      </c>
      <c r="H81" s="4" t="s">
        <v>52</v>
      </c>
      <c r="I81" s="4" t="s">
        <v>434</v>
      </c>
      <c r="J81" s="10">
        <v>0.15414</v>
      </c>
      <c r="K81" s="10">
        <v>0.161</v>
      </c>
      <c r="L81" s="10">
        <f t="shared" si="41"/>
        <v>0</v>
      </c>
      <c r="M81" s="10">
        <f t="shared" si="42"/>
        <v>0</v>
      </c>
      <c r="N81" s="10"/>
      <c r="O81" s="10"/>
      <c r="P81" s="10">
        <v>0</v>
      </c>
      <c r="Q81" s="10"/>
      <c r="R81" s="10"/>
      <c r="S81" s="10"/>
      <c r="T81" s="10"/>
      <c r="U81" s="10"/>
      <c r="V81" s="4" t="s">
        <v>85</v>
      </c>
      <c r="W81" s="4" t="s">
        <v>1350</v>
      </c>
      <c r="X81" s="8"/>
      <c r="Y81" s="4"/>
      <c r="Z81" s="4"/>
      <c r="AA81" s="8"/>
      <c r="AB81" s="8">
        <v>45270</v>
      </c>
      <c r="AC81" s="4"/>
      <c r="AD81" s="4"/>
    </row>
    <row r="82" spans="1:30" hidden="1">
      <c r="A82" s="4">
        <v>1138</v>
      </c>
      <c r="B82" s="8">
        <v>45252</v>
      </c>
      <c r="C82" s="4"/>
      <c r="D82" s="4" t="s">
        <v>42</v>
      </c>
      <c r="E82" s="8">
        <v>45267</v>
      </c>
      <c r="F82" s="4" t="s">
        <v>43</v>
      </c>
      <c r="G82" s="4" t="s">
        <v>1349</v>
      </c>
      <c r="H82" s="4" t="s">
        <v>52</v>
      </c>
      <c r="I82" s="4" t="s">
        <v>89</v>
      </c>
      <c r="J82" s="10">
        <v>0.13611999999999999</v>
      </c>
      <c r="K82" s="10">
        <v>0.14299999999999999</v>
      </c>
      <c r="L82" s="10">
        <f t="shared" si="41"/>
        <v>0</v>
      </c>
      <c r="M82" s="10">
        <f t="shared" si="42"/>
        <v>0</v>
      </c>
      <c r="N82" s="10"/>
      <c r="O82" s="10"/>
      <c r="P82" s="10">
        <v>0</v>
      </c>
      <c r="Q82" s="10"/>
      <c r="R82" s="10"/>
      <c r="S82" s="10"/>
      <c r="T82" s="10"/>
      <c r="U82" s="10"/>
      <c r="V82" s="4" t="s">
        <v>85</v>
      </c>
      <c r="W82" s="4" t="s">
        <v>1350</v>
      </c>
      <c r="X82" s="8">
        <v>45265</v>
      </c>
      <c r="Y82" s="4"/>
      <c r="Z82" s="4"/>
      <c r="AA82" s="8"/>
      <c r="AB82" s="8">
        <v>45270</v>
      </c>
      <c r="AC82" s="4"/>
      <c r="AD82" s="4"/>
    </row>
    <row r="83" spans="1:30" hidden="1">
      <c r="A83" s="4">
        <v>1193</v>
      </c>
      <c r="B83" s="8">
        <v>45261</v>
      </c>
      <c r="C83" s="4"/>
      <c r="D83" s="189" t="s">
        <v>42</v>
      </c>
      <c r="E83" s="8">
        <v>45267</v>
      </c>
      <c r="F83" s="4" t="s">
        <v>43</v>
      </c>
      <c r="G83" s="4" t="s">
        <v>60</v>
      </c>
      <c r="H83" s="4" t="s">
        <v>45</v>
      </c>
      <c r="I83" s="4" t="s">
        <v>53</v>
      </c>
      <c r="J83" s="10">
        <v>2.6527799999999999</v>
      </c>
      <c r="K83" s="10">
        <v>2.653</v>
      </c>
      <c r="L83" s="10">
        <f t="shared" ref="L83:L84" si="43">M83+U83</f>
        <v>0</v>
      </c>
      <c r="M83" s="10">
        <f t="shared" ref="M83:M84" si="44">SUM(N83:T83)</f>
        <v>0</v>
      </c>
      <c r="N83" s="10"/>
      <c r="O83" s="10"/>
      <c r="P83" s="10">
        <v>0</v>
      </c>
      <c r="Q83" s="10"/>
      <c r="R83" s="10">
        <v>0</v>
      </c>
      <c r="S83" s="10"/>
      <c r="T83" s="10"/>
      <c r="U83" s="10"/>
      <c r="V83" s="4" t="s">
        <v>85</v>
      </c>
      <c r="W83" s="4" t="s">
        <v>845</v>
      </c>
      <c r="X83" s="8">
        <v>45293</v>
      </c>
      <c r="Y83" s="4"/>
      <c r="Z83" s="4"/>
      <c r="AA83" s="8">
        <v>45295</v>
      </c>
      <c r="AB83" s="8">
        <v>45295</v>
      </c>
      <c r="AC83" s="4"/>
      <c r="AD83" s="4"/>
    </row>
    <row r="84" spans="1:30" hidden="1">
      <c r="A84" s="4">
        <v>1193</v>
      </c>
      <c r="B84" s="8">
        <v>45261</v>
      </c>
      <c r="C84" s="4"/>
      <c r="D84" s="189" t="s">
        <v>42</v>
      </c>
      <c r="E84" s="8">
        <v>45267</v>
      </c>
      <c r="F84" s="4" t="s">
        <v>43</v>
      </c>
      <c r="G84" s="4" t="s">
        <v>1349</v>
      </c>
      <c r="H84" s="4" t="s">
        <v>52</v>
      </c>
      <c r="I84" s="4" t="s">
        <v>53</v>
      </c>
      <c r="J84" s="10">
        <v>1.4821199999999997</v>
      </c>
      <c r="K84" s="10">
        <v>1.1819999999999999</v>
      </c>
      <c r="L84" s="10">
        <f t="shared" si="43"/>
        <v>0</v>
      </c>
      <c r="M84" s="10">
        <f t="shared" si="44"/>
        <v>0</v>
      </c>
      <c r="N84" s="10"/>
      <c r="O84" s="10"/>
      <c r="P84" s="10">
        <v>0</v>
      </c>
      <c r="Q84" s="10"/>
      <c r="R84" s="10"/>
      <c r="S84" s="10"/>
      <c r="T84" s="10"/>
      <c r="U84" s="10"/>
      <c r="V84" s="4" t="s">
        <v>85</v>
      </c>
      <c r="W84" s="4" t="s">
        <v>845</v>
      </c>
      <c r="X84" s="8">
        <v>45293</v>
      </c>
      <c r="Y84" s="4"/>
      <c r="Z84" s="4"/>
      <c r="AA84" s="8">
        <v>45295</v>
      </c>
      <c r="AB84" s="8">
        <v>45295</v>
      </c>
      <c r="AC84" s="4"/>
      <c r="AD84" s="4"/>
    </row>
    <row r="85" spans="1:30" hidden="1">
      <c r="A85" s="4">
        <v>1341</v>
      </c>
      <c r="B85" s="8">
        <v>45275</v>
      </c>
      <c r="C85" s="4"/>
      <c r="D85" s="189" t="s">
        <v>42</v>
      </c>
      <c r="E85" s="8">
        <v>45306</v>
      </c>
      <c r="F85" s="4" t="s">
        <v>43</v>
      </c>
      <c r="G85" s="4" t="s">
        <v>44</v>
      </c>
      <c r="H85" s="4" t="s">
        <v>45</v>
      </c>
      <c r="I85" s="4" t="s">
        <v>577</v>
      </c>
      <c r="J85" s="10">
        <v>7.952770000000001</v>
      </c>
      <c r="K85" s="10">
        <v>8.0329999999999995</v>
      </c>
      <c r="L85" s="10">
        <f t="shared" ref="L85:L88" si="45">M85+U85</f>
        <v>0</v>
      </c>
      <c r="M85" s="10">
        <f t="shared" ref="M85:M88" si="46">SUM(N85:T85)</f>
        <v>0</v>
      </c>
      <c r="N85" s="10"/>
      <c r="O85" s="138"/>
      <c r="P85" s="138">
        <v>0</v>
      </c>
      <c r="Q85" s="205">
        <v>0</v>
      </c>
      <c r="R85" s="10">
        <v>0</v>
      </c>
      <c r="S85" s="10"/>
      <c r="T85" s="10"/>
      <c r="U85" s="10"/>
      <c r="V85" s="4" t="s">
        <v>466</v>
      </c>
      <c r="W85" s="4"/>
      <c r="X85" s="8">
        <v>45286</v>
      </c>
      <c r="Y85" s="4"/>
      <c r="Z85" s="4"/>
      <c r="AA85" s="8">
        <v>45295</v>
      </c>
      <c r="AB85" s="8">
        <v>45295</v>
      </c>
      <c r="AC85" s="4"/>
      <c r="AD85" s="4"/>
    </row>
    <row r="86" spans="1:30">
      <c r="A86" s="4">
        <v>1341</v>
      </c>
      <c r="B86" s="8">
        <v>45275</v>
      </c>
      <c r="C86" s="4"/>
      <c r="D86" s="189" t="s">
        <v>42</v>
      </c>
      <c r="E86" s="8">
        <v>45306</v>
      </c>
      <c r="F86" s="4" t="s">
        <v>43</v>
      </c>
      <c r="G86" s="4" t="s">
        <v>44</v>
      </c>
      <c r="H86" s="4" t="s">
        <v>45</v>
      </c>
      <c r="I86" s="4" t="s">
        <v>474</v>
      </c>
      <c r="J86" s="10">
        <v>7.0060349999999998</v>
      </c>
      <c r="K86" s="10"/>
      <c r="L86" s="10">
        <f t="shared" si="45"/>
        <v>7.0060349999999998</v>
      </c>
      <c r="M86" s="10">
        <f t="shared" si="46"/>
        <v>0</v>
      </c>
      <c r="N86" s="10"/>
      <c r="O86" s="10"/>
      <c r="P86" s="10"/>
      <c r="Q86" s="10"/>
      <c r="R86" s="10"/>
      <c r="S86" s="10"/>
      <c r="T86" s="10"/>
      <c r="U86" s="10">
        <v>7.0060349999999998</v>
      </c>
      <c r="V86" s="4" t="s">
        <v>466</v>
      </c>
      <c r="W86" s="4"/>
      <c r="X86" s="8"/>
      <c r="Y86" s="4"/>
      <c r="Z86" s="4"/>
      <c r="AA86" s="8"/>
      <c r="AB86" s="8"/>
      <c r="AC86" s="4"/>
      <c r="AD86" s="4"/>
    </row>
    <row r="87" spans="1:30">
      <c r="A87" s="195">
        <v>1341</v>
      </c>
      <c r="B87" s="8">
        <v>45275</v>
      </c>
      <c r="C87" s="195"/>
      <c r="D87" s="195" t="s">
        <v>42</v>
      </c>
      <c r="E87" s="8">
        <v>45306</v>
      </c>
      <c r="F87" s="195" t="s">
        <v>43</v>
      </c>
      <c r="G87" s="195" t="s">
        <v>51</v>
      </c>
      <c r="H87" s="195" t="s">
        <v>52</v>
      </c>
      <c r="I87" s="195" t="s">
        <v>474</v>
      </c>
      <c r="J87" s="10">
        <v>6.9594519999999997</v>
      </c>
      <c r="K87" s="10"/>
      <c r="L87" s="10">
        <f t="shared" si="45"/>
        <v>6.9594519999999997</v>
      </c>
      <c r="M87" s="10">
        <f t="shared" si="46"/>
        <v>0</v>
      </c>
      <c r="N87" s="10"/>
      <c r="O87" s="10"/>
      <c r="P87" s="10"/>
      <c r="Q87" s="10"/>
      <c r="R87" s="10"/>
      <c r="S87" s="10"/>
      <c r="T87" s="10"/>
      <c r="U87" s="10">
        <v>6.9594519999999997</v>
      </c>
      <c r="V87" s="195" t="s">
        <v>466</v>
      </c>
      <c r="W87" s="195"/>
      <c r="X87" s="8"/>
      <c r="Y87" s="195"/>
      <c r="Z87" s="195"/>
      <c r="AA87" s="8"/>
      <c r="AB87" s="8"/>
      <c r="AC87" s="195"/>
      <c r="AD87" s="195"/>
    </row>
    <row r="88" spans="1:30" hidden="1">
      <c r="A88" s="195">
        <v>1341</v>
      </c>
      <c r="B88" s="8">
        <v>45275</v>
      </c>
      <c r="C88" s="195"/>
      <c r="D88" s="195" t="s">
        <v>42</v>
      </c>
      <c r="E88" s="8">
        <v>45306</v>
      </c>
      <c r="F88" s="195" t="s">
        <v>43</v>
      </c>
      <c r="G88" s="195" t="s">
        <v>51</v>
      </c>
      <c r="H88" s="195" t="s">
        <v>52</v>
      </c>
      <c r="I88" s="195" t="s">
        <v>577</v>
      </c>
      <c r="J88" s="10">
        <v>4.8615750000000002</v>
      </c>
      <c r="K88" s="10">
        <v>4.8860000000000001</v>
      </c>
      <c r="L88" s="10">
        <f t="shared" si="45"/>
        <v>0</v>
      </c>
      <c r="M88" s="10">
        <f t="shared" si="46"/>
        <v>0</v>
      </c>
      <c r="N88" s="10"/>
      <c r="O88" s="10"/>
      <c r="P88" s="10">
        <v>0</v>
      </c>
      <c r="Q88" s="10"/>
      <c r="R88" s="10"/>
      <c r="S88" s="10"/>
      <c r="T88" s="10"/>
      <c r="U88" s="10"/>
      <c r="V88" s="135" t="s">
        <v>1492</v>
      </c>
      <c r="W88" s="135" t="s">
        <v>1493</v>
      </c>
      <c r="X88" s="8">
        <v>45286</v>
      </c>
      <c r="Y88" s="195"/>
      <c r="Z88" s="195"/>
      <c r="AA88" s="8">
        <v>45295</v>
      </c>
      <c r="AB88" s="8">
        <v>45295</v>
      </c>
      <c r="AC88" s="195"/>
      <c r="AD88" s="195"/>
    </row>
    <row r="89" spans="1:30">
      <c r="A89" s="218" t="s">
        <v>444</v>
      </c>
      <c r="B89" s="218" t="s">
        <v>444</v>
      </c>
      <c r="C89" s="210">
        <v>45294</v>
      </c>
      <c r="D89" s="209"/>
      <c r="E89" s="210">
        <v>45306</v>
      </c>
      <c r="F89" s="211" t="s">
        <v>43</v>
      </c>
      <c r="G89" s="212" t="s">
        <v>59</v>
      </c>
      <c r="H89" s="195" t="s">
        <v>52</v>
      </c>
      <c r="I89" s="213" t="s">
        <v>49</v>
      </c>
      <c r="J89" s="214">
        <v>0.11</v>
      </c>
      <c r="K89" s="195"/>
      <c r="L89" s="10">
        <f t="shared" ref="L89:L99" si="47">M89+U89</f>
        <v>0.11</v>
      </c>
      <c r="M89" s="10">
        <f t="shared" ref="M89:M99" si="48">SUM(N89:T89)</f>
        <v>0</v>
      </c>
      <c r="N89" s="10"/>
      <c r="O89" s="10"/>
      <c r="P89" s="10"/>
      <c r="Q89" s="10"/>
      <c r="R89" s="10"/>
      <c r="S89" s="10"/>
      <c r="T89" s="10"/>
      <c r="U89" s="214">
        <v>0.11</v>
      </c>
      <c r="V89" s="195"/>
      <c r="W89" s="195"/>
      <c r="X89" s="8"/>
      <c r="Y89" s="195"/>
      <c r="Z89" s="195"/>
      <c r="AA89" s="8"/>
      <c r="AB89" s="8"/>
      <c r="AC89" s="195"/>
      <c r="AD89" s="195"/>
    </row>
    <row r="90" spans="1:30">
      <c r="A90" s="218" t="s">
        <v>444</v>
      </c>
      <c r="B90" s="218" t="s">
        <v>444</v>
      </c>
      <c r="C90" s="210">
        <v>45294</v>
      </c>
      <c r="D90" s="209"/>
      <c r="E90" s="210">
        <v>45306</v>
      </c>
      <c r="F90" s="211" t="s">
        <v>43</v>
      </c>
      <c r="G90" s="212" t="s">
        <v>20</v>
      </c>
      <c r="H90" s="195" t="s">
        <v>45</v>
      </c>
      <c r="I90" s="213" t="s">
        <v>49</v>
      </c>
      <c r="J90" s="214">
        <v>2.12</v>
      </c>
      <c r="K90" s="195"/>
      <c r="L90" s="10">
        <f t="shared" si="47"/>
        <v>2.12</v>
      </c>
      <c r="M90" s="10">
        <f t="shared" si="48"/>
        <v>0</v>
      </c>
      <c r="N90" s="10"/>
      <c r="O90" s="10"/>
      <c r="P90" s="10"/>
      <c r="Q90" s="10"/>
      <c r="R90" s="10"/>
      <c r="S90" s="10"/>
      <c r="T90" s="10"/>
      <c r="U90" s="214">
        <v>2.12</v>
      </c>
      <c r="V90" s="195"/>
      <c r="W90" s="195"/>
      <c r="X90" s="8"/>
      <c r="Y90" s="195"/>
      <c r="Z90" s="195"/>
      <c r="AA90" s="8"/>
      <c r="AB90" s="8"/>
      <c r="AC90" s="195"/>
      <c r="AD90" s="195"/>
    </row>
    <row r="91" spans="1:30">
      <c r="A91" s="218" t="s">
        <v>444</v>
      </c>
      <c r="B91" s="218" t="s">
        <v>444</v>
      </c>
      <c r="C91" s="210">
        <v>45294</v>
      </c>
      <c r="D91" s="209"/>
      <c r="E91" s="210">
        <v>45306</v>
      </c>
      <c r="F91" s="211" t="s">
        <v>43</v>
      </c>
      <c r="G91" s="212" t="s">
        <v>20</v>
      </c>
      <c r="H91" s="195" t="s">
        <v>45</v>
      </c>
      <c r="I91" s="213" t="s">
        <v>50</v>
      </c>
      <c r="J91" s="216">
        <v>0.51</v>
      </c>
      <c r="K91" s="195"/>
      <c r="L91" s="10">
        <f t="shared" si="47"/>
        <v>0.51</v>
      </c>
      <c r="M91" s="10">
        <f t="shared" si="48"/>
        <v>0</v>
      </c>
      <c r="N91" s="10"/>
      <c r="O91" s="10"/>
      <c r="P91" s="10"/>
      <c r="Q91" s="10"/>
      <c r="R91" s="10"/>
      <c r="S91" s="10"/>
      <c r="T91" s="10"/>
      <c r="U91" s="216">
        <v>0.51</v>
      </c>
      <c r="V91" s="195"/>
      <c r="W91" s="195"/>
      <c r="X91" s="8"/>
      <c r="Y91" s="195"/>
      <c r="Z91" s="195"/>
      <c r="AA91" s="8"/>
      <c r="AB91" s="8"/>
      <c r="AC91" s="195"/>
      <c r="AD91" s="195"/>
    </row>
    <row r="92" spans="1:30">
      <c r="A92" s="218" t="s">
        <v>444</v>
      </c>
      <c r="B92" s="218" t="s">
        <v>444</v>
      </c>
      <c r="C92" s="210">
        <v>45294</v>
      </c>
      <c r="D92" s="209"/>
      <c r="E92" s="210">
        <v>45306</v>
      </c>
      <c r="F92" s="211" t="s">
        <v>43</v>
      </c>
      <c r="G92" s="215" t="s">
        <v>51</v>
      </c>
      <c r="H92" s="195" t="s">
        <v>52</v>
      </c>
      <c r="I92" s="213" t="s">
        <v>49</v>
      </c>
      <c r="J92" s="214">
        <v>1</v>
      </c>
      <c r="K92" s="195"/>
      <c r="L92" s="10">
        <f t="shared" si="47"/>
        <v>1</v>
      </c>
      <c r="M92" s="10">
        <f t="shared" si="48"/>
        <v>0</v>
      </c>
      <c r="N92" s="10"/>
      <c r="O92" s="10"/>
      <c r="P92" s="10"/>
      <c r="Q92" s="10"/>
      <c r="R92" s="10"/>
      <c r="S92" s="10"/>
      <c r="T92" s="10"/>
      <c r="U92" s="214">
        <v>1</v>
      </c>
      <c r="V92" s="195"/>
      <c r="W92" s="195"/>
      <c r="X92" s="8"/>
      <c r="Y92" s="195"/>
      <c r="Z92" s="195"/>
      <c r="AA92" s="8"/>
      <c r="AB92" s="8"/>
      <c r="AC92" s="195"/>
      <c r="AD92" s="195"/>
    </row>
    <row r="93" spans="1:30">
      <c r="A93" s="218" t="s">
        <v>444</v>
      </c>
      <c r="B93" s="218" t="s">
        <v>444</v>
      </c>
      <c r="C93" s="210">
        <v>45294</v>
      </c>
      <c r="D93" s="209"/>
      <c r="E93" s="210">
        <v>45306</v>
      </c>
      <c r="F93" s="211" t="s">
        <v>43</v>
      </c>
      <c r="G93" s="215" t="s">
        <v>51</v>
      </c>
      <c r="H93" s="195" t="s">
        <v>52</v>
      </c>
      <c r="I93" s="213" t="s">
        <v>50</v>
      </c>
      <c r="J93" s="214">
        <v>0.81</v>
      </c>
      <c r="K93" s="195"/>
      <c r="L93" s="10">
        <f t="shared" si="47"/>
        <v>0.81</v>
      </c>
      <c r="M93" s="10">
        <f t="shared" si="48"/>
        <v>0</v>
      </c>
      <c r="N93" s="10"/>
      <c r="O93" s="10"/>
      <c r="P93" s="10"/>
      <c r="Q93" s="10"/>
      <c r="R93" s="10"/>
      <c r="S93" s="10"/>
      <c r="T93" s="10"/>
      <c r="U93" s="214">
        <v>0.81</v>
      </c>
      <c r="V93" s="195"/>
      <c r="W93" s="195"/>
      <c r="X93" s="8"/>
      <c r="Y93" s="195"/>
      <c r="Z93" s="195"/>
      <c r="AA93" s="8"/>
      <c r="AB93" s="8"/>
      <c r="AC93" s="195"/>
      <c r="AD93" s="195"/>
    </row>
    <row r="94" spans="1:30">
      <c r="A94" s="218" t="s">
        <v>444</v>
      </c>
      <c r="B94" s="218" t="s">
        <v>444</v>
      </c>
      <c r="C94" s="210">
        <v>45294</v>
      </c>
      <c r="D94" s="209"/>
      <c r="E94" s="210">
        <v>45306</v>
      </c>
      <c r="F94" s="211" t="s">
        <v>43</v>
      </c>
      <c r="G94" s="211" t="s">
        <v>44</v>
      </c>
      <c r="H94" s="195" t="s">
        <v>45</v>
      </c>
      <c r="I94" s="213" t="s">
        <v>49</v>
      </c>
      <c r="J94" s="216">
        <v>4.03</v>
      </c>
      <c r="K94" s="195"/>
      <c r="L94" s="10">
        <f t="shared" si="47"/>
        <v>4.03</v>
      </c>
      <c r="M94" s="10">
        <f t="shared" si="48"/>
        <v>0</v>
      </c>
      <c r="N94" s="10"/>
      <c r="O94" s="10"/>
      <c r="P94" s="10"/>
      <c r="Q94" s="10"/>
      <c r="R94" s="10"/>
      <c r="S94" s="10"/>
      <c r="T94" s="10"/>
      <c r="U94" s="216">
        <v>4.03</v>
      </c>
      <c r="V94" s="195"/>
      <c r="W94" s="195"/>
      <c r="X94" s="8"/>
      <c r="Y94" s="195"/>
      <c r="Z94" s="195"/>
      <c r="AA94" s="8"/>
      <c r="AB94" s="8"/>
      <c r="AC94" s="195"/>
      <c r="AD94" s="195"/>
    </row>
    <row r="95" spans="1:30">
      <c r="A95" s="218" t="s">
        <v>444</v>
      </c>
      <c r="B95" s="218" t="s">
        <v>444</v>
      </c>
      <c r="C95" s="210">
        <v>45294</v>
      </c>
      <c r="D95" s="209"/>
      <c r="E95" s="210">
        <v>45306</v>
      </c>
      <c r="F95" s="211" t="s">
        <v>43</v>
      </c>
      <c r="G95" s="211" t="s">
        <v>44</v>
      </c>
      <c r="H95" s="195" t="s">
        <v>45</v>
      </c>
      <c r="I95" s="213" t="s">
        <v>50</v>
      </c>
      <c r="J95" s="216">
        <v>14.87</v>
      </c>
      <c r="K95" s="195"/>
      <c r="L95" s="10">
        <f t="shared" si="47"/>
        <v>14.87</v>
      </c>
      <c r="M95" s="10">
        <f t="shared" si="48"/>
        <v>0</v>
      </c>
      <c r="N95" s="10"/>
      <c r="O95" s="10"/>
      <c r="P95" s="10"/>
      <c r="Q95" s="10"/>
      <c r="R95" s="10"/>
      <c r="S95" s="10"/>
      <c r="T95" s="10"/>
      <c r="U95" s="216">
        <v>14.87</v>
      </c>
      <c r="V95" s="195"/>
      <c r="W95" s="195"/>
      <c r="X95" s="8"/>
      <c r="Y95" s="195"/>
      <c r="Z95" s="195"/>
      <c r="AA95" s="8"/>
      <c r="AB95" s="8"/>
      <c r="AC95" s="195"/>
      <c r="AD95" s="195"/>
    </row>
    <row r="96" spans="1:30">
      <c r="A96" s="218" t="s">
        <v>444</v>
      </c>
      <c r="B96" s="218" t="s">
        <v>444</v>
      </c>
      <c r="C96" s="210">
        <v>45294</v>
      </c>
      <c r="D96" s="209"/>
      <c r="E96" s="210">
        <v>45306</v>
      </c>
      <c r="F96" s="211" t="s">
        <v>43</v>
      </c>
      <c r="G96" s="211" t="s">
        <v>44</v>
      </c>
      <c r="H96" s="195" t="s">
        <v>45</v>
      </c>
      <c r="I96" s="213" t="s">
        <v>588</v>
      </c>
      <c r="J96" s="216">
        <v>7.19</v>
      </c>
      <c r="K96" s="195"/>
      <c r="L96" s="10">
        <f t="shared" si="47"/>
        <v>7.19</v>
      </c>
      <c r="M96" s="10">
        <f t="shared" si="48"/>
        <v>0</v>
      </c>
      <c r="N96" s="10"/>
      <c r="O96" s="10"/>
      <c r="P96" s="10"/>
      <c r="Q96" s="10"/>
      <c r="R96" s="10"/>
      <c r="S96" s="10"/>
      <c r="T96" s="10"/>
      <c r="U96" s="216">
        <v>7.19</v>
      </c>
      <c r="V96" s="195"/>
      <c r="W96" s="195"/>
      <c r="X96" s="8"/>
      <c r="Y96" s="195"/>
      <c r="Z96" s="195"/>
      <c r="AA96" s="8"/>
      <c r="AB96" s="8"/>
      <c r="AC96" s="195"/>
      <c r="AD96" s="195"/>
    </row>
    <row r="97" spans="1:30">
      <c r="A97" s="218" t="s">
        <v>444</v>
      </c>
      <c r="B97" s="218" t="s">
        <v>444</v>
      </c>
      <c r="C97" s="210">
        <v>45294</v>
      </c>
      <c r="D97" s="209"/>
      <c r="E97" s="210">
        <v>45306</v>
      </c>
      <c r="F97" s="209" t="s">
        <v>840</v>
      </c>
      <c r="G97" s="211" t="s">
        <v>44</v>
      </c>
      <c r="H97" s="195" t="s">
        <v>45</v>
      </c>
      <c r="I97" s="213" t="s">
        <v>50</v>
      </c>
      <c r="J97" s="214">
        <v>60.25</v>
      </c>
      <c r="K97" s="195"/>
      <c r="L97" s="10">
        <f t="shared" si="47"/>
        <v>60.25</v>
      </c>
      <c r="M97" s="10">
        <f t="shared" si="48"/>
        <v>0</v>
      </c>
      <c r="N97" s="10"/>
      <c r="O97" s="10"/>
      <c r="P97" s="10"/>
      <c r="Q97" s="10"/>
      <c r="R97" s="10"/>
      <c r="S97" s="10"/>
      <c r="T97" s="10"/>
      <c r="U97" s="214">
        <v>60.25</v>
      </c>
      <c r="V97" s="217" t="s">
        <v>841</v>
      </c>
      <c r="W97" s="195"/>
      <c r="X97" s="8"/>
      <c r="Y97" s="195"/>
      <c r="Z97" s="195"/>
      <c r="AA97" s="8"/>
      <c r="AB97" s="8"/>
      <c r="AC97" s="195"/>
      <c r="AD97" s="195"/>
    </row>
    <row r="98" spans="1:30">
      <c r="A98" s="218" t="s">
        <v>444</v>
      </c>
      <c r="B98" s="218" t="s">
        <v>444</v>
      </c>
      <c r="C98" s="210">
        <v>45294</v>
      </c>
      <c r="D98" s="209"/>
      <c r="E98" s="210">
        <v>45306</v>
      </c>
      <c r="F98" s="209" t="s">
        <v>840</v>
      </c>
      <c r="G98" s="211" t="s">
        <v>44</v>
      </c>
      <c r="H98" s="195" t="s">
        <v>45</v>
      </c>
      <c r="I98" s="213" t="s">
        <v>588</v>
      </c>
      <c r="J98" s="214">
        <v>9.75</v>
      </c>
      <c r="K98" s="195"/>
      <c r="L98" s="10">
        <f t="shared" si="47"/>
        <v>9.75</v>
      </c>
      <c r="M98" s="10">
        <f t="shared" si="48"/>
        <v>0</v>
      </c>
      <c r="N98" s="10"/>
      <c r="O98" s="10"/>
      <c r="P98" s="10"/>
      <c r="Q98" s="10"/>
      <c r="R98" s="10"/>
      <c r="S98" s="10"/>
      <c r="T98" s="10"/>
      <c r="U98" s="214">
        <v>9.75</v>
      </c>
      <c r="V98" s="217" t="s">
        <v>841</v>
      </c>
      <c r="W98" s="195"/>
      <c r="X98" s="8"/>
      <c r="Y98" s="195"/>
      <c r="Z98" s="195"/>
      <c r="AA98" s="8"/>
      <c r="AB98" s="8"/>
      <c r="AC98" s="195"/>
      <c r="AD98" s="195"/>
    </row>
    <row r="99" spans="1:30">
      <c r="A99" s="218" t="s">
        <v>444</v>
      </c>
      <c r="B99" s="218" t="s">
        <v>444</v>
      </c>
      <c r="C99" s="210">
        <v>45294</v>
      </c>
      <c r="D99" s="209"/>
      <c r="E99" s="210">
        <v>45306</v>
      </c>
      <c r="F99" s="209" t="s">
        <v>840</v>
      </c>
      <c r="G99" s="215" t="s">
        <v>51</v>
      </c>
      <c r="H99" s="195" t="s">
        <v>52</v>
      </c>
      <c r="I99" s="213" t="s">
        <v>50</v>
      </c>
      <c r="J99" s="214">
        <v>1.74</v>
      </c>
      <c r="K99" s="195"/>
      <c r="L99" s="10">
        <f t="shared" si="47"/>
        <v>1.74</v>
      </c>
      <c r="M99" s="10">
        <f t="shared" si="48"/>
        <v>0</v>
      </c>
      <c r="N99" s="10"/>
      <c r="O99" s="10"/>
      <c r="P99" s="10"/>
      <c r="Q99" s="10"/>
      <c r="R99" s="10"/>
      <c r="S99" s="10"/>
      <c r="T99" s="10"/>
      <c r="U99" s="214">
        <v>1.74</v>
      </c>
      <c r="V99" s="217" t="s">
        <v>841</v>
      </c>
      <c r="W99" s="195"/>
      <c r="X99" s="8"/>
      <c r="Y99" s="195"/>
      <c r="Z99" s="195"/>
      <c r="AA99" s="8"/>
      <c r="AB99" s="8"/>
      <c r="AC99" s="195"/>
      <c r="AD99" s="195"/>
    </row>
    <row r="100" spans="1:30">
      <c r="A100" s="195"/>
      <c r="B100" s="219"/>
      <c r="C100" s="195"/>
      <c r="D100" s="195"/>
      <c r="E100" s="8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8"/>
      <c r="Y100" s="195"/>
      <c r="Z100" s="195"/>
      <c r="AA100" s="8"/>
      <c r="AB100" s="8"/>
      <c r="AC100" s="195"/>
      <c r="AD100" s="195"/>
    </row>
  </sheetData>
  <autoFilter ref="A4:AD99">
    <filterColumn colId="11">
      <filters>
        <filter val="0.110"/>
        <filter val="0.510"/>
        <filter val="0.810"/>
        <filter val="1.000"/>
        <filter val="1.740"/>
        <filter val="14.870"/>
        <filter val="2.120"/>
        <filter val="4.030"/>
        <filter val="6.111"/>
        <filter val="6.959"/>
        <filter val="60.250"/>
        <filter val="7.006"/>
        <filter val="7.190"/>
        <filter val="9.750"/>
      </filters>
    </filterColumn>
  </autoFilter>
  <sortState ref="B91:J100">
    <sortCondition ref="G91:G100"/>
  </sortState>
  <mergeCells count="2">
    <mergeCell ref="A2:L2"/>
    <mergeCell ref="A3:G3"/>
  </mergeCells>
  <pageMargins left="0.24" right="0.16" top="0.2" bottom="0.21" header="0.23" footer="0.2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 filterMode="1">
    <pageSetUpPr fitToPage="1"/>
  </sheetPr>
  <dimension ref="A2:AD310"/>
  <sheetViews>
    <sheetView zoomScale="95" zoomScaleNormal="95" workbookViewId="0">
      <pane ySplit="4" topLeftCell="A289" activePane="bottomLeft" state="frozen"/>
      <selection pane="bottomLeft" activeCell="G299" sqref="G299"/>
    </sheetView>
  </sheetViews>
  <sheetFormatPr defaultRowHeight="14.4"/>
  <cols>
    <col min="1" max="1" width="5.5546875" customWidth="1"/>
    <col min="2" max="2" width="7.5546875" style="7" bestFit="1" customWidth="1"/>
    <col min="3" max="3" width="13" customWidth="1"/>
    <col min="4" max="4" width="9.44140625" customWidth="1"/>
    <col min="5" max="5" width="8.6640625" style="7" customWidth="1"/>
    <col min="6" max="6" width="7" customWidth="1"/>
    <col min="7" max="7" width="14" customWidth="1"/>
    <col min="8" max="8" width="5.109375" bestFit="1" customWidth="1"/>
    <col min="9" max="9" width="14.109375" customWidth="1"/>
    <col min="10" max="10" width="9.5546875" style="11" customWidth="1"/>
    <col min="11" max="11" width="9.5546875" style="11" bestFit="1" customWidth="1"/>
    <col min="12" max="12" width="8.88671875" style="11" bestFit="1" customWidth="1"/>
    <col min="13" max="13" width="8.88671875" style="11" customWidth="1"/>
    <col min="14" max="14" width="8.33203125" style="11" customWidth="1"/>
    <col min="15" max="15" width="9.88671875" style="11" customWidth="1"/>
    <col min="16" max="16" width="9.5546875" style="11" bestFit="1" customWidth="1"/>
    <col min="17" max="17" width="9.6640625" style="11" customWidth="1"/>
    <col min="18" max="18" width="10.88671875" style="11" customWidth="1"/>
    <col min="19" max="19" width="11" style="11" customWidth="1"/>
    <col min="20" max="20" width="10.5546875" style="11" customWidth="1"/>
    <col min="21" max="21" width="9.33203125" style="11" bestFit="1" customWidth="1"/>
    <col min="22" max="22" width="15.88671875" customWidth="1"/>
    <col min="23" max="23" width="17.109375" customWidth="1"/>
    <col min="24" max="24" width="7.5546875" style="7" bestFit="1" customWidth="1"/>
    <col min="25" max="25" width="7.44140625" bestFit="1" customWidth="1"/>
    <col min="26" max="26" width="9.44140625" bestFit="1" customWidth="1"/>
    <col min="27" max="28" width="9.109375" style="7"/>
  </cols>
  <sheetData>
    <row r="2" spans="1:30" ht="27" customHeight="1">
      <c r="A2" s="236" t="s">
        <v>24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T2" s="11" t="s">
        <v>332</v>
      </c>
    </row>
    <row r="3" spans="1:30">
      <c r="A3" s="238" t="s">
        <v>1531</v>
      </c>
      <c r="B3" s="238"/>
      <c r="C3" s="238"/>
      <c r="D3" s="238"/>
      <c r="E3" s="238"/>
      <c r="F3" s="238"/>
      <c r="G3" s="238"/>
      <c r="H3" s="1"/>
      <c r="I3" s="1"/>
      <c r="J3" s="13">
        <f>SUBTOTAL(9,J5:J1137)</f>
        <v>536.50961499999994</v>
      </c>
      <c r="K3" s="13">
        <f>SUBTOTAL(9,K5:K1137)</f>
        <v>253.05199999999999</v>
      </c>
      <c r="L3" s="13">
        <f>SUBTOTAL(9,L5:L1137)</f>
        <v>284.74561499999999</v>
      </c>
      <c r="M3" s="13">
        <f>SUBTOTAL(9,M5:M1137)</f>
        <v>113.16749</v>
      </c>
      <c r="N3" s="13">
        <f t="shared" ref="N3:T3" si="0">SUBTOTAL(9,N5:N1137)</f>
        <v>0</v>
      </c>
      <c r="O3" s="228">
        <f t="shared" si="0"/>
        <v>1.125</v>
      </c>
      <c r="P3" s="228">
        <f>SUBTOTAL(9,P5:P1137)</f>
        <v>75.421220000000005</v>
      </c>
      <c r="Q3" s="13">
        <f t="shared" si="0"/>
        <v>0</v>
      </c>
      <c r="R3" s="13">
        <f t="shared" si="0"/>
        <v>9.0440000000000005</v>
      </c>
      <c r="S3" s="13">
        <f>SUBTOTAL(9,S5:S1137)</f>
        <v>0</v>
      </c>
      <c r="T3" s="228">
        <f t="shared" si="0"/>
        <v>27.577269999999999</v>
      </c>
      <c r="U3" s="71">
        <f>SUBTOTAL(9,U5:U1137)</f>
        <v>171.578125</v>
      </c>
      <c r="V3" s="1"/>
      <c r="W3" s="1"/>
      <c r="X3" s="12"/>
      <c r="Y3" s="1"/>
      <c r="Z3" s="1"/>
      <c r="AA3" s="12"/>
      <c r="AB3" s="12"/>
      <c r="AC3" s="1"/>
      <c r="AD3" s="1"/>
    </row>
    <row r="4" spans="1:30" ht="45.75" customHeight="1">
      <c r="A4" s="20" t="s">
        <v>25</v>
      </c>
      <c r="B4" s="38" t="s">
        <v>26</v>
      </c>
      <c r="C4" s="20" t="s">
        <v>27</v>
      </c>
      <c r="D4" s="20" t="s">
        <v>28</v>
      </c>
      <c r="E4" s="38" t="s">
        <v>11</v>
      </c>
      <c r="F4" s="20" t="s">
        <v>29</v>
      </c>
      <c r="G4" s="20" t="s">
        <v>30</v>
      </c>
      <c r="H4" s="20" t="s">
        <v>31</v>
      </c>
      <c r="I4" s="20" t="s">
        <v>32</v>
      </c>
      <c r="J4" s="20" t="s">
        <v>33</v>
      </c>
      <c r="K4" s="20" t="s">
        <v>34</v>
      </c>
      <c r="L4" s="20" t="s">
        <v>35</v>
      </c>
      <c r="M4" s="20" t="s">
        <v>36</v>
      </c>
      <c r="N4" s="20" t="s">
        <v>882</v>
      </c>
      <c r="O4" s="20" t="s">
        <v>522</v>
      </c>
      <c r="P4" s="20" t="s">
        <v>37</v>
      </c>
      <c r="Q4" s="20" t="s">
        <v>38</v>
      </c>
      <c r="R4" s="20" t="s">
        <v>978</v>
      </c>
      <c r="S4" s="20" t="s">
        <v>979</v>
      </c>
      <c r="T4" s="20" t="s">
        <v>39</v>
      </c>
      <c r="U4" s="20" t="s">
        <v>40</v>
      </c>
      <c r="V4" s="20" t="s">
        <v>12</v>
      </c>
      <c r="W4" s="20" t="s">
        <v>41</v>
      </c>
      <c r="X4" s="38" t="s">
        <v>218</v>
      </c>
      <c r="Y4" s="20" t="s">
        <v>280</v>
      </c>
      <c r="Z4" s="20" t="s">
        <v>281</v>
      </c>
      <c r="AA4" s="38" t="s">
        <v>282</v>
      </c>
      <c r="AB4" s="38" t="s">
        <v>283</v>
      </c>
      <c r="AC4" s="20" t="s">
        <v>284</v>
      </c>
      <c r="AD4" s="20" t="s">
        <v>1</v>
      </c>
    </row>
    <row r="5" spans="1:30" hidden="1">
      <c r="A5" s="4">
        <v>1470</v>
      </c>
      <c r="B5" s="8">
        <v>44900</v>
      </c>
      <c r="C5" s="4"/>
      <c r="D5" s="4" t="s">
        <v>42</v>
      </c>
      <c r="E5" s="8">
        <v>44910</v>
      </c>
      <c r="F5" s="4" t="s">
        <v>43</v>
      </c>
      <c r="G5" s="4" t="s">
        <v>19</v>
      </c>
      <c r="H5" s="4" t="s">
        <v>45</v>
      </c>
      <c r="I5" s="4" t="s">
        <v>50</v>
      </c>
      <c r="J5" s="10">
        <v>76.13</v>
      </c>
      <c r="K5" s="10">
        <f>32.48+32.739+10.965</f>
        <v>76.183999999999997</v>
      </c>
      <c r="L5" s="10">
        <f t="shared" ref="L5:L49" si="1">M5+U5</f>
        <v>0</v>
      </c>
      <c r="M5" s="10">
        <f t="shared" ref="M5:M7" si="2">SUM(N5:T5)</f>
        <v>0</v>
      </c>
      <c r="N5" s="10"/>
      <c r="O5" s="10"/>
      <c r="P5" s="10"/>
      <c r="Q5" s="10"/>
      <c r="R5" s="10"/>
      <c r="S5" s="10"/>
      <c r="T5" s="10"/>
      <c r="U5" s="10"/>
      <c r="V5" s="4" t="s">
        <v>91</v>
      </c>
      <c r="W5" s="4" t="s">
        <v>91</v>
      </c>
      <c r="X5" s="8"/>
      <c r="Y5" s="4"/>
      <c r="Z5" s="4"/>
      <c r="AA5" s="8"/>
      <c r="AB5" s="8"/>
      <c r="AC5" s="4"/>
      <c r="AD5" s="4"/>
    </row>
    <row r="6" spans="1:30" hidden="1">
      <c r="A6" s="4">
        <v>1470</v>
      </c>
      <c r="B6" s="8">
        <v>44900</v>
      </c>
      <c r="C6" s="4"/>
      <c r="D6" s="4" t="s">
        <v>42</v>
      </c>
      <c r="E6" s="8">
        <v>44910</v>
      </c>
      <c r="F6" s="4" t="s">
        <v>43</v>
      </c>
      <c r="G6" s="4" t="s">
        <v>92</v>
      </c>
      <c r="H6" s="4" t="s">
        <v>52</v>
      </c>
      <c r="I6" s="4" t="s">
        <v>50</v>
      </c>
      <c r="J6" s="10">
        <v>16.202000000000002</v>
      </c>
      <c r="K6" s="10">
        <v>16.213000000000001</v>
      </c>
      <c r="L6" s="10">
        <f t="shared" si="1"/>
        <v>0</v>
      </c>
      <c r="M6" s="10">
        <f t="shared" si="2"/>
        <v>0</v>
      </c>
      <c r="N6" s="10"/>
      <c r="O6" s="10"/>
      <c r="P6" s="10"/>
      <c r="Q6" s="10"/>
      <c r="R6" s="10"/>
      <c r="S6" s="10"/>
      <c r="T6" s="10"/>
      <c r="U6" s="10"/>
      <c r="V6" s="4" t="s">
        <v>91</v>
      </c>
      <c r="W6" s="4" t="s">
        <v>91</v>
      </c>
      <c r="X6" s="8"/>
      <c r="Y6" s="4"/>
      <c r="Z6" s="4"/>
      <c r="AA6" s="8" t="s">
        <v>177</v>
      </c>
      <c r="AB6" s="8" t="s">
        <v>177</v>
      </c>
      <c r="AC6" s="4"/>
      <c r="AD6" s="4"/>
    </row>
    <row r="7" spans="1:30" hidden="1">
      <c r="A7" s="4">
        <v>1470</v>
      </c>
      <c r="B7" s="8">
        <v>44900</v>
      </c>
      <c r="C7" s="4"/>
      <c r="D7" s="4" t="s">
        <v>42</v>
      </c>
      <c r="E7" s="8">
        <v>44910</v>
      </c>
      <c r="F7" s="4" t="s">
        <v>43</v>
      </c>
      <c r="G7" s="4" t="s">
        <v>93</v>
      </c>
      <c r="H7" s="4" t="s">
        <v>45</v>
      </c>
      <c r="I7" s="4" t="s">
        <v>47</v>
      </c>
      <c r="J7" s="10">
        <v>14.85</v>
      </c>
      <c r="K7" s="10">
        <f>14.85</f>
        <v>14.85</v>
      </c>
      <c r="L7" s="10">
        <f t="shared" si="1"/>
        <v>0</v>
      </c>
      <c r="M7" s="10">
        <f t="shared" si="2"/>
        <v>0</v>
      </c>
      <c r="N7" s="10"/>
      <c r="O7" s="10"/>
      <c r="P7" s="10"/>
      <c r="Q7" s="10"/>
      <c r="R7" s="10"/>
      <c r="S7" s="10"/>
      <c r="T7" s="10"/>
      <c r="U7" s="10"/>
      <c r="V7" s="4" t="s">
        <v>91</v>
      </c>
      <c r="W7" s="4" t="s">
        <v>91</v>
      </c>
      <c r="X7" s="8"/>
      <c r="Y7" s="4"/>
      <c r="Z7" s="4"/>
      <c r="AA7" s="8"/>
      <c r="AB7" s="8"/>
      <c r="AC7" s="4"/>
      <c r="AD7" s="4"/>
    </row>
    <row r="8" spans="1:30" hidden="1">
      <c r="A8" s="4">
        <v>1470</v>
      </c>
      <c r="B8" s="8">
        <v>44900</v>
      </c>
      <c r="C8" s="4"/>
      <c r="D8" s="4" t="s">
        <v>42</v>
      </c>
      <c r="E8" s="8">
        <v>44910</v>
      </c>
      <c r="F8" s="4" t="s">
        <v>43</v>
      </c>
      <c r="G8" s="4" t="s">
        <v>93</v>
      </c>
      <c r="H8" s="4" t="s">
        <v>45</v>
      </c>
      <c r="I8" s="4" t="s">
        <v>46</v>
      </c>
      <c r="J8" s="10">
        <v>10.119999999999999</v>
      </c>
      <c r="K8" s="10">
        <v>10.121</v>
      </c>
      <c r="L8" s="10">
        <f t="shared" si="1"/>
        <v>0</v>
      </c>
      <c r="M8" s="10">
        <f>SUM(N8:T8)</f>
        <v>0</v>
      </c>
      <c r="N8" s="10"/>
      <c r="O8" s="10"/>
      <c r="P8" s="10"/>
      <c r="Q8" s="10"/>
      <c r="R8" s="10"/>
      <c r="S8" s="10"/>
      <c r="T8" s="10"/>
      <c r="U8" s="10"/>
      <c r="V8" s="4" t="s">
        <v>91</v>
      </c>
      <c r="W8" s="4" t="s">
        <v>91</v>
      </c>
      <c r="X8" s="8"/>
      <c r="Y8" s="4"/>
      <c r="Z8" s="4"/>
      <c r="AA8" s="8"/>
      <c r="AB8" s="8"/>
      <c r="AC8" s="4"/>
      <c r="AD8" s="4"/>
    </row>
    <row r="9" spans="1:30" hidden="1">
      <c r="A9" s="4">
        <v>1501</v>
      </c>
      <c r="B9" s="8">
        <v>44907</v>
      </c>
      <c r="C9" s="4"/>
      <c r="D9" s="4" t="s">
        <v>42</v>
      </c>
      <c r="E9" s="8">
        <v>44918</v>
      </c>
      <c r="F9" s="4" t="s">
        <v>43</v>
      </c>
      <c r="G9" s="4" t="s">
        <v>19</v>
      </c>
      <c r="H9" s="4" t="s">
        <v>45</v>
      </c>
      <c r="I9" s="4" t="s">
        <v>123</v>
      </c>
      <c r="J9" s="10"/>
      <c r="K9" s="10"/>
      <c r="L9" s="10">
        <f t="shared" si="1"/>
        <v>0</v>
      </c>
      <c r="M9" s="10">
        <f t="shared" ref="M9:M11" si="3">SUM(N9:T9)</f>
        <v>0</v>
      </c>
      <c r="N9" s="10"/>
      <c r="O9" s="10"/>
      <c r="P9" s="10"/>
      <c r="Q9" s="10"/>
      <c r="R9" s="10"/>
      <c r="S9" s="10"/>
      <c r="T9" s="10"/>
      <c r="U9" s="10"/>
      <c r="V9" s="4" t="s">
        <v>91</v>
      </c>
      <c r="W9" s="4" t="s">
        <v>184</v>
      </c>
      <c r="X9" s="8"/>
      <c r="Y9" s="4"/>
      <c r="Z9" s="4"/>
      <c r="AA9" s="8"/>
      <c r="AB9" s="8"/>
      <c r="AC9" s="4"/>
      <c r="AD9" s="4"/>
    </row>
    <row r="10" spans="1:30" hidden="1">
      <c r="A10" s="4">
        <v>1501</v>
      </c>
      <c r="B10" s="8">
        <v>44907</v>
      </c>
      <c r="C10" s="4"/>
      <c r="D10" s="4" t="s">
        <v>42</v>
      </c>
      <c r="E10" s="8">
        <v>44918</v>
      </c>
      <c r="F10" s="4" t="s">
        <v>43</v>
      </c>
      <c r="G10" s="4" t="s">
        <v>19</v>
      </c>
      <c r="H10" s="4" t="s">
        <v>45</v>
      </c>
      <c r="I10" s="4" t="s">
        <v>121</v>
      </c>
      <c r="J10" s="10">
        <v>16.052</v>
      </c>
      <c r="K10" s="10">
        <f>16.052</f>
        <v>16.052</v>
      </c>
      <c r="L10" s="10">
        <f t="shared" si="1"/>
        <v>0</v>
      </c>
      <c r="M10" s="10">
        <f t="shared" si="3"/>
        <v>0</v>
      </c>
      <c r="N10" s="10"/>
      <c r="O10" s="10"/>
      <c r="P10" s="10"/>
      <c r="Q10" s="10"/>
      <c r="R10" s="10"/>
      <c r="S10" s="10"/>
      <c r="T10" s="10"/>
      <c r="U10" s="10"/>
      <c r="V10" s="4" t="s">
        <v>91</v>
      </c>
      <c r="W10" s="4"/>
      <c r="X10" s="8"/>
      <c r="Y10" s="4"/>
      <c r="Z10" s="4"/>
      <c r="AA10" s="8"/>
      <c r="AB10" s="8"/>
      <c r="AC10" s="4"/>
      <c r="AD10" s="4"/>
    </row>
    <row r="11" spans="1:30" hidden="1">
      <c r="A11" s="4">
        <v>1501</v>
      </c>
      <c r="B11" s="8">
        <v>44907</v>
      </c>
      <c r="C11" s="4"/>
      <c r="D11" s="4" t="s">
        <v>42</v>
      </c>
      <c r="E11" s="8">
        <v>44918</v>
      </c>
      <c r="F11" s="4" t="s">
        <v>43</v>
      </c>
      <c r="G11" s="4" t="s">
        <v>19</v>
      </c>
      <c r="H11" s="4" t="s">
        <v>45</v>
      </c>
      <c r="I11" s="4" t="s">
        <v>124</v>
      </c>
      <c r="J11" s="10"/>
      <c r="K11" s="10"/>
      <c r="L11" s="10">
        <f t="shared" si="1"/>
        <v>0</v>
      </c>
      <c r="M11" s="10">
        <f t="shared" si="3"/>
        <v>0</v>
      </c>
      <c r="N11" s="10"/>
      <c r="O11" s="10"/>
      <c r="P11" s="10"/>
      <c r="Q11" s="10"/>
      <c r="R11" s="10"/>
      <c r="S11" s="10"/>
      <c r="T11" s="10"/>
      <c r="U11" s="10">
        <f>J11-M11</f>
        <v>0</v>
      </c>
      <c r="V11" s="4" t="s">
        <v>91</v>
      </c>
      <c r="W11" s="4" t="s">
        <v>185</v>
      </c>
      <c r="X11" s="8"/>
      <c r="Y11" s="4"/>
      <c r="Z11" s="4"/>
      <c r="AA11" s="8"/>
      <c r="AB11" s="8"/>
      <c r="AC11" s="4"/>
      <c r="AD11" s="4"/>
    </row>
    <row r="12" spans="1:30" hidden="1">
      <c r="A12" s="4">
        <v>1501</v>
      </c>
      <c r="B12" s="8">
        <v>44915</v>
      </c>
      <c r="C12" s="4"/>
      <c r="D12" s="4" t="s">
        <v>42</v>
      </c>
      <c r="E12" s="8">
        <v>44918</v>
      </c>
      <c r="F12" s="4" t="s">
        <v>43</v>
      </c>
      <c r="G12" s="4" t="s">
        <v>93</v>
      </c>
      <c r="H12" s="4" t="s">
        <v>45</v>
      </c>
      <c r="I12" s="4" t="s">
        <v>46</v>
      </c>
      <c r="J12" s="10">
        <v>5.4889999999999999</v>
      </c>
      <c r="K12" s="10">
        <v>5.4870000000000001</v>
      </c>
      <c r="L12" s="10">
        <f t="shared" si="1"/>
        <v>0</v>
      </c>
      <c r="M12" s="10">
        <f>SUM(N12:T12)</f>
        <v>0</v>
      </c>
      <c r="N12" s="10"/>
      <c r="O12" s="10"/>
      <c r="P12" s="10"/>
      <c r="Q12" s="10"/>
      <c r="R12" s="10"/>
      <c r="S12" s="10"/>
      <c r="T12" s="10"/>
      <c r="U12" s="10"/>
      <c r="V12" s="4" t="s">
        <v>91</v>
      </c>
      <c r="W12" s="4"/>
      <c r="X12" s="8"/>
      <c r="Y12" s="4"/>
      <c r="Z12" s="4"/>
      <c r="AA12" s="8"/>
      <c r="AB12" s="8"/>
      <c r="AC12" s="4"/>
      <c r="AD12" s="4"/>
    </row>
    <row r="13" spans="1:30" hidden="1">
      <c r="A13" s="4">
        <v>1554</v>
      </c>
      <c r="B13" s="8">
        <v>44921</v>
      </c>
      <c r="C13" s="4"/>
      <c r="D13" s="4" t="s">
        <v>42</v>
      </c>
      <c r="E13" s="8">
        <v>44933</v>
      </c>
      <c r="F13" s="4" t="s">
        <v>43</v>
      </c>
      <c r="G13" s="4" t="s">
        <v>186</v>
      </c>
      <c r="H13" s="4" t="s">
        <v>45</v>
      </c>
      <c r="I13" s="4" t="s">
        <v>113</v>
      </c>
      <c r="J13" s="10">
        <v>3.77982</v>
      </c>
      <c r="K13" s="10">
        <f>1.479+2.301</f>
        <v>3.7800000000000002</v>
      </c>
      <c r="L13" s="10">
        <f t="shared" si="1"/>
        <v>0</v>
      </c>
      <c r="M13" s="10">
        <f t="shared" ref="M13:M31" si="4">SUM(N13:T13)</f>
        <v>0</v>
      </c>
      <c r="N13" s="10"/>
      <c r="O13" s="10"/>
      <c r="P13" s="10"/>
      <c r="Q13" s="10"/>
      <c r="R13" s="10"/>
      <c r="S13" s="10"/>
      <c r="T13" s="10"/>
      <c r="U13" s="10"/>
      <c r="V13" s="4" t="s">
        <v>347</v>
      </c>
      <c r="W13" s="4" t="s">
        <v>225</v>
      </c>
      <c r="X13" s="8"/>
      <c r="Y13" s="4"/>
      <c r="Z13" s="4"/>
      <c r="AA13" s="8"/>
      <c r="AB13" s="8"/>
      <c r="AC13" s="4"/>
      <c r="AD13" s="4"/>
    </row>
    <row r="14" spans="1:30" hidden="1">
      <c r="A14" s="4">
        <v>1554</v>
      </c>
      <c r="B14" s="8">
        <v>44921</v>
      </c>
      <c r="C14" s="4"/>
      <c r="D14" s="4" t="s">
        <v>42</v>
      </c>
      <c r="E14" s="8">
        <v>44933</v>
      </c>
      <c r="F14" s="4" t="s">
        <v>43</v>
      </c>
      <c r="G14" s="4" t="s">
        <v>186</v>
      </c>
      <c r="H14" s="4" t="s">
        <v>45</v>
      </c>
      <c r="I14" s="4" t="s">
        <v>112</v>
      </c>
      <c r="J14" s="10">
        <v>39.65775</v>
      </c>
      <c r="K14" s="10">
        <f>24.098+15.56</f>
        <v>39.658000000000001</v>
      </c>
      <c r="L14" s="10">
        <f t="shared" si="1"/>
        <v>0</v>
      </c>
      <c r="M14" s="10">
        <f>SUM(N14:T14)</f>
        <v>0</v>
      </c>
      <c r="N14" s="10"/>
      <c r="O14" s="10"/>
      <c r="P14" s="10"/>
      <c r="Q14" s="10"/>
      <c r="R14" s="10"/>
      <c r="S14" s="10"/>
      <c r="T14" s="10"/>
      <c r="U14" s="10"/>
      <c r="V14" s="4" t="s">
        <v>347</v>
      </c>
      <c r="W14" s="4" t="s">
        <v>225</v>
      </c>
      <c r="X14" s="8"/>
      <c r="Y14" s="4"/>
      <c r="Z14" s="4"/>
      <c r="AA14" s="8"/>
      <c r="AB14" s="8"/>
      <c r="AC14" s="4"/>
      <c r="AD14" s="4"/>
    </row>
    <row r="15" spans="1:30" hidden="1">
      <c r="A15" s="4">
        <v>1555</v>
      </c>
      <c r="B15" s="8">
        <v>44921</v>
      </c>
      <c r="C15" s="4"/>
      <c r="D15" s="4" t="s">
        <v>42</v>
      </c>
      <c r="E15" s="8">
        <v>44949</v>
      </c>
      <c r="F15" s="4" t="s">
        <v>43</v>
      </c>
      <c r="G15" s="4" t="s">
        <v>186</v>
      </c>
      <c r="H15" s="4" t="s">
        <v>45</v>
      </c>
      <c r="I15" s="4" t="s">
        <v>108</v>
      </c>
      <c r="J15" s="10">
        <v>31.008279955825515</v>
      </c>
      <c r="K15" s="10">
        <f>15.055+15.954</f>
        <v>31.009</v>
      </c>
      <c r="L15" s="10">
        <f t="shared" si="1"/>
        <v>0</v>
      </c>
      <c r="M15" s="10">
        <f t="shared" si="4"/>
        <v>0</v>
      </c>
      <c r="N15" s="10"/>
      <c r="O15" s="10"/>
      <c r="P15" s="10"/>
      <c r="Q15" s="10"/>
      <c r="R15" s="10"/>
      <c r="S15" s="10"/>
      <c r="T15" s="10"/>
      <c r="U15" s="10"/>
      <c r="V15" s="4" t="s">
        <v>347</v>
      </c>
      <c r="W15" s="4" t="s">
        <v>225</v>
      </c>
      <c r="X15" s="8"/>
      <c r="Y15" s="4"/>
      <c r="Z15" s="4"/>
      <c r="AA15" s="8"/>
      <c r="AB15" s="8"/>
      <c r="AC15" s="4"/>
      <c r="AD15" s="4"/>
    </row>
    <row r="16" spans="1:30" hidden="1">
      <c r="A16" s="4">
        <v>1555</v>
      </c>
      <c r="B16" s="8">
        <v>44921</v>
      </c>
      <c r="C16" s="4"/>
      <c r="D16" s="4" t="s">
        <v>42</v>
      </c>
      <c r="E16" s="8">
        <v>44949</v>
      </c>
      <c r="F16" s="4" t="s">
        <v>43</v>
      </c>
      <c r="G16" s="4" t="s">
        <v>186</v>
      </c>
      <c r="H16" s="4" t="s">
        <v>45</v>
      </c>
      <c r="I16" s="4" t="s">
        <v>113</v>
      </c>
      <c r="J16" s="10">
        <v>16.691400000000002</v>
      </c>
      <c r="K16" s="10">
        <f>9.502+5.71+1.479</f>
        <v>16.690999999999999</v>
      </c>
      <c r="L16" s="10">
        <f>M16+U16</f>
        <v>0</v>
      </c>
      <c r="M16" s="10">
        <f t="shared" si="4"/>
        <v>0</v>
      </c>
      <c r="N16" s="10"/>
      <c r="O16" s="10"/>
      <c r="P16" s="10"/>
      <c r="Q16" s="10"/>
      <c r="R16" s="10"/>
      <c r="S16" s="10"/>
      <c r="T16" s="10"/>
      <c r="U16" s="10"/>
      <c r="V16" s="4" t="s">
        <v>347</v>
      </c>
      <c r="W16" s="4" t="s">
        <v>225</v>
      </c>
      <c r="X16" s="8"/>
      <c r="Y16" s="4"/>
      <c r="Z16" s="4"/>
      <c r="AA16" s="8"/>
      <c r="AB16" s="8"/>
      <c r="AC16" s="4"/>
      <c r="AD16" s="4"/>
    </row>
    <row r="17" spans="1:30" hidden="1">
      <c r="A17" s="4">
        <v>1555</v>
      </c>
      <c r="B17" s="8">
        <v>44921</v>
      </c>
      <c r="C17" s="4"/>
      <c r="D17" s="4" t="s">
        <v>42</v>
      </c>
      <c r="E17" s="8">
        <v>44949</v>
      </c>
      <c r="F17" s="4" t="s">
        <v>43</v>
      </c>
      <c r="G17" s="4" t="s">
        <v>186</v>
      </c>
      <c r="H17" s="4" t="s">
        <v>45</v>
      </c>
      <c r="I17" s="4" t="s">
        <v>100</v>
      </c>
      <c r="J17" s="10">
        <v>163.56312000000003</v>
      </c>
      <c r="K17" s="10">
        <f>24.693+31.606+12.544+24.495+24.297+24.594+13.136+8.198</f>
        <v>163.56300000000002</v>
      </c>
      <c r="L17" s="10">
        <f t="shared" si="1"/>
        <v>0</v>
      </c>
      <c r="M17" s="10">
        <f t="shared" si="4"/>
        <v>0</v>
      </c>
      <c r="N17" s="10"/>
      <c r="O17" s="10"/>
      <c r="P17" s="10"/>
      <c r="Q17" s="10"/>
      <c r="R17" s="10"/>
      <c r="S17" s="10"/>
      <c r="T17" s="10"/>
      <c r="U17" s="10"/>
      <c r="V17" s="4" t="s">
        <v>347</v>
      </c>
      <c r="W17" s="4" t="s">
        <v>225</v>
      </c>
      <c r="X17" s="8"/>
      <c r="Y17" s="4"/>
      <c r="Z17" s="4"/>
      <c r="AA17" s="8"/>
      <c r="AB17" s="8"/>
      <c r="AC17" s="4"/>
      <c r="AD17" s="4"/>
    </row>
    <row r="18" spans="1:30" hidden="1">
      <c r="A18" s="4">
        <v>1555</v>
      </c>
      <c r="B18" s="8">
        <v>44921</v>
      </c>
      <c r="C18" s="4"/>
      <c r="D18" s="4" t="s">
        <v>42</v>
      </c>
      <c r="E18" s="8">
        <v>44949</v>
      </c>
      <c r="F18" s="4" t="s">
        <v>43</v>
      </c>
      <c r="G18" s="4" t="s">
        <v>186</v>
      </c>
      <c r="H18" s="4" t="s">
        <v>45</v>
      </c>
      <c r="I18" s="4" t="s">
        <v>96</v>
      </c>
      <c r="J18" s="10">
        <v>123.26916497297299</v>
      </c>
      <c r="K18" s="10">
        <f>24.05+24.594+24.19+11.278+24.494+8.378+1.643+1.197+3.444</f>
        <v>123.26800000000001</v>
      </c>
      <c r="L18" s="10">
        <f t="shared" si="1"/>
        <v>0</v>
      </c>
      <c r="M18" s="10">
        <f t="shared" si="4"/>
        <v>0</v>
      </c>
      <c r="N18" s="10"/>
      <c r="O18" s="10"/>
      <c r="P18" s="10"/>
      <c r="Q18" s="10"/>
      <c r="R18" s="10"/>
      <c r="S18" s="10"/>
      <c r="T18" s="10"/>
      <c r="U18" s="10"/>
      <c r="V18" s="4" t="s">
        <v>347</v>
      </c>
      <c r="W18" s="4" t="s">
        <v>225</v>
      </c>
      <c r="X18" s="8"/>
      <c r="Y18" s="4"/>
      <c r="Z18" s="4"/>
      <c r="AA18" s="8"/>
      <c r="AB18" s="8"/>
      <c r="AC18" s="4"/>
      <c r="AD18" s="4"/>
    </row>
    <row r="19" spans="1:30" hidden="1">
      <c r="A19" s="4">
        <v>1555</v>
      </c>
      <c r="B19" s="8">
        <v>44921</v>
      </c>
      <c r="C19" s="4"/>
      <c r="D19" s="4" t="s">
        <v>42</v>
      </c>
      <c r="E19" s="8">
        <v>44949</v>
      </c>
      <c r="F19" s="4" t="s">
        <v>43</v>
      </c>
      <c r="G19" s="4" t="s">
        <v>186</v>
      </c>
      <c r="H19" s="4" t="s">
        <v>45</v>
      </c>
      <c r="I19" s="4" t="s">
        <v>104</v>
      </c>
      <c r="J19" s="10">
        <v>36.188879999999997</v>
      </c>
      <c r="K19" s="10">
        <f>5.46+11.466+5.536+3.112+1.966+8.969</f>
        <v>36.509</v>
      </c>
      <c r="L19" s="10">
        <f>M19+U19</f>
        <v>0</v>
      </c>
      <c r="M19" s="10">
        <f t="shared" si="4"/>
        <v>0</v>
      </c>
      <c r="N19" s="10"/>
      <c r="O19" s="10"/>
      <c r="P19" s="10"/>
      <c r="Q19" s="10"/>
      <c r="R19" s="10"/>
      <c r="S19" s="10"/>
      <c r="T19" s="10"/>
      <c r="U19" s="10"/>
      <c r="V19" s="4" t="s">
        <v>347</v>
      </c>
      <c r="W19" s="4" t="s">
        <v>225</v>
      </c>
      <c r="X19" s="8"/>
      <c r="Y19" s="4"/>
      <c r="Z19" s="4"/>
      <c r="AA19" s="8"/>
      <c r="AB19" s="8">
        <v>44977</v>
      </c>
      <c r="AC19" s="4"/>
      <c r="AD19" s="4"/>
    </row>
    <row r="20" spans="1:30" hidden="1">
      <c r="A20" s="4">
        <v>1555</v>
      </c>
      <c r="B20" s="8">
        <v>44921</v>
      </c>
      <c r="C20" s="4"/>
      <c r="D20" s="4" t="s">
        <v>42</v>
      </c>
      <c r="E20" s="8">
        <v>44949</v>
      </c>
      <c r="F20" s="4" t="s">
        <v>43</v>
      </c>
      <c r="G20" s="4" t="s">
        <v>186</v>
      </c>
      <c r="H20" s="4" t="s">
        <v>45</v>
      </c>
      <c r="I20" s="4" t="s">
        <v>112</v>
      </c>
      <c r="J20" s="10">
        <v>172.10325000000003</v>
      </c>
      <c r="K20" s="10">
        <f>24.668+24.668+25.237+24.288+24.668+24.668+11.954+9.677+2.277</f>
        <v>172.10499999999999</v>
      </c>
      <c r="L20" s="10">
        <f t="shared" si="1"/>
        <v>0</v>
      </c>
      <c r="M20" s="10">
        <f t="shared" si="4"/>
        <v>0</v>
      </c>
      <c r="N20" s="10"/>
      <c r="O20" s="10"/>
      <c r="P20" s="10"/>
      <c r="Q20" s="10"/>
      <c r="R20" s="10"/>
      <c r="S20" s="10"/>
      <c r="T20" s="10"/>
      <c r="U20" s="10"/>
      <c r="V20" s="4" t="s">
        <v>347</v>
      </c>
      <c r="W20" s="4" t="s">
        <v>225</v>
      </c>
      <c r="X20" s="8"/>
      <c r="Y20" s="4"/>
      <c r="Z20" s="4"/>
      <c r="AA20" s="8"/>
      <c r="AB20" s="8"/>
      <c r="AC20" s="4"/>
      <c r="AD20" s="4"/>
    </row>
    <row r="21" spans="1:30" hidden="1">
      <c r="A21" s="4">
        <v>1555</v>
      </c>
      <c r="B21" s="8">
        <v>44921</v>
      </c>
      <c r="C21" s="4"/>
      <c r="D21" s="4" t="s">
        <v>42</v>
      </c>
      <c r="E21" s="8">
        <v>44949</v>
      </c>
      <c r="F21" s="4" t="s">
        <v>43</v>
      </c>
      <c r="G21" s="4" t="s">
        <v>186</v>
      </c>
      <c r="H21" s="4" t="s">
        <v>45</v>
      </c>
      <c r="I21" s="4" t="s">
        <v>107</v>
      </c>
      <c r="J21" s="10">
        <v>323.70936</v>
      </c>
      <c r="K21" s="10">
        <f>24.113+24.488+24.488+24.488+24.012+24.309+24.488+24.559+22.436+18.526+24.488+15.653+24.488+11.093+1.176+2.731+8.551</f>
        <v>324.08699999999999</v>
      </c>
      <c r="L21" s="10">
        <f t="shared" si="1"/>
        <v>0</v>
      </c>
      <c r="M21" s="10">
        <f t="shared" si="4"/>
        <v>0</v>
      </c>
      <c r="N21" s="10"/>
      <c r="O21" s="10"/>
      <c r="P21" s="10"/>
      <c r="Q21" s="10"/>
      <c r="R21" s="10"/>
      <c r="S21" s="10"/>
      <c r="T21" s="10"/>
      <c r="U21" s="10"/>
      <c r="V21" s="4" t="s">
        <v>347</v>
      </c>
      <c r="W21" s="4" t="s">
        <v>507</v>
      </c>
      <c r="X21" s="8">
        <v>44985</v>
      </c>
      <c r="Y21" s="4"/>
      <c r="Z21" s="4"/>
      <c r="AA21" s="8"/>
      <c r="AB21" s="8">
        <v>44995</v>
      </c>
      <c r="AC21" s="4"/>
      <c r="AD21" s="4"/>
    </row>
    <row r="22" spans="1:30" hidden="1">
      <c r="A22" s="4">
        <v>1555</v>
      </c>
      <c r="B22" s="8">
        <v>44921</v>
      </c>
      <c r="C22" s="4"/>
      <c r="D22" s="4" t="s">
        <v>42</v>
      </c>
      <c r="E22" s="8">
        <v>44949</v>
      </c>
      <c r="F22" s="4" t="s">
        <v>43</v>
      </c>
      <c r="G22" s="4" t="s">
        <v>92</v>
      </c>
      <c r="H22" s="4" t="s">
        <v>52</v>
      </c>
      <c r="I22" s="4" t="s">
        <v>100</v>
      </c>
      <c r="J22" s="10">
        <v>214.82201675675677</v>
      </c>
      <c r="K22" s="10">
        <f>31.225+16.748+4.223+31.379+31.374+24.576+24.663+24.402+16.297+2.266+2.44+5.229</f>
        <v>214.82200000000003</v>
      </c>
      <c r="L22" s="10">
        <f t="shared" si="1"/>
        <v>0</v>
      </c>
      <c r="M22" s="10">
        <f t="shared" si="4"/>
        <v>0</v>
      </c>
      <c r="N22" s="10"/>
      <c r="O22" s="10"/>
      <c r="P22" s="10"/>
      <c r="Q22" s="10"/>
      <c r="R22" s="10"/>
      <c r="S22" s="10"/>
      <c r="T22" s="10"/>
      <c r="U22" s="10"/>
      <c r="V22" s="4" t="s">
        <v>347</v>
      </c>
      <c r="W22" s="4" t="s">
        <v>225</v>
      </c>
      <c r="X22" s="8"/>
      <c r="Y22" s="4"/>
      <c r="Z22" s="4"/>
      <c r="AA22" s="8"/>
      <c r="AB22" s="8"/>
      <c r="AC22" s="4"/>
      <c r="AD22" s="4"/>
    </row>
    <row r="23" spans="1:30" hidden="1">
      <c r="A23" s="4">
        <v>1555</v>
      </c>
      <c r="B23" s="8">
        <v>44921</v>
      </c>
      <c r="C23" s="4"/>
      <c r="D23" s="4" t="s">
        <v>42</v>
      </c>
      <c r="E23" s="8">
        <v>44949</v>
      </c>
      <c r="F23" s="4" t="s">
        <v>43</v>
      </c>
      <c r="G23" s="4" t="s">
        <v>92</v>
      </c>
      <c r="H23" s="4" t="s">
        <v>52</v>
      </c>
      <c r="I23" s="4" t="s">
        <v>96</v>
      </c>
      <c r="J23" s="10">
        <v>42.214912293676726</v>
      </c>
      <c r="K23" s="10">
        <f>8.173+8.779+23.241+2.022</f>
        <v>42.214999999999996</v>
      </c>
      <c r="L23" s="10">
        <f t="shared" si="1"/>
        <v>0</v>
      </c>
      <c r="M23" s="10">
        <f t="shared" si="4"/>
        <v>0</v>
      </c>
      <c r="N23" s="10"/>
      <c r="O23" s="10"/>
      <c r="P23" s="10"/>
      <c r="Q23" s="10"/>
      <c r="R23" s="10"/>
      <c r="S23" s="10"/>
      <c r="T23" s="10"/>
      <c r="U23" s="10"/>
      <c r="V23" s="4" t="s">
        <v>347</v>
      </c>
      <c r="W23" s="4" t="s">
        <v>225</v>
      </c>
      <c r="X23" s="8"/>
      <c r="Y23" s="4"/>
      <c r="Z23" s="4"/>
      <c r="AA23" s="8"/>
      <c r="AB23" s="8"/>
      <c r="AC23" s="4"/>
      <c r="AD23" s="4"/>
    </row>
    <row r="24" spans="1:30" hidden="1">
      <c r="A24" s="4">
        <v>1555</v>
      </c>
      <c r="B24" s="8">
        <v>44921</v>
      </c>
      <c r="C24" s="4"/>
      <c r="D24" s="4" t="s">
        <v>42</v>
      </c>
      <c r="E24" s="8">
        <v>44949</v>
      </c>
      <c r="F24" s="4" t="s">
        <v>43</v>
      </c>
      <c r="G24" s="4" t="s">
        <v>92</v>
      </c>
      <c r="H24" s="4" t="s">
        <v>52</v>
      </c>
      <c r="I24" s="4" t="s">
        <v>98</v>
      </c>
      <c r="J24" s="10">
        <v>53.670959999999994</v>
      </c>
      <c r="K24" s="10">
        <f>24.308+24.308+4.764+0.38</f>
        <v>53.760000000000005</v>
      </c>
      <c r="L24" s="10">
        <f t="shared" si="1"/>
        <v>0</v>
      </c>
      <c r="M24" s="10">
        <f t="shared" si="4"/>
        <v>0</v>
      </c>
      <c r="N24" s="10"/>
      <c r="O24" s="10"/>
      <c r="P24" s="10"/>
      <c r="Q24" s="10"/>
      <c r="R24" s="10"/>
      <c r="S24" s="10"/>
      <c r="T24" s="10"/>
      <c r="U24" s="10"/>
      <c r="V24" s="4" t="s">
        <v>347</v>
      </c>
      <c r="W24" s="4" t="s">
        <v>225</v>
      </c>
      <c r="X24" s="8"/>
      <c r="Y24" s="4"/>
      <c r="Z24" s="4"/>
      <c r="AA24" s="8"/>
      <c r="AB24" s="8">
        <v>44977</v>
      </c>
      <c r="AC24" s="4"/>
      <c r="AD24" s="4"/>
    </row>
    <row r="25" spans="1:30" hidden="1">
      <c r="A25" s="4">
        <v>1555</v>
      </c>
      <c r="B25" s="8">
        <v>44921</v>
      </c>
      <c r="C25" s="4"/>
      <c r="D25" s="4" t="s">
        <v>42</v>
      </c>
      <c r="E25" s="8">
        <v>44949</v>
      </c>
      <c r="F25" s="4" t="s">
        <v>43</v>
      </c>
      <c r="G25" s="4" t="s">
        <v>92</v>
      </c>
      <c r="H25" s="4" t="s">
        <v>52</v>
      </c>
      <c r="I25" s="4" t="s">
        <v>101</v>
      </c>
      <c r="J25" s="10">
        <v>24.580560000000002</v>
      </c>
      <c r="K25" s="10">
        <f>24.313+0.418</f>
        <v>24.730999999999998</v>
      </c>
      <c r="L25" s="10">
        <f t="shared" si="1"/>
        <v>0</v>
      </c>
      <c r="M25" s="10">
        <f t="shared" si="4"/>
        <v>0</v>
      </c>
      <c r="N25" s="10"/>
      <c r="O25" s="10"/>
      <c r="P25" s="10"/>
      <c r="Q25" s="10"/>
      <c r="R25" s="10"/>
      <c r="S25" s="10"/>
      <c r="T25" s="10"/>
      <c r="U25" s="10"/>
      <c r="V25" s="4" t="s">
        <v>347</v>
      </c>
      <c r="W25" s="4" t="s">
        <v>225</v>
      </c>
      <c r="X25" s="8"/>
      <c r="Y25" s="4"/>
      <c r="Z25" s="4"/>
      <c r="AA25" s="8"/>
      <c r="AB25" s="8"/>
      <c r="AC25" s="4"/>
      <c r="AD25" s="4"/>
    </row>
    <row r="26" spans="1:30" hidden="1">
      <c r="A26" s="4">
        <v>1555</v>
      </c>
      <c r="B26" s="8">
        <v>44921</v>
      </c>
      <c r="C26" s="4"/>
      <c r="D26" s="4" t="s">
        <v>42</v>
      </c>
      <c r="E26" s="8">
        <v>44949</v>
      </c>
      <c r="F26" s="4" t="s">
        <v>43</v>
      </c>
      <c r="G26" s="4" t="s">
        <v>92</v>
      </c>
      <c r="H26" s="4" t="s">
        <v>52</v>
      </c>
      <c r="I26" s="4" t="s">
        <v>108</v>
      </c>
      <c r="J26" s="10">
        <v>23.034722252898948</v>
      </c>
      <c r="K26" s="10">
        <v>23.035</v>
      </c>
      <c r="L26" s="10">
        <f t="shared" si="1"/>
        <v>0</v>
      </c>
      <c r="M26" s="10">
        <f>SUM(N26:T26)</f>
        <v>0</v>
      </c>
      <c r="N26" s="10"/>
      <c r="O26" s="10"/>
      <c r="P26" s="10"/>
      <c r="Q26" s="10"/>
      <c r="R26" s="10"/>
      <c r="S26" s="10"/>
      <c r="T26" s="10"/>
      <c r="U26" s="10"/>
      <c r="V26" s="4" t="s">
        <v>347</v>
      </c>
      <c r="W26" s="4" t="s">
        <v>225</v>
      </c>
      <c r="X26" s="8"/>
      <c r="Y26" s="4"/>
      <c r="Z26" s="4"/>
      <c r="AA26" s="8"/>
      <c r="AB26" s="8"/>
      <c r="AC26" s="4"/>
      <c r="AD26" s="4"/>
    </row>
    <row r="27" spans="1:30" hidden="1">
      <c r="A27" s="4">
        <v>1556</v>
      </c>
      <c r="B27" s="8">
        <v>44921</v>
      </c>
      <c r="C27" s="4"/>
      <c r="D27" s="4" t="s">
        <v>42</v>
      </c>
      <c r="E27" s="8">
        <v>44933</v>
      </c>
      <c r="F27" s="4" t="s">
        <v>43</v>
      </c>
      <c r="G27" s="4" t="s">
        <v>186</v>
      </c>
      <c r="H27" s="4" t="s">
        <v>45</v>
      </c>
      <c r="I27" s="4" t="s">
        <v>113</v>
      </c>
      <c r="J27" s="10">
        <v>3.6432000000000002</v>
      </c>
      <c r="K27" s="10">
        <f>3.643</f>
        <v>3.6429999999999998</v>
      </c>
      <c r="L27" s="10">
        <f t="shared" si="1"/>
        <v>0</v>
      </c>
      <c r="M27" s="10">
        <f t="shared" si="4"/>
        <v>0</v>
      </c>
      <c r="N27" s="10"/>
      <c r="O27" s="10"/>
      <c r="P27" s="10"/>
      <c r="Q27" s="10"/>
      <c r="R27" s="10"/>
      <c r="S27" s="10"/>
      <c r="T27" s="10"/>
      <c r="U27" s="10"/>
      <c r="V27" s="4" t="s">
        <v>348</v>
      </c>
      <c r="W27" s="4" t="s">
        <v>225</v>
      </c>
      <c r="X27" s="8"/>
      <c r="Y27" s="4"/>
      <c r="Z27" s="4"/>
      <c r="AA27" s="8"/>
      <c r="AB27" s="8"/>
      <c r="AC27" s="4"/>
      <c r="AD27" s="4"/>
    </row>
    <row r="28" spans="1:30" hidden="1">
      <c r="A28" s="4">
        <v>1556</v>
      </c>
      <c r="B28" s="8">
        <v>44921</v>
      </c>
      <c r="C28" s="4"/>
      <c r="D28" s="4" t="s">
        <v>42</v>
      </c>
      <c r="E28" s="8">
        <v>44933</v>
      </c>
      <c r="F28" s="4" t="s">
        <v>43</v>
      </c>
      <c r="G28" s="4" t="s">
        <v>188</v>
      </c>
      <c r="H28" s="4" t="s">
        <v>45</v>
      </c>
      <c r="I28" s="4" t="s">
        <v>98</v>
      </c>
      <c r="J28" s="10">
        <v>1.6449120000000002</v>
      </c>
      <c r="K28" s="10">
        <f>1.645</f>
        <v>1.645</v>
      </c>
      <c r="L28" s="10">
        <f t="shared" si="1"/>
        <v>0</v>
      </c>
      <c r="M28" s="10">
        <f t="shared" si="4"/>
        <v>0</v>
      </c>
      <c r="N28" s="10"/>
      <c r="O28" s="10"/>
      <c r="P28" s="10"/>
      <c r="Q28" s="10"/>
      <c r="R28" s="10"/>
      <c r="S28" s="10"/>
      <c r="T28" s="10"/>
      <c r="U28" s="10"/>
      <c r="V28" s="4" t="s">
        <v>348</v>
      </c>
      <c r="W28" s="4" t="s">
        <v>225</v>
      </c>
      <c r="X28" s="8"/>
      <c r="Y28" s="4"/>
      <c r="Z28" s="4"/>
      <c r="AA28" s="8"/>
      <c r="AB28" s="8"/>
      <c r="AC28" s="4"/>
      <c r="AD28" s="4"/>
    </row>
    <row r="29" spans="1:30" hidden="1">
      <c r="A29" s="4">
        <v>1556</v>
      </c>
      <c r="B29" s="8">
        <v>44921</v>
      </c>
      <c r="C29" s="4"/>
      <c r="D29" s="4" t="s">
        <v>42</v>
      </c>
      <c r="E29" s="8">
        <v>44933</v>
      </c>
      <c r="F29" s="4" t="s">
        <v>43</v>
      </c>
      <c r="G29" s="4" t="s">
        <v>188</v>
      </c>
      <c r="H29" s="4" t="s">
        <v>45</v>
      </c>
      <c r="I29" s="4" t="s">
        <v>108</v>
      </c>
      <c r="J29" s="10">
        <v>1.4498499999999999</v>
      </c>
      <c r="K29" s="10">
        <f>1.45</f>
        <v>1.45</v>
      </c>
      <c r="L29" s="10">
        <f t="shared" si="1"/>
        <v>0</v>
      </c>
      <c r="M29" s="10">
        <f t="shared" si="4"/>
        <v>0</v>
      </c>
      <c r="N29" s="10"/>
      <c r="O29" s="10"/>
      <c r="P29" s="10"/>
      <c r="Q29" s="10"/>
      <c r="R29" s="10"/>
      <c r="S29" s="10"/>
      <c r="T29" s="10"/>
      <c r="U29" s="10"/>
      <c r="V29" s="4" t="s">
        <v>348</v>
      </c>
      <c r="W29" s="4" t="s">
        <v>225</v>
      </c>
      <c r="X29" s="8"/>
      <c r="Y29" s="4"/>
      <c r="Z29" s="4"/>
      <c r="AA29" s="8"/>
      <c r="AB29" s="8"/>
      <c r="AC29" s="4"/>
      <c r="AD29" s="4"/>
    </row>
    <row r="30" spans="1:30" hidden="1">
      <c r="A30" s="4">
        <v>1556</v>
      </c>
      <c r="B30" s="8">
        <v>44921</v>
      </c>
      <c r="C30" s="4"/>
      <c r="D30" s="4" t="s">
        <v>42</v>
      </c>
      <c r="E30" s="8">
        <v>44933</v>
      </c>
      <c r="F30" s="4" t="s">
        <v>43</v>
      </c>
      <c r="G30" s="4" t="s">
        <v>188</v>
      </c>
      <c r="H30" s="4" t="s">
        <v>45</v>
      </c>
      <c r="I30" s="4" t="s">
        <v>101</v>
      </c>
      <c r="J30" s="10">
        <v>0.122</v>
      </c>
      <c r="K30" s="10">
        <v>0.122</v>
      </c>
      <c r="L30" s="10">
        <f t="shared" si="1"/>
        <v>0</v>
      </c>
      <c r="M30" s="10">
        <f t="shared" si="4"/>
        <v>0</v>
      </c>
      <c r="N30" s="10"/>
      <c r="O30" s="10"/>
      <c r="P30" s="10"/>
      <c r="Q30" s="10"/>
      <c r="R30" s="10"/>
      <c r="S30" s="10"/>
      <c r="T30" s="10"/>
      <c r="U30" s="10"/>
      <c r="V30" s="4" t="s">
        <v>348</v>
      </c>
      <c r="W30" s="4" t="s">
        <v>225</v>
      </c>
      <c r="X30" s="8"/>
      <c r="Y30" s="4"/>
      <c r="Z30" s="4"/>
      <c r="AA30" s="8"/>
      <c r="AB30" s="8"/>
      <c r="AC30" s="4"/>
      <c r="AD30" s="4"/>
    </row>
    <row r="31" spans="1:30" hidden="1">
      <c r="A31" s="4">
        <v>1556</v>
      </c>
      <c r="B31" s="8">
        <v>44921</v>
      </c>
      <c r="C31" s="4"/>
      <c r="D31" s="4" t="s">
        <v>42</v>
      </c>
      <c r="E31" s="8">
        <v>44933</v>
      </c>
      <c r="F31" s="4" t="s">
        <v>43</v>
      </c>
      <c r="G31" s="4" t="s">
        <v>188</v>
      </c>
      <c r="H31" s="4" t="s">
        <v>45</v>
      </c>
      <c r="I31" s="4" t="s">
        <v>117</v>
      </c>
      <c r="J31" s="10">
        <v>0.16600000000000001</v>
      </c>
      <c r="K31" s="10">
        <f>0.166</f>
        <v>0.16600000000000001</v>
      </c>
      <c r="L31" s="10">
        <f t="shared" si="1"/>
        <v>0</v>
      </c>
      <c r="M31" s="10">
        <f t="shared" si="4"/>
        <v>0</v>
      </c>
      <c r="N31" s="10"/>
      <c r="O31" s="10"/>
      <c r="P31" s="10"/>
      <c r="Q31" s="10"/>
      <c r="R31" s="10"/>
      <c r="S31" s="10"/>
      <c r="T31" s="10"/>
      <c r="U31" s="10"/>
      <c r="V31" s="4" t="s">
        <v>348</v>
      </c>
      <c r="W31" s="4" t="s">
        <v>225</v>
      </c>
      <c r="X31" s="8"/>
      <c r="Y31" s="4"/>
      <c r="Z31" s="4"/>
      <c r="AA31" s="8"/>
      <c r="AB31" s="8"/>
      <c r="AC31" s="4"/>
      <c r="AD31" s="4"/>
    </row>
    <row r="32" spans="1:30" hidden="1">
      <c r="A32" s="4">
        <v>1556</v>
      </c>
      <c r="B32" s="8">
        <v>44921</v>
      </c>
      <c r="C32" s="4"/>
      <c r="D32" s="4" t="s">
        <v>42</v>
      </c>
      <c r="E32" s="8">
        <v>44933</v>
      </c>
      <c r="F32" s="4" t="s">
        <v>43</v>
      </c>
      <c r="G32" s="4" t="s">
        <v>188</v>
      </c>
      <c r="H32" s="4" t="s">
        <v>45</v>
      </c>
      <c r="I32" s="4" t="s">
        <v>133</v>
      </c>
      <c r="J32" s="10">
        <v>0.26800000000000002</v>
      </c>
      <c r="K32" s="10">
        <f>0.268</f>
        <v>0.26800000000000002</v>
      </c>
      <c r="L32" s="10">
        <f t="shared" si="1"/>
        <v>0</v>
      </c>
      <c r="M32" s="10">
        <f>SUM(N32:T32)</f>
        <v>0</v>
      </c>
      <c r="N32" s="10"/>
      <c r="O32" s="10"/>
      <c r="P32" s="10"/>
      <c r="Q32" s="10"/>
      <c r="R32" s="10"/>
      <c r="S32" s="10"/>
      <c r="T32" s="10"/>
      <c r="U32" s="10"/>
      <c r="V32" s="4" t="s">
        <v>348</v>
      </c>
      <c r="W32" s="4" t="s">
        <v>225</v>
      </c>
      <c r="X32" s="8"/>
      <c r="Y32" s="4"/>
      <c r="Z32" s="4"/>
      <c r="AA32" s="8"/>
      <c r="AB32" s="8"/>
      <c r="AC32" s="4"/>
      <c r="AD32" s="4"/>
    </row>
    <row r="33" spans="1:30" hidden="1">
      <c r="A33" s="4">
        <v>1630</v>
      </c>
      <c r="B33" s="8">
        <v>44937</v>
      </c>
      <c r="C33" s="4"/>
      <c r="D33" s="4" t="s">
        <v>42</v>
      </c>
      <c r="E33" s="8">
        <v>44957</v>
      </c>
      <c r="F33" s="4" t="s">
        <v>43</v>
      </c>
      <c r="G33" s="4" t="s">
        <v>94</v>
      </c>
      <c r="H33" s="4" t="s">
        <v>45</v>
      </c>
      <c r="I33" s="4" t="s">
        <v>99</v>
      </c>
      <c r="J33" s="10">
        <f>64.2824+4.2952</f>
        <v>68.57759999999999</v>
      </c>
      <c r="K33" s="10">
        <f>11.135+24.53+24.322+2.83+0.75+5.01</f>
        <v>68.576999999999998</v>
      </c>
      <c r="L33" s="10">
        <f t="shared" si="1"/>
        <v>0</v>
      </c>
      <c r="M33" s="10">
        <f t="shared" ref="M33:M43" si="5">SUM(N33:T33)</f>
        <v>0</v>
      </c>
      <c r="N33" s="10"/>
      <c r="O33" s="10"/>
      <c r="P33" s="10"/>
      <c r="Q33" s="10"/>
      <c r="R33" s="10"/>
      <c r="S33" s="10"/>
      <c r="T33" s="10"/>
      <c r="U33" s="10"/>
      <c r="V33" s="4" t="s">
        <v>238</v>
      </c>
      <c r="W33" s="4" t="s">
        <v>350</v>
      </c>
      <c r="X33" s="8"/>
      <c r="Y33" s="4"/>
      <c r="Z33" s="4"/>
      <c r="AA33" s="8"/>
      <c r="AB33" s="8">
        <v>44985</v>
      </c>
      <c r="AC33" s="4"/>
      <c r="AD33" s="4"/>
    </row>
    <row r="34" spans="1:30" hidden="1">
      <c r="A34" s="4">
        <v>1630</v>
      </c>
      <c r="B34" s="8">
        <v>44937</v>
      </c>
      <c r="C34" s="4"/>
      <c r="D34" s="4" t="s">
        <v>42</v>
      </c>
      <c r="E34" s="8">
        <v>44957</v>
      </c>
      <c r="F34" s="4" t="s">
        <v>43</v>
      </c>
      <c r="G34" s="4" t="s">
        <v>94</v>
      </c>
      <c r="H34" s="4" t="s">
        <v>45</v>
      </c>
      <c r="I34" s="4" t="s">
        <v>104</v>
      </c>
      <c r="J34" s="10">
        <f>78.22815-44.32+5.45</f>
        <v>39.358150000000002</v>
      </c>
      <c r="K34" s="10">
        <f>22.894+14.439+2.037</f>
        <v>39.369999999999997</v>
      </c>
      <c r="L34" s="10">
        <f t="shared" si="1"/>
        <v>0</v>
      </c>
      <c r="M34" s="10">
        <f t="shared" si="5"/>
        <v>0</v>
      </c>
      <c r="N34" s="10"/>
      <c r="O34" s="10"/>
      <c r="P34" s="10"/>
      <c r="Q34" s="10"/>
      <c r="R34" s="10"/>
      <c r="S34" s="10"/>
      <c r="T34" s="10"/>
      <c r="U34" s="10"/>
      <c r="V34" s="4" t="s">
        <v>238</v>
      </c>
      <c r="W34" s="4"/>
      <c r="X34" s="8">
        <v>44987</v>
      </c>
      <c r="Y34" s="4"/>
      <c r="Z34" s="4"/>
      <c r="AA34" s="8">
        <v>44989</v>
      </c>
      <c r="AB34" s="8">
        <v>45001</v>
      </c>
      <c r="AC34" s="4"/>
      <c r="AD34" s="4"/>
    </row>
    <row r="35" spans="1:30" hidden="1">
      <c r="A35" s="4">
        <v>1630</v>
      </c>
      <c r="B35" s="8">
        <v>44937</v>
      </c>
      <c r="C35" s="4"/>
      <c r="D35" s="4" t="s">
        <v>42</v>
      </c>
      <c r="E35" s="8">
        <v>44957</v>
      </c>
      <c r="F35" s="4" t="s">
        <v>43</v>
      </c>
      <c r="G35" s="4" t="s">
        <v>94</v>
      </c>
      <c r="H35" s="4" t="s">
        <v>45</v>
      </c>
      <c r="I35" s="4" t="s">
        <v>102</v>
      </c>
      <c r="J35" s="10">
        <f>40.77372+4.34712</f>
        <v>45.120840000000001</v>
      </c>
      <c r="K35" s="10">
        <f>24.52+0.746+5.742+5.938+8.175</f>
        <v>45.120999999999995</v>
      </c>
      <c r="L35" s="10">
        <f t="shared" si="1"/>
        <v>0</v>
      </c>
      <c r="M35" s="10">
        <f t="shared" si="5"/>
        <v>0</v>
      </c>
      <c r="N35" s="10"/>
      <c r="O35" s="10"/>
      <c r="P35" s="10"/>
      <c r="Q35" s="10"/>
      <c r="R35" s="10"/>
      <c r="S35" s="10"/>
      <c r="T35" s="10"/>
      <c r="U35" s="10"/>
      <c r="V35" s="4" t="s">
        <v>238</v>
      </c>
      <c r="W35" s="4" t="s">
        <v>352</v>
      </c>
      <c r="X35" s="8"/>
      <c r="Y35" s="4"/>
      <c r="Z35" s="4"/>
      <c r="AA35" s="8"/>
      <c r="AB35" s="8">
        <v>44985</v>
      </c>
      <c r="AC35" s="4"/>
      <c r="AD35" s="4"/>
    </row>
    <row r="36" spans="1:30" hidden="1">
      <c r="A36" s="4">
        <v>1630</v>
      </c>
      <c r="B36" s="8">
        <v>44937</v>
      </c>
      <c r="C36" s="4"/>
      <c r="D36" s="4" t="s">
        <v>42</v>
      </c>
      <c r="E36" s="8">
        <v>44957</v>
      </c>
      <c r="F36" s="4" t="s">
        <v>43</v>
      </c>
      <c r="G36" s="4" t="s">
        <v>94</v>
      </c>
      <c r="H36" s="4" t="s">
        <v>45</v>
      </c>
      <c r="I36" s="4" t="s">
        <v>113</v>
      </c>
      <c r="J36" s="10">
        <f>26.15976+4.18294</f>
        <v>30.342700000000001</v>
      </c>
      <c r="K36" s="10">
        <f>12.24+12.474+2.02+3.608</f>
        <v>30.341999999999999</v>
      </c>
      <c r="L36" s="10">
        <f t="shared" si="1"/>
        <v>0</v>
      </c>
      <c r="M36" s="10">
        <f t="shared" si="5"/>
        <v>0</v>
      </c>
      <c r="N36" s="10"/>
      <c r="O36" s="10"/>
      <c r="P36" s="10"/>
      <c r="Q36" s="10"/>
      <c r="R36" s="10"/>
      <c r="S36" s="10"/>
      <c r="T36" s="10"/>
      <c r="U36" s="10"/>
      <c r="V36" s="4" t="s">
        <v>238</v>
      </c>
      <c r="W36" s="4" t="s">
        <v>350</v>
      </c>
      <c r="X36" s="8"/>
      <c r="Y36" s="4"/>
      <c r="Z36" s="4"/>
      <c r="AA36" s="8"/>
      <c r="AB36" s="8">
        <v>44985</v>
      </c>
      <c r="AC36" s="4"/>
      <c r="AD36" s="4"/>
    </row>
    <row r="37" spans="1:30" hidden="1">
      <c r="A37" s="4">
        <v>1630</v>
      </c>
      <c r="B37" s="8">
        <v>44937</v>
      </c>
      <c r="C37" s="4"/>
      <c r="D37" s="4" t="s">
        <v>42</v>
      </c>
      <c r="E37" s="8">
        <v>44957</v>
      </c>
      <c r="F37" s="4" t="s">
        <v>43</v>
      </c>
      <c r="G37" s="4" t="s">
        <v>94</v>
      </c>
      <c r="H37" s="4" t="s">
        <v>45</v>
      </c>
      <c r="I37" s="4" t="s">
        <v>239</v>
      </c>
      <c r="J37" s="10">
        <f>24.4329-7.88</f>
        <v>16.552900000000001</v>
      </c>
      <c r="K37" s="10">
        <f>13.904+2.645</f>
        <v>16.548999999999999</v>
      </c>
      <c r="L37" s="10">
        <f t="shared" si="1"/>
        <v>0</v>
      </c>
      <c r="M37" s="10">
        <f t="shared" si="5"/>
        <v>0</v>
      </c>
      <c r="N37" s="10"/>
      <c r="O37" s="10"/>
      <c r="P37" s="10"/>
      <c r="Q37" s="10"/>
      <c r="R37" s="10"/>
      <c r="S37" s="10"/>
      <c r="T37" s="10"/>
      <c r="U37" s="10"/>
      <c r="V37" s="4" t="s">
        <v>238</v>
      </c>
      <c r="W37" s="4"/>
      <c r="X37" s="8">
        <v>44987</v>
      </c>
      <c r="Y37" s="4"/>
      <c r="Z37" s="4"/>
      <c r="AA37" s="8">
        <v>44989</v>
      </c>
      <c r="AB37" s="8">
        <v>45002</v>
      </c>
      <c r="AC37" s="4"/>
      <c r="AD37" s="4"/>
    </row>
    <row r="38" spans="1:30" hidden="1">
      <c r="A38" s="4">
        <v>1630</v>
      </c>
      <c r="B38" s="8">
        <v>44937</v>
      </c>
      <c r="C38" s="4"/>
      <c r="D38" s="4" t="s">
        <v>42</v>
      </c>
      <c r="E38" s="8">
        <v>44957</v>
      </c>
      <c r="F38" s="4" t="s">
        <v>43</v>
      </c>
      <c r="G38" s="4" t="s">
        <v>94</v>
      </c>
      <c r="H38" s="4" t="s">
        <v>45</v>
      </c>
      <c r="I38" s="4" t="s">
        <v>116</v>
      </c>
      <c r="J38" s="10">
        <f>47.524944-27.3</f>
        <v>20.224943999999997</v>
      </c>
      <c r="K38" s="10">
        <f>1.251+1.201+15.364+2.417</f>
        <v>20.233000000000004</v>
      </c>
      <c r="L38" s="10">
        <f t="shared" si="1"/>
        <v>0</v>
      </c>
      <c r="M38" s="10">
        <f t="shared" si="5"/>
        <v>0</v>
      </c>
      <c r="N38" s="10"/>
      <c r="O38" s="10"/>
      <c r="P38" s="10"/>
      <c r="Q38" s="10"/>
      <c r="R38" s="10"/>
      <c r="S38" s="10"/>
      <c r="T38" s="10"/>
      <c r="U38" s="10"/>
      <c r="V38" s="4" t="s">
        <v>238</v>
      </c>
      <c r="W38" s="4"/>
      <c r="X38" s="8">
        <v>44985</v>
      </c>
      <c r="Y38" s="4"/>
      <c r="Z38" s="4"/>
      <c r="AA38" s="8">
        <v>44989</v>
      </c>
      <c r="AB38" s="8">
        <v>45002</v>
      </c>
      <c r="AC38" s="4"/>
      <c r="AD38" s="4"/>
    </row>
    <row r="39" spans="1:30" hidden="1">
      <c r="A39" s="4">
        <v>1630</v>
      </c>
      <c r="B39" s="8">
        <v>44937</v>
      </c>
      <c r="C39" s="4"/>
      <c r="D39" s="4" t="s">
        <v>42</v>
      </c>
      <c r="E39" s="8">
        <v>44957</v>
      </c>
      <c r="F39" s="4" t="s">
        <v>43</v>
      </c>
      <c r="G39" s="4" t="s">
        <v>94</v>
      </c>
      <c r="H39" s="4" t="s">
        <v>45</v>
      </c>
      <c r="I39" s="4" t="s">
        <v>103</v>
      </c>
      <c r="J39" s="10">
        <v>13.317600000000001</v>
      </c>
      <c r="K39" s="10">
        <f>12.874+0.444</f>
        <v>13.318000000000001</v>
      </c>
      <c r="L39" s="10">
        <f t="shared" si="1"/>
        <v>0</v>
      </c>
      <c r="M39" s="10">
        <f t="shared" si="5"/>
        <v>0</v>
      </c>
      <c r="N39" s="10"/>
      <c r="O39" s="10"/>
      <c r="P39" s="10"/>
      <c r="Q39" s="10"/>
      <c r="R39" s="10"/>
      <c r="S39" s="10"/>
      <c r="T39" s="10"/>
      <c r="U39" s="10"/>
      <c r="V39" s="4" t="s">
        <v>238</v>
      </c>
      <c r="W39" s="4" t="s">
        <v>341</v>
      </c>
      <c r="X39" s="8"/>
      <c r="Y39" s="4"/>
      <c r="Z39" s="4"/>
      <c r="AA39" s="8"/>
      <c r="AB39" s="8">
        <v>44985</v>
      </c>
      <c r="AC39" s="4"/>
      <c r="AD39" s="4"/>
    </row>
    <row r="40" spans="1:30" hidden="1">
      <c r="A40" s="4">
        <v>1630</v>
      </c>
      <c r="B40" s="8">
        <v>44937</v>
      </c>
      <c r="C40" s="4"/>
      <c r="D40" s="4" t="s">
        <v>42</v>
      </c>
      <c r="E40" s="8">
        <v>44957</v>
      </c>
      <c r="F40" s="4" t="s">
        <v>43</v>
      </c>
      <c r="G40" s="4" t="s">
        <v>94</v>
      </c>
      <c r="H40" s="4" t="s">
        <v>45</v>
      </c>
      <c r="I40" s="4" t="s">
        <v>119</v>
      </c>
      <c r="J40" s="10">
        <f>88.12777-62.02</f>
        <v>26.107769999999995</v>
      </c>
      <c r="K40" s="10">
        <f>6.789+2.887+8.577+7.995</f>
        <v>26.248000000000001</v>
      </c>
      <c r="L40" s="10">
        <f t="shared" si="1"/>
        <v>0</v>
      </c>
      <c r="M40" s="10">
        <f t="shared" si="5"/>
        <v>0</v>
      </c>
      <c r="N40" s="10"/>
      <c r="O40" s="10"/>
      <c r="P40" s="10"/>
      <c r="Q40" s="10"/>
      <c r="R40" s="10"/>
      <c r="S40" s="10"/>
      <c r="T40" s="10"/>
      <c r="U40" s="10"/>
      <c r="V40" s="4" t="s">
        <v>238</v>
      </c>
      <c r="W40" s="4"/>
      <c r="X40" s="8">
        <v>44984</v>
      </c>
      <c r="Y40" s="4"/>
      <c r="Z40" s="4"/>
      <c r="AA40" s="8">
        <v>44995</v>
      </c>
      <c r="AB40" s="8">
        <v>45001</v>
      </c>
      <c r="AC40" s="4"/>
      <c r="AD40" s="4"/>
    </row>
    <row r="41" spans="1:30" hidden="1">
      <c r="A41" s="4">
        <v>1630</v>
      </c>
      <c r="B41" s="8">
        <v>44937</v>
      </c>
      <c r="C41" s="4"/>
      <c r="D41" s="4" t="s">
        <v>42</v>
      </c>
      <c r="E41" s="8">
        <v>44957</v>
      </c>
      <c r="F41" s="4" t="s">
        <v>43</v>
      </c>
      <c r="G41" s="4" t="s">
        <v>94</v>
      </c>
      <c r="H41" s="4" t="s">
        <v>45</v>
      </c>
      <c r="I41" s="4" t="s">
        <v>121</v>
      </c>
      <c r="J41" s="10">
        <f>2.174+4.063+1.279</f>
        <v>7.516</v>
      </c>
      <c r="K41" s="10">
        <f>2.174+4.063+1.279</f>
        <v>7.516</v>
      </c>
      <c r="L41" s="10">
        <f t="shared" si="1"/>
        <v>0</v>
      </c>
      <c r="M41" s="10">
        <f t="shared" si="5"/>
        <v>0</v>
      </c>
      <c r="N41" s="10"/>
      <c r="O41" s="10"/>
      <c r="P41" s="10"/>
      <c r="Q41" s="10"/>
      <c r="R41" s="10"/>
      <c r="S41" s="10"/>
      <c r="T41" s="10"/>
      <c r="U41" s="10"/>
      <c r="V41" s="4" t="s">
        <v>238</v>
      </c>
      <c r="W41" s="4" t="s">
        <v>350</v>
      </c>
      <c r="X41" s="8"/>
      <c r="Y41" s="4"/>
      <c r="Z41" s="4"/>
      <c r="AA41" s="8"/>
      <c r="AB41" s="8">
        <v>44985</v>
      </c>
      <c r="AC41" s="4"/>
      <c r="AD41" s="4"/>
    </row>
    <row r="42" spans="1:30" hidden="1">
      <c r="A42" s="4">
        <v>1630</v>
      </c>
      <c r="B42" s="8">
        <v>44937</v>
      </c>
      <c r="C42" s="4"/>
      <c r="D42" s="4" t="s">
        <v>42</v>
      </c>
      <c r="E42" s="8">
        <v>44957</v>
      </c>
      <c r="F42" s="4" t="s">
        <v>43</v>
      </c>
      <c r="G42" s="4" t="s">
        <v>94</v>
      </c>
      <c r="H42" s="4" t="s">
        <v>45</v>
      </c>
      <c r="I42" s="4" t="s">
        <v>109</v>
      </c>
      <c r="J42" s="10">
        <f>8.1493+25.17</f>
        <v>33.319299999999998</v>
      </c>
      <c r="K42" s="10">
        <f>7.902+7.417+11.495+6.839</f>
        <v>33.652999999999999</v>
      </c>
      <c r="L42" s="10">
        <f t="shared" si="1"/>
        <v>0</v>
      </c>
      <c r="M42" s="10">
        <f t="shared" si="5"/>
        <v>0</v>
      </c>
      <c r="N42" s="10"/>
      <c r="O42" s="10"/>
      <c r="P42" s="10"/>
      <c r="Q42" s="10"/>
      <c r="R42" s="10"/>
      <c r="S42" s="10"/>
      <c r="T42" s="10"/>
      <c r="U42" s="10"/>
      <c r="V42" s="4" t="s">
        <v>238</v>
      </c>
      <c r="W42" s="4"/>
      <c r="X42" s="8">
        <v>44984</v>
      </c>
      <c r="Y42" s="4"/>
      <c r="Z42" s="4"/>
      <c r="AA42" s="8">
        <v>44995</v>
      </c>
      <c r="AB42" s="8">
        <v>45006</v>
      </c>
      <c r="AC42" s="4"/>
      <c r="AD42" s="4"/>
    </row>
    <row r="43" spans="1:30" hidden="1">
      <c r="A43" s="4">
        <v>1630</v>
      </c>
      <c r="B43" s="8">
        <v>44937</v>
      </c>
      <c r="C43" s="4"/>
      <c r="D43" s="4" t="s">
        <v>42</v>
      </c>
      <c r="E43" s="8">
        <v>44957</v>
      </c>
      <c r="F43" s="4" t="s">
        <v>43</v>
      </c>
      <c r="G43" s="4" t="s">
        <v>94</v>
      </c>
      <c r="H43" s="4" t="s">
        <v>45</v>
      </c>
      <c r="I43" s="4" t="s">
        <v>120</v>
      </c>
      <c r="J43" s="10">
        <f>31.32896+6.4</f>
        <v>37.728960000000001</v>
      </c>
      <c r="K43" s="10">
        <f>21.084+8.951+7.686</f>
        <v>37.721000000000004</v>
      </c>
      <c r="L43" s="10">
        <f t="shared" si="1"/>
        <v>0</v>
      </c>
      <c r="M43" s="10">
        <f t="shared" si="5"/>
        <v>0</v>
      </c>
      <c r="N43" s="10"/>
      <c r="O43" s="10"/>
      <c r="P43" s="10"/>
      <c r="Q43" s="10"/>
      <c r="R43" s="10"/>
      <c r="S43" s="10"/>
      <c r="T43" s="10"/>
      <c r="U43" s="10"/>
      <c r="V43" s="4" t="s">
        <v>238</v>
      </c>
      <c r="W43" s="4"/>
      <c r="X43" s="8">
        <v>44984</v>
      </c>
      <c r="Y43" s="4"/>
      <c r="Z43" s="4"/>
      <c r="AA43" s="8">
        <v>44995</v>
      </c>
      <c r="AB43" s="8">
        <v>45002</v>
      </c>
      <c r="AC43" s="4"/>
      <c r="AD43" s="4"/>
    </row>
    <row r="44" spans="1:30" hidden="1">
      <c r="A44" s="4">
        <v>1712</v>
      </c>
      <c r="B44" s="8">
        <v>44950</v>
      </c>
      <c r="C44" s="4"/>
      <c r="D44" s="4" t="s">
        <v>42</v>
      </c>
      <c r="E44" s="8">
        <v>44985</v>
      </c>
      <c r="F44" s="4" t="s">
        <v>43</v>
      </c>
      <c r="G44" s="4" t="s">
        <v>94</v>
      </c>
      <c r="H44" s="4" t="s">
        <v>45</v>
      </c>
      <c r="I44" s="4" t="s">
        <v>99</v>
      </c>
      <c r="J44" s="10">
        <v>29.047200000000004</v>
      </c>
      <c r="K44" s="10">
        <f>11.007+14.604+3.436</f>
        <v>29.046999999999997</v>
      </c>
      <c r="L44" s="10">
        <f t="shared" si="1"/>
        <v>0</v>
      </c>
      <c r="M44" s="10">
        <f t="shared" ref="M44:M49" si="6">SUM(N44:T44)</f>
        <v>0</v>
      </c>
      <c r="N44" s="10"/>
      <c r="O44" s="10"/>
      <c r="P44" s="10"/>
      <c r="Q44" s="10"/>
      <c r="R44" s="10"/>
      <c r="S44" s="10"/>
      <c r="T44" s="10"/>
      <c r="U44" s="10"/>
      <c r="V44" s="4" t="s">
        <v>271</v>
      </c>
      <c r="W44" s="4" t="s">
        <v>353</v>
      </c>
      <c r="X44" s="8"/>
      <c r="Y44" s="4"/>
      <c r="Z44" s="4"/>
      <c r="AA44" s="8"/>
      <c r="AB44" s="8">
        <v>44981</v>
      </c>
      <c r="AC44" s="4"/>
      <c r="AD44" s="4"/>
    </row>
    <row r="45" spans="1:30" hidden="1">
      <c r="A45" s="4">
        <v>1712</v>
      </c>
      <c r="B45" s="8">
        <v>44950</v>
      </c>
      <c r="C45" s="4"/>
      <c r="D45" s="4" t="s">
        <v>42</v>
      </c>
      <c r="E45" s="8">
        <v>44985</v>
      </c>
      <c r="F45" s="4" t="s">
        <v>43</v>
      </c>
      <c r="G45" s="4" t="s">
        <v>94</v>
      </c>
      <c r="H45" s="4" t="s">
        <v>45</v>
      </c>
      <c r="I45" s="4" t="s">
        <v>102</v>
      </c>
      <c r="J45" s="10">
        <v>59.597929999999998</v>
      </c>
      <c r="K45" s="10">
        <f>24.48+15.361+8.251+11.052+0.453</f>
        <v>59.597000000000001</v>
      </c>
      <c r="L45" s="10">
        <f t="shared" si="1"/>
        <v>0</v>
      </c>
      <c r="M45" s="10">
        <f t="shared" si="6"/>
        <v>0</v>
      </c>
      <c r="N45" s="10"/>
      <c r="O45" s="10"/>
      <c r="P45" s="10"/>
      <c r="Q45" s="10"/>
      <c r="R45" s="10"/>
      <c r="S45" s="10"/>
      <c r="T45" s="10"/>
      <c r="U45" s="10"/>
      <c r="V45" s="4" t="s">
        <v>271</v>
      </c>
      <c r="W45" s="4" t="s">
        <v>342</v>
      </c>
      <c r="X45" s="8"/>
      <c r="Y45" s="4"/>
      <c r="Z45" s="4"/>
      <c r="AA45" s="8" t="s">
        <v>305</v>
      </c>
      <c r="AB45" s="8">
        <v>44985</v>
      </c>
      <c r="AC45" s="4"/>
      <c r="AD45" s="4"/>
    </row>
    <row r="46" spans="1:30" hidden="1">
      <c r="A46" s="4">
        <v>1712</v>
      </c>
      <c r="B46" s="8">
        <v>44950</v>
      </c>
      <c r="C46" s="4"/>
      <c r="D46" s="4" t="s">
        <v>42</v>
      </c>
      <c r="E46" s="8">
        <v>44985</v>
      </c>
      <c r="F46" s="4" t="s">
        <v>43</v>
      </c>
      <c r="G46" s="4" t="s">
        <v>94</v>
      </c>
      <c r="H46" s="4" t="s">
        <v>45</v>
      </c>
      <c r="I46" s="4" t="s">
        <v>121</v>
      </c>
      <c r="J46" s="10">
        <v>1.4347200000000002</v>
      </c>
      <c r="K46" s="10">
        <v>1.4350000000000001</v>
      </c>
      <c r="L46" s="10">
        <f t="shared" si="1"/>
        <v>0</v>
      </c>
      <c r="M46" s="10">
        <f t="shared" si="6"/>
        <v>0</v>
      </c>
      <c r="N46" s="10"/>
      <c r="O46" s="10"/>
      <c r="P46" s="10"/>
      <c r="Q46" s="10"/>
      <c r="R46" s="10"/>
      <c r="S46" s="10"/>
      <c r="T46" s="10"/>
      <c r="U46" s="10"/>
      <c r="V46" s="4" t="s">
        <v>271</v>
      </c>
      <c r="W46" s="4" t="s">
        <v>342</v>
      </c>
      <c r="X46" s="8"/>
      <c r="Y46" s="4"/>
      <c r="Z46" s="4"/>
      <c r="AA46" s="8">
        <v>44980</v>
      </c>
      <c r="AB46" s="8"/>
      <c r="AC46" s="4"/>
      <c r="AD46" s="4"/>
    </row>
    <row r="47" spans="1:30" hidden="1">
      <c r="A47" s="4">
        <v>1712</v>
      </c>
      <c r="B47" s="8">
        <v>44950</v>
      </c>
      <c r="C47" s="4"/>
      <c r="D47" s="4" t="s">
        <v>42</v>
      </c>
      <c r="E47" s="8">
        <v>44985</v>
      </c>
      <c r="F47" s="4" t="s">
        <v>43</v>
      </c>
      <c r="G47" s="4" t="s">
        <v>94</v>
      </c>
      <c r="H47" s="4" t="s">
        <v>45</v>
      </c>
      <c r="I47" s="4" t="s">
        <v>113</v>
      </c>
      <c r="J47" s="10">
        <v>5.3238919999999998</v>
      </c>
      <c r="K47" s="10">
        <f>2.852+2.472</f>
        <v>5.3239999999999998</v>
      </c>
      <c r="L47" s="10">
        <f t="shared" si="1"/>
        <v>0</v>
      </c>
      <c r="M47" s="10">
        <f t="shared" si="6"/>
        <v>0</v>
      </c>
      <c r="N47" s="10"/>
      <c r="O47" s="10"/>
      <c r="P47" s="10"/>
      <c r="Q47" s="10"/>
      <c r="R47" s="10"/>
      <c r="S47" s="10"/>
      <c r="T47" s="10"/>
      <c r="U47" s="10"/>
      <c r="V47" s="4" t="s">
        <v>271</v>
      </c>
      <c r="W47" s="4" t="s">
        <v>349</v>
      </c>
      <c r="X47" s="8"/>
      <c r="Y47" s="4"/>
      <c r="Z47" s="4"/>
      <c r="AA47" s="8"/>
      <c r="AB47" s="8">
        <v>44985</v>
      </c>
      <c r="AC47" s="4"/>
      <c r="AD47" s="4"/>
    </row>
    <row r="48" spans="1:30" hidden="1">
      <c r="A48" s="4">
        <v>1712</v>
      </c>
      <c r="B48" s="8">
        <v>44950</v>
      </c>
      <c r="C48" s="4"/>
      <c r="D48" s="4" t="s">
        <v>42</v>
      </c>
      <c r="E48" s="8">
        <v>44985</v>
      </c>
      <c r="F48" s="4" t="s">
        <v>43</v>
      </c>
      <c r="G48" s="4" t="s">
        <v>94</v>
      </c>
      <c r="H48" s="4" t="s">
        <v>45</v>
      </c>
      <c r="I48" s="4" t="s">
        <v>123</v>
      </c>
      <c r="J48" s="10">
        <v>5.2012800000000006</v>
      </c>
      <c r="K48" s="10">
        <f>4.83+0.372</f>
        <v>5.202</v>
      </c>
      <c r="L48" s="10">
        <f t="shared" si="1"/>
        <v>0</v>
      </c>
      <c r="M48" s="10">
        <f t="shared" si="6"/>
        <v>0</v>
      </c>
      <c r="N48" s="10"/>
      <c r="O48" s="10"/>
      <c r="P48" s="10"/>
      <c r="Q48" s="10"/>
      <c r="R48" s="10"/>
      <c r="S48" s="10"/>
      <c r="T48" s="10"/>
      <c r="U48" s="10"/>
      <c r="V48" s="4" t="s">
        <v>271</v>
      </c>
      <c r="W48" s="4"/>
      <c r="X48" s="8"/>
      <c r="Y48" s="4"/>
      <c r="Z48" s="4"/>
      <c r="AA48" s="8">
        <v>44980</v>
      </c>
      <c r="AB48" s="8">
        <v>45002</v>
      </c>
      <c r="AC48" s="4"/>
      <c r="AD48" s="4"/>
    </row>
    <row r="49" spans="1:30" hidden="1">
      <c r="A49" s="4">
        <v>1712</v>
      </c>
      <c r="B49" s="8">
        <v>44950</v>
      </c>
      <c r="C49" s="4"/>
      <c r="D49" s="4" t="s">
        <v>42</v>
      </c>
      <c r="E49" s="8">
        <v>44985</v>
      </c>
      <c r="F49" s="4" t="s">
        <v>43</v>
      </c>
      <c r="G49" s="4" t="s">
        <v>94</v>
      </c>
      <c r="H49" s="4" t="s">
        <v>45</v>
      </c>
      <c r="I49" s="4" t="s">
        <v>114</v>
      </c>
      <c r="J49" s="10">
        <v>32.354699999999994</v>
      </c>
      <c r="K49" s="10">
        <f>11.401+15.099+2.465+3.081+0.308</f>
        <v>32.353999999999999</v>
      </c>
      <c r="L49" s="10">
        <f t="shared" si="1"/>
        <v>0</v>
      </c>
      <c r="M49" s="10">
        <f t="shared" si="6"/>
        <v>0</v>
      </c>
      <c r="N49" s="10"/>
      <c r="O49" s="10"/>
      <c r="P49" s="10"/>
      <c r="Q49" s="10"/>
      <c r="R49" s="10"/>
      <c r="S49" s="10"/>
      <c r="T49" s="10"/>
      <c r="U49" s="10"/>
      <c r="V49" s="4" t="s">
        <v>271</v>
      </c>
      <c r="W49" s="4"/>
      <c r="X49" s="8"/>
      <c r="Y49" s="4"/>
      <c r="Z49" s="4"/>
      <c r="AA49" s="8">
        <v>44980</v>
      </c>
      <c r="AB49" s="8">
        <v>44995</v>
      </c>
      <c r="AC49" s="4"/>
      <c r="AD49" s="4"/>
    </row>
    <row r="50" spans="1:30" hidden="1">
      <c r="A50" s="4">
        <v>1886</v>
      </c>
      <c r="B50" s="8">
        <v>44981</v>
      </c>
      <c r="C50" s="4" t="s">
        <v>509</v>
      </c>
      <c r="D50" s="4" t="s">
        <v>397</v>
      </c>
      <c r="E50" s="8">
        <v>44985</v>
      </c>
      <c r="F50" s="4" t="s">
        <v>43</v>
      </c>
      <c r="G50" s="4" t="s">
        <v>396</v>
      </c>
      <c r="H50" s="4" t="s">
        <v>45</v>
      </c>
      <c r="I50" s="4" t="s">
        <v>50</v>
      </c>
      <c r="J50" s="10">
        <v>19.45</v>
      </c>
      <c r="K50" s="10">
        <f>10.879+8.576</f>
        <v>19.454999999999998</v>
      </c>
      <c r="L50" s="10">
        <f>M50+U50</f>
        <v>0</v>
      </c>
      <c r="M50" s="10">
        <f t="shared" ref="M50" si="7">SUM(N50:T50)</f>
        <v>0</v>
      </c>
      <c r="N50" s="10"/>
      <c r="O50" s="10"/>
      <c r="P50" s="10"/>
      <c r="Q50" s="10"/>
      <c r="R50" s="10"/>
      <c r="S50" s="10"/>
      <c r="T50" s="10"/>
      <c r="U50" s="10"/>
      <c r="V50" s="4" t="s">
        <v>391</v>
      </c>
      <c r="W50" s="4" t="s">
        <v>508</v>
      </c>
      <c r="X50" s="8">
        <v>44983</v>
      </c>
      <c r="Y50" s="4"/>
      <c r="Z50" s="4"/>
      <c r="AA50" s="8">
        <v>44989</v>
      </c>
      <c r="AB50" s="8">
        <v>45001</v>
      </c>
      <c r="AC50" s="4"/>
      <c r="AD50" s="4"/>
    </row>
    <row r="51" spans="1:30" hidden="1">
      <c r="A51" s="4">
        <v>1886</v>
      </c>
      <c r="B51" s="8">
        <v>44981</v>
      </c>
      <c r="C51" s="4" t="s">
        <v>510</v>
      </c>
      <c r="D51" s="4" t="s">
        <v>42</v>
      </c>
      <c r="E51" s="8">
        <v>44985</v>
      </c>
      <c r="F51" s="4" t="s">
        <v>43</v>
      </c>
      <c r="G51" s="4" t="s">
        <v>396</v>
      </c>
      <c r="H51" s="4" t="s">
        <v>45</v>
      </c>
      <c r="I51" s="4" t="s">
        <v>104</v>
      </c>
      <c r="J51" s="10">
        <v>0.68</v>
      </c>
      <c r="K51" s="10">
        <v>0.67700000000000005</v>
      </c>
      <c r="L51" s="10">
        <f>M51+U51</f>
        <v>0</v>
      </c>
      <c r="M51" s="10">
        <f t="shared" ref="M51" si="8">SUM(N51:T51)</f>
        <v>0</v>
      </c>
      <c r="N51" s="10"/>
      <c r="O51" s="10"/>
      <c r="P51" s="10"/>
      <c r="Q51" s="10"/>
      <c r="R51" s="10"/>
      <c r="S51" s="10"/>
      <c r="T51" s="10"/>
      <c r="U51" s="10"/>
      <c r="V51" s="4" t="s">
        <v>391</v>
      </c>
      <c r="W51" s="4"/>
      <c r="X51" s="8">
        <v>44987</v>
      </c>
      <c r="Y51" s="4"/>
      <c r="Z51" s="4"/>
      <c r="AA51" s="8">
        <v>45003</v>
      </c>
      <c r="AB51" s="8">
        <v>45003</v>
      </c>
      <c r="AC51" s="4"/>
      <c r="AD51" s="4"/>
    </row>
    <row r="52" spans="1:30" hidden="1">
      <c r="A52" s="4">
        <v>1886</v>
      </c>
      <c r="B52" s="8">
        <v>44981</v>
      </c>
      <c r="C52" s="4" t="s">
        <v>510</v>
      </c>
      <c r="D52" s="4" t="s">
        <v>42</v>
      </c>
      <c r="E52" s="8">
        <v>44985</v>
      </c>
      <c r="F52" s="4" t="s">
        <v>43</v>
      </c>
      <c r="G52" s="4" t="s">
        <v>94</v>
      </c>
      <c r="H52" s="4" t="s">
        <v>45</v>
      </c>
      <c r="I52" s="4" t="s">
        <v>104</v>
      </c>
      <c r="J52" s="10">
        <v>0.55000000000000004</v>
      </c>
      <c r="K52" s="10">
        <v>0.54900000000000004</v>
      </c>
      <c r="L52" s="10">
        <f>M52+U52</f>
        <v>0</v>
      </c>
      <c r="M52" s="10">
        <f t="shared" ref="M52" si="9">SUM(N52:T52)</f>
        <v>0</v>
      </c>
      <c r="N52" s="10"/>
      <c r="O52" s="10"/>
      <c r="P52" s="10"/>
      <c r="Q52" s="10"/>
      <c r="R52" s="10"/>
      <c r="S52" s="10"/>
      <c r="T52" s="10"/>
      <c r="U52" s="10"/>
      <c r="V52" s="4" t="s">
        <v>341</v>
      </c>
      <c r="W52" s="4"/>
      <c r="X52" s="8">
        <v>44987</v>
      </c>
      <c r="Y52" s="4"/>
      <c r="Z52" s="4"/>
      <c r="AA52" s="8">
        <v>45003</v>
      </c>
      <c r="AB52" s="8">
        <v>45003</v>
      </c>
      <c r="AC52" s="4"/>
      <c r="AD52" s="4"/>
    </row>
    <row r="53" spans="1:30" hidden="1">
      <c r="A53" s="4">
        <v>1937</v>
      </c>
      <c r="B53" s="8">
        <v>44999</v>
      </c>
      <c r="C53" s="4"/>
      <c r="D53" s="4" t="s">
        <v>42</v>
      </c>
      <c r="E53" s="8">
        <v>45016</v>
      </c>
      <c r="F53" s="4" t="s">
        <v>43</v>
      </c>
      <c r="G53" s="4" t="s">
        <v>94</v>
      </c>
      <c r="H53" s="4" t="s">
        <v>45</v>
      </c>
      <c r="I53" s="4" t="s">
        <v>57</v>
      </c>
      <c r="J53" s="10">
        <v>0.15</v>
      </c>
      <c r="K53" s="10">
        <v>0.15</v>
      </c>
      <c r="L53" s="10">
        <f>M53+U53</f>
        <v>0</v>
      </c>
      <c r="M53" s="10">
        <f t="shared" ref="M53" si="10">SUM(N53:T53)</f>
        <v>0</v>
      </c>
      <c r="N53" s="10"/>
      <c r="O53" s="10"/>
      <c r="P53" s="10"/>
      <c r="Q53" s="10"/>
      <c r="R53" s="10"/>
      <c r="S53" s="10"/>
      <c r="T53" s="10"/>
      <c r="U53" s="10"/>
      <c r="V53" s="4" t="s">
        <v>342</v>
      </c>
      <c r="W53" s="4" t="s">
        <v>521</v>
      </c>
      <c r="X53" s="8">
        <v>45002</v>
      </c>
      <c r="Y53" s="4"/>
      <c r="Z53" s="4"/>
      <c r="AA53" s="8"/>
      <c r="AB53" s="8"/>
      <c r="AC53" s="4"/>
      <c r="AD53" s="4"/>
    </row>
    <row r="54" spans="1:30" hidden="1">
      <c r="A54" s="4">
        <v>1937</v>
      </c>
      <c r="B54" s="8">
        <v>44999</v>
      </c>
      <c r="C54" s="4"/>
      <c r="D54" s="4" t="s">
        <v>42</v>
      </c>
      <c r="E54" s="8">
        <v>45016</v>
      </c>
      <c r="F54" s="4" t="s">
        <v>43</v>
      </c>
      <c r="G54" s="4" t="s">
        <v>94</v>
      </c>
      <c r="H54" s="4" t="s">
        <v>45</v>
      </c>
      <c r="I54" s="4" t="s">
        <v>54</v>
      </c>
      <c r="J54" s="10">
        <v>8.0124661428571429</v>
      </c>
      <c r="K54" s="10">
        <f>2.336+5.675</f>
        <v>8.0109999999999992</v>
      </c>
      <c r="L54" s="10">
        <f t="shared" ref="L54:L86" si="11">M54+U54</f>
        <v>0</v>
      </c>
      <c r="M54" s="10">
        <f t="shared" ref="M54:M86" si="12">SUM(N54:T54)</f>
        <v>0</v>
      </c>
      <c r="N54" s="10"/>
      <c r="O54" s="10"/>
      <c r="P54" s="10"/>
      <c r="Q54" s="10"/>
      <c r="R54" s="10"/>
      <c r="S54" s="10"/>
      <c r="T54" s="10"/>
      <c r="U54" s="10"/>
      <c r="V54" s="4" t="s">
        <v>342</v>
      </c>
      <c r="W54" s="4"/>
      <c r="X54" s="8">
        <v>45002</v>
      </c>
      <c r="Y54" s="4"/>
      <c r="Z54" s="4"/>
      <c r="AA54" s="8">
        <v>45010</v>
      </c>
      <c r="AB54" s="8"/>
      <c r="AC54" s="4"/>
      <c r="AD54" s="4"/>
    </row>
    <row r="55" spans="1:30" hidden="1">
      <c r="A55" s="4">
        <v>1937</v>
      </c>
      <c r="B55" s="8">
        <v>44999</v>
      </c>
      <c r="C55" s="4" t="s">
        <v>563</v>
      </c>
      <c r="D55" s="4" t="s">
        <v>397</v>
      </c>
      <c r="E55" s="8">
        <v>45016</v>
      </c>
      <c r="F55" s="4" t="s">
        <v>43</v>
      </c>
      <c r="G55" s="4" t="s">
        <v>94</v>
      </c>
      <c r="H55" s="4" t="s">
        <v>45</v>
      </c>
      <c r="I55" s="4" t="s">
        <v>56</v>
      </c>
      <c r="J55" s="10">
        <v>24.312082087912088</v>
      </c>
      <c r="K55" s="10">
        <f>5.535+18.774</f>
        <v>24.309000000000001</v>
      </c>
      <c r="L55" s="10">
        <f t="shared" si="11"/>
        <v>0</v>
      </c>
      <c r="M55" s="10">
        <f t="shared" si="12"/>
        <v>0</v>
      </c>
      <c r="N55" s="10"/>
      <c r="O55" s="10"/>
      <c r="P55" s="10"/>
      <c r="Q55" s="10"/>
      <c r="R55" s="10"/>
      <c r="S55" s="10"/>
      <c r="T55" s="10"/>
      <c r="U55" s="10"/>
      <c r="V55" s="4" t="s">
        <v>342</v>
      </c>
      <c r="W55" s="4" t="s">
        <v>37</v>
      </c>
      <c r="X55" s="8">
        <v>45002</v>
      </c>
      <c r="Y55" s="4"/>
      <c r="Z55" s="4"/>
      <c r="AA55" s="8">
        <v>45010</v>
      </c>
      <c r="AB55" s="8"/>
      <c r="AC55" s="4"/>
      <c r="AD55" s="4"/>
    </row>
    <row r="56" spans="1:30" hidden="1">
      <c r="A56" s="4">
        <v>1937</v>
      </c>
      <c r="B56" s="8">
        <v>44999</v>
      </c>
      <c r="C56" s="4"/>
      <c r="D56" s="4" t="s">
        <v>42</v>
      </c>
      <c r="E56" s="8">
        <v>45016</v>
      </c>
      <c r="F56" s="4" t="s">
        <v>43</v>
      </c>
      <c r="G56" s="4" t="s">
        <v>94</v>
      </c>
      <c r="H56" s="4" t="s">
        <v>45</v>
      </c>
      <c r="I56" s="4" t="s">
        <v>48</v>
      </c>
      <c r="J56" s="10">
        <v>18.434794068965516</v>
      </c>
      <c r="K56" s="10">
        <f>5.175+9.904+3.436</f>
        <v>18.515000000000001</v>
      </c>
      <c r="L56" s="10">
        <f t="shared" si="11"/>
        <v>0</v>
      </c>
      <c r="M56" s="10">
        <f t="shared" si="12"/>
        <v>0</v>
      </c>
      <c r="N56" s="10"/>
      <c r="O56" s="10"/>
      <c r="P56" s="10"/>
      <c r="Q56" s="10"/>
      <c r="R56" s="10"/>
      <c r="S56" s="10"/>
      <c r="T56" s="10"/>
      <c r="U56" s="10"/>
      <c r="V56" s="4" t="s">
        <v>342</v>
      </c>
      <c r="W56" s="4"/>
      <c r="X56" s="8">
        <v>45002</v>
      </c>
      <c r="Y56" s="4"/>
      <c r="Z56" s="4"/>
      <c r="AA56" s="8">
        <v>45010</v>
      </c>
      <c r="AB56" s="8"/>
      <c r="AC56" s="4"/>
      <c r="AD56" s="4"/>
    </row>
    <row r="57" spans="1:30" hidden="1">
      <c r="A57" s="4">
        <v>1937</v>
      </c>
      <c r="B57" s="8">
        <v>44999</v>
      </c>
      <c r="C57" s="4"/>
      <c r="D57" s="4" t="s">
        <v>42</v>
      </c>
      <c r="E57" s="8">
        <v>45016</v>
      </c>
      <c r="F57" s="4" t="s">
        <v>43</v>
      </c>
      <c r="G57" s="4" t="s">
        <v>94</v>
      </c>
      <c r="H57" s="4" t="s">
        <v>45</v>
      </c>
      <c r="I57" s="4" t="s">
        <v>516</v>
      </c>
      <c r="J57" s="10">
        <v>0.56576000000000004</v>
      </c>
      <c r="K57" s="10">
        <v>0.56599999999999995</v>
      </c>
      <c r="L57" s="10">
        <f t="shared" si="11"/>
        <v>0</v>
      </c>
      <c r="M57" s="10">
        <f t="shared" si="12"/>
        <v>0</v>
      </c>
      <c r="N57" s="10"/>
      <c r="O57" s="10"/>
      <c r="P57" s="10"/>
      <c r="Q57" s="10"/>
      <c r="R57" s="10"/>
      <c r="S57" s="10"/>
      <c r="T57" s="10"/>
      <c r="U57" s="10"/>
      <c r="V57" s="4" t="s">
        <v>342</v>
      </c>
      <c r="W57" s="4"/>
      <c r="X57" s="8">
        <v>45002</v>
      </c>
      <c r="Y57" s="4"/>
      <c r="Z57" s="4"/>
      <c r="AA57" s="8"/>
      <c r="AB57" s="8"/>
      <c r="AC57" s="4"/>
      <c r="AD57" s="4"/>
    </row>
    <row r="58" spans="1:30" hidden="1">
      <c r="A58" s="4">
        <v>1937</v>
      </c>
      <c r="B58" s="8">
        <v>44999</v>
      </c>
      <c r="C58" s="4"/>
      <c r="D58" s="4" t="s">
        <v>42</v>
      </c>
      <c r="E58" s="8">
        <v>45016</v>
      </c>
      <c r="F58" s="4" t="s">
        <v>43</v>
      </c>
      <c r="G58" s="4" t="s">
        <v>94</v>
      </c>
      <c r="H58" s="4" t="s">
        <v>45</v>
      </c>
      <c r="I58" s="4" t="s">
        <v>517</v>
      </c>
      <c r="J58" s="10">
        <v>7.7984800000000005</v>
      </c>
      <c r="K58" s="10">
        <v>7.7939999999999996</v>
      </c>
      <c r="L58" s="10">
        <f t="shared" si="11"/>
        <v>0</v>
      </c>
      <c r="M58" s="10">
        <f t="shared" si="12"/>
        <v>0</v>
      </c>
      <c r="N58" s="10"/>
      <c r="O58" s="10"/>
      <c r="P58" s="10"/>
      <c r="Q58" s="10"/>
      <c r="R58" s="10"/>
      <c r="S58" s="10"/>
      <c r="T58" s="10"/>
      <c r="U58" s="10"/>
      <c r="V58" s="4" t="s">
        <v>537</v>
      </c>
      <c r="W58" s="4"/>
      <c r="X58" s="8">
        <v>44996</v>
      </c>
      <c r="Y58" s="4"/>
      <c r="Z58" s="4"/>
      <c r="AA58" s="8">
        <v>45007</v>
      </c>
      <c r="AB58" s="8">
        <v>45007</v>
      </c>
      <c r="AC58" s="4"/>
      <c r="AD58" s="4"/>
    </row>
    <row r="59" spans="1:30" hidden="1">
      <c r="A59" s="4">
        <v>1937</v>
      </c>
      <c r="B59" s="8">
        <v>44999</v>
      </c>
      <c r="C59" s="4"/>
      <c r="D59" s="4" t="s">
        <v>42</v>
      </c>
      <c r="E59" s="8">
        <v>45016</v>
      </c>
      <c r="F59" s="4" t="s">
        <v>43</v>
      </c>
      <c r="G59" s="4" t="s">
        <v>94</v>
      </c>
      <c r="H59" s="4" t="s">
        <v>45</v>
      </c>
      <c r="I59" s="4" t="s">
        <v>448</v>
      </c>
      <c r="J59" s="10">
        <v>4.0289599999999997</v>
      </c>
      <c r="K59" s="10">
        <v>4.0289999999999999</v>
      </c>
      <c r="L59" s="10">
        <f t="shared" si="11"/>
        <v>0</v>
      </c>
      <c r="M59" s="10">
        <f t="shared" si="12"/>
        <v>0</v>
      </c>
      <c r="N59" s="10"/>
      <c r="O59" s="10"/>
      <c r="P59" s="10"/>
      <c r="Q59" s="10"/>
      <c r="R59" s="10"/>
      <c r="S59" s="10"/>
      <c r="T59" s="10"/>
      <c r="U59" s="10"/>
      <c r="V59" s="4" t="s">
        <v>342</v>
      </c>
      <c r="W59" s="4"/>
      <c r="X59" s="8">
        <v>44995</v>
      </c>
      <c r="Y59" s="4"/>
      <c r="Z59" s="4"/>
      <c r="AA59" s="8">
        <v>45007</v>
      </c>
      <c r="AB59" s="8">
        <v>45007</v>
      </c>
      <c r="AC59" s="4"/>
      <c r="AD59" s="4"/>
    </row>
    <row r="60" spans="1:30" hidden="1">
      <c r="A60" s="4">
        <v>1937</v>
      </c>
      <c r="B60" s="8">
        <v>44999</v>
      </c>
      <c r="C60" s="4"/>
      <c r="D60" s="4" t="s">
        <v>42</v>
      </c>
      <c r="E60" s="8">
        <v>45016</v>
      </c>
      <c r="F60" s="4" t="s">
        <v>43</v>
      </c>
      <c r="G60" s="4" t="s">
        <v>94</v>
      </c>
      <c r="H60" s="4" t="s">
        <v>45</v>
      </c>
      <c r="I60" s="4" t="s">
        <v>449</v>
      </c>
      <c r="J60" s="10">
        <v>7.639520000000001</v>
      </c>
      <c r="K60" s="10">
        <v>7.6390000000000002</v>
      </c>
      <c r="L60" s="10">
        <f t="shared" si="11"/>
        <v>0</v>
      </c>
      <c r="M60" s="10">
        <f t="shared" si="12"/>
        <v>0</v>
      </c>
      <c r="N60" s="10"/>
      <c r="O60" s="10"/>
      <c r="P60" s="10"/>
      <c r="Q60" s="10"/>
      <c r="R60" s="10"/>
      <c r="S60" s="10"/>
      <c r="T60" s="10"/>
      <c r="U60" s="10"/>
      <c r="V60" s="4" t="s">
        <v>342</v>
      </c>
      <c r="W60" s="4" t="s">
        <v>37</v>
      </c>
      <c r="X60" s="8">
        <v>44995</v>
      </c>
      <c r="Y60" s="4"/>
      <c r="Z60" s="4"/>
      <c r="AA60" s="8">
        <v>45009</v>
      </c>
      <c r="AB60" s="8">
        <v>45009</v>
      </c>
      <c r="AC60" s="4"/>
      <c r="AD60" s="4"/>
    </row>
    <row r="61" spans="1:30" hidden="1">
      <c r="A61" s="4">
        <v>1937</v>
      </c>
      <c r="B61" s="8">
        <v>44999</v>
      </c>
      <c r="C61" s="4"/>
      <c r="D61" s="4" t="s">
        <v>42</v>
      </c>
      <c r="E61" s="8">
        <v>45016</v>
      </c>
      <c r="F61" s="4" t="s">
        <v>43</v>
      </c>
      <c r="G61" s="4" t="s">
        <v>94</v>
      </c>
      <c r="H61" s="4" t="s">
        <v>45</v>
      </c>
      <c r="I61" s="4" t="s">
        <v>447</v>
      </c>
      <c r="J61" s="10">
        <v>51.254164948453607</v>
      </c>
      <c r="K61" s="10">
        <f>24.441+24.962+1.853</f>
        <v>51.256</v>
      </c>
      <c r="L61" s="10">
        <f t="shared" si="11"/>
        <v>0</v>
      </c>
      <c r="M61" s="10">
        <f t="shared" si="12"/>
        <v>0</v>
      </c>
      <c r="N61" s="10"/>
      <c r="O61" s="10"/>
      <c r="P61" s="10"/>
      <c r="Q61" s="10"/>
      <c r="R61" s="10"/>
      <c r="S61" s="10"/>
      <c r="T61" s="10"/>
      <c r="U61" s="10"/>
      <c r="V61" s="4" t="s">
        <v>341</v>
      </c>
      <c r="W61" s="4"/>
      <c r="X61" s="8">
        <v>44995</v>
      </c>
      <c r="Y61" s="4"/>
      <c r="Z61" s="4"/>
      <c r="AA61" s="8">
        <v>45008</v>
      </c>
      <c r="AB61" s="8"/>
      <c r="AC61" s="4"/>
      <c r="AD61" s="4"/>
    </row>
    <row r="62" spans="1:30" hidden="1">
      <c r="A62" s="4">
        <v>1937</v>
      </c>
      <c r="B62" s="8">
        <v>44999</v>
      </c>
      <c r="C62" s="4"/>
      <c r="D62" s="4" t="s">
        <v>42</v>
      </c>
      <c r="E62" s="8">
        <v>45016</v>
      </c>
      <c r="F62" s="4" t="s">
        <v>43</v>
      </c>
      <c r="G62" s="4" t="s">
        <v>94</v>
      </c>
      <c r="H62" s="4" t="s">
        <v>45</v>
      </c>
      <c r="I62" s="4" t="s">
        <v>518</v>
      </c>
      <c r="J62" s="10">
        <v>43.740319999999997</v>
      </c>
      <c r="K62" s="10">
        <f>25.11+17.397+1.233</f>
        <v>43.739999999999995</v>
      </c>
      <c r="L62" s="10">
        <f t="shared" si="11"/>
        <v>0</v>
      </c>
      <c r="M62" s="10">
        <f t="shared" si="12"/>
        <v>0</v>
      </c>
      <c r="N62" s="10"/>
      <c r="O62" s="10"/>
      <c r="P62" s="10"/>
      <c r="Q62" s="10"/>
      <c r="R62" s="10"/>
      <c r="S62" s="10"/>
      <c r="T62" s="10"/>
      <c r="U62" s="10"/>
      <c r="V62" s="4" t="s">
        <v>342</v>
      </c>
      <c r="W62" s="4" t="s">
        <v>37</v>
      </c>
      <c r="X62" s="8">
        <v>44995</v>
      </c>
      <c r="Y62" s="4"/>
      <c r="Z62" s="4"/>
      <c r="AA62" s="8">
        <v>45008</v>
      </c>
      <c r="AB62" s="8"/>
      <c r="AC62" s="4"/>
      <c r="AD62" s="4"/>
    </row>
    <row r="63" spans="1:30" hidden="1">
      <c r="A63" s="4">
        <v>1937</v>
      </c>
      <c r="B63" s="8">
        <v>44999</v>
      </c>
      <c r="C63" s="4"/>
      <c r="D63" s="4" t="s">
        <v>42</v>
      </c>
      <c r="E63" s="8">
        <v>45016</v>
      </c>
      <c r="F63" s="4" t="s">
        <v>43</v>
      </c>
      <c r="G63" s="4" t="s">
        <v>94</v>
      </c>
      <c r="H63" s="4" t="s">
        <v>45</v>
      </c>
      <c r="I63" s="4" t="s">
        <v>432</v>
      </c>
      <c r="J63" s="10">
        <v>39.124000000000002</v>
      </c>
      <c r="K63" s="10">
        <f>7.208+15.455+14.81+1.652</f>
        <v>39.125</v>
      </c>
      <c r="L63" s="10">
        <f>M63+U63</f>
        <v>0</v>
      </c>
      <c r="M63" s="10">
        <f>SUM(N63:T63)</f>
        <v>0</v>
      </c>
      <c r="N63" s="10"/>
      <c r="O63" s="10"/>
      <c r="P63" s="10"/>
      <c r="Q63" s="10"/>
      <c r="R63" s="10"/>
      <c r="S63" s="10"/>
      <c r="T63" s="10"/>
      <c r="U63" s="10"/>
      <c r="V63" s="4" t="s">
        <v>342</v>
      </c>
      <c r="W63" s="4"/>
      <c r="X63" s="8">
        <v>45022</v>
      </c>
      <c r="Y63" s="4"/>
      <c r="Z63" s="4"/>
      <c r="AA63" s="8"/>
      <c r="AB63" s="8"/>
      <c r="AC63" s="4"/>
      <c r="AD63" s="4"/>
    </row>
    <row r="64" spans="1:30" hidden="1">
      <c r="A64" s="4">
        <v>1937</v>
      </c>
      <c r="B64" s="8">
        <v>44999</v>
      </c>
      <c r="C64" s="4"/>
      <c r="D64" s="4" t="s">
        <v>42</v>
      </c>
      <c r="E64" s="8">
        <v>45016</v>
      </c>
      <c r="F64" s="4" t="s">
        <v>43</v>
      </c>
      <c r="G64" s="4" t="s">
        <v>94</v>
      </c>
      <c r="H64" s="4" t="s">
        <v>45</v>
      </c>
      <c r="I64" s="4" t="s">
        <v>434</v>
      </c>
      <c r="J64" s="10">
        <v>13.780872800000001</v>
      </c>
      <c r="K64" s="10">
        <f>4.356+0.712+8.65</f>
        <v>13.718</v>
      </c>
      <c r="L64" s="10">
        <f t="shared" si="11"/>
        <v>0</v>
      </c>
      <c r="M64" s="10">
        <f t="shared" si="12"/>
        <v>0</v>
      </c>
      <c r="N64" s="10"/>
      <c r="O64" s="10"/>
      <c r="P64" s="10"/>
      <c r="Q64" s="10"/>
      <c r="R64" s="10"/>
      <c r="S64" s="10"/>
      <c r="T64" s="10"/>
      <c r="U64" s="10"/>
      <c r="V64" s="4" t="s">
        <v>342</v>
      </c>
      <c r="W64" s="4"/>
      <c r="X64" s="8">
        <v>45001</v>
      </c>
      <c r="Y64" s="4"/>
      <c r="Z64" s="4"/>
      <c r="AA64" s="8">
        <v>45009</v>
      </c>
      <c r="AB64" s="8"/>
      <c r="AC64" s="4"/>
      <c r="AD64" s="4"/>
    </row>
    <row r="65" spans="1:30" hidden="1">
      <c r="A65" s="4">
        <v>1937</v>
      </c>
      <c r="B65" s="8">
        <v>44999</v>
      </c>
      <c r="C65" s="4" t="s">
        <v>563</v>
      </c>
      <c r="D65" s="4" t="s">
        <v>397</v>
      </c>
      <c r="E65" s="8">
        <v>45016</v>
      </c>
      <c r="F65" s="4" t="s">
        <v>43</v>
      </c>
      <c r="G65" s="4" t="s">
        <v>94</v>
      </c>
      <c r="H65" s="4" t="s">
        <v>45</v>
      </c>
      <c r="I65" s="4" t="s">
        <v>89</v>
      </c>
      <c r="J65" s="10">
        <v>20.519260000000003</v>
      </c>
      <c r="K65" s="10">
        <f>4.279+6.173+9.308+0.759</f>
        <v>20.518999999999998</v>
      </c>
      <c r="L65" s="10">
        <f t="shared" si="11"/>
        <v>0</v>
      </c>
      <c r="M65" s="10">
        <f t="shared" si="12"/>
        <v>0</v>
      </c>
      <c r="N65" s="10"/>
      <c r="O65" s="10"/>
      <c r="P65" s="10"/>
      <c r="Q65" s="10"/>
      <c r="R65" s="10"/>
      <c r="S65" s="10"/>
      <c r="T65" s="10"/>
      <c r="U65" s="10"/>
      <c r="V65" s="4" t="s">
        <v>342</v>
      </c>
      <c r="W65" s="4"/>
      <c r="X65" s="8">
        <v>44999</v>
      </c>
      <c r="Y65" s="4"/>
      <c r="Z65" s="4"/>
      <c r="AA65" s="8">
        <v>45008</v>
      </c>
      <c r="AB65" s="8"/>
      <c r="AC65" s="4"/>
      <c r="AD65" s="4"/>
    </row>
    <row r="66" spans="1:30" hidden="1">
      <c r="A66" s="4">
        <v>1937</v>
      </c>
      <c r="B66" s="8">
        <v>44999</v>
      </c>
      <c r="C66" s="4" t="s">
        <v>563</v>
      </c>
      <c r="D66" s="4" t="s">
        <v>397</v>
      </c>
      <c r="E66" s="8">
        <v>45016</v>
      </c>
      <c r="F66" s="4" t="s">
        <v>43</v>
      </c>
      <c r="G66" s="4" t="s">
        <v>94</v>
      </c>
      <c r="H66" s="4" t="s">
        <v>45</v>
      </c>
      <c r="I66" s="4" t="s">
        <v>87</v>
      </c>
      <c r="J66" s="10">
        <v>5.3470040000000001</v>
      </c>
      <c r="K66" s="10">
        <v>5.3470000000000004</v>
      </c>
      <c r="L66" s="10">
        <f t="shared" si="11"/>
        <v>0</v>
      </c>
      <c r="M66" s="10">
        <f t="shared" si="12"/>
        <v>0</v>
      </c>
      <c r="N66" s="10"/>
      <c r="O66" s="10"/>
      <c r="P66" s="10"/>
      <c r="Q66" s="10"/>
      <c r="R66" s="10"/>
      <c r="S66" s="10"/>
      <c r="T66" s="10"/>
      <c r="U66" s="10"/>
      <c r="V66" s="4" t="s">
        <v>342</v>
      </c>
      <c r="W66" s="4"/>
      <c r="X66" s="8">
        <v>44999</v>
      </c>
      <c r="Y66" s="4"/>
      <c r="Z66" s="4"/>
      <c r="AA66" s="8">
        <v>45009</v>
      </c>
      <c r="AB66" s="8">
        <v>45009</v>
      </c>
      <c r="AC66" s="4"/>
      <c r="AD66" s="4"/>
    </row>
    <row r="67" spans="1:30" hidden="1">
      <c r="A67" s="4">
        <v>1937</v>
      </c>
      <c r="B67" s="8">
        <v>44999</v>
      </c>
      <c r="C67" s="4" t="s">
        <v>563</v>
      </c>
      <c r="D67" s="4" t="s">
        <v>397</v>
      </c>
      <c r="E67" s="8">
        <v>45016</v>
      </c>
      <c r="F67" s="4" t="s">
        <v>43</v>
      </c>
      <c r="G67" s="4" t="s">
        <v>515</v>
      </c>
      <c r="H67" s="4" t="s">
        <v>52</v>
      </c>
      <c r="I67" s="4" t="s">
        <v>432</v>
      </c>
      <c r="J67" s="10">
        <f>4.51+4.994+2.512+0.657</f>
        <v>12.673</v>
      </c>
      <c r="K67" s="10">
        <f>4.51+4.994+2.512+0.657</f>
        <v>12.673</v>
      </c>
      <c r="L67" s="10">
        <f t="shared" si="11"/>
        <v>0</v>
      </c>
      <c r="M67" s="10">
        <f t="shared" si="12"/>
        <v>0</v>
      </c>
      <c r="N67" s="10"/>
      <c r="O67" s="10"/>
      <c r="P67" s="10"/>
      <c r="Q67" s="10"/>
      <c r="R67" s="10"/>
      <c r="S67" s="10"/>
      <c r="T67" s="10"/>
      <c r="U67" s="10"/>
      <c r="V67" s="4" t="s">
        <v>342</v>
      </c>
      <c r="W67" s="4" t="s">
        <v>590</v>
      </c>
      <c r="X67" s="8">
        <v>45022</v>
      </c>
      <c r="Y67" s="4"/>
      <c r="Z67" s="4"/>
      <c r="AA67" s="8"/>
      <c r="AB67" s="8"/>
      <c r="AC67" s="4"/>
      <c r="AD67" s="4"/>
    </row>
    <row r="68" spans="1:30" hidden="1">
      <c r="A68" s="4">
        <v>1937</v>
      </c>
      <c r="B68" s="8">
        <v>44999</v>
      </c>
      <c r="C68" s="4" t="s">
        <v>563</v>
      </c>
      <c r="D68" s="4" t="s">
        <v>397</v>
      </c>
      <c r="E68" s="8">
        <v>45016</v>
      </c>
      <c r="F68" s="4" t="s">
        <v>43</v>
      </c>
      <c r="G68" s="4" t="s">
        <v>515</v>
      </c>
      <c r="H68" s="4" t="s">
        <v>52</v>
      </c>
      <c r="I68" s="4" t="s">
        <v>434</v>
      </c>
      <c r="J68" s="10">
        <v>1.4533199999999999</v>
      </c>
      <c r="K68" s="10">
        <v>1.4530000000000001</v>
      </c>
      <c r="L68" s="10">
        <f t="shared" si="11"/>
        <v>0</v>
      </c>
      <c r="M68" s="10">
        <f t="shared" si="12"/>
        <v>0</v>
      </c>
      <c r="N68" s="10"/>
      <c r="O68" s="10"/>
      <c r="P68" s="10"/>
      <c r="Q68" s="10"/>
      <c r="R68" s="10"/>
      <c r="S68" s="10"/>
      <c r="T68" s="10"/>
      <c r="U68" s="10"/>
      <c r="V68" s="4" t="s">
        <v>342</v>
      </c>
      <c r="W68" s="4"/>
      <c r="X68" s="8">
        <v>45001</v>
      </c>
      <c r="Y68" s="4"/>
      <c r="Z68" s="4"/>
      <c r="AA68" s="8"/>
      <c r="AB68" s="8"/>
      <c r="AC68" s="4"/>
      <c r="AD68" s="4"/>
    </row>
    <row r="69" spans="1:30" hidden="1">
      <c r="A69" s="4">
        <v>1937</v>
      </c>
      <c r="B69" s="8">
        <v>44999</v>
      </c>
      <c r="C69" s="4" t="s">
        <v>563</v>
      </c>
      <c r="D69" s="4" t="s">
        <v>397</v>
      </c>
      <c r="E69" s="8">
        <v>45016</v>
      </c>
      <c r="F69" s="4" t="s">
        <v>43</v>
      </c>
      <c r="G69" s="4" t="s">
        <v>515</v>
      </c>
      <c r="H69" s="4" t="s">
        <v>52</v>
      </c>
      <c r="I69" s="4" t="s">
        <v>89</v>
      </c>
      <c r="J69" s="10">
        <v>0.498</v>
      </c>
      <c r="K69" s="10">
        <v>0.498</v>
      </c>
      <c r="L69" s="10">
        <f t="shared" si="11"/>
        <v>0</v>
      </c>
      <c r="M69" s="10">
        <f t="shared" si="12"/>
        <v>0</v>
      </c>
      <c r="N69" s="10"/>
      <c r="O69" s="10"/>
      <c r="P69" s="10"/>
      <c r="Q69" s="10"/>
      <c r="R69" s="10"/>
      <c r="S69" s="10"/>
      <c r="T69" s="10"/>
      <c r="U69" s="10"/>
      <c r="V69" s="4" t="s">
        <v>342</v>
      </c>
      <c r="W69" s="4"/>
      <c r="X69" s="8">
        <v>44998</v>
      </c>
      <c r="Y69" s="4"/>
      <c r="Z69" s="4"/>
      <c r="AA69" s="8"/>
      <c r="AB69" s="8"/>
      <c r="AC69" s="4"/>
      <c r="AD69" s="4"/>
    </row>
    <row r="70" spans="1:30" hidden="1">
      <c r="A70" s="4">
        <v>1937</v>
      </c>
      <c r="B70" s="8">
        <v>44999</v>
      </c>
      <c r="C70" s="4"/>
      <c r="D70" s="4" t="s">
        <v>42</v>
      </c>
      <c r="E70" s="8">
        <v>45016</v>
      </c>
      <c r="F70" s="4" t="s">
        <v>43</v>
      </c>
      <c r="G70" s="4" t="s">
        <v>186</v>
      </c>
      <c r="H70" s="4" t="s">
        <v>45</v>
      </c>
      <c r="I70" s="4" t="s">
        <v>56</v>
      </c>
      <c r="J70" s="10">
        <v>27.622050000000002</v>
      </c>
      <c r="K70" s="10">
        <f>5.753+14.528+1.922+4.633+0.786</f>
        <v>27.622</v>
      </c>
      <c r="L70" s="10">
        <f t="shared" si="11"/>
        <v>0</v>
      </c>
      <c r="M70" s="10">
        <f t="shared" si="12"/>
        <v>0</v>
      </c>
      <c r="N70" s="10"/>
      <c r="O70" s="10"/>
      <c r="P70" s="10"/>
      <c r="Q70" s="10"/>
      <c r="R70" s="10"/>
      <c r="S70" s="10"/>
      <c r="T70" s="10"/>
      <c r="U70" s="10"/>
      <c r="V70" s="4" t="s">
        <v>536</v>
      </c>
      <c r="W70" s="4"/>
      <c r="X70" s="8">
        <v>45002</v>
      </c>
      <c r="Y70" s="4"/>
      <c r="Z70" s="4"/>
      <c r="AA70" s="8"/>
      <c r="AB70" s="8">
        <v>45033</v>
      </c>
      <c r="AC70" s="4"/>
      <c r="AD70" s="4"/>
    </row>
    <row r="71" spans="1:30" hidden="1">
      <c r="A71" s="4">
        <v>1937</v>
      </c>
      <c r="B71" s="8">
        <v>44999</v>
      </c>
      <c r="C71" s="4"/>
      <c r="D71" s="4" t="s">
        <v>42</v>
      </c>
      <c r="E71" s="8">
        <v>45016</v>
      </c>
      <c r="F71" s="4" t="s">
        <v>43</v>
      </c>
      <c r="G71" s="4" t="s">
        <v>186</v>
      </c>
      <c r="H71" s="4" t="s">
        <v>45</v>
      </c>
      <c r="I71" s="4" t="s">
        <v>48</v>
      </c>
      <c r="J71" s="10">
        <v>4.8291995315315317</v>
      </c>
      <c r="K71" s="10">
        <f>1.654+3.174</f>
        <v>4.8279999999999994</v>
      </c>
      <c r="L71" s="10">
        <f t="shared" si="11"/>
        <v>0</v>
      </c>
      <c r="M71" s="10">
        <f t="shared" si="12"/>
        <v>0</v>
      </c>
      <c r="N71" s="10"/>
      <c r="O71" s="10"/>
      <c r="P71" s="10"/>
      <c r="Q71" s="10"/>
      <c r="R71" s="10"/>
      <c r="S71" s="10"/>
      <c r="T71" s="10"/>
      <c r="U71" s="10"/>
      <c r="V71" s="4" t="s">
        <v>536</v>
      </c>
      <c r="W71" s="4"/>
      <c r="X71" s="8">
        <v>45002</v>
      </c>
      <c r="Y71" s="4"/>
      <c r="Z71" s="4"/>
      <c r="AA71" s="8"/>
      <c r="AB71" s="8">
        <v>45027</v>
      </c>
      <c r="AC71" s="4"/>
      <c r="AD71" s="4"/>
    </row>
    <row r="72" spans="1:30" hidden="1">
      <c r="A72" s="4">
        <v>1937</v>
      </c>
      <c r="B72" s="8">
        <v>44999</v>
      </c>
      <c r="C72" s="4"/>
      <c r="D72" s="4" t="s">
        <v>42</v>
      </c>
      <c r="E72" s="8">
        <v>45016</v>
      </c>
      <c r="F72" s="4" t="s">
        <v>43</v>
      </c>
      <c r="G72" s="4" t="s">
        <v>186</v>
      </c>
      <c r="H72" s="4" t="s">
        <v>45</v>
      </c>
      <c r="I72" s="4" t="s">
        <v>516</v>
      </c>
      <c r="J72" s="10">
        <v>3.7535999999999996</v>
      </c>
      <c r="K72" s="10">
        <v>4.335</v>
      </c>
      <c r="L72" s="10">
        <f t="shared" si="11"/>
        <v>0</v>
      </c>
      <c r="M72" s="10">
        <f t="shared" si="12"/>
        <v>0</v>
      </c>
      <c r="N72" s="10"/>
      <c r="O72" s="10"/>
      <c r="P72" s="10"/>
      <c r="Q72" s="10"/>
      <c r="R72" s="10"/>
      <c r="S72" s="10"/>
      <c r="T72" s="10"/>
      <c r="U72" s="10"/>
      <c r="V72" s="4" t="s">
        <v>536</v>
      </c>
      <c r="W72" s="4"/>
      <c r="X72" s="8">
        <v>45002</v>
      </c>
      <c r="Y72" s="4"/>
      <c r="Z72" s="4"/>
      <c r="AA72" s="8">
        <v>45033</v>
      </c>
      <c r="AB72" s="8">
        <v>45033</v>
      </c>
      <c r="AC72" s="4"/>
      <c r="AD72" s="4"/>
    </row>
    <row r="73" spans="1:30" hidden="1">
      <c r="A73" s="4">
        <v>1937</v>
      </c>
      <c r="B73" s="8">
        <v>44999</v>
      </c>
      <c r="C73" s="4"/>
      <c r="D73" s="4" t="s">
        <v>42</v>
      </c>
      <c r="E73" s="8">
        <v>45016</v>
      </c>
      <c r="F73" s="4" t="s">
        <v>43</v>
      </c>
      <c r="G73" s="4" t="s">
        <v>186</v>
      </c>
      <c r="H73" s="4" t="s">
        <v>45</v>
      </c>
      <c r="I73" s="4" t="s">
        <v>519</v>
      </c>
      <c r="J73" s="10">
        <v>5.9615999999999989</v>
      </c>
      <c r="K73" s="10">
        <v>5.9619999999999997</v>
      </c>
      <c r="L73" s="10">
        <f t="shared" si="11"/>
        <v>0</v>
      </c>
      <c r="M73" s="10">
        <f t="shared" si="12"/>
        <v>0</v>
      </c>
      <c r="N73" s="10"/>
      <c r="O73" s="10"/>
      <c r="P73" s="10"/>
      <c r="Q73" s="10"/>
      <c r="R73" s="10"/>
      <c r="S73" s="10"/>
      <c r="T73" s="10"/>
      <c r="U73" s="10"/>
      <c r="V73" s="4" t="s">
        <v>536</v>
      </c>
      <c r="W73" s="4" t="s">
        <v>556</v>
      </c>
      <c r="X73" s="8">
        <v>44996</v>
      </c>
      <c r="Y73" s="4"/>
      <c r="Z73" s="4"/>
      <c r="AA73" s="8">
        <v>45007</v>
      </c>
      <c r="AB73" s="8">
        <v>45007</v>
      </c>
      <c r="AC73" s="4"/>
      <c r="AD73" s="4"/>
    </row>
    <row r="74" spans="1:30" hidden="1">
      <c r="A74" s="4">
        <v>1937</v>
      </c>
      <c r="B74" s="8">
        <v>44999</v>
      </c>
      <c r="C74" s="4"/>
      <c r="D74" s="4" t="s">
        <v>42</v>
      </c>
      <c r="E74" s="8">
        <v>45016</v>
      </c>
      <c r="F74" s="4" t="s">
        <v>43</v>
      </c>
      <c r="G74" s="4" t="s">
        <v>186</v>
      </c>
      <c r="H74" s="4" t="s">
        <v>45</v>
      </c>
      <c r="I74" s="4" t="s">
        <v>517</v>
      </c>
      <c r="J74" s="10">
        <v>48.140820000000005</v>
      </c>
      <c r="K74" s="10">
        <f>0.983+5.902+3.09+8.201+12.885+1.949+2.534+0.306+4.23+7.301+0.934</f>
        <v>48.314999999999998</v>
      </c>
      <c r="L74" s="10">
        <f t="shared" si="11"/>
        <v>0</v>
      </c>
      <c r="M74" s="10">
        <f>SUM(N74:T74)</f>
        <v>0</v>
      </c>
      <c r="N74" s="10"/>
      <c r="O74" s="10"/>
      <c r="P74" s="10"/>
      <c r="Q74" s="10"/>
      <c r="R74" s="10"/>
      <c r="S74" s="10"/>
      <c r="T74" s="10"/>
      <c r="U74" s="10"/>
      <c r="V74" s="4" t="s">
        <v>536</v>
      </c>
      <c r="W74" s="4"/>
      <c r="X74" s="8">
        <v>44996</v>
      </c>
      <c r="Y74" s="4"/>
      <c r="Z74" s="4"/>
      <c r="AA74" s="8">
        <v>45007</v>
      </c>
      <c r="AB74" s="8">
        <v>45037</v>
      </c>
      <c r="AC74" s="4"/>
      <c r="AD74" s="4"/>
    </row>
    <row r="75" spans="1:30" hidden="1">
      <c r="A75" s="4">
        <v>1937</v>
      </c>
      <c r="B75" s="8">
        <v>44999</v>
      </c>
      <c r="C75" s="4"/>
      <c r="D75" s="4" t="s">
        <v>42</v>
      </c>
      <c r="E75" s="8">
        <v>45016</v>
      </c>
      <c r="F75" s="4" t="s">
        <v>43</v>
      </c>
      <c r="G75" s="4" t="s">
        <v>186</v>
      </c>
      <c r="H75" s="4" t="s">
        <v>45</v>
      </c>
      <c r="I75" s="4" t="s">
        <v>448</v>
      </c>
      <c r="J75" s="10">
        <v>250.03550000000001</v>
      </c>
      <c r="K75" s="10">
        <f>17.606+24.488+24.694+24.704+8.551+24.488+24.877+24.968+24.488+24.62+13.107+3.11+1.69+8.981</f>
        <v>250.37199999999999</v>
      </c>
      <c r="L75" s="10">
        <f t="shared" si="11"/>
        <v>0</v>
      </c>
      <c r="M75" s="10">
        <f t="shared" si="12"/>
        <v>0</v>
      </c>
      <c r="N75" s="10"/>
      <c r="O75" s="10"/>
      <c r="P75" s="10"/>
      <c r="Q75" s="10"/>
      <c r="R75" s="10"/>
      <c r="S75" s="10"/>
      <c r="T75" s="10"/>
      <c r="U75" s="10"/>
      <c r="V75" s="4" t="s">
        <v>536</v>
      </c>
      <c r="W75" s="4"/>
      <c r="X75" s="8">
        <v>44995</v>
      </c>
      <c r="Y75" s="4"/>
      <c r="Z75" s="4"/>
      <c r="AA75" s="8">
        <v>45003</v>
      </c>
      <c r="AB75" s="8">
        <v>45037</v>
      </c>
      <c r="AC75" s="4"/>
      <c r="AD75" s="4"/>
    </row>
    <row r="76" spans="1:30" hidden="1">
      <c r="A76" s="4">
        <v>1937</v>
      </c>
      <c r="B76" s="8">
        <v>44999</v>
      </c>
      <c r="C76" s="4"/>
      <c r="D76" s="4" t="s">
        <v>42</v>
      </c>
      <c r="E76" s="8">
        <v>45016</v>
      </c>
      <c r="F76" s="4" t="s">
        <v>43</v>
      </c>
      <c r="G76" s="4" t="s">
        <v>186</v>
      </c>
      <c r="H76" s="4" t="s">
        <v>45</v>
      </c>
      <c r="I76" s="4" t="s">
        <v>432</v>
      </c>
      <c r="J76" s="10">
        <v>3.7496900000000002</v>
      </c>
      <c r="K76" s="10">
        <f>2.81+0.94</f>
        <v>3.75</v>
      </c>
      <c r="L76" s="10">
        <f t="shared" si="11"/>
        <v>0</v>
      </c>
      <c r="M76" s="10">
        <f t="shared" si="12"/>
        <v>0</v>
      </c>
      <c r="N76" s="10"/>
      <c r="O76" s="10"/>
      <c r="P76" s="10"/>
      <c r="Q76" s="10"/>
      <c r="R76" s="10"/>
      <c r="S76" s="10"/>
      <c r="T76" s="10"/>
      <c r="U76" s="10"/>
      <c r="V76" s="4" t="s">
        <v>536</v>
      </c>
      <c r="W76" s="4"/>
      <c r="X76" s="8">
        <v>45023</v>
      </c>
      <c r="Y76" s="4"/>
      <c r="Z76" s="4"/>
      <c r="AA76" s="8">
        <v>45029</v>
      </c>
      <c r="AB76" s="8">
        <v>45033</v>
      </c>
      <c r="AC76" s="4"/>
      <c r="AD76" s="4"/>
    </row>
    <row r="77" spans="1:30" hidden="1">
      <c r="A77" s="4">
        <v>1937</v>
      </c>
      <c r="B77" s="8">
        <v>44999</v>
      </c>
      <c r="C77" s="4"/>
      <c r="D77" s="4" t="s">
        <v>42</v>
      </c>
      <c r="E77" s="8">
        <v>45016</v>
      </c>
      <c r="F77" s="4" t="s">
        <v>43</v>
      </c>
      <c r="G77" s="4" t="s">
        <v>186</v>
      </c>
      <c r="H77" s="4" t="s">
        <v>45</v>
      </c>
      <c r="I77" s="4" t="s">
        <v>434</v>
      </c>
      <c r="J77" s="10">
        <v>36.454844000000001</v>
      </c>
      <c r="K77" s="10">
        <f>7.747+0.837+9.943+8.141+4.279+2.975+2.564</f>
        <v>36.485999999999997</v>
      </c>
      <c r="L77" s="10">
        <f t="shared" si="11"/>
        <v>0</v>
      </c>
      <c r="M77" s="10">
        <f t="shared" si="12"/>
        <v>0</v>
      </c>
      <c r="N77" s="10"/>
      <c r="O77" s="10"/>
      <c r="P77" s="10"/>
      <c r="Q77" s="10"/>
      <c r="R77" s="10"/>
      <c r="S77" s="10"/>
      <c r="T77" s="10"/>
      <c r="U77" s="10"/>
      <c r="V77" s="4" t="s">
        <v>536</v>
      </c>
      <c r="W77" s="4"/>
      <c r="X77" s="8">
        <v>45001</v>
      </c>
      <c r="Y77" s="4"/>
      <c r="Z77" s="4"/>
      <c r="AA77" s="8">
        <v>45010</v>
      </c>
      <c r="AB77" s="8">
        <v>45037</v>
      </c>
      <c r="AC77" s="4"/>
      <c r="AD77" s="4"/>
    </row>
    <row r="78" spans="1:30" hidden="1">
      <c r="A78" s="4">
        <v>1937</v>
      </c>
      <c r="B78" s="8">
        <v>44999</v>
      </c>
      <c r="C78" s="4" t="s">
        <v>563</v>
      </c>
      <c r="D78" s="4" t="s">
        <v>397</v>
      </c>
      <c r="E78" s="8">
        <v>45016</v>
      </c>
      <c r="F78" s="4" t="s">
        <v>43</v>
      </c>
      <c r="G78" s="4" t="s">
        <v>520</v>
      </c>
      <c r="H78" s="4" t="s">
        <v>52</v>
      </c>
      <c r="I78" s="4" t="s">
        <v>54</v>
      </c>
      <c r="J78" s="10">
        <v>44.434109999999997</v>
      </c>
      <c r="K78" s="10">
        <f>14.098+24.308+1.653+4.385</f>
        <v>44.443999999999996</v>
      </c>
      <c r="L78" s="10">
        <f t="shared" si="11"/>
        <v>0</v>
      </c>
      <c r="M78" s="10">
        <f t="shared" si="12"/>
        <v>0</v>
      </c>
      <c r="N78" s="10"/>
      <c r="O78" s="10"/>
      <c r="P78" s="10"/>
      <c r="Q78" s="10"/>
      <c r="R78" s="10"/>
      <c r="S78" s="10"/>
      <c r="T78" s="10"/>
      <c r="U78" s="10"/>
      <c r="V78" s="4" t="s">
        <v>536</v>
      </c>
      <c r="W78" s="4" t="s">
        <v>567</v>
      </c>
      <c r="X78" s="8">
        <v>45008</v>
      </c>
      <c r="Y78" s="4"/>
      <c r="Z78" s="4"/>
      <c r="AA78" s="8">
        <v>45010</v>
      </c>
      <c r="AB78" s="8">
        <v>45037</v>
      </c>
      <c r="AC78" s="4"/>
      <c r="AD78" s="4"/>
    </row>
    <row r="79" spans="1:30" hidden="1">
      <c r="A79" s="4">
        <v>1937</v>
      </c>
      <c r="B79" s="8">
        <v>44999</v>
      </c>
      <c r="C79" s="4"/>
      <c r="D79" s="4" t="s">
        <v>42</v>
      </c>
      <c r="E79" s="8">
        <v>45016</v>
      </c>
      <c r="F79" s="4" t="s">
        <v>43</v>
      </c>
      <c r="G79" s="4" t="s">
        <v>520</v>
      </c>
      <c r="H79" s="4" t="s">
        <v>52</v>
      </c>
      <c r="I79" s="4" t="s">
        <v>56</v>
      </c>
      <c r="J79" s="10">
        <v>34.537577475728156</v>
      </c>
      <c r="K79" s="10">
        <f>6.001+11.71+0.402+7.37+0.965+8.035</f>
        <v>34.483000000000004</v>
      </c>
      <c r="L79" s="10">
        <f t="shared" si="11"/>
        <v>0</v>
      </c>
      <c r="M79" s="10">
        <f>SUM(N79:T79)</f>
        <v>0</v>
      </c>
      <c r="N79" s="10"/>
      <c r="O79" s="10"/>
      <c r="P79" s="10"/>
      <c r="Q79" s="10"/>
      <c r="R79" s="10"/>
      <c r="S79" s="10"/>
      <c r="T79" s="10"/>
      <c r="U79" s="10"/>
      <c r="V79" s="4" t="s">
        <v>536</v>
      </c>
      <c r="W79" s="4"/>
      <c r="X79" s="8">
        <v>45008</v>
      </c>
      <c r="Y79" s="4"/>
      <c r="Z79" s="4"/>
      <c r="AA79" s="8">
        <v>45010</v>
      </c>
      <c r="AB79" s="8">
        <v>45027</v>
      </c>
      <c r="AC79" s="4"/>
      <c r="AD79" s="4"/>
    </row>
    <row r="80" spans="1:30" hidden="1">
      <c r="A80" s="4">
        <v>1937</v>
      </c>
      <c r="B80" s="8">
        <v>44999</v>
      </c>
      <c r="C80" s="4" t="s">
        <v>563</v>
      </c>
      <c r="D80" s="4" t="s">
        <v>397</v>
      </c>
      <c r="E80" s="8">
        <v>45016</v>
      </c>
      <c r="F80" s="4" t="s">
        <v>43</v>
      </c>
      <c r="G80" s="4" t="s">
        <v>520</v>
      </c>
      <c r="H80" s="4" t="s">
        <v>52</v>
      </c>
      <c r="I80" s="4" t="s">
        <v>48</v>
      </c>
      <c r="J80" s="10">
        <v>23.003675999999999</v>
      </c>
      <c r="K80" s="10">
        <f>5.7+1.028+8.015+1.316+6.943</f>
        <v>23.002000000000002</v>
      </c>
      <c r="L80" s="10">
        <f t="shared" si="11"/>
        <v>0</v>
      </c>
      <c r="M80" s="10">
        <f t="shared" si="12"/>
        <v>0</v>
      </c>
      <c r="N80" s="10"/>
      <c r="O80" s="10"/>
      <c r="P80" s="10"/>
      <c r="Q80" s="10"/>
      <c r="R80" s="10"/>
      <c r="S80" s="10"/>
      <c r="T80" s="10"/>
      <c r="U80" s="10"/>
      <c r="V80" s="4" t="s">
        <v>536</v>
      </c>
      <c r="W80" s="4"/>
      <c r="X80" s="8">
        <v>45008</v>
      </c>
      <c r="Y80" s="4"/>
      <c r="Z80" s="4"/>
      <c r="AA80" s="8">
        <v>45009</v>
      </c>
      <c r="AB80" s="8"/>
      <c r="AC80" s="4"/>
      <c r="AD80" s="4"/>
    </row>
    <row r="81" spans="1:30" hidden="1">
      <c r="A81" s="4">
        <v>1937</v>
      </c>
      <c r="B81" s="8">
        <v>44999</v>
      </c>
      <c r="C81" s="4" t="s">
        <v>563</v>
      </c>
      <c r="D81" s="4" t="s">
        <v>397</v>
      </c>
      <c r="E81" s="8">
        <v>45016</v>
      </c>
      <c r="F81" s="4" t="s">
        <v>43</v>
      </c>
      <c r="G81" s="4" t="s">
        <v>520</v>
      </c>
      <c r="H81" s="4" t="s">
        <v>52</v>
      </c>
      <c r="I81" s="4" t="s">
        <v>516</v>
      </c>
      <c r="J81" s="10">
        <v>12.15024</v>
      </c>
      <c r="K81" s="10">
        <f>1.479+5.539+5.222</f>
        <v>12.24</v>
      </c>
      <c r="L81" s="10">
        <f t="shared" si="11"/>
        <v>0</v>
      </c>
      <c r="M81" s="10">
        <f>SUM(N81:T81)</f>
        <v>0</v>
      </c>
      <c r="N81" s="10"/>
      <c r="O81" s="10"/>
      <c r="P81" s="10"/>
      <c r="Q81" s="10"/>
      <c r="R81" s="10"/>
      <c r="S81" s="10"/>
      <c r="T81" s="10"/>
      <c r="U81" s="10"/>
      <c r="V81" s="4" t="s">
        <v>536</v>
      </c>
      <c r="W81" s="4"/>
      <c r="X81" s="8">
        <v>45008</v>
      </c>
      <c r="Y81" s="4"/>
      <c r="Z81" s="4"/>
      <c r="AA81" s="8"/>
      <c r="AB81" s="8">
        <v>45027</v>
      </c>
      <c r="AC81" s="4"/>
      <c r="AD81" s="4"/>
    </row>
    <row r="82" spans="1:30" hidden="1">
      <c r="A82" s="4">
        <v>1937</v>
      </c>
      <c r="B82" s="8">
        <v>44999</v>
      </c>
      <c r="C82" s="4" t="s">
        <v>563</v>
      </c>
      <c r="D82" s="4" t="s">
        <v>397</v>
      </c>
      <c r="E82" s="8">
        <v>45016</v>
      </c>
      <c r="F82" s="4" t="s">
        <v>43</v>
      </c>
      <c r="G82" s="4" t="s">
        <v>520</v>
      </c>
      <c r="H82" s="4" t="s">
        <v>52</v>
      </c>
      <c r="I82" s="4" t="s">
        <v>432</v>
      </c>
      <c r="J82" s="10">
        <f>5.617+4.623+0.832+0.544</f>
        <v>11.616000000000001</v>
      </c>
      <c r="K82" s="10">
        <f>5.617+4.623+0.832+0.544</f>
        <v>11.616000000000001</v>
      </c>
      <c r="L82" s="10">
        <f t="shared" si="11"/>
        <v>0</v>
      </c>
      <c r="M82" s="10">
        <f t="shared" si="12"/>
        <v>0</v>
      </c>
      <c r="N82" s="10"/>
      <c r="O82" s="10"/>
      <c r="P82" s="10"/>
      <c r="Q82" s="10"/>
      <c r="R82" s="10"/>
      <c r="S82" s="10"/>
      <c r="T82" s="10"/>
      <c r="U82" s="10"/>
      <c r="V82" s="4" t="s">
        <v>536</v>
      </c>
      <c r="W82" s="4" t="s">
        <v>590</v>
      </c>
      <c r="X82" s="8">
        <v>45022</v>
      </c>
      <c r="Y82" s="4"/>
      <c r="Z82" s="4"/>
      <c r="AA82" s="8"/>
      <c r="AB82" s="8"/>
      <c r="AC82" s="4"/>
      <c r="AD82" s="4"/>
    </row>
    <row r="83" spans="1:30" hidden="1">
      <c r="A83" s="4">
        <v>1937</v>
      </c>
      <c r="B83" s="8">
        <v>44999</v>
      </c>
      <c r="C83" s="4" t="s">
        <v>563</v>
      </c>
      <c r="D83" s="4" t="s">
        <v>397</v>
      </c>
      <c r="E83" s="8">
        <v>45016</v>
      </c>
      <c r="F83" s="4" t="s">
        <v>43</v>
      </c>
      <c r="G83" s="4" t="s">
        <v>520</v>
      </c>
      <c r="H83" s="4" t="s">
        <v>52</v>
      </c>
      <c r="I83" s="4" t="s">
        <v>434</v>
      </c>
      <c r="J83" s="10">
        <v>99.038619999999995</v>
      </c>
      <c r="K83" s="10">
        <f>11.625+17.376+1.986+0.454+25.229+24.51+6.245+4.184+1.927+2.995+2.736</f>
        <v>99.267000000000024</v>
      </c>
      <c r="L83" s="10">
        <f t="shared" si="11"/>
        <v>0</v>
      </c>
      <c r="M83" s="10">
        <f t="shared" si="12"/>
        <v>0</v>
      </c>
      <c r="N83" s="10"/>
      <c r="O83" s="10"/>
      <c r="P83" s="10"/>
      <c r="Q83" s="10"/>
      <c r="R83" s="10"/>
      <c r="S83" s="10"/>
      <c r="T83" s="10"/>
      <c r="U83" s="10"/>
      <c r="V83" s="4" t="s">
        <v>536</v>
      </c>
      <c r="W83" s="4"/>
      <c r="X83" s="8">
        <v>45001</v>
      </c>
      <c r="Y83" s="4"/>
      <c r="Z83" s="4"/>
      <c r="AA83" s="8">
        <v>45009</v>
      </c>
      <c r="AB83" s="8">
        <v>45037</v>
      </c>
      <c r="AC83" s="4"/>
      <c r="AD83" s="4"/>
    </row>
    <row r="84" spans="1:30" hidden="1">
      <c r="A84" s="4">
        <v>1937</v>
      </c>
      <c r="B84" s="8">
        <v>44999</v>
      </c>
      <c r="C84" s="4"/>
      <c r="D84" s="4" t="s">
        <v>42</v>
      </c>
      <c r="E84" s="8">
        <v>45016</v>
      </c>
      <c r="F84" s="4" t="s">
        <v>43</v>
      </c>
      <c r="G84" s="4" t="s">
        <v>520</v>
      </c>
      <c r="H84" s="4" t="s">
        <v>52</v>
      </c>
      <c r="I84" s="4" t="s">
        <v>89</v>
      </c>
      <c r="J84" s="10">
        <v>255.01447966666666</v>
      </c>
      <c r="K84" s="10">
        <f>23.134+24.543+24.576+20.298+2.789+2.169+5.549+5.719+24.552+24.852+28.292+24.567+24.758+18.451+0.787</f>
        <v>255.03600000000003</v>
      </c>
      <c r="L84" s="10">
        <f t="shared" si="11"/>
        <v>0</v>
      </c>
      <c r="M84" s="10">
        <f t="shared" si="12"/>
        <v>0</v>
      </c>
      <c r="N84" s="10"/>
      <c r="O84" s="10"/>
      <c r="P84" s="10"/>
      <c r="Q84" s="10"/>
      <c r="R84" s="10"/>
      <c r="S84" s="10"/>
      <c r="T84" s="10"/>
      <c r="U84" s="10"/>
      <c r="V84" s="4" t="s">
        <v>536</v>
      </c>
      <c r="W84" s="4"/>
      <c r="X84" s="8">
        <v>44997</v>
      </c>
      <c r="Y84" s="4"/>
      <c r="Z84" s="4"/>
      <c r="AA84" s="8">
        <v>45003</v>
      </c>
      <c r="AB84" s="8">
        <v>45037</v>
      </c>
      <c r="AC84" s="4"/>
      <c r="AD84" s="4"/>
    </row>
    <row r="85" spans="1:30" hidden="1">
      <c r="A85" s="4">
        <v>1937</v>
      </c>
      <c r="B85" s="8">
        <v>44999</v>
      </c>
      <c r="C85" s="4" t="s">
        <v>563</v>
      </c>
      <c r="D85" s="4" t="s">
        <v>397</v>
      </c>
      <c r="E85" s="8">
        <v>45016</v>
      </c>
      <c r="F85" s="4" t="s">
        <v>43</v>
      </c>
      <c r="G85" s="4" t="s">
        <v>520</v>
      </c>
      <c r="H85" s="4" t="s">
        <v>52</v>
      </c>
      <c r="I85" s="4" t="s">
        <v>87</v>
      </c>
      <c r="J85" s="10">
        <v>60.068267999999996</v>
      </c>
      <c r="K85" s="10">
        <f>3.64+7.203+20.652+24.858+3.701</f>
        <v>60.054000000000002</v>
      </c>
      <c r="L85" s="10">
        <f t="shared" si="11"/>
        <v>0</v>
      </c>
      <c r="M85" s="10">
        <f t="shared" si="12"/>
        <v>0</v>
      </c>
      <c r="N85" s="10"/>
      <c r="O85" s="10"/>
      <c r="P85" s="10"/>
      <c r="Q85" s="10"/>
      <c r="R85" s="10"/>
      <c r="S85" s="10"/>
      <c r="T85" s="10"/>
      <c r="U85" s="10"/>
      <c r="V85" s="4" t="s">
        <v>536</v>
      </c>
      <c r="W85" s="4"/>
      <c r="X85" s="8">
        <v>44999</v>
      </c>
      <c r="Y85" s="4"/>
      <c r="Z85" s="4"/>
      <c r="AA85" s="8">
        <v>45009</v>
      </c>
      <c r="AB85" s="8">
        <v>45033</v>
      </c>
      <c r="AC85" s="4"/>
      <c r="AD85" s="4"/>
    </row>
    <row r="86" spans="1:30" hidden="1">
      <c r="A86" s="4">
        <v>1937</v>
      </c>
      <c r="B86" s="8">
        <v>44999</v>
      </c>
      <c r="C86" s="4"/>
      <c r="D86" s="4" t="s">
        <v>42</v>
      </c>
      <c r="E86" s="8">
        <v>45016</v>
      </c>
      <c r="F86" s="4" t="s">
        <v>43</v>
      </c>
      <c r="G86" s="4" t="s">
        <v>396</v>
      </c>
      <c r="H86" s="4" t="s">
        <v>45</v>
      </c>
      <c r="I86" s="4" t="s">
        <v>517</v>
      </c>
      <c r="J86" s="10">
        <v>15.43</v>
      </c>
      <c r="K86" s="10">
        <v>15.441000000000001</v>
      </c>
      <c r="L86" s="10">
        <f t="shared" si="11"/>
        <v>0</v>
      </c>
      <c r="M86" s="10">
        <f t="shared" si="12"/>
        <v>0</v>
      </c>
      <c r="N86" s="10"/>
      <c r="O86" s="10"/>
      <c r="P86" s="10"/>
      <c r="Q86" s="10"/>
      <c r="R86" s="10"/>
      <c r="S86" s="10"/>
      <c r="T86" s="10"/>
      <c r="U86" s="10"/>
      <c r="V86" s="4" t="s">
        <v>391</v>
      </c>
      <c r="W86" s="4" t="s">
        <v>557</v>
      </c>
      <c r="X86" s="8">
        <v>44996</v>
      </c>
      <c r="Y86" s="4"/>
      <c r="Z86" s="4"/>
      <c r="AA86" s="8">
        <v>45007</v>
      </c>
      <c r="AB86" s="8">
        <v>45007</v>
      </c>
      <c r="AC86" s="4"/>
      <c r="AD86" s="4"/>
    </row>
    <row r="87" spans="1:30" hidden="1">
      <c r="A87" s="4">
        <v>123</v>
      </c>
      <c r="B87" s="8">
        <v>45043</v>
      </c>
      <c r="C87" s="4"/>
      <c r="D87" s="4" t="s">
        <v>42</v>
      </c>
      <c r="E87" s="8">
        <v>45053</v>
      </c>
      <c r="F87" s="4" t="s">
        <v>43</v>
      </c>
      <c r="G87" s="4" t="s">
        <v>94</v>
      </c>
      <c r="H87" s="4" t="s">
        <v>45</v>
      </c>
      <c r="I87" s="4" t="s">
        <v>49</v>
      </c>
      <c r="J87" s="10">
        <v>5.36</v>
      </c>
      <c r="K87" s="10">
        <f>4.668+0.692</f>
        <v>5.36</v>
      </c>
      <c r="L87" s="10">
        <f t="shared" ref="L87" si="13">M87+U87</f>
        <v>0</v>
      </c>
      <c r="M87" s="10">
        <f>SUM(N87:T87)</f>
        <v>0</v>
      </c>
      <c r="N87" s="10"/>
      <c r="O87" s="10"/>
      <c r="P87" s="10"/>
      <c r="Q87" s="10"/>
      <c r="R87" s="10"/>
      <c r="S87" s="10"/>
      <c r="T87" s="10"/>
      <c r="U87" s="10"/>
      <c r="V87" s="4" t="s">
        <v>652</v>
      </c>
      <c r="W87" s="4"/>
      <c r="X87" s="8">
        <v>45075</v>
      </c>
      <c r="Y87" s="4"/>
      <c r="Z87" s="4"/>
      <c r="AA87" s="8">
        <v>45085</v>
      </c>
      <c r="AB87" s="8">
        <v>45088</v>
      </c>
      <c r="AC87" s="4"/>
      <c r="AD87" s="4"/>
    </row>
    <row r="88" spans="1:30" hidden="1">
      <c r="A88" s="4">
        <v>123</v>
      </c>
      <c r="B88" s="8">
        <v>45043</v>
      </c>
      <c r="C88" s="4"/>
      <c r="D88" s="4" t="s">
        <v>42</v>
      </c>
      <c r="E88" s="8">
        <v>45053</v>
      </c>
      <c r="F88" s="4" t="s">
        <v>43</v>
      </c>
      <c r="G88" s="4" t="s">
        <v>94</v>
      </c>
      <c r="H88" s="4" t="s">
        <v>45</v>
      </c>
      <c r="I88" s="4" t="s">
        <v>407</v>
      </c>
      <c r="J88" s="10">
        <v>8.620000000000001</v>
      </c>
      <c r="K88" s="10">
        <f>8.291+0.317</f>
        <v>8.6080000000000005</v>
      </c>
      <c r="L88" s="10">
        <f t="shared" ref="L88:L137" si="14">M88+U88</f>
        <v>0</v>
      </c>
      <c r="M88" s="10">
        <f t="shared" ref="M88:M138" si="15">SUM(N88:T88)</f>
        <v>0</v>
      </c>
      <c r="N88" s="10"/>
      <c r="O88" s="10"/>
      <c r="P88" s="10"/>
      <c r="Q88" s="10"/>
      <c r="R88" s="10"/>
      <c r="S88" s="10"/>
      <c r="T88" s="10"/>
      <c r="U88" s="10"/>
      <c r="V88" s="4" t="s">
        <v>652</v>
      </c>
      <c r="W88" s="4"/>
      <c r="X88" s="8">
        <v>45066</v>
      </c>
      <c r="Y88" s="4"/>
      <c r="Z88" s="4"/>
      <c r="AA88" s="8">
        <v>45079</v>
      </c>
      <c r="AB88" s="8">
        <v>45104</v>
      </c>
      <c r="AC88" s="4"/>
      <c r="AD88" s="4"/>
    </row>
    <row r="89" spans="1:30" hidden="1">
      <c r="A89" s="4">
        <v>123</v>
      </c>
      <c r="B89" s="8">
        <v>45043</v>
      </c>
      <c r="C89" s="4"/>
      <c r="D89" s="4" t="s">
        <v>42</v>
      </c>
      <c r="E89" s="8">
        <v>45053</v>
      </c>
      <c r="F89" s="4" t="s">
        <v>43</v>
      </c>
      <c r="G89" s="4" t="s">
        <v>94</v>
      </c>
      <c r="H89" s="4" t="s">
        <v>45</v>
      </c>
      <c r="I89" s="4" t="s">
        <v>409</v>
      </c>
      <c r="J89" s="10">
        <v>3.51</v>
      </c>
      <c r="K89" s="10">
        <v>3.5110000000000001</v>
      </c>
      <c r="L89" s="10">
        <f t="shared" si="14"/>
        <v>0</v>
      </c>
      <c r="M89" s="10">
        <f t="shared" si="15"/>
        <v>0</v>
      </c>
      <c r="N89" s="10"/>
      <c r="O89" s="10"/>
      <c r="P89" s="10"/>
      <c r="Q89" s="10"/>
      <c r="R89" s="10"/>
      <c r="S89" s="10"/>
      <c r="T89" s="10"/>
      <c r="U89" s="10"/>
      <c r="V89" s="4" t="s">
        <v>652</v>
      </c>
      <c r="W89" s="4" t="s">
        <v>521</v>
      </c>
      <c r="X89" s="8">
        <v>45066</v>
      </c>
      <c r="Y89" s="4"/>
      <c r="Z89" s="4"/>
      <c r="AA89" s="8"/>
      <c r="AB89" s="8">
        <v>45088</v>
      </c>
      <c r="AC89" s="4"/>
      <c r="AD89" s="4"/>
    </row>
    <row r="90" spans="1:30" hidden="1">
      <c r="A90" s="4">
        <v>123</v>
      </c>
      <c r="B90" s="8">
        <v>45043</v>
      </c>
      <c r="C90" s="4"/>
      <c r="D90" s="4" t="s">
        <v>42</v>
      </c>
      <c r="E90" s="8">
        <v>45053</v>
      </c>
      <c r="F90" s="4" t="s">
        <v>43</v>
      </c>
      <c r="G90" s="4" t="s">
        <v>94</v>
      </c>
      <c r="H90" s="4" t="s">
        <v>45</v>
      </c>
      <c r="I90" s="4" t="s">
        <v>519</v>
      </c>
      <c r="J90" s="10">
        <v>12.01</v>
      </c>
      <c r="K90" s="10">
        <f>6.003+5.998</f>
        <v>12.001000000000001</v>
      </c>
      <c r="L90" s="10">
        <f t="shared" si="14"/>
        <v>0</v>
      </c>
      <c r="M90" s="10">
        <f t="shared" si="15"/>
        <v>0</v>
      </c>
      <c r="N90" s="10"/>
      <c r="O90" s="10"/>
      <c r="P90" s="10"/>
      <c r="Q90" s="10"/>
      <c r="R90" s="10"/>
      <c r="S90" s="10">
        <v>0</v>
      </c>
      <c r="T90" s="10"/>
      <c r="U90" s="10"/>
      <c r="V90" s="4" t="s">
        <v>652</v>
      </c>
      <c r="W90" s="4"/>
      <c r="X90" s="8">
        <v>45040</v>
      </c>
      <c r="Y90" s="4"/>
      <c r="Z90" s="4"/>
      <c r="AA90" s="8">
        <v>45059</v>
      </c>
      <c r="AB90" s="8">
        <v>45060</v>
      </c>
      <c r="AC90" s="4"/>
      <c r="AD90" s="4"/>
    </row>
    <row r="91" spans="1:30" hidden="1">
      <c r="A91" s="4">
        <v>123</v>
      </c>
      <c r="B91" s="8">
        <v>45043</v>
      </c>
      <c r="C91" s="4"/>
      <c r="D91" s="4" t="s">
        <v>42</v>
      </c>
      <c r="E91" s="8">
        <v>45053</v>
      </c>
      <c r="F91" s="4" t="s">
        <v>43</v>
      </c>
      <c r="G91" s="4" t="s">
        <v>94</v>
      </c>
      <c r="H91" s="4" t="s">
        <v>45</v>
      </c>
      <c r="I91" s="4" t="s">
        <v>517</v>
      </c>
      <c r="J91" s="10">
        <v>17.750000000000004</v>
      </c>
      <c r="K91" s="10">
        <f>15.949+1.802</f>
        <v>17.751000000000001</v>
      </c>
      <c r="L91" s="10">
        <f t="shared" si="14"/>
        <v>0</v>
      </c>
      <c r="M91" s="10">
        <f t="shared" si="15"/>
        <v>0</v>
      </c>
      <c r="N91" s="10"/>
      <c r="O91" s="10"/>
      <c r="P91" s="10"/>
      <c r="Q91" s="10"/>
      <c r="R91" s="10"/>
      <c r="S91" s="10"/>
      <c r="T91" s="10"/>
      <c r="U91" s="10"/>
      <c r="V91" s="4" t="s">
        <v>652</v>
      </c>
      <c r="W91" s="4" t="s">
        <v>649</v>
      </c>
      <c r="X91" s="8">
        <v>45040</v>
      </c>
      <c r="Y91" s="4"/>
      <c r="Z91" s="4"/>
      <c r="AA91" s="8">
        <v>45060</v>
      </c>
      <c r="AB91" s="8">
        <v>45061</v>
      </c>
      <c r="AC91" s="4"/>
      <c r="AD91" s="4"/>
    </row>
    <row r="92" spans="1:30" hidden="1">
      <c r="A92" s="4">
        <v>123</v>
      </c>
      <c r="B92" s="8">
        <v>45043</v>
      </c>
      <c r="C92" s="4"/>
      <c r="D92" s="4" t="s">
        <v>42</v>
      </c>
      <c r="E92" s="8">
        <v>45053</v>
      </c>
      <c r="F92" s="4" t="s">
        <v>43</v>
      </c>
      <c r="G92" s="4" t="s">
        <v>94</v>
      </c>
      <c r="H92" s="4" t="s">
        <v>45</v>
      </c>
      <c r="I92" s="4" t="s">
        <v>579</v>
      </c>
      <c r="J92" s="10">
        <v>13.290000000000001</v>
      </c>
      <c r="K92" s="10">
        <f>5.132+8.159</f>
        <v>13.291</v>
      </c>
      <c r="L92" s="10">
        <f t="shared" si="14"/>
        <v>0</v>
      </c>
      <c r="M92" s="10">
        <f t="shared" si="15"/>
        <v>0</v>
      </c>
      <c r="N92" s="10"/>
      <c r="O92" s="10"/>
      <c r="P92" s="10"/>
      <c r="Q92" s="10"/>
      <c r="R92" s="10"/>
      <c r="S92" s="10">
        <v>0</v>
      </c>
      <c r="T92" s="10"/>
      <c r="U92" s="10"/>
      <c r="V92" s="4" t="s">
        <v>652</v>
      </c>
      <c r="W92" s="4"/>
      <c r="X92" s="8">
        <v>45040</v>
      </c>
      <c r="Y92" s="4"/>
      <c r="Z92" s="4"/>
      <c r="AA92" s="8">
        <v>45059</v>
      </c>
      <c r="AB92" s="8">
        <v>45060</v>
      </c>
      <c r="AC92" s="4"/>
      <c r="AD92" s="4"/>
    </row>
    <row r="93" spans="1:30" hidden="1">
      <c r="A93" s="4">
        <v>123</v>
      </c>
      <c r="B93" s="8">
        <v>45043</v>
      </c>
      <c r="C93" s="4"/>
      <c r="D93" s="4" t="s">
        <v>42</v>
      </c>
      <c r="E93" s="8">
        <v>45053</v>
      </c>
      <c r="F93" s="4" t="s">
        <v>43</v>
      </c>
      <c r="G93" s="4" t="s">
        <v>94</v>
      </c>
      <c r="H93" s="4" t="s">
        <v>45</v>
      </c>
      <c r="I93" s="4" t="s">
        <v>448</v>
      </c>
      <c r="J93" s="10">
        <v>7.8500000000000005</v>
      </c>
      <c r="K93" s="10">
        <f>4.827+3.015</f>
        <v>7.8420000000000005</v>
      </c>
      <c r="L93" s="10">
        <f t="shared" si="14"/>
        <v>0</v>
      </c>
      <c r="M93" s="10">
        <f t="shared" si="15"/>
        <v>0</v>
      </c>
      <c r="N93" s="10"/>
      <c r="O93" s="10"/>
      <c r="P93" s="10"/>
      <c r="Q93" s="10"/>
      <c r="R93" s="10"/>
      <c r="S93" s="10"/>
      <c r="T93" s="10"/>
      <c r="U93" s="10"/>
      <c r="V93" s="4" t="s">
        <v>652</v>
      </c>
      <c r="W93" s="4" t="s">
        <v>649</v>
      </c>
      <c r="X93" s="8">
        <v>45040</v>
      </c>
      <c r="Y93" s="4"/>
      <c r="Z93" s="4"/>
      <c r="AA93" s="8"/>
      <c r="AB93" s="8">
        <v>45070</v>
      </c>
      <c r="AC93" s="4"/>
      <c r="AD93" s="4"/>
    </row>
    <row r="94" spans="1:30" hidden="1">
      <c r="A94" s="4">
        <v>123</v>
      </c>
      <c r="B94" s="8">
        <v>45043</v>
      </c>
      <c r="C94" s="4"/>
      <c r="D94" s="4" t="s">
        <v>42</v>
      </c>
      <c r="E94" s="8">
        <v>45053</v>
      </c>
      <c r="F94" s="4" t="s">
        <v>43</v>
      </c>
      <c r="G94" s="4" t="s">
        <v>94</v>
      </c>
      <c r="H94" s="4" t="s">
        <v>45</v>
      </c>
      <c r="I94" s="4" t="s">
        <v>449</v>
      </c>
      <c r="J94" s="10">
        <v>8.8099999999999987</v>
      </c>
      <c r="K94" s="10">
        <f>3.81+3.806+1.199</f>
        <v>8.8149999999999995</v>
      </c>
      <c r="L94" s="10">
        <f t="shared" si="14"/>
        <v>0</v>
      </c>
      <c r="M94" s="10">
        <f t="shared" si="15"/>
        <v>0</v>
      </c>
      <c r="N94" s="10"/>
      <c r="O94" s="10"/>
      <c r="P94" s="10"/>
      <c r="Q94" s="10"/>
      <c r="R94" s="10"/>
      <c r="S94" s="10"/>
      <c r="T94" s="10"/>
      <c r="U94" s="10"/>
      <c r="V94" s="4" t="s">
        <v>652</v>
      </c>
      <c r="W94" s="4" t="s">
        <v>649</v>
      </c>
      <c r="X94" s="8">
        <v>45040</v>
      </c>
      <c r="Y94" s="4"/>
      <c r="Z94" s="4"/>
      <c r="AA94" s="8">
        <v>45060</v>
      </c>
      <c r="AB94" s="8">
        <v>45070</v>
      </c>
      <c r="AC94" s="4"/>
      <c r="AD94" s="4"/>
    </row>
    <row r="95" spans="1:30" hidden="1">
      <c r="A95" s="4">
        <v>123</v>
      </c>
      <c r="B95" s="8">
        <v>45043</v>
      </c>
      <c r="C95" s="4"/>
      <c r="D95" s="4" t="s">
        <v>42</v>
      </c>
      <c r="E95" s="8">
        <v>45053</v>
      </c>
      <c r="F95" s="4" t="s">
        <v>43</v>
      </c>
      <c r="G95" s="4" t="s">
        <v>94</v>
      </c>
      <c r="H95" s="4" t="s">
        <v>45</v>
      </c>
      <c r="I95" s="4" t="s">
        <v>447</v>
      </c>
      <c r="J95" s="10">
        <v>50.440000000000005</v>
      </c>
      <c r="K95" s="10">
        <f>24.687+9.926+4.338+8.979+2.518</f>
        <v>50.448</v>
      </c>
      <c r="L95" s="10">
        <f t="shared" si="14"/>
        <v>0</v>
      </c>
      <c r="M95" s="10">
        <f t="shared" si="15"/>
        <v>0</v>
      </c>
      <c r="N95" s="10"/>
      <c r="O95" s="10"/>
      <c r="P95" s="10"/>
      <c r="Q95" s="10"/>
      <c r="R95" s="10"/>
      <c r="S95" s="10"/>
      <c r="T95" s="10"/>
      <c r="U95" s="10"/>
      <c r="V95" s="4" t="s">
        <v>652</v>
      </c>
      <c r="W95" s="4" t="s">
        <v>649</v>
      </c>
      <c r="X95" s="8">
        <v>45040</v>
      </c>
      <c r="Y95" s="4"/>
      <c r="Z95" s="4"/>
      <c r="AA95" s="8">
        <v>45059</v>
      </c>
      <c r="AB95" s="8">
        <v>45070</v>
      </c>
      <c r="AC95" s="4"/>
      <c r="AD95" s="4"/>
    </row>
    <row r="96" spans="1:30" hidden="1">
      <c r="A96" s="4">
        <v>123</v>
      </c>
      <c r="B96" s="8">
        <v>45043</v>
      </c>
      <c r="C96" s="4"/>
      <c r="D96" s="4" t="s">
        <v>42</v>
      </c>
      <c r="E96" s="8">
        <v>45053</v>
      </c>
      <c r="F96" s="4" t="s">
        <v>43</v>
      </c>
      <c r="G96" s="4" t="s">
        <v>94</v>
      </c>
      <c r="H96" s="4" t="s">
        <v>45</v>
      </c>
      <c r="I96" s="4" t="s">
        <v>518</v>
      </c>
      <c r="J96" s="10">
        <v>9.08</v>
      </c>
      <c r="K96" s="10">
        <f>5.73+3.637</f>
        <v>9.3670000000000009</v>
      </c>
      <c r="L96" s="10">
        <f t="shared" si="14"/>
        <v>0</v>
      </c>
      <c r="M96" s="10">
        <f t="shared" si="15"/>
        <v>0</v>
      </c>
      <c r="N96" s="10"/>
      <c r="O96" s="10"/>
      <c r="P96" s="10"/>
      <c r="Q96" s="10">
        <f>1.856-2.143+0.287</f>
        <v>0</v>
      </c>
      <c r="R96" s="10"/>
      <c r="S96" s="10"/>
      <c r="T96" s="10"/>
      <c r="U96" s="10"/>
      <c r="V96" s="4" t="s">
        <v>652</v>
      </c>
      <c r="W96" s="4" t="s">
        <v>650</v>
      </c>
      <c r="X96" s="8">
        <v>45040</v>
      </c>
      <c r="Y96" s="4"/>
      <c r="Z96" s="4"/>
      <c r="AA96" s="8">
        <v>45061</v>
      </c>
      <c r="AB96" s="8">
        <v>45061</v>
      </c>
      <c r="AC96" s="4"/>
      <c r="AD96" s="4"/>
    </row>
    <row r="97" spans="1:30" hidden="1">
      <c r="A97" s="4">
        <v>123</v>
      </c>
      <c r="B97" s="8">
        <v>45043</v>
      </c>
      <c r="C97" s="4"/>
      <c r="D97" s="4" t="s">
        <v>42</v>
      </c>
      <c r="E97" s="8">
        <v>45053</v>
      </c>
      <c r="F97" s="4" t="s">
        <v>43</v>
      </c>
      <c r="G97" s="4" t="s">
        <v>93</v>
      </c>
      <c r="H97" s="4" t="s">
        <v>45</v>
      </c>
      <c r="I97" s="4" t="s">
        <v>407</v>
      </c>
      <c r="J97" s="10">
        <v>8.43</v>
      </c>
      <c r="K97" s="10">
        <f>3.501+3.873+1.066</f>
        <v>8.4400000000000013</v>
      </c>
      <c r="L97" s="10">
        <f t="shared" si="14"/>
        <v>0</v>
      </c>
      <c r="M97" s="10">
        <f t="shared" si="15"/>
        <v>0</v>
      </c>
      <c r="N97" s="10"/>
      <c r="O97" s="10"/>
      <c r="P97" s="10"/>
      <c r="Q97" s="10"/>
      <c r="R97" s="10"/>
      <c r="S97" s="10"/>
      <c r="T97" s="10"/>
      <c r="U97" s="10"/>
      <c r="V97" s="4" t="s">
        <v>653</v>
      </c>
      <c r="W97" s="4"/>
      <c r="X97" s="8">
        <v>45066</v>
      </c>
      <c r="Y97" s="4"/>
      <c r="Z97" s="4"/>
      <c r="AA97" s="8">
        <v>45070</v>
      </c>
      <c r="AB97" s="8"/>
      <c r="AC97" s="4"/>
      <c r="AD97" s="4"/>
    </row>
    <row r="98" spans="1:30" hidden="1">
      <c r="A98" s="4">
        <v>123</v>
      </c>
      <c r="B98" s="8">
        <v>45043</v>
      </c>
      <c r="C98" s="4"/>
      <c r="D98" s="4" t="s">
        <v>42</v>
      </c>
      <c r="E98" s="8">
        <v>45053</v>
      </c>
      <c r="F98" s="4" t="s">
        <v>43</v>
      </c>
      <c r="G98" s="4" t="s">
        <v>93</v>
      </c>
      <c r="H98" s="4" t="s">
        <v>45</v>
      </c>
      <c r="I98" s="4" t="s">
        <v>47</v>
      </c>
      <c r="J98" s="10">
        <v>4.25</v>
      </c>
      <c r="K98" s="10">
        <v>4.2510000000000003</v>
      </c>
      <c r="L98" s="10">
        <f t="shared" si="14"/>
        <v>0</v>
      </c>
      <c r="M98" s="10">
        <f t="shared" si="15"/>
        <v>0</v>
      </c>
      <c r="N98" s="10"/>
      <c r="O98" s="10"/>
      <c r="P98" s="10"/>
      <c r="Q98" s="10"/>
      <c r="R98" s="10"/>
      <c r="S98" s="10"/>
      <c r="T98" s="10"/>
      <c r="U98" s="10"/>
      <c r="V98" s="4" t="s">
        <v>653</v>
      </c>
      <c r="W98" s="4"/>
      <c r="X98" s="8">
        <v>45066</v>
      </c>
      <c r="Y98" s="4"/>
      <c r="Z98" s="4"/>
      <c r="AA98" s="8">
        <v>45080</v>
      </c>
      <c r="AB98" s="8">
        <v>45080</v>
      </c>
      <c r="AC98" s="4"/>
      <c r="AD98" s="4"/>
    </row>
    <row r="99" spans="1:30" hidden="1">
      <c r="A99" s="4">
        <v>123</v>
      </c>
      <c r="B99" s="8">
        <v>45043</v>
      </c>
      <c r="C99" s="4"/>
      <c r="D99" s="4" t="s">
        <v>42</v>
      </c>
      <c r="E99" s="8">
        <v>45053</v>
      </c>
      <c r="F99" s="4" t="s">
        <v>43</v>
      </c>
      <c r="G99" s="4" t="s">
        <v>93</v>
      </c>
      <c r="H99" s="4" t="s">
        <v>45</v>
      </c>
      <c r="I99" s="4" t="s">
        <v>448</v>
      </c>
      <c r="J99" s="10">
        <v>2.72</v>
      </c>
      <c r="K99" s="10">
        <v>2.718</v>
      </c>
      <c r="L99" s="10">
        <f t="shared" si="14"/>
        <v>0</v>
      </c>
      <c r="M99" s="10">
        <f t="shared" si="15"/>
        <v>0</v>
      </c>
      <c r="N99" s="10"/>
      <c r="O99" s="10"/>
      <c r="P99" s="10"/>
      <c r="Q99" s="10"/>
      <c r="R99" s="10"/>
      <c r="S99" s="10"/>
      <c r="T99" s="10"/>
      <c r="U99" s="10"/>
      <c r="V99" s="4" t="s">
        <v>653</v>
      </c>
      <c r="W99" s="4" t="s">
        <v>649</v>
      </c>
      <c r="X99" s="8">
        <v>45040</v>
      </c>
      <c r="Y99" s="4"/>
      <c r="Z99" s="4"/>
      <c r="AA99" s="8">
        <v>45061</v>
      </c>
      <c r="AB99" s="8">
        <v>45061</v>
      </c>
      <c r="AC99" s="4"/>
      <c r="AD99" s="4"/>
    </row>
    <row r="100" spans="1:30" hidden="1">
      <c r="A100" s="4">
        <v>123</v>
      </c>
      <c r="B100" s="8">
        <v>45043</v>
      </c>
      <c r="C100" s="4"/>
      <c r="D100" s="4" t="s">
        <v>42</v>
      </c>
      <c r="E100" s="8">
        <v>45053</v>
      </c>
      <c r="F100" s="4" t="s">
        <v>43</v>
      </c>
      <c r="G100" s="4" t="s">
        <v>93</v>
      </c>
      <c r="H100" s="4" t="s">
        <v>45</v>
      </c>
      <c r="I100" s="4" t="s">
        <v>447</v>
      </c>
      <c r="J100" s="10">
        <v>1.1399999999999999</v>
      </c>
      <c r="K100" s="10">
        <v>1.143</v>
      </c>
      <c r="L100" s="10">
        <f t="shared" si="14"/>
        <v>0</v>
      </c>
      <c r="M100" s="10">
        <f t="shared" si="15"/>
        <v>0</v>
      </c>
      <c r="N100" s="10"/>
      <c r="O100" s="10"/>
      <c r="P100" s="10"/>
      <c r="Q100" s="10"/>
      <c r="R100" s="10"/>
      <c r="S100" s="10"/>
      <c r="T100" s="10"/>
      <c r="U100" s="10"/>
      <c r="V100" s="4" t="s">
        <v>653</v>
      </c>
      <c r="W100" s="4" t="s">
        <v>649</v>
      </c>
      <c r="X100" s="8">
        <v>45040</v>
      </c>
      <c r="Y100" s="4"/>
      <c r="Z100" s="4"/>
      <c r="AA100" s="8"/>
      <c r="AB100" s="8">
        <v>45070</v>
      </c>
      <c r="AC100" s="4"/>
      <c r="AD100" s="4"/>
    </row>
    <row r="101" spans="1:30" hidden="1">
      <c r="A101" s="4">
        <v>123</v>
      </c>
      <c r="B101" s="8">
        <v>45043</v>
      </c>
      <c r="C101" s="4"/>
      <c r="D101" s="4" t="s">
        <v>42</v>
      </c>
      <c r="E101" s="8">
        <v>45053</v>
      </c>
      <c r="F101" s="4" t="s">
        <v>43</v>
      </c>
      <c r="G101" s="4" t="s">
        <v>186</v>
      </c>
      <c r="H101" s="4" t="s">
        <v>45</v>
      </c>
      <c r="I101" s="4" t="s">
        <v>517</v>
      </c>
      <c r="J101" s="10">
        <v>8.7799999999999994</v>
      </c>
      <c r="K101" s="10">
        <f>3.145+5.241+0.393</f>
        <v>8.7789999999999999</v>
      </c>
      <c r="L101" s="10">
        <f t="shared" si="14"/>
        <v>0</v>
      </c>
      <c r="M101" s="10">
        <f t="shared" si="15"/>
        <v>0</v>
      </c>
      <c r="N101" s="10"/>
      <c r="O101" s="10"/>
      <c r="P101" s="10"/>
      <c r="Q101" s="10"/>
      <c r="R101" s="10"/>
      <c r="S101" s="10"/>
      <c r="T101" s="10"/>
      <c r="U101" s="10"/>
      <c r="V101" s="4" t="s">
        <v>651</v>
      </c>
      <c r="W101" s="4"/>
      <c r="X101" s="8">
        <v>45040</v>
      </c>
      <c r="Y101" s="4">
        <v>45051</v>
      </c>
      <c r="Z101" s="4"/>
      <c r="AA101" s="8">
        <v>45058</v>
      </c>
      <c r="AB101" s="8">
        <v>45070</v>
      </c>
      <c r="AC101" s="4"/>
      <c r="AD101" s="4"/>
    </row>
    <row r="102" spans="1:30" hidden="1">
      <c r="A102" s="4">
        <v>123</v>
      </c>
      <c r="B102" s="8">
        <v>45043</v>
      </c>
      <c r="C102" s="4"/>
      <c r="D102" s="4" t="s">
        <v>42</v>
      </c>
      <c r="E102" s="8">
        <v>45053</v>
      </c>
      <c r="F102" s="4" t="s">
        <v>43</v>
      </c>
      <c r="G102" s="4" t="s">
        <v>186</v>
      </c>
      <c r="H102" s="4" t="s">
        <v>45</v>
      </c>
      <c r="I102" s="4" t="s">
        <v>407</v>
      </c>
      <c r="J102" s="10">
        <v>2.4649999999999999</v>
      </c>
      <c r="K102" s="10">
        <f>0.164+2.301</f>
        <v>2.4650000000000003</v>
      </c>
      <c r="L102" s="10">
        <f t="shared" si="14"/>
        <v>0</v>
      </c>
      <c r="M102" s="10">
        <f t="shared" si="15"/>
        <v>0</v>
      </c>
      <c r="N102" s="10"/>
      <c r="O102" s="10"/>
      <c r="P102" s="10"/>
      <c r="Q102" s="10"/>
      <c r="R102" s="10"/>
      <c r="S102" s="10"/>
      <c r="T102" s="10"/>
      <c r="U102" s="10"/>
      <c r="V102" s="4" t="s">
        <v>651</v>
      </c>
      <c r="W102" s="4"/>
      <c r="X102" s="8">
        <v>45066</v>
      </c>
      <c r="Y102" s="4"/>
      <c r="Z102" s="4"/>
      <c r="AA102" s="8">
        <v>45079</v>
      </c>
      <c r="AB102" s="8">
        <v>45085</v>
      </c>
      <c r="AC102" s="4"/>
      <c r="AD102" s="4"/>
    </row>
    <row r="103" spans="1:30" hidden="1">
      <c r="A103" s="4">
        <v>123</v>
      </c>
      <c r="B103" s="8">
        <v>45043</v>
      </c>
      <c r="C103" s="4"/>
      <c r="D103" s="4" t="s">
        <v>42</v>
      </c>
      <c r="E103" s="8">
        <v>45053</v>
      </c>
      <c r="F103" s="4" t="s">
        <v>43</v>
      </c>
      <c r="G103" s="4" t="s">
        <v>94</v>
      </c>
      <c r="H103" s="4" t="s">
        <v>45</v>
      </c>
      <c r="I103" s="4" t="s">
        <v>57</v>
      </c>
      <c r="J103" s="10">
        <v>6.3278999999999996</v>
      </c>
      <c r="K103" s="10">
        <f>2.121+2.07+0.939+1.208</f>
        <v>6.3380000000000001</v>
      </c>
      <c r="L103" s="10">
        <f t="shared" ref="L103:L119" si="16">M103+U103</f>
        <v>0</v>
      </c>
      <c r="M103" s="10">
        <f t="shared" ref="M103:M119" si="17">SUM(N103:T103)</f>
        <v>0</v>
      </c>
      <c r="N103" s="10"/>
      <c r="O103" s="10"/>
      <c r="P103" s="10"/>
      <c r="Q103" s="10"/>
      <c r="R103" s="10"/>
      <c r="S103" s="10"/>
      <c r="T103" s="10"/>
      <c r="U103" s="10"/>
      <c r="V103" s="4" t="s">
        <v>652</v>
      </c>
      <c r="W103" s="4" t="s">
        <v>700</v>
      </c>
      <c r="X103" s="8">
        <v>45068</v>
      </c>
      <c r="Y103" s="4"/>
      <c r="Z103" s="4"/>
      <c r="AA103" s="8">
        <v>45081</v>
      </c>
      <c r="AB103" s="8">
        <v>45105</v>
      </c>
      <c r="AC103" s="4"/>
      <c r="AD103" s="4"/>
    </row>
    <row r="104" spans="1:30" hidden="1">
      <c r="A104" s="4">
        <v>123</v>
      </c>
      <c r="B104" s="8">
        <v>45043</v>
      </c>
      <c r="C104" s="4"/>
      <c r="D104" s="4" t="s">
        <v>42</v>
      </c>
      <c r="E104" s="8">
        <v>45053</v>
      </c>
      <c r="F104" s="4" t="s">
        <v>43</v>
      </c>
      <c r="G104" s="4" t="s">
        <v>94</v>
      </c>
      <c r="H104" s="4" t="s">
        <v>45</v>
      </c>
      <c r="I104" s="4" t="s">
        <v>54</v>
      </c>
      <c r="J104" s="10">
        <v>12.622459093749999</v>
      </c>
      <c r="K104" s="10">
        <f>12.305+0.315</f>
        <v>12.62</v>
      </c>
      <c r="L104" s="10">
        <f t="shared" si="16"/>
        <v>0</v>
      </c>
      <c r="M104" s="10">
        <f t="shared" si="17"/>
        <v>0</v>
      </c>
      <c r="N104" s="10"/>
      <c r="O104" s="10"/>
      <c r="P104" s="10"/>
      <c r="Q104" s="10"/>
      <c r="R104" s="10"/>
      <c r="S104" s="10"/>
      <c r="T104" s="10"/>
      <c r="U104" s="10"/>
      <c r="V104" s="4" t="s">
        <v>652</v>
      </c>
      <c r="W104" s="4"/>
      <c r="X104" s="8">
        <v>45067</v>
      </c>
      <c r="Y104" s="4"/>
      <c r="Z104" s="4"/>
      <c r="AA104" s="8">
        <v>45081</v>
      </c>
      <c r="AB104" s="8">
        <v>45088</v>
      </c>
      <c r="AC104" s="4"/>
      <c r="AD104" s="4"/>
    </row>
    <row r="105" spans="1:30" hidden="1">
      <c r="A105" s="4">
        <v>123</v>
      </c>
      <c r="B105" s="8">
        <v>45043</v>
      </c>
      <c r="C105" s="4"/>
      <c r="D105" s="4" t="s">
        <v>42</v>
      </c>
      <c r="E105" s="8">
        <v>45053</v>
      </c>
      <c r="F105" s="4" t="s">
        <v>43</v>
      </c>
      <c r="G105" s="4" t="s">
        <v>94</v>
      </c>
      <c r="H105" s="4" t="s">
        <v>45</v>
      </c>
      <c r="I105" s="4" t="s">
        <v>56</v>
      </c>
      <c r="J105" s="10">
        <v>38.621384000000006</v>
      </c>
      <c r="K105" s="10">
        <v>38.868000000000002</v>
      </c>
      <c r="L105" s="10">
        <f t="shared" si="16"/>
        <v>0</v>
      </c>
      <c r="M105" s="10">
        <f t="shared" si="17"/>
        <v>0</v>
      </c>
      <c r="N105" s="10"/>
      <c r="O105" s="10"/>
      <c r="P105" s="10"/>
      <c r="Q105" s="10"/>
      <c r="R105" s="10"/>
      <c r="S105" s="10"/>
      <c r="T105" s="10"/>
      <c r="U105" s="10"/>
      <c r="V105" s="4" t="s">
        <v>652</v>
      </c>
      <c r="W105" s="4"/>
      <c r="X105" s="8">
        <v>45068</v>
      </c>
      <c r="Y105" s="4"/>
      <c r="Z105" s="4"/>
      <c r="AA105" s="8">
        <v>45078</v>
      </c>
      <c r="AB105" s="8">
        <v>45085</v>
      </c>
      <c r="AC105" s="4"/>
      <c r="AD105" s="4"/>
    </row>
    <row r="106" spans="1:30" hidden="1">
      <c r="A106" s="4">
        <v>123</v>
      </c>
      <c r="B106" s="8">
        <v>45043</v>
      </c>
      <c r="C106" s="4"/>
      <c r="D106" s="4" t="s">
        <v>42</v>
      </c>
      <c r="E106" s="8">
        <v>45053</v>
      </c>
      <c r="F106" s="4" t="s">
        <v>43</v>
      </c>
      <c r="G106" s="4" t="s">
        <v>94</v>
      </c>
      <c r="H106" s="4" t="s">
        <v>45</v>
      </c>
      <c r="I106" s="4" t="s">
        <v>48</v>
      </c>
      <c r="J106" s="10">
        <v>17.396868865979382</v>
      </c>
      <c r="K106" s="10">
        <f>12.219+1.842+2.583+0.749</f>
        <v>17.392999999999997</v>
      </c>
      <c r="L106" s="10">
        <f t="shared" si="16"/>
        <v>0</v>
      </c>
      <c r="M106" s="10">
        <f t="shared" si="17"/>
        <v>0</v>
      </c>
      <c r="N106" s="10"/>
      <c r="O106" s="10"/>
      <c r="P106" s="10"/>
      <c r="Q106" s="10"/>
      <c r="R106" s="10"/>
      <c r="S106" s="10"/>
      <c r="T106" s="10"/>
      <c r="U106" s="10"/>
      <c r="V106" s="4" t="s">
        <v>652</v>
      </c>
      <c r="W106" s="4"/>
      <c r="X106" s="8">
        <v>45068</v>
      </c>
      <c r="Y106" s="4"/>
      <c r="Z106" s="4"/>
      <c r="AA106" s="8">
        <v>45080</v>
      </c>
      <c r="AB106" s="8"/>
      <c r="AC106" s="4"/>
      <c r="AD106" s="4"/>
    </row>
    <row r="107" spans="1:30" hidden="1">
      <c r="A107" s="4">
        <v>123</v>
      </c>
      <c r="B107" s="8">
        <v>45043</v>
      </c>
      <c r="C107" s="4"/>
      <c r="D107" s="4" t="s">
        <v>42</v>
      </c>
      <c r="E107" s="8">
        <v>45053</v>
      </c>
      <c r="F107" s="4" t="s">
        <v>43</v>
      </c>
      <c r="G107" s="4" t="s">
        <v>94</v>
      </c>
      <c r="H107" s="4" t="s">
        <v>45</v>
      </c>
      <c r="I107" s="4" t="s">
        <v>100</v>
      </c>
      <c r="J107" s="10">
        <v>12.523289000000002</v>
      </c>
      <c r="K107" s="10">
        <v>12.52</v>
      </c>
      <c r="L107" s="10">
        <f t="shared" si="16"/>
        <v>0</v>
      </c>
      <c r="M107" s="10">
        <f t="shared" si="17"/>
        <v>0</v>
      </c>
      <c r="N107" s="10"/>
      <c r="O107" s="10"/>
      <c r="P107" s="10"/>
      <c r="Q107" s="10"/>
      <c r="R107" s="10"/>
      <c r="S107" s="10"/>
      <c r="T107" s="10"/>
      <c r="U107" s="10"/>
      <c r="V107" s="4" t="s">
        <v>652</v>
      </c>
      <c r="W107" s="4"/>
      <c r="X107" s="8">
        <v>45071</v>
      </c>
      <c r="Y107" s="4"/>
      <c r="Z107" s="4"/>
      <c r="AA107" s="8">
        <v>45081</v>
      </c>
      <c r="AB107" s="8">
        <v>45081</v>
      </c>
      <c r="AC107" s="4"/>
      <c r="AD107" s="4"/>
    </row>
    <row r="108" spans="1:30" hidden="1">
      <c r="A108" s="4">
        <v>123</v>
      </c>
      <c r="B108" s="8">
        <v>45043</v>
      </c>
      <c r="C108" s="4"/>
      <c r="D108" s="4" t="s">
        <v>42</v>
      </c>
      <c r="E108" s="8">
        <v>45053</v>
      </c>
      <c r="F108" s="4" t="s">
        <v>43</v>
      </c>
      <c r="G108" s="4" t="s">
        <v>94</v>
      </c>
      <c r="H108" s="4" t="s">
        <v>45</v>
      </c>
      <c r="I108" s="4" t="s">
        <v>96</v>
      </c>
      <c r="J108" s="10">
        <v>6.9958869999999997</v>
      </c>
      <c r="K108" s="10">
        <v>6.9950000000000001</v>
      </c>
      <c r="L108" s="10">
        <f t="shared" si="16"/>
        <v>0</v>
      </c>
      <c r="M108" s="10">
        <f t="shared" si="17"/>
        <v>0</v>
      </c>
      <c r="N108" s="10"/>
      <c r="O108" s="10"/>
      <c r="P108" s="10"/>
      <c r="Q108" s="10"/>
      <c r="R108" s="10"/>
      <c r="S108" s="10"/>
      <c r="T108" s="10"/>
      <c r="U108" s="10"/>
      <c r="V108" s="4" t="s">
        <v>652</v>
      </c>
      <c r="W108" s="4"/>
      <c r="X108" s="8">
        <v>45071</v>
      </c>
      <c r="Y108" s="4"/>
      <c r="Z108" s="4"/>
      <c r="AA108" s="8">
        <v>45081</v>
      </c>
      <c r="AB108" s="8">
        <v>45081</v>
      </c>
      <c r="AC108" s="4"/>
      <c r="AD108" s="4"/>
    </row>
    <row r="109" spans="1:30" hidden="1">
      <c r="A109" s="4">
        <v>123</v>
      </c>
      <c r="B109" s="8">
        <v>45043</v>
      </c>
      <c r="C109" s="4"/>
      <c r="D109" s="4" t="s">
        <v>42</v>
      </c>
      <c r="E109" s="8">
        <v>45053</v>
      </c>
      <c r="F109" s="4" t="s">
        <v>43</v>
      </c>
      <c r="G109" s="4" t="s">
        <v>94</v>
      </c>
      <c r="H109" s="4" t="s">
        <v>45</v>
      </c>
      <c r="I109" s="4" t="s">
        <v>403</v>
      </c>
      <c r="J109" s="10">
        <v>19.437604</v>
      </c>
      <c r="K109" s="10">
        <f>5.337+8.251+3.028+0.927+0.718+1.324</f>
        <v>19.585000000000001</v>
      </c>
      <c r="L109" s="10">
        <f t="shared" si="16"/>
        <v>0</v>
      </c>
      <c r="M109" s="10">
        <f t="shared" si="17"/>
        <v>0</v>
      </c>
      <c r="N109" s="10"/>
      <c r="O109" s="10"/>
      <c r="P109" s="10"/>
      <c r="Q109" s="10"/>
      <c r="R109" s="10"/>
      <c r="S109" s="10"/>
      <c r="T109" s="10"/>
      <c r="U109" s="10"/>
      <c r="V109" s="4" t="s">
        <v>652</v>
      </c>
      <c r="W109" s="4" t="s">
        <v>744</v>
      </c>
      <c r="X109" s="8">
        <v>45069</v>
      </c>
      <c r="Y109" s="4"/>
      <c r="Z109" s="4"/>
      <c r="AA109" s="8">
        <v>45081</v>
      </c>
      <c r="AB109" s="8">
        <v>45102</v>
      </c>
      <c r="AC109" s="4"/>
      <c r="AD109" s="4"/>
    </row>
    <row r="110" spans="1:30" hidden="1">
      <c r="A110" s="4">
        <v>123</v>
      </c>
      <c r="B110" s="8">
        <v>45043</v>
      </c>
      <c r="C110" s="4"/>
      <c r="D110" s="4" t="s">
        <v>42</v>
      </c>
      <c r="E110" s="8">
        <v>45053</v>
      </c>
      <c r="F110" s="4" t="s">
        <v>43</v>
      </c>
      <c r="G110" s="4" t="s">
        <v>94</v>
      </c>
      <c r="H110" s="4" t="s">
        <v>45</v>
      </c>
      <c r="I110" s="4" t="s">
        <v>46</v>
      </c>
      <c r="J110" s="10">
        <v>3.35</v>
      </c>
      <c r="K110" s="10">
        <v>3.35</v>
      </c>
      <c r="L110" s="10">
        <f t="shared" si="16"/>
        <v>0</v>
      </c>
      <c r="M110" s="10">
        <f t="shared" si="17"/>
        <v>0</v>
      </c>
      <c r="N110" s="10"/>
      <c r="O110" s="10"/>
      <c r="P110" s="10"/>
      <c r="Q110" s="10"/>
      <c r="R110" s="10"/>
      <c r="S110" s="10">
        <v>0</v>
      </c>
      <c r="T110" s="10"/>
      <c r="U110" s="10"/>
      <c r="V110" s="4" t="s">
        <v>652</v>
      </c>
      <c r="W110" s="4"/>
      <c r="X110" s="8">
        <v>45069</v>
      </c>
      <c r="Y110" s="4"/>
      <c r="Z110" s="4"/>
      <c r="AA110" s="8">
        <v>45081</v>
      </c>
      <c r="AB110" s="8">
        <v>45081</v>
      </c>
      <c r="AC110" s="4"/>
      <c r="AD110" s="4"/>
    </row>
    <row r="111" spans="1:30" hidden="1">
      <c r="A111" s="4">
        <v>123</v>
      </c>
      <c r="B111" s="8">
        <v>45043</v>
      </c>
      <c r="C111" s="4"/>
      <c r="D111" s="4" t="s">
        <v>42</v>
      </c>
      <c r="E111" s="8">
        <v>45053</v>
      </c>
      <c r="F111" s="4" t="s">
        <v>43</v>
      </c>
      <c r="G111" s="4" t="s">
        <v>94</v>
      </c>
      <c r="H111" s="4" t="s">
        <v>45</v>
      </c>
      <c r="I111" s="4" t="s">
        <v>472</v>
      </c>
      <c r="J111" s="10">
        <v>2.02752</v>
      </c>
      <c r="K111" s="10">
        <v>2.028</v>
      </c>
      <c r="L111" s="10">
        <f t="shared" si="16"/>
        <v>0</v>
      </c>
      <c r="M111" s="10">
        <f t="shared" si="17"/>
        <v>0</v>
      </c>
      <c r="N111" s="10"/>
      <c r="O111" s="10"/>
      <c r="P111" s="10"/>
      <c r="Q111" s="10"/>
      <c r="R111" s="10"/>
      <c r="S111" s="10"/>
      <c r="T111" s="10"/>
      <c r="U111" s="10"/>
      <c r="V111" s="4" t="s">
        <v>652</v>
      </c>
      <c r="W111" s="4"/>
      <c r="X111" s="8">
        <v>45072</v>
      </c>
      <c r="Y111" s="4"/>
      <c r="Z111" s="4"/>
      <c r="AA111" s="8">
        <v>45078</v>
      </c>
      <c r="AB111" s="8">
        <v>45078</v>
      </c>
      <c r="AC111" s="4"/>
      <c r="AD111" s="4"/>
    </row>
    <row r="112" spans="1:30" hidden="1">
      <c r="A112" s="4">
        <v>123</v>
      </c>
      <c r="B112" s="8">
        <v>45043</v>
      </c>
      <c r="C112" s="4"/>
      <c r="D112" s="4" t="s">
        <v>42</v>
      </c>
      <c r="E112" s="8">
        <v>45053</v>
      </c>
      <c r="F112" s="4" t="s">
        <v>43</v>
      </c>
      <c r="G112" s="4" t="s">
        <v>94</v>
      </c>
      <c r="H112" s="4" t="s">
        <v>45</v>
      </c>
      <c r="I112" s="4" t="s">
        <v>473</v>
      </c>
      <c r="J112" s="10">
        <v>9.6585000000000001</v>
      </c>
      <c r="K112" s="10">
        <v>9.6140000000000008</v>
      </c>
      <c r="L112" s="10">
        <f t="shared" si="16"/>
        <v>0</v>
      </c>
      <c r="M112" s="10">
        <f t="shared" si="17"/>
        <v>0</v>
      </c>
      <c r="N112" s="10"/>
      <c r="O112" s="10"/>
      <c r="P112" s="10"/>
      <c r="Q112" s="10"/>
      <c r="R112" s="10"/>
      <c r="S112" s="10"/>
      <c r="T112" s="10"/>
      <c r="U112" s="10"/>
      <c r="V112" s="4" t="s">
        <v>652</v>
      </c>
      <c r="W112" s="4"/>
      <c r="X112" s="8">
        <v>45072</v>
      </c>
      <c r="Y112" s="4"/>
      <c r="Z112" s="4"/>
      <c r="AA112" s="8">
        <v>45078</v>
      </c>
      <c r="AB112" s="8">
        <v>45078</v>
      </c>
      <c r="AC112" s="4"/>
      <c r="AD112" s="4"/>
    </row>
    <row r="113" spans="1:30" hidden="1">
      <c r="A113" s="4">
        <v>123</v>
      </c>
      <c r="B113" s="8">
        <v>45043</v>
      </c>
      <c r="C113" s="4"/>
      <c r="D113" s="4" t="s">
        <v>42</v>
      </c>
      <c r="E113" s="8">
        <v>45053</v>
      </c>
      <c r="F113" s="4" t="s">
        <v>43</v>
      </c>
      <c r="G113" s="4" t="s">
        <v>94</v>
      </c>
      <c r="H113" s="4" t="s">
        <v>45</v>
      </c>
      <c r="I113" s="4" t="s">
        <v>235</v>
      </c>
      <c r="J113" s="10">
        <v>6.4738800000000003</v>
      </c>
      <c r="K113" s="10">
        <f>2.349+2.939+1.171</f>
        <v>6.4590000000000005</v>
      </c>
      <c r="L113" s="10">
        <f t="shared" si="16"/>
        <v>0</v>
      </c>
      <c r="M113" s="10">
        <f t="shared" si="17"/>
        <v>0</v>
      </c>
      <c r="N113" s="10"/>
      <c r="O113" s="10"/>
      <c r="P113" s="10"/>
      <c r="Q113" s="10"/>
      <c r="R113" s="10"/>
      <c r="S113" s="10"/>
      <c r="T113" s="10"/>
      <c r="U113" s="10"/>
      <c r="V113" s="4" t="s">
        <v>652</v>
      </c>
      <c r="W113" s="4"/>
      <c r="X113" s="8">
        <v>45087</v>
      </c>
      <c r="Y113" s="4"/>
      <c r="Z113" s="4"/>
      <c r="AA113" s="8"/>
      <c r="AB113" s="8">
        <v>45102</v>
      </c>
      <c r="AC113" s="4"/>
      <c r="AD113" s="4"/>
    </row>
    <row r="114" spans="1:30" hidden="1">
      <c r="A114" s="4">
        <v>123</v>
      </c>
      <c r="B114" s="8">
        <v>45043</v>
      </c>
      <c r="C114" s="4"/>
      <c r="D114" s="4" t="s">
        <v>42</v>
      </c>
      <c r="E114" s="8">
        <v>45053</v>
      </c>
      <c r="F114" s="4" t="s">
        <v>43</v>
      </c>
      <c r="G114" s="4" t="s">
        <v>93</v>
      </c>
      <c r="H114" s="4" t="s">
        <v>45</v>
      </c>
      <c r="I114" s="4" t="s">
        <v>57</v>
      </c>
      <c r="J114" s="10">
        <v>2.16</v>
      </c>
      <c r="K114" s="10">
        <f>0.714+0.536+1.092</f>
        <v>2.3420000000000001</v>
      </c>
      <c r="L114" s="10">
        <f t="shared" si="16"/>
        <v>0</v>
      </c>
      <c r="M114" s="10">
        <f t="shared" si="17"/>
        <v>0</v>
      </c>
      <c r="N114" s="10"/>
      <c r="O114" s="10"/>
      <c r="P114" s="10"/>
      <c r="Q114" s="10">
        <v>0</v>
      </c>
      <c r="R114" s="10"/>
      <c r="S114" s="10"/>
      <c r="T114" s="10"/>
      <c r="U114" s="10"/>
      <c r="V114" s="4" t="s">
        <v>653</v>
      </c>
      <c r="W114" s="4" t="s">
        <v>746</v>
      </c>
      <c r="X114" s="8">
        <v>45068</v>
      </c>
      <c r="Y114" s="4"/>
      <c r="Z114" s="4"/>
      <c r="AA114" s="8">
        <v>45081</v>
      </c>
      <c r="AB114" s="8">
        <v>45094</v>
      </c>
      <c r="AC114" s="4"/>
      <c r="AD114" s="4"/>
    </row>
    <row r="115" spans="1:30" hidden="1">
      <c r="A115" s="4">
        <v>123</v>
      </c>
      <c r="B115" s="8">
        <v>45043</v>
      </c>
      <c r="C115" s="4"/>
      <c r="D115" s="4" t="s">
        <v>42</v>
      </c>
      <c r="E115" s="8">
        <v>45053</v>
      </c>
      <c r="F115" s="4" t="s">
        <v>43</v>
      </c>
      <c r="G115" s="4" t="s">
        <v>93</v>
      </c>
      <c r="H115" s="4" t="s">
        <v>45</v>
      </c>
      <c r="I115" s="4" t="s">
        <v>54</v>
      </c>
      <c r="J115" s="10">
        <v>0.75839400000000001</v>
      </c>
      <c r="K115" s="10">
        <v>0.75800000000000001</v>
      </c>
      <c r="L115" s="10">
        <f t="shared" si="16"/>
        <v>0</v>
      </c>
      <c r="M115" s="10">
        <f t="shared" si="17"/>
        <v>0</v>
      </c>
      <c r="N115" s="10"/>
      <c r="O115" s="10"/>
      <c r="P115" s="10"/>
      <c r="Q115" s="10"/>
      <c r="R115" s="10"/>
      <c r="S115" s="10"/>
      <c r="T115" s="10"/>
      <c r="U115" s="10"/>
      <c r="V115" s="4" t="s">
        <v>653</v>
      </c>
      <c r="W115" s="4"/>
      <c r="X115" s="8">
        <v>45067</v>
      </c>
      <c r="Y115" s="4"/>
      <c r="Z115" s="4"/>
      <c r="AA115" s="8">
        <v>45081</v>
      </c>
      <c r="AB115" s="8">
        <v>45081</v>
      </c>
      <c r="AC115" s="4"/>
      <c r="AD115" s="4"/>
    </row>
    <row r="116" spans="1:30" hidden="1">
      <c r="A116" s="4">
        <v>123</v>
      </c>
      <c r="B116" s="8">
        <v>45043</v>
      </c>
      <c r="C116" s="4"/>
      <c r="D116" s="4" t="s">
        <v>42</v>
      </c>
      <c r="E116" s="8">
        <v>45053</v>
      </c>
      <c r="F116" s="4" t="s">
        <v>43</v>
      </c>
      <c r="G116" s="4" t="s">
        <v>93</v>
      </c>
      <c r="H116" s="4" t="s">
        <v>45</v>
      </c>
      <c r="I116" s="4" t="s">
        <v>100</v>
      </c>
      <c r="J116" s="10">
        <v>0.59760000000000002</v>
      </c>
      <c r="K116" s="10">
        <v>0.59299999999999997</v>
      </c>
      <c r="L116" s="10">
        <f t="shared" si="16"/>
        <v>0</v>
      </c>
      <c r="M116" s="10">
        <f t="shared" si="17"/>
        <v>0</v>
      </c>
      <c r="N116" s="10"/>
      <c r="O116" s="10"/>
      <c r="P116" s="10"/>
      <c r="Q116" s="10"/>
      <c r="R116" s="10"/>
      <c r="S116" s="10"/>
      <c r="T116" s="10"/>
      <c r="U116" s="10"/>
      <c r="V116" s="4" t="s">
        <v>653</v>
      </c>
      <c r="W116" s="4"/>
      <c r="X116" s="8">
        <v>45071</v>
      </c>
      <c r="Y116" s="4"/>
      <c r="Z116" s="4"/>
      <c r="AA116" s="8"/>
      <c r="AB116" s="8">
        <v>45088</v>
      </c>
      <c r="AC116" s="4"/>
      <c r="AD116" s="4"/>
    </row>
    <row r="117" spans="1:30" hidden="1">
      <c r="A117" s="4">
        <v>123</v>
      </c>
      <c r="B117" s="8">
        <v>45043</v>
      </c>
      <c r="C117" s="4"/>
      <c r="D117" s="4" t="s">
        <v>42</v>
      </c>
      <c r="E117" s="8">
        <v>45053</v>
      </c>
      <c r="F117" s="4" t="s">
        <v>43</v>
      </c>
      <c r="G117" s="4" t="s">
        <v>93</v>
      </c>
      <c r="H117" s="4" t="s">
        <v>45</v>
      </c>
      <c r="I117" s="4" t="s">
        <v>403</v>
      </c>
      <c r="J117" s="10">
        <v>0.52290000000000003</v>
      </c>
      <c r="K117" s="10">
        <v>0.52300000000000002</v>
      </c>
      <c r="L117" s="10">
        <f t="shared" si="16"/>
        <v>0</v>
      </c>
      <c r="M117" s="10">
        <f t="shared" si="17"/>
        <v>0</v>
      </c>
      <c r="N117" s="10"/>
      <c r="O117" s="10"/>
      <c r="P117" s="10"/>
      <c r="Q117" s="10"/>
      <c r="R117" s="10"/>
      <c r="S117" s="10"/>
      <c r="T117" s="10"/>
      <c r="U117" s="10"/>
      <c r="V117" s="4" t="s">
        <v>653</v>
      </c>
      <c r="W117" s="4"/>
      <c r="X117" s="8">
        <v>45069</v>
      </c>
      <c r="Y117" s="4"/>
      <c r="Z117" s="4"/>
      <c r="AA117" s="8">
        <v>45081</v>
      </c>
      <c r="AB117" s="8">
        <v>45081</v>
      </c>
      <c r="AC117" s="4"/>
      <c r="AD117" s="4"/>
    </row>
    <row r="118" spans="1:30" hidden="1">
      <c r="A118" s="4">
        <v>123</v>
      </c>
      <c r="B118" s="8">
        <v>45043</v>
      </c>
      <c r="C118" s="4"/>
      <c r="D118" s="4" t="s">
        <v>42</v>
      </c>
      <c r="E118" s="8">
        <v>45053</v>
      </c>
      <c r="F118" s="4" t="s">
        <v>43</v>
      </c>
      <c r="G118" s="4" t="s">
        <v>93</v>
      </c>
      <c r="H118" s="4" t="s">
        <v>45</v>
      </c>
      <c r="I118" s="4" t="s">
        <v>473</v>
      </c>
      <c r="J118" s="10">
        <v>7.3356650000000005</v>
      </c>
      <c r="K118" s="10">
        <f>0.863+6.472</f>
        <v>7.3350000000000009</v>
      </c>
      <c r="L118" s="10">
        <f t="shared" si="16"/>
        <v>0</v>
      </c>
      <c r="M118" s="10">
        <f t="shared" si="17"/>
        <v>0</v>
      </c>
      <c r="N118" s="10"/>
      <c r="O118" s="10"/>
      <c r="P118" s="10"/>
      <c r="Q118" s="10"/>
      <c r="R118" s="10"/>
      <c r="S118" s="10"/>
      <c r="T118" s="10"/>
      <c r="U118" s="10"/>
      <c r="V118" s="4" t="s">
        <v>653</v>
      </c>
      <c r="W118" s="4"/>
      <c r="X118" s="8">
        <v>45072</v>
      </c>
      <c r="Y118" s="4"/>
      <c r="Z118" s="4"/>
      <c r="AA118" s="8">
        <v>45078</v>
      </c>
      <c r="AB118" s="8">
        <v>45081</v>
      </c>
      <c r="AC118" s="4"/>
      <c r="AD118" s="4"/>
    </row>
    <row r="119" spans="1:30" hidden="1">
      <c r="A119" s="4">
        <v>123</v>
      </c>
      <c r="B119" s="8">
        <v>45043</v>
      </c>
      <c r="C119" s="4"/>
      <c r="D119" s="4" t="s">
        <v>42</v>
      </c>
      <c r="E119" s="8">
        <v>45053</v>
      </c>
      <c r="F119" s="4" t="s">
        <v>43</v>
      </c>
      <c r="G119" s="4" t="s">
        <v>93</v>
      </c>
      <c r="H119" s="4" t="s">
        <v>45</v>
      </c>
      <c r="I119" s="4" t="s">
        <v>235</v>
      </c>
      <c r="J119" s="10">
        <v>2.7855300000000001</v>
      </c>
      <c r="K119" s="10">
        <v>2.786</v>
      </c>
      <c r="L119" s="10">
        <f t="shared" si="16"/>
        <v>0</v>
      </c>
      <c r="M119" s="10">
        <f t="shared" si="17"/>
        <v>0</v>
      </c>
      <c r="N119" s="10"/>
      <c r="O119" s="10"/>
      <c r="P119" s="10"/>
      <c r="Q119" s="10"/>
      <c r="R119" s="10"/>
      <c r="S119" s="10"/>
      <c r="T119" s="10"/>
      <c r="U119" s="10"/>
      <c r="V119" s="4" t="s">
        <v>653</v>
      </c>
      <c r="W119" s="4"/>
      <c r="X119" s="8">
        <v>45087</v>
      </c>
      <c r="Y119" s="4"/>
      <c r="Z119" s="4"/>
      <c r="AA119" s="8">
        <v>45091</v>
      </c>
      <c r="AB119" s="8">
        <v>45091</v>
      </c>
      <c r="AC119" s="4"/>
      <c r="AD119" s="4"/>
    </row>
    <row r="120" spans="1:30" hidden="1">
      <c r="A120" s="4">
        <v>124</v>
      </c>
      <c r="B120" s="8">
        <v>45043</v>
      </c>
      <c r="C120" s="4"/>
      <c r="D120" s="4" t="s">
        <v>42</v>
      </c>
      <c r="E120" s="8">
        <v>45069</v>
      </c>
      <c r="F120" s="4" t="s">
        <v>43</v>
      </c>
      <c r="G120" s="4" t="s">
        <v>93</v>
      </c>
      <c r="H120" s="4" t="s">
        <v>45</v>
      </c>
      <c r="I120" s="4" t="s">
        <v>49</v>
      </c>
      <c r="J120" s="10">
        <v>0.35</v>
      </c>
      <c r="K120" s="10">
        <v>0.34599999999999997</v>
      </c>
      <c r="L120" s="10">
        <f t="shared" si="14"/>
        <v>0</v>
      </c>
      <c r="M120" s="10">
        <f t="shared" si="15"/>
        <v>0</v>
      </c>
      <c r="N120" s="10"/>
      <c r="O120" s="10"/>
      <c r="P120" s="10"/>
      <c r="Q120" s="10"/>
      <c r="R120" s="10"/>
      <c r="S120" s="10"/>
      <c r="T120" s="10"/>
      <c r="U120" s="10"/>
      <c r="V120" s="4" t="s">
        <v>536</v>
      </c>
      <c r="W120" s="4" t="s">
        <v>521</v>
      </c>
      <c r="X120" s="8"/>
      <c r="Y120" s="4"/>
      <c r="Z120" s="4"/>
      <c r="AA120" s="8"/>
      <c r="AB120" s="8">
        <v>45088</v>
      </c>
      <c r="AC120" s="4"/>
      <c r="AD120" s="4"/>
    </row>
    <row r="121" spans="1:30" hidden="1">
      <c r="A121" s="4">
        <v>124</v>
      </c>
      <c r="B121" s="8">
        <v>45043</v>
      </c>
      <c r="C121" s="4"/>
      <c r="D121" s="4" t="s">
        <v>42</v>
      </c>
      <c r="E121" s="8">
        <v>45069</v>
      </c>
      <c r="F121" s="4" t="s">
        <v>43</v>
      </c>
      <c r="G121" s="4" t="s">
        <v>93</v>
      </c>
      <c r="H121" s="4" t="s">
        <v>45</v>
      </c>
      <c r="I121" s="4" t="s">
        <v>50</v>
      </c>
      <c r="J121" s="10">
        <v>2.2200000000000002</v>
      </c>
      <c r="K121" s="10">
        <v>2.2290000000000001</v>
      </c>
      <c r="L121" s="10">
        <f t="shared" si="14"/>
        <v>0</v>
      </c>
      <c r="M121" s="10">
        <f t="shared" si="15"/>
        <v>0</v>
      </c>
      <c r="N121" s="10"/>
      <c r="O121" s="10"/>
      <c r="P121" s="10"/>
      <c r="Q121" s="10"/>
      <c r="R121" s="10"/>
      <c r="S121" s="10"/>
      <c r="T121" s="10"/>
      <c r="U121" s="10"/>
      <c r="V121" s="4" t="s">
        <v>651</v>
      </c>
      <c r="W121" s="4" t="s">
        <v>654</v>
      </c>
      <c r="X121" s="8"/>
      <c r="Y121" s="4"/>
      <c r="Z121" s="4"/>
      <c r="AA121" s="8"/>
      <c r="AB121" s="8"/>
      <c r="AC121" s="4"/>
      <c r="AD121" s="4"/>
    </row>
    <row r="122" spans="1:30" hidden="1">
      <c r="A122" s="4">
        <v>124</v>
      </c>
      <c r="B122" s="8">
        <v>45043</v>
      </c>
      <c r="C122" s="4"/>
      <c r="D122" s="4" t="s">
        <v>42</v>
      </c>
      <c r="E122" s="8">
        <v>45069</v>
      </c>
      <c r="F122" s="4" t="s">
        <v>43</v>
      </c>
      <c r="G122" s="4" t="s">
        <v>93</v>
      </c>
      <c r="H122" s="4" t="s">
        <v>45</v>
      </c>
      <c r="I122" s="4" t="s">
        <v>407</v>
      </c>
      <c r="J122" s="10">
        <v>8.1</v>
      </c>
      <c r="K122" s="10">
        <f>4.514+2.709+0.871</f>
        <v>8.0940000000000012</v>
      </c>
      <c r="L122" s="10">
        <f t="shared" si="14"/>
        <v>0</v>
      </c>
      <c r="M122" s="10">
        <f t="shared" si="15"/>
        <v>0</v>
      </c>
      <c r="N122" s="10"/>
      <c r="O122" s="10"/>
      <c r="P122" s="10"/>
      <c r="Q122" s="10"/>
      <c r="R122" s="10"/>
      <c r="S122" s="10"/>
      <c r="T122" s="10"/>
      <c r="U122" s="10"/>
      <c r="V122" s="4" t="s">
        <v>651</v>
      </c>
      <c r="W122" s="4"/>
      <c r="X122" s="8">
        <v>45066</v>
      </c>
      <c r="Y122" s="4"/>
      <c r="Z122" s="4"/>
      <c r="AA122" s="8">
        <v>45070</v>
      </c>
      <c r="AB122" s="8">
        <v>45081</v>
      </c>
      <c r="AC122" s="4"/>
      <c r="AD122" s="4"/>
    </row>
    <row r="123" spans="1:30" hidden="1">
      <c r="A123" s="4">
        <v>124</v>
      </c>
      <c r="B123" s="8">
        <v>45043</v>
      </c>
      <c r="C123" s="4"/>
      <c r="D123" s="4" t="s">
        <v>42</v>
      </c>
      <c r="E123" s="8">
        <v>45069</v>
      </c>
      <c r="F123" s="4" t="s">
        <v>43</v>
      </c>
      <c r="G123" s="4" t="s">
        <v>93</v>
      </c>
      <c r="H123" s="4" t="s">
        <v>45</v>
      </c>
      <c r="I123" s="4" t="s">
        <v>409</v>
      </c>
      <c r="J123" s="10">
        <v>0.21</v>
      </c>
      <c r="K123" s="10">
        <v>0.20699999999999999</v>
      </c>
      <c r="L123" s="10">
        <f t="shared" si="14"/>
        <v>0</v>
      </c>
      <c r="M123" s="10">
        <f t="shared" si="15"/>
        <v>0</v>
      </c>
      <c r="N123" s="10"/>
      <c r="O123" s="10"/>
      <c r="P123" s="10"/>
      <c r="Q123" s="10"/>
      <c r="R123" s="10"/>
      <c r="S123" s="10"/>
      <c r="T123" s="10"/>
      <c r="U123" s="10"/>
      <c r="V123" s="4" t="s">
        <v>536</v>
      </c>
      <c r="W123" s="4" t="s">
        <v>521</v>
      </c>
      <c r="X123" s="8">
        <v>45066</v>
      </c>
      <c r="Y123" s="4"/>
      <c r="Z123" s="4"/>
      <c r="AA123" s="8"/>
      <c r="AB123" s="8"/>
      <c r="AC123" s="4"/>
      <c r="AD123" s="4"/>
    </row>
    <row r="124" spans="1:30" hidden="1">
      <c r="A124" s="4">
        <v>124</v>
      </c>
      <c r="B124" s="8">
        <v>45043</v>
      </c>
      <c r="C124" s="4"/>
      <c r="D124" s="4" t="s">
        <v>42</v>
      </c>
      <c r="E124" s="8">
        <v>45069</v>
      </c>
      <c r="F124" s="4" t="s">
        <v>43</v>
      </c>
      <c r="G124" s="4" t="s">
        <v>93</v>
      </c>
      <c r="H124" s="4" t="s">
        <v>45</v>
      </c>
      <c r="I124" s="4" t="s">
        <v>47</v>
      </c>
      <c r="J124" s="10">
        <v>0.73</v>
      </c>
      <c r="K124" s="10">
        <v>0.72699999999999998</v>
      </c>
      <c r="L124" s="10">
        <f t="shared" si="14"/>
        <v>0</v>
      </c>
      <c r="M124" s="10">
        <f t="shared" si="15"/>
        <v>0</v>
      </c>
      <c r="N124" s="10"/>
      <c r="O124" s="10"/>
      <c r="P124" s="10"/>
      <c r="Q124" s="10"/>
      <c r="R124" s="10"/>
      <c r="S124" s="10"/>
      <c r="T124" s="10"/>
      <c r="U124" s="10"/>
      <c r="V124" s="4" t="s">
        <v>536</v>
      </c>
      <c r="W124" s="4" t="s">
        <v>521</v>
      </c>
      <c r="X124" s="8">
        <v>45066</v>
      </c>
      <c r="Y124" s="4"/>
      <c r="Z124" s="4"/>
      <c r="AA124" s="8">
        <v>45080</v>
      </c>
      <c r="AB124" s="8">
        <v>45080</v>
      </c>
      <c r="AC124" s="4"/>
      <c r="AD124" s="4"/>
    </row>
    <row r="125" spans="1:30" hidden="1">
      <c r="A125" s="4">
        <v>124</v>
      </c>
      <c r="B125" s="8">
        <v>45043</v>
      </c>
      <c r="C125" s="4"/>
      <c r="D125" s="4" t="s">
        <v>42</v>
      </c>
      <c r="E125" s="8">
        <v>45069</v>
      </c>
      <c r="F125" s="4" t="s">
        <v>43</v>
      </c>
      <c r="G125" s="4" t="s">
        <v>93</v>
      </c>
      <c r="H125" s="4" t="s">
        <v>45</v>
      </c>
      <c r="I125" s="4" t="s">
        <v>519</v>
      </c>
      <c r="J125" s="10">
        <v>3.56</v>
      </c>
      <c r="K125" s="10">
        <f>2.463+1.095</f>
        <v>3.5579999999999998</v>
      </c>
      <c r="L125" s="10">
        <f t="shared" si="14"/>
        <v>0</v>
      </c>
      <c r="M125" s="10">
        <f t="shared" si="15"/>
        <v>0</v>
      </c>
      <c r="N125" s="10"/>
      <c r="O125" s="10">
        <v>0</v>
      </c>
      <c r="P125" s="10"/>
      <c r="Q125" s="10"/>
      <c r="R125" s="10"/>
      <c r="S125" s="10"/>
      <c r="T125" s="10"/>
      <c r="U125" s="10"/>
      <c r="V125" s="4" t="s">
        <v>651</v>
      </c>
      <c r="W125" s="4"/>
      <c r="X125" s="8">
        <v>45040</v>
      </c>
      <c r="Y125" s="4"/>
      <c r="Z125" s="4"/>
      <c r="AA125" s="8">
        <v>45059</v>
      </c>
      <c r="AB125" s="8">
        <v>45060</v>
      </c>
      <c r="AC125" s="4"/>
      <c r="AD125" s="4"/>
    </row>
    <row r="126" spans="1:30" hidden="1">
      <c r="A126" s="4">
        <v>124</v>
      </c>
      <c r="B126" s="8">
        <v>45043</v>
      </c>
      <c r="C126" s="4"/>
      <c r="D126" s="4" t="s">
        <v>42</v>
      </c>
      <c r="E126" s="8">
        <v>45069</v>
      </c>
      <c r="F126" s="4" t="s">
        <v>43</v>
      </c>
      <c r="G126" s="4" t="s">
        <v>93</v>
      </c>
      <c r="H126" s="4" t="s">
        <v>45</v>
      </c>
      <c r="I126" s="4" t="s">
        <v>517</v>
      </c>
      <c r="J126" s="10">
        <v>2.65</v>
      </c>
      <c r="K126" s="10">
        <f>1.548+1.106</f>
        <v>2.6539999999999999</v>
      </c>
      <c r="L126" s="10">
        <f t="shared" si="14"/>
        <v>0</v>
      </c>
      <c r="M126" s="10">
        <f t="shared" si="15"/>
        <v>0</v>
      </c>
      <c r="N126" s="10"/>
      <c r="O126" s="10"/>
      <c r="P126" s="10"/>
      <c r="Q126" s="10"/>
      <c r="R126" s="10"/>
      <c r="S126" s="10"/>
      <c r="T126" s="10"/>
      <c r="U126" s="10"/>
      <c r="V126" s="4" t="s">
        <v>651</v>
      </c>
      <c r="W126" s="4" t="s">
        <v>649</v>
      </c>
      <c r="X126" s="8">
        <v>45040</v>
      </c>
      <c r="Y126" s="4"/>
      <c r="Z126" s="4"/>
      <c r="AA126" s="8">
        <v>45060</v>
      </c>
      <c r="AB126" s="8">
        <v>45070</v>
      </c>
      <c r="AC126" s="4"/>
      <c r="AD126" s="4"/>
    </row>
    <row r="127" spans="1:30" hidden="1">
      <c r="A127" s="4">
        <v>124</v>
      </c>
      <c r="B127" s="8">
        <v>45043</v>
      </c>
      <c r="C127" s="4"/>
      <c r="D127" s="4" t="s">
        <v>42</v>
      </c>
      <c r="E127" s="8">
        <v>45069</v>
      </c>
      <c r="F127" s="4" t="s">
        <v>43</v>
      </c>
      <c r="G127" s="4" t="s">
        <v>93</v>
      </c>
      <c r="H127" s="4" t="s">
        <v>45</v>
      </c>
      <c r="I127" s="4" t="s">
        <v>56</v>
      </c>
      <c r="J127" s="10">
        <v>0.35524</v>
      </c>
      <c r="K127" s="10">
        <v>0.35499999999999998</v>
      </c>
      <c r="L127" s="10">
        <f t="shared" si="14"/>
        <v>0</v>
      </c>
      <c r="M127" s="10">
        <f t="shared" si="15"/>
        <v>0</v>
      </c>
      <c r="N127" s="10"/>
      <c r="O127" s="10"/>
      <c r="P127" s="10"/>
      <c r="Q127" s="10"/>
      <c r="R127" s="10"/>
      <c r="S127" s="10"/>
      <c r="T127" s="10"/>
      <c r="U127" s="10"/>
      <c r="V127" s="4" t="s">
        <v>536</v>
      </c>
      <c r="W127" s="4"/>
      <c r="X127" s="8">
        <v>45068</v>
      </c>
      <c r="Y127" s="4"/>
      <c r="Z127" s="4"/>
      <c r="AA127" s="8">
        <v>45085</v>
      </c>
      <c r="AB127" s="8">
        <v>45085</v>
      </c>
      <c r="AC127" s="4"/>
      <c r="AD127" s="4"/>
    </row>
    <row r="128" spans="1:30" hidden="1">
      <c r="A128" s="4">
        <v>124</v>
      </c>
      <c r="B128" s="8">
        <v>45043</v>
      </c>
      <c r="C128" s="4"/>
      <c r="D128" s="4" t="s">
        <v>42</v>
      </c>
      <c r="E128" s="8">
        <v>45069</v>
      </c>
      <c r="F128" s="4" t="s">
        <v>43</v>
      </c>
      <c r="G128" s="4" t="s">
        <v>93</v>
      </c>
      <c r="H128" s="4" t="s">
        <v>45</v>
      </c>
      <c r="I128" s="4" t="s">
        <v>48</v>
      </c>
      <c r="J128" s="10">
        <v>0.38552000000000003</v>
      </c>
      <c r="K128" s="10">
        <v>0.38600000000000001</v>
      </c>
      <c r="L128" s="10">
        <f t="shared" si="14"/>
        <v>0</v>
      </c>
      <c r="M128" s="10">
        <f t="shared" si="15"/>
        <v>0</v>
      </c>
      <c r="N128" s="10"/>
      <c r="O128" s="10"/>
      <c r="P128" s="10"/>
      <c r="Q128" s="10"/>
      <c r="R128" s="10"/>
      <c r="S128" s="10"/>
      <c r="T128" s="10"/>
      <c r="U128" s="10"/>
      <c r="V128" s="4" t="s">
        <v>536</v>
      </c>
      <c r="W128" s="4"/>
      <c r="X128" s="8">
        <v>45068</v>
      </c>
      <c r="Y128" s="4"/>
      <c r="Z128" s="4"/>
      <c r="AA128" s="8"/>
      <c r="AB128" s="8">
        <v>45088</v>
      </c>
      <c r="AC128" s="4"/>
      <c r="AD128" s="4"/>
    </row>
    <row r="129" spans="1:30" hidden="1">
      <c r="A129" s="4">
        <v>124</v>
      </c>
      <c r="B129" s="8">
        <v>45043</v>
      </c>
      <c r="C129" s="4"/>
      <c r="D129" s="4" t="s">
        <v>42</v>
      </c>
      <c r="E129" s="8">
        <v>45069</v>
      </c>
      <c r="F129" s="4" t="s">
        <v>43</v>
      </c>
      <c r="G129" s="4" t="s">
        <v>93</v>
      </c>
      <c r="H129" s="4" t="s">
        <v>45</v>
      </c>
      <c r="I129" s="4" t="s">
        <v>516</v>
      </c>
      <c r="J129" s="10">
        <f>0.28288+0.141</f>
        <v>0.42388000000000003</v>
      </c>
      <c r="K129" s="10">
        <v>0.42399999999999999</v>
      </c>
      <c r="L129" s="10">
        <f t="shared" si="14"/>
        <v>0</v>
      </c>
      <c r="M129" s="10">
        <f t="shared" si="15"/>
        <v>0</v>
      </c>
      <c r="N129" s="10"/>
      <c r="O129" s="10"/>
      <c r="P129" s="10"/>
      <c r="Q129" s="10"/>
      <c r="R129" s="10"/>
      <c r="S129" s="10"/>
      <c r="T129" s="10"/>
      <c r="U129" s="10"/>
      <c r="V129" s="4" t="s">
        <v>651</v>
      </c>
      <c r="W129" s="4" t="s">
        <v>521</v>
      </c>
      <c r="X129" s="8">
        <v>45067</v>
      </c>
      <c r="Y129" s="4"/>
      <c r="Z129" s="4"/>
      <c r="AA129" s="8">
        <v>45070</v>
      </c>
      <c r="AB129" s="8">
        <v>45070</v>
      </c>
      <c r="AC129" s="4"/>
      <c r="AD129" s="4"/>
    </row>
    <row r="130" spans="1:30" hidden="1">
      <c r="A130" s="4">
        <v>124</v>
      </c>
      <c r="B130" s="8">
        <v>45043</v>
      </c>
      <c r="C130" s="4"/>
      <c r="D130" s="4" t="s">
        <v>42</v>
      </c>
      <c r="E130" s="8">
        <v>45069</v>
      </c>
      <c r="F130" s="4" t="s">
        <v>43</v>
      </c>
      <c r="G130" s="4" t="s">
        <v>93</v>
      </c>
      <c r="H130" s="4" t="s">
        <v>45</v>
      </c>
      <c r="I130" s="4" t="s">
        <v>473</v>
      </c>
      <c r="J130" s="10">
        <f>0.52745+0.36</f>
        <v>0.88744999999999996</v>
      </c>
      <c r="K130" s="10">
        <v>0.88700000000000001</v>
      </c>
      <c r="L130" s="10">
        <f t="shared" si="14"/>
        <v>0</v>
      </c>
      <c r="M130" s="10">
        <f t="shared" si="15"/>
        <v>0</v>
      </c>
      <c r="N130" s="10"/>
      <c r="O130" s="10"/>
      <c r="P130" s="10"/>
      <c r="Q130" s="10"/>
      <c r="R130" s="10"/>
      <c r="S130" s="10"/>
      <c r="T130" s="10"/>
      <c r="U130" s="10"/>
      <c r="V130" s="4" t="s">
        <v>651</v>
      </c>
      <c r="W130" s="4"/>
      <c r="X130" s="8">
        <v>45072</v>
      </c>
      <c r="Y130" s="4"/>
      <c r="Z130" s="4"/>
      <c r="AA130" s="8"/>
      <c r="AB130" s="8">
        <v>45088</v>
      </c>
      <c r="AC130" s="4"/>
      <c r="AD130" s="4"/>
    </row>
    <row r="131" spans="1:30" hidden="1">
      <c r="A131" s="4">
        <v>124</v>
      </c>
      <c r="B131" s="8">
        <v>45043</v>
      </c>
      <c r="C131" s="4"/>
      <c r="D131" s="4" t="s">
        <v>42</v>
      </c>
      <c r="E131" s="8">
        <v>45069</v>
      </c>
      <c r="F131" s="4" t="s">
        <v>43</v>
      </c>
      <c r="G131" s="4" t="s">
        <v>93</v>
      </c>
      <c r="H131" s="4" t="s">
        <v>45</v>
      </c>
      <c r="I131" s="4" t="s">
        <v>235</v>
      </c>
      <c r="J131" s="10">
        <v>0.70463999999999993</v>
      </c>
      <c r="K131" s="10">
        <v>0.69899999999999995</v>
      </c>
      <c r="L131" s="10">
        <f t="shared" si="14"/>
        <v>0</v>
      </c>
      <c r="M131" s="10">
        <f t="shared" si="15"/>
        <v>0</v>
      </c>
      <c r="N131" s="10"/>
      <c r="O131" s="10"/>
      <c r="P131" s="10"/>
      <c r="Q131" s="10"/>
      <c r="R131" s="10"/>
      <c r="S131" s="10"/>
      <c r="T131" s="10"/>
      <c r="U131" s="10"/>
      <c r="V131" s="4" t="s">
        <v>536</v>
      </c>
      <c r="W131" s="4"/>
      <c r="X131" s="8">
        <v>45087</v>
      </c>
      <c r="Y131" s="4"/>
      <c r="Z131" s="4"/>
      <c r="AA131" s="8">
        <v>45091</v>
      </c>
      <c r="AB131" s="8">
        <v>45091</v>
      </c>
      <c r="AC131" s="4"/>
      <c r="AD131" s="4"/>
    </row>
    <row r="132" spans="1:30" hidden="1">
      <c r="A132" s="4">
        <v>124</v>
      </c>
      <c r="B132" s="8">
        <v>45043</v>
      </c>
      <c r="C132" s="4"/>
      <c r="D132" s="4" t="s">
        <v>42</v>
      </c>
      <c r="E132" s="8">
        <v>45069</v>
      </c>
      <c r="F132" s="4" t="s">
        <v>43</v>
      </c>
      <c r="G132" s="4" t="s">
        <v>93</v>
      </c>
      <c r="H132" s="4" t="s">
        <v>45</v>
      </c>
      <c r="I132" s="4" t="s">
        <v>100</v>
      </c>
      <c r="J132" s="10">
        <f>0.41915+0.671</f>
        <v>1.09015</v>
      </c>
      <c r="K132" s="10">
        <v>1.0900000000000001</v>
      </c>
      <c r="L132" s="10">
        <f t="shared" si="14"/>
        <v>0</v>
      </c>
      <c r="M132" s="10">
        <f t="shared" si="15"/>
        <v>0</v>
      </c>
      <c r="N132" s="10"/>
      <c r="O132" s="10"/>
      <c r="P132" s="10"/>
      <c r="Q132" s="10"/>
      <c r="R132" s="10"/>
      <c r="S132" s="10"/>
      <c r="T132" s="10"/>
      <c r="U132" s="10"/>
      <c r="V132" s="4" t="s">
        <v>651</v>
      </c>
      <c r="W132" s="4"/>
      <c r="X132" s="8">
        <v>45071</v>
      </c>
      <c r="Y132" s="4"/>
      <c r="Z132" s="4"/>
      <c r="AA132" s="8">
        <v>45085</v>
      </c>
      <c r="AB132" s="8">
        <v>45085</v>
      </c>
      <c r="AC132" s="4"/>
      <c r="AD132" s="4"/>
    </row>
    <row r="133" spans="1:30" hidden="1">
      <c r="A133" s="4">
        <v>124</v>
      </c>
      <c r="B133" s="8">
        <v>45043</v>
      </c>
      <c r="C133" s="4"/>
      <c r="D133" s="4" t="s">
        <v>42</v>
      </c>
      <c r="E133" s="8">
        <v>45069</v>
      </c>
      <c r="F133" s="4" t="s">
        <v>43</v>
      </c>
      <c r="G133" s="4" t="s">
        <v>93</v>
      </c>
      <c r="H133" s="4" t="s">
        <v>45</v>
      </c>
      <c r="I133" s="4" t="s">
        <v>96</v>
      </c>
      <c r="J133" s="10">
        <v>0.84567999999999999</v>
      </c>
      <c r="K133" s="10">
        <v>0.84599999999999997</v>
      </c>
      <c r="L133" s="10">
        <f t="shared" si="14"/>
        <v>0</v>
      </c>
      <c r="M133" s="10">
        <f t="shared" si="15"/>
        <v>0</v>
      </c>
      <c r="N133" s="10"/>
      <c r="O133" s="10"/>
      <c r="P133" s="10"/>
      <c r="Q133" s="10"/>
      <c r="R133" s="10"/>
      <c r="S133" s="10"/>
      <c r="T133" s="10"/>
      <c r="U133" s="10"/>
      <c r="V133" s="4" t="s">
        <v>536</v>
      </c>
      <c r="W133" s="4"/>
      <c r="X133" s="8">
        <v>45071</v>
      </c>
      <c r="Y133" s="4"/>
      <c r="Z133" s="4"/>
      <c r="AA133" s="8">
        <v>45081</v>
      </c>
      <c r="AB133" s="8">
        <v>45081</v>
      </c>
      <c r="AC133" s="4"/>
      <c r="AD133" s="4"/>
    </row>
    <row r="134" spans="1:30" hidden="1">
      <c r="A134" s="4">
        <v>124</v>
      </c>
      <c r="B134" s="8">
        <v>45043</v>
      </c>
      <c r="C134" s="4"/>
      <c r="D134" s="4" t="s">
        <v>42</v>
      </c>
      <c r="E134" s="8">
        <v>45069</v>
      </c>
      <c r="F134" s="4" t="s">
        <v>43</v>
      </c>
      <c r="G134" s="4" t="s">
        <v>186</v>
      </c>
      <c r="H134" s="4" t="s">
        <v>45</v>
      </c>
      <c r="I134" s="4" t="s">
        <v>407</v>
      </c>
      <c r="J134" s="10">
        <f>25.29+1.31</f>
        <v>26.599999999999998</v>
      </c>
      <c r="K134" s="10">
        <f>17.399+8.57+0.209+0.418</f>
        <v>26.596</v>
      </c>
      <c r="L134" s="10">
        <f t="shared" si="14"/>
        <v>0</v>
      </c>
      <c r="M134" s="10">
        <f t="shared" si="15"/>
        <v>0</v>
      </c>
      <c r="N134" s="10"/>
      <c r="O134" s="10"/>
      <c r="P134" s="10"/>
      <c r="Q134" s="10"/>
      <c r="R134" s="10"/>
      <c r="S134" s="10"/>
      <c r="T134" s="10"/>
      <c r="U134" s="10"/>
      <c r="V134" s="4" t="s">
        <v>655</v>
      </c>
      <c r="W134" s="4"/>
      <c r="X134" s="8">
        <v>45066</v>
      </c>
      <c r="Y134" s="4"/>
      <c r="Z134" s="4"/>
      <c r="AA134" s="8">
        <v>45078</v>
      </c>
      <c r="AB134" s="8">
        <v>45088</v>
      </c>
      <c r="AC134" s="4"/>
      <c r="AD134" s="4"/>
    </row>
    <row r="135" spans="1:30" hidden="1">
      <c r="A135" s="4">
        <v>124</v>
      </c>
      <c r="B135" s="8">
        <v>45043</v>
      </c>
      <c r="C135" s="4"/>
      <c r="D135" s="4" t="s">
        <v>42</v>
      </c>
      <c r="E135" s="8">
        <v>45069</v>
      </c>
      <c r="F135" s="4" t="s">
        <v>43</v>
      </c>
      <c r="G135" s="4" t="s">
        <v>186</v>
      </c>
      <c r="H135" s="4" t="s">
        <v>45</v>
      </c>
      <c r="I135" s="4" t="s">
        <v>47</v>
      </c>
      <c r="J135" s="10">
        <v>26.5</v>
      </c>
      <c r="K135" s="10">
        <f>25.151+1.35</f>
        <v>26.501000000000001</v>
      </c>
      <c r="L135" s="10">
        <f t="shared" si="14"/>
        <v>0</v>
      </c>
      <c r="M135" s="10">
        <f t="shared" si="15"/>
        <v>0</v>
      </c>
      <c r="N135" s="10"/>
      <c r="O135" s="10"/>
      <c r="P135" s="10"/>
      <c r="Q135" s="10"/>
      <c r="R135" s="10"/>
      <c r="S135" s="10"/>
      <c r="T135" s="10"/>
      <c r="U135" s="10"/>
      <c r="V135" s="4" t="s">
        <v>656</v>
      </c>
      <c r="W135" s="4"/>
      <c r="X135" s="8">
        <v>45066</v>
      </c>
      <c r="Y135" s="4"/>
      <c r="Z135" s="4"/>
      <c r="AA135" s="8">
        <v>45080</v>
      </c>
      <c r="AB135" s="8">
        <v>45088</v>
      </c>
      <c r="AC135" s="4"/>
      <c r="AD135" s="4"/>
    </row>
    <row r="136" spans="1:30" hidden="1">
      <c r="A136" s="4">
        <v>124</v>
      </c>
      <c r="B136" s="8">
        <v>45043</v>
      </c>
      <c r="C136" s="4"/>
      <c r="D136" s="4" t="s">
        <v>42</v>
      </c>
      <c r="E136" s="8">
        <v>45069</v>
      </c>
      <c r="F136" s="4" t="s">
        <v>43</v>
      </c>
      <c r="G136" s="4" t="s">
        <v>186</v>
      </c>
      <c r="H136" s="4" t="s">
        <v>45</v>
      </c>
      <c r="I136" s="4" t="s">
        <v>519</v>
      </c>
      <c r="J136" s="10">
        <v>13.530000000000001</v>
      </c>
      <c r="K136" s="10">
        <f>10.757+0.966+2.04</f>
        <v>13.762999999999998</v>
      </c>
      <c r="L136" s="10">
        <f t="shared" si="14"/>
        <v>0</v>
      </c>
      <c r="M136" s="10">
        <f t="shared" si="15"/>
        <v>0</v>
      </c>
      <c r="N136" s="10"/>
      <c r="O136" s="10"/>
      <c r="P136" s="10"/>
      <c r="Q136" s="10"/>
      <c r="R136" s="10"/>
      <c r="S136" s="10"/>
      <c r="T136" s="10"/>
      <c r="U136" s="10"/>
      <c r="V136" s="4" t="s">
        <v>656</v>
      </c>
      <c r="W136" s="4"/>
      <c r="X136" s="8">
        <v>45040</v>
      </c>
      <c r="Y136" s="4"/>
      <c r="Z136" s="4"/>
      <c r="AA136" s="8">
        <v>45059</v>
      </c>
      <c r="AB136" s="8">
        <v>45070</v>
      </c>
      <c r="AC136" s="4"/>
      <c r="AD136" s="4"/>
    </row>
    <row r="137" spans="1:30" hidden="1">
      <c r="A137" s="4">
        <v>124</v>
      </c>
      <c r="B137" s="8">
        <v>45043</v>
      </c>
      <c r="C137" s="4"/>
      <c r="D137" s="4" t="s">
        <v>42</v>
      </c>
      <c r="E137" s="8">
        <v>45069</v>
      </c>
      <c r="F137" s="4" t="s">
        <v>43</v>
      </c>
      <c r="G137" s="4" t="s">
        <v>186</v>
      </c>
      <c r="H137" s="4" t="s">
        <v>45</v>
      </c>
      <c r="I137" s="4" t="s">
        <v>517</v>
      </c>
      <c r="J137" s="10">
        <f>42.83-8.78</f>
        <v>34.049999999999997</v>
      </c>
      <c r="K137" s="10">
        <f>21.676+7.618+2.392+0.901+1.469</f>
        <v>34.055999999999997</v>
      </c>
      <c r="L137" s="10">
        <f t="shared" si="14"/>
        <v>0</v>
      </c>
      <c r="M137" s="10">
        <f t="shared" si="15"/>
        <v>0</v>
      </c>
      <c r="N137" s="10"/>
      <c r="O137" s="10"/>
      <c r="P137" s="10"/>
      <c r="Q137" s="10"/>
      <c r="R137" s="10"/>
      <c r="S137" s="10"/>
      <c r="T137" s="10"/>
      <c r="U137" s="10"/>
      <c r="V137" s="4" t="s">
        <v>656</v>
      </c>
      <c r="W137" s="4"/>
      <c r="X137" s="8">
        <v>45040</v>
      </c>
      <c r="Y137" s="4">
        <v>45051</v>
      </c>
      <c r="Z137" s="4"/>
      <c r="AA137" s="8">
        <v>45058</v>
      </c>
      <c r="AB137" s="8">
        <v>45070</v>
      </c>
      <c r="AC137" s="4"/>
      <c r="AD137" s="4"/>
    </row>
    <row r="138" spans="1:30" hidden="1">
      <c r="A138" s="4">
        <v>125</v>
      </c>
      <c r="B138" s="8">
        <v>45043</v>
      </c>
      <c r="C138" s="4"/>
      <c r="D138" s="4" t="s">
        <v>42</v>
      </c>
      <c r="E138" s="8">
        <v>45100</v>
      </c>
      <c r="F138" s="4" t="s">
        <v>43</v>
      </c>
      <c r="G138" s="4" t="s">
        <v>186</v>
      </c>
      <c r="H138" s="4" t="s">
        <v>45</v>
      </c>
      <c r="I138" s="4" t="s">
        <v>407</v>
      </c>
      <c r="J138" s="10">
        <f>5.45-2.465-1.31</f>
        <v>1.6750000000000003</v>
      </c>
      <c r="K138" s="10">
        <v>1.671</v>
      </c>
      <c r="L138" s="10">
        <f>M138+U138</f>
        <v>0</v>
      </c>
      <c r="M138" s="10">
        <f t="shared" si="15"/>
        <v>0</v>
      </c>
      <c r="N138" s="10"/>
      <c r="O138" s="10"/>
      <c r="P138" s="10"/>
      <c r="Q138" s="10"/>
      <c r="R138" s="10"/>
      <c r="S138" s="10"/>
      <c r="T138" s="10"/>
      <c r="U138" s="10"/>
      <c r="V138" s="4" t="s">
        <v>657</v>
      </c>
      <c r="W138" s="4"/>
      <c r="X138" s="8">
        <v>45066</v>
      </c>
      <c r="Y138" s="4"/>
      <c r="Z138" s="4"/>
      <c r="AA138" s="8">
        <v>45079</v>
      </c>
      <c r="AB138" s="8">
        <v>45079</v>
      </c>
      <c r="AC138" s="4"/>
      <c r="AD138" s="4"/>
    </row>
    <row r="139" spans="1:30" hidden="1">
      <c r="A139" s="4">
        <v>173</v>
      </c>
      <c r="B139" s="8">
        <v>45056</v>
      </c>
      <c r="C139" s="4"/>
      <c r="D139" s="4" t="s">
        <v>42</v>
      </c>
      <c r="E139" s="8">
        <v>45069</v>
      </c>
      <c r="F139" s="4" t="s">
        <v>43</v>
      </c>
      <c r="G139" s="4" t="s">
        <v>94</v>
      </c>
      <c r="H139" s="4" t="s">
        <v>45</v>
      </c>
      <c r="I139" s="4" t="s">
        <v>403</v>
      </c>
      <c r="J139" s="10">
        <v>2.3737999999999992</v>
      </c>
      <c r="K139" s="10">
        <f>1.278+0.73+0.473</f>
        <v>2.4809999999999999</v>
      </c>
      <c r="L139" s="10">
        <f t="shared" ref="L139:L153" si="18">M139+U139</f>
        <v>0</v>
      </c>
      <c r="M139" s="10">
        <f t="shared" ref="M139:M153" si="19">SUM(N139:T139)</f>
        <v>0</v>
      </c>
      <c r="N139" s="10"/>
      <c r="O139" s="10"/>
      <c r="P139" s="10"/>
      <c r="Q139" s="10">
        <v>0</v>
      </c>
      <c r="R139" s="10"/>
      <c r="S139" s="10"/>
      <c r="T139" s="10"/>
      <c r="U139" s="10"/>
      <c r="V139" s="4" t="s">
        <v>652</v>
      </c>
      <c r="W139" s="4" t="s">
        <v>745</v>
      </c>
      <c r="X139" s="8">
        <v>45069</v>
      </c>
      <c r="Y139" s="4"/>
      <c r="Z139" s="4"/>
      <c r="AA139" s="8"/>
      <c r="AB139" s="8">
        <v>45094</v>
      </c>
      <c r="AC139" s="4"/>
      <c r="AD139" s="4"/>
    </row>
    <row r="140" spans="1:30" hidden="1">
      <c r="A140" s="4">
        <v>173</v>
      </c>
      <c r="B140" s="8">
        <v>45056</v>
      </c>
      <c r="C140" s="4"/>
      <c r="D140" s="4" t="s">
        <v>42</v>
      </c>
      <c r="E140" s="8">
        <v>45069</v>
      </c>
      <c r="F140" s="4" t="s">
        <v>43</v>
      </c>
      <c r="G140" s="4" t="s">
        <v>94</v>
      </c>
      <c r="H140" s="4" t="s">
        <v>45</v>
      </c>
      <c r="I140" s="4" t="s">
        <v>46</v>
      </c>
      <c r="J140" s="10">
        <v>4.7168000000000001</v>
      </c>
      <c r="K140" s="10">
        <f>2.653+2.064</f>
        <v>4.7170000000000005</v>
      </c>
      <c r="L140" s="10">
        <f t="shared" si="18"/>
        <v>0</v>
      </c>
      <c r="M140" s="10">
        <f t="shared" si="19"/>
        <v>0</v>
      </c>
      <c r="N140" s="10"/>
      <c r="O140" s="10"/>
      <c r="P140" s="10"/>
      <c r="Q140" s="10"/>
      <c r="R140" s="10"/>
      <c r="S140" s="10"/>
      <c r="T140" s="10"/>
      <c r="U140" s="10"/>
      <c r="V140" s="4" t="s">
        <v>652</v>
      </c>
      <c r="W140" s="4"/>
      <c r="X140" s="8">
        <v>45069</v>
      </c>
      <c r="Y140" s="4"/>
      <c r="Z140" s="4"/>
      <c r="AA140" s="8">
        <v>45080</v>
      </c>
      <c r="AB140" s="8">
        <v>45085</v>
      </c>
      <c r="AC140" s="4"/>
      <c r="AD140" s="4"/>
    </row>
    <row r="141" spans="1:30" hidden="1">
      <c r="A141" s="4">
        <v>173</v>
      </c>
      <c r="B141" s="8">
        <v>45056</v>
      </c>
      <c r="C141" s="4"/>
      <c r="D141" s="4" t="s">
        <v>42</v>
      </c>
      <c r="E141" s="8">
        <v>45069</v>
      </c>
      <c r="F141" s="4" t="s">
        <v>43</v>
      </c>
      <c r="G141" s="4" t="s">
        <v>94</v>
      </c>
      <c r="H141" s="4" t="s">
        <v>45</v>
      </c>
      <c r="I141" s="4" t="s">
        <v>407</v>
      </c>
      <c r="J141" s="10">
        <v>1.3464</v>
      </c>
      <c r="K141" s="10">
        <v>1.3460000000000001</v>
      </c>
      <c r="L141" s="10">
        <f t="shared" si="18"/>
        <v>0</v>
      </c>
      <c r="M141" s="10">
        <f t="shared" si="19"/>
        <v>0</v>
      </c>
      <c r="N141" s="10"/>
      <c r="O141" s="10"/>
      <c r="P141" s="10"/>
      <c r="Q141" s="10"/>
      <c r="R141" s="10"/>
      <c r="S141" s="10"/>
      <c r="T141" s="10"/>
      <c r="U141" s="10"/>
      <c r="V141" s="4" t="s">
        <v>652</v>
      </c>
      <c r="W141" s="4"/>
      <c r="X141" s="8">
        <v>45066</v>
      </c>
      <c r="Y141" s="4"/>
      <c r="Z141" s="4"/>
      <c r="AA141" s="8">
        <v>45085</v>
      </c>
      <c r="AB141" s="8">
        <v>45085</v>
      </c>
      <c r="AC141" s="4"/>
      <c r="AD141" s="4"/>
    </row>
    <row r="142" spans="1:30" hidden="1">
      <c r="A142" s="4">
        <v>173</v>
      </c>
      <c r="B142" s="8">
        <v>45056</v>
      </c>
      <c r="C142" s="4"/>
      <c r="D142" s="4" t="s">
        <v>42</v>
      </c>
      <c r="E142" s="8">
        <v>45069</v>
      </c>
      <c r="F142" s="4" t="s">
        <v>43</v>
      </c>
      <c r="G142" s="4" t="s">
        <v>94</v>
      </c>
      <c r="H142" s="4" t="s">
        <v>45</v>
      </c>
      <c r="I142" s="4" t="s">
        <v>448</v>
      </c>
      <c r="J142" s="10">
        <v>2.1294000000000004</v>
      </c>
      <c r="K142" s="10">
        <v>2.129</v>
      </c>
      <c r="L142" s="10">
        <f t="shared" si="18"/>
        <v>0</v>
      </c>
      <c r="M142" s="10">
        <f t="shared" si="19"/>
        <v>0</v>
      </c>
      <c r="N142" s="10"/>
      <c r="O142" s="10"/>
      <c r="P142" s="10"/>
      <c r="Q142" s="10"/>
      <c r="R142" s="10"/>
      <c r="S142" s="10"/>
      <c r="T142" s="10"/>
      <c r="U142" s="10"/>
      <c r="V142" s="4" t="s">
        <v>652</v>
      </c>
      <c r="W142" s="4"/>
      <c r="X142" s="8">
        <v>45089</v>
      </c>
      <c r="Y142" s="4"/>
      <c r="Z142" s="4"/>
      <c r="AA142" s="8">
        <v>45105</v>
      </c>
      <c r="AB142" s="8">
        <v>45105</v>
      </c>
      <c r="AC142" s="4"/>
      <c r="AD142" s="4"/>
    </row>
    <row r="143" spans="1:30" hidden="1">
      <c r="A143" s="4">
        <v>173</v>
      </c>
      <c r="B143" s="8">
        <v>45056</v>
      </c>
      <c r="C143" s="4"/>
      <c r="D143" s="4" t="s">
        <v>42</v>
      </c>
      <c r="E143" s="8">
        <v>45069</v>
      </c>
      <c r="F143" s="4" t="s">
        <v>43</v>
      </c>
      <c r="G143" s="4" t="s">
        <v>190</v>
      </c>
      <c r="H143" s="4" t="s">
        <v>52</v>
      </c>
      <c r="I143" s="4" t="s">
        <v>50</v>
      </c>
      <c r="J143" s="10">
        <v>4.8259999999999996</v>
      </c>
      <c r="K143" s="10">
        <v>4.8250000000000002</v>
      </c>
      <c r="L143" s="10">
        <f t="shared" si="18"/>
        <v>0</v>
      </c>
      <c r="M143" s="10">
        <f t="shared" si="19"/>
        <v>0</v>
      </c>
      <c r="N143" s="10"/>
      <c r="O143" s="10"/>
      <c r="P143" s="10"/>
      <c r="Q143" s="10"/>
      <c r="R143" s="10"/>
      <c r="S143" s="10"/>
      <c r="T143" s="10"/>
      <c r="U143" s="10"/>
      <c r="V143" s="4" t="s">
        <v>665</v>
      </c>
      <c r="W143" s="4"/>
      <c r="X143" s="8">
        <v>45083</v>
      </c>
      <c r="Y143" s="4"/>
      <c r="Z143" s="4"/>
      <c r="AA143" s="8">
        <v>45093</v>
      </c>
      <c r="AB143" s="8">
        <v>45093</v>
      </c>
      <c r="AC143" s="4"/>
      <c r="AD143" s="4"/>
    </row>
    <row r="144" spans="1:30" hidden="1">
      <c r="A144" s="4">
        <v>173</v>
      </c>
      <c r="B144" s="8">
        <v>45056</v>
      </c>
      <c r="C144" s="4"/>
      <c r="D144" s="4" t="s">
        <v>42</v>
      </c>
      <c r="E144" s="8">
        <v>45069</v>
      </c>
      <c r="F144" s="4" t="s">
        <v>43</v>
      </c>
      <c r="G144" s="4" t="s">
        <v>190</v>
      </c>
      <c r="H144" s="4" t="s">
        <v>52</v>
      </c>
      <c r="I144" s="4" t="s">
        <v>588</v>
      </c>
      <c r="J144" s="10">
        <v>1.5589999999999999</v>
      </c>
      <c r="K144" s="10">
        <v>1.5589999999999999</v>
      </c>
      <c r="L144" s="10">
        <f t="shared" si="18"/>
        <v>0</v>
      </c>
      <c r="M144" s="10">
        <f t="shared" si="19"/>
        <v>0</v>
      </c>
      <c r="N144" s="10"/>
      <c r="O144" s="10"/>
      <c r="P144" s="10"/>
      <c r="Q144" s="10"/>
      <c r="R144" s="10"/>
      <c r="S144" s="10"/>
      <c r="T144" s="10"/>
      <c r="U144" s="10"/>
      <c r="V144" s="4" t="s">
        <v>662</v>
      </c>
      <c r="W144" s="4"/>
      <c r="X144" s="8">
        <v>45083</v>
      </c>
      <c r="Y144" s="4"/>
      <c r="Z144" s="4"/>
      <c r="AA144" s="8">
        <v>45091</v>
      </c>
      <c r="AB144" s="8">
        <v>45091</v>
      </c>
      <c r="AC144" s="4"/>
      <c r="AD144" s="4"/>
    </row>
    <row r="145" spans="1:30" hidden="1">
      <c r="A145" s="4">
        <v>173</v>
      </c>
      <c r="B145" s="8">
        <v>45056</v>
      </c>
      <c r="C145" s="4"/>
      <c r="D145" s="4" t="s">
        <v>42</v>
      </c>
      <c r="E145" s="8">
        <v>45069</v>
      </c>
      <c r="F145" s="4" t="s">
        <v>43</v>
      </c>
      <c r="G145" s="4" t="s">
        <v>190</v>
      </c>
      <c r="H145" s="4" t="s">
        <v>52</v>
      </c>
      <c r="I145" s="4" t="s">
        <v>407</v>
      </c>
      <c r="J145" s="10">
        <v>3.4209999999999998</v>
      </c>
      <c r="K145" s="10">
        <v>3.1749999999999998</v>
      </c>
      <c r="L145" s="10">
        <f t="shared" si="18"/>
        <v>0</v>
      </c>
      <c r="M145" s="10">
        <f t="shared" si="19"/>
        <v>0</v>
      </c>
      <c r="N145" s="10"/>
      <c r="O145" s="10"/>
      <c r="P145" s="10"/>
      <c r="Q145" s="10"/>
      <c r="R145" s="10"/>
      <c r="S145" s="10"/>
      <c r="T145" s="10"/>
      <c r="U145" s="10"/>
      <c r="V145" s="4" t="s">
        <v>666</v>
      </c>
      <c r="W145" s="4"/>
      <c r="X145" s="8">
        <v>45066</v>
      </c>
      <c r="Y145" s="4"/>
      <c r="Z145" s="4"/>
      <c r="AA145" s="8">
        <v>45070</v>
      </c>
      <c r="AB145" s="8">
        <v>45070</v>
      </c>
      <c r="AC145" s="4"/>
      <c r="AD145" s="4"/>
    </row>
    <row r="146" spans="1:30" hidden="1">
      <c r="A146" s="4">
        <v>173</v>
      </c>
      <c r="B146" s="8">
        <v>45056</v>
      </c>
      <c r="C146" s="4"/>
      <c r="D146" s="4" t="s">
        <v>42</v>
      </c>
      <c r="E146" s="8">
        <v>45069</v>
      </c>
      <c r="F146" s="4" t="s">
        <v>43</v>
      </c>
      <c r="G146" s="4" t="s">
        <v>190</v>
      </c>
      <c r="H146" s="4" t="s">
        <v>52</v>
      </c>
      <c r="I146" s="4" t="s">
        <v>47</v>
      </c>
      <c r="J146" s="10">
        <v>4.4139999999999997</v>
      </c>
      <c r="K146" s="10">
        <f>3.244+1.171</f>
        <v>4.415</v>
      </c>
      <c r="L146" s="10">
        <f t="shared" si="18"/>
        <v>0</v>
      </c>
      <c r="M146" s="10">
        <f t="shared" si="19"/>
        <v>0</v>
      </c>
      <c r="N146" s="10"/>
      <c r="O146" s="10"/>
      <c r="P146" s="10"/>
      <c r="Q146" s="10"/>
      <c r="R146" s="10"/>
      <c r="S146" s="10"/>
      <c r="T146" s="10"/>
      <c r="U146" s="10"/>
      <c r="V146" s="4" t="s">
        <v>666</v>
      </c>
      <c r="W146" s="4"/>
      <c r="X146" s="8">
        <v>45066</v>
      </c>
      <c r="Y146" s="4"/>
      <c r="Z146" s="4"/>
      <c r="AA146" s="8">
        <v>45101</v>
      </c>
      <c r="AB146" s="8">
        <v>45105</v>
      </c>
      <c r="AC146" s="4"/>
      <c r="AD146" s="4"/>
    </row>
    <row r="147" spans="1:30" hidden="1">
      <c r="A147" s="4">
        <v>173</v>
      </c>
      <c r="B147" s="8">
        <v>45056</v>
      </c>
      <c r="C147" s="4"/>
      <c r="D147" s="4" t="s">
        <v>42</v>
      </c>
      <c r="E147" s="8">
        <v>45069</v>
      </c>
      <c r="F147" s="4" t="s">
        <v>43</v>
      </c>
      <c r="G147" s="4" t="s">
        <v>92</v>
      </c>
      <c r="H147" s="4" t="s">
        <v>52</v>
      </c>
      <c r="I147" s="4" t="s">
        <v>236</v>
      </c>
      <c r="J147" s="10">
        <v>51.542000000000002</v>
      </c>
      <c r="K147" s="10">
        <f>21.786+19.309+7.943+0.932+0.803+0.826</f>
        <v>51.598999999999997</v>
      </c>
      <c r="L147" s="10">
        <f t="shared" si="18"/>
        <v>0</v>
      </c>
      <c r="M147" s="10">
        <f t="shared" si="19"/>
        <v>0</v>
      </c>
      <c r="N147" s="10"/>
      <c r="O147" s="10"/>
      <c r="P147" s="10"/>
      <c r="Q147" s="10"/>
      <c r="R147" s="10"/>
      <c r="S147" s="10"/>
      <c r="T147" s="10"/>
      <c r="U147" s="10"/>
      <c r="V147" s="4" t="s">
        <v>667</v>
      </c>
      <c r="W147" s="4"/>
      <c r="X147" s="8">
        <v>45083</v>
      </c>
      <c r="Y147" s="4"/>
      <c r="Z147" s="4"/>
      <c r="AA147" s="8">
        <v>45091</v>
      </c>
      <c r="AB147" s="8"/>
      <c r="AC147" s="4"/>
      <c r="AD147" s="4"/>
    </row>
    <row r="148" spans="1:30" hidden="1">
      <c r="A148" s="4">
        <v>173</v>
      </c>
      <c r="B148" s="8">
        <v>45056</v>
      </c>
      <c r="C148" s="4"/>
      <c r="D148" s="4" t="s">
        <v>42</v>
      </c>
      <c r="E148" s="8">
        <v>45069</v>
      </c>
      <c r="F148" s="4" t="s">
        <v>43</v>
      </c>
      <c r="G148" s="4" t="s">
        <v>92</v>
      </c>
      <c r="H148" s="4" t="s">
        <v>52</v>
      </c>
      <c r="I148" s="4" t="s">
        <v>588</v>
      </c>
      <c r="J148" s="10">
        <v>13.766</v>
      </c>
      <c r="K148" s="10">
        <f>10.091+2.653+1.021</f>
        <v>13.765000000000001</v>
      </c>
      <c r="L148" s="10">
        <f t="shared" si="18"/>
        <v>0</v>
      </c>
      <c r="M148" s="10">
        <f t="shared" si="19"/>
        <v>0</v>
      </c>
      <c r="N148" s="10"/>
      <c r="O148" s="10"/>
      <c r="P148" s="10"/>
      <c r="Q148" s="10"/>
      <c r="R148" s="10"/>
      <c r="S148" s="10"/>
      <c r="T148" s="10"/>
      <c r="U148" s="10"/>
      <c r="V148" s="4" t="s">
        <v>666</v>
      </c>
      <c r="W148" s="4"/>
      <c r="X148" s="8">
        <v>45083</v>
      </c>
      <c r="Y148" s="4"/>
      <c r="Z148" s="4"/>
      <c r="AA148" s="8">
        <v>45091</v>
      </c>
      <c r="AB148" s="8">
        <v>45104</v>
      </c>
      <c r="AC148" s="4"/>
      <c r="AD148" s="4"/>
    </row>
    <row r="149" spans="1:30" hidden="1">
      <c r="A149" s="4">
        <v>173</v>
      </c>
      <c r="B149" s="8">
        <v>45056</v>
      </c>
      <c r="C149" s="4"/>
      <c r="D149" s="4" t="s">
        <v>42</v>
      </c>
      <c r="E149" s="8">
        <v>45069</v>
      </c>
      <c r="F149" s="4" t="s">
        <v>43</v>
      </c>
      <c r="G149" s="4" t="s">
        <v>92</v>
      </c>
      <c r="H149" s="4" t="s">
        <v>52</v>
      </c>
      <c r="I149" s="4" t="s">
        <v>103</v>
      </c>
      <c r="J149" s="10">
        <v>33.39</v>
      </c>
      <c r="K149" s="10">
        <f>14.645+3.125+4.685+7.032+3.915</f>
        <v>33.402000000000001</v>
      </c>
      <c r="L149" s="10">
        <f t="shared" si="18"/>
        <v>0</v>
      </c>
      <c r="M149" s="10">
        <f t="shared" si="19"/>
        <v>0</v>
      </c>
      <c r="N149" s="10"/>
      <c r="O149" s="10"/>
      <c r="P149" s="10"/>
      <c r="Q149" s="10"/>
      <c r="R149" s="10"/>
      <c r="S149" s="10"/>
      <c r="T149" s="10"/>
      <c r="U149" s="10"/>
      <c r="V149" s="4" t="s">
        <v>666</v>
      </c>
      <c r="W149" s="4"/>
      <c r="X149" s="8">
        <v>45066</v>
      </c>
      <c r="Y149" s="4"/>
      <c r="Z149" s="4"/>
      <c r="AA149" s="8"/>
      <c r="AB149" s="8">
        <v>45108</v>
      </c>
      <c r="AC149" s="4"/>
      <c r="AD149" s="4"/>
    </row>
    <row r="150" spans="1:30" hidden="1">
      <c r="A150" s="4">
        <v>174</v>
      </c>
      <c r="B150" s="8">
        <v>45056</v>
      </c>
      <c r="C150" s="4"/>
      <c r="D150" s="4" t="s">
        <v>42</v>
      </c>
      <c r="E150" s="8">
        <v>45100</v>
      </c>
      <c r="F150" s="4" t="s">
        <v>43</v>
      </c>
      <c r="G150" s="4" t="s">
        <v>186</v>
      </c>
      <c r="H150" s="4" t="s">
        <v>45</v>
      </c>
      <c r="I150" s="4" t="s">
        <v>588</v>
      </c>
      <c r="J150" s="10">
        <f>181.89+0.38-0.915</f>
        <v>181.35499999999999</v>
      </c>
      <c r="K150" s="10">
        <f>25.196+25.123+24.666+13.453+9.108+14.032+17.417+22.629+10.867+12.548+6.561</f>
        <v>181.6</v>
      </c>
      <c r="L150" s="10">
        <f t="shared" si="18"/>
        <v>0</v>
      </c>
      <c r="M150" s="10">
        <f t="shared" si="19"/>
        <v>0</v>
      </c>
      <c r="N150" s="10"/>
      <c r="O150" s="10"/>
      <c r="P150" s="10"/>
      <c r="Q150" s="10"/>
      <c r="R150" s="10"/>
      <c r="S150" s="10"/>
      <c r="T150" s="10"/>
      <c r="U150" s="10"/>
      <c r="V150" s="4" t="s">
        <v>668</v>
      </c>
      <c r="W150" s="4"/>
      <c r="X150" s="8">
        <v>45076</v>
      </c>
      <c r="Y150" s="4"/>
      <c r="Z150" s="4"/>
      <c r="AA150" s="8">
        <v>45082</v>
      </c>
      <c r="AB150" s="8">
        <v>45108</v>
      </c>
      <c r="AC150" s="4"/>
      <c r="AD150" s="4"/>
    </row>
    <row r="151" spans="1:30" hidden="1">
      <c r="A151" s="4">
        <v>174</v>
      </c>
      <c r="B151" s="8">
        <v>45056</v>
      </c>
      <c r="C151" s="4"/>
      <c r="D151" s="4" t="s">
        <v>42</v>
      </c>
      <c r="E151" s="8">
        <v>45100</v>
      </c>
      <c r="F151" s="4" t="s">
        <v>43</v>
      </c>
      <c r="G151" s="4" t="s">
        <v>186</v>
      </c>
      <c r="H151" s="4" t="s">
        <v>45</v>
      </c>
      <c r="I151" s="4" t="s">
        <v>519</v>
      </c>
      <c r="J151" s="10">
        <v>1.214</v>
      </c>
      <c r="K151" s="10">
        <v>1.214</v>
      </c>
      <c r="L151" s="10">
        <f t="shared" ref="L151" si="20">M151+U151</f>
        <v>0</v>
      </c>
      <c r="M151" s="10">
        <f t="shared" ref="M151" si="21">SUM(N151:T151)</f>
        <v>0</v>
      </c>
      <c r="N151" s="10"/>
      <c r="O151" s="10"/>
      <c r="P151" s="10"/>
      <c r="Q151" s="10"/>
      <c r="R151" s="10"/>
      <c r="S151" s="10"/>
      <c r="T151" s="10"/>
      <c r="U151" s="10"/>
      <c r="V151" s="4" t="s">
        <v>663</v>
      </c>
      <c r="W151" s="4" t="s">
        <v>37</v>
      </c>
      <c r="X151" s="8">
        <v>45090</v>
      </c>
      <c r="Y151" s="4"/>
      <c r="Z151" s="4"/>
      <c r="AA151" s="8">
        <v>45102</v>
      </c>
      <c r="AB151" s="8">
        <v>45102</v>
      </c>
      <c r="AC151" s="4"/>
      <c r="AD151" s="4"/>
    </row>
    <row r="152" spans="1:30" hidden="1">
      <c r="A152" s="4">
        <v>174</v>
      </c>
      <c r="B152" s="8">
        <v>45056</v>
      </c>
      <c r="C152" s="4"/>
      <c r="D152" s="4" t="s">
        <v>42</v>
      </c>
      <c r="E152" s="8">
        <v>45100</v>
      </c>
      <c r="F152" s="4" t="s">
        <v>43</v>
      </c>
      <c r="G152" s="4" t="s">
        <v>186</v>
      </c>
      <c r="H152" s="4" t="s">
        <v>45</v>
      </c>
      <c r="I152" s="4" t="s">
        <v>407</v>
      </c>
      <c r="J152" s="10">
        <v>7.2309600000000005</v>
      </c>
      <c r="K152" s="10">
        <v>7.2309999999999999</v>
      </c>
      <c r="L152" s="10">
        <f t="shared" si="18"/>
        <v>0</v>
      </c>
      <c r="M152" s="10">
        <f t="shared" si="19"/>
        <v>0</v>
      </c>
      <c r="N152" s="10"/>
      <c r="O152" s="10"/>
      <c r="P152" s="10"/>
      <c r="Q152" s="10"/>
      <c r="R152" s="10"/>
      <c r="S152" s="10"/>
      <c r="T152" s="10"/>
      <c r="U152" s="10"/>
      <c r="V152" s="4" t="s">
        <v>664</v>
      </c>
      <c r="W152" s="4"/>
      <c r="X152" s="8">
        <v>45066</v>
      </c>
      <c r="Y152" s="4"/>
      <c r="Z152" s="4"/>
      <c r="AA152" s="8">
        <v>45078</v>
      </c>
      <c r="AB152" s="8">
        <v>45078</v>
      </c>
      <c r="AC152" s="4"/>
      <c r="AD152" s="4"/>
    </row>
    <row r="153" spans="1:30" hidden="1">
      <c r="A153" s="4">
        <v>174</v>
      </c>
      <c r="B153" s="8">
        <v>45056</v>
      </c>
      <c r="C153" s="4"/>
      <c r="D153" s="4" t="s">
        <v>42</v>
      </c>
      <c r="E153" s="8">
        <v>45100</v>
      </c>
      <c r="F153" s="4" t="s">
        <v>43</v>
      </c>
      <c r="G153" s="4" t="s">
        <v>92</v>
      </c>
      <c r="H153" s="4" t="s">
        <v>52</v>
      </c>
      <c r="I153" s="4" t="s">
        <v>50</v>
      </c>
      <c r="J153" s="10">
        <f>0.997896+0.529</f>
        <v>1.526896</v>
      </c>
      <c r="K153" s="10">
        <v>1.5229999999999999</v>
      </c>
      <c r="L153" s="10">
        <f t="shared" si="18"/>
        <v>0</v>
      </c>
      <c r="M153" s="10">
        <f t="shared" si="19"/>
        <v>0</v>
      </c>
      <c r="N153" s="10"/>
      <c r="O153" s="10"/>
      <c r="P153" s="10"/>
      <c r="Q153" s="10"/>
      <c r="R153" s="10"/>
      <c r="S153" s="10"/>
      <c r="T153" s="10"/>
      <c r="U153" s="10"/>
      <c r="V153" s="4" t="s">
        <v>663</v>
      </c>
      <c r="W153" s="4"/>
      <c r="X153" s="8">
        <v>45083</v>
      </c>
      <c r="Y153" s="4"/>
      <c r="Z153" s="4"/>
      <c r="AA153" s="8">
        <v>45091</v>
      </c>
      <c r="AB153" s="8">
        <v>45091</v>
      </c>
      <c r="AC153" s="4"/>
      <c r="AD153" s="4"/>
    </row>
    <row r="154" spans="1:30" hidden="1">
      <c r="A154" s="4">
        <v>192</v>
      </c>
      <c r="B154" s="8">
        <v>45064</v>
      </c>
      <c r="C154" s="4"/>
      <c r="D154" s="4" t="s">
        <v>42</v>
      </c>
      <c r="E154" s="8">
        <v>45084</v>
      </c>
      <c r="F154" s="4" t="s">
        <v>43</v>
      </c>
      <c r="G154" s="4" t="s">
        <v>186</v>
      </c>
      <c r="H154" s="4" t="s">
        <v>45</v>
      </c>
      <c r="I154" s="4" t="s">
        <v>517</v>
      </c>
      <c r="J154" s="10">
        <v>15.312569999999997</v>
      </c>
      <c r="K154" s="10">
        <f>1.179+11.4+2.869</f>
        <v>15.448</v>
      </c>
      <c r="L154" s="10">
        <f t="shared" ref="L154:L155" si="22">M154+U154</f>
        <v>0</v>
      </c>
      <c r="M154" s="10">
        <f t="shared" ref="M154:M155" si="23">SUM(N154:T154)</f>
        <v>0</v>
      </c>
      <c r="N154" s="10"/>
      <c r="O154" s="10"/>
      <c r="P154" s="10"/>
      <c r="Q154" s="10"/>
      <c r="R154" s="10"/>
      <c r="S154" s="10"/>
      <c r="T154" s="10"/>
      <c r="U154" s="10"/>
      <c r="V154" s="4" t="s">
        <v>663</v>
      </c>
      <c r="W154" s="4"/>
      <c r="X154" s="8">
        <v>45090</v>
      </c>
      <c r="Y154" s="4"/>
      <c r="Z154" s="4"/>
      <c r="AA154" s="8"/>
      <c r="AB154" s="8">
        <v>45102</v>
      </c>
      <c r="AC154" s="4"/>
      <c r="AD154" s="4"/>
    </row>
    <row r="155" spans="1:30" hidden="1">
      <c r="A155" s="4">
        <v>192</v>
      </c>
      <c r="B155" s="8">
        <v>45064</v>
      </c>
      <c r="C155" s="4"/>
      <c r="D155" s="4" t="s">
        <v>42</v>
      </c>
      <c r="E155" s="8">
        <v>45084</v>
      </c>
      <c r="F155" s="4" t="s">
        <v>43</v>
      </c>
      <c r="G155" s="4" t="s">
        <v>186</v>
      </c>
      <c r="H155" s="4" t="s">
        <v>45</v>
      </c>
      <c r="I155" s="4" t="s">
        <v>448</v>
      </c>
      <c r="J155" s="10">
        <v>125.77655999999999</v>
      </c>
      <c r="K155" s="10">
        <f>25.279+24.877+24.958+24.877+23.041+2.745</f>
        <v>125.777</v>
      </c>
      <c r="L155" s="10">
        <f t="shared" si="22"/>
        <v>0</v>
      </c>
      <c r="M155" s="10">
        <f t="shared" si="23"/>
        <v>0</v>
      </c>
      <c r="N155" s="10"/>
      <c r="O155" s="10"/>
      <c r="P155" s="10"/>
      <c r="Q155" s="10"/>
      <c r="R155" s="10"/>
      <c r="S155" s="10"/>
      <c r="T155" s="10"/>
      <c r="U155" s="10"/>
      <c r="V155" s="4" t="s">
        <v>663</v>
      </c>
      <c r="W155" s="4" t="s">
        <v>37</v>
      </c>
      <c r="X155" s="8">
        <v>45089</v>
      </c>
      <c r="Y155" s="4"/>
      <c r="Z155" s="4"/>
      <c r="AA155" s="8">
        <v>45096</v>
      </c>
      <c r="AB155" s="8">
        <v>45100</v>
      </c>
      <c r="AC155" s="4"/>
      <c r="AD155" s="4"/>
    </row>
    <row r="156" spans="1:30" hidden="1">
      <c r="A156" s="4">
        <v>193</v>
      </c>
      <c r="B156" s="8">
        <v>45064</v>
      </c>
      <c r="C156" s="4"/>
      <c r="D156" s="4" t="s">
        <v>42</v>
      </c>
      <c r="E156" s="8">
        <v>45107</v>
      </c>
      <c r="F156" s="4" t="s">
        <v>43</v>
      </c>
      <c r="G156" s="4" t="s">
        <v>186</v>
      </c>
      <c r="H156" s="4" t="s">
        <v>45</v>
      </c>
      <c r="I156" s="4" t="s">
        <v>517</v>
      </c>
      <c r="J156" s="10">
        <v>19.459439999999997</v>
      </c>
      <c r="K156" s="10">
        <f>3.538+6.29+6.29+0.786+0.983+1.682</f>
        <v>19.568999999999999</v>
      </c>
      <c r="L156" s="10">
        <f t="shared" ref="L156:L157" si="24">M156+U156</f>
        <v>0</v>
      </c>
      <c r="M156" s="10">
        <f t="shared" ref="M156:M157" si="25">SUM(N156:T156)</f>
        <v>0</v>
      </c>
      <c r="N156" s="10"/>
      <c r="O156" s="10"/>
      <c r="P156" s="10"/>
      <c r="Q156" s="10"/>
      <c r="R156" s="10"/>
      <c r="S156" s="10"/>
      <c r="T156" s="10"/>
      <c r="U156" s="10"/>
      <c r="V156" s="4" t="s">
        <v>664</v>
      </c>
      <c r="W156" s="4" t="s">
        <v>818</v>
      </c>
      <c r="X156" s="8">
        <v>45090</v>
      </c>
      <c r="Y156" s="4"/>
      <c r="Z156" s="4"/>
      <c r="AA156" s="8">
        <v>45100</v>
      </c>
      <c r="AB156" s="8">
        <v>45109</v>
      </c>
      <c r="AC156" s="4"/>
      <c r="AD156" s="4"/>
    </row>
    <row r="157" spans="1:30" hidden="1">
      <c r="A157" s="4">
        <v>193</v>
      </c>
      <c r="B157" s="8">
        <v>45064</v>
      </c>
      <c r="C157" s="4"/>
      <c r="D157" s="4" t="s">
        <v>42</v>
      </c>
      <c r="E157" s="8">
        <v>45107</v>
      </c>
      <c r="F157" s="4" t="s">
        <v>43</v>
      </c>
      <c r="G157" s="4" t="s">
        <v>186</v>
      </c>
      <c r="H157" s="4" t="s">
        <v>45</v>
      </c>
      <c r="I157" s="4" t="s">
        <v>448</v>
      </c>
      <c r="J157" s="10">
        <v>216.6918</v>
      </c>
      <c r="K157" s="10">
        <f>1.166+10.271+24.937+22.282+25.086+11.039+22.322+8.486+3.802+21.315+3.015+2.332+3.109+1.166+24.878+19.436+12.05</f>
        <v>216.69200000000004</v>
      </c>
      <c r="L157" s="10">
        <f t="shared" si="24"/>
        <v>0</v>
      </c>
      <c r="M157" s="10">
        <f t="shared" si="25"/>
        <v>0</v>
      </c>
      <c r="N157" s="10"/>
      <c r="O157" s="10"/>
      <c r="P157" s="10"/>
      <c r="Q157" s="10"/>
      <c r="R157" s="10"/>
      <c r="S157" s="10"/>
      <c r="T157" s="10"/>
      <c r="U157" s="10"/>
      <c r="V157" s="4" t="s">
        <v>664</v>
      </c>
      <c r="W157" s="4" t="s">
        <v>37</v>
      </c>
      <c r="X157" s="8">
        <v>45089</v>
      </c>
      <c r="Y157" s="4"/>
      <c r="Z157" s="4"/>
      <c r="AA157" s="8"/>
      <c r="AB157" s="8">
        <v>45141</v>
      </c>
      <c r="AC157" s="4"/>
      <c r="AD157" s="4"/>
    </row>
    <row r="158" spans="1:30" hidden="1">
      <c r="A158" s="4">
        <v>272</v>
      </c>
      <c r="B158" s="8">
        <v>45082</v>
      </c>
      <c r="C158" s="4"/>
      <c r="D158" s="4" t="s">
        <v>42</v>
      </c>
      <c r="E158" s="8">
        <v>45107</v>
      </c>
      <c r="F158" s="4" t="s">
        <v>43</v>
      </c>
      <c r="G158" s="4" t="s">
        <v>186</v>
      </c>
      <c r="H158" s="4" t="s">
        <v>45</v>
      </c>
      <c r="I158" s="4" t="s">
        <v>49</v>
      </c>
      <c r="J158" s="10">
        <v>2.5779999999999998</v>
      </c>
      <c r="K158" s="10">
        <v>2.577</v>
      </c>
      <c r="L158" s="10">
        <f t="shared" ref="L158:L168" si="26">M158+U158</f>
        <v>0</v>
      </c>
      <c r="M158" s="10">
        <f t="shared" ref="M158:M168" si="27">SUM(N158:T158)</f>
        <v>0</v>
      </c>
      <c r="N158" s="10"/>
      <c r="O158" s="10"/>
      <c r="P158" s="10"/>
      <c r="Q158" s="10"/>
      <c r="R158" s="10"/>
      <c r="S158" s="10"/>
      <c r="T158" s="10"/>
      <c r="U158" s="10"/>
      <c r="V158" s="4" t="s">
        <v>748</v>
      </c>
      <c r="W158" s="4"/>
      <c r="X158" s="8">
        <v>45083</v>
      </c>
      <c r="Y158" s="4"/>
      <c r="Z158" s="4"/>
      <c r="AA158" s="8"/>
      <c r="AB158" s="8"/>
      <c r="AC158" s="4"/>
      <c r="AD158" s="4"/>
    </row>
    <row r="159" spans="1:30" hidden="1">
      <c r="A159" s="4">
        <v>272</v>
      </c>
      <c r="B159" s="8">
        <v>45082</v>
      </c>
      <c r="C159" s="4"/>
      <c r="D159" s="4" t="s">
        <v>42</v>
      </c>
      <c r="E159" s="8">
        <v>45107</v>
      </c>
      <c r="F159" s="4" t="s">
        <v>43</v>
      </c>
      <c r="G159" s="4" t="s">
        <v>186</v>
      </c>
      <c r="H159" s="4" t="s">
        <v>45</v>
      </c>
      <c r="I159" s="4" t="s">
        <v>50</v>
      </c>
      <c r="J159" s="10">
        <v>36.552</v>
      </c>
      <c r="K159" s="10">
        <f>24.656+11.36+0.537</f>
        <v>36.552999999999997</v>
      </c>
      <c r="L159" s="10">
        <f t="shared" si="26"/>
        <v>0</v>
      </c>
      <c r="M159" s="10">
        <f t="shared" si="27"/>
        <v>0</v>
      </c>
      <c r="N159" s="10"/>
      <c r="O159" s="10"/>
      <c r="P159" s="10"/>
      <c r="Q159" s="10"/>
      <c r="R159" s="10"/>
      <c r="S159" s="10"/>
      <c r="T159" s="10"/>
      <c r="U159" s="10"/>
      <c r="V159" s="4" t="s">
        <v>748</v>
      </c>
      <c r="W159" s="4"/>
      <c r="X159" s="8">
        <v>45083</v>
      </c>
      <c r="Y159" s="4"/>
      <c r="Z159" s="4"/>
      <c r="AA159" s="8">
        <v>45096</v>
      </c>
      <c r="AB159" s="8">
        <v>45108</v>
      </c>
      <c r="AC159" s="4"/>
      <c r="AD159" s="4"/>
    </row>
    <row r="160" spans="1:30" hidden="1">
      <c r="A160" s="4">
        <v>272</v>
      </c>
      <c r="B160" s="8">
        <v>45082</v>
      </c>
      <c r="C160" s="4"/>
      <c r="D160" s="4" t="s">
        <v>42</v>
      </c>
      <c r="E160" s="8">
        <v>45107</v>
      </c>
      <c r="F160" s="4" t="s">
        <v>43</v>
      </c>
      <c r="G160" s="4" t="s">
        <v>186</v>
      </c>
      <c r="H160" s="4" t="s">
        <v>45</v>
      </c>
      <c r="I160" s="4" t="s">
        <v>588</v>
      </c>
      <c r="J160" s="10">
        <v>12.443</v>
      </c>
      <c r="K160" s="10">
        <f>2.777+4.352+5.316</f>
        <v>12.445</v>
      </c>
      <c r="L160" s="10">
        <f t="shared" si="26"/>
        <v>0</v>
      </c>
      <c r="M160" s="10">
        <f t="shared" si="27"/>
        <v>0</v>
      </c>
      <c r="N160" s="10"/>
      <c r="O160" s="10"/>
      <c r="P160" s="10"/>
      <c r="Q160" s="10"/>
      <c r="R160" s="10"/>
      <c r="S160" s="10"/>
      <c r="T160" s="10"/>
      <c r="U160" s="10"/>
      <c r="V160" s="4" t="s">
        <v>748</v>
      </c>
      <c r="W160" s="4"/>
      <c r="X160" s="8">
        <v>45083</v>
      </c>
      <c r="Y160" s="4"/>
      <c r="Z160" s="4"/>
      <c r="AA160" s="8"/>
      <c r="AB160" s="8">
        <v>45108</v>
      </c>
      <c r="AC160" s="4"/>
      <c r="AD160" s="4"/>
    </row>
    <row r="161" spans="1:30" hidden="1">
      <c r="A161" s="4">
        <v>272</v>
      </c>
      <c r="B161" s="8">
        <v>45082</v>
      </c>
      <c r="C161" s="4"/>
      <c r="D161" s="4" t="s">
        <v>42</v>
      </c>
      <c r="E161" s="8">
        <v>45107</v>
      </c>
      <c r="F161" s="4" t="s">
        <v>43</v>
      </c>
      <c r="G161" s="4" t="s">
        <v>186</v>
      </c>
      <c r="H161" s="4" t="s">
        <v>45</v>
      </c>
      <c r="I161" s="4" t="s">
        <v>407</v>
      </c>
      <c r="J161" s="10">
        <v>31.245000000000001</v>
      </c>
      <c r="K161" s="10">
        <f>22.8+8.401</f>
        <v>31.201000000000001</v>
      </c>
      <c r="L161" s="10">
        <f t="shared" si="26"/>
        <v>0</v>
      </c>
      <c r="M161" s="10">
        <f t="shared" si="27"/>
        <v>0</v>
      </c>
      <c r="N161" s="10"/>
      <c r="O161" s="10"/>
      <c r="P161" s="10"/>
      <c r="Q161" s="10"/>
      <c r="R161" s="10"/>
      <c r="S161" s="10"/>
      <c r="T161" s="10"/>
      <c r="U161" s="10"/>
      <c r="V161" s="4" t="s">
        <v>747</v>
      </c>
      <c r="W161" s="4"/>
      <c r="X161" s="8">
        <v>45086</v>
      </c>
      <c r="Y161" s="4"/>
      <c r="Z161" s="4"/>
      <c r="AA161" s="8">
        <v>45091</v>
      </c>
      <c r="AB161" s="8">
        <v>45100</v>
      </c>
      <c r="AC161" s="4"/>
      <c r="AD161" s="4"/>
    </row>
    <row r="162" spans="1:30" hidden="1">
      <c r="A162" s="4">
        <v>272</v>
      </c>
      <c r="B162" s="8">
        <v>45082</v>
      </c>
      <c r="C162" s="4"/>
      <c r="D162" s="4" t="s">
        <v>42</v>
      </c>
      <c r="E162" s="8">
        <v>45107</v>
      </c>
      <c r="F162" s="4" t="s">
        <v>43</v>
      </c>
      <c r="G162" s="4" t="s">
        <v>186</v>
      </c>
      <c r="H162" s="4" t="s">
        <v>45</v>
      </c>
      <c r="I162" s="4" t="s">
        <v>47</v>
      </c>
      <c r="J162" s="10">
        <v>34.21</v>
      </c>
      <c r="K162" s="10">
        <f>4.755+25.017+4.3</f>
        <v>34.071999999999996</v>
      </c>
      <c r="L162" s="10">
        <f t="shared" si="26"/>
        <v>0</v>
      </c>
      <c r="M162" s="10">
        <f t="shared" si="27"/>
        <v>0</v>
      </c>
      <c r="N162" s="10"/>
      <c r="O162" s="10"/>
      <c r="P162" s="10"/>
      <c r="Q162" s="10"/>
      <c r="R162" s="10"/>
      <c r="S162" s="10"/>
      <c r="T162" s="10"/>
      <c r="U162" s="10"/>
      <c r="V162" s="4" t="s">
        <v>747</v>
      </c>
      <c r="W162" s="4"/>
      <c r="X162" s="8">
        <v>45085</v>
      </c>
      <c r="Y162" s="4"/>
      <c r="Z162" s="4"/>
      <c r="AA162" s="8">
        <v>45092</v>
      </c>
      <c r="AB162" s="8"/>
      <c r="AC162" s="4"/>
      <c r="AD162" s="4"/>
    </row>
    <row r="163" spans="1:30" hidden="1">
      <c r="A163" s="4">
        <v>272</v>
      </c>
      <c r="B163" s="8">
        <v>45082</v>
      </c>
      <c r="C163" s="4"/>
      <c r="D163" s="4" t="s">
        <v>42</v>
      </c>
      <c r="E163" s="8">
        <v>45107</v>
      </c>
      <c r="F163" s="4" t="s">
        <v>43</v>
      </c>
      <c r="G163" s="4" t="s">
        <v>186</v>
      </c>
      <c r="H163" s="4" t="s">
        <v>45</v>
      </c>
      <c r="I163" s="4" t="s">
        <v>519</v>
      </c>
      <c r="J163" s="10">
        <v>19.166</v>
      </c>
      <c r="K163" s="10">
        <f>4.724+5.511+7.924+0.672+0.336</f>
        <v>19.166999999999998</v>
      </c>
      <c r="L163" s="10">
        <f t="shared" si="26"/>
        <v>0</v>
      </c>
      <c r="M163" s="10">
        <f t="shared" si="27"/>
        <v>0</v>
      </c>
      <c r="N163" s="10"/>
      <c r="O163" s="10"/>
      <c r="P163" s="10"/>
      <c r="Q163" s="10"/>
      <c r="R163" s="10"/>
      <c r="S163" s="10"/>
      <c r="T163" s="10"/>
      <c r="U163" s="10"/>
      <c r="V163" s="4" t="s">
        <v>748</v>
      </c>
      <c r="W163" s="4" t="s">
        <v>785</v>
      </c>
      <c r="X163" s="8">
        <v>45090</v>
      </c>
      <c r="Y163" s="4"/>
      <c r="Z163" s="4"/>
      <c r="AA163" s="8">
        <v>45102</v>
      </c>
      <c r="AB163" s="8">
        <v>45141</v>
      </c>
      <c r="AC163" s="4"/>
      <c r="AD163" s="4"/>
    </row>
    <row r="164" spans="1:30" hidden="1">
      <c r="A164" s="4">
        <v>272</v>
      </c>
      <c r="B164" s="8">
        <v>45082</v>
      </c>
      <c r="C164" s="4"/>
      <c r="D164" s="4" t="s">
        <v>42</v>
      </c>
      <c r="E164" s="8">
        <v>45107</v>
      </c>
      <c r="F164" s="4" t="s">
        <v>43</v>
      </c>
      <c r="G164" s="4" t="s">
        <v>186</v>
      </c>
      <c r="H164" s="4" t="s">
        <v>45</v>
      </c>
      <c r="I164" s="4" t="s">
        <v>517</v>
      </c>
      <c r="J164" s="10">
        <v>43.014000000000003</v>
      </c>
      <c r="K164" s="10">
        <f>10.254+18.624+2.88+11.297</f>
        <v>43.055</v>
      </c>
      <c r="L164" s="10">
        <f t="shared" si="26"/>
        <v>0</v>
      </c>
      <c r="M164" s="10">
        <f t="shared" si="27"/>
        <v>0</v>
      </c>
      <c r="N164" s="10"/>
      <c r="O164" s="10"/>
      <c r="P164" s="10"/>
      <c r="Q164" s="10"/>
      <c r="R164" s="10"/>
      <c r="S164" s="10"/>
      <c r="T164" s="10"/>
      <c r="U164" s="10"/>
      <c r="V164" s="4" t="s">
        <v>748</v>
      </c>
      <c r="W164" s="4" t="s">
        <v>37</v>
      </c>
      <c r="X164" s="8">
        <v>45090</v>
      </c>
      <c r="Y164" s="4"/>
      <c r="Z164" s="4"/>
      <c r="AA164" s="8">
        <v>45100</v>
      </c>
      <c r="AB164" s="8">
        <v>45102</v>
      </c>
      <c r="AC164" s="4"/>
      <c r="AD164" s="4"/>
    </row>
    <row r="165" spans="1:30" hidden="1">
      <c r="A165" s="4">
        <v>272</v>
      </c>
      <c r="B165" s="8">
        <v>45082</v>
      </c>
      <c r="C165" s="4"/>
      <c r="D165" s="4" t="s">
        <v>42</v>
      </c>
      <c r="E165" s="8">
        <v>45107</v>
      </c>
      <c r="F165" s="4" t="s">
        <v>43</v>
      </c>
      <c r="G165" s="4" t="s">
        <v>186</v>
      </c>
      <c r="H165" s="4" t="s">
        <v>45</v>
      </c>
      <c r="I165" s="4" t="s">
        <v>448</v>
      </c>
      <c r="J165" s="10">
        <v>29.933</v>
      </c>
      <c r="K165" s="10">
        <f>2.646+13.871+1.825+4.198+3.65+3.742</f>
        <v>29.931999999999999</v>
      </c>
      <c r="L165" s="10">
        <f t="shared" si="26"/>
        <v>0</v>
      </c>
      <c r="M165" s="10">
        <f t="shared" si="27"/>
        <v>0</v>
      </c>
      <c r="N165" s="10"/>
      <c r="O165" s="10"/>
      <c r="P165" s="10"/>
      <c r="Q165" s="10"/>
      <c r="R165" s="10"/>
      <c r="S165" s="10"/>
      <c r="T165" s="10"/>
      <c r="U165" s="10"/>
      <c r="V165" s="4" t="s">
        <v>748</v>
      </c>
      <c r="W165" s="4" t="s">
        <v>37</v>
      </c>
      <c r="X165" s="8">
        <v>45089</v>
      </c>
      <c r="Y165" s="4"/>
      <c r="Z165" s="4"/>
      <c r="AA165" s="8">
        <v>45100</v>
      </c>
      <c r="AB165" s="8">
        <v>45108</v>
      </c>
      <c r="AC165" s="4"/>
      <c r="AD165" s="4"/>
    </row>
    <row r="166" spans="1:30" hidden="1">
      <c r="A166" s="4">
        <v>272</v>
      </c>
      <c r="B166" s="8">
        <v>45082</v>
      </c>
      <c r="C166" s="4"/>
      <c r="D166" s="4" t="s">
        <v>42</v>
      </c>
      <c r="E166" s="8">
        <v>45107</v>
      </c>
      <c r="F166" s="4" t="s">
        <v>43</v>
      </c>
      <c r="G166" s="4" t="s">
        <v>92</v>
      </c>
      <c r="H166" s="4" t="s">
        <v>52</v>
      </c>
      <c r="I166" s="4" t="s">
        <v>236</v>
      </c>
      <c r="J166" s="10">
        <f>68.25-0.24</f>
        <v>68.010000000000005</v>
      </c>
      <c r="K166" s="10">
        <f>3.015+3.04+11.579+23.471+4.471+15.016+5.037+1.455+0.926</f>
        <v>68.010000000000005</v>
      </c>
      <c r="L166" s="10">
        <f t="shared" si="26"/>
        <v>0</v>
      </c>
      <c r="M166" s="10">
        <f t="shared" si="27"/>
        <v>0</v>
      </c>
      <c r="N166" s="10"/>
      <c r="O166" s="10"/>
      <c r="P166" s="10"/>
      <c r="Q166" s="10"/>
      <c r="R166" s="10"/>
      <c r="S166" s="10"/>
      <c r="T166" s="10"/>
      <c r="U166" s="10"/>
      <c r="V166" s="4" t="s">
        <v>749</v>
      </c>
      <c r="W166" s="4" t="s">
        <v>821</v>
      </c>
      <c r="X166" s="8">
        <v>45083</v>
      </c>
      <c r="Y166" s="4"/>
      <c r="Z166" s="4"/>
      <c r="AA166" s="8">
        <v>45091</v>
      </c>
      <c r="AB166" s="8">
        <v>45136</v>
      </c>
      <c r="AC166" s="4"/>
      <c r="AD166" s="4"/>
    </row>
    <row r="167" spans="1:30" hidden="1">
      <c r="A167" s="4">
        <v>272</v>
      </c>
      <c r="B167" s="8">
        <v>45082</v>
      </c>
      <c r="C167" s="4"/>
      <c r="D167" s="4" t="s">
        <v>42</v>
      </c>
      <c r="E167" s="8">
        <v>45107</v>
      </c>
      <c r="F167" s="4" t="s">
        <v>43</v>
      </c>
      <c r="G167" s="4" t="s">
        <v>92</v>
      </c>
      <c r="H167" s="4" t="s">
        <v>52</v>
      </c>
      <c r="I167" s="4" t="s">
        <v>588</v>
      </c>
      <c r="J167" s="10">
        <v>30.74</v>
      </c>
      <c r="K167" s="10">
        <f>10.533+2.409+17.797</f>
        <v>30.739000000000001</v>
      </c>
      <c r="L167" s="10">
        <f t="shared" si="26"/>
        <v>0</v>
      </c>
      <c r="M167" s="10">
        <f t="shared" si="27"/>
        <v>0</v>
      </c>
      <c r="N167" s="10"/>
      <c r="O167" s="10"/>
      <c r="P167" s="10"/>
      <c r="Q167" s="10"/>
      <c r="R167" s="10"/>
      <c r="S167" s="10"/>
      <c r="T167" s="10"/>
      <c r="U167" s="10"/>
      <c r="V167" s="4" t="s">
        <v>748</v>
      </c>
      <c r="W167" s="4"/>
      <c r="X167" s="8">
        <v>45083</v>
      </c>
      <c r="Y167" s="4"/>
      <c r="Z167" s="4"/>
      <c r="AA167" s="8">
        <v>45091</v>
      </c>
      <c r="AB167" s="8">
        <v>45092</v>
      </c>
      <c r="AC167" s="4"/>
      <c r="AD167" s="4"/>
    </row>
    <row r="168" spans="1:30" hidden="1">
      <c r="A168" s="4">
        <v>272</v>
      </c>
      <c r="B168" s="8">
        <v>45082</v>
      </c>
      <c r="C168" s="4"/>
      <c r="D168" s="4" t="s">
        <v>42</v>
      </c>
      <c r="E168" s="8">
        <v>45107</v>
      </c>
      <c r="F168" s="4" t="s">
        <v>43</v>
      </c>
      <c r="G168" s="4" t="s">
        <v>92</v>
      </c>
      <c r="H168" s="4" t="s">
        <v>52</v>
      </c>
      <c r="I168" s="4" t="s">
        <v>103</v>
      </c>
      <c r="J168" s="10">
        <v>42.58</v>
      </c>
      <c r="K168" s="10">
        <f>7.012+5.632+17.073+5.8+4.139+0.661+2.732</f>
        <v>43.048999999999999</v>
      </c>
      <c r="L168" s="10">
        <f t="shared" si="26"/>
        <v>0</v>
      </c>
      <c r="M168" s="10">
        <f t="shared" si="27"/>
        <v>0</v>
      </c>
      <c r="N168" s="10"/>
      <c r="O168" s="10"/>
      <c r="P168" s="10"/>
      <c r="Q168" s="10"/>
      <c r="R168" s="10"/>
      <c r="S168" s="10"/>
      <c r="T168" s="10"/>
      <c r="U168" s="10"/>
      <c r="V168" s="4" t="s">
        <v>748</v>
      </c>
      <c r="W168" s="4" t="s">
        <v>738</v>
      </c>
      <c r="X168" s="8">
        <v>45085</v>
      </c>
      <c r="Y168" s="4"/>
      <c r="Z168" s="4"/>
      <c r="AA168" s="8"/>
      <c r="AB168" s="8">
        <v>45132</v>
      </c>
      <c r="AC168" s="4"/>
      <c r="AD168" s="4"/>
    </row>
    <row r="169" spans="1:30" hidden="1">
      <c r="A169" s="4">
        <v>347</v>
      </c>
      <c r="B169" s="8">
        <v>45092</v>
      </c>
      <c r="C169" s="4"/>
      <c r="D169" s="4" t="s">
        <v>42</v>
      </c>
      <c r="E169" s="8">
        <v>45122</v>
      </c>
      <c r="F169" s="4" t="s">
        <v>43</v>
      </c>
      <c r="G169" s="4" t="s">
        <v>60</v>
      </c>
      <c r="H169" s="4" t="s">
        <v>45</v>
      </c>
      <c r="I169" s="4" t="s">
        <v>46</v>
      </c>
      <c r="J169" s="10">
        <v>30.681000000000001</v>
      </c>
      <c r="K169" s="10">
        <f>2.673+23.739+4.268</f>
        <v>30.68</v>
      </c>
      <c r="L169" s="10">
        <f t="shared" ref="L169:L177" si="28">M169+U169</f>
        <v>0</v>
      </c>
      <c r="M169" s="10">
        <f t="shared" ref="M169:M177" si="29">SUM(N169:T169)</f>
        <v>0</v>
      </c>
      <c r="N169" s="10"/>
      <c r="O169" s="10"/>
      <c r="P169" s="10"/>
      <c r="Q169" s="10"/>
      <c r="R169" s="10"/>
      <c r="S169" s="10"/>
      <c r="T169" s="10"/>
      <c r="U169" s="10"/>
      <c r="V169" s="4" t="s">
        <v>769</v>
      </c>
      <c r="W169" s="4"/>
      <c r="X169" s="8">
        <v>45101</v>
      </c>
      <c r="Y169" s="4"/>
      <c r="Z169" s="4"/>
      <c r="AA169" s="8">
        <v>45105</v>
      </c>
      <c r="AB169" s="8">
        <v>45107</v>
      </c>
      <c r="AC169" s="4"/>
      <c r="AD169" s="4"/>
    </row>
    <row r="170" spans="1:30" hidden="1">
      <c r="A170" s="4">
        <v>347</v>
      </c>
      <c r="B170" s="8">
        <v>45092</v>
      </c>
      <c r="C170" s="4"/>
      <c r="D170" s="4" t="s">
        <v>42</v>
      </c>
      <c r="E170" s="8">
        <v>45122</v>
      </c>
      <c r="F170" s="4" t="s">
        <v>43</v>
      </c>
      <c r="G170" s="4" t="s">
        <v>60</v>
      </c>
      <c r="H170" s="4" t="s">
        <v>45</v>
      </c>
      <c r="I170" s="4" t="s">
        <v>49</v>
      </c>
      <c r="J170" s="10">
        <v>4.3738240000000008</v>
      </c>
      <c r="K170" s="10">
        <v>4.423</v>
      </c>
      <c r="L170" s="10">
        <f t="shared" si="28"/>
        <v>0</v>
      </c>
      <c r="M170" s="10">
        <f t="shared" si="29"/>
        <v>0</v>
      </c>
      <c r="N170" s="10"/>
      <c r="O170" s="10"/>
      <c r="P170" s="10"/>
      <c r="Q170" s="10"/>
      <c r="R170" s="10"/>
      <c r="S170" s="10"/>
      <c r="T170" s="10"/>
      <c r="U170" s="10"/>
      <c r="V170" s="4" t="s">
        <v>769</v>
      </c>
      <c r="W170" s="4"/>
      <c r="X170" s="8">
        <v>45106</v>
      </c>
      <c r="Y170" s="4"/>
      <c r="Z170" s="4"/>
      <c r="AA170" s="8">
        <v>45114</v>
      </c>
      <c r="AB170" s="8">
        <v>45114</v>
      </c>
      <c r="AC170" s="4"/>
      <c r="AD170" s="4"/>
    </row>
    <row r="171" spans="1:30" hidden="1">
      <c r="A171" s="4">
        <v>347</v>
      </c>
      <c r="B171" s="8">
        <v>45092</v>
      </c>
      <c r="C171" s="4"/>
      <c r="D171" s="4" t="s">
        <v>42</v>
      </c>
      <c r="E171" s="8">
        <v>45122</v>
      </c>
      <c r="F171" s="4" t="s">
        <v>43</v>
      </c>
      <c r="G171" s="4" t="s">
        <v>60</v>
      </c>
      <c r="H171" s="4" t="s">
        <v>45</v>
      </c>
      <c r="I171" s="4" t="s">
        <v>423</v>
      </c>
      <c r="J171" s="10">
        <v>5.3459999999999992</v>
      </c>
      <c r="K171" s="10">
        <v>5.3460000000000001</v>
      </c>
      <c r="L171" s="10">
        <f t="shared" si="28"/>
        <v>0</v>
      </c>
      <c r="M171" s="10">
        <f t="shared" si="29"/>
        <v>0</v>
      </c>
      <c r="N171" s="10"/>
      <c r="O171" s="10"/>
      <c r="P171" s="10"/>
      <c r="Q171" s="10"/>
      <c r="R171" s="10"/>
      <c r="S171" s="10"/>
      <c r="T171" s="10"/>
      <c r="U171" s="10"/>
      <c r="V171" s="4" t="s">
        <v>769</v>
      </c>
      <c r="W171" s="4"/>
      <c r="X171" s="8">
        <v>45106</v>
      </c>
      <c r="Y171" s="4"/>
      <c r="Z171" s="4"/>
      <c r="AA171" s="8">
        <v>45111</v>
      </c>
      <c r="AB171" s="8">
        <v>45111</v>
      </c>
      <c r="AC171" s="4"/>
      <c r="AD171" s="4"/>
    </row>
    <row r="172" spans="1:30" hidden="1">
      <c r="A172" s="4">
        <v>347</v>
      </c>
      <c r="B172" s="8">
        <v>45092</v>
      </c>
      <c r="C172" s="4"/>
      <c r="D172" s="4" t="s">
        <v>42</v>
      </c>
      <c r="E172" s="8">
        <v>45122</v>
      </c>
      <c r="F172" s="4" t="s">
        <v>43</v>
      </c>
      <c r="G172" s="4" t="s">
        <v>60</v>
      </c>
      <c r="H172" s="4" t="s">
        <v>45</v>
      </c>
      <c r="I172" s="4" t="s">
        <v>50</v>
      </c>
      <c r="J172" s="10">
        <v>5.5022100000000007</v>
      </c>
      <c r="K172" s="10">
        <v>5.5019999999999998</v>
      </c>
      <c r="L172" s="10">
        <f t="shared" si="28"/>
        <v>0</v>
      </c>
      <c r="M172" s="10">
        <f t="shared" si="29"/>
        <v>0</v>
      </c>
      <c r="N172" s="10"/>
      <c r="O172" s="10">
        <v>0</v>
      </c>
      <c r="P172" s="10"/>
      <c r="Q172" s="10"/>
      <c r="R172" s="10"/>
      <c r="S172" s="10"/>
      <c r="T172" s="10"/>
      <c r="U172" s="10"/>
      <c r="V172" s="4" t="s">
        <v>769</v>
      </c>
      <c r="W172" s="4"/>
      <c r="X172" s="8">
        <v>45106</v>
      </c>
      <c r="Y172" s="4"/>
      <c r="Z172" s="4"/>
      <c r="AA172" s="8">
        <v>45110</v>
      </c>
      <c r="AB172" s="8">
        <v>45110</v>
      </c>
      <c r="AC172" s="4"/>
      <c r="AD172" s="4"/>
    </row>
    <row r="173" spans="1:30" hidden="1">
      <c r="A173" s="4">
        <v>347</v>
      </c>
      <c r="B173" s="8">
        <v>45092</v>
      </c>
      <c r="C173" s="4"/>
      <c r="D173" s="4" t="s">
        <v>42</v>
      </c>
      <c r="E173" s="8">
        <v>45122</v>
      </c>
      <c r="F173" s="4" t="s">
        <v>43</v>
      </c>
      <c r="G173" s="4" t="s">
        <v>60</v>
      </c>
      <c r="H173" s="4" t="s">
        <v>45</v>
      </c>
      <c r="I173" s="4" t="s">
        <v>409</v>
      </c>
      <c r="J173" s="10">
        <v>20.645090750000005</v>
      </c>
      <c r="K173" s="10">
        <f>14.568+4.754+1.568</f>
        <v>20.89</v>
      </c>
      <c r="L173" s="10">
        <f t="shared" si="28"/>
        <v>0</v>
      </c>
      <c r="M173" s="10">
        <f t="shared" si="29"/>
        <v>0</v>
      </c>
      <c r="N173" s="10"/>
      <c r="O173" s="10"/>
      <c r="P173" s="10"/>
      <c r="Q173" s="10"/>
      <c r="R173" s="10"/>
      <c r="S173" s="10"/>
      <c r="T173" s="10"/>
      <c r="U173" s="10"/>
      <c r="V173" s="4" t="s">
        <v>769</v>
      </c>
      <c r="W173" s="4"/>
      <c r="X173" s="8">
        <v>45107</v>
      </c>
      <c r="Y173" s="4"/>
      <c r="Z173" s="4"/>
      <c r="AA173" s="8">
        <v>45115</v>
      </c>
      <c r="AB173" s="8">
        <v>45122</v>
      </c>
      <c r="AC173" s="4"/>
      <c r="AD173" s="4"/>
    </row>
    <row r="174" spans="1:30" hidden="1">
      <c r="A174" s="4">
        <v>347</v>
      </c>
      <c r="B174" s="8">
        <v>45092</v>
      </c>
      <c r="C174" s="4"/>
      <c r="D174" s="4" t="s">
        <v>42</v>
      </c>
      <c r="E174" s="8">
        <v>45122</v>
      </c>
      <c r="F174" s="4" t="s">
        <v>43</v>
      </c>
      <c r="G174" s="4" t="s">
        <v>60</v>
      </c>
      <c r="H174" s="4" t="s">
        <v>45</v>
      </c>
      <c r="I174" s="4" t="s">
        <v>517</v>
      </c>
      <c r="J174" s="10">
        <v>20.110271999999998</v>
      </c>
      <c r="K174" s="10">
        <f>13.659+6.452</f>
        <v>20.111000000000001</v>
      </c>
      <c r="L174" s="10">
        <f t="shared" si="28"/>
        <v>0</v>
      </c>
      <c r="M174" s="10">
        <f t="shared" si="29"/>
        <v>0</v>
      </c>
      <c r="N174" s="10"/>
      <c r="O174" s="10"/>
      <c r="P174" s="10"/>
      <c r="Q174" s="10"/>
      <c r="R174" s="10"/>
      <c r="S174" s="10"/>
      <c r="T174" s="10"/>
      <c r="U174" s="10"/>
      <c r="V174" s="4" t="s">
        <v>769</v>
      </c>
      <c r="W174" s="4"/>
      <c r="X174" s="8">
        <v>45094</v>
      </c>
      <c r="Y174" s="4"/>
      <c r="Z174" s="4"/>
      <c r="AA174" s="8">
        <v>45100</v>
      </c>
      <c r="AB174" s="8">
        <v>45109</v>
      </c>
      <c r="AC174" s="4"/>
      <c r="AD174" s="4"/>
    </row>
    <row r="175" spans="1:30" hidden="1">
      <c r="A175" s="4">
        <v>347</v>
      </c>
      <c r="B175" s="8">
        <v>45092</v>
      </c>
      <c r="C175" s="4"/>
      <c r="D175" s="4" t="s">
        <v>42</v>
      </c>
      <c r="E175" s="8">
        <v>45122</v>
      </c>
      <c r="F175" s="4" t="s">
        <v>43</v>
      </c>
      <c r="G175" s="4" t="s">
        <v>60</v>
      </c>
      <c r="H175" s="4" t="s">
        <v>45</v>
      </c>
      <c r="I175" s="4" t="s">
        <v>579</v>
      </c>
      <c r="J175" s="10">
        <v>6.7276399999999992</v>
      </c>
      <c r="K175" s="10">
        <f>2.13+4.598</f>
        <v>6.7279999999999998</v>
      </c>
      <c r="L175" s="10">
        <f t="shared" si="28"/>
        <v>0</v>
      </c>
      <c r="M175" s="10">
        <f t="shared" si="29"/>
        <v>0</v>
      </c>
      <c r="N175" s="10"/>
      <c r="O175" s="10"/>
      <c r="P175" s="10"/>
      <c r="Q175" s="10"/>
      <c r="R175" s="10"/>
      <c r="S175" s="10"/>
      <c r="T175" s="10"/>
      <c r="U175" s="10"/>
      <c r="V175" s="4" t="s">
        <v>769</v>
      </c>
      <c r="W175" s="4" t="s">
        <v>37</v>
      </c>
      <c r="X175" s="8">
        <v>45094</v>
      </c>
      <c r="Y175" s="4"/>
      <c r="Z175" s="4"/>
      <c r="AA175" s="8">
        <v>45107</v>
      </c>
      <c r="AB175" s="8">
        <v>45109</v>
      </c>
      <c r="AC175" s="4"/>
      <c r="AD175" s="4"/>
    </row>
    <row r="176" spans="1:30" hidden="1">
      <c r="A176" s="4">
        <v>347</v>
      </c>
      <c r="B176" s="8">
        <v>45092</v>
      </c>
      <c r="C176" s="4"/>
      <c r="D176" s="4" t="s">
        <v>42</v>
      </c>
      <c r="E176" s="8">
        <v>45122</v>
      </c>
      <c r="F176" s="4" t="s">
        <v>43</v>
      </c>
      <c r="G176" s="4" t="s">
        <v>60</v>
      </c>
      <c r="H176" s="4" t="s">
        <v>45</v>
      </c>
      <c r="I176" s="4" t="s">
        <v>448</v>
      </c>
      <c r="J176" s="10">
        <v>3.0115800000000004</v>
      </c>
      <c r="K176" s="10">
        <v>3.012</v>
      </c>
      <c r="L176" s="10">
        <f t="shared" si="28"/>
        <v>0</v>
      </c>
      <c r="M176" s="10">
        <f t="shared" si="29"/>
        <v>0</v>
      </c>
      <c r="N176" s="10"/>
      <c r="O176" s="10"/>
      <c r="P176" s="10"/>
      <c r="Q176" s="10"/>
      <c r="R176" s="10"/>
      <c r="S176" s="10"/>
      <c r="T176" s="10"/>
      <c r="U176" s="10"/>
      <c r="V176" s="4" t="s">
        <v>769</v>
      </c>
      <c r="W176" s="4"/>
      <c r="X176" s="8">
        <v>45093</v>
      </c>
      <c r="Y176" s="4"/>
      <c r="Z176" s="4"/>
      <c r="AA176" s="8">
        <v>45110</v>
      </c>
      <c r="AB176" s="8">
        <v>45110</v>
      </c>
      <c r="AC176" s="4"/>
      <c r="AD176" s="4"/>
    </row>
    <row r="177" spans="1:30" hidden="1">
      <c r="A177" s="4">
        <v>347</v>
      </c>
      <c r="B177" s="8">
        <v>45092</v>
      </c>
      <c r="C177" s="4"/>
      <c r="D177" s="4" t="s">
        <v>42</v>
      </c>
      <c r="E177" s="8">
        <v>45122</v>
      </c>
      <c r="F177" s="4" t="s">
        <v>43</v>
      </c>
      <c r="G177" s="4" t="s">
        <v>60</v>
      </c>
      <c r="H177" s="4" t="s">
        <v>45</v>
      </c>
      <c r="I177" s="4" t="s">
        <v>449</v>
      </c>
      <c r="J177" s="10">
        <v>19.974760000000003</v>
      </c>
      <c r="K177" s="10">
        <f>8.899+8.079+3.012</f>
        <v>19.990000000000002</v>
      </c>
      <c r="L177" s="10">
        <f t="shared" si="28"/>
        <v>0</v>
      </c>
      <c r="M177" s="10">
        <f t="shared" si="29"/>
        <v>0</v>
      </c>
      <c r="N177" s="10"/>
      <c r="O177" s="10"/>
      <c r="P177" s="10"/>
      <c r="Q177" s="10"/>
      <c r="R177" s="10"/>
      <c r="S177" s="10">
        <v>0</v>
      </c>
      <c r="T177" s="10"/>
      <c r="U177" s="10"/>
      <c r="V177" s="4" t="s">
        <v>769</v>
      </c>
      <c r="W177" s="4" t="s">
        <v>37</v>
      </c>
      <c r="X177" s="8">
        <v>45094</v>
      </c>
      <c r="Y177" s="4"/>
      <c r="Z177" s="4"/>
      <c r="AA177" s="8">
        <v>45107</v>
      </c>
      <c r="AB177" s="8">
        <v>45114</v>
      </c>
      <c r="AC177" s="4"/>
      <c r="AD177" s="4"/>
    </row>
    <row r="178" spans="1:30" hidden="1">
      <c r="A178" s="4">
        <v>384</v>
      </c>
      <c r="B178" s="8">
        <v>45097</v>
      </c>
      <c r="C178" s="4"/>
      <c r="D178" s="4" t="s">
        <v>42</v>
      </c>
      <c r="E178" s="8">
        <v>45122</v>
      </c>
      <c r="F178" s="4" t="s">
        <v>43</v>
      </c>
      <c r="G178" s="4" t="s">
        <v>60</v>
      </c>
      <c r="H178" s="4" t="s">
        <v>45</v>
      </c>
      <c r="I178" s="4" t="s">
        <v>54</v>
      </c>
      <c r="J178" s="10">
        <v>9.2200000000000006</v>
      </c>
      <c r="K178" s="10">
        <f>7.016+2.194</f>
        <v>9.2100000000000009</v>
      </c>
      <c r="L178" s="10">
        <f t="shared" ref="L178:L187" si="30">M178+U178</f>
        <v>0</v>
      </c>
      <c r="M178" s="10">
        <f t="shared" ref="M178:M187" si="31">SUM(N178:T178)</f>
        <v>0</v>
      </c>
      <c r="N178" s="10"/>
      <c r="O178" s="10"/>
      <c r="P178" s="10"/>
      <c r="Q178" s="10"/>
      <c r="R178" s="10"/>
      <c r="S178" s="10"/>
      <c r="T178" s="10"/>
      <c r="U178" s="10"/>
      <c r="V178" s="4" t="s">
        <v>769</v>
      </c>
      <c r="W178" s="4"/>
      <c r="X178" s="8">
        <v>45103</v>
      </c>
      <c r="Y178" s="4"/>
      <c r="Z178" s="4"/>
      <c r="AA178" s="8">
        <v>45110</v>
      </c>
      <c r="AB178" s="8">
        <v>45111</v>
      </c>
      <c r="AC178" s="4"/>
      <c r="AD178" s="4"/>
    </row>
    <row r="179" spans="1:30" hidden="1">
      <c r="A179" s="4">
        <v>384</v>
      </c>
      <c r="B179" s="8">
        <v>45097</v>
      </c>
      <c r="C179" s="4"/>
      <c r="D179" s="4" t="s">
        <v>42</v>
      </c>
      <c r="E179" s="8">
        <v>45122</v>
      </c>
      <c r="F179" s="4" t="s">
        <v>43</v>
      </c>
      <c r="G179" s="4" t="s">
        <v>60</v>
      </c>
      <c r="H179" s="4" t="s">
        <v>45</v>
      </c>
      <c r="I179" s="4" t="s">
        <v>56</v>
      </c>
      <c r="J179" s="10">
        <v>17.399999999999999</v>
      </c>
      <c r="K179" s="10">
        <f>15.823+0.487+1.019</f>
        <v>17.328999999999997</v>
      </c>
      <c r="L179" s="10">
        <f t="shared" si="30"/>
        <v>0</v>
      </c>
      <c r="M179" s="10">
        <f t="shared" si="31"/>
        <v>0</v>
      </c>
      <c r="N179" s="10"/>
      <c r="O179" s="10"/>
      <c r="P179" s="10"/>
      <c r="Q179" s="10"/>
      <c r="R179" s="10"/>
      <c r="S179" s="10"/>
      <c r="T179" s="10"/>
      <c r="U179" s="10"/>
      <c r="V179" s="4" t="s">
        <v>769</v>
      </c>
      <c r="W179" s="4" t="s">
        <v>827</v>
      </c>
      <c r="X179" s="8">
        <v>45103</v>
      </c>
      <c r="Y179" s="4"/>
      <c r="Z179" s="4"/>
      <c r="AA179" s="8">
        <v>45110</v>
      </c>
      <c r="AB179" s="8">
        <v>45123</v>
      </c>
      <c r="AC179" s="4"/>
      <c r="AD179" s="4"/>
    </row>
    <row r="180" spans="1:30" hidden="1">
      <c r="A180" s="4">
        <v>384</v>
      </c>
      <c r="B180" s="8">
        <v>45097</v>
      </c>
      <c r="C180" s="4"/>
      <c r="D180" s="4" t="s">
        <v>42</v>
      </c>
      <c r="E180" s="8">
        <v>45122</v>
      </c>
      <c r="F180" s="4" t="s">
        <v>43</v>
      </c>
      <c r="G180" s="4" t="s">
        <v>60</v>
      </c>
      <c r="H180" s="4" t="s">
        <v>45</v>
      </c>
      <c r="I180" s="4" t="s">
        <v>48</v>
      </c>
      <c r="J180" s="10">
        <v>18.02</v>
      </c>
      <c r="K180" s="10">
        <v>17.994</v>
      </c>
      <c r="L180" s="10">
        <f t="shared" si="30"/>
        <v>0</v>
      </c>
      <c r="M180" s="10">
        <f t="shared" si="31"/>
        <v>0</v>
      </c>
      <c r="N180" s="10"/>
      <c r="O180" s="10"/>
      <c r="P180" s="10"/>
      <c r="Q180" s="10"/>
      <c r="R180" s="10"/>
      <c r="S180" s="10"/>
      <c r="T180" s="10"/>
      <c r="U180" s="10"/>
      <c r="V180" s="4" t="s">
        <v>769</v>
      </c>
      <c r="W180" s="4"/>
      <c r="X180" s="8">
        <v>45102</v>
      </c>
      <c r="Y180" s="4"/>
      <c r="Z180" s="4"/>
      <c r="AA180" s="8">
        <v>45110</v>
      </c>
      <c r="AB180" s="8">
        <v>45110</v>
      </c>
      <c r="AC180" s="4"/>
      <c r="AD180" s="4"/>
    </row>
    <row r="181" spans="1:30" hidden="1">
      <c r="A181" s="4">
        <v>384</v>
      </c>
      <c r="B181" s="8">
        <v>45097</v>
      </c>
      <c r="C181" s="4"/>
      <c r="D181" s="4" t="s">
        <v>42</v>
      </c>
      <c r="E181" s="8">
        <v>45122</v>
      </c>
      <c r="F181" s="4" t="s">
        <v>43</v>
      </c>
      <c r="G181" s="4" t="s">
        <v>60</v>
      </c>
      <c r="H181" s="4" t="s">
        <v>45</v>
      </c>
      <c r="I181" s="4" t="s">
        <v>472</v>
      </c>
      <c r="J181" s="10">
        <v>14.29</v>
      </c>
      <c r="K181" s="10">
        <f>7.239+5.983+0.994</f>
        <v>14.215999999999999</v>
      </c>
      <c r="L181" s="10">
        <f t="shared" si="30"/>
        <v>0</v>
      </c>
      <c r="M181" s="10">
        <f t="shared" si="31"/>
        <v>0</v>
      </c>
      <c r="N181" s="10"/>
      <c r="O181" s="10"/>
      <c r="P181" s="10"/>
      <c r="Q181" s="10"/>
      <c r="R181" s="10"/>
      <c r="S181" s="10"/>
      <c r="T181" s="10"/>
      <c r="U181" s="10"/>
      <c r="V181" s="4" t="s">
        <v>769</v>
      </c>
      <c r="W181" s="4"/>
      <c r="X181" s="8">
        <v>45109</v>
      </c>
      <c r="Y181" s="4"/>
      <c r="Z181" s="4"/>
      <c r="AA181" s="8">
        <v>45114</v>
      </c>
      <c r="AB181" s="8">
        <v>45122</v>
      </c>
      <c r="AC181" s="4"/>
      <c r="AD181" s="4"/>
    </row>
    <row r="182" spans="1:30" hidden="1">
      <c r="A182" s="4">
        <v>384</v>
      </c>
      <c r="B182" s="8">
        <v>45097</v>
      </c>
      <c r="C182" s="4"/>
      <c r="D182" s="4" t="s">
        <v>42</v>
      </c>
      <c r="E182" s="8">
        <v>45122</v>
      </c>
      <c r="F182" s="4" t="s">
        <v>43</v>
      </c>
      <c r="G182" s="4" t="s">
        <v>60</v>
      </c>
      <c r="H182" s="4" t="s">
        <v>45</v>
      </c>
      <c r="I182" s="4" t="s">
        <v>473</v>
      </c>
      <c r="J182" s="10">
        <f>25.092+6.197+3.466+14.31+3.152+0.374</f>
        <v>52.591000000000001</v>
      </c>
      <c r="K182" s="10">
        <f>25.092+6.197+3.466+14.31+3.152+0.374</f>
        <v>52.591000000000001</v>
      </c>
      <c r="L182" s="10">
        <f t="shared" si="30"/>
        <v>0</v>
      </c>
      <c r="M182" s="10">
        <f t="shared" si="31"/>
        <v>0</v>
      </c>
      <c r="N182" s="10"/>
      <c r="O182" s="10"/>
      <c r="P182" s="10"/>
      <c r="Q182" s="10"/>
      <c r="R182" s="10"/>
      <c r="S182" s="10"/>
      <c r="T182" s="10"/>
      <c r="U182" s="10"/>
      <c r="V182" s="4" t="s">
        <v>769</v>
      </c>
      <c r="W182" s="4"/>
      <c r="X182" s="8">
        <v>45110</v>
      </c>
      <c r="Y182" s="4"/>
      <c r="Z182" s="4"/>
      <c r="AA182" s="8">
        <v>45113</v>
      </c>
      <c r="AB182" s="8"/>
      <c r="AC182" s="4"/>
      <c r="AD182" s="4"/>
    </row>
    <row r="183" spans="1:30" hidden="1">
      <c r="A183" s="4">
        <v>384</v>
      </c>
      <c r="B183" s="8">
        <v>45097</v>
      </c>
      <c r="C183" s="4"/>
      <c r="D183" s="4" t="s">
        <v>42</v>
      </c>
      <c r="E183" s="8">
        <v>45122</v>
      </c>
      <c r="F183" s="4" t="s">
        <v>43</v>
      </c>
      <c r="G183" s="4" t="s">
        <v>60</v>
      </c>
      <c r="H183" s="4" t="s">
        <v>45</v>
      </c>
      <c r="I183" s="4" t="s">
        <v>235</v>
      </c>
      <c r="J183" s="10">
        <v>30.39</v>
      </c>
      <c r="K183" s="10">
        <f>17.811+10.546+2.031</f>
        <v>30.387999999999998</v>
      </c>
      <c r="L183" s="10">
        <f t="shared" si="30"/>
        <v>0</v>
      </c>
      <c r="M183" s="10">
        <f t="shared" si="31"/>
        <v>0</v>
      </c>
      <c r="N183" s="10"/>
      <c r="O183" s="10"/>
      <c r="P183" s="10"/>
      <c r="Q183" s="10"/>
      <c r="R183" s="10"/>
      <c r="S183" s="10"/>
      <c r="T183" s="10"/>
      <c r="U183" s="10"/>
      <c r="V183" s="4" t="s">
        <v>769</v>
      </c>
      <c r="W183" s="4"/>
      <c r="X183" s="8">
        <v>45108</v>
      </c>
      <c r="Y183" s="4"/>
      <c r="Z183" s="4"/>
      <c r="AA183" s="8">
        <v>45111</v>
      </c>
      <c r="AB183" s="8">
        <v>45115</v>
      </c>
      <c r="AC183" s="4"/>
      <c r="AD183" s="4"/>
    </row>
    <row r="184" spans="1:30" hidden="1">
      <c r="A184" s="4">
        <v>384</v>
      </c>
      <c r="B184" s="8">
        <v>45097</v>
      </c>
      <c r="C184" s="4"/>
      <c r="D184" s="4" t="s">
        <v>42</v>
      </c>
      <c r="E184" s="8">
        <v>45122</v>
      </c>
      <c r="F184" s="4" t="s">
        <v>43</v>
      </c>
      <c r="G184" s="4" t="s">
        <v>60</v>
      </c>
      <c r="H184" s="4" t="s">
        <v>45</v>
      </c>
      <c r="I184" s="4" t="s">
        <v>100</v>
      </c>
      <c r="J184" s="10">
        <v>26.17</v>
      </c>
      <c r="K184" s="10">
        <f>12.882+13.293</f>
        <v>26.174999999999997</v>
      </c>
      <c r="L184" s="10">
        <f t="shared" si="30"/>
        <v>0</v>
      </c>
      <c r="M184" s="10">
        <f t="shared" si="31"/>
        <v>0</v>
      </c>
      <c r="N184" s="10"/>
      <c r="O184" s="10"/>
      <c r="P184" s="10"/>
      <c r="Q184" s="10"/>
      <c r="R184" s="10"/>
      <c r="S184" s="10"/>
      <c r="T184" s="10"/>
      <c r="U184" s="10"/>
      <c r="V184" s="4" t="s">
        <v>769</v>
      </c>
      <c r="W184" s="4"/>
      <c r="X184" s="8">
        <v>45116</v>
      </c>
      <c r="Y184" s="4"/>
      <c r="Z184" s="4"/>
      <c r="AA184" s="8">
        <v>45118</v>
      </c>
      <c r="AB184" s="8">
        <v>45120</v>
      </c>
      <c r="AC184" s="4"/>
      <c r="AD184" s="4"/>
    </row>
    <row r="185" spans="1:30" hidden="1">
      <c r="A185" s="4">
        <v>384</v>
      </c>
      <c r="B185" s="8">
        <v>45097</v>
      </c>
      <c r="C185" s="4"/>
      <c r="D185" s="4" t="s">
        <v>42</v>
      </c>
      <c r="E185" s="8">
        <v>45122</v>
      </c>
      <c r="F185" s="4" t="s">
        <v>43</v>
      </c>
      <c r="G185" s="4" t="s">
        <v>60</v>
      </c>
      <c r="H185" s="4" t="s">
        <v>45</v>
      </c>
      <c r="I185" s="4" t="s">
        <v>96</v>
      </c>
      <c r="J185" s="10">
        <v>15.44</v>
      </c>
      <c r="K185" s="10">
        <f>11.825+3.382+0.442</f>
        <v>15.648999999999999</v>
      </c>
      <c r="L185" s="10">
        <f t="shared" si="30"/>
        <v>0</v>
      </c>
      <c r="M185" s="10">
        <f t="shared" si="31"/>
        <v>0</v>
      </c>
      <c r="N185" s="10"/>
      <c r="O185" s="10"/>
      <c r="P185" s="10"/>
      <c r="Q185" s="10"/>
      <c r="R185" s="10"/>
      <c r="S185" s="10"/>
      <c r="T185" s="10"/>
      <c r="U185" s="10"/>
      <c r="V185" s="4" t="s">
        <v>769</v>
      </c>
      <c r="W185" s="4"/>
      <c r="X185" s="8">
        <v>45117</v>
      </c>
      <c r="Y185" s="4"/>
      <c r="Z185" s="4"/>
      <c r="AA185" s="8">
        <v>45118</v>
      </c>
      <c r="AB185" s="8">
        <v>45122</v>
      </c>
      <c r="AC185" s="4"/>
      <c r="AD185" s="4"/>
    </row>
    <row r="186" spans="1:30" hidden="1">
      <c r="A186" s="4">
        <v>384</v>
      </c>
      <c r="B186" s="8">
        <v>45097</v>
      </c>
      <c r="C186" s="4"/>
      <c r="D186" s="4" t="s">
        <v>42</v>
      </c>
      <c r="E186" s="8">
        <v>45122</v>
      </c>
      <c r="F186" s="4" t="s">
        <v>43</v>
      </c>
      <c r="G186" s="4" t="s">
        <v>60</v>
      </c>
      <c r="H186" s="4" t="s">
        <v>45</v>
      </c>
      <c r="I186" s="4" t="s">
        <v>97</v>
      </c>
      <c r="J186" s="10">
        <v>1.64</v>
      </c>
      <c r="K186" s="10">
        <v>1.853</v>
      </c>
      <c r="L186" s="10">
        <f t="shared" si="30"/>
        <v>0</v>
      </c>
      <c r="M186" s="10">
        <f t="shared" si="31"/>
        <v>0</v>
      </c>
      <c r="N186" s="10"/>
      <c r="O186" s="10"/>
      <c r="P186" s="10"/>
      <c r="Q186" s="10"/>
      <c r="R186" s="10"/>
      <c r="S186" s="10"/>
      <c r="T186" s="10"/>
      <c r="U186" s="10"/>
      <c r="V186" s="4" t="s">
        <v>769</v>
      </c>
      <c r="W186" s="4"/>
      <c r="X186" s="8">
        <v>45117</v>
      </c>
      <c r="Y186" s="4"/>
      <c r="Z186" s="4"/>
      <c r="AA186" s="8">
        <v>45120</v>
      </c>
      <c r="AB186" s="8">
        <v>45120</v>
      </c>
      <c r="AC186" s="4"/>
      <c r="AD186" s="4"/>
    </row>
    <row r="187" spans="1:30" hidden="1">
      <c r="A187" s="4">
        <v>384</v>
      </c>
      <c r="B187" s="8">
        <v>45097</v>
      </c>
      <c r="C187" s="4"/>
      <c r="D187" s="4" t="s">
        <v>42</v>
      </c>
      <c r="E187" s="8">
        <v>45122</v>
      </c>
      <c r="F187" s="4" t="s">
        <v>43</v>
      </c>
      <c r="G187" s="4" t="s">
        <v>94</v>
      </c>
      <c r="H187" s="4" t="s">
        <v>45</v>
      </c>
      <c r="I187" s="4" t="s">
        <v>100</v>
      </c>
      <c r="J187" s="10">
        <v>2.5499999999999998</v>
      </c>
      <c r="K187" s="10">
        <f>2.331+0.309</f>
        <v>2.64</v>
      </c>
      <c r="L187" s="10">
        <f t="shared" si="30"/>
        <v>0</v>
      </c>
      <c r="M187" s="10">
        <f t="shared" si="31"/>
        <v>0</v>
      </c>
      <c r="N187" s="10"/>
      <c r="O187" s="10"/>
      <c r="P187" s="10"/>
      <c r="Q187" s="10"/>
      <c r="R187" s="10"/>
      <c r="S187" s="10"/>
      <c r="T187" s="10"/>
      <c r="U187" s="10"/>
      <c r="V187" s="4" t="s">
        <v>804</v>
      </c>
      <c r="W187" s="4"/>
      <c r="X187" s="8">
        <v>45116</v>
      </c>
      <c r="Y187" s="4"/>
      <c r="Z187" s="4"/>
      <c r="AA187" s="8">
        <v>45120</v>
      </c>
      <c r="AB187" s="8">
        <v>45122</v>
      </c>
      <c r="AC187" s="4"/>
      <c r="AD187" s="4"/>
    </row>
    <row r="188" spans="1:30" hidden="1">
      <c r="A188" s="4">
        <v>384</v>
      </c>
      <c r="B188" s="8">
        <v>45098</v>
      </c>
      <c r="C188" s="4"/>
      <c r="D188" s="4" t="s">
        <v>42</v>
      </c>
      <c r="E188" s="8">
        <v>45122</v>
      </c>
      <c r="F188" s="4" t="s">
        <v>43</v>
      </c>
      <c r="G188" s="4" t="s">
        <v>728</v>
      </c>
      <c r="H188" s="4" t="s">
        <v>52</v>
      </c>
      <c r="I188" s="4" t="s">
        <v>48</v>
      </c>
      <c r="J188" s="10">
        <v>0.6</v>
      </c>
      <c r="K188" s="10">
        <v>0.61</v>
      </c>
      <c r="L188" s="10">
        <f t="shared" ref="L188" si="32">M188+U188</f>
        <v>0</v>
      </c>
      <c r="M188" s="10">
        <f t="shared" ref="M188" si="33">SUM(N188:T188)</f>
        <v>0</v>
      </c>
      <c r="N188" s="10"/>
      <c r="O188" s="10"/>
      <c r="P188" s="10"/>
      <c r="Q188" s="10"/>
      <c r="R188" s="10"/>
      <c r="S188" s="10"/>
      <c r="T188" s="10"/>
      <c r="U188" s="10"/>
      <c r="V188" s="4" t="s">
        <v>769</v>
      </c>
      <c r="W188" s="4"/>
      <c r="X188" s="8">
        <v>45103</v>
      </c>
      <c r="Y188" s="4"/>
      <c r="Z188" s="4"/>
      <c r="AA188" s="8">
        <v>45110</v>
      </c>
      <c r="AB188" s="8">
        <v>45110</v>
      </c>
      <c r="AC188" s="4"/>
      <c r="AD188" s="4"/>
    </row>
    <row r="189" spans="1:30" hidden="1">
      <c r="A189" s="4">
        <v>384</v>
      </c>
      <c r="B189" s="8">
        <v>45098</v>
      </c>
      <c r="C189" s="4"/>
      <c r="D189" s="4" t="s">
        <v>42</v>
      </c>
      <c r="E189" s="8">
        <v>45122</v>
      </c>
      <c r="F189" s="4" t="s">
        <v>43</v>
      </c>
      <c r="G189" s="4" t="s">
        <v>728</v>
      </c>
      <c r="H189" s="4" t="s">
        <v>52</v>
      </c>
      <c r="I189" s="4" t="s">
        <v>435</v>
      </c>
      <c r="J189" s="10">
        <v>18.55</v>
      </c>
      <c r="K189" s="10">
        <f>8.33+7.741+2.423</f>
        <v>18.494</v>
      </c>
      <c r="L189" s="10">
        <f t="shared" ref="L189:L194" si="34">M189+U189</f>
        <v>0</v>
      </c>
      <c r="M189" s="10">
        <f t="shared" ref="M189:M194" si="35">SUM(N189:T189)</f>
        <v>0</v>
      </c>
      <c r="N189" s="10"/>
      <c r="O189" s="10"/>
      <c r="P189" s="10"/>
      <c r="Q189" s="10"/>
      <c r="R189" s="10"/>
      <c r="S189" s="10"/>
      <c r="T189" s="10"/>
      <c r="U189" s="10"/>
      <c r="V189" s="4" t="s">
        <v>769</v>
      </c>
      <c r="W189" s="4"/>
      <c r="X189" s="8">
        <v>45109</v>
      </c>
      <c r="Y189" s="4"/>
      <c r="Z189" s="4"/>
      <c r="AA189" s="8">
        <v>45113</v>
      </c>
      <c r="AB189" s="8">
        <v>45115</v>
      </c>
      <c r="AC189" s="4"/>
      <c r="AD189" s="4"/>
    </row>
    <row r="190" spans="1:30" hidden="1">
      <c r="A190" s="4">
        <v>384</v>
      </c>
      <c r="B190" s="8">
        <v>45098</v>
      </c>
      <c r="C190" s="4"/>
      <c r="D190" s="4" t="s">
        <v>42</v>
      </c>
      <c r="E190" s="8">
        <v>45122</v>
      </c>
      <c r="F190" s="4" t="s">
        <v>43</v>
      </c>
      <c r="G190" s="4" t="s">
        <v>728</v>
      </c>
      <c r="H190" s="4" t="s">
        <v>52</v>
      </c>
      <c r="I190" s="4" t="s">
        <v>432</v>
      </c>
      <c r="J190" s="10">
        <v>3.4060380000000001</v>
      </c>
      <c r="K190" s="10">
        <v>3.4020000000000001</v>
      </c>
      <c r="L190" s="10">
        <f t="shared" ref="L190:L191" si="36">M190+U190</f>
        <v>0</v>
      </c>
      <c r="M190" s="10">
        <f t="shared" ref="M190:M191" si="37">SUM(N190:T190)</f>
        <v>0</v>
      </c>
      <c r="N190" s="10"/>
      <c r="O190" s="10"/>
      <c r="P190" s="10"/>
      <c r="Q190" s="10"/>
      <c r="R190" s="10"/>
      <c r="S190" s="10"/>
      <c r="T190" s="10"/>
      <c r="U190" s="10"/>
      <c r="V190" s="4" t="s">
        <v>769</v>
      </c>
      <c r="W190" s="4"/>
      <c r="X190" s="8">
        <v>45110</v>
      </c>
      <c r="Y190" s="4"/>
      <c r="Z190" s="4"/>
      <c r="AA190" s="8">
        <v>45113</v>
      </c>
      <c r="AB190" s="8">
        <v>45113</v>
      </c>
      <c r="AC190" s="4"/>
      <c r="AD190" s="4"/>
    </row>
    <row r="191" spans="1:30" hidden="1">
      <c r="A191" s="4">
        <v>384</v>
      </c>
      <c r="B191" s="8">
        <v>45098</v>
      </c>
      <c r="C191" s="4"/>
      <c r="D191" s="4" t="s">
        <v>42</v>
      </c>
      <c r="E191" s="8">
        <v>45122</v>
      </c>
      <c r="F191" s="4" t="s">
        <v>43</v>
      </c>
      <c r="G191" s="4" t="s">
        <v>728</v>
      </c>
      <c r="H191" s="4" t="s">
        <v>52</v>
      </c>
      <c r="I191" s="4" t="s">
        <v>89</v>
      </c>
      <c r="J191" s="10">
        <v>0.498</v>
      </c>
      <c r="K191" s="10">
        <v>0.498</v>
      </c>
      <c r="L191" s="10">
        <f t="shared" si="36"/>
        <v>0</v>
      </c>
      <c r="M191" s="10">
        <f t="shared" si="37"/>
        <v>0</v>
      </c>
      <c r="N191" s="10"/>
      <c r="O191" s="10"/>
      <c r="P191" s="10"/>
      <c r="Q191" s="10"/>
      <c r="R191" s="10"/>
      <c r="S191" s="10"/>
      <c r="T191" s="10"/>
      <c r="U191" s="10"/>
      <c r="V191" s="4" t="s">
        <v>769</v>
      </c>
      <c r="W191" s="4" t="s">
        <v>521</v>
      </c>
      <c r="X191" s="8">
        <v>45115</v>
      </c>
      <c r="Y191" s="4"/>
      <c r="Z191" s="4"/>
      <c r="AA191" s="8">
        <v>45122</v>
      </c>
      <c r="AB191" s="8">
        <v>45122</v>
      </c>
      <c r="AC191" s="4"/>
      <c r="AD191" s="4"/>
    </row>
    <row r="192" spans="1:30" hidden="1">
      <c r="A192" s="4">
        <v>384</v>
      </c>
      <c r="B192" s="8">
        <v>45098</v>
      </c>
      <c r="C192" s="4"/>
      <c r="D192" s="4" t="s">
        <v>42</v>
      </c>
      <c r="E192" s="8">
        <v>45122</v>
      </c>
      <c r="F192" s="4" t="s">
        <v>43</v>
      </c>
      <c r="G192" s="4" t="s">
        <v>92</v>
      </c>
      <c r="H192" s="4" t="s">
        <v>52</v>
      </c>
      <c r="I192" s="4" t="s">
        <v>432</v>
      </c>
      <c r="J192" s="10">
        <v>49.98</v>
      </c>
      <c r="K192" s="10">
        <f>24.836+20.852+2.577+1.718</f>
        <v>49.983000000000004</v>
      </c>
      <c r="L192" s="10">
        <f t="shared" si="34"/>
        <v>0</v>
      </c>
      <c r="M192" s="10">
        <f t="shared" si="35"/>
        <v>0</v>
      </c>
      <c r="N192" s="10"/>
      <c r="O192" s="10"/>
      <c r="P192" s="10"/>
      <c r="Q192" s="10"/>
      <c r="R192" s="10"/>
      <c r="S192" s="10"/>
      <c r="T192" s="10"/>
      <c r="U192" s="10"/>
      <c r="V192" s="4" t="s">
        <v>664</v>
      </c>
      <c r="W192" s="4" t="s">
        <v>868</v>
      </c>
      <c r="X192" s="8">
        <v>45109</v>
      </c>
      <c r="Y192" s="4"/>
      <c r="Z192" s="4"/>
      <c r="AA192" s="8">
        <v>45111</v>
      </c>
      <c r="AB192" s="8">
        <v>45142</v>
      </c>
      <c r="AC192" s="4"/>
      <c r="AD192" s="4"/>
    </row>
    <row r="193" spans="1:30" hidden="1">
      <c r="A193" s="4">
        <v>384</v>
      </c>
      <c r="B193" s="8">
        <v>45098</v>
      </c>
      <c r="C193" s="4"/>
      <c r="D193" s="4" t="s">
        <v>42</v>
      </c>
      <c r="E193" s="8">
        <v>45122</v>
      </c>
      <c r="F193" s="4" t="s">
        <v>43</v>
      </c>
      <c r="G193" s="4" t="s">
        <v>92</v>
      </c>
      <c r="H193" s="4" t="s">
        <v>52</v>
      </c>
      <c r="I193" s="4" t="s">
        <v>89</v>
      </c>
      <c r="J193" s="10">
        <v>45.29</v>
      </c>
      <c r="K193" s="10">
        <f>19.998+24.921+0.537</f>
        <v>45.455999999999996</v>
      </c>
      <c r="L193" s="10">
        <f t="shared" si="34"/>
        <v>0</v>
      </c>
      <c r="M193" s="10">
        <f t="shared" si="35"/>
        <v>0</v>
      </c>
      <c r="N193" s="10"/>
      <c r="O193" s="10"/>
      <c r="P193" s="10"/>
      <c r="Q193" s="10"/>
      <c r="R193" s="10"/>
      <c r="S193" s="10"/>
      <c r="T193" s="10"/>
      <c r="U193" s="10"/>
      <c r="V193" s="4" t="s">
        <v>664</v>
      </c>
      <c r="W193" s="4"/>
      <c r="X193" s="8">
        <v>45115</v>
      </c>
      <c r="Y193" s="4"/>
      <c r="Z193" s="4"/>
      <c r="AA193" s="8">
        <v>45117</v>
      </c>
      <c r="AB193" s="8">
        <v>45122</v>
      </c>
      <c r="AC193" s="4"/>
      <c r="AD193" s="4"/>
    </row>
    <row r="194" spans="1:30" hidden="1">
      <c r="A194" s="4">
        <v>384</v>
      </c>
      <c r="B194" s="8">
        <v>45098</v>
      </c>
      <c r="C194" s="4"/>
      <c r="D194" s="4" t="s">
        <v>42</v>
      </c>
      <c r="E194" s="8">
        <v>45122</v>
      </c>
      <c r="F194" s="4" t="s">
        <v>43</v>
      </c>
      <c r="G194" s="4" t="s">
        <v>92</v>
      </c>
      <c r="H194" s="4" t="s">
        <v>52</v>
      </c>
      <c r="I194" s="4" t="s">
        <v>87</v>
      </c>
      <c r="J194" s="10">
        <v>3.63</v>
      </c>
      <c r="K194" s="10">
        <f>3.027+0.605</f>
        <v>3.6320000000000001</v>
      </c>
      <c r="L194" s="10">
        <f t="shared" si="34"/>
        <v>0</v>
      </c>
      <c r="M194" s="10">
        <f t="shared" si="35"/>
        <v>0</v>
      </c>
      <c r="N194" s="10"/>
      <c r="O194" s="10"/>
      <c r="P194" s="10"/>
      <c r="Q194" s="10"/>
      <c r="R194" s="10"/>
      <c r="S194" s="10"/>
      <c r="T194" s="10"/>
      <c r="U194" s="10"/>
      <c r="V194" s="4" t="s">
        <v>664</v>
      </c>
      <c r="W194" s="4"/>
      <c r="X194" s="8">
        <v>45115</v>
      </c>
      <c r="Y194" s="4"/>
      <c r="Z194" s="4"/>
      <c r="AA194" s="8">
        <v>45120</v>
      </c>
      <c r="AB194" s="8">
        <v>45122</v>
      </c>
      <c r="AC194" s="4"/>
      <c r="AD194" s="4"/>
    </row>
    <row r="195" spans="1:30" hidden="1">
      <c r="A195" s="4">
        <v>517</v>
      </c>
      <c r="B195" s="8">
        <v>45113</v>
      </c>
      <c r="C195" s="4"/>
      <c r="D195" s="4" t="s">
        <v>42</v>
      </c>
      <c r="E195" s="8">
        <v>45138</v>
      </c>
      <c r="F195" s="4" t="s">
        <v>43</v>
      </c>
      <c r="G195" s="4" t="s">
        <v>94</v>
      </c>
      <c r="H195" s="4" t="s">
        <v>45</v>
      </c>
      <c r="I195" s="4" t="s">
        <v>57</v>
      </c>
      <c r="J195" s="10">
        <v>1.8732</v>
      </c>
      <c r="K195" s="10">
        <v>1.869</v>
      </c>
      <c r="L195" s="10">
        <f t="shared" ref="L195" si="38">M195+U195</f>
        <v>0</v>
      </c>
      <c r="M195" s="10">
        <f t="shared" ref="M195" si="39">SUM(N195:T195)</f>
        <v>0</v>
      </c>
      <c r="N195" s="10"/>
      <c r="O195" s="10"/>
      <c r="P195" s="10"/>
      <c r="Q195" s="10"/>
      <c r="R195" s="10"/>
      <c r="S195" s="10"/>
      <c r="T195" s="10"/>
      <c r="U195" s="10"/>
      <c r="V195" s="4" t="s">
        <v>834</v>
      </c>
      <c r="W195" s="4"/>
      <c r="X195" s="8">
        <v>45118</v>
      </c>
      <c r="Y195" s="4"/>
      <c r="Z195" s="4"/>
      <c r="AA195" s="8">
        <v>45122</v>
      </c>
      <c r="AB195" s="8">
        <v>45122</v>
      </c>
      <c r="AC195" s="4"/>
      <c r="AD195" s="4"/>
    </row>
    <row r="196" spans="1:30" hidden="1">
      <c r="A196" s="4">
        <v>517</v>
      </c>
      <c r="B196" s="8">
        <v>45113</v>
      </c>
      <c r="C196" s="4"/>
      <c r="D196" s="4" t="s">
        <v>42</v>
      </c>
      <c r="E196" s="8">
        <v>45138</v>
      </c>
      <c r="F196" s="4" t="s">
        <v>43</v>
      </c>
      <c r="G196" s="4" t="s">
        <v>94</v>
      </c>
      <c r="H196" s="4" t="s">
        <v>45</v>
      </c>
      <c r="I196" s="4" t="s">
        <v>48</v>
      </c>
      <c r="J196" s="10">
        <v>29.996543000000003</v>
      </c>
      <c r="K196" s="10">
        <f>5.457+15.647+5.841+1.768+1.23</f>
        <v>29.943000000000001</v>
      </c>
      <c r="L196" s="10">
        <f t="shared" ref="L196:L211" si="40">M196+U196</f>
        <v>0</v>
      </c>
      <c r="M196" s="10">
        <f t="shared" ref="M196:M211" si="41">SUM(N196:T196)</f>
        <v>0</v>
      </c>
      <c r="N196" s="10"/>
      <c r="O196" s="10"/>
      <c r="P196" s="10">
        <v>0</v>
      </c>
      <c r="Q196" s="10"/>
      <c r="R196" s="10"/>
      <c r="S196" s="10"/>
      <c r="T196" s="10"/>
      <c r="U196" s="10"/>
      <c r="V196" s="4" t="s">
        <v>834</v>
      </c>
      <c r="W196" s="4" t="s">
        <v>906</v>
      </c>
      <c r="X196" s="8"/>
      <c r="Y196" s="4"/>
      <c r="Z196" s="4"/>
      <c r="AA196" s="8">
        <v>45122</v>
      </c>
      <c r="AB196" s="8">
        <v>45164</v>
      </c>
      <c r="AC196" s="4"/>
      <c r="AD196" s="4"/>
    </row>
    <row r="197" spans="1:30" hidden="1">
      <c r="A197" s="4">
        <v>517</v>
      </c>
      <c r="B197" s="8">
        <v>45113</v>
      </c>
      <c r="C197" s="4"/>
      <c r="D197" s="4" t="s">
        <v>42</v>
      </c>
      <c r="E197" s="8">
        <v>45138</v>
      </c>
      <c r="F197" s="4" t="s">
        <v>43</v>
      </c>
      <c r="G197" s="4" t="s">
        <v>94</v>
      </c>
      <c r="H197" s="4" t="s">
        <v>45</v>
      </c>
      <c r="I197" s="4" t="s">
        <v>403</v>
      </c>
      <c r="J197" s="10">
        <v>72.924298000000007</v>
      </c>
      <c r="K197" s="10">
        <f>23.315+16.175+9.243+19.702+4.428</f>
        <v>72.863</v>
      </c>
      <c r="L197" s="10">
        <f t="shared" si="40"/>
        <v>0</v>
      </c>
      <c r="M197" s="10">
        <f t="shared" si="41"/>
        <v>0</v>
      </c>
      <c r="N197" s="10"/>
      <c r="O197" s="10"/>
      <c r="P197" s="10"/>
      <c r="Q197" s="10"/>
      <c r="R197" s="10"/>
      <c r="S197" s="10"/>
      <c r="T197" s="10"/>
      <c r="U197" s="10"/>
      <c r="V197" s="4" t="s">
        <v>834</v>
      </c>
      <c r="W197" s="4"/>
      <c r="X197" s="8">
        <v>45127</v>
      </c>
      <c r="Y197" s="4"/>
      <c r="Z197" s="4"/>
      <c r="AA197" s="8">
        <v>45128</v>
      </c>
      <c r="AB197" s="8">
        <v>45136</v>
      </c>
      <c r="AC197" s="4"/>
      <c r="AD197" s="4"/>
    </row>
    <row r="198" spans="1:30" hidden="1">
      <c r="A198" s="4">
        <v>517</v>
      </c>
      <c r="B198" s="8">
        <v>45113</v>
      </c>
      <c r="C198" s="4"/>
      <c r="D198" s="4" t="s">
        <v>42</v>
      </c>
      <c r="E198" s="8">
        <v>45138</v>
      </c>
      <c r="F198" s="4" t="s">
        <v>43</v>
      </c>
      <c r="G198" s="4" t="s">
        <v>94</v>
      </c>
      <c r="H198" s="4" t="s">
        <v>45</v>
      </c>
      <c r="I198" s="4" t="s">
        <v>49</v>
      </c>
      <c r="J198" s="10">
        <v>84.003001312500004</v>
      </c>
      <c r="K198" s="10">
        <f>23.092+12.177+3.03+6.433+8.307+16.142+6.534+8.309</f>
        <v>84.024000000000001</v>
      </c>
      <c r="L198" s="10">
        <f t="shared" si="40"/>
        <v>0</v>
      </c>
      <c r="M198" s="10">
        <f t="shared" si="41"/>
        <v>0</v>
      </c>
      <c r="N198" s="10"/>
      <c r="O198" s="10"/>
      <c r="P198" s="10"/>
      <c r="Q198" s="10"/>
      <c r="R198" s="10"/>
      <c r="S198" s="10">
        <v>0</v>
      </c>
      <c r="T198" s="10"/>
      <c r="U198" s="10"/>
      <c r="V198" s="4" t="s">
        <v>834</v>
      </c>
      <c r="W198" s="4"/>
      <c r="X198" s="8">
        <v>45128</v>
      </c>
      <c r="Y198" s="4"/>
      <c r="Z198" s="4"/>
      <c r="AA198" s="8">
        <v>45132</v>
      </c>
      <c r="AB198" s="8"/>
      <c r="AC198" s="4"/>
      <c r="AD198" s="4"/>
    </row>
    <row r="199" spans="1:30" hidden="1">
      <c r="A199" s="4">
        <v>517</v>
      </c>
      <c r="B199" s="8">
        <v>45113</v>
      </c>
      <c r="C199" s="4"/>
      <c r="D199" s="4" t="s">
        <v>42</v>
      </c>
      <c r="E199" s="8">
        <v>45138</v>
      </c>
      <c r="F199" s="4" t="s">
        <v>43</v>
      </c>
      <c r="G199" s="4" t="s">
        <v>93</v>
      </c>
      <c r="H199" s="4" t="s">
        <v>45</v>
      </c>
      <c r="I199" s="4" t="s">
        <v>57</v>
      </c>
      <c r="J199" s="10">
        <v>6.048</v>
      </c>
      <c r="K199" s="10">
        <f>4.968+1.076</f>
        <v>6.0440000000000005</v>
      </c>
      <c r="L199" s="10">
        <f t="shared" si="40"/>
        <v>0</v>
      </c>
      <c r="M199" s="10">
        <f t="shared" si="41"/>
        <v>0</v>
      </c>
      <c r="N199" s="10"/>
      <c r="O199" s="10"/>
      <c r="P199" s="10"/>
      <c r="Q199" s="10"/>
      <c r="R199" s="10"/>
      <c r="S199" s="10"/>
      <c r="T199" s="10"/>
      <c r="U199" s="10"/>
      <c r="V199" s="4" t="s">
        <v>834</v>
      </c>
      <c r="W199" s="4"/>
      <c r="X199" s="8">
        <v>45118</v>
      </c>
      <c r="Y199" s="4"/>
      <c r="Z199" s="4"/>
      <c r="AA199" s="8">
        <v>45122</v>
      </c>
      <c r="AB199" s="8">
        <v>45132</v>
      </c>
      <c r="AC199" s="4"/>
      <c r="AD199" s="4"/>
    </row>
    <row r="200" spans="1:30" hidden="1">
      <c r="A200" s="4">
        <v>517</v>
      </c>
      <c r="B200" s="8">
        <v>45113</v>
      </c>
      <c r="C200" s="4"/>
      <c r="D200" s="4" t="s">
        <v>42</v>
      </c>
      <c r="E200" s="8">
        <v>45138</v>
      </c>
      <c r="F200" s="4" t="s">
        <v>43</v>
      </c>
      <c r="G200" s="4" t="s">
        <v>93</v>
      </c>
      <c r="H200" s="4" t="s">
        <v>45</v>
      </c>
      <c r="I200" s="4" t="s">
        <v>48</v>
      </c>
      <c r="J200" s="10">
        <v>15.523314642857143</v>
      </c>
      <c r="K200" s="10">
        <f>6.452+7.938+1.095</f>
        <v>15.485000000000001</v>
      </c>
      <c r="L200" s="10">
        <f t="shared" si="40"/>
        <v>0</v>
      </c>
      <c r="M200" s="10">
        <f t="shared" si="41"/>
        <v>0</v>
      </c>
      <c r="N200" s="10"/>
      <c r="O200" s="10"/>
      <c r="P200" s="10"/>
      <c r="Q200" s="10"/>
      <c r="R200" s="10"/>
      <c r="S200" s="10"/>
      <c r="T200" s="10"/>
      <c r="U200" s="10"/>
      <c r="V200" s="4" t="s">
        <v>834</v>
      </c>
      <c r="W200" s="4"/>
      <c r="X200" s="8"/>
      <c r="Y200" s="4"/>
      <c r="Z200" s="4"/>
      <c r="AA200" s="8">
        <v>45122</v>
      </c>
      <c r="AB200" s="8">
        <v>45136</v>
      </c>
      <c r="AC200" s="4"/>
      <c r="AD200" s="4"/>
    </row>
    <row r="201" spans="1:30" hidden="1">
      <c r="A201" s="4">
        <v>517</v>
      </c>
      <c r="B201" s="8">
        <v>45113</v>
      </c>
      <c r="C201" s="4"/>
      <c r="D201" s="4" t="s">
        <v>42</v>
      </c>
      <c r="E201" s="8">
        <v>45138</v>
      </c>
      <c r="F201" s="4" t="s">
        <v>43</v>
      </c>
      <c r="G201" s="4" t="s">
        <v>93</v>
      </c>
      <c r="H201" s="4" t="s">
        <v>45</v>
      </c>
      <c r="I201" s="4" t="s">
        <v>403</v>
      </c>
      <c r="J201" s="10">
        <v>11.9933</v>
      </c>
      <c r="K201" s="10">
        <f>1.838+2.615+3.984+3.602</f>
        <v>12.039000000000001</v>
      </c>
      <c r="L201" s="10">
        <f t="shared" si="40"/>
        <v>0</v>
      </c>
      <c r="M201" s="10">
        <f t="shared" si="41"/>
        <v>0</v>
      </c>
      <c r="N201" s="10"/>
      <c r="O201" s="10"/>
      <c r="P201" s="10"/>
      <c r="Q201" s="10"/>
      <c r="R201" s="10"/>
      <c r="S201" s="10"/>
      <c r="T201" s="10"/>
      <c r="U201" s="10"/>
      <c r="V201" s="4" t="s">
        <v>834</v>
      </c>
      <c r="W201" s="4"/>
      <c r="X201" s="8">
        <v>45127</v>
      </c>
      <c r="Y201" s="4"/>
      <c r="Z201" s="4"/>
      <c r="AA201" s="8">
        <v>45128</v>
      </c>
      <c r="AB201" s="8">
        <v>45136</v>
      </c>
      <c r="AC201" s="4"/>
      <c r="AD201" s="4"/>
    </row>
    <row r="202" spans="1:30" hidden="1">
      <c r="A202" s="4">
        <v>517</v>
      </c>
      <c r="B202" s="8">
        <v>45113</v>
      </c>
      <c r="C202" s="4"/>
      <c r="D202" s="4" t="s">
        <v>42</v>
      </c>
      <c r="E202" s="8">
        <v>45138</v>
      </c>
      <c r="F202" s="4" t="s">
        <v>43</v>
      </c>
      <c r="G202" s="4" t="s">
        <v>93</v>
      </c>
      <c r="H202" s="4" t="s">
        <v>45</v>
      </c>
      <c r="I202" s="4" t="s">
        <v>844</v>
      </c>
      <c r="J202" s="10">
        <v>1.2805000000000002</v>
      </c>
      <c r="K202" s="10">
        <v>1.2809999999999999</v>
      </c>
      <c r="L202" s="10">
        <f t="shared" si="40"/>
        <v>0</v>
      </c>
      <c r="M202" s="10">
        <f t="shared" si="41"/>
        <v>0</v>
      </c>
      <c r="N202" s="10"/>
      <c r="O202" s="10"/>
      <c r="P202" s="10"/>
      <c r="Q202" s="10"/>
      <c r="R202" s="10"/>
      <c r="S202" s="10"/>
      <c r="T202" s="10"/>
      <c r="U202" s="10"/>
      <c r="V202" s="4" t="s">
        <v>834</v>
      </c>
      <c r="W202" s="4"/>
      <c r="X202" s="8">
        <v>45127</v>
      </c>
      <c r="Y202" s="4"/>
      <c r="Z202" s="4"/>
      <c r="AA202" s="8">
        <v>45136</v>
      </c>
      <c r="AB202" s="8">
        <v>45136</v>
      </c>
      <c r="AC202" s="4"/>
      <c r="AD202" s="4"/>
    </row>
    <row r="203" spans="1:30" hidden="1">
      <c r="A203" s="4">
        <v>517</v>
      </c>
      <c r="B203" s="8">
        <v>45113</v>
      </c>
      <c r="C203" s="4"/>
      <c r="D203" s="4" t="s">
        <v>42</v>
      </c>
      <c r="E203" s="8">
        <v>45138</v>
      </c>
      <c r="F203" s="4" t="s">
        <v>43</v>
      </c>
      <c r="G203" s="4" t="s">
        <v>93</v>
      </c>
      <c r="H203" s="4" t="s">
        <v>45</v>
      </c>
      <c r="I203" s="4" t="s">
        <v>46</v>
      </c>
      <c r="J203" s="10">
        <v>0.85760000000000003</v>
      </c>
      <c r="K203" s="10">
        <v>0.85799999999999998</v>
      </c>
      <c r="L203" s="10">
        <f t="shared" si="40"/>
        <v>0</v>
      </c>
      <c r="M203" s="10">
        <f t="shared" si="41"/>
        <v>0</v>
      </c>
      <c r="N203" s="10"/>
      <c r="O203" s="10"/>
      <c r="P203" s="10"/>
      <c r="Q203" s="10"/>
      <c r="R203" s="10"/>
      <c r="S203" s="10"/>
      <c r="T203" s="10"/>
      <c r="U203" s="10"/>
      <c r="V203" s="4" t="s">
        <v>834</v>
      </c>
      <c r="W203" s="4"/>
      <c r="X203" s="8">
        <v>45125</v>
      </c>
      <c r="Y203" s="4"/>
      <c r="Z203" s="4"/>
      <c r="AA203" s="8">
        <v>45136</v>
      </c>
      <c r="AB203" s="8">
        <v>45136</v>
      </c>
      <c r="AC203" s="4"/>
      <c r="AD203" s="4"/>
    </row>
    <row r="204" spans="1:30" hidden="1">
      <c r="A204" s="4">
        <v>517</v>
      </c>
      <c r="B204" s="8">
        <v>45113</v>
      </c>
      <c r="C204" s="4"/>
      <c r="D204" s="4" t="s">
        <v>42</v>
      </c>
      <c r="E204" s="8">
        <v>45138</v>
      </c>
      <c r="F204" s="4" t="s">
        <v>43</v>
      </c>
      <c r="G204" s="4" t="s">
        <v>93</v>
      </c>
      <c r="H204" s="4" t="s">
        <v>45</v>
      </c>
      <c r="I204" s="4" t="s">
        <v>49</v>
      </c>
      <c r="J204" s="10">
        <v>1.8873400000000005</v>
      </c>
      <c r="K204" s="10">
        <v>1.887</v>
      </c>
      <c r="L204" s="10">
        <f t="shared" si="40"/>
        <v>0</v>
      </c>
      <c r="M204" s="10">
        <f t="shared" si="41"/>
        <v>0</v>
      </c>
      <c r="N204" s="10"/>
      <c r="O204" s="10"/>
      <c r="P204" s="10"/>
      <c r="Q204" s="10"/>
      <c r="R204" s="10"/>
      <c r="S204" s="10"/>
      <c r="T204" s="10"/>
      <c r="U204" s="10"/>
      <c r="V204" s="4" t="s">
        <v>834</v>
      </c>
      <c r="W204" s="4"/>
      <c r="X204" s="8">
        <v>45128</v>
      </c>
      <c r="Y204" s="4"/>
      <c r="Z204" s="4"/>
      <c r="AA204" s="8">
        <v>45132</v>
      </c>
      <c r="AB204" s="8">
        <v>45132</v>
      </c>
      <c r="AC204" s="4"/>
      <c r="AD204" s="4"/>
    </row>
    <row r="205" spans="1:30" hidden="1">
      <c r="A205" s="4">
        <v>517</v>
      </c>
      <c r="B205" s="8">
        <v>45113</v>
      </c>
      <c r="C205" s="4"/>
      <c r="D205" s="4" t="s">
        <v>42</v>
      </c>
      <c r="E205" s="8">
        <v>45138</v>
      </c>
      <c r="F205" s="4" t="s">
        <v>43</v>
      </c>
      <c r="G205" s="4" t="s">
        <v>93</v>
      </c>
      <c r="H205" s="4" t="s">
        <v>45</v>
      </c>
      <c r="I205" s="4" t="s">
        <v>423</v>
      </c>
      <c r="J205" s="10">
        <v>1.3633922222222226</v>
      </c>
      <c r="K205" s="10">
        <v>1.361</v>
      </c>
      <c r="L205" s="10">
        <f t="shared" si="40"/>
        <v>0</v>
      </c>
      <c r="M205" s="10">
        <f t="shared" si="41"/>
        <v>0</v>
      </c>
      <c r="N205" s="10"/>
      <c r="O205" s="10"/>
      <c r="P205" s="10"/>
      <c r="Q205" s="10"/>
      <c r="R205" s="10"/>
      <c r="S205" s="10"/>
      <c r="T205" s="10"/>
      <c r="U205" s="10"/>
      <c r="V205" s="4" t="s">
        <v>834</v>
      </c>
      <c r="W205" s="4" t="s">
        <v>905</v>
      </c>
      <c r="X205" s="8">
        <v>45128</v>
      </c>
      <c r="Y205" s="4"/>
      <c r="Z205" s="4"/>
      <c r="AA205" s="8">
        <v>45147</v>
      </c>
      <c r="AB205" s="8"/>
      <c r="AC205" s="4"/>
      <c r="AD205" s="4"/>
    </row>
    <row r="206" spans="1:30" hidden="1">
      <c r="A206" s="4">
        <v>517</v>
      </c>
      <c r="B206" s="8">
        <v>45113</v>
      </c>
      <c r="C206" s="4"/>
      <c r="D206" s="4" t="s">
        <v>42</v>
      </c>
      <c r="E206" s="8">
        <v>45138</v>
      </c>
      <c r="F206" s="4" t="s">
        <v>43</v>
      </c>
      <c r="G206" s="4" t="s">
        <v>93</v>
      </c>
      <c r="H206" s="4" t="s">
        <v>45</v>
      </c>
      <c r="I206" s="4" t="s">
        <v>579</v>
      </c>
      <c r="J206" s="10">
        <v>11.95744</v>
      </c>
      <c r="K206" s="10">
        <v>11.957000000000001</v>
      </c>
      <c r="L206" s="10">
        <f t="shared" si="40"/>
        <v>0</v>
      </c>
      <c r="M206" s="10">
        <f t="shared" si="41"/>
        <v>0</v>
      </c>
      <c r="N206" s="10"/>
      <c r="O206" s="10"/>
      <c r="P206" s="10"/>
      <c r="Q206" s="10"/>
      <c r="R206" s="10"/>
      <c r="S206" s="10"/>
      <c r="T206" s="10"/>
      <c r="U206" s="10"/>
      <c r="V206" s="4" t="s">
        <v>834</v>
      </c>
      <c r="W206" s="4" t="s">
        <v>37</v>
      </c>
      <c r="X206" s="8">
        <v>45137</v>
      </c>
      <c r="Y206" s="4"/>
      <c r="Z206" s="4"/>
      <c r="AA206" s="8">
        <v>45144</v>
      </c>
      <c r="AB206" s="8">
        <v>45144</v>
      </c>
      <c r="AC206" s="4"/>
      <c r="AD206" s="4"/>
    </row>
    <row r="207" spans="1:30" hidden="1">
      <c r="A207" s="4">
        <v>517</v>
      </c>
      <c r="B207" s="8">
        <v>45113</v>
      </c>
      <c r="C207" s="4"/>
      <c r="D207" s="4" t="s">
        <v>42</v>
      </c>
      <c r="E207" s="8">
        <v>45138</v>
      </c>
      <c r="F207" s="4" t="s">
        <v>43</v>
      </c>
      <c r="G207" s="4" t="s">
        <v>93</v>
      </c>
      <c r="H207" s="4" t="s">
        <v>45</v>
      </c>
      <c r="I207" s="4" t="s">
        <v>448</v>
      </c>
      <c r="J207" s="10">
        <v>22.262438</v>
      </c>
      <c r="K207" s="10">
        <f>13.219+9.182</f>
        <v>22.401</v>
      </c>
      <c r="L207" s="10">
        <f t="shared" si="40"/>
        <v>0</v>
      </c>
      <c r="M207" s="10">
        <f t="shared" si="41"/>
        <v>0</v>
      </c>
      <c r="N207" s="10"/>
      <c r="O207" s="10"/>
      <c r="P207" s="10"/>
      <c r="Q207" s="10"/>
      <c r="R207" s="10"/>
      <c r="S207" s="10"/>
      <c r="T207" s="10"/>
      <c r="U207" s="10"/>
      <c r="V207" s="4" t="s">
        <v>834</v>
      </c>
      <c r="W207" s="4" t="s">
        <v>37</v>
      </c>
      <c r="X207" s="8">
        <v>45136</v>
      </c>
      <c r="Y207" s="4"/>
      <c r="Z207" s="4"/>
      <c r="AA207" s="8">
        <v>45144</v>
      </c>
      <c r="AB207" s="8">
        <v>45145</v>
      </c>
      <c r="AC207" s="4"/>
      <c r="AD207" s="4"/>
    </row>
    <row r="208" spans="1:30" hidden="1">
      <c r="A208" s="4">
        <v>517</v>
      </c>
      <c r="B208" s="8">
        <v>45113</v>
      </c>
      <c r="C208" s="4"/>
      <c r="D208" s="4" t="s">
        <v>42</v>
      </c>
      <c r="E208" s="8">
        <v>45138</v>
      </c>
      <c r="F208" s="4" t="s">
        <v>43</v>
      </c>
      <c r="G208" s="4" t="s">
        <v>93</v>
      </c>
      <c r="H208" s="4" t="s">
        <v>45</v>
      </c>
      <c r="I208" s="4" t="s">
        <v>449</v>
      </c>
      <c r="J208" s="10">
        <v>3.3171599999999999</v>
      </c>
      <c r="K208" s="10">
        <v>3.3180000000000001</v>
      </c>
      <c r="L208" s="10">
        <f t="shared" si="40"/>
        <v>0</v>
      </c>
      <c r="M208" s="10">
        <f t="shared" si="41"/>
        <v>0</v>
      </c>
      <c r="N208" s="10"/>
      <c r="O208" s="10"/>
      <c r="P208" s="10"/>
      <c r="Q208" s="10"/>
      <c r="R208" s="10"/>
      <c r="S208" s="10"/>
      <c r="T208" s="10"/>
      <c r="U208" s="10"/>
      <c r="V208" s="4" t="s">
        <v>834</v>
      </c>
      <c r="W208" s="4"/>
      <c r="X208" s="8">
        <v>45136</v>
      </c>
      <c r="Y208" s="4"/>
      <c r="Z208" s="4"/>
      <c r="AA208" s="8">
        <v>45146</v>
      </c>
      <c r="AB208" s="8"/>
      <c r="AC208" s="4"/>
      <c r="AD208" s="4"/>
    </row>
    <row r="209" spans="1:30" hidden="1">
      <c r="A209" s="4">
        <v>517</v>
      </c>
      <c r="B209" s="8">
        <v>45113</v>
      </c>
      <c r="C209" s="4"/>
      <c r="D209" s="4" t="s">
        <v>42</v>
      </c>
      <c r="E209" s="8">
        <v>45138</v>
      </c>
      <c r="F209" s="4" t="s">
        <v>43</v>
      </c>
      <c r="G209" s="4" t="s">
        <v>92</v>
      </c>
      <c r="H209" s="4" t="s">
        <v>52</v>
      </c>
      <c r="I209" s="4" t="s">
        <v>50</v>
      </c>
      <c r="J209" s="10">
        <v>0.441</v>
      </c>
      <c r="K209" s="10">
        <v>0.441</v>
      </c>
      <c r="L209" s="10">
        <f t="shared" si="40"/>
        <v>0</v>
      </c>
      <c r="M209" s="10">
        <f t="shared" si="41"/>
        <v>0</v>
      </c>
      <c r="N209" s="10"/>
      <c r="O209" s="10"/>
      <c r="P209" s="10"/>
      <c r="Q209" s="10"/>
      <c r="R209" s="10"/>
      <c r="S209" s="10">
        <v>0</v>
      </c>
      <c r="T209" s="10"/>
      <c r="U209" s="10"/>
      <c r="V209" s="4" t="s">
        <v>662</v>
      </c>
      <c r="W209" s="4"/>
      <c r="X209" s="8">
        <v>45129</v>
      </c>
      <c r="Y209" s="4"/>
      <c r="Z209" s="4"/>
      <c r="AA209" s="8">
        <v>45136</v>
      </c>
      <c r="AB209" s="8">
        <v>45136</v>
      </c>
      <c r="AC209" s="4"/>
      <c r="AD209" s="4"/>
    </row>
    <row r="210" spans="1:30" hidden="1">
      <c r="A210" s="4">
        <v>517</v>
      </c>
      <c r="B210" s="8">
        <v>45113</v>
      </c>
      <c r="C210" s="4"/>
      <c r="D210" s="4" t="s">
        <v>42</v>
      </c>
      <c r="E210" s="8">
        <v>45138</v>
      </c>
      <c r="F210" s="4" t="s">
        <v>43</v>
      </c>
      <c r="G210" s="4" t="s">
        <v>186</v>
      </c>
      <c r="H210" s="4" t="s">
        <v>45</v>
      </c>
      <c r="I210" s="4" t="s">
        <v>517</v>
      </c>
      <c r="J210" s="10">
        <v>1.29948</v>
      </c>
      <c r="K210" s="10">
        <v>1.2989999999999999</v>
      </c>
      <c r="L210" s="10">
        <f t="shared" si="40"/>
        <v>0</v>
      </c>
      <c r="M210" s="10">
        <f t="shared" si="41"/>
        <v>0</v>
      </c>
      <c r="N210" s="10"/>
      <c r="O210" s="10"/>
      <c r="P210" s="10"/>
      <c r="Q210" s="10"/>
      <c r="R210" s="10"/>
      <c r="S210" s="10"/>
      <c r="T210" s="10"/>
      <c r="U210" s="10"/>
      <c r="V210" s="4" t="s">
        <v>664</v>
      </c>
      <c r="W210" s="4"/>
      <c r="X210" s="8">
        <v>45138</v>
      </c>
      <c r="Y210" s="4"/>
      <c r="Z210" s="4"/>
      <c r="AA210" s="8">
        <v>45147</v>
      </c>
      <c r="AB210" s="8"/>
      <c r="AC210" s="4"/>
      <c r="AD210" s="4"/>
    </row>
    <row r="211" spans="1:30" hidden="1">
      <c r="A211" s="4">
        <v>517</v>
      </c>
      <c r="B211" s="8">
        <v>45113</v>
      </c>
      <c r="C211" s="4"/>
      <c r="D211" s="4" t="s">
        <v>42</v>
      </c>
      <c r="E211" s="8">
        <v>45138</v>
      </c>
      <c r="F211" s="4" t="s">
        <v>43</v>
      </c>
      <c r="G211" s="4" t="s">
        <v>186</v>
      </c>
      <c r="H211" s="4" t="s">
        <v>45</v>
      </c>
      <c r="I211" s="4" t="s">
        <v>448</v>
      </c>
      <c r="J211" s="10">
        <v>0.60799999999999998</v>
      </c>
      <c r="K211" s="10">
        <v>0.60799999999999998</v>
      </c>
      <c r="L211" s="10">
        <f t="shared" si="40"/>
        <v>0</v>
      </c>
      <c r="M211" s="10">
        <f t="shared" si="41"/>
        <v>0</v>
      </c>
      <c r="N211" s="10"/>
      <c r="O211" s="10"/>
      <c r="P211" s="10"/>
      <c r="Q211" s="10"/>
      <c r="R211" s="10"/>
      <c r="S211" s="10">
        <v>0</v>
      </c>
      <c r="T211" s="10"/>
      <c r="U211" s="10"/>
      <c r="V211" s="4" t="s">
        <v>662</v>
      </c>
      <c r="W211" s="4" t="s">
        <v>925</v>
      </c>
      <c r="X211" s="8">
        <v>45137</v>
      </c>
      <c r="Y211" s="4"/>
      <c r="Z211" s="4"/>
      <c r="AA211" s="8">
        <v>45142</v>
      </c>
      <c r="AB211" s="8">
        <v>45142</v>
      </c>
      <c r="AC211" s="4"/>
      <c r="AD211" s="4"/>
    </row>
    <row r="212" spans="1:30" hidden="1">
      <c r="A212" s="4">
        <v>553</v>
      </c>
      <c r="B212" s="8">
        <v>45125</v>
      </c>
      <c r="C212" s="4"/>
      <c r="D212" s="4" t="s">
        <v>42</v>
      </c>
      <c r="E212" s="8">
        <v>45153</v>
      </c>
      <c r="F212" s="4" t="s">
        <v>43</v>
      </c>
      <c r="G212" s="4" t="s">
        <v>94</v>
      </c>
      <c r="H212" s="4" t="s">
        <v>45</v>
      </c>
      <c r="I212" s="4" t="s">
        <v>49</v>
      </c>
      <c r="J212" s="10">
        <v>6.2996759999999998</v>
      </c>
      <c r="K212" s="10">
        <f>1.693+4.641</f>
        <v>6.3339999999999996</v>
      </c>
      <c r="L212" s="10">
        <f t="shared" ref="L212:L242" si="42">M212+U212</f>
        <v>0</v>
      </c>
      <c r="M212" s="10">
        <f t="shared" ref="M212:M242" si="43">SUM(N212:T212)</f>
        <v>0</v>
      </c>
      <c r="N212" s="10"/>
      <c r="O212" s="10"/>
      <c r="P212" s="10"/>
      <c r="Q212" s="10"/>
      <c r="R212" s="10"/>
      <c r="S212" s="10"/>
      <c r="T212" s="10"/>
      <c r="U212" s="10"/>
      <c r="V212" s="4" t="s">
        <v>887</v>
      </c>
      <c r="W212" s="4"/>
      <c r="X212" s="8">
        <v>45139</v>
      </c>
      <c r="Y212" s="4"/>
      <c r="Z212" s="4"/>
      <c r="AA212" s="8">
        <v>45143</v>
      </c>
      <c r="AB212" s="8">
        <v>45143</v>
      </c>
      <c r="AC212" s="4"/>
      <c r="AD212" s="4"/>
    </row>
    <row r="213" spans="1:30" hidden="1">
      <c r="A213" s="4">
        <v>553</v>
      </c>
      <c r="B213" s="8">
        <v>45125</v>
      </c>
      <c r="C213" s="4"/>
      <c r="D213" s="4" t="s">
        <v>42</v>
      </c>
      <c r="E213" s="8">
        <v>45153</v>
      </c>
      <c r="F213" s="4" t="s">
        <v>43</v>
      </c>
      <c r="G213" s="4" t="s">
        <v>94</v>
      </c>
      <c r="H213" s="4" t="s">
        <v>45</v>
      </c>
      <c r="I213" s="4" t="s">
        <v>50</v>
      </c>
      <c r="J213" s="10">
        <v>0.99224999999999997</v>
      </c>
      <c r="K213" s="10">
        <v>0.99199999999999999</v>
      </c>
      <c r="L213" s="10">
        <f t="shared" si="42"/>
        <v>0</v>
      </c>
      <c r="M213" s="10">
        <f t="shared" si="43"/>
        <v>0</v>
      </c>
      <c r="N213" s="10"/>
      <c r="O213" s="10"/>
      <c r="P213" s="10"/>
      <c r="Q213" s="10"/>
      <c r="R213" s="10"/>
      <c r="S213" s="10"/>
      <c r="T213" s="10"/>
      <c r="U213" s="10"/>
      <c r="V213" s="4" t="s">
        <v>887</v>
      </c>
      <c r="W213" s="4" t="s">
        <v>952</v>
      </c>
      <c r="X213" s="8">
        <v>45139</v>
      </c>
      <c r="Y213" s="4"/>
      <c r="Z213" s="4"/>
      <c r="AA213" s="8">
        <v>45148</v>
      </c>
      <c r="AB213" s="8"/>
      <c r="AC213" s="4"/>
      <c r="AD213" s="4"/>
    </row>
    <row r="214" spans="1:30" hidden="1">
      <c r="A214" s="4">
        <v>553</v>
      </c>
      <c r="B214" s="8">
        <v>45125</v>
      </c>
      <c r="C214" s="4"/>
      <c r="D214" s="4" t="s">
        <v>42</v>
      </c>
      <c r="E214" s="8">
        <v>45153</v>
      </c>
      <c r="F214" s="4" t="s">
        <v>43</v>
      </c>
      <c r="G214" s="4" t="s">
        <v>94</v>
      </c>
      <c r="H214" s="4" t="s">
        <v>45</v>
      </c>
      <c r="I214" s="4" t="s">
        <v>588</v>
      </c>
      <c r="J214" s="10">
        <v>0.2838</v>
      </c>
      <c r="K214" s="10">
        <v>0.28399999999999997</v>
      </c>
      <c r="L214" s="10">
        <f t="shared" si="42"/>
        <v>0</v>
      </c>
      <c r="M214" s="10">
        <f t="shared" si="43"/>
        <v>0</v>
      </c>
      <c r="N214" s="10"/>
      <c r="O214" s="10"/>
      <c r="P214" s="10"/>
      <c r="Q214" s="10"/>
      <c r="R214" s="10"/>
      <c r="S214" s="10"/>
      <c r="T214" s="10"/>
      <c r="U214" s="10"/>
      <c r="V214" s="4" t="s">
        <v>887</v>
      </c>
      <c r="W214" s="4" t="s">
        <v>952</v>
      </c>
      <c r="X214" s="8">
        <v>45139</v>
      </c>
      <c r="Y214" s="4"/>
      <c r="Z214" s="4"/>
      <c r="AA214" s="8">
        <v>45148</v>
      </c>
      <c r="AB214" s="8"/>
      <c r="AC214" s="4"/>
      <c r="AD214" s="4"/>
    </row>
    <row r="215" spans="1:30" hidden="1">
      <c r="A215" s="4">
        <v>553</v>
      </c>
      <c r="B215" s="8">
        <v>45125</v>
      </c>
      <c r="C215" s="4"/>
      <c r="D215" s="4" t="s">
        <v>42</v>
      </c>
      <c r="E215" s="8">
        <v>45153</v>
      </c>
      <c r="F215" s="4" t="s">
        <v>43</v>
      </c>
      <c r="G215" s="4" t="s">
        <v>94</v>
      </c>
      <c r="H215" s="4" t="s">
        <v>45</v>
      </c>
      <c r="I215" s="4" t="s">
        <v>519</v>
      </c>
      <c r="J215" s="10">
        <v>6.1754999999999995</v>
      </c>
      <c r="K215" s="10">
        <v>6.1760000000000002</v>
      </c>
      <c r="L215" s="10">
        <f t="shared" si="42"/>
        <v>0</v>
      </c>
      <c r="M215" s="10">
        <f t="shared" si="43"/>
        <v>0</v>
      </c>
      <c r="N215" s="10"/>
      <c r="O215" s="10"/>
      <c r="P215" s="10"/>
      <c r="Q215" s="10"/>
      <c r="R215" s="10"/>
      <c r="S215" s="10"/>
      <c r="T215" s="10"/>
      <c r="U215" s="10"/>
      <c r="V215" s="4" t="s">
        <v>887</v>
      </c>
      <c r="W215" s="4"/>
      <c r="X215" s="8">
        <v>45138</v>
      </c>
      <c r="Y215" s="4"/>
      <c r="Z215" s="4"/>
      <c r="AA215" s="8">
        <v>45147</v>
      </c>
      <c r="AB215" s="8"/>
      <c r="AC215" s="4"/>
      <c r="AD215" s="4"/>
    </row>
    <row r="216" spans="1:30" hidden="1">
      <c r="A216" s="4">
        <v>553</v>
      </c>
      <c r="B216" s="8">
        <v>45125</v>
      </c>
      <c r="C216" s="4"/>
      <c r="D216" s="4" t="s">
        <v>42</v>
      </c>
      <c r="E216" s="8">
        <v>45153</v>
      </c>
      <c r="F216" s="4" t="s">
        <v>43</v>
      </c>
      <c r="G216" s="4" t="s">
        <v>94</v>
      </c>
      <c r="H216" s="4" t="s">
        <v>45</v>
      </c>
      <c r="I216" s="4" t="s">
        <v>579</v>
      </c>
      <c r="J216" s="10">
        <v>2.0824400000000001</v>
      </c>
      <c r="K216" s="10">
        <v>2.0950000000000002</v>
      </c>
      <c r="L216" s="10">
        <f t="shared" si="42"/>
        <v>0</v>
      </c>
      <c r="M216" s="10">
        <f t="shared" si="43"/>
        <v>0</v>
      </c>
      <c r="N216" s="10"/>
      <c r="O216" s="10"/>
      <c r="P216" s="10"/>
      <c r="Q216" s="10"/>
      <c r="R216" s="10"/>
      <c r="S216" s="10"/>
      <c r="T216" s="10"/>
      <c r="U216" s="10"/>
      <c r="V216" s="4" t="s">
        <v>887</v>
      </c>
      <c r="W216" s="4" t="s">
        <v>37</v>
      </c>
      <c r="X216" s="8">
        <v>45137</v>
      </c>
      <c r="Y216" s="4"/>
      <c r="Z216" s="4"/>
      <c r="AA216" s="8">
        <v>45148</v>
      </c>
      <c r="AB216" s="8"/>
      <c r="AC216" s="4"/>
      <c r="AD216" s="4"/>
    </row>
    <row r="217" spans="1:30" hidden="1">
      <c r="A217" s="4">
        <v>553</v>
      </c>
      <c r="B217" s="8">
        <v>45125</v>
      </c>
      <c r="C217" s="4"/>
      <c r="D217" s="4" t="s">
        <v>42</v>
      </c>
      <c r="E217" s="8">
        <v>45153</v>
      </c>
      <c r="F217" s="4" t="s">
        <v>43</v>
      </c>
      <c r="G217" s="4" t="s">
        <v>94</v>
      </c>
      <c r="H217" s="4" t="s">
        <v>45</v>
      </c>
      <c r="I217" s="4" t="s">
        <v>448</v>
      </c>
      <c r="J217" s="10">
        <v>16.954079999999998</v>
      </c>
      <c r="K217" s="10">
        <f>10.055+1.19+5.732</f>
        <v>16.977</v>
      </c>
      <c r="L217" s="10">
        <f t="shared" si="42"/>
        <v>0</v>
      </c>
      <c r="M217" s="10">
        <f t="shared" si="43"/>
        <v>0</v>
      </c>
      <c r="N217" s="10"/>
      <c r="O217" s="10"/>
      <c r="P217" s="10"/>
      <c r="Q217" s="10"/>
      <c r="R217" s="10"/>
      <c r="S217" s="10"/>
      <c r="T217" s="10"/>
      <c r="U217" s="10"/>
      <c r="V217" s="4" t="s">
        <v>887</v>
      </c>
      <c r="W217" s="4" t="s">
        <v>37</v>
      </c>
      <c r="X217" s="8">
        <v>45136</v>
      </c>
      <c r="Y217" s="4"/>
      <c r="Z217" s="4"/>
      <c r="AA217" s="8">
        <v>45142</v>
      </c>
      <c r="AB217" s="8"/>
      <c r="AC217" s="4"/>
      <c r="AD217" s="4"/>
    </row>
    <row r="218" spans="1:30" hidden="1">
      <c r="A218" s="4">
        <v>553</v>
      </c>
      <c r="B218" s="8">
        <v>45125</v>
      </c>
      <c r="C218" s="4"/>
      <c r="D218" s="4" t="s">
        <v>42</v>
      </c>
      <c r="E218" s="8">
        <v>45153</v>
      </c>
      <c r="F218" s="4" t="s">
        <v>43</v>
      </c>
      <c r="G218" s="4" t="s">
        <v>94</v>
      </c>
      <c r="H218" s="4" t="s">
        <v>45</v>
      </c>
      <c r="I218" s="4" t="s">
        <v>449</v>
      </c>
      <c r="J218" s="10">
        <v>11.280067000000001</v>
      </c>
      <c r="K218" s="10">
        <f>5.57+5.568</f>
        <v>11.138</v>
      </c>
      <c r="L218" s="10">
        <f t="shared" si="42"/>
        <v>0</v>
      </c>
      <c r="M218" s="10">
        <f t="shared" si="43"/>
        <v>0</v>
      </c>
      <c r="N218" s="10"/>
      <c r="O218" s="10"/>
      <c r="P218" s="10"/>
      <c r="Q218" s="10"/>
      <c r="R218" s="10"/>
      <c r="S218" s="10"/>
      <c r="T218" s="10"/>
      <c r="U218" s="10"/>
      <c r="V218" s="4" t="s">
        <v>887</v>
      </c>
      <c r="W218" s="4" t="s">
        <v>37</v>
      </c>
      <c r="X218" s="8">
        <v>45132</v>
      </c>
      <c r="Y218" s="4"/>
      <c r="Z218" s="4"/>
      <c r="AA218" s="8">
        <v>45147</v>
      </c>
      <c r="AB218" s="8"/>
      <c r="AC218" s="4"/>
      <c r="AD218" s="4"/>
    </row>
    <row r="219" spans="1:30" hidden="1">
      <c r="A219" s="4">
        <v>553</v>
      </c>
      <c r="B219" s="8">
        <v>45125</v>
      </c>
      <c r="C219" s="4"/>
      <c r="D219" s="4" t="s">
        <v>42</v>
      </c>
      <c r="E219" s="8">
        <v>45153</v>
      </c>
      <c r="F219" s="4" t="s">
        <v>43</v>
      </c>
      <c r="G219" s="4" t="s">
        <v>94</v>
      </c>
      <c r="H219" s="4" t="s">
        <v>45</v>
      </c>
      <c r="I219" s="4" t="s">
        <v>447</v>
      </c>
      <c r="J219" s="10">
        <v>5.6420700000000004</v>
      </c>
      <c r="K219" s="10">
        <f>0.993+4.649</f>
        <v>5.6420000000000003</v>
      </c>
      <c r="L219" s="10">
        <f t="shared" si="42"/>
        <v>0</v>
      </c>
      <c r="M219" s="10">
        <f t="shared" si="43"/>
        <v>0</v>
      </c>
      <c r="N219" s="10"/>
      <c r="O219" s="10"/>
      <c r="P219" s="10"/>
      <c r="Q219" s="10"/>
      <c r="R219" s="10"/>
      <c r="S219" s="10"/>
      <c r="T219" s="10"/>
      <c r="U219" s="10"/>
      <c r="V219" s="4" t="s">
        <v>887</v>
      </c>
      <c r="W219" s="4"/>
      <c r="X219" s="8">
        <v>45132</v>
      </c>
      <c r="Y219" s="4"/>
      <c r="Z219" s="4"/>
      <c r="AA219" s="8">
        <v>45147</v>
      </c>
      <c r="AB219" s="8"/>
      <c r="AC219" s="4"/>
      <c r="AD219" s="4"/>
    </row>
    <row r="220" spans="1:30" hidden="1">
      <c r="A220" s="4">
        <v>553</v>
      </c>
      <c r="B220" s="8">
        <v>45125</v>
      </c>
      <c r="C220" s="4"/>
      <c r="D220" s="4" t="s">
        <v>42</v>
      </c>
      <c r="E220" s="8">
        <v>45153</v>
      </c>
      <c r="F220" s="4" t="s">
        <v>43</v>
      </c>
      <c r="G220" s="4" t="s">
        <v>94</v>
      </c>
      <c r="H220" s="4" t="s">
        <v>45</v>
      </c>
      <c r="I220" s="4" t="s">
        <v>518</v>
      </c>
      <c r="J220" s="10">
        <v>4.5570199999999996</v>
      </c>
      <c r="K220" s="10">
        <f>1.141+3.504</f>
        <v>4.6449999999999996</v>
      </c>
      <c r="L220" s="10">
        <f t="shared" si="42"/>
        <v>0</v>
      </c>
      <c r="M220" s="10">
        <f t="shared" si="43"/>
        <v>0</v>
      </c>
      <c r="N220" s="10"/>
      <c r="O220" s="10"/>
      <c r="P220" s="10"/>
      <c r="Q220" s="10"/>
      <c r="R220" s="10"/>
      <c r="S220" s="10"/>
      <c r="T220" s="10"/>
      <c r="U220" s="10"/>
      <c r="V220" s="4" t="s">
        <v>887</v>
      </c>
      <c r="W220" s="4"/>
      <c r="X220" s="8">
        <v>45132</v>
      </c>
      <c r="Y220" s="4"/>
      <c r="Z220" s="4"/>
      <c r="AA220" s="8">
        <v>45147</v>
      </c>
      <c r="AB220" s="8"/>
      <c r="AC220" s="4"/>
      <c r="AD220" s="4"/>
    </row>
    <row r="221" spans="1:30" hidden="1">
      <c r="A221" s="4">
        <v>553</v>
      </c>
      <c r="B221" s="8">
        <v>45125</v>
      </c>
      <c r="C221" s="4"/>
      <c r="D221" s="4" t="s">
        <v>42</v>
      </c>
      <c r="E221" s="8">
        <v>45153</v>
      </c>
      <c r="F221" s="4" t="s">
        <v>43</v>
      </c>
      <c r="G221" s="4" t="s">
        <v>186</v>
      </c>
      <c r="H221" s="4" t="s">
        <v>45</v>
      </c>
      <c r="I221" s="4" t="s">
        <v>49</v>
      </c>
      <c r="J221" s="10">
        <v>1.0741637500000001</v>
      </c>
      <c r="K221" s="10">
        <v>1.0740000000000001</v>
      </c>
      <c r="L221" s="10">
        <f t="shared" si="42"/>
        <v>0</v>
      </c>
      <c r="M221" s="10">
        <f t="shared" si="43"/>
        <v>0</v>
      </c>
      <c r="N221" s="10"/>
      <c r="O221" s="10"/>
      <c r="P221" s="10">
        <v>0</v>
      </c>
      <c r="Q221" s="10"/>
      <c r="R221" s="10"/>
      <c r="S221" s="10"/>
      <c r="T221" s="10"/>
      <c r="U221" s="10"/>
      <c r="V221" s="4" t="s">
        <v>886</v>
      </c>
      <c r="W221" s="4"/>
      <c r="X221" s="8">
        <v>45139</v>
      </c>
      <c r="Y221" s="4"/>
      <c r="Z221" s="4"/>
      <c r="AA221" s="8"/>
      <c r="AB221" s="8"/>
      <c r="AC221" s="4"/>
      <c r="AD221" s="4"/>
    </row>
    <row r="222" spans="1:30" hidden="1">
      <c r="A222" s="4">
        <v>553</v>
      </c>
      <c r="B222" s="8">
        <v>45125</v>
      </c>
      <c r="C222" s="4"/>
      <c r="D222" s="4" t="s">
        <v>42</v>
      </c>
      <c r="E222" s="8">
        <v>45153</v>
      </c>
      <c r="F222" s="4" t="s">
        <v>43</v>
      </c>
      <c r="G222" s="4" t="s">
        <v>186</v>
      </c>
      <c r="H222" s="4" t="s">
        <v>45</v>
      </c>
      <c r="I222" s="4" t="s">
        <v>50</v>
      </c>
      <c r="J222" s="10">
        <v>14.183744000000001</v>
      </c>
      <c r="K222" s="10">
        <v>14.223000000000001</v>
      </c>
      <c r="L222" s="10">
        <f t="shared" si="42"/>
        <v>0</v>
      </c>
      <c r="M222" s="10">
        <f t="shared" si="43"/>
        <v>0</v>
      </c>
      <c r="N222" s="10"/>
      <c r="O222" s="10"/>
      <c r="P222" s="10"/>
      <c r="Q222" s="10"/>
      <c r="R222" s="10"/>
      <c r="S222" s="10">
        <v>0</v>
      </c>
      <c r="T222" s="10"/>
      <c r="U222" s="10"/>
      <c r="V222" s="4" t="s">
        <v>886</v>
      </c>
      <c r="W222" s="4" t="s">
        <v>952</v>
      </c>
      <c r="X222" s="8">
        <v>45139</v>
      </c>
      <c r="Y222" s="4"/>
      <c r="Z222" s="4"/>
      <c r="AA222" s="8">
        <v>45143</v>
      </c>
      <c r="AB222" s="8">
        <v>45143</v>
      </c>
      <c r="AC222" s="4"/>
      <c r="AD222" s="4"/>
    </row>
    <row r="223" spans="1:30" hidden="1">
      <c r="A223" s="4">
        <v>553</v>
      </c>
      <c r="B223" s="8">
        <v>45125</v>
      </c>
      <c r="C223" s="4"/>
      <c r="D223" s="4" t="s">
        <v>42</v>
      </c>
      <c r="E223" s="8">
        <v>45153</v>
      </c>
      <c r="F223" s="4" t="s">
        <v>43</v>
      </c>
      <c r="G223" s="4" t="s">
        <v>186</v>
      </c>
      <c r="H223" s="4" t="s">
        <v>45</v>
      </c>
      <c r="I223" s="4" t="s">
        <v>588</v>
      </c>
      <c r="J223" s="10">
        <v>10.878450000000001</v>
      </c>
      <c r="K223" s="10">
        <v>10.878</v>
      </c>
      <c r="L223" s="10">
        <f t="shared" si="42"/>
        <v>0</v>
      </c>
      <c r="M223" s="10">
        <f t="shared" si="43"/>
        <v>0</v>
      </c>
      <c r="N223" s="10"/>
      <c r="O223" s="10"/>
      <c r="P223" s="10"/>
      <c r="Q223" s="10"/>
      <c r="R223" s="10"/>
      <c r="S223" s="10">
        <v>0</v>
      </c>
      <c r="T223" s="10"/>
      <c r="U223" s="10"/>
      <c r="V223" s="4" t="s">
        <v>886</v>
      </c>
      <c r="W223" s="4" t="s">
        <v>954</v>
      </c>
      <c r="X223" s="8">
        <v>45139</v>
      </c>
      <c r="Y223" s="4"/>
      <c r="Z223" s="4"/>
      <c r="AA223" s="8">
        <v>45144</v>
      </c>
      <c r="AB223" s="8">
        <v>45144</v>
      </c>
      <c r="AC223" s="4"/>
      <c r="AD223" s="4"/>
    </row>
    <row r="224" spans="1:30" hidden="1">
      <c r="A224" s="4">
        <v>553</v>
      </c>
      <c r="B224" s="8">
        <v>45125</v>
      </c>
      <c r="C224" s="4"/>
      <c r="D224" s="4" t="s">
        <v>42</v>
      </c>
      <c r="E224" s="8">
        <v>45153</v>
      </c>
      <c r="F224" s="4" t="s">
        <v>43</v>
      </c>
      <c r="G224" s="4" t="s">
        <v>186</v>
      </c>
      <c r="H224" s="4" t="s">
        <v>45</v>
      </c>
      <c r="I224" s="4" t="s">
        <v>407</v>
      </c>
      <c r="J224" s="10">
        <v>11.076753000000002</v>
      </c>
      <c r="K224" s="10">
        <v>11.076000000000001</v>
      </c>
      <c r="L224" s="10">
        <f t="shared" si="42"/>
        <v>0</v>
      </c>
      <c r="M224" s="10">
        <f t="shared" si="43"/>
        <v>0</v>
      </c>
      <c r="N224" s="10"/>
      <c r="O224" s="10">
        <v>0</v>
      </c>
      <c r="P224" s="10"/>
      <c r="Q224" s="10"/>
      <c r="R224" s="10"/>
      <c r="S224" s="10"/>
      <c r="T224" s="10"/>
      <c r="U224" s="10"/>
      <c r="V224" s="4" t="s">
        <v>886</v>
      </c>
      <c r="W224" s="4"/>
      <c r="X224" s="8">
        <v>45143</v>
      </c>
      <c r="Y224" s="4"/>
      <c r="Z224" s="4"/>
      <c r="AA224" s="8">
        <v>45145</v>
      </c>
      <c r="AB224" s="8">
        <v>45145</v>
      </c>
      <c r="AC224" s="4"/>
      <c r="AD224" s="4"/>
    </row>
    <row r="225" spans="1:30" hidden="1">
      <c r="A225" s="4">
        <v>553</v>
      </c>
      <c r="B225" s="8">
        <v>45125</v>
      </c>
      <c r="C225" s="4"/>
      <c r="D225" s="4" t="s">
        <v>42</v>
      </c>
      <c r="E225" s="8">
        <v>45153</v>
      </c>
      <c r="F225" s="4" t="s">
        <v>43</v>
      </c>
      <c r="G225" s="4" t="s">
        <v>186</v>
      </c>
      <c r="H225" s="4" t="s">
        <v>45</v>
      </c>
      <c r="I225" s="4" t="s">
        <v>47</v>
      </c>
      <c r="J225" s="10">
        <v>11.991425</v>
      </c>
      <c r="K225" s="10">
        <v>11.986000000000001</v>
      </c>
      <c r="L225" s="10">
        <f t="shared" si="42"/>
        <v>0</v>
      </c>
      <c r="M225" s="10">
        <f t="shared" si="43"/>
        <v>0</v>
      </c>
      <c r="N225" s="10"/>
      <c r="O225" s="10"/>
      <c r="P225" s="10"/>
      <c r="Q225" s="10"/>
      <c r="R225" s="10"/>
      <c r="S225" s="10"/>
      <c r="T225" s="10"/>
      <c r="U225" s="10"/>
      <c r="V225" s="4" t="s">
        <v>886</v>
      </c>
      <c r="W225" s="4"/>
      <c r="X225" s="8">
        <v>45143</v>
      </c>
      <c r="Y225" s="4"/>
      <c r="Z225" s="4"/>
      <c r="AA225" s="8">
        <v>45148</v>
      </c>
      <c r="AB225" s="8"/>
      <c r="AC225" s="4"/>
      <c r="AD225" s="4"/>
    </row>
    <row r="226" spans="1:30" hidden="1">
      <c r="A226" s="4">
        <v>553</v>
      </c>
      <c r="B226" s="8">
        <v>45125</v>
      </c>
      <c r="C226" s="4"/>
      <c r="D226" s="4" t="s">
        <v>42</v>
      </c>
      <c r="E226" s="8">
        <v>45153</v>
      </c>
      <c r="F226" s="4" t="s">
        <v>43</v>
      </c>
      <c r="G226" s="4" t="s">
        <v>186</v>
      </c>
      <c r="H226" s="4" t="s">
        <v>45</v>
      </c>
      <c r="I226" s="4" t="s">
        <v>519</v>
      </c>
      <c r="J226" s="10">
        <v>6.6930000000000005</v>
      </c>
      <c r="K226" s="10">
        <f>4.522+2.09</f>
        <v>6.6120000000000001</v>
      </c>
      <c r="L226" s="10">
        <f t="shared" si="42"/>
        <v>0</v>
      </c>
      <c r="M226" s="10">
        <f t="shared" si="43"/>
        <v>0</v>
      </c>
      <c r="N226" s="10"/>
      <c r="O226" s="10"/>
      <c r="P226" s="10">
        <v>0</v>
      </c>
      <c r="Q226" s="10"/>
      <c r="R226" s="10"/>
      <c r="S226" s="10"/>
      <c r="T226" s="10"/>
      <c r="U226" s="10"/>
      <c r="V226" s="4" t="s">
        <v>886</v>
      </c>
      <c r="W226" s="4" t="s">
        <v>951</v>
      </c>
      <c r="X226" s="8">
        <v>45138</v>
      </c>
      <c r="Y226" s="4"/>
      <c r="Z226" s="4"/>
      <c r="AA226" s="8">
        <v>45147</v>
      </c>
      <c r="AB226" s="8"/>
      <c r="AC226" s="4"/>
      <c r="AD226" s="4"/>
    </row>
    <row r="227" spans="1:30" hidden="1">
      <c r="A227" s="4">
        <v>553</v>
      </c>
      <c r="B227" s="8">
        <v>45125</v>
      </c>
      <c r="C227" s="4"/>
      <c r="D227" s="4" t="s">
        <v>42</v>
      </c>
      <c r="E227" s="8">
        <v>45153</v>
      </c>
      <c r="F227" s="4" t="s">
        <v>43</v>
      </c>
      <c r="G227" s="4" t="s">
        <v>186</v>
      </c>
      <c r="H227" s="4" t="s">
        <v>45</v>
      </c>
      <c r="I227" s="4" t="s">
        <v>517</v>
      </c>
      <c r="J227" s="10">
        <f>19.105632-2.245</f>
        <v>16.860631999999999</v>
      </c>
      <c r="K227" s="10">
        <f>13.057+0.226+3.57</f>
        <v>16.853000000000002</v>
      </c>
      <c r="L227" s="10">
        <f t="shared" si="42"/>
        <v>0</v>
      </c>
      <c r="M227" s="10">
        <f t="shared" si="43"/>
        <v>0</v>
      </c>
      <c r="N227" s="10"/>
      <c r="O227" s="10"/>
      <c r="P227" s="10">
        <v>0</v>
      </c>
      <c r="Q227" s="10"/>
      <c r="R227" s="10"/>
      <c r="S227" s="10"/>
      <c r="T227" s="10"/>
      <c r="U227" s="10"/>
      <c r="V227" s="4" t="s">
        <v>886</v>
      </c>
      <c r="W227" s="4"/>
      <c r="X227" s="8">
        <v>45138</v>
      </c>
      <c r="Y227" s="4"/>
      <c r="Z227" s="4"/>
      <c r="AA227" s="8"/>
      <c r="AB227" s="8"/>
      <c r="AC227" s="4"/>
      <c r="AD227" s="4"/>
    </row>
    <row r="228" spans="1:30" hidden="1">
      <c r="A228" s="4">
        <v>553</v>
      </c>
      <c r="B228" s="8">
        <v>45125</v>
      </c>
      <c r="C228" s="4"/>
      <c r="D228" s="4" t="s">
        <v>42</v>
      </c>
      <c r="E228" s="8">
        <v>45153</v>
      </c>
      <c r="F228" s="4" t="s">
        <v>43</v>
      </c>
      <c r="G228" s="4" t="s">
        <v>186</v>
      </c>
      <c r="H228" s="4" t="s">
        <v>45</v>
      </c>
      <c r="I228" s="4" t="s">
        <v>448</v>
      </c>
      <c r="J228" s="10">
        <v>25.309440000000002</v>
      </c>
      <c r="K228" s="10">
        <f>5.779+12.429+7.101</f>
        <v>25.308999999999997</v>
      </c>
      <c r="L228" s="10">
        <f t="shared" si="42"/>
        <v>0</v>
      </c>
      <c r="M228" s="10">
        <f t="shared" si="43"/>
        <v>0</v>
      </c>
      <c r="N228" s="10"/>
      <c r="O228" s="10"/>
      <c r="P228" s="10"/>
      <c r="Q228" s="10"/>
      <c r="R228" s="10"/>
      <c r="S228" s="10">
        <v>0</v>
      </c>
      <c r="T228" s="10"/>
      <c r="U228" s="10"/>
      <c r="V228" s="4" t="s">
        <v>886</v>
      </c>
      <c r="W228" s="4" t="s">
        <v>37</v>
      </c>
      <c r="X228" s="8">
        <v>45137</v>
      </c>
      <c r="Y228" s="4"/>
      <c r="Z228" s="4"/>
      <c r="AA228" s="8">
        <v>45141</v>
      </c>
      <c r="AB228" s="8">
        <v>45142</v>
      </c>
      <c r="AC228" s="4"/>
      <c r="AD228" s="4"/>
    </row>
    <row r="229" spans="1:30" hidden="1">
      <c r="A229" s="4">
        <v>553</v>
      </c>
      <c r="B229" s="8">
        <v>45125</v>
      </c>
      <c r="C229" s="4"/>
      <c r="D229" s="4" t="s">
        <v>42</v>
      </c>
      <c r="E229" s="8">
        <v>45153</v>
      </c>
      <c r="F229" s="4" t="s">
        <v>43</v>
      </c>
      <c r="G229" s="4" t="s">
        <v>92</v>
      </c>
      <c r="H229" s="4" t="s">
        <v>52</v>
      </c>
      <c r="I229" s="4" t="s">
        <v>236</v>
      </c>
      <c r="J229" s="10">
        <v>22.905656999999998</v>
      </c>
      <c r="K229" s="10">
        <v>23.009</v>
      </c>
      <c r="L229" s="10">
        <f t="shared" si="42"/>
        <v>0</v>
      </c>
      <c r="M229" s="10">
        <f t="shared" si="43"/>
        <v>0</v>
      </c>
      <c r="N229" s="10"/>
      <c r="O229" s="10"/>
      <c r="P229" s="10"/>
      <c r="Q229" s="10"/>
      <c r="R229" s="10"/>
      <c r="S229" s="10"/>
      <c r="T229" s="10"/>
      <c r="U229" s="10"/>
      <c r="V229" s="4" t="s">
        <v>886</v>
      </c>
      <c r="W229" s="4"/>
      <c r="X229" s="8">
        <v>45139</v>
      </c>
      <c r="Y229" s="4"/>
      <c r="Z229" s="4"/>
      <c r="AA229" s="8">
        <v>45143</v>
      </c>
      <c r="AB229" s="8"/>
      <c r="AC229" s="4"/>
      <c r="AD229" s="4"/>
    </row>
    <row r="230" spans="1:30" hidden="1">
      <c r="A230" s="4">
        <v>553</v>
      </c>
      <c r="B230" s="8">
        <v>45125</v>
      </c>
      <c r="C230" s="4"/>
      <c r="D230" s="4" t="s">
        <v>42</v>
      </c>
      <c r="E230" s="8">
        <v>45153</v>
      </c>
      <c r="F230" s="4" t="s">
        <v>43</v>
      </c>
      <c r="G230" s="4" t="s">
        <v>92</v>
      </c>
      <c r="H230" s="4" t="s">
        <v>52</v>
      </c>
      <c r="I230" s="4" t="s">
        <v>588</v>
      </c>
      <c r="J230" s="10">
        <v>7.4646825000000003</v>
      </c>
      <c r="K230" s="10">
        <f>6.476+0.983</f>
        <v>7.4589999999999996</v>
      </c>
      <c r="L230" s="10">
        <f t="shared" si="42"/>
        <v>0</v>
      </c>
      <c r="M230" s="10">
        <f t="shared" si="43"/>
        <v>0</v>
      </c>
      <c r="N230" s="10"/>
      <c r="O230" s="10"/>
      <c r="P230" s="10">
        <v>0</v>
      </c>
      <c r="Q230" s="10"/>
      <c r="R230" s="10"/>
      <c r="S230" s="10"/>
      <c r="T230" s="10"/>
      <c r="U230" s="10"/>
      <c r="V230" s="4" t="s">
        <v>886</v>
      </c>
      <c r="W230" s="4"/>
      <c r="X230" s="8">
        <v>45129</v>
      </c>
      <c r="Y230" s="4"/>
      <c r="Z230" s="4"/>
      <c r="AA230" s="8"/>
      <c r="AB230" s="8"/>
      <c r="AC230" s="4"/>
      <c r="AD230" s="4"/>
    </row>
    <row r="231" spans="1:30" hidden="1">
      <c r="A231" s="4">
        <v>553</v>
      </c>
      <c r="B231" s="8">
        <v>45125</v>
      </c>
      <c r="C231" s="4"/>
      <c r="D231" s="4" t="s">
        <v>42</v>
      </c>
      <c r="E231" s="8">
        <v>45153</v>
      </c>
      <c r="F231" s="4" t="s">
        <v>43</v>
      </c>
      <c r="G231" s="4" t="s">
        <v>92</v>
      </c>
      <c r="H231" s="4" t="s">
        <v>52</v>
      </c>
      <c r="I231" s="4" t="s">
        <v>103</v>
      </c>
      <c r="J231" s="10">
        <v>12.997405000000001</v>
      </c>
      <c r="K231" s="10">
        <f>7.322+5.671</f>
        <v>12.993</v>
      </c>
      <c r="L231" s="10">
        <f t="shared" si="42"/>
        <v>0</v>
      </c>
      <c r="M231" s="10">
        <f t="shared" si="43"/>
        <v>0</v>
      </c>
      <c r="N231" s="10"/>
      <c r="O231" s="10"/>
      <c r="P231" s="10"/>
      <c r="Q231" s="10"/>
      <c r="R231" s="10"/>
      <c r="S231" s="10"/>
      <c r="T231" s="10"/>
      <c r="U231" s="10"/>
      <c r="V231" s="4" t="s">
        <v>886</v>
      </c>
      <c r="W231" s="4"/>
      <c r="X231" s="8">
        <v>45131</v>
      </c>
      <c r="Y231" s="4"/>
      <c r="Z231" s="4"/>
      <c r="AA231" s="8">
        <v>45136</v>
      </c>
      <c r="AB231" s="8">
        <v>45142</v>
      </c>
      <c r="AC231" s="4"/>
      <c r="AD231" s="4"/>
    </row>
    <row r="232" spans="1:30" hidden="1">
      <c r="A232" s="4">
        <v>554</v>
      </c>
      <c r="B232" s="8">
        <v>45125</v>
      </c>
      <c r="C232" s="4"/>
      <c r="D232" s="4" t="s">
        <v>42</v>
      </c>
      <c r="E232" s="8">
        <v>45169</v>
      </c>
      <c r="F232" s="4" t="s">
        <v>43</v>
      </c>
      <c r="G232" s="4" t="s">
        <v>186</v>
      </c>
      <c r="H232" s="4" t="s">
        <v>45</v>
      </c>
      <c r="I232" s="4" t="s">
        <v>49</v>
      </c>
      <c r="J232" s="10">
        <v>1.7190000000000001</v>
      </c>
      <c r="K232" s="10">
        <v>1.718</v>
      </c>
      <c r="L232" s="10">
        <f t="shared" si="42"/>
        <v>0</v>
      </c>
      <c r="M232" s="10">
        <f t="shared" si="43"/>
        <v>0</v>
      </c>
      <c r="N232" s="10"/>
      <c r="O232" s="10"/>
      <c r="P232" s="10">
        <v>0</v>
      </c>
      <c r="Q232" s="10"/>
      <c r="R232" s="10"/>
      <c r="S232" s="10"/>
      <c r="T232" s="10"/>
      <c r="U232" s="10"/>
      <c r="V232" s="4" t="s">
        <v>885</v>
      </c>
      <c r="W232" s="4"/>
      <c r="X232" s="8">
        <v>45169</v>
      </c>
      <c r="Y232" s="4"/>
      <c r="Z232" s="4"/>
      <c r="AA232" s="8"/>
      <c r="AB232" s="8"/>
      <c r="AC232" s="4"/>
      <c r="AD232" s="4"/>
    </row>
    <row r="233" spans="1:30" hidden="1">
      <c r="A233" s="4">
        <v>554</v>
      </c>
      <c r="B233" s="8">
        <v>45125</v>
      </c>
      <c r="C233" s="4"/>
      <c r="D233" s="4" t="s">
        <v>42</v>
      </c>
      <c r="E233" s="8">
        <v>45169</v>
      </c>
      <c r="F233" s="4" t="s">
        <v>43</v>
      </c>
      <c r="G233" s="4" t="s">
        <v>186</v>
      </c>
      <c r="H233" s="4" t="s">
        <v>45</v>
      </c>
      <c r="I233" s="4" t="s">
        <v>50</v>
      </c>
      <c r="J233" s="10">
        <v>29.744</v>
      </c>
      <c r="K233" s="10">
        <f>24.505+5.326</f>
        <v>29.831</v>
      </c>
      <c r="L233" s="10">
        <f t="shared" si="42"/>
        <v>0</v>
      </c>
      <c r="M233" s="10">
        <f t="shared" si="43"/>
        <v>0</v>
      </c>
      <c r="N233" s="10"/>
      <c r="O233" s="10"/>
      <c r="P233" s="10">
        <v>0</v>
      </c>
      <c r="Q233" s="10"/>
      <c r="R233" s="10"/>
      <c r="S233" s="10"/>
      <c r="T233" s="10"/>
      <c r="U233" s="10"/>
      <c r="V233" s="4" t="s">
        <v>885</v>
      </c>
      <c r="W233" s="4"/>
      <c r="X233" s="8">
        <v>45169</v>
      </c>
      <c r="Y233" s="4"/>
      <c r="Z233" s="4"/>
      <c r="AA233" s="8"/>
      <c r="AB233" s="8"/>
      <c r="AC233" s="4"/>
      <c r="AD233" s="4"/>
    </row>
    <row r="234" spans="1:30" hidden="1">
      <c r="A234" s="4">
        <v>554</v>
      </c>
      <c r="B234" s="8">
        <v>45125</v>
      </c>
      <c r="C234" s="4"/>
      <c r="D234" s="4" t="s">
        <v>42</v>
      </c>
      <c r="E234" s="8">
        <v>45169</v>
      </c>
      <c r="F234" s="4" t="s">
        <v>43</v>
      </c>
      <c r="G234" s="4" t="s">
        <v>186</v>
      </c>
      <c r="H234" s="4" t="s">
        <v>45</v>
      </c>
      <c r="I234" s="4" t="s">
        <v>588</v>
      </c>
      <c r="J234" s="10">
        <v>52.795000000000002</v>
      </c>
      <c r="K234" s="10">
        <f>26.387+16.683+7.256+2.656</f>
        <v>52.981999999999999</v>
      </c>
      <c r="L234" s="10">
        <f t="shared" si="42"/>
        <v>0</v>
      </c>
      <c r="M234" s="10">
        <f t="shared" si="43"/>
        <v>0</v>
      </c>
      <c r="N234" s="10"/>
      <c r="O234" s="10"/>
      <c r="P234" s="10">
        <v>0</v>
      </c>
      <c r="Q234" s="10"/>
      <c r="R234" s="10"/>
      <c r="S234" s="10"/>
      <c r="T234" s="10"/>
      <c r="U234" s="10"/>
      <c r="V234" s="4" t="s">
        <v>885</v>
      </c>
      <c r="W234" s="4" t="s">
        <v>1089</v>
      </c>
      <c r="X234" s="8">
        <v>45169</v>
      </c>
      <c r="Y234" s="4"/>
      <c r="Z234" s="4"/>
      <c r="AA234" s="8">
        <v>45170</v>
      </c>
      <c r="AB234" s="8">
        <v>45188</v>
      </c>
      <c r="AC234" s="4"/>
      <c r="AD234" s="4"/>
    </row>
    <row r="235" spans="1:30" hidden="1">
      <c r="A235" s="4">
        <v>554</v>
      </c>
      <c r="B235" s="8">
        <v>45125</v>
      </c>
      <c r="C235" s="4"/>
      <c r="D235" s="4" t="s">
        <v>42</v>
      </c>
      <c r="E235" s="8">
        <v>45169</v>
      </c>
      <c r="F235" s="4" t="s">
        <v>43</v>
      </c>
      <c r="G235" s="4" t="s">
        <v>186</v>
      </c>
      <c r="H235" s="4" t="s">
        <v>45</v>
      </c>
      <c r="I235" s="4" t="s">
        <v>407</v>
      </c>
      <c r="J235" s="10">
        <v>27.274000000000001</v>
      </c>
      <c r="K235" s="10">
        <f>14.029+7.001+5.337+0.905</f>
        <v>27.272000000000002</v>
      </c>
      <c r="L235" s="10">
        <f t="shared" si="42"/>
        <v>0</v>
      </c>
      <c r="M235" s="10">
        <f t="shared" si="43"/>
        <v>0</v>
      </c>
      <c r="N235" s="10"/>
      <c r="O235" s="10"/>
      <c r="P235" s="10"/>
      <c r="Q235" s="10"/>
      <c r="R235" s="10"/>
      <c r="S235" s="10"/>
      <c r="T235" s="10"/>
      <c r="U235" s="10"/>
      <c r="V235" s="4" t="s">
        <v>885</v>
      </c>
      <c r="W235" s="4"/>
      <c r="X235" s="8">
        <v>45143</v>
      </c>
      <c r="Y235" s="4"/>
      <c r="Z235" s="4"/>
      <c r="AA235" s="8"/>
      <c r="AB235" s="8"/>
      <c r="AC235" s="4"/>
      <c r="AD235" s="4"/>
    </row>
    <row r="236" spans="1:30" hidden="1">
      <c r="A236" s="4">
        <v>554</v>
      </c>
      <c r="B236" s="8">
        <v>45125</v>
      </c>
      <c r="C236" s="4"/>
      <c r="D236" s="4" t="s">
        <v>42</v>
      </c>
      <c r="E236" s="8">
        <v>45169</v>
      </c>
      <c r="F236" s="4" t="s">
        <v>43</v>
      </c>
      <c r="G236" s="4" t="s">
        <v>186</v>
      </c>
      <c r="H236" s="4" t="s">
        <v>45</v>
      </c>
      <c r="I236" s="4" t="s">
        <v>47</v>
      </c>
      <c r="J236" s="10">
        <v>24.94</v>
      </c>
      <c r="K236" s="10">
        <f>9.771+15.155</f>
        <v>24.926000000000002</v>
      </c>
      <c r="L236" s="10">
        <f t="shared" si="42"/>
        <v>0</v>
      </c>
      <c r="M236" s="10">
        <f t="shared" si="43"/>
        <v>0</v>
      </c>
      <c r="N236" s="10"/>
      <c r="O236" s="10"/>
      <c r="P236" s="10">
        <v>0</v>
      </c>
      <c r="Q236" s="10"/>
      <c r="R236" s="10"/>
      <c r="S236" s="10"/>
      <c r="T236" s="10"/>
      <c r="U236" s="10"/>
      <c r="V236" s="4" t="s">
        <v>885</v>
      </c>
      <c r="W236" s="4"/>
      <c r="X236" s="8">
        <v>45143</v>
      </c>
      <c r="Y236" s="4"/>
      <c r="Z236" s="4"/>
      <c r="AA236" s="8">
        <v>45148</v>
      </c>
      <c r="AB236" s="8"/>
      <c r="AC236" s="4"/>
      <c r="AD236" s="4"/>
    </row>
    <row r="237" spans="1:30" hidden="1">
      <c r="A237" s="4">
        <v>554</v>
      </c>
      <c r="B237" s="8">
        <v>45125</v>
      </c>
      <c r="C237" s="4"/>
      <c r="D237" s="4" t="s">
        <v>42</v>
      </c>
      <c r="E237" s="8">
        <v>45169</v>
      </c>
      <c r="F237" s="4" t="s">
        <v>43</v>
      </c>
      <c r="G237" s="4" t="s">
        <v>186</v>
      </c>
      <c r="H237" s="4" t="s">
        <v>45</v>
      </c>
      <c r="I237" s="4" t="s">
        <v>519</v>
      </c>
      <c r="J237" s="10">
        <v>14.782</v>
      </c>
      <c r="K237" s="10">
        <v>14.782999999999999</v>
      </c>
      <c r="L237" s="10">
        <f t="shared" si="42"/>
        <v>0</v>
      </c>
      <c r="M237" s="10">
        <f t="shared" si="43"/>
        <v>0</v>
      </c>
      <c r="N237" s="10"/>
      <c r="O237" s="10"/>
      <c r="P237" s="10">
        <v>0</v>
      </c>
      <c r="Q237" s="10"/>
      <c r="R237" s="10"/>
      <c r="S237" s="10"/>
      <c r="T237" s="10"/>
      <c r="U237" s="10"/>
      <c r="V237" s="4" t="s">
        <v>885</v>
      </c>
      <c r="W237" s="4"/>
      <c r="X237" s="8">
        <v>45160</v>
      </c>
      <c r="Y237" s="4"/>
      <c r="Z237" s="4"/>
      <c r="AA237" s="8">
        <v>45164</v>
      </c>
      <c r="AB237" s="8">
        <v>45164</v>
      </c>
      <c r="AC237" s="4"/>
      <c r="AD237" s="4"/>
    </row>
    <row r="238" spans="1:30" hidden="1">
      <c r="A238" s="4">
        <v>554</v>
      </c>
      <c r="B238" s="8">
        <v>45125</v>
      </c>
      <c r="C238" s="4"/>
      <c r="D238" s="4" t="s">
        <v>42</v>
      </c>
      <c r="E238" s="8">
        <v>45169</v>
      </c>
      <c r="F238" s="4" t="s">
        <v>43</v>
      </c>
      <c r="G238" s="4" t="s">
        <v>186</v>
      </c>
      <c r="H238" s="4" t="s">
        <v>45</v>
      </c>
      <c r="I238" s="4" t="s">
        <v>517</v>
      </c>
      <c r="J238" s="10">
        <v>48.908000000000001</v>
      </c>
      <c r="K238" s="10">
        <f>15.829+4.775+14.93+7.568+5.834</f>
        <v>48.935999999999993</v>
      </c>
      <c r="L238" s="10">
        <f t="shared" si="42"/>
        <v>0</v>
      </c>
      <c r="M238" s="10">
        <f t="shared" si="43"/>
        <v>0</v>
      </c>
      <c r="N238" s="10"/>
      <c r="O238" s="10"/>
      <c r="P238" s="10">
        <v>0</v>
      </c>
      <c r="Q238" s="10"/>
      <c r="R238" s="10"/>
      <c r="S238" s="10"/>
      <c r="T238" s="10"/>
      <c r="U238" s="10"/>
      <c r="V238" s="4" t="s">
        <v>885</v>
      </c>
      <c r="W238" s="4"/>
      <c r="X238" s="8">
        <v>45170</v>
      </c>
      <c r="Y238" s="4"/>
      <c r="Z238" s="4"/>
      <c r="AA238" s="8"/>
      <c r="AB238" s="8"/>
      <c r="AC238" s="4"/>
      <c r="AD238" s="4"/>
    </row>
    <row r="239" spans="1:30" hidden="1">
      <c r="A239" s="4">
        <v>554</v>
      </c>
      <c r="B239" s="8">
        <v>45125</v>
      </c>
      <c r="C239" s="4"/>
      <c r="D239" s="4" t="s">
        <v>42</v>
      </c>
      <c r="E239" s="8">
        <v>45169</v>
      </c>
      <c r="F239" s="4" t="s">
        <v>43</v>
      </c>
      <c r="G239" s="4" t="s">
        <v>186</v>
      </c>
      <c r="H239" s="4" t="s">
        <v>45</v>
      </c>
      <c r="I239" s="4" t="s">
        <v>448</v>
      </c>
      <c r="J239" s="10">
        <v>118.75</v>
      </c>
      <c r="K239" s="10">
        <f>24.489+18.876+24.715+2.721+4.546+8.453+24.539+6.276+3.353+0.781</f>
        <v>118.74900000000001</v>
      </c>
      <c r="L239" s="10">
        <f t="shared" si="42"/>
        <v>0</v>
      </c>
      <c r="M239" s="10">
        <f t="shared" si="43"/>
        <v>0</v>
      </c>
      <c r="N239" s="10"/>
      <c r="O239" s="10"/>
      <c r="P239" s="10">
        <v>0</v>
      </c>
      <c r="Q239" s="10"/>
      <c r="R239" s="10"/>
      <c r="S239" s="10"/>
      <c r="T239" s="10"/>
      <c r="U239" s="10"/>
      <c r="V239" s="4" t="s">
        <v>885</v>
      </c>
      <c r="W239" s="4" t="s">
        <v>1110</v>
      </c>
      <c r="X239" s="8">
        <v>45170</v>
      </c>
      <c r="Y239" s="4"/>
      <c r="Z239" s="4"/>
      <c r="AA239" s="8"/>
      <c r="AB239" s="8">
        <v>45193</v>
      </c>
      <c r="AC239" s="4"/>
      <c r="AD239" s="4"/>
    </row>
    <row r="240" spans="1:30" hidden="1">
      <c r="A240" s="4">
        <v>554</v>
      </c>
      <c r="B240" s="8">
        <v>45125</v>
      </c>
      <c r="C240" s="4"/>
      <c r="D240" s="4" t="s">
        <v>42</v>
      </c>
      <c r="E240" s="8">
        <v>45169</v>
      </c>
      <c r="F240" s="4" t="s">
        <v>43</v>
      </c>
      <c r="G240" s="4" t="s">
        <v>92</v>
      </c>
      <c r="H240" s="4" t="s">
        <v>52</v>
      </c>
      <c r="I240" s="4" t="s">
        <v>236</v>
      </c>
      <c r="J240" s="10">
        <v>53.588999999999999</v>
      </c>
      <c r="K240" s="10">
        <f>8.012+24.934+6.181+10.047+4.427</f>
        <v>53.600999999999992</v>
      </c>
      <c r="L240" s="10">
        <f t="shared" si="42"/>
        <v>0</v>
      </c>
      <c r="M240" s="10">
        <f t="shared" si="43"/>
        <v>0</v>
      </c>
      <c r="N240" s="10"/>
      <c r="O240" s="10"/>
      <c r="P240" s="10">
        <v>0</v>
      </c>
      <c r="Q240" s="10"/>
      <c r="R240" s="10"/>
      <c r="S240" s="10"/>
      <c r="T240" s="10"/>
      <c r="U240" s="10"/>
      <c r="V240" s="4" t="s">
        <v>885</v>
      </c>
      <c r="W240" s="4"/>
      <c r="X240" s="8">
        <v>45169</v>
      </c>
      <c r="Y240" s="4"/>
      <c r="Z240" s="4"/>
      <c r="AA240" s="8"/>
      <c r="AB240" s="8"/>
      <c r="AC240" s="4"/>
      <c r="AD240" s="4"/>
    </row>
    <row r="241" spans="1:30" hidden="1">
      <c r="A241" s="4">
        <v>554</v>
      </c>
      <c r="B241" s="8">
        <v>45125</v>
      </c>
      <c r="C241" s="4"/>
      <c r="D241" s="4" t="s">
        <v>42</v>
      </c>
      <c r="E241" s="8">
        <v>45169</v>
      </c>
      <c r="F241" s="4" t="s">
        <v>43</v>
      </c>
      <c r="G241" s="4" t="s">
        <v>92</v>
      </c>
      <c r="H241" s="4" t="s">
        <v>52</v>
      </c>
      <c r="I241" s="4" t="s">
        <v>588</v>
      </c>
      <c r="J241" s="10">
        <v>16.196000000000002</v>
      </c>
      <c r="K241" s="10">
        <f>5.105+11.081</f>
        <v>16.186</v>
      </c>
      <c r="L241" s="10">
        <f t="shared" si="42"/>
        <v>0</v>
      </c>
      <c r="M241" s="10">
        <f t="shared" si="43"/>
        <v>0</v>
      </c>
      <c r="N241" s="10"/>
      <c r="O241" s="10"/>
      <c r="P241" s="10">
        <v>0</v>
      </c>
      <c r="Q241" s="10"/>
      <c r="R241" s="10"/>
      <c r="S241" s="10"/>
      <c r="T241" s="10"/>
      <c r="U241" s="10"/>
      <c r="V241" s="4" t="s">
        <v>885</v>
      </c>
      <c r="W241" s="4"/>
      <c r="X241" s="8">
        <v>45129</v>
      </c>
      <c r="Y241" s="4"/>
      <c r="Z241" s="4"/>
      <c r="AA241" s="8"/>
      <c r="AB241" s="8"/>
      <c r="AC241" s="4"/>
      <c r="AD241" s="4"/>
    </row>
    <row r="242" spans="1:30" hidden="1">
      <c r="A242" s="4">
        <v>554</v>
      </c>
      <c r="B242" s="8">
        <v>45125</v>
      </c>
      <c r="C242" s="4"/>
      <c r="D242" s="4" t="s">
        <v>42</v>
      </c>
      <c r="E242" s="8">
        <v>45169</v>
      </c>
      <c r="F242" s="4" t="s">
        <v>43</v>
      </c>
      <c r="G242" s="4" t="s">
        <v>92</v>
      </c>
      <c r="H242" s="4" t="s">
        <v>52</v>
      </c>
      <c r="I242" s="4" t="s">
        <v>103</v>
      </c>
      <c r="J242" s="10">
        <v>34.121000000000002</v>
      </c>
      <c r="K242" s="10">
        <f>25.281+7.176+1.649</f>
        <v>34.106000000000002</v>
      </c>
      <c r="L242" s="10">
        <f t="shared" si="42"/>
        <v>0</v>
      </c>
      <c r="M242" s="10">
        <f t="shared" si="43"/>
        <v>0</v>
      </c>
      <c r="N242" s="10"/>
      <c r="O242" s="10"/>
      <c r="P242" s="10">
        <v>0</v>
      </c>
      <c r="Q242" s="10"/>
      <c r="R242" s="10"/>
      <c r="S242" s="10"/>
      <c r="T242" s="10"/>
      <c r="U242" s="10"/>
      <c r="V242" s="4" t="s">
        <v>885</v>
      </c>
      <c r="W242" s="4" t="s">
        <v>37</v>
      </c>
      <c r="X242" s="8" t="s">
        <v>969</v>
      </c>
      <c r="Y242" s="4"/>
      <c r="Z242" s="4"/>
      <c r="AA242" s="8">
        <v>45164</v>
      </c>
      <c r="AB242" s="8">
        <v>45164</v>
      </c>
      <c r="AC242" s="4"/>
      <c r="AD242" s="4"/>
    </row>
    <row r="243" spans="1:30" hidden="1">
      <c r="A243" s="4">
        <v>625</v>
      </c>
      <c r="B243" s="8">
        <v>45140</v>
      </c>
      <c r="C243" s="4"/>
      <c r="D243" s="4" t="s">
        <v>42</v>
      </c>
      <c r="E243" s="8">
        <v>45161</v>
      </c>
      <c r="F243" s="4" t="s">
        <v>43</v>
      </c>
      <c r="G243" s="4" t="s">
        <v>60</v>
      </c>
      <c r="H243" s="4" t="s">
        <v>45</v>
      </c>
      <c r="I243" s="4" t="s">
        <v>49</v>
      </c>
      <c r="J243" s="10">
        <v>3.6579999999999999</v>
      </c>
      <c r="K243" s="10">
        <v>3.6579999999999999</v>
      </c>
      <c r="L243" s="10">
        <f t="shared" ref="L243" si="44">M243+U243</f>
        <v>0</v>
      </c>
      <c r="M243" s="10">
        <f t="shared" ref="M243" si="45">SUM(N243:T243)</f>
        <v>0</v>
      </c>
      <c r="N243" s="10"/>
      <c r="O243" s="10"/>
      <c r="P243" s="10"/>
      <c r="Q243" s="10"/>
      <c r="R243" s="10"/>
      <c r="S243" s="10"/>
      <c r="T243" s="10"/>
      <c r="U243" s="10"/>
      <c r="V243" s="4" t="s">
        <v>913</v>
      </c>
      <c r="W243" s="4"/>
      <c r="X243" s="8"/>
      <c r="Y243" s="4"/>
      <c r="Z243" s="4"/>
      <c r="AA243" s="8">
        <v>45142</v>
      </c>
      <c r="AB243" s="8">
        <v>45142</v>
      </c>
      <c r="AC243" s="4"/>
      <c r="AD243" s="4"/>
    </row>
    <row r="244" spans="1:30" hidden="1">
      <c r="A244" s="4">
        <v>625</v>
      </c>
      <c r="B244" s="8">
        <v>45140</v>
      </c>
      <c r="C244" s="4"/>
      <c r="D244" s="4" t="s">
        <v>42</v>
      </c>
      <c r="E244" s="8">
        <v>45161</v>
      </c>
      <c r="F244" s="4" t="s">
        <v>43</v>
      </c>
      <c r="G244" s="4" t="s">
        <v>60</v>
      </c>
      <c r="H244" s="4" t="s">
        <v>45</v>
      </c>
      <c r="I244" s="4" t="s">
        <v>50</v>
      </c>
      <c r="J244" s="10">
        <v>21.096</v>
      </c>
      <c r="K244" s="10">
        <v>21.094999999999999</v>
      </c>
      <c r="L244" s="10">
        <f t="shared" ref="L244:L246" si="46">M244+U244</f>
        <v>0</v>
      </c>
      <c r="M244" s="10">
        <f t="shared" ref="M244:M246" si="47">SUM(N244:T244)</f>
        <v>0</v>
      </c>
      <c r="N244" s="10"/>
      <c r="O244" s="10"/>
      <c r="P244" s="10"/>
      <c r="Q244" s="10"/>
      <c r="R244" s="10"/>
      <c r="S244" s="10"/>
      <c r="T244" s="10"/>
      <c r="U244" s="10"/>
      <c r="V244" s="4" t="s">
        <v>913</v>
      </c>
      <c r="W244" s="4"/>
      <c r="X244" s="8"/>
      <c r="Y244" s="4"/>
      <c r="Z244" s="4"/>
      <c r="AA244" s="8">
        <v>45142</v>
      </c>
      <c r="AB244" s="8">
        <v>45142</v>
      </c>
      <c r="AC244" s="4"/>
      <c r="AD244" s="4"/>
    </row>
    <row r="245" spans="1:30" hidden="1">
      <c r="A245" s="4">
        <v>625</v>
      </c>
      <c r="B245" s="8">
        <v>45140</v>
      </c>
      <c r="C245" s="4"/>
      <c r="D245" s="4" t="s">
        <v>42</v>
      </c>
      <c r="E245" s="8">
        <v>45161</v>
      </c>
      <c r="F245" s="4" t="s">
        <v>43</v>
      </c>
      <c r="G245" s="4" t="s">
        <v>60</v>
      </c>
      <c r="H245" s="4" t="s">
        <v>45</v>
      </c>
      <c r="I245" s="4" t="s">
        <v>409</v>
      </c>
      <c r="J245" s="10">
        <v>18.733000000000001</v>
      </c>
      <c r="K245" s="10">
        <f>6.023+12.689</f>
        <v>18.712</v>
      </c>
      <c r="L245" s="10">
        <f t="shared" si="46"/>
        <v>0</v>
      </c>
      <c r="M245" s="10">
        <f t="shared" si="47"/>
        <v>0</v>
      </c>
      <c r="N245" s="10"/>
      <c r="O245" s="10"/>
      <c r="P245" s="10"/>
      <c r="Q245" s="10"/>
      <c r="R245" s="10"/>
      <c r="S245" s="10"/>
      <c r="T245" s="10"/>
      <c r="U245" s="10"/>
      <c r="V245" s="4" t="s">
        <v>913</v>
      </c>
      <c r="W245" s="4" t="s">
        <v>37</v>
      </c>
      <c r="X245" s="8">
        <v>45142</v>
      </c>
      <c r="Y245" s="4"/>
      <c r="Z245" s="4"/>
      <c r="AA245" s="8">
        <v>45144</v>
      </c>
      <c r="AB245" s="8">
        <v>45145</v>
      </c>
      <c r="AC245" s="4"/>
      <c r="AD245" s="4"/>
    </row>
    <row r="246" spans="1:30" hidden="1">
      <c r="A246" s="4">
        <v>625</v>
      </c>
      <c r="B246" s="8">
        <v>45140</v>
      </c>
      <c r="C246" s="4"/>
      <c r="D246" s="4" t="s">
        <v>42</v>
      </c>
      <c r="E246" s="8">
        <v>45161</v>
      </c>
      <c r="F246" s="4" t="s">
        <v>43</v>
      </c>
      <c r="G246" s="4" t="s">
        <v>60</v>
      </c>
      <c r="H246" s="4" t="s">
        <v>45</v>
      </c>
      <c r="I246" s="4" t="s">
        <v>517</v>
      </c>
      <c r="J246" s="10">
        <v>26.960999999999999</v>
      </c>
      <c r="K246" s="10">
        <f>22.309+4.641</f>
        <v>26.950000000000003</v>
      </c>
      <c r="L246" s="10">
        <f t="shared" si="46"/>
        <v>0</v>
      </c>
      <c r="M246" s="10">
        <f t="shared" si="47"/>
        <v>0</v>
      </c>
      <c r="N246" s="10"/>
      <c r="O246" s="10"/>
      <c r="P246" s="10">
        <v>0</v>
      </c>
      <c r="Q246" s="10"/>
      <c r="R246" s="10"/>
      <c r="S246" s="10"/>
      <c r="T246" s="10"/>
      <c r="U246" s="10"/>
      <c r="V246" s="4" t="s">
        <v>1040</v>
      </c>
      <c r="W246" s="4"/>
      <c r="X246" s="8"/>
      <c r="Y246" s="4"/>
      <c r="Z246" s="4"/>
      <c r="AA246" s="8">
        <v>45162</v>
      </c>
      <c r="AB246" s="8">
        <v>45164</v>
      </c>
      <c r="AC246" s="4"/>
      <c r="AD246" s="4"/>
    </row>
    <row r="247" spans="1:30" hidden="1">
      <c r="A247" s="4">
        <v>641</v>
      </c>
      <c r="B247" s="8">
        <v>45141</v>
      </c>
      <c r="C247" s="4"/>
      <c r="D247" s="4" t="s">
        <v>42</v>
      </c>
      <c r="E247" s="8">
        <v>45161</v>
      </c>
      <c r="F247" s="4" t="s">
        <v>43</v>
      </c>
      <c r="G247" s="4" t="s">
        <v>60</v>
      </c>
      <c r="H247" s="4" t="s">
        <v>45</v>
      </c>
      <c r="I247" s="4" t="s">
        <v>54</v>
      </c>
      <c r="J247" s="10">
        <v>1.7223600000000001</v>
      </c>
      <c r="K247" s="10">
        <v>1.722</v>
      </c>
      <c r="L247" s="10">
        <f t="shared" ref="L247:L255" si="48">M247+U247</f>
        <v>0</v>
      </c>
      <c r="M247" s="10">
        <f t="shared" ref="M247:M255" si="49">SUM(N247:T247)</f>
        <v>0</v>
      </c>
      <c r="N247" s="10"/>
      <c r="O247" s="10"/>
      <c r="P247" s="10">
        <v>0</v>
      </c>
      <c r="Q247" s="10"/>
      <c r="R247" s="10"/>
      <c r="S247" s="10"/>
      <c r="T247" s="10"/>
      <c r="U247" s="10"/>
      <c r="V247" s="4" t="s">
        <v>913</v>
      </c>
      <c r="W247" s="4"/>
      <c r="X247" s="8"/>
      <c r="Y247" s="4"/>
      <c r="Z247" s="4"/>
      <c r="AA247" s="8">
        <v>45164</v>
      </c>
      <c r="AB247" s="8">
        <v>45164</v>
      </c>
      <c r="AC247" s="4"/>
      <c r="AD247" s="4"/>
    </row>
    <row r="248" spans="1:30" hidden="1">
      <c r="A248" s="4">
        <v>641</v>
      </c>
      <c r="B248" s="8">
        <v>45141</v>
      </c>
      <c r="C248" s="4"/>
      <c r="D248" s="4" t="s">
        <v>42</v>
      </c>
      <c r="E248" s="8">
        <v>45161</v>
      </c>
      <c r="F248" s="4" t="s">
        <v>43</v>
      </c>
      <c r="G248" s="4" t="s">
        <v>60</v>
      </c>
      <c r="H248" s="4" t="s">
        <v>45</v>
      </c>
      <c r="I248" s="4" t="s">
        <v>53</v>
      </c>
      <c r="J248" s="10">
        <v>7.0481250000000006</v>
      </c>
      <c r="K248" s="10">
        <v>7.048</v>
      </c>
      <c r="L248" s="10">
        <f t="shared" si="48"/>
        <v>0</v>
      </c>
      <c r="M248" s="10">
        <f t="shared" si="49"/>
        <v>0</v>
      </c>
      <c r="N248" s="10"/>
      <c r="O248" s="10"/>
      <c r="P248" s="10">
        <v>0</v>
      </c>
      <c r="Q248" s="10"/>
      <c r="R248" s="10"/>
      <c r="S248" s="10"/>
      <c r="T248" s="10"/>
      <c r="U248" s="10"/>
      <c r="V248" s="4" t="s">
        <v>913</v>
      </c>
      <c r="W248" s="4"/>
      <c r="X248" s="8">
        <v>45167</v>
      </c>
      <c r="Y248" s="4"/>
      <c r="Z248" s="4"/>
      <c r="AA248" s="8">
        <v>45174</v>
      </c>
      <c r="AB248" s="8">
        <v>45174</v>
      </c>
      <c r="AC248" s="4"/>
      <c r="AD248" s="4"/>
    </row>
    <row r="249" spans="1:30" hidden="1">
      <c r="A249" s="4">
        <v>641</v>
      </c>
      <c r="B249" s="8">
        <v>45141</v>
      </c>
      <c r="C249" s="4"/>
      <c r="D249" s="4" t="s">
        <v>42</v>
      </c>
      <c r="E249" s="8">
        <v>45161</v>
      </c>
      <c r="F249" s="4" t="s">
        <v>43</v>
      </c>
      <c r="G249" s="4" t="s">
        <v>60</v>
      </c>
      <c r="H249" s="4" t="s">
        <v>45</v>
      </c>
      <c r="I249" s="4" t="s">
        <v>55</v>
      </c>
      <c r="J249" s="10">
        <v>21.235830000000004</v>
      </c>
      <c r="K249" s="10">
        <f>8.575+12.661</f>
        <v>21.235999999999997</v>
      </c>
      <c r="L249" s="10">
        <f t="shared" si="48"/>
        <v>0</v>
      </c>
      <c r="M249" s="10">
        <f t="shared" si="49"/>
        <v>0</v>
      </c>
      <c r="N249" s="10"/>
      <c r="O249" s="10"/>
      <c r="P249" s="10">
        <v>0</v>
      </c>
      <c r="Q249" s="10"/>
      <c r="R249" s="10"/>
      <c r="S249" s="10"/>
      <c r="T249" s="10"/>
      <c r="U249" s="10"/>
      <c r="V249" s="4" t="s">
        <v>913</v>
      </c>
      <c r="W249" s="4"/>
      <c r="X249" s="8">
        <v>45167</v>
      </c>
      <c r="Y249" s="4"/>
      <c r="Z249" s="4"/>
      <c r="AA249" s="8"/>
      <c r="AB249" s="8"/>
      <c r="AC249" s="4"/>
      <c r="AD249" s="4"/>
    </row>
    <row r="250" spans="1:30" hidden="1">
      <c r="A250" s="4">
        <v>641</v>
      </c>
      <c r="B250" s="8">
        <v>45141</v>
      </c>
      <c r="C250" s="4"/>
      <c r="D250" s="4" t="s">
        <v>42</v>
      </c>
      <c r="E250" s="8">
        <v>45161</v>
      </c>
      <c r="F250" s="4" t="s">
        <v>43</v>
      </c>
      <c r="G250" s="4" t="s">
        <v>60</v>
      </c>
      <c r="H250" s="4" t="s">
        <v>45</v>
      </c>
      <c r="I250" s="4" t="s">
        <v>915</v>
      </c>
      <c r="J250" s="10">
        <v>6.2402999999999995</v>
      </c>
      <c r="K250" s="10">
        <v>6.2409999999999997</v>
      </c>
      <c r="L250" s="10">
        <f t="shared" si="48"/>
        <v>0</v>
      </c>
      <c r="M250" s="10">
        <f t="shared" si="49"/>
        <v>0</v>
      </c>
      <c r="N250" s="10"/>
      <c r="O250" s="10"/>
      <c r="P250" s="10">
        <v>0</v>
      </c>
      <c r="Q250" s="10"/>
      <c r="R250" s="10"/>
      <c r="S250" s="10"/>
      <c r="T250" s="10"/>
      <c r="U250" s="10"/>
      <c r="V250" s="4" t="s">
        <v>913</v>
      </c>
      <c r="W250" s="4"/>
      <c r="X250" s="8">
        <v>45165</v>
      </c>
      <c r="Y250" s="4"/>
      <c r="Z250" s="4"/>
      <c r="AA250" s="8">
        <v>45174</v>
      </c>
      <c r="AB250" s="8">
        <v>45174</v>
      </c>
      <c r="AC250" s="4"/>
      <c r="AD250" s="4"/>
    </row>
    <row r="251" spans="1:30" hidden="1">
      <c r="A251" s="4">
        <v>641</v>
      </c>
      <c r="B251" s="8">
        <v>45141</v>
      </c>
      <c r="C251" s="4"/>
      <c r="D251" s="4" t="s">
        <v>42</v>
      </c>
      <c r="E251" s="8">
        <v>45161</v>
      </c>
      <c r="F251" s="4" t="s">
        <v>43</v>
      </c>
      <c r="G251" s="4" t="s">
        <v>60</v>
      </c>
      <c r="H251" s="4" t="s">
        <v>45</v>
      </c>
      <c r="I251" s="4" t="s">
        <v>432</v>
      </c>
      <c r="J251" s="10">
        <v>10.1</v>
      </c>
      <c r="K251" s="10">
        <v>10.103999999999999</v>
      </c>
      <c r="L251" s="10">
        <f t="shared" si="48"/>
        <v>0</v>
      </c>
      <c r="M251" s="10">
        <f t="shared" si="49"/>
        <v>0</v>
      </c>
      <c r="N251" s="10"/>
      <c r="O251" s="10"/>
      <c r="P251" s="10"/>
      <c r="Q251" s="10"/>
      <c r="R251" s="10"/>
      <c r="S251" s="10"/>
      <c r="T251" s="10"/>
      <c r="U251" s="10"/>
      <c r="V251" s="4" t="s">
        <v>913</v>
      </c>
      <c r="W251" s="4"/>
      <c r="X251" s="8">
        <v>45145</v>
      </c>
      <c r="Y251" s="4"/>
      <c r="Z251" s="4"/>
      <c r="AA251" s="8">
        <v>45147</v>
      </c>
      <c r="AB251" s="8"/>
      <c r="AC251" s="4"/>
      <c r="AD251" s="4"/>
    </row>
    <row r="252" spans="1:30" hidden="1">
      <c r="A252" s="4">
        <v>641</v>
      </c>
      <c r="B252" s="8">
        <v>45141</v>
      </c>
      <c r="C252" s="4"/>
      <c r="D252" s="4" t="s">
        <v>42</v>
      </c>
      <c r="E252" s="8">
        <v>45161</v>
      </c>
      <c r="F252" s="4" t="s">
        <v>43</v>
      </c>
      <c r="G252" s="4" t="s">
        <v>60</v>
      </c>
      <c r="H252" s="4" t="s">
        <v>45</v>
      </c>
      <c r="I252" s="4" t="s">
        <v>474</v>
      </c>
      <c r="J252" s="10">
        <v>6.8499340000000002</v>
      </c>
      <c r="K252" s="10">
        <v>6.8490000000000002</v>
      </c>
      <c r="L252" s="10">
        <f t="shared" si="48"/>
        <v>0</v>
      </c>
      <c r="M252" s="10">
        <f t="shared" si="49"/>
        <v>0</v>
      </c>
      <c r="N252" s="10"/>
      <c r="O252" s="10"/>
      <c r="P252" s="10">
        <v>0</v>
      </c>
      <c r="Q252" s="10"/>
      <c r="R252" s="10"/>
      <c r="S252" s="10"/>
      <c r="T252" s="10"/>
      <c r="U252" s="10"/>
      <c r="V252" s="4" t="s">
        <v>913</v>
      </c>
      <c r="W252" s="4"/>
      <c r="X252" s="8">
        <v>45149</v>
      </c>
      <c r="Y252" s="4"/>
      <c r="Z252" s="4"/>
      <c r="AA252" s="8">
        <v>45164</v>
      </c>
      <c r="AB252" s="8">
        <v>45164</v>
      </c>
      <c r="AC252" s="4"/>
      <c r="AD252" s="4"/>
    </row>
    <row r="253" spans="1:30" hidden="1">
      <c r="A253" s="4">
        <v>641</v>
      </c>
      <c r="B253" s="8">
        <v>45141</v>
      </c>
      <c r="C253" s="4"/>
      <c r="D253" s="4" t="s">
        <v>42</v>
      </c>
      <c r="E253" s="8">
        <v>45161</v>
      </c>
      <c r="F253" s="4" t="s">
        <v>43</v>
      </c>
      <c r="G253" s="4" t="s">
        <v>60</v>
      </c>
      <c r="H253" s="4" t="s">
        <v>45</v>
      </c>
      <c r="I253" s="4" t="s">
        <v>434</v>
      </c>
      <c r="J253" s="10">
        <v>20.36</v>
      </c>
      <c r="K253" s="10">
        <f>19.575+0.78</f>
        <v>20.355</v>
      </c>
      <c r="L253" s="10">
        <f t="shared" si="48"/>
        <v>0</v>
      </c>
      <c r="M253" s="10">
        <f t="shared" si="49"/>
        <v>0</v>
      </c>
      <c r="N253" s="10"/>
      <c r="O253" s="10"/>
      <c r="P253" s="10">
        <v>0</v>
      </c>
      <c r="Q253" s="10"/>
      <c r="R253" s="10"/>
      <c r="S253" s="10"/>
      <c r="T253" s="10"/>
      <c r="U253" s="10"/>
      <c r="V253" s="4" t="s">
        <v>913</v>
      </c>
      <c r="W253" s="4"/>
      <c r="X253" s="8">
        <v>45148</v>
      </c>
      <c r="Y253" s="4"/>
      <c r="Z253" s="4"/>
      <c r="AA253" s="8">
        <v>45165</v>
      </c>
      <c r="AB253" s="8"/>
      <c r="AC253" s="4"/>
      <c r="AD253" s="4"/>
    </row>
    <row r="254" spans="1:30" hidden="1">
      <c r="A254" s="4">
        <v>641</v>
      </c>
      <c r="B254" s="8">
        <v>45141</v>
      </c>
      <c r="C254" s="4"/>
      <c r="D254" s="4" t="s">
        <v>42</v>
      </c>
      <c r="E254" s="8">
        <v>45161</v>
      </c>
      <c r="F254" s="4" t="s">
        <v>43</v>
      </c>
      <c r="G254" s="4" t="s">
        <v>60</v>
      </c>
      <c r="H254" s="4" t="s">
        <v>45</v>
      </c>
      <c r="I254" s="4" t="s">
        <v>577</v>
      </c>
      <c r="J254" s="10">
        <v>4.8860216452226375</v>
      </c>
      <c r="K254" s="10">
        <v>4.88</v>
      </c>
      <c r="L254" s="10">
        <f t="shared" si="48"/>
        <v>0</v>
      </c>
      <c r="M254" s="10">
        <f t="shared" si="49"/>
        <v>0</v>
      </c>
      <c r="N254" s="10"/>
      <c r="O254" s="10"/>
      <c r="P254" s="10">
        <v>0</v>
      </c>
      <c r="Q254" s="10"/>
      <c r="R254" s="10"/>
      <c r="S254" s="10"/>
      <c r="T254" s="10"/>
      <c r="U254" s="10"/>
      <c r="V254" s="4" t="s">
        <v>913</v>
      </c>
      <c r="W254" s="4"/>
      <c r="X254" s="8">
        <v>45152</v>
      </c>
      <c r="Y254" s="4"/>
      <c r="Z254" s="4"/>
      <c r="AA254" s="8">
        <v>45165</v>
      </c>
      <c r="AB254" s="8">
        <v>45165</v>
      </c>
      <c r="AC254" s="4"/>
      <c r="AD254" s="4"/>
    </row>
    <row r="255" spans="1:30" hidden="1">
      <c r="A255" s="4">
        <v>641</v>
      </c>
      <c r="B255" s="8">
        <v>45141</v>
      </c>
      <c r="C255" s="4"/>
      <c r="D255" s="4" t="s">
        <v>42</v>
      </c>
      <c r="E255" s="8">
        <v>45161</v>
      </c>
      <c r="F255" s="4" t="s">
        <v>43</v>
      </c>
      <c r="G255" s="4" t="s">
        <v>60</v>
      </c>
      <c r="H255" s="4" t="s">
        <v>45</v>
      </c>
      <c r="I255" s="4" t="s">
        <v>89</v>
      </c>
      <c r="J255" s="10">
        <v>4.3301100000000003</v>
      </c>
      <c r="K255" s="10">
        <v>4.33</v>
      </c>
      <c r="L255" s="10">
        <f t="shared" si="48"/>
        <v>0</v>
      </c>
      <c r="M255" s="10">
        <f t="shared" si="49"/>
        <v>0</v>
      </c>
      <c r="N255" s="10"/>
      <c r="O255" s="10"/>
      <c r="P255" s="10">
        <v>0</v>
      </c>
      <c r="Q255" s="10"/>
      <c r="R255" s="10"/>
      <c r="S255" s="10"/>
      <c r="T255" s="10"/>
      <c r="U255" s="10"/>
      <c r="V255" s="4" t="s">
        <v>913</v>
      </c>
      <c r="W255" s="4"/>
      <c r="X255" s="8">
        <v>45152</v>
      </c>
      <c r="Y255" s="4"/>
      <c r="Z255" s="4"/>
      <c r="AA255" s="8">
        <v>45165</v>
      </c>
      <c r="AB255" s="8">
        <v>45165</v>
      </c>
      <c r="AC255" s="4"/>
      <c r="AD255" s="4"/>
    </row>
    <row r="256" spans="1:30" hidden="1">
      <c r="A256" s="4">
        <v>794</v>
      </c>
      <c r="B256" s="8">
        <v>45176</v>
      </c>
      <c r="C256" s="4"/>
      <c r="D256" s="4" t="s">
        <v>42</v>
      </c>
      <c r="E256" s="8">
        <v>45199</v>
      </c>
      <c r="F256" s="4" t="s">
        <v>43</v>
      </c>
      <c r="G256" s="4" t="s">
        <v>186</v>
      </c>
      <c r="H256" s="4" t="s">
        <v>45</v>
      </c>
      <c r="I256" s="4" t="s">
        <v>49</v>
      </c>
      <c r="J256" s="10">
        <v>73.85070204081633</v>
      </c>
      <c r="K256" s="10">
        <f>24.589+24.112+4.008+18.54+2.605</f>
        <v>73.853999999999999</v>
      </c>
      <c r="L256" s="10">
        <f t="shared" ref="L256" si="50">M256+U256</f>
        <v>0</v>
      </c>
      <c r="M256" s="10">
        <f t="shared" ref="M256" si="51">SUM(N256:T256)</f>
        <v>0</v>
      </c>
      <c r="N256" s="10"/>
      <c r="O256" s="10"/>
      <c r="P256" s="10">
        <v>0</v>
      </c>
      <c r="Q256" s="10"/>
      <c r="R256" s="10"/>
      <c r="S256" s="10"/>
      <c r="T256" s="10"/>
      <c r="U256" s="10"/>
      <c r="V256" s="4" t="s">
        <v>1116</v>
      </c>
      <c r="W256" s="4"/>
      <c r="X256" s="8"/>
      <c r="Y256" s="4"/>
      <c r="Z256" s="4"/>
      <c r="AA256" s="8">
        <v>45187</v>
      </c>
      <c r="AB256" s="8">
        <v>45193</v>
      </c>
      <c r="AC256" s="4"/>
      <c r="AD256" s="4"/>
    </row>
    <row r="257" spans="1:30" hidden="1">
      <c r="A257" s="4">
        <v>794</v>
      </c>
      <c r="B257" s="8">
        <v>45176</v>
      </c>
      <c r="C257" s="4"/>
      <c r="D257" s="4" t="s">
        <v>42</v>
      </c>
      <c r="E257" s="8">
        <v>45199</v>
      </c>
      <c r="F257" s="4" t="s">
        <v>43</v>
      </c>
      <c r="G257" s="4" t="s">
        <v>186</v>
      </c>
      <c r="H257" s="4" t="s">
        <v>45</v>
      </c>
      <c r="I257" s="4" t="s">
        <v>50</v>
      </c>
      <c r="J257" s="10">
        <v>103.78987995049503</v>
      </c>
      <c r="K257" s="10">
        <f>24.611+14.318+23.517+24.461+5.59+3.799+4.043+3.445</f>
        <v>103.78400000000001</v>
      </c>
      <c r="L257" s="10">
        <f t="shared" ref="L257:L272" si="52">M257+U257</f>
        <v>0</v>
      </c>
      <c r="M257" s="10">
        <f t="shared" ref="M257:M272" si="53">SUM(N257:T257)</f>
        <v>0</v>
      </c>
      <c r="N257" s="10"/>
      <c r="O257" s="10"/>
      <c r="P257" s="10">
        <v>0</v>
      </c>
      <c r="Q257" s="10"/>
      <c r="R257" s="10"/>
      <c r="S257" s="10"/>
      <c r="T257" s="10"/>
      <c r="U257" s="10"/>
      <c r="V257" s="4" t="s">
        <v>1116</v>
      </c>
      <c r="W257" s="4" t="s">
        <v>37</v>
      </c>
      <c r="X257" s="8"/>
      <c r="Y257" s="4"/>
      <c r="Z257" s="4"/>
      <c r="AA257" s="8">
        <v>45185</v>
      </c>
      <c r="AB257" s="8"/>
      <c r="AC257" s="4"/>
      <c r="AD257" s="4"/>
    </row>
    <row r="258" spans="1:30" hidden="1">
      <c r="A258" s="4">
        <v>794</v>
      </c>
      <c r="B258" s="8">
        <v>45176</v>
      </c>
      <c r="C258" s="4"/>
      <c r="D258" s="4" t="s">
        <v>42</v>
      </c>
      <c r="E258" s="8">
        <v>45199</v>
      </c>
      <c r="F258" s="4" t="s">
        <v>43</v>
      </c>
      <c r="G258" s="4" t="s">
        <v>186</v>
      </c>
      <c r="H258" s="4" t="s">
        <v>45</v>
      </c>
      <c r="I258" s="4" t="s">
        <v>588</v>
      </c>
      <c r="J258" s="10">
        <v>36.146025818181819</v>
      </c>
      <c r="K258" s="10">
        <f>8.773+20.909+4.968+1.305+0.257</f>
        <v>36.211999999999996</v>
      </c>
      <c r="L258" s="10">
        <f t="shared" si="52"/>
        <v>0</v>
      </c>
      <c r="M258" s="10">
        <f t="shared" si="53"/>
        <v>0</v>
      </c>
      <c r="N258" s="10"/>
      <c r="O258" s="10"/>
      <c r="P258" s="10">
        <v>0</v>
      </c>
      <c r="Q258" s="10"/>
      <c r="R258" s="10"/>
      <c r="S258" s="10"/>
      <c r="T258" s="10"/>
      <c r="U258" s="10"/>
      <c r="V258" s="4" t="s">
        <v>1116</v>
      </c>
      <c r="W258" s="4"/>
      <c r="X258" s="8"/>
      <c r="Y258" s="4"/>
      <c r="Z258" s="4"/>
      <c r="AA258" s="8">
        <v>45188</v>
      </c>
      <c r="AB258" s="8">
        <v>45215</v>
      </c>
      <c r="AC258" s="4"/>
      <c r="AD258" s="4"/>
    </row>
    <row r="259" spans="1:30" hidden="1">
      <c r="A259" s="4">
        <v>794</v>
      </c>
      <c r="B259" s="8">
        <v>45176</v>
      </c>
      <c r="C259" s="4"/>
      <c r="D259" s="4" t="s">
        <v>42</v>
      </c>
      <c r="E259" s="8">
        <v>45199</v>
      </c>
      <c r="F259" s="4" t="s">
        <v>43</v>
      </c>
      <c r="G259" s="4" t="s">
        <v>186</v>
      </c>
      <c r="H259" s="4" t="s">
        <v>45</v>
      </c>
      <c r="I259" s="4" t="s">
        <v>407</v>
      </c>
      <c r="J259" s="10">
        <v>218.37849733613442</v>
      </c>
      <c r="K259" s="10">
        <f>23.013+24.616+24.352+24.836+24.836+24.497+24.098+21.304+13.627+2.416+3.516+7.488</f>
        <v>218.59899999999999</v>
      </c>
      <c r="L259" s="10">
        <f t="shared" si="52"/>
        <v>0</v>
      </c>
      <c r="M259" s="10">
        <f t="shared" si="53"/>
        <v>0</v>
      </c>
      <c r="N259" s="10"/>
      <c r="O259" s="10"/>
      <c r="P259" s="10">
        <v>0</v>
      </c>
      <c r="Q259" s="10"/>
      <c r="R259" s="10"/>
      <c r="S259" s="10"/>
      <c r="T259" s="10"/>
      <c r="U259" s="10"/>
      <c r="V259" s="4" t="s">
        <v>1116</v>
      </c>
      <c r="W259" s="4"/>
      <c r="X259" s="8"/>
      <c r="Y259" s="4"/>
      <c r="Z259" s="4"/>
      <c r="AA259" s="8">
        <v>45188</v>
      </c>
      <c r="AB259" s="8">
        <v>45215</v>
      </c>
      <c r="AC259" s="4"/>
      <c r="AD259" s="4"/>
    </row>
    <row r="260" spans="1:30" hidden="1">
      <c r="A260" s="4">
        <v>794</v>
      </c>
      <c r="B260" s="8">
        <v>45176</v>
      </c>
      <c r="C260" s="4"/>
      <c r="D260" s="4" t="s">
        <v>42</v>
      </c>
      <c r="E260" s="8">
        <v>45199</v>
      </c>
      <c r="F260" s="4" t="s">
        <v>43</v>
      </c>
      <c r="G260" s="4" t="s">
        <v>186</v>
      </c>
      <c r="H260" s="4" t="s">
        <v>45</v>
      </c>
      <c r="I260" s="4" t="s">
        <v>408</v>
      </c>
      <c r="J260" s="10">
        <v>8.5340764705882357</v>
      </c>
      <c r="K260" s="10">
        <f>7.437+0.842+0.316</f>
        <v>8.5950000000000006</v>
      </c>
      <c r="L260" s="10">
        <f t="shared" si="52"/>
        <v>0</v>
      </c>
      <c r="M260" s="10">
        <f t="shared" si="53"/>
        <v>0</v>
      </c>
      <c r="N260" s="10"/>
      <c r="O260" s="10"/>
      <c r="P260" s="10">
        <v>0</v>
      </c>
      <c r="Q260" s="10"/>
      <c r="R260" s="10"/>
      <c r="S260" s="10"/>
      <c r="T260" s="10"/>
      <c r="U260" s="10"/>
      <c r="V260" s="4" t="s">
        <v>1116</v>
      </c>
      <c r="W260" s="4" t="s">
        <v>1140</v>
      </c>
      <c r="X260" s="8">
        <v>45181</v>
      </c>
      <c r="Y260" s="4"/>
      <c r="Z260" s="4"/>
      <c r="AA260" s="8">
        <v>45189</v>
      </c>
      <c r="AB260" s="8"/>
      <c r="AC260" s="4"/>
      <c r="AD260" s="4"/>
    </row>
    <row r="261" spans="1:30" hidden="1">
      <c r="A261" s="4">
        <v>794</v>
      </c>
      <c r="B261" s="8">
        <v>45176</v>
      </c>
      <c r="C261" s="4"/>
      <c r="D261" s="4" t="s">
        <v>42</v>
      </c>
      <c r="E261" s="8">
        <v>45199</v>
      </c>
      <c r="F261" s="4" t="s">
        <v>43</v>
      </c>
      <c r="G261" s="4" t="s">
        <v>186</v>
      </c>
      <c r="H261" s="4" t="s">
        <v>45</v>
      </c>
      <c r="I261" s="4" t="s">
        <v>409</v>
      </c>
      <c r="J261" s="10">
        <v>1.663988</v>
      </c>
      <c r="K261" s="10">
        <v>1.6639999999999999</v>
      </c>
      <c r="L261" s="10">
        <f t="shared" si="52"/>
        <v>0</v>
      </c>
      <c r="M261" s="10">
        <f t="shared" si="53"/>
        <v>0</v>
      </c>
      <c r="N261" s="10"/>
      <c r="O261" s="10"/>
      <c r="P261" s="10"/>
      <c r="Q261" s="10"/>
      <c r="R261" s="10"/>
      <c r="S261" s="10"/>
      <c r="T261" s="10"/>
      <c r="U261" s="10"/>
      <c r="V261" s="4" t="s">
        <v>1116</v>
      </c>
      <c r="W261" s="4"/>
      <c r="X261" s="8">
        <v>45181</v>
      </c>
      <c r="Y261" s="4"/>
      <c r="Z261" s="4"/>
      <c r="AA261" s="8">
        <v>45189</v>
      </c>
      <c r="AB261" s="8">
        <v>45189</v>
      </c>
      <c r="AC261" s="4"/>
      <c r="AD261" s="4"/>
    </row>
    <row r="262" spans="1:30" hidden="1">
      <c r="A262" s="4">
        <v>794</v>
      </c>
      <c r="B262" s="8">
        <v>45176</v>
      </c>
      <c r="C262" s="4"/>
      <c r="D262" s="4" t="s">
        <v>42</v>
      </c>
      <c r="E262" s="8">
        <v>45199</v>
      </c>
      <c r="F262" s="4" t="s">
        <v>43</v>
      </c>
      <c r="G262" s="4" t="s">
        <v>186</v>
      </c>
      <c r="H262" s="4" t="s">
        <v>45</v>
      </c>
      <c r="I262" s="4" t="s">
        <v>410</v>
      </c>
      <c r="J262" s="10">
        <v>3.6693439999999997</v>
      </c>
      <c r="K262" s="10">
        <f>3.306+0.362</f>
        <v>3.6680000000000001</v>
      </c>
      <c r="L262" s="10">
        <f t="shared" si="52"/>
        <v>0</v>
      </c>
      <c r="M262" s="10">
        <f t="shared" si="53"/>
        <v>0</v>
      </c>
      <c r="N262" s="10"/>
      <c r="O262" s="10"/>
      <c r="P262" s="10">
        <v>0</v>
      </c>
      <c r="Q262" s="10"/>
      <c r="R262" s="10"/>
      <c r="S262" s="10"/>
      <c r="T262" s="10"/>
      <c r="U262" s="10"/>
      <c r="V262" s="4" t="s">
        <v>1116</v>
      </c>
      <c r="W262" s="4" t="s">
        <v>1155</v>
      </c>
      <c r="X262" s="8">
        <v>45181</v>
      </c>
      <c r="Y262" s="4"/>
      <c r="Z262" s="4"/>
      <c r="AA262" s="8">
        <v>45215</v>
      </c>
      <c r="AB262" s="8">
        <v>45215</v>
      </c>
      <c r="AC262" s="4"/>
      <c r="AD262" s="4"/>
    </row>
    <row r="263" spans="1:30" hidden="1">
      <c r="A263" s="4">
        <v>794</v>
      </c>
      <c r="B263" s="8">
        <v>45176</v>
      </c>
      <c r="C263" s="4"/>
      <c r="D263" s="4" t="s">
        <v>42</v>
      </c>
      <c r="E263" s="8">
        <v>45199</v>
      </c>
      <c r="F263" s="4" t="s">
        <v>43</v>
      </c>
      <c r="G263" s="4" t="s">
        <v>186</v>
      </c>
      <c r="H263" s="4" t="s">
        <v>45</v>
      </c>
      <c r="I263" s="4" t="s">
        <v>47</v>
      </c>
      <c r="J263" s="10">
        <v>25.410150672131145</v>
      </c>
      <c r="K263" s="10">
        <f>24.274+1.124</f>
        <v>25.398</v>
      </c>
      <c r="L263" s="10">
        <f t="shared" si="52"/>
        <v>0</v>
      </c>
      <c r="M263" s="10">
        <f t="shared" si="53"/>
        <v>0</v>
      </c>
      <c r="N263" s="10"/>
      <c r="O263" s="10"/>
      <c r="P263" s="10">
        <v>0</v>
      </c>
      <c r="Q263" s="10"/>
      <c r="R263" s="10"/>
      <c r="S263" s="10"/>
      <c r="T263" s="10"/>
      <c r="U263" s="10"/>
      <c r="V263" s="4" t="s">
        <v>1116</v>
      </c>
      <c r="W263" s="4"/>
      <c r="X263" s="8">
        <v>45181</v>
      </c>
      <c r="Y263" s="4"/>
      <c r="Z263" s="4"/>
      <c r="AA263" s="8">
        <v>45215</v>
      </c>
      <c r="AB263" s="8">
        <v>45215</v>
      </c>
      <c r="AC263" s="4"/>
      <c r="AD263" s="4"/>
    </row>
    <row r="264" spans="1:30" hidden="1">
      <c r="A264" s="4">
        <v>794</v>
      </c>
      <c r="B264" s="8">
        <v>45176</v>
      </c>
      <c r="C264" s="4"/>
      <c r="D264" s="4" t="s">
        <v>42</v>
      </c>
      <c r="E264" s="8">
        <v>45199</v>
      </c>
      <c r="F264" s="4" t="s">
        <v>43</v>
      </c>
      <c r="G264" s="4" t="s">
        <v>186</v>
      </c>
      <c r="H264" s="4" t="s">
        <v>45</v>
      </c>
      <c r="I264" s="4" t="s">
        <v>519</v>
      </c>
      <c r="J264" s="10">
        <v>11.296796437500001</v>
      </c>
      <c r="K264" s="10">
        <f>9.576+1.721</f>
        <v>11.297000000000001</v>
      </c>
      <c r="L264" s="10">
        <f t="shared" si="52"/>
        <v>0</v>
      </c>
      <c r="M264" s="10">
        <f t="shared" si="53"/>
        <v>0</v>
      </c>
      <c r="N264" s="10"/>
      <c r="O264" s="10"/>
      <c r="P264" s="10">
        <v>0</v>
      </c>
      <c r="Q264" s="10"/>
      <c r="R264" s="10"/>
      <c r="S264" s="10"/>
      <c r="T264" s="10"/>
      <c r="U264" s="10"/>
      <c r="V264" s="4" t="s">
        <v>1116</v>
      </c>
      <c r="W264" s="4"/>
      <c r="X264" s="8">
        <v>45194</v>
      </c>
      <c r="Y264" s="4"/>
      <c r="Z264" s="4"/>
      <c r="AA264" s="8">
        <v>45199</v>
      </c>
      <c r="AB264" s="8"/>
      <c r="AC264" s="4"/>
      <c r="AD264" s="4"/>
    </row>
    <row r="265" spans="1:30" hidden="1">
      <c r="A265" s="4">
        <v>794</v>
      </c>
      <c r="B265" s="8">
        <v>45176</v>
      </c>
      <c r="C265" s="4"/>
      <c r="D265" s="4" t="s">
        <v>42</v>
      </c>
      <c r="E265" s="8">
        <v>45199</v>
      </c>
      <c r="F265" s="4" t="s">
        <v>43</v>
      </c>
      <c r="G265" s="4" t="s">
        <v>186</v>
      </c>
      <c r="H265" s="4" t="s">
        <v>45</v>
      </c>
      <c r="I265" s="4" t="s">
        <v>761</v>
      </c>
      <c r="J265" s="10">
        <v>3.9027759999999998</v>
      </c>
      <c r="K265" s="10">
        <v>3.9009999999999998</v>
      </c>
      <c r="L265" s="10">
        <f t="shared" si="52"/>
        <v>0</v>
      </c>
      <c r="M265" s="10">
        <f t="shared" si="53"/>
        <v>0</v>
      </c>
      <c r="N265" s="10"/>
      <c r="O265" s="10"/>
      <c r="P265" s="10">
        <v>0</v>
      </c>
      <c r="Q265" s="10"/>
      <c r="R265" s="10"/>
      <c r="S265" s="10"/>
      <c r="T265" s="10"/>
      <c r="U265" s="10"/>
      <c r="V265" s="4" t="s">
        <v>1116</v>
      </c>
      <c r="W265" s="4"/>
      <c r="X265" s="8">
        <v>45194</v>
      </c>
      <c r="Y265" s="4"/>
      <c r="Z265" s="4"/>
      <c r="AA265" s="8"/>
      <c r="AB265" s="8"/>
      <c r="AC265" s="4"/>
      <c r="AD265" s="4"/>
    </row>
    <row r="266" spans="1:30" hidden="1">
      <c r="A266" s="4">
        <v>794</v>
      </c>
      <c r="B266" s="8">
        <v>45176</v>
      </c>
      <c r="C266" s="4"/>
      <c r="D266" s="4" t="s">
        <v>42</v>
      </c>
      <c r="E266" s="8">
        <v>45199</v>
      </c>
      <c r="F266" s="4" t="s">
        <v>43</v>
      </c>
      <c r="G266" s="4" t="s">
        <v>186</v>
      </c>
      <c r="H266" s="4" t="s">
        <v>45</v>
      </c>
      <c r="I266" s="4" t="s">
        <v>517</v>
      </c>
      <c r="J266" s="10">
        <v>24.297000000000001</v>
      </c>
      <c r="K266" s="10">
        <f>22.211+0.677+1.409</f>
        <v>24.296999999999997</v>
      </c>
      <c r="L266" s="10">
        <f t="shared" si="52"/>
        <v>0</v>
      </c>
      <c r="M266" s="10">
        <f t="shared" si="53"/>
        <v>0</v>
      </c>
      <c r="N266" s="10"/>
      <c r="O266" s="10"/>
      <c r="P266" s="10">
        <v>0</v>
      </c>
      <c r="Q266" s="10"/>
      <c r="R266" s="10"/>
      <c r="S266" s="10"/>
      <c r="T266" s="10"/>
      <c r="U266" s="10"/>
      <c r="V266" s="4" t="s">
        <v>1116</v>
      </c>
      <c r="W266" s="4"/>
      <c r="X266" s="8">
        <v>45194</v>
      </c>
      <c r="Y266" s="4"/>
      <c r="Z266" s="4"/>
      <c r="AA266" s="8">
        <v>45199</v>
      </c>
      <c r="AB266" s="8">
        <v>45215</v>
      </c>
      <c r="AC266" s="4"/>
      <c r="AD266" s="4"/>
    </row>
    <row r="267" spans="1:30" hidden="1">
      <c r="A267" s="4">
        <v>794</v>
      </c>
      <c r="B267" s="8">
        <v>45176</v>
      </c>
      <c r="C267" s="4"/>
      <c r="D267" s="4" t="s">
        <v>42</v>
      </c>
      <c r="E267" s="8">
        <v>45199</v>
      </c>
      <c r="F267" s="4" t="s">
        <v>43</v>
      </c>
      <c r="G267" s="4" t="s">
        <v>186</v>
      </c>
      <c r="H267" s="4" t="s">
        <v>45</v>
      </c>
      <c r="I267" s="4" t="s">
        <v>837</v>
      </c>
      <c r="J267" s="10">
        <v>15.387561009900994</v>
      </c>
      <c r="K267" s="10">
        <f>15.172+0.215</f>
        <v>15.387</v>
      </c>
      <c r="L267" s="10">
        <f t="shared" si="52"/>
        <v>0</v>
      </c>
      <c r="M267" s="10">
        <f t="shared" si="53"/>
        <v>0</v>
      </c>
      <c r="N267" s="10"/>
      <c r="O267" s="10"/>
      <c r="P267" s="10">
        <v>0</v>
      </c>
      <c r="Q267" s="10"/>
      <c r="R267" s="10"/>
      <c r="S267" s="10"/>
      <c r="T267" s="10"/>
      <c r="U267" s="10"/>
      <c r="V267" s="4" t="s">
        <v>1116</v>
      </c>
      <c r="W267" s="4"/>
      <c r="X267" s="8">
        <v>45188</v>
      </c>
      <c r="Y267" s="4"/>
      <c r="Z267" s="4"/>
      <c r="AA267" s="8">
        <v>45199</v>
      </c>
      <c r="AB267" s="8">
        <v>45215</v>
      </c>
      <c r="AC267" s="4"/>
      <c r="AD267" s="4"/>
    </row>
    <row r="268" spans="1:30" hidden="1">
      <c r="A268" s="4">
        <v>794</v>
      </c>
      <c r="B268" s="8">
        <v>45176</v>
      </c>
      <c r="C268" s="4"/>
      <c r="D268" s="4" t="s">
        <v>42</v>
      </c>
      <c r="E268" s="8">
        <v>45199</v>
      </c>
      <c r="F268" s="4" t="s">
        <v>43</v>
      </c>
      <c r="G268" s="4" t="s">
        <v>186</v>
      </c>
      <c r="H268" s="4" t="s">
        <v>45</v>
      </c>
      <c r="I268" s="4" t="s">
        <v>448</v>
      </c>
      <c r="J268" s="10">
        <v>299.05564000000004</v>
      </c>
      <c r="K268" s="10">
        <f>24.096+24.555+24.339+4.036+13.807+24.359+24.093+24.095+24.366+8.934+49.839+12.969+14.904+24.684</f>
        <v>299.07600000000002</v>
      </c>
      <c r="L268" s="10">
        <f t="shared" si="52"/>
        <v>0</v>
      </c>
      <c r="M268" s="10">
        <f t="shared" si="53"/>
        <v>0</v>
      </c>
      <c r="N268" s="10"/>
      <c r="O268" s="10"/>
      <c r="P268" s="10">
        <v>0</v>
      </c>
      <c r="Q268" s="10"/>
      <c r="R268" s="10"/>
      <c r="S268" s="10"/>
      <c r="T268" s="10"/>
      <c r="U268" s="10"/>
      <c r="V268" s="4" t="s">
        <v>1116</v>
      </c>
      <c r="W268" s="4" t="s">
        <v>1153</v>
      </c>
      <c r="X268" s="8">
        <v>45188</v>
      </c>
      <c r="Y268" s="4"/>
      <c r="Z268" s="4"/>
      <c r="AA268" s="8">
        <v>45190</v>
      </c>
      <c r="AB268" s="8">
        <v>45203</v>
      </c>
      <c r="AC268" s="4"/>
      <c r="AD268" s="4"/>
    </row>
    <row r="269" spans="1:30" hidden="1">
      <c r="A269" s="4">
        <v>794</v>
      </c>
      <c r="B269" s="8">
        <v>45176</v>
      </c>
      <c r="C269" s="4"/>
      <c r="D269" s="4" t="s">
        <v>42</v>
      </c>
      <c r="E269" s="8">
        <v>45199</v>
      </c>
      <c r="F269" s="4" t="s">
        <v>43</v>
      </c>
      <c r="G269" s="4" t="s">
        <v>186</v>
      </c>
      <c r="H269" s="4" t="s">
        <v>45</v>
      </c>
      <c r="I269" s="4" t="s">
        <v>449</v>
      </c>
      <c r="J269" s="10">
        <v>2.2258</v>
      </c>
      <c r="K269" s="10">
        <v>2.226</v>
      </c>
      <c r="L269" s="10">
        <f t="shared" si="52"/>
        <v>0</v>
      </c>
      <c r="M269" s="10">
        <f t="shared" si="53"/>
        <v>0</v>
      </c>
      <c r="N269" s="10"/>
      <c r="O269" s="10"/>
      <c r="P269" s="10">
        <v>0</v>
      </c>
      <c r="Q269" s="10"/>
      <c r="R269" s="10"/>
      <c r="S269" s="10"/>
      <c r="T269" s="10"/>
      <c r="U269" s="10"/>
      <c r="V269" s="4" t="s">
        <v>1116</v>
      </c>
      <c r="W269" s="4"/>
      <c r="X269" s="8">
        <v>45194</v>
      </c>
      <c r="Y269" s="4"/>
      <c r="Z269" s="4"/>
      <c r="AA269" s="8">
        <v>45199</v>
      </c>
      <c r="AB269" s="8"/>
      <c r="AC269" s="4"/>
      <c r="AD269" s="4"/>
    </row>
    <row r="270" spans="1:30" hidden="1">
      <c r="A270" s="4">
        <v>794</v>
      </c>
      <c r="B270" s="8">
        <v>45176</v>
      </c>
      <c r="C270" s="4"/>
      <c r="D270" s="4" t="s">
        <v>42</v>
      </c>
      <c r="E270" s="8">
        <v>45199</v>
      </c>
      <c r="F270" s="4" t="s">
        <v>43</v>
      </c>
      <c r="G270" s="4" t="s">
        <v>92</v>
      </c>
      <c r="H270" s="4" t="s">
        <v>52</v>
      </c>
      <c r="I270" s="4" t="s">
        <v>236</v>
      </c>
      <c r="J270" s="10">
        <v>15.063090000000001</v>
      </c>
      <c r="K270" s="10">
        <f>2.675+3.729+3.469+3.489+1.701</f>
        <v>15.062999999999999</v>
      </c>
      <c r="L270" s="10">
        <f t="shared" si="52"/>
        <v>0</v>
      </c>
      <c r="M270" s="10">
        <f t="shared" si="53"/>
        <v>0</v>
      </c>
      <c r="N270" s="10"/>
      <c r="O270" s="10"/>
      <c r="P270" s="10">
        <v>0</v>
      </c>
      <c r="Q270" s="10"/>
      <c r="R270" s="10"/>
      <c r="S270" s="10"/>
      <c r="T270" s="10"/>
      <c r="U270" s="10"/>
      <c r="V270" s="4" t="s">
        <v>1116</v>
      </c>
      <c r="W270" s="4"/>
      <c r="X270" s="8">
        <v>45185</v>
      </c>
      <c r="Y270" s="4"/>
      <c r="Z270" s="4"/>
      <c r="AA270" s="8">
        <v>45188</v>
      </c>
      <c r="AB270" s="8">
        <v>45193</v>
      </c>
      <c r="AC270" s="4"/>
      <c r="AD270" s="4"/>
    </row>
    <row r="271" spans="1:30" hidden="1">
      <c r="A271" s="4">
        <v>794</v>
      </c>
      <c r="B271" s="8">
        <v>45176</v>
      </c>
      <c r="C271" s="4"/>
      <c r="D271" s="4" t="s">
        <v>42</v>
      </c>
      <c r="E271" s="8">
        <v>45199</v>
      </c>
      <c r="F271" s="4" t="s">
        <v>43</v>
      </c>
      <c r="G271" s="4" t="s">
        <v>92</v>
      </c>
      <c r="H271" s="4" t="s">
        <v>52</v>
      </c>
      <c r="I271" s="4" t="s">
        <v>588</v>
      </c>
      <c r="J271" s="10">
        <v>2.5341030000000004</v>
      </c>
      <c r="K271" s="10">
        <v>2.5310000000000001</v>
      </c>
      <c r="L271" s="10">
        <f t="shared" si="52"/>
        <v>0</v>
      </c>
      <c r="M271" s="10">
        <f t="shared" si="53"/>
        <v>0</v>
      </c>
      <c r="N271" s="10"/>
      <c r="O271" s="10"/>
      <c r="P271" s="10">
        <v>0</v>
      </c>
      <c r="Q271" s="10"/>
      <c r="R271" s="10"/>
      <c r="S271" s="10"/>
      <c r="T271" s="10"/>
      <c r="U271" s="10"/>
      <c r="V271" s="4" t="s">
        <v>1116</v>
      </c>
      <c r="W271" s="4"/>
      <c r="X271" s="8">
        <v>45185</v>
      </c>
      <c r="Y271" s="4"/>
      <c r="Z271" s="4"/>
      <c r="AA271" s="8">
        <v>45189</v>
      </c>
      <c r="AB271" s="8">
        <v>45189</v>
      </c>
      <c r="AC271" s="4"/>
      <c r="AD271" s="4"/>
    </row>
    <row r="272" spans="1:30" hidden="1">
      <c r="A272" s="4">
        <v>794</v>
      </c>
      <c r="B272" s="8">
        <v>45176</v>
      </c>
      <c r="C272" s="4"/>
      <c r="D272" s="4" t="s">
        <v>42</v>
      </c>
      <c r="E272" s="8">
        <v>45199</v>
      </c>
      <c r="F272" s="4" t="s">
        <v>43</v>
      </c>
      <c r="G272" s="4" t="s">
        <v>92</v>
      </c>
      <c r="H272" s="4" t="s">
        <v>52</v>
      </c>
      <c r="I272" s="4" t="s">
        <v>103</v>
      </c>
      <c r="J272" s="10">
        <v>11.843087708333334</v>
      </c>
      <c r="K272" s="10">
        <f>9.741+2.096</f>
        <v>11.837</v>
      </c>
      <c r="L272" s="10">
        <f t="shared" si="52"/>
        <v>0</v>
      </c>
      <c r="M272" s="10">
        <f t="shared" si="53"/>
        <v>0</v>
      </c>
      <c r="N272" s="10"/>
      <c r="O272" s="10"/>
      <c r="P272" s="10">
        <v>0</v>
      </c>
      <c r="Q272" s="10"/>
      <c r="R272" s="10"/>
      <c r="S272" s="10"/>
      <c r="T272" s="10"/>
      <c r="U272" s="10"/>
      <c r="V272" s="4" t="s">
        <v>1116</v>
      </c>
      <c r="W272" s="4"/>
      <c r="X272" s="8">
        <v>45181</v>
      </c>
      <c r="Y272" s="4"/>
      <c r="Z272" s="4"/>
      <c r="AA272" s="8">
        <v>45187</v>
      </c>
      <c r="AB272" s="8">
        <v>45188</v>
      </c>
      <c r="AC272" s="4"/>
      <c r="AD272" s="4"/>
    </row>
    <row r="273" spans="1:30" hidden="1">
      <c r="A273" s="4">
        <v>795</v>
      </c>
      <c r="B273" s="8">
        <v>45176</v>
      </c>
      <c r="C273" s="4"/>
      <c r="D273" s="4" t="s">
        <v>42</v>
      </c>
      <c r="E273" s="8">
        <v>45237</v>
      </c>
      <c r="F273" s="4" t="s">
        <v>43</v>
      </c>
      <c r="G273" s="4" t="s">
        <v>186</v>
      </c>
      <c r="H273" s="4" t="s">
        <v>45</v>
      </c>
      <c r="I273" s="4" t="s">
        <v>49</v>
      </c>
      <c r="J273" s="10">
        <v>7.1052799999999996</v>
      </c>
      <c r="K273" s="10">
        <f>4.842+2.264</f>
        <v>7.1059999999999999</v>
      </c>
      <c r="L273" s="10">
        <f t="shared" ref="L273:L286" si="54">M273+U273</f>
        <v>0</v>
      </c>
      <c r="M273" s="10">
        <f t="shared" ref="M273:M286" si="55">SUM(N273:T273)</f>
        <v>0</v>
      </c>
      <c r="N273" s="10"/>
      <c r="O273" s="10"/>
      <c r="P273" s="10">
        <v>0</v>
      </c>
      <c r="Q273" s="10"/>
      <c r="R273" s="10"/>
      <c r="S273" s="10"/>
      <c r="T273" s="10"/>
      <c r="U273" s="10"/>
      <c r="V273" s="4" t="s">
        <v>1116</v>
      </c>
      <c r="W273" s="4"/>
      <c r="X273" s="8">
        <v>45241</v>
      </c>
      <c r="Y273" s="4"/>
      <c r="Z273" s="4"/>
      <c r="AA273" s="8"/>
      <c r="AB273" s="8"/>
      <c r="AC273" s="4"/>
      <c r="AD273" s="4"/>
    </row>
    <row r="274" spans="1:30" hidden="1">
      <c r="A274" s="4">
        <v>795</v>
      </c>
      <c r="B274" s="8">
        <v>45176</v>
      </c>
      <c r="C274" s="4"/>
      <c r="D274" s="4" t="s">
        <v>42</v>
      </c>
      <c r="E274" s="8">
        <v>45237</v>
      </c>
      <c r="F274" s="4" t="s">
        <v>43</v>
      </c>
      <c r="G274" s="4" t="s">
        <v>186</v>
      </c>
      <c r="H274" s="4" t="s">
        <v>45</v>
      </c>
      <c r="I274" s="4" t="s">
        <v>50</v>
      </c>
      <c r="J274" s="10">
        <v>36.097713999999996</v>
      </c>
      <c r="K274" s="10">
        <f>22.363+6.086+2.646+3.397+1.696</f>
        <v>36.187999999999995</v>
      </c>
      <c r="L274" s="10">
        <f t="shared" si="54"/>
        <v>0</v>
      </c>
      <c r="M274" s="10">
        <f t="shared" si="55"/>
        <v>0</v>
      </c>
      <c r="N274" s="10"/>
      <c r="O274" s="10"/>
      <c r="P274" s="10">
        <v>0</v>
      </c>
      <c r="Q274" s="10"/>
      <c r="R274" s="10"/>
      <c r="S274" s="10"/>
      <c r="T274" s="10"/>
      <c r="U274" s="10"/>
      <c r="V274" s="4" t="s">
        <v>1116</v>
      </c>
      <c r="W274" s="4"/>
      <c r="X274" s="8"/>
      <c r="Y274" s="4"/>
      <c r="Z274" s="4"/>
      <c r="AA274" s="8">
        <v>45247</v>
      </c>
      <c r="AB274" s="8">
        <v>45258</v>
      </c>
      <c r="AC274" s="4"/>
      <c r="AD274" s="4"/>
    </row>
    <row r="275" spans="1:30" hidden="1">
      <c r="A275" s="4">
        <v>795</v>
      </c>
      <c r="B275" s="8">
        <v>45176</v>
      </c>
      <c r="C275" s="4"/>
      <c r="D275" s="4" t="s">
        <v>42</v>
      </c>
      <c r="E275" s="8">
        <v>45237</v>
      </c>
      <c r="F275" s="4" t="s">
        <v>43</v>
      </c>
      <c r="G275" s="4" t="s">
        <v>186</v>
      </c>
      <c r="H275" s="4" t="s">
        <v>45</v>
      </c>
      <c r="I275" s="4" t="s">
        <v>588</v>
      </c>
      <c r="J275" s="10">
        <v>8.1737000000000002</v>
      </c>
      <c r="K275" s="10">
        <f>6.168+0.959+1.044</f>
        <v>8.1709999999999994</v>
      </c>
      <c r="L275" s="10">
        <f t="shared" si="54"/>
        <v>0</v>
      </c>
      <c r="M275" s="10">
        <f t="shared" si="55"/>
        <v>0</v>
      </c>
      <c r="N275" s="10"/>
      <c r="O275" s="10"/>
      <c r="P275" s="10">
        <v>0</v>
      </c>
      <c r="Q275" s="10"/>
      <c r="R275" s="10"/>
      <c r="S275" s="10"/>
      <c r="T275" s="10"/>
      <c r="U275" s="10"/>
      <c r="V275" s="4" t="s">
        <v>1116</v>
      </c>
      <c r="W275" s="4"/>
      <c r="X275" s="8">
        <v>45245</v>
      </c>
      <c r="Y275" s="4"/>
      <c r="Z275" s="4"/>
      <c r="AA275" s="8"/>
      <c r="AB275" s="8">
        <v>45258</v>
      </c>
      <c r="AC275" s="4"/>
      <c r="AD275" s="4"/>
    </row>
    <row r="276" spans="1:30" hidden="1">
      <c r="A276" s="4">
        <v>795</v>
      </c>
      <c r="B276" s="8">
        <v>45255</v>
      </c>
      <c r="C276" s="4"/>
      <c r="D276" s="4" t="s">
        <v>42</v>
      </c>
      <c r="E276" s="8">
        <v>45237</v>
      </c>
      <c r="F276" s="4" t="s">
        <v>43</v>
      </c>
      <c r="G276" s="4" t="s">
        <v>186</v>
      </c>
      <c r="H276" s="4" t="s">
        <v>45</v>
      </c>
      <c r="I276" s="4" t="s">
        <v>49</v>
      </c>
      <c r="J276" s="10">
        <f>8.648</f>
        <v>8.6479999999999997</v>
      </c>
      <c r="K276" s="10">
        <v>8.6489999999999991</v>
      </c>
      <c r="L276" s="10">
        <f t="shared" ref="L276" si="56">M276+U276</f>
        <v>0</v>
      </c>
      <c r="M276" s="10">
        <f t="shared" ref="M276" si="57">SUM(N276:T276)</f>
        <v>0</v>
      </c>
      <c r="N276" s="10"/>
      <c r="O276" s="10"/>
      <c r="P276" s="10">
        <v>0</v>
      </c>
      <c r="Q276" s="10"/>
      <c r="R276" s="10"/>
      <c r="S276" s="10"/>
      <c r="T276" s="10"/>
      <c r="U276" s="10"/>
      <c r="V276" s="4" t="s">
        <v>1116</v>
      </c>
      <c r="W276" s="4"/>
      <c r="X276" s="8">
        <v>45245</v>
      </c>
      <c r="Y276" s="4"/>
      <c r="Z276" s="4"/>
      <c r="AA276" s="8"/>
      <c r="AB276" s="8"/>
      <c r="AC276" s="4"/>
      <c r="AD276" s="4"/>
    </row>
    <row r="277" spans="1:30" hidden="1">
      <c r="A277" s="4">
        <v>795</v>
      </c>
      <c r="B277" s="8">
        <v>45255</v>
      </c>
      <c r="C277" s="4"/>
      <c r="D277" s="4" t="s">
        <v>42</v>
      </c>
      <c r="E277" s="8">
        <v>45237</v>
      </c>
      <c r="F277" s="4" t="s">
        <v>43</v>
      </c>
      <c r="G277" s="4" t="s">
        <v>186</v>
      </c>
      <c r="H277" s="4" t="s">
        <v>45</v>
      </c>
      <c r="I277" s="4" t="s">
        <v>50</v>
      </c>
      <c r="J277" s="10">
        <f>22.589</f>
        <v>22.588999999999999</v>
      </c>
      <c r="K277" s="10">
        <f>16.704+5.872</f>
        <v>22.576000000000001</v>
      </c>
      <c r="L277" s="10">
        <f t="shared" ref="L277" si="58">M277+U277</f>
        <v>0</v>
      </c>
      <c r="M277" s="10">
        <f t="shared" ref="M277" si="59">SUM(N277:T277)</f>
        <v>0</v>
      </c>
      <c r="N277" s="10"/>
      <c r="O277" s="10"/>
      <c r="P277" s="10">
        <v>0</v>
      </c>
      <c r="Q277" s="10"/>
      <c r="R277" s="10"/>
      <c r="S277" s="10"/>
      <c r="T277" s="10"/>
      <c r="U277" s="10"/>
      <c r="V277" s="4" t="s">
        <v>1116</v>
      </c>
      <c r="W277" s="4"/>
      <c r="X277" s="8">
        <v>45245</v>
      </c>
      <c r="Y277" s="4"/>
      <c r="Z277" s="4"/>
      <c r="AA277" s="8"/>
      <c r="AB277" s="8">
        <v>45275</v>
      </c>
      <c r="AC277" s="4"/>
      <c r="AD277" s="4"/>
    </row>
    <row r="278" spans="1:30" hidden="1">
      <c r="A278" s="4">
        <v>795</v>
      </c>
      <c r="B278" s="8">
        <v>45176</v>
      </c>
      <c r="C278" s="4"/>
      <c r="D278" s="4" t="s">
        <v>42</v>
      </c>
      <c r="E278" s="8">
        <v>45237</v>
      </c>
      <c r="F278" s="4" t="s">
        <v>43</v>
      </c>
      <c r="G278" s="4" t="s">
        <v>186</v>
      </c>
      <c r="H278" s="4" t="s">
        <v>45</v>
      </c>
      <c r="I278" s="4" t="s">
        <v>407</v>
      </c>
      <c r="J278" s="10">
        <f>64.197583-1.588+1.538</f>
        <v>64.147582999999997</v>
      </c>
      <c r="K278" s="10">
        <f>9.415+7.977+12.501+16.078+13.634+3.003+1.538</f>
        <v>64.146000000000001</v>
      </c>
      <c r="L278" s="10">
        <f t="shared" si="54"/>
        <v>0</v>
      </c>
      <c r="M278" s="10">
        <f t="shared" si="55"/>
        <v>0</v>
      </c>
      <c r="N278" s="10"/>
      <c r="O278" s="10"/>
      <c r="P278" s="10">
        <v>0</v>
      </c>
      <c r="Q278" s="10"/>
      <c r="R278" s="10"/>
      <c r="S278" s="10"/>
      <c r="T278" s="10"/>
      <c r="U278" s="10"/>
      <c r="V278" s="4" t="s">
        <v>1116</v>
      </c>
      <c r="W278" s="4"/>
      <c r="X278" s="8">
        <v>45248</v>
      </c>
      <c r="Y278" s="4"/>
      <c r="Z278" s="4"/>
      <c r="AA278" s="8">
        <v>45215</v>
      </c>
      <c r="AB278" s="8">
        <v>45258</v>
      </c>
      <c r="AC278" s="4"/>
      <c r="AD278" s="4"/>
    </row>
    <row r="279" spans="1:30" hidden="1">
      <c r="A279" s="4">
        <v>795</v>
      </c>
      <c r="B279" s="8">
        <v>45176</v>
      </c>
      <c r="C279" s="4"/>
      <c r="D279" s="4" t="s">
        <v>42</v>
      </c>
      <c r="E279" s="8">
        <v>45237</v>
      </c>
      <c r="F279" s="4" t="s">
        <v>43</v>
      </c>
      <c r="G279" s="4" t="s">
        <v>186</v>
      </c>
      <c r="H279" s="4" t="s">
        <v>45</v>
      </c>
      <c r="I279" s="4" t="s">
        <v>408</v>
      </c>
      <c r="J279" s="10">
        <f>75.02174-9.614+11.093</f>
        <v>76.500739999999993</v>
      </c>
      <c r="K279" s="10">
        <f>11.127+24.55+24.714+5.017+11.093</f>
        <v>76.501000000000005</v>
      </c>
      <c r="L279" s="10">
        <f t="shared" si="54"/>
        <v>0</v>
      </c>
      <c r="M279" s="10">
        <f t="shared" si="55"/>
        <v>0</v>
      </c>
      <c r="N279" s="10"/>
      <c r="O279" s="10"/>
      <c r="P279" s="10">
        <v>0</v>
      </c>
      <c r="Q279" s="10"/>
      <c r="R279" s="10"/>
      <c r="S279" s="10"/>
      <c r="T279" s="10"/>
      <c r="U279" s="10"/>
      <c r="V279" s="4" t="s">
        <v>1116</v>
      </c>
      <c r="W279" s="4"/>
      <c r="X279" s="8">
        <v>45247</v>
      </c>
      <c r="Y279" s="4"/>
      <c r="Z279" s="4"/>
      <c r="AA279" s="8"/>
      <c r="AB279" s="8">
        <v>45258</v>
      </c>
      <c r="AC279" s="4"/>
      <c r="AD279" s="4"/>
    </row>
    <row r="280" spans="1:30" hidden="1">
      <c r="A280" s="4">
        <v>795</v>
      </c>
      <c r="B280" s="8">
        <v>45176</v>
      </c>
      <c r="C280" s="4"/>
      <c r="D280" s="4" t="s">
        <v>42</v>
      </c>
      <c r="E280" s="8">
        <v>45237</v>
      </c>
      <c r="F280" s="4" t="s">
        <v>43</v>
      </c>
      <c r="G280" s="4" t="s">
        <v>186</v>
      </c>
      <c r="H280" s="4" t="s">
        <v>45</v>
      </c>
      <c r="I280" s="4" t="s">
        <v>409</v>
      </c>
      <c r="J280" s="10">
        <v>29.566080000000003</v>
      </c>
      <c r="K280" s="10">
        <f>11.496+18.068</f>
        <v>29.564</v>
      </c>
      <c r="L280" s="10">
        <f t="shared" si="54"/>
        <v>0</v>
      </c>
      <c r="M280" s="10">
        <f t="shared" si="55"/>
        <v>0</v>
      </c>
      <c r="N280" s="10"/>
      <c r="O280" s="10"/>
      <c r="P280" s="10">
        <v>0</v>
      </c>
      <c r="Q280" s="10"/>
      <c r="R280" s="10"/>
      <c r="S280" s="10"/>
      <c r="T280" s="10"/>
      <c r="U280" s="10"/>
      <c r="V280" s="4" t="s">
        <v>1116</v>
      </c>
      <c r="W280" s="4"/>
      <c r="X280" s="8">
        <v>45247</v>
      </c>
      <c r="Y280" s="4"/>
      <c r="Z280" s="4"/>
      <c r="AA280" s="8"/>
      <c r="AB280" s="8"/>
      <c r="AC280" s="4"/>
      <c r="AD280" s="4"/>
    </row>
    <row r="281" spans="1:30" hidden="1">
      <c r="A281" s="4">
        <v>795</v>
      </c>
      <c r="B281" s="8">
        <v>45176</v>
      </c>
      <c r="C281" s="4"/>
      <c r="D281" s="4" t="s">
        <v>42</v>
      </c>
      <c r="E281" s="8">
        <v>45237</v>
      </c>
      <c r="F281" s="4" t="s">
        <v>43</v>
      </c>
      <c r="G281" s="4" t="s">
        <v>186</v>
      </c>
      <c r="H281" s="4" t="s">
        <v>45</v>
      </c>
      <c r="I281" s="4" t="s">
        <v>410</v>
      </c>
      <c r="J281" s="10">
        <v>32.528255999999999</v>
      </c>
      <c r="K281" s="10">
        <f>4.024+8.408+2.893+14.37+2.83</f>
        <v>32.524999999999999</v>
      </c>
      <c r="L281" s="10">
        <f t="shared" si="54"/>
        <v>0</v>
      </c>
      <c r="M281" s="10">
        <f t="shared" si="55"/>
        <v>0</v>
      </c>
      <c r="N281" s="10"/>
      <c r="O281" s="10"/>
      <c r="P281" s="10">
        <v>0</v>
      </c>
      <c r="Q281" s="10"/>
      <c r="R281" s="10"/>
      <c r="S281" s="10"/>
      <c r="T281" s="10"/>
      <c r="U281" s="10"/>
      <c r="V281" s="4" t="s">
        <v>1116</v>
      </c>
      <c r="W281" s="4"/>
      <c r="X281" s="8">
        <v>45248</v>
      </c>
      <c r="Y281" s="4"/>
      <c r="Z281" s="4"/>
      <c r="AA281" s="8">
        <v>45215</v>
      </c>
      <c r="AB281" s="8">
        <v>45275</v>
      </c>
      <c r="AC281" s="4"/>
      <c r="AD281" s="4"/>
    </row>
    <row r="282" spans="1:30" hidden="1">
      <c r="A282" s="4">
        <v>795</v>
      </c>
      <c r="B282" s="8">
        <v>45176</v>
      </c>
      <c r="C282" s="4"/>
      <c r="D282" s="4" t="s">
        <v>42</v>
      </c>
      <c r="E282" s="8">
        <v>45237</v>
      </c>
      <c r="F282" s="4" t="s">
        <v>43</v>
      </c>
      <c r="G282" s="4" t="s">
        <v>186</v>
      </c>
      <c r="H282" s="4" t="s">
        <v>45</v>
      </c>
      <c r="I282" s="4" t="s">
        <v>47</v>
      </c>
      <c r="J282" s="10">
        <f>36.12571725-0.709</f>
        <v>35.416717249999998</v>
      </c>
      <c r="K282" s="10">
        <f>0.965+5.363+18.226+10.875</f>
        <v>35.429000000000002</v>
      </c>
      <c r="L282" s="10">
        <f t="shared" si="54"/>
        <v>0</v>
      </c>
      <c r="M282" s="10">
        <f t="shared" si="55"/>
        <v>0</v>
      </c>
      <c r="N282" s="10"/>
      <c r="O282" s="10"/>
      <c r="P282" s="10">
        <v>0</v>
      </c>
      <c r="Q282" s="10"/>
      <c r="R282" s="10"/>
      <c r="S282" s="10"/>
      <c r="T282" s="10"/>
      <c r="U282" s="10"/>
      <c r="V282" s="4" t="s">
        <v>1116</v>
      </c>
      <c r="W282" s="4"/>
      <c r="X282" s="8">
        <v>45248</v>
      </c>
      <c r="Y282" s="4"/>
      <c r="Z282" s="4"/>
      <c r="AA282" s="8">
        <v>45215</v>
      </c>
      <c r="AB282" s="8">
        <v>45258</v>
      </c>
      <c r="AC282" s="4"/>
      <c r="AD282" s="4"/>
    </row>
    <row r="283" spans="1:30" hidden="1">
      <c r="A283" s="4">
        <v>795</v>
      </c>
      <c r="B283" s="8">
        <v>45176</v>
      </c>
      <c r="C283" s="4"/>
      <c r="D283" s="4" t="s">
        <v>42</v>
      </c>
      <c r="E283" s="8">
        <v>45237</v>
      </c>
      <c r="F283" s="4" t="s">
        <v>43</v>
      </c>
      <c r="G283" s="4" t="s">
        <v>186</v>
      </c>
      <c r="H283" s="4" t="s">
        <v>45</v>
      </c>
      <c r="I283" s="4" t="s">
        <v>519</v>
      </c>
      <c r="J283" s="10">
        <v>31.583599999999997</v>
      </c>
      <c r="K283" s="10">
        <f>24.329+7.258</f>
        <v>31.587</v>
      </c>
      <c r="L283" s="10">
        <f t="shared" si="54"/>
        <v>0</v>
      </c>
      <c r="M283" s="10">
        <f t="shared" si="55"/>
        <v>0</v>
      </c>
      <c r="N283" s="10"/>
      <c r="O283" s="10"/>
      <c r="P283" s="10">
        <v>0</v>
      </c>
      <c r="Q283" s="10"/>
      <c r="R283" s="10">
        <v>0</v>
      </c>
      <c r="S283" s="10"/>
      <c r="T283" s="10"/>
      <c r="U283" s="10"/>
      <c r="V283" s="4" t="s">
        <v>1116</v>
      </c>
      <c r="W283" s="4"/>
      <c r="X283" s="8"/>
      <c r="Y283" s="4"/>
      <c r="Z283" s="4"/>
      <c r="AA283" s="8">
        <v>45237</v>
      </c>
      <c r="AB283" s="8"/>
      <c r="AC283" s="4"/>
      <c r="AD283" s="4"/>
    </row>
    <row r="284" spans="1:30" hidden="1">
      <c r="A284" s="4">
        <v>795</v>
      </c>
      <c r="B284" s="8">
        <v>45176</v>
      </c>
      <c r="C284" s="4"/>
      <c r="D284" s="4" t="s">
        <v>42</v>
      </c>
      <c r="E284" s="8">
        <v>45237</v>
      </c>
      <c r="F284" s="4" t="s">
        <v>43</v>
      </c>
      <c r="G284" s="4" t="s">
        <v>186</v>
      </c>
      <c r="H284" s="4" t="s">
        <v>45</v>
      </c>
      <c r="I284" s="4" t="s">
        <v>761</v>
      </c>
      <c r="J284" s="10">
        <v>7.9934399999999997</v>
      </c>
      <c r="K284" s="10">
        <v>7.9939999999999998</v>
      </c>
      <c r="L284" s="10">
        <f t="shared" si="54"/>
        <v>0</v>
      </c>
      <c r="M284" s="10">
        <f t="shared" si="55"/>
        <v>0</v>
      </c>
      <c r="N284" s="10"/>
      <c r="O284" s="10"/>
      <c r="P284" s="10">
        <v>0</v>
      </c>
      <c r="Q284" s="10"/>
      <c r="R284" s="10"/>
      <c r="S284" s="10"/>
      <c r="T284" s="10"/>
      <c r="U284" s="10"/>
      <c r="V284" s="4" t="s">
        <v>1116</v>
      </c>
      <c r="W284" s="4"/>
      <c r="X284" s="8"/>
      <c r="Y284" s="4"/>
      <c r="Z284" s="4"/>
      <c r="AA284" s="8">
        <v>45237</v>
      </c>
      <c r="AB284" s="8">
        <v>45237</v>
      </c>
      <c r="AC284" s="4"/>
      <c r="AD284" s="4"/>
    </row>
    <row r="285" spans="1:30" hidden="1">
      <c r="A285" s="4">
        <v>795</v>
      </c>
      <c r="B285" s="8">
        <v>45176</v>
      </c>
      <c r="C285" s="4"/>
      <c r="D285" s="4" t="s">
        <v>42</v>
      </c>
      <c r="E285" s="8">
        <v>45237</v>
      </c>
      <c r="F285" s="4" t="s">
        <v>43</v>
      </c>
      <c r="G285" s="4" t="s">
        <v>186</v>
      </c>
      <c r="H285" s="4" t="s">
        <v>45</v>
      </c>
      <c r="I285" s="4" t="s">
        <v>837</v>
      </c>
      <c r="J285" s="10">
        <v>0.87304054054054048</v>
      </c>
      <c r="K285" s="10">
        <v>0.879</v>
      </c>
      <c r="L285" s="10">
        <f t="shared" si="54"/>
        <v>0</v>
      </c>
      <c r="M285" s="10">
        <f t="shared" si="55"/>
        <v>0</v>
      </c>
      <c r="N285" s="10"/>
      <c r="O285" s="10"/>
      <c r="P285" s="10"/>
      <c r="Q285" s="10"/>
      <c r="R285" s="10">
        <v>0</v>
      </c>
      <c r="S285" s="10"/>
      <c r="T285" s="10"/>
      <c r="U285" s="10"/>
      <c r="V285" s="4" t="s">
        <v>1116</v>
      </c>
      <c r="W285" s="4" t="s">
        <v>1298</v>
      </c>
      <c r="X285" s="8"/>
      <c r="Y285" s="4"/>
      <c r="Z285" s="4"/>
      <c r="AA285" s="8">
        <v>45237</v>
      </c>
      <c r="AB285" s="8">
        <v>45237</v>
      </c>
      <c r="AC285" s="4"/>
      <c r="AD285" s="4"/>
    </row>
    <row r="286" spans="1:30" hidden="1">
      <c r="A286" s="4">
        <v>795</v>
      </c>
      <c r="B286" s="8">
        <v>45176</v>
      </c>
      <c r="C286" s="4"/>
      <c r="D286" s="4" t="s">
        <v>42</v>
      </c>
      <c r="E286" s="8">
        <v>45237</v>
      </c>
      <c r="F286" s="4" t="s">
        <v>43</v>
      </c>
      <c r="G286" s="4" t="s">
        <v>186</v>
      </c>
      <c r="H286" s="4" t="s">
        <v>45</v>
      </c>
      <c r="I286" s="4" t="s">
        <v>449</v>
      </c>
      <c r="J286" s="10">
        <v>15.993449999999999</v>
      </c>
      <c r="K286" s="10">
        <v>15.993</v>
      </c>
      <c r="L286" s="10">
        <f t="shared" si="54"/>
        <v>0</v>
      </c>
      <c r="M286" s="10">
        <f t="shared" si="55"/>
        <v>0</v>
      </c>
      <c r="N286" s="10"/>
      <c r="O286" s="10"/>
      <c r="P286" s="10">
        <v>0</v>
      </c>
      <c r="Q286" s="10"/>
      <c r="R286" s="10">
        <v>0</v>
      </c>
      <c r="S286" s="10"/>
      <c r="T286" s="10"/>
      <c r="U286" s="10"/>
      <c r="V286" s="4" t="s">
        <v>1116</v>
      </c>
      <c r="W286" s="4"/>
      <c r="X286" s="8"/>
      <c r="Y286" s="4"/>
      <c r="Z286" s="4"/>
      <c r="AA286" s="8">
        <v>45237</v>
      </c>
      <c r="AB286" s="8">
        <v>45237</v>
      </c>
      <c r="AC286" s="4"/>
      <c r="AD286" s="4"/>
    </row>
    <row r="287" spans="1:30" hidden="1">
      <c r="A287" s="4">
        <v>1293</v>
      </c>
      <c r="B287" s="8">
        <v>45272</v>
      </c>
      <c r="C287" s="4"/>
      <c r="D287" s="69" t="s">
        <v>42</v>
      </c>
      <c r="E287" s="8">
        <v>45283</v>
      </c>
      <c r="F287" s="4" t="s">
        <v>43</v>
      </c>
      <c r="G287" s="4" t="s">
        <v>1415</v>
      </c>
      <c r="H287" s="4" t="s">
        <v>45</v>
      </c>
      <c r="I287" s="4" t="s">
        <v>407</v>
      </c>
      <c r="J287" s="10">
        <v>1.5</v>
      </c>
      <c r="K287" s="10">
        <v>1.5049999999999999</v>
      </c>
      <c r="L287" s="10">
        <f t="shared" ref="L287:L294" si="60">M287+U287</f>
        <v>0</v>
      </c>
      <c r="M287" s="10">
        <f t="shared" ref="M287:M294" si="61">SUM(N287:T287)</f>
        <v>0</v>
      </c>
      <c r="N287" s="10"/>
      <c r="O287" s="10"/>
      <c r="P287" s="10"/>
      <c r="Q287" s="10"/>
      <c r="R287" s="77">
        <v>0</v>
      </c>
      <c r="S287" s="10"/>
      <c r="T287" s="10"/>
      <c r="U287" s="10"/>
      <c r="V287" s="4" t="s">
        <v>1414</v>
      </c>
      <c r="W287" s="74" t="s">
        <v>521</v>
      </c>
      <c r="X287" s="8">
        <v>45282</v>
      </c>
      <c r="Y287" s="4"/>
      <c r="Z287" s="4"/>
      <c r="AA287" s="8"/>
      <c r="AB287" s="8">
        <v>45285</v>
      </c>
      <c r="AC287" s="4"/>
      <c r="AD287" s="4"/>
    </row>
    <row r="288" spans="1:30" hidden="1">
      <c r="A288" s="4">
        <v>1293</v>
      </c>
      <c r="B288" s="8">
        <v>45272</v>
      </c>
      <c r="C288" s="4"/>
      <c r="D288" s="69" t="s">
        <v>42</v>
      </c>
      <c r="E288" s="8">
        <v>45283</v>
      </c>
      <c r="F288" s="4" t="s">
        <v>43</v>
      </c>
      <c r="G288" s="4" t="s">
        <v>1415</v>
      </c>
      <c r="H288" s="4" t="s">
        <v>45</v>
      </c>
      <c r="I288" s="4" t="s">
        <v>47</v>
      </c>
      <c r="J288" s="10">
        <v>1.68</v>
      </c>
      <c r="K288" s="10">
        <v>1.675</v>
      </c>
      <c r="L288" s="10">
        <f t="shared" si="60"/>
        <v>0</v>
      </c>
      <c r="M288" s="10">
        <f t="shared" si="61"/>
        <v>0</v>
      </c>
      <c r="N288" s="10"/>
      <c r="O288" s="10"/>
      <c r="P288" s="10">
        <v>0</v>
      </c>
      <c r="Q288" s="10"/>
      <c r="R288" s="10"/>
      <c r="S288" s="10"/>
      <c r="T288" s="10"/>
      <c r="U288" s="10"/>
      <c r="V288" s="4" t="s">
        <v>1414</v>
      </c>
      <c r="W288" s="4"/>
      <c r="X288" s="8">
        <v>45282</v>
      </c>
      <c r="Y288" s="4"/>
      <c r="Z288" s="4"/>
      <c r="AA288" s="8"/>
      <c r="AB288" s="8">
        <v>45285</v>
      </c>
      <c r="AC288" s="4"/>
      <c r="AD288" s="4"/>
    </row>
    <row r="289" spans="1:30">
      <c r="A289" s="4">
        <v>1291</v>
      </c>
      <c r="B289" s="8">
        <v>45274</v>
      </c>
      <c r="C289" s="4"/>
      <c r="D289" s="69" t="s">
        <v>42</v>
      </c>
      <c r="E289" s="8">
        <v>45283</v>
      </c>
      <c r="F289" s="4" t="s">
        <v>43</v>
      </c>
      <c r="G289" s="4" t="s">
        <v>1275</v>
      </c>
      <c r="H289" s="4" t="s">
        <v>45</v>
      </c>
      <c r="I289" s="4" t="s">
        <v>409</v>
      </c>
      <c r="J289" s="10">
        <v>166.52</v>
      </c>
      <c r="K289" s="10">
        <f>49.661+49.958+49.361+16.949</f>
        <v>165.929</v>
      </c>
      <c r="L289" s="10">
        <f t="shared" si="60"/>
        <v>0.59499999999999997</v>
      </c>
      <c r="M289" s="10">
        <f t="shared" si="61"/>
        <v>0</v>
      </c>
      <c r="N289" s="10"/>
      <c r="O289" s="10"/>
      <c r="P289" s="10">
        <v>0</v>
      </c>
      <c r="Q289" s="10"/>
      <c r="R289" s="10"/>
      <c r="S289" s="10"/>
      <c r="T289" s="10"/>
      <c r="U289" s="10">
        <v>0.59499999999999997</v>
      </c>
      <c r="V289" s="91" t="s">
        <v>1413</v>
      </c>
      <c r="W289" s="4"/>
      <c r="X289" s="8">
        <v>45282</v>
      </c>
      <c r="Y289" s="4"/>
      <c r="Z289" s="4"/>
      <c r="AA289" s="8"/>
      <c r="AB289" s="8">
        <v>45285</v>
      </c>
      <c r="AC289" s="4"/>
      <c r="AD289" s="4"/>
    </row>
    <row r="290" spans="1:30" hidden="1">
      <c r="A290" s="4">
        <v>1291</v>
      </c>
      <c r="B290" s="8">
        <v>45272</v>
      </c>
      <c r="C290" s="4"/>
      <c r="D290" s="69" t="s">
        <v>42</v>
      </c>
      <c r="E290" s="8">
        <v>45283</v>
      </c>
      <c r="F290" s="4" t="s">
        <v>43</v>
      </c>
      <c r="G290" s="4" t="s">
        <v>1275</v>
      </c>
      <c r="H290" s="4" t="s">
        <v>45</v>
      </c>
      <c r="I290" s="4" t="s">
        <v>407</v>
      </c>
      <c r="J290" s="10">
        <v>52.09</v>
      </c>
      <c r="K290" s="10">
        <f>24.616+25.057+2.418</f>
        <v>52.091000000000001</v>
      </c>
      <c r="L290" s="10">
        <f t="shared" si="60"/>
        <v>0</v>
      </c>
      <c r="M290" s="10">
        <f t="shared" si="61"/>
        <v>0</v>
      </c>
      <c r="N290" s="10"/>
      <c r="O290" s="10"/>
      <c r="P290" s="10">
        <v>0</v>
      </c>
      <c r="Q290" s="10"/>
      <c r="R290" s="10"/>
      <c r="S290" s="10"/>
      <c r="T290" s="10"/>
      <c r="U290" s="10"/>
      <c r="V290" s="4" t="s">
        <v>1413</v>
      </c>
      <c r="W290" s="4"/>
      <c r="X290" s="8">
        <v>45281</v>
      </c>
      <c r="Y290" s="4"/>
      <c r="Z290" s="4"/>
      <c r="AA290" s="8"/>
      <c r="AB290" s="8">
        <v>45284</v>
      </c>
      <c r="AC290" s="4"/>
      <c r="AD290" s="4"/>
    </row>
    <row r="291" spans="1:30">
      <c r="A291" s="4">
        <v>1291</v>
      </c>
      <c r="B291" s="8">
        <v>45272</v>
      </c>
      <c r="C291" s="4"/>
      <c r="D291" s="69" t="s">
        <v>42</v>
      </c>
      <c r="E291" s="8">
        <v>45283</v>
      </c>
      <c r="F291" s="4" t="s">
        <v>43</v>
      </c>
      <c r="G291" s="4" t="s">
        <v>1275</v>
      </c>
      <c r="H291" s="4" t="s">
        <v>45</v>
      </c>
      <c r="I291" s="4" t="s">
        <v>50</v>
      </c>
      <c r="J291" s="10">
        <v>61.9</v>
      </c>
      <c r="K291" s="10">
        <f>5.292+9.26+8.335+24.635+11.853</f>
        <v>59.375000000000007</v>
      </c>
      <c r="L291" s="10">
        <f t="shared" si="60"/>
        <v>2.4079999999999999</v>
      </c>
      <c r="M291" s="10">
        <f t="shared" si="61"/>
        <v>0</v>
      </c>
      <c r="N291" s="10"/>
      <c r="O291" s="10"/>
      <c r="P291" s="10">
        <v>0</v>
      </c>
      <c r="Q291" s="10"/>
      <c r="R291" s="10"/>
      <c r="S291" s="10"/>
      <c r="T291" s="10"/>
      <c r="U291" s="10">
        <v>2.4079999999999999</v>
      </c>
      <c r="V291" s="4" t="s">
        <v>1413</v>
      </c>
      <c r="W291" s="4"/>
      <c r="X291" s="8">
        <v>45283</v>
      </c>
      <c r="Y291" s="4"/>
      <c r="Z291" s="4"/>
      <c r="AA291" s="8"/>
      <c r="AB291" s="8">
        <v>45285</v>
      </c>
      <c r="AC291" s="4"/>
      <c r="AD291" s="4"/>
    </row>
    <row r="292" spans="1:30" hidden="1">
      <c r="A292" s="103">
        <v>1291</v>
      </c>
      <c r="B292" s="8">
        <v>45272</v>
      </c>
      <c r="C292" s="103"/>
      <c r="D292" s="69" t="s">
        <v>42</v>
      </c>
      <c r="E292" s="8">
        <v>45283</v>
      </c>
      <c r="F292" s="103" t="s">
        <v>43</v>
      </c>
      <c r="G292" s="103" t="s">
        <v>1409</v>
      </c>
      <c r="H292" s="103" t="s">
        <v>3</v>
      </c>
      <c r="I292" s="103" t="s">
        <v>50</v>
      </c>
      <c r="J292" s="10">
        <v>15.52</v>
      </c>
      <c r="K292" s="10">
        <f>3.88+11.638</f>
        <v>15.518000000000001</v>
      </c>
      <c r="L292" s="10">
        <f t="shared" si="60"/>
        <v>0</v>
      </c>
      <c r="M292" s="10">
        <f t="shared" si="61"/>
        <v>0</v>
      </c>
      <c r="N292" s="10"/>
      <c r="O292" s="10"/>
      <c r="P292" s="10">
        <v>0</v>
      </c>
      <c r="Q292" s="10"/>
      <c r="R292" s="10">
        <v>0</v>
      </c>
      <c r="S292" s="10"/>
      <c r="T292" s="10"/>
      <c r="U292" s="10"/>
      <c r="V292" s="103" t="s">
        <v>1413</v>
      </c>
      <c r="W292" s="103"/>
      <c r="X292" s="8">
        <v>45283</v>
      </c>
      <c r="Y292" s="103"/>
      <c r="Z292" s="103"/>
      <c r="AA292" s="8"/>
      <c r="AB292" s="8">
        <v>45285</v>
      </c>
      <c r="AC292" s="103"/>
      <c r="AD292" s="103"/>
    </row>
    <row r="293" spans="1:30" hidden="1">
      <c r="A293" s="103">
        <v>1292</v>
      </c>
      <c r="B293" s="8">
        <v>45272</v>
      </c>
      <c r="C293" s="103"/>
      <c r="D293" s="69" t="s">
        <v>42</v>
      </c>
      <c r="E293" s="8">
        <v>45283</v>
      </c>
      <c r="F293" s="103" t="s">
        <v>43</v>
      </c>
      <c r="G293" s="103" t="s">
        <v>1275</v>
      </c>
      <c r="H293" s="103" t="s">
        <v>45</v>
      </c>
      <c r="I293" s="103" t="s">
        <v>837</v>
      </c>
      <c r="J293" s="10">
        <v>1.45</v>
      </c>
      <c r="K293" s="10">
        <v>1.4430000000000001</v>
      </c>
      <c r="L293" s="10">
        <f t="shared" si="60"/>
        <v>0</v>
      </c>
      <c r="M293" s="10">
        <f t="shared" si="61"/>
        <v>0</v>
      </c>
      <c r="N293" s="10"/>
      <c r="O293" s="10"/>
      <c r="P293" s="10">
        <v>0</v>
      </c>
      <c r="Q293" s="10"/>
      <c r="R293" s="10"/>
      <c r="S293" s="10"/>
      <c r="T293" s="10"/>
      <c r="U293" s="10"/>
      <c r="V293" s="103" t="s">
        <v>1413</v>
      </c>
      <c r="W293" s="103"/>
      <c r="X293" s="8"/>
      <c r="Y293" s="103"/>
      <c r="Z293" s="103"/>
      <c r="AA293" s="8"/>
      <c r="AB293" s="8">
        <v>45284</v>
      </c>
      <c r="AC293" s="103"/>
      <c r="AD293" s="103"/>
    </row>
    <row r="294" spans="1:30">
      <c r="A294" s="103">
        <v>1292</v>
      </c>
      <c r="B294" s="8">
        <v>45272</v>
      </c>
      <c r="C294" s="103"/>
      <c r="D294" s="69" t="s">
        <v>42</v>
      </c>
      <c r="E294" s="8">
        <v>45283</v>
      </c>
      <c r="F294" s="103" t="s">
        <v>43</v>
      </c>
      <c r="G294" s="103" t="s">
        <v>1275</v>
      </c>
      <c r="H294" s="103" t="s">
        <v>45</v>
      </c>
      <c r="I294" s="103" t="s">
        <v>448</v>
      </c>
      <c r="J294" s="10">
        <f>31.03-3.752+3.722</f>
        <v>31.000000000000004</v>
      </c>
      <c r="K294" s="10">
        <f>16.268+11.48</f>
        <v>27.748000000000001</v>
      </c>
      <c r="L294" s="10">
        <f t="shared" si="60"/>
        <v>4.6529999999999996</v>
      </c>
      <c r="M294" s="10">
        <f t="shared" si="61"/>
        <v>4.6529999999999996</v>
      </c>
      <c r="N294" s="10"/>
      <c r="O294" s="10"/>
      <c r="P294" s="10">
        <v>4.6529999999999996</v>
      </c>
      <c r="Q294" s="10"/>
      <c r="R294" s="10"/>
      <c r="S294" s="10"/>
      <c r="T294" s="10"/>
      <c r="U294" s="10"/>
      <c r="V294" s="103" t="s">
        <v>1413</v>
      </c>
      <c r="W294" s="103"/>
      <c r="X294" s="8"/>
      <c r="Y294" s="103"/>
      <c r="Z294" s="103"/>
      <c r="AA294" s="8">
        <v>45275</v>
      </c>
      <c r="AB294" s="8">
        <v>45284</v>
      </c>
      <c r="AC294" s="103"/>
      <c r="AD294" s="103"/>
    </row>
    <row r="295" spans="1:30">
      <c r="A295" s="103">
        <v>1443</v>
      </c>
      <c r="B295" s="8">
        <v>45288</v>
      </c>
      <c r="C295" s="103"/>
      <c r="D295" s="69" t="s">
        <v>42</v>
      </c>
      <c r="E295" s="8">
        <v>45298</v>
      </c>
      <c r="F295" s="103" t="s">
        <v>43</v>
      </c>
      <c r="G295" s="15" t="s">
        <v>94</v>
      </c>
      <c r="H295" s="103" t="s">
        <v>45</v>
      </c>
      <c r="I295" s="51" t="s">
        <v>407</v>
      </c>
      <c r="J295" s="110">
        <v>6.1181999999999999</v>
      </c>
      <c r="K295" s="9"/>
      <c r="L295" s="10">
        <f t="shared" ref="L295:L297" si="62">M295+U295</f>
        <v>6.1181999999999999</v>
      </c>
      <c r="M295" s="10">
        <f t="shared" ref="M295:M297" si="63">SUM(N295:T295)</f>
        <v>0</v>
      </c>
      <c r="N295" s="10"/>
      <c r="O295" s="10"/>
      <c r="P295" s="10"/>
      <c r="Q295" s="10"/>
      <c r="R295" s="10"/>
      <c r="S295" s="10"/>
      <c r="T295" s="10"/>
      <c r="U295" s="110">
        <v>6.1181999999999999</v>
      </c>
      <c r="V295" s="51" t="s">
        <v>1483</v>
      </c>
      <c r="W295" s="103"/>
      <c r="X295" s="8"/>
      <c r="Y295" s="103"/>
      <c r="Z295" s="103"/>
      <c r="AA295" s="8"/>
      <c r="AB295" s="8"/>
      <c r="AC295" s="103"/>
      <c r="AD295" s="103"/>
    </row>
    <row r="296" spans="1:30">
      <c r="A296" s="103">
        <v>1443</v>
      </c>
      <c r="B296" s="8">
        <v>45288</v>
      </c>
      <c r="C296" s="103"/>
      <c r="D296" s="69" t="s">
        <v>42</v>
      </c>
      <c r="E296" s="8">
        <v>45298</v>
      </c>
      <c r="F296" s="103" t="s">
        <v>43</v>
      </c>
      <c r="G296" s="15" t="s">
        <v>94</v>
      </c>
      <c r="H296" s="103" t="s">
        <v>45</v>
      </c>
      <c r="I296" s="51" t="s">
        <v>409</v>
      </c>
      <c r="J296" s="110">
        <v>24.164040000000004</v>
      </c>
      <c r="K296" s="9"/>
      <c r="L296" s="10">
        <f t="shared" si="62"/>
        <v>24.164040000000004</v>
      </c>
      <c r="M296" s="10">
        <f t="shared" si="63"/>
        <v>0</v>
      </c>
      <c r="N296" s="10"/>
      <c r="O296" s="10"/>
      <c r="P296" s="10"/>
      <c r="Q296" s="10"/>
      <c r="R296" s="10"/>
      <c r="S296" s="10"/>
      <c r="T296" s="10"/>
      <c r="U296" s="110">
        <v>24.164040000000004</v>
      </c>
      <c r="V296" s="51" t="s">
        <v>1483</v>
      </c>
      <c r="W296" s="103"/>
      <c r="X296" s="8"/>
      <c r="Y296" s="103"/>
      <c r="Z296" s="103"/>
      <c r="AA296" s="8"/>
      <c r="AB296" s="8"/>
      <c r="AC296" s="103"/>
      <c r="AD296" s="103"/>
    </row>
    <row r="297" spans="1:30">
      <c r="A297" s="103">
        <v>1443</v>
      </c>
      <c r="B297" s="8">
        <v>45288</v>
      </c>
      <c r="C297" s="103"/>
      <c r="D297" s="69" t="s">
        <v>42</v>
      </c>
      <c r="E297" s="8">
        <v>45298</v>
      </c>
      <c r="F297" s="103" t="s">
        <v>43</v>
      </c>
      <c r="G297" s="15" t="s">
        <v>94</v>
      </c>
      <c r="H297" s="103" t="s">
        <v>45</v>
      </c>
      <c r="I297" s="51" t="s">
        <v>47</v>
      </c>
      <c r="J297" s="110">
        <v>3.9952799999999997</v>
      </c>
      <c r="K297" s="9"/>
      <c r="L297" s="10">
        <f t="shared" si="62"/>
        <v>3.9952799999999997</v>
      </c>
      <c r="M297" s="10">
        <f t="shared" si="63"/>
        <v>0</v>
      </c>
      <c r="N297" s="10"/>
      <c r="O297" s="10"/>
      <c r="P297" s="10"/>
      <c r="Q297" s="10"/>
      <c r="R297" s="10"/>
      <c r="S297" s="10"/>
      <c r="T297" s="10"/>
      <c r="U297" s="110">
        <v>3.9952799999999997</v>
      </c>
      <c r="V297" s="51" t="s">
        <v>1483</v>
      </c>
      <c r="W297" s="103"/>
      <c r="X297" s="8"/>
      <c r="Y297" s="103"/>
      <c r="Z297" s="103"/>
      <c r="AA297" s="8"/>
      <c r="AB297" s="8"/>
      <c r="AC297" s="103"/>
      <c r="AD297" s="103"/>
    </row>
    <row r="298" spans="1:30">
      <c r="A298" s="103">
        <v>1441</v>
      </c>
      <c r="B298" s="8">
        <v>45288</v>
      </c>
      <c r="C298" s="103"/>
      <c r="D298" s="69" t="s">
        <v>42</v>
      </c>
      <c r="E298" s="8">
        <v>45298</v>
      </c>
      <c r="F298" s="103" t="s">
        <v>43</v>
      </c>
      <c r="G298" s="15" t="s">
        <v>94</v>
      </c>
      <c r="H298" s="103" t="s">
        <v>45</v>
      </c>
      <c r="I298" s="51" t="s">
        <v>49</v>
      </c>
      <c r="J298" s="111">
        <v>26.872299999999999</v>
      </c>
      <c r="K298" s="9"/>
      <c r="L298" s="10">
        <f t="shared" ref="L298:L305" si="64">M298+U298</f>
        <v>26.872299999999999</v>
      </c>
      <c r="M298" s="10">
        <f t="shared" ref="M298:M305" si="65">SUM(N298:T298)</f>
        <v>0</v>
      </c>
      <c r="N298" s="10"/>
      <c r="O298" s="10"/>
      <c r="P298" s="10"/>
      <c r="Q298" s="10"/>
      <c r="R298" s="10"/>
      <c r="S298" s="10"/>
      <c r="T298" s="10"/>
      <c r="U298" s="111">
        <v>26.872299999999999</v>
      </c>
      <c r="V298" s="51" t="s">
        <v>1483</v>
      </c>
      <c r="W298" s="103"/>
      <c r="X298" s="8"/>
      <c r="Y298" s="103"/>
      <c r="Z298" s="103"/>
      <c r="AA298" s="8"/>
      <c r="AB298" s="8"/>
      <c r="AC298" s="103"/>
      <c r="AD298" s="103"/>
    </row>
    <row r="299" spans="1:30">
      <c r="A299" s="103">
        <v>1441</v>
      </c>
      <c r="B299" s="8">
        <v>45288</v>
      </c>
      <c r="C299" s="103"/>
      <c r="D299" s="69" t="s">
        <v>42</v>
      </c>
      <c r="E299" s="8">
        <v>45298</v>
      </c>
      <c r="F299" s="103" t="s">
        <v>43</v>
      </c>
      <c r="G299" s="15" t="s">
        <v>94</v>
      </c>
      <c r="H299" s="103" t="s">
        <v>45</v>
      </c>
      <c r="I299" s="51" t="s">
        <v>519</v>
      </c>
      <c r="J299" s="111">
        <v>11.753</v>
      </c>
      <c r="K299" s="9"/>
      <c r="L299" s="10">
        <f t="shared" si="64"/>
        <v>11.753</v>
      </c>
      <c r="M299" s="10">
        <f t="shared" si="65"/>
        <v>11.753</v>
      </c>
      <c r="N299" s="10"/>
      <c r="O299" s="10"/>
      <c r="P299" s="10"/>
      <c r="Q299" s="10"/>
      <c r="R299" s="10">
        <v>0.50600000000000001</v>
      </c>
      <c r="S299" s="10"/>
      <c r="T299" s="111">
        <f>11.753-0.506</f>
        <v>11.247</v>
      </c>
      <c r="U299" s="111"/>
      <c r="V299" s="103" t="s">
        <v>1483</v>
      </c>
      <c r="W299" s="103"/>
      <c r="X299" s="8">
        <v>45295</v>
      </c>
      <c r="Y299" s="103"/>
      <c r="Z299" s="103"/>
      <c r="AA299" s="8"/>
      <c r="AB299" s="8"/>
      <c r="AC299" s="103"/>
      <c r="AD299" s="103"/>
    </row>
    <row r="300" spans="1:30">
      <c r="A300" s="103">
        <v>1441</v>
      </c>
      <c r="B300" s="8">
        <v>45288</v>
      </c>
      <c r="C300" s="103"/>
      <c r="D300" s="69" t="s">
        <v>42</v>
      </c>
      <c r="E300" s="8">
        <v>45298</v>
      </c>
      <c r="F300" s="103" t="s">
        <v>43</v>
      </c>
      <c r="G300" s="15" t="s">
        <v>94</v>
      </c>
      <c r="H300" s="103" t="s">
        <v>45</v>
      </c>
      <c r="I300" s="51" t="s">
        <v>517</v>
      </c>
      <c r="J300" s="9">
        <v>17.3</v>
      </c>
      <c r="K300" s="9"/>
      <c r="L300" s="10">
        <f t="shared" si="64"/>
        <v>17.3</v>
      </c>
      <c r="M300" s="10">
        <f t="shared" si="65"/>
        <v>17.3</v>
      </c>
      <c r="N300" s="10"/>
      <c r="O300" s="196"/>
      <c r="P300" s="196">
        <f>17.3-1.144</f>
        <v>16.156000000000002</v>
      </c>
      <c r="Q300" s="10"/>
      <c r="R300" s="10">
        <v>1.1439999999999999</v>
      </c>
      <c r="S300" s="10"/>
      <c r="T300" s="196"/>
      <c r="U300" s="9"/>
      <c r="V300" s="103" t="s">
        <v>1483</v>
      </c>
      <c r="W300" s="103"/>
      <c r="X300" s="8">
        <v>45295</v>
      </c>
      <c r="Y300" s="103"/>
      <c r="Z300" s="103"/>
      <c r="AA300" s="8"/>
      <c r="AB300" s="8"/>
      <c r="AC300" s="103"/>
      <c r="AD300" s="103"/>
    </row>
    <row r="301" spans="1:30">
      <c r="A301" s="103">
        <v>1441</v>
      </c>
      <c r="B301" s="8">
        <v>45288</v>
      </c>
      <c r="C301" s="103"/>
      <c r="D301" s="69" t="s">
        <v>42</v>
      </c>
      <c r="E301" s="8">
        <v>45298</v>
      </c>
      <c r="F301" s="103" t="s">
        <v>43</v>
      </c>
      <c r="G301" s="15" t="s">
        <v>94</v>
      </c>
      <c r="H301" s="103" t="s">
        <v>45</v>
      </c>
      <c r="I301" s="51" t="s">
        <v>579</v>
      </c>
      <c r="J301" s="111">
        <v>14.529680000000001</v>
      </c>
      <c r="K301" s="9"/>
      <c r="L301" s="10">
        <f t="shared" si="64"/>
        <v>14.529680000000001</v>
      </c>
      <c r="M301" s="10">
        <f t="shared" si="65"/>
        <v>14.529680000000001</v>
      </c>
      <c r="N301" s="10"/>
      <c r="O301" s="10"/>
      <c r="P301" s="10">
        <v>3.621</v>
      </c>
      <c r="Q301" s="10"/>
      <c r="R301" s="10">
        <v>2.9580000000000002</v>
      </c>
      <c r="S301" s="10"/>
      <c r="T301" s="111">
        <f>14.52968-2.958-3.621</f>
        <v>7.9506800000000002</v>
      </c>
      <c r="U301" s="111"/>
      <c r="V301" s="103" t="s">
        <v>1483</v>
      </c>
      <c r="W301" s="103"/>
      <c r="X301" s="8">
        <v>45295</v>
      </c>
      <c r="Y301" s="103"/>
      <c r="Z301" s="103"/>
      <c r="AA301" s="8"/>
      <c r="AB301" s="8"/>
      <c r="AC301" s="103"/>
      <c r="AD301" s="103"/>
    </row>
    <row r="302" spans="1:30">
      <c r="A302" s="195">
        <v>1441</v>
      </c>
      <c r="B302" s="8">
        <v>45288</v>
      </c>
      <c r="C302" s="195"/>
      <c r="D302" s="69" t="s">
        <v>42</v>
      </c>
      <c r="E302" s="8">
        <v>45298</v>
      </c>
      <c r="F302" s="195" t="s">
        <v>43</v>
      </c>
      <c r="G302" s="15" t="s">
        <v>94</v>
      </c>
      <c r="H302" s="195" t="s">
        <v>45</v>
      </c>
      <c r="I302" s="51" t="s">
        <v>448</v>
      </c>
      <c r="J302" s="196">
        <v>9.42</v>
      </c>
      <c r="K302" s="196"/>
      <c r="L302" s="10">
        <f t="shared" si="64"/>
        <v>9.42</v>
      </c>
      <c r="M302" s="10">
        <f t="shared" si="65"/>
        <v>9.42</v>
      </c>
      <c r="N302" s="10"/>
      <c r="O302" s="10"/>
      <c r="P302" s="10">
        <f>2.069+5.516+1.835</f>
        <v>9.42</v>
      </c>
      <c r="Q302" s="10"/>
      <c r="R302" s="10"/>
      <c r="S302" s="10"/>
      <c r="T302" s="196"/>
      <c r="U302" s="196"/>
      <c r="V302" s="195" t="s">
        <v>1483</v>
      </c>
      <c r="W302" s="195"/>
      <c r="X302" s="8">
        <v>45295</v>
      </c>
      <c r="Y302" s="195"/>
      <c r="Z302" s="195"/>
      <c r="AA302" s="8"/>
      <c r="AB302" s="8"/>
      <c r="AC302" s="195"/>
      <c r="AD302" s="195"/>
    </row>
    <row r="303" spans="1:30">
      <c r="A303" s="195">
        <v>1441</v>
      </c>
      <c r="B303" s="8">
        <v>45288</v>
      </c>
      <c r="C303" s="195"/>
      <c r="D303" s="69" t="s">
        <v>42</v>
      </c>
      <c r="E303" s="8">
        <v>45298</v>
      </c>
      <c r="F303" s="195" t="s">
        <v>43</v>
      </c>
      <c r="G303" s="15" t="s">
        <v>94</v>
      </c>
      <c r="H303" s="195" t="s">
        <v>45</v>
      </c>
      <c r="I303" s="51" t="s">
        <v>449</v>
      </c>
      <c r="J303" s="111">
        <v>6.1065899999999997</v>
      </c>
      <c r="K303" s="196"/>
      <c r="L303" s="10">
        <f t="shared" si="64"/>
        <v>6.1065899999999997</v>
      </c>
      <c r="M303" s="10">
        <f t="shared" si="65"/>
        <v>6.1065899999999997</v>
      </c>
      <c r="N303" s="10"/>
      <c r="O303" s="10"/>
      <c r="P303" s="10"/>
      <c r="Q303" s="10"/>
      <c r="R303" s="10">
        <v>1.583</v>
      </c>
      <c r="S303" s="10"/>
      <c r="T303" s="111">
        <f>6.10659-1.583</f>
        <v>4.5235899999999996</v>
      </c>
      <c r="U303" s="111"/>
      <c r="V303" s="195" t="s">
        <v>1483</v>
      </c>
      <c r="W303" s="195"/>
      <c r="X303" s="8">
        <v>45295</v>
      </c>
      <c r="Y303" s="195"/>
      <c r="Z303" s="195"/>
      <c r="AA303" s="8"/>
      <c r="AB303" s="8"/>
      <c r="AC303" s="195"/>
      <c r="AD303" s="195"/>
    </row>
    <row r="304" spans="1:30">
      <c r="A304" s="195">
        <v>1441</v>
      </c>
      <c r="B304" s="8">
        <v>45288</v>
      </c>
      <c r="C304" s="195"/>
      <c r="D304" s="69" t="s">
        <v>42</v>
      </c>
      <c r="E304" s="8">
        <v>45298</v>
      </c>
      <c r="F304" s="195" t="s">
        <v>43</v>
      </c>
      <c r="G304" s="15" t="s">
        <v>94</v>
      </c>
      <c r="H304" s="195" t="s">
        <v>45</v>
      </c>
      <c r="I304" s="51" t="s">
        <v>447</v>
      </c>
      <c r="J304" s="111">
        <v>20.94022</v>
      </c>
      <c r="K304" s="196"/>
      <c r="L304" s="10">
        <f t="shared" si="64"/>
        <v>20.94022</v>
      </c>
      <c r="M304" s="10">
        <f t="shared" si="65"/>
        <v>20.94022</v>
      </c>
      <c r="N304" s="10"/>
      <c r="O304" s="111"/>
      <c r="P304" s="111">
        <f>20.94022-1.412</f>
        <v>19.528220000000001</v>
      </c>
      <c r="Q304" s="10"/>
      <c r="R304" s="10">
        <v>1.4119999999999999</v>
      </c>
      <c r="S304" s="10"/>
      <c r="T304" s="111"/>
      <c r="U304" s="111"/>
      <c r="V304" s="195" t="s">
        <v>1483</v>
      </c>
      <c r="W304" s="195"/>
      <c r="X304" s="8">
        <v>45295</v>
      </c>
      <c r="Y304" s="195"/>
      <c r="Z304" s="195"/>
      <c r="AA304" s="8"/>
      <c r="AB304" s="8"/>
      <c r="AC304" s="195"/>
      <c r="AD304" s="195"/>
    </row>
    <row r="305" spans="1:30">
      <c r="A305" s="195">
        <v>1441</v>
      </c>
      <c r="B305" s="8">
        <v>45288</v>
      </c>
      <c r="C305" s="195"/>
      <c r="D305" s="69" t="s">
        <v>42</v>
      </c>
      <c r="E305" s="8">
        <v>45298</v>
      </c>
      <c r="F305" s="195" t="s">
        <v>43</v>
      </c>
      <c r="G305" s="15" t="s">
        <v>94</v>
      </c>
      <c r="H305" s="195" t="s">
        <v>45</v>
      </c>
      <c r="I305" s="51" t="s">
        <v>518</v>
      </c>
      <c r="J305" s="196">
        <v>27.34</v>
      </c>
      <c r="K305" s="196"/>
      <c r="L305" s="10">
        <f t="shared" si="64"/>
        <v>27.34</v>
      </c>
      <c r="M305" s="10">
        <f t="shared" si="65"/>
        <v>27.34</v>
      </c>
      <c r="N305" s="10"/>
      <c r="O305" s="10"/>
      <c r="P305" s="10">
        <v>22.042999999999999</v>
      </c>
      <c r="Q305" s="10"/>
      <c r="R305" s="10">
        <v>1.4410000000000001</v>
      </c>
      <c r="S305" s="10"/>
      <c r="T305" s="196">
        <f>27.34-1.441-22.043</f>
        <v>3.8560000000000016</v>
      </c>
      <c r="U305" s="196"/>
      <c r="V305" s="195" t="s">
        <v>1483</v>
      </c>
      <c r="W305" s="195"/>
      <c r="X305" s="8">
        <v>45295</v>
      </c>
      <c r="Y305" s="195"/>
      <c r="Z305" s="195"/>
      <c r="AA305" s="8"/>
      <c r="AB305" s="8"/>
      <c r="AC305" s="195"/>
      <c r="AD305" s="195"/>
    </row>
    <row r="306" spans="1:30">
      <c r="A306" s="195">
        <v>1452</v>
      </c>
      <c r="B306" s="8">
        <v>45294</v>
      </c>
      <c r="C306" s="195"/>
      <c r="D306" s="69" t="s">
        <v>42</v>
      </c>
      <c r="E306" s="8">
        <v>45306</v>
      </c>
      <c r="F306" s="195" t="s">
        <v>43</v>
      </c>
      <c r="G306" s="15" t="s">
        <v>94</v>
      </c>
      <c r="H306" s="195" t="s">
        <v>45</v>
      </c>
      <c r="I306" s="51" t="s">
        <v>407</v>
      </c>
      <c r="J306" s="207">
        <v>6.6112200000000003</v>
      </c>
      <c r="K306" s="196"/>
      <c r="L306" s="10">
        <f t="shared" ref="L306:L309" si="66">M306+U306</f>
        <v>6.6112200000000003</v>
      </c>
      <c r="M306" s="10">
        <f t="shared" ref="M306:M309" si="67">SUM(N306:T306)</f>
        <v>0</v>
      </c>
      <c r="N306" s="10"/>
      <c r="O306" s="10"/>
      <c r="P306" s="10"/>
      <c r="Q306" s="10"/>
      <c r="R306" s="10"/>
      <c r="S306" s="10"/>
      <c r="T306" s="10"/>
      <c r="U306" s="207">
        <v>6.6112200000000003</v>
      </c>
      <c r="V306" s="195" t="s">
        <v>341</v>
      </c>
      <c r="W306" s="195"/>
      <c r="X306" s="8"/>
      <c r="Y306" s="195"/>
      <c r="Z306" s="195"/>
      <c r="AA306" s="8"/>
      <c r="AB306" s="8"/>
      <c r="AC306" s="195"/>
      <c r="AD306" s="195"/>
    </row>
    <row r="307" spans="1:30">
      <c r="A307" s="195">
        <v>1452</v>
      </c>
      <c r="B307" s="8">
        <v>45294</v>
      </c>
      <c r="C307" s="195"/>
      <c r="D307" s="69" t="s">
        <v>42</v>
      </c>
      <c r="E307" s="8">
        <v>45306</v>
      </c>
      <c r="F307" s="195" t="s">
        <v>43</v>
      </c>
      <c r="G307" s="15" t="s">
        <v>94</v>
      </c>
      <c r="H307" s="195" t="s">
        <v>45</v>
      </c>
      <c r="I307" s="51" t="s">
        <v>519</v>
      </c>
      <c r="J307" s="208">
        <v>12.558</v>
      </c>
      <c r="K307" s="196"/>
      <c r="L307" s="10">
        <f t="shared" si="66"/>
        <v>12.558</v>
      </c>
      <c r="M307" s="10">
        <f t="shared" si="67"/>
        <v>0</v>
      </c>
      <c r="N307" s="10"/>
      <c r="O307" s="10"/>
      <c r="P307" s="10"/>
      <c r="Q307" s="10"/>
      <c r="R307" s="10"/>
      <c r="S307" s="10"/>
      <c r="T307" s="10"/>
      <c r="U307" s="208">
        <v>12.558</v>
      </c>
      <c r="V307" s="195" t="s">
        <v>341</v>
      </c>
      <c r="W307" s="195"/>
      <c r="X307" s="8"/>
      <c r="Y307" s="195"/>
      <c r="Z307" s="195"/>
      <c r="AA307" s="8"/>
      <c r="AB307" s="8"/>
      <c r="AC307" s="195"/>
      <c r="AD307" s="195"/>
    </row>
    <row r="308" spans="1:30">
      <c r="A308" s="195">
        <v>1452</v>
      </c>
      <c r="B308" s="8">
        <v>45294</v>
      </c>
      <c r="C308" s="195"/>
      <c r="D308" s="69" t="s">
        <v>42</v>
      </c>
      <c r="E308" s="8">
        <v>45306</v>
      </c>
      <c r="F308" s="195" t="s">
        <v>43</v>
      </c>
      <c r="G308" s="15" t="s">
        <v>94</v>
      </c>
      <c r="H308" s="195" t="s">
        <v>45</v>
      </c>
      <c r="I308" s="51" t="s">
        <v>517</v>
      </c>
      <c r="J308" s="208">
        <v>1.125</v>
      </c>
      <c r="K308" s="196"/>
      <c r="L308" s="10">
        <f t="shared" si="66"/>
        <v>1.125</v>
      </c>
      <c r="M308" s="10">
        <f t="shared" si="67"/>
        <v>1.125</v>
      </c>
      <c r="N308" s="10"/>
      <c r="O308" s="208">
        <v>1.125</v>
      </c>
      <c r="P308" s="10"/>
      <c r="Q308" s="10"/>
      <c r="R308" s="10"/>
      <c r="S308" s="10"/>
      <c r="T308" s="208"/>
      <c r="U308" s="208"/>
      <c r="V308" s="195" t="s">
        <v>341</v>
      </c>
      <c r="W308" s="195"/>
      <c r="X308" s="8"/>
      <c r="Y308" s="195"/>
      <c r="Z308" s="195"/>
      <c r="AA308" s="8"/>
      <c r="AB308" s="8"/>
      <c r="AC308" s="195"/>
      <c r="AD308" s="195"/>
    </row>
    <row r="309" spans="1:30">
      <c r="A309" s="195">
        <v>1452</v>
      </c>
      <c r="B309" s="8">
        <v>45294</v>
      </c>
      <c r="C309" s="195"/>
      <c r="D309" s="69" t="s">
        <v>42</v>
      </c>
      <c r="E309" s="8">
        <v>45306</v>
      </c>
      <c r="F309" s="195" t="s">
        <v>43</v>
      </c>
      <c r="G309" s="15" t="s">
        <v>94</v>
      </c>
      <c r="H309" s="195" t="s">
        <v>45</v>
      </c>
      <c r="I309" s="51" t="s">
        <v>518</v>
      </c>
      <c r="J309" s="208">
        <v>88.256084999999999</v>
      </c>
      <c r="K309" s="196"/>
      <c r="L309" s="10">
        <f t="shared" si="66"/>
        <v>88.256084999999999</v>
      </c>
      <c r="M309" s="10">
        <f t="shared" si="67"/>
        <v>0</v>
      </c>
      <c r="N309" s="10"/>
      <c r="O309" s="10"/>
      <c r="P309" s="10"/>
      <c r="Q309" s="10"/>
      <c r="R309" s="10"/>
      <c r="S309" s="10"/>
      <c r="T309" s="10"/>
      <c r="U309" s="208">
        <v>88.256084999999999</v>
      </c>
      <c r="V309" s="195" t="s">
        <v>341</v>
      </c>
      <c r="W309" s="195"/>
      <c r="X309" s="8"/>
      <c r="Y309" s="195"/>
      <c r="Z309" s="195"/>
      <c r="AA309" s="8"/>
      <c r="AB309" s="8"/>
      <c r="AC309" s="195"/>
      <c r="AD309" s="195"/>
    </row>
    <row r="310" spans="1:30">
      <c r="A310" s="195"/>
      <c r="B310" s="8"/>
      <c r="C310" s="195"/>
      <c r="D310" s="195"/>
      <c r="E310" s="8"/>
      <c r="F310" s="195"/>
      <c r="G310" s="195"/>
      <c r="H310" s="195"/>
      <c r="I310" s="195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5"/>
      <c r="W310" s="195"/>
      <c r="X310" s="8"/>
      <c r="Y310" s="195"/>
      <c r="Z310" s="195"/>
      <c r="AA310" s="8"/>
      <c r="AB310" s="8"/>
      <c r="AC310" s="195"/>
      <c r="AD310" s="195"/>
    </row>
  </sheetData>
  <autoFilter ref="A4:AD309">
    <filterColumn colId="11">
      <filters>
        <filter val="0.595"/>
        <filter val="1.125"/>
        <filter val="11.753"/>
        <filter val="12.558"/>
        <filter val="14.530"/>
        <filter val="17.300"/>
        <filter val="2.408"/>
        <filter val="20.940"/>
        <filter val="24.164"/>
        <filter val="26.872"/>
        <filter val="27.340"/>
        <filter val="3.995"/>
        <filter val="4.653"/>
        <filter val="6.107"/>
        <filter val="6.118"/>
        <filter val="6.611"/>
        <filter val="88.256"/>
        <filter val="9.420"/>
      </filters>
    </filterColumn>
  </autoFilter>
  <mergeCells count="2">
    <mergeCell ref="A2:L2"/>
    <mergeCell ref="A3:G3"/>
  </mergeCells>
  <pageMargins left="0.2" right="0.18" top="0.2" bottom="0.2" header="0.2" footer="0.3"/>
  <pageSetup paperSize="9" scale="24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 filterMode="1"/>
  <dimension ref="A2:AD1009"/>
  <sheetViews>
    <sheetView topLeftCell="A2" workbookViewId="0">
      <pane ySplit="3" topLeftCell="A5" activePane="bottomLeft" state="frozen"/>
      <selection activeCell="I4" sqref="I4"/>
      <selection pane="bottomLeft" activeCell="O889" sqref="O889"/>
    </sheetView>
  </sheetViews>
  <sheetFormatPr defaultRowHeight="14.4"/>
  <cols>
    <col min="1" max="1" width="7.109375" customWidth="1"/>
    <col min="2" max="2" width="7.33203125" style="7" bestFit="1" customWidth="1"/>
    <col min="3" max="3" width="10.109375" customWidth="1"/>
    <col min="4" max="4" width="9" customWidth="1"/>
    <col min="5" max="5" width="8.44140625" style="7" customWidth="1"/>
    <col min="6" max="6" width="7.109375" customWidth="1"/>
    <col min="7" max="7" width="6.44140625" customWidth="1"/>
    <col min="8" max="8" width="5.5546875" customWidth="1"/>
    <col min="9" max="9" width="13.6640625" customWidth="1"/>
    <col min="10" max="10" width="9.5546875" bestFit="1" customWidth="1"/>
    <col min="11" max="11" width="8.44140625" customWidth="1"/>
    <col min="12" max="13" width="8.33203125" customWidth="1"/>
    <col min="14" max="15" width="8.44140625" customWidth="1"/>
    <col min="16" max="16" width="9.109375" bestFit="1" customWidth="1"/>
    <col min="17" max="17" width="8.109375" customWidth="1"/>
    <col min="18" max="18" width="8" customWidth="1"/>
    <col min="19" max="19" width="7.109375" customWidth="1"/>
    <col min="20" max="20" width="9" customWidth="1"/>
    <col min="21" max="21" width="8.5546875" bestFit="1" customWidth="1"/>
    <col min="22" max="22" width="14" customWidth="1"/>
    <col min="23" max="23" width="13.33203125" customWidth="1"/>
    <col min="24" max="24" width="8.6640625" style="7" customWidth="1"/>
    <col min="27" max="28" width="9.109375" style="7"/>
  </cols>
  <sheetData>
    <row r="2" spans="1:30">
      <c r="A2" s="236" t="s">
        <v>24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X2" s="7">
        <v>271</v>
      </c>
      <c r="Y2">
        <v>3643</v>
      </c>
      <c r="Z2">
        <f>Y2-X2</f>
        <v>3372</v>
      </c>
    </row>
    <row r="3" spans="1:30">
      <c r="A3" s="238" t="s">
        <v>1535</v>
      </c>
      <c r="B3" s="238"/>
      <c r="C3" s="238"/>
      <c r="D3" s="238"/>
      <c r="E3" s="238"/>
      <c r="F3" s="238"/>
      <c r="G3" s="238"/>
      <c r="H3" s="1"/>
      <c r="I3" s="1" t="s">
        <v>219</v>
      </c>
      <c r="J3" s="41">
        <f>SUBTOTAL(9,J5:J1009)</f>
        <v>104.11534000000002</v>
      </c>
      <c r="K3" s="41">
        <f t="shared" ref="K3:U3" si="0">SUBTOTAL(9,K5:K1009)</f>
        <v>2.13</v>
      </c>
      <c r="L3" s="41">
        <f t="shared" si="0"/>
        <v>101.98533999999999</v>
      </c>
      <c r="M3" s="41">
        <f t="shared" si="0"/>
        <v>4.4232000000000005</v>
      </c>
      <c r="N3" s="41">
        <f t="shared" si="0"/>
        <v>0</v>
      </c>
      <c r="O3" s="41">
        <f t="shared" si="0"/>
        <v>2.6082000000000001</v>
      </c>
      <c r="P3" s="41">
        <f t="shared" si="0"/>
        <v>0</v>
      </c>
      <c r="Q3" s="41">
        <f t="shared" si="0"/>
        <v>1.8149999999999999</v>
      </c>
      <c r="R3" s="41">
        <f t="shared" si="0"/>
        <v>0</v>
      </c>
      <c r="S3" s="41">
        <f t="shared" si="0"/>
        <v>0</v>
      </c>
      <c r="T3" s="41">
        <f t="shared" si="0"/>
        <v>0</v>
      </c>
      <c r="U3" s="41">
        <f t="shared" si="0"/>
        <v>97.562140000000014</v>
      </c>
      <c r="V3" s="1"/>
      <c r="W3" s="1"/>
      <c r="X3" s="12"/>
      <c r="Y3" s="1"/>
      <c r="Z3" s="1"/>
      <c r="AA3" s="12"/>
      <c r="AB3" s="12"/>
      <c r="AC3" s="1"/>
      <c r="AD3" s="1"/>
    </row>
    <row r="4" spans="1:30" ht="34.5" customHeight="1">
      <c r="A4" s="20" t="s">
        <v>25</v>
      </c>
      <c r="B4" s="38" t="s">
        <v>26</v>
      </c>
      <c r="C4" s="20" t="s">
        <v>27</v>
      </c>
      <c r="D4" s="20" t="s">
        <v>28</v>
      </c>
      <c r="E4" s="38" t="s">
        <v>11</v>
      </c>
      <c r="F4" s="20" t="s">
        <v>29</v>
      </c>
      <c r="G4" s="20" t="s">
        <v>30</v>
      </c>
      <c r="H4" s="20" t="s">
        <v>31</v>
      </c>
      <c r="I4" s="20" t="s">
        <v>32</v>
      </c>
      <c r="J4" s="20" t="s">
        <v>33</v>
      </c>
      <c r="K4" s="20" t="s">
        <v>34</v>
      </c>
      <c r="L4" s="20" t="s">
        <v>35</v>
      </c>
      <c r="M4" s="20" t="s">
        <v>36</v>
      </c>
      <c r="N4" s="20" t="s">
        <v>882</v>
      </c>
      <c r="O4" s="20" t="s">
        <v>522</v>
      </c>
      <c r="P4" s="20" t="s">
        <v>37</v>
      </c>
      <c r="Q4" s="20" t="s">
        <v>38</v>
      </c>
      <c r="R4" s="20" t="s">
        <v>978</v>
      </c>
      <c r="S4" s="20" t="s">
        <v>979</v>
      </c>
      <c r="T4" s="20" t="s">
        <v>39</v>
      </c>
      <c r="U4" s="20" t="s">
        <v>40</v>
      </c>
      <c r="V4" s="20" t="s">
        <v>12</v>
      </c>
      <c r="W4" s="20" t="s">
        <v>41</v>
      </c>
      <c r="X4" s="38" t="s">
        <v>218</v>
      </c>
      <c r="Y4" s="20" t="s">
        <v>280</v>
      </c>
      <c r="Z4" s="20" t="s">
        <v>281</v>
      </c>
      <c r="AA4" s="38" t="s">
        <v>282</v>
      </c>
      <c r="AB4" s="38" t="s">
        <v>283</v>
      </c>
      <c r="AC4" s="20" t="s">
        <v>284</v>
      </c>
      <c r="AD4" s="20" t="s">
        <v>1</v>
      </c>
    </row>
    <row r="5" spans="1:30" hidden="1">
      <c r="A5" s="4">
        <v>2399</v>
      </c>
      <c r="B5" s="8">
        <v>44621</v>
      </c>
      <c r="C5" s="4" t="s">
        <v>450</v>
      </c>
      <c r="D5" s="4" t="s">
        <v>42</v>
      </c>
      <c r="E5" s="8">
        <v>44627</v>
      </c>
      <c r="F5" s="4" t="s">
        <v>43</v>
      </c>
      <c r="G5" s="16" t="s">
        <v>44</v>
      </c>
      <c r="H5" s="4" t="s">
        <v>45</v>
      </c>
      <c r="I5" s="4" t="s">
        <v>403</v>
      </c>
      <c r="J5" s="10">
        <v>0.5727000000000001</v>
      </c>
      <c r="K5" s="10">
        <v>0.628</v>
      </c>
      <c r="L5" s="10">
        <v>0</v>
      </c>
      <c r="M5" s="10">
        <v>0</v>
      </c>
      <c r="N5" s="10"/>
      <c r="O5" s="10"/>
      <c r="P5" s="10">
        <v>0</v>
      </c>
      <c r="Q5" s="10"/>
      <c r="R5" s="10"/>
      <c r="S5" s="10"/>
      <c r="T5" s="10"/>
      <c r="U5" s="10"/>
      <c r="V5" s="4" t="s">
        <v>451</v>
      </c>
      <c r="W5" s="4"/>
      <c r="X5" s="8">
        <v>44623</v>
      </c>
      <c r="Y5" s="4"/>
      <c r="Z5" s="4"/>
      <c r="AA5" s="8"/>
      <c r="AB5" s="8">
        <v>44659</v>
      </c>
      <c r="AC5" s="4"/>
      <c r="AD5" s="4"/>
    </row>
    <row r="6" spans="1:30" hidden="1">
      <c r="A6" s="4">
        <v>2399</v>
      </c>
      <c r="B6" s="8">
        <v>44621</v>
      </c>
      <c r="C6" s="4" t="s">
        <v>450</v>
      </c>
      <c r="D6" s="4" t="s">
        <v>42</v>
      </c>
      <c r="E6" s="8">
        <v>44627</v>
      </c>
      <c r="F6" s="4" t="s">
        <v>43</v>
      </c>
      <c r="G6" s="16" t="s">
        <v>44</v>
      </c>
      <c r="H6" s="4" t="s">
        <v>45</v>
      </c>
      <c r="I6" s="4" t="s">
        <v>409</v>
      </c>
      <c r="J6" s="10">
        <v>0.60629999999999995</v>
      </c>
      <c r="K6" s="10">
        <v>0.61299999999999999</v>
      </c>
      <c r="L6" s="10">
        <v>0</v>
      </c>
      <c r="M6" s="10">
        <v>0</v>
      </c>
      <c r="N6" s="10"/>
      <c r="O6" s="10"/>
      <c r="P6" s="10"/>
      <c r="Q6" s="10"/>
      <c r="R6" s="10"/>
      <c r="S6" s="10"/>
      <c r="T6" s="10"/>
      <c r="U6" s="10"/>
      <c r="V6" s="4" t="s">
        <v>451</v>
      </c>
      <c r="W6" s="4"/>
      <c r="X6" s="8">
        <v>44620</v>
      </c>
      <c r="Y6" s="4"/>
      <c r="Z6" s="4"/>
      <c r="AA6" s="8"/>
      <c r="AB6" s="8"/>
      <c r="AC6" s="4"/>
      <c r="AD6" s="4"/>
    </row>
    <row r="7" spans="1:30" hidden="1">
      <c r="A7" s="4">
        <v>2412</v>
      </c>
      <c r="B7" s="8">
        <v>44621</v>
      </c>
      <c r="C7" s="4"/>
      <c r="D7" s="4" t="s">
        <v>42</v>
      </c>
      <c r="E7" s="8">
        <v>44627</v>
      </c>
      <c r="F7" s="4" t="s">
        <v>43</v>
      </c>
      <c r="G7" s="40" t="s">
        <v>20</v>
      </c>
      <c r="H7" s="4" t="s">
        <v>45</v>
      </c>
      <c r="I7" s="4" t="s">
        <v>48</v>
      </c>
      <c r="J7" s="10">
        <v>2.1959999999999997</v>
      </c>
      <c r="K7" s="10">
        <v>2.1960000000000002</v>
      </c>
      <c r="L7" s="10">
        <v>0</v>
      </c>
      <c r="M7" s="10">
        <v>0</v>
      </c>
      <c r="N7" s="10"/>
      <c r="O7" s="10"/>
      <c r="P7" s="10"/>
      <c r="Q7" s="10"/>
      <c r="R7" s="10"/>
      <c r="S7" s="10"/>
      <c r="T7" s="10"/>
      <c r="U7" s="10"/>
      <c r="V7" s="4" t="s">
        <v>415</v>
      </c>
      <c r="W7" s="4" t="s">
        <v>452</v>
      </c>
      <c r="X7" s="8">
        <v>44627</v>
      </c>
      <c r="Y7" s="4"/>
      <c r="Z7" s="4"/>
      <c r="AA7" s="8"/>
      <c r="AB7" s="8"/>
      <c r="AC7" s="4"/>
      <c r="AD7" s="4"/>
    </row>
    <row r="8" spans="1:30" hidden="1">
      <c r="A8" s="4">
        <v>2400</v>
      </c>
      <c r="B8" s="8">
        <v>44621</v>
      </c>
      <c r="C8" s="4"/>
      <c r="D8" s="4" t="s">
        <v>42</v>
      </c>
      <c r="E8" s="8">
        <v>44627</v>
      </c>
      <c r="F8" s="4" t="s">
        <v>43</v>
      </c>
      <c r="G8" s="40" t="s">
        <v>20</v>
      </c>
      <c r="H8" s="4" t="s">
        <v>45</v>
      </c>
      <c r="I8" s="4" t="s">
        <v>403</v>
      </c>
      <c r="J8" s="10">
        <v>18.81392</v>
      </c>
      <c r="K8" s="10">
        <v>18.824000000000002</v>
      </c>
      <c r="L8" s="10">
        <v>0</v>
      </c>
      <c r="M8" s="10">
        <v>0</v>
      </c>
      <c r="N8" s="10"/>
      <c r="O8" s="10"/>
      <c r="P8" s="10"/>
      <c r="Q8" s="10"/>
      <c r="R8" s="10"/>
      <c r="S8" s="10"/>
      <c r="T8" s="10"/>
      <c r="U8" s="10"/>
      <c r="V8" s="4" t="s">
        <v>415</v>
      </c>
      <c r="W8" s="4" t="s">
        <v>452</v>
      </c>
      <c r="X8" s="8">
        <v>44623</v>
      </c>
      <c r="Y8" s="4"/>
      <c r="Z8" s="4"/>
      <c r="AA8" s="8">
        <v>44643</v>
      </c>
      <c r="AB8" s="8">
        <v>44644</v>
      </c>
      <c r="AC8" s="4"/>
      <c r="AD8" s="4"/>
    </row>
    <row r="9" spans="1:30" hidden="1">
      <c r="A9" s="4">
        <v>2400</v>
      </c>
      <c r="B9" s="8">
        <v>44621</v>
      </c>
      <c r="C9" s="4" t="s">
        <v>453</v>
      </c>
      <c r="D9" s="4" t="s">
        <v>42</v>
      </c>
      <c r="E9" s="8">
        <v>44627</v>
      </c>
      <c r="F9" s="4" t="s">
        <v>43</v>
      </c>
      <c r="G9" s="40" t="s">
        <v>20</v>
      </c>
      <c r="H9" s="4" t="s">
        <v>45</v>
      </c>
      <c r="I9" s="4" t="s">
        <v>49</v>
      </c>
      <c r="J9" s="10">
        <v>51.812399999999997</v>
      </c>
      <c r="K9" s="10">
        <v>51.963000000000001</v>
      </c>
      <c r="L9" s="10">
        <v>0</v>
      </c>
      <c r="M9" s="10">
        <v>0</v>
      </c>
      <c r="N9" s="10"/>
      <c r="O9" s="10"/>
      <c r="P9" s="10">
        <v>0</v>
      </c>
      <c r="Q9" s="10"/>
      <c r="R9" s="10"/>
      <c r="S9" s="10"/>
      <c r="T9" s="10"/>
      <c r="U9" s="10"/>
      <c r="V9" s="4" t="s">
        <v>415</v>
      </c>
      <c r="W9" s="4"/>
      <c r="X9" s="8">
        <v>44645</v>
      </c>
      <c r="Y9" s="4"/>
      <c r="Z9" s="4"/>
      <c r="AA9" s="8">
        <v>44650</v>
      </c>
      <c r="AB9" s="8">
        <v>44683</v>
      </c>
      <c r="AC9" s="4"/>
      <c r="AD9" s="4"/>
    </row>
    <row r="10" spans="1:30" hidden="1">
      <c r="A10" s="4">
        <v>2400</v>
      </c>
      <c r="B10" s="8">
        <v>44621</v>
      </c>
      <c r="C10" s="4" t="s">
        <v>453</v>
      </c>
      <c r="D10" s="4" t="s">
        <v>42</v>
      </c>
      <c r="E10" s="8">
        <v>44627</v>
      </c>
      <c r="F10" s="4" t="s">
        <v>43</v>
      </c>
      <c r="G10" s="40" t="s">
        <v>20</v>
      </c>
      <c r="H10" s="4" t="s">
        <v>45</v>
      </c>
      <c r="I10" s="4" t="s">
        <v>407</v>
      </c>
      <c r="J10" s="10">
        <v>13.64288</v>
      </c>
      <c r="K10" s="10">
        <v>13.792</v>
      </c>
      <c r="L10" s="10">
        <v>0</v>
      </c>
      <c r="M10" s="10">
        <v>0</v>
      </c>
      <c r="N10" s="10"/>
      <c r="O10" s="10"/>
      <c r="P10" s="10"/>
      <c r="Q10" s="10"/>
      <c r="R10" s="10"/>
      <c r="S10" s="10"/>
      <c r="T10" s="10"/>
      <c r="U10" s="10"/>
      <c r="V10" s="4" t="s">
        <v>415</v>
      </c>
      <c r="W10" s="4" t="s">
        <v>454</v>
      </c>
      <c r="X10" s="8">
        <v>44620</v>
      </c>
      <c r="Y10" s="4"/>
      <c r="Z10" s="4"/>
      <c r="AA10" s="8">
        <v>44650</v>
      </c>
      <c r="AB10" s="8">
        <v>44650</v>
      </c>
      <c r="AC10" s="4"/>
      <c r="AD10" s="4"/>
    </row>
    <row r="11" spans="1:30" hidden="1">
      <c r="A11" s="4">
        <v>2400</v>
      </c>
      <c r="B11" s="8">
        <v>44621</v>
      </c>
      <c r="C11" s="4" t="s">
        <v>453</v>
      </c>
      <c r="D11" s="4" t="s">
        <v>42</v>
      </c>
      <c r="E11" s="8">
        <v>44627</v>
      </c>
      <c r="F11" s="4" t="s">
        <v>43</v>
      </c>
      <c r="G11" s="40" t="s">
        <v>20</v>
      </c>
      <c r="H11" s="4" t="s">
        <v>45</v>
      </c>
      <c r="I11" s="4" t="s">
        <v>409</v>
      </c>
      <c r="J11" s="10">
        <v>19.844799999999999</v>
      </c>
      <c r="K11" s="10">
        <v>20.04</v>
      </c>
      <c r="L11" s="10">
        <v>0</v>
      </c>
      <c r="M11" s="10">
        <v>0</v>
      </c>
      <c r="N11" s="10"/>
      <c r="O11" s="10"/>
      <c r="P11" s="10"/>
      <c r="Q11" s="10"/>
      <c r="R11" s="10"/>
      <c r="S11" s="10"/>
      <c r="T11" s="10"/>
      <c r="U11" s="10"/>
      <c r="V11" s="4" t="s">
        <v>415</v>
      </c>
      <c r="W11" s="4" t="s">
        <v>455</v>
      </c>
      <c r="X11" s="8">
        <v>44620</v>
      </c>
      <c r="Y11" s="4"/>
      <c r="Z11" s="4"/>
      <c r="AA11" s="8"/>
      <c r="AB11" s="8"/>
      <c r="AC11" s="4"/>
      <c r="AD11" s="4"/>
    </row>
    <row r="12" spans="1:30" hidden="1">
      <c r="A12" s="4">
        <v>2412</v>
      </c>
      <c r="B12" s="8">
        <v>44621</v>
      </c>
      <c r="C12" s="4" t="s">
        <v>456</v>
      </c>
      <c r="D12" s="4" t="s">
        <v>42</v>
      </c>
      <c r="E12" s="8">
        <v>44627</v>
      </c>
      <c r="F12" s="4" t="s">
        <v>43</v>
      </c>
      <c r="G12" s="40" t="s">
        <v>20</v>
      </c>
      <c r="H12" s="4" t="s">
        <v>45</v>
      </c>
      <c r="I12" s="4" t="s">
        <v>48</v>
      </c>
      <c r="J12" s="10">
        <v>122.62464000000001</v>
      </c>
      <c r="K12" s="10">
        <v>122.586</v>
      </c>
      <c r="L12" s="10">
        <v>0</v>
      </c>
      <c r="M12" s="10">
        <v>0</v>
      </c>
      <c r="N12" s="10"/>
      <c r="O12" s="10"/>
      <c r="P12" s="10">
        <v>0</v>
      </c>
      <c r="Q12" s="10"/>
      <c r="R12" s="10"/>
      <c r="S12" s="10"/>
      <c r="T12" s="10"/>
      <c r="U12" s="10"/>
      <c r="V12" s="4" t="s">
        <v>415</v>
      </c>
      <c r="W12" s="4" t="s">
        <v>457</v>
      </c>
      <c r="X12" s="8">
        <v>44627</v>
      </c>
      <c r="Y12" s="4"/>
      <c r="Z12" s="4"/>
      <c r="AA12" s="8">
        <v>44642</v>
      </c>
      <c r="AB12" s="8">
        <v>44659</v>
      </c>
      <c r="AC12" s="4"/>
      <c r="AD12" s="4"/>
    </row>
    <row r="13" spans="1:30" hidden="1">
      <c r="A13" s="4">
        <v>2400</v>
      </c>
      <c r="B13" s="8">
        <v>44621</v>
      </c>
      <c r="C13" s="4" t="s">
        <v>453</v>
      </c>
      <c r="D13" s="4" t="s">
        <v>42</v>
      </c>
      <c r="E13" s="8">
        <v>44627</v>
      </c>
      <c r="F13" s="4" t="s">
        <v>43</v>
      </c>
      <c r="G13" s="40" t="s">
        <v>20</v>
      </c>
      <c r="H13" s="4" t="s">
        <v>45</v>
      </c>
      <c r="I13" s="4" t="s">
        <v>46</v>
      </c>
      <c r="J13" s="10">
        <v>52.163519999999991</v>
      </c>
      <c r="K13" s="10">
        <v>52.336000000000006</v>
      </c>
      <c r="L13" s="10">
        <v>0</v>
      </c>
      <c r="M13" s="10">
        <v>0</v>
      </c>
      <c r="N13" s="10"/>
      <c r="O13" s="10"/>
      <c r="P13" s="10"/>
      <c r="Q13" s="10"/>
      <c r="R13" s="10"/>
      <c r="S13" s="10"/>
      <c r="T13" s="10"/>
      <c r="U13" s="10"/>
      <c r="V13" s="4" t="s">
        <v>415</v>
      </c>
      <c r="W13" s="4" t="s">
        <v>452</v>
      </c>
      <c r="X13" s="8" t="s">
        <v>458</v>
      </c>
      <c r="Y13" s="4"/>
      <c r="Z13" s="4"/>
      <c r="AA13" s="8">
        <v>44642</v>
      </c>
      <c r="AB13" s="8"/>
      <c r="AC13" s="4"/>
      <c r="AD13" s="4"/>
    </row>
    <row r="14" spans="1:30" hidden="1">
      <c r="A14" s="4">
        <v>2400</v>
      </c>
      <c r="B14" s="8">
        <v>44621</v>
      </c>
      <c r="C14" s="4" t="s">
        <v>453</v>
      </c>
      <c r="D14" s="4" t="s">
        <v>42</v>
      </c>
      <c r="E14" s="8">
        <v>44627</v>
      </c>
      <c r="F14" s="4" t="s">
        <v>43</v>
      </c>
      <c r="G14" s="40" t="s">
        <v>20</v>
      </c>
      <c r="H14" s="4" t="s">
        <v>45</v>
      </c>
      <c r="I14" s="4" t="s">
        <v>423</v>
      </c>
      <c r="J14" s="10">
        <v>5.9745600000000003</v>
      </c>
      <c r="K14" s="10">
        <v>5.6980000000000004</v>
      </c>
      <c r="L14" s="10">
        <v>0</v>
      </c>
      <c r="M14" s="10">
        <v>0</v>
      </c>
      <c r="N14" s="10"/>
      <c r="O14" s="10"/>
      <c r="P14" s="10"/>
      <c r="Q14" s="10"/>
      <c r="R14" s="10"/>
      <c r="S14" s="10"/>
      <c r="T14" s="10"/>
      <c r="U14" s="10"/>
      <c r="V14" s="4" t="s">
        <v>415</v>
      </c>
      <c r="W14" s="4"/>
      <c r="X14" s="8">
        <v>44646</v>
      </c>
      <c r="Y14" s="4"/>
      <c r="Z14" s="4"/>
      <c r="AA14" s="8"/>
      <c r="AB14" s="8"/>
      <c r="AC14" s="4"/>
      <c r="AD14" s="4"/>
    </row>
    <row r="15" spans="1:30" hidden="1">
      <c r="A15" s="4">
        <v>2400</v>
      </c>
      <c r="B15" s="8">
        <v>44621</v>
      </c>
      <c r="C15" s="4" t="s">
        <v>453</v>
      </c>
      <c r="D15" s="4" t="s">
        <v>42</v>
      </c>
      <c r="E15" s="8">
        <v>44627</v>
      </c>
      <c r="F15" s="4" t="s">
        <v>43</v>
      </c>
      <c r="G15" s="40" t="s">
        <v>20</v>
      </c>
      <c r="H15" s="4" t="s">
        <v>45</v>
      </c>
      <c r="I15" s="4" t="s">
        <v>50</v>
      </c>
      <c r="J15" s="10">
        <v>38.693339999999999</v>
      </c>
      <c r="K15" s="10">
        <v>38.710999999999999</v>
      </c>
      <c r="L15" s="10">
        <v>0</v>
      </c>
      <c r="M15" s="10">
        <v>0</v>
      </c>
      <c r="N15" s="10"/>
      <c r="O15" s="10"/>
      <c r="P15" s="10">
        <v>0</v>
      </c>
      <c r="Q15" s="10"/>
      <c r="R15" s="10"/>
      <c r="S15" s="10"/>
      <c r="T15" s="10"/>
      <c r="U15" s="10"/>
      <c r="V15" s="4" t="s">
        <v>415</v>
      </c>
      <c r="W15" s="4"/>
      <c r="X15" s="8">
        <v>44645</v>
      </c>
      <c r="Y15" s="4"/>
      <c r="Z15" s="4"/>
      <c r="AA15" s="8">
        <v>44650</v>
      </c>
      <c r="AB15" s="8">
        <v>44659</v>
      </c>
      <c r="AC15" s="4"/>
      <c r="AD15" s="4"/>
    </row>
    <row r="16" spans="1:30" hidden="1">
      <c r="A16" s="4">
        <v>2401</v>
      </c>
      <c r="B16" s="8">
        <v>44621</v>
      </c>
      <c r="C16" s="4" t="s">
        <v>459</v>
      </c>
      <c r="D16" s="4" t="s">
        <v>42</v>
      </c>
      <c r="E16" s="8">
        <v>44627</v>
      </c>
      <c r="F16" s="4" t="s">
        <v>43</v>
      </c>
      <c r="G16" s="16" t="s">
        <v>44</v>
      </c>
      <c r="H16" s="4" t="s">
        <v>45</v>
      </c>
      <c r="I16" s="4" t="s">
        <v>49</v>
      </c>
      <c r="J16" s="10">
        <v>0.874</v>
      </c>
      <c r="K16" s="10">
        <v>0.874</v>
      </c>
      <c r="L16" s="10">
        <v>0</v>
      </c>
      <c r="M16" s="10">
        <v>0</v>
      </c>
      <c r="N16" s="10"/>
      <c r="O16" s="10"/>
      <c r="P16" s="10"/>
      <c r="Q16" s="10"/>
      <c r="R16" s="10"/>
      <c r="S16" s="10"/>
      <c r="T16" s="10"/>
      <c r="U16" s="10"/>
      <c r="V16" s="4" t="s">
        <v>401</v>
      </c>
      <c r="W16" s="4"/>
      <c r="X16" s="8">
        <v>44645</v>
      </c>
      <c r="Y16" s="4"/>
      <c r="Z16" s="4"/>
      <c r="AA16" s="8">
        <v>44650</v>
      </c>
      <c r="AB16" s="8">
        <v>44650</v>
      </c>
      <c r="AC16" s="4"/>
      <c r="AD16" s="4"/>
    </row>
    <row r="17" spans="1:30" hidden="1">
      <c r="A17" s="4">
        <v>2401</v>
      </c>
      <c r="B17" s="8">
        <v>44621</v>
      </c>
      <c r="C17" s="4"/>
      <c r="D17" s="4" t="s">
        <v>42</v>
      </c>
      <c r="E17" s="8">
        <v>44635</v>
      </c>
      <c r="F17" s="4" t="s">
        <v>43</v>
      </c>
      <c r="G17" s="16" t="s">
        <v>44</v>
      </c>
      <c r="H17" s="4" t="s">
        <v>45</v>
      </c>
      <c r="I17" s="4" t="s">
        <v>46</v>
      </c>
      <c r="J17" s="10">
        <v>0.32</v>
      </c>
      <c r="K17" s="10">
        <v>0.32200000000000001</v>
      </c>
      <c r="L17" s="10">
        <v>0</v>
      </c>
      <c r="M17" s="10">
        <v>0</v>
      </c>
      <c r="N17" s="10"/>
      <c r="O17" s="10"/>
      <c r="P17" s="10"/>
      <c r="Q17" s="10"/>
      <c r="R17" s="10"/>
      <c r="S17" s="10"/>
      <c r="T17" s="10"/>
      <c r="U17" s="10"/>
      <c r="V17" s="4" t="s">
        <v>401</v>
      </c>
      <c r="W17" s="4" t="s">
        <v>452</v>
      </c>
      <c r="X17" s="8">
        <v>44623</v>
      </c>
      <c r="Y17" s="4"/>
      <c r="Z17" s="4"/>
      <c r="AA17" s="8"/>
      <c r="AB17" s="8"/>
      <c r="AC17" s="4"/>
      <c r="AD17" s="4"/>
    </row>
    <row r="18" spans="1:30" hidden="1">
      <c r="A18" s="4">
        <v>2402</v>
      </c>
      <c r="B18" s="8">
        <v>44621</v>
      </c>
      <c r="C18" s="4"/>
      <c r="D18" s="4" t="s">
        <v>42</v>
      </c>
      <c r="E18" s="8">
        <v>44627</v>
      </c>
      <c r="F18" s="4" t="s">
        <v>43</v>
      </c>
      <c r="G18" s="40" t="s">
        <v>20</v>
      </c>
      <c r="H18" s="4" t="s">
        <v>45</v>
      </c>
      <c r="I18" s="4" t="s">
        <v>46</v>
      </c>
      <c r="J18" s="10">
        <v>2.4180000000000001</v>
      </c>
      <c r="K18" s="10">
        <v>2.524</v>
      </c>
      <c r="L18" s="10">
        <v>0</v>
      </c>
      <c r="M18" s="10">
        <v>0</v>
      </c>
      <c r="N18" s="10"/>
      <c r="O18" s="10"/>
      <c r="P18" s="10"/>
      <c r="Q18" s="10"/>
      <c r="R18" s="10"/>
      <c r="S18" s="10"/>
      <c r="T18" s="10"/>
      <c r="U18" s="10"/>
      <c r="V18" s="4" t="s">
        <v>58</v>
      </c>
      <c r="W18" s="4" t="s">
        <v>452</v>
      </c>
      <c r="X18" s="8">
        <v>44623</v>
      </c>
      <c r="Y18" s="4"/>
      <c r="Z18" s="4"/>
      <c r="AA18" s="8"/>
      <c r="AB18" s="8"/>
      <c r="AC18" s="4"/>
      <c r="AD18" s="4"/>
    </row>
    <row r="19" spans="1:30" hidden="1">
      <c r="A19" s="4">
        <v>2412</v>
      </c>
      <c r="B19" s="8">
        <v>44621</v>
      </c>
      <c r="C19" s="4"/>
      <c r="D19" s="4" t="s">
        <v>42</v>
      </c>
      <c r="E19" s="8">
        <v>44627</v>
      </c>
      <c r="F19" s="4" t="s">
        <v>43</v>
      </c>
      <c r="G19" s="40" t="s">
        <v>20</v>
      </c>
      <c r="H19" s="4" t="s">
        <v>45</v>
      </c>
      <c r="I19" s="4" t="s">
        <v>48</v>
      </c>
      <c r="J19" s="10">
        <v>0.2928</v>
      </c>
      <c r="K19" s="10">
        <v>0.29299999999999998</v>
      </c>
      <c r="L19" s="10">
        <v>0</v>
      </c>
      <c r="M19" s="10">
        <v>0</v>
      </c>
      <c r="N19" s="10"/>
      <c r="O19" s="10"/>
      <c r="P19" s="10"/>
      <c r="Q19" s="10"/>
      <c r="R19" s="10"/>
      <c r="S19" s="10"/>
      <c r="T19" s="10"/>
      <c r="U19" s="10"/>
      <c r="V19" s="4" t="s">
        <v>58</v>
      </c>
      <c r="W19" s="4" t="s">
        <v>452</v>
      </c>
      <c r="X19" s="8">
        <v>44627</v>
      </c>
      <c r="Y19" s="4"/>
      <c r="Z19" s="4"/>
      <c r="AA19" s="8"/>
      <c r="AB19" s="8"/>
      <c r="AC19" s="4"/>
      <c r="AD19" s="4"/>
    </row>
    <row r="20" spans="1:30" hidden="1">
      <c r="A20" s="4">
        <v>2402</v>
      </c>
      <c r="B20" s="8">
        <v>44621</v>
      </c>
      <c r="C20" s="4" t="s">
        <v>459</v>
      </c>
      <c r="D20" s="4" t="s">
        <v>42</v>
      </c>
      <c r="E20" s="8">
        <v>44627</v>
      </c>
      <c r="F20" s="4" t="s">
        <v>43</v>
      </c>
      <c r="G20" s="40" t="s">
        <v>20</v>
      </c>
      <c r="H20" s="4" t="s">
        <v>45</v>
      </c>
      <c r="I20" s="4" t="s">
        <v>403</v>
      </c>
      <c r="J20" s="10">
        <v>1.7960399999999999</v>
      </c>
      <c r="K20" s="10">
        <v>1.8009999999999999</v>
      </c>
      <c r="L20" s="10">
        <v>0</v>
      </c>
      <c r="M20" s="10">
        <v>0</v>
      </c>
      <c r="N20" s="10"/>
      <c r="O20" s="10"/>
      <c r="P20" s="10">
        <v>0</v>
      </c>
      <c r="Q20" s="10"/>
      <c r="R20" s="10"/>
      <c r="S20" s="10"/>
      <c r="T20" s="10"/>
      <c r="U20" s="10"/>
      <c r="V20" s="4" t="s">
        <v>58</v>
      </c>
      <c r="W20" s="4"/>
      <c r="X20" s="8">
        <v>44623</v>
      </c>
      <c r="Y20" s="4"/>
      <c r="Z20" s="4"/>
      <c r="AA20" s="8"/>
      <c r="AB20" s="8">
        <v>44659</v>
      </c>
      <c r="AC20" s="4"/>
      <c r="AD20" s="4"/>
    </row>
    <row r="21" spans="1:30" hidden="1">
      <c r="A21" s="4">
        <v>2403</v>
      </c>
      <c r="B21" s="8">
        <v>44621</v>
      </c>
      <c r="C21" s="4" t="s">
        <v>460</v>
      </c>
      <c r="D21" s="4" t="s">
        <v>42</v>
      </c>
      <c r="E21" s="8">
        <v>44627</v>
      </c>
      <c r="F21" s="4" t="s">
        <v>43</v>
      </c>
      <c r="G21" s="16" t="s">
        <v>44</v>
      </c>
      <c r="H21" s="4" t="s">
        <v>45</v>
      </c>
      <c r="I21" s="4" t="s">
        <v>403</v>
      </c>
      <c r="J21" s="10">
        <v>8.4278200000000005</v>
      </c>
      <c r="K21" s="10">
        <v>8.5500000000000007</v>
      </c>
      <c r="L21" s="10">
        <v>0</v>
      </c>
      <c r="M21" s="10">
        <v>0</v>
      </c>
      <c r="N21" s="10"/>
      <c r="O21" s="10"/>
      <c r="P21" s="10"/>
      <c r="Q21" s="10"/>
      <c r="R21" s="10"/>
      <c r="S21" s="10"/>
      <c r="T21" s="10"/>
      <c r="U21" s="10"/>
      <c r="V21" s="4" t="s">
        <v>425</v>
      </c>
      <c r="W21" s="4" t="s">
        <v>461</v>
      </c>
      <c r="X21" s="8">
        <v>44623</v>
      </c>
      <c r="Y21" s="4"/>
      <c r="Z21" s="4"/>
      <c r="AA21" s="8"/>
      <c r="AB21" s="8"/>
      <c r="AC21" s="4"/>
      <c r="AD21" s="4"/>
    </row>
    <row r="22" spans="1:30" hidden="1">
      <c r="A22" s="4">
        <v>2403</v>
      </c>
      <c r="B22" s="8">
        <v>44621</v>
      </c>
      <c r="C22" s="4"/>
      <c r="D22" s="4" t="s">
        <v>42</v>
      </c>
      <c r="E22" s="8">
        <v>44627</v>
      </c>
      <c r="F22" s="4" t="s">
        <v>43</v>
      </c>
      <c r="G22" s="16" t="s">
        <v>44</v>
      </c>
      <c r="H22" s="4" t="s">
        <v>45</v>
      </c>
      <c r="I22" s="4" t="s">
        <v>400</v>
      </c>
      <c r="J22" s="10">
        <v>0.47199999999999998</v>
      </c>
      <c r="K22" s="10">
        <v>0.496</v>
      </c>
      <c r="L22" s="10">
        <v>0</v>
      </c>
      <c r="M22" s="10">
        <v>0</v>
      </c>
      <c r="N22" s="10"/>
      <c r="O22" s="10"/>
      <c r="P22" s="10"/>
      <c r="Q22" s="10"/>
      <c r="R22" s="10"/>
      <c r="S22" s="10"/>
      <c r="T22" s="10"/>
      <c r="U22" s="10"/>
      <c r="V22" s="4" t="s">
        <v>425</v>
      </c>
      <c r="W22" s="4" t="s">
        <v>452</v>
      </c>
      <c r="X22" s="8">
        <v>44623</v>
      </c>
      <c r="Y22" s="4"/>
      <c r="Z22" s="4"/>
      <c r="AA22" s="8"/>
      <c r="AB22" s="8"/>
      <c r="AC22" s="4"/>
      <c r="AD22" s="4"/>
    </row>
    <row r="23" spans="1:30" hidden="1">
      <c r="A23" s="4">
        <v>2403</v>
      </c>
      <c r="B23" s="8">
        <v>44621</v>
      </c>
      <c r="C23" s="4" t="s">
        <v>460</v>
      </c>
      <c r="D23" s="4" t="s">
        <v>42</v>
      </c>
      <c r="E23" s="8">
        <v>44627</v>
      </c>
      <c r="F23" s="4" t="s">
        <v>43</v>
      </c>
      <c r="G23" s="16" t="s">
        <v>44</v>
      </c>
      <c r="H23" s="4" t="s">
        <v>45</v>
      </c>
      <c r="I23" s="4" t="s">
        <v>46</v>
      </c>
      <c r="J23" s="10">
        <v>4.2953700000000001</v>
      </c>
      <c r="K23" s="10">
        <v>4.4290000000000003</v>
      </c>
      <c r="L23" s="10">
        <v>0</v>
      </c>
      <c r="M23" s="10">
        <v>0</v>
      </c>
      <c r="N23" s="10"/>
      <c r="O23" s="10"/>
      <c r="P23" s="10">
        <v>0</v>
      </c>
      <c r="Q23" s="10"/>
      <c r="R23" s="10"/>
      <c r="S23" s="10"/>
      <c r="T23" s="10"/>
      <c r="U23" s="10"/>
      <c r="V23" s="4" t="s">
        <v>425</v>
      </c>
      <c r="W23" s="4" t="s">
        <v>462</v>
      </c>
      <c r="X23" s="8">
        <v>44623</v>
      </c>
      <c r="Y23" s="4"/>
      <c r="Z23" s="4"/>
      <c r="AA23" s="8"/>
      <c r="AB23" s="8">
        <v>44659</v>
      </c>
      <c r="AC23" s="4"/>
      <c r="AD23" s="4"/>
    </row>
    <row r="24" spans="1:30" hidden="1">
      <c r="A24" s="4">
        <v>2403</v>
      </c>
      <c r="B24" s="8">
        <v>44621</v>
      </c>
      <c r="C24" s="4" t="s">
        <v>460</v>
      </c>
      <c r="D24" s="4" t="s">
        <v>42</v>
      </c>
      <c r="E24" s="8">
        <v>44627</v>
      </c>
      <c r="F24" s="4" t="s">
        <v>43</v>
      </c>
      <c r="G24" s="16" t="s">
        <v>44</v>
      </c>
      <c r="H24" s="4" t="s">
        <v>45</v>
      </c>
      <c r="I24" s="4" t="s">
        <v>49</v>
      </c>
      <c r="J24" s="10">
        <v>1.64073</v>
      </c>
      <c r="K24" s="10">
        <v>1.641</v>
      </c>
      <c r="L24" s="10">
        <v>0</v>
      </c>
      <c r="M24" s="10">
        <v>0</v>
      </c>
      <c r="N24" s="10"/>
      <c r="O24" s="10"/>
      <c r="P24" s="10">
        <v>0</v>
      </c>
      <c r="Q24" s="10"/>
      <c r="R24" s="10"/>
      <c r="S24" s="10"/>
      <c r="T24" s="10"/>
      <c r="U24" s="10"/>
      <c r="V24" s="4" t="s">
        <v>425</v>
      </c>
      <c r="W24" s="4"/>
      <c r="X24" s="8">
        <v>44645</v>
      </c>
      <c r="Y24" s="4"/>
      <c r="Z24" s="4"/>
      <c r="AA24" s="8"/>
      <c r="AB24" s="8">
        <v>44659</v>
      </c>
      <c r="AC24" s="4"/>
      <c r="AD24" s="4"/>
    </row>
    <row r="25" spans="1:30" hidden="1">
      <c r="A25" s="4">
        <v>2403</v>
      </c>
      <c r="B25" s="8">
        <v>44621</v>
      </c>
      <c r="C25" s="4" t="s">
        <v>460</v>
      </c>
      <c r="D25" s="4" t="s">
        <v>42</v>
      </c>
      <c r="E25" s="8">
        <v>44627</v>
      </c>
      <c r="F25" s="4" t="s">
        <v>43</v>
      </c>
      <c r="G25" s="16" t="s">
        <v>44</v>
      </c>
      <c r="H25" s="4" t="s">
        <v>45</v>
      </c>
      <c r="I25" s="4" t="s">
        <v>50</v>
      </c>
      <c r="J25" s="10">
        <v>0.18154499999999998</v>
      </c>
      <c r="K25" s="10">
        <v>0.182</v>
      </c>
      <c r="L25" s="10">
        <v>0</v>
      </c>
      <c r="M25" s="10">
        <v>0</v>
      </c>
      <c r="N25" s="10"/>
      <c r="O25" s="10"/>
      <c r="P25" s="10">
        <v>0</v>
      </c>
      <c r="Q25" s="10"/>
      <c r="R25" s="10"/>
      <c r="S25" s="10"/>
      <c r="T25" s="10"/>
      <c r="U25" s="10"/>
      <c r="V25" s="4" t="s">
        <v>425</v>
      </c>
      <c r="W25" s="4"/>
      <c r="X25" s="8">
        <v>44645</v>
      </c>
      <c r="Y25" s="4"/>
      <c r="Z25" s="4"/>
      <c r="AA25" s="8"/>
      <c r="AB25" s="8">
        <v>44659</v>
      </c>
      <c r="AC25" s="4"/>
      <c r="AD25" s="4"/>
    </row>
    <row r="26" spans="1:30" hidden="1">
      <c r="A26" s="4">
        <v>2403</v>
      </c>
      <c r="B26" s="8">
        <v>44621</v>
      </c>
      <c r="C26" s="4" t="s">
        <v>460</v>
      </c>
      <c r="D26" s="4" t="s">
        <v>42</v>
      </c>
      <c r="E26" s="8">
        <v>44627</v>
      </c>
      <c r="F26" s="4" t="s">
        <v>43</v>
      </c>
      <c r="G26" s="16" t="s">
        <v>44</v>
      </c>
      <c r="H26" s="4" t="s">
        <v>45</v>
      </c>
      <c r="I26" s="4" t="s">
        <v>407</v>
      </c>
      <c r="J26" s="10">
        <v>4.6294999999999993</v>
      </c>
      <c r="K26" s="10">
        <v>4.87</v>
      </c>
      <c r="L26" s="10">
        <v>0</v>
      </c>
      <c r="M26" s="10">
        <v>0</v>
      </c>
      <c r="N26" s="10"/>
      <c r="O26" s="10"/>
      <c r="P26" s="10"/>
      <c r="Q26" s="10"/>
      <c r="R26" s="10"/>
      <c r="S26" s="10"/>
      <c r="T26" s="10"/>
      <c r="U26" s="10"/>
      <c r="V26" s="4" t="s">
        <v>425</v>
      </c>
      <c r="W26" s="4" t="s">
        <v>463</v>
      </c>
      <c r="X26" s="8">
        <v>44620</v>
      </c>
      <c r="Y26" s="4"/>
      <c r="Z26" s="4"/>
      <c r="AA26" s="8"/>
      <c r="AB26" s="8"/>
      <c r="AC26" s="4"/>
      <c r="AD26" s="4"/>
    </row>
    <row r="27" spans="1:30" hidden="1">
      <c r="A27" s="4">
        <v>2403</v>
      </c>
      <c r="B27" s="8">
        <v>44621</v>
      </c>
      <c r="C27" s="4" t="s">
        <v>460</v>
      </c>
      <c r="D27" s="4" t="s">
        <v>42</v>
      </c>
      <c r="E27" s="8">
        <v>44627</v>
      </c>
      <c r="F27" s="4" t="s">
        <v>43</v>
      </c>
      <c r="G27" s="16" t="s">
        <v>44</v>
      </c>
      <c r="H27" s="4" t="s">
        <v>45</v>
      </c>
      <c r="I27" s="4" t="s">
        <v>409</v>
      </c>
      <c r="J27" s="10">
        <v>6.4495749999999994</v>
      </c>
      <c r="K27" s="10">
        <v>6.5780000000000003</v>
      </c>
      <c r="L27" s="10">
        <v>0</v>
      </c>
      <c r="M27" s="10">
        <v>0</v>
      </c>
      <c r="N27" s="10"/>
      <c r="O27" s="10"/>
      <c r="P27" s="10"/>
      <c r="Q27" s="10"/>
      <c r="R27" s="10"/>
      <c r="S27" s="10"/>
      <c r="T27" s="10"/>
      <c r="U27" s="10"/>
      <c r="V27" s="4" t="s">
        <v>425</v>
      </c>
      <c r="W27" s="4" t="s">
        <v>464</v>
      </c>
      <c r="X27" s="8">
        <v>44620</v>
      </c>
      <c r="Y27" s="4"/>
      <c r="Z27" s="4"/>
      <c r="AA27" s="8"/>
      <c r="AB27" s="8"/>
      <c r="AC27" s="4"/>
      <c r="AD27" s="4"/>
    </row>
    <row r="28" spans="1:30" hidden="1">
      <c r="A28" s="4">
        <v>2404</v>
      </c>
      <c r="B28" s="8">
        <v>44621</v>
      </c>
      <c r="C28" s="4" t="s">
        <v>465</v>
      </c>
      <c r="D28" s="4" t="s">
        <v>42</v>
      </c>
      <c r="E28" s="8">
        <v>44627</v>
      </c>
      <c r="F28" s="4" t="s">
        <v>43</v>
      </c>
      <c r="G28" s="16" t="s">
        <v>44</v>
      </c>
      <c r="H28" s="4" t="s">
        <v>45</v>
      </c>
      <c r="I28" s="4" t="s">
        <v>405</v>
      </c>
      <c r="J28" s="10">
        <v>1.224</v>
      </c>
      <c r="K28" s="10">
        <v>1.224</v>
      </c>
      <c r="L28" s="10">
        <v>0</v>
      </c>
      <c r="M28" s="10">
        <v>0</v>
      </c>
      <c r="N28" s="10"/>
      <c r="O28" s="10"/>
      <c r="P28" s="10">
        <v>0</v>
      </c>
      <c r="Q28" s="10"/>
      <c r="R28" s="10"/>
      <c r="S28" s="10"/>
      <c r="T28" s="10"/>
      <c r="U28" s="10"/>
      <c r="V28" s="4" t="s">
        <v>466</v>
      </c>
      <c r="W28" s="4"/>
      <c r="X28" s="8">
        <v>44623</v>
      </c>
      <c r="Y28" s="4"/>
      <c r="Z28" s="4"/>
      <c r="AA28" s="8"/>
      <c r="AB28" s="8">
        <v>44659</v>
      </c>
      <c r="AC28" s="4"/>
      <c r="AD28" s="4"/>
    </row>
    <row r="29" spans="1:30" hidden="1">
      <c r="A29" s="4">
        <v>2404</v>
      </c>
      <c r="B29" s="8">
        <v>44621</v>
      </c>
      <c r="C29" s="4" t="s">
        <v>465</v>
      </c>
      <c r="D29" s="4" t="s">
        <v>42</v>
      </c>
      <c r="E29" s="8">
        <v>44627</v>
      </c>
      <c r="F29" s="4" t="s">
        <v>43</v>
      </c>
      <c r="G29" s="16" t="s">
        <v>44</v>
      </c>
      <c r="H29" s="4" t="s">
        <v>45</v>
      </c>
      <c r="I29" s="4" t="s">
        <v>49</v>
      </c>
      <c r="J29" s="10">
        <v>5.0040000000000004</v>
      </c>
      <c r="K29" s="10">
        <v>5.0019999999999998</v>
      </c>
      <c r="L29" s="10">
        <v>0</v>
      </c>
      <c r="M29" s="10">
        <v>0</v>
      </c>
      <c r="N29" s="10"/>
      <c r="O29" s="10"/>
      <c r="P29" s="10"/>
      <c r="Q29" s="10"/>
      <c r="R29" s="10"/>
      <c r="S29" s="10"/>
      <c r="T29" s="10"/>
      <c r="U29" s="10"/>
      <c r="V29" s="4" t="s">
        <v>466</v>
      </c>
      <c r="W29" s="4"/>
      <c r="X29" s="8">
        <v>44645</v>
      </c>
      <c r="Y29" s="4"/>
      <c r="Z29" s="4"/>
      <c r="AA29" s="8"/>
      <c r="AB29" s="8"/>
      <c r="AC29" s="4"/>
      <c r="AD29" s="4"/>
    </row>
    <row r="30" spans="1:30" hidden="1">
      <c r="A30" s="4">
        <v>2404</v>
      </c>
      <c r="B30" s="8">
        <v>44621</v>
      </c>
      <c r="C30" s="4" t="s">
        <v>465</v>
      </c>
      <c r="D30" s="4" t="s">
        <v>42</v>
      </c>
      <c r="E30" s="8">
        <v>44627</v>
      </c>
      <c r="F30" s="4" t="s">
        <v>43</v>
      </c>
      <c r="G30" s="16" t="s">
        <v>44</v>
      </c>
      <c r="H30" s="4" t="s">
        <v>45</v>
      </c>
      <c r="I30" s="4" t="s">
        <v>46</v>
      </c>
      <c r="J30" s="10">
        <v>8.0399999999999999E-2</v>
      </c>
      <c r="K30" s="10">
        <v>8.7999999999999995E-2</v>
      </c>
      <c r="L30" s="10">
        <v>0</v>
      </c>
      <c r="M30" s="10">
        <v>0</v>
      </c>
      <c r="N30" s="10"/>
      <c r="O30" s="10"/>
      <c r="P30" s="10">
        <v>0</v>
      </c>
      <c r="Q30" s="10"/>
      <c r="R30" s="10"/>
      <c r="S30" s="10"/>
      <c r="T30" s="10"/>
      <c r="U30" s="10"/>
      <c r="V30" s="4" t="s">
        <v>466</v>
      </c>
      <c r="W30" s="4"/>
      <c r="X30" s="8">
        <v>44623</v>
      </c>
      <c r="Y30" s="4"/>
      <c r="Z30" s="4"/>
      <c r="AA30" s="8"/>
      <c r="AB30" s="8">
        <v>44659</v>
      </c>
      <c r="AC30" s="4"/>
      <c r="AD30" s="4"/>
    </row>
    <row r="31" spans="1:30" hidden="1">
      <c r="A31" s="4">
        <v>2404</v>
      </c>
      <c r="B31" s="8">
        <v>44621</v>
      </c>
      <c r="C31" s="4" t="s">
        <v>465</v>
      </c>
      <c r="D31" s="4" t="s">
        <v>42</v>
      </c>
      <c r="E31" s="8">
        <v>44627</v>
      </c>
      <c r="F31" s="4" t="s">
        <v>43</v>
      </c>
      <c r="G31" s="16" t="s">
        <v>44</v>
      </c>
      <c r="H31" s="4" t="s">
        <v>45</v>
      </c>
      <c r="I31" s="4" t="s">
        <v>409</v>
      </c>
      <c r="J31" s="10">
        <v>0.14099999999999999</v>
      </c>
      <c r="K31" s="10">
        <v>0.20200000000000001</v>
      </c>
      <c r="L31" s="10">
        <v>0</v>
      </c>
      <c r="M31" s="10">
        <v>0</v>
      </c>
      <c r="N31" s="10"/>
      <c r="O31" s="10"/>
      <c r="P31" s="10"/>
      <c r="Q31" s="10"/>
      <c r="R31" s="10"/>
      <c r="S31" s="10"/>
      <c r="T31" s="10"/>
      <c r="U31" s="10"/>
      <c r="V31" s="4" t="s">
        <v>466</v>
      </c>
      <c r="W31" s="4"/>
      <c r="X31" s="8"/>
      <c r="Y31" s="4"/>
      <c r="Z31" s="4"/>
      <c r="AA31" s="8"/>
      <c r="AB31" s="8"/>
      <c r="AC31" s="4"/>
      <c r="AD31" s="4"/>
    </row>
    <row r="32" spans="1:30" hidden="1">
      <c r="A32" s="4">
        <v>2391</v>
      </c>
      <c r="B32" s="8">
        <v>44621</v>
      </c>
      <c r="C32" s="4" t="s">
        <v>467</v>
      </c>
      <c r="D32" s="4" t="s">
        <v>42</v>
      </c>
      <c r="E32" s="8">
        <v>44635</v>
      </c>
      <c r="F32" s="4" t="s">
        <v>43</v>
      </c>
      <c r="G32" s="15" t="s">
        <v>19</v>
      </c>
      <c r="H32" s="4" t="s">
        <v>45</v>
      </c>
      <c r="I32" s="4" t="s">
        <v>403</v>
      </c>
      <c r="J32" s="10">
        <v>2.4479360000000003</v>
      </c>
      <c r="K32" s="10">
        <v>2.4740000000000002</v>
      </c>
      <c r="L32" s="10">
        <v>0</v>
      </c>
      <c r="M32" s="10">
        <v>0</v>
      </c>
      <c r="N32" s="10"/>
      <c r="O32" s="10"/>
      <c r="P32" s="10">
        <v>0</v>
      </c>
      <c r="Q32" s="10"/>
      <c r="R32" s="10"/>
      <c r="S32" s="10"/>
      <c r="T32" s="10"/>
      <c r="U32" s="10"/>
      <c r="V32" s="4" t="s">
        <v>415</v>
      </c>
      <c r="W32" s="4"/>
      <c r="X32" s="8">
        <v>44623</v>
      </c>
      <c r="Y32" s="4"/>
      <c r="Z32" s="4"/>
      <c r="AA32" s="8"/>
      <c r="AB32" s="8">
        <v>44659</v>
      </c>
      <c r="AC32" s="4"/>
      <c r="AD32" s="4"/>
    </row>
    <row r="33" spans="1:30" hidden="1">
      <c r="A33" s="4">
        <v>2391</v>
      </c>
      <c r="B33" s="8">
        <v>44621</v>
      </c>
      <c r="C33" s="4" t="s">
        <v>467</v>
      </c>
      <c r="D33" s="4" t="s">
        <v>42</v>
      </c>
      <c r="E33" s="8">
        <v>44635</v>
      </c>
      <c r="F33" s="4" t="s">
        <v>43</v>
      </c>
      <c r="G33" s="15" t="s">
        <v>19</v>
      </c>
      <c r="H33" s="4" t="s">
        <v>45</v>
      </c>
      <c r="I33" s="4" t="s">
        <v>405</v>
      </c>
      <c r="J33" s="10">
        <v>7.0550000000000002E-2</v>
      </c>
      <c r="K33" s="10">
        <v>9.5000000000000001E-2</v>
      </c>
      <c r="L33" s="10">
        <v>0</v>
      </c>
      <c r="M33" s="10">
        <v>0</v>
      </c>
      <c r="N33" s="10"/>
      <c r="O33" s="10"/>
      <c r="P33" s="10">
        <v>0</v>
      </c>
      <c r="Q33" s="10"/>
      <c r="R33" s="10"/>
      <c r="S33" s="10"/>
      <c r="T33" s="10"/>
      <c r="U33" s="10"/>
      <c r="V33" s="4" t="s">
        <v>415</v>
      </c>
      <c r="W33" s="4" t="s">
        <v>468</v>
      </c>
      <c r="X33" s="8">
        <v>44624</v>
      </c>
      <c r="Y33" s="4"/>
      <c r="Z33" s="4"/>
      <c r="AA33" s="8"/>
      <c r="AB33" s="8">
        <v>44659</v>
      </c>
      <c r="AC33" s="4"/>
      <c r="AD33" s="4"/>
    </row>
    <row r="34" spans="1:30" hidden="1">
      <c r="A34" s="4">
        <v>2391</v>
      </c>
      <c r="B34" s="8">
        <v>44621</v>
      </c>
      <c r="C34" s="4"/>
      <c r="D34" s="4" t="s">
        <v>42</v>
      </c>
      <c r="E34" s="8">
        <v>44635</v>
      </c>
      <c r="F34" s="4" t="s">
        <v>43</v>
      </c>
      <c r="G34" s="15" t="s">
        <v>19</v>
      </c>
      <c r="H34" s="4" t="s">
        <v>45</v>
      </c>
      <c r="I34" s="4" t="s">
        <v>400</v>
      </c>
      <c r="J34" s="10">
        <v>0.87068800000000002</v>
      </c>
      <c r="K34" s="10">
        <v>0.86799999999999999</v>
      </c>
      <c r="L34" s="10">
        <v>0</v>
      </c>
      <c r="M34" s="10">
        <v>0</v>
      </c>
      <c r="N34" s="10"/>
      <c r="O34" s="10"/>
      <c r="P34" s="10"/>
      <c r="Q34" s="10"/>
      <c r="R34" s="10"/>
      <c r="S34" s="10"/>
      <c r="T34" s="10"/>
      <c r="U34" s="10"/>
      <c r="V34" s="4" t="s">
        <v>415</v>
      </c>
      <c r="W34" s="4"/>
      <c r="X34" s="8">
        <v>44624</v>
      </c>
      <c r="Y34" s="4"/>
      <c r="Z34" s="4"/>
      <c r="AA34" s="8"/>
      <c r="AB34" s="8"/>
      <c r="AC34" s="4"/>
      <c r="AD34" s="4"/>
    </row>
    <row r="35" spans="1:30" hidden="1">
      <c r="A35" s="4">
        <v>2391</v>
      </c>
      <c r="B35" s="8">
        <v>44621</v>
      </c>
      <c r="C35" s="4"/>
      <c r="D35" s="4" t="s">
        <v>42</v>
      </c>
      <c r="E35" s="8">
        <v>44635</v>
      </c>
      <c r="F35" s="4" t="s">
        <v>43</v>
      </c>
      <c r="G35" s="15" t="s">
        <v>19</v>
      </c>
      <c r="H35" s="4" t="s">
        <v>45</v>
      </c>
      <c r="I35" s="4" t="s">
        <v>46</v>
      </c>
      <c r="J35" s="10">
        <v>4.7604480000000002</v>
      </c>
      <c r="K35" s="10">
        <v>4.8979999999999997</v>
      </c>
      <c r="L35" s="10">
        <v>0</v>
      </c>
      <c r="M35" s="10">
        <v>0</v>
      </c>
      <c r="N35" s="10"/>
      <c r="O35" s="10"/>
      <c r="P35" s="10"/>
      <c r="Q35" s="10"/>
      <c r="R35" s="10"/>
      <c r="S35" s="10"/>
      <c r="T35" s="10"/>
      <c r="U35" s="10"/>
      <c r="V35" s="4" t="s">
        <v>415</v>
      </c>
      <c r="W35" s="4"/>
      <c r="X35" s="8">
        <v>44623</v>
      </c>
      <c r="Y35" s="4"/>
      <c r="Z35" s="4"/>
      <c r="AA35" s="8"/>
      <c r="AB35" s="8"/>
      <c r="AC35" s="4"/>
      <c r="AD35" s="4"/>
    </row>
    <row r="36" spans="1:30" hidden="1">
      <c r="A36" s="4">
        <v>2391</v>
      </c>
      <c r="B36" s="8">
        <v>44621</v>
      </c>
      <c r="C36" s="4" t="s">
        <v>467</v>
      </c>
      <c r="D36" s="4" t="s">
        <v>42</v>
      </c>
      <c r="E36" s="8">
        <v>44635</v>
      </c>
      <c r="F36" s="4" t="s">
        <v>43</v>
      </c>
      <c r="G36" s="15" t="s">
        <v>19</v>
      </c>
      <c r="H36" s="4" t="s">
        <v>45</v>
      </c>
      <c r="I36" s="4" t="s">
        <v>49</v>
      </c>
      <c r="J36" s="10">
        <v>2.00928</v>
      </c>
      <c r="K36" s="10">
        <v>2.0089999999999999</v>
      </c>
      <c r="L36" s="10">
        <v>0</v>
      </c>
      <c r="M36" s="10">
        <v>0</v>
      </c>
      <c r="N36" s="10"/>
      <c r="O36" s="10"/>
      <c r="P36" s="10"/>
      <c r="Q36" s="10"/>
      <c r="R36" s="10"/>
      <c r="S36" s="10"/>
      <c r="T36" s="10"/>
      <c r="U36" s="10"/>
      <c r="V36" s="4" t="s">
        <v>415</v>
      </c>
      <c r="W36" s="4"/>
      <c r="X36" s="8">
        <v>44645</v>
      </c>
      <c r="Y36" s="4"/>
      <c r="Z36" s="4"/>
      <c r="AA36" s="8">
        <v>44650</v>
      </c>
      <c r="AB36" s="8">
        <v>44650</v>
      </c>
      <c r="AC36" s="4"/>
      <c r="AD36" s="4"/>
    </row>
    <row r="37" spans="1:30" hidden="1">
      <c r="A37" s="4">
        <v>2391</v>
      </c>
      <c r="B37" s="8">
        <v>44621</v>
      </c>
      <c r="C37" s="4" t="s">
        <v>467</v>
      </c>
      <c r="D37" s="4" t="s">
        <v>42</v>
      </c>
      <c r="E37" s="8">
        <v>44635</v>
      </c>
      <c r="F37" s="4" t="s">
        <v>43</v>
      </c>
      <c r="G37" s="15" t="s">
        <v>19</v>
      </c>
      <c r="H37" s="4" t="s">
        <v>45</v>
      </c>
      <c r="I37" s="4" t="s">
        <v>50</v>
      </c>
      <c r="J37" s="10">
        <v>3.1597080000000002</v>
      </c>
      <c r="K37" s="10">
        <v>3.1579999999999999</v>
      </c>
      <c r="L37" s="10">
        <v>0</v>
      </c>
      <c r="M37" s="10">
        <v>0</v>
      </c>
      <c r="N37" s="10"/>
      <c r="O37" s="10"/>
      <c r="P37" s="10">
        <v>0</v>
      </c>
      <c r="Q37" s="10"/>
      <c r="R37" s="10"/>
      <c r="S37" s="10"/>
      <c r="T37" s="10"/>
      <c r="U37" s="10"/>
      <c r="V37" s="4" t="s">
        <v>415</v>
      </c>
      <c r="W37" s="4"/>
      <c r="X37" s="8">
        <v>44645</v>
      </c>
      <c r="Y37" s="4"/>
      <c r="Z37" s="4"/>
      <c r="AA37" s="8"/>
      <c r="AB37" s="8">
        <v>44659</v>
      </c>
      <c r="AC37" s="4"/>
      <c r="AD37" s="4"/>
    </row>
    <row r="38" spans="1:30" hidden="1">
      <c r="A38" s="4">
        <v>2391</v>
      </c>
      <c r="B38" s="8">
        <v>44621</v>
      </c>
      <c r="C38" s="4" t="s">
        <v>467</v>
      </c>
      <c r="D38" s="4" t="s">
        <v>42</v>
      </c>
      <c r="E38" s="8">
        <v>44635</v>
      </c>
      <c r="F38" s="4" t="s">
        <v>43</v>
      </c>
      <c r="G38" s="15" t="s">
        <v>19</v>
      </c>
      <c r="H38" s="4" t="s">
        <v>45</v>
      </c>
      <c r="I38" s="4" t="s">
        <v>407</v>
      </c>
      <c r="J38" s="10">
        <v>9.8500000000000004E-2</v>
      </c>
      <c r="K38" s="10">
        <v>0.16</v>
      </c>
      <c r="L38" s="10">
        <v>0</v>
      </c>
      <c r="M38" s="10">
        <v>0</v>
      </c>
      <c r="N38" s="10"/>
      <c r="O38" s="10"/>
      <c r="P38" s="10"/>
      <c r="Q38" s="10"/>
      <c r="R38" s="10"/>
      <c r="S38" s="10"/>
      <c r="T38" s="10"/>
      <c r="U38" s="10"/>
      <c r="V38" s="4" t="s">
        <v>415</v>
      </c>
      <c r="W38" s="4"/>
      <c r="X38" s="8"/>
      <c r="Y38" s="4"/>
      <c r="Z38" s="4"/>
      <c r="AA38" s="8"/>
      <c r="AB38" s="8"/>
      <c r="AC38" s="4"/>
      <c r="AD38" s="4"/>
    </row>
    <row r="39" spans="1:30" hidden="1">
      <c r="A39" s="4">
        <v>2560</v>
      </c>
      <c r="B39" s="8">
        <v>44656</v>
      </c>
      <c r="C39" s="4" t="s">
        <v>465</v>
      </c>
      <c r="D39" s="4" t="s">
        <v>42</v>
      </c>
      <c r="E39" s="8">
        <v>44666</v>
      </c>
      <c r="F39" s="4" t="s">
        <v>43</v>
      </c>
      <c r="G39" s="16" t="s">
        <v>44</v>
      </c>
      <c r="H39" s="4" t="s">
        <v>45</v>
      </c>
      <c r="I39" s="4" t="s">
        <v>48</v>
      </c>
      <c r="J39" s="10">
        <v>0.38841000000000003</v>
      </c>
      <c r="K39" s="10">
        <v>0.38800000000000001</v>
      </c>
      <c r="L39" s="10">
        <v>0</v>
      </c>
      <c r="M39" s="10">
        <v>0</v>
      </c>
      <c r="N39" s="10"/>
      <c r="O39" s="10"/>
      <c r="P39" s="10"/>
      <c r="Q39" s="10"/>
      <c r="R39" s="10"/>
      <c r="S39" s="10"/>
      <c r="T39" s="10"/>
      <c r="U39" s="10"/>
      <c r="V39" s="4" t="s">
        <v>451</v>
      </c>
      <c r="W39" s="4"/>
      <c r="X39" s="8"/>
      <c r="Y39" s="4"/>
      <c r="Z39" s="4"/>
      <c r="AA39" s="8">
        <v>44661</v>
      </c>
      <c r="AB39" s="8">
        <v>44661</v>
      </c>
      <c r="AC39" s="4"/>
      <c r="AD39" s="4"/>
    </row>
    <row r="40" spans="1:30" hidden="1">
      <c r="A40" s="4">
        <v>2560</v>
      </c>
      <c r="B40" s="8">
        <v>44656</v>
      </c>
      <c r="C40" s="4" t="s">
        <v>465</v>
      </c>
      <c r="D40" s="4" t="s">
        <v>42</v>
      </c>
      <c r="E40" s="8">
        <v>44666</v>
      </c>
      <c r="F40" s="4" t="s">
        <v>43</v>
      </c>
      <c r="G40" s="16" t="s">
        <v>44</v>
      </c>
      <c r="H40" s="4" t="s">
        <v>45</v>
      </c>
      <c r="I40" s="4" t="s">
        <v>403</v>
      </c>
      <c r="J40" s="10">
        <v>1.0457999999999998</v>
      </c>
      <c r="K40" s="10">
        <v>1.046</v>
      </c>
      <c r="L40" s="10">
        <v>0</v>
      </c>
      <c r="M40" s="10">
        <v>0</v>
      </c>
      <c r="N40" s="10"/>
      <c r="O40" s="10"/>
      <c r="P40" s="10">
        <v>0</v>
      </c>
      <c r="Q40" s="10"/>
      <c r="R40" s="10"/>
      <c r="S40" s="10"/>
      <c r="T40" s="10"/>
      <c r="U40" s="10"/>
      <c r="V40" s="4" t="s">
        <v>451</v>
      </c>
      <c r="W40" s="4"/>
      <c r="X40" s="8">
        <v>44663</v>
      </c>
      <c r="Y40" s="4"/>
      <c r="Z40" s="4"/>
      <c r="AA40" s="8">
        <v>44668</v>
      </c>
      <c r="AB40" s="8">
        <v>44668</v>
      </c>
      <c r="AC40" s="4"/>
      <c r="AD40" s="4"/>
    </row>
    <row r="41" spans="1:30" hidden="1">
      <c r="A41" s="4">
        <v>2560</v>
      </c>
      <c r="B41" s="8">
        <v>44656</v>
      </c>
      <c r="C41" s="4" t="s">
        <v>465</v>
      </c>
      <c r="D41" s="4" t="s">
        <v>42</v>
      </c>
      <c r="E41" s="8">
        <v>44666</v>
      </c>
      <c r="F41" s="4" t="s">
        <v>43</v>
      </c>
      <c r="G41" s="16" t="s">
        <v>44</v>
      </c>
      <c r="H41" s="4" t="s">
        <v>45</v>
      </c>
      <c r="I41" s="4" t="s">
        <v>432</v>
      </c>
      <c r="J41" s="10">
        <v>0.19856000000000001</v>
      </c>
      <c r="K41" s="10">
        <v>0.20499999999999999</v>
      </c>
      <c r="L41" s="10">
        <v>0</v>
      </c>
      <c r="M41" s="10">
        <v>0</v>
      </c>
      <c r="N41" s="10"/>
      <c r="O41" s="10"/>
      <c r="P41" s="10"/>
      <c r="Q41" s="10"/>
      <c r="R41" s="10"/>
      <c r="S41" s="10"/>
      <c r="T41" s="10"/>
      <c r="U41" s="10"/>
      <c r="V41" s="4" t="s">
        <v>451</v>
      </c>
      <c r="W41" s="4"/>
      <c r="X41" s="8"/>
      <c r="Y41" s="4"/>
      <c r="Z41" s="4"/>
      <c r="AA41" s="8"/>
      <c r="AB41" s="8"/>
      <c r="AC41" s="4"/>
      <c r="AD41" s="4"/>
    </row>
    <row r="42" spans="1:30" hidden="1">
      <c r="A42" s="4">
        <v>2561</v>
      </c>
      <c r="B42" s="8">
        <v>44656</v>
      </c>
      <c r="C42" s="4" t="s">
        <v>453</v>
      </c>
      <c r="D42" s="4" t="s">
        <v>42</v>
      </c>
      <c r="E42" s="8">
        <v>44666</v>
      </c>
      <c r="F42" s="4" t="s">
        <v>43</v>
      </c>
      <c r="G42" s="40" t="s">
        <v>20</v>
      </c>
      <c r="H42" s="4" t="s">
        <v>45</v>
      </c>
      <c r="I42" s="4" t="s">
        <v>57</v>
      </c>
      <c r="J42" s="10">
        <v>33.99</v>
      </c>
      <c r="K42" s="10">
        <v>34.39</v>
      </c>
      <c r="L42" s="10">
        <v>0</v>
      </c>
      <c r="M42" s="10">
        <v>0</v>
      </c>
      <c r="N42" s="10"/>
      <c r="O42" s="10"/>
      <c r="P42" s="10">
        <v>0</v>
      </c>
      <c r="Q42" s="10"/>
      <c r="R42" s="10"/>
      <c r="S42" s="10"/>
      <c r="T42" s="10"/>
      <c r="U42" s="10"/>
      <c r="V42" s="4" t="s">
        <v>415</v>
      </c>
      <c r="W42" s="4" t="s">
        <v>469</v>
      </c>
      <c r="X42" s="8">
        <v>44656</v>
      </c>
      <c r="Y42" s="4"/>
      <c r="Z42" s="4"/>
      <c r="AA42" s="8"/>
      <c r="AB42" s="8">
        <v>44680</v>
      </c>
      <c r="AC42" s="4"/>
      <c r="AD42" s="4"/>
    </row>
    <row r="43" spans="1:30" hidden="1">
      <c r="A43" s="4">
        <v>2561</v>
      </c>
      <c r="B43" s="8">
        <v>44656</v>
      </c>
      <c r="C43" s="4" t="s">
        <v>453</v>
      </c>
      <c r="D43" s="4" t="s">
        <v>42</v>
      </c>
      <c r="E43" s="8">
        <v>44666</v>
      </c>
      <c r="F43" s="4" t="s">
        <v>43</v>
      </c>
      <c r="G43" s="40" t="s">
        <v>20</v>
      </c>
      <c r="H43" s="4" t="s">
        <v>45</v>
      </c>
      <c r="I43" s="4" t="s">
        <v>48</v>
      </c>
      <c r="J43" s="10">
        <v>89.366219999999998</v>
      </c>
      <c r="K43" s="10">
        <v>89.556999999999988</v>
      </c>
      <c r="L43" s="10">
        <v>0</v>
      </c>
      <c r="M43" s="10">
        <v>0</v>
      </c>
      <c r="N43" s="10"/>
      <c r="O43" s="10"/>
      <c r="P43" s="10">
        <v>0</v>
      </c>
      <c r="Q43" s="10"/>
      <c r="R43" s="10"/>
      <c r="S43" s="10"/>
      <c r="T43" s="10"/>
      <c r="U43" s="10"/>
      <c r="V43" s="4" t="s">
        <v>415</v>
      </c>
      <c r="W43" s="4"/>
      <c r="X43" s="8">
        <v>44656</v>
      </c>
      <c r="Y43" s="4"/>
      <c r="Z43" s="4"/>
      <c r="AA43" s="8">
        <v>44661</v>
      </c>
      <c r="AB43" s="8">
        <v>44680</v>
      </c>
      <c r="AC43" s="4"/>
      <c r="AD43" s="4"/>
    </row>
    <row r="44" spans="1:30" hidden="1">
      <c r="A44" s="4">
        <v>2561</v>
      </c>
      <c r="B44" s="8">
        <v>44656</v>
      </c>
      <c r="C44" s="4" t="s">
        <v>453</v>
      </c>
      <c r="D44" s="4" t="s">
        <v>42</v>
      </c>
      <c r="E44" s="8">
        <v>44666</v>
      </c>
      <c r="F44" s="4" t="s">
        <v>43</v>
      </c>
      <c r="G44" s="40" t="s">
        <v>20</v>
      </c>
      <c r="H44" s="4" t="s">
        <v>45</v>
      </c>
      <c r="I44" s="4" t="s">
        <v>403</v>
      </c>
      <c r="J44" s="10">
        <v>16.917059999999999</v>
      </c>
      <c r="K44" s="10">
        <v>16.934000000000001</v>
      </c>
      <c r="L44" s="10">
        <v>0</v>
      </c>
      <c r="M44" s="10">
        <v>0</v>
      </c>
      <c r="N44" s="10"/>
      <c r="O44" s="10"/>
      <c r="P44" s="10">
        <v>0</v>
      </c>
      <c r="Q44" s="10"/>
      <c r="R44" s="10"/>
      <c r="S44" s="10"/>
      <c r="T44" s="10"/>
      <c r="U44" s="10"/>
      <c r="V44" s="4" t="s">
        <v>415</v>
      </c>
      <c r="W44" s="4"/>
      <c r="X44" s="8">
        <v>44663</v>
      </c>
      <c r="Y44" s="4"/>
      <c r="Z44" s="4"/>
      <c r="AA44" s="8"/>
      <c r="AB44" s="8">
        <v>44675</v>
      </c>
      <c r="AC44" s="4"/>
      <c r="AD44" s="4"/>
    </row>
    <row r="45" spans="1:30" hidden="1">
      <c r="A45" s="4">
        <v>2561</v>
      </c>
      <c r="B45" s="8">
        <v>44656</v>
      </c>
      <c r="C45" s="4" t="s">
        <v>453</v>
      </c>
      <c r="D45" s="4" t="s">
        <v>42</v>
      </c>
      <c r="E45" s="8">
        <v>44666</v>
      </c>
      <c r="F45" s="4" t="s">
        <v>43</v>
      </c>
      <c r="G45" s="40" t="s">
        <v>20</v>
      </c>
      <c r="H45" s="4" t="s">
        <v>45</v>
      </c>
      <c r="I45" s="4" t="s">
        <v>49</v>
      </c>
      <c r="J45" s="10">
        <v>54.836600000000004</v>
      </c>
      <c r="K45" s="10">
        <v>55.060000000000009</v>
      </c>
      <c r="L45" s="10">
        <v>0</v>
      </c>
      <c r="M45" s="10">
        <v>0</v>
      </c>
      <c r="N45" s="10"/>
      <c r="O45" s="10"/>
      <c r="P45" s="10">
        <v>0</v>
      </c>
      <c r="Q45" s="10">
        <v>0</v>
      </c>
      <c r="R45" s="10"/>
      <c r="S45" s="10">
        <v>0</v>
      </c>
      <c r="T45" s="10"/>
      <c r="U45" s="10"/>
      <c r="V45" s="4" t="s">
        <v>415</v>
      </c>
      <c r="W45" s="4"/>
      <c r="X45" s="8">
        <v>44679</v>
      </c>
      <c r="Y45" s="4"/>
      <c r="Z45" s="4"/>
      <c r="AA45" s="8"/>
      <c r="AB45" s="8">
        <v>44694</v>
      </c>
      <c r="AC45" s="4"/>
      <c r="AD45" s="4"/>
    </row>
    <row r="46" spans="1:30" hidden="1">
      <c r="A46" s="4">
        <v>2561</v>
      </c>
      <c r="B46" s="8">
        <v>44656</v>
      </c>
      <c r="C46" s="4" t="s">
        <v>453</v>
      </c>
      <c r="D46" s="4" t="s">
        <v>42</v>
      </c>
      <c r="E46" s="8">
        <v>44666</v>
      </c>
      <c r="F46" s="4" t="s">
        <v>43</v>
      </c>
      <c r="G46" s="40" t="s">
        <v>20</v>
      </c>
      <c r="H46" s="4" t="s">
        <v>45</v>
      </c>
      <c r="I46" s="4" t="s">
        <v>470</v>
      </c>
      <c r="J46" s="10">
        <v>13.730919999999999</v>
      </c>
      <c r="K46" s="10">
        <v>13.743</v>
      </c>
      <c r="L46" s="10">
        <v>0</v>
      </c>
      <c r="M46" s="10">
        <v>0</v>
      </c>
      <c r="N46" s="10"/>
      <c r="O46" s="10"/>
      <c r="P46" s="10">
        <v>0</v>
      </c>
      <c r="Q46" s="10"/>
      <c r="R46" s="10"/>
      <c r="S46" s="10"/>
      <c r="T46" s="10"/>
      <c r="U46" s="10"/>
      <c r="V46" s="4" t="s">
        <v>415</v>
      </c>
      <c r="W46" s="4" t="s">
        <v>471</v>
      </c>
      <c r="X46" s="8">
        <v>44656</v>
      </c>
      <c r="Y46" s="4"/>
      <c r="Z46" s="4"/>
      <c r="AA46" s="8"/>
      <c r="AB46" s="8">
        <v>44675</v>
      </c>
      <c r="AC46" s="4"/>
      <c r="AD46" s="4"/>
    </row>
    <row r="47" spans="1:30" hidden="1">
      <c r="A47" s="4">
        <v>2561</v>
      </c>
      <c r="B47" s="8">
        <v>44656</v>
      </c>
      <c r="C47" s="4"/>
      <c r="D47" s="4" t="s">
        <v>42</v>
      </c>
      <c r="E47" s="8">
        <v>44666</v>
      </c>
      <c r="F47" s="4" t="s">
        <v>43</v>
      </c>
      <c r="G47" s="40" t="s">
        <v>20</v>
      </c>
      <c r="H47" s="4" t="s">
        <v>45</v>
      </c>
      <c r="I47" s="4" t="s">
        <v>54</v>
      </c>
      <c r="J47" s="10">
        <v>20.827591999999999</v>
      </c>
      <c r="K47" s="10">
        <v>20.864999999999998</v>
      </c>
      <c r="L47" s="10">
        <v>0</v>
      </c>
      <c r="M47" s="10">
        <v>0</v>
      </c>
      <c r="N47" s="10"/>
      <c r="O47" s="10"/>
      <c r="P47" s="10">
        <v>0</v>
      </c>
      <c r="Q47" s="10"/>
      <c r="R47" s="10"/>
      <c r="S47" s="10"/>
      <c r="T47" s="10"/>
      <c r="U47" s="10"/>
      <c r="V47" s="4" t="s">
        <v>415</v>
      </c>
      <c r="W47" s="4"/>
      <c r="X47" s="8"/>
      <c r="Y47" s="4"/>
      <c r="Z47" s="4"/>
      <c r="AA47" s="8"/>
      <c r="AB47" s="8"/>
      <c r="AC47" s="4"/>
      <c r="AD47" s="4"/>
    </row>
    <row r="48" spans="1:30" hidden="1">
      <c r="A48" s="4">
        <v>2561</v>
      </c>
      <c r="B48" s="8">
        <v>44656</v>
      </c>
      <c r="C48" s="4" t="s">
        <v>453</v>
      </c>
      <c r="D48" s="4" t="s">
        <v>42</v>
      </c>
      <c r="E48" s="8">
        <v>44666</v>
      </c>
      <c r="F48" s="4" t="s">
        <v>43</v>
      </c>
      <c r="G48" s="40" t="s">
        <v>20</v>
      </c>
      <c r="H48" s="4" t="s">
        <v>45</v>
      </c>
      <c r="I48" s="4" t="s">
        <v>56</v>
      </c>
      <c r="J48" s="10">
        <v>70.359989999999996</v>
      </c>
      <c r="K48" s="10">
        <v>70.744</v>
      </c>
      <c r="L48" s="10">
        <v>0</v>
      </c>
      <c r="M48" s="10">
        <v>0</v>
      </c>
      <c r="N48" s="10"/>
      <c r="O48" s="10"/>
      <c r="P48" s="10">
        <v>0</v>
      </c>
      <c r="Q48" s="10"/>
      <c r="R48" s="10"/>
      <c r="S48" s="10"/>
      <c r="T48" s="10"/>
      <c r="U48" s="10"/>
      <c r="V48" s="4" t="s">
        <v>415</v>
      </c>
      <c r="W48" s="4"/>
      <c r="X48" s="8"/>
      <c r="Y48" s="4"/>
      <c r="Z48" s="4"/>
      <c r="AA48" s="8"/>
      <c r="AB48" s="8">
        <v>44675</v>
      </c>
      <c r="AC48" s="4"/>
      <c r="AD48" s="4"/>
    </row>
    <row r="49" spans="1:30" hidden="1">
      <c r="A49" s="4">
        <v>2561</v>
      </c>
      <c r="B49" s="8">
        <v>44656</v>
      </c>
      <c r="C49" s="4" t="s">
        <v>453</v>
      </c>
      <c r="D49" s="4" t="s">
        <v>42</v>
      </c>
      <c r="E49" s="8">
        <v>44666</v>
      </c>
      <c r="F49" s="4" t="s">
        <v>43</v>
      </c>
      <c r="G49" s="40" t="s">
        <v>20</v>
      </c>
      <c r="H49" s="4" t="s">
        <v>45</v>
      </c>
      <c r="I49" s="4" t="s">
        <v>46</v>
      </c>
      <c r="J49" s="10">
        <v>29.804279999999999</v>
      </c>
      <c r="K49" s="10">
        <v>29.713000000000001</v>
      </c>
      <c r="L49" s="10">
        <v>0</v>
      </c>
      <c r="M49" s="10">
        <v>0</v>
      </c>
      <c r="N49" s="10"/>
      <c r="O49" s="10"/>
      <c r="P49" s="10">
        <v>0</v>
      </c>
      <c r="Q49" s="10"/>
      <c r="R49" s="10"/>
      <c r="S49" s="10"/>
      <c r="T49" s="10"/>
      <c r="U49" s="10"/>
      <c r="V49" s="4" t="s">
        <v>415</v>
      </c>
      <c r="W49" s="4"/>
      <c r="X49" s="8">
        <v>44663</v>
      </c>
      <c r="Y49" s="4"/>
      <c r="Z49" s="4"/>
      <c r="AA49" s="8"/>
      <c r="AB49" s="8">
        <v>44680</v>
      </c>
      <c r="AC49" s="4"/>
      <c r="AD49" s="4"/>
    </row>
    <row r="50" spans="1:30" hidden="1">
      <c r="A50" s="4">
        <v>2561</v>
      </c>
      <c r="B50" s="8">
        <v>44656</v>
      </c>
      <c r="C50" s="4" t="s">
        <v>453</v>
      </c>
      <c r="D50" s="4" t="s">
        <v>42</v>
      </c>
      <c r="E50" s="8">
        <v>44666</v>
      </c>
      <c r="F50" s="4" t="s">
        <v>43</v>
      </c>
      <c r="G50" s="40" t="s">
        <v>20</v>
      </c>
      <c r="H50" s="4" t="s">
        <v>45</v>
      </c>
      <c r="I50" s="4" t="s">
        <v>50</v>
      </c>
      <c r="J50" s="10">
        <v>27.402269999999998</v>
      </c>
      <c r="K50" s="10">
        <v>27.503</v>
      </c>
      <c r="L50" s="10">
        <v>0</v>
      </c>
      <c r="M50" s="10">
        <v>0</v>
      </c>
      <c r="N50" s="10"/>
      <c r="O50" s="10"/>
      <c r="P50" s="10">
        <v>0</v>
      </c>
      <c r="Q50" s="10"/>
      <c r="R50" s="10"/>
      <c r="S50" s="10"/>
      <c r="T50" s="10"/>
      <c r="U50" s="10"/>
      <c r="V50" s="4" t="s">
        <v>415</v>
      </c>
      <c r="W50" s="4"/>
      <c r="X50" s="8">
        <v>44679</v>
      </c>
      <c r="Y50" s="4"/>
      <c r="Z50" s="4"/>
      <c r="AA50" s="8"/>
      <c r="AB50" s="8">
        <v>44695</v>
      </c>
      <c r="AC50" s="4"/>
      <c r="AD50" s="4"/>
    </row>
    <row r="51" spans="1:30" hidden="1">
      <c r="A51" s="4">
        <v>2561</v>
      </c>
      <c r="B51" s="8">
        <v>44656</v>
      </c>
      <c r="C51" s="4" t="s">
        <v>453</v>
      </c>
      <c r="D51" s="4" t="s">
        <v>42</v>
      </c>
      <c r="E51" s="8">
        <v>44666</v>
      </c>
      <c r="F51" s="4" t="s">
        <v>43</v>
      </c>
      <c r="G51" s="40" t="s">
        <v>20</v>
      </c>
      <c r="H51" s="4" t="s">
        <v>45</v>
      </c>
      <c r="I51" s="4" t="s">
        <v>472</v>
      </c>
      <c r="J51" s="10">
        <v>23.666112000000005</v>
      </c>
      <c r="K51" s="10">
        <v>23.798000000000002</v>
      </c>
      <c r="L51" s="10">
        <v>0</v>
      </c>
      <c r="M51" s="10">
        <v>0</v>
      </c>
      <c r="N51" s="10"/>
      <c r="O51" s="10"/>
      <c r="P51" s="10">
        <v>0</v>
      </c>
      <c r="Q51" s="10"/>
      <c r="R51" s="10"/>
      <c r="S51" s="10"/>
      <c r="T51" s="10"/>
      <c r="U51" s="10"/>
      <c r="V51" s="4" t="s">
        <v>415</v>
      </c>
      <c r="W51" s="4"/>
      <c r="X51" s="8"/>
      <c r="Y51" s="4"/>
      <c r="Z51" s="4"/>
      <c r="AA51" s="8"/>
      <c r="AB51" s="8">
        <v>44694</v>
      </c>
      <c r="AC51" s="4"/>
      <c r="AD51" s="4"/>
    </row>
    <row r="52" spans="1:30" hidden="1">
      <c r="A52" s="4">
        <v>2561</v>
      </c>
      <c r="B52" s="8">
        <v>44656</v>
      </c>
      <c r="C52" s="4" t="s">
        <v>453</v>
      </c>
      <c r="D52" s="4" t="s">
        <v>42</v>
      </c>
      <c r="E52" s="8">
        <v>44666</v>
      </c>
      <c r="F52" s="4" t="s">
        <v>43</v>
      </c>
      <c r="G52" s="40" t="s">
        <v>20</v>
      </c>
      <c r="H52" s="4" t="s">
        <v>45</v>
      </c>
      <c r="I52" s="4" t="s">
        <v>473</v>
      </c>
      <c r="J52" s="10">
        <v>31.263400000000001</v>
      </c>
      <c r="K52" s="10">
        <v>31.367999999999999</v>
      </c>
      <c r="L52" s="10">
        <v>0</v>
      </c>
      <c r="M52" s="10">
        <v>0</v>
      </c>
      <c r="N52" s="10"/>
      <c r="O52" s="10"/>
      <c r="P52" s="10">
        <v>0</v>
      </c>
      <c r="Q52" s="10"/>
      <c r="R52" s="10"/>
      <c r="S52" s="10"/>
      <c r="T52" s="10"/>
      <c r="U52" s="10"/>
      <c r="V52" s="4" t="s">
        <v>415</v>
      </c>
      <c r="W52" s="4"/>
      <c r="X52" s="8"/>
      <c r="Y52" s="4"/>
      <c r="Z52" s="4"/>
      <c r="AA52" s="8"/>
      <c r="AB52" s="8">
        <v>44695</v>
      </c>
      <c r="AC52" s="4"/>
      <c r="AD52" s="4"/>
    </row>
    <row r="53" spans="1:30" hidden="1">
      <c r="A53" s="4">
        <v>2561</v>
      </c>
      <c r="B53" s="8">
        <v>44656</v>
      </c>
      <c r="C53" s="4" t="s">
        <v>453</v>
      </c>
      <c r="D53" s="4" t="s">
        <v>42</v>
      </c>
      <c r="E53" s="8">
        <v>44666</v>
      </c>
      <c r="F53" s="4" t="s">
        <v>43</v>
      </c>
      <c r="G53" s="40" t="s">
        <v>20</v>
      </c>
      <c r="H53" s="4" t="s">
        <v>45</v>
      </c>
      <c r="I53" s="4" t="s">
        <v>235</v>
      </c>
      <c r="J53" s="10">
        <v>39.973639999999996</v>
      </c>
      <c r="K53" s="10">
        <v>39.974000000000004</v>
      </c>
      <c r="L53" s="10">
        <v>0</v>
      </c>
      <c r="M53" s="10">
        <v>0</v>
      </c>
      <c r="N53" s="10"/>
      <c r="O53" s="10"/>
      <c r="P53" s="10">
        <v>0</v>
      </c>
      <c r="Q53" s="10"/>
      <c r="R53" s="10"/>
      <c r="S53" s="10"/>
      <c r="T53" s="10"/>
      <c r="U53" s="10"/>
      <c r="V53" s="4" t="s">
        <v>415</v>
      </c>
      <c r="W53" s="4"/>
      <c r="X53" s="8"/>
      <c r="Y53" s="4"/>
      <c r="Z53" s="4"/>
      <c r="AA53" s="8"/>
      <c r="AB53" s="8">
        <v>44694</v>
      </c>
      <c r="AC53" s="4"/>
      <c r="AD53" s="4"/>
    </row>
    <row r="54" spans="1:30" hidden="1">
      <c r="A54" s="4">
        <v>2561</v>
      </c>
      <c r="B54" s="8">
        <v>44656</v>
      </c>
      <c r="C54" s="4" t="s">
        <v>453</v>
      </c>
      <c r="D54" s="4" t="s">
        <v>42</v>
      </c>
      <c r="E54" s="8">
        <v>44666</v>
      </c>
      <c r="F54" s="4" t="s">
        <v>43</v>
      </c>
      <c r="G54" s="40" t="s">
        <v>20</v>
      </c>
      <c r="H54" s="4" t="s">
        <v>45</v>
      </c>
      <c r="I54" s="4" t="s">
        <v>474</v>
      </c>
      <c r="J54" s="10">
        <v>5.9120939999999997</v>
      </c>
      <c r="K54" s="10">
        <v>5.9740000000000002</v>
      </c>
      <c r="L54" s="10">
        <v>0</v>
      </c>
      <c r="M54" s="10">
        <v>0</v>
      </c>
      <c r="N54" s="10"/>
      <c r="O54" s="10"/>
      <c r="P54" s="10">
        <v>0</v>
      </c>
      <c r="Q54" s="10"/>
      <c r="R54" s="10"/>
      <c r="S54" s="10"/>
      <c r="T54" s="10"/>
      <c r="U54" s="10"/>
      <c r="V54" s="4" t="s">
        <v>415</v>
      </c>
      <c r="W54" s="4"/>
      <c r="X54" s="8"/>
      <c r="Y54" s="4"/>
      <c r="Z54" s="4"/>
      <c r="AA54" s="8"/>
      <c r="AB54" s="8">
        <v>44694</v>
      </c>
      <c r="AC54" s="4"/>
      <c r="AD54" s="4"/>
    </row>
    <row r="55" spans="1:30" hidden="1">
      <c r="A55" s="4">
        <v>4</v>
      </c>
      <c r="B55" s="8">
        <v>44656</v>
      </c>
      <c r="C55" s="4" t="s">
        <v>475</v>
      </c>
      <c r="D55" s="4" t="s">
        <v>42</v>
      </c>
      <c r="E55" s="8">
        <v>44674</v>
      </c>
      <c r="F55" s="4" t="s">
        <v>43</v>
      </c>
      <c r="G55" s="16" t="s">
        <v>51</v>
      </c>
      <c r="H55" s="4" t="s">
        <v>52</v>
      </c>
      <c r="I55" s="4" t="s">
        <v>54</v>
      </c>
      <c r="J55" s="10">
        <v>57.714359999999999</v>
      </c>
      <c r="K55" s="10">
        <v>57.789000000000001</v>
      </c>
      <c r="L55" s="10">
        <v>0</v>
      </c>
      <c r="M55" s="10">
        <v>0</v>
      </c>
      <c r="N55" s="10"/>
      <c r="O55" s="10"/>
      <c r="P55" s="10"/>
      <c r="Q55" s="10"/>
      <c r="R55" s="10"/>
      <c r="S55" s="10"/>
      <c r="T55" s="10"/>
      <c r="U55" s="10"/>
      <c r="V55" s="4" t="s">
        <v>23</v>
      </c>
      <c r="W55" s="4" t="s">
        <v>476</v>
      </c>
      <c r="X55" s="8"/>
      <c r="Y55" s="4"/>
      <c r="Z55" s="4"/>
      <c r="AA55" s="8"/>
      <c r="AB55" s="8">
        <v>44669</v>
      </c>
      <c r="AC55" s="4"/>
      <c r="AD55" s="4"/>
    </row>
    <row r="56" spans="1:30" hidden="1">
      <c r="A56" s="4">
        <v>4</v>
      </c>
      <c r="B56" s="8">
        <v>44656</v>
      </c>
      <c r="C56" s="4" t="s">
        <v>475</v>
      </c>
      <c r="D56" s="4" t="s">
        <v>42</v>
      </c>
      <c r="E56" s="8">
        <v>44674</v>
      </c>
      <c r="F56" s="4" t="s">
        <v>43</v>
      </c>
      <c r="G56" s="16" t="s">
        <v>51</v>
      </c>
      <c r="H56" s="4" t="s">
        <v>52</v>
      </c>
      <c r="I56" s="4" t="s">
        <v>56</v>
      </c>
      <c r="J56" s="10">
        <v>29.4</v>
      </c>
      <c r="K56" s="10">
        <v>29.4</v>
      </c>
      <c r="L56" s="10">
        <f>M56+U56</f>
        <v>0</v>
      </c>
      <c r="M56" s="10">
        <v>0</v>
      </c>
      <c r="N56" s="10"/>
      <c r="O56" s="10"/>
      <c r="P56" s="10"/>
      <c r="Q56" s="10"/>
      <c r="R56" s="10"/>
      <c r="S56" s="10"/>
      <c r="T56" s="10"/>
      <c r="U56" s="10"/>
      <c r="V56" s="4" t="s">
        <v>23</v>
      </c>
      <c r="W56" s="4" t="s">
        <v>477</v>
      </c>
      <c r="X56" s="8"/>
      <c r="Y56" s="4"/>
      <c r="Z56" s="4"/>
      <c r="AA56" s="8"/>
      <c r="AB56" s="8"/>
      <c r="AC56" s="4"/>
      <c r="AD56" s="4"/>
    </row>
    <row r="57" spans="1:30" hidden="1">
      <c r="A57" s="4">
        <v>4</v>
      </c>
      <c r="B57" s="8">
        <v>44656</v>
      </c>
      <c r="C57" s="4" t="s">
        <v>475</v>
      </c>
      <c r="D57" s="4" t="s">
        <v>42</v>
      </c>
      <c r="E57" s="8">
        <v>44674</v>
      </c>
      <c r="F57" s="4" t="s">
        <v>43</v>
      </c>
      <c r="G57" s="16" t="s">
        <v>51</v>
      </c>
      <c r="H57" s="4" t="s">
        <v>52</v>
      </c>
      <c r="I57" s="4" t="s">
        <v>48</v>
      </c>
      <c r="J57" s="10">
        <v>5.7892449999999993</v>
      </c>
      <c r="K57" s="10">
        <v>5.7880000000000003</v>
      </c>
      <c r="L57" s="10">
        <v>0</v>
      </c>
      <c r="M57" s="10">
        <v>0</v>
      </c>
      <c r="N57" s="10"/>
      <c r="O57" s="10"/>
      <c r="P57" s="10">
        <v>0</v>
      </c>
      <c r="Q57" s="10"/>
      <c r="R57" s="10"/>
      <c r="S57" s="10"/>
      <c r="T57" s="10"/>
      <c r="U57" s="10"/>
      <c r="V57" s="4" t="s">
        <v>23</v>
      </c>
      <c r="W57" s="4" t="s">
        <v>478</v>
      </c>
      <c r="X57" s="8"/>
      <c r="Y57" s="4"/>
      <c r="Z57" s="4"/>
      <c r="AA57" s="8"/>
      <c r="AB57" s="8">
        <v>44680</v>
      </c>
      <c r="AC57" s="4"/>
      <c r="AD57" s="4"/>
    </row>
    <row r="58" spans="1:30" hidden="1">
      <c r="A58" s="4">
        <v>4</v>
      </c>
      <c r="B58" s="8">
        <v>44656</v>
      </c>
      <c r="C58" s="4" t="s">
        <v>479</v>
      </c>
      <c r="D58" s="4" t="s">
        <v>42</v>
      </c>
      <c r="E58" s="8">
        <v>44674</v>
      </c>
      <c r="F58" s="4" t="s">
        <v>43</v>
      </c>
      <c r="G58" s="16" t="s">
        <v>51</v>
      </c>
      <c r="H58" s="4" t="s">
        <v>52</v>
      </c>
      <c r="I58" s="4" t="s">
        <v>403</v>
      </c>
      <c r="J58" s="10">
        <v>3.0544000000000002</v>
      </c>
      <c r="K58" s="10">
        <v>3.0550000000000002</v>
      </c>
      <c r="L58" s="10">
        <v>0</v>
      </c>
      <c r="M58" s="10">
        <v>0</v>
      </c>
      <c r="N58" s="10"/>
      <c r="O58" s="10"/>
      <c r="P58" s="10">
        <v>0</v>
      </c>
      <c r="Q58" s="10"/>
      <c r="R58" s="10"/>
      <c r="S58" s="10"/>
      <c r="T58" s="10"/>
      <c r="U58" s="10"/>
      <c r="V58" s="4" t="s">
        <v>23</v>
      </c>
      <c r="W58" s="4" t="s">
        <v>452</v>
      </c>
      <c r="X58" s="8">
        <v>44663</v>
      </c>
      <c r="Y58" s="4"/>
      <c r="Z58" s="4"/>
      <c r="AA58" s="8">
        <v>44669</v>
      </c>
      <c r="AB58" s="8">
        <v>44669</v>
      </c>
      <c r="AC58" s="4"/>
      <c r="AD58" s="4"/>
    </row>
    <row r="59" spans="1:30" hidden="1">
      <c r="A59" s="4">
        <v>4</v>
      </c>
      <c r="B59" s="8">
        <v>44656</v>
      </c>
      <c r="C59" s="4" t="s">
        <v>480</v>
      </c>
      <c r="D59" s="4" t="s">
        <v>42</v>
      </c>
      <c r="E59" s="8">
        <v>44674</v>
      </c>
      <c r="F59" s="4" t="s">
        <v>43</v>
      </c>
      <c r="G59" s="16" t="s">
        <v>51</v>
      </c>
      <c r="H59" s="4" t="s">
        <v>52</v>
      </c>
      <c r="I59" s="4" t="s">
        <v>46</v>
      </c>
      <c r="J59" s="10">
        <v>17.670579999999998</v>
      </c>
      <c r="K59" s="10">
        <v>17.670000000000002</v>
      </c>
      <c r="L59" s="10">
        <v>0</v>
      </c>
      <c r="M59" s="10">
        <v>0</v>
      </c>
      <c r="N59" s="10"/>
      <c r="O59" s="10"/>
      <c r="P59" s="10">
        <v>0</v>
      </c>
      <c r="Q59" s="10"/>
      <c r="R59" s="10"/>
      <c r="S59" s="10"/>
      <c r="T59" s="10"/>
      <c r="U59" s="10"/>
      <c r="V59" s="4" t="s">
        <v>23</v>
      </c>
      <c r="W59" s="4" t="s">
        <v>452</v>
      </c>
      <c r="X59" s="8">
        <v>44663</v>
      </c>
      <c r="Y59" s="4"/>
      <c r="Z59" s="4"/>
      <c r="AA59" s="8"/>
      <c r="AB59" s="8">
        <v>44680</v>
      </c>
      <c r="AC59" s="4"/>
      <c r="AD59" s="4"/>
    </row>
    <row r="60" spans="1:30" hidden="1">
      <c r="A60" s="4">
        <v>4</v>
      </c>
      <c r="B60" s="8">
        <v>44656</v>
      </c>
      <c r="C60" s="4" t="s">
        <v>479</v>
      </c>
      <c r="D60" s="4" t="s">
        <v>42</v>
      </c>
      <c r="E60" s="8">
        <v>44674</v>
      </c>
      <c r="F60" s="4" t="s">
        <v>43</v>
      </c>
      <c r="G60" s="16" t="s">
        <v>51</v>
      </c>
      <c r="H60" s="4" t="s">
        <v>52</v>
      </c>
      <c r="I60" s="4" t="s">
        <v>49</v>
      </c>
      <c r="J60" s="10">
        <v>7.1416799999999991</v>
      </c>
      <c r="K60" s="10">
        <v>7.1420000000000003</v>
      </c>
      <c r="L60" s="10">
        <v>0</v>
      </c>
      <c r="M60" s="10">
        <v>0</v>
      </c>
      <c r="N60" s="10"/>
      <c r="O60" s="10"/>
      <c r="P60" s="10">
        <v>0</v>
      </c>
      <c r="Q60" s="10"/>
      <c r="R60" s="10"/>
      <c r="S60" s="10"/>
      <c r="T60" s="10"/>
      <c r="U60" s="10"/>
      <c r="V60" s="4" t="s">
        <v>23</v>
      </c>
      <c r="W60" s="4" t="s">
        <v>452</v>
      </c>
      <c r="X60" s="8">
        <v>44679</v>
      </c>
      <c r="Y60" s="4"/>
      <c r="Z60" s="4"/>
      <c r="AA60" s="8">
        <v>44684</v>
      </c>
      <c r="AB60" s="8">
        <v>44684</v>
      </c>
      <c r="AC60" s="4"/>
      <c r="AD60" s="4"/>
    </row>
    <row r="61" spans="1:30" hidden="1">
      <c r="A61" s="4">
        <v>4</v>
      </c>
      <c r="B61" s="8">
        <v>44656</v>
      </c>
      <c r="C61" s="4" t="s">
        <v>479</v>
      </c>
      <c r="D61" s="4" t="s">
        <v>42</v>
      </c>
      <c r="E61" s="8">
        <v>44674</v>
      </c>
      <c r="F61" s="4" t="s">
        <v>43</v>
      </c>
      <c r="G61" s="16" t="s">
        <v>51</v>
      </c>
      <c r="H61" s="4" t="s">
        <v>52</v>
      </c>
      <c r="I61" s="4" t="s">
        <v>50</v>
      </c>
      <c r="J61" s="10">
        <v>8.2378800000000005</v>
      </c>
      <c r="K61" s="10">
        <v>8.2379999999999995</v>
      </c>
      <c r="L61" s="10">
        <v>0</v>
      </c>
      <c r="M61" s="10">
        <v>0</v>
      </c>
      <c r="N61" s="10"/>
      <c r="O61" s="10"/>
      <c r="P61" s="10">
        <v>0</v>
      </c>
      <c r="Q61" s="10"/>
      <c r="R61" s="10"/>
      <c r="S61" s="10"/>
      <c r="T61" s="10"/>
      <c r="U61" s="10"/>
      <c r="V61" s="4" t="s">
        <v>23</v>
      </c>
      <c r="W61" s="4" t="s">
        <v>452</v>
      </c>
      <c r="X61" s="8">
        <v>44679</v>
      </c>
      <c r="Y61" s="4"/>
      <c r="Z61" s="4"/>
      <c r="AA61" s="8">
        <v>44684</v>
      </c>
      <c r="AB61" s="8">
        <v>44684</v>
      </c>
      <c r="AC61" s="4"/>
      <c r="AD61" s="4"/>
    </row>
    <row r="62" spans="1:30" hidden="1">
      <c r="A62" s="4">
        <v>4</v>
      </c>
      <c r="B62" s="8">
        <v>44656</v>
      </c>
      <c r="C62" s="4" t="s">
        <v>480</v>
      </c>
      <c r="D62" s="4" t="s">
        <v>42</v>
      </c>
      <c r="E62" s="8">
        <v>44674</v>
      </c>
      <c r="F62" s="4" t="s">
        <v>43</v>
      </c>
      <c r="G62" s="16" t="s">
        <v>51</v>
      </c>
      <c r="H62" s="4" t="s">
        <v>52</v>
      </c>
      <c r="I62" s="4" t="s">
        <v>53</v>
      </c>
      <c r="J62" s="10">
        <v>39.875080000000018</v>
      </c>
      <c r="K62" s="10">
        <v>39.999000000000002</v>
      </c>
      <c r="L62" s="10">
        <v>0</v>
      </c>
      <c r="M62" s="10">
        <v>0</v>
      </c>
      <c r="N62" s="10"/>
      <c r="O62" s="10"/>
      <c r="P62" s="10"/>
      <c r="Q62" s="10"/>
      <c r="R62" s="10"/>
      <c r="S62" s="10"/>
      <c r="T62" s="10"/>
      <c r="U62" s="10"/>
      <c r="V62" s="4" t="s">
        <v>23</v>
      </c>
      <c r="W62" s="4" t="s">
        <v>452</v>
      </c>
      <c r="X62" s="8">
        <v>44667</v>
      </c>
      <c r="Y62" s="4"/>
      <c r="Z62" s="4"/>
      <c r="AA62" s="8"/>
      <c r="AB62" s="8"/>
      <c r="AC62" s="4"/>
      <c r="AD62" s="4"/>
    </row>
    <row r="63" spans="1:30" hidden="1">
      <c r="A63" s="4">
        <v>4</v>
      </c>
      <c r="B63" s="8">
        <v>44656</v>
      </c>
      <c r="C63" s="4" t="s">
        <v>479</v>
      </c>
      <c r="D63" s="4" t="s">
        <v>42</v>
      </c>
      <c r="E63" s="8">
        <v>44674</v>
      </c>
      <c r="F63" s="4" t="s">
        <v>43</v>
      </c>
      <c r="G63" s="16" t="s">
        <v>51</v>
      </c>
      <c r="H63" s="4" t="s">
        <v>52</v>
      </c>
      <c r="I63" s="4" t="s">
        <v>435</v>
      </c>
      <c r="J63" s="10">
        <v>22.306950000000001</v>
      </c>
      <c r="K63" s="10">
        <v>22.177</v>
      </c>
      <c r="L63" s="10">
        <v>0</v>
      </c>
      <c r="M63" s="10">
        <v>0</v>
      </c>
      <c r="N63" s="10"/>
      <c r="O63" s="10"/>
      <c r="P63" s="10"/>
      <c r="Q63" s="10"/>
      <c r="R63" s="10"/>
      <c r="S63" s="10"/>
      <c r="T63" s="10"/>
      <c r="U63" s="10"/>
      <c r="V63" s="4" t="s">
        <v>23</v>
      </c>
      <c r="W63" s="4" t="s">
        <v>452</v>
      </c>
      <c r="X63" s="8"/>
      <c r="Y63" s="4"/>
      <c r="Z63" s="4"/>
      <c r="AA63" s="8"/>
      <c r="AB63" s="8"/>
      <c r="AC63" s="4"/>
      <c r="AD63" s="4"/>
    </row>
    <row r="64" spans="1:30" hidden="1">
      <c r="A64" s="4">
        <v>4</v>
      </c>
      <c r="B64" s="8">
        <v>44656</v>
      </c>
      <c r="C64" s="4" t="s">
        <v>479</v>
      </c>
      <c r="D64" s="4" t="s">
        <v>42</v>
      </c>
      <c r="E64" s="8">
        <v>44674</v>
      </c>
      <c r="F64" s="4" t="s">
        <v>43</v>
      </c>
      <c r="G64" s="16" t="s">
        <v>51</v>
      </c>
      <c r="H64" s="4" t="s">
        <v>52</v>
      </c>
      <c r="I64" s="4" t="s">
        <v>432</v>
      </c>
      <c r="J64" s="10">
        <v>15.945999999999998</v>
      </c>
      <c r="K64" s="10">
        <v>16.016999999999999</v>
      </c>
      <c r="L64" s="10">
        <v>0</v>
      </c>
      <c r="M64" s="10">
        <v>0</v>
      </c>
      <c r="N64" s="10"/>
      <c r="O64" s="10"/>
      <c r="P64" s="10">
        <v>0</v>
      </c>
      <c r="Q64" s="10"/>
      <c r="R64" s="10"/>
      <c r="S64" s="10"/>
      <c r="T64" s="10"/>
      <c r="U64" s="10"/>
      <c r="V64" s="4" t="s">
        <v>23</v>
      </c>
      <c r="W64" s="4" t="s">
        <v>452</v>
      </c>
      <c r="X64" s="8"/>
      <c r="Y64" s="4"/>
      <c r="Z64" s="4"/>
      <c r="AA64" s="8"/>
      <c r="AB64" s="8">
        <v>44694</v>
      </c>
      <c r="AC64" s="4"/>
      <c r="AD64" s="4"/>
    </row>
    <row r="65" spans="1:30" hidden="1">
      <c r="A65" s="4">
        <v>4</v>
      </c>
      <c r="B65" s="8">
        <v>44656</v>
      </c>
      <c r="C65" s="4" t="s">
        <v>479</v>
      </c>
      <c r="D65" s="4" t="s">
        <v>42</v>
      </c>
      <c r="E65" s="8">
        <v>44674</v>
      </c>
      <c r="F65" s="4" t="s">
        <v>43</v>
      </c>
      <c r="G65" s="16" t="s">
        <v>51</v>
      </c>
      <c r="H65" s="4" t="s">
        <v>52</v>
      </c>
      <c r="I65" s="4" t="s">
        <v>434</v>
      </c>
      <c r="J65" s="10">
        <v>40.32958</v>
      </c>
      <c r="K65" s="10">
        <v>40.335999999999999</v>
      </c>
      <c r="L65" s="10">
        <v>0</v>
      </c>
      <c r="M65" s="10">
        <v>0</v>
      </c>
      <c r="N65" s="10"/>
      <c r="O65" s="10"/>
      <c r="P65" s="10">
        <v>0</v>
      </c>
      <c r="Q65" s="10"/>
      <c r="R65" s="10"/>
      <c r="S65" s="10"/>
      <c r="T65" s="10"/>
      <c r="U65" s="10"/>
      <c r="V65" s="4" t="s">
        <v>23</v>
      </c>
      <c r="W65" s="4" t="s">
        <v>452</v>
      </c>
      <c r="X65" s="8">
        <v>44676</v>
      </c>
      <c r="Y65" s="4"/>
      <c r="Z65" s="4"/>
      <c r="AA65" s="8"/>
      <c r="AB65" s="8">
        <v>44695</v>
      </c>
      <c r="AC65" s="4"/>
      <c r="AD65" s="4"/>
    </row>
    <row r="66" spans="1:30" hidden="1">
      <c r="A66" s="4">
        <v>119</v>
      </c>
      <c r="B66" s="8">
        <v>44680</v>
      </c>
      <c r="C66" s="4"/>
      <c r="D66" s="4" t="s">
        <v>397</v>
      </c>
      <c r="E66" s="8">
        <v>44688</v>
      </c>
      <c r="F66" s="4" t="s">
        <v>43</v>
      </c>
      <c r="G66" s="16" t="s">
        <v>44</v>
      </c>
      <c r="H66" s="4" t="s">
        <v>45</v>
      </c>
      <c r="I66" s="4" t="s">
        <v>53</v>
      </c>
      <c r="J66" s="10">
        <v>30.66132</v>
      </c>
      <c r="K66" s="10">
        <v>30.664999999999999</v>
      </c>
      <c r="L66" s="10">
        <v>0</v>
      </c>
      <c r="M66" s="10">
        <v>0</v>
      </c>
      <c r="N66" s="10"/>
      <c r="O66" s="10"/>
      <c r="P66" s="10"/>
      <c r="Q66" s="10"/>
      <c r="R66" s="10"/>
      <c r="S66" s="10"/>
      <c r="T66" s="10"/>
      <c r="U66" s="10"/>
      <c r="V66" s="4" t="s">
        <v>401</v>
      </c>
      <c r="W66" s="4"/>
      <c r="X66" s="8">
        <v>44681</v>
      </c>
      <c r="Y66" s="4"/>
      <c r="Z66" s="4"/>
      <c r="AA66" s="8"/>
      <c r="AB66" s="8"/>
      <c r="AC66" s="4"/>
      <c r="AD66" s="4"/>
    </row>
    <row r="67" spans="1:30" hidden="1">
      <c r="A67" s="4">
        <v>119</v>
      </c>
      <c r="B67" s="8">
        <v>44680</v>
      </c>
      <c r="C67" s="4" t="s">
        <v>479</v>
      </c>
      <c r="D67" s="4" t="s">
        <v>42</v>
      </c>
      <c r="E67" s="8">
        <v>44688</v>
      </c>
      <c r="F67" s="4" t="s">
        <v>43</v>
      </c>
      <c r="G67" s="16" t="s">
        <v>44</v>
      </c>
      <c r="H67" s="4" t="s">
        <v>45</v>
      </c>
      <c r="I67" s="4" t="s">
        <v>53</v>
      </c>
      <c r="J67" s="10">
        <v>0.72799999999999998</v>
      </c>
      <c r="K67" s="10">
        <v>0.72799999999999998</v>
      </c>
      <c r="L67" s="10">
        <f>M67+U67</f>
        <v>0</v>
      </c>
      <c r="M67" s="10">
        <v>0</v>
      </c>
      <c r="N67" s="10"/>
      <c r="O67" s="10"/>
      <c r="P67" s="10"/>
      <c r="Q67" s="10"/>
      <c r="R67" s="10"/>
      <c r="S67" s="10"/>
      <c r="T67" s="10"/>
      <c r="U67" s="10"/>
      <c r="V67" s="4" t="s">
        <v>401</v>
      </c>
      <c r="W67" s="4"/>
      <c r="X67" s="8">
        <v>44681</v>
      </c>
      <c r="Y67" s="4"/>
      <c r="Z67" s="4"/>
      <c r="AA67" s="8"/>
      <c r="AB67" s="8"/>
      <c r="AC67" s="4"/>
      <c r="AD67" s="4"/>
    </row>
    <row r="68" spans="1:30" hidden="1">
      <c r="A68" s="4">
        <v>119</v>
      </c>
      <c r="B68" s="8">
        <v>44680</v>
      </c>
      <c r="C68" s="4" t="s">
        <v>479</v>
      </c>
      <c r="D68" s="4" t="s">
        <v>42</v>
      </c>
      <c r="E68" s="8">
        <v>44688</v>
      </c>
      <c r="F68" s="4" t="s">
        <v>43</v>
      </c>
      <c r="G68" s="16" t="s">
        <v>51</v>
      </c>
      <c r="H68" s="4" t="s">
        <v>52</v>
      </c>
      <c r="I68" s="4" t="s">
        <v>53</v>
      </c>
      <c r="J68" s="10">
        <v>7.7152099999999999</v>
      </c>
      <c r="K68" s="10">
        <v>7.7930000000000001</v>
      </c>
      <c r="L68" s="10">
        <v>0</v>
      </c>
      <c r="M68" s="10">
        <v>0</v>
      </c>
      <c r="N68" s="10"/>
      <c r="O68" s="10"/>
      <c r="P68" s="10">
        <v>0</v>
      </c>
      <c r="Q68" s="10"/>
      <c r="R68" s="10"/>
      <c r="S68" s="10"/>
      <c r="T68" s="10"/>
      <c r="U68" s="10"/>
      <c r="V68" s="4" t="s">
        <v>401</v>
      </c>
      <c r="W68" s="4"/>
      <c r="X68" s="8">
        <v>44681</v>
      </c>
      <c r="Y68" s="4"/>
      <c r="Z68" s="4"/>
      <c r="AA68" s="8"/>
      <c r="AB68" s="8"/>
      <c r="AC68" s="4"/>
      <c r="AD68" s="4"/>
    </row>
    <row r="69" spans="1:30" hidden="1">
      <c r="A69" s="4">
        <v>1352</v>
      </c>
      <c r="B69" s="8">
        <v>44889</v>
      </c>
      <c r="C69" s="4"/>
      <c r="D69" s="4" t="s">
        <v>42</v>
      </c>
      <c r="E69" s="8">
        <v>44902</v>
      </c>
      <c r="F69" s="4" t="s">
        <v>43</v>
      </c>
      <c r="G69" s="16" t="s">
        <v>51</v>
      </c>
      <c r="H69" s="4" t="s">
        <v>52</v>
      </c>
      <c r="I69" s="4" t="s">
        <v>53</v>
      </c>
      <c r="J69" s="10">
        <v>5.0190999999999999</v>
      </c>
      <c r="K69" s="10">
        <v>5.0949999999999998</v>
      </c>
      <c r="L69" s="10">
        <f>(M69+U69)</f>
        <v>0</v>
      </c>
      <c r="M69" s="10">
        <f t="shared" ref="M69:M101" si="1">SUM(N69:T69)</f>
        <v>0</v>
      </c>
      <c r="N69" s="10"/>
      <c r="O69" s="10"/>
      <c r="P69" s="10"/>
      <c r="Q69" s="10"/>
      <c r="R69" s="10"/>
      <c r="S69" s="10"/>
      <c r="T69" s="10"/>
      <c r="U69" s="10"/>
      <c r="V69" s="4" t="s">
        <v>23</v>
      </c>
      <c r="W69" s="4"/>
      <c r="X69" s="8"/>
      <c r="Y69" s="4"/>
      <c r="Z69" s="4"/>
      <c r="AA69" s="8"/>
      <c r="AB69" s="8"/>
      <c r="AC69" s="4"/>
      <c r="AD69" s="4"/>
    </row>
    <row r="70" spans="1:30" hidden="1">
      <c r="A70" s="4">
        <v>1352</v>
      </c>
      <c r="B70" s="8">
        <v>44889</v>
      </c>
      <c r="C70" s="4"/>
      <c r="D70" s="4" t="s">
        <v>42</v>
      </c>
      <c r="E70" s="8">
        <v>44902</v>
      </c>
      <c r="F70" s="4" t="s">
        <v>43</v>
      </c>
      <c r="G70" s="16" t="s">
        <v>51</v>
      </c>
      <c r="H70" s="4" t="s">
        <v>52</v>
      </c>
      <c r="I70" s="4" t="s">
        <v>89</v>
      </c>
      <c r="J70" s="10">
        <v>12.922000000000001</v>
      </c>
      <c r="K70" s="10">
        <f>13.111</f>
        <v>13.111000000000001</v>
      </c>
      <c r="L70" s="10">
        <f t="shared" ref="L70:L130" si="2">M70+U70</f>
        <v>0</v>
      </c>
      <c r="M70" s="10">
        <f t="shared" si="1"/>
        <v>0</v>
      </c>
      <c r="N70" s="10"/>
      <c r="O70" s="10"/>
      <c r="P70" s="10"/>
      <c r="Q70" s="10"/>
      <c r="R70" s="10"/>
      <c r="S70" s="10"/>
      <c r="T70" s="10"/>
      <c r="U70" s="10"/>
      <c r="V70" s="4" t="s">
        <v>23</v>
      </c>
      <c r="W70" s="4"/>
      <c r="X70" s="8"/>
      <c r="Y70" s="4"/>
      <c r="Z70" s="4"/>
      <c r="AA70" s="8"/>
      <c r="AB70" s="8"/>
      <c r="AC70" s="4"/>
      <c r="AD70" s="4"/>
    </row>
    <row r="71" spans="1:30" hidden="1">
      <c r="A71" s="4">
        <v>1352</v>
      </c>
      <c r="B71" s="8">
        <v>44889</v>
      </c>
      <c r="C71" s="4"/>
      <c r="D71" s="4" t="s">
        <v>42</v>
      </c>
      <c r="E71" s="8">
        <v>44902</v>
      </c>
      <c r="F71" s="4" t="s">
        <v>43</v>
      </c>
      <c r="G71" s="16" t="s">
        <v>51</v>
      </c>
      <c r="H71" s="4" t="s">
        <v>52</v>
      </c>
      <c r="I71" s="4" t="s">
        <v>87</v>
      </c>
      <c r="J71" s="10">
        <v>6.85</v>
      </c>
      <c r="K71" s="10">
        <v>6.9459999999999997</v>
      </c>
      <c r="L71" s="10">
        <f t="shared" si="2"/>
        <v>0</v>
      </c>
      <c r="M71" s="10">
        <f t="shared" si="1"/>
        <v>0</v>
      </c>
      <c r="N71" s="10"/>
      <c r="O71" s="10"/>
      <c r="P71" s="10"/>
      <c r="Q71" s="10"/>
      <c r="R71" s="10"/>
      <c r="S71" s="10"/>
      <c r="T71" s="10"/>
      <c r="U71" s="10"/>
      <c r="V71" s="4" t="s">
        <v>23</v>
      </c>
      <c r="W71" s="4"/>
      <c r="X71" s="8"/>
      <c r="Y71" s="4"/>
      <c r="Z71" s="4"/>
      <c r="AA71" s="8"/>
      <c r="AB71" s="8"/>
      <c r="AC71" s="4"/>
      <c r="AD71" s="4"/>
    </row>
    <row r="72" spans="1:30" hidden="1">
      <c r="A72" s="4">
        <v>1352</v>
      </c>
      <c r="B72" s="8">
        <v>44889</v>
      </c>
      <c r="C72" s="4"/>
      <c r="D72" s="4" t="s">
        <v>42</v>
      </c>
      <c r="E72" s="8">
        <v>44902</v>
      </c>
      <c r="F72" s="4" t="s">
        <v>43</v>
      </c>
      <c r="G72" s="16" t="s">
        <v>44</v>
      </c>
      <c r="H72" s="4" t="s">
        <v>45</v>
      </c>
      <c r="I72" s="4" t="s">
        <v>89</v>
      </c>
      <c r="J72" s="10">
        <v>37.246000000000002</v>
      </c>
      <c r="K72" s="10">
        <f>30.512+7.244</f>
        <v>37.756</v>
      </c>
      <c r="L72" s="10">
        <f t="shared" si="2"/>
        <v>0</v>
      </c>
      <c r="M72" s="10">
        <f t="shared" si="1"/>
        <v>0</v>
      </c>
      <c r="N72" s="10"/>
      <c r="O72" s="10"/>
      <c r="P72" s="10"/>
      <c r="Q72" s="10"/>
      <c r="R72" s="10"/>
      <c r="S72" s="10"/>
      <c r="T72" s="10"/>
      <c r="U72" s="10"/>
      <c r="V72" s="4" t="s">
        <v>23</v>
      </c>
      <c r="W72" s="4"/>
      <c r="X72" s="8"/>
      <c r="Y72" s="4"/>
      <c r="Z72" s="4"/>
      <c r="AA72" s="8"/>
      <c r="AB72" s="8"/>
      <c r="AC72" s="4"/>
      <c r="AD72" s="4"/>
    </row>
    <row r="73" spans="1:30" hidden="1">
      <c r="A73" s="4">
        <v>1352</v>
      </c>
      <c r="B73" s="8">
        <v>44889</v>
      </c>
      <c r="C73" s="4"/>
      <c r="D73" s="4" t="s">
        <v>42</v>
      </c>
      <c r="E73" s="8">
        <v>44902</v>
      </c>
      <c r="F73" s="4" t="s">
        <v>43</v>
      </c>
      <c r="G73" s="16" t="s">
        <v>44</v>
      </c>
      <c r="H73" s="4" t="s">
        <v>45</v>
      </c>
      <c r="I73" s="4" t="s">
        <v>87</v>
      </c>
      <c r="J73" s="10">
        <v>33.070999999999998</v>
      </c>
      <c r="K73" s="10">
        <v>33.070999999999998</v>
      </c>
      <c r="L73" s="10">
        <f t="shared" si="2"/>
        <v>0</v>
      </c>
      <c r="M73" s="10">
        <f t="shared" si="1"/>
        <v>0</v>
      </c>
      <c r="N73" s="10"/>
      <c r="O73" s="10"/>
      <c r="P73" s="10"/>
      <c r="Q73" s="10"/>
      <c r="R73" s="10"/>
      <c r="S73" s="10"/>
      <c r="T73" s="10"/>
      <c r="U73" s="10"/>
      <c r="V73" s="4" t="s">
        <v>23</v>
      </c>
      <c r="W73" s="4"/>
      <c r="X73" s="8"/>
      <c r="Y73" s="4"/>
      <c r="Z73" s="4"/>
      <c r="AA73" s="8"/>
      <c r="AB73" s="8"/>
      <c r="AC73" s="4"/>
      <c r="AD73" s="4"/>
    </row>
    <row r="74" spans="1:30" hidden="1">
      <c r="A74" s="4">
        <v>1352</v>
      </c>
      <c r="B74" s="8">
        <v>44889</v>
      </c>
      <c r="C74" s="4"/>
      <c r="D74" s="4" t="s">
        <v>42</v>
      </c>
      <c r="E74" s="8">
        <v>44902</v>
      </c>
      <c r="F74" s="4" t="s">
        <v>43</v>
      </c>
      <c r="G74" s="16" t="s">
        <v>44</v>
      </c>
      <c r="H74" s="4" t="s">
        <v>45</v>
      </c>
      <c r="I74" s="4" t="s">
        <v>125</v>
      </c>
      <c r="J74" s="10">
        <v>2.4</v>
      </c>
      <c r="K74" s="10">
        <v>2.6579999999999999</v>
      </c>
      <c r="L74" s="10">
        <f t="shared" si="2"/>
        <v>0</v>
      </c>
      <c r="M74" s="10">
        <f t="shared" si="1"/>
        <v>0</v>
      </c>
      <c r="N74" s="10"/>
      <c r="O74" s="10"/>
      <c r="P74" s="10"/>
      <c r="Q74" s="10"/>
      <c r="R74" s="10"/>
      <c r="S74" s="10"/>
      <c r="T74" s="10"/>
      <c r="U74" s="10"/>
      <c r="V74" s="4" t="s">
        <v>23</v>
      </c>
      <c r="W74" s="4"/>
      <c r="X74" s="8"/>
      <c r="Y74" s="4"/>
      <c r="Z74" s="4"/>
      <c r="AA74" s="8"/>
      <c r="AB74" s="8"/>
      <c r="AC74" s="4"/>
      <c r="AD74" s="4"/>
    </row>
    <row r="75" spans="1:30" hidden="1">
      <c r="A75" s="4">
        <v>1352</v>
      </c>
      <c r="B75" s="8">
        <v>44889</v>
      </c>
      <c r="C75" s="4"/>
      <c r="D75" s="4" t="s">
        <v>42</v>
      </c>
      <c r="E75" s="8">
        <v>44902</v>
      </c>
      <c r="F75" s="4" t="s">
        <v>43</v>
      </c>
      <c r="G75" s="16" t="s">
        <v>51</v>
      </c>
      <c r="H75" s="4" t="s">
        <v>52</v>
      </c>
      <c r="I75" s="4" t="s">
        <v>54</v>
      </c>
      <c r="J75" s="10">
        <v>25.433</v>
      </c>
      <c r="K75" s="10">
        <f>22.727+3.049</f>
        <v>25.776</v>
      </c>
      <c r="L75" s="10">
        <f t="shared" si="2"/>
        <v>0</v>
      </c>
      <c r="M75" s="10">
        <f t="shared" si="1"/>
        <v>0</v>
      </c>
      <c r="N75" s="10"/>
      <c r="O75" s="10"/>
      <c r="P75" s="10"/>
      <c r="Q75" s="10"/>
      <c r="R75" s="10"/>
      <c r="S75" s="10"/>
      <c r="T75" s="10"/>
      <c r="U75" s="10"/>
      <c r="V75" s="4" t="s">
        <v>23</v>
      </c>
      <c r="W75" s="4"/>
      <c r="X75" s="8"/>
      <c r="Y75" s="4"/>
      <c r="Z75" s="4"/>
      <c r="AA75" s="8"/>
      <c r="AB75" s="8"/>
      <c r="AC75" s="4"/>
      <c r="AD75" s="4"/>
    </row>
    <row r="76" spans="1:30" hidden="1">
      <c r="A76" s="4">
        <v>1352</v>
      </c>
      <c r="B76" s="8">
        <v>44889</v>
      </c>
      <c r="C76" s="4"/>
      <c r="D76" s="4" t="s">
        <v>42</v>
      </c>
      <c r="E76" s="8">
        <v>44902</v>
      </c>
      <c r="F76" s="4" t="s">
        <v>43</v>
      </c>
      <c r="G76" s="16" t="s">
        <v>51</v>
      </c>
      <c r="H76" s="4" t="s">
        <v>52</v>
      </c>
      <c r="I76" s="4" t="s">
        <v>56</v>
      </c>
      <c r="J76" s="10">
        <v>5.49</v>
      </c>
      <c r="K76" s="10">
        <v>5.5010000000000003</v>
      </c>
      <c r="L76" s="10">
        <f t="shared" si="2"/>
        <v>0</v>
      </c>
      <c r="M76" s="10">
        <f t="shared" si="1"/>
        <v>0</v>
      </c>
      <c r="N76" s="10"/>
      <c r="O76" s="10"/>
      <c r="P76" s="10"/>
      <c r="Q76" s="10"/>
      <c r="R76" s="10"/>
      <c r="S76" s="10"/>
      <c r="T76" s="10"/>
      <c r="U76" s="10"/>
      <c r="V76" s="4" t="s">
        <v>23</v>
      </c>
      <c r="W76" s="4"/>
      <c r="X76" s="8"/>
      <c r="Y76" s="4"/>
      <c r="Z76" s="4"/>
      <c r="AA76" s="8"/>
      <c r="AB76" s="8"/>
      <c r="AC76" s="4"/>
      <c r="AD76" s="4"/>
    </row>
    <row r="77" spans="1:30" hidden="1">
      <c r="A77" s="4">
        <v>1352</v>
      </c>
      <c r="B77" s="8">
        <v>44889</v>
      </c>
      <c r="C77" s="4"/>
      <c r="D77" s="4" t="s">
        <v>42</v>
      </c>
      <c r="E77" s="8">
        <v>44902</v>
      </c>
      <c r="F77" s="4" t="s">
        <v>43</v>
      </c>
      <c r="G77" s="16" t="s">
        <v>51</v>
      </c>
      <c r="H77" s="4" t="s">
        <v>52</v>
      </c>
      <c r="I77" s="4" t="s">
        <v>48</v>
      </c>
      <c r="J77" s="10">
        <v>3.681</v>
      </c>
      <c r="K77" s="10">
        <v>3.7050000000000001</v>
      </c>
      <c r="L77" s="10">
        <f t="shared" si="2"/>
        <v>0</v>
      </c>
      <c r="M77" s="10">
        <f t="shared" si="1"/>
        <v>0</v>
      </c>
      <c r="N77" s="10"/>
      <c r="O77" s="10"/>
      <c r="P77" s="10"/>
      <c r="Q77" s="10"/>
      <c r="R77" s="10"/>
      <c r="S77" s="10"/>
      <c r="T77" s="10"/>
      <c r="U77" s="10"/>
      <c r="V77" s="4" t="s">
        <v>23</v>
      </c>
      <c r="W77" s="4"/>
      <c r="X77" s="8"/>
      <c r="Y77" s="4"/>
      <c r="Z77" s="4"/>
      <c r="AA77" s="8"/>
      <c r="AB77" s="8"/>
      <c r="AC77" s="4"/>
      <c r="AD77" s="4"/>
    </row>
    <row r="78" spans="1:30" hidden="1">
      <c r="A78" s="4">
        <v>1352</v>
      </c>
      <c r="B78" s="8">
        <v>44889</v>
      </c>
      <c r="C78" s="4"/>
      <c r="D78" s="4" t="s">
        <v>42</v>
      </c>
      <c r="E78" s="8">
        <v>44902</v>
      </c>
      <c r="F78" s="4" t="s">
        <v>43</v>
      </c>
      <c r="G78" s="16" t="s">
        <v>44</v>
      </c>
      <c r="H78" s="4" t="s">
        <v>45</v>
      </c>
      <c r="I78" s="4" t="s">
        <v>54</v>
      </c>
      <c r="J78" s="10">
        <v>11.101000000000001</v>
      </c>
      <c r="K78" s="10">
        <f>9.502+1.671</f>
        <v>11.173</v>
      </c>
      <c r="L78" s="10">
        <f t="shared" si="2"/>
        <v>0</v>
      </c>
      <c r="M78" s="10">
        <f t="shared" si="1"/>
        <v>0</v>
      </c>
      <c r="N78" s="10"/>
      <c r="O78" s="10"/>
      <c r="P78" s="10"/>
      <c r="Q78" s="10"/>
      <c r="R78" s="10"/>
      <c r="S78" s="10"/>
      <c r="T78" s="10"/>
      <c r="U78" s="10"/>
      <c r="V78" s="4" t="s">
        <v>23</v>
      </c>
      <c r="W78" s="4"/>
      <c r="X78" s="8"/>
      <c r="Y78" s="4"/>
      <c r="Z78" s="4"/>
      <c r="AA78" s="8"/>
      <c r="AB78" s="8"/>
      <c r="AC78" s="4"/>
      <c r="AD78" s="4"/>
    </row>
    <row r="79" spans="1:30" hidden="1">
      <c r="A79" s="4">
        <v>1352</v>
      </c>
      <c r="B79" s="8">
        <v>44889</v>
      </c>
      <c r="C79" s="4"/>
      <c r="D79" s="4" t="s">
        <v>42</v>
      </c>
      <c r="E79" s="8">
        <v>44902</v>
      </c>
      <c r="F79" s="4" t="s">
        <v>43</v>
      </c>
      <c r="G79" s="16" t="s">
        <v>44</v>
      </c>
      <c r="H79" s="4" t="s">
        <v>45</v>
      </c>
      <c r="I79" s="4" t="s">
        <v>56</v>
      </c>
      <c r="J79" s="10">
        <v>45.143000000000001</v>
      </c>
      <c r="K79" s="10">
        <v>45.143000000000001</v>
      </c>
      <c r="L79" s="10">
        <f t="shared" si="2"/>
        <v>0</v>
      </c>
      <c r="M79" s="10">
        <f t="shared" si="1"/>
        <v>0</v>
      </c>
      <c r="N79" s="10"/>
      <c r="O79" s="10"/>
      <c r="P79" s="10"/>
      <c r="Q79" s="10"/>
      <c r="R79" s="10"/>
      <c r="S79" s="10"/>
      <c r="T79" s="10"/>
      <c r="U79" s="10"/>
      <c r="V79" s="4" t="s">
        <v>23</v>
      </c>
      <c r="W79" s="4"/>
      <c r="X79" s="8"/>
      <c r="Y79" s="4"/>
      <c r="Z79" s="4"/>
      <c r="AA79" s="8"/>
      <c r="AB79" s="8"/>
      <c r="AC79" s="4"/>
      <c r="AD79" s="4"/>
    </row>
    <row r="80" spans="1:30" hidden="1">
      <c r="A80" s="4">
        <v>1352</v>
      </c>
      <c r="B80" s="8">
        <v>44889</v>
      </c>
      <c r="C80" s="4"/>
      <c r="D80" s="4" t="s">
        <v>42</v>
      </c>
      <c r="E80" s="8">
        <v>44902</v>
      </c>
      <c r="F80" s="4" t="s">
        <v>43</v>
      </c>
      <c r="G80" s="16" t="s">
        <v>44</v>
      </c>
      <c r="H80" s="4" t="s">
        <v>45</v>
      </c>
      <c r="I80" s="4" t="s">
        <v>48</v>
      </c>
      <c r="J80" s="10">
        <v>16.111999999999998</v>
      </c>
      <c r="K80" s="10">
        <v>16.132999999999999</v>
      </c>
      <c r="L80" s="10">
        <f t="shared" si="2"/>
        <v>0</v>
      </c>
      <c r="M80" s="10">
        <f t="shared" si="1"/>
        <v>0</v>
      </c>
      <c r="N80" s="10"/>
      <c r="O80" s="10"/>
      <c r="P80" s="10"/>
      <c r="Q80" s="10"/>
      <c r="R80" s="10"/>
      <c r="S80" s="10"/>
      <c r="T80" s="10"/>
      <c r="U80" s="10"/>
      <c r="V80" s="4" t="s">
        <v>23</v>
      </c>
      <c r="W80" s="4"/>
      <c r="X80" s="8"/>
      <c r="Y80" s="4"/>
      <c r="Z80" s="4"/>
      <c r="AA80" s="8"/>
      <c r="AB80" s="8"/>
      <c r="AC80" s="4"/>
      <c r="AD80" s="4"/>
    </row>
    <row r="81" spans="1:30" hidden="1">
      <c r="A81" s="4">
        <v>1352</v>
      </c>
      <c r="B81" s="8">
        <v>44889</v>
      </c>
      <c r="C81" s="4"/>
      <c r="D81" s="4" t="s">
        <v>42</v>
      </c>
      <c r="E81" s="8">
        <v>44902</v>
      </c>
      <c r="F81" s="4" t="s">
        <v>43</v>
      </c>
      <c r="G81" s="16" t="s">
        <v>51</v>
      </c>
      <c r="H81" s="4" t="s">
        <v>52</v>
      </c>
      <c r="I81" s="4" t="s">
        <v>50</v>
      </c>
      <c r="J81" s="10">
        <v>3.8069999999999999</v>
      </c>
      <c r="K81" s="10">
        <v>3.7970000000000002</v>
      </c>
      <c r="L81" s="10">
        <f t="shared" si="2"/>
        <v>0</v>
      </c>
      <c r="M81" s="10">
        <f t="shared" si="1"/>
        <v>0</v>
      </c>
      <c r="N81" s="10"/>
      <c r="O81" s="10"/>
      <c r="P81" s="10"/>
      <c r="Q81" s="10"/>
      <c r="R81" s="10"/>
      <c r="S81" s="10"/>
      <c r="T81" s="10"/>
      <c r="U81" s="10"/>
      <c r="V81" s="4" t="s">
        <v>23</v>
      </c>
      <c r="W81" s="4"/>
      <c r="X81" s="8"/>
      <c r="Y81" s="4"/>
      <c r="Z81" s="4"/>
      <c r="AA81" s="8"/>
      <c r="AB81" s="8"/>
      <c r="AC81" s="4"/>
      <c r="AD81" s="4"/>
    </row>
    <row r="82" spans="1:30" hidden="1">
      <c r="A82" s="4">
        <v>1352</v>
      </c>
      <c r="B82" s="8">
        <v>44889</v>
      </c>
      <c r="C82" s="4"/>
      <c r="D82" s="4" t="s">
        <v>42</v>
      </c>
      <c r="E82" s="8">
        <v>44902</v>
      </c>
      <c r="F82" s="4" t="s">
        <v>43</v>
      </c>
      <c r="G82" s="16" t="s">
        <v>51</v>
      </c>
      <c r="H82" s="4" t="s">
        <v>52</v>
      </c>
      <c r="I82" s="4" t="s">
        <v>49</v>
      </c>
      <c r="J82" s="10">
        <v>3.4359999999999999</v>
      </c>
      <c r="K82" s="10">
        <v>3.427</v>
      </c>
      <c r="L82" s="10">
        <f t="shared" si="2"/>
        <v>0</v>
      </c>
      <c r="M82" s="10">
        <f t="shared" si="1"/>
        <v>0</v>
      </c>
      <c r="N82" s="10"/>
      <c r="O82" s="10"/>
      <c r="P82" s="10"/>
      <c r="Q82" s="10"/>
      <c r="R82" s="10"/>
      <c r="S82" s="10"/>
      <c r="T82" s="10"/>
      <c r="U82" s="10"/>
      <c r="V82" s="4" t="s">
        <v>23</v>
      </c>
      <c r="W82" s="4"/>
      <c r="X82" s="8"/>
      <c r="Y82" s="4"/>
      <c r="Z82" s="4"/>
      <c r="AA82" s="8"/>
      <c r="AB82" s="8"/>
      <c r="AC82" s="4"/>
      <c r="AD82" s="4"/>
    </row>
    <row r="83" spans="1:30" hidden="1">
      <c r="A83" s="4">
        <v>1352</v>
      </c>
      <c r="B83" s="8">
        <v>44889</v>
      </c>
      <c r="C83" s="4"/>
      <c r="D83" s="4" t="s">
        <v>42</v>
      </c>
      <c r="E83" s="8">
        <v>44902</v>
      </c>
      <c r="F83" s="4" t="s">
        <v>43</v>
      </c>
      <c r="G83" s="16" t="s">
        <v>44</v>
      </c>
      <c r="H83" s="4" t="s">
        <v>45</v>
      </c>
      <c r="I83" s="4" t="s">
        <v>50</v>
      </c>
      <c r="J83" s="10">
        <v>8.8209999999999997</v>
      </c>
      <c r="K83" s="10">
        <f>6.42+2.378</f>
        <v>8.798</v>
      </c>
      <c r="L83" s="10">
        <f t="shared" si="2"/>
        <v>0</v>
      </c>
      <c r="M83" s="10">
        <f t="shared" si="1"/>
        <v>0</v>
      </c>
      <c r="N83" s="10"/>
      <c r="O83" s="10"/>
      <c r="P83" s="10"/>
      <c r="Q83" s="10"/>
      <c r="R83" s="10"/>
      <c r="S83" s="10"/>
      <c r="T83" s="10"/>
      <c r="U83" s="10"/>
      <c r="V83" s="4" t="s">
        <v>23</v>
      </c>
      <c r="W83" s="4"/>
      <c r="X83" s="8"/>
      <c r="Y83" s="4"/>
      <c r="Z83" s="4"/>
      <c r="AA83" s="8"/>
      <c r="AB83" s="8"/>
      <c r="AC83" s="4"/>
      <c r="AD83" s="4"/>
    </row>
    <row r="84" spans="1:30" hidden="1">
      <c r="A84" s="4">
        <v>1352</v>
      </c>
      <c r="B84" s="8">
        <v>44889</v>
      </c>
      <c r="C84" s="4"/>
      <c r="D84" s="4" t="s">
        <v>42</v>
      </c>
      <c r="E84" s="8">
        <v>44902</v>
      </c>
      <c r="F84" s="4" t="s">
        <v>43</v>
      </c>
      <c r="G84" s="16" t="s">
        <v>44</v>
      </c>
      <c r="H84" s="4" t="s">
        <v>45</v>
      </c>
      <c r="I84" s="4" t="s">
        <v>49</v>
      </c>
      <c r="J84" s="10">
        <v>14.351000000000001</v>
      </c>
      <c r="K84" s="10">
        <f>8.627+5.685</f>
        <v>14.312000000000001</v>
      </c>
      <c r="L84" s="10">
        <f t="shared" si="2"/>
        <v>0</v>
      </c>
      <c r="M84" s="10">
        <f t="shared" si="1"/>
        <v>0</v>
      </c>
      <c r="N84" s="10"/>
      <c r="O84" s="10"/>
      <c r="P84" s="10"/>
      <c r="Q84" s="10"/>
      <c r="R84" s="10"/>
      <c r="S84" s="10"/>
      <c r="T84" s="10"/>
      <c r="U84" s="10"/>
      <c r="V84" s="4" t="s">
        <v>23</v>
      </c>
      <c r="W84" s="4"/>
      <c r="X84" s="8"/>
      <c r="Y84" s="4"/>
      <c r="Z84" s="4"/>
      <c r="AA84" s="8"/>
      <c r="AB84" s="8"/>
      <c r="AC84" s="4"/>
      <c r="AD84" s="4"/>
    </row>
    <row r="85" spans="1:30" hidden="1">
      <c r="A85" s="4">
        <v>1353</v>
      </c>
      <c r="B85" s="8">
        <v>44889</v>
      </c>
      <c r="C85" s="4"/>
      <c r="D85" s="4" t="s">
        <v>42</v>
      </c>
      <c r="E85" s="8">
        <v>44902</v>
      </c>
      <c r="F85" s="4" t="s">
        <v>43</v>
      </c>
      <c r="G85" s="40" t="s">
        <v>126</v>
      </c>
      <c r="H85" s="4" t="s">
        <v>45</v>
      </c>
      <c r="I85" s="4" t="s">
        <v>54</v>
      </c>
      <c r="J85" s="10">
        <v>0.36</v>
      </c>
      <c r="K85" s="10">
        <v>0.36099999999999999</v>
      </c>
      <c r="L85" s="10">
        <f t="shared" si="2"/>
        <v>0</v>
      </c>
      <c r="M85" s="10">
        <f t="shared" si="1"/>
        <v>0</v>
      </c>
      <c r="N85" s="10"/>
      <c r="O85" s="10"/>
      <c r="P85" s="10"/>
      <c r="Q85" s="10"/>
      <c r="R85" s="10"/>
      <c r="S85" s="10"/>
      <c r="T85" s="10"/>
      <c r="U85" s="10"/>
      <c r="V85" s="4" t="s">
        <v>23</v>
      </c>
      <c r="W85" s="4"/>
      <c r="X85" s="8"/>
      <c r="Y85" s="4"/>
      <c r="Z85" s="4"/>
      <c r="AA85" s="8"/>
      <c r="AB85" s="8"/>
      <c r="AC85" s="4"/>
      <c r="AD85" s="4"/>
    </row>
    <row r="86" spans="1:30" hidden="1">
      <c r="A86" s="4">
        <v>1353</v>
      </c>
      <c r="B86" s="8">
        <v>44889</v>
      </c>
      <c r="C86" s="4"/>
      <c r="D86" s="4" t="s">
        <v>42</v>
      </c>
      <c r="E86" s="8">
        <v>44902</v>
      </c>
      <c r="F86" s="4" t="s">
        <v>43</v>
      </c>
      <c r="G86" s="40" t="s">
        <v>126</v>
      </c>
      <c r="H86" s="4" t="s">
        <v>45</v>
      </c>
      <c r="I86" s="4" t="s">
        <v>56</v>
      </c>
      <c r="J86" s="10">
        <v>9.61</v>
      </c>
      <c r="K86" s="10">
        <f>2.468+7.168</f>
        <v>9.6359999999999992</v>
      </c>
      <c r="L86" s="10">
        <f t="shared" si="2"/>
        <v>0</v>
      </c>
      <c r="M86" s="10">
        <f t="shared" si="1"/>
        <v>0</v>
      </c>
      <c r="N86" s="10"/>
      <c r="O86" s="10"/>
      <c r="P86" s="10"/>
      <c r="Q86" s="10"/>
      <c r="R86" s="10"/>
      <c r="S86" s="10"/>
      <c r="T86" s="10"/>
      <c r="U86" s="10"/>
      <c r="V86" s="4" t="s">
        <v>23</v>
      </c>
      <c r="W86" s="4"/>
      <c r="X86" s="8"/>
      <c r="Y86" s="4"/>
      <c r="Z86" s="4"/>
      <c r="AA86" s="8"/>
      <c r="AB86" s="8"/>
      <c r="AC86" s="4"/>
      <c r="AD86" s="4"/>
    </row>
    <row r="87" spans="1:30" hidden="1">
      <c r="A87" s="4">
        <v>1353</v>
      </c>
      <c r="B87" s="8">
        <v>44889</v>
      </c>
      <c r="C87" s="4"/>
      <c r="D87" s="4" t="s">
        <v>42</v>
      </c>
      <c r="E87" s="8">
        <v>44902</v>
      </c>
      <c r="F87" s="4" t="s">
        <v>43</v>
      </c>
      <c r="G87" s="40" t="s">
        <v>126</v>
      </c>
      <c r="H87" s="4" t="s">
        <v>45</v>
      </c>
      <c r="I87" s="4" t="s">
        <v>48</v>
      </c>
      <c r="J87" s="10">
        <v>60.97</v>
      </c>
      <c r="K87" s="10">
        <f>28.739+30.087+2.577</f>
        <v>61.402999999999999</v>
      </c>
      <c r="L87" s="10">
        <f t="shared" si="2"/>
        <v>0</v>
      </c>
      <c r="M87" s="10">
        <f t="shared" si="1"/>
        <v>0</v>
      </c>
      <c r="N87" s="10"/>
      <c r="O87" s="10"/>
      <c r="P87" s="10"/>
      <c r="Q87" s="10"/>
      <c r="R87" s="10"/>
      <c r="S87" s="10"/>
      <c r="T87" s="10"/>
      <c r="U87" s="10"/>
      <c r="V87" s="4" t="s">
        <v>23</v>
      </c>
      <c r="W87" s="4"/>
      <c r="X87" s="8"/>
      <c r="Y87" s="4"/>
      <c r="Z87" s="4"/>
      <c r="AA87" s="8"/>
      <c r="AB87" s="8"/>
      <c r="AC87" s="4"/>
      <c r="AD87" s="4"/>
    </row>
    <row r="88" spans="1:30" hidden="1">
      <c r="A88" s="4">
        <v>1353</v>
      </c>
      <c r="B88" s="8">
        <v>44889</v>
      </c>
      <c r="C88" s="4"/>
      <c r="D88" s="4" t="s">
        <v>42</v>
      </c>
      <c r="E88" s="8">
        <v>44902</v>
      </c>
      <c r="F88" s="4" t="s">
        <v>43</v>
      </c>
      <c r="G88" s="40" t="s">
        <v>126</v>
      </c>
      <c r="H88" s="4" t="s">
        <v>45</v>
      </c>
      <c r="I88" s="4" t="s">
        <v>57</v>
      </c>
      <c r="J88" s="10">
        <v>4.22</v>
      </c>
      <c r="K88" s="10">
        <f>4.256</f>
        <v>4.2560000000000002</v>
      </c>
      <c r="L88" s="10">
        <f t="shared" si="2"/>
        <v>0</v>
      </c>
      <c r="M88" s="10">
        <f t="shared" si="1"/>
        <v>0</v>
      </c>
      <c r="N88" s="10"/>
      <c r="O88" s="10"/>
      <c r="P88" s="10"/>
      <c r="Q88" s="10"/>
      <c r="R88" s="10"/>
      <c r="S88" s="10"/>
      <c r="T88" s="10"/>
      <c r="U88" s="10"/>
      <c r="V88" s="4" t="s">
        <v>23</v>
      </c>
      <c r="W88" s="4"/>
      <c r="X88" s="8"/>
      <c r="Y88" s="4"/>
      <c r="Z88" s="4"/>
      <c r="AA88" s="8"/>
      <c r="AB88" s="8"/>
      <c r="AC88" s="4"/>
      <c r="AD88" s="4"/>
    </row>
    <row r="89" spans="1:30" hidden="1">
      <c r="A89" s="4">
        <v>1411</v>
      </c>
      <c r="B89" s="8">
        <v>44890</v>
      </c>
      <c r="C89" s="4"/>
      <c r="D89" s="4" t="s">
        <v>42</v>
      </c>
      <c r="E89" s="8">
        <v>44902</v>
      </c>
      <c r="F89" s="4" t="s">
        <v>43</v>
      </c>
      <c r="G89" s="40" t="s">
        <v>59</v>
      </c>
      <c r="H89" s="4" t="s">
        <v>52</v>
      </c>
      <c r="I89" s="4" t="s">
        <v>53</v>
      </c>
      <c r="J89" s="10">
        <v>1.4179999999999999</v>
      </c>
      <c r="K89" s="10">
        <v>1.4179999999999999</v>
      </c>
      <c r="L89" s="10">
        <f t="shared" si="2"/>
        <v>0</v>
      </c>
      <c r="M89" s="10">
        <f t="shared" si="1"/>
        <v>0</v>
      </c>
      <c r="N89" s="10"/>
      <c r="O89" s="10"/>
      <c r="P89" s="10"/>
      <c r="Q89" s="10"/>
      <c r="R89" s="10"/>
      <c r="S89" s="10"/>
      <c r="T89" s="10"/>
      <c r="U89" s="10"/>
      <c r="V89" s="4" t="s">
        <v>58</v>
      </c>
      <c r="W89" s="4"/>
      <c r="X89" s="8"/>
      <c r="Y89" s="4"/>
      <c r="Z89" s="4"/>
      <c r="AA89" s="8"/>
      <c r="AB89" s="8"/>
      <c r="AC89" s="4"/>
      <c r="AD89" s="4"/>
    </row>
    <row r="90" spans="1:30" hidden="1">
      <c r="A90" s="4">
        <v>1411</v>
      </c>
      <c r="B90" s="8">
        <v>44890</v>
      </c>
      <c r="C90" s="4"/>
      <c r="D90" s="4" t="s">
        <v>42</v>
      </c>
      <c r="E90" s="8">
        <v>44902</v>
      </c>
      <c r="F90" s="4" t="s">
        <v>43</v>
      </c>
      <c r="G90" s="40" t="s">
        <v>20</v>
      </c>
      <c r="H90" s="4" t="s">
        <v>45</v>
      </c>
      <c r="I90" s="4" t="s">
        <v>56</v>
      </c>
      <c r="J90" s="10">
        <v>0.77300000000000002</v>
      </c>
      <c r="K90" s="10">
        <v>0.77300000000000002</v>
      </c>
      <c r="L90" s="10">
        <f t="shared" si="2"/>
        <v>0</v>
      </c>
      <c r="M90" s="10">
        <f t="shared" si="1"/>
        <v>0</v>
      </c>
      <c r="N90" s="10"/>
      <c r="O90" s="10"/>
      <c r="P90" s="10"/>
      <c r="Q90" s="10"/>
      <c r="R90" s="10"/>
      <c r="S90" s="10"/>
      <c r="T90" s="10"/>
      <c r="U90" s="10"/>
      <c r="V90" s="4" t="s">
        <v>58</v>
      </c>
      <c r="W90" s="4"/>
      <c r="X90" s="8"/>
      <c r="Y90" s="4"/>
      <c r="Z90" s="4"/>
      <c r="AA90" s="8"/>
      <c r="AB90" s="8"/>
      <c r="AC90" s="4"/>
      <c r="AD90" s="4"/>
    </row>
    <row r="91" spans="1:30" hidden="1">
      <c r="A91" s="4">
        <v>1411</v>
      </c>
      <c r="B91" s="8">
        <v>44890</v>
      </c>
      <c r="C91" s="4"/>
      <c r="D91" s="4" t="s">
        <v>42</v>
      </c>
      <c r="E91" s="8">
        <v>44902</v>
      </c>
      <c r="F91" s="4" t="s">
        <v>43</v>
      </c>
      <c r="G91" s="40" t="s">
        <v>20</v>
      </c>
      <c r="H91" s="4" t="s">
        <v>45</v>
      </c>
      <c r="I91" s="4" t="s">
        <v>48</v>
      </c>
      <c r="J91" s="10">
        <v>0.878</v>
      </c>
      <c r="K91" s="10">
        <v>0.878</v>
      </c>
      <c r="L91" s="10">
        <f t="shared" si="2"/>
        <v>0</v>
      </c>
      <c r="M91" s="10">
        <f t="shared" si="1"/>
        <v>0</v>
      </c>
      <c r="N91" s="10"/>
      <c r="O91" s="10"/>
      <c r="P91" s="10"/>
      <c r="Q91" s="10"/>
      <c r="R91" s="10"/>
      <c r="S91" s="10"/>
      <c r="T91" s="10"/>
      <c r="U91" s="10"/>
      <c r="V91" s="4" t="s">
        <v>58</v>
      </c>
      <c r="W91" s="4"/>
      <c r="X91" s="8"/>
      <c r="Y91" s="4"/>
      <c r="Z91" s="4"/>
      <c r="AA91" s="8"/>
      <c r="AB91" s="8"/>
      <c r="AC91" s="4"/>
      <c r="AD91" s="4"/>
    </row>
    <row r="92" spans="1:30" hidden="1">
      <c r="A92" s="4">
        <v>1412</v>
      </c>
      <c r="B92" s="8">
        <v>44890</v>
      </c>
      <c r="C92" s="4"/>
      <c r="D92" s="4" t="s">
        <v>42</v>
      </c>
      <c r="E92" s="8">
        <v>44902</v>
      </c>
      <c r="F92" s="4" t="s">
        <v>43</v>
      </c>
      <c r="G92" s="16" t="s">
        <v>44</v>
      </c>
      <c r="H92" s="4" t="s">
        <v>45</v>
      </c>
      <c r="I92" s="4" t="s">
        <v>127</v>
      </c>
      <c r="J92" s="10"/>
      <c r="K92" s="10"/>
      <c r="L92" s="10">
        <f t="shared" si="2"/>
        <v>0</v>
      </c>
      <c r="M92" s="10">
        <f t="shared" si="1"/>
        <v>0</v>
      </c>
      <c r="N92" s="10"/>
      <c r="O92" s="10"/>
      <c r="P92" s="10"/>
      <c r="Q92" s="10"/>
      <c r="R92" s="10"/>
      <c r="S92" s="10"/>
      <c r="T92" s="10"/>
      <c r="U92" s="10">
        <f t="shared" ref="U92:U95" si="3">J92-M92</f>
        <v>0</v>
      </c>
      <c r="V92" s="4" t="s">
        <v>23</v>
      </c>
      <c r="W92" s="4" t="s">
        <v>249</v>
      </c>
      <c r="X92" s="8"/>
      <c r="Y92" s="4"/>
      <c r="Z92" s="4"/>
      <c r="AA92" s="8"/>
      <c r="AB92" s="8"/>
      <c r="AC92" s="4"/>
      <c r="AD92" s="4"/>
    </row>
    <row r="93" spans="1:30" hidden="1">
      <c r="A93" s="4">
        <v>1412</v>
      </c>
      <c r="B93" s="8">
        <v>44890</v>
      </c>
      <c r="C93" s="4"/>
      <c r="D93" s="4" t="s">
        <v>42</v>
      </c>
      <c r="E93" s="8">
        <v>44902</v>
      </c>
      <c r="F93" s="4" t="s">
        <v>43</v>
      </c>
      <c r="G93" s="16" t="s">
        <v>44</v>
      </c>
      <c r="H93" s="4" t="s">
        <v>45</v>
      </c>
      <c r="I93" s="4" t="s">
        <v>53</v>
      </c>
      <c r="J93" s="10">
        <v>2.2999999999999998</v>
      </c>
      <c r="K93" s="10">
        <v>2.3330000000000002</v>
      </c>
      <c r="L93" s="10">
        <f t="shared" si="2"/>
        <v>0</v>
      </c>
      <c r="M93" s="10">
        <f t="shared" si="1"/>
        <v>0</v>
      </c>
      <c r="N93" s="10"/>
      <c r="O93" s="10"/>
      <c r="P93" s="10"/>
      <c r="Q93" s="10"/>
      <c r="R93" s="10"/>
      <c r="S93" s="10"/>
      <c r="T93" s="10"/>
      <c r="U93" s="10"/>
      <c r="V93" s="4" t="s">
        <v>23</v>
      </c>
      <c r="W93" s="4"/>
      <c r="X93" s="8"/>
      <c r="Y93" s="4"/>
      <c r="Z93" s="4"/>
      <c r="AA93" s="8"/>
      <c r="AB93" s="8"/>
      <c r="AC93" s="4"/>
      <c r="AD93" s="4"/>
    </row>
    <row r="94" spans="1:30" hidden="1">
      <c r="A94" s="4">
        <v>1412</v>
      </c>
      <c r="B94" s="8">
        <v>44890</v>
      </c>
      <c r="C94" s="4"/>
      <c r="D94" s="4" t="s">
        <v>42</v>
      </c>
      <c r="E94" s="8">
        <v>44902</v>
      </c>
      <c r="F94" s="4" t="s">
        <v>43</v>
      </c>
      <c r="G94" s="16" t="s">
        <v>44</v>
      </c>
      <c r="H94" s="4" t="s">
        <v>45</v>
      </c>
      <c r="I94" s="4" t="s">
        <v>55</v>
      </c>
      <c r="J94" s="10">
        <v>1.29</v>
      </c>
      <c r="K94" s="10">
        <v>1.304</v>
      </c>
      <c r="L94" s="10">
        <f t="shared" si="2"/>
        <v>0</v>
      </c>
      <c r="M94" s="10">
        <f t="shared" si="1"/>
        <v>0</v>
      </c>
      <c r="N94" s="10"/>
      <c r="O94" s="10"/>
      <c r="P94" s="10"/>
      <c r="Q94" s="10"/>
      <c r="R94" s="10"/>
      <c r="S94" s="10"/>
      <c r="T94" s="10"/>
      <c r="U94" s="10"/>
      <c r="V94" s="4" t="s">
        <v>23</v>
      </c>
      <c r="W94" s="4"/>
      <c r="X94" s="8"/>
      <c r="Y94" s="4"/>
      <c r="Z94" s="4"/>
      <c r="AA94" s="8"/>
      <c r="AB94" s="8"/>
      <c r="AC94" s="4"/>
      <c r="AD94" s="4"/>
    </row>
    <row r="95" spans="1:30" hidden="1">
      <c r="A95" s="4">
        <v>1412</v>
      </c>
      <c r="B95" s="8">
        <v>44890</v>
      </c>
      <c r="C95" s="4"/>
      <c r="D95" s="4" t="s">
        <v>42</v>
      </c>
      <c r="E95" s="8">
        <v>44902</v>
      </c>
      <c r="F95" s="4" t="s">
        <v>43</v>
      </c>
      <c r="G95" s="16" t="s">
        <v>51</v>
      </c>
      <c r="H95" s="4" t="s">
        <v>52</v>
      </c>
      <c r="I95" s="4" t="s">
        <v>127</v>
      </c>
      <c r="J95" s="10"/>
      <c r="K95" s="10"/>
      <c r="L95" s="10">
        <f t="shared" si="2"/>
        <v>0</v>
      </c>
      <c r="M95" s="10">
        <f t="shared" si="1"/>
        <v>0</v>
      </c>
      <c r="N95" s="10"/>
      <c r="O95" s="10"/>
      <c r="P95" s="10"/>
      <c r="Q95" s="10"/>
      <c r="R95" s="10"/>
      <c r="S95" s="10"/>
      <c r="T95" s="10"/>
      <c r="U95" s="10">
        <f t="shared" si="3"/>
        <v>0</v>
      </c>
      <c r="V95" s="4" t="s">
        <v>23</v>
      </c>
      <c r="W95" s="4" t="s">
        <v>249</v>
      </c>
      <c r="X95" s="8"/>
      <c r="Y95" s="4"/>
      <c r="Z95" s="4"/>
      <c r="AA95" s="8"/>
      <c r="AB95" s="8"/>
      <c r="AC95" s="4"/>
      <c r="AD95" s="4"/>
    </row>
    <row r="96" spans="1:30" hidden="1">
      <c r="A96" s="4">
        <v>1412</v>
      </c>
      <c r="B96" s="8">
        <v>44890</v>
      </c>
      <c r="C96" s="4"/>
      <c r="D96" s="4" t="s">
        <v>42</v>
      </c>
      <c r="E96" s="8">
        <v>44902</v>
      </c>
      <c r="F96" s="4" t="s">
        <v>43</v>
      </c>
      <c r="G96" s="16" t="s">
        <v>51</v>
      </c>
      <c r="H96" s="4" t="s">
        <v>52</v>
      </c>
      <c r="I96" s="4" t="s">
        <v>53</v>
      </c>
      <c r="J96" s="10">
        <v>0.63</v>
      </c>
      <c r="K96" s="10">
        <v>0.63400000000000001</v>
      </c>
      <c r="L96" s="10">
        <f t="shared" si="2"/>
        <v>0</v>
      </c>
      <c r="M96" s="10">
        <f t="shared" si="1"/>
        <v>0</v>
      </c>
      <c r="N96" s="10"/>
      <c r="O96" s="10"/>
      <c r="P96" s="10"/>
      <c r="Q96" s="10"/>
      <c r="R96" s="10"/>
      <c r="S96" s="10"/>
      <c r="T96" s="10"/>
      <c r="U96" s="10"/>
      <c r="V96" s="4" t="s">
        <v>23</v>
      </c>
      <c r="W96" s="4"/>
      <c r="X96" s="8"/>
      <c r="Y96" s="4"/>
      <c r="Z96" s="4"/>
      <c r="AA96" s="8"/>
      <c r="AB96" s="8"/>
      <c r="AC96" s="4"/>
      <c r="AD96" s="4"/>
    </row>
    <row r="97" spans="1:30" hidden="1">
      <c r="A97" s="4">
        <v>1412</v>
      </c>
      <c r="B97" s="8">
        <v>44890</v>
      </c>
      <c r="C97" s="4"/>
      <c r="D97" s="4" t="s">
        <v>42</v>
      </c>
      <c r="E97" s="8">
        <v>44902</v>
      </c>
      <c r="F97" s="4" t="s">
        <v>43</v>
      </c>
      <c r="G97" s="16" t="s">
        <v>44</v>
      </c>
      <c r="H97" s="4" t="s">
        <v>45</v>
      </c>
      <c r="I97" s="4" t="s">
        <v>89</v>
      </c>
      <c r="J97" s="10">
        <v>2.4700000000000002</v>
      </c>
      <c r="K97" s="10">
        <v>2.4700000000000002</v>
      </c>
      <c r="L97" s="10">
        <f t="shared" si="2"/>
        <v>0</v>
      </c>
      <c r="M97" s="10">
        <f t="shared" si="1"/>
        <v>0</v>
      </c>
      <c r="N97" s="10"/>
      <c r="O97" s="10"/>
      <c r="P97" s="10"/>
      <c r="Q97" s="10"/>
      <c r="R97" s="10"/>
      <c r="S97" s="10"/>
      <c r="T97" s="10"/>
      <c r="U97" s="10"/>
      <c r="V97" s="4" t="s">
        <v>23</v>
      </c>
      <c r="W97" s="4"/>
      <c r="X97" s="8"/>
      <c r="Y97" s="4"/>
      <c r="Z97" s="4"/>
      <c r="AA97" s="8"/>
      <c r="AB97" s="8"/>
      <c r="AC97" s="4"/>
      <c r="AD97" s="4"/>
    </row>
    <row r="98" spans="1:30" hidden="1">
      <c r="A98" s="4">
        <v>1412</v>
      </c>
      <c r="B98" s="8">
        <v>44890</v>
      </c>
      <c r="C98" s="4"/>
      <c r="D98" s="4" t="s">
        <v>42</v>
      </c>
      <c r="E98" s="8">
        <v>44902</v>
      </c>
      <c r="F98" s="4" t="s">
        <v>43</v>
      </c>
      <c r="G98" s="16" t="s">
        <v>44</v>
      </c>
      <c r="H98" s="4" t="s">
        <v>45</v>
      </c>
      <c r="I98" s="4" t="s">
        <v>87</v>
      </c>
      <c r="J98" s="10">
        <v>1.234</v>
      </c>
      <c r="K98" s="10">
        <v>1.234</v>
      </c>
      <c r="L98" s="10">
        <f t="shared" si="2"/>
        <v>0</v>
      </c>
      <c r="M98" s="10">
        <f t="shared" si="1"/>
        <v>0</v>
      </c>
      <c r="N98" s="10"/>
      <c r="O98" s="10"/>
      <c r="P98" s="10"/>
      <c r="Q98" s="10"/>
      <c r="R98" s="10"/>
      <c r="S98" s="10"/>
      <c r="T98" s="10"/>
      <c r="U98" s="10"/>
      <c r="V98" s="4" t="s">
        <v>23</v>
      </c>
      <c r="W98" s="4"/>
      <c r="X98" s="8" t="s">
        <v>128</v>
      </c>
      <c r="Y98" s="4"/>
      <c r="Z98" s="4"/>
      <c r="AA98" s="8"/>
      <c r="AB98" s="8"/>
      <c r="AC98" s="4"/>
      <c r="AD98" s="4"/>
    </row>
    <row r="99" spans="1:30" hidden="1">
      <c r="A99" s="4">
        <v>1412</v>
      </c>
      <c r="B99" s="8">
        <v>44890</v>
      </c>
      <c r="C99" s="4"/>
      <c r="D99" s="4" t="s">
        <v>42</v>
      </c>
      <c r="E99" s="8">
        <v>44902</v>
      </c>
      <c r="F99" s="4" t="s">
        <v>43</v>
      </c>
      <c r="G99" s="16" t="s">
        <v>51</v>
      </c>
      <c r="H99" s="4" t="s">
        <v>52</v>
      </c>
      <c r="I99" s="4" t="s">
        <v>89</v>
      </c>
      <c r="J99" s="10">
        <v>7.4370000000000003</v>
      </c>
      <c r="K99" s="10">
        <f>0.3+6.463+0.998</f>
        <v>7.7610000000000001</v>
      </c>
      <c r="L99" s="10">
        <f t="shared" si="2"/>
        <v>0</v>
      </c>
      <c r="M99" s="10">
        <f t="shared" si="1"/>
        <v>0</v>
      </c>
      <c r="N99" s="10"/>
      <c r="O99" s="10"/>
      <c r="P99" s="10"/>
      <c r="Q99" s="10"/>
      <c r="R99" s="10"/>
      <c r="S99" s="10"/>
      <c r="T99" s="10"/>
      <c r="U99" s="10"/>
      <c r="V99" s="4" t="s">
        <v>23</v>
      </c>
      <c r="W99" s="4"/>
      <c r="X99" s="8"/>
      <c r="Y99" s="4"/>
      <c r="Z99" s="4"/>
      <c r="AA99" s="8"/>
      <c r="AB99" s="8"/>
      <c r="AC99" s="4"/>
      <c r="AD99" s="4"/>
    </row>
    <row r="100" spans="1:30" hidden="1">
      <c r="A100" s="4">
        <v>1412</v>
      </c>
      <c r="B100" s="8">
        <v>44890</v>
      </c>
      <c r="C100" s="4"/>
      <c r="D100" s="4" t="s">
        <v>42</v>
      </c>
      <c r="E100" s="8">
        <v>44902</v>
      </c>
      <c r="F100" s="4" t="s">
        <v>43</v>
      </c>
      <c r="G100" s="16" t="s">
        <v>44</v>
      </c>
      <c r="H100" s="4" t="s">
        <v>45</v>
      </c>
      <c r="I100" s="4" t="s">
        <v>56</v>
      </c>
      <c r="J100" s="10">
        <v>1.9570000000000001</v>
      </c>
      <c r="K100" s="10">
        <v>1.9570000000000001</v>
      </c>
      <c r="L100" s="10">
        <f t="shared" si="2"/>
        <v>0</v>
      </c>
      <c r="M100" s="10">
        <f t="shared" si="1"/>
        <v>0</v>
      </c>
      <c r="N100" s="10"/>
      <c r="O100" s="10"/>
      <c r="P100" s="10"/>
      <c r="Q100" s="10"/>
      <c r="R100" s="10"/>
      <c r="S100" s="10"/>
      <c r="T100" s="10"/>
      <c r="U100" s="10"/>
      <c r="V100" s="4" t="s">
        <v>23</v>
      </c>
      <c r="W100" s="4"/>
      <c r="X100" s="8"/>
      <c r="Y100" s="4"/>
      <c r="Z100" s="4"/>
      <c r="AA100" s="8"/>
      <c r="AB100" s="8"/>
      <c r="AC100" s="4"/>
      <c r="AD100" s="4"/>
    </row>
    <row r="101" spans="1:30" hidden="1">
      <c r="A101" s="4">
        <v>1412</v>
      </c>
      <c r="B101" s="8">
        <v>44890</v>
      </c>
      <c r="C101" s="4"/>
      <c r="D101" s="4" t="s">
        <v>42</v>
      </c>
      <c r="E101" s="8">
        <v>44902</v>
      </c>
      <c r="F101" s="4" t="s">
        <v>43</v>
      </c>
      <c r="G101" s="16" t="s">
        <v>44</v>
      </c>
      <c r="H101" s="4" t="s">
        <v>45</v>
      </c>
      <c r="I101" s="4" t="s">
        <v>48</v>
      </c>
      <c r="J101" s="10">
        <v>1.661</v>
      </c>
      <c r="K101" s="10">
        <v>1.6719999999999999</v>
      </c>
      <c r="L101" s="10">
        <f t="shared" si="2"/>
        <v>0</v>
      </c>
      <c r="M101" s="10">
        <f t="shared" si="1"/>
        <v>0</v>
      </c>
      <c r="N101" s="10"/>
      <c r="O101" s="10"/>
      <c r="P101" s="10"/>
      <c r="Q101" s="10"/>
      <c r="R101" s="10"/>
      <c r="S101" s="10"/>
      <c r="T101" s="10"/>
      <c r="U101" s="10"/>
      <c r="V101" s="4" t="s">
        <v>23</v>
      </c>
      <c r="W101" s="4"/>
      <c r="X101" s="8"/>
      <c r="Y101" s="4"/>
      <c r="Z101" s="4"/>
      <c r="AA101" s="8"/>
      <c r="AB101" s="8"/>
      <c r="AC101" s="4"/>
      <c r="AD101" s="4"/>
    </row>
    <row r="102" spans="1:30" hidden="1">
      <c r="A102" s="4">
        <v>1688</v>
      </c>
      <c r="B102" s="8">
        <v>44947</v>
      </c>
      <c r="C102" s="4"/>
      <c r="D102" s="4" t="s">
        <v>42</v>
      </c>
      <c r="E102" s="8">
        <v>44957</v>
      </c>
      <c r="F102" s="4" t="s">
        <v>43</v>
      </c>
      <c r="G102" s="16" t="s">
        <v>44</v>
      </c>
      <c r="H102" s="4" t="s">
        <v>45</v>
      </c>
      <c r="I102" s="4" t="s">
        <v>102</v>
      </c>
      <c r="J102" s="10">
        <v>15.9236</v>
      </c>
      <c r="K102" s="10">
        <f>15.89</f>
        <v>15.89</v>
      </c>
      <c r="L102" s="10">
        <f t="shared" si="2"/>
        <v>0</v>
      </c>
      <c r="M102" s="10">
        <f t="shared" ref="M102:M130" si="4">SUM(N102:T102)</f>
        <v>0</v>
      </c>
      <c r="N102" s="10"/>
      <c r="O102" s="10"/>
      <c r="P102" s="10"/>
      <c r="Q102" s="10"/>
      <c r="R102" s="10"/>
      <c r="S102" s="10"/>
      <c r="T102" s="10"/>
      <c r="U102" s="10"/>
      <c r="V102" s="4" t="s">
        <v>266</v>
      </c>
      <c r="W102" s="4"/>
      <c r="X102" s="8"/>
      <c r="Y102" s="4"/>
      <c r="Z102" s="4"/>
      <c r="AA102" s="8"/>
      <c r="AB102" s="8"/>
      <c r="AC102" s="4"/>
      <c r="AD102" s="4"/>
    </row>
    <row r="103" spans="1:30" hidden="1">
      <c r="A103" s="4">
        <v>1688</v>
      </c>
      <c r="B103" s="8">
        <v>44947</v>
      </c>
      <c r="C103" s="4"/>
      <c r="D103" s="4" t="s">
        <v>42</v>
      </c>
      <c r="E103" s="8">
        <v>44957</v>
      </c>
      <c r="F103" s="4" t="s">
        <v>43</v>
      </c>
      <c r="G103" s="16" t="s">
        <v>44</v>
      </c>
      <c r="H103" s="4" t="s">
        <v>45</v>
      </c>
      <c r="I103" s="4" t="s">
        <v>257</v>
      </c>
      <c r="J103" s="10">
        <v>15.096110000000001</v>
      </c>
      <c r="K103" s="10">
        <f>8.087+7.079</f>
        <v>15.166</v>
      </c>
      <c r="L103" s="10">
        <f t="shared" si="2"/>
        <v>0</v>
      </c>
      <c r="M103" s="10">
        <f t="shared" si="4"/>
        <v>0</v>
      </c>
      <c r="N103" s="10"/>
      <c r="O103" s="10"/>
      <c r="P103" s="10"/>
      <c r="Q103" s="10"/>
      <c r="R103" s="10"/>
      <c r="S103" s="10"/>
      <c r="T103" s="10"/>
      <c r="U103" s="10"/>
      <c r="V103" s="4" t="s">
        <v>266</v>
      </c>
      <c r="W103" s="4"/>
      <c r="X103" s="8"/>
      <c r="Y103" s="4"/>
      <c r="Z103" s="4"/>
      <c r="AA103" s="8"/>
      <c r="AB103" s="8">
        <v>44978</v>
      </c>
      <c r="AC103" s="4"/>
      <c r="AD103" s="4"/>
    </row>
    <row r="104" spans="1:30" hidden="1">
      <c r="A104" s="4">
        <v>1688</v>
      </c>
      <c r="B104" s="8">
        <v>44947</v>
      </c>
      <c r="C104" s="4"/>
      <c r="D104" s="4" t="s">
        <v>42</v>
      </c>
      <c r="E104" s="8">
        <v>44957</v>
      </c>
      <c r="F104" s="4" t="s">
        <v>43</v>
      </c>
      <c r="G104" s="16" t="s">
        <v>44</v>
      </c>
      <c r="H104" s="4" t="s">
        <v>45</v>
      </c>
      <c r="I104" s="4" t="s">
        <v>133</v>
      </c>
      <c r="J104" s="10">
        <v>60.811209999999988</v>
      </c>
      <c r="K104" s="10">
        <f>28.913+23.7+6.348+1.981</f>
        <v>60.942</v>
      </c>
      <c r="L104" s="10">
        <f t="shared" si="2"/>
        <v>0</v>
      </c>
      <c r="M104" s="10">
        <f t="shared" si="4"/>
        <v>0</v>
      </c>
      <c r="N104" s="10"/>
      <c r="O104" s="10"/>
      <c r="P104" s="10"/>
      <c r="Q104" s="10"/>
      <c r="R104" s="10"/>
      <c r="S104" s="10"/>
      <c r="T104" s="10"/>
      <c r="U104" s="10"/>
      <c r="V104" s="4" t="s">
        <v>266</v>
      </c>
      <c r="W104" s="4"/>
      <c r="X104" s="8"/>
      <c r="Y104" s="4"/>
      <c r="Z104" s="4"/>
      <c r="AA104" s="8"/>
      <c r="AB104" s="8">
        <v>44978</v>
      </c>
      <c r="AC104" s="4"/>
      <c r="AD104" s="4"/>
    </row>
    <row r="105" spans="1:30" hidden="1">
      <c r="A105" s="4">
        <v>1688</v>
      </c>
      <c r="B105" s="8">
        <v>44947</v>
      </c>
      <c r="C105" s="4"/>
      <c r="D105" s="4" t="s">
        <v>42</v>
      </c>
      <c r="E105" s="8">
        <v>44957</v>
      </c>
      <c r="F105" s="4" t="s">
        <v>43</v>
      </c>
      <c r="G105" s="16" t="s">
        <v>44</v>
      </c>
      <c r="H105" s="4" t="s">
        <v>45</v>
      </c>
      <c r="I105" s="4" t="s">
        <v>98</v>
      </c>
      <c r="J105" s="10">
        <v>32.978319999999997</v>
      </c>
      <c r="K105" s="10">
        <f>17.106+16.284+0.921</f>
        <v>34.311</v>
      </c>
      <c r="L105" s="10">
        <f t="shared" si="2"/>
        <v>0</v>
      </c>
      <c r="M105" s="10">
        <f t="shared" si="4"/>
        <v>0</v>
      </c>
      <c r="N105" s="10"/>
      <c r="O105" s="10"/>
      <c r="P105" s="10">
        <v>0</v>
      </c>
      <c r="Q105" s="10"/>
      <c r="R105" s="10"/>
      <c r="S105" s="10"/>
      <c r="T105" s="10"/>
      <c r="U105" s="10"/>
      <c r="V105" s="4" t="s">
        <v>266</v>
      </c>
      <c r="W105" s="4"/>
      <c r="X105" s="8"/>
      <c r="Y105" s="4"/>
      <c r="Z105" s="4"/>
      <c r="AA105" s="8"/>
      <c r="AB105" s="8"/>
      <c r="AC105" s="4"/>
      <c r="AD105" s="4"/>
    </row>
    <row r="106" spans="1:30" hidden="1">
      <c r="A106" s="4">
        <v>1688</v>
      </c>
      <c r="B106" s="8">
        <v>44947</v>
      </c>
      <c r="C106" s="4"/>
      <c r="D106" s="4" t="s">
        <v>42</v>
      </c>
      <c r="E106" s="8">
        <v>44957</v>
      </c>
      <c r="F106" s="4" t="s">
        <v>43</v>
      </c>
      <c r="G106" s="16" t="s">
        <v>44</v>
      </c>
      <c r="H106" s="4" t="s">
        <v>45</v>
      </c>
      <c r="I106" s="4" t="s">
        <v>100</v>
      </c>
      <c r="J106" s="10">
        <v>69.201850000000007</v>
      </c>
      <c r="K106" s="10">
        <f>7.201+13.988+6.764+21.086+10.531+10.173</f>
        <v>69.742999999999995</v>
      </c>
      <c r="L106" s="10">
        <f t="shared" si="2"/>
        <v>0</v>
      </c>
      <c r="M106" s="10">
        <f t="shared" si="4"/>
        <v>0</v>
      </c>
      <c r="N106" s="10"/>
      <c r="O106" s="10"/>
      <c r="P106" s="10">
        <v>0</v>
      </c>
      <c r="Q106" s="10"/>
      <c r="R106" s="10"/>
      <c r="S106" s="10"/>
      <c r="T106" s="10"/>
      <c r="U106" s="10"/>
      <c r="V106" s="4" t="s">
        <v>266</v>
      </c>
      <c r="W106" s="4"/>
      <c r="X106" s="8">
        <v>44977</v>
      </c>
      <c r="Y106" s="4"/>
      <c r="Z106" s="4"/>
      <c r="AA106" s="8"/>
      <c r="AB106" s="8"/>
      <c r="AC106" s="4"/>
      <c r="AD106" s="4"/>
    </row>
    <row r="107" spans="1:30" hidden="1">
      <c r="A107" s="4">
        <v>1688</v>
      </c>
      <c r="B107" s="8">
        <v>44947</v>
      </c>
      <c r="C107" s="4"/>
      <c r="D107" s="4" t="s">
        <v>42</v>
      </c>
      <c r="E107" s="8">
        <v>44957</v>
      </c>
      <c r="F107" s="4" t="s">
        <v>43</v>
      </c>
      <c r="G107" s="16" t="s">
        <v>51</v>
      </c>
      <c r="H107" s="4" t="s">
        <v>52</v>
      </c>
      <c r="I107" s="4" t="s">
        <v>100</v>
      </c>
      <c r="J107" s="10">
        <v>32.695040000000006</v>
      </c>
      <c r="K107" s="10">
        <f>16.359+15.837+1.002</f>
        <v>33.198</v>
      </c>
      <c r="L107" s="10">
        <f t="shared" si="2"/>
        <v>0</v>
      </c>
      <c r="M107" s="10">
        <f t="shared" si="4"/>
        <v>0</v>
      </c>
      <c r="N107" s="10"/>
      <c r="O107" s="10"/>
      <c r="P107" s="10">
        <v>0</v>
      </c>
      <c r="Q107" s="10"/>
      <c r="R107" s="10"/>
      <c r="S107" s="10"/>
      <c r="T107" s="10"/>
      <c r="U107" s="10"/>
      <c r="V107" s="4" t="s">
        <v>266</v>
      </c>
      <c r="W107" s="4"/>
      <c r="X107" s="8">
        <v>44977</v>
      </c>
      <c r="Y107" s="4"/>
      <c r="Z107" s="4"/>
      <c r="AA107" s="8"/>
      <c r="AB107" s="8"/>
      <c r="AC107" s="4"/>
      <c r="AD107" s="4"/>
    </row>
    <row r="108" spans="1:30" hidden="1">
      <c r="A108" s="4">
        <v>1688</v>
      </c>
      <c r="B108" s="8">
        <v>44947</v>
      </c>
      <c r="C108" s="4"/>
      <c r="D108" s="4" t="s">
        <v>42</v>
      </c>
      <c r="E108" s="8">
        <v>44957</v>
      </c>
      <c r="F108" s="4" t="s">
        <v>43</v>
      </c>
      <c r="G108" s="16" t="s">
        <v>44</v>
      </c>
      <c r="H108" s="4" t="s">
        <v>45</v>
      </c>
      <c r="I108" s="4" t="s">
        <v>236</v>
      </c>
      <c r="J108" s="10">
        <v>12.19806</v>
      </c>
      <c r="K108" s="10">
        <f>11.03+1.416</f>
        <v>12.446</v>
      </c>
      <c r="L108" s="10">
        <f t="shared" si="2"/>
        <v>0</v>
      </c>
      <c r="M108" s="10">
        <f t="shared" si="4"/>
        <v>0</v>
      </c>
      <c r="N108" s="10"/>
      <c r="O108" s="10"/>
      <c r="P108" s="10">
        <v>0</v>
      </c>
      <c r="Q108" s="10"/>
      <c r="R108" s="10"/>
      <c r="S108" s="10"/>
      <c r="T108" s="10"/>
      <c r="U108" s="10"/>
      <c r="V108" s="4" t="s">
        <v>266</v>
      </c>
      <c r="W108" s="4"/>
      <c r="X108" s="8"/>
      <c r="Y108" s="4"/>
      <c r="Z108" s="4"/>
      <c r="AA108" s="8"/>
      <c r="AB108" s="8"/>
      <c r="AC108" s="4"/>
      <c r="AD108" s="4"/>
    </row>
    <row r="109" spans="1:30" hidden="1">
      <c r="A109" s="4">
        <v>1688</v>
      </c>
      <c r="B109" s="8">
        <v>44947</v>
      </c>
      <c r="C109" s="4"/>
      <c r="D109" s="4" t="s">
        <v>42</v>
      </c>
      <c r="E109" s="8">
        <v>44957</v>
      </c>
      <c r="F109" s="4" t="s">
        <v>43</v>
      </c>
      <c r="G109" s="16" t="s">
        <v>44</v>
      </c>
      <c r="H109" s="4" t="s">
        <v>45</v>
      </c>
      <c r="I109" s="4" t="s">
        <v>118</v>
      </c>
      <c r="J109" s="10">
        <v>24.624840000000003</v>
      </c>
      <c r="K109" s="10">
        <f>6.332+4.668+11.471+2.228</f>
        <v>24.699000000000002</v>
      </c>
      <c r="L109" s="10">
        <f t="shared" si="2"/>
        <v>0</v>
      </c>
      <c r="M109" s="10">
        <f t="shared" si="4"/>
        <v>0</v>
      </c>
      <c r="N109" s="10"/>
      <c r="O109" s="10"/>
      <c r="P109" s="10">
        <v>0</v>
      </c>
      <c r="Q109" s="10"/>
      <c r="R109" s="10"/>
      <c r="S109" s="10"/>
      <c r="T109" s="10"/>
      <c r="U109" s="10"/>
      <c r="V109" s="4" t="s">
        <v>266</v>
      </c>
      <c r="W109" s="4"/>
      <c r="X109" s="8"/>
      <c r="Y109" s="4"/>
      <c r="Z109" s="4"/>
      <c r="AA109" s="8"/>
      <c r="AB109" s="8">
        <v>44975</v>
      </c>
      <c r="AC109" s="4"/>
      <c r="AD109" s="4"/>
    </row>
    <row r="110" spans="1:30" hidden="1">
      <c r="A110" s="4">
        <v>1688</v>
      </c>
      <c r="B110" s="8">
        <v>44947</v>
      </c>
      <c r="C110" s="4"/>
      <c r="D110" s="4" t="s">
        <v>42</v>
      </c>
      <c r="E110" s="8">
        <v>44957</v>
      </c>
      <c r="F110" s="4" t="s">
        <v>43</v>
      </c>
      <c r="G110" s="16" t="s">
        <v>44</v>
      </c>
      <c r="H110" s="4" t="s">
        <v>45</v>
      </c>
      <c r="I110" s="4" t="s">
        <v>134</v>
      </c>
      <c r="J110" s="10">
        <v>86.9268</v>
      </c>
      <c r="K110" s="10">
        <f>33.258+32.533+5.547+1.88+1.69+6.669+5.904</f>
        <v>87.48099999999998</v>
      </c>
      <c r="L110" s="10">
        <f>M110+U110</f>
        <v>0</v>
      </c>
      <c r="M110" s="10">
        <f t="shared" si="4"/>
        <v>0</v>
      </c>
      <c r="N110" s="10"/>
      <c r="O110" s="10"/>
      <c r="P110" s="10"/>
      <c r="Q110" s="10"/>
      <c r="R110" s="10"/>
      <c r="S110" s="10"/>
      <c r="T110" s="10"/>
      <c r="U110" s="10"/>
      <c r="V110" s="4" t="s">
        <v>266</v>
      </c>
      <c r="W110" s="4"/>
      <c r="X110" s="8"/>
      <c r="Y110" s="4"/>
      <c r="Z110" s="4"/>
      <c r="AA110" s="8"/>
      <c r="AB110" s="8">
        <v>44978</v>
      </c>
      <c r="AC110" s="4"/>
      <c r="AD110" s="4"/>
    </row>
    <row r="111" spans="1:30" hidden="1">
      <c r="A111" s="4">
        <v>1688</v>
      </c>
      <c r="B111" s="8">
        <v>44947</v>
      </c>
      <c r="C111" s="4"/>
      <c r="D111" s="4" t="s">
        <v>42</v>
      </c>
      <c r="E111" s="8">
        <v>44957</v>
      </c>
      <c r="F111" s="4" t="s">
        <v>43</v>
      </c>
      <c r="G111" s="16" t="s">
        <v>44</v>
      </c>
      <c r="H111" s="4" t="s">
        <v>45</v>
      </c>
      <c r="I111" s="4" t="s">
        <v>99</v>
      </c>
      <c r="J111" s="10">
        <v>16.363619999999997</v>
      </c>
      <c r="K111" s="10">
        <f>9.38+6.939</f>
        <v>16.319000000000003</v>
      </c>
      <c r="L111" s="10">
        <f t="shared" si="2"/>
        <v>0</v>
      </c>
      <c r="M111" s="10">
        <f t="shared" si="4"/>
        <v>0</v>
      </c>
      <c r="N111" s="10"/>
      <c r="O111" s="10"/>
      <c r="P111" s="10"/>
      <c r="Q111" s="10"/>
      <c r="R111" s="10"/>
      <c r="S111" s="10"/>
      <c r="T111" s="10"/>
      <c r="U111" s="10"/>
      <c r="V111" s="4" t="s">
        <v>266</v>
      </c>
      <c r="W111" s="4"/>
      <c r="X111" s="8"/>
      <c r="Y111" s="4"/>
      <c r="Z111" s="4"/>
      <c r="AA111" s="8"/>
      <c r="AB111" s="8"/>
      <c r="AC111" s="4"/>
      <c r="AD111" s="4"/>
    </row>
    <row r="112" spans="1:30" hidden="1">
      <c r="A112" s="4">
        <v>1688</v>
      </c>
      <c r="B112" s="8">
        <v>44947</v>
      </c>
      <c r="C112" s="4"/>
      <c r="D112" s="4" t="s">
        <v>42</v>
      </c>
      <c r="E112" s="8">
        <v>44957</v>
      </c>
      <c r="F112" s="4" t="s">
        <v>43</v>
      </c>
      <c r="G112" s="16" t="s">
        <v>44</v>
      </c>
      <c r="H112" s="4" t="s">
        <v>45</v>
      </c>
      <c r="I112" s="4" t="s">
        <v>258</v>
      </c>
      <c r="J112" s="10">
        <v>14.304220000000001</v>
      </c>
      <c r="K112" s="10">
        <f>10.939+2.785+0.721</f>
        <v>14.445</v>
      </c>
      <c r="L112" s="10">
        <f t="shared" si="2"/>
        <v>0</v>
      </c>
      <c r="M112" s="10">
        <f t="shared" si="4"/>
        <v>0</v>
      </c>
      <c r="N112" s="10"/>
      <c r="O112" s="10"/>
      <c r="P112" s="10">
        <v>0</v>
      </c>
      <c r="Q112" s="10"/>
      <c r="R112" s="10"/>
      <c r="S112" s="10"/>
      <c r="T112" s="10"/>
      <c r="U112" s="10"/>
      <c r="V112" s="4" t="s">
        <v>266</v>
      </c>
      <c r="W112" s="4"/>
      <c r="X112" s="8">
        <v>44975</v>
      </c>
      <c r="Y112" s="4"/>
      <c r="Z112" s="4"/>
      <c r="AA112" s="8"/>
      <c r="AB112" s="8">
        <v>44978</v>
      </c>
      <c r="AC112" s="4"/>
      <c r="AD112" s="4"/>
    </row>
    <row r="113" spans="1:30" hidden="1">
      <c r="A113" s="4">
        <v>1688</v>
      </c>
      <c r="B113" s="8">
        <v>44947</v>
      </c>
      <c r="C113" s="4"/>
      <c r="D113" s="4" t="s">
        <v>42</v>
      </c>
      <c r="E113" s="8">
        <v>44957</v>
      </c>
      <c r="F113" s="4" t="s">
        <v>43</v>
      </c>
      <c r="G113" s="16" t="s">
        <v>44</v>
      </c>
      <c r="H113" s="4" t="s">
        <v>45</v>
      </c>
      <c r="I113" s="4" t="s">
        <v>135</v>
      </c>
      <c r="J113" s="10">
        <v>52.041539999999998</v>
      </c>
      <c r="K113" s="10">
        <f>15.147+25.683+7.881+3.387</f>
        <v>52.097999999999999</v>
      </c>
      <c r="L113" s="10">
        <f t="shared" si="2"/>
        <v>0</v>
      </c>
      <c r="M113" s="10">
        <f t="shared" si="4"/>
        <v>0</v>
      </c>
      <c r="N113" s="10"/>
      <c r="O113" s="10"/>
      <c r="P113" s="10"/>
      <c r="Q113" s="10"/>
      <c r="R113" s="10"/>
      <c r="S113" s="10">
        <v>0</v>
      </c>
      <c r="T113" s="10"/>
      <c r="U113" s="10"/>
      <c r="V113" s="4" t="s">
        <v>266</v>
      </c>
      <c r="W113" s="4"/>
      <c r="X113" s="8"/>
      <c r="Y113" s="4"/>
      <c r="Z113" s="4"/>
      <c r="AA113" s="8"/>
      <c r="AB113" s="8">
        <v>44978</v>
      </c>
      <c r="AC113" s="4"/>
      <c r="AD113" s="4"/>
    </row>
    <row r="114" spans="1:30" hidden="1">
      <c r="A114" s="4">
        <v>1688</v>
      </c>
      <c r="B114" s="8">
        <v>44947</v>
      </c>
      <c r="C114" s="4"/>
      <c r="D114" s="4" t="s">
        <v>42</v>
      </c>
      <c r="E114" s="8">
        <v>44957</v>
      </c>
      <c r="F114" s="4" t="s">
        <v>43</v>
      </c>
      <c r="G114" s="16" t="s">
        <v>44</v>
      </c>
      <c r="H114" s="4" t="s">
        <v>45</v>
      </c>
      <c r="I114" s="4" t="s">
        <v>235</v>
      </c>
      <c r="J114" s="10">
        <v>46.681309999999996</v>
      </c>
      <c r="K114" s="10">
        <f>21.482+6.124+19.174</f>
        <v>46.78</v>
      </c>
      <c r="L114" s="10">
        <f t="shared" si="2"/>
        <v>0</v>
      </c>
      <c r="M114" s="10">
        <f t="shared" si="4"/>
        <v>0</v>
      </c>
      <c r="N114" s="10"/>
      <c r="O114" s="10"/>
      <c r="P114" s="10">
        <v>0</v>
      </c>
      <c r="Q114" s="10"/>
      <c r="R114" s="10"/>
      <c r="S114" s="10"/>
      <c r="T114" s="10"/>
      <c r="U114" s="10"/>
      <c r="V114" s="4" t="s">
        <v>266</v>
      </c>
      <c r="W114" s="4"/>
      <c r="X114" s="8"/>
      <c r="Y114" s="4"/>
      <c r="Z114" s="4"/>
      <c r="AA114" s="8"/>
      <c r="AB114" s="8">
        <v>44975</v>
      </c>
      <c r="AC114" s="4"/>
      <c r="AD114" s="4"/>
    </row>
    <row r="115" spans="1:30" hidden="1">
      <c r="A115" s="4">
        <v>1688</v>
      </c>
      <c r="B115" s="8">
        <v>44947</v>
      </c>
      <c r="C115" s="4"/>
      <c r="D115" s="4" t="s">
        <v>42</v>
      </c>
      <c r="E115" s="8">
        <v>44957</v>
      </c>
      <c r="F115" s="4" t="s">
        <v>43</v>
      </c>
      <c r="G115" s="16" t="s">
        <v>51</v>
      </c>
      <c r="H115" s="4" t="s">
        <v>52</v>
      </c>
      <c r="I115" s="4" t="s">
        <v>235</v>
      </c>
      <c r="J115" s="10">
        <v>6.2436899999999991</v>
      </c>
      <c r="K115" s="10">
        <f>3.333+2.962</f>
        <v>6.2949999999999999</v>
      </c>
      <c r="L115" s="10">
        <f t="shared" si="2"/>
        <v>0</v>
      </c>
      <c r="M115" s="10">
        <f t="shared" si="4"/>
        <v>0</v>
      </c>
      <c r="N115" s="10"/>
      <c r="O115" s="10"/>
      <c r="P115" s="10">
        <v>0</v>
      </c>
      <c r="Q115" s="10"/>
      <c r="R115" s="10"/>
      <c r="S115" s="10"/>
      <c r="T115" s="10"/>
      <c r="U115" s="10"/>
      <c r="V115" s="4" t="s">
        <v>266</v>
      </c>
      <c r="W115" s="4"/>
      <c r="X115" s="8"/>
      <c r="Y115" s="4"/>
      <c r="Z115" s="4"/>
      <c r="AA115" s="8"/>
      <c r="AB115" s="8">
        <v>44975</v>
      </c>
      <c r="AC115" s="4"/>
      <c r="AD115" s="4"/>
    </row>
    <row r="116" spans="1:30" hidden="1">
      <c r="A116" s="4">
        <v>1688</v>
      </c>
      <c r="B116" s="8">
        <v>44947</v>
      </c>
      <c r="C116" s="4"/>
      <c r="D116" s="4" t="s">
        <v>42</v>
      </c>
      <c r="E116" s="8">
        <v>44957</v>
      </c>
      <c r="F116" s="4" t="s">
        <v>43</v>
      </c>
      <c r="G116" s="16" t="s">
        <v>44</v>
      </c>
      <c r="H116" s="4" t="s">
        <v>45</v>
      </c>
      <c r="I116" s="4" t="s">
        <v>104</v>
      </c>
      <c r="J116" s="10">
        <v>76.491869999999992</v>
      </c>
      <c r="K116" s="10">
        <f>26.694+32.409+17.389</f>
        <v>76.49199999999999</v>
      </c>
      <c r="L116" s="10">
        <f t="shared" si="2"/>
        <v>0</v>
      </c>
      <c r="M116" s="10">
        <f t="shared" si="4"/>
        <v>0</v>
      </c>
      <c r="N116" s="10"/>
      <c r="O116" s="10"/>
      <c r="P116" s="10"/>
      <c r="Q116" s="10"/>
      <c r="R116" s="10"/>
      <c r="S116" s="10"/>
      <c r="T116" s="10"/>
      <c r="U116" s="10"/>
      <c r="V116" s="4" t="s">
        <v>266</v>
      </c>
      <c r="W116" s="4"/>
      <c r="X116" s="8"/>
      <c r="Y116" s="4"/>
      <c r="Z116" s="4"/>
      <c r="AA116" s="8"/>
      <c r="AB116" s="8"/>
      <c r="AC116" s="4"/>
      <c r="AD116" s="4"/>
    </row>
    <row r="117" spans="1:30" hidden="1">
      <c r="A117" s="4">
        <v>1688</v>
      </c>
      <c r="B117" s="8">
        <v>44947</v>
      </c>
      <c r="C117" s="4"/>
      <c r="D117" s="4" t="s">
        <v>42</v>
      </c>
      <c r="E117" s="8">
        <v>44957</v>
      </c>
      <c r="F117" s="4" t="s">
        <v>43</v>
      </c>
      <c r="G117" s="16" t="s">
        <v>44</v>
      </c>
      <c r="H117" s="4" t="s">
        <v>45</v>
      </c>
      <c r="I117" s="4" t="s">
        <v>107</v>
      </c>
      <c r="J117" s="10">
        <v>29.595280000000002</v>
      </c>
      <c r="K117" s="10">
        <f>5.921+2.994+19.112+1.497</f>
        <v>29.524000000000001</v>
      </c>
      <c r="L117" s="10">
        <f t="shared" si="2"/>
        <v>0</v>
      </c>
      <c r="M117" s="10">
        <f t="shared" si="4"/>
        <v>0</v>
      </c>
      <c r="N117" s="10"/>
      <c r="O117" s="10"/>
      <c r="P117" s="10"/>
      <c r="Q117" s="10"/>
      <c r="R117" s="10"/>
      <c r="S117" s="10"/>
      <c r="T117" s="10"/>
      <c r="U117" s="10"/>
      <c r="V117" s="4" t="s">
        <v>266</v>
      </c>
      <c r="W117" s="4"/>
      <c r="X117" s="8"/>
      <c r="Y117" s="4"/>
      <c r="Z117" s="4"/>
      <c r="AA117" s="8"/>
      <c r="AB117" s="8">
        <v>44978</v>
      </c>
      <c r="AC117" s="4"/>
      <c r="AD117" s="4"/>
    </row>
    <row r="118" spans="1:30" hidden="1">
      <c r="A118" s="4">
        <v>1688</v>
      </c>
      <c r="B118" s="8">
        <v>44947</v>
      </c>
      <c r="C118" s="4"/>
      <c r="D118" s="4" t="s">
        <v>42</v>
      </c>
      <c r="E118" s="8">
        <v>44957</v>
      </c>
      <c r="F118" s="4" t="s">
        <v>43</v>
      </c>
      <c r="G118" s="16" t="s">
        <v>44</v>
      </c>
      <c r="H118" s="4" t="s">
        <v>45</v>
      </c>
      <c r="I118" s="4" t="s">
        <v>259</v>
      </c>
      <c r="J118" s="10">
        <v>64.832010000000011</v>
      </c>
      <c r="K118" s="10">
        <f>3.928+28.251+29.46+3.468</f>
        <v>65.106999999999999</v>
      </c>
      <c r="L118" s="10">
        <f t="shared" si="2"/>
        <v>0</v>
      </c>
      <c r="M118" s="10">
        <f t="shared" si="4"/>
        <v>0</v>
      </c>
      <c r="N118" s="10"/>
      <c r="O118" s="10"/>
      <c r="P118" s="10"/>
      <c r="Q118" s="10"/>
      <c r="R118" s="10"/>
      <c r="S118" s="10"/>
      <c r="T118" s="10"/>
      <c r="U118" s="10"/>
      <c r="V118" s="4" t="s">
        <v>266</v>
      </c>
      <c r="W118" s="4"/>
      <c r="X118" s="8"/>
      <c r="Y118" s="4"/>
      <c r="Z118" s="4"/>
      <c r="AA118" s="8"/>
      <c r="AB118" s="8">
        <v>44978</v>
      </c>
      <c r="AC118" s="4"/>
      <c r="AD118" s="4"/>
    </row>
    <row r="119" spans="1:30" hidden="1">
      <c r="A119" s="4">
        <v>1688</v>
      </c>
      <c r="B119" s="8">
        <v>44947</v>
      </c>
      <c r="C119" s="4"/>
      <c r="D119" s="4" t="s">
        <v>42</v>
      </c>
      <c r="E119" s="8">
        <v>44957</v>
      </c>
      <c r="F119" s="4" t="s">
        <v>43</v>
      </c>
      <c r="G119" s="16" t="s">
        <v>44</v>
      </c>
      <c r="H119" s="4" t="s">
        <v>45</v>
      </c>
      <c r="I119" s="4" t="s">
        <v>260</v>
      </c>
      <c r="J119" s="10">
        <v>59.08922102702703</v>
      </c>
      <c r="K119" s="10">
        <f>32.235+21.472+1.15+4.564</f>
        <v>59.420999999999999</v>
      </c>
      <c r="L119" s="10">
        <f t="shared" si="2"/>
        <v>0</v>
      </c>
      <c r="M119" s="10">
        <f t="shared" si="4"/>
        <v>0</v>
      </c>
      <c r="N119" s="10"/>
      <c r="O119" s="10"/>
      <c r="P119" s="10">
        <v>0</v>
      </c>
      <c r="Q119" s="10"/>
      <c r="R119" s="10"/>
      <c r="S119" s="10"/>
      <c r="T119" s="10"/>
      <c r="U119" s="10"/>
      <c r="V119" s="4" t="s">
        <v>266</v>
      </c>
      <c r="W119" s="4"/>
      <c r="X119" s="8"/>
      <c r="Y119" s="4"/>
      <c r="Z119" s="4"/>
      <c r="AA119" s="8"/>
      <c r="AB119" s="8">
        <v>44975</v>
      </c>
      <c r="AC119" s="4"/>
      <c r="AD119" s="4"/>
    </row>
    <row r="120" spans="1:30" hidden="1">
      <c r="A120" s="4">
        <v>1688</v>
      </c>
      <c r="B120" s="8">
        <v>44947</v>
      </c>
      <c r="C120" s="4"/>
      <c r="D120" s="4" t="s">
        <v>42</v>
      </c>
      <c r="E120" s="8">
        <v>44957</v>
      </c>
      <c r="F120" s="4" t="s">
        <v>43</v>
      </c>
      <c r="G120" s="16" t="s">
        <v>51</v>
      </c>
      <c r="H120" s="4" t="s">
        <v>52</v>
      </c>
      <c r="I120" s="4" t="s">
        <v>260</v>
      </c>
      <c r="J120" s="10">
        <v>29.317213999999996</v>
      </c>
      <c r="K120" s="10">
        <f>26.939+2.56</f>
        <v>29.498999999999999</v>
      </c>
      <c r="L120" s="10">
        <f t="shared" si="2"/>
        <v>0</v>
      </c>
      <c r="M120" s="10">
        <f t="shared" si="4"/>
        <v>0</v>
      </c>
      <c r="N120" s="10"/>
      <c r="O120" s="10"/>
      <c r="P120" s="10"/>
      <c r="Q120" s="10"/>
      <c r="R120" s="10"/>
      <c r="S120" s="10"/>
      <c r="T120" s="10"/>
      <c r="U120" s="10"/>
      <c r="V120" s="4" t="s">
        <v>266</v>
      </c>
      <c r="W120" s="4"/>
      <c r="X120" s="8"/>
      <c r="Y120" s="4"/>
      <c r="Z120" s="4"/>
      <c r="AA120" s="8"/>
      <c r="AB120" s="8"/>
      <c r="AC120" s="4"/>
      <c r="AD120" s="4"/>
    </row>
    <row r="121" spans="1:30" hidden="1">
      <c r="A121" s="4">
        <v>1688</v>
      </c>
      <c r="B121" s="8">
        <v>44947</v>
      </c>
      <c r="C121" s="4"/>
      <c r="D121" s="4" t="s">
        <v>42</v>
      </c>
      <c r="E121" s="8">
        <v>44957</v>
      </c>
      <c r="F121" s="4" t="s">
        <v>43</v>
      </c>
      <c r="G121" s="16" t="s">
        <v>44</v>
      </c>
      <c r="H121" s="4" t="s">
        <v>45</v>
      </c>
      <c r="I121" s="4" t="s">
        <v>261</v>
      </c>
      <c r="J121" s="10">
        <v>29.329720000000002</v>
      </c>
      <c r="K121" s="10">
        <f>2.234+10.725+1.816+7.472+7.6</f>
        <v>29.847000000000001</v>
      </c>
      <c r="L121" s="10">
        <f t="shared" si="2"/>
        <v>0</v>
      </c>
      <c r="M121" s="10">
        <f t="shared" si="4"/>
        <v>0</v>
      </c>
      <c r="N121" s="10"/>
      <c r="O121" s="10"/>
      <c r="P121" s="10"/>
      <c r="Q121" s="10"/>
      <c r="R121" s="10"/>
      <c r="S121" s="10"/>
      <c r="T121" s="10"/>
      <c r="U121" s="10"/>
      <c r="V121" s="4" t="s">
        <v>266</v>
      </c>
      <c r="W121" s="4"/>
      <c r="X121" s="8"/>
      <c r="Y121" s="4"/>
      <c r="Z121" s="4"/>
      <c r="AA121" s="8"/>
      <c r="AB121" s="8">
        <v>44978</v>
      </c>
      <c r="AC121" s="4"/>
      <c r="AD121" s="4"/>
    </row>
    <row r="122" spans="1:30" hidden="1">
      <c r="A122" s="4">
        <v>1688</v>
      </c>
      <c r="B122" s="8">
        <v>44947</v>
      </c>
      <c r="C122" s="4"/>
      <c r="D122" s="4" t="s">
        <v>42</v>
      </c>
      <c r="E122" s="8">
        <v>44957</v>
      </c>
      <c r="F122" s="4" t="s">
        <v>43</v>
      </c>
      <c r="G122" s="16" t="s">
        <v>44</v>
      </c>
      <c r="H122" s="4" t="s">
        <v>45</v>
      </c>
      <c r="I122" s="4" t="s">
        <v>122</v>
      </c>
      <c r="J122" s="10">
        <v>6.6795</v>
      </c>
      <c r="K122" s="10">
        <f>2.77+3.93</f>
        <v>6.7</v>
      </c>
      <c r="L122" s="10">
        <f t="shared" si="2"/>
        <v>0</v>
      </c>
      <c r="M122" s="10">
        <f t="shared" si="4"/>
        <v>0</v>
      </c>
      <c r="N122" s="10"/>
      <c r="O122" s="10"/>
      <c r="P122" s="10"/>
      <c r="Q122" s="10"/>
      <c r="R122" s="10"/>
      <c r="S122" s="10"/>
      <c r="T122" s="10"/>
      <c r="U122" s="10"/>
      <c r="V122" s="4" t="s">
        <v>266</v>
      </c>
      <c r="W122" s="4"/>
      <c r="X122" s="8"/>
      <c r="Y122" s="4"/>
      <c r="Z122" s="4"/>
      <c r="AA122" s="8"/>
      <c r="AB122" s="8"/>
      <c r="AC122" s="4"/>
      <c r="AD122" s="4"/>
    </row>
    <row r="123" spans="1:30" hidden="1">
      <c r="A123" s="4">
        <v>1688</v>
      </c>
      <c r="B123" s="8">
        <v>44947</v>
      </c>
      <c r="C123" s="4"/>
      <c r="D123" s="4" t="s">
        <v>42</v>
      </c>
      <c r="E123" s="8">
        <v>44957</v>
      </c>
      <c r="F123" s="4" t="s">
        <v>43</v>
      </c>
      <c r="G123" s="16" t="s">
        <v>44</v>
      </c>
      <c r="H123" s="4" t="s">
        <v>45</v>
      </c>
      <c r="I123" s="4" t="s">
        <v>237</v>
      </c>
      <c r="J123" s="10">
        <v>35.848625500000011</v>
      </c>
      <c r="K123" s="10">
        <f>26.079+7.741+2.19</f>
        <v>36.01</v>
      </c>
      <c r="L123" s="10">
        <f t="shared" si="2"/>
        <v>0</v>
      </c>
      <c r="M123" s="10">
        <f t="shared" si="4"/>
        <v>0</v>
      </c>
      <c r="N123" s="10"/>
      <c r="O123" s="10"/>
      <c r="P123" s="10">
        <v>0</v>
      </c>
      <c r="Q123" s="10"/>
      <c r="R123" s="10"/>
      <c r="S123" s="10"/>
      <c r="T123" s="10"/>
      <c r="U123" s="10"/>
      <c r="V123" s="4" t="s">
        <v>266</v>
      </c>
      <c r="W123" s="4"/>
      <c r="X123" s="8"/>
      <c r="Y123" s="4"/>
      <c r="Z123" s="4"/>
      <c r="AA123" s="8"/>
      <c r="AB123" s="8">
        <v>44975</v>
      </c>
      <c r="AC123" s="4"/>
      <c r="AD123" s="4"/>
    </row>
    <row r="124" spans="1:30" hidden="1">
      <c r="A124" s="4">
        <v>1688</v>
      </c>
      <c r="B124" s="8">
        <v>44947</v>
      </c>
      <c r="C124" s="4"/>
      <c r="D124" s="4" t="s">
        <v>42</v>
      </c>
      <c r="E124" s="8">
        <v>44957</v>
      </c>
      <c r="F124" s="4" t="s">
        <v>43</v>
      </c>
      <c r="G124" s="16" t="s">
        <v>51</v>
      </c>
      <c r="H124" s="4" t="s">
        <v>52</v>
      </c>
      <c r="I124" s="4" t="s">
        <v>247</v>
      </c>
      <c r="J124" s="10">
        <v>9.6807300000000005</v>
      </c>
      <c r="K124" s="10">
        <f>4.85+4.879</f>
        <v>9.7289999999999992</v>
      </c>
      <c r="L124" s="10">
        <f t="shared" si="2"/>
        <v>0</v>
      </c>
      <c r="M124" s="10">
        <f t="shared" si="4"/>
        <v>0</v>
      </c>
      <c r="N124" s="10"/>
      <c r="O124" s="10"/>
      <c r="P124" s="10">
        <v>0</v>
      </c>
      <c r="Q124" s="10"/>
      <c r="R124" s="10"/>
      <c r="S124" s="10"/>
      <c r="T124" s="10"/>
      <c r="U124" s="10"/>
      <c r="V124" s="4" t="s">
        <v>266</v>
      </c>
      <c r="W124" s="4"/>
      <c r="X124" s="8"/>
      <c r="Y124" s="4"/>
      <c r="Z124" s="4"/>
      <c r="AA124" s="8"/>
      <c r="AB124" s="8"/>
      <c r="AC124" s="4"/>
      <c r="AD124" s="4"/>
    </row>
    <row r="125" spans="1:30" hidden="1">
      <c r="A125" s="4">
        <v>1688</v>
      </c>
      <c r="B125" s="8">
        <v>44947</v>
      </c>
      <c r="C125" s="4"/>
      <c r="D125" s="4" t="s">
        <v>42</v>
      </c>
      <c r="E125" s="8">
        <v>44957</v>
      </c>
      <c r="F125" s="4" t="s">
        <v>43</v>
      </c>
      <c r="G125" s="16" t="s">
        <v>44</v>
      </c>
      <c r="H125" s="4" t="s">
        <v>45</v>
      </c>
      <c r="I125" s="4" t="s">
        <v>101</v>
      </c>
      <c r="J125" s="10">
        <v>47.486449999999998</v>
      </c>
      <c r="K125" s="10">
        <f>20.517+19.543+7.885</f>
        <v>47.945</v>
      </c>
      <c r="L125" s="10">
        <f t="shared" si="2"/>
        <v>0</v>
      </c>
      <c r="M125" s="10">
        <f t="shared" si="4"/>
        <v>0</v>
      </c>
      <c r="N125" s="10"/>
      <c r="O125" s="10"/>
      <c r="P125" s="10">
        <v>0</v>
      </c>
      <c r="Q125" s="10"/>
      <c r="R125" s="10"/>
      <c r="S125" s="10"/>
      <c r="T125" s="10"/>
      <c r="U125" s="10"/>
      <c r="V125" s="4" t="s">
        <v>266</v>
      </c>
      <c r="W125" s="4"/>
      <c r="X125" s="8">
        <v>44977</v>
      </c>
      <c r="Y125" s="4"/>
      <c r="Z125" s="4"/>
      <c r="AA125" s="8"/>
      <c r="AB125" s="8"/>
      <c r="AC125" s="4"/>
      <c r="AD125" s="4"/>
    </row>
    <row r="126" spans="1:30" hidden="1">
      <c r="A126" s="4">
        <v>1688</v>
      </c>
      <c r="B126" s="8">
        <v>44947</v>
      </c>
      <c r="C126" s="4"/>
      <c r="D126" s="4" t="s">
        <v>42</v>
      </c>
      <c r="E126" s="8">
        <v>44957</v>
      </c>
      <c r="F126" s="4" t="s">
        <v>43</v>
      </c>
      <c r="G126" s="16" t="s">
        <v>44</v>
      </c>
      <c r="H126" s="4" t="s">
        <v>45</v>
      </c>
      <c r="I126" s="4" t="s">
        <v>262</v>
      </c>
      <c r="J126" s="10">
        <v>12.468820000000001</v>
      </c>
      <c r="K126" s="10">
        <f>12.148+0.374</f>
        <v>12.522</v>
      </c>
      <c r="L126" s="10">
        <f t="shared" si="2"/>
        <v>0</v>
      </c>
      <c r="M126" s="10">
        <f t="shared" si="4"/>
        <v>0</v>
      </c>
      <c r="N126" s="10"/>
      <c r="O126" s="10"/>
      <c r="P126" s="10">
        <v>0</v>
      </c>
      <c r="Q126" s="10"/>
      <c r="R126" s="10"/>
      <c r="S126" s="10"/>
      <c r="T126" s="10"/>
      <c r="U126" s="10"/>
      <c r="V126" s="4" t="s">
        <v>266</v>
      </c>
      <c r="W126" s="4"/>
      <c r="X126" s="8">
        <v>44977</v>
      </c>
      <c r="Y126" s="4"/>
      <c r="Z126" s="4"/>
      <c r="AA126" s="8"/>
      <c r="AB126" s="8"/>
      <c r="AC126" s="4"/>
      <c r="AD126" s="4"/>
    </row>
    <row r="127" spans="1:30" hidden="1">
      <c r="A127" s="4">
        <v>1688</v>
      </c>
      <c r="B127" s="8">
        <v>44947</v>
      </c>
      <c r="C127" s="4"/>
      <c r="D127" s="4" t="s">
        <v>42</v>
      </c>
      <c r="E127" s="8">
        <v>44957</v>
      </c>
      <c r="F127" s="4" t="s">
        <v>43</v>
      </c>
      <c r="G127" s="16" t="s">
        <v>44</v>
      </c>
      <c r="H127" s="4" t="s">
        <v>45</v>
      </c>
      <c r="I127" s="4" t="s">
        <v>97</v>
      </c>
      <c r="J127" s="10">
        <v>8.5471199999999996</v>
      </c>
      <c r="K127" s="10">
        <f>5.464+3.178</f>
        <v>8.6419999999999995</v>
      </c>
      <c r="L127" s="10">
        <f t="shared" si="2"/>
        <v>0</v>
      </c>
      <c r="M127" s="10">
        <f t="shared" si="4"/>
        <v>0</v>
      </c>
      <c r="N127" s="10"/>
      <c r="O127" s="10"/>
      <c r="P127" s="10"/>
      <c r="Q127" s="10"/>
      <c r="R127" s="10"/>
      <c r="S127" s="10"/>
      <c r="T127" s="10"/>
      <c r="U127" s="10"/>
      <c r="V127" s="4" t="s">
        <v>266</v>
      </c>
      <c r="W127" s="4"/>
      <c r="X127" s="8"/>
      <c r="Y127" s="4"/>
      <c r="Z127" s="4"/>
      <c r="AA127" s="8"/>
      <c r="AB127" s="8"/>
      <c r="AC127" s="4"/>
      <c r="AD127" s="4"/>
    </row>
    <row r="128" spans="1:30" hidden="1">
      <c r="A128" s="4">
        <v>1688</v>
      </c>
      <c r="B128" s="8">
        <v>44947</v>
      </c>
      <c r="C128" s="4"/>
      <c r="D128" s="4" t="s">
        <v>42</v>
      </c>
      <c r="E128" s="8">
        <v>44957</v>
      </c>
      <c r="F128" s="4" t="s">
        <v>43</v>
      </c>
      <c r="G128" s="16" t="s">
        <v>44</v>
      </c>
      <c r="H128" s="4" t="s">
        <v>45</v>
      </c>
      <c r="I128" s="4" t="s">
        <v>263</v>
      </c>
      <c r="J128" s="10">
        <v>1.0444800000000001</v>
      </c>
      <c r="K128" s="10">
        <v>1.05</v>
      </c>
      <c r="L128" s="10">
        <f t="shared" si="2"/>
        <v>0</v>
      </c>
      <c r="M128" s="10">
        <f t="shared" si="4"/>
        <v>0</v>
      </c>
      <c r="N128" s="10"/>
      <c r="O128" s="10"/>
      <c r="P128" s="10">
        <v>0</v>
      </c>
      <c r="Q128" s="10"/>
      <c r="R128" s="10"/>
      <c r="S128" s="10"/>
      <c r="T128" s="10"/>
      <c r="U128" s="10"/>
      <c r="V128" s="4" t="s">
        <v>266</v>
      </c>
      <c r="W128" s="4"/>
      <c r="X128" s="8"/>
      <c r="Y128" s="4"/>
      <c r="Z128" s="4"/>
      <c r="AA128" s="8">
        <v>44975</v>
      </c>
      <c r="AB128" s="8">
        <v>44975</v>
      </c>
      <c r="AC128" s="4"/>
      <c r="AD128" s="4"/>
    </row>
    <row r="129" spans="1:30" hidden="1">
      <c r="A129" s="4">
        <v>1688</v>
      </c>
      <c r="B129" s="8">
        <v>44947</v>
      </c>
      <c r="C129" s="4"/>
      <c r="D129" s="4" t="s">
        <v>42</v>
      </c>
      <c r="E129" s="8">
        <v>44957</v>
      </c>
      <c r="F129" s="4" t="s">
        <v>43</v>
      </c>
      <c r="G129" s="16" t="s">
        <v>44</v>
      </c>
      <c r="H129" s="4" t="s">
        <v>45</v>
      </c>
      <c r="I129" s="4" t="s">
        <v>106</v>
      </c>
      <c r="J129" s="10">
        <v>2.7416</v>
      </c>
      <c r="K129" s="10">
        <f>2.767</f>
        <v>2.7669999999999999</v>
      </c>
      <c r="L129" s="10">
        <f t="shared" si="2"/>
        <v>0</v>
      </c>
      <c r="M129" s="10">
        <f t="shared" si="4"/>
        <v>0</v>
      </c>
      <c r="N129" s="10"/>
      <c r="O129" s="10"/>
      <c r="P129" s="10"/>
      <c r="Q129" s="10"/>
      <c r="R129" s="10"/>
      <c r="S129" s="10"/>
      <c r="T129" s="10"/>
      <c r="U129" s="10"/>
      <c r="V129" s="4" t="s">
        <v>266</v>
      </c>
      <c r="W129" s="4"/>
      <c r="X129" s="8"/>
      <c r="Y129" s="4"/>
      <c r="Z129" s="4"/>
      <c r="AA129" s="8"/>
      <c r="AB129" s="8"/>
      <c r="AC129" s="4"/>
      <c r="AD129" s="4"/>
    </row>
    <row r="130" spans="1:30" hidden="1">
      <c r="A130" s="4">
        <v>1688</v>
      </c>
      <c r="B130" s="8">
        <v>44947</v>
      </c>
      <c r="C130" s="4"/>
      <c r="D130" s="4" t="s">
        <v>42</v>
      </c>
      <c r="E130" s="8">
        <v>44957</v>
      </c>
      <c r="F130" s="4" t="s">
        <v>43</v>
      </c>
      <c r="G130" s="16" t="s">
        <v>44</v>
      </c>
      <c r="H130" s="4" t="s">
        <v>45</v>
      </c>
      <c r="I130" s="4" t="s">
        <v>264</v>
      </c>
      <c r="J130" s="10">
        <v>18.8734</v>
      </c>
      <c r="K130" s="10">
        <f>8.663+1.238+7.116+2.011</f>
        <v>19.027999999999999</v>
      </c>
      <c r="L130" s="10">
        <f t="shared" si="2"/>
        <v>0</v>
      </c>
      <c r="M130" s="10">
        <f t="shared" si="4"/>
        <v>0</v>
      </c>
      <c r="N130" s="10"/>
      <c r="O130" s="10"/>
      <c r="P130" s="10"/>
      <c r="Q130" s="10"/>
      <c r="R130" s="10"/>
      <c r="S130" s="10"/>
      <c r="T130" s="10"/>
      <c r="U130" s="10"/>
      <c r="V130" s="4" t="s">
        <v>266</v>
      </c>
      <c r="W130" s="4"/>
      <c r="X130" s="8"/>
      <c r="Y130" s="4"/>
      <c r="Z130" s="4"/>
      <c r="AA130" s="8"/>
      <c r="AB130" s="8">
        <v>44978</v>
      </c>
      <c r="AC130" s="4"/>
      <c r="AD130" s="4"/>
    </row>
    <row r="131" spans="1:30" hidden="1">
      <c r="A131" s="4">
        <v>1845</v>
      </c>
      <c r="B131" s="8">
        <v>44968</v>
      </c>
      <c r="C131" s="4"/>
      <c r="D131" s="4" t="s">
        <v>397</v>
      </c>
      <c r="E131" s="8">
        <v>44985</v>
      </c>
      <c r="F131" s="4" t="s">
        <v>43</v>
      </c>
      <c r="G131" s="40" t="s">
        <v>94</v>
      </c>
      <c r="H131" s="4" t="s">
        <v>45</v>
      </c>
      <c r="I131" s="4" t="s">
        <v>236</v>
      </c>
      <c r="J131" s="10">
        <v>9.5760000000000005</v>
      </c>
      <c r="K131" s="10">
        <v>9.7929999999999993</v>
      </c>
      <c r="L131" s="10">
        <f>M131+U131</f>
        <v>0</v>
      </c>
      <c r="M131" s="10">
        <f t="shared" ref="M131" si="5">SUM(N131:T131)</f>
        <v>0</v>
      </c>
      <c r="N131" s="10"/>
      <c r="O131" s="10"/>
      <c r="P131" s="10">
        <v>0</v>
      </c>
      <c r="Q131" s="10"/>
      <c r="R131" s="10"/>
      <c r="S131" s="10"/>
      <c r="T131" s="10"/>
      <c r="U131" s="10"/>
      <c r="V131" s="4" t="s">
        <v>307</v>
      </c>
      <c r="W131" s="4"/>
      <c r="X131" s="8"/>
      <c r="Y131" s="4"/>
      <c r="Z131" s="4"/>
      <c r="AA131" s="8">
        <v>44983</v>
      </c>
      <c r="AB131" s="8">
        <v>44983</v>
      </c>
      <c r="AC131" s="4"/>
      <c r="AD131" s="4"/>
    </row>
    <row r="132" spans="1:30" hidden="1">
      <c r="A132" s="4">
        <v>1845</v>
      </c>
      <c r="B132" s="8">
        <v>44968</v>
      </c>
      <c r="C132" s="4"/>
      <c r="D132" s="4" t="s">
        <v>397</v>
      </c>
      <c r="E132" s="8">
        <v>44985</v>
      </c>
      <c r="F132" s="4" t="s">
        <v>43</v>
      </c>
      <c r="G132" s="40" t="s">
        <v>94</v>
      </c>
      <c r="H132" s="4" t="s">
        <v>45</v>
      </c>
      <c r="I132" s="4" t="s">
        <v>99</v>
      </c>
      <c r="J132" s="10">
        <v>16.440000000000001</v>
      </c>
      <c r="K132" s="10">
        <v>16.548999999999999</v>
      </c>
      <c r="L132" s="10">
        <f t="shared" ref="L132:L134" si="6">M132+U132</f>
        <v>0</v>
      </c>
      <c r="M132" s="10">
        <f t="shared" ref="M132" si="7">SUM(N132:T132)</f>
        <v>0</v>
      </c>
      <c r="N132" s="10"/>
      <c r="O132" s="10"/>
      <c r="P132" s="10">
        <v>0</v>
      </c>
      <c r="Q132" s="10"/>
      <c r="R132" s="10"/>
      <c r="S132" s="10"/>
      <c r="T132" s="10"/>
      <c r="U132" s="10"/>
      <c r="V132" s="4" t="s">
        <v>307</v>
      </c>
      <c r="W132" s="4"/>
      <c r="X132" s="8"/>
      <c r="Y132" s="4"/>
      <c r="Z132" s="4"/>
      <c r="AA132" s="8">
        <v>44983</v>
      </c>
      <c r="AB132" s="8">
        <v>44983</v>
      </c>
      <c r="AC132" s="4"/>
      <c r="AD132" s="4"/>
    </row>
    <row r="133" spans="1:30" hidden="1">
      <c r="A133" s="4">
        <v>1845</v>
      </c>
      <c r="B133" s="8">
        <v>44970</v>
      </c>
      <c r="C133" s="4"/>
      <c r="D133" s="4" t="s">
        <v>397</v>
      </c>
      <c r="E133" s="8">
        <v>44985</v>
      </c>
      <c r="F133" s="4" t="s">
        <v>43</v>
      </c>
      <c r="G133" s="40" t="s">
        <v>94</v>
      </c>
      <c r="H133" s="4" t="s">
        <v>45</v>
      </c>
      <c r="I133" s="4" t="s">
        <v>133</v>
      </c>
      <c r="J133" s="10">
        <v>10.83</v>
      </c>
      <c r="K133" s="10">
        <f>6.267+4.639</f>
        <v>10.906000000000001</v>
      </c>
      <c r="L133" s="10">
        <f t="shared" si="6"/>
        <v>0</v>
      </c>
      <c r="M133" s="10">
        <f t="shared" ref="M133:M134" si="8">SUM(N133:T133)</f>
        <v>0</v>
      </c>
      <c r="N133" s="10"/>
      <c r="O133" s="10"/>
      <c r="P133" s="10">
        <v>0</v>
      </c>
      <c r="Q133" s="10"/>
      <c r="R133" s="10"/>
      <c r="S133" s="10"/>
      <c r="T133" s="10"/>
      <c r="U133" s="10"/>
      <c r="V133" s="4" t="s">
        <v>307</v>
      </c>
      <c r="W133" s="4"/>
      <c r="X133" s="8">
        <v>44976</v>
      </c>
      <c r="Y133" s="4"/>
      <c r="Z133" s="4"/>
      <c r="AA133" s="8">
        <v>44983</v>
      </c>
      <c r="AB133" s="8">
        <v>44990</v>
      </c>
      <c r="AC133" s="4"/>
      <c r="AD133" s="4"/>
    </row>
    <row r="134" spans="1:30" hidden="1">
      <c r="A134" s="4">
        <v>1845</v>
      </c>
      <c r="B134" s="8">
        <v>44970</v>
      </c>
      <c r="C134" s="4"/>
      <c r="D134" s="4" t="s">
        <v>397</v>
      </c>
      <c r="E134" s="8">
        <v>44985</v>
      </c>
      <c r="F134" s="4" t="s">
        <v>43</v>
      </c>
      <c r="G134" s="40" t="s">
        <v>94</v>
      </c>
      <c r="H134" s="4" t="s">
        <v>45</v>
      </c>
      <c r="I134" s="4" t="s">
        <v>258</v>
      </c>
      <c r="J134" s="10">
        <v>2.7</v>
      </c>
      <c r="K134" s="10">
        <v>2.7170000000000001</v>
      </c>
      <c r="L134" s="10">
        <f t="shared" si="6"/>
        <v>0</v>
      </c>
      <c r="M134" s="10">
        <f t="shared" si="8"/>
        <v>0</v>
      </c>
      <c r="N134" s="10"/>
      <c r="O134" s="10"/>
      <c r="P134" s="10">
        <v>0</v>
      </c>
      <c r="Q134" s="10"/>
      <c r="R134" s="10"/>
      <c r="S134" s="10" t="s">
        <v>219</v>
      </c>
      <c r="T134" s="10"/>
      <c r="U134" s="10"/>
      <c r="V134" s="4" t="s">
        <v>307</v>
      </c>
      <c r="W134" s="4"/>
      <c r="X134" s="8">
        <v>44975</v>
      </c>
      <c r="Y134" s="4"/>
      <c r="Z134" s="4"/>
      <c r="AA134" s="8"/>
      <c r="AB134" s="8">
        <v>44990</v>
      </c>
      <c r="AC134" s="4"/>
      <c r="AD134" s="4"/>
    </row>
    <row r="135" spans="1:30" hidden="1">
      <c r="A135" s="4">
        <v>191</v>
      </c>
      <c r="B135" s="8">
        <v>45064</v>
      </c>
      <c r="C135" s="4"/>
      <c r="D135" s="4" t="s">
        <v>42</v>
      </c>
      <c r="E135" s="8">
        <v>45076</v>
      </c>
      <c r="F135" s="4" t="s">
        <v>43</v>
      </c>
      <c r="G135" s="16" t="s">
        <v>51</v>
      </c>
      <c r="H135" s="4" t="s">
        <v>52</v>
      </c>
      <c r="I135" s="4" t="s">
        <v>432</v>
      </c>
      <c r="J135" s="10">
        <v>10.29</v>
      </c>
      <c r="K135" s="10">
        <f>5.073+5.282</f>
        <v>10.355</v>
      </c>
      <c r="L135" s="10">
        <f t="shared" ref="L135" si="9">M135+U135</f>
        <v>0</v>
      </c>
      <c r="M135" s="10">
        <f t="shared" ref="M135" si="10">SUM(N135:T135)</f>
        <v>0</v>
      </c>
      <c r="N135" s="10"/>
      <c r="O135" s="10"/>
      <c r="P135" s="10">
        <v>0</v>
      </c>
      <c r="Q135" s="10">
        <v>0</v>
      </c>
      <c r="R135" s="10"/>
      <c r="S135" s="10"/>
      <c r="T135" s="10"/>
      <c r="U135" s="10"/>
      <c r="V135" s="4" t="s">
        <v>672</v>
      </c>
      <c r="W135" s="4" t="s">
        <v>718</v>
      </c>
      <c r="X135" s="8">
        <v>45074</v>
      </c>
      <c r="Y135" s="4"/>
      <c r="Z135" s="4">
        <v>45085</v>
      </c>
      <c r="AA135" s="8">
        <v>45087</v>
      </c>
      <c r="AB135" s="8">
        <v>45087</v>
      </c>
      <c r="AC135" s="4"/>
      <c r="AD135" s="4"/>
    </row>
    <row r="136" spans="1:30" hidden="1">
      <c r="A136" s="4">
        <v>191</v>
      </c>
      <c r="B136" s="8">
        <v>45064</v>
      </c>
      <c r="C136" s="4"/>
      <c r="D136" s="4" t="s">
        <v>42</v>
      </c>
      <c r="E136" s="8">
        <v>45076</v>
      </c>
      <c r="F136" s="4" t="s">
        <v>43</v>
      </c>
      <c r="G136" s="16" t="s">
        <v>51</v>
      </c>
      <c r="H136" s="4" t="s">
        <v>52</v>
      </c>
      <c r="I136" s="4" t="s">
        <v>671</v>
      </c>
      <c r="J136" s="10">
        <f>221.274+4.9</f>
        <v>226.17400000000001</v>
      </c>
      <c r="K136" s="10">
        <f>20.448+32.768+32.387+32.801+32.765+24.499+19.719+18.483+3.195+9.144</f>
        <v>226.209</v>
      </c>
      <c r="L136" s="10">
        <f t="shared" ref="L136" si="11">M136+U136</f>
        <v>0</v>
      </c>
      <c r="M136" s="10">
        <f t="shared" ref="M136" si="12">SUM(N136:T136)</f>
        <v>0</v>
      </c>
      <c r="N136" s="10"/>
      <c r="O136" s="10"/>
      <c r="P136" s="10">
        <v>0</v>
      </c>
      <c r="Q136" s="10"/>
      <c r="R136" s="10"/>
      <c r="S136" s="10"/>
      <c r="T136" s="10"/>
      <c r="U136" s="10"/>
      <c r="V136" s="4" t="s">
        <v>672</v>
      </c>
      <c r="W136" s="4" t="s">
        <v>726</v>
      </c>
      <c r="X136" s="8">
        <v>45074</v>
      </c>
      <c r="Y136" s="4"/>
      <c r="Z136" s="4">
        <v>45085</v>
      </c>
      <c r="AA136" s="8">
        <v>45085</v>
      </c>
      <c r="AB136" s="8"/>
      <c r="AC136" s="4"/>
      <c r="AD136" s="4"/>
    </row>
    <row r="137" spans="1:30" hidden="1">
      <c r="A137" s="4">
        <v>213</v>
      </c>
      <c r="B137" s="8">
        <v>45071</v>
      </c>
      <c r="C137" s="4"/>
      <c r="D137" s="4" t="s">
        <v>42</v>
      </c>
      <c r="E137" s="8">
        <v>45084</v>
      </c>
      <c r="F137" s="4" t="s">
        <v>43</v>
      </c>
      <c r="G137" s="16" t="s">
        <v>51</v>
      </c>
      <c r="H137" s="4" t="s">
        <v>52</v>
      </c>
      <c r="I137" s="4" t="s">
        <v>89</v>
      </c>
      <c r="J137" s="10">
        <v>30.850999999999999</v>
      </c>
      <c r="K137" s="10">
        <f>6.39+6.452+18.023</f>
        <v>30.864999999999998</v>
      </c>
      <c r="L137" s="10">
        <f t="shared" ref="L137" si="13">M137+U137</f>
        <v>0</v>
      </c>
      <c r="M137" s="10">
        <f t="shared" ref="M137" si="14">SUM(N137:T137)</f>
        <v>0</v>
      </c>
      <c r="N137" s="10"/>
      <c r="O137" s="10"/>
      <c r="P137" s="10">
        <v>0</v>
      </c>
      <c r="Q137" s="10"/>
      <c r="R137" s="10"/>
      <c r="S137" s="10"/>
      <c r="T137" s="10"/>
      <c r="U137" s="10"/>
      <c r="V137" s="4" t="s">
        <v>672</v>
      </c>
      <c r="W137" s="4" t="s">
        <v>714</v>
      </c>
      <c r="X137" s="8">
        <v>45071</v>
      </c>
      <c r="Y137" s="4"/>
      <c r="Z137" s="4">
        <v>45085</v>
      </c>
      <c r="AA137" s="8">
        <v>45087</v>
      </c>
      <c r="AB137" s="8">
        <v>45087</v>
      </c>
      <c r="AC137" s="4"/>
      <c r="AD137" s="4"/>
    </row>
    <row r="138" spans="1:30" hidden="1">
      <c r="A138" s="4">
        <v>219</v>
      </c>
      <c r="B138" s="8">
        <v>45071</v>
      </c>
      <c r="C138" s="4"/>
      <c r="D138" s="4" t="s">
        <v>42</v>
      </c>
      <c r="E138" s="8">
        <v>45084</v>
      </c>
      <c r="F138" s="4" t="s">
        <v>43</v>
      </c>
      <c r="G138" s="16" t="s">
        <v>51</v>
      </c>
      <c r="H138" s="4" t="s">
        <v>52</v>
      </c>
      <c r="I138" s="4" t="s">
        <v>671</v>
      </c>
      <c r="J138" s="10">
        <f>22.76+1.08</f>
        <v>23.840000000000003</v>
      </c>
      <c r="K138" s="10">
        <f>1.738+12.798+2.967+5.297+1.08</f>
        <v>23.880000000000003</v>
      </c>
      <c r="L138" s="10">
        <f t="shared" ref="L138:L139" si="15">M138+U138</f>
        <v>0</v>
      </c>
      <c r="M138" s="10">
        <f t="shared" ref="M138:M139" si="16">SUM(N138:T138)</f>
        <v>0</v>
      </c>
      <c r="N138" s="10"/>
      <c r="O138" s="10"/>
      <c r="P138" s="10">
        <v>0</v>
      </c>
      <c r="Q138" s="10"/>
      <c r="R138" s="10"/>
      <c r="S138" s="10"/>
      <c r="T138" s="10"/>
      <c r="U138" s="10"/>
      <c r="V138" s="4" t="s">
        <v>672</v>
      </c>
      <c r="W138" s="4"/>
      <c r="X138" s="8">
        <v>45074</v>
      </c>
      <c r="Y138" s="4"/>
      <c r="Z138" s="4">
        <v>45085</v>
      </c>
      <c r="AA138" s="8">
        <v>45086</v>
      </c>
      <c r="AB138" s="8">
        <v>45087</v>
      </c>
      <c r="AC138" s="4"/>
      <c r="AD138" s="4"/>
    </row>
    <row r="139" spans="1:30" hidden="1">
      <c r="A139" s="4">
        <v>219</v>
      </c>
      <c r="B139" s="8">
        <v>45071</v>
      </c>
      <c r="C139" s="4"/>
      <c r="D139" s="4" t="s">
        <v>42</v>
      </c>
      <c r="E139" s="8">
        <v>45084</v>
      </c>
      <c r="F139" s="4" t="s">
        <v>43</v>
      </c>
      <c r="G139" s="16" t="s">
        <v>51</v>
      </c>
      <c r="H139" s="4" t="s">
        <v>52</v>
      </c>
      <c r="I139" s="4" t="s">
        <v>89</v>
      </c>
      <c r="J139" s="10">
        <f>0.74+1.19</f>
        <v>1.93</v>
      </c>
      <c r="K139" s="10">
        <f>0.733+1.19</f>
        <v>1.923</v>
      </c>
      <c r="L139" s="10">
        <f t="shared" si="15"/>
        <v>0</v>
      </c>
      <c r="M139" s="10">
        <f t="shared" si="16"/>
        <v>0</v>
      </c>
      <c r="N139" s="10"/>
      <c r="O139" s="10"/>
      <c r="P139" s="10">
        <v>0</v>
      </c>
      <c r="Q139" s="10"/>
      <c r="R139" s="10"/>
      <c r="S139" s="10"/>
      <c r="T139" s="10"/>
      <c r="U139" s="10"/>
      <c r="V139" s="4" t="s">
        <v>672</v>
      </c>
      <c r="W139" s="4"/>
      <c r="X139" s="8">
        <v>45071</v>
      </c>
      <c r="Y139" s="4"/>
      <c r="Z139" s="4"/>
      <c r="AA139" s="8">
        <v>45087</v>
      </c>
      <c r="AB139" s="8">
        <v>45087</v>
      </c>
      <c r="AC139" s="4"/>
      <c r="AD139" s="4"/>
    </row>
    <row r="140" spans="1:30" hidden="1">
      <c r="A140" s="4">
        <v>339</v>
      </c>
      <c r="B140" s="8">
        <v>45092</v>
      </c>
      <c r="C140" s="4"/>
      <c r="D140" s="4" t="s">
        <v>397</v>
      </c>
      <c r="E140" s="8">
        <v>45107</v>
      </c>
      <c r="F140" s="4" t="s">
        <v>43</v>
      </c>
      <c r="G140" s="16" t="s">
        <v>51</v>
      </c>
      <c r="H140" s="4" t="s">
        <v>52</v>
      </c>
      <c r="I140" s="4" t="s">
        <v>432</v>
      </c>
      <c r="J140" s="10">
        <v>0.47299999999999998</v>
      </c>
      <c r="K140" s="10">
        <v>0.41199999999999998</v>
      </c>
      <c r="L140" s="10">
        <f t="shared" ref="L140:L141" si="17">M140+U140</f>
        <v>0</v>
      </c>
      <c r="M140" s="10">
        <f t="shared" ref="M140:M141" si="18">SUM(N140:T140)</f>
        <v>0</v>
      </c>
      <c r="N140" s="10"/>
      <c r="O140" s="10"/>
      <c r="P140" s="10">
        <v>0</v>
      </c>
      <c r="Q140" s="10"/>
      <c r="R140" s="10"/>
      <c r="S140" s="10"/>
      <c r="T140" s="10"/>
      <c r="U140" s="10"/>
      <c r="V140" s="4" t="s">
        <v>672</v>
      </c>
      <c r="W140" s="4"/>
      <c r="X140" s="8">
        <v>45095</v>
      </c>
      <c r="Y140" s="4"/>
      <c r="Z140" s="4"/>
      <c r="AA140" s="8">
        <v>45117</v>
      </c>
      <c r="AB140" s="8">
        <v>45117</v>
      </c>
      <c r="AC140" s="4"/>
      <c r="AD140" s="4"/>
    </row>
    <row r="141" spans="1:30" hidden="1">
      <c r="A141" s="4">
        <v>340</v>
      </c>
      <c r="B141" s="8">
        <v>45092</v>
      </c>
      <c r="C141" s="4"/>
      <c r="D141" s="4" t="s">
        <v>42</v>
      </c>
      <c r="E141" s="8">
        <v>45107</v>
      </c>
      <c r="F141" s="4" t="s">
        <v>43</v>
      </c>
      <c r="G141" s="16" t="s">
        <v>51</v>
      </c>
      <c r="H141" s="4" t="s">
        <v>52</v>
      </c>
      <c r="I141" s="4" t="s">
        <v>432</v>
      </c>
      <c r="J141" s="10">
        <v>7.8E-2</v>
      </c>
      <c r="K141" s="10">
        <v>0.16500000000000001</v>
      </c>
      <c r="L141" s="10">
        <f t="shared" si="17"/>
        <v>0</v>
      </c>
      <c r="M141" s="10">
        <f t="shared" si="18"/>
        <v>0</v>
      </c>
      <c r="N141" s="10"/>
      <c r="O141" s="10"/>
      <c r="P141" s="10">
        <v>0</v>
      </c>
      <c r="Q141" s="10"/>
      <c r="R141" s="10"/>
      <c r="S141" s="10"/>
      <c r="T141" s="10"/>
      <c r="U141" s="10"/>
      <c r="V141" s="4" t="s">
        <v>672</v>
      </c>
      <c r="W141" s="4"/>
      <c r="X141" s="8">
        <v>45095</v>
      </c>
      <c r="Y141" s="4"/>
      <c r="Z141" s="4"/>
      <c r="AA141" s="8">
        <v>45117</v>
      </c>
      <c r="AB141" s="8">
        <v>45117</v>
      </c>
      <c r="AC141" s="4"/>
      <c r="AD141" s="4"/>
    </row>
    <row r="142" spans="1:30" hidden="1">
      <c r="A142" s="4">
        <v>340</v>
      </c>
      <c r="B142" s="8">
        <v>45092</v>
      </c>
      <c r="C142" s="4"/>
      <c r="D142" s="4" t="s">
        <v>42</v>
      </c>
      <c r="E142" s="8">
        <v>45107</v>
      </c>
      <c r="F142" s="4" t="s">
        <v>43</v>
      </c>
      <c r="G142" s="16" t="s">
        <v>51</v>
      </c>
      <c r="H142" s="4" t="s">
        <v>52</v>
      </c>
      <c r="I142" s="4" t="s">
        <v>671</v>
      </c>
      <c r="J142" s="10">
        <v>0.74760000000000004</v>
      </c>
      <c r="K142" s="10">
        <v>0.82399999999999995</v>
      </c>
      <c r="L142" s="10">
        <f t="shared" ref="L142" si="19">M142+U142</f>
        <v>0</v>
      </c>
      <c r="M142" s="10">
        <f t="shared" ref="M142" si="20">SUM(N142:T142)</f>
        <v>0</v>
      </c>
      <c r="N142" s="10"/>
      <c r="O142" s="10"/>
      <c r="P142" s="10">
        <v>0</v>
      </c>
      <c r="Q142" s="10"/>
      <c r="R142" s="10"/>
      <c r="S142" s="10"/>
      <c r="T142" s="10"/>
      <c r="U142" s="10"/>
      <c r="V142" s="4" t="s">
        <v>672</v>
      </c>
      <c r="W142" s="4"/>
      <c r="X142" s="8">
        <v>45095</v>
      </c>
      <c r="Y142" s="4"/>
      <c r="Z142" s="4"/>
      <c r="AA142" s="8">
        <v>45112</v>
      </c>
      <c r="AB142" s="8">
        <v>45112</v>
      </c>
      <c r="AC142" s="4"/>
      <c r="AD142" s="4"/>
    </row>
    <row r="143" spans="1:30" hidden="1">
      <c r="A143" s="4">
        <v>339</v>
      </c>
      <c r="B143" s="8">
        <v>45092</v>
      </c>
      <c r="C143" s="4"/>
      <c r="D143" s="4" t="s">
        <v>42</v>
      </c>
      <c r="E143" s="8">
        <v>45114</v>
      </c>
      <c r="F143" s="4" t="s">
        <v>43</v>
      </c>
      <c r="G143" s="16" t="s">
        <v>51</v>
      </c>
      <c r="H143" s="4" t="s">
        <v>52</v>
      </c>
      <c r="I143" s="4" t="s">
        <v>671</v>
      </c>
      <c r="J143" s="10">
        <v>55.03678</v>
      </c>
      <c r="K143" s="10">
        <f>29.556+22.644+1.728+1.404</f>
        <v>55.332000000000008</v>
      </c>
      <c r="L143" s="10">
        <f t="shared" ref="L143:L145" si="21">M143+U143</f>
        <v>0</v>
      </c>
      <c r="M143" s="10">
        <f t="shared" ref="M143:M145" si="22">SUM(N143:T143)</f>
        <v>0</v>
      </c>
      <c r="N143" s="10"/>
      <c r="O143" s="10"/>
      <c r="P143" s="10">
        <v>0</v>
      </c>
      <c r="Q143" s="10"/>
      <c r="R143" s="10"/>
      <c r="S143" s="10"/>
      <c r="T143" s="10"/>
      <c r="U143" s="10"/>
      <c r="V143" s="4" t="s">
        <v>672</v>
      </c>
      <c r="W143" s="4"/>
      <c r="X143" s="8">
        <v>45095</v>
      </c>
      <c r="Y143" s="4"/>
      <c r="Z143" s="4"/>
      <c r="AA143" s="8">
        <v>45109</v>
      </c>
      <c r="AB143" s="8">
        <v>45117</v>
      </c>
      <c r="AC143" s="4"/>
      <c r="AD143" s="4"/>
    </row>
    <row r="144" spans="1:30" hidden="1">
      <c r="A144" s="4">
        <v>339</v>
      </c>
      <c r="B144" s="8">
        <v>45092</v>
      </c>
      <c r="C144" s="4"/>
      <c r="D144" s="4" t="s">
        <v>42</v>
      </c>
      <c r="E144" s="8">
        <v>45114</v>
      </c>
      <c r="F144" s="4" t="s">
        <v>43</v>
      </c>
      <c r="G144" s="16" t="s">
        <v>51</v>
      </c>
      <c r="H144" s="4" t="s">
        <v>52</v>
      </c>
      <c r="I144" s="4" t="s">
        <v>729</v>
      </c>
      <c r="J144" s="10">
        <v>24.95</v>
      </c>
      <c r="K144" s="10">
        <v>24.949000000000002</v>
      </c>
      <c r="L144" s="10">
        <f t="shared" si="21"/>
        <v>0</v>
      </c>
      <c r="M144" s="10">
        <f t="shared" si="22"/>
        <v>0</v>
      </c>
      <c r="N144" s="10"/>
      <c r="O144" s="10"/>
      <c r="P144" s="10">
        <v>0</v>
      </c>
      <c r="Q144" s="10"/>
      <c r="R144" s="10"/>
      <c r="S144" s="10"/>
      <c r="T144" s="10"/>
      <c r="U144" s="10"/>
      <c r="V144" s="4" t="s">
        <v>672</v>
      </c>
      <c r="W144" s="4"/>
      <c r="X144" s="8"/>
      <c r="Y144" s="4"/>
      <c r="Z144" s="4"/>
      <c r="AA144" s="8">
        <v>45110</v>
      </c>
      <c r="AB144" s="8">
        <v>45110</v>
      </c>
      <c r="AC144" s="4"/>
      <c r="AD144" s="4"/>
    </row>
    <row r="145" spans="1:30" hidden="1">
      <c r="A145" s="4">
        <v>339</v>
      </c>
      <c r="B145" s="8">
        <v>45092</v>
      </c>
      <c r="C145" s="4"/>
      <c r="D145" s="4" t="s">
        <v>42</v>
      </c>
      <c r="E145" s="8">
        <v>45114</v>
      </c>
      <c r="F145" s="4" t="s">
        <v>43</v>
      </c>
      <c r="G145" s="16" t="s">
        <v>51</v>
      </c>
      <c r="H145" s="4" t="s">
        <v>52</v>
      </c>
      <c r="I145" s="4" t="s">
        <v>125</v>
      </c>
      <c r="J145" s="10">
        <f>2.376+0.655</f>
        <v>3.0309999999999997</v>
      </c>
      <c r="K145" s="10">
        <f>0.655+2.409</f>
        <v>3.0640000000000001</v>
      </c>
      <c r="L145" s="10">
        <f t="shared" si="21"/>
        <v>0</v>
      </c>
      <c r="M145" s="10">
        <f t="shared" si="22"/>
        <v>0</v>
      </c>
      <c r="N145" s="10"/>
      <c r="O145" s="10"/>
      <c r="P145" s="10">
        <v>0</v>
      </c>
      <c r="Q145" s="10"/>
      <c r="R145" s="10"/>
      <c r="S145" s="10"/>
      <c r="T145" s="10"/>
      <c r="U145" s="10"/>
      <c r="V145" s="4" t="s">
        <v>672</v>
      </c>
      <c r="W145" s="4"/>
      <c r="X145" s="8">
        <v>45099</v>
      </c>
      <c r="Y145" s="4"/>
      <c r="Z145" s="4"/>
      <c r="AA145" s="8">
        <v>45099</v>
      </c>
      <c r="AB145" s="8">
        <v>45112</v>
      </c>
      <c r="AC145" s="4"/>
      <c r="AD145" s="4"/>
    </row>
    <row r="146" spans="1:30" hidden="1">
      <c r="A146" s="4">
        <v>339</v>
      </c>
      <c r="B146" s="8">
        <v>45092</v>
      </c>
      <c r="C146" s="4"/>
      <c r="D146" s="4" t="s">
        <v>397</v>
      </c>
      <c r="E146" s="8">
        <v>45114</v>
      </c>
      <c r="F146" s="4" t="s">
        <v>43</v>
      </c>
      <c r="G146" s="16" t="s">
        <v>51</v>
      </c>
      <c r="H146" s="4" t="s">
        <v>52</v>
      </c>
      <c r="I146" s="4" t="s">
        <v>125</v>
      </c>
      <c r="J146" s="10">
        <f>0.786</f>
        <v>0.78600000000000003</v>
      </c>
      <c r="K146" s="10">
        <v>0.78600000000000003</v>
      </c>
      <c r="L146" s="10">
        <f t="shared" ref="L146" si="23">M146+U146</f>
        <v>0</v>
      </c>
      <c r="M146" s="10">
        <f t="shared" ref="M146" si="24">SUM(N146:T146)</f>
        <v>0</v>
      </c>
      <c r="N146" s="10"/>
      <c r="O146" s="10"/>
      <c r="P146" s="10">
        <v>0</v>
      </c>
      <c r="Q146" s="10"/>
      <c r="R146" s="10"/>
      <c r="S146" s="10"/>
      <c r="T146" s="10"/>
      <c r="U146" s="10"/>
      <c r="V146" s="4" t="s">
        <v>672</v>
      </c>
      <c r="W146" s="4"/>
      <c r="X146" s="8">
        <v>45099</v>
      </c>
      <c r="Y146" s="4"/>
      <c r="Z146" s="4"/>
      <c r="AA146" s="8">
        <v>45117</v>
      </c>
      <c r="AB146" s="8">
        <v>45117</v>
      </c>
      <c r="AC146" s="4"/>
      <c r="AD146" s="4"/>
    </row>
    <row r="147" spans="1:30" hidden="1">
      <c r="A147" s="4">
        <v>341</v>
      </c>
      <c r="B147" s="8">
        <v>45092</v>
      </c>
      <c r="C147" s="4"/>
      <c r="D147" s="4" t="s">
        <v>397</v>
      </c>
      <c r="E147" s="8">
        <v>45107</v>
      </c>
      <c r="F147" s="4" t="s">
        <v>43</v>
      </c>
      <c r="G147" s="16" t="s">
        <v>44</v>
      </c>
      <c r="H147" s="4" t="s">
        <v>45</v>
      </c>
      <c r="I147" s="4" t="s">
        <v>517</v>
      </c>
      <c r="J147" s="10">
        <v>0.65495999999999999</v>
      </c>
      <c r="K147" s="10">
        <v>0.72899999999999998</v>
      </c>
      <c r="L147" s="10">
        <f t="shared" ref="L147:L148" si="25">M147+U147</f>
        <v>0</v>
      </c>
      <c r="M147" s="10">
        <f t="shared" ref="M147:M148" si="26">SUM(N147:T147)</f>
        <v>0</v>
      </c>
      <c r="N147" s="10"/>
      <c r="O147" s="10"/>
      <c r="P147" s="10">
        <v>0</v>
      </c>
      <c r="Q147" s="10"/>
      <c r="R147" s="10"/>
      <c r="S147" s="10"/>
      <c r="T147" s="10"/>
      <c r="U147" s="10"/>
      <c r="V147" s="4" t="s">
        <v>427</v>
      </c>
      <c r="W147" s="4"/>
      <c r="X147" s="8">
        <v>45089</v>
      </c>
      <c r="Y147" s="4"/>
      <c r="Z147" s="4"/>
      <c r="AA147" s="8">
        <v>45122</v>
      </c>
      <c r="AB147" s="8">
        <v>45122</v>
      </c>
      <c r="AC147" s="4"/>
      <c r="AD147" s="4"/>
    </row>
    <row r="148" spans="1:30" hidden="1">
      <c r="A148" s="4">
        <v>341</v>
      </c>
      <c r="B148" s="8">
        <v>45092</v>
      </c>
      <c r="C148" s="4"/>
      <c r="D148" s="4" t="s">
        <v>42</v>
      </c>
      <c r="E148" s="8">
        <v>45107</v>
      </c>
      <c r="F148" s="4" t="s">
        <v>43</v>
      </c>
      <c r="G148" s="16" t="s">
        <v>51</v>
      </c>
      <c r="H148" s="4" t="s">
        <v>52</v>
      </c>
      <c r="I148" s="4" t="s">
        <v>48</v>
      </c>
      <c r="J148" s="10">
        <v>7.3079999999999992E-2</v>
      </c>
      <c r="K148" s="10">
        <v>7.2999999999999995E-2</v>
      </c>
      <c r="L148" s="10">
        <f t="shared" si="25"/>
        <v>0</v>
      </c>
      <c r="M148" s="10">
        <f t="shared" si="26"/>
        <v>0</v>
      </c>
      <c r="N148" s="10"/>
      <c r="O148" s="10"/>
      <c r="P148" s="10">
        <v>0</v>
      </c>
      <c r="Q148" s="10"/>
      <c r="R148" s="10"/>
      <c r="S148" s="10"/>
      <c r="T148" s="10"/>
      <c r="U148" s="10"/>
      <c r="V148" s="4" t="s">
        <v>427</v>
      </c>
      <c r="W148" s="4"/>
      <c r="X148" s="8">
        <v>45103</v>
      </c>
      <c r="Y148" s="4"/>
      <c r="Z148" s="4"/>
      <c r="AA148" s="8">
        <v>45108</v>
      </c>
      <c r="AB148" s="8">
        <v>45108</v>
      </c>
      <c r="AC148" s="4"/>
      <c r="AD148" s="4"/>
    </row>
    <row r="149" spans="1:30" hidden="1">
      <c r="A149" s="4">
        <v>341</v>
      </c>
      <c r="B149" s="8">
        <v>45092</v>
      </c>
      <c r="C149" s="4"/>
      <c r="D149" s="4" t="s">
        <v>397</v>
      </c>
      <c r="E149" s="8">
        <v>45114</v>
      </c>
      <c r="F149" s="4" t="s">
        <v>43</v>
      </c>
      <c r="G149" s="16" t="s">
        <v>44</v>
      </c>
      <c r="H149" s="4" t="s">
        <v>45</v>
      </c>
      <c r="I149" s="4" t="s">
        <v>56</v>
      </c>
      <c r="J149" s="10">
        <v>0.93</v>
      </c>
      <c r="K149" s="10">
        <v>0.94899999999999995</v>
      </c>
      <c r="L149" s="10">
        <f t="shared" ref="L149:L162" si="27">M149+U149</f>
        <v>0</v>
      </c>
      <c r="M149" s="10">
        <f t="shared" ref="M149:M162" si="28">SUM(N149:T149)</f>
        <v>0</v>
      </c>
      <c r="N149" s="10"/>
      <c r="O149" s="10"/>
      <c r="P149" s="10">
        <v>0</v>
      </c>
      <c r="Q149" s="10"/>
      <c r="R149" s="10"/>
      <c r="S149" s="10"/>
      <c r="T149" s="10"/>
      <c r="U149" s="10"/>
      <c r="V149" s="4" t="s">
        <v>427</v>
      </c>
      <c r="W149" s="4"/>
      <c r="X149" s="8">
        <v>45103</v>
      </c>
      <c r="Y149" s="4"/>
      <c r="Z149" s="4"/>
      <c r="AA149" s="8">
        <v>45109</v>
      </c>
      <c r="AB149" s="8">
        <v>45109</v>
      </c>
      <c r="AC149" s="4"/>
      <c r="AD149" s="4"/>
    </row>
    <row r="150" spans="1:30" hidden="1">
      <c r="A150" s="4">
        <v>341</v>
      </c>
      <c r="B150" s="8">
        <v>45092</v>
      </c>
      <c r="C150" s="4"/>
      <c r="D150" s="4" t="s">
        <v>397</v>
      </c>
      <c r="E150" s="8">
        <v>45114</v>
      </c>
      <c r="F150" s="4" t="s">
        <v>43</v>
      </c>
      <c r="G150" s="16" t="s">
        <v>44</v>
      </c>
      <c r="H150" s="4" t="s">
        <v>45</v>
      </c>
      <c r="I150" s="4" t="s">
        <v>48</v>
      </c>
      <c r="J150" s="10">
        <v>1.04</v>
      </c>
      <c r="K150" s="10">
        <f>0.579+0.463</f>
        <v>1.042</v>
      </c>
      <c r="L150" s="10">
        <f t="shared" si="27"/>
        <v>0</v>
      </c>
      <c r="M150" s="10">
        <f t="shared" si="28"/>
        <v>0</v>
      </c>
      <c r="N150" s="10"/>
      <c r="O150" s="10"/>
      <c r="P150" s="10">
        <v>0</v>
      </c>
      <c r="Q150" s="10"/>
      <c r="R150" s="10"/>
      <c r="S150" s="10"/>
      <c r="T150" s="10"/>
      <c r="U150" s="10"/>
      <c r="V150" s="4" t="s">
        <v>427</v>
      </c>
      <c r="W150" s="4"/>
      <c r="X150" s="8">
        <v>45102</v>
      </c>
      <c r="Y150" s="4"/>
      <c r="Z150" s="4"/>
      <c r="AA150" s="8">
        <v>45108</v>
      </c>
      <c r="AB150" s="8">
        <v>45109</v>
      </c>
      <c r="AC150" s="4"/>
      <c r="AD150" s="4"/>
    </row>
    <row r="151" spans="1:30" hidden="1">
      <c r="A151" s="4">
        <v>341</v>
      </c>
      <c r="B151" s="8">
        <v>45092</v>
      </c>
      <c r="C151" s="4"/>
      <c r="D151" s="4" t="s">
        <v>397</v>
      </c>
      <c r="E151" s="8">
        <v>45114</v>
      </c>
      <c r="F151" s="4" t="s">
        <v>43</v>
      </c>
      <c r="G151" s="16" t="s">
        <v>44</v>
      </c>
      <c r="H151" s="4" t="s">
        <v>45</v>
      </c>
      <c r="I151" s="4" t="s">
        <v>403</v>
      </c>
      <c r="J151" s="10">
        <v>2.25</v>
      </c>
      <c r="K151" s="10">
        <v>2.3879999999999999</v>
      </c>
      <c r="L151" s="10">
        <f t="shared" si="27"/>
        <v>0</v>
      </c>
      <c r="M151" s="10">
        <f t="shared" si="28"/>
        <v>0</v>
      </c>
      <c r="N151" s="10"/>
      <c r="O151" s="10"/>
      <c r="P151" s="10">
        <v>0</v>
      </c>
      <c r="Q151" s="10"/>
      <c r="R151" s="10"/>
      <c r="S151" s="10"/>
      <c r="T151" s="10"/>
      <c r="U151" s="10"/>
      <c r="V151" s="4" t="s">
        <v>427</v>
      </c>
      <c r="W151" s="4"/>
      <c r="X151" s="8">
        <v>45101</v>
      </c>
      <c r="Y151" s="4"/>
      <c r="Z151" s="4"/>
      <c r="AA151" s="8">
        <v>45108</v>
      </c>
      <c r="AB151" s="8">
        <v>45108</v>
      </c>
      <c r="AC151" s="4"/>
      <c r="AD151" s="4"/>
    </row>
    <row r="152" spans="1:30" hidden="1">
      <c r="A152" s="4">
        <v>341</v>
      </c>
      <c r="B152" s="8">
        <v>45092</v>
      </c>
      <c r="C152" s="4"/>
      <c r="D152" s="4" t="s">
        <v>397</v>
      </c>
      <c r="E152" s="8">
        <v>45114</v>
      </c>
      <c r="F152" s="4" t="s">
        <v>43</v>
      </c>
      <c r="G152" s="16" t="s">
        <v>44</v>
      </c>
      <c r="H152" s="4" t="s">
        <v>45</v>
      </c>
      <c r="I152" s="4" t="s">
        <v>49</v>
      </c>
      <c r="J152" s="10">
        <v>1.47</v>
      </c>
      <c r="K152" s="10">
        <v>1.5249999999999999</v>
      </c>
      <c r="L152" s="10">
        <f t="shared" si="27"/>
        <v>0</v>
      </c>
      <c r="M152" s="10">
        <f t="shared" si="28"/>
        <v>0</v>
      </c>
      <c r="N152" s="10"/>
      <c r="O152" s="10"/>
      <c r="P152" s="10">
        <v>0</v>
      </c>
      <c r="Q152" s="10"/>
      <c r="R152" s="10"/>
      <c r="S152" s="10"/>
      <c r="T152" s="10"/>
      <c r="U152" s="10"/>
      <c r="V152" s="4" t="s">
        <v>427</v>
      </c>
      <c r="W152" s="4"/>
      <c r="X152" s="8">
        <v>45106</v>
      </c>
      <c r="Y152" s="4"/>
      <c r="Z152" s="4"/>
      <c r="AA152" s="8">
        <v>45112</v>
      </c>
      <c r="AB152" s="8">
        <v>45112</v>
      </c>
      <c r="AC152" s="4"/>
      <c r="AD152" s="4"/>
    </row>
    <row r="153" spans="1:30" hidden="1">
      <c r="A153" s="4">
        <v>341</v>
      </c>
      <c r="B153" s="8">
        <v>45092</v>
      </c>
      <c r="C153" s="4"/>
      <c r="D153" s="4" t="s">
        <v>397</v>
      </c>
      <c r="E153" s="8">
        <v>45114</v>
      </c>
      <c r="F153" s="4" t="s">
        <v>43</v>
      </c>
      <c r="G153" s="16" t="s">
        <v>44</v>
      </c>
      <c r="H153" s="4" t="s">
        <v>45</v>
      </c>
      <c r="I153" s="4" t="s">
        <v>50</v>
      </c>
      <c r="J153" s="10">
        <v>0.51</v>
      </c>
      <c r="K153" s="10">
        <v>0.51300000000000001</v>
      </c>
      <c r="L153" s="10">
        <f t="shared" si="27"/>
        <v>0</v>
      </c>
      <c r="M153" s="10">
        <f t="shared" si="28"/>
        <v>0</v>
      </c>
      <c r="N153" s="10"/>
      <c r="O153" s="10">
        <v>0</v>
      </c>
      <c r="P153" s="10"/>
      <c r="Q153" s="10"/>
      <c r="R153" s="10"/>
      <c r="S153" s="10"/>
      <c r="T153" s="10"/>
      <c r="U153" s="10"/>
      <c r="V153" s="4" t="s">
        <v>427</v>
      </c>
      <c r="W153" s="4"/>
      <c r="X153" s="8">
        <v>45106</v>
      </c>
      <c r="Y153" s="4"/>
      <c r="Z153" s="4"/>
      <c r="AA153" s="8">
        <v>45112</v>
      </c>
      <c r="AB153" s="8">
        <v>45112</v>
      </c>
      <c r="AC153" s="4"/>
      <c r="AD153" s="4"/>
    </row>
    <row r="154" spans="1:30" hidden="1">
      <c r="A154" s="4">
        <v>341</v>
      </c>
      <c r="B154" s="8">
        <v>45092</v>
      </c>
      <c r="C154" s="4"/>
      <c r="D154" s="4" t="s">
        <v>397</v>
      </c>
      <c r="E154" s="8">
        <v>45114</v>
      </c>
      <c r="F154" s="4" t="s">
        <v>43</v>
      </c>
      <c r="G154" s="16" t="s">
        <v>44</v>
      </c>
      <c r="H154" s="4" t="s">
        <v>45</v>
      </c>
      <c r="I154" s="4" t="s">
        <v>407</v>
      </c>
      <c r="J154" s="10">
        <v>1.06</v>
      </c>
      <c r="K154" s="10">
        <v>1.0880000000000001</v>
      </c>
      <c r="L154" s="10">
        <f t="shared" si="27"/>
        <v>0</v>
      </c>
      <c r="M154" s="10">
        <f t="shared" si="28"/>
        <v>0</v>
      </c>
      <c r="N154" s="10"/>
      <c r="O154" s="10">
        <v>0</v>
      </c>
      <c r="P154" s="10"/>
      <c r="Q154" s="10"/>
      <c r="R154" s="10"/>
      <c r="S154" s="10"/>
      <c r="T154" s="10"/>
      <c r="U154" s="10"/>
      <c r="V154" s="4" t="s">
        <v>427</v>
      </c>
      <c r="W154" s="4"/>
      <c r="X154" s="8">
        <v>45107</v>
      </c>
      <c r="Y154" s="4"/>
      <c r="Z154" s="4"/>
      <c r="AA154" s="8">
        <v>45112</v>
      </c>
      <c r="AB154" s="8">
        <v>45112</v>
      </c>
      <c r="AC154" s="4"/>
      <c r="AD154" s="4"/>
    </row>
    <row r="155" spans="1:30" hidden="1">
      <c r="A155" s="4">
        <v>341</v>
      </c>
      <c r="B155" s="8">
        <v>45092</v>
      </c>
      <c r="C155" s="4"/>
      <c r="D155" s="4" t="s">
        <v>397</v>
      </c>
      <c r="E155" s="8">
        <v>45114</v>
      </c>
      <c r="F155" s="4" t="s">
        <v>43</v>
      </c>
      <c r="G155" s="16" t="s">
        <v>44</v>
      </c>
      <c r="H155" s="4" t="s">
        <v>45</v>
      </c>
      <c r="I155" s="4" t="s">
        <v>53</v>
      </c>
      <c r="J155" s="10">
        <v>0.45</v>
      </c>
      <c r="K155" s="10">
        <v>0.46</v>
      </c>
      <c r="L155" s="10">
        <f t="shared" si="27"/>
        <v>0</v>
      </c>
      <c r="M155" s="10">
        <f t="shared" si="28"/>
        <v>0</v>
      </c>
      <c r="N155" s="10"/>
      <c r="O155" s="10"/>
      <c r="P155" s="10">
        <v>0</v>
      </c>
      <c r="Q155" s="10"/>
      <c r="R155" s="10"/>
      <c r="S155" s="10"/>
      <c r="T155" s="10"/>
      <c r="U155" s="10"/>
      <c r="V155" s="4" t="s">
        <v>427</v>
      </c>
      <c r="W155" s="4"/>
      <c r="X155" s="8">
        <v>45097</v>
      </c>
      <c r="Y155" s="4"/>
      <c r="Z155" s="4"/>
      <c r="AA155" s="8">
        <v>45109</v>
      </c>
      <c r="AB155" s="8">
        <v>45109</v>
      </c>
      <c r="AC155" s="4"/>
      <c r="AD155" s="4"/>
    </row>
    <row r="156" spans="1:30" hidden="1">
      <c r="A156" s="4">
        <v>341</v>
      </c>
      <c r="B156" s="8">
        <v>45092</v>
      </c>
      <c r="C156" s="4"/>
      <c r="D156" s="4" t="s">
        <v>397</v>
      </c>
      <c r="E156" s="8">
        <v>45114</v>
      </c>
      <c r="F156" s="4" t="s">
        <v>43</v>
      </c>
      <c r="G156" s="16" t="s">
        <v>44</v>
      </c>
      <c r="H156" s="4" t="s">
        <v>45</v>
      </c>
      <c r="I156" s="4" t="s">
        <v>55</v>
      </c>
      <c r="J156" s="10">
        <v>0.16</v>
      </c>
      <c r="K156" s="10">
        <v>0.22700000000000001</v>
      </c>
      <c r="L156" s="10">
        <f t="shared" si="27"/>
        <v>0</v>
      </c>
      <c r="M156" s="10">
        <f t="shared" si="28"/>
        <v>0</v>
      </c>
      <c r="N156" s="10"/>
      <c r="O156" s="10"/>
      <c r="P156" s="10">
        <v>0</v>
      </c>
      <c r="Q156" s="10"/>
      <c r="R156" s="10"/>
      <c r="S156" s="10"/>
      <c r="T156" s="10"/>
      <c r="U156" s="10"/>
      <c r="V156" s="4" t="s">
        <v>427</v>
      </c>
      <c r="W156" s="4"/>
      <c r="X156" s="8">
        <v>45097</v>
      </c>
      <c r="Y156" s="4"/>
      <c r="Z156" s="4"/>
      <c r="AA156" s="8">
        <v>45109</v>
      </c>
      <c r="AB156" s="8">
        <v>45109</v>
      </c>
      <c r="AC156" s="4"/>
      <c r="AD156" s="4"/>
    </row>
    <row r="157" spans="1:30" hidden="1">
      <c r="A157" s="4">
        <v>341</v>
      </c>
      <c r="B157" s="8">
        <v>45092</v>
      </c>
      <c r="C157" s="4"/>
      <c r="D157" s="4" t="s">
        <v>397</v>
      </c>
      <c r="E157" s="8">
        <v>45114</v>
      </c>
      <c r="F157" s="4" t="s">
        <v>43</v>
      </c>
      <c r="G157" s="16" t="s">
        <v>44</v>
      </c>
      <c r="H157" s="4" t="s">
        <v>45</v>
      </c>
      <c r="I157" s="4" t="s">
        <v>435</v>
      </c>
      <c r="J157" s="10">
        <v>0.03</v>
      </c>
      <c r="K157" s="10">
        <v>4.2000000000000003E-2</v>
      </c>
      <c r="L157" s="10">
        <f t="shared" si="27"/>
        <v>0</v>
      </c>
      <c r="M157" s="10">
        <f t="shared" si="28"/>
        <v>0</v>
      </c>
      <c r="N157" s="10"/>
      <c r="O157" s="10"/>
      <c r="P157" s="10">
        <v>0</v>
      </c>
      <c r="Q157" s="10"/>
      <c r="R157" s="10"/>
      <c r="S157" s="10"/>
      <c r="T157" s="10"/>
      <c r="U157" s="10"/>
      <c r="V157" s="4" t="s">
        <v>427</v>
      </c>
      <c r="W157" s="4"/>
      <c r="X157" s="8">
        <v>45095</v>
      </c>
      <c r="Y157" s="4"/>
      <c r="Z157" s="4"/>
      <c r="AA157" s="8">
        <v>45120</v>
      </c>
      <c r="AB157" s="8">
        <v>45120</v>
      </c>
      <c r="AC157" s="4"/>
      <c r="AD157" s="4"/>
    </row>
    <row r="158" spans="1:30" hidden="1">
      <c r="A158" s="4">
        <v>341</v>
      </c>
      <c r="B158" s="8">
        <v>45092</v>
      </c>
      <c r="C158" s="4"/>
      <c r="D158" s="4" t="s">
        <v>397</v>
      </c>
      <c r="E158" s="8">
        <v>45114</v>
      </c>
      <c r="F158" s="4" t="s">
        <v>43</v>
      </c>
      <c r="G158" s="16" t="s">
        <v>44</v>
      </c>
      <c r="H158" s="4" t="s">
        <v>45</v>
      </c>
      <c r="I158" s="4" t="s">
        <v>432</v>
      </c>
      <c r="J158" s="10">
        <v>1.68</v>
      </c>
      <c r="K158" s="10">
        <f>1.262+0.412</f>
        <v>1.6739999999999999</v>
      </c>
      <c r="L158" s="10">
        <f t="shared" si="27"/>
        <v>0</v>
      </c>
      <c r="M158" s="10">
        <f t="shared" si="28"/>
        <v>0</v>
      </c>
      <c r="N158" s="10"/>
      <c r="O158" s="10"/>
      <c r="P158" s="10">
        <v>0</v>
      </c>
      <c r="Q158" s="10"/>
      <c r="R158" s="10"/>
      <c r="S158" s="10"/>
      <c r="T158" s="10"/>
      <c r="U158" s="10"/>
      <c r="V158" s="4" t="s">
        <v>427</v>
      </c>
      <c r="W158" s="4"/>
      <c r="X158" s="8">
        <v>45095</v>
      </c>
      <c r="Y158" s="4"/>
      <c r="Z158" s="4"/>
      <c r="AA158" s="8">
        <v>45108</v>
      </c>
      <c r="AB158" s="8">
        <v>45109</v>
      </c>
      <c r="AC158" s="4"/>
      <c r="AD158" s="4"/>
    </row>
    <row r="159" spans="1:30" hidden="1">
      <c r="A159" s="4">
        <v>341</v>
      </c>
      <c r="B159" s="8">
        <v>45092</v>
      </c>
      <c r="C159" s="4"/>
      <c r="D159" s="4" t="s">
        <v>397</v>
      </c>
      <c r="E159" s="8">
        <v>45114</v>
      </c>
      <c r="F159" s="4" t="s">
        <v>43</v>
      </c>
      <c r="G159" s="16" t="s">
        <v>44</v>
      </c>
      <c r="H159" s="4" t="s">
        <v>45</v>
      </c>
      <c r="I159" s="4" t="s">
        <v>434</v>
      </c>
      <c r="J159" s="10">
        <v>1.26</v>
      </c>
      <c r="K159" s="10">
        <v>1.409</v>
      </c>
      <c r="L159" s="10">
        <f t="shared" si="27"/>
        <v>0</v>
      </c>
      <c r="M159" s="10">
        <f t="shared" si="28"/>
        <v>0</v>
      </c>
      <c r="N159" s="10"/>
      <c r="O159" s="10">
        <v>0</v>
      </c>
      <c r="P159" s="10"/>
      <c r="Q159" s="10"/>
      <c r="R159" s="10"/>
      <c r="S159" s="10"/>
      <c r="T159" s="10"/>
      <c r="U159" s="10"/>
      <c r="V159" s="4" t="s">
        <v>427</v>
      </c>
      <c r="W159" s="4"/>
      <c r="X159" s="8">
        <v>45108</v>
      </c>
      <c r="Y159" s="4"/>
      <c r="Z159" s="4"/>
      <c r="AA159" s="8">
        <v>45112</v>
      </c>
      <c r="AB159" s="8">
        <v>45112</v>
      </c>
      <c r="AC159" s="4"/>
      <c r="AD159" s="4"/>
    </row>
    <row r="160" spans="1:30" hidden="1">
      <c r="A160" s="4">
        <v>341</v>
      </c>
      <c r="B160" s="8">
        <v>45092</v>
      </c>
      <c r="C160" s="4"/>
      <c r="D160" s="4" t="s">
        <v>397</v>
      </c>
      <c r="E160" s="8">
        <v>45114</v>
      </c>
      <c r="F160" s="4" t="s">
        <v>43</v>
      </c>
      <c r="G160" s="16" t="s">
        <v>44</v>
      </c>
      <c r="H160" s="4" t="s">
        <v>45</v>
      </c>
      <c r="I160" s="4" t="s">
        <v>89</v>
      </c>
      <c r="J160" s="10">
        <v>0.77</v>
      </c>
      <c r="K160" s="10">
        <v>0.76500000000000001</v>
      </c>
      <c r="L160" s="10">
        <f t="shared" si="27"/>
        <v>0</v>
      </c>
      <c r="M160" s="10">
        <f t="shared" si="28"/>
        <v>0</v>
      </c>
      <c r="N160" s="10"/>
      <c r="O160" s="10"/>
      <c r="P160" s="10">
        <v>0</v>
      </c>
      <c r="Q160" s="10"/>
      <c r="R160" s="10"/>
      <c r="S160" s="10"/>
      <c r="T160" s="10"/>
      <c r="U160" s="10"/>
      <c r="V160" s="4" t="s">
        <v>427</v>
      </c>
      <c r="W160" s="4"/>
      <c r="X160" s="8">
        <v>45099</v>
      </c>
      <c r="Y160" s="4"/>
      <c r="Z160" s="4"/>
      <c r="AA160" s="8">
        <v>45108</v>
      </c>
      <c r="AB160" s="8">
        <v>45108</v>
      </c>
      <c r="AC160" s="4"/>
      <c r="AD160" s="4"/>
    </row>
    <row r="161" spans="1:30" hidden="1">
      <c r="A161" s="4">
        <v>341</v>
      </c>
      <c r="B161" s="8">
        <v>45092</v>
      </c>
      <c r="C161" s="4"/>
      <c r="D161" s="4" t="s">
        <v>397</v>
      </c>
      <c r="E161" s="8">
        <v>45114</v>
      </c>
      <c r="F161" s="4" t="s">
        <v>43</v>
      </c>
      <c r="G161" s="16" t="s">
        <v>44</v>
      </c>
      <c r="H161" s="4" t="s">
        <v>45</v>
      </c>
      <c r="I161" s="4" t="s">
        <v>87</v>
      </c>
      <c r="J161" s="10">
        <v>0.56000000000000005</v>
      </c>
      <c r="K161" s="10">
        <v>0.57299999999999995</v>
      </c>
      <c r="L161" s="10">
        <f t="shared" si="27"/>
        <v>0</v>
      </c>
      <c r="M161" s="10">
        <f t="shared" si="28"/>
        <v>0</v>
      </c>
      <c r="N161" s="10"/>
      <c r="O161" s="10"/>
      <c r="P161" s="10"/>
      <c r="Q161" s="10"/>
      <c r="R161" s="10"/>
      <c r="S161" s="10">
        <v>0</v>
      </c>
      <c r="T161" s="10"/>
      <c r="U161" s="10"/>
      <c r="V161" s="4" t="s">
        <v>427</v>
      </c>
      <c r="W161" s="4" t="s">
        <v>521</v>
      </c>
      <c r="X161" s="8">
        <v>45099</v>
      </c>
      <c r="Y161" s="4"/>
      <c r="Z161" s="4"/>
      <c r="AA161" s="8">
        <v>45120</v>
      </c>
      <c r="AB161" s="8">
        <v>45120</v>
      </c>
      <c r="AC161" s="4"/>
      <c r="AD161" s="4"/>
    </row>
    <row r="162" spans="1:30" hidden="1">
      <c r="A162" s="4">
        <v>341</v>
      </c>
      <c r="B162" s="8">
        <v>45092</v>
      </c>
      <c r="C162" s="4"/>
      <c r="D162" s="4" t="s">
        <v>397</v>
      </c>
      <c r="E162" s="8">
        <v>45114</v>
      </c>
      <c r="F162" s="4" t="s">
        <v>43</v>
      </c>
      <c r="G162" s="16" t="s">
        <v>44</v>
      </c>
      <c r="H162" s="4" t="s">
        <v>45</v>
      </c>
      <c r="I162" s="4" t="s">
        <v>125</v>
      </c>
      <c r="J162" s="10">
        <v>0.85000000000000009</v>
      </c>
      <c r="K162" s="10">
        <v>1.002</v>
      </c>
      <c r="L162" s="10">
        <f t="shared" si="27"/>
        <v>0</v>
      </c>
      <c r="M162" s="10">
        <f t="shared" si="28"/>
        <v>0</v>
      </c>
      <c r="N162" s="10"/>
      <c r="O162" s="10"/>
      <c r="P162" s="10"/>
      <c r="Q162" s="10"/>
      <c r="R162" s="10"/>
      <c r="S162" s="10">
        <v>0</v>
      </c>
      <c r="T162" s="10"/>
      <c r="U162" s="10"/>
      <c r="V162" s="4" t="s">
        <v>427</v>
      </c>
      <c r="W162" s="4" t="s">
        <v>521</v>
      </c>
      <c r="X162" s="8">
        <v>45099</v>
      </c>
      <c r="Y162" s="4"/>
      <c r="Z162" s="4"/>
      <c r="AA162" s="8">
        <v>45120</v>
      </c>
      <c r="AB162" s="8">
        <v>45120</v>
      </c>
      <c r="AC162" s="4"/>
      <c r="AD162" s="4"/>
    </row>
    <row r="163" spans="1:30" hidden="1">
      <c r="A163" s="4">
        <v>341</v>
      </c>
      <c r="B163" s="8">
        <v>45092</v>
      </c>
      <c r="C163" s="4"/>
      <c r="D163" s="4" t="s">
        <v>397</v>
      </c>
      <c r="E163" s="8">
        <v>45114</v>
      </c>
      <c r="F163" s="4" t="s">
        <v>43</v>
      </c>
      <c r="G163" s="16" t="s">
        <v>51</v>
      </c>
      <c r="H163" s="4" t="s">
        <v>52</v>
      </c>
      <c r="I163" s="4" t="s">
        <v>54</v>
      </c>
      <c r="J163" s="10">
        <v>0.63431000000000004</v>
      </c>
      <c r="K163" s="10">
        <v>0.85</v>
      </c>
      <c r="L163" s="10">
        <f t="shared" ref="L163:L169" si="29">M163+U163</f>
        <v>0</v>
      </c>
      <c r="M163" s="10">
        <f t="shared" ref="M163:M169" si="30">SUM(N163:T163)</f>
        <v>0</v>
      </c>
      <c r="N163" s="10"/>
      <c r="O163" s="10"/>
      <c r="P163" s="10">
        <v>0</v>
      </c>
      <c r="Q163" s="10"/>
      <c r="R163" s="10"/>
      <c r="S163" s="10"/>
      <c r="T163" s="10"/>
      <c r="U163" s="10"/>
      <c r="V163" s="4" t="s">
        <v>427</v>
      </c>
      <c r="W163" s="4"/>
      <c r="X163" s="8">
        <v>45103</v>
      </c>
      <c r="Y163" s="4"/>
      <c r="Z163" s="4"/>
      <c r="AA163" s="8">
        <v>45122</v>
      </c>
      <c r="AB163" s="8">
        <v>45122</v>
      </c>
      <c r="AC163" s="4"/>
      <c r="AD163" s="4"/>
    </row>
    <row r="164" spans="1:30" hidden="1">
      <c r="A164" s="4">
        <v>341</v>
      </c>
      <c r="B164" s="8">
        <v>45092</v>
      </c>
      <c r="C164" s="4"/>
      <c r="D164" s="4" t="s">
        <v>42</v>
      </c>
      <c r="E164" s="8">
        <v>45114</v>
      </c>
      <c r="F164" s="4" t="s">
        <v>43</v>
      </c>
      <c r="G164" s="16" t="s">
        <v>51</v>
      </c>
      <c r="H164" s="4" t="s">
        <v>52</v>
      </c>
      <c r="I164" s="4" t="s">
        <v>56</v>
      </c>
      <c r="J164" s="10">
        <v>0.6974499999999999</v>
      </c>
      <c r="K164" s="10">
        <v>0.77300000000000002</v>
      </c>
      <c r="L164" s="10">
        <f t="shared" si="29"/>
        <v>0</v>
      </c>
      <c r="M164" s="10">
        <f t="shared" si="30"/>
        <v>0</v>
      </c>
      <c r="N164" s="10"/>
      <c r="O164" s="10"/>
      <c r="P164" s="10"/>
      <c r="Q164" s="10"/>
      <c r="R164" s="10"/>
      <c r="S164" s="10">
        <v>0</v>
      </c>
      <c r="T164" s="10"/>
      <c r="U164" s="10"/>
      <c r="V164" s="4" t="s">
        <v>427</v>
      </c>
      <c r="W164" s="4"/>
      <c r="X164" s="8">
        <v>45103</v>
      </c>
      <c r="Y164" s="4"/>
      <c r="Z164" s="4"/>
      <c r="AA164" s="8">
        <v>45109</v>
      </c>
      <c r="AB164" s="8">
        <v>45109</v>
      </c>
      <c r="AC164" s="4"/>
      <c r="AD164" s="4"/>
    </row>
    <row r="165" spans="1:30" hidden="1">
      <c r="A165" s="4">
        <v>341</v>
      </c>
      <c r="B165" s="8">
        <v>45092</v>
      </c>
      <c r="C165" s="4"/>
      <c r="D165" s="4" t="s">
        <v>42</v>
      </c>
      <c r="E165" s="8">
        <v>45114</v>
      </c>
      <c r="F165" s="4" t="s">
        <v>43</v>
      </c>
      <c r="G165" s="16" t="s">
        <v>51</v>
      </c>
      <c r="H165" s="4" t="s">
        <v>52</v>
      </c>
      <c r="I165" s="4" t="s">
        <v>48</v>
      </c>
      <c r="J165" s="10">
        <v>0.74156</v>
      </c>
      <c r="K165" s="10">
        <v>0.82199999999999995</v>
      </c>
      <c r="L165" s="10">
        <f t="shared" si="29"/>
        <v>0</v>
      </c>
      <c r="M165" s="10">
        <f t="shared" si="30"/>
        <v>0</v>
      </c>
      <c r="N165" s="10"/>
      <c r="O165" s="10"/>
      <c r="P165" s="10">
        <v>0</v>
      </c>
      <c r="Q165" s="10"/>
      <c r="R165" s="10"/>
      <c r="S165" s="10"/>
      <c r="T165" s="10"/>
      <c r="U165" s="10"/>
      <c r="V165" s="4" t="s">
        <v>427</v>
      </c>
      <c r="W165" s="4"/>
      <c r="X165" s="8">
        <v>45103</v>
      </c>
      <c r="Y165" s="4"/>
      <c r="Z165" s="4"/>
      <c r="AA165" s="8">
        <v>45108</v>
      </c>
      <c r="AB165" s="8">
        <v>45108</v>
      </c>
      <c r="AC165" s="4"/>
      <c r="AD165" s="4"/>
    </row>
    <row r="166" spans="1:30" hidden="1">
      <c r="A166" s="4">
        <v>341</v>
      </c>
      <c r="B166" s="8">
        <v>45092</v>
      </c>
      <c r="C166" s="4"/>
      <c r="D166" s="4" t="s">
        <v>42</v>
      </c>
      <c r="E166" s="8">
        <v>45114</v>
      </c>
      <c r="F166" s="4" t="s">
        <v>43</v>
      </c>
      <c r="G166" s="16" t="s">
        <v>51</v>
      </c>
      <c r="H166" s="4" t="s">
        <v>52</v>
      </c>
      <c r="I166" s="4" t="s">
        <v>53</v>
      </c>
      <c r="J166" s="10">
        <v>2.3541599999999998</v>
      </c>
      <c r="K166" s="10">
        <v>2.3559999999999999</v>
      </c>
      <c r="L166" s="10">
        <f t="shared" si="29"/>
        <v>0</v>
      </c>
      <c r="M166" s="10">
        <f t="shared" si="30"/>
        <v>0</v>
      </c>
      <c r="N166" s="10"/>
      <c r="O166" s="10">
        <v>0</v>
      </c>
      <c r="P166" s="10"/>
      <c r="Q166" s="10"/>
      <c r="R166" s="10"/>
      <c r="S166" s="10"/>
      <c r="T166" s="10"/>
      <c r="U166" s="10"/>
      <c r="V166" s="4" t="s">
        <v>427</v>
      </c>
      <c r="W166" s="4"/>
      <c r="X166" s="8">
        <v>45097</v>
      </c>
      <c r="Y166" s="4"/>
      <c r="Z166" s="4"/>
      <c r="AA166" s="8">
        <v>45099</v>
      </c>
      <c r="AB166" s="8">
        <v>45099</v>
      </c>
      <c r="AC166" s="4"/>
      <c r="AD166" s="4"/>
    </row>
    <row r="167" spans="1:30" hidden="1">
      <c r="A167" s="4">
        <v>341</v>
      </c>
      <c r="B167" s="8">
        <v>45092</v>
      </c>
      <c r="C167" s="4"/>
      <c r="D167" s="4" t="s">
        <v>42</v>
      </c>
      <c r="E167" s="8">
        <v>45114</v>
      </c>
      <c r="F167" s="4" t="s">
        <v>43</v>
      </c>
      <c r="G167" s="16" t="s">
        <v>51</v>
      </c>
      <c r="H167" s="4" t="s">
        <v>52</v>
      </c>
      <c r="I167" s="4" t="s">
        <v>435</v>
      </c>
      <c r="J167" s="10">
        <v>2.8911399999999996</v>
      </c>
      <c r="K167" s="10">
        <f>2.358+0.554</f>
        <v>2.9119999999999999</v>
      </c>
      <c r="L167" s="10">
        <f t="shared" si="29"/>
        <v>0</v>
      </c>
      <c r="M167" s="10">
        <f t="shared" si="30"/>
        <v>0</v>
      </c>
      <c r="N167" s="10"/>
      <c r="O167" s="10"/>
      <c r="P167" s="10">
        <v>0</v>
      </c>
      <c r="Q167" s="10"/>
      <c r="R167" s="10"/>
      <c r="S167" s="10"/>
      <c r="T167" s="10"/>
      <c r="U167" s="10"/>
      <c r="V167" s="4" t="s">
        <v>427</v>
      </c>
      <c r="W167" s="4"/>
      <c r="X167" s="8">
        <v>45096</v>
      </c>
      <c r="Y167" s="4"/>
      <c r="Z167" s="4"/>
      <c r="AA167" s="8">
        <v>45099</v>
      </c>
      <c r="AB167" s="8">
        <v>45112</v>
      </c>
      <c r="AC167" s="4"/>
      <c r="AD167" s="4"/>
    </row>
    <row r="168" spans="1:30" hidden="1">
      <c r="A168" s="4">
        <v>341</v>
      </c>
      <c r="B168" s="8">
        <v>45092</v>
      </c>
      <c r="C168" s="4"/>
      <c r="D168" s="4" t="s">
        <v>42</v>
      </c>
      <c r="E168" s="8">
        <v>45114</v>
      </c>
      <c r="F168" s="4" t="s">
        <v>43</v>
      </c>
      <c r="G168" s="16" t="s">
        <v>51</v>
      </c>
      <c r="H168" s="4" t="s">
        <v>52</v>
      </c>
      <c r="I168" s="4" t="s">
        <v>432</v>
      </c>
      <c r="J168" s="10">
        <v>2.7696900000000002</v>
      </c>
      <c r="K168" s="10">
        <v>2.7919999999999998</v>
      </c>
      <c r="L168" s="10">
        <f t="shared" si="29"/>
        <v>0</v>
      </c>
      <c r="M168" s="10">
        <f t="shared" si="30"/>
        <v>0</v>
      </c>
      <c r="N168" s="10"/>
      <c r="O168" s="10"/>
      <c r="P168" s="10">
        <v>0</v>
      </c>
      <c r="Q168" s="10"/>
      <c r="R168" s="10"/>
      <c r="S168" s="10"/>
      <c r="T168" s="10"/>
      <c r="U168" s="10"/>
      <c r="V168" s="4" t="s">
        <v>427</v>
      </c>
      <c r="W168" s="4"/>
      <c r="X168" s="8">
        <v>45096</v>
      </c>
      <c r="Y168" s="4"/>
      <c r="Z168" s="4"/>
      <c r="AA168" s="8">
        <v>45099</v>
      </c>
      <c r="AB168" s="8">
        <v>45099</v>
      </c>
      <c r="AC168" s="4"/>
      <c r="AD168" s="4"/>
    </row>
    <row r="169" spans="1:30" hidden="1">
      <c r="A169" s="4">
        <v>341</v>
      </c>
      <c r="B169" s="8">
        <v>45092</v>
      </c>
      <c r="C169" s="4"/>
      <c r="D169" s="4" t="s">
        <v>42</v>
      </c>
      <c r="E169" s="8">
        <v>45114</v>
      </c>
      <c r="F169" s="4" t="s">
        <v>43</v>
      </c>
      <c r="G169" s="16" t="s">
        <v>51</v>
      </c>
      <c r="H169" s="4" t="s">
        <v>52</v>
      </c>
      <c r="I169" s="4" t="s">
        <v>89</v>
      </c>
      <c r="J169" s="10">
        <v>2.66696</v>
      </c>
      <c r="K169" s="10">
        <v>2.9569999999999999</v>
      </c>
      <c r="L169" s="10">
        <f t="shared" si="29"/>
        <v>0</v>
      </c>
      <c r="M169" s="10">
        <f t="shared" si="30"/>
        <v>0</v>
      </c>
      <c r="N169" s="10"/>
      <c r="O169" s="10"/>
      <c r="P169" s="10"/>
      <c r="Q169" s="10"/>
      <c r="R169" s="10"/>
      <c r="S169" s="10">
        <v>0</v>
      </c>
      <c r="T169" s="10"/>
      <c r="U169" s="10"/>
      <c r="V169" s="4" t="s">
        <v>427</v>
      </c>
      <c r="W169" s="4" t="s">
        <v>521</v>
      </c>
      <c r="X169" s="8">
        <v>45099</v>
      </c>
      <c r="Y169" s="4"/>
      <c r="Z169" s="4"/>
      <c r="AA169" s="8">
        <v>45112</v>
      </c>
      <c r="AB169" s="8">
        <v>45112</v>
      </c>
      <c r="AC169" s="4"/>
      <c r="AD169" s="4"/>
    </row>
    <row r="170" spans="1:30" hidden="1">
      <c r="A170" s="4">
        <v>389</v>
      </c>
      <c r="B170" s="8">
        <v>45095</v>
      </c>
      <c r="C170" s="4"/>
      <c r="D170" s="4" t="s">
        <v>397</v>
      </c>
      <c r="E170" s="8">
        <v>45114</v>
      </c>
      <c r="F170" s="4" t="s">
        <v>43</v>
      </c>
      <c r="G170" s="15" t="s">
        <v>92</v>
      </c>
      <c r="H170" s="4" t="s">
        <v>52</v>
      </c>
      <c r="I170" s="4" t="s">
        <v>54</v>
      </c>
      <c r="J170" s="10">
        <v>6.11</v>
      </c>
      <c r="K170" s="10">
        <v>6.1120000000000001</v>
      </c>
      <c r="L170" s="10">
        <f t="shared" ref="L170:L173" si="31">M170+U170</f>
        <v>0</v>
      </c>
      <c r="M170" s="10">
        <f t="shared" ref="M170:M173" si="32">SUM(N170:T170)</f>
        <v>0</v>
      </c>
      <c r="N170" s="10"/>
      <c r="O170" s="10"/>
      <c r="P170" s="10">
        <v>0</v>
      </c>
      <c r="Q170" s="10"/>
      <c r="R170" s="10"/>
      <c r="S170" s="10"/>
      <c r="T170" s="10"/>
      <c r="U170" s="10"/>
      <c r="V170" s="4" t="s">
        <v>572</v>
      </c>
      <c r="W170" s="4"/>
      <c r="X170" s="8">
        <v>45103</v>
      </c>
      <c r="Y170" s="4"/>
      <c r="Z170" s="4"/>
      <c r="AA170" s="8">
        <v>45108</v>
      </c>
      <c r="AB170" s="8">
        <v>45108</v>
      </c>
      <c r="AC170" s="4"/>
      <c r="AD170" s="4"/>
    </row>
    <row r="171" spans="1:30" hidden="1">
      <c r="A171" s="4">
        <v>389</v>
      </c>
      <c r="B171" s="8">
        <v>45095</v>
      </c>
      <c r="C171" s="4"/>
      <c r="D171" s="4" t="s">
        <v>42</v>
      </c>
      <c r="E171" s="8">
        <v>45114</v>
      </c>
      <c r="F171" s="4" t="s">
        <v>43</v>
      </c>
      <c r="G171" s="15" t="s">
        <v>92</v>
      </c>
      <c r="H171" s="4" t="s">
        <v>52</v>
      </c>
      <c r="I171" s="4" t="s">
        <v>56</v>
      </c>
      <c r="J171" s="10">
        <v>1.1599999999999999</v>
      </c>
      <c r="K171" s="10">
        <v>1.1559999999999999</v>
      </c>
      <c r="L171" s="10">
        <f t="shared" si="31"/>
        <v>0</v>
      </c>
      <c r="M171" s="10">
        <f t="shared" si="32"/>
        <v>0</v>
      </c>
      <c r="N171" s="10"/>
      <c r="O171" s="10"/>
      <c r="P171" s="10"/>
      <c r="Q171" s="10"/>
      <c r="R171" s="10"/>
      <c r="S171" s="10">
        <v>0</v>
      </c>
      <c r="T171" s="10"/>
      <c r="U171" s="10"/>
      <c r="V171" s="4" t="s">
        <v>572</v>
      </c>
      <c r="W171" s="4"/>
      <c r="X171" s="8">
        <v>45103</v>
      </c>
      <c r="Y171" s="4"/>
      <c r="Z171" s="4"/>
      <c r="AA171" s="8">
        <v>45109</v>
      </c>
      <c r="AB171" s="8">
        <v>45109</v>
      </c>
      <c r="AC171" s="4"/>
      <c r="AD171" s="4"/>
    </row>
    <row r="172" spans="1:30" hidden="1">
      <c r="A172" s="4">
        <v>389</v>
      </c>
      <c r="B172" s="8">
        <v>45095</v>
      </c>
      <c r="C172" s="4"/>
      <c r="D172" s="4" t="s">
        <v>42</v>
      </c>
      <c r="E172" s="8">
        <v>45114</v>
      </c>
      <c r="F172" s="4" t="s">
        <v>43</v>
      </c>
      <c r="G172" s="15" t="s">
        <v>92</v>
      </c>
      <c r="H172" s="4" t="s">
        <v>52</v>
      </c>
      <c r="I172" s="4" t="s">
        <v>48</v>
      </c>
      <c r="J172" s="10">
        <v>1.61</v>
      </c>
      <c r="K172" s="10">
        <v>1.72</v>
      </c>
      <c r="L172" s="10">
        <f t="shared" si="31"/>
        <v>0</v>
      </c>
      <c r="M172" s="10">
        <f t="shared" si="32"/>
        <v>0</v>
      </c>
      <c r="N172" s="10"/>
      <c r="O172" s="10"/>
      <c r="P172" s="10">
        <v>0</v>
      </c>
      <c r="Q172" s="10"/>
      <c r="R172" s="10"/>
      <c r="S172" s="10">
        <v>0</v>
      </c>
      <c r="T172" s="10"/>
      <c r="U172" s="10"/>
      <c r="V172" s="4" t="s">
        <v>572</v>
      </c>
      <c r="W172" s="4"/>
      <c r="X172" s="8">
        <v>45103</v>
      </c>
      <c r="Y172" s="4"/>
      <c r="Z172" s="4"/>
      <c r="AA172" s="8">
        <v>45110</v>
      </c>
      <c r="AB172" s="8"/>
      <c r="AC172" s="4"/>
      <c r="AD172" s="4"/>
    </row>
    <row r="173" spans="1:30" hidden="1">
      <c r="A173" s="4">
        <v>389</v>
      </c>
      <c r="B173" s="8">
        <v>45095</v>
      </c>
      <c r="C173" s="4"/>
      <c r="D173" s="4" t="s">
        <v>397</v>
      </c>
      <c r="E173" s="8">
        <v>45114</v>
      </c>
      <c r="F173" s="4" t="s">
        <v>43</v>
      </c>
      <c r="G173" s="15" t="s">
        <v>92</v>
      </c>
      <c r="H173" s="4" t="s">
        <v>52</v>
      </c>
      <c r="I173" s="4" t="s">
        <v>89</v>
      </c>
      <c r="J173" s="10">
        <v>5.48</v>
      </c>
      <c r="K173" s="10">
        <f>2.988+2.49</f>
        <v>5.4779999999999998</v>
      </c>
      <c r="L173" s="10">
        <f t="shared" si="31"/>
        <v>0</v>
      </c>
      <c r="M173" s="10">
        <f t="shared" si="32"/>
        <v>0</v>
      </c>
      <c r="N173" s="10"/>
      <c r="O173" s="10"/>
      <c r="P173" s="10">
        <v>0</v>
      </c>
      <c r="Q173" s="10"/>
      <c r="R173" s="10"/>
      <c r="S173" s="10"/>
      <c r="T173" s="10"/>
      <c r="U173" s="10"/>
      <c r="V173" s="4" t="s">
        <v>572</v>
      </c>
      <c r="W173" s="4"/>
      <c r="X173" s="8">
        <v>45099</v>
      </c>
      <c r="Y173" s="4"/>
      <c r="Z173" s="4"/>
      <c r="AA173" s="8">
        <v>45109</v>
      </c>
      <c r="AB173" s="8">
        <v>45110</v>
      </c>
      <c r="AC173" s="4"/>
      <c r="AD173" s="4"/>
    </row>
    <row r="174" spans="1:30" hidden="1">
      <c r="A174" s="4">
        <v>388</v>
      </c>
      <c r="B174" s="8">
        <v>45095</v>
      </c>
      <c r="C174" s="4"/>
      <c r="D174" s="4" t="s">
        <v>397</v>
      </c>
      <c r="E174" s="8">
        <v>45114</v>
      </c>
      <c r="F174" s="4" t="s">
        <v>43</v>
      </c>
      <c r="G174" s="16" t="s">
        <v>44</v>
      </c>
      <c r="H174" s="4" t="s">
        <v>45</v>
      </c>
      <c r="I174" s="4" t="s">
        <v>54</v>
      </c>
      <c r="J174" s="10">
        <v>3.56</v>
      </c>
      <c r="K174" s="10">
        <v>3.556</v>
      </c>
      <c r="L174" s="10">
        <f t="shared" ref="L174:L191" si="33">M174+U174</f>
        <v>0</v>
      </c>
      <c r="M174" s="10">
        <f t="shared" ref="M174:M191" si="34">SUM(N174:T174)</f>
        <v>0</v>
      </c>
      <c r="N174" s="10"/>
      <c r="O174" s="10"/>
      <c r="P174" s="10">
        <v>0</v>
      </c>
      <c r="Q174" s="10"/>
      <c r="R174" s="10"/>
      <c r="S174" s="10"/>
      <c r="T174" s="10"/>
      <c r="U174" s="10"/>
      <c r="V174" s="4" t="s">
        <v>466</v>
      </c>
      <c r="W174" s="4"/>
      <c r="X174" s="8">
        <v>45103</v>
      </c>
      <c r="Y174" s="4"/>
      <c r="Z174" s="4"/>
      <c r="AA174" s="8">
        <v>45108</v>
      </c>
      <c r="AB174" s="8">
        <v>45108</v>
      </c>
      <c r="AC174" s="4"/>
      <c r="AD174" s="4"/>
    </row>
    <row r="175" spans="1:30" hidden="1">
      <c r="A175" s="4">
        <v>388</v>
      </c>
      <c r="B175" s="8">
        <v>45095</v>
      </c>
      <c r="C175" s="4"/>
      <c r="D175" s="4" t="s">
        <v>397</v>
      </c>
      <c r="E175" s="8">
        <v>45114</v>
      </c>
      <c r="F175" s="4" t="s">
        <v>43</v>
      </c>
      <c r="G175" s="16" t="s">
        <v>44</v>
      </c>
      <c r="H175" s="4" t="s">
        <v>45</v>
      </c>
      <c r="I175" s="4" t="s">
        <v>56</v>
      </c>
      <c r="J175" s="10">
        <v>3.61</v>
      </c>
      <c r="K175" s="10">
        <f>2.575+1.03</f>
        <v>3.6050000000000004</v>
      </c>
      <c r="L175" s="10">
        <f t="shared" si="33"/>
        <v>0</v>
      </c>
      <c r="M175" s="10">
        <f t="shared" si="34"/>
        <v>0</v>
      </c>
      <c r="N175" s="10"/>
      <c r="O175" s="10"/>
      <c r="P175" s="10">
        <v>0</v>
      </c>
      <c r="Q175" s="10"/>
      <c r="R175" s="10"/>
      <c r="S175" s="10"/>
      <c r="T175" s="10"/>
      <c r="U175" s="10"/>
      <c r="V175" s="4" t="s">
        <v>466</v>
      </c>
      <c r="W175" s="4"/>
      <c r="X175" s="8">
        <v>45103</v>
      </c>
      <c r="Y175" s="4"/>
      <c r="Z175" s="4"/>
      <c r="AA175" s="8">
        <v>45108</v>
      </c>
      <c r="AB175" s="8">
        <v>45109</v>
      </c>
      <c r="AC175" s="4"/>
      <c r="AD175" s="4"/>
    </row>
    <row r="176" spans="1:30" hidden="1">
      <c r="A176" s="4">
        <v>388</v>
      </c>
      <c r="B176" s="8">
        <v>45095</v>
      </c>
      <c r="C176" s="4"/>
      <c r="D176" s="4" t="s">
        <v>397</v>
      </c>
      <c r="E176" s="8">
        <v>45114</v>
      </c>
      <c r="F176" s="4" t="s">
        <v>43</v>
      </c>
      <c r="G176" s="16" t="s">
        <v>44</v>
      </c>
      <c r="H176" s="4" t="s">
        <v>45</v>
      </c>
      <c r="I176" s="4" t="s">
        <v>48</v>
      </c>
      <c r="J176" s="10">
        <v>1.46</v>
      </c>
      <c r="K176" s="10">
        <v>1.462</v>
      </c>
      <c r="L176" s="10">
        <f t="shared" si="33"/>
        <v>0</v>
      </c>
      <c r="M176" s="10">
        <f t="shared" si="34"/>
        <v>0</v>
      </c>
      <c r="N176" s="10"/>
      <c r="O176" s="10"/>
      <c r="P176" s="10">
        <v>0</v>
      </c>
      <c r="Q176" s="10"/>
      <c r="R176" s="10"/>
      <c r="S176" s="10"/>
      <c r="T176" s="10"/>
      <c r="U176" s="10"/>
      <c r="V176" s="4" t="s">
        <v>466</v>
      </c>
      <c r="W176" s="4"/>
      <c r="X176" s="8">
        <v>45102</v>
      </c>
      <c r="Y176" s="4"/>
      <c r="Z176" s="4"/>
      <c r="AA176" s="8">
        <v>45109</v>
      </c>
      <c r="AB176" s="8">
        <v>45109</v>
      </c>
      <c r="AC176" s="4"/>
      <c r="AD176" s="4"/>
    </row>
    <row r="177" spans="1:30" hidden="1">
      <c r="A177" s="4">
        <v>388</v>
      </c>
      <c r="B177" s="8">
        <v>45095</v>
      </c>
      <c r="C177" s="4"/>
      <c r="D177" s="4" t="s">
        <v>397</v>
      </c>
      <c r="E177" s="8">
        <v>45114</v>
      </c>
      <c r="F177" s="4" t="s">
        <v>43</v>
      </c>
      <c r="G177" s="16" t="s">
        <v>44</v>
      </c>
      <c r="H177" s="4" t="s">
        <v>45</v>
      </c>
      <c r="I177" s="4" t="s">
        <v>405</v>
      </c>
      <c r="J177" s="10">
        <v>1.22</v>
      </c>
      <c r="K177" s="10">
        <v>1.5369999999999999</v>
      </c>
      <c r="L177" s="10">
        <f t="shared" si="33"/>
        <v>0</v>
      </c>
      <c r="M177" s="10">
        <f t="shared" si="34"/>
        <v>0</v>
      </c>
      <c r="N177" s="10"/>
      <c r="O177" s="10"/>
      <c r="P177" s="10"/>
      <c r="Q177" s="10"/>
      <c r="R177" s="10"/>
      <c r="S177" s="10">
        <v>0</v>
      </c>
      <c r="T177" s="10"/>
      <c r="U177" s="10"/>
      <c r="V177" s="4" t="s">
        <v>466</v>
      </c>
      <c r="W177" s="4" t="s">
        <v>521</v>
      </c>
      <c r="X177" s="8">
        <v>45100</v>
      </c>
      <c r="Y177" s="4"/>
      <c r="Z177" s="4"/>
      <c r="AA177" s="8">
        <v>45120</v>
      </c>
      <c r="AB177" s="8">
        <v>45120</v>
      </c>
      <c r="AC177" s="4"/>
      <c r="AD177" s="4"/>
    </row>
    <row r="178" spans="1:30" hidden="1">
      <c r="A178" s="4">
        <v>388</v>
      </c>
      <c r="B178" s="8">
        <v>45095</v>
      </c>
      <c r="C178" s="4"/>
      <c r="D178" s="4" t="s">
        <v>397</v>
      </c>
      <c r="E178" s="8">
        <v>45114</v>
      </c>
      <c r="F178" s="4" t="s">
        <v>43</v>
      </c>
      <c r="G178" s="16" t="s">
        <v>44</v>
      </c>
      <c r="H178" s="4" t="s">
        <v>45</v>
      </c>
      <c r="I178" s="4" t="s">
        <v>400</v>
      </c>
      <c r="J178" s="10">
        <v>4.25</v>
      </c>
      <c r="K178" s="10">
        <f>2.407+1.989</f>
        <v>4.3959999999999999</v>
      </c>
      <c r="L178" s="10">
        <f t="shared" si="33"/>
        <v>0</v>
      </c>
      <c r="M178" s="10">
        <f t="shared" si="34"/>
        <v>0</v>
      </c>
      <c r="N178" s="10"/>
      <c r="O178" s="10"/>
      <c r="P178" s="10">
        <v>0</v>
      </c>
      <c r="Q178" s="10"/>
      <c r="R178" s="10"/>
      <c r="S178" s="10"/>
      <c r="T178" s="10"/>
      <c r="U178" s="10"/>
      <c r="V178" s="4" t="s">
        <v>466</v>
      </c>
      <c r="W178" s="4"/>
      <c r="X178" s="8">
        <v>45100</v>
      </c>
      <c r="Y178" s="4"/>
      <c r="Z178" s="4"/>
      <c r="AA178" s="8">
        <v>45108</v>
      </c>
      <c r="AB178" s="8">
        <v>45109</v>
      </c>
      <c r="AC178" s="4"/>
      <c r="AD178" s="4"/>
    </row>
    <row r="179" spans="1:30" hidden="1">
      <c r="A179" s="4">
        <v>388</v>
      </c>
      <c r="B179" s="8">
        <v>45095</v>
      </c>
      <c r="C179" s="4"/>
      <c r="D179" s="4" t="s">
        <v>397</v>
      </c>
      <c r="E179" s="8">
        <v>45114</v>
      </c>
      <c r="F179" s="4" t="s">
        <v>43</v>
      </c>
      <c r="G179" s="16" t="s">
        <v>44</v>
      </c>
      <c r="H179" s="4" t="s">
        <v>45</v>
      </c>
      <c r="I179" s="4" t="s">
        <v>46</v>
      </c>
      <c r="J179" s="10">
        <v>3.22</v>
      </c>
      <c r="K179" s="10">
        <v>3.419</v>
      </c>
      <c r="L179" s="10">
        <f t="shared" si="33"/>
        <v>0</v>
      </c>
      <c r="M179" s="10">
        <f t="shared" si="34"/>
        <v>0</v>
      </c>
      <c r="N179" s="10"/>
      <c r="O179" s="10"/>
      <c r="P179" s="10">
        <v>0</v>
      </c>
      <c r="Q179" s="10"/>
      <c r="R179" s="10"/>
      <c r="S179" s="10"/>
      <c r="T179" s="10"/>
      <c r="U179" s="10"/>
      <c r="V179" s="4" t="s">
        <v>466</v>
      </c>
      <c r="W179" s="4"/>
      <c r="X179" s="8">
        <v>45101</v>
      </c>
      <c r="Y179" s="4"/>
      <c r="Z179" s="4"/>
      <c r="AA179" s="8">
        <v>45112</v>
      </c>
      <c r="AB179" s="8">
        <v>45112</v>
      </c>
      <c r="AC179" s="4"/>
      <c r="AD179" s="4"/>
    </row>
    <row r="180" spans="1:30" hidden="1">
      <c r="A180" s="4">
        <v>388</v>
      </c>
      <c r="B180" s="8">
        <v>45095</v>
      </c>
      <c r="C180" s="4"/>
      <c r="D180" s="4" t="s">
        <v>397</v>
      </c>
      <c r="E180" s="8">
        <v>45114</v>
      </c>
      <c r="F180" s="4" t="s">
        <v>43</v>
      </c>
      <c r="G180" s="16" t="s">
        <v>44</v>
      </c>
      <c r="H180" s="4" t="s">
        <v>45</v>
      </c>
      <c r="I180" s="4" t="s">
        <v>50</v>
      </c>
      <c r="J180" s="10">
        <v>1.41</v>
      </c>
      <c r="K180" s="10">
        <v>1.407</v>
      </c>
      <c r="L180" s="10">
        <f t="shared" si="33"/>
        <v>0</v>
      </c>
      <c r="M180" s="10">
        <f t="shared" si="34"/>
        <v>0</v>
      </c>
      <c r="N180" s="10"/>
      <c r="O180" s="10">
        <v>0</v>
      </c>
      <c r="P180" s="10"/>
      <c r="Q180" s="10"/>
      <c r="R180" s="10"/>
      <c r="S180" s="10"/>
      <c r="T180" s="10"/>
      <c r="U180" s="10"/>
      <c r="V180" s="4" t="s">
        <v>466</v>
      </c>
      <c r="W180" s="4"/>
      <c r="X180" s="8">
        <v>45106</v>
      </c>
      <c r="Y180" s="4"/>
      <c r="Z180" s="4"/>
      <c r="AA180" s="8">
        <v>45112</v>
      </c>
      <c r="AB180" s="8">
        <v>45112</v>
      </c>
      <c r="AC180" s="4"/>
      <c r="AD180" s="4"/>
    </row>
    <row r="181" spans="1:30" hidden="1">
      <c r="A181" s="4">
        <v>388</v>
      </c>
      <c r="B181" s="8">
        <v>45095</v>
      </c>
      <c r="C181" s="4"/>
      <c r="D181" s="4" t="s">
        <v>397</v>
      </c>
      <c r="E181" s="8">
        <v>45114</v>
      </c>
      <c r="F181" s="4" t="s">
        <v>43</v>
      </c>
      <c r="G181" s="16" t="s">
        <v>44</v>
      </c>
      <c r="H181" s="4" t="s">
        <v>45</v>
      </c>
      <c r="I181" s="4" t="s">
        <v>588</v>
      </c>
      <c r="J181" s="10">
        <v>3.96</v>
      </c>
      <c r="K181" s="10">
        <f>3.564+0.574</f>
        <v>4.1379999999999999</v>
      </c>
      <c r="L181" s="10">
        <f t="shared" si="33"/>
        <v>0</v>
      </c>
      <c r="M181" s="10">
        <f t="shared" si="34"/>
        <v>0</v>
      </c>
      <c r="N181" s="10"/>
      <c r="O181" s="10"/>
      <c r="P181" s="10">
        <v>0</v>
      </c>
      <c r="Q181" s="10"/>
      <c r="R181" s="10"/>
      <c r="S181" s="10"/>
      <c r="T181" s="10"/>
      <c r="U181" s="10"/>
      <c r="V181" s="4" t="s">
        <v>466</v>
      </c>
      <c r="W181" s="4"/>
      <c r="X181" s="8">
        <v>45106</v>
      </c>
      <c r="Y181" s="4"/>
      <c r="Z181" s="4"/>
      <c r="AA181" s="8">
        <v>45120</v>
      </c>
      <c r="AB181" s="8">
        <v>45120</v>
      </c>
      <c r="AC181" s="4"/>
      <c r="AD181" s="4"/>
    </row>
    <row r="182" spans="1:30" hidden="1">
      <c r="A182" s="4">
        <v>388</v>
      </c>
      <c r="B182" s="8">
        <v>45095</v>
      </c>
      <c r="C182" s="4"/>
      <c r="D182" s="4" t="s">
        <v>397</v>
      </c>
      <c r="E182" s="8">
        <v>45114</v>
      </c>
      <c r="F182" s="4" t="s">
        <v>43</v>
      </c>
      <c r="G182" s="16" t="s">
        <v>44</v>
      </c>
      <c r="H182" s="4" t="s">
        <v>45</v>
      </c>
      <c r="I182" s="4" t="s">
        <v>407</v>
      </c>
      <c r="J182" s="10">
        <v>2.37</v>
      </c>
      <c r="K182" s="10">
        <v>2.3660000000000001</v>
      </c>
      <c r="L182" s="10">
        <f t="shared" si="33"/>
        <v>0</v>
      </c>
      <c r="M182" s="10">
        <f t="shared" si="34"/>
        <v>0</v>
      </c>
      <c r="N182" s="10"/>
      <c r="O182" s="10"/>
      <c r="P182" s="10">
        <v>0</v>
      </c>
      <c r="Q182" s="10"/>
      <c r="R182" s="10"/>
      <c r="S182" s="10"/>
      <c r="T182" s="10"/>
      <c r="U182" s="10"/>
      <c r="V182" s="4" t="s">
        <v>466</v>
      </c>
      <c r="W182" s="4"/>
      <c r="X182" s="8">
        <v>45107</v>
      </c>
      <c r="Y182" s="4"/>
      <c r="Z182" s="4"/>
      <c r="AA182" s="8">
        <v>45113</v>
      </c>
      <c r="AB182" s="8">
        <v>45113</v>
      </c>
      <c r="AC182" s="4"/>
      <c r="AD182" s="4"/>
    </row>
    <row r="183" spans="1:30" hidden="1">
      <c r="A183" s="4">
        <v>388</v>
      </c>
      <c r="B183" s="8">
        <v>45095</v>
      </c>
      <c r="C183" s="4"/>
      <c r="D183" s="4" t="s">
        <v>397</v>
      </c>
      <c r="E183" s="8">
        <v>45114</v>
      </c>
      <c r="F183" s="4" t="s">
        <v>43</v>
      </c>
      <c r="G183" s="16" t="s">
        <v>44</v>
      </c>
      <c r="H183" s="4" t="s">
        <v>45</v>
      </c>
      <c r="I183" s="4" t="s">
        <v>409</v>
      </c>
      <c r="J183" s="10">
        <v>0.56000000000000005</v>
      </c>
      <c r="K183" s="10">
        <v>0.77800000000000002</v>
      </c>
      <c r="L183" s="10">
        <f t="shared" si="33"/>
        <v>0</v>
      </c>
      <c r="M183" s="10">
        <f t="shared" si="34"/>
        <v>0</v>
      </c>
      <c r="N183" s="10"/>
      <c r="O183" s="10"/>
      <c r="P183" s="10"/>
      <c r="Q183" s="10"/>
      <c r="R183" s="10"/>
      <c r="S183" s="10">
        <v>0</v>
      </c>
      <c r="T183" s="10"/>
      <c r="U183" s="10"/>
      <c r="V183" s="4" t="s">
        <v>466</v>
      </c>
      <c r="W183" s="4" t="s">
        <v>521</v>
      </c>
      <c r="X183" s="8">
        <v>45107</v>
      </c>
      <c r="Y183" s="4"/>
      <c r="Z183" s="4"/>
      <c r="AA183" s="8">
        <v>45120</v>
      </c>
      <c r="AB183" s="8">
        <v>45120</v>
      </c>
      <c r="AC183" s="4"/>
      <c r="AD183" s="4"/>
    </row>
    <row r="184" spans="1:30" hidden="1">
      <c r="A184" s="4">
        <v>388</v>
      </c>
      <c r="B184" s="8">
        <v>45095</v>
      </c>
      <c r="C184" s="4"/>
      <c r="D184" s="4" t="s">
        <v>397</v>
      </c>
      <c r="E184" s="8">
        <v>45114</v>
      </c>
      <c r="F184" s="4" t="s">
        <v>43</v>
      </c>
      <c r="G184" s="16" t="s">
        <v>44</v>
      </c>
      <c r="H184" s="4" t="s">
        <v>45</v>
      </c>
      <c r="I184" s="4" t="s">
        <v>47</v>
      </c>
      <c r="J184" s="10">
        <v>1.28</v>
      </c>
      <c r="K184" s="10">
        <v>1.3660000000000001</v>
      </c>
      <c r="L184" s="10">
        <f t="shared" si="33"/>
        <v>0</v>
      </c>
      <c r="M184" s="10">
        <f t="shared" si="34"/>
        <v>0</v>
      </c>
      <c r="N184" s="10"/>
      <c r="O184" s="10"/>
      <c r="P184" s="10"/>
      <c r="Q184" s="10"/>
      <c r="R184" s="10"/>
      <c r="S184" s="10">
        <v>0</v>
      </c>
      <c r="T184" s="10"/>
      <c r="U184" s="10"/>
      <c r="V184" s="4" t="s">
        <v>466</v>
      </c>
      <c r="W184" s="4" t="s">
        <v>521</v>
      </c>
      <c r="X184" s="8">
        <v>45107</v>
      </c>
      <c r="Y184" s="4"/>
      <c r="Z184" s="4"/>
      <c r="AA184" s="8">
        <v>45122</v>
      </c>
      <c r="AB184" s="8">
        <v>45122</v>
      </c>
      <c r="AC184" s="4"/>
      <c r="AD184" s="4"/>
    </row>
    <row r="185" spans="1:30" hidden="1">
      <c r="A185" s="4">
        <v>388</v>
      </c>
      <c r="B185" s="8">
        <v>45095</v>
      </c>
      <c r="C185" s="4"/>
      <c r="D185" s="4" t="s">
        <v>397</v>
      </c>
      <c r="E185" s="8">
        <v>45114</v>
      </c>
      <c r="F185" s="4" t="s">
        <v>43</v>
      </c>
      <c r="G185" s="16" t="s">
        <v>44</v>
      </c>
      <c r="H185" s="4" t="s">
        <v>45</v>
      </c>
      <c r="I185" s="4" t="s">
        <v>474</v>
      </c>
      <c r="J185" s="10">
        <v>3.26</v>
      </c>
      <c r="K185" s="10">
        <v>3.258</v>
      </c>
      <c r="L185" s="10">
        <f t="shared" si="33"/>
        <v>0</v>
      </c>
      <c r="M185" s="10">
        <f t="shared" si="34"/>
        <v>0</v>
      </c>
      <c r="N185" s="10"/>
      <c r="O185" s="10"/>
      <c r="P185" s="10"/>
      <c r="Q185" s="10"/>
      <c r="R185" s="10"/>
      <c r="S185" s="10"/>
      <c r="T185" s="10"/>
      <c r="U185" s="10"/>
      <c r="V185" s="4" t="s">
        <v>466</v>
      </c>
      <c r="W185" s="4"/>
      <c r="X185" s="8">
        <v>45108</v>
      </c>
      <c r="Y185" s="4"/>
      <c r="Z185" s="4"/>
      <c r="AA185" s="8">
        <v>45112</v>
      </c>
      <c r="AB185" s="8">
        <v>45112</v>
      </c>
      <c r="AC185" s="4"/>
      <c r="AD185" s="4"/>
    </row>
    <row r="186" spans="1:30" hidden="1">
      <c r="A186" s="4">
        <v>388</v>
      </c>
      <c r="B186" s="8">
        <v>45095</v>
      </c>
      <c r="C186" s="4"/>
      <c r="D186" s="4" t="s">
        <v>397</v>
      </c>
      <c r="E186" s="8">
        <v>45114</v>
      </c>
      <c r="F186" s="4" t="s">
        <v>43</v>
      </c>
      <c r="G186" s="16" t="s">
        <v>44</v>
      </c>
      <c r="H186" s="4" t="s">
        <v>45</v>
      </c>
      <c r="I186" s="4" t="s">
        <v>434</v>
      </c>
      <c r="J186" s="10">
        <v>6.18</v>
      </c>
      <c r="K186" s="10">
        <v>6.1820000000000004</v>
      </c>
      <c r="L186" s="10">
        <f t="shared" si="33"/>
        <v>0</v>
      </c>
      <c r="M186" s="10">
        <f t="shared" si="34"/>
        <v>0</v>
      </c>
      <c r="N186" s="10"/>
      <c r="O186" s="10">
        <v>0</v>
      </c>
      <c r="P186" s="10"/>
      <c r="Q186" s="10"/>
      <c r="R186" s="10"/>
      <c r="S186" s="10"/>
      <c r="T186" s="10"/>
      <c r="U186" s="10"/>
      <c r="V186" s="4" t="s">
        <v>466</v>
      </c>
      <c r="W186" s="4"/>
      <c r="X186" s="8">
        <v>45108</v>
      </c>
      <c r="Y186" s="4"/>
      <c r="Z186" s="4"/>
      <c r="AA186" s="8">
        <v>45112</v>
      </c>
      <c r="AB186" s="8">
        <v>45112</v>
      </c>
      <c r="AC186" s="4"/>
      <c r="AD186" s="4"/>
    </row>
    <row r="187" spans="1:30" hidden="1">
      <c r="A187" s="4">
        <v>388</v>
      </c>
      <c r="B187" s="8">
        <v>45095</v>
      </c>
      <c r="C187" s="4"/>
      <c r="D187" s="4" t="s">
        <v>397</v>
      </c>
      <c r="E187" s="8">
        <v>45114</v>
      </c>
      <c r="F187" s="4" t="s">
        <v>43</v>
      </c>
      <c r="G187" s="16" t="s">
        <v>44</v>
      </c>
      <c r="H187" s="4" t="s">
        <v>45</v>
      </c>
      <c r="I187" s="4" t="s">
        <v>577</v>
      </c>
      <c r="J187" s="10">
        <v>3.18</v>
      </c>
      <c r="K187" s="10">
        <f>2.994+0.251</f>
        <v>3.2450000000000001</v>
      </c>
      <c r="L187" s="10">
        <f t="shared" si="33"/>
        <v>0</v>
      </c>
      <c r="M187" s="10">
        <f t="shared" si="34"/>
        <v>0</v>
      </c>
      <c r="N187" s="10"/>
      <c r="O187" s="10"/>
      <c r="P187" s="10">
        <v>0</v>
      </c>
      <c r="Q187" s="10"/>
      <c r="R187" s="10"/>
      <c r="S187" s="10"/>
      <c r="T187" s="10"/>
      <c r="U187" s="10"/>
      <c r="V187" s="4" t="s">
        <v>466</v>
      </c>
      <c r="W187" s="4"/>
      <c r="X187" s="8">
        <v>45099</v>
      </c>
      <c r="Y187" s="4"/>
      <c r="Z187" s="4"/>
      <c r="AA187" s="8">
        <v>45120</v>
      </c>
      <c r="AB187" s="8">
        <v>45120</v>
      </c>
      <c r="AC187" s="4"/>
      <c r="AD187" s="4"/>
    </row>
    <row r="188" spans="1:30" hidden="1">
      <c r="A188" s="4">
        <v>388</v>
      </c>
      <c r="B188" s="8">
        <v>45095</v>
      </c>
      <c r="C188" s="4"/>
      <c r="D188" s="4" t="s">
        <v>397</v>
      </c>
      <c r="E188" s="8">
        <v>45114</v>
      </c>
      <c r="F188" s="4" t="s">
        <v>43</v>
      </c>
      <c r="G188" s="16" t="s">
        <v>44</v>
      </c>
      <c r="H188" s="4" t="s">
        <v>45</v>
      </c>
      <c r="I188" s="4" t="s">
        <v>89</v>
      </c>
      <c r="J188" s="10">
        <v>5.79</v>
      </c>
      <c r="K188" s="10">
        <v>5.7910000000000004</v>
      </c>
      <c r="L188" s="10">
        <f t="shared" si="33"/>
        <v>0</v>
      </c>
      <c r="M188" s="10">
        <f t="shared" si="34"/>
        <v>0</v>
      </c>
      <c r="N188" s="10"/>
      <c r="O188" s="10"/>
      <c r="P188" s="10">
        <v>0</v>
      </c>
      <c r="Q188" s="10"/>
      <c r="R188" s="10"/>
      <c r="S188" s="10"/>
      <c r="T188" s="10"/>
      <c r="U188" s="10"/>
      <c r="V188" s="4" t="s">
        <v>466</v>
      </c>
      <c r="W188" s="4"/>
      <c r="X188" s="8">
        <v>45099</v>
      </c>
      <c r="Y188" s="4"/>
      <c r="Z188" s="4"/>
      <c r="AA188" s="8">
        <v>45108</v>
      </c>
      <c r="AB188" s="8">
        <v>45108</v>
      </c>
      <c r="AC188" s="4"/>
      <c r="AD188" s="4"/>
    </row>
    <row r="189" spans="1:30" hidden="1">
      <c r="A189" s="4">
        <v>388</v>
      </c>
      <c r="B189" s="8">
        <v>45095</v>
      </c>
      <c r="C189" s="4"/>
      <c r="D189" s="4" t="s">
        <v>397</v>
      </c>
      <c r="E189" s="8">
        <v>45114</v>
      </c>
      <c r="F189" s="4" t="s">
        <v>43</v>
      </c>
      <c r="G189" s="16" t="s">
        <v>44</v>
      </c>
      <c r="H189" s="4" t="s">
        <v>45</v>
      </c>
      <c r="I189" s="4" t="s">
        <v>87</v>
      </c>
      <c r="J189" s="10">
        <v>6.46</v>
      </c>
      <c r="K189" s="10">
        <v>6.4580000000000002</v>
      </c>
      <c r="L189" s="10">
        <f t="shared" si="33"/>
        <v>0</v>
      </c>
      <c r="M189" s="10">
        <f t="shared" si="34"/>
        <v>0</v>
      </c>
      <c r="N189" s="10"/>
      <c r="O189" s="10"/>
      <c r="P189" s="10">
        <v>0</v>
      </c>
      <c r="Q189" s="10"/>
      <c r="R189" s="10"/>
      <c r="S189" s="10"/>
      <c r="T189" s="10"/>
      <c r="U189" s="10"/>
      <c r="V189" s="4" t="s">
        <v>466</v>
      </c>
      <c r="W189" s="4"/>
      <c r="X189" s="8">
        <v>45099</v>
      </c>
      <c r="Y189" s="4"/>
      <c r="Z189" s="4"/>
      <c r="AA189" s="8">
        <v>45108</v>
      </c>
      <c r="AB189" s="8">
        <v>45108</v>
      </c>
      <c r="AC189" s="4"/>
      <c r="AD189" s="4"/>
    </row>
    <row r="190" spans="1:30" hidden="1">
      <c r="A190" s="4">
        <v>388</v>
      </c>
      <c r="B190" s="8">
        <v>45095</v>
      </c>
      <c r="C190" s="4"/>
      <c r="D190" s="4" t="s">
        <v>42</v>
      </c>
      <c r="E190" s="8">
        <v>45114</v>
      </c>
      <c r="F190" s="4" t="s">
        <v>43</v>
      </c>
      <c r="G190" s="16" t="s">
        <v>51</v>
      </c>
      <c r="H190" s="4" t="s">
        <v>52</v>
      </c>
      <c r="I190" s="4" t="s">
        <v>56</v>
      </c>
      <c r="J190" s="10">
        <v>1.03</v>
      </c>
      <c r="K190" s="10">
        <v>1.03</v>
      </c>
      <c r="L190" s="10">
        <f t="shared" si="33"/>
        <v>0</v>
      </c>
      <c r="M190" s="10">
        <f t="shared" si="34"/>
        <v>0</v>
      </c>
      <c r="N190" s="10"/>
      <c r="O190" s="10"/>
      <c r="P190" s="10">
        <v>0</v>
      </c>
      <c r="Q190" s="10"/>
      <c r="R190" s="10"/>
      <c r="S190" s="10"/>
      <c r="T190" s="10"/>
      <c r="U190" s="10"/>
      <c r="V190" s="4" t="s">
        <v>466</v>
      </c>
      <c r="W190" s="4"/>
      <c r="X190" s="8">
        <v>45103</v>
      </c>
      <c r="Y190" s="4"/>
      <c r="Z190" s="4"/>
      <c r="AA190" s="8">
        <v>45109</v>
      </c>
      <c r="AB190" s="8">
        <v>45109</v>
      </c>
      <c r="AC190" s="4"/>
      <c r="AD190" s="4"/>
    </row>
    <row r="191" spans="1:30" hidden="1">
      <c r="A191" s="4">
        <v>388</v>
      </c>
      <c r="B191" s="8">
        <v>45095</v>
      </c>
      <c r="C191" s="4"/>
      <c r="D191" s="4" t="s">
        <v>397</v>
      </c>
      <c r="E191" s="8">
        <v>45114</v>
      </c>
      <c r="F191" s="4" t="s">
        <v>43</v>
      </c>
      <c r="G191" s="16" t="s">
        <v>51</v>
      </c>
      <c r="H191" s="4" t="s">
        <v>52</v>
      </c>
      <c r="I191" s="4" t="s">
        <v>577</v>
      </c>
      <c r="J191" s="10">
        <v>1.67</v>
      </c>
      <c r="K191" s="10">
        <v>1.673</v>
      </c>
      <c r="L191" s="10">
        <f t="shared" si="33"/>
        <v>0</v>
      </c>
      <c r="M191" s="10">
        <f t="shared" si="34"/>
        <v>0</v>
      </c>
      <c r="N191" s="10"/>
      <c r="O191" s="10"/>
      <c r="P191" s="10">
        <v>0</v>
      </c>
      <c r="Q191" s="10"/>
      <c r="R191" s="10"/>
      <c r="S191" s="10"/>
      <c r="T191" s="10"/>
      <c r="U191" s="10"/>
      <c r="V191" s="4" t="s">
        <v>466</v>
      </c>
      <c r="W191" s="4"/>
      <c r="X191" s="8">
        <v>45099</v>
      </c>
      <c r="Y191" s="4"/>
      <c r="Z191" s="4"/>
      <c r="AA191" s="8">
        <v>45110</v>
      </c>
      <c r="AB191" s="8">
        <v>45110</v>
      </c>
      <c r="AC191" s="4"/>
      <c r="AD191" s="4"/>
    </row>
    <row r="192" spans="1:30" hidden="1">
      <c r="A192" s="4">
        <v>434</v>
      </c>
      <c r="B192" s="8">
        <v>45106</v>
      </c>
      <c r="C192" s="4"/>
      <c r="D192" s="4" t="s">
        <v>397</v>
      </c>
      <c r="E192" s="8">
        <v>45122</v>
      </c>
      <c r="F192" s="4" t="s">
        <v>43</v>
      </c>
      <c r="G192" s="15" t="s">
        <v>92</v>
      </c>
      <c r="H192" s="4" t="s">
        <v>52</v>
      </c>
      <c r="I192" s="4" t="s">
        <v>434</v>
      </c>
      <c r="J192" s="10">
        <v>3.7</v>
      </c>
      <c r="K192" s="10">
        <v>3.6989999999999998</v>
      </c>
      <c r="L192" s="10">
        <f t="shared" ref="L192:L198" si="35">M192+U192</f>
        <v>0</v>
      </c>
      <c r="M192" s="10">
        <f t="shared" ref="M192:M198" si="36">SUM(N192:T192)</f>
        <v>0</v>
      </c>
      <c r="N192" s="10"/>
      <c r="O192" s="10"/>
      <c r="P192" s="10">
        <v>0</v>
      </c>
      <c r="Q192" s="10"/>
      <c r="R192" s="10"/>
      <c r="S192" s="10"/>
      <c r="T192" s="10"/>
      <c r="U192" s="10"/>
      <c r="V192" s="4" t="s">
        <v>572</v>
      </c>
      <c r="W192" s="4"/>
      <c r="X192" s="8">
        <v>45108</v>
      </c>
      <c r="Y192" s="4"/>
      <c r="Z192" s="4"/>
      <c r="AA192" s="8">
        <v>45113</v>
      </c>
      <c r="AB192" s="8">
        <v>45113</v>
      </c>
      <c r="AC192" s="4"/>
      <c r="AD192" s="4"/>
    </row>
    <row r="193" spans="1:30" hidden="1">
      <c r="A193" s="4">
        <v>434</v>
      </c>
      <c r="B193" s="8">
        <v>45106</v>
      </c>
      <c r="C193" s="4"/>
      <c r="D193" s="4" t="s">
        <v>397</v>
      </c>
      <c r="E193" s="8">
        <v>45122</v>
      </c>
      <c r="F193" s="4" t="s">
        <v>43</v>
      </c>
      <c r="G193" s="15" t="s">
        <v>92</v>
      </c>
      <c r="H193" s="4" t="s">
        <v>52</v>
      </c>
      <c r="I193" s="4" t="s">
        <v>89</v>
      </c>
      <c r="J193" s="10">
        <v>7.77</v>
      </c>
      <c r="K193" s="10">
        <f>1.594+6.175</f>
        <v>7.7690000000000001</v>
      </c>
      <c r="L193" s="10">
        <f>M193+U193</f>
        <v>0</v>
      </c>
      <c r="M193" s="10">
        <f>SUM(N193:T193)</f>
        <v>0</v>
      </c>
      <c r="N193" s="10"/>
      <c r="O193" s="10"/>
      <c r="P193" s="10">
        <v>0</v>
      </c>
      <c r="Q193" s="10"/>
      <c r="R193" s="10"/>
      <c r="S193" s="10"/>
      <c r="T193" s="10"/>
      <c r="U193" s="10"/>
      <c r="V193" s="4" t="s">
        <v>572</v>
      </c>
      <c r="W193" s="4"/>
      <c r="X193" s="8">
        <v>45115</v>
      </c>
      <c r="Y193" s="4"/>
      <c r="Z193" s="4"/>
      <c r="AA193" s="8">
        <v>45117</v>
      </c>
      <c r="AB193" s="8">
        <v>45118</v>
      </c>
      <c r="AC193" s="4"/>
      <c r="AD193" s="4"/>
    </row>
    <row r="194" spans="1:30" hidden="1">
      <c r="A194" s="4">
        <v>435</v>
      </c>
      <c r="B194" s="8">
        <v>45106</v>
      </c>
      <c r="C194" s="4"/>
      <c r="D194" s="4" t="s">
        <v>397</v>
      </c>
      <c r="E194" s="8">
        <v>45122</v>
      </c>
      <c r="F194" s="4" t="s">
        <v>43</v>
      </c>
      <c r="G194" s="16" t="s">
        <v>44</v>
      </c>
      <c r="H194" s="4" t="s">
        <v>45</v>
      </c>
      <c r="I194" s="4" t="s">
        <v>409</v>
      </c>
      <c r="J194" s="10">
        <v>2.75</v>
      </c>
      <c r="K194" s="10">
        <v>3.2040000000000002</v>
      </c>
      <c r="L194" s="10">
        <f t="shared" si="35"/>
        <v>0</v>
      </c>
      <c r="M194" s="10">
        <f t="shared" si="36"/>
        <v>0</v>
      </c>
      <c r="N194" s="10"/>
      <c r="O194" s="10"/>
      <c r="P194" s="10"/>
      <c r="Q194" s="10"/>
      <c r="R194" s="10"/>
      <c r="S194" s="10">
        <v>0</v>
      </c>
      <c r="T194" s="10"/>
      <c r="U194" s="10"/>
      <c r="V194" s="4" t="s">
        <v>466</v>
      </c>
      <c r="W194" s="4" t="s">
        <v>521</v>
      </c>
      <c r="X194" s="8">
        <v>45107</v>
      </c>
      <c r="Y194" s="4"/>
      <c r="Z194" s="4"/>
      <c r="AA194" s="8">
        <v>45122</v>
      </c>
      <c r="AB194" s="8">
        <v>45122</v>
      </c>
      <c r="AC194" s="4"/>
      <c r="AD194" s="4"/>
    </row>
    <row r="195" spans="1:30" hidden="1">
      <c r="A195" s="4">
        <v>435</v>
      </c>
      <c r="B195" s="8">
        <v>45106</v>
      </c>
      <c r="C195" s="4"/>
      <c r="D195" s="4" t="s">
        <v>397</v>
      </c>
      <c r="E195" s="8">
        <v>45122</v>
      </c>
      <c r="F195" s="4" t="s">
        <v>43</v>
      </c>
      <c r="G195" s="16" t="s">
        <v>44</v>
      </c>
      <c r="H195" s="4" t="s">
        <v>45</v>
      </c>
      <c r="I195" s="4" t="s">
        <v>474</v>
      </c>
      <c r="J195" s="10">
        <v>8.57</v>
      </c>
      <c r="K195" s="10">
        <f>4.241+3.572+0.971</f>
        <v>8.7839999999999989</v>
      </c>
      <c r="L195" s="10">
        <f t="shared" si="35"/>
        <v>0</v>
      </c>
      <c r="M195" s="10">
        <f t="shared" si="36"/>
        <v>0</v>
      </c>
      <c r="N195" s="10"/>
      <c r="O195" s="10"/>
      <c r="P195" s="10">
        <v>0</v>
      </c>
      <c r="Q195" s="10"/>
      <c r="R195" s="10"/>
      <c r="S195" s="10"/>
      <c r="T195" s="10"/>
      <c r="U195" s="10"/>
      <c r="V195" s="4" t="s">
        <v>466</v>
      </c>
      <c r="W195" s="4"/>
      <c r="X195" s="8">
        <v>45108</v>
      </c>
      <c r="Y195" s="4"/>
      <c r="Z195" s="4"/>
      <c r="AA195" s="8">
        <v>45120</v>
      </c>
      <c r="AB195" s="8">
        <v>45120</v>
      </c>
      <c r="AC195" s="4"/>
      <c r="AD195" s="4"/>
    </row>
    <row r="196" spans="1:30" hidden="1">
      <c r="A196" s="4">
        <v>435</v>
      </c>
      <c r="B196" s="8">
        <v>45106</v>
      </c>
      <c r="C196" s="4"/>
      <c r="D196" s="4" t="s">
        <v>397</v>
      </c>
      <c r="E196" s="8">
        <v>45122</v>
      </c>
      <c r="F196" s="4" t="s">
        <v>43</v>
      </c>
      <c r="G196" s="16" t="s">
        <v>44</v>
      </c>
      <c r="H196" s="4" t="s">
        <v>45</v>
      </c>
      <c r="I196" s="4" t="s">
        <v>434</v>
      </c>
      <c r="J196" s="10">
        <v>7.96</v>
      </c>
      <c r="K196" s="10">
        <f>1.906+5.929+0.177</f>
        <v>8.0120000000000005</v>
      </c>
      <c r="L196" s="10">
        <f t="shared" si="35"/>
        <v>0</v>
      </c>
      <c r="M196" s="10">
        <f t="shared" si="36"/>
        <v>0</v>
      </c>
      <c r="N196" s="10"/>
      <c r="O196" s="10"/>
      <c r="P196" s="10">
        <v>0</v>
      </c>
      <c r="Q196" s="10"/>
      <c r="R196" s="10"/>
      <c r="S196" s="10"/>
      <c r="T196" s="10"/>
      <c r="U196" s="10"/>
      <c r="V196" s="4" t="s">
        <v>466</v>
      </c>
      <c r="W196" s="4"/>
      <c r="X196" s="8">
        <v>45108</v>
      </c>
      <c r="Y196" s="4"/>
      <c r="Z196" s="4"/>
      <c r="AA196" s="8">
        <v>45120</v>
      </c>
      <c r="AB196" s="8">
        <v>45120</v>
      </c>
      <c r="AC196" s="4"/>
      <c r="AD196" s="4"/>
    </row>
    <row r="197" spans="1:30" hidden="1">
      <c r="A197" s="4">
        <v>435</v>
      </c>
      <c r="B197" s="8">
        <v>45106</v>
      </c>
      <c r="C197" s="4"/>
      <c r="D197" s="4" t="s">
        <v>397</v>
      </c>
      <c r="E197" s="8">
        <v>45122</v>
      </c>
      <c r="F197" s="4" t="s">
        <v>43</v>
      </c>
      <c r="G197" s="16" t="s">
        <v>51</v>
      </c>
      <c r="H197" s="4" t="s">
        <v>52</v>
      </c>
      <c r="I197" s="4" t="s">
        <v>474</v>
      </c>
      <c r="J197" s="10">
        <v>0.2</v>
      </c>
      <c r="K197" s="10">
        <v>0.21299999999999999</v>
      </c>
      <c r="L197" s="10">
        <f t="shared" si="35"/>
        <v>0</v>
      </c>
      <c r="M197" s="10">
        <f t="shared" si="36"/>
        <v>0</v>
      </c>
      <c r="N197" s="10"/>
      <c r="O197" s="10"/>
      <c r="P197" s="10">
        <v>0</v>
      </c>
      <c r="Q197" s="10"/>
      <c r="R197" s="10"/>
      <c r="S197" s="10"/>
      <c r="T197" s="10"/>
      <c r="U197" s="10"/>
      <c r="V197" s="4" t="s">
        <v>466</v>
      </c>
      <c r="W197" s="4"/>
      <c r="X197" s="8">
        <v>45108</v>
      </c>
      <c r="Y197" s="4"/>
      <c r="Z197" s="4"/>
      <c r="AA197" s="8">
        <v>45122</v>
      </c>
      <c r="AB197" s="8">
        <v>45122</v>
      </c>
      <c r="AC197" s="4"/>
      <c r="AD197" s="4"/>
    </row>
    <row r="198" spans="1:30" hidden="1">
      <c r="A198" s="4">
        <v>435</v>
      </c>
      <c r="B198" s="8">
        <v>45106</v>
      </c>
      <c r="C198" s="4"/>
      <c r="D198" s="4" t="s">
        <v>397</v>
      </c>
      <c r="E198" s="8">
        <v>45122</v>
      </c>
      <c r="F198" s="4" t="s">
        <v>43</v>
      </c>
      <c r="G198" s="16" t="s">
        <v>51</v>
      </c>
      <c r="H198" s="4" t="s">
        <v>52</v>
      </c>
      <c r="I198" s="4" t="s">
        <v>434</v>
      </c>
      <c r="J198" s="10">
        <v>0.85</v>
      </c>
      <c r="K198" s="10">
        <f>0.747+0.107</f>
        <v>0.85399999999999998</v>
      </c>
      <c r="L198" s="10">
        <f t="shared" si="35"/>
        <v>0</v>
      </c>
      <c r="M198" s="10">
        <f t="shared" si="36"/>
        <v>0</v>
      </c>
      <c r="N198" s="10"/>
      <c r="O198" s="10"/>
      <c r="P198" s="10">
        <v>0</v>
      </c>
      <c r="Q198" s="10"/>
      <c r="R198" s="10"/>
      <c r="S198" s="10"/>
      <c r="T198" s="10"/>
      <c r="U198" s="10"/>
      <c r="V198" s="4" t="s">
        <v>466</v>
      </c>
      <c r="W198" s="4"/>
      <c r="X198" s="8">
        <v>45108</v>
      </c>
      <c r="Y198" s="4"/>
      <c r="Z198" s="4"/>
      <c r="AA198" s="8">
        <v>45113</v>
      </c>
      <c r="AB198" s="8">
        <v>45118</v>
      </c>
      <c r="AC198" s="4"/>
      <c r="AD198" s="4"/>
    </row>
    <row r="199" spans="1:30" hidden="1">
      <c r="A199" s="4">
        <v>435</v>
      </c>
      <c r="B199" s="8">
        <v>45106</v>
      </c>
      <c r="C199" s="4"/>
      <c r="D199" s="4" t="s">
        <v>397</v>
      </c>
      <c r="E199" s="8">
        <v>45122</v>
      </c>
      <c r="F199" s="4" t="s">
        <v>43</v>
      </c>
      <c r="G199" s="16" t="s">
        <v>51</v>
      </c>
      <c r="H199" s="4" t="s">
        <v>52</v>
      </c>
      <c r="I199" s="4" t="s">
        <v>577</v>
      </c>
      <c r="J199" s="10">
        <v>4.03</v>
      </c>
      <c r="K199" s="10">
        <f>3.961+0.128</f>
        <v>4.0889999999999995</v>
      </c>
      <c r="L199" s="10">
        <f>M199+U199</f>
        <v>0</v>
      </c>
      <c r="M199" s="10">
        <f>SUM(N199:T199)</f>
        <v>0</v>
      </c>
      <c r="N199" s="10"/>
      <c r="O199" s="10"/>
      <c r="P199" s="10">
        <v>0</v>
      </c>
      <c r="Q199" s="10"/>
      <c r="R199" s="10"/>
      <c r="S199" s="10"/>
      <c r="T199" s="10"/>
      <c r="U199" s="10"/>
      <c r="V199" s="4" t="s">
        <v>466</v>
      </c>
      <c r="W199" s="4"/>
      <c r="X199" s="8">
        <v>45115</v>
      </c>
      <c r="Y199" s="4"/>
      <c r="Z199" s="4"/>
      <c r="AA199" s="8">
        <v>45122</v>
      </c>
      <c r="AB199" s="8">
        <v>45122</v>
      </c>
      <c r="AC199" s="4"/>
      <c r="AD199" s="4"/>
    </row>
    <row r="200" spans="1:30" hidden="1">
      <c r="A200" s="4">
        <v>435</v>
      </c>
      <c r="B200" s="8">
        <v>45106</v>
      </c>
      <c r="C200" s="4"/>
      <c r="D200" s="4" t="s">
        <v>397</v>
      </c>
      <c r="E200" s="8">
        <v>45122</v>
      </c>
      <c r="F200" s="4" t="s">
        <v>43</v>
      </c>
      <c r="G200" s="16" t="s">
        <v>51</v>
      </c>
      <c r="H200" s="4" t="s">
        <v>52</v>
      </c>
      <c r="I200" s="4" t="s">
        <v>89</v>
      </c>
      <c r="J200" s="10">
        <v>6.46</v>
      </c>
      <c r="K200" s="10">
        <f>4.986+1.569</f>
        <v>6.5549999999999997</v>
      </c>
      <c r="L200" s="10">
        <f>M200+U200</f>
        <v>0</v>
      </c>
      <c r="M200" s="10">
        <f>SUM(N200:T200)</f>
        <v>0</v>
      </c>
      <c r="N200" s="10"/>
      <c r="O200" s="10"/>
      <c r="P200" s="10">
        <v>0</v>
      </c>
      <c r="Q200" s="10"/>
      <c r="R200" s="10"/>
      <c r="S200" s="10"/>
      <c r="T200" s="10"/>
      <c r="U200" s="10"/>
      <c r="V200" s="4" t="s">
        <v>466</v>
      </c>
      <c r="W200" s="4"/>
      <c r="X200" s="8">
        <v>45115</v>
      </c>
      <c r="Y200" s="4"/>
      <c r="Z200" s="4"/>
      <c r="AA200" s="8">
        <v>45117</v>
      </c>
      <c r="AB200" s="8">
        <v>45118</v>
      </c>
      <c r="AC200" s="4"/>
      <c r="AD200" s="4"/>
    </row>
    <row r="201" spans="1:30" hidden="1">
      <c r="A201" s="4">
        <v>439</v>
      </c>
      <c r="B201" s="8">
        <v>45111</v>
      </c>
      <c r="C201" s="4"/>
      <c r="D201" s="4" t="s">
        <v>397</v>
      </c>
      <c r="E201" s="8">
        <v>45122</v>
      </c>
      <c r="F201" s="4" t="s">
        <v>43</v>
      </c>
      <c r="G201" s="15" t="s">
        <v>92</v>
      </c>
      <c r="H201" s="4" t="s">
        <v>52</v>
      </c>
      <c r="I201" s="4" t="s">
        <v>435</v>
      </c>
      <c r="J201" s="10">
        <v>2.7648000000000001</v>
      </c>
      <c r="K201" s="10">
        <v>2.7650000000000001</v>
      </c>
      <c r="L201" s="10">
        <f t="shared" ref="L201:L202" si="37">M201+U201</f>
        <v>0</v>
      </c>
      <c r="M201" s="10">
        <f t="shared" ref="M201:M202" si="38">SUM(N201:T201)</f>
        <v>0</v>
      </c>
      <c r="N201" s="10"/>
      <c r="O201" s="10"/>
      <c r="P201" s="10">
        <v>0</v>
      </c>
      <c r="Q201" s="10"/>
      <c r="R201" s="10"/>
      <c r="S201" s="10"/>
      <c r="T201" s="10"/>
      <c r="U201" s="10"/>
      <c r="V201" s="4" t="s">
        <v>572</v>
      </c>
      <c r="W201" s="4"/>
      <c r="X201" s="8">
        <v>45110</v>
      </c>
      <c r="Y201" s="4"/>
      <c r="Z201" s="4"/>
      <c r="AA201" s="8">
        <v>45118</v>
      </c>
      <c r="AB201" s="8">
        <v>45118</v>
      </c>
      <c r="AC201" s="4"/>
      <c r="AD201" s="4"/>
    </row>
    <row r="202" spans="1:30" hidden="1">
      <c r="A202" s="4">
        <v>439</v>
      </c>
      <c r="B202" s="8">
        <v>45111</v>
      </c>
      <c r="C202" s="4"/>
      <c r="D202" s="4" t="s">
        <v>397</v>
      </c>
      <c r="E202" s="8">
        <v>45122</v>
      </c>
      <c r="F202" s="4" t="s">
        <v>43</v>
      </c>
      <c r="G202" s="15" t="s">
        <v>92</v>
      </c>
      <c r="H202" s="4" t="s">
        <v>52</v>
      </c>
      <c r="I202" s="4" t="s">
        <v>432</v>
      </c>
      <c r="J202" s="10">
        <v>3.7811999999999997</v>
      </c>
      <c r="K202" s="10">
        <f>1.973+1.804</f>
        <v>3.7770000000000001</v>
      </c>
      <c r="L202" s="10">
        <f t="shared" si="37"/>
        <v>0</v>
      </c>
      <c r="M202" s="10">
        <f t="shared" si="38"/>
        <v>0</v>
      </c>
      <c r="N202" s="10"/>
      <c r="O202" s="10"/>
      <c r="P202" s="10">
        <v>0</v>
      </c>
      <c r="Q202" s="10"/>
      <c r="R202" s="10"/>
      <c r="S202" s="10"/>
      <c r="T202" s="10"/>
      <c r="U202" s="10"/>
      <c r="V202" s="4" t="s">
        <v>572</v>
      </c>
      <c r="W202" s="4"/>
      <c r="X202" s="8">
        <v>45110</v>
      </c>
      <c r="Y202" s="4"/>
      <c r="Z202" s="4"/>
      <c r="AA202" s="8">
        <v>45113</v>
      </c>
      <c r="AB202" s="8">
        <v>45120</v>
      </c>
      <c r="AC202" s="4"/>
      <c r="AD202" s="4"/>
    </row>
    <row r="203" spans="1:30" hidden="1">
      <c r="A203" s="4">
        <v>441</v>
      </c>
      <c r="B203" s="8">
        <v>45111</v>
      </c>
      <c r="C203" s="4"/>
      <c r="D203" s="4" t="s">
        <v>397</v>
      </c>
      <c r="E203" s="8">
        <v>45122</v>
      </c>
      <c r="F203" s="4" t="s">
        <v>43</v>
      </c>
      <c r="G203" s="16" t="s">
        <v>44</v>
      </c>
      <c r="H203" s="4" t="s">
        <v>45</v>
      </c>
      <c r="I203" s="4" t="s">
        <v>435</v>
      </c>
      <c r="J203" s="10">
        <v>5.5119000000000007</v>
      </c>
      <c r="K203" s="10">
        <f>2.889+2.747</f>
        <v>5.6359999999999992</v>
      </c>
      <c r="L203" s="10">
        <f>M203+U203</f>
        <v>0</v>
      </c>
      <c r="M203" s="10">
        <f>SUM(N203:T203)</f>
        <v>0</v>
      </c>
      <c r="N203" s="10"/>
      <c r="O203" s="10"/>
      <c r="P203" s="10">
        <v>0</v>
      </c>
      <c r="Q203" s="10"/>
      <c r="R203" s="10"/>
      <c r="S203" s="10"/>
      <c r="T203" s="10"/>
      <c r="U203" s="10"/>
      <c r="V203" s="4" t="s">
        <v>466</v>
      </c>
      <c r="W203" s="4"/>
      <c r="X203" s="8">
        <v>45110</v>
      </c>
      <c r="Y203" s="4"/>
      <c r="Z203" s="4"/>
      <c r="AA203" s="8">
        <v>45113</v>
      </c>
      <c r="AB203" s="8">
        <v>45120</v>
      </c>
      <c r="AC203" s="4"/>
      <c r="AD203" s="4"/>
    </row>
    <row r="204" spans="1:30" hidden="1">
      <c r="A204" s="4">
        <v>441</v>
      </c>
      <c r="B204" s="8">
        <v>45111</v>
      </c>
      <c r="C204" s="4"/>
      <c r="D204" s="4" t="s">
        <v>397</v>
      </c>
      <c r="E204" s="8">
        <v>45122</v>
      </c>
      <c r="F204" s="4" t="s">
        <v>43</v>
      </c>
      <c r="G204" s="16" t="s">
        <v>44</v>
      </c>
      <c r="H204" s="4" t="s">
        <v>45</v>
      </c>
      <c r="I204" s="4" t="s">
        <v>432</v>
      </c>
      <c r="J204" s="10">
        <v>3.4</v>
      </c>
      <c r="K204" s="10">
        <f>3.293+0.161</f>
        <v>3.4540000000000002</v>
      </c>
      <c r="L204" s="10">
        <f>M204+U204</f>
        <v>0</v>
      </c>
      <c r="M204" s="10">
        <f>SUM(N204:T204)</f>
        <v>0</v>
      </c>
      <c r="N204" s="10"/>
      <c r="O204" s="10"/>
      <c r="P204" s="10">
        <v>0</v>
      </c>
      <c r="Q204" s="10"/>
      <c r="R204" s="10"/>
      <c r="S204" s="10"/>
      <c r="T204" s="10"/>
      <c r="U204" s="10"/>
      <c r="V204" s="4" t="s">
        <v>466</v>
      </c>
      <c r="W204" s="4"/>
      <c r="X204" s="8">
        <v>45110</v>
      </c>
      <c r="Y204" s="4"/>
      <c r="Z204" s="4"/>
      <c r="AA204" s="8">
        <v>45113</v>
      </c>
      <c r="AB204" s="8">
        <v>45120</v>
      </c>
      <c r="AC204" s="4"/>
      <c r="AD204" s="4"/>
    </row>
    <row r="205" spans="1:30" hidden="1">
      <c r="A205" s="4">
        <v>441</v>
      </c>
      <c r="B205" s="8">
        <v>45111</v>
      </c>
      <c r="C205" s="4"/>
      <c r="D205" s="4" t="s">
        <v>397</v>
      </c>
      <c r="E205" s="8">
        <v>45122</v>
      </c>
      <c r="F205" s="4" t="s">
        <v>43</v>
      </c>
      <c r="G205" s="16" t="s">
        <v>51</v>
      </c>
      <c r="H205" s="4" t="s">
        <v>52</v>
      </c>
      <c r="I205" s="4" t="s">
        <v>435</v>
      </c>
      <c r="J205" s="10">
        <v>0.45885000000000004</v>
      </c>
      <c r="K205" s="10">
        <v>0.46400000000000002</v>
      </c>
      <c r="L205" s="10">
        <f>M205+U205</f>
        <v>0</v>
      </c>
      <c r="M205" s="10">
        <f>SUM(N205:T205)</f>
        <v>0</v>
      </c>
      <c r="N205" s="10"/>
      <c r="O205" s="10"/>
      <c r="P205" s="10">
        <v>0</v>
      </c>
      <c r="Q205" s="10"/>
      <c r="R205" s="10"/>
      <c r="S205" s="10"/>
      <c r="T205" s="10"/>
      <c r="U205" s="10"/>
      <c r="V205" s="4" t="s">
        <v>466</v>
      </c>
      <c r="W205" s="4"/>
      <c r="X205" s="8">
        <v>45110</v>
      </c>
      <c r="Y205" s="4"/>
      <c r="Z205" s="4"/>
      <c r="AA205" s="8">
        <v>45113</v>
      </c>
      <c r="AB205" s="8">
        <v>45113</v>
      </c>
      <c r="AC205" s="4"/>
      <c r="AD205" s="4"/>
    </row>
    <row r="206" spans="1:30" hidden="1">
      <c r="A206" s="4">
        <v>441</v>
      </c>
      <c r="B206" s="8">
        <v>45111</v>
      </c>
      <c r="C206" s="4"/>
      <c r="D206" s="4" t="s">
        <v>397</v>
      </c>
      <c r="E206" s="8">
        <v>45122</v>
      </c>
      <c r="F206" s="4" t="s">
        <v>43</v>
      </c>
      <c r="G206" s="16" t="s">
        <v>51</v>
      </c>
      <c r="H206" s="4" t="s">
        <v>52</v>
      </c>
      <c r="I206" s="4" t="s">
        <v>432</v>
      </c>
      <c r="J206" s="10">
        <v>2.1896</v>
      </c>
      <c r="K206" s="10">
        <v>2.206</v>
      </c>
      <c r="L206" s="10">
        <f>M206+U206</f>
        <v>0</v>
      </c>
      <c r="M206" s="10">
        <f>SUM(N206:T206)</f>
        <v>0</v>
      </c>
      <c r="N206" s="10"/>
      <c r="O206" s="10"/>
      <c r="P206" s="10">
        <v>0</v>
      </c>
      <c r="Q206" s="10"/>
      <c r="R206" s="10"/>
      <c r="S206" s="10"/>
      <c r="T206" s="10"/>
      <c r="U206" s="10"/>
      <c r="V206" s="4" t="s">
        <v>466</v>
      </c>
      <c r="W206" s="4"/>
      <c r="X206" s="8">
        <v>45110</v>
      </c>
      <c r="Y206" s="4"/>
      <c r="Z206" s="4"/>
      <c r="AA206" s="8">
        <v>45118</v>
      </c>
      <c r="AB206" s="8">
        <v>45118</v>
      </c>
      <c r="AC206" s="4"/>
      <c r="AD206" s="4"/>
    </row>
    <row r="207" spans="1:30" hidden="1">
      <c r="A207" s="4">
        <v>441</v>
      </c>
      <c r="B207" s="8">
        <v>45111</v>
      </c>
      <c r="C207" s="4"/>
      <c r="D207" s="4" t="s">
        <v>397</v>
      </c>
      <c r="E207" s="8">
        <v>45122</v>
      </c>
      <c r="F207" s="4" t="s">
        <v>43</v>
      </c>
      <c r="G207" s="16" t="s">
        <v>44</v>
      </c>
      <c r="H207" s="4" t="s">
        <v>45</v>
      </c>
      <c r="I207" s="4" t="s">
        <v>577</v>
      </c>
      <c r="J207" s="10">
        <v>7.8063999999999991</v>
      </c>
      <c r="K207" s="10">
        <v>8.0489999999999995</v>
      </c>
      <c r="L207" s="10">
        <f t="shared" ref="L207:L209" si="39">M207+U207</f>
        <v>0</v>
      </c>
      <c r="M207" s="10">
        <f t="shared" ref="M207:M209" si="40">SUM(N207:T207)</f>
        <v>0</v>
      </c>
      <c r="N207" s="10"/>
      <c r="O207" s="10"/>
      <c r="P207" s="10">
        <v>0</v>
      </c>
      <c r="Q207" s="10"/>
      <c r="R207" s="10"/>
      <c r="S207" s="10"/>
      <c r="T207" s="10"/>
      <c r="U207" s="10"/>
      <c r="V207" s="4" t="s">
        <v>466</v>
      </c>
      <c r="W207" s="4"/>
      <c r="X207" s="8">
        <v>45115</v>
      </c>
      <c r="Y207" s="4"/>
      <c r="Z207" s="4"/>
      <c r="AA207" s="8"/>
      <c r="AB207" s="8"/>
      <c r="AC207" s="4"/>
      <c r="AD207" s="4"/>
    </row>
    <row r="208" spans="1:30" hidden="1">
      <c r="A208" s="4">
        <v>441</v>
      </c>
      <c r="B208" s="8">
        <v>45111</v>
      </c>
      <c r="C208" s="4"/>
      <c r="D208" s="4" t="s">
        <v>397</v>
      </c>
      <c r="E208" s="8">
        <v>45122</v>
      </c>
      <c r="F208" s="4" t="s">
        <v>43</v>
      </c>
      <c r="G208" s="16" t="s">
        <v>44</v>
      </c>
      <c r="H208" s="4" t="s">
        <v>45</v>
      </c>
      <c r="I208" s="4" t="s">
        <v>89</v>
      </c>
      <c r="J208" s="10">
        <v>13.622250000000001</v>
      </c>
      <c r="K208" s="10">
        <f>8.648+5.171</f>
        <v>13.818999999999999</v>
      </c>
      <c r="L208" s="10">
        <f t="shared" si="39"/>
        <v>0</v>
      </c>
      <c r="M208" s="10">
        <f t="shared" si="40"/>
        <v>0</v>
      </c>
      <c r="N208" s="10"/>
      <c r="O208" s="10"/>
      <c r="P208" s="10">
        <v>0</v>
      </c>
      <c r="Q208" s="10"/>
      <c r="R208" s="10"/>
      <c r="S208" s="10"/>
      <c r="T208" s="10"/>
      <c r="U208" s="10"/>
      <c r="V208" s="4" t="s">
        <v>466</v>
      </c>
      <c r="W208" s="4"/>
      <c r="X208" s="8">
        <v>45116</v>
      </c>
      <c r="Y208" s="4"/>
      <c r="Z208" s="4"/>
      <c r="AA208" s="8">
        <v>45118</v>
      </c>
      <c r="AB208" s="8">
        <v>45120</v>
      </c>
      <c r="AC208" s="4"/>
      <c r="AD208" s="4"/>
    </row>
    <row r="209" spans="1:30" hidden="1">
      <c r="A209" s="4">
        <v>441</v>
      </c>
      <c r="B209" s="8">
        <v>45111</v>
      </c>
      <c r="C209" s="4"/>
      <c r="D209" s="4" t="s">
        <v>397</v>
      </c>
      <c r="E209" s="8">
        <v>45122</v>
      </c>
      <c r="F209" s="4" t="s">
        <v>43</v>
      </c>
      <c r="G209" s="16" t="s">
        <v>44</v>
      </c>
      <c r="H209" s="4" t="s">
        <v>45</v>
      </c>
      <c r="I209" s="4" t="s">
        <v>87</v>
      </c>
      <c r="J209" s="10">
        <v>5.2999150000000004</v>
      </c>
      <c r="K209" s="10">
        <f>4.462+1.027</f>
        <v>5.4889999999999999</v>
      </c>
      <c r="L209" s="10">
        <f t="shared" si="39"/>
        <v>0</v>
      </c>
      <c r="M209" s="10">
        <f t="shared" si="40"/>
        <v>0</v>
      </c>
      <c r="N209" s="10"/>
      <c r="O209" s="10"/>
      <c r="P209" s="10">
        <v>0</v>
      </c>
      <c r="Q209" s="10"/>
      <c r="R209" s="10"/>
      <c r="S209" s="10"/>
      <c r="T209" s="10"/>
      <c r="U209" s="10"/>
      <c r="V209" s="4" t="s">
        <v>466</v>
      </c>
      <c r="W209" s="4"/>
      <c r="X209" s="8">
        <v>45116</v>
      </c>
      <c r="Y209" s="4"/>
      <c r="Z209" s="4"/>
      <c r="AA209" s="8">
        <v>45122</v>
      </c>
      <c r="AB209" s="8">
        <v>45122</v>
      </c>
      <c r="AC209" s="4"/>
      <c r="AD209" s="4"/>
    </row>
    <row r="210" spans="1:30" hidden="1">
      <c r="A210" s="4">
        <v>440</v>
      </c>
      <c r="B210" s="8">
        <v>45111</v>
      </c>
      <c r="C210" s="4"/>
      <c r="D210" s="4" t="s">
        <v>397</v>
      </c>
      <c r="E210" s="8">
        <v>45122</v>
      </c>
      <c r="F210" s="4" t="s">
        <v>43</v>
      </c>
      <c r="G210" s="16" t="s">
        <v>51</v>
      </c>
      <c r="H210" s="4" t="s">
        <v>52</v>
      </c>
      <c r="I210" s="4" t="s">
        <v>671</v>
      </c>
      <c r="J210" s="10">
        <v>6.39</v>
      </c>
      <c r="K210" s="10">
        <v>6.8179999999999996</v>
      </c>
      <c r="L210" s="10">
        <f t="shared" ref="L210" si="41">M210+U210</f>
        <v>0</v>
      </c>
      <c r="M210" s="10">
        <f t="shared" ref="M210" si="42">SUM(N210:T210)</f>
        <v>0</v>
      </c>
      <c r="N210" s="10"/>
      <c r="O210" s="10"/>
      <c r="P210" s="10"/>
      <c r="Q210" s="10"/>
      <c r="R210" s="10"/>
      <c r="S210" s="10"/>
      <c r="T210" s="10"/>
      <c r="U210" s="10"/>
      <c r="V210" s="4" t="s">
        <v>826</v>
      </c>
      <c r="W210" s="4" t="s">
        <v>37</v>
      </c>
      <c r="X210" s="8">
        <v>45146</v>
      </c>
      <c r="Y210" s="4"/>
      <c r="Z210" s="4"/>
      <c r="AA210" s="8">
        <v>45148</v>
      </c>
      <c r="AB210" s="8"/>
      <c r="AC210" s="4"/>
      <c r="AD210" s="4"/>
    </row>
    <row r="211" spans="1:30" hidden="1">
      <c r="A211" s="4">
        <v>422</v>
      </c>
      <c r="B211" s="8">
        <v>45111</v>
      </c>
      <c r="C211" s="4"/>
      <c r="D211" s="4" t="s">
        <v>397</v>
      </c>
      <c r="E211" s="8">
        <v>45114</v>
      </c>
      <c r="F211" s="4" t="s">
        <v>43</v>
      </c>
      <c r="G211" s="16" t="s">
        <v>44</v>
      </c>
      <c r="H211" s="4" t="s">
        <v>45</v>
      </c>
      <c r="I211" s="4" t="s">
        <v>54</v>
      </c>
      <c r="J211" s="10">
        <v>8.026568000000001</v>
      </c>
      <c r="K211" s="10">
        <f>3.999+4.225+0.639</f>
        <v>8.8629999999999995</v>
      </c>
      <c r="L211" s="10">
        <f t="shared" ref="L211:L242" si="43">M211+U211</f>
        <v>0</v>
      </c>
      <c r="M211" s="10">
        <f t="shared" ref="M211:M242" si="44">SUM(N211:T211)</f>
        <v>0</v>
      </c>
      <c r="N211" s="10"/>
      <c r="O211" s="10"/>
      <c r="P211" s="10">
        <v>0</v>
      </c>
      <c r="Q211" s="10"/>
      <c r="R211" s="10"/>
      <c r="S211" s="10"/>
      <c r="T211" s="10"/>
      <c r="U211" s="10"/>
      <c r="V211" s="4" t="s">
        <v>846</v>
      </c>
      <c r="W211" s="4"/>
      <c r="X211" s="8">
        <v>45122</v>
      </c>
      <c r="Y211" s="4"/>
      <c r="Z211" s="4"/>
      <c r="AA211" s="8">
        <v>45128</v>
      </c>
      <c r="AB211" s="8">
        <v>45131</v>
      </c>
      <c r="AC211" s="4"/>
      <c r="AD211" s="4"/>
    </row>
    <row r="212" spans="1:30" hidden="1">
      <c r="A212" s="4">
        <v>422</v>
      </c>
      <c r="B212" s="8">
        <v>45111</v>
      </c>
      <c r="C212" s="4"/>
      <c r="D212" s="4" t="s">
        <v>397</v>
      </c>
      <c r="E212" s="8">
        <v>45114</v>
      </c>
      <c r="F212" s="4" t="s">
        <v>43</v>
      </c>
      <c r="G212" s="16" t="s">
        <v>44</v>
      </c>
      <c r="H212" s="4" t="s">
        <v>45</v>
      </c>
      <c r="I212" s="4" t="s">
        <v>56</v>
      </c>
      <c r="J212" s="10">
        <v>3.1771529999999997</v>
      </c>
      <c r="K212" s="10">
        <f>1.519+1.569+0.129</f>
        <v>3.2170000000000001</v>
      </c>
      <c r="L212" s="10">
        <f t="shared" si="43"/>
        <v>0</v>
      </c>
      <c r="M212" s="10">
        <f t="shared" si="44"/>
        <v>0</v>
      </c>
      <c r="N212" s="10"/>
      <c r="O212" s="10"/>
      <c r="P212" s="10">
        <v>0</v>
      </c>
      <c r="Q212" s="10"/>
      <c r="R212" s="10"/>
      <c r="S212" s="10"/>
      <c r="T212" s="10"/>
      <c r="U212" s="10"/>
      <c r="V212" s="4" t="s">
        <v>846</v>
      </c>
      <c r="W212" s="4"/>
      <c r="X212" s="8">
        <v>45121</v>
      </c>
      <c r="Y212" s="4"/>
      <c r="Z212" s="4"/>
      <c r="AA212" s="8">
        <v>45128</v>
      </c>
      <c r="AB212" s="8">
        <v>45131</v>
      </c>
      <c r="AC212" s="4"/>
      <c r="AD212" s="4"/>
    </row>
    <row r="213" spans="1:30" hidden="1">
      <c r="A213" s="4">
        <v>422</v>
      </c>
      <c r="B213" s="8">
        <v>45111</v>
      </c>
      <c r="C213" s="4"/>
      <c r="D213" s="4" t="s">
        <v>397</v>
      </c>
      <c r="E213" s="8">
        <v>45114</v>
      </c>
      <c r="F213" s="4" t="s">
        <v>43</v>
      </c>
      <c r="G213" s="16" t="s">
        <v>44</v>
      </c>
      <c r="H213" s="4" t="s">
        <v>45</v>
      </c>
      <c r="I213" s="4" t="s">
        <v>405</v>
      </c>
      <c r="J213" s="10">
        <v>1.0444800000000001</v>
      </c>
      <c r="K213" s="10">
        <v>1.1379999999999999</v>
      </c>
      <c r="L213" s="10">
        <f t="shared" si="43"/>
        <v>0</v>
      </c>
      <c r="M213" s="10">
        <f t="shared" si="44"/>
        <v>0</v>
      </c>
      <c r="N213" s="10"/>
      <c r="O213" s="10"/>
      <c r="P213" s="10">
        <v>0</v>
      </c>
      <c r="Q213" s="10"/>
      <c r="R213" s="10"/>
      <c r="S213" s="10"/>
      <c r="T213" s="10"/>
      <c r="U213" s="10"/>
      <c r="V213" s="4" t="s">
        <v>846</v>
      </c>
      <c r="W213" s="4"/>
      <c r="X213" s="8">
        <v>45125</v>
      </c>
      <c r="Y213" s="4"/>
      <c r="Z213" s="4"/>
      <c r="AA213" s="8">
        <v>45131</v>
      </c>
      <c r="AB213" s="8">
        <v>45131</v>
      </c>
      <c r="AC213" s="4"/>
      <c r="AD213" s="4"/>
    </row>
    <row r="214" spans="1:30" hidden="1">
      <c r="A214" s="4">
        <v>422</v>
      </c>
      <c r="B214" s="8">
        <v>45111</v>
      </c>
      <c r="C214" s="4"/>
      <c r="D214" s="4" t="s">
        <v>397</v>
      </c>
      <c r="E214" s="8">
        <v>45114</v>
      </c>
      <c r="F214" s="4" t="s">
        <v>43</v>
      </c>
      <c r="G214" s="16" t="s">
        <v>44</v>
      </c>
      <c r="H214" s="4" t="s">
        <v>45</v>
      </c>
      <c r="I214" s="4" t="s">
        <v>400</v>
      </c>
      <c r="J214" s="10">
        <v>6.9372199999999999</v>
      </c>
      <c r="K214" s="10">
        <f>4.805+1.364+0.822</f>
        <v>6.9909999999999997</v>
      </c>
      <c r="L214" s="10">
        <f t="shared" si="43"/>
        <v>0</v>
      </c>
      <c r="M214" s="10">
        <f t="shared" si="44"/>
        <v>0</v>
      </c>
      <c r="N214" s="10"/>
      <c r="O214" s="10"/>
      <c r="P214" s="10">
        <v>0</v>
      </c>
      <c r="Q214" s="10"/>
      <c r="R214" s="10"/>
      <c r="S214" s="10"/>
      <c r="T214" s="10"/>
      <c r="U214" s="10"/>
      <c r="V214" s="4" t="s">
        <v>846</v>
      </c>
      <c r="W214" s="4"/>
      <c r="X214" s="8">
        <v>45125</v>
      </c>
      <c r="Y214" s="4"/>
      <c r="Z214" s="4"/>
      <c r="AA214" s="8">
        <v>45129</v>
      </c>
      <c r="AB214" s="8">
        <v>45136</v>
      </c>
      <c r="AC214" s="4"/>
      <c r="AD214" s="4"/>
    </row>
    <row r="215" spans="1:30" hidden="1">
      <c r="A215" s="4">
        <v>422</v>
      </c>
      <c r="B215" s="8">
        <v>45111</v>
      </c>
      <c r="C215" s="4"/>
      <c r="D215" s="4" t="s">
        <v>397</v>
      </c>
      <c r="E215" s="8">
        <v>45114</v>
      </c>
      <c r="F215" s="4" t="s">
        <v>43</v>
      </c>
      <c r="G215" s="16" t="s">
        <v>51</v>
      </c>
      <c r="H215" s="4" t="s">
        <v>52</v>
      </c>
      <c r="I215" s="4" t="s">
        <v>54</v>
      </c>
      <c r="J215" s="10">
        <v>0.33335999999999999</v>
      </c>
      <c r="K215" s="10">
        <v>0.47499999999999998</v>
      </c>
      <c r="L215" s="10">
        <f t="shared" si="43"/>
        <v>0</v>
      </c>
      <c r="M215" s="10">
        <f t="shared" si="44"/>
        <v>0</v>
      </c>
      <c r="N215" s="10"/>
      <c r="O215" s="10"/>
      <c r="P215" s="10"/>
      <c r="Q215" s="10"/>
      <c r="R215" s="10"/>
      <c r="S215" s="10">
        <v>0</v>
      </c>
      <c r="T215" s="10"/>
      <c r="U215" s="10"/>
      <c r="V215" s="4" t="s">
        <v>846</v>
      </c>
      <c r="W215" s="4"/>
      <c r="X215" s="8">
        <v>45122</v>
      </c>
      <c r="Y215" s="4"/>
      <c r="Z215" s="4"/>
      <c r="AA215" s="8">
        <v>45136</v>
      </c>
      <c r="AB215" s="8">
        <v>45136</v>
      </c>
      <c r="AC215" s="4"/>
      <c r="AD215" s="4"/>
    </row>
    <row r="216" spans="1:30" hidden="1">
      <c r="A216" s="4">
        <v>422</v>
      </c>
      <c r="B216" s="8">
        <v>45111</v>
      </c>
      <c r="C216" s="4"/>
      <c r="D216" s="4" t="s">
        <v>397</v>
      </c>
      <c r="E216" s="8">
        <v>45114</v>
      </c>
      <c r="F216" s="4" t="s">
        <v>43</v>
      </c>
      <c r="G216" s="16" t="s">
        <v>51</v>
      </c>
      <c r="H216" s="4" t="s">
        <v>52</v>
      </c>
      <c r="I216" s="4" t="s">
        <v>403</v>
      </c>
      <c r="J216" s="10">
        <v>3.4917479999999999</v>
      </c>
      <c r="K216" s="10">
        <v>3.492</v>
      </c>
      <c r="L216" s="10">
        <f t="shared" si="43"/>
        <v>0</v>
      </c>
      <c r="M216" s="10">
        <f t="shared" si="44"/>
        <v>0</v>
      </c>
      <c r="N216" s="10"/>
      <c r="O216" s="10"/>
      <c r="P216" s="10">
        <v>0</v>
      </c>
      <c r="Q216" s="10"/>
      <c r="R216" s="10"/>
      <c r="S216" s="10"/>
      <c r="T216" s="10"/>
      <c r="U216" s="10"/>
      <c r="V216" s="4" t="s">
        <v>846</v>
      </c>
      <c r="W216" s="4"/>
      <c r="X216" s="8">
        <v>45127</v>
      </c>
      <c r="Y216" s="4"/>
      <c r="Z216" s="4"/>
      <c r="AA216" s="8">
        <v>45131</v>
      </c>
      <c r="AB216" s="8">
        <v>45131</v>
      </c>
      <c r="AC216" s="4"/>
      <c r="AD216" s="4"/>
    </row>
    <row r="217" spans="1:30" hidden="1">
      <c r="A217" s="4">
        <v>422</v>
      </c>
      <c r="B217" s="8">
        <v>45111</v>
      </c>
      <c r="C217" s="4"/>
      <c r="D217" s="4" t="s">
        <v>397</v>
      </c>
      <c r="E217" s="8">
        <v>45114</v>
      </c>
      <c r="F217" s="4" t="s">
        <v>43</v>
      </c>
      <c r="G217" s="16" t="s">
        <v>51</v>
      </c>
      <c r="H217" s="4" t="s">
        <v>52</v>
      </c>
      <c r="I217" s="4" t="s">
        <v>46</v>
      </c>
      <c r="J217" s="10">
        <v>0.97819999999999996</v>
      </c>
      <c r="K217" s="10">
        <v>1.0069999999999999</v>
      </c>
      <c r="L217" s="10">
        <f t="shared" si="43"/>
        <v>0</v>
      </c>
      <c r="M217" s="10">
        <f t="shared" si="44"/>
        <v>0</v>
      </c>
      <c r="N217" s="10"/>
      <c r="O217" s="10"/>
      <c r="P217" s="10">
        <v>0</v>
      </c>
      <c r="Q217" s="10"/>
      <c r="R217" s="10"/>
      <c r="S217" s="10"/>
      <c r="T217" s="10"/>
      <c r="U217" s="10"/>
      <c r="V217" s="4" t="s">
        <v>846</v>
      </c>
      <c r="W217" s="4"/>
      <c r="X217" s="8">
        <v>45127</v>
      </c>
      <c r="Y217" s="4"/>
      <c r="Z217" s="4"/>
      <c r="AA217" s="8">
        <v>45131</v>
      </c>
      <c r="AB217" s="8">
        <v>45131</v>
      </c>
      <c r="AC217" s="4"/>
      <c r="AD217" s="4"/>
    </row>
    <row r="218" spans="1:30" hidden="1">
      <c r="A218" s="4">
        <v>423</v>
      </c>
      <c r="B218" s="8">
        <v>45111</v>
      </c>
      <c r="C218" s="4"/>
      <c r="D218" s="4" t="s">
        <v>397</v>
      </c>
      <c r="E218" s="8">
        <v>45114</v>
      </c>
      <c r="F218" s="4" t="s">
        <v>43</v>
      </c>
      <c r="G218" s="16" t="s">
        <v>44</v>
      </c>
      <c r="H218" s="4" t="s">
        <v>45</v>
      </c>
      <c r="I218" s="4" t="s">
        <v>57</v>
      </c>
      <c r="J218" s="10">
        <v>0.71</v>
      </c>
      <c r="K218" s="10">
        <v>0.72199999999999998</v>
      </c>
      <c r="L218" s="10">
        <f t="shared" si="43"/>
        <v>0</v>
      </c>
      <c r="M218" s="10">
        <f t="shared" si="44"/>
        <v>0</v>
      </c>
      <c r="N218" s="10"/>
      <c r="O218" s="10"/>
      <c r="P218" s="10">
        <v>0</v>
      </c>
      <c r="Q218" s="10"/>
      <c r="R218" s="10"/>
      <c r="S218" s="10"/>
      <c r="T218" s="10"/>
      <c r="U218" s="10"/>
      <c r="V218" s="4" t="s">
        <v>427</v>
      </c>
      <c r="W218" s="4"/>
      <c r="X218" s="8"/>
      <c r="Y218" s="4"/>
      <c r="Z218" s="4"/>
      <c r="AA218" s="8">
        <v>45122</v>
      </c>
      <c r="AB218" s="8">
        <v>45122</v>
      </c>
      <c r="AC218" s="4"/>
      <c r="AD218" s="4"/>
    </row>
    <row r="219" spans="1:30" hidden="1">
      <c r="A219" s="4">
        <v>423</v>
      </c>
      <c r="B219" s="8">
        <v>45111</v>
      </c>
      <c r="C219" s="4"/>
      <c r="D219" s="4" t="s">
        <v>397</v>
      </c>
      <c r="E219" s="8">
        <v>45114</v>
      </c>
      <c r="F219" s="4" t="s">
        <v>43</v>
      </c>
      <c r="G219" s="16" t="s">
        <v>51</v>
      </c>
      <c r="H219" s="4" t="s">
        <v>52</v>
      </c>
      <c r="I219" s="4" t="s">
        <v>54</v>
      </c>
      <c r="J219" s="10">
        <v>0.33335999999999999</v>
      </c>
      <c r="K219" s="10">
        <v>0.45100000000000001</v>
      </c>
      <c r="L219" s="10">
        <f t="shared" si="43"/>
        <v>0</v>
      </c>
      <c r="M219" s="10">
        <f t="shared" si="44"/>
        <v>0</v>
      </c>
      <c r="N219" s="10"/>
      <c r="O219" s="10"/>
      <c r="P219" s="10"/>
      <c r="Q219" s="10"/>
      <c r="R219" s="10"/>
      <c r="S219" s="10">
        <v>0</v>
      </c>
      <c r="T219" s="10"/>
      <c r="U219" s="10"/>
      <c r="V219" s="4" t="s">
        <v>427</v>
      </c>
      <c r="W219" s="4"/>
      <c r="X219" s="8">
        <v>45122</v>
      </c>
      <c r="Y219" s="4"/>
      <c r="Z219" s="4"/>
      <c r="AA219" s="8">
        <v>45132</v>
      </c>
      <c r="AB219" s="8">
        <v>45132</v>
      </c>
      <c r="AC219" s="4"/>
      <c r="AD219" s="4"/>
    </row>
    <row r="220" spans="1:30" hidden="1">
      <c r="A220" s="4">
        <v>423</v>
      </c>
      <c r="B220" s="8">
        <v>45111</v>
      </c>
      <c r="C220" s="4"/>
      <c r="D220" s="4" t="s">
        <v>397</v>
      </c>
      <c r="E220" s="8">
        <v>45114</v>
      </c>
      <c r="F220" s="4" t="s">
        <v>43</v>
      </c>
      <c r="G220" s="16" t="s">
        <v>51</v>
      </c>
      <c r="H220" s="4" t="s">
        <v>52</v>
      </c>
      <c r="I220" s="4" t="s">
        <v>56</v>
      </c>
      <c r="J220" s="10">
        <v>0.18240999999999999</v>
      </c>
      <c r="K220" s="10">
        <v>0.44</v>
      </c>
      <c r="L220" s="10">
        <f t="shared" si="43"/>
        <v>0</v>
      </c>
      <c r="M220" s="10">
        <f t="shared" si="44"/>
        <v>0</v>
      </c>
      <c r="N220" s="10"/>
      <c r="O220" s="10"/>
      <c r="P220" s="10"/>
      <c r="Q220" s="10"/>
      <c r="R220" s="10"/>
      <c r="S220" s="10">
        <v>0</v>
      </c>
      <c r="T220" s="10"/>
      <c r="U220" s="10"/>
      <c r="V220" s="4" t="s">
        <v>427</v>
      </c>
      <c r="W220" s="4"/>
      <c r="X220" s="8">
        <v>45122</v>
      </c>
      <c r="Y220" s="4"/>
      <c r="Z220" s="4"/>
      <c r="AA220" s="8">
        <v>45132</v>
      </c>
      <c r="AB220" s="8">
        <v>45132</v>
      </c>
      <c r="AC220" s="4"/>
      <c r="AD220" s="4"/>
    </row>
    <row r="221" spans="1:30" hidden="1">
      <c r="A221" s="4">
        <v>423</v>
      </c>
      <c r="B221" s="8">
        <v>45111</v>
      </c>
      <c r="C221" s="4"/>
      <c r="D221" s="4" t="s">
        <v>397</v>
      </c>
      <c r="E221" s="8">
        <v>45114</v>
      </c>
      <c r="F221" s="4" t="s">
        <v>43</v>
      </c>
      <c r="G221" s="16" t="s">
        <v>51</v>
      </c>
      <c r="H221" s="4" t="s">
        <v>52</v>
      </c>
      <c r="I221" s="4" t="s">
        <v>46</v>
      </c>
      <c r="J221" s="10">
        <v>1.7486999999999999</v>
      </c>
      <c r="K221" s="10">
        <v>1.76</v>
      </c>
      <c r="L221" s="10">
        <f t="shared" si="43"/>
        <v>0</v>
      </c>
      <c r="M221" s="10">
        <f t="shared" si="44"/>
        <v>0</v>
      </c>
      <c r="N221" s="10"/>
      <c r="O221" s="10"/>
      <c r="P221" s="10">
        <v>0</v>
      </c>
      <c r="Q221" s="10"/>
      <c r="R221" s="10"/>
      <c r="S221" s="10"/>
      <c r="T221" s="10"/>
      <c r="U221" s="10"/>
      <c r="V221" s="4" t="s">
        <v>427</v>
      </c>
      <c r="W221" s="4"/>
      <c r="X221" s="8">
        <v>45127</v>
      </c>
      <c r="Y221" s="4"/>
      <c r="Z221" s="4"/>
      <c r="AA221" s="8">
        <v>45131</v>
      </c>
      <c r="AB221" s="8">
        <v>45131</v>
      </c>
      <c r="AC221" s="4"/>
      <c r="AD221" s="4"/>
    </row>
    <row r="222" spans="1:30" hidden="1">
      <c r="A222" s="4">
        <v>424</v>
      </c>
      <c r="B222" s="8">
        <v>45111</v>
      </c>
      <c r="C222" s="4"/>
      <c r="D222" s="4" t="s">
        <v>397</v>
      </c>
      <c r="E222" s="8">
        <v>45114</v>
      </c>
      <c r="F222" s="4" t="s">
        <v>840</v>
      </c>
      <c r="G222" s="16" t="s">
        <v>44</v>
      </c>
      <c r="H222" s="4" t="s">
        <v>45</v>
      </c>
      <c r="I222" s="4" t="s">
        <v>54</v>
      </c>
      <c r="J222" s="10">
        <v>4.2225600000000005</v>
      </c>
      <c r="K222" s="10">
        <v>4.2229999999999999</v>
      </c>
      <c r="L222" s="10">
        <f t="shared" si="43"/>
        <v>0</v>
      </c>
      <c r="M222" s="10">
        <f t="shared" si="44"/>
        <v>0</v>
      </c>
      <c r="N222" s="10"/>
      <c r="O222" s="10"/>
      <c r="P222" s="10">
        <v>0</v>
      </c>
      <c r="Q222" s="10"/>
      <c r="R222" s="10"/>
      <c r="S222" s="10"/>
      <c r="T222" s="10"/>
      <c r="U222" s="10"/>
      <c r="V222" s="4" t="s">
        <v>841</v>
      </c>
      <c r="W222" s="4" t="s">
        <v>847</v>
      </c>
      <c r="X222" s="8">
        <v>45124</v>
      </c>
      <c r="Y222" s="4"/>
      <c r="Z222" s="4"/>
      <c r="AA222" s="8">
        <v>45131</v>
      </c>
      <c r="AB222" s="8">
        <v>45131</v>
      </c>
      <c r="AC222" s="4"/>
      <c r="AD222" s="4"/>
    </row>
    <row r="223" spans="1:30" hidden="1">
      <c r="A223" s="4">
        <v>424</v>
      </c>
      <c r="B223" s="8">
        <v>45111</v>
      </c>
      <c r="C223" s="4"/>
      <c r="D223" s="4" t="s">
        <v>397</v>
      </c>
      <c r="E223" s="8">
        <v>45114</v>
      </c>
      <c r="F223" s="4" t="s">
        <v>840</v>
      </c>
      <c r="G223" s="16" t="s">
        <v>44</v>
      </c>
      <c r="H223" s="4" t="s">
        <v>45</v>
      </c>
      <c r="I223" s="4" t="s">
        <v>56</v>
      </c>
      <c r="J223" s="10">
        <v>2.8327199999999997</v>
      </c>
      <c r="K223" s="10">
        <v>2.8330000000000002</v>
      </c>
      <c r="L223" s="10">
        <f t="shared" si="43"/>
        <v>0</v>
      </c>
      <c r="M223" s="10">
        <f t="shared" si="44"/>
        <v>0</v>
      </c>
      <c r="N223" s="10"/>
      <c r="O223" s="10"/>
      <c r="P223" s="10">
        <v>0</v>
      </c>
      <c r="Q223" s="10"/>
      <c r="R223" s="10"/>
      <c r="S223" s="10"/>
      <c r="T223" s="10"/>
      <c r="U223" s="10"/>
      <c r="V223" s="4" t="s">
        <v>841</v>
      </c>
      <c r="W223" s="4" t="s">
        <v>847</v>
      </c>
      <c r="X223" s="8">
        <v>45124</v>
      </c>
      <c r="Y223" s="4"/>
      <c r="Z223" s="4"/>
      <c r="AA223" s="8">
        <v>45131</v>
      </c>
      <c r="AB223" s="8">
        <v>45131</v>
      </c>
      <c r="AC223" s="4"/>
      <c r="AD223" s="4"/>
    </row>
    <row r="224" spans="1:30" hidden="1">
      <c r="A224" s="4">
        <v>424</v>
      </c>
      <c r="B224" s="8">
        <v>45111</v>
      </c>
      <c r="C224" s="4"/>
      <c r="D224" s="4" t="s">
        <v>397</v>
      </c>
      <c r="E224" s="8">
        <v>45114</v>
      </c>
      <c r="F224" s="4" t="s">
        <v>840</v>
      </c>
      <c r="G224" s="16" t="s">
        <v>44</v>
      </c>
      <c r="H224" s="4" t="s">
        <v>45</v>
      </c>
      <c r="I224" s="4" t="s">
        <v>48</v>
      </c>
      <c r="J224" s="10">
        <v>0.29231999999999997</v>
      </c>
      <c r="K224" s="10">
        <v>0.29199999999999998</v>
      </c>
      <c r="L224" s="10">
        <f t="shared" si="43"/>
        <v>0</v>
      </c>
      <c r="M224" s="10">
        <f t="shared" si="44"/>
        <v>0</v>
      </c>
      <c r="N224" s="10"/>
      <c r="O224" s="10"/>
      <c r="P224" s="10">
        <v>0</v>
      </c>
      <c r="Q224" s="10"/>
      <c r="R224" s="10"/>
      <c r="S224" s="10"/>
      <c r="T224" s="10"/>
      <c r="U224" s="10"/>
      <c r="V224" s="4" t="s">
        <v>841</v>
      </c>
      <c r="W224" s="4" t="s">
        <v>847</v>
      </c>
      <c r="X224" s="8">
        <v>45124</v>
      </c>
      <c r="Y224" s="4"/>
      <c r="Z224" s="4"/>
      <c r="AA224" s="8">
        <v>45131</v>
      </c>
      <c r="AB224" s="8">
        <v>45131</v>
      </c>
      <c r="AC224" s="4"/>
      <c r="AD224" s="4"/>
    </row>
    <row r="225" spans="1:30" hidden="1">
      <c r="A225" s="4">
        <v>424</v>
      </c>
      <c r="B225" s="8">
        <v>45111</v>
      </c>
      <c r="C225" s="4"/>
      <c r="D225" s="4" t="s">
        <v>397</v>
      </c>
      <c r="E225" s="8">
        <v>45114</v>
      </c>
      <c r="F225" s="4" t="s">
        <v>840</v>
      </c>
      <c r="G225" s="16" t="s">
        <v>44</v>
      </c>
      <c r="H225" s="4" t="s">
        <v>45</v>
      </c>
      <c r="I225" s="4" t="s">
        <v>405</v>
      </c>
      <c r="J225" s="10">
        <v>0.48960000000000004</v>
      </c>
      <c r="K225" s="10">
        <v>0.49</v>
      </c>
      <c r="L225" s="10">
        <f t="shared" si="43"/>
        <v>0</v>
      </c>
      <c r="M225" s="10">
        <f t="shared" si="44"/>
        <v>0</v>
      </c>
      <c r="N225" s="10"/>
      <c r="O225" s="10"/>
      <c r="P225" s="10">
        <v>0</v>
      </c>
      <c r="Q225" s="10"/>
      <c r="R225" s="10"/>
      <c r="S225" s="10"/>
      <c r="T225" s="10"/>
      <c r="U225" s="10"/>
      <c r="V225" s="4" t="s">
        <v>841</v>
      </c>
      <c r="W225" s="4" t="s">
        <v>847</v>
      </c>
      <c r="X225" s="8">
        <v>45127</v>
      </c>
      <c r="Y225" s="4"/>
      <c r="Z225" s="4"/>
      <c r="AA225" s="8">
        <v>45132</v>
      </c>
      <c r="AB225" s="8">
        <v>45132</v>
      </c>
      <c r="AC225" s="4"/>
      <c r="AD225" s="4"/>
    </row>
    <row r="226" spans="1:30" hidden="1">
      <c r="A226" s="4">
        <v>424</v>
      </c>
      <c r="B226" s="8">
        <v>45111</v>
      </c>
      <c r="C226" s="4"/>
      <c r="D226" s="4" t="s">
        <v>397</v>
      </c>
      <c r="E226" s="8">
        <v>45114</v>
      </c>
      <c r="F226" s="4" t="s">
        <v>840</v>
      </c>
      <c r="G226" s="16" t="s">
        <v>44</v>
      </c>
      <c r="H226" s="4" t="s">
        <v>45</v>
      </c>
      <c r="I226" s="4" t="s">
        <v>400</v>
      </c>
      <c r="J226" s="10">
        <v>1.1328</v>
      </c>
      <c r="K226" s="10">
        <v>1.133</v>
      </c>
      <c r="L226" s="10">
        <f t="shared" si="43"/>
        <v>0</v>
      </c>
      <c r="M226" s="10">
        <f t="shared" si="44"/>
        <v>0</v>
      </c>
      <c r="N226" s="10"/>
      <c r="O226" s="10"/>
      <c r="P226" s="10">
        <v>0</v>
      </c>
      <c r="Q226" s="10"/>
      <c r="R226" s="10"/>
      <c r="S226" s="10"/>
      <c r="T226" s="10"/>
      <c r="U226" s="10"/>
      <c r="V226" s="4" t="s">
        <v>841</v>
      </c>
      <c r="W226" s="4" t="s">
        <v>847</v>
      </c>
      <c r="X226" s="8">
        <v>45127</v>
      </c>
      <c r="Y226" s="4"/>
      <c r="Z226" s="4"/>
      <c r="AA226" s="8">
        <v>45132</v>
      </c>
      <c r="AB226" s="8">
        <v>45132</v>
      </c>
      <c r="AC226" s="4"/>
      <c r="AD226" s="4"/>
    </row>
    <row r="227" spans="1:30" hidden="1">
      <c r="A227" s="4">
        <v>424</v>
      </c>
      <c r="B227" s="8">
        <v>45111</v>
      </c>
      <c r="C227" s="4"/>
      <c r="D227" s="4" t="s">
        <v>397</v>
      </c>
      <c r="E227" s="8">
        <v>45114</v>
      </c>
      <c r="F227" s="4" t="s">
        <v>840</v>
      </c>
      <c r="G227" s="16" t="s">
        <v>44</v>
      </c>
      <c r="H227" s="4" t="s">
        <v>45</v>
      </c>
      <c r="I227" s="4" t="s">
        <v>46</v>
      </c>
      <c r="J227" s="10">
        <v>1.4472</v>
      </c>
      <c r="K227" s="10">
        <v>1.4470000000000001</v>
      </c>
      <c r="L227" s="10">
        <f t="shared" si="43"/>
        <v>0</v>
      </c>
      <c r="M227" s="10">
        <f t="shared" si="44"/>
        <v>0</v>
      </c>
      <c r="N227" s="10"/>
      <c r="O227" s="10"/>
      <c r="P227" s="10">
        <v>0</v>
      </c>
      <c r="Q227" s="10"/>
      <c r="R227" s="10"/>
      <c r="S227" s="10"/>
      <c r="T227" s="10"/>
      <c r="U227" s="10"/>
      <c r="V227" s="4" t="s">
        <v>841</v>
      </c>
      <c r="W227" s="4" t="s">
        <v>847</v>
      </c>
      <c r="X227" s="8">
        <v>45127</v>
      </c>
      <c r="Y227" s="4"/>
      <c r="Z227" s="4"/>
      <c r="AA227" s="8">
        <v>45132</v>
      </c>
      <c r="AB227" s="8">
        <v>45132</v>
      </c>
      <c r="AC227" s="4"/>
      <c r="AD227" s="4"/>
    </row>
    <row r="228" spans="1:30" hidden="1">
      <c r="A228" s="4">
        <v>424</v>
      </c>
      <c r="B228" s="8">
        <v>45111</v>
      </c>
      <c r="C228" s="4"/>
      <c r="D228" s="4" t="s">
        <v>397</v>
      </c>
      <c r="E228" s="8">
        <v>45114</v>
      </c>
      <c r="F228" s="4" t="s">
        <v>840</v>
      </c>
      <c r="G228" s="16" t="s">
        <v>51</v>
      </c>
      <c r="H228" s="4" t="s">
        <v>52</v>
      </c>
      <c r="I228" s="4" t="s">
        <v>405</v>
      </c>
      <c r="J228" s="10">
        <v>0.61199999999999999</v>
      </c>
      <c r="K228" s="10">
        <v>0.61199999999999999</v>
      </c>
      <c r="L228" s="10">
        <f t="shared" si="43"/>
        <v>0</v>
      </c>
      <c r="M228" s="10">
        <f t="shared" si="44"/>
        <v>0</v>
      </c>
      <c r="N228" s="10"/>
      <c r="O228" s="10"/>
      <c r="P228" s="10">
        <v>0</v>
      </c>
      <c r="Q228" s="10"/>
      <c r="R228" s="10"/>
      <c r="S228" s="10"/>
      <c r="T228" s="10"/>
      <c r="U228" s="10"/>
      <c r="V228" s="4" t="s">
        <v>841</v>
      </c>
      <c r="W228" s="4" t="s">
        <v>847</v>
      </c>
      <c r="X228" s="8">
        <v>45127</v>
      </c>
      <c r="Y228" s="4"/>
      <c r="Z228" s="4"/>
      <c r="AA228" s="8">
        <v>45144</v>
      </c>
      <c r="AB228" s="8">
        <v>45144</v>
      </c>
      <c r="AC228" s="4"/>
      <c r="AD228" s="4"/>
    </row>
    <row r="229" spans="1:30" hidden="1">
      <c r="A229" s="4">
        <v>425</v>
      </c>
      <c r="B229" s="8">
        <v>45111</v>
      </c>
      <c r="C229" s="4"/>
      <c r="D229" s="4" t="s">
        <v>397</v>
      </c>
      <c r="E229" s="8">
        <v>45114</v>
      </c>
      <c r="F229" s="4" t="s">
        <v>840</v>
      </c>
      <c r="G229" s="16" t="s">
        <v>44</v>
      </c>
      <c r="H229" s="4" t="s">
        <v>45</v>
      </c>
      <c r="I229" s="4" t="s">
        <v>54</v>
      </c>
      <c r="J229" s="10">
        <v>4.2225600000000005</v>
      </c>
      <c r="K229" s="10">
        <v>4.2229999999999999</v>
      </c>
      <c r="L229" s="10">
        <f t="shared" si="43"/>
        <v>0</v>
      </c>
      <c r="M229" s="10">
        <f t="shared" si="44"/>
        <v>0</v>
      </c>
      <c r="N229" s="10"/>
      <c r="O229" s="10"/>
      <c r="P229" s="10">
        <v>0</v>
      </c>
      <c r="Q229" s="10"/>
      <c r="R229" s="10"/>
      <c r="S229" s="10"/>
      <c r="T229" s="10"/>
      <c r="U229" s="10"/>
      <c r="V229" s="4" t="s">
        <v>841</v>
      </c>
      <c r="W229" s="4"/>
      <c r="X229" s="8">
        <v>45124</v>
      </c>
      <c r="Y229" s="4"/>
      <c r="Z229" s="4"/>
      <c r="AA229" s="8">
        <v>45145</v>
      </c>
      <c r="AB229" s="8">
        <v>45145</v>
      </c>
      <c r="AC229" s="4"/>
      <c r="AD229" s="4"/>
    </row>
    <row r="230" spans="1:30" hidden="1">
      <c r="A230" s="4">
        <v>425</v>
      </c>
      <c r="B230" s="8">
        <v>45111</v>
      </c>
      <c r="C230" s="4"/>
      <c r="D230" s="4" t="s">
        <v>397</v>
      </c>
      <c r="E230" s="8">
        <v>45114</v>
      </c>
      <c r="F230" s="4" t="s">
        <v>840</v>
      </c>
      <c r="G230" s="16" t="s">
        <v>44</v>
      </c>
      <c r="H230" s="4" t="s">
        <v>45</v>
      </c>
      <c r="I230" s="4" t="s">
        <v>56</v>
      </c>
      <c r="J230" s="10">
        <v>2.8327199999999997</v>
      </c>
      <c r="K230" s="10">
        <v>2.8330000000000002</v>
      </c>
      <c r="L230" s="10">
        <f t="shared" si="43"/>
        <v>0</v>
      </c>
      <c r="M230" s="10">
        <f t="shared" si="44"/>
        <v>0</v>
      </c>
      <c r="N230" s="10"/>
      <c r="O230" s="10"/>
      <c r="P230" s="10">
        <v>0</v>
      </c>
      <c r="Q230" s="10"/>
      <c r="R230" s="10"/>
      <c r="S230" s="10"/>
      <c r="T230" s="10"/>
      <c r="U230" s="10"/>
      <c r="V230" s="4" t="s">
        <v>841</v>
      </c>
      <c r="W230" s="4"/>
      <c r="X230" s="8">
        <v>45124</v>
      </c>
      <c r="Y230" s="4"/>
      <c r="Z230" s="4"/>
      <c r="AA230" s="8">
        <v>45145</v>
      </c>
      <c r="AB230" s="8">
        <v>45145</v>
      </c>
      <c r="AC230" s="4"/>
      <c r="AD230" s="4"/>
    </row>
    <row r="231" spans="1:30" hidden="1">
      <c r="A231" s="4">
        <v>425</v>
      </c>
      <c r="B231" s="8">
        <v>45111</v>
      </c>
      <c r="C231" s="4"/>
      <c r="D231" s="4" t="s">
        <v>397</v>
      </c>
      <c r="E231" s="8">
        <v>45114</v>
      </c>
      <c r="F231" s="4" t="s">
        <v>840</v>
      </c>
      <c r="G231" s="16" t="s">
        <v>44</v>
      </c>
      <c r="H231" s="4" t="s">
        <v>45</v>
      </c>
      <c r="I231" s="4" t="s">
        <v>48</v>
      </c>
      <c r="J231" s="10">
        <v>0.29231999999999997</v>
      </c>
      <c r="K231" s="10">
        <v>0.29199999999999998</v>
      </c>
      <c r="L231" s="10">
        <f t="shared" si="43"/>
        <v>0</v>
      </c>
      <c r="M231" s="10">
        <f t="shared" si="44"/>
        <v>0</v>
      </c>
      <c r="N231" s="10"/>
      <c r="O231" s="10"/>
      <c r="P231" s="10">
        <v>0</v>
      </c>
      <c r="Q231" s="10"/>
      <c r="R231" s="10"/>
      <c r="S231" s="10"/>
      <c r="T231" s="10"/>
      <c r="U231" s="10"/>
      <c r="V231" s="4" t="s">
        <v>841</v>
      </c>
      <c r="W231" s="4"/>
      <c r="X231" s="8">
        <v>45124</v>
      </c>
      <c r="Y231" s="4"/>
      <c r="Z231" s="4"/>
      <c r="AA231" s="8">
        <v>45145</v>
      </c>
      <c r="AB231" s="8">
        <v>45145</v>
      </c>
      <c r="AC231" s="4"/>
      <c r="AD231" s="4"/>
    </row>
    <row r="232" spans="1:30" hidden="1">
      <c r="A232" s="4">
        <v>425</v>
      </c>
      <c r="B232" s="8">
        <v>45111</v>
      </c>
      <c r="C232" s="4"/>
      <c r="D232" s="4" t="s">
        <v>397</v>
      </c>
      <c r="E232" s="8">
        <v>45114</v>
      </c>
      <c r="F232" s="4" t="s">
        <v>840</v>
      </c>
      <c r="G232" s="16" t="s">
        <v>44</v>
      </c>
      <c r="H232" s="4" t="s">
        <v>45</v>
      </c>
      <c r="I232" s="4" t="s">
        <v>405</v>
      </c>
      <c r="J232" s="10">
        <v>0.73439999999999994</v>
      </c>
      <c r="K232" s="10">
        <v>0.73399999999999999</v>
      </c>
      <c r="L232" s="10">
        <f t="shared" si="43"/>
        <v>0</v>
      </c>
      <c r="M232" s="10">
        <f t="shared" si="44"/>
        <v>0</v>
      </c>
      <c r="N232" s="10"/>
      <c r="O232" s="10"/>
      <c r="P232" s="10">
        <v>0</v>
      </c>
      <c r="Q232" s="10"/>
      <c r="R232" s="10"/>
      <c r="S232" s="10"/>
      <c r="T232" s="10"/>
      <c r="U232" s="10"/>
      <c r="V232" s="4" t="s">
        <v>841</v>
      </c>
      <c r="W232" s="4"/>
      <c r="X232" s="8">
        <v>45127</v>
      </c>
      <c r="Y232" s="4"/>
      <c r="Z232" s="4"/>
      <c r="AA232" s="8">
        <v>45145</v>
      </c>
      <c r="AB232" s="8">
        <v>45145</v>
      </c>
      <c r="AC232" s="4"/>
      <c r="AD232" s="4"/>
    </row>
    <row r="233" spans="1:30" hidden="1">
      <c r="A233" s="4">
        <v>425</v>
      </c>
      <c r="B233" s="8">
        <v>45111</v>
      </c>
      <c r="C233" s="4"/>
      <c r="D233" s="4" t="s">
        <v>397</v>
      </c>
      <c r="E233" s="8">
        <v>45114</v>
      </c>
      <c r="F233" s="4" t="s">
        <v>840</v>
      </c>
      <c r="G233" s="16" t="s">
        <v>44</v>
      </c>
      <c r="H233" s="4" t="s">
        <v>45</v>
      </c>
      <c r="I233" s="4" t="s">
        <v>400</v>
      </c>
      <c r="J233" s="10">
        <v>1.1328</v>
      </c>
      <c r="K233" s="10">
        <v>1.133</v>
      </c>
      <c r="L233" s="10">
        <f t="shared" si="43"/>
        <v>0</v>
      </c>
      <c r="M233" s="10">
        <f t="shared" si="44"/>
        <v>0</v>
      </c>
      <c r="N233" s="10"/>
      <c r="O233" s="10"/>
      <c r="P233" s="10">
        <v>0</v>
      </c>
      <c r="Q233" s="10"/>
      <c r="R233" s="10"/>
      <c r="S233" s="10"/>
      <c r="T233" s="10"/>
      <c r="U233" s="10"/>
      <c r="V233" s="4" t="s">
        <v>841</v>
      </c>
      <c r="W233" s="4"/>
      <c r="X233" s="8">
        <v>45127</v>
      </c>
      <c r="Y233" s="4"/>
      <c r="Z233" s="4"/>
      <c r="AA233" s="8">
        <v>45145</v>
      </c>
      <c r="AB233" s="8">
        <v>45145</v>
      </c>
      <c r="AC233" s="4"/>
      <c r="AD233" s="4"/>
    </row>
    <row r="234" spans="1:30" hidden="1">
      <c r="A234" s="4">
        <v>425</v>
      </c>
      <c r="B234" s="8">
        <v>45111</v>
      </c>
      <c r="C234" s="4"/>
      <c r="D234" s="4" t="s">
        <v>397</v>
      </c>
      <c r="E234" s="8">
        <v>45114</v>
      </c>
      <c r="F234" s="4" t="s">
        <v>840</v>
      </c>
      <c r="G234" s="16" t="s">
        <v>44</v>
      </c>
      <c r="H234" s="4" t="s">
        <v>45</v>
      </c>
      <c r="I234" s="4" t="s">
        <v>46</v>
      </c>
      <c r="J234" s="10">
        <v>1.2864</v>
      </c>
      <c r="K234" s="10">
        <v>1.286</v>
      </c>
      <c r="L234" s="10">
        <f t="shared" si="43"/>
        <v>0</v>
      </c>
      <c r="M234" s="10">
        <f t="shared" si="44"/>
        <v>0</v>
      </c>
      <c r="N234" s="10"/>
      <c r="O234" s="10"/>
      <c r="P234" s="10">
        <v>0</v>
      </c>
      <c r="Q234" s="10"/>
      <c r="R234" s="10"/>
      <c r="S234" s="10"/>
      <c r="T234" s="10"/>
      <c r="U234" s="10"/>
      <c r="V234" s="4" t="s">
        <v>841</v>
      </c>
      <c r="W234" s="4"/>
      <c r="X234" s="8">
        <v>45127</v>
      </c>
      <c r="Y234" s="4"/>
      <c r="Z234" s="4"/>
      <c r="AA234" s="8">
        <v>45145</v>
      </c>
      <c r="AB234" s="8">
        <v>45145</v>
      </c>
      <c r="AC234" s="4"/>
      <c r="AD234" s="4"/>
    </row>
    <row r="235" spans="1:30" hidden="1">
      <c r="A235" s="4">
        <v>425</v>
      </c>
      <c r="B235" s="8">
        <v>45111</v>
      </c>
      <c r="C235" s="4"/>
      <c r="D235" s="4" t="s">
        <v>397</v>
      </c>
      <c r="E235" s="8">
        <v>45114</v>
      </c>
      <c r="F235" s="4" t="s">
        <v>840</v>
      </c>
      <c r="G235" s="16" t="s">
        <v>51</v>
      </c>
      <c r="H235" s="4" t="s">
        <v>52</v>
      </c>
      <c r="I235" s="4" t="s">
        <v>405</v>
      </c>
      <c r="J235" s="10">
        <v>0.61199999999999999</v>
      </c>
      <c r="K235" s="10">
        <v>0.61199999999999999</v>
      </c>
      <c r="L235" s="10">
        <f t="shared" si="43"/>
        <v>0</v>
      </c>
      <c r="M235" s="10">
        <f t="shared" si="44"/>
        <v>0</v>
      </c>
      <c r="N235" s="10"/>
      <c r="O235" s="10"/>
      <c r="P235" s="10">
        <v>0</v>
      </c>
      <c r="Q235" s="10"/>
      <c r="R235" s="10"/>
      <c r="S235" s="10"/>
      <c r="T235" s="10"/>
      <c r="U235" s="10"/>
      <c r="V235" s="4" t="s">
        <v>841</v>
      </c>
      <c r="W235" s="4"/>
      <c r="X235" s="8">
        <v>45127</v>
      </c>
      <c r="Y235" s="4"/>
      <c r="Z235" s="4"/>
      <c r="AA235" s="8">
        <v>45144</v>
      </c>
      <c r="AB235" s="8">
        <v>45144</v>
      </c>
      <c r="AC235" s="4"/>
      <c r="AD235" s="4"/>
    </row>
    <row r="236" spans="1:30" hidden="1">
      <c r="A236" s="4">
        <v>426</v>
      </c>
      <c r="B236" s="8">
        <v>45111</v>
      </c>
      <c r="C236" s="4"/>
      <c r="D236" s="4" t="s">
        <v>397</v>
      </c>
      <c r="E236" s="8">
        <v>45114</v>
      </c>
      <c r="F236" s="4" t="s">
        <v>840</v>
      </c>
      <c r="G236" s="16" t="s">
        <v>51</v>
      </c>
      <c r="H236" s="4" t="s">
        <v>52</v>
      </c>
      <c r="I236" s="4" t="s">
        <v>57</v>
      </c>
      <c r="J236" s="10">
        <v>5.5948799999999999</v>
      </c>
      <c r="K236" s="10">
        <v>5.5949999999999998</v>
      </c>
      <c r="L236" s="10">
        <f t="shared" si="43"/>
        <v>0</v>
      </c>
      <c r="M236" s="10">
        <f t="shared" si="44"/>
        <v>0</v>
      </c>
      <c r="N236" s="10"/>
      <c r="O236" s="10"/>
      <c r="P236" s="10"/>
      <c r="Q236" s="10"/>
      <c r="R236" s="10"/>
      <c r="S236" s="10"/>
      <c r="T236" s="10"/>
      <c r="U236" s="10"/>
      <c r="V236" s="4" t="s">
        <v>841</v>
      </c>
      <c r="W236" s="4"/>
      <c r="X236" s="8">
        <v>45124</v>
      </c>
      <c r="Y236" s="4"/>
      <c r="Z236" s="4"/>
      <c r="AA236" s="8">
        <v>45148</v>
      </c>
      <c r="AB236" s="8"/>
      <c r="AC236" s="4"/>
      <c r="AD236" s="4"/>
    </row>
    <row r="237" spans="1:30" hidden="1">
      <c r="A237" s="4">
        <v>426</v>
      </c>
      <c r="B237" s="8">
        <v>45111</v>
      </c>
      <c r="C237" s="4"/>
      <c r="D237" s="4" t="s">
        <v>397</v>
      </c>
      <c r="E237" s="8">
        <v>45114</v>
      </c>
      <c r="F237" s="4" t="s">
        <v>840</v>
      </c>
      <c r="G237" s="16" t="s">
        <v>51</v>
      </c>
      <c r="H237" s="4" t="s">
        <v>52</v>
      </c>
      <c r="I237" s="4" t="s">
        <v>48</v>
      </c>
      <c r="J237" s="10">
        <v>0.7490699999999999</v>
      </c>
      <c r="K237" s="10">
        <v>0.85599999999999998</v>
      </c>
      <c r="L237" s="10">
        <f t="shared" si="43"/>
        <v>0</v>
      </c>
      <c r="M237" s="10">
        <f t="shared" si="44"/>
        <v>0</v>
      </c>
      <c r="N237" s="10"/>
      <c r="O237" s="10"/>
      <c r="P237" s="10"/>
      <c r="Q237" s="10"/>
      <c r="R237" s="10"/>
      <c r="S237" s="10"/>
      <c r="T237" s="10"/>
      <c r="U237" s="10"/>
      <c r="V237" s="4" t="s">
        <v>841</v>
      </c>
      <c r="W237" s="4"/>
      <c r="X237" s="8">
        <v>45124</v>
      </c>
      <c r="Y237" s="4"/>
      <c r="Z237" s="4"/>
      <c r="AA237" s="8">
        <v>45148</v>
      </c>
      <c r="AB237" s="8"/>
      <c r="AC237" s="4"/>
      <c r="AD237" s="4"/>
    </row>
    <row r="238" spans="1:30" hidden="1">
      <c r="A238" s="4">
        <v>426</v>
      </c>
      <c r="B238" s="8">
        <v>45111</v>
      </c>
      <c r="C238" s="4"/>
      <c r="D238" s="4" t="s">
        <v>397</v>
      </c>
      <c r="E238" s="8">
        <v>45114</v>
      </c>
      <c r="F238" s="4" t="s">
        <v>840</v>
      </c>
      <c r="G238" s="16" t="s">
        <v>51</v>
      </c>
      <c r="H238" s="4" t="s">
        <v>52</v>
      </c>
      <c r="I238" s="4" t="s">
        <v>403</v>
      </c>
      <c r="J238" s="10">
        <v>0.49739999999999995</v>
      </c>
      <c r="K238" s="10">
        <v>0.59699999999999998</v>
      </c>
      <c r="L238" s="10">
        <f t="shared" si="43"/>
        <v>0</v>
      </c>
      <c r="M238" s="10">
        <f t="shared" si="44"/>
        <v>0</v>
      </c>
      <c r="N238" s="10"/>
      <c r="O238" s="10"/>
      <c r="P238" s="10"/>
      <c r="Q238" s="10"/>
      <c r="R238" s="10"/>
      <c r="S238" s="10"/>
      <c r="T238" s="10"/>
      <c r="U238" s="10"/>
      <c r="V238" s="4" t="s">
        <v>841</v>
      </c>
      <c r="W238" s="4"/>
      <c r="X238" s="8">
        <v>45127</v>
      </c>
      <c r="Y238" s="4"/>
      <c r="Z238" s="4"/>
      <c r="AA238" s="8">
        <v>45148</v>
      </c>
      <c r="AB238" s="8"/>
      <c r="AC238" s="4"/>
      <c r="AD238" s="4"/>
    </row>
    <row r="239" spans="1:30" hidden="1">
      <c r="A239" s="4">
        <v>446</v>
      </c>
      <c r="B239" s="8">
        <v>45111</v>
      </c>
      <c r="C239" s="4"/>
      <c r="D239" s="4" t="s">
        <v>397</v>
      </c>
      <c r="E239" s="8">
        <v>45122</v>
      </c>
      <c r="F239" s="4" t="s">
        <v>43</v>
      </c>
      <c r="G239" s="15" t="s">
        <v>92</v>
      </c>
      <c r="H239" s="4" t="s">
        <v>52</v>
      </c>
      <c r="I239" s="4" t="s">
        <v>54</v>
      </c>
      <c r="J239" s="10">
        <v>4.2225600000000005</v>
      </c>
      <c r="K239" s="10">
        <f>3.111+1.287</f>
        <v>4.3979999999999997</v>
      </c>
      <c r="L239" s="10">
        <f t="shared" si="43"/>
        <v>0</v>
      </c>
      <c r="M239" s="10">
        <f t="shared" si="44"/>
        <v>0</v>
      </c>
      <c r="N239" s="10"/>
      <c r="O239" s="10"/>
      <c r="P239" s="10">
        <v>0</v>
      </c>
      <c r="Q239" s="10"/>
      <c r="R239" s="10"/>
      <c r="S239" s="10"/>
      <c r="T239" s="10"/>
      <c r="U239" s="10"/>
      <c r="V239" s="4" t="s">
        <v>572</v>
      </c>
      <c r="W239" s="4"/>
      <c r="X239" s="8">
        <v>45122</v>
      </c>
      <c r="Y239" s="4"/>
      <c r="Z239" s="4"/>
      <c r="AA239" s="8">
        <v>45128</v>
      </c>
      <c r="AB239" s="8">
        <v>45136</v>
      </c>
      <c r="AC239" s="4"/>
      <c r="AD239" s="4"/>
    </row>
    <row r="240" spans="1:30" hidden="1">
      <c r="A240" s="4">
        <v>446</v>
      </c>
      <c r="B240" s="8">
        <v>45111</v>
      </c>
      <c r="C240" s="4"/>
      <c r="D240" s="4" t="s">
        <v>397</v>
      </c>
      <c r="E240" s="8">
        <v>45122</v>
      </c>
      <c r="F240" s="4" t="s">
        <v>43</v>
      </c>
      <c r="G240" s="15" t="s">
        <v>92</v>
      </c>
      <c r="H240" s="4" t="s">
        <v>52</v>
      </c>
      <c r="I240" s="4" t="s">
        <v>56</v>
      </c>
      <c r="J240" s="10">
        <v>4.6353599999999995</v>
      </c>
      <c r="K240" s="10">
        <v>4.6219999999999999</v>
      </c>
      <c r="L240" s="10">
        <f t="shared" si="43"/>
        <v>0</v>
      </c>
      <c r="M240" s="10">
        <f t="shared" si="44"/>
        <v>0</v>
      </c>
      <c r="N240" s="10"/>
      <c r="O240" s="10"/>
      <c r="P240" s="10">
        <v>0</v>
      </c>
      <c r="Q240" s="10"/>
      <c r="R240" s="10"/>
      <c r="S240" s="10">
        <v>0</v>
      </c>
      <c r="T240" s="10"/>
      <c r="U240" s="10"/>
      <c r="V240" s="4" t="s">
        <v>572</v>
      </c>
      <c r="W240" s="4"/>
      <c r="X240" s="8">
        <v>45122</v>
      </c>
      <c r="Y240" s="4"/>
      <c r="Z240" s="4"/>
      <c r="AA240" s="8">
        <v>45129</v>
      </c>
      <c r="AB240" s="8">
        <v>45129</v>
      </c>
      <c r="AC240" s="4"/>
      <c r="AD240" s="4"/>
    </row>
    <row r="241" spans="1:30" hidden="1">
      <c r="A241" s="4">
        <v>446</v>
      </c>
      <c r="B241" s="8">
        <v>45111</v>
      </c>
      <c r="C241" s="4"/>
      <c r="D241" s="4" t="s">
        <v>397</v>
      </c>
      <c r="E241" s="8">
        <v>45122</v>
      </c>
      <c r="F241" s="4" t="s">
        <v>43</v>
      </c>
      <c r="G241" s="15" t="s">
        <v>92</v>
      </c>
      <c r="H241" s="4" t="s">
        <v>52</v>
      </c>
      <c r="I241" s="4" t="s">
        <v>48</v>
      </c>
      <c r="J241" s="10">
        <v>13.7616</v>
      </c>
      <c r="K241" s="10">
        <f>5.856+6.588+1.444</f>
        <v>13.887999999999998</v>
      </c>
      <c r="L241" s="10">
        <f t="shared" si="43"/>
        <v>0</v>
      </c>
      <c r="M241" s="10">
        <f t="shared" si="44"/>
        <v>0</v>
      </c>
      <c r="N241" s="10"/>
      <c r="O241" s="10"/>
      <c r="P241" s="10">
        <v>0</v>
      </c>
      <c r="Q241" s="10"/>
      <c r="R241" s="10"/>
      <c r="S241" s="10"/>
      <c r="T241" s="10"/>
      <c r="U241" s="10"/>
      <c r="V241" s="4" t="s">
        <v>572</v>
      </c>
      <c r="W241" s="4"/>
      <c r="X241" s="8">
        <v>45122</v>
      </c>
      <c r="Y241" s="4"/>
      <c r="Z241" s="4"/>
      <c r="AA241" s="8">
        <v>45128</v>
      </c>
      <c r="AB241" s="8">
        <v>45131</v>
      </c>
      <c r="AC241" s="4"/>
      <c r="AD241" s="4"/>
    </row>
    <row r="242" spans="1:30" hidden="1">
      <c r="A242" s="4">
        <v>447</v>
      </c>
      <c r="B242" s="8">
        <v>45111</v>
      </c>
      <c r="C242" s="4"/>
      <c r="D242" s="4" t="s">
        <v>397</v>
      </c>
      <c r="E242" s="8">
        <v>45122</v>
      </c>
      <c r="F242" s="4" t="s">
        <v>43</v>
      </c>
      <c r="G242" s="16" t="s">
        <v>44</v>
      </c>
      <c r="H242" s="4" t="s">
        <v>45</v>
      </c>
      <c r="I242" s="4" t="s">
        <v>54</v>
      </c>
      <c r="J242" s="10">
        <v>4.2687999999999997</v>
      </c>
      <c r="K242" s="10">
        <f>2.746+1.574</f>
        <v>4.32</v>
      </c>
      <c r="L242" s="10">
        <f t="shared" si="43"/>
        <v>0</v>
      </c>
      <c r="M242" s="10">
        <f t="shared" si="44"/>
        <v>0</v>
      </c>
      <c r="N242" s="10"/>
      <c r="O242" s="10"/>
      <c r="P242" s="10">
        <v>0</v>
      </c>
      <c r="Q242" s="10"/>
      <c r="R242" s="10"/>
      <c r="S242" s="10"/>
      <c r="T242" s="10"/>
      <c r="U242" s="10"/>
      <c r="V242" s="4" t="s">
        <v>466</v>
      </c>
      <c r="W242" s="4"/>
      <c r="X242" s="8">
        <v>45122</v>
      </c>
      <c r="Y242" s="4"/>
      <c r="Z242" s="4"/>
      <c r="AA242" s="8">
        <v>45128</v>
      </c>
      <c r="AB242" s="8">
        <v>45131</v>
      </c>
      <c r="AC242" s="4"/>
      <c r="AD242" s="4"/>
    </row>
    <row r="243" spans="1:30" hidden="1">
      <c r="A243" s="4">
        <v>447</v>
      </c>
      <c r="B243" s="8">
        <v>45111</v>
      </c>
      <c r="C243" s="4"/>
      <c r="D243" s="4" t="s">
        <v>397</v>
      </c>
      <c r="E243" s="8">
        <v>45122</v>
      </c>
      <c r="F243" s="4" t="s">
        <v>43</v>
      </c>
      <c r="G243" s="16" t="s">
        <v>44</v>
      </c>
      <c r="H243" s="4" t="s">
        <v>45</v>
      </c>
      <c r="I243" s="4" t="s">
        <v>56</v>
      </c>
      <c r="J243" s="10">
        <v>14.969299999999999</v>
      </c>
      <c r="K243" s="10">
        <f>7.404+6.459+1.216</f>
        <v>15.078999999999999</v>
      </c>
      <c r="L243" s="10">
        <f t="shared" ref="L243:L267" si="45">M243+U243</f>
        <v>0</v>
      </c>
      <c r="M243" s="10">
        <f t="shared" ref="M243:M267" si="46">SUM(N243:T243)</f>
        <v>0</v>
      </c>
      <c r="N243" s="10"/>
      <c r="O243" s="10"/>
      <c r="P243" s="10">
        <v>0</v>
      </c>
      <c r="Q243" s="10"/>
      <c r="R243" s="10"/>
      <c r="S243" s="10"/>
      <c r="T243" s="10"/>
      <c r="U243" s="10"/>
      <c r="V243" s="4" t="s">
        <v>466</v>
      </c>
      <c r="W243" s="4"/>
      <c r="X243" s="8">
        <v>45121</v>
      </c>
      <c r="Y243" s="4"/>
      <c r="Z243" s="4"/>
      <c r="AA243" s="8">
        <v>45128</v>
      </c>
      <c r="AB243" s="8">
        <v>45131</v>
      </c>
      <c r="AC243" s="4"/>
      <c r="AD243" s="4"/>
    </row>
    <row r="244" spans="1:30" hidden="1">
      <c r="A244" s="4">
        <v>447</v>
      </c>
      <c r="B244" s="8">
        <v>45111</v>
      </c>
      <c r="C244" s="4"/>
      <c r="D244" s="4" t="s">
        <v>397</v>
      </c>
      <c r="E244" s="8">
        <v>45122</v>
      </c>
      <c r="F244" s="4" t="s">
        <v>43</v>
      </c>
      <c r="G244" s="16" t="s">
        <v>44</v>
      </c>
      <c r="H244" s="4" t="s">
        <v>45</v>
      </c>
      <c r="I244" s="4" t="s">
        <v>48</v>
      </c>
      <c r="J244" s="10">
        <v>5.5418000000000003</v>
      </c>
      <c r="K244" s="10">
        <v>5.5970000000000004</v>
      </c>
      <c r="L244" s="10">
        <f t="shared" si="45"/>
        <v>0</v>
      </c>
      <c r="M244" s="10">
        <f t="shared" si="46"/>
        <v>0</v>
      </c>
      <c r="N244" s="10"/>
      <c r="O244" s="10"/>
      <c r="P244" s="10">
        <v>0</v>
      </c>
      <c r="Q244" s="10"/>
      <c r="R244" s="10"/>
      <c r="S244" s="10"/>
      <c r="T244" s="10"/>
      <c r="U244" s="10"/>
      <c r="V244" s="4" t="s">
        <v>466</v>
      </c>
      <c r="W244" s="4"/>
      <c r="X244" s="8">
        <v>45118</v>
      </c>
      <c r="Y244" s="4"/>
      <c r="Z244" s="4"/>
      <c r="AA244" s="8">
        <v>45122</v>
      </c>
      <c r="AB244" s="8">
        <v>45122</v>
      </c>
      <c r="AC244" s="4"/>
      <c r="AD244" s="4"/>
    </row>
    <row r="245" spans="1:30" hidden="1">
      <c r="A245" s="4">
        <v>504</v>
      </c>
      <c r="B245" s="8">
        <v>45111</v>
      </c>
      <c r="C245" s="4"/>
      <c r="D245" s="4" t="s">
        <v>397</v>
      </c>
      <c r="E245" s="8">
        <v>45122</v>
      </c>
      <c r="F245" s="4" t="s">
        <v>43</v>
      </c>
      <c r="G245" s="16" t="s">
        <v>44</v>
      </c>
      <c r="H245" s="4" t="s">
        <v>45</v>
      </c>
      <c r="I245" s="4" t="s">
        <v>403</v>
      </c>
      <c r="J245" s="10">
        <v>1.3944000000000001</v>
      </c>
      <c r="K245" s="10">
        <f>0.995+0.564</f>
        <v>1.5589999999999999</v>
      </c>
      <c r="L245" s="10">
        <f t="shared" si="45"/>
        <v>0</v>
      </c>
      <c r="M245" s="10">
        <f t="shared" si="46"/>
        <v>0</v>
      </c>
      <c r="N245" s="10"/>
      <c r="O245" s="10"/>
      <c r="P245" s="10">
        <v>0</v>
      </c>
      <c r="Q245" s="10"/>
      <c r="R245" s="10"/>
      <c r="S245" s="10"/>
      <c r="T245" s="10"/>
      <c r="U245" s="10"/>
      <c r="V245" s="4" t="s">
        <v>466</v>
      </c>
      <c r="W245" s="4"/>
      <c r="X245" s="8">
        <v>45127</v>
      </c>
      <c r="Y245" s="4"/>
      <c r="Z245" s="4"/>
      <c r="AA245" s="8">
        <v>45131</v>
      </c>
      <c r="AB245" s="8">
        <v>45136</v>
      </c>
      <c r="AC245" s="4"/>
      <c r="AD245" s="4"/>
    </row>
    <row r="246" spans="1:30" hidden="1">
      <c r="A246" s="4">
        <v>504</v>
      </c>
      <c r="B246" s="8">
        <v>45111</v>
      </c>
      <c r="C246" s="4"/>
      <c r="D246" s="4" t="s">
        <v>397</v>
      </c>
      <c r="E246" s="8">
        <v>45122</v>
      </c>
      <c r="F246" s="4" t="s">
        <v>43</v>
      </c>
      <c r="G246" s="16" t="s">
        <v>44</v>
      </c>
      <c r="H246" s="4" t="s">
        <v>45</v>
      </c>
      <c r="I246" s="4" t="s">
        <v>405</v>
      </c>
      <c r="J246" s="10">
        <v>4.3554000000000004</v>
      </c>
      <c r="K246" s="10">
        <v>4.3559999999999999</v>
      </c>
      <c r="L246" s="10">
        <f t="shared" si="45"/>
        <v>0</v>
      </c>
      <c r="M246" s="10">
        <f t="shared" si="46"/>
        <v>0</v>
      </c>
      <c r="N246" s="10"/>
      <c r="O246" s="10"/>
      <c r="P246" s="10">
        <v>0</v>
      </c>
      <c r="Q246" s="10"/>
      <c r="R246" s="10"/>
      <c r="S246" s="10"/>
      <c r="T246" s="10"/>
      <c r="U246" s="10"/>
      <c r="V246" s="4" t="s">
        <v>466</v>
      </c>
      <c r="W246" s="4"/>
      <c r="X246" s="8">
        <v>45125</v>
      </c>
      <c r="Y246" s="4"/>
      <c r="Z246" s="4"/>
      <c r="AA246" s="8">
        <v>45128</v>
      </c>
      <c r="AB246" s="8">
        <v>45128</v>
      </c>
      <c r="AC246" s="4"/>
      <c r="AD246" s="4"/>
    </row>
    <row r="247" spans="1:30" hidden="1">
      <c r="A247" s="4">
        <v>504</v>
      </c>
      <c r="B247" s="8">
        <v>45128</v>
      </c>
      <c r="C247" s="4"/>
      <c r="D247" s="4" t="s">
        <v>397</v>
      </c>
      <c r="E247" s="8">
        <v>45122</v>
      </c>
      <c r="F247" s="4" t="s">
        <v>43</v>
      </c>
      <c r="G247" s="16" t="s">
        <v>44</v>
      </c>
      <c r="H247" s="4" t="s">
        <v>45</v>
      </c>
      <c r="I247" s="4" t="s">
        <v>517</v>
      </c>
      <c r="J247" s="10">
        <v>2.351</v>
      </c>
      <c r="K247" s="10">
        <v>2.351</v>
      </c>
      <c r="L247" s="10">
        <f t="shared" ref="L247" si="47">M247+U247</f>
        <v>0</v>
      </c>
      <c r="M247" s="10">
        <f t="shared" ref="M247" si="48">SUM(N247:T247)</f>
        <v>0</v>
      </c>
      <c r="N247" s="10"/>
      <c r="O247" s="10"/>
      <c r="P247" s="10">
        <v>0</v>
      </c>
      <c r="Q247" s="10"/>
      <c r="R247" s="10"/>
      <c r="S247" s="10"/>
      <c r="T247" s="10"/>
      <c r="U247" s="10"/>
      <c r="V247" s="4" t="s">
        <v>466</v>
      </c>
      <c r="W247" s="4" t="s">
        <v>900</v>
      </c>
      <c r="X247" s="8">
        <v>45125</v>
      </c>
      <c r="Y247" s="4"/>
      <c r="Z247" s="4"/>
      <c r="AA247" s="8">
        <v>45128</v>
      </c>
      <c r="AB247" s="8">
        <v>45128</v>
      </c>
      <c r="AC247" s="4"/>
      <c r="AD247" s="4"/>
    </row>
    <row r="248" spans="1:30" hidden="1">
      <c r="A248" s="4">
        <v>504</v>
      </c>
      <c r="B248" s="8">
        <v>45111</v>
      </c>
      <c r="C248" s="4"/>
      <c r="D248" s="4" t="s">
        <v>397</v>
      </c>
      <c r="E248" s="8">
        <v>45122</v>
      </c>
      <c r="F248" s="4" t="s">
        <v>43</v>
      </c>
      <c r="G248" s="16" t="s">
        <v>44</v>
      </c>
      <c r="H248" s="4" t="s">
        <v>45</v>
      </c>
      <c r="I248" s="4" t="s">
        <v>400</v>
      </c>
      <c r="J248" s="10">
        <v>9.4329199999999993</v>
      </c>
      <c r="K248" s="10">
        <f>2.177+6.306+1.041</f>
        <v>9.5240000000000009</v>
      </c>
      <c r="L248" s="10">
        <f t="shared" si="45"/>
        <v>0</v>
      </c>
      <c r="M248" s="10">
        <f t="shared" si="46"/>
        <v>0</v>
      </c>
      <c r="N248" s="10"/>
      <c r="O248" s="10"/>
      <c r="P248" s="10">
        <v>0</v>
      </c>
      <c r="Q248" s="10"/>
      <c r="R248" s="10"/>
      <c r="S248" s="10"/>
      <c r="T248" s="10"/>
      <c r="U248" s="10"/>
      <c r="V248" s="4" t="s">
        <v>466</v>
      </c>
      <c r="W248" s="4"/>
      <c r="X248" s="8">
        <v>45125</v>
      </c>
      <c r="Y248" s="4"/>
      <c r="Z248" s="4"/>
      <c r="AA248" s="8">
        <v>45129</v>
      </c>
      <c r="AB248" s="8">
        <v>45136</v>
      </c>
      <c r="AC248" s="4"/>
      <c r="AD248" s="4"/>
    </row>
    <row r="249" spans="1:30" hidden="1">
      <c r="A249" s="4">
        <v>504</v>
      </c>
      <c r="B249" s="8">
        <v>45111</v>
      </c>
      <c r="C249" s="4"/>
      <c r="D249" s="4" t="s">
        <v>397</v>
      </c>
      <c r="E249" s="8">
        <v>45122</v>
      </c>
      <c r="F249" s="4" t="s">
        <v>43</v>
      </c>
      <c r="G249" s="16" t="s">
        <v>44</v>
      </c>
      <c r="H249" s="4" t="s">
        <v>45</v>
      </c>
      <c r="I249" s="4" t="s">
        <v>46</v>
      </c>
      <c r="J249" s="10">
        <v>7.8490499999999992</v>
      </c>
      <c r="K249" s="10">
        <f>6.234+1.795</f>
        <v>8.0289999999999999</v>
      </c>
      <c r="L249" s="10">
        <f t="shared" si="45"/>
        <v>0</v>
      </c>
      <c r="M249" s="10">
        <f t="shared" si="46"/>
        <v>0</v>
      </c>
      <c r="N249" s="10"/>
      <c r="O249" s="10"/>
      <c r="P249" s="10">
        <v>0</v>
      </c>
      <c r="Q249" s="10"/>
      <c r="R249" s="10"/>
      <c r="S249" s="10"/>
      <c r="T249" s="10"/>
      <c r="U249" s="10"/>
      <c r="V249" s="4" t="s">
        <v>466</v>
      </c>
      <c r="W249" s="4"/>
      <c r="X249" s="8">
        <v>45125</v>
      </c>
      <c r="Y249" s="4"/>
      <c r="Z249" s="4"/>
      <c r="AA249" s="8">
        <v>45129</v>
      </c>
      <c r="AB249" s="8">
        <v>45131</v>
      </c>
      <c r="AC249" s="4"/>
      <c r="AD249" s="4"/>
    </row>
    <row r="250" spans="1:30" hidden="1">
      <c r="A250" s="4">
        <v>504</v>
      </c>
      <c r="B250" s="8">
        <v>45111</v>
      </c>
      <c r="C250" s="4"/>
      <c r="D250" s="4" t="s">
        <v>397</v>
      </c>
      <c r="E250" s="8">
        <v>45122</v>
      </c>
      <c r="F250" s="4" t="s">
        <v>43</v>
      </c>
      <c r="G250" s="16" t="s">
        <v>44</v>
      </c>
      <c r="H250" s="4" t="s">
        <v>45</v>
      </c>
      <c r="I250" s="4" t="s">
        <v>517</v>
      </c>
      <c r="J250" s="10">
        <v>11.173889999999998</v>
      </c>
      <c r="K250" s="10">
        <f>4.084+7.09</f>
        <v>11.173999999999999</v>
      </c>
      <c r="L250" s="10">
        <f t="shared" si="45"/>
        <v>0</v>
      </c>
      <c r="M250" s="10">
        <f t="shared" si="46"/>
        <v>0</v>
      </c>
      <c r="N250" s="10"/>
      <c r="O250" s="10"/>
      <c r="P250" s="10">
        <v>0</v>
      </c>
      <c r="Q250" s="10"/>
      <c r="R250" s="10"/>
      <c r="S250" s="10"/>
      <c r="T250" s="10"/>
      <c r="U250" s="10"/>
      <c r="V250" s="4" t="s">
        <v>466</v>
      </c>
      <c r="W250" s="4" t="s">
        <v>37</v>
      </c>
      <c r="X250" s="8">
        <v>45138</v>
      </c>
      <c r="Y250" s="4"/>
      <c r="Z250" s="4"/>
      <c r="AA250" s="8">
        <v>45143</v>
      </c>
      <c r="AB250" s="8"/>
      <c r="AC250" s="4"/>
      <c r="AD250" s="4"/>
    </row>
    <row r="251" spans="1:30" hidden="1">
      <c r="A251" s="4">
        <v>504</v>
      </c>
      <c r="B251" s="8">
        <v>45111</v>
      </c>
      <c r="C251" s="4"/>
      <c r="D251" s="4" t="s">
        <v>397</v>
      </c>
      <c r="E251" s="8">
        <v>45122</v>
      </c>
      <c r="F251" s="4" t="s">
        <v>43</v>
      </c>
      <c r="G251" s="16" t="s">
        <v>44</v>
      </c>
      <c r="H251" s="4" t="s">
        <v>45</v>
      </c>
      <c r="I251" s="4" t="s">
        <v>837</v>
      </c>
      <c r="J251" s="10">
        <v>30.289124999999999</v>
      </c>
      <c r="K251" s="10">
        <f>14.256+16.033</f>
        <v>30.289000000000001</v>
      </c>
      <c r="L251" s="10">
        <f t="shared" si="45"/>
        <v>0</v>
      </c>
      <c r="M251" s="10">
        <f t="shared" si="46"/>
        <v>0</v>
      </c>
      <c r="N251" s="10"/>
      <c r="O251" s="10">
        <v>0</v>
      </c>
      <c r="P251" s="10">
        <v>0</v>
      </c>
      <c r="Q251" s="10"/>
      <c r="R251" s="10"/>
      <c r="S251" s="10"/>
      <c r="T251" s="10"/>
      <c r="U251" s="10"/>
      <c r="V251" s="4" t="s">
        <v>466</v>
      </c>
      <c r="W251" s="4" t="s">
        <v>956</v>
      </c>
      <c r="X251" s="8">
        <v>45120</v>
      </c>
      <c r="Y251" s="4"/>
      <c r="Z251" s="4"/>
      <c r="AA251" s="8">
        <v>45143</v>
      </c>
      <c r="AB251" s="8">
        <v>45144</v>
      </c>
      <c r="AC251" s="4"/>
      <c r="AD251" s="4"/>
    </row>
    <row r="252" spans="1:30" hidden="1">
      <c r="A252" s="4">
        <v>504</v>
      </c>
      <c r="B252" s="8">
        <v>45111</v>
      </c>
      <c r="C252" s="4"/>
      <c r="D252" s="4" t="s">
        <v>397</v>
      </c>
      <c r="E252" s="8">
        <v>45122</v>
      </c>
      <c r="F252" s="4" t="s">
        <v>43</v>
      </c>
      <c r="G252" s="16" t="s">
        <v>44</v>
      </c>
      <c r="H252" s="4" t="s">
        <v>45</v>
      </c>
      <c r="I252" s="4" t="s">
        <v>449</v>
      </c>
      <c r="J252" s="10">
        <v>4.0811999999999999</v>
      </c>
      <c r="K252" s="10">
        <f>2.043+2.043</f>
        <v>4.0860000000000003</v>
      </c>
      <c r="L252" s="10">
        <f t="shared" si="45"/>
        <v>0</v>
      </c>
      <c r="M252" s="10">
        <f t="shared" si="46"/>
        <v>0</v>
      </c>
      <c r="N252" s="10"/>
      <c r="O252" s="10"/>
      <c r="P252" s="10">
        <v>0</v>
      </c>
      <c r="Q252" s="10"/>
      <c r="R252" s="10"/>
      <c r="S252" s="10"/>
      <c r="T252" s="10"/>
      <c r="U252" s="10"/>
      <c r="V252" s="4" t="s">
        <v>466</v>
      </c>
      <c r="W252" s="4" t="s">
        <v>37</v>
      </c>
      <c r="X252" s="8">
        <v>45132</v>
      </c>
      <c r="Y252" s="4"/>
      <c r="Z252" s="4"/>
      <c r="AA252" s="8">
        <v>45144</v>
      </c>
      <c r="AB252" s="8">
        <v>45144</v>
      </c>
      <c r="AC252" s="4"/>
      <c r="AD252" s="4"/>
    </row>
    <row r="253" spans="1:30" hidden="1">
      <c r="A253" s="4">
        <v>503</v>
      </c>
      <c r="B253" s="8">
        <v>45111</v>
      </c>
      <c r="C253" s="4"/>
      <c r="D253" s="4" t="s">
        <v>397</v>
      </c>
      <c r="E253" s="8">
        <v>45130</v>
      </c>
      <c r="F253" s="4" t="s">
        <v>43</v>
      </c>
      <c r="G253" s="15" t="s">
        <v>848</v>
      </c>
      <c r="H253" s="4" t="s">
        <v>45</v>
      </c>
      <c r="I253" s="4" t="s">
        <v>519</v>
      </c>
      <c r="J253" s="10">
        <v>2.76</v>
      </c>
      <c r="K253" s="10">
        <v>2.76</v>
      </c>
      <c r="L253" s="10">
        <f t="shared" si="45"/>
        <v>0</v>
      </c>
      <c r="M253" s="10">
        <f t="shared" si="46"/>
        <v>0</v>
      </c>
      <c r="N253" s="10"/>
      <c r="O253" s="10">
        <v>0</v>
      </c>
      <c r="P253" s="10"/>
      <c r="Q253" s="10"/>
      <c r="R253" s="10"/>
      <c r="S253" s="10"/>
      <c r="T253" s="10"/>
      <c r="U253" s="10"/>
      <c r="V253" s="4" t="s">
        <v>572</v>
      </c>
      <c r="W253" s="4"/>
      <c r="X253" s="8">
        <v>45138</v>
      </c>
      <c r="Y253" s="4"/>
      <c r="Z253" s="4"/>
      <c r="AA253" s="8">
        <v>45144</v>
      </c>
      <c r="AB253" s="8">
        <v>45144</v>
      </c>
      <c r="AC253" s="4"/>
      <c r="AD253" s="4"/>
    </row>
    <row r="254" spans="1:30" hidden="1">
      <c r="A254" s="4">
        <v>503</v>
      </c>
      <c r="B254" s="8">
        <v>45111</v>
      </c>
      <c r="C254" s="4"/>
      <c r="D254" s="4" t="s">
        <v>397</v>
      </c>
      <c r="E254" s="8">
        <v>45130</v>
      </c>
      <c r="F254" s="4" t="s">
        <v>43</v>
      </c>
      <c r="G254" s="15" t="s">
        <v>848</v>
      </c>
      <c r="H254" s="4" t="s">
        <v>45</v>
      </c>
      <c r="I254" s="4" t="s">
        <v>579</v>
      </c>
      <c r="J254" s="10">
        <v>3.7919999999999994</v>
      </c>
      <c r="K254" s="10">
        <v>3.8140000000000001</v>
      </c>
      <c r="L254" s="10">
        <f t="shared" si="45"/>
        <v>0</v>
      </c>
      <c r="M254" s="10">
        <f t="shared" si="46"/>
        <v>0</v>
      </c>
      <c r="N254" s="10"/>
      <c r="O254" s="10"/>
      <c r="P254" s="10">
        <v>0</v>
      </c>
      <c r="Q254" s="10"/>
      <c r="R254" s="10"/>
      <c r="S254" s="10"/>
      <c r="T254" s="10"/>
      <c r="U254" s="10"/>
      <c r="V254" s="4" t="s">
        <v>572</v>
      </c>
      <c r="W254" s="4" t="s">
        <v>37</v>
      </c>
      <c r="X254" s="8">
        <v>45138</v>
      </c>
      <c r="Y254" s="4"/>
      <c r="Z254" s="4"/>
      <c r="AA254" s="8">
        <v>45144</v>
      </c>
      <c r="AB254" s="8">
        <v>45144</v>
      </c>
      <c r="AC254" s="4"/>
      <c r="AD254" s="4"/>
    </row>
    <row r="255" spans="1:30" hidden="1">
      <c r="A255" s="4">
        <v>503</v>
      </c>
      <c r="B255" s="8">
        <v>45111</v>
      </c>
      <c r="C255" s="4"/>
      <c r="D255" s="4" t="s">
        <v>397</v>
      </c>
      <c r="E255" s="8">
        <v>45130</v>
      </c>
      <c r="F255" s="4" t="s">
        <v>43</v>
      </c>
      <c r="G255" s="15" t="s">
        <v>849</v>
      </c>
      <c r="H255" s="4" t="s">
        <v>52</v>
      </c>
      <c r="I255" s="4" t="s">
        <v>49</v>
      </c>
      <c r="J255" s="10">
        <v>2.1840000000000002</v>
      </c>
      <c r="K255" s="10">
        <v>2.1840000000000002</v>
      </c>
      <c r="L255" s="10">
        <f t="shared" si="45"/>
        <v>0</v>
      </c>
      <c r="M255" s="10">
        <f t="shared" si="46"/>
        <v>0</v>
      </c>
      <c r="N255" s="10"/>
      <c r="O255" s="10"/>
      <c r="P255" s="10">
        <v>0</v>
      </c>
      <c r="Q255" s="10"/>
      <c r="R255" s="10"/>
      <c r="S255" s="10"/>
      <c r="T255" s="10"/>
      <c r="U255" s="10"/>
      <c r="V255" s="4" t="s">
        <v>572</v>
      </c>
      <c r="W255" s="4"/>
      <c r="X255" s="8">
        <v>45129</v>
      </c>
      <c r="Y255" s="4"/>
      <c r="Z255" s="4"/>
      <c r="AA255" s="8">
        <v>45132</v>
      </c>
      <c r="AB255" s="8">
        <v>45132</v>
      </c>
      <c r="AC255" s="4"/>
      <c r="AD255" s="4"/>
    </row>
    <row r="256" spans="1:30" hidden="1">
      <c r="A256" s="4">
        <v>503</v>
      </c>
      <c r="B256" s="8">
        <v>45111</v>
      </c>
      <c r="C256" s="4"/>
      <c r="D256" s="4" t="s">
        <v>397</v>
      </c>
      <c r="E256" s="8">
        <v>45130</v>
      </c>
      <c r="F256" s="4" t="s">
        <v>43</v>
      </c>
      <c r="G256" s="15" t="s">
        <v>849</v>
      </c>
      <c r="H256" s="4" t="s">
        <v>52</v>
      </c>
      <c r="I256" s="4" t="s">
        <v>50</v>
      </c>
      <c r="J256" s="10">
        <v>18.345599999999997</v>
      </c>
      <c r="K256" s="10">
        <v>18.475999999999999</v>
      </c>
      <c r="L256" s="10">
        <f t="shared" si="45"/>
        <v>0</v>
      </c>
      <c r="M256" s="10">
        <f t="shared" si="46"/>
        <v>0</v>
      </c>
      <c r="N256" s="10"/>
      <c r="O256" s="10"/>
      <c r="P256" s="10">
        <v>0</v>
      </c>
      <c r="Q256" s="10"/>
      <c r="R256" s="10"/>
      <c r="S256" s="10"/>
      <c r="T256" s="10"/>
      <c r="U256" s="10"/>
      <c r="V256" s="4" t="s">
        <v>572</v>
      </c>
      <c r="W256" s="4"/>
      <c r="X256" s="8">
        <v>45129</v>
      </c>
      <c r="Y256" s="4"/>
      <c r="Z256" s="4"/>
      <c r="AA256" s="8">
        <v>45132</v>
      </c>
      <c r="AB256" s="8">
        <v>45132</v>
      </c>
      <c r="AC256" s="4"/>
      <c r="AD256" s="4"/>
    </row>
    <row r="257" spans="1:30" hidden="1">
      <c r="A257" s="4">
        <v>503</v>
      </c>
      <c r="B257" s="8">
        <v>45111</v>
      </c>
      <c r="C257" s="4"/>
      <c r="D257" s="4" t="s">
        <v>397</v>
      </c>
      <c r="E257" s="8">
        <v>45130</v>
      </c>
      <c r="F257" s="4" t="s">
        <v>43</v>
      </c>
      <c r="G257" s="15" t="s">
        <v>849</v>
      </c>
      <c r="H257" s="4" t="s">
        <v>52</v>
      </c>
      <c r="I257" s="4" t="s">
        <v>588</v>
      </c>
      <c r="J257" s="10">
        <v>5.9256000000000002</v>
      </c>
      <c r="K257" s="10">
        <v>5.94</v>
      </c>
      <c r="L257" s="10">
        <f t="shared" si="45"/>
        <v>0</v>
      </c>
      <c r="M257" s="10">
        <f t="shared" si="46"/>
        <v>0</v>
      </c>
      <c r="N257" s="10"/>
      <c r="O257" s="10"/>
      <c r="P257" s="10">
        <v>0</v>
      </c>
      <c r="Q257" s="10"/>
      <c r="R257" s="10"/>
      <c r="S257" s="10"/>
      <c r="T257" s="10"/>
      <c r="U257" s="10"/>
      <c r="V257" s="4" t="s">
        <v>572</v>
      </c>
      <c r="W257" s="4"/>
      <c r="X257" s="8">
        <v>45129</v>
      </c>
      <c r="Y257" s="4"/>
      <c r="Z257" s="4"/>
      <c r="AA257" s="8">
        <v>45132</v>
      </c>
      <c r="AB257" s="8">
        <v>45132</v>
      </c>
      <c r="AC257" s="4"/>
      <c r="AD257" s="4"/>
    </row>
    <row r="258" spans="1:30" hidden="1">
      <c r="A258" s="4">
        <v>502</v>
      </c>
      <c r="B258" s="8">
        <v>45111</v>
      </c>
      <c r="C258" s="4"/>
      <c r="D258" s="4" t="s">
        <v>397</v>
      </c>
      <c r="E258" s="8">
        <v>45130</v>
      </c>
      <c r="F258" s="4" t="s">
        <v>43</v>
      </c>
      <c r="G258" s="40" t="s">
        <v>60</v>
      </c>
      <c r="H258" s="4" t="s">
        <v>45</v>
      </c>
      <c r="I258" s="4" t="s">
        <v>56</v>
      </c>
      <c r="J258" s="10">
        <v>0.25680000000000003</v>
      </c>
      <c r="K258" s="10">
        <v>0.25700000000000001</v>
      </c>
      <c r="L258" s="10">
        <f t="shared" si="45"/>
        <v>0</v>
      </c>
      <c r="M258" s="10">
        <f t="shared" si="46"/>
        <v>0</v>
      </c>
      <c r="N258" s="10"/>
      <c r="O258" s="10"/>
      <c r="P258" s="10">
        <v>0</v>
      </c>
      <c r="Q258" s="10"/>
      <c r="R258" s="10"/>
      <c r="S258" s="10"/>
      <c r="T258" s="10"/>
      <c r="U258" s="10"/>
      <c r="V258" s="4" t="s">
        <v>85</v>
      </c>
      <c r="W258" s="4"/>
      <c r="X258" s="8">
        <v>45121</v>
      </c>
      <c r="Y258" s="4"/>
      <c r="Z258" s="4"/>
      <c r="AA258" s="8">
        <v>45129</v>
      </c>
      <c r="AB258" s="8">
        <v>45129</v>
      </c>
      <c r="AC258" s="4"/>
      <c r="AD258" s="4"/>
    </row>
    <row r="259" spans="1:30" hidden="1">
      <c r="A259" s="4">
        <v>502</v>
      </c>
      <c r="B259" s="8">
        <v>45111</v>
      </c>
      <c r="C259" s="4"/>
      <c r="D259" s="4" t="s">
        <v>397</v>
      </c>
      <c r="E259" s="8">
        <v>45130</v>
      </c>
      <c r="F259" s="4" t="s">
        <v>43</v>
      </c>
      <c r="G259" s="40" t="s">
        <v>60</v>
      </c>
      <c r="H259" s="4" t="s">
        <v>45</v>
      </c>
      <c r="I259" s="4" t="s">
        <v>49</v>
      </c>
      <c r="J259" s="10">
        <v>0.30940000000000001</v>
      </c>
      <c r="K259" s="10">
        <v>0.309</v>
      </c>
      <c r="L259" s="10">
        <f t="shared" si="45"/>
        <v>0</v>
      </c>
      <c r="M259" s="10">
        <f t="shared" si="46"/>
        <v>0</v>
      </c>
      <c r="N259" s="10"/>
      <c r="O259" s="10"/>
      <c r="P259" s="10">
        <v>0</v>
      </c>
      <c r="Q259" s="10"/>
      <c r="R259" s="10"/>
      <c r="S259" s="10"/>
      <c r="T259" s="10"/>
      <c r="U259" s="10"/>
      <c r="V259" s="4" t="s">
        <v>85</v>
      </c>
      <c r="W259" s="4"/>
      <c r="X259" s="8">
        <v>45128</v>
      </c>
      <c r="Y259" s="4"/>
      <c r="Z259" s="4"/>
      <c r="AA259" s="8">
        <v>45136</v>
      </c>
      <c r="AB259" s="8">
        <v>45136</v>
      </c>
      <c r="AC259" s="4"/>
      <c r="AD259" s="4"/>
    </row>
    <row r="260" spans="1:30" hidden="1">
      <c r="A260" s="4">
        <v>502</v>
      </c>
      <c r="B260" s="8">
        <v>45111</v>
      </c>
      <c r="C260" s="4"/>
      <c r="D260" s="4" t="s">
        <v>397</v>
      </c>
      <c r="E260" s="8">
        <v>45130</v>
      </c>
      <c r="F260" s="4" t="s">
        <v>43</v>
      </c>
      <c r="G260" s="40" t="s">
        <v>60</v>
      </c>
      <c r="H260" s="4" t="s">
        <v>45</v>
      </c>
      <c r="I260" s="4" t="s">
        <v>409</v>
      </c>
      <c r="J260" s="10">
        <v>0.28320000000000001</v>
      </c>
      <c r="K260" s="10">
        <v>0.28299999999999997</v>
      </c>
      <c r="L260" s="10">
        <f t="shared" si="45"/>
        <v>0</v>
      </c>
      <c r="M260" s="10">
        <f t="shared" si="46"/>
        <v>0</v>
      </c>
      <c r="N260" s="10"/>
      <c r="O260" s="10"/>
      <c r="P260" s="10">
        <v>0</v>
      </c>
      <c r="Q260" s="10"/>
      <c r="R260" s="10"/>
      <c r="S260" s="10"/>
      <c r="T260" s="10"/>
      <c r="U260" s="10"/>
      <c r="V260" s="4" t="s">
        <v>85</v>
      </c>
      <c r="W260" s="4"/>
      <c r="X260" s="8">
        <v>45130</v>
      </c>
      <c r="Y260" s="4"/>
      <c r="Z260" s="4"/>
      <c r="AA260" s="8">
        <v>45136</v>
      </c>
      <c r="AB260" s="8">
        <v>45136</v>
      </c>
      <c r="AC260" s="4"/>
      <c r="AD260" s="4"/>
    </row>
    <row r="261" spans="1:30" hidden="1">
      <c r="A261" s="4">
        <v>502</v>
      </c>
      <c r="B261" s="8">
        <v>45111</v>
      </c>
      <c r="C261" s="4"/>
      <c r="D261" s="4" t="s">
        <v>397</v>
      </c>
      <c r="E261" s="8">
        <v>45130</v>
      </c>
      <c r="F261" s="4" t="s">
        <v>43</v>
      </c>
      <c r="G261" s="40" t="s">
        <v>60</v>
      </c>
      <c r="H261" s="4" t="s">
        <v>45</v>
      </c>
      <c r="I261" s="4" t="s">
        <v>579</v>
      </c>
      <c r="J261" s="10">
        <v>1.0111999999999999</v>
      </c>
      <c r="K261" s="10">
        <v>1.1379999999999999</v>
      </c>
      <c r="L261" s="10">
        <f t="shared" si="45"/>
        <v>0</v>
      </c>
      <c r="M261" s="10">
        <f t="shared" si="46"/>
        <v>0</v>
      </c>
      <c r="N261" s="10"/>
      <c r="O261" s="10">
        <v>0</v>
      </c>
      <c r="P261" s="10"/>
      <c r="Q261" s="10"/>
      <c r="R261" s="10"/>
      <c r="S261" s="10"/>
      <c r="T261" s="10"/>
      <c r="U261" s="10"/>
      <c r="V261" s="4" t="s">
        <v>85</v>
      </c>
      <c r="W261" s="4"/>
      <c r="X261" s="8"/>
      <c r="Y261" s="4"/>
      <c r="Z261" s="4"/>
      <c r="AA261" s="8">
        <v>45136</v>
      </c>
      <c r="AB261" s="8">
        <v>45136</v>
      </c>
      <c r="AC261" s="4"/>
      <c r="AD261" s="4"/>
    </row>
    <row r="262" spans="1:30" hidden="1">
      <c r="A262" s="4">
        <v>502</v>
      </c>
      <c r="B262" s="8">
        <v>45111</v>
      </c>
      <c r="C262" s="4"/>
      <c r="D262" s="4" t="s">
        <v>397</v>
      </c>
      <c r="E262" s="8">
        <v>45130</v>
      </c>
      <c r="F262" s="4" t="s">
        <v>43</v>
      </c>
      <c r="G262" s="40" t="s">
        <v>60</v>
      </c>
      <c r="H262" s="4" t="s">
        <v>45</v>
      </c>
      <c r="I262" s="4" t="s">
        <v>449</v>
      </c>
      <c r="J262" s="10">
        <v>3.7694999999999999</v>
      </c>
      <c r="K262" s="10">
        <v>3.77</v>
      </c>
      <c r="L262" s="10">
        <f t="shared" si="45"/>
        <v>0</v>
      </c>
      <c r="M262" s="10">
        <f t="shared" si="46"/>
        <v>0</v>
      </c>
      <c r="N262" s="10"/>
      <c r="O262" s="10"/>
      <c r="P262" s="10">
        <v>0</v>
      </c>
      <c r="Q262" s="10"/>
      <c r="R262" s="10"/>
      <c r="S262" s="10"/>
      <c r="T262" s="10"/>
      <c r="U262" s="10"/>
      <c r="V262" s="4" t="s">
        <v>85</v>
      </c>
      <c r="W262" s="4"/>
      <c r="X262" s="8">
        <v>45136</v>
      </c>
      <c r="Y262" s="4"/>
      <c r="Z262" s="4"/>
      <c r="AA262" s="8">
        <v>45143</v>
      </c>
      <c r="AB262" s="8">
        <v>45143</v>
      </c>
      <c r="AC262" s="4"/>
      <c r="AD262" s="4"/>
    </row>
    <row r="263" spans="1:30" hidden="1">
      <c r="A263" s="4">
        <v>502</v>
      </c>
      <c r="B263" s="8">
        <v>45111</v>
      </c>
      <c r="C263" s="4"/>
      <c r="D263" s="4" t="s">
        <v>397</v>
      </c>
      <c r="E263" s="8">
        <v>45130</v>
      </c>
      <c r="F263" s="4" t="s">
        <v>43</v>
      </c>
      <c r="G263" s="40" t="s">
        <v>60</v>
      </c>
      <c r="H263" s="4" t="s">
        <v>45</v>
      </c>
      <c r="I263" s="4" t="s">
        <v>432</v>
      </c>
      <c r="J263" s="10">
        <v>1.3974000000000002</v>
      </c>
      <c r="K263" s="10">
        <f>1.312+0.158</f>
        <v>1.47</v>
      </c>
      <c r="L263" s="10">
        <f t="shared" si="45"/>
        <v>0</v>
      </c>
      <c r="M263" s="10">
        <f t="shared" si="46"/>
        <v>0</v>
      </c>
      <c r="N263" s="10"/>
      <c r="O263" s="10"/>
      <c r="P263" s="10"/>
      <c r="Q263" s="10"/>
      <c r="R263" s="10"/>
      <c r="S263" s="10"/>
      <c r="T263" s="10"/>
      <c r="U263" s="10"/>
      <c r="V263" s="4" t="s">
        <v>85</v>
      </c>
      <c r="W263" s="4"/>
      <c r="X263" s="8">
        <v>45145</v>
      </c>
      <c r="Y263" s="4"/>
      <c r="Z263" s="4"/>
      <c r="AA263" s="8">
        <v>45147</v>
      </c>
      <c r="AB263" s="8"/>
      <c r="AC263" s="4"/>
      <c r="AD263" s="4"/>
    </row>
    <row r="264" spans="1:30" hidden="1">
      <c r="A264" s="4">
        <v>502</v>
      </c>
      <c r="B264" s="8">
        <v>45111</v>
      </c>
      <c r="C264" s="4"/>
      <c r="D264" s="4" t="s">
        <v>397</v>
      </c>
      <c r="E264" s="8">
        <v>45130</v>
      </c>
      <c r="F264" s="4" t="s">
        <v>43</v>
      </c>
      <c r="G264" s="40" t="s">
        <v>60</v>
      </c>
      <c r="H264" s="4" t="s">
        <v>45</v>
      </c>
      <c r="I264" s="4" t="s">
        <v>89</v>
      </c>
      <c r="J264" s="10">
        <v>0.27389999999999998</v>
      </c>
      <c r="K264" s="10">
        <v>0.28100000000000003</v>
      </c>
      <c r="L264" s="10">
        <f t="shared" si="45"/>
        <v>0</v>
      </c>
      <c r="M264" s="10">
        <f t="shared" si="46"/>
        <v>0</v>
      </c>
      <c r="N264" s="10"/>
      <c r="O264" s="10">
        <v>0</v>
      </c>
      <c r="P264" s="10"/>
      <c r="Q264" s="10"/>
      <c r="R264" s="10"/>
      <c r="S264" s="10"/>
      <c r="T264" s="10"/>
      <c r="U264" s="10"/>
      <c r="V264" s="4" t="s">
        <v>85</v>
      </c>
      <c r="W264" s="4"/>
      <c r="X264" s="8"/>
      <c r="Y264" s="4"/>
      <c r="Z264" s="4"/>
      <c r="AA264" s="8">
        <v>45136</v>
      </c>
      <c r="AB264" s="8">
        <v>45136</v>
      </c>
      <c r="AC264" s="4"/>
      <c r="AD264" s="4"/>
    </row>
    <row r="265" spans="1:30" hidden="1">
      <c r="A265" s="4">
        <v>502</v>
      </c>
      <c r="B265" s="8">
        <v>45111</v>
      </c>
      <c r="C265" s="4"/>
      <c r="D265" s="4" t="s">
        <v>397</v>
      </c>
      <c r="E265" s="8">
        <v>45130</v>
      </c>
      <c r="F265" s="4" t="s">
        <v>43</v>
      </c>
      <c r="G265" s="40" t="s">
        <v>60</v>
      </c>
      <c r="H265" s="4" t="s">
        <v>45</v>
      </c>
      <c r="I265" s="4" t="s">
        <v>87</v>
      </c>
      <c r="J265" s="10">
        <v>1.0378800000000001</v>
      </c>
      <c r="K265" s="10">
        <v>1.1279999999999999</v>
      </c>
      <c r="L265" s="10">
        <f t="shared" si="45"/>
        <v>0</v>
      </c>
      <c r="M265" s="10">
        <f t="shared" si="46"/>
        <v>0</v>
      </c>
      <c r="N265" s="10"/>
      <c r="O265" s="10"/>
      <c r="P265" s="10"/>
      <c r="Q265" s="10"/>
      <c r="R265" s="10"/>
      <c r="S265" s="10"/>
      <c r="T265" s="10"/>
      <c r="U265" s="10"/>
      <c r="V265" s="4" t="s">
        <v>85</v>
      </c>
      <c r="W265" s="4"/>
      <c r="X265" s="8"/>
      <c r="Y265" s="4"/>
      <c r="Z265" s="4"/>
      <c r="AA265" s="8">
        <v>45145</v>
      </c>
      <c r="AB265" s="8">
        <v>45145</v>
      </c>
      <c r="AC265" s="4"/>
      <c r="AD265" s="4"/>
    </row>
    <row r="266" spans="1:30" hidden="1">
      <c r="A266" s="4">
        <v>502</v>
      </c>
      <c r="B266" s="8">
        <v>45111</v>
      </c>
      <c r="C266" s="4"/>
      <c r="D266" s="4" t="s">
        <v>397</v>
      </c>
      <c r="E266" s="8">
        <v>45130</v>
      </c>
      <c r="F266" s="4" t="s">
        <v>43</v>
      </c>
      <c r="G266" s="40" t="s">
        <v>728</v>
      </c>
      <c r="H266" s="4" t="s">
        <v>52</v>
      </c>
      <c r="I266" s="4" t="s">
        <v>434</v>
      </c>
      <c r="J266" s="10">
        <v>7.7069999999999986E-2</v>
      </c>
      <c r="K266" s="10">
        <v>0.11600000000000001</v>
      </c>
      <c r="L266" s="10">
        <f t="shared" si="45"/>
        <v>0</v>
      </c>
      <c r="M266" s="10">
        <f t="shared" si="46"/>
        <v>0</v>
      </c>
      <c r="N266" s="10"/>
      <c r="O266" s="10">
        <v>0</v>
      </c>
      <c r="P266" s="10"/>
      <c r="Q266" s="10"/>
      <c r="R266" s="10"/>
      <c r="S266" s="10"/>
      <c r="T266" s="10"/>
      <c r="U266" s="10"/>
      <c r="V266" s="4" t="s">
        <v>85</v>
      </c>
      <c r="W266" s="4"/>
      <c r="X266" s="8"/>
      <c r="Y266" s="4"/>
      <c r="Z266" s="4"/>
      <c r="AA266" s="8">
        <v>45136</v>
      </c>
      <c r="AB266" s="8">
        <v>45136</v>
      </c>
      <c r="AC266" s="4"/>
      <c r="AD266" s="4"/>
    </row>
    <row r="267" spans="1:30" hidden="1">
      <c r="A267" s="4">
        <v>505</v>
      </c>
      <c r="B267" s="8">
        <v>45111</v>
      </c>
      <c r="C267" s="4"/>
      <c r="D267" s="4" t="s">
        <v>397</v>
      </c>
      <c r="E267" s="8">
        <v>45145</v>
      </c>
      <c r="F267" s="4" t="s">
        <v>43</v>
      </c>
      <c r="G267" s="16" t="s">
        <v>51</v>
      </c>
      <c r="H267" s="4" t="s">
        <v>52</v>
      </c>
      <c r="I267" s="4" t="s">
        <v>729</v>
      </c>
      <c r="J267" s="10">
        <v>24.1632</v>
      </c>
      <c r="K267" s="10">
        <v>27.056000000000001</v>
      </c>
      <c r="L267" s="10">
        <f t="shared" si="45"/>
        <v>0</v>
      </c>
      <c r="M267" s="10">
        <f t="shared" si="46"/>
        <v>0</v>
      </c>
      <c r="N267" s="10"/>
      <c r="O267" s="10"/>
      <c r="P267" s="10"/>
      <c r="Q267" s="10"/>
      <c r="R267" s="10"/>
      <c r="S267" s="10"/>
      <c r="T267" s="10"/>
      <c r="U267" s="10"/>
      <c r="V267" s="4" t="s">
        <v>826</v>
      </c>
      <c r="W267" s="4"/>
      <c r="X267" s="8"/>
      <c r="Y267" s="4"/>
      <c r="Z267" s="4"/>
      <c r="AA267" s="8">
        <v>45148</v>
      </c>
      <c r="AB267" s="8"/>
      <c r="AC267" s="4"/>
      <c r="AD267" s="4"/>
    </row>
    <row r="268" spans="1:30" hidden="1">
      <c r="A268" s="4">
        <v>537</v>
      </c>
      <c r="B268" s="8">
        <v>45119</v>
      </c>
      <c r="C268" s="4"/>
      <c r="D268" s="4" t="s">
        <v>397</v>
      </c>
      <c r="E268" s="8">
        <v>45130</v>
      </c>
      <c r="F268" s="4" t="s">
        <v>43</v>
      </c>
      <c r="G268" s="16" t="s">
        <v>44</v>
      </c>
      <c r="H268" s="4" t="s">
        <v>45</v>
      </c>
      <c r="I268" s="4" t="s">
        <v>588</v>
      </c>
      <c r="J268" s="10">
        <v>0.136125</v>
      </c>
      <c r="K268" s="10">
        <v>0.18</v>
      </c>
      <c r="L268" s="10">
        <f t="shared" ref="L268:L272" si="49">M268+U268</f>
        <v>0</v>
      </c>
      <c r="M268" s="10">
        <f t="shared" ref="M268:M272" si="50">SUM(N268:T268)</f>
        <v>0</v>
      </c>
      <c r="N268" s="10"/>
      <c r="O268" s="10"/>
      <c r="P268" s="10">
        <v>0</v>
      </c>
      <c r="Q268" s="10"/>
      <c r="R268" s="10"/>
      <c r="S268" s="10"/>
      <c r="T268" s="10"/>
      <c r="U268" s="10"/>
      <c r="V268" s="4" t="s">
        <v>846</v>
      </c>
      <c r="W268" s="4"/>
      <c r="X268" s="8">
        <v>45129</v>
      </c>
      <c r="Y268" s="4"/>
      <c r="Z268" s="4"/>
      <c r="AA268" s="8">
        <v>45136</v>
      </c>
      <c r="AB268" s="8">
        <v>45136</v>
      </c>
      <c r="AC268" s="4"/>
      <c r="AD268" s="4"/>
    </row>
    <row r="269" spans="1:30" hidden="1">
      <c r="A269" s="4">
        <v>537</v>
      </c>
      <c r="B269" s="8">
        <v>45119</v>
      </c>
      <c r="C269" s="4"/>
      <c r="D269" s="4" t="s">
        <v>397</v>
      </c>
      <c r="E269" s="8">
        <v>45130</v>
      </c>
      <c r="F269" s="4" t="s">
        <v>43</v>
      </c>
      <c r="G269" s="16" t="s">
        <v>44</v>
      </c>
      <c r="H269" s="4" t="s">
        <v>45</v>
      </c>
      <c r="I269" s="4" t="s">
        <v>246</v>
      </c>
      <c r="J269" s="10">
        <v>4.5304999999999998E-2</v>
      </c>
      <c r="K269" s="10">
        <v>6.6000000000000003E-2</v>
      </c>
      <c r="L269" s="10">
        <f t="shared" si="49"/>
        <v>0</v>
      </c>
      <c r="M269" s="10">
        <f t="shared" si="50"/>
        <v>0</v>
      </c>
      <c r="N269" s="10"/>
      <c r="O269" s="10"/>
      <c r="P269" s="10">
        <v>0</v>
      </c>
      <c r="Q269" s="10"/>
      <c r="R269" s="10"/>
      <c r="S269" s="10"/>
      <c r="T269" s="10"/>
      <c r="U269" s="10"/>
      <c r="V269" s="4" t="s">
        <v>846</v>
      </c>
      <c r="W269" s="4" t="s">
        <v>521</v>
      </c>
      <c r="X269" s="8"/>
      <c r="Y269" s="4"/>
      <c r="Z269" s="4"/>
      <c r="AA269" s="8">
        <v>45136</v>
      </c>
      <c r="AB269" s="8">
        <v>45136</v>
      </c>
      <c r="AC269" s="4"/>
      <c r="AD269" s="4"/>
    </row>
    <row r="270" spans="1:30" hidden="1">
      <c r="A270" s="4">
        <v>537</v>
      </c>
      <c r="B270" s="8">
        <v>45119</v>
      </c>
      <c r="C270" s="4"/>
      <c r="D270" s="4" t="s">
        <v>397</v>
      </c>
      <c r="E270" s="8">
        <v>45130</v>
      </c>
      <c r="F270" s="4" t="s">
        <v>43</v>
      </c>
      <c r="G270" s="40" t="s">
        <v>60</v>
      </c>
      <c r="H270" s="4" t="s">
        <v>45</v>
      </c>
      <c r="I270" s="4" t="s">
        <v>409</v>
      </c>
      <c r="J270" s="10">
        <v>0.1416</v>
      </c>
      <c r="K270" s="10">
        <v>0.17899999999999999</v>
      </c>
      <c r="L270" s="10">
        <f t="shared" si="49"/>
        <v>0</v>
      </c>
      <c r="M270" s="10">
        <f t="shared" si="50"/>
        <v>0</v>
      </c>
      <c r="N270" s="10"/>
      <c r="O270" s="10"/>
      <c r="P270" s="10">
        <v>0</v>
      </c>
      <c r="Q270" s="10"/>
      <c r="R270" s="10"/>
      <c r="S270" s="10"/>
      <c r="T270" s="10"/>
      <c r="U270" s="10"/>
      <c r="V270" s="4" t="s">
        <v>85</v>
      </c>
      <c r="W270" s="4"/>
      <c r="X270" s="8">
        <v>45130</v>
      </c>
      <c r="Y270" s="4"/>
      <c r="Z270" s="4"/>
      <c r="AA270" s="8">
        <v>45136</v>
      </c>
      <c r="AB270" s="8">
        <v>45136</v>
      </c>
      <c r="AC270" s="4"/>
      <c r="AD270" s="4"/>
    </row>
    <row r="271" spans="1:30" hidden="1">
      <c r="A271" s="4">
        <v>537</v>
      </c>
      <c r="B271" s="8">
        <v>45119</v>
      </c>
      <c r="C271" s="4"/>
      <c r="D271" s="4" t="s">
        <v>397</v>
      </c>
      <c r="E271" s="8">
        <v>45130</v>
      </c>
      <c r="F271" s="4" t="s">
        <v>43</v>
      </c>
      <c r="G271" s="40" t="s">
        <v>60</v>
      </c>
      <c r="H271" s="4" t="s">
        <v>45</v>
      </c>
      <c r="I271" s="4" t="s">
        <v>449</v>
      </c>
      <c r="J271" s="10">
        <v>1.6514000000000002</v>
      </c>
      <c r="K271" s="10">
        <v>1.68</v>
      </c>
      <c r="L271" s="10">
        <f t="shared" si="49"/>
        <v>0</v>
      </c>
      <c r="M271" s="10">
        <f t="shared" si="50"/>
        <v>0</v>
      </c>
      <c r="N271" s="10"/>
      <c r="O271" s="10">
        <v>0</v>
      </c>
      <c r="P271" s="10"/>
      <c r="Q271" s="10"/>
      <c r="R271" s="10"/>
      <c r="S271" s="10"/>
      <c r="T271" s="10"/>
      <c r="U271" s="10"/>
      <c r="V271" s="4" t="s">
        <v>85</v>
      </c>
      <c r="W271" s="4"/>
      <c r="X271" s="8">
        <v>45132</v>
      </c>
      <c r="Y271" s="4"/>
      <c r="Z271" s="4"/>
      <c r="AA271" s="8">
        <v>45136</v>
      </c>
      <c r="AB271" s="8">
        <v>45136</v>
      </c>
      <c r="AC271" s="4"/>
      <c r="AD271" s="4"/>
    </row>
    <row r="272" spans="1:30" hidden="1">
      <c r="A272" s="4">
        <v>537</v>
      </c>
      <c r="B272" s="8">
        <v>45119</v>
      </c>
      <c r="C272" s="4"/>
      <c r="D272" s="4" t="s">
        <v>397</v>
      </c>
      <c r="E272" s="8">
        <v>45130</v>
      </c>
      <c r="F272" s="4" t="s">
        <v>43</v>
      </c>
      <c r="G272" s="40" t="s">
        <v>60</v>
      </c>
      <c r="H272" s="4" t="s">
        <v>45</v>
      </c>
      <c r="I272" s="4" t="s">
        <v>447</v>
      </c>
      <c r="J272" s="10">
        <v>0.24059999999999998</v>
      </c>
      <c r="K272" s="10">
        <v>0.24099999999999999</v>
      </c>
      <c r="L272" s="10">
        <f t="shared" si="49"/>
        <v>0</v>
      </c>
      <c r="M272" s="10">
        <f t="shared" si="50"/>
        <v>0</v>
      </c>
      <c r="N272" s="10"/>
      <c r="O272" s="10"/>
      <c r="P272" s="10">
        <v>0</v>
      </c>
      <c r="Q272" s="10"/>
      <c r="R272" s="10"/>
      <c r="S272" s="10"/>
      <c r="T272" s="10"/>
      <c r="U272" s="10"/>
      <c r="V272" s="4" t="s">
        <v>85</v>
      </c>
      <c r="W272" s="4"/>
      <c r="X272" s="8">
        <v>45132</v>
      </c>
      <c r="Y272" s="4"/>
      <c r="Z272" s="4"/>
      <c r="AA272" s="8">
        <v>45136</v>
      </c>
      <c r="AB272" s="8">
        <v>45136</v>
      </c>
      <c r="AC272" s="4"/>
      <c r="AD272" s="4"/>
    </row>
    <row r="273" spans="1:30" hidden="1">
      <c r="A273" s="4">
        <v>569</v>
      </c>
      <c r="B273" s="8">
        <v>45135</v>
      </c>
      <c r="C273" s="4"/>
      <c r="D273" s="4" t="s">
        <v>42</v>
      </c>
      <c r="E273" s="8">
        <v>45145</v>
      </c>
      <c r="F273" s="4" t="s">
        <v>840</v>
      </c>
      <c r="G273" s="16" t="s">
        <v>44</v>
      </c>
      <c r="H273" s="4" t="s">
        <v>45</v>
      </c>
      <c r="I273" s="4" t="s">
        <v>54</v>
      </c>
      <c r="J273" s="10">
        <v>7.5931999999999995</v>
      </c>
      <c r="K273" s="10">
        <v>7.593</v>
      </c>
      <c r="L273" s="10">
        <f t="shared" ref="L273:L278" si="51">M273+U273</f>
        <v>0</v>
      </c>
      <c r="M273" s="10">
        <f t="shared" ref="M273:M278" si="52">SUM(N273:T273)</f>
        <v>0</v>
      </c>
      <c r="N273" s="10"/>
      <c r="O273" s="10"/>
      <c r="P273" s="10">
        <v>0</v>
      </c>
      <c r="Q273" s="10"/>
      <c r="R273" s="10"/>
      <c r="S273" s="10"/>
      <c r="T273" s="10"/>
      <c r="U273" s="10"/>
      <c r="V273" s="4" t="s">
        <v>841</v>
      </c>
      <c r="W273" s="4"/>
      <c r="X273" s="8">
        <v>45162</v>
      </c>
      <c r="Y273" s="4"/>
      <c r="Z273" s="4"/>
      <c r="AA273" s="8">
        <v>45184</v>
      </c>
      <c r="AB273" s="8">
        <v>45184</v>
      </c>
      <c r="AC273" s="4"/>
      <c r="AD273" s="4"/>
    </row>
    <row r="274" spans="1:30" hidden="1">
      <c r="A274" s="4">
        <v>569</v>
      </c>
      <c r="B274" s="8">
        <v>45135</v>
      </c>
      <c r="C274" s="4"/>
      <c r="D274" s="4" t="s">
        <v>42</v>
      </c>
      <c r="E274" s="8">
        <v>45145</v>
      </c>
      <c r="F274" s="4" t="s">
        <v>840</v>
      </c>
      <c r="G274" s="16" t="s">
        <v>44</v>
      </c>
      <c r="H274" s="4" t="s">
        <v>45</v>
      </c>
      <c r="I274" s="4" t="s">
        <v>56</v>
      </c>
      <c r="J274" s="10">
        <v>9.7986360000000001</v>
      </c>
      <c r="K274" s="10">
        <v>9.798</v>
      </c>
      <c r="L274" s="10">
        <f t="shared" si="51"/>
        <v>0</v>
      </c>
      <c r="M274" s="10">
        <f t="shared" si="52"/>
        <v>0</v>
      </c>
      <c r="N274" s="10"/>
      <c r="O274" s="10"/>
      <c r="P274" s="10">
        <v>0</v>
      </c>
      <c r="Q274" s="10"/>
      <c r="R274" s="10"/>
      <c r="S274" s="10"/>
      <c r="T274" s="10"/>
      <c r="U274" s="10"/>
      <c r="V274" s="4" t="s">
        <v>841</v>
      </c>
      <c r="W274" s="4"/>
      <c r="X274" s="8">
        <v>45162</v>
      </c>
      <c r="Y274" s="4"/>
      <c r="Z274" s="4"/>
      <c r="AA274" s="8">
        <v>45184</v>
      </c>
      <c r="AB274" s="8">
        <v>45184</v>
      </c>
      <c r="AC274" s="4"/>
      <c r="AD274" s="4"/>
    </row>
    <row r="275" spans="1:30" hidden="1">
      <c r="A275" s="4">
        <v>569</v>
      </c>
      <c r="B275" s="8">
        <v>45135</v>
      </c>
      <c r="C275" s="4"/>
      <c r="D275" s="4" t="s">
        <v>42</v>
      </c>
      <c r="E275" s="8">
        <v>45145</v>
      </c>
      <c r="F275" s="4" t="s">
        <v>840</v>
      </c>
      <c r="G275" s="16" t="s">
        <v>44</v>
      </c>
      <c r="H275" s="4" t="s">
        <v>45</v>
      </c>
      <c r="I275" s="4" t="s">
        <v>48</v>
      </c>
      <c r="J275" s="10">
        <v>8.7696000000000005</v>
      </c>
      <c r="K275" s="10">
        <f>5.846+2.923</f>
        <v>8.7690000000000001</v>
      </c>
      <c r="L275" s="10">
        <f t="shared" si="51"/>
        <v>0</v>
      </c>
      <c r="M275" s="10">
        <f t="shared" si="52"/>
        <v>0</v>
      </c>
      <c r="N275" s="10"/>
      <c r="O275" s="10"/>
      <c r="P275" s="10">
        <v>0</v>
      </c>
      <c r="Q275" s="10"/>
      <c r="R275" s="10"/>
      <c r="S275" s="10"/>
      <c r="T275" s="10"/>
      <c r="U275" s="10"/>
      <c r="V275" s="4" t="s">
        <v>841</v>
      </c>
      <c r="W275" s="4"/>
      <c r="X275" s="8">
        <v>45162</v>
      </c>
      <c r="Y275" s="4"/>
      <c r="Z275" s="4"/>
      <c r="AA275" s="8">
        <v>45184</v>
      </c>
      <c r="AB275" s="8">
        <v>45184</v>
      </c>
      <c r="AC275" s="4"/>
      <c r="AD275" s="4"/>
    </row>
    <row r="276" spans="1:30" hidden="1">
      <c r="A276" s="4">
        <v>569</v>
      </c>
      <c r="B276" s="8">
        <v>45135</v>
      </c>
      <c r="C276" s="4"/>
      <c r="D276" s="4" t="s">
        <v>42</v>
      </c>
      <c r="E276" s="8">
        <v>45145</v>
      </c>
      <c r="F276" s="4" t="s">
        <v>840</v>
      </c>
      <c r="G276" s="16" t="s">
        <v>44</v>
      </c>
      <c r="H276" s="4" t="s">
        <v>45</v>
      </c>
      <c r="I276" s="4" t="s">
        <v>405</v>
      </c>
      <c r="J276" s="10">
        <v>7.1512200000000004</v>
      </c>
      <c r="K276" s="10">
        <v>7.181</v>
      </c>
      <c r="L276" s="10">
        <f t="shared" si="51"/>
        <v>0</v>
      </c>
      <c r="M276" s="10">
        <f t="shared" si="52"/>
        <v>0</v>
      </c>
      <c r="N276" s="10"/>
      <c r="O276" s="10"/>
      <c r="P276" s="10">
        <v>0</v>
      </c>
      <c r="Q276" s="10"/>
      <c r="R276" s="10"/>
      <c r="S276" s="10"/>
      <c r="T276" s="10"/>
      <c r="U276" s="10"/>
      <c r="V276" s="4" t="s">
        <v>841</v>
      </c>
      <c r="W276" s="4"/>
      <c r="X276" s="8">
        <v>45164</v>
      </c>
      <c r="Y276" s="4"/>
      <c r="Z276" s="4"/>
      <c r="AA276" s="8">
        <v>45184</v>
      </c>
      <c r="AB276" s="8">
        <v>45184</v>
      </c>
      <c r="AC276" s="4"/>
      <c r="AD276" s="4"/>
    </row>
    <row r="277" spans="1:30" hidden="1">
      <c r="A277" s="4">
        <v>569</v>
      </c>
      <c r="B277" s="8">
        <v>45135</v>
      </c>
      <c r="C277" s="4"/>
      <c r="D277" s="4" t="s">
        <v>42</v>
      </c>
      <c r="E277" s="8">
        <v>45145</v>
      </c>
      <c r="F277" s="4" t="s">
        <v>840</v>
      </c>
      <c r="G277" s="16" t="s">
        <v>44</v>
      </c>
      <c r="H277" s="4" t="s">
        <v>45</v>
      </c>
      <c r="I277" s="4" t="s">
        <v>400</v>
      </c>
      <c r="J277" s="10">
        <v>20.47418</v>
      </c>
      <c r="K277" s="10">
        <f>9.958+4.891+5.648</f>
        <v>20.497</v>
      </c>
      <c r="L277" s="10">
        <f t="shared" si="51"/>
        <v>0</v>
      </c>
      <c r="M277" s="10">
        <f t="shared" si="52"/>
        <v>0</v>
      </c>
      <c r="N277" s="10"/>
      <c r="O277" s="10"/>
      <c r="P277" s="10">
        <v>0</v>
      </c>
      <c r="Q277" s="10"/>
      <c r="R277" s="10"/>
      <c r="S277" s="10"/>
      <c r="T277" s="10"/>
      <c r="U277" s="10"/>
      <c r="V277" s="4" t="s">
        <v>841</v>
      </c>
      <c r="W277" s="4"/>
      <c r="X277" s="8">
        <v>45164</v>
      </c>
      <c r="Y277" s="4"/>
      <c r="Z277" s="4"/>
      <c r="AA277" s="8">
        <v>45184</v>
      </c>
      <c r="AB277" s="8">
        <v>45185</v>
      </c>
      <c r="AC277" s="4"/>
      <c r="AD277" s="4"/>
    </row>
    <row r="278" spans="1:30" hidden="1">
      <c r="A278" s="4">
        <v>569</v>
      </c>
      <c r="B278" s="8">
        <v>45135</v>
      </c>
      <c r="C278" s="4"/>
      <c r="D278" s="4" t="s">
        <v>42</v>
      </c>
      <c r="E278" s="8">
        <v>45145</v>
      </c>
      <c r="F278" s="4" t="s">
        <v>840</v>
      </c>
      <c r="G278" s="16" t="s">
        <v>44</v>
      </c>
      <c r="H278" s="4" t="s">
        <v>45</v>
      </c>
      <c r="I278" s="4" t="s">
        <v>46</v>
      </c>
      <c r="J278" s="10">
        <v>7.1555999999999997</v>
      </c>
      <c r="K278" s="10">
        <v>7.1559999999999997</v>
      </c>
      <c r="L278" s="10">
        <f t="shared" si="51"/>
        <v>0</v>
      </c>
      <c r="M278" s="10">
        <f t="shared" si="52"/>
        <v>0</v>
      </c>
      <c r="N278" s="10"/>
      <c r="O278" s="10"/>
      <c r="P278" s="10">
        <v>0</v>
      </c>
      <c r="Q278" s="10"/>
      <c r="R278" s="10"/>
      <c r="S278" s="10"/>
      <c r="T278" s="10"/>
      <c r="U278" s="10"/>
      <c r="V278" s="4" t="s">
        <v>841</v>
      </c>
      <c r="W278" s="4"/>
      <c r="X278" s="8">
        <v>45164</v>
      </c>
      <c r="Y278" s="4"/>
      <c r="Z278" s="4"/>
      <c r="AA278" s="8">
        <v>45185</v>
      </c>
      <c r="AB278" s="8">
        <v>45185</v>
      </c>
      <c r="AC278" s="4"/>
      <c r="AD278" s="4"/>
    </row>
    <row r="279" spans="1:30" hidden="1">
      <c r="A279" s="4">
        <v>569</v>
      </c>
      <c r="B279" s="8">
        <v>45135</v>
      </c>
      <c r="C279" s="4"/>
      <c r="D279" s="4" t="s">
        <v>42</v>
      </c>
      <c r="E279" s="8">
        <v>45145</v>
      </c>
      <c r="F279" s="4" t="s">
        <v>840</v>
      </c>
      <c r="G279" s="16" t="s">
        <v>44</v>
      </c>
      <c r="H279" s="4" t="s">
        <v>45</v>
      </c>
      <c r="I279" s="4" t="s">
        <v>587</v>
      </c>
      <c r="J279" s="10">
        <v>13.207019999999998</v>
      </c>
      <c r="K279" s="10">
        <f>2.349+9.46+0.929+0.684</f>
        <v>13.422000000000001</v>
      </c>
      <c r="L279" s="10">
        <f t="shared" ref="L279:L332" si="53">M279+U279</f>
        <v>0</v>
      </c>
      <c r="M279" s="10">
        <f t="shared" ref="M279:M332" si="54">SUM(N279:T279)</f>
        <v>0</v>
      </c>
      <c r="N279" s="10"/>
      <c r="O279" s="10"/>
      <c r="P279" s="10">
        <v>0</v>
      </c>
      <c r="Q279" s="10"/>
      <c r="R279" s="10"/>
      <c r="S279" s="10"/>
      <c r="T279" s="10"/>
      <c r="U279" s="10"/>
      <c r="V279" s="4" t="s">
        <v>841</v>
      </c>
      <c r="W279" s="4"/>
      <c r="X279" s="8">
        <v>45141</v>
      </c>
      <c r="Y279" s="4"/>
      <c r="Z279" s="4"/>
      <c r="AA279" s="8">
        <v>45160</v>
      </c>
      <c r="AB279" s="8"/>
      <c r="AC279" s="4"/>
      <c r="AD279" s="4"/>
    </row>
    <row r="280" spans="1:30" hidden="1">
      <c r="A280" s="4">
        <v>569</v>
      </c>
      <c r="B280" s="8">
        <v>45135</v>
      </c>
      <c r="C280" s="4"/>
      <c r="D280" s="4" t="s">
        <v>42</v>
      </c>
      <c r="E280" s="8">
        <v>45145</v>
      </c>
      <c r="F280" s="4" t="s">
        <v>840</v>
      </c>
      <c r="G280" s="16" t="s">
        <v>44</v>
      </c>
      <c r="H280" s="4" t="s">
        <v>45</v>
      </c>
      <c r="I280" s="4" t="s">
        <v>50</v>
      </c>
      <c r="J280" s="10">
        <v>11.187045999999999</v>
      </c>
      <c r="K280" s="10">
        <f>6.425+4.833</f>
        <v>11.257999999999999</v>
      </c>
      <c r="L280" s="10">
        <f t="shared" si="53"/>
        <v>0</v>
      </c>
      <c r="M280" s="10">
        <f t="shared" si="54"/>
        <v>0</v>
      </c>
      <c r="N280" s="10"/>
      <c r="O280" s="10"/>
      <c r="P280" s="10">
        <v>0</v>
      </c>
      <c r="Q280" s="10"/>
      <c r="R280" s="10"/>
      <c r="S280" s="10"/>
      <c r="T280" s="10"/>
      <c r="U280" s="10"/>
      <c r="V280" s="4" t="s">
        <v>841</v>
      </c>
      <c r="W280" s="4"/>
      <c r="X280" s="8">
        <v>45141</v>
      </c>
      <c r="Y280" s="4"/>
      <c r="Z280" s="4"/>
      <c r="AA280" s="8">
        <v>45161</v>
      </c>
      <c r="AB280" s="8">
        <v>45162</v>
      </c>
      <c r="AC280" s="4"/>
      <c r="AD280" s="4"/>
    </row>
    <row r="281" spans="1:30" hidden="1">
      <c r="A281" s="4">
        <v>569</v>
      </c>
      <c r="B281" s="8">
        <v>45135</v>
      </c>
      <c r="C281" s="4"/>
      <c r="D281" s="4" t="s">
        <v>42</v>
      </c>
      <c r="E281" s="8">
        <v>45145</v>
      </c>
      <c r="F281" s="4" t="s">
        <v>840</v>
      </c>
      <c r="G281" s="16" t="s">
        <v>44</v>
      </c>
      <c r="H281" s="4" t="s">
        <v>45</v>
      </c>
      <c r="I281" s="4" t="s">
        <v>588</v>
      </c>
      <c r="J281" s="10">
        <v>0.8580000000000001</v>
      </c>
      <c r="K281" s="10">
        <v>0.85799999999999998</v>
      </c>
      <c r="L281" s="10">
        <f t="shared" si="53"/>
        <v>0</v>
      </c>
      <c r="M281" s="10">
        <f t="shared" si="54"/>
        <v>0</v>
      </c>
      <c r="N281" s="10"/>
      <c r="O281" s="10"/>
      <c r="P281" s="10">
        <v>0</v>
      </c>
      <c r="Q281" s="10"/>
      <c r="R281" s="10"/>
      <c r="S281" s="10"/>
      <c r="T281" s="10"/>
      <c r="U281" s="10"/>
      <c r="V281" s="4" t="s">
        <v>841</v>
      </c>
      <c r="W281" s="4"/>
      <c r="X281" s="8">
        <v>45141</v>
      </c>
      <c r="Y281" s="4"/>
      <c r="Z281" s="4"/>
      <c r="AA281" s="8">
        <v>45161</v>
      </c>
      <c r="AB281" s="8">
        <v>45161</v>
      </c>
      <c r="AC281" s="4"/>
      <c r="AD281" s="4"/>
    </row>
    <row r="282" spans="1:30" hidden="1">
      <c r="A282" s="4">
        <v>569</v>
      </c>
      <c r="B282" s="8">
        <v>45135</v>
      </c>
      <c r="C282" s="4"/>
      <c r="D282" s="4" t="s">
        <v>42</v>
      </c>
      <c r="E282" s="8">
        <v>45145</v>
      </c>
      <c r="F282" s="4" t="s">
        <v>840</v>
      </c>
      <c r="G282" s="16" t="s">
        <v>44</v>
      </c>
      <c r="H282" s="4" t="s">
        <v>45</v>
      </c>
      <c r="I282" s="4" t="s">
        <v>408</v>
      </c>
      <c r="J282" s="10">
        <v>0.24087</v>
      </c>
      <c r="K282" s="10">
        <v>0.24099999999999999</v>
      </c>
      <c r="L282" s="10">
        <f t="shared" si="53"/>
        <v>0</v>
      </c>
      <c r="M282" s="10">
        <f t="shared" si="54"/>
        <v>0</v>
      </c>
      <c r="N282" s="10"/>
      <c r="O282" s="10"/>
      <c r="P282" s="10">
        <v>0</v>
      </c>
      <c r="Q282" s="10"/>
      <c r="R282" s="10"/>
      <c r="S282" s="10"/>
      <c r="T282" s="10"/>
      <c r="U282" s="10"/>
      <c r="V282" s="4" t="s">
        <v>841</v>
      </c>
      <c r="W282" s="4"/>
      <c r="X282" s="8">
        <v>45143</v>
      </c>
      <c r="Y282" s="4"/>
      <c r="Z282" s="4"/>
      <c r="AA282" s="8">
        <v>45160</v>
      </c>
      <c r="AB282" s="8">
        <v>45160</v>
      </c>
      <c r="AC282" s="4"/>
      <c r="AD282" s="4"/>
    </row>
    <row r="283" spans="1:30" hidden="1">
      <c r="A283" s="4">
        <v>569</v>
      </c>
      <c r="B283" s="8">
        <v>45135</v>
      </c>
      <c r="C283" s="4"/>
      <c r="D283" s="4" t="s">
        <v>42</v>
      </c>
      <c r="E283" s="8">
        <v>45145</v>
      </c>
      <c r="F283" s="4" t="s">
        <v>840</v>
      </c>
      <c r="G283" s="16" t="s">
        <v>44</v>
      </c>
      <c r="H283" s="4" t="s">
        <v>45</v>
      </c>
      <c r="I283" s="4" t="s">
        <v>410</v>
      </c>
      <c r="J283" s="10">
        <v>7.3470800000000001</v>
      </c>
      <c r="K283" s="10">
        <f>2.452+4.513+0.382</f>
        <v>7.3469999999999995</v>
      </c>
      <c r="L283" s="10">
        <f t="shared" si="53"/>
        <v>0</v>
      </c>
      <c r="M283" s="10">
        <f t="shared" si="54"/>
        <v>0</v>
      </c>
      <c r="N283" s="10"/>
      <c r="O283" s="10"/>
      <c r="P283" s="10">
        <v>0</v>
      </c>
      <c r="Q283" s="10"/>
      <c r="R283" s="10"/>
      <c r="S283" s="10"/>
      <c r="T283" s="10"/>
      <c r="U283" s="10"/>
      <c r="V283" s="4" t="s">
        <v>841</v>
      </c>
      <c r="W283" s="4"/>
      <c r="X283" s="8"/>
      <c r="Y283" s="4"/>
      <c r="Z283" s="4"/>
      <c r="AA283" s="8">
        <v>45161</v>
      </c>
      <c r="AB283" s="8">
        <v>45162</v>
      </c>
      <c r="AC283" s="4"/>
      <c r="AD283" s="4"/>
    </row>
    <row r="284" spans="1:30" hidden="1">
      <c r="A284" s="4">
        <v>569</v>
      </c>
      <c r="B284" s="8">
        <v>45135</v>
      </c>
      <c r="C284" s="4"/>
      <c r="D284" s="4" t="s">
        <v>42</v>
      </c>
      <c r="E284" s="8">
        <v>45145</v>
      </c>
      <c r="F284" s="4" t="s">
        <v>840</v>
      </c>
      <c r="G284" s="16" t="s">
        <v>44</v>
      </c>
      <c r="H284" s="4" t="s">
        <v>45</v>
      </c>
      <c r="I284" s="4" t="s">
        <v>47</v>
      </c>
      <c r="J284" s="10">
        <v>10.335600000000001</v>
      </c>
      <c r="K284" s="10">
        <f>1.604+8.732</f>
        <v>10.335999999999999</v>
      </c>
      <c r="L284" s="10">
        <f t="shared" si="53"/>
        <v>0</v>
      </c>
      <c r="M284" s="10">
        <f t="shared" si="54"/>
        <v>0</v>
      </c>
      <c r="N284" s="10"/>
      <c r="O284" s="10"/>
      <c r="P284" s="10">
        <v>0</v>
      </c>
      <c r="Q284" s="10"/>
      <c r="R284" s="10"/>
      <c r="S284" s="10"/>
      <c r="T284" s="10"/>
      <c r="U284" s="10"/>
      <c r="V284" s="4" t="s">
        <v>841</v>
      </c>
      <c r="W284" s="4"/>
      <c r="X284" s="8"/>
      <c r="Y284" s="4"/>
      <c r="Z284" s="4"/>
      <c r="AA284" s="8">
        <v>45160</v>
      </c>
      <c r="AB284" s="8">
        <v>45161</v>
      </c>
      <c r="AC284" s="4"/>
      <c r="AD284" s="4"/>
    </row>
    <row r="285" spans="1:30" hidden="1">
      <c r="A285" s="4">
        <v>569</v>
      </c>
      <c r="B285" s="8">
        <v>45135</v>
      </c>
      <c r="C285" s="4"/>
      <c r="D285" s="4" t="s">
        <v>42</v>
      </c>
      <c r="E285" s="8">
        <v>45145</v>
      </c>
      <c r="F285" s="4" t="s">
        <v>840</v>
      </c>
      <c r="G285" s="16" t="s">
        <v>44</v>
      </c>
      <c r="H285" s="4" t="s">
        <v>45</v>
      </c>
      <c r="I285" s="4" t="s">
        <v>474</v>
      </c>
      <c r="J285" s="10">
        <v>4.4587509999999995</v>
      </c>
      <c r="K285" s="10">
        <v>4.4619999999999997</v>
      </c>
      <c r="L285" s="10">
        <f t="shared" si="53"/>
        <v>0</v>
      </c>
      <c r="M285" s="10">
        <f t="shared" si="54"/>
        <v>0</v>
      </c>
      <c r="N285" s="10"/>
      <c r="O285" s="10"/>
      <c r="P285" s="10">
        <v>0</v>
      </c>
      <c r="Q285" s="10"/>
      <c r="R285" s="10"/>
      <c r="S285" s="10"/>
      <c r="T285" s="10"/>
      <c r="U285" s="10"/>
      <c r="V285" s="4" t="s">
        <v>841</v>
      </c>
      <c r="W285" s="4"/>
      <c r="X285" s="8"/>
      <c r="Y285" s="4"/>
      <c r="Z285" s="4"/>
      <c r="AA285" s="8">
        <v>45176</v>
      </c>
      <c r="AB285" s="8">
        <v>45176</v>
      </c>
      <c r="AC285" s="4"/>
      <c r="AD285" s="4"/>
    </row>
    <row r="286" spans="1:30" hidden="1">
      <c r="A286" s="4">
        <v>569</v>
      </c>
      <c r="B286" s="8">
        <v>45135</v>
      </c>
      <c r="C286" s="4"/>
      <c r="D286" s="4" t="s">
        <v>42</v>
      </c>
      <c r="E286" s="8">
        <v>45145</v>
      </c>
      <c r="F286" s="4" t="s">
        <v>840</v>
      </c>
      <c r="G286" s="16" t="s">
        <v>44</v>
      </c>
      <c r="H286" s="4" t="s">
        <v>45</v>
      </c>
      <c r="I286" s="4" t="s">
        <v>434</v>
      </c>
      <c r="J286" s="10">
        <v>7.1833600000000004</v>
      </c>
      <c r="K286" s="10">
        <v>7.2270000000000003</v>
      </c>
      <c r="L286" s="10">
        <f t="shared" si="53"/>
        <v>0</v>
      </c>
      <c r="M286" s="10">
        <f t="shared" si="54"/>
        <v>0</v>
      </c>
      <c r="N286" s="10"/>
      <c r="O286" s="10"/>
      <c r="P286" s="10">
        <v>0</v>
      </c>
      <c r="Q286" s="10"/>
      <c r="R286" s="10"/>
      <c r="S286" s="10"/>
      <c r="T286" s="10"/>
      <c r="U286" s="10"/>
      <c r="V286" s="4" t="s">
        <v>841</v>
      </c>
      <c r="W286" s="4"/>
      <c r="X286" s="8"/>
      <c r="Y286" s="4"/>
      <c r="Z286" s="4"/>
      <c r="AA286" s="8">
        <v>45176</v>
      </c>
      <c r="AB286" s="8">
        <v>45176</v>
      </c>
      <c r="AC286" s="4"/>
      <c r="AD286" s="4"/>
    </row>
    <row r="287" spans="1:30" hidden="1">
      <c r="A287" s="4">
        <v>569</v>
      </c>
      <c r="B287" s="8">
        <v>45135</v>
      </c>
      <c r="C287" s="4"/>
      <c r="D287" s="4" t="s">
        <v>42</v>
      </c>
      <c r="E287" s="8">
        <v>45145</v>
      </c>
      <c r="F287" s="4" t="s">
        <v>840</v>
      </c>
      <c r="G287" s="16" t="s">
        <v>44</v>
      </c>
      <c r="H287" s="4" t="s">
        <v>45</v>
      </c>
      <c r="I287" s="4" t="s">
        <v>577</v>
      </c>
      <c r="J287" s="10">
        <v>4.4677699999999998</v>
      </c>
      <c r="K287" s="10">
        <v>4.468</v>
      </c>
      <c r="L287" s="10">
        <f t="shared" si="53"/>
        <v>0</v>
      </c>
      <c r="M287" s="10">
        <f t="shared" si="54"/>
        <v>0</v>
      </c>
      <c r="N287" s="10"/>
      <c r="O287" s="10"/>
      <c r="P287" s="10">
        <v>0</v>
      </c>
      <c r="Q287" s="10"/>
      <c r="R287" s="10"/>
      <c r="S287" s="10"/>
      <c r="T287" s="10"/>
      <c r="U287" s="10"/>
      <c r="V287" s="4" t="s">
        <v>841</v>
      </c>
      <c r="W287" s="4"/>
      <c r="X287" s="8"/>
      <c r="Y287" s="4"/>
      <c r="Z287" s="4"/>
      <c r="AA287" s="8"/>
      <c r="AB287" s="8"/>
      <c r="AC287" s="4"/>
      <c r="AD287" s="4"/>
    </row>
    <row r="288" spans="1:30" hidden="1">
      <c r="A288" s="4">
        <v>569</v>
      </c>
      <c r="B288" s="8">
        <v>45135</v>
      </c>
      <c r="C288" s="4"/>
      <c r="D288" s="4" t="s">
        <v>42</v>
      </c>
      <c r="E288" s="8">
        <v>45145</v>
      </c>
      <c r="F288" s="4" t="s">
        <v>840</v>
      </c>
      <c r="G288" s="16" t="s">
        <v>44</v>
      </c>
      <c r="H288" s="4" t="s">
        <v>45</v>
      </c>
      <c r="I288" s="4" t="s">
        <v>89</v>
      </c>
      <c r="J288" s="10">
        <v>7.4879999999999995</v>
      </c>
      <c r="K288" s="10">
        <f>7.322+0.166</f>
        <v>7.4880000000000004</v>
      </c>
      <c r="L288" s="10">
        <f t="shared" si="53"/>
        <v>0</v>
      </c>
      <c r="M288" s="10">
        <f t="shared" si="54"/>
        <v>0</v>
      </c>
      <c r="N288" s="10"/>
      <c r="O288" s="10"/>
      <c r="P288" s="10">
        <v>0</v>
      </c>
      <c r="Q288" s="10"/>
      <c r="R288" s="10"/>
      <c r="S288" s="10"/>
      <c r="T288" s="10"/>
      <c r="U288" s="10"/>
      <c r="V288" s="4" t="s">
        <v>841</v>
      </c>
      <c r="W288" s="4"/>
      <c r="X288" s="8"/>
      <c r="Y288" s="4"/>
      <c r="Z288" s="4"/>
      <c r="AA288" s="8"/>
      <c r="AB288" s="8"/>
      <c r="AC288" s="4"/>
      <c r="AD288" s="4"/>
    </row>
    <row r="289" spans="1:30" hidden="1">
      <c r="A289" s="4">
        <v>569</v>
      </c>
      <c r="B289" s="8">
        <v>45135</v>
      </c>
      <c r="C289" s="4"/>
      <c r="D289" s="4"/>
      <c r="E289" s="8">
        <v>45145</v>
      </c>
      <c r="F289" s="4" t="s">
        <v>840</v>
      </c>
      <c r="G289" s="16" t="s">
        <v>51</v>
      </c>
      <c r="H289" s="4" t="s">
        <v>52</v>
      </c>
      <c r="I289" s="4" t="s">
        <v>54</v>
      </c>
      <c r="J289" s="10">
        <v>27.067906000000001</v>
      </c>
      <c r="K289" s="10">
        <f>26.257+1.006</f>
        <v>27.263000000000002</v>
      </c>
      <c r="L289" s="10">
        <f t="shared" si="53"/>
        <v>0</v>
      </c>
      <c r="M289" s="10">
        <f t="shared" si="54"/>
        <v>0</v>
      </c>
      <c r="N289" s="10"/>
      <c r="O289" s="10"/>
      <c r="P289" s="10">
        <v>0</v>
      </c>
      <c r="Q289" s="10"/>
      <c r="R289" s="10"/>
      <c r="S289" s="10"/>
      <c r="T289" s="10"/>
      <c r="U289" s="10"/>
      <c r="V289" s="4" t="s">
        <v>841</v>
      </c>
      <c r="W289" s="4"/>
      <c r="X289" s="8">
        <v>45162</v>
      </c>
      <c r="Y289" s="4"/>
      <c r="Z289" s="4"/>
      <c r="AA289" s="8">
        <v>45184</v>
      </c>
      <c r="AB289" s="8">
        <v>45185</v>
      </c>
      <c r="AC289" s="4"/>
      <c r="AD289" s="4"/>
    </row>
    <row r="290" spans="1:30" hidden="1">
      <c r="A290" s="4">
        <v>569</v>
      </c>
      <c r="B290" s="8">
        <v>45135</v>
      </c>
      <c r="C290" s="4"/>
      <c r="D290" s="4"/>
      <c r="E290" s="8">
        <v>45145</v>
      </c>
      <c r="F290" s="4" t="s">
        <v>840</v>
      </c>
      <c r="G290" s="16" t="s">
        <v>51</v>
      </c>
      <c r="H290" s="4" t="s">
        <v>52</v>
      </c>
      <c r="I290" s="4" t="s">
        <v>405</v>
      </c>
      <c r="J290" s="10">
        <v>5.4672000000000001</v>
      </c>
      <c r="K290" s="10">
        <v>5.5309999999999997</v>
      </c>
      <c r="L290" s="10">
        <f t="shared" si="53"/>
        <v>0</v>
      </c>
      <c r="M290" s="10">
        <f t="shared" si="54"/>
        <v>0</v>
      </c>
      <c r="N290" s="10"/>
      <c r="O290" s="10"/>
      <c r="P290" s="10">
        <v>0</v>
      </c>
      <c r="Q290" s="10"/>
      <c r="R290" s="10"/>
      <c r="S290" s="10"/>
      <c r="T290" s="10"/>
      <c r="U290" s="10"/>
      <c r="V290" s="4" t="s">
        <v>841</v>
      </c>
      <c r="W290" s="4"/>
      <c r="X290" s="8">
        <v>45164</v>
      </c>
      <c r="Y290" s="4"/>
      <c r="Z290" s="4"/>
      <c r="AA290" s="8">
        <v>45184</v>
      </c>
      <c r="AB290" s="8">
        <v>45184</v>
      </c>
      <c r="AC290" s="4"/>
      <c r="AD290" s="4"/>
    </row>
    <row r="291" spans="1:30" hidden="1">
      <c r="A291" s="4">
        <v>569</v>
      </c>
      <c r="B291" s="8">
        <v>45135</v>
      </c>
      <c r="C291" s="4"/>
      <c r="D291" s="4" t="s">
        <v>42</v>
      </c>
      <c r="E291" s="8">
        <v>45145</v>
      </c>
      <c r="F291" s="4" t="s">
        <v>840</v>
      </c>
      <c r="G291" s="16" t="s">
        <v>51</v>
      </c>
      <c r="H291" s="4" t="s">
        <v>52</v>
      </c>
      <c r="I291" s="4" t="s">
        <v>435</v>
      </c>
      <c r="J291" s="10">
        <v>4.5121400000000005</v>
      </c>
      <c r="K291" s="10">
        <v>4.5119999999999996</v>
      </c>
      <c r="L291" s="10">
        <f t="shared" si="53"/>
        <v>0</v>
      </c>
      <c r="M291" s="10">
        <f t="shared" si="54"/>
        <v>0</v>
      </c>
      <c r="N291" s="10"/>
      <c r="O291" s="10"/>
      <c r="P291" s="10">
        <v>0</v>
      </c>
      <c r="Q291" s="10"/>
      <c r="R291" s="10"/>
      <c r="S291" s="10"/>
      <c r="T291" s="10"/>
      <c r="U291" s="10"/>
      <c r="V291" s="4" t="s">
        <v>841</v>
      </c>
      <c r="W291" s="4" t="s">
        <v>422</v>
      </c>
      <c r="X291" s="8"/>
      <c r="Y291" s="4"/>
      <c r="Z291" s="4"/>
      <c r="AA291" s="8"/>
      <c r="AB291" s="8"/>
      <c r="AC291" s="4"/>
      <c r="AD291" s="4"/>
    </row>
    <row r="292" spans="1:30" hidden="1">
      <c r="A292" s="4">
        <v>569</v>
      </c>
      <c r="B292" s="8">
        <v>45135</v>
      </c>
      <c r="C292" s="4"/>
      <c r="D292" s="4" t="s">
        <v>42</v>
      </c>
      <c r="E292" s="8">
        <v>45145</v>
      </c>
      <c r="F292" s="4" t="s">
        <v>840</v>
      </c>
      <c r="G292" s="16" t="s">
        <v>51</v>
      </c>
      <c r="H292" s="4" t="s">
        <v>52</v>
      </c>
      <c r="I292" s="4" t="s">
        <v>474</v>
      </c>
      <c r="J292" s="10">
        <v>3.2022300000000001</v>
      </c>
      <c r="K292" s="10">
        <v>3.202</v>
      </c>
      <c r="L292" s="10">
        <f t="shared" si="53"/>
        <v>0</v>
      </c>
      <c r="M292" s="10">
        <f t="shared" si="54"/>
        <v>0</v>
      </c>
      <c r="N292" s="10"/>
      <c r="O292" s="10"/>
      <c r="P292" s="10">
        <v>0</v>
      </c>
      <c r="Q292" s="10"/>
      <c r="R292" s="10"/>
      <c r="S292" s="10"/>
      <c r="T292" s="10"/>
      <c r="U292" s="10"/>
      <c r="V292" s="4" t="s">
        <v>841</v>
      </c>
      <c r="W292" s="4"/>
      <c r="X292" s="8"/>
      <c r="Y292" s="4"/>
      <c r="Z292" s="4"/>
      <c r="AA292" s="8"/>
      <c r="AB292" s="8">
        <v>45178</v>
      </c>
      <c r="AC292" s="4"/>
      <c r="AD292" s="4"/>
    </row>
    <row r="293" spans="1:30" hidden="1">
      <c r="A293" s="4">
        <v>569</v>
      </c>
      <c r="B293" s="8">
        <v>45135</v>
      </c>
      <c r="C293" s="4"/>
      <c r="D293" s="4" t="s">
        <v>42</v>
      </c>
      <c r="E293" s="8">
        <v>45145</v>
      </c>
      <c r="F293" s="4" t="s">
        <v>840</v>
      </c>
      <c r="G293" s="16" t="s">
        <v>51</v>
      </c>
      <c r="H293" s="4" t="s">
        <v>52</v>
      </c>
      <c r="I293" s="4" t="s">
        <v>434</v>
      </c>
      <c r="J293" s="10">
        <v>0.14719999999999997</v>
      </c>
      <c r="K293" s="10">
        <v>0.14699999999999999</v>
      </c>
      <c r="L293" s="10">
        <f t="shared" si="53"/>
        <v>0</v>
      </c>
      <c r="M293" s="10">
        <f t="shared" si="54"/>
        <v>0</v>
      </c>
      <c r="N293" s="10"/>
      <c r="O293" s="10"/>
      <c r="P293" s="10">
        <v>0</v>
      </c>
      <c r="Q293" s="10"/>
      <c r="R293" s="10"/>
      <c r="S293" s="10"/>
      <c r="T293" s="10"/>
      <c r="U293" s="10"/>
      <c r="V293" s="4" t="s">
        <v>841</v>
      </c>
      <c r="W293" s="4"/>
      <c r="X293" s="8"/>
      <c r="Y293" s="4"/>
      <c r="Z293" s="4"/>
      <c r="AA293" s="8"/>
      <c r="AB293" s="8">
        <v>45178</v>
      </c>
      <c r="AC293" s="4"/>
      <c r="AD293" s="4"/>
    </row>
    <row r="294" spans="1:30" hidden="1">
      <c r="A294" s="4">
        <v>569</v>
      </c>
      <c r="B294" s="8">
        <v>45135</v>
      </c>
      <c r="C294" s="4"/>
      <c r="D294" s="4" t="s">
        <v>42</v>
      </c>
      <c r="E294" s="8">
        <v>45145</v>
      </c>
      <c r="F294" s="4" t="s">
        <v>840</v>
      </c>
      <c r="G294" s="16" t="s">
        <v>51</v>
      </c>
      <c r="H294" s="4" t="s">
        <v>52</v>
      </c>
      <c r="I294" s="4" t="s">
        <v>577</v>
      </c>
      <c r="J294" s="10">
        <v>11.138059999999999</v>
      </c>
      <c r="K294" s="10">
        <f>9.94+0.906+0.387</f>
        <v>11.233000000000001</v>
      </c>
      <c r="L294" s="10">
        <f t="shared" si="53"/>
        <v>0</v>
      </c>
      <c r="M294" s="10">
        <f t="shared" si="54"/>
        <v>0</v>
      </c>
      <c r="N294" s="10"/>
      <c r="O294" s="10"/>
      <c r="P294" s="10">
        <v>0</v>
      </c>
      <c r="Q294" s="10"/>
      <c r="R294" s="10"/>
      <c r="S294" s="10"/>
      <c r="T294" s="10"/>
      <c r="U294" s="10"/>
      <c r="V294" s="4" t="s">
        <v>841</v>
      </c>
      <c r="W294" s="4"/>
      <c r="X294" s="8">
        <v>45156</v>
      </c>
      <c r="Y294" s="4"/>
      <c r="Z294" s="4"/>
      <c r="AA294" s="8"/>
      <c r="AB294" s="8">
        <v>45178</v>
      </c>
      <c r="AC294" s="4"/>
      <c r="AD294" s="4"/>
    </row>
    <row r="295" spans="1:30" hidden="1">
      <c r="A295" s="4">
        <v>569</v>
      </c>
      <c r="B295" s="8">
        <v>45135</v>
      </c>
      <c r="C295" s="4"/>
      <c r="D295" s="4" t="s">
        <v>42</v>
      </c>
      <c r="E295" s="8">
        <v>45145</v>
      </c>
      <c r="F295" s="4" t="s">
        <v>840</v>
      </c>
      <c r="G295" s="16" t="s">
        <v>51</v>
      </c>
      <c r="H295" s="4" t="s">
        <v>52</v>
      </c>
      <c r="I295" s="4" t="s">
        <v>89</v>
      </c>
      <c r="J295" s="10">
        <v>10.376704</v>
      </c>
      <c r="K295" s="10">
        <f>6.15+4.4</f>
        <v>10.55</v>
      </c>
      <c r="L295" s="10">
        <f t="shared" si="53"/>
        <v>0</v>
      </c>
      <c r="M295" s="10">
        <f t="shared" si="54"/>
        <v>0</v>
      </c>
      <c r="N295" s="10"/>
      <c r="O295" s="10"/>
      <c r="P295" s="10">
        <v>0</v>
      </c>
      <c r="Q295" s="10"/>
      <c r="R295" s="10"/>
      <c r="S295" s="10"/>
      <c r="T295" s="10"/>
      <c r="U295" s="10"/>
      <c r="V295" s="4" t="s">
        <v>841</v>
      </c>
      <c r="W295" s="4"/>
      <c r="X295" s="8">
        <v>45156</v>
      </c>
      <c r="Y295" s="4"/>
      <c r="Z295" s="4"/>
      <c r="AA295" s="8"/>
      <c r="AB295" s="8">
        <v>45178</v>
      </c>
      <c r="AC295" s="4"/>
      <c r="AD295" s="4"/>
    </row>
    <row r="296" spans="1:30" hidden="1">
      <c r="A296" s="4">
        <v>570</v>
      </c>
      <c r="B296" s="8">
        <v>45135</v>
      </c>
      <c r="C296" s="4"/>
      <c r="D296" s="4" t="s">
        <v>42</v>
      </c>
      <c r="E296" s="8">
        <v>45145</v>
      </c>
      <c r="F296" s="4" t="s">
        <v>43</v>
      </c>
      <c r="G296" s="16" t="s">
        <v>44</v>
      </c>
      <c r="H296" s="4" t="s">
        <v>45</v>
      </c>
      <c r="I296" s="4" t="s">
        <v>54</v>
      </c>
      <c r="J296" s="10">
        <v>18.445920000000001</v>
      </c>
      <c r="K296" s="10">
        <f>18.168+0.306</f>
        <v>18.474</v>
      </c>
      <c r="L296" s="10">
        <f t="shared" si="53"/>
        <v>0</v>
      </c>
      <c r="M296" s="10">
        <f t="shared" si="54"/>
        <v>0</v>
      </c>
      <c r="N296" s="10"/>
      <c r="O296" s="10"/>
      <c r="P296" s="10">
        <v>0</v>
      </c>
      <c r="Q296" s="10"/>
      <c r="R296" s="10"/>
      <c r="S296" s="10"/>
      <c r="T296" s="10"/>
      <c r="U296" s="10"/>
      <c r="V296" s="4" t="s">
        <v>466</v>
      </c>
      <c r="W296" s="4"/>
      <c r="X296" s="8">
        <v>45162</v>
      </c>
      <c r="Y296" s="4"/>
      <c r="Z296" s="4"/>
      <c r="AA296" s="8">
        <v>45164</v>
      </c>
      <c r="AB296" s="8"/>
      <c r="AC296" s="4"/>
      <c r="AD296" s="4"/>
    </row>
    <row r="297" spans="1:30" hidden="1">
      <c r="A297" s="4">
        <v>570</v>
      </c>
      <c r="B297" s="8">
        <v>45135</v>
      </c>
      <c r="C297" s="4"/>
      <c r="D297" s="4" t="s">
        <v>42</v>
      </c>
      <c r="E297" s="8">
        <v>45145</v>
      </c>
      <c r="F297" s="4" t="s">
        <v>43</v>
      </c>
      <c r="G297" s="16" t="s">
        <v>44</v>
      </c>
      <c r="H297" s="4" t="s">
        <v>45</v>
      </c>
      <c r="I297" s="4" t="s">
        <v>56</v>
      </c>
      <c r="J297" s="10">
        <v>6.6955200000000001</v>
      </c>
      <c r="K297" s="10">
        <v>6.7720000000000002</v>
      </c>
      <c r="L297" s="10">
        <f t="shared" si="53"/>
        <v>0</v>
      </c>
      <c r="M297" s="10">
        <f t="shared" si="54"/>
        <v>0</v>
      </c>
      <c r="N297" s="10"/>
      <c r="O297" s="10"/>
      <c r="P297" s="10">
        <v>0</v>
      </c>
      <c r="Q297" s="10"/>
      <c r="R297" s="10"/>
      <c r="S297" s="10"/>
      <c r="T297" s="10"/>
      <c r="U297" s="10"/>
      <c r="V297" s="4" t="s">
        <v>466</v>
      </c>
      <c r="W297" s="4"/>
      <c r="X297" s="8">
        <v>45162</v>
      </c>
      <c r="Y297" s="4"/>
      <c r="Z297" s="4"/>
      <c r="AA297" s="8">
        <v>45164</v>
      </c>
      <c r="AB297" s="8">
        <v>45164</v>
      </c>
      <c r="AC297" s="4"/>
      <c r="AD297" s="4"/>
    </row>
    <row r="298" spans="1:30" hidden="1">
      <c r="A298" s="4">
        <v>570</v>
      </c>
      <c r="B298" s="8">
        <v>45135</v>
      </c>
      <c r="C298" s="4"/>
      <c r="D298" s="4" t="s">
        <v>42</v>
      </c>
      <c r="E298" s="8">
        <v>45145</v>
      </c>
      <c r="F298" s="4" t="s">
        <v>43</v>
      </c>
      <c r="G298" s="16" t="s">
        <v>44</v>
      </c>
      <c r="H298" s="4" t="s">
        <v>45</v>
      </c>
      <c r="I298" s="4" t="s">
        <v>48</v>
      </c>
      <c r="J298" s="10">
        <v>5.8464</v>
      </c>
      <c r="K298" s="10">
        <f>4.531+1.444</f>
        <v>5.9749999999999996</v>
      </c>
      <c r="L298" s="10">
        <f t="shared" si="53"/>
        <v>0</v>
      </c>
      <c r="M298" s="10">
        <f t="shared" si="54"/>
        <v>0</v>
      </c>
      <c r="N298" s="10"/>
      <c r="O298" s="10"/>
      <c r="P298" s="10">
        <v>0</v>
      </c>
      <c r="Q298" s="10"/>
      <c r="R298" s="10"/>
      <c r="S298" s="10"/>
      <c r="T298" s="10"/>
      <c r="U298" s="10"/>
      <c r="V298" s="4" t="s">
        <v>466</v>
      </c>
      <c r="W298" s="4"/>
      <c r="X298" s="8">
        <v>45162</v>
      </c>
      <c r="Y298" s="4"/>
      <c r="Z298" s="4"/>
      <c r="AA298" s="8">
        <v>45164</v>
      </c>
      <c r="AB298" s="8"/>
      <c r="AC298" s="4"/>
      <c r="AD298" s="4"/>
    </row>
    <row r="299" spans="1:30" hidden="1">
      <c r="A299" s="4">
        <v>570</v>
      </c>
      <c r="B299" s="8">
        <v>45135</v>
      </c>
      <c r="C299" s="4"/>
      <c r="D299" s="4" t="s">
        <v>42</v>
      </c>
      <c r="E299" s="8">
        <v>45145</v>
      </c>
      <c r="F299" s="4" t="s">
        <v>43</v>
      </c>
      <c r="G299" s="16" t="s">
        <v>44</v>
      </c>
      <c r="H299" s="4" t="s">
        <v>45</v>
      </c>
      <c r="I299" s="4" t="s">
        <v>403</v>
      </c>
      <c r="J299" s="10">
        <v>3.9791999999999992</v>
      </c>
      <c r="K299" s="10">
        <v>3.984</v>
      </c>
      <c r="L299" s="10">
        <f t="shared" si="53"/>
        <v>0</v>
      </c>
      <c r="M299" s="10">
        <f t="shared" si="54"/>
        <v>0</v>
      </c>
      <c r="N299" s="10"/>
      <c r="O299" s="10"/>
      <c r="P299" s="10">
        <v>0</v>
      </c>
      <c r="Q299" s="10"/>
      <c r="R299" s="10"/>
      <c r="S299" s="10"/>
      <c r="T299" s="10"/>
      <c r="U299" s="10"/>
      <c r="V299" s="4" t="s">
        <v>466</v>
      </c>
      <c r="W299" s="4" t="s">
        <v>951</v>
      </c>
      <c r="X299" s="8">
        <v>45164</v>
      </c>
      <c r="Y299" s="4"/>
      <c r="Z299" s="4"/>
      <c r="AA299" s="8">
        <v>45166</v>
      </c>
      <c r="AB299" s="8">
        <v>45166</v>
      </c>
      <c r="AC299" s="4"/>
      <c r="AD299" s="4"/>
    </row>
    <row r="300" spans="1:30" hidden="1">
      <c r="A300" s="4">
        <v>570</v>
      </c>
      <c r="B300" s="8">
        <v>45135</v>
      </c>
      <c r="C300" s="4"/>
      <c r="D300" s="4" t="s">
        <v>42</v>
      </c>
      <c r="E300" s="8">
        <v>45145</v>
      </c>
      <c r="F300" s="4" t="s">
        <v>43</v>
      </c>
      <c r="G300" s="16" t="s">
        <v>44</v>
      </c>
      <c r="H300" s="4" t="s">
        <v>45</v>
      </c>
      <c r="I300" s="4" t="s">
        <v>405</v>
      </c>
      <c r="J300" s="10">
        <v>14.198399999999999</v>
      </c>
      <c r="K300" s="10">
        <f>10.103+4.162</f>
        <v>14.265000000000001</v>
      </c>
      <c r="L300" s="10">
        <f t="shared" si="53"/>
        <v>0</v>
      </c>
      <c r="M300" s="10">
        <f t="shared" si="54"/>
        <v>0</v>
      </c>
      <c r="N300" s="10"/>
      <c r="O300" s="10"/>
      <c r="P300" s="10">
        <v>0</v>
      </c>
      <c r="Q300" s="10"/>
      <c r="R300" s="10"/>
      <c r="S300" s="10"/>
      <c r="T300" s="10"/>
      <c r="U300" s="10"/>
      <c r="V300" s="4" t="s">
        <v>466</v>
      </c>
      <c r="W300" s="4" t="s">
        <v>951</v>
      </c>
      <c r="X300" s="8">
        <v>45164</v>
      </c>
      <c r="Y300" s="4"/>
      <c r="Z300" s="4"/>
      <c r="AA300" s="8">
        <v>45166</v>
      </c>
      <c r="AB300" s="8">
        <v>45176</v>
      </c>
      <c r="AC300" s="4"/>
      <c r="AD300" s="4"/>
    </row>
    <row r="301" spans="1:30" hidden="1">
      <c r="A301" s="4">
        <v>570</v>
      </c>
      <c r="B301" s="8">
        <v>45135</v>
      </c>
      <c r="C301" s="4"/>
      <c r="D301" s="4" t="s">
        <v>42</v>
      </c>
      <c r="E301" s="8">
        <v>45145</v>
      </c>
      <c r="F301" s="4" t="s">
        <v>43</v>
      </c>
      <c r="G301" s="16" t="s">
        <v>44</v>
      </c>
      <c r="H301" s="4" t="s">
        <v>45</v>
      </c>
      <c r="I301" s="4" t="s">
        <v>400</v>
      </c>
      <c r="J301" s="10">
        <v>6.2304000000000004</v>
      </c>
      <c r="K301" s="10">
        <f>4.531+1.918</f>
        <v>6.4489999999999998</v>
      </c>
      <c r="L301" s="10">
        <f t="shared" si="53"/>
        <v>0</v>
      </c>
      <c r="M301" s="10">
        <f t="shared" si="54"/>
        <v>0</v>
      </c>
      <c r="N301" s="10"/>
      <c r="O301" s="10"/>
      <c r="P301" s="10">
        <v>0</v>
      </c>
      <c r="Q301" s="10"/>
      <c r="R301" s="10"/>
      <c r="S301" s="10"/>
      <c r="T301" s="10"/>
      <c r="U301" s="10"/>
      <c r="V301" s="4" t="s">
        <v>466</v>
      </c>
      <c r="W301" s="4"/>
      <c r="X301" s="8">
        <v>45164</v>
      </c>
      <c r="Y301" s="4"/>
      <c r="Z301" s="4"/>
      <c r="AA301" s="8">
        <v>45176</v>
      </c>
      <c r="AB301" s="8">
        <v>45178</v>
      </c>
      <c r="AC301" s="4"/>
      <c r="AD301" s="4"/>
    </row>
    <row r="302" spans="1:30" hidden="1">
      <c r="A302" s="4">
        <v>570</v>
      </c>
      <c r="B302" s="8">
        <v>45135</v>
      </c>
      <c r="C302" s="4"/>
      <c r="D302" s="4" t="s">
        <v>42</v>
      </c>
      <c r="E302" s="8">
        <v>45145</v>
      </c>
      <c r="F302" s="4" t="s">
        <v>43</v>
      </c>
      <c r="G302" s="16" t="s">
        <v>44</v>
      </c>
      <c r="H302" s="4" t="s">
        <v>45</v>
      </c>
      <c r="I302" s="4" t="s">
        <v>46</v>
      </c>
      <c r="J302" s="10">
        <v>13.185599999999999</v>
      </c>
      <c r="K302" s="10">
        <f>8.04+5.15</f>
        <v>13.19</v>
      </c>
      <c r="L302" s="10">
        <f t="shared" si="53"/>
        <v>0</v>
      </c>
      <c r="M302" s="10">
        <f t="shared" si="54"/>
        <v>0</v>
      </c>
      <c r="N302" s="10"/>
      <c r="O302" s="10"/>
      <c r="P302" s="10">
        <v>0</v>
      </c>
      <c r="Q302" s="10"/>
      <c r="R302" s="10"/>
      <c r="S302" s="10"/>
      <c r="T302" s="10"/>
      <c r="U302" s="10"/>
      <c r="V302" s="4" t="s">
        <v>466</v>
      </c>
      <c r="W302" s="4"/>
      <c r="X302" s="8">
        <v>45164</v>
      </c>
      <c r="Y302" s="4"/>
      <c r="Z302" s="4"/>
      <c r="AA302" s="8">
        <v>45166</v>
      </c>
      <c r="AB302" s="8"/>
      <c r="AC302" s="4"/>
      <c r="AD302" s="4"/>
    </row>
    <row r="303" spans="1:30" hidden="1">
      <c r="A303" s="4">
        <v>570</v>
      </c>
      <c r="B303" s="8">
        <v>45135</v>
      </c>
      <c r="C303" s="4"/>
      <c r="D303" s="4" t="s">
        <v>397</v>
      </c>
      <c r="E303" s="8">
        <v>45145</v>
      </c>
      <c r="F303" s="4" t="s">
        <v>43</v>
      </c>
      <c r="G303" s="16" t="s">
        <v>44</v>
      </c>
      <c r="H303" s="4" t="s">
        <v>45</v>
      </c>
      <c r="I303" s="4" t="s">
        <v>49</v>
      </c>
      <c r="J303" s="10">
        <v>1.7424000000000002</v>
      </c>
      <c r="K303" s="10">
        <v>1.742</v>
      </c>
      <c r="L303" s="10">
        <f t="shared" si="53"/>
        <v>0</v>
      </c>
      <c r="M303" s="10">
        <f t="shared" si="54"/>
        <v>0</v>
      </c>
      <c r="N303" s="10"/>
      <c r="O303" s="10"/>
      <c r="P303" s="10"/>
      <c r="Q303" s="10"/>
      <c r="R303" s="10"/>
      <c r="S303" s="10"/>
      <c r="T303" s="10"/>
      <c r="U303" s="10"/>
      <c r="V303" s="4" t="s">
        <v>466</v>
      </c>
      <c r="W303" s="4"/>
      <c r="X303" s="8">
        <v>45139</v>
      </c>
      <c r="Y303" s="4"/>
      <c r="Z303" s="4"/>
      <c r="AA303" s="8">
        <v>45148</v>
      </c>
      <c r="AB303" s="8"/>
      <c r="AC303" s="4"/>
      <c r="AD303" s="4"/>
    </row>
    <row r="304" spans="1:30" hidden="1">
      <c r="A304" s="4">
        <v>570</v>
      </c>
      <c r="B304" s="8">
        <v>45135</v>
      </c>
      <c r="C304" s="4"/>
      <c r="D304" s="4" t="s">
        <v>42</v>
      </c>
      <c r="E304" s="8">
        <v>45145</v>
      </c>
      <c r="F304" s="4" t="s">
        <v>43</v>
      </c>
      <c r="G304" s="16" t="s">
        <v>44</v>
      </c>
      <c r="H304" s="4" t="s">
        <v>45</v>
      </c>
      <c r="I304" s="4" t="s">
        <v>587</v>
      </c>
      <c r="J304" s="10">
        <v>2.1671999999999998</v>
      </c>
      <c r="K304" s="10">
        <v>2.1669999999999998</v>
      </c>
      <c r="L304" s="10">
        <f t="shared" si="53"/>
        <v>1.9999999999997797E-4</v>
      </c>
      <c r="M304" s="10">
        <f t="shared" si="54"/>
        <v>1.9999999999997797E-4</v>
      </c>
      <c r="N304" s="10"/>
      <c r="O304" s="10"/>
      <c r="P304" s="10">
        <f>2.1672-2.167</f>
        <v>1.9999999999997797E-4</v>
      </c>
      <c r="Q304" s="10"/>
      <c r="R304" s="10"/>
      <c r="S304" s="10"/>
      <c r="T304" s="10"/>
      <c r="U304" s="10"/>
      <c r="V304" s="4" t="s">
        <v>466</v>
      </c>
      <c r="W304" s="4"/>
      <c r="X304" s="8">
        <v>45141</v>
      </c>
      <c r="Y304" s="4"/>
      <c r="Z304" s="4"/>
      <c r="AA304" s="8">
        <v>45155</v>
      </c>
      <c r="AB304" s="8"/>
      <c r="AC304" s="4"/>
      <c r="AD304" s="4"/>
    </row>
    <row r="305" spans="1:30" hidden="1">
      <c r="A305" s="4">
        <v>570</v>
      </c>
      <c r="B305" s="8">
        <v>45135</v>
      </c>
      <c r="C305" s="4"/>
      <c r="D305" s="4" t="s">
        <v>397</v>
      </c>
      <c r="E305" s="8">
        <v>45145</v>
      </c>
      <c r="F305" s="4" t="s">
        <v>43</v>
      </c>
      <c r="G305" s="16" t="s">
        <v>44</v>
      </c>
      <c r="H305" s="4" t="s">
        <v>45</v>
      </c>
      <c r="I305" s="4" t="s">
        <v>50</v>
      </c>
      <c r="J305" s="10">
        <v>10.555199999999999</v>
      </c>
      <c r="K305" s="10">
        <f>6.333+4.222</f>
        <v>10.555</v>
      </c>
      <c r="L305" s="10">
        <f t="shared" si="53"/>
        <v>0</v>
      </c>
      <c r="M305" s="10">
        <f t="shared" si="54"/>
        <v>0</v>
      </c>
      <c r="N305" s="10"/>
      <c r="O305" s="10"/>
      <c r="P305" s="10"/>
      <c r="Q305" s="10"/>
      <c r="R305" s="10"/>
      <c r="S305" s="10"/>
      <c r="T305" s="10"/>
      <c r="U305" s="10"/>
      <c r="V305" s="4" t="s">
        <v>466</v>
      </c>
      <c r="W305" s="4"/>
      <c r="X305" s="8">
        <v>45139</v>
      </c>
      <c r="Y305" s="4"/>
      <c r="Z305" s="4"/>
      <c r="AA305" s="8">
        <v>45147</v>
      </c>
      <c r="AB305" s="8"/>
      <c r="AC305" s="4"/>
      <c r="AD305" s="4"/>
    </row>
    <row r="306" spans="1:30" hidden="1">
      <c r="A306" s="4">
        <v>570</v>
      </c>
      <c r="B306" s="8">
        <v>45135</v>
      </c>
      <c r="C306" s="4"/>
      <c r="D306" s="4" t="s">
        <v>397</v>
      </c>
      <c r="E306" s="8">
        <v>45145</v>
      </c>
      <c r="F306" s="4" t="s">
        <v>43</v>
      </c>
      <c r="G306" s="16" t="s">
        <v>44</v>
      </c>
      <c r="H306" s="4" t="s">
        <v>45</v>
      </c>
      <c r="I306" s="4" t="s">
        <v>588</v>
      </c>
      <c r="J306" s="10">
        <v>4.7519999999999998</v>
      </c>
      <c r="K306" s="10">
        <v>4.7519999999999998</v>
      </c>
      <c r="L306" s="10">
        <f t="shared" si="53"/>
        <v>-3.8857805861880479E-16</v>
      </c>
      <c r="M306" s="10">
        <f t="shared" si="54"/>
        <v>-3.8857805861880479E-16</v>
      </c>
      <c r="N306" s="10"/>
      <c r="O306" s="10"/>
      <c r="P306" s="10">
        <f>4.752-0.198-4.752+0.198</f>
        <v>-3.8857805861880479E-16</v>
      </c>
      <c r="Q306" s="10"/>
      <c r="R306" s="10"/>
      <c r="S306" s="10"/>
      <c r="T306" s="10"/>
      <c r="U306" s="10"/>
      <c r="V306" s="4" t="s">
        <v>466</v>
      </c>
      <c r="W306" s="4" t="s">
        <v>953</v>
      </c>
      <c r="X306" s="8">
        <v>45139</v>
      </c>
      <c r="Y306" s="4"/>
      <c r="Z306" s="4"/>
      <c r="AA306" s="8">
        <v>45147</v>
      </c>
      <c r="AB306" s="8"/>
      <c r="AC306" s="4"/>
      <c r="AD306" s="4"/>
    </row>
    <row r="307" spans="1:30" hidden="1">
      <c r="A307" s="4">
        <v>570</v>
      </c>
      <c r="B307" s="8">
        <v>45135</v>
      </c>
      <c r="C307" s="4"/>
      <c r="D307" s="4" t="s">
        <v>397</v>
      </c>
      <c r="E307" s="8">
        <v>45145</v>
      </c>
      <c r="F307" s="4" t="s">
        <v>43</v>
      </c>
      <c r="G307" s="16" t="s">
        <v>44</v>
      </c>
      <c r="H307" s="4" t="s">
        <v>45</v>
      </c>
      <c r="I307" s="4" t="s">
        <v>407</v>
      </c>
      <c r="J307" s="10">
        <v>4.7328000000000001</v>
      </c>
      <c r="K307" s="10">
        <v>4.7519999999999998</v>
      </c>
      <c r="L307" s="10">
        <f t="shared" si="53"/>
        <v>0</v>
      </c>
      <c r="M307" s="10">
        <f t="shared" si="54"/>
        <v>0</v>
      </c>
      <c r="N307" s="10"/>
      <c r="O307" s="10"/>
      <c r="P307" s="10"/>
      <c r="Q307" s="10"/>
      <c r="R307" s="10"/>
      <c r="S307" s="10"/>
      <c r="T307" s="10"/>
      <c r="U307" s="10"/>
      <c r="V307" s="4" t="s">
        <v>466</v>
      </c>
      <c r="W307" s="4"/>
      <c r="X307" s="8">
        <v>45143</v>
      </c>
      <c r="Y307" s="4"/>
      <c r="Z307" s="4"/>
      <c r="AA307" s="8">
        <v>45148</v>
      </c>
      <c r="AB307" s="8"/>
      <c r="AC307" s="4"/>
      <c r="AD307" s="4"/>
    </row>
    <row r="308" spans="1:30" hidden="1">
      <c r="A308" s="4">
        <v>570</v>
      </c>
      <c r="B308" s="8">
        <v>45135</v>
      </c>
      <c r="C308" s="4"/>
      <c r="D308" s="4" t="s">
        <v>397</v>
      </c>
      <c r="E308" s="8">
        <v>45145</v>
      </c>
      <c r="F308" s="4" t="s">
        <v>43</v>
      </c>
      <c r="G308" s="16" t="s">
        <v>44</v>
      </c>
      <c r="H308" s="4" t="s">
        <v>45</v>
      </c>
      <c r="I308" s="4" t="s">
        <v>408</v>
      </c>
      <c r="J308" s="10">
        <v>3.6456</v>
      </c>
      <c r="K308" s="10">
        <v>3.6459999999999999</v>
      </c>
      <c r="L308" s="10">
        <f t="shared" si="53"/>
        <v>0</v>
      </c>
      <c r="M308" s="10">
        <f t="shared" si="54"/>
        <v>0</v>
      </c>
      <c r="N308" s="10"/>
      <c r="O308" s="10"/>
      <c r="P308" s="10"/>
      <c r="Q308" s="10"/>
      <c r="R308" s="10"/>
      <c r="S308" s="10"/>
      <c r="T308" s="10"/>
      <c r="U308" s="10"/>
      <c r="V308" s="4" t="s">
        <v>466</v>
      </c>
      <c r="W308" s="4" t="s">
        <v>951</v>
      </c>
      <c r="X308" s="8">
        <v>45143</v>
      </c>
      <c r="Y308" s="4"/>
      <c r="Z308" s="4"/>
      <c r="AA308" s="8">
        <v>45148</v>
      </c>
      <c r="AB308" s="8"/>
      <c r="AC308" s="4"/>
      <c r="AD308" s="4"/>
    </row>
    <row r="309" spans="1:30" hidden="1">
      <c r="A309" s="4">
        <v>570</v>
      </c>
      <c r="B309" s="8">
        <v>45135</v>
      </c>
      <c r="C309" s="4"/>
      <c r="D309" s="4" t="s">
        <v>397</v>
      </c>
      <c r="E309" s="8">
        <v>45145</v>
      </c>
      <c r="F309" s="4" t="s">
        <v>43</v>
      </c>
      <c r="G309" s="16" t="s">
        <v>44</v>
      </c>
      <c r="H309" s="4" t="s">
        <v>45</v>
      </c>
      <c r="I309" s="4" t="s">
        <v>409</v>
      </c>
      <c r="J309" s="10">
        <v>3.3768000000000002</v>
      </c>
      <c r="K309" s="10">
        <v>3.3769999999999998</v>
      </c>
      <c r="L309" s="10">
        <f t="shared" si="53"/>
        <v>0</v>
      </c>
      <c r="M309" s="10">
        <f t="shared" si="54"/>
        <v>0</v>
      </c>
      <c r="N309" s="10"/>
      <c r="O309" s="10"/>
      <c r="P309" s="10"/>
      <c r="Q309" s="10"/>
      <c r="R309" s="10"/>
      <c r="S309" s="10"/>
      <c r="T309" s="10"/>
      <c r="U309" s="10"/>
      <c r="V309" s="4" t="s">
        <v>466</v>
      </c>
      <c r="W309" s="4" t="s">
        <v>968</v>
      </c>
      <c r="X309" s="8">
        <v>45142</v>
      </c>
      <c r="Y309" s="4"/>
      <c r="Z309" s="4"/>
      <c r="AA309" s="8">
        <v>45148</v>
      </c>
      <c r="AB309" s="8"/>
      <c r="AC309" s="4"/>
      <c r="AD309" s="4"/>
    </row>
    <row r="310" spans="1:30" hidden="1">
      <c r="A310" s="4">
        <v>570</v>
      </c>
      <c r="B310" s="8">
        <v>45135</v>
      </c>
      <c r="C310" s="4"/>
      <c r="D310" s="4" t="s">
        <v>397</v>
      </c>
      <c r="E310" s="8">
        <v>45145</v>
      </c>
      <c r="F310" s="4" t="s">
        <v>43</v>
      </c>
      <c r="G310" s="16" t="s">
        <v>44</v>
      </c>
      <c r="H310" s="4" t="s">
        <v>45</v>
      </c>
      <c r="I310" s="4" t="s">
        <v>47</v>
      </c>
      <c r="J310" s="10">
        <v>2.5659999999999998</v>
      </c>
      <c r="K310" s="10">
        <v>2.5659999999999998</v>
      </c>
      <c r="L310" s="10">
        <f t="shared" ref="L310" si="55">M310+U310</f>
        <v>0</v>
      </c>
      <c r="M310" s="10">
        <f t="shared" ref="M310" si="56">SUM(N310:T310)</f>
        <v>0</v>
      </c>
      <c r="N310" s="10"/>
      <c r="O310" s="10"/>
      <c r="P310" s="10">
        <v>0</v>
      </c>
      <c r="Q310" s="10"/>
      <c r="R310" s="10"/>
      <c r="S310" s="10"/>
      <c r="T310" s="10"/>
      <c r="U310" s="10"/>
      <c r="V310" s="4" t="s">
        <v>466</v>
      </c>
      <c r="W310" s="4"/>
      <c r="X310" s="8">
        <v>45143</v>
      </c>
      <c r="Y310" s="4"/>
      <c r="Z310" s="4"/>
      <c r="AA310" s="8">
        <v>45155</v>
      </c>
      <c r="AB310" s="8"/>
      <c r="AC310" s="4"/>
      <c r="AD310" s="4"/>
    </row>
    <row r="311" spans="1:30" hidden="1">
      <c r="A311" s="4">
        <v>570</v>
      </c>
      <c r="B311" s="8">
        <v>45135</v>
      </c>
      <c r="C311" s="4"/>
      <c r="D311" s="4" t="s">
        <v>42</v>
      </c>
      <c r="E311" s="8">
        <v>45145</v>
      </c>
      <c r="F311" s="4" t="s">
        <v>43</v>
      </c>
      <c r="G311" s="16" t="s">
        <v>44</v>
      </c>
      <c r="H311" s="4" t="s">
        <v>45</v>
      </c>
      <c r="I311" s="4" t="s">
        <v>47</v>
      </c>
      <c r="J311" s="10">
        <f>2.99376-2.566</f>
        <v>0.42776000000000014</v>
      </c>
      <c r="K311" s="10">
        <v>0.629</v>
      </c>
      <c r="L311" s="10">
        <f t="shared" si="53"/>
        <v>0</v>
      </c>
      <c r="M311" s="10">
        <f t="shared" si="54"/>
        <v>0</v>
      </c>
      <c r="N311" s="10"/>
      <c r="O311" s="10"/>
      <c r="P311" s="10"/>
      <c r="Q311" s="10"/>
      <c r="R311" s="10"/>
      <c r="S311" s="10"/>
      <c r="T311" s="10"/>
      <c r="U311" s="10"/>
      <c r="V311" s="4" t="s">
        <v>466</v>
      </c>
      <c r="W311" s="4"/>
      <c r="X311" s="8">
        <v>45143</v>
      </c>
      <c r="Y311" s="4"/>
      <c r="Z311" s="4"/>
      <c r="AA311" s="8">
        <v>45155</v>
      </c>
      <c r="AB311" s="8"/>
      <c r="AC311" s="4"/>
      <c r="AD311" s="4"/>
    </row>
    <row r="312" spans="1:30" hidden="1">
      <c r="A312" s="4">
        <v>570</v>
      </c>
      <c r="B312" s="8">
        <v>45135</v>
      </c>
      <c r="C312" s="4"/>
      <c r="D312" s="4" t="s">
        <v>42</v>
      </c>
      <c r="E312" s="8">
        <v>45145</v>
      </c>
      <c r="F312" s="4" t="s">
        <v>43</v>
      </c>
      <c r="G312" s="16" t="s">
        <v>44</v>
      </c>
      <c r="H312" s="4" t="s">
        <v>45</v>
      </c>
      <c r="I312" s="4" t="s">
        <v>915</v>
      </c>
      <c r="J312" s="10">
        <v>5.9148000000000005</v>
      </c>
      <c r="K312" s="10">
        <f>2.957+2.957</f>
        <v>5.9139999999999997</v>
      </c>
      <c r="L312" s="10">
        <f t="shared" si="53"/>
        <v>0</v>
      </c>
      <c r="M312" s="10">
        <f t="shared" si="54"/>
        <v>0</v>
      </c>
      <c r="N312" s="10"/>
      <c r="O312" s="10"/>
      <c r="P312" s="10">
        <v>0</v>
      </c>
      <c r="Q312" s="10"/>
      <c r="R312" s="10"/>
      <c r="S312" s="10"/>
      <c r="T312" s="10"/>
      <c r="U312" s="10"/>
      <c r="V312" s="4" t="s">
        <v>466</v>
      </c>
      <c r="W312" s="4" t="s">
        <v>951</v>
      </c>
      <c r="X312" s="8">
        <v>45165</v>
      </c>
      <c r="Y312" s="4"/>
      <c r="Z312" s="4"/>
      <c r="AA312" s="8">
        <v>45166</v>
      </c>
      <c r="AB312" s="8">
        <v>45174</v>
      </c>
      <c r="AC312" s="4"/>
      <c r="AD312" s="4"/>
    </row>
    <row r="313" spans="1:30" hidden="1">
      <c r="A313" s="4">
        <v>570</v>
      </c>
      <c r="B313" s="8">
        <v>45135</v>
      </c>
      <c r="C313" s="4"/>
      <c r="D313" s="4" t="s">
        <v>397</v>
      </c>
      <c r="E313" s="8">
        <v>45145</v>
      </c>
      <c r="F313" s="4" t="s">
        <v>43</v>
      </c>
      <c r="G313" s="16" t="s">
        <v>44</v>
      </c>
      <c r="H313" s="4" t="s">
        <v>45</v>
      </c>
      <c r="I313" s="4" t="s">
        <v>435</v>
      </c>
      <c r="J313" s="10">
        <v>4.5698400000000001</v>
      </c>
      <c r="K313" s="10">
        <v>4.57</v>
      </c>
      <c r="L313" s="10">
        <f t="shared" si="53"/>
        <v>0</v>
      </c>
      <c r="M313" s="10">
        <f t="shared" si="54"/>
        <v>0</v>
      </c>
      <c r="N313" s="10"/>
      <c r="O313" s="10"/>
      <c r="P313" s="10"/>
      <c r="Q313" s="10"/>
      <c r="R313" s="10"/>
      <c r="S313" s="10"/>
      <c r="T313" s="10"/>
      <c r="U313" s="10"/>
      <c r="V313" s="4" t="s">
        <v>466</v>
      </c>
      <c r="W313" s="4"/>
      <c r="X313" s="8">
        <v>45146</v>
      </c>
      <c r="Y313" s="4"/>
      <c r="Z313" s="4"/>
      <c r="AA313" s="8"/>
      <c r="AB313" s="8"/>
      <c r="AC313" s="4"/>
      <c r="AD313" s="4"/>
    </row>
    <row r="314" spans="1:30" hidden="1">
      <c r="A314" s="4">
        <v>570</v>
      </c>
      <c r="B314" s="8">
        <v>45135</v>
      </c>
      <c r="C314" s="4"/>
      <c r="D314" s="4" t="s">
        <v>42</v>
      </c>
      <c r="E314" s="8">
        <v>45145</v>
      </c>
      <c r="F314" s="4" t="s">
        <v>43</v>
      </c>
      <c r="G314" s="16" t="s">
        <v>44</v>
      </c>
      <c r="H314" s="4" t="s">
        <v>45</v>
      </c>
      <c r="I314" s="4" t="s">
        <v>432</v>
      </c>
      <c r="J314" s="10">
        <v>0.49392000000000003</v>
      </c>
      <c r="K314" s="10">
        <v>0.49399999999999999</v>
      </c>
      <c r="L314" s="10">
        <f t="shared" si="53"/>
        <v>-7.9999999999968985E-5</v>
      </c>
      <c r="M314" s="10">
        <f t="shared" si="54"/>
        <v>-7.9999999999968985E-5</v>
      </c>
      <c r="N314" s="10"/>
      <c r="O314" s="10"/>
      <c r="P314" s="10">
        <f>0.49392-0.494</f>
        <v>-7.9999999999968985E-5</v>
      </c>
      <c r="Q314" s="10"/>
      <c r="R314" s="10"/>
      <c r="S314" s="10"/>
      <c r="T314" s="10"/>
      <c r="U314" s="10"/>
      <c r="V314" s="4" t="s">
        <v>466</v>
      </c>
      <c r="W314" s="4"/>
      <c r="X314" s="8">
        <v>45145</v>
      </c>
      <c r="Y314" s="4"/>
      <c r="Z314" s="4"/>
      <c r="AA314" s="8">
        <v>45155</v>
      </c>
      <c r="AB314" s="8"/>
      <c r="AC314" s="4"/>
      <c r="AD314" s="4"/>
    </row>
    <row r="315" spans="1:30" hidden="1">
      <c r="A315" s="4">
        <v>570</v>
      </c>
      <c r="B315" s="8">
        <v>45135</v>
      </c>
      <c r="C315" s="4"/>
      <c r="D315" s="4" t="s">
        <v>42</v>
      </c>
      <c r="E315" s="8">
        <v>45145</v>
      </c>
      <c r="F315" s="4" t="s">
        <v>43</v>
      </c>
      <c r="G315" s="16" t="s">
        <v>44</v>
      </c>
      <c r="H315" s="4" t="s">
        <v>45</v>
      </c>
      <c r="I315" s="4" t="s">
        <v>474</v>
      </c>
      <c r="J315" s="10">
        <v>4.1462400000000006</v>
      </c>
      <c r="K315" s="10">
        <v>4.1459999999999999</v>
      </c>
      <c r="L315" s="10">
        <f t="shared" si="53"/>
        <v>2.3999999999979593E-4</v>
      </c>
      <c r="M315" s="10">
        <f t="shared" si="54"/>
        <v>2.3999999999979593E-4</v>
      </c>
      <c r="N315" s="10"/>
      <c r="O315" s="10"/>
      <c r="P315" s="10">
        <f>4.14624-4.146</f>
        <v>2.3999999999979593E-4</v>
      </c>
      <c r="Q315" s="10"/>
      <c r="R315" s="10"/>
      <c r="S315" s="10"/>
      <c r="T315" s="10"/>
      <c r="U315" s="10"/>
      <c r="V315" s="4" t="s">
        <v>466</v>
      </c>
      <c r="W315" s="4"/>
      <c r="X315" s="8"/>
      <c r="Y315" s="4"/>
      <c r="Z315" s="4"/>
      <c r="AA315" s="8">
        <v>45155</v>
      </c>
      <c r="AB315" s="8"/>
      <c r="AC315" s="4"/>
      <c r="AD315" s="4"/>
    </row>
    <row r="316" spans="1:30" hidden="1">
      <c r="A316" s="4">
        <v>570</v>
      </c>
      <c r="B316" s="8">
        <v>45135</v>
      </c>
      <c r="C316" s="4"/>
      <c r="D316" s="4" t="s">
        <v>42</v>
      </c>
      <c r="E316" s="8">
        <v>45145</v>
      </c>
      <c r="F316" s="4" t="s">
        <v>43</v>
      </c>
      <c r="G316" s="16" t="s">
        <v>44</v>
      </c>
      <c r="H316" s="4" t="s">
        <v>45</v>
      </c>
      <c r="I316" s="4" t="s">
        <v>434</v>
      </c>
      <c r="J316" s="10">
        <v>3.0028799999999998</v>
      </c>
      <c r="K316" s="10">
        <v>3.0030000000000001</v>
      </c>
      <c r="L316" s="10">
        <f t="shared" si="53"/>
        <v>-1.1999999999989797E-4</v>
      </c>
      <c r="M316" s="10">
        <f t="shared" si="54"/>
        <v>-1.1999999999989797E-4</v>
      </c>
      <c r="N316" s="10"/>
      <c r="O316" s="10"/>
      <c r="P316" s="10">
        <f>3.00288-3.003</f>
        <v>-1.1999999999989797E-4</v>
      </c>
      <c r="Q316" s="10"/>
      <c r="R316" s="10"/>
      <c r="S316" s="10"/>
      <c r="T316" s="10"/>
      <c r="U316" s="10"/>
      <c r="V316" s="4" t="s">
        <v>466</v>
      </c>
      <c r="W316" s="4"/>
      <c r="X316" s="8">
        <v>45148</v>
      </c>
      <c r="Y316" s="4"/>
      <c r="Z316" s="4"/>
      <c r="AA316" s="8">
        <v>45155</v>
      </c>
      <c r="AB316" s="8"/>
      <c r="AC316" s="4"/>
      <c r="AD316" s="4"/>
    </row>
    <row r="317" spans="1:30" hidden="1">
      <c r="A317" s="4">
        <v>570</v>
      </c>
      <c r="B317" s="8">
        <v>45135</v>
      </c>
      <c r="C317" s="4"/>
      <c r="D317" s="4" t="s">
        <v>42</v>
      </c>
      <c r="E317" s="8">
        <v>45145</v>
      </c>
      <c r="F317" s="4" t="s">
        <v>43</v>
      </c>
      <c r="G317" s="16" t="s">
        <v>44</v>
      </c>
      <c r="H317" s="4" t="s">
        <v>45</v>
      </c>
      <c r="I317" s="4" t="s">
        <v>577</v>
      </c>
      <c r="J317" s="10">
        <v>13.88</v>
      </c>
      <c r="K317" s="10">
        <f>13.564+0.335</f>
        <v>13.899000000000001</v>
      </c>
      <c r="L317" s="10">
        <f t="shared" si="53"/>
        <v>0</v>
      </c>
      <c r="M317" s="10">
        <f t="shared" si="54"/>
        <v>0</v>
      </c>
      <c r="N317" s="10"/>
      <c r="O317" s="10"/>
      <c r="P317" s="10">
        <v>0</v>
      </c>
      <c r="Q317" s="10"/>
      <c r="R317" s="10"/>
      <c r="S317" s="10"/>
      <c r="T317" s="10"/>
      <c r="U317" s="10"/>
      <c r="V317" s="4" t="s">
        <v>466</v>
      </c>
      <c r="W317" s="4"/>
      <c r="X317" s="8">
        <v>45152</v>
      </c>
      <c r="Y317" s="4"/>
      <c r="Z317" s="4"/>
      <c r="AA317" s="8">
        <v>45158</v>
      </c>
      <c r="AB317" s="8"/>
      <c r="AC317" s="4"/>
      <c r="AD317" s="4"/>
    </row>
    <row r="318" spans="1:30" hidden="1">
      <c r="A318" s="4">
        <v>570</v>
      </c>
      <c r="B318" s="8">
        <v>45135</v>
      </c>
      <c r="C318" s="4"/>
      <c r="D318" s="4" t="s">
        <v>42</v>
      </c>
      <c r="E318" s="8">
        <v>45145</v>
      </c>
      <c r="F318" s="4" t="s">
        <v>43</v>
      </c>
      <c r="G318" s="16" t="s">
        <v>44</v>
      </c>
      <c r="H318" s="4" t="s">
        <v>45</v>
      </c>
      <c r="I318" s="4" t="s">
        <v>89</v>
      </c>
      <c r="J318" s="10">
        <v>5.3913599999999997</v>
      </c>
      <c r="K318" s="10">
        <v>5.391</v>
      </c>
      <c r="L318" s="10">
        <f t="shared" si="53"/>
        <v>3.599999999996939E-4</v>
      </c>
      <c r="M318" s="10">
        <f t="shared" si="54"/>
        <v>3.599999999996939E-4</v>
      </c>
      <c r="N318" s="10"/>
      <c r="O318" s="10"/>
      <c r="P318" s="10">
        <f>5.39136-5.391</f>
        <v>3.599999999996939E-4</v>
      </c>
      <c r="Q318" s="10"/>
      <c r="R318" s="10"/>
      <c r="S318" s="10"/>
      <c r="T318" s="10"/>
      <c r="U318" s="10"/>
      <c r="V318" s="4" t="s">
        <v>466</v>
      </c>
      <c r="W318" s="4"/>
      <c r="X318" s="8"/>
      <c r="Y318" s="4"/>
      <c r="Z318" s="4"/>
      <c r="AA318" s="8">
        <v>45155</v>
      </c>
      <c r="AB318" s="8"/>
      <c r="AC318" s="4"/>
      <c r="AD318" s="4"/>
    </row>
    <row r="319" spans="1:30" hidden="1">
      <c r="A319" s="4">
        <v>570</v>
      </c>
      <c r="B319" s="8">
        <v>45135</v>
      </c>
      <c r="C319" s="4"/>
      <c r="D319" s="4" t="s">
        <v>42</v>
      </c>
      <c r="E319" s="8">
        <v>45145</v>
      </c>
      <c r="F319" s="4" t="s">
        <v>43</v>
      </c>
      <c r="G319" s="16" t="s">
        <v>44</v>
      </c>
      <c r="H319" s="4" t="s">
        <v>45</v>
      </c>
      <c r="I319" s="4" t="s">
        <v>87</v>
      </c>
      <c r="J319" s="10">
        <v>1.8451199999999999</v>
      </c>
      <c r="K319" s="10">
        <v>1.845</v>
      </c>
      <c r="L319" s="10">
        <f t="shared" si="53"/>
        <v>0</v>
      </c>
      <c r="M319" s="10">
        <f t="shared" si="54"/>
        <v>0</v>
      </c>
      <c r="N319" s="10"/>
      <c r="O319" s="10"/>
      <c r="P319" s="10">
        <f>1.845-1.845</f>
        <v>0</v>
      </c>
      <c r="Q319" s="10"/>
      <c r="R319" s="10"/>
      <c r="S319" s="10"/>
      <c r="T319" s="10"/>
      <c r="U319" s="10"/>
      <c r="V319" s="4" t="s">
        <v>466</v>
      </c>
      <c r="W319" s="4"/>
      <c r="X319" s="8"/>
      <c r="Y319" s="4"/>
      <c r="Z319" s="4"/>
      <c r="AA319" s="8">
        <v>45155</v>
      </c>
      <c r="AB319" s="8"/>
      <c r="AC319" s="4"/>
      <c r="AD319" s="4"/>
    </row>
    <row r="320" spans="1:30" hidden="1">
      <c r="A320" s="4">
        <v>570</v>
      </c>
      <c r="B320" s="8">
        <v>45135</v>
      </c>
      <c r="C320" s="4"/>
      <c r="D320" s="4" t="s">
        <v>42</v>
      </c>
      <c r="E320" s="8">
        <v>45145</v>
      </c>
      <c r="F320" s="4" t="s">
        <v>43</v>
      </c>
      <c r="G320" s="16" t="s">
        <v>51</v>
      </c>
      <c r="H320" s="4" t="s">
        <v>52</v>
      </c>
      <c r="I320" s="4" t="s">
        <v>54</v>
      </c>
      <c r="J320" s="10">
        <v>5.1509999999999998</v>
      </c>
      <c r="K320" s="10">
        <v>5.1509999999999998</v>
      </c>
      <c r="L320" s="10">
        <f t="shared" si="53"/>
        <v>0</v>
      </c>
      <c r="M320" s="10">
        <f t="shared" si="54"/>
        <v>0</v>
      </c>
      <c r="N320" s="10"/>
      <c r="O320" s="10"/>
      <c r="P320" s="10">
        <v>0</v>
      </c>
      <c r="Q320" s="10"/>
      <c r="R320" s="10"/>
      <c r="S320" s="10"/>
      <c r="T320" s="10"/>
      <c r="U320" s="10"/>
      <c r="V320" s="4" t="s">
        <v>466</v>
      </c>
      <c r="W320" s="4"/>
      <c r="X320" s="8"/>
      <c r="Y320" s="4"/>
      <c r="Z320" s="4"/>
      <c r="AA320" s="8"/>
      <c r="AB320" s="8"/>
      <c r="AC320" s="4"/>
      <c r="AD320" s="4"/>
    </row>
    <row r="321" spans="1:30" hidden="1">
      <c r="A321" s="4">
        <v>570</v>
      </c>
      <c r="B321" s="8">
        <v>45135</v>
      </c>
      <c r="C321" s="4"/>
      <c r="D321" s="4" t="s">
        <v>42</v>
      </c>
      <c r="E321" s="8">
        <v>45145</v>
      </c>
      <c r="F321" s="4" t="s">
        <v>43</v>
      </c>
      <c r="G321" s="16" t="s">
        <v>51</v>
      </c>
      <c r="H321" s="4" t="s">
        <v>52</v>
      </c>
      <c r="I321" s="4" t="s">
        <v>405</v>
      </c>
      <c r="J321" s="10">
        <v>0.73439999999999994</v>
      </c>
      <c r="K321" s="10">
        <v>0.81899999999999995</v>
      </c>
      <c r="L321" s="10">
        <f t="shared" si="53"/>
        <v>0</v>
      </c>
      <c r="M321" s="10">
        <f t="shared" si="54"/>
        <v>0</v>
      </c>
      <c r="N321" s="10"/>
      <c r="O321" s="10"/>
      <c r="P321" s="10"/>
      <c r="Q321" s="10"/>
      <c r="R321" s="10">
        <v>0</v>
      </c>
      <c r="S321" s="10"/>
      <c r="T321" s="10"/>
      <c r="U321" s="10"/>
      <c r="V321" s="4" t="s">
        <v>466</v>
      </c>
      <c r="W321" s="4" t="s">
        <v>37</v>
      </c>
      <c r="X321" s="8"/>
      <c r="Y321" s="4"/>
      <c r="Z321" s="4"/>
      <c r="AA321" s="8">
        <v>45174</v>
      </c>
      <c r="AB321" s="8">
        <v>45174</v>
      </c>
      <c r="AC321" s="4"/>
      <c r="AD321" s="4"/>
    </row>
    <row r="322" spans="1:30" hidden="1">
      <c r="A322" s="4">
        <v>570</v>
      </c>
      <c r="B322" s="8">
        <v>45135</v>
      </c>
      <c r="C322" s="4"/>
      <c r="D322" s="4" t="s">
        <v>42</v>
      </c>
      <c r="E322" s="8">
        <v>45145</v>
      </c>
      <c r="F322" s="4" t="s">
        <v>43</v>
      </c>
      <c r="G322" s="16" t="s">
        <v>51</v>
      </c>
      <c r="H322" s="4" t="s">
        <v>52</v>
      </c>
      <c r="I322" s="4" t="s">
        <v>400</v>
      </c>
      <c r="J322" s="10">
        <v>0.56640000000000001</v>
      </c>
      <c r="K322" s="10">
        <v>0.56599999999999995</v>
      </c>
      <c r="L322" s="10">
        <f t="shared" si="53"/>
        <v>0</v>
      </c>
      <c r="M322" s="10">
        <f t="shared" si="54"/>
        <v>0</v>
      </c>
      <c r="N322" s="10"/>
      <c r="O322" s="10"/>
      <c r="P322" s="10"/>
      <c r="Q322" s="10"/>
      <c r="R322" s="10">
        <v>0</v>
      </c>
      <c r="S322" s="10"/>
      <c r="T322" s="10"/>
      <c r="U322" s="10"/>
      <c r="V322" s="4" t="s">
        <v>466</v>
      </c>
      <c r="W322" s="4" t="s">
        <v>37</v>
      </c>
      <c r="X322" s="8"/>
      <c r="Y322" s="4"/>
      <c r="Z322" s="4"/>
      <c r="AA322" s="8">
        <v>45174</v>
      </c>
      <c r="AB322" s="8">
        <v>45174</v>
      </c>
      <c r="AC322" s="4"/>
      <c r="AD322" s="4"/>
    </row>
    <row r="323" spans="1:30" hidden="1">
      <c r="A323" s="4">
        <v>570</v>
      </c>
      <c r="B323" s="8">
        <v>45135</v>
      </c>
      <c r="C323" s="4"/>
      <c r="D323" s="4" t="s">
        <v>42</v>
      </c>
      <c r="E323" s="8">
        <v>45145</v>
      </c>
      <c r="F323" s="4" t="s">
        <v>43</v>
      </c>
      <c r="G323" s="16" t="s">
        <v>51</v>
      </c>
      <c r="H323" s="4" t="s">
        <v>52</v>
      </c>
      <c r="I323" s="4" t="s">
        <v>587</v>
      </c>
      <c r="J323" s="10">
        <v>0.77400000000000002</v>
      </c>
      <c r="K323" s="10">
        <v>0.77400000000000002</v>
      </c>
      <c r="L323" s="10">
        <f t="shared" si="53"/>
        <v>0</v>
      </c>
      <c r="M323" s="10">
        <f t="shared" si="54"/>
        <v>0</v>
      </c>
      <c r="N323" s="10"/>
      <c r="O323" s="10"/>
      <c r="P323" s="10">
        <f>0.774-0.774</f>
        <v>0</v>
      </c>
      <c r="Q323" s="10"/>
      <c r="R323" s="10"/>
      <c r="S323" s="10"/>
      <c r="T323" s="10"/>
      <c r="U323" s="10"/>
      <c r="V323" s="4" t="s">
        <v>466</v>
      </c>
      <c r="W323" s="4"/>
      <c r="X323" s="8">
        <v>45141</v>
      </c>
      <c r="Y323" s="4"/>
      <c r="Z323" s="4"/>
      <c r="AA323" s="8">
        <v>45155</v>
      </c>
      <c r="AB323" s="8"/>
      <c r="AC323" s="4"/>
      <c r="AD323" s="4"/>
    </row>
    <row r="324" spans="1:30" hidden="1">
      <c r="A324" s="4">
        <v>570</v>
      </c>
      <c r="B324" s="8">
        <v>45135</v>
      </c>
      <c r="C324" s="4"/>
      <c r="D324" s="4" t="s">
        <v>42</v>
      </c>
      <c r="E324" s="8">
        <v>45145</v>
      </c>
      <c r="F324" s="4" t="s">
        <v>43</v>
      </c>
      <c r="G324" s="16" t="s">
        <v>51</v>
      </c>
      <c r="H324" s="4" t="s">
        <v>52</v>
      </c>
      <c r="I324" s="4" t="s">
        <v>915</v>
      </c>
      <c r="J324" s="10">
        <v>2.3435999999999999</v>
      </c>
      <c r="K324" s="10">
        <v>2.395</v>
      </c>
      <c r="L324" s="10">
        <f t="shared" si="53"/>
        <v>0</v>
      </c>
      <c r="M324" s="10">
        <f t="shared" si="54"/>
        <v>0</v>
      </c>
      <c r="N324" s="10"/>
      <c r="O324" s="10"/>
      <c r="P324" s="10">
        <v>0</v>
      </c>
      <c r="Q324" s="10"/>
      <c r="R324" s="10"/>
      <c r="S324" s="10"/>
      <c r="T324" s="10"/>
      <c r="U324" s="10"/>
      <c r="V324" s="4" t="s">
        <v>466</v>
      </c>
      <c r="W324" s="4" t="s">
        <v>521</v>
      </c>
      <c r="X324" s="8"/>
      <c r="Y324" s="4"/>
      <c r="Z324" s="4"/>
      <c r="AA324" s="8">
        <v>45166</v>
      </c>
      <c r="AB324" s="8">
        <v>45166</v>
      </c>
      <c r="AC324" s="4"/>
      <c r="AD324" s="4"/>
    </row>
    <row r="325" spans="1:30" hidden="1">
      <c r="A325" s="4">
        <v>570</v>
      </c>
      <c r="B325" s="8">
        <v>45135</v>
      </c>
      <c r="C325" s="4"/>
      <c r="D325" s="4" t="s">
        <v>42</v>
      </c>
      <c r="E325" s="8">
        <v>45145</v>
      </c>
      <c r="F325" s="4" t="s">
        <v>43</v>
      </c>
      <c r="G325" s="16" t="s">
        <v>51</v>
      </c>
      <c r="H325" s="4" t="s">
        <v>52</v>
      </c>
      <c r="I325" s="4" t="s">
        <v>435</v>
      </c>
      <c r="J325" s="10">
        <v>1.1078399999999999</v>
      </c>
      <c r="K325" s="10">
        <v>1.1080000000000001</v>
      </c>
      <c r="L325" s="10">
        <f t="shared" si="53"/>
        <v>0</v>
      </c>
      <c r="M325" s="10">
        <f t="shared" si="54"/>
        <v>0</v>
      </c>
      <c r="N325" s="10"/>
      <c r="O325" s="10"/>
      <c r="P325" s="10">
        <f>1.108-1.108</f>
        <v>0</v>
      </c>
      <c r="Q325" s="10"/>
      <c r="R325" s="10"/>
      <c r="S325" s="10"/>
      <c r="T325" s="10"/>
      <c r="U325" s="10"/>
      <c r="V325" s="4" t="s">
        <v>466</v>
      </c>
      <c r="W325" s="4"/>
      <c r="X325" s="8">
        <v>45146</v>
      </c>
      <c r="Y325" s="4"/>
      <c r="Z325" s="4"/>
      <c r="AA325" s="8">
        <v>45155</v>
      </c>
      <c r="AB325" s="8"/>
      <c r="AC325" s="4"/>
      <c r="AD325" s="4"/>
    </row>
    <row r="326" spans="1:30" hidden="1">
      <c r="A326" s="4">
        <v>570</v>
      </c>
      <c r="B326" s="8">
        <v>45135</v>
      </c>
      <c r="C326" s="4"/>
      <c r="D326" s="4" t="s">
        <v>42</v>
      </c>
      <c r="E326" s="8">
        <v>45145</v>
      </c>
      <c r="F326" s="4" t="s">
        <v>43</v>
      </c>
      <c r="G326" s="16" t="s">
        <v>51</v>
      </c>
      <c r="H326" s="4" t="s">
        <v>52</v>
      </c>
      <c r="I326" s="4" t="s">
        <v>432</v>
      </c>
      <c r="J326" s="10">
        <v>2.3049599999999999</v>
      </c>
      <c r="K326" s="10">
        <v>2.3050000000000002</v>
      </c>
      <c r="L326" s="10">
        <f t="shared" si="53"/>
        <v>0</v>
      </c>
      <c r="M326" s="10">
        <f t="shared" si="54"/>
        <v>0</v>
      </c>
      <c r="N326" s="10"/>
      <c r="O326" s="10"/>
      <c r="P326" s="10"/>
      <c r="Q326" s="10"/>
      <c r="R326" s="10"/>
      <c r="S326" s="10"/>
      <c r="T326" s="10"/>
      <c r="U326" s="10"/>
      <c r="V326" s="4" t="s">
        <v>466</v>
      </c>
      <c r="W326" s="4"/>
      <c r="X326" s="8">
        <v>45146</v>
      </c>
      <c r="Y326" s="4"/>
      <c r="Z326" s="4"/>
      <c r="AA326" s="8">
        <v>45155</v>
      </c>
      <c r="AB326" s="8"/>
      <c r="AC326" s="4"/>
      <c r="AD326" s="4"/>
    </row>
    <row r="327" spans="1:30" hidden="1">
      <c r="A327" s="4">
        <v>570</v>
      </c>
      <c r="B327" s="8">
        <v>45135</v>
      </c>
      <c r="C327" s="4"/>
      <c r="D327" s="4" t="s">
        <v>42</v>
      </c>
      <c r="E327" s="8">
        <v>45145</v>
      </c>
      <c r="F327" s="4" t="s">
        <v>43</v>
      </c>
      <c r="G327" s="16" t="s">
        <v>51</v>
      </c>
      <c r="H327" s="4" t="s">
        <v>52</v>
      </c>
      <c r="I327" s="4" t="s">
        <v>474</v>
      </c>
      <c r="J327" s="10">
        <v>2.9615999999999998</v>
      </c>
      <c r="K327" s="10">
        <v>3.1160000000000001</v>
      </c>
      <c r="L327" s="10">
        <f t="shared" si="53"/>
        <v>0</v>
      </c>
      <c r="M327" s="10">
        <f t="shared" si="54"/>
        <v>0</v>
      </c>
      <c r="N327" s="10"/>
      <c r="O327" s="10"/>
      <c r="P327" s="10"/>
      <c r="Q327" s="10"/>
      <c r="R327" s="10"/>
      <c r="S327" s="10"/>
      <c r="T327" s="10"/>
      <c r="U327" s="10"/>
      <c r="V327" s="4" t="s">
        <v>466</v>
      </c>
      <c r="W327" s="4"/>
      <c r="X327" s="8"/>
      <c r="Y327" s="4"/>
      <c r="Z327" s="4"/>
      <c r="AA327" s="8">
        <v>45155</v>
      </c>
      <c r="AB327" s="8"/>
      <c r="AC327" s="4"/>
      <c r="AD327" s="4"/>
    </row>
    <row r="328" spans="1:30" hidden="1">
      <c r="A328" s="4">
        <v>570</v>
      </c>
      <c r="B328" s="8">
        <v>45135</v>
      </c>
      <c r="C328" s="4"/>
      <c r="D328" s="4" t="s">
        <v>42</v>
      </c>
      <c r="E328" s="8">
        <v>45145</v>
      </c>
      <c r="F328" s="4" t="s">
        <v>43</v>
      </c>
      <c r="G328" s="16" t="s">
        <v>51</v>
      </c>
      <c r="H328" s="4" t="s">
        <v>52</v>
      </c>
      <c r="I328" s="4" t="s">
        <v>434</v>
      </c>
      <c r="J328" s="10">
        <v>1.7664000000000002</v>
      </c>
      <c r="K328" s="10">
        <v>1.766</v>
      </c>
      <c r="L328" s="10">
        <f t="shared" si="53"/>
        <v>3.9999999999995595E-4</v>
      </c>
      <c r="M328" s="10">
        <f t="shared" si="54"/>
        <v>3.9999999999995595E-4</v>
      </c>
      <c r="N328" s="10"/>
      <c r="O328" s="10"/>
      <c r="P328" s="10">
        <f>1.7664-1.766</f>
        <v>3.9999999999995595E-4</v>
      </c>
      <c r="Q328" s="10"/>
      <c r="R328" s="10"/>
      <c r="S328" s="10"/>
      <c r="T328" s="10"/>
      <c r="U328" s="10"/>
      <c r="V328" s="4" t="s">
        <v>466</v>
      </c>
      <c r="W328" s="4"/>
      <c r="X328" s="8"/>
      <c r="Y328" s="4"/>
      <c r="Z328" s="4"/>
      <c r="AA328" s="8"/>
      <c r="AB328" s="8"/>
      <c r="AC328" s="4"/>
      <c r="AD328" s="4"/>
    </row>
    <row r="329" spans="1:30" hidden="1">
      <c r="A329" s="4">
        <v>570</v>
      </c>
      <c r="B329" s="8">
        <v>45135</v>
      </c>
      <c r="C329" s="4"/>
      <c r="D329" s="4" t="s">
        <v>42</v>
      </c>
      <c r="E329" s="8">
        <v>45145</v>
      </c>
      <c r="F329" s="4" t="s">
        <v>43</v>
      </c>
      <c r="G329" s="16" t="s">
        <v>51</v>
      </c>
      <c r="H329" s="4" t="s">
        <v>52</v>
      </c>
      <c r="I329" s="4" t="s">
        <v>577</v>
      </c>
      <c r="J329" s="10">
        <v>2.2869999999999999</v>
      </c>
      <c r="K329" s="10">
        <v>2.2869999999999999</v>
      </c>
      <c r="L329" s="10">
        <f t="shared" si="53"/>
        <v>0</v>
      </c>
      <c r="M329" s="10">
        <f t="shared" si="54"/>
        <v>0</v>
      </c>
      <c r="N329" s="10"/>
      <c r="O329" s="10"/>
      <c r="P329" s="10"/>
      <c r="Q329" s="10"/>
      <c r="R329" s="10"/>
      <c r="S329" s="10"/>
      <c r="T329" s="10"/>
      <c r="U329" s="10"/>
      <c r="V329" s="4" t="s">
        <v>466</v>
      </c>
      <c r="W329" s="4"/>
      <c r="X329" s="8"/>
      <c r="Y329" s="4"/>
      <c r="Z329" s="4"/>
      <c r="AA329" s="8">
        <v>45158</v>
      </c>
      <c r="AB329" s="8"/>
      <c r="AC329" s="4"/>
      <c r="AD329" s="4"/>
    </row>
    <row r="330" spans="1:30" hidden="1">
      <c r="A330" s="4">
        <v>570</v>
      </c>
      <c r="B330" s="8">
        <v>45135</v>
      </c>
      <c r="C330" s="4"/>
      <c r="D330" s="4" t="s">
        <v>42</v>
      </c>
      <c r="E330" s="8">
        <v>45145</v>
      </c>
      <c r="F330" s="4" t="s">
        <v>43</v>
      </c>
      <c r="G330" s="16" t="s">
        <v>51</v>
      </c>
      <c r="H330" s="4" t="s">
        <v>52</v>
      </c>
      <c r="I330" s="4" t="s">
        <v>89</v>
      </c>
      <c r="J330" s="10">
        <v>3.79392</v>
      </c>
      <c r="K330" s="10">
        <v>3.794</v>
      </c>
      <c r="L330" s="10">
        <f t="shared" si="53"/>
        <v>0</v>
      </c>
      <c r="M330" s="10">
        <f t="shared" si="54"/>
        <v>0</v>
      </c>
      <c r="N330" s="10"/>
      <c r="O330" s="10"/>
      <c r="P330" s="10">
        <v>0</v>
      </c>
      <c r="Q330" s="10"/>
      <c r="R330" s="10"/>
      <c r="S330" s="10"/>
      <c r="T330" s="10"/>
      <c r="U330" s="10"/>
      <c r="V330" s="4" t="s">
        <v>466</v>
      </c>
      <c r="W330" s="4"/>
      <c r="X330" s="8"/>
      <c r="Y330" s="4"/>
      <c r="Z330" s="4"/>
      <c r="AA330" s="8">
        <v>45158</v>
      </c>
      <c r="AB330" s="8">
        <v>45158</v>
      </c>
      <c r="AC330" s="4"/>
      <c r="AD330" s="4"/>
    </row>
    <row r="331" spans="1:30" hidden="1">
      <c r="A331" s="4">
        <v>571</v>
      </c>
      <c r="B331" s="8">
        <v>45135</v>
      </c>
      <c r="C331" s="4"/>
      <c r="D331" s="4" t="s">
        <v>42</v>
      </c>
      <c r="E331" s="8">
        <v>45153</v>
      </c>
      <c r="F331" s="4" t="s">
        <v>840</v>
      </c>
      <c r="G331" s="16" t="s">
        <v>44</v>
      </c>
      <c r="H331" s="4" t="s">
        <v>45</v>
      </c>
      <c r="I331" s="4" t="s">
        <v>407</v>
      </c>
      <c r="J331" s="10">
        <v>10.53359</v>
      </c>
      <c r="K331" s="10">
        <f>4.691+5.853</f>
        <v>10.544</v>
      </c>
      <c r="L331" s="10">
        <f t="shared" si="53"/>
        <v>0</v>
      </c>
      <c r="M331" s="10">
        <f t="shared" si="54"/>
        <v>0</v>
      </c>
      <c r="N331" s="10"/>
      <c r="O331" s="10"/>
      <c r="P331" s="10">
        <v>0</v>
      </c>
      <c r="Q331" s="10"/>
      <c r="R331" s="10"/>
      <c r="S331" s="10"/>
      <c r="T331" s="10"/>
      <c r="U331" s="10"/>
      <c r="V331" s="4" t="s">
        <v>841</v>
      </c>
      <c r="W331" s="4"/>
      <c r="X331" s="8">
        <v>45144</v>
      </c>
      <c r="Y331" s="4"/>
      <c r="Z331" s="4"/>
      <c r="AA331" s="8">
        <v>45161</v>
      </c>
      <c r="AB331" s="8">
        <v>45162</v>
      </c>
      <c r="AC331" s="4"/>
      <c r="AD331" s="4"/>
    </row>
    <row r="332" spans="1:30" hidden="1">
      <c r="A332" s="4">
        <v>571</v>
      </c>
      <c r="B332" s="8">
        <v>45135</v>
      </c>
      <c r="C332" s="4"/>
      <c r="D332" s="4" t="s">
        <v>42</v>
      </c>
      <c r="E332" s="8">
        <v>45153</v>
      </c>
      <c r="F332" s="4" t="s">
        <v>840</v>
      </c>
      <c r="G332" s="16" t="s">
        <v>44</v>
      </c>
      <c r="H332" s="4" t="s">
        <v>45</v>
      </c>
      <c r="I332" s="4" t="s">
        <v>448</v>
      </c>
      <c r="J332" s="10">
        <v>0.98864999999999992</v>
      </c>
      <c r="K332" s="10">
        <f>0.329+0.658</f>
        <v>0.9870000000000001</v>
      </c>
      <c r="L332" s="10">
        <f t="shared" si="53"/>
        <v>0</v>
      </c>
      <c r="M332" s="10">
        <f t="shared" si="54"/>
        <v>0</v>
      </c>
      <c r="N332" s="10"/>
      <c r="O332" s="10"/>
      <c r="P332" s="10">
        <v>0</v>
      </c>
      <c r="Q332" s="10"/>
      <c r="R332" s="10"/>
      <c r="S332" s="10"/>
      <c r="T332" s="10"/>
      <c r="U332" s="10"/>
      <c r="V332" s="4" t="s">
        <v>841</v>
      </c>
      <c r="W332" s="4"/>
      <c r="X332" s="8">
        <v>45171</v>
      </c>
      <c r="Y332" s="4"/>
      <c r="Z332" s="4"/>
      <c r="AA332" s="8"/>
      <c r="AB332" s="8">
        <v>45191</v>
      </c>
      <c r="AC332" s="4"/>
      <c r="AD332" s="4"/>
    </row>
    <row r="333" spans="1:30" hidden="1">
      <c r="A333" s="4">
        <v>571</v>
      </c>
      <c r="B333" s="8">
        <v>45135</v>
      </c>
      <c r="C333" s="4"/>
      <c r="D333" s="4" t="s">
        <v>42</v>
      </c>
      <c r="E333" s="8">
        <v>45153</v>
      </c>
      <c r="F333" s="4" t="s">
        <v>840</v>
      </c>
      <c r="G333" s="16" t="s">
        <v>44</v>
      </c>
      <c r="H333" s="4" t="s">
        <v>45</v>
      </c>
      <c r="I333" s="4" t="s">
        <v>408</v>
      </c>
      <c r="J333" s="10">
        <v>33.674059999999997</v>
      </c>
      <c r="K333" s="10">
        <f>32.132+1.69</f>
        <v>33.821999999999996</v>
      </c>
      <c r="L333" s="10">
        <f t="shared" ref="L333:L345" si="57">M333+U333</f>
        <v>0</v>
      </c>
      <c r="M333" s="10">
        <f t="shared" ref="M333:M345" si="58">SUM(N333:T333)</f>
        <v>0</v>
      </c>
      <c r="N333" s="10"/>
      <c r="O333" s="10"/>
      <c r="P333" s="10">
        <v>0</v>
      </c>
      <c r="Q333" s="10"/>
      <c r="R333" s="10"/>
      <c r="S333" s="10"/>
      <c r="T333" s="10"/>
      <c r="U333" s="10"/>
      <c r="V333" s="4" t="s">
        <v>841</v>
      </c>
      <c r="W333" s="4"/>
      <c r="X333" s="8">
        <v>45143</v>
      </c>
      <c r="Y333" s="4"/>
      <c r="Z333" s="4"/>
      <c r="AA333" s="8">
        <v>45160</v>
      </c>
      <c r="AB333" s="8">
        <v>45166</v>
      </c>
      <c r="AC333" s="4"/>
      <c r="AD333" s="4"/>
    </row>
    <row r="334" spans="1:30" hidden="1">
      <c r="A334" s="4">
        <v>571</v>
      </c>
      <c r="B334" s="8">
        <v>45135</v>
      </c>
      <c r="C334" s="4"/>
      <c r="D334" s="4" t="s">
        <v>42</v>
      </c>
      <c r="E334" s="8">
        <v>45153</v>
      </c>
      <c r="F334" s="4" t="s">
        <v>840</v>
      </c>
      <c r="G334" s="16" t="s">
        <v>44</v>
      </c>
      <c r="H334" s="4" t="s">
        <v>45</v>
      </c>
      <c r="I334" s="4" t="s">
        <v>579</v>
      </c>
      <c r="J334" s="10">
        <v>1.7822399999999998</v>
      </c>
      <c r="K334" s="10">
        <v>1.782</v>
      </c>
      <c r="L334" s="10">
        <f t="shared" si="57"/>
        <v>0</v>
      </c>
      <c r="M334" s="10">
        <f t="shared" si="58"/>
        <v>0</v>
      </c>
      <c r="N334" s="10"/>
      <c r="O334" s="10"/>
      <c r="P334" s="10">
        <v>0</v>
      </c>
      <c r="Q334" s="10"/>
      <c r="R334" s="10"/>
      <c r="S334" s="10"/>
      <c r="T334" s="10"/>
      <c r="U334" s="10"/>
      <c r="V334" s="4" t="s">
        <v>841</v>
      </c>
      <c r="W334" s="4"/>
      <c r="X334" s="8">
        <v>45171</v>
      </c>
      <c r="Y334" s="4"/>
      <c r="Z334" s="4"/>
      <c r="AA334" s="8">
        <v>45184</v>
      </c>
      <c r="AB334" s="8">
        <v>45184</v>
      </c>
      <c r="AC334" s="4"/>
      <c r="AD334" s="4"/>
    </row>
    <row r="335" spans="1:30" hidden="1">
      <c r="A335" s="4">
        <v>571</v>
      </c>
      <c r="B335" s="8">
        <v>45135</v>
      </c>
      <c r="C335" s="4"/>
      <c r="D335" s="4" t="s">
        <v>42</v>
      </c>
      <c r="E335" s="8">
        <v>45153</v>
      </c>
      <c r="F335" s="4" t="s">
        <v>840</v>
      </c>
      <c r="G335" s="16" t="s">
        <v>44</v>
      </c>
      <c r="H335" s="4" t="s">
        <v>45</v>
      </c>
      <c r="I335" s="4" t="s">
        <v>448</v>
      </c>
      <c r="J335" s="10">
        <v>13.1508</v>
      </c>
      <c r="K335" s="10">
        <v>13.151</v>
      </c>
      <c r="L335" s="10">
        <f t="shared" si="57"/>
        <v>0</v>
      </c>
      <c r="M335" s="10">
        <f t="shared" si="58"/>
        <v>0</v>
      </c>
      <c r="N335" s="10"/>
      <c r="O335" s="10"/>
      <c r="P335" s="10">
        <v>0</v>
      </c>
      <c r="Q335" s="10"/>
      <c r="R335" s="10"/>
      <c r="S335" s="10"/>
      <c r="T335" s="10"/>
      <c r="U335" s="10"/>
      <c r="V335" s="4" t="s">
        <v>841</v>
      </c>
      <c r="W335" s="4"/>
      <c r="X335" s="8">
        <v>45171</v>
      </c>
      <c r="Y335" s="4"/>
      <c r="Z335" s="4"/>
      <c r="AA335" s="8"/>
      <c r="AB335" s="8"/>
      <c r="AC335" s="4"/>
      <c r="AD335" s="4"/>
    </row>
    <row r="336" spans="1:30" hidden="1">
      <c r="A336" s="4">
        <v>571</v>
      </c>
      <c r="B336" s="8">
        <v>45135</v>
      </c>
      <c r="C336" s="4"/>
      <c r="D336" s="4" t="s">
        <v>42</v>
      </c>
      <c r="E336" s="8">
        <v>45153</v>
      </c>
      <c r="F336" s="4" t="s">
        <v>840</v>
      </c>
      <c r="G336" s="16" t="s">
        <v>51</v>
      </c>
      <c r="H336" s="4" t="s">
        <v>52</v>
      </c>
      <c r="I336" s="4" t="s">
        <v>49</v>
      </c>
      <c r="J336" s="10">
        <v>2.1294</v>
      </c>
      <c r="K336" s="10">
        <v>2.165</v>
      </c>
      <c r="L336" s="10">
        <f t="shared" si="57"/>
        <v>0</v>
      </c>
      <c r="M336" s="10">
        <f t="shared" si="58"/>
        <v>0</v>
      </c>
      <c r="N336" s="10"/>
      <c r="O336" s="10"/>
      <c r="P336" s="10">
        <v>0</v>
      </c>
      <c r="Q336" s="10"/>
      <c r="R336" s="10"/>
      <c r="S336" s="10"/>
      <c r="T336" s="10"/>
      <c r="U336" s="10"/>
      <c r="V336" s="4" t="s">
        <v>841</v>
      </c>
      <c r="W336" s="4"/>
      <c r="X336" s="8">
        <v>45141</v>
      </c>
      <c r="Y336" s="4"/>
      <c r="Z336" s="4"/>
      <c r="AA336" s="8">
        <v>45166</v>
      </c>
      <c r="AB336" s="8">
        <v>45166</v>
      </c>
      <c r="AC336" s="4"/>
      <c r="AD336" s="4"/>
    </row>
    <row r="337" spans="1:30" hidden="1">
      <c r="A337" s="4">
        <v>571</v>
      </c>
      <c r="B337" s="8">
        <v>45135</v>
      </c>
      <c r="C337" s="4"/>
      <c r="D337" s="4" t="s">
        <v>42</v>
      </c>
      <c r="E337" s="8">
        <v>45153</v>
      </c>
      <c r="F337" s="4" t="s">
        <v>840</v>
      </c>
      <c r="G337" s="16" t="s">
        <v>51</v>
      </c>
      <c r="H337" s="4" t="s">
        <v>52</v>
      </c>
      <c r="I337" s="4" t="s">
        <v>50</v>
      </c>
      <c r="J337" s="10">
        <v>2.6388000000000003</v>
      </c>
      <c r="K337" s="10">
        <v>2.6389999999999998</v>
      </c>
      <c r="L337" s="10">
        <f t="shared" si="57"/>
        <v>0</v>
      </c>
      <c r="M337" s="10">
        <f t="shared" si="58"/>
        <v>0</v>
      </c>
      <c r="N337" s="10"/>
      <c r="O337" s="10"/>
      <c r="P337" s="10">
        <v>0</v>
      </c>
      <c r="Q337" s="10"/>
      <c r="R337" s="10"/>
      <c r="S337" s="10"/>
      <c r="T337" s="10"/>
      <c r="U337" s="10"/>
      <c r="V337" s="4" t="s">
        <v>841</v>
      </c>
      <c r="W337" s="4"/>
      <c r="X337" s="8">
        <v>45141</v>
      </c>
      <c r="Y337" s="4"/>
      <c r="Z337" s="4"/>
      <c r="AA337" s="8">
        <v>45162</v>
      </c>
      <c r="AB337" s="8">
        <v>45162</v>
      </c>
      <c r="AC337" s="4"/>
      <c r="AD337" s="4"/>
    </row>
    <row r="338" spans="1:30" hidden="1">
      <c r="A338" s="4">
        <v>571</v>
      </c>
      <c r="B338" s="8">
        <v>45135</v>
      </c>
      <c r="C338" s="4"/>
      <c r="D338" s="4" t="s">
        <v>42</v>
      </c>
      <c r="E338" s="8">
        <v>45153</v>
      </c>
      <c r="F338" s="4" t="s">
        <v>840</v>
      </c>
      <c r="G338" s="16" t="s">
        <v>51</v>
      </c>
      <c r="H338" s="4" t="s">
        <v>52</v>
      </c>
      <c r="I338" s="4" t="s">
        <v>587</v>
      </c>
      <c r="J338" s="10">
        <v>1.19</v>
      </c>
      <c r="K338" s="10">
        <v>1.1870000000000001</v>
      </c>
      <c r="L338" s="10">
        <f t="shared" si="57"/>
        <v>0</v>
      </c>
      <c r="M338" s="10">
        <f t="shared" si="58"/>
        <v>0</v>
      </c>
      <c r="N338" s="10"/>
      <c r="O338" s="10"/>
      <c r="P338" s="10">
        <v>0</v>
      </c>
      <c r="Q338" s="10"/>
      <c r="R338" s="10"/>
      <c r="S338" s="10"/>
      <c r="T338" s="10"/>
      <c r="U338" s="10"/>
      <c r="V338" s="4" t="s">
        <v>841</v>
      </c>
      <c r="W338" s="4"/>
      <c r="X338" s="8">
        <v>45141</v>
      </c>
      <c r="Y338" s="4"/>
      <c r="Z338" s="4"/>
      <c r="AA338" s="8">
        <v>45162</v>
      </c>
      <c r="AB338" s="8">
        <v>45162</v>
      </c>
      <c r="AC338" s="4"/>
      <c r="AD338" s="4"/>
    </row>
    <row r="339" spans="1:30" hidden="1">
      <c r="A339" s="4">
        <v>574</v>
      </c>
      <c r="B339" s="8">
        <v>45136</v>
      </c>
      <c r="C339" s="4"/>
      <c r="D339" s="4" t="s">
        <v>42</v>
      </c>
      <c r="E339" s="8">
        <v>45153</v>
      </c>
      <c r="F339" s="4" t="s">
        <v>840</v>
      </c>
      <c r="G339" s="16" t="s">
        <v>44</v>
      </c>
      <c r="H339" s="4" t="s">
        <v>45</v>
      </c>
      <c r="I339" s="4" t="s">
        <v>49</v>
      </c>
      <c r="J339" s="10">
        <v>5.0960000000000001</v>
      </c>
      <c r="K339" s="10">
        <v>5.0819999999999999</v>
      </c>
      <c r="L339" s="10">
        <f t="shared" si="57"/>
        <v>0</v>
      </c>
      <c r="M339" s="10">
        <f t="shared" si="58"/>
        <v>0</v>
      </c>
      <c r="N339" s="10"/>
      <c r="O339" s="10"/>
      <c r="P339" s="10">
        <v>0</v>
      </c>
      <c r="Q339" s="10"/>
      <c r="R339" s="10"/>
      <c r="S339" s="10"/>
      <c r="T339" s="10"/>
      <c r="U339" s="10"/>
      <c r="V339" s="4" t="s">
        <v>841</v>
      </c>
      <c r="W339" s="4"/>
      <c r="X339" s="8">
        <v>45141</v>
      </c>
      <c r="Y339" s="4"/>
      <c r="Z339" s="4"/>
      <c r="AA339" s="8">
        <v>45161</v>
      </c>
      <c r="AB339" s="8">
        <v>45161</v>
      </c>
      <c r="AC339" s="4"/>
      <c r="AD339" s="4"/>
    </row>
    <row r="340" spans="1:30" hidden="1">
      <c r="A340" s="4">
        <v>574</v>
      </c>
      <c r="B340" s="8">
        <v>45136</v>
      </c>
      <c r="C340" s="4"/>
      <c r="D340" s="4" t="s">
        <v>42</v>
      </c>
      <c r="E340" s="8">
        <v>45153</v>
      </c>
      <c r="F340" s="4" t="s">
        <v>840</v>
      </c>
      <c r="G340" s="16" t="s">
        <v>44</v>
      </c>
      <c r="H340" s="4" t="s">
        <v>45</v>
      </c>
      <c r="I340" s="4" t="s">
        <v>587</v>
      </c>
      <c r="J340" s="10">
        <v>44.047049999999999</v>
      </c>
      <c r="K340" s="10">
        <f>25.845+16.718+1.484</f>
        <v>44.047000000000004</v>
      </c>
      <c r="L340" s="10">
        <f t="shared" si="57"/>
        <v>0</v>
      </c>
      <c r="M340" s="10">
        <f t="shared" si="58"/>
        <v>0</v>
      </c>
      <c r="N340" s="10"/>
      <c r="O340" s="10"/>
      <c r="P340" s="10">
        <v>0</v>
      </c>
      <c r="Q340" s="10"/>
      <c r="R340" s="10"/>
      <c r="S340" s="10"/>
      <c r="T340" s="10"/>
      <c r="U340" s="10"/>
      <c r="V340" s="4" t="s">
        <v>841</v>
      </c>
      <c r="W340" s="4"/>
      <c r="X340" s="8">
        <v>45141</v>
      </c>
      <c r="Y340" s="4"/>
      <c r="Z340" s="4"/>
      <c r="AA340" s="8">
        <v>45160</v>
      </c>
      <c r="AB340" s="8">
        <v>45164</v>
      </c>
      <c r="AC340" s="4"/>
      <c r="AD340" s="4"/>
    </row>
    <row r="341" spans="1:30" hidden="1">
      <c r="A341" s="4">
        <v>574</v>
      </c>
      <c r="B341" s="8">
        <v>45136</v>
      </c>
      <c r="C341" s="4"/>
      <c r="D341" s="4" t="s">
        <v>42</v>
      </c>
      <c r="E341" s="8">
        <v>45153</v>
      </c>
      <c r="F341" s="4" t="s">
        <v>840</v>
      </c>
      <c r="G341" s="16" t="s">
        <v>44</v>
      </c>
      <c r="H341" s="4" t="s">
        <v>45</v>
      </c>
      <c r="I341" s="4" t="s">
        <v>50</v>
      </c>
      <c r="J341" s="10">
        <v>19.549110000000002</v>
      </c>
      <c r="K341" s="10">
        <f>4.464+11.406+3.859</f>
        <v>19.728999999999999</v>
      </c>
      <c r="L341" s="10">
        <f t="shared" si="57"/>
        <v>0</v>
      </c>
      <c r="M341" s="10">
        <f t="shared" si="58"/>
        <v>0</v>
      </c>
      <c r="N341" s="10"/>
      <c r="O341" s="10"/>
      <c r="P341" s="10">
        <v>0</v>
      </c>
      <c r="Q341" s="10"/>
      <c r="R341" s="10"/>
      <c r="S341" s="10"/>
      <c r="T341" s="10"/>
      <c r="U341" s="10"/>
      <c r="V341" s="4" t="s">
        <v>841</v>
      </c>
      <c r="W341" s="4"/>
      <c r="X341" s="8">
        <v>45141</v>
      </c>
      <c r="Y341" s="4"/>
      <c r="Z341" s="4"/>
      <c r="AA341" s="8">
        <v>45160</v>
      </c>
      <c r="AB341" s="8">
        <v>45162</v>
      </c>
      <c r="AC341" s="4"/>
      <c r="AD341" s="4"/>
    </row>
    <row r="342" spans="1:30" hidden="1">
      <c r="A342" s="4">
        <v>574</v>
      </c>
      <c r="B342" s="8">
        <v>45136</v>
      </c>
      <c r="C342" s="4"/>
      <c r="D342" s="4" t="s">
        <v>42</v>
      </c>
      <c r="E342" s="8">
        <v>45153</v>
      </c>
      <c r="F342" s="4" t="s">
        <v>840</v>
      </c>
      <c r="G342" s="16" t="s">
        <v>44</v>
      </c>
      <c r="H342" s="4" t="s">
        <v>45</v>
      </c>
      <c r="I342" s="4" t="s">
        <v>588</v>
      </c>
      <c r="J342" s="10">
        <v>11.203500000000002</v>
      </c>
      <c r="K342" s="10">
        <v>11.249000000000001</v>
      </c>
      <c r="L342" s="10">
        <f t="shared" si="57"/>
        <v>0</v>
      </c>
      <c r="M342" s="10">
        <f t="shared" si="58"/>
        <v>0</v>
      </c>
      <c r="N342" s="10"/>
      <c r="O342" s="10"/>
      <c r="P342" s="10">
        <v>0</v>
      </c>
      <c r="Q342" s="10"/>
      <c r="R342" s="10"/>
      <c r="S342" s="10"/>
      <c r="T342" s="10"/>
      <c r="U342" s="10"/>
      <c r="V342" s="4" t="s">
        <v>841</v>
      </c>
      <c r="W342" s="4"/>
      <c r="X342" s="8">
        <v>45141</v>
      </c>
      <c r="Y342" s="4"/>
      <c r="Z342" s="4"/>
      <c r="AA342" s="8">
        <v>45161</v>
      </c>
      <c r="AB342" s="8">
        <v>45161</v>
      </c>
      <c r="AC342" s="4"/>
      <c r="AD342" s="4"/>
    </row>
    <row r="343" spans="1:30" hidden="1">
      <c r="A343" s="4">
        <v>574</v>
      </c>
      <c r="B343" s="8">
        <v>45136</v>
      </c>
      <c r="C343" s="4"/>
      <c r="D343" s="4" t="s">
        <v>42</v>
      </c>
      <c r="E343" s="8">
        <v>45153</v>
      </c>
      <c r="F343" s="4" t="s">
        <v>840</v>
      </c>
      <c r="G343" s="16" t="s">
        <v>44</v>
      </c>
      <c r="H343" s="4" t="s">
        <v>45</v>
      </c>
      <c r="I343" s="4" t="s">
        <v>409</v>
      </c>
      <c r="J343" s="10">
        <v>3.7130000000000001</v>
      </c>
      <c r="K343" s="10">
        <v>3.7050000000000001</v>
      </c>
      <c r="L343" s="10">
        <f t="shared" si="57"/>
        <v>0</v>
      </c>
      <c r="M343" s="10">
        <f t="shared" si="58"/>
        <v>0</v>
      </c>
      <c r="N343" s="10"/>
      <c r="O343" s="10"/>
      <c r="P343" s="10">
        <v>0</v>
      </c>
      <c r="Q343" s="10"/>
      <c r="R343" s="10"/>
      <c r="S343" s="10"/>
      <c r="T343" s="10"/>
      <c r="U343" s="10"/>
      <c r="V343" s="4" t="s">
        <v>841</v>
      </c>
      <c r="W343" s="4"/>
      <c r="X343" s="8">
        <v>45143</v>
      </c>
      <c r="Y343" s="4"/>
      <c r="Z343" s="4"/>
      <c r="AA343" s="8">
        <v>45162</v>
      </c>
      <c r="AB343" s="8">
        <v>45162</v>
      </c>
      <c r="AC343" s="4"/>
      <c r="AD343" s="4"/>
    </row>
    <row r="344" spans="1:30" hidden="1">
      <c r="A344" s="4">
        <v>574</v>
      </c>
      <c r="B344" s="8">
        <v>45136</v>
      </c>
      <c r="C344" s="4"/>
      <c r="D344" s="4" t="s">
        <v>42</v>
      </c>
      <c r="E344" s="8">
        <v>45153</v>
      </c>
      <c r="F344" s="4" t="s">
        <v>840</v>
      </c>
      <c r="G344" s="16" t="s">
        <v>44</v>
      </c>
      <c r="H344" s="4" t="s">
        <v>45</v>
      </c>
      <c r="I344" s="4" t="s">
        <v>410</v>
      </c>
      <c r="J344" s="10">
        <v>42.124319999999997</v>
      </c>
      <c r="K344" s="10">
        <f>13.015+28.636+0.56</f>
        <v>42.210999999999999</v>
      </c>
      <c r="L344" s="10">
        <f t="shared" si="57"/>
        <v>0</v>
      </c>
      <c r="M344" s="10">
        <f t="shared" si="58"/>
        <v>0</v>
      </c>
      <c r="N344" s="10"/>
      <c r="O344" s="10"/>
      <c r="P344" s="10">
        <v>0</v>
      </c>
      <c r="Q344" s="10"/>
      <c r="R344" s="10"/>
      <c r="S344" s="10"/>
      <c r="T344" s="10"/>
      <c r="U344" s="10"/>
      <c r="V344" s="4" t="s">
        <v>841</v>
      </c>
      <c r="W344" s="4"/>
      <c r="X344" s="8"/>
      <c r="Y344" s="4"/>
      <c r="Z344" s="4"/>
      <c r="AA344" s="8">
        <v>45161</v>
      </c>
      <c r="AB344" s="8">
        <v>45162</v>
      </c>
      <c r="AC344" s="4"/>
      <c r="AD344" s="4"/>
    </row>
    <row r="345" spans="1:30" hidden="1">
      <c r="A345" s="4">
        <v>574</v>
      </c>
      <c r="B345" s="8">
        <v>45136</v>
      </c>
      <c r="C345" s="4"/>
      <c r="D345" s="4" t="s">
        <v>42</v>
      </c>
      <c r="E345" s="8">
        <v>45153</v>
      </c>
      <c r="F345" s="4" t="s">
        <v>840</v>
      </c>
      <c r="G345" s="16" t="s">
        <v>44</v>
      </c>
      <c r="H345" s="4" t="s">
        <v>45</v>
      </c>
      <c r="I345" s="4" t="s">
        <v>47</v>
      </c>
      <c r="J345" s="10">
        <v>42.737706000000003</v>
      </c>
      <c r="K345" s="10">
        <f>27.75+9.997+4.726+0.396</f>
        <v>42.869</v>
      </c>
      <c r="L345" s="10">
        <f t="shared" si="57"/>
        <v>0</v>
      </c>
      <c r="M345" s="10">
        <f t="shared" si="58"/>
        <v>0</v>
      </c>
      <c r="N345" s="10"/>
      <c r="O345" s="10"/>
      <c r="P345" s="10">
        <v>0</v>
      </c>
      <c r="Q345" s="10"/>
      <c r="R345" s="10"/>
      <c r="S345" s="10"/>
      <c r="T345" s="10"/>
      <c r="U345" s="10"/>
      <c r="V345" s="4" t="s">
        <v>841</v>
      </c>
      <c r="W345" s="4"/>
      <c r="X345" s="8"/>
      <c r="Y345" s="4"/>
      <c r="Z345" s="4"/>
      <c r="AA345" s="8">
        <v>45160</v>
      </c>
      <c r="AB345" s="8">
        <v>45166</v>
      </c>
      <c r="AC345" s="4"/>
      <c r="AD345" s="4"/>
    </row>
    <row r="346" spans="1:30" hidden="1">
      <c r="A346" s="4">
        <v>615</v>
      </c>
      <c r="B346" s="8">
        <v>45139</v>
      </c>
      <c r="C346" s="4"/>
      <c r="D346" s="4" t="s">
        <v>42</v>
      </c>
      <c r="E346" s="8">
        <v>45161</v>
      </c>
      <c r="F346" s="4" t="s">
        <v>840</v>
      </c>
      <c r="G346" s="16" t="s">
        <v>44</v>
      </c>
      <c r="H346" s="4" t="s">
        <v>45</v>
      </c>
      <c r="I346" s="4" t="s">
        <v>403</v>
      </c>
      <c r="J346" s="10">
        <v>0.71712000000000009</v>
      </c>
      <c r="K346" s="10">
        <v>0.73099999999999998</v>
      </c>
      <c r="L346" s="10">
        <f t="shared" ref="L346:L358" si="59">M346+U346</f>
        <v>0</v>
      </c>
      <c r="M346" s="10">
        <f t="shared" ref="M346:M357" si="60">SUM(N346:T346)</f>
        <v>0</v>
      </c>
      <c r="N346" s="10"/>
      <c r="O346" s="10"/>
      <c r="P346" s="10">
        <v>0</v>
      </c>
      <c r="Q346" s="10"/>
      <c r="R346" s="10"/>
      <c r="S346" s="10"/>
      <c r="T346" s="10"/>
      <c r="U346" s="10"/>
      <c r="V346" s="4" t="s">
        <v>841</v>
      </c>
      <c r="W346" s="4"/>
      <c r="X346" s="8"/>
      <c r="Y346" s="4"/>
      <c r="Z346" s="4"/>
      <c r="AA346" s="8"/>
      <c r="AB346" s="8">
        <v>45191</v>
      </c>
      <c r="AC346" s="4"/>
      <c r="AD346" s="4"/>
    </row>
    <row r="347" spans="1:30" hidden="1">
      <c r="A347" s="4">
        <v>615</v>
      </c>
      <c r="B347" s="8">
        <v>45139</v>
      </c>
      <c r="C347" s="4"/>
      <c r="D347" s="4" t="s">
        <v>42</v>
      </c>
      <c r="E347" s="8">
        <v>45161</v>
      </c>
      <c r="F347" s="4" t="s">
        <v>840</v>
      </c>
      <c r="G347" s="16" t="s">
        <v>44</v>
      </c>
      <c r="H347" s="4" t="s">
        <v>45</v>
      </c>
      <c r="I347" s="4" t="s">
        <v>405</v>
      </c>
      <c r="J347" s="10">
        <v>39.382199999999997</v>
      </c>
      <c r="K347" s="10">
        <f>11.179+8.425+13.476+1.763+4.65</f>
        <v>39.492999999999995</v>
      </c>
      <c r="L347" s="10">
        <f t="shared" si="59"/>
        <v>0</v>
      </c>
      <c r="M347" s="10">
        <f t="shared" si="60"/>
        <v>0</v>
      </c>
      <c r="N347" s="10"/>
      <c r="O347" s="10"/>
      <c r="P347" s="10">
        <v>0</v>
      </c>
      <c r="Q347" s="10"/>
      <c r="R347" s="10"/>
      <c r="S347" s="10"/>
      <c r="T347" s="10"/>
      <c r="U347" s="10"/>
      <c r="V347" s="4" t="s">
        <v>841</v>
      </c>
      <c r="W347" s="4"/>
      <c r="X347" s="8">
        <v>45172</v>
      </c>
      <c r="Y347" s="4"/>
      <c r="Z347" s="4"/>
      <c r="AA347" s="8">
        <v>45188</v>
      </c>
      <c r="AB347" s="8">
        <v>45191</v>
      </c>
      <c r="AC347" s="4"/>
      <c r="AD347" s="4"/>
    </row>
    <row r="348" spans="1:30" hidden="1">
      <c r="A348" s="4">
        <v>615</v>
      </c>
      <c r="B348" s="8">
        <v>45139</v>
      </c>
      <c r="C348" s="4"/>
      <c r="D348" s="4" t="s">
        <v>42</v>
      </c>
      <c r="E348" s="8">
        <v>45161</v>
      </c>
      <c r="F348" s="4" t="s">
        <v>840</v>
      </c>
      <c r="G348" s="16" t="s">
        <v>44</v>
      </c>
      <c r="H348" s="4" t="s">
        <v>45</v>
      </c>
      <c r="I348" s="4" t="s">
        <v>400</v>
      </c>
      <c r="J348" s="10">
        <v>66.504799999999989</v>
      </c>
      <c r="K348" s="10">
        <f>30.673+7.53+20.09+8.246</f>
        <v>66.538999999999987</v>
      </c>
      <c r="L348" s="10">
        <f t="shared" si="59"/>
        <v>0</v>
      </c>
      <c r="M348" s="10">
        <f t="shared" si="60"/>
        <v>0</v>
      </c>
      <c r="N348" s="10"/>
      <c r="O348" s="10"/>
      <c r="P348" s="10">
        <v>0</v>
      </c>
      <c r="Q348" s="10"/>
      <c r="R348" s="10"/>
      <c r="S348" s="10"/>
      <c r="T348" s="10"/>
      <c r="U348" s="10"/>
      <c r="V348" s="4" t="s">
        <v>841</v>
      </c>
      <c r="W348" s="4"/>
      <c r="X348" s="8">
        <v>45173</v>
      </c>
      <c r="Y348" s="4"/>
      <c r="Z348" s="4"/>
      <c r="AA348" s="8">
        <v>45187</v>
      </c>
      <c r="AB348" s="8">
        <v>45190</v>
      </c>
      <c r="AC348" s="4"/>
      <c r="AD348" s="4"/>
    </row>
    <row r="349" spans="1:30" hidden="1">
      <c r="A349" s="4">
        <v>615</v>
      </c>
      <c r="B349" s="8">
        <v>45139</v>
      </c>
      <c r="C349" s="4"/>
      <c r="D349" s="4" t="s">
        <v>42</v>
      </c>
      <c r="E349" s="8">
        <v>45161</v>
      </c>
      <c r="F349" s="4" t="s">
        <v>840</v>
      </c>
      <c r="G349" s="16" t="s">
        <v>44</v>
      </c>
      <c r="H349" s="4" t="s">
        <v>45</v>
      </c>
      <c r="I349" s="4" t="s">
        <v>46</v>
      </c>
      <c r="J349" s="10">
        <v>61.411999999999999</v>
      </c>
      <c r="K349" s="10">
        <f>17.116+16.104+23.501+4.734</f>
        <v>61.455000000000005</v>
      </c>
      <c r="L349" s="10">
        <f t="shared" si="59"/>
        <v>0</v>
      </c>
      <c r="M349" s="10">
        <f t="shared" si="60"/>
        <v>0</v>
      </c>
      <c r="N349" s="10"/>
      <c r="O349" s="10"/>
      <c r="P349" s="10">
        <v>0</v>
      </c>
      <c r="Q349" s="10"/>
      <c r="R349" s="10"/>
      <c r="S349" s="10"/>
      <c r="T349" s="10"/>
      <c r="U349" s="10"/>
      <c r="V349" s="4" t="s">
        <v>841</v>
      </c>
      <c r="W349" s="4"/>
      <c r="X349" s="8"/>
      <c r="Y349" s="4"/>
      <c r="Z349" s="4"/>
      <c r="AA349" s="8">
        <v>45188</v>
      </c>
      <c r="AB349" s="8">
        <v>45190</v>
      </c>
      <c r="AC349" s="4"/>
      <c r="AD349" s="4"/>
    </row>
    <row r="350" spans="1:30" hidden="1">
      <c r="A350" s="4">
        <v>615</v>
      </c>
      <c r="B350" s="8">
        <v>45139</v>
      </c>
      <c r="C350" s="4"/>
      <c r="D350" s="4" t="s">
        <v>42</v>
      </c>
      <c r="E350" s="8">
        <v>45161</v>
      </c>
      <c r="F350" s="4" t="s">
        <v>840</v>
      </c>
      <c r="G350" s="16" t="s">
        <v>44</v>
      </c>
      <c r="H350" s="4" t="s">
        <v>45</v>
      </c>
      <c r="I350" s="4" t="s">
        <v>517</v>
      </c>
      <c r="J350" s="10">
        <v>0.58421999999999996</v>
      </c>
      <c r="K350" s="10">
        <v>0.58399999999999996</v>
      </c>
      <c r="L350" s="10">
        <f t="shared" si="59"/>
        <v>0</v>
      </c>
      <c r="M350" s="10">
        <f t="shared" si="60"/>
        <v>0</v>
      </c>
      <c r="N350" s="10"/>
      <c r="O350" s="10"/>
      <c r="P350" s="10">
        <v>0</v>
      </c>
      <c r="Q350" s="10"/>
      <c r="R350" s="10"/>
      <c r="S350" s="10"/>
      <c r="T350" s="10"/>
      <c r="U350" s="10"/>
      <c r="V350" s="4" t="s">
        <v>841</v>
      </c>
      <c r="W350" s="4"/>
      <c r="X350" s="8">
        <v>45171</v>
      </c>
      <c r="Y350" s="4"/>
      <c r="Z350" s="4"/>
      <c r="AA350" s="8"/>
      <c r="AB350" s="8">
        <v>45190</v>
      </c>
      <c r="AC350" s="4"/>
      <c r="AD350" s="4"/>
    </row>
    <row r="351" spans="1:30" hidden="1">
      <c r="A351" s="4">
        <v>615</v>
      </c>
      <c r="B351" s="8">
        <v>45139</v>
      </c>
      <c r="C351" s="4"/>
      <c r="D351" s="4" t="s">
        <v>42</v>
      </c>
      <c r="E351" s="8">
        <v>45161</v>
      </c>
      <c r="F351" s="4" t="s">
        <v>840</v>
      </c>
      <c r="G351" s="16" t="s">
        <v>44</v>
      </c>
      <c r="H351" s="4" t="s">
        <v>45</v>
      </c>
      <c r="I351" s="4" t="s">
        <v>435</v>
      </c>
      <c r="J351" s="10">
        <f>7.135-1.45</f>
        <v>5.6849999999999996</v>
      </c>
      <c r="K351" s="10">
        <v>5.6820000000000004</v>
      </c>
      <c r="L351" s="10">
        <f t="shared" si="59"/>
        <v>0</v>
      </c>
      <c r="M351" s="10">
        <f t="shared" si="60"/>
        <v>0</v>
      </c>
      <c r="N351" s="10"/>
      <c r="O351" s="10"/>
      <c r="P351" s="10">
        <v>0</v>
      </c>
      <c r="Q351" s="10"/>
      <c r="R351" s="10"/>
      <c r="S351" s="10"/>
      <c r="T351" s="10"/>
      <c r="U351" s="10"/>
      <c r="V351" s="4" t="s">
        <v>841</v>
      </c>
      <c r="W351" s="4"/>
      <c r="X351" s="8"/>
      <c r="Y351" s="4"/>
      <c r="Z351" s="4"/>
      <c r="AA351" s="8">
        <v>45184</v>
      </c>
      <c r="AB351" s="8">
        <v>45184</v>
      </c>
      <c r="AC351" s="4"/>
      <c r="AD351" s="4"/>
    </row>
    <row r="352" spans="1:30" hidden="1">
      <c r="A352" s="4">
        <v>615</v>
      </c>
      <c r="B352" s="8">
        <v>45139</v>
      </c>
      <c r="C352" s="4"/>
      <c r="D352" s="4" t="s">
        <v>42</v>
      </c>
      <c r="E352" s="8">
        <v>45161</v>
      </c>
      <c r="F352" s="4" t="s">
        <v>840</v>
      </c>
      <c r="G352" s="16" t="s">
        <v>44</v>
      </c>
      <c r="H352" s="4" t="s">
        <v>45</v>
      </c>
      <c r="I352" s="4" t="s">
        <v>432</v>
      </c>
      <c r="J352" s="10">
        <f>9.102-0.6</f>
        <v>8.5020000000000007</v>
      </c>
      <c r="K352" s="10">
        <f>5.779+2.789</f>
        <v>8.5679999999999996</v>
      </c>
      <c r="L352" s="10">
        <f t="shared" si="59"/>
        <v>0</v>
      </c>
      <c r="M352" s="10">
        <f t="shared" si="60"/>
        <v>0</v>
      </c>
      <c r="N352" s="10"/>
      <c r="O352" s="10"/>
      <c r="P352" s="10">
        <v>0</v>
      </c>
      <c r="Q352" s="10"/>
      <c r="R352" s="10"/>
      <c r="S352" s="10"/>
      <c r="T352" s="10"/>
      <c r="U352" s="10"/>
      <c r="V352" s="4" t="s">
        <v>841</v>
      </c>
      <c r="W352" s="4"/>
      <c r="X352" s="8"/>
      <c r="Y352" s="4"/>
      <c r="Z352" s="4"/>
      <c r="AA352" s="8">
        <v>45184</v>
      </c>
      <c r="AB352" s="8">
        <v>45185</v>
      </c>
      <c r="AC352" s="4"/>
      <c r="AD352" s="4"/>
    </row>
    <row r="353" spans="1:30" hidden="1">
      <c r="A353" s="4">
        <v>615</v>
      </c>
      <c r="B353" s="8">
        <v>45139</v>
      </c>
      <c r="C353" s="4"/>
      <c r="D353" s="4" t="s">
        <v>42</v>
      </c>
      <c r="E353" s="8">
        <v>45161</v>
      </c>
      <c r="F353" s="4" t="s">
        <v>840</v>
      </c>
      <c r="G353" s="16" t="s">
        <v>51</v>
      </c>
      <c r="H353" s="4" t="s">
        <v>52</v>
      </c>
      <c r="I353" s="4" t="s">
        <v>405</v>
      </c>
      <c r="J353" s="10">
        <v>3.5496000000000003</v>
      </c>
      <c r="K353" s="10">
        <f>1.392+0.729+1.429</f>
        <v>3.55</v>
      </c>
      <c r="L353" s="10">
        <f t="shared" si="59"/>
        <v>0</v>
      </c>
      <c r="M353" s="10">
        <f t="shared" si="60"/>
        <v>0</v>
      </c>
      <c r="N353" s="10"/>
      <c r="O353" s="10"/>
      <c r="P353" s="10">
        <v>0</v>
      </c>
      <c r="Q353" s="10"/>
      <c r="R353" s="10"/>
      <c r="S353" s="10"/>
      <c r="T353" s="10"/>
      <c r="U353" s="10"/>
      <c r="V353" s="4" t="s">
        <v>841</v>
      </c>
      <c r="W353" s="4"/>
      <c r="X353" s="8"/>
      <c r="Y353" s="4"/>
      <c r="Z353" s="4"/>
      <c r="AA353" s="8">
        <v>45188</v>
      </c>
      <c r="AB353" s="8">
        <v>45191</v>
      </c>
      <c r="AC353" s="4"/>
      <c r="AD353" s="4"/>
    </row>
    <row r="354" spans="1:30" hidden="1">
      <c r="A354" s="4">
        <v>615</v>
      </c>
      <c r="B354" s="8">
        <v>45139</v>
      </c>
      <c r="C354" s="4"/>
      <c r="D354" s="4" t="s">
        <v>42</v>
      </c>
      <c r="E354" s="8">
        <v>45161</v>
      </c>
      <c r="F354" s="4" t="s">
        <v>840</v>
      </c>
      <c r="G354" s="16" t="s">
        <v>51</v>
      </c>
      <c r="H354" s="4" t="s">
        <v>52</v>
      </c>
      <c r="I354" s="4" t="s">
        <v>400</v>
      </c>
      <c r="J354" s="10">
        <v>0.51919999999999999</v>
      </c>
      <c r="K354" s="10">
        <v>0.51900000000000002</v>
      </c>
      <c r="L354" s="10">
        <f t="shared" si="59"/>
        <v>0</v>
      </c>
      <c r="M354" s="10">
        <f t="shared" si="60"/>
        <v>0</v>
      </c>
      <c r="N354" s="10"/>
      <c r="O354" s="10"/>
      <c r="P354" s="10">
        <v>0</v>
      </c>
      <c r="Q354" s="10"/>
      <c r="R354" s="10"/>
      <c r="S354" s="10"/>
      <c r="T354" s="10"/>
      <c r="U354" s="10"/>
      <c r="V354" s="4" t="s">
        <v>841</v>
      </c>
      <c r="W354" s="4"/>
      <c r="X354" s="8"/>
      <c r="Y354" s="4"/>
      <c r="Z354" s="4"/>
      <c r="AA354" s="8"/>
      <c r="AB354" s="8">
        <v>45190</v>
      </c>
      <c r="AC354" s="4"/>
      <c r="AD354" s="4"/>
    </row>
    <row r="355" spans="1:30" hidden="1">
      <c r="A355" s="4">
        <v>615</v>
      </c>
      <c r="B355" s="8">
        <v>45139</v>
      </c>
      <c r="C355" s="4"/>
      <c r="D355" s="4" t="s">
        <v>42</v>
      </c>
      <c r="E355" s="8">
        <v>45161</v>
      </c>
      <c r="F355" s="4" t="s">
        <v>840</v>
      </c>
      <c r="G355" s="16" t="s">
        <v>51</v>
      </c>
      <c r="H355" s="4" t="s">
        <v>52</v>
      </c>
      <c r="I355" s="4" t="s">
        <v>46</v>
      </c>
      <c r="J355" s="10">
        <v>0.2412</v>
      </c>
      <c r="K355" s="10">
        <v>0.32200000000000001</v>
      </c>
      <c r="L355" s="10">
        <f t="shared" si="59"/>
        <v>0</v>
      </c>
      <c r="M355" s="10">
        <f t="shared" si="60"/>
        <v>0</v>
      </c>
      <c r="N355" s="10"/>
      <c r="O355" s="10"/>
      <c r="P355" s="10">
        <v>0</v>
      </c>
      <c r="Q355" s="10"/>
      <c r="R355" s="10"/>
      <c r="S355" s="10"/>
      <c r="T355" s="10"/>
      <c r="U355" s="10"/>
      <c r="V355" s="4" t="s">
        <v>841</v>
      </c>
      <c r="W355" s="4"/>
      <c r="X355" s="8"/>
      <c r="Y355" s="4"/>
      <c r="Z355" s="4"/>
      <c r="AA355" s="8"/>
      <c r="AB355" s="8">
        <v>45191</v>
      </c>
      <c r="AC355" s="4"/>
      <c r="AD355" s="4"/>
    </row>
    <row r="356" spans="1:30" hidden="1">
      <c r="A356" s="4">
        <v>615</v>
      </c>
      <c r="B356" s="8">
        <v>45139</v>
      </c>
      <c r="C356" s="4"/>
      <c r="D356" s="4" t="s">
        <v>42</v>
      </c>
      <c r="E356" s="8">
        <v>45161</v>
      </c>
      <c r="F356" s="4" t="s">
        <v>840</v>
      </c>
      <c r="G356" s="16" t="s">
        <v>51</v>
      </c>
      <c r="H356" s="4" t="s">
        <v>52</v>
      </c>
      <c r="I356" s="4" t="s">
        <v>435</v>
      </c>
      <c r="J356" s="10">
        <v>25.481999999999999</v>
      </c>
      <c r="K356" s="10">
        <f>17.521+7.81</f>
        <v>25.331</v>
      </c>
      <c r="L356" s="10">
        <f t="shared" si="59"/>
        <v>0</v>
      </c>
      <c r="M356" s="10">
        <f t="shared" si="60"/>
        <v>0</v>
      </c>
      <c r="N356" s="10"/>
      <c r="O356" s="10"/>
      <c r="P356" s="10">
        <v>0</v>
      </c>
      <c r="Q356" s="10"/>
      <c r="R356" s="10"/>
      <c r="S356" s="10"/>
      <c r="T356" s="10"/>
      <c r="U356" s="10"/>
      <c r="V356" s="4" t="s">
        <v>841</v>
      </c>
      <c r="W356" s="4" t="s">
        <v>983</v>
      </c>
      <c r="X356" s="8"/>
      <c r="Y356" s="4"/>
      <c r="Z356" s="4"/>
      <c r="AA356" s="8">
        <v>45177</v>
      </c>
      <c r="AB356" s="8"/>
      <c r="AC356" s="4"/>
      <c r="AD356" s="4"/>
    </row>
    <row r="357" spans="1:30" hidden="1">
      <c r="A357" s="4">
        <v>615</v>
      </c>
      <c r="B357" s="8">
        <v>45139</v>
      </c>
      <c r="C357" s="4"/>
      <c r="D357" s="4" t="s">
        <v>42</v>
      </c>
      <c r="E357" s="8">
        <v>45161</v>
      </c>
      <c r="F357" s="4" t="s">
        <v>840</v>
      </c>
      <c r="G357" s="16" t="s">
        <v>51</v>
      </c>
      <c r="H357" s="4" t="s">
        <v>52</v>
      </c>
      <c r="I357" s="4" t="s">
        <v>577</v>
      </c>
      <c r="J357" s="10">
        <v>17.571000000000002</v>
      </c>
      <c r="K357" s="10">
        <f>3.527+10.629+3.415</f>
        <v>17.570999999999998</v>
      </c>
      <c r="L357" s="10">
        <f t="shared" si="59"/>
        <v>0</v>
      </c>
      <c r="M357" s="10">
        <f t="shared" si="60"/>
        <v>0</v>
      </c>
      <c r="N357" s="10"/>
      <c r="O357" s="10"/>
      <c r="P357" s="10">
        <v>0</v>
      </c>
      <c r="Q357" s="10"/>
      <c r="R357" s="10"/>
      <c r="S357" s="10"/>
      <c r="T357" s="10"/>
      <c r="U357" s="10"/>
      <c r="V357" s="4" t="s">
        <v>841</v>
      </c>
      <c r="W357" s="4"/>
      <c r="X357" s="8">
        <v>45156</v>
      </c>
      <c r="Y357" s="4"/>
      <c r="Z357" s="4"/>
      <c r="AA357" s="8">
        <v>45175</v>
      </c>
      <c r="AB357" s="8">
        <v>45176</v>
      </c>
      <c r="AC357" s="4"/>
      <c r="AD357" s="4"/>
    </row>
    <row r="358" spans="1:30" hidden="1">
      <c r="A358" s="4">
        <v>662</v>
      </c>
      <c r="B358" s="8">
        <v>45147</v>
      </c>
      <c r="C358" s="4"/>
      <c r="D358" s="4" t="s">
        <v>397</v>
      </c>
      <c r="E358" s="8">
        <v>45130</v>
      </c>
      <c r="F358" s="4" t="s">
        <v>43</v>
      </c>
      <c r="G358" s="40" t="s">
        <v>728</v>
      </c>
      <c r="H358" s="4" t="s">
        <v>52</v>
      </c>
      <c r="I358" s="4" t="s">
        <v>582</v>
      </c>
      <c r="J358" s="10">
        <v>1.73</v>
      </c>
      <c r="K358" s="10">
        <v>1.73</v>
      </c>
      <c r="L358" s="10">
        <f t="shared" si="59"/>
        <v>0</v>
      </c>
      <c r="M358" s="10">
        <f t="shared" ref="M358" si="61">SUM(N358:T358)</f>
        <v>0</v>
      </c>
      <c r="N358" s="10"/>
      <c r="O358" s="10"/>
      <c r="P358" s="10"/>
      <c r="Q358" s="10"/>
      <c r="R358" s="10"/>
      <c r="S358" s="10">
        <v>0</v>
      </c>
      <c r="T358" s="10"/>
      <c r="U358" s="10"/>
      <c r="V358" s="4" t="s">
        <v>85</v>
      </c>
      <c r="W358" s="4"/>
      <c r="X358" s="8">
        <v>45146</v>
      </c>
      <c r="Y358" s="4"/>
      <c r="Z358" s="4"/>
      <c r="AA358" s="8"/>
      <c r="AB358" s="8">
        <v>45147</v>
      </c>
      <c r="AC358" s="4"/>
      <c r="AD358" s="4"/>
    </row>
    <row r="359" spans="1:30" hidden="1">
      <c r="A359" s="4">
        <v>717</v>
      </c>
      <c r="B359" s="8">
        <v>45150</v>
      </c>
      <c r="C359" s="4"/>
      <c r="D359" s="4" t="s">
        <v>42</v>
      </c>
      <c r="E359" s="8">
        <v>45161</v>
      </c>
      <c r="F359" s="4" t="s">
        <v>840</v>
      </c>
      <c r="G359" s="16" t="s">
        <v>51</v>
      </c>
      <c r="H359" s="4" t="s">
        <v>52</v>
      </c>
      <c r="I359" s="4" t="s">
        <v>54</v>
      </c>
      <c r="J359" s="10">
        <v>0.66</v>
      </c>
      <c r="K359" s="10">
        <v>0.66700000000000004</v>
      </c>
      <c r="L359" s="10">
        <f t="shared" ref="L359:L384" si="62">M359+U359</f>
        <v>0</v>
      </c>
      <c r="M359" s="10">
        <f t="shared" ref="M359:M384" si="63">SUM(N359:T359)</f>
        <v>0</v>
      </c>
      <c r="N359" s="10"/>
      <c r="O359" s="10"/>
      <c r="P359" s="10">
        <v>0</v>
      </c>
      <c r="Q359" s="10"/>
      <c r="R359" s="10"/>
      <c r="S359" s="10"/>
      <c r="T359" s="10"/>
      <c r="U359" s="10"/>
      <c r="V359" s="4" t="s">
        <v>841</v>
      </c>
      <c r="W359" s="4"/>
      <c r="X359" s="8">
        <v>45162</v>
      </c>
      <c r="Y359" s="4"/>
      <c r="Z359" s="4"/>
      <c r="AA359" s="8">
        <v>45185</v>
      </c>
      <c r="AB359" s="8">
        <v>45185</v>
      </c>
      <c r="AC359" s="4"/>
      <c r="AD359" s="4"/>
    </row>
    <row r="360" spans="1:30" hidden="1">
      <c r="A360" s="4">
        <v>717</v>
      </c>
      <c r="B360" s="8">
        <v>45150</v>
      </c>
      <c r="C360" s="4"/>
      <c r="D360" s="4" t="s">
        <v>42</v>
      </c>
      <c r="E360" s="8">
        <v>45161</v>
      </c>
      <c r="F360" s="4" t="s">
        <v>840</v>
      </c>
      <c r="G360" s="16" t="s">
        <v>44</v>
      </c>
      <c r="H360" s="4" t="s">
        <v>45</v>
      </c>
      <c r="I360" s="4" t="s">
        <v>48</v>
      </c>
      <c r="J360" s="10">
        <v>0.58079999999999998</v>
      </c>
      <c r="K360" s="10">
        <v>0.58499999999999996</v>
      </c>
      <c r="L360" s="10">
        <f t="shared" si="62"/>
        <v>0</v>
      </c>
      <c r="M360" s="10">
        <f t="shared" si="63"/>
        <v>0</v>
      </c>
      <c r="N360" s="10"/>
      <c r="O360" s="10"/>
      <c r="P360" s="10">
        <v>0</v>
      </c>
      <c r="Q360" s="10"/>
      <c r="R360" s="10"/>
      <c r="S360" s="10"/>
      <c r="T360" s="10"/>
      <c r="U360" s="10"/>
      <c r="V360" s="4" t="s">
        <v>841</v>
      </c>
      <c r="W360" s="4"/>
      <c r="X360" s="8">
        <v>45162</v>
      </c>
      <c r="Y360" s="4"/>
      <c r="Z360" s="4"/>
      <c r="AA360" s="8">
        <v>45184</v>
      </c>
      <c r="AB360" s="8">
        <v>45184</v>
      </c>
      <c r="AC360" s="4"/>
      <c r="AD360" s="4"/>
    </row>
    <row r="361" spans="1:30" hidden="1">
      <c r="A361" s="4">
        <v>717</v>
      </c>
      <c r="B361" s="8">
        <v>45150</v>
      </c>
      <c r="C361" s="4"/>
      <c r="D361" s="4" t="s">
        <v>42</v>
      </c>
      <c r="E361" s="8">
        <v>45161</v>
      </c>
      <c r="F361" s="4" t="s">
        <v>840</v>
      </c>
      <c r="G361" s="16" t="s">
        <v>44</v>
      </c>
      <c r="H361" s="4" t="s">
        <v>45</v>
      </c>
      <c r="I361" s="4" t="s">
        <v>46</v>
      </c>
      <c r="J361" s="10">
        <v>0.14069999999999999</v>
      </c>
      <c r="K361" s="10">
        <v>0.14099999999999999</v>
      </c>
      <c r="L361" s="10">
        <f t="shared" si="62"/>
        <v>0</v>
      </c>
      <c r="M361" s="10">
        <f t="shared" si="63"/>
        <v>0</v>
      </c>
      <c r="N361" s="10"/>
      <c r="O361" s="10"/>
      <c r="P361" s="10">
        <v>0</v>
      </c>
      <c r="Q361" s="10"/>
      <c r="R361" s="10"/>
      <c r="S361" s="10"/>
      <c r="T361" s="10"/>
      <c r="U361" s="10"/>
      <c r="V361" s="4" t="s">
        <v>841</v>
      </c>
      <c r="W361" s="4"/>
      <c r="X361" s="8"/>
      <c r="Y361" s="4"/>
      <c r="Z361" s="4"/>
      <c r="AA361" s="8"/>
      <c r="AB361" s="8"/>
      <c r="AC361" s="4"/>
      <c r="AD361" s="4"/>
    </row>
    <row r="362" spans="1:30" hidden="1">
      <c r="A362" s="4">
        <v>717</v>
      </c>
      <c r="B362" s="8">
        <v>45150</v>
      </c>
      <c r="C362" s="4"/>
      <c r="D362" s="4" t="s">
        <v>42</v>
      </c>
      <c r="E362" s="8">
        <v>45161</v>
      </c>
      <c r="F362" s="4" t="s">
        <v>840</v>
      </c>
      <c r="G362" s="16" t="s">
        <v>44</v>
      </c>
      <c r="H362" s="4" t="s">
        <v>45</v>
      </c>
      <c r="I362" s="4" t="s">
        <v>403</v>
      </c>
      <c r="J362" s="10">
        <v>0.54779999999999995</v>
      </c>
      <c r="K362" s="10">
        <v>0.54700000000000004</v>
      </c>
      <c r="L362" s="10">
        <f t="shared" si="62"/>
        <v>0</v>
      </c>
      <c r="M362" s="10">
        <f t="shared" si="63"/>
        <v>0</v>
      </c>
      <c r="N362" s="10"/>
      <c r="O362" s="10"/>
      <c r="P362" s="10">
        <v>0</v>
      </c>
      <c r="Q362" s="10"/>
      <c r="R362" s="10"/>
      <c r="S362" s="10"/>
      <c r="T362" s="10"/>
      <c r="U362" s="10"/>
      <c r="V362" s="4" t="s">
        <v>841</v>
      </c>
      <c r="W362" s="4"/>
      <c r="X362" s="8"/>
      <c r="Y362" s="4"/>
      <c r="Z362" s="4"/>
      <c r="AA362" s="8"/>
      <c r="AB362" s="8">
        <v>45190</v>
      </c>
      <c r="AC362" s="4"/>
      <c r="AD362" s="4"/>
    </row>
    <row r="363" spans="1:30" hidden="1">
      <c r="A363" s="4">
        <v>717</v>
      </c>
      <c r="B363" s="8">
        <v>45150</v>
      </c>
      <c r="C363" s="4"/>
      <c r="D363" s="4" t="s">
        <v>42</v>
      </c>
      <c r="E363" s="8">
        <v>45161</v>
      </c>
      <c r="F363" s="4" t="s">
        <v>840</v>
      </c>
      <c r="G363" s="16" t="s">
        <v>51</v>
      </c>
      <c r="H363" s="4" t="s">
        <v>52</v>
      </c>
      <c r="I363" s="4" t="s">
        <v>46</v>
      </c>
      <c r="J363" s="10">
        <v>0.2412</v>
      </c>
      <c r="K363" s="10">
        <v>0.32200000000000001</v>
      </c>
      <c r="L363" s="10">
        <f t="shared" si="62"/>
        <v>0</v>
      </c>
      <c r="M363" s="10">
        <f t="shared" si="63"/>
        <v>0</v>
      </c>
      <c r="N363" s="10"/>
      <c r="O363" s="10"/>
      <c r="P363" s="10">
        <v>0</v>
      </c>
      <c r="Q363" s="10"/>
      <c r="R363" s="10"/>
      <c r="S363" s="10"/>
      <c r="T363" s="10"/>
      <c r="U363" s="10"/>
      <c r="V363" s="4" t="s">
        <v>841</v>
      </c>
      <c r="W363" s="4"/>
      <c r="X363" s="8"/>
      <c r="Y363" s="4"/>
      <c r="Z363" s="4"/>
      <c r="AA363" s="8"/>
      <c r="AB363" s="8">
        <v>45191</v>
      </c>
      <c r="AC363" s="4"/>
      <c r="AD363" s="4"/>
    </row>
    <row r="364" spans="1:30" hidden="1">
      <c r="A364" s="4">
        <v>719</v>
      </c>
      <c r="B364" s="8">
        <v>45150</v>
      </c>
      <c r="C364" s="4"/>
      <c r="D364" s="4" t="s">
        <v>42</v>
      </c>
      <c r="E364" s="8">
        <v>45161</v>
      </c>
      <c r="F364" s="4" t="s">
        <v>43</v>
      </c>
      <c r="G364" s="16" t="s">
        <v>51</v>
      </c>
      <c r="H364" s="4" t="s">
        <v>52</v>
      </c>
      <c r="I364" s="4" t="s">
        <v>435</v>
      </c>
      <c r="J364" s="10">
        <v>13.36</v>
      </c>
      <c r="K364" s="10">
        <f>8.018+5.536</f>
        <v>13.554</v>
      </c>
      <c r="L364" s="10">
        <f t="shared" si="62"/>
        <v>0</v>
      </c>
      <c r="M364" s="10">
        <f t="shared" si="63"/>
        <v>0</v>
      </c>
      <c r="N364" s="10"/>
      <c r="O364" s="10"/>
      <c r="P364" s="10">
        <v>0</v>
      </c>
      <c r="Q364" s="10"/>
      <c r="R364" s="10"/>
      <c r="S364" s="10"/>
      <c r="T364" s="10"/>
      <c r="U364" s="10"/>
      <c r="V364" s="4" t="s">
        <v>427</v>
      </c>
      <c r="W364" s="4"/>
      <c r="X364" s="8">
        <v>45165</v>
      </c>
      <c r="Y364" s="4"/>
      <c r="Z364" s="4"/>
      <c r="AA364" s="8"/>
      <c r="AB364" s="8"/>
      <c r="AC364" s="4"/>
      <c r="AD364" s="4"/>
    </row>
    <row r="365" spans="1:30" hidden="1">
      <c r="A365" s="4">
        <v>719</v>
      </c>
      <c r="B365" s="8">
        <v>45150</v>
      </c>
      <c r="C365" s="4"/>
      <c r="D365" s="4" t="s">
        <v>42</v>
      </c>
      <c r="E365" s="8">
        <v>45161</v>
      </c>
      <c r="F365" s="4" t="s">
        <v>43</v>
      </c>
      <c r="G365" s="16" t="s">
        <v>51</v>
      </c>
      <c r="H365" s="4" t="s">
        <v>52</v>
      </c>
      <c r="I365" s="4" t="s">
        <v>432</v>
      </c>
      <c r="J365" s="10">
        <v>9.56</v>
      </c>
      <c r="K365" s="10">
        <v>9.7240000000000002</v>
      </c>
      <c r="L365" s="10">
        <f t="shared" si="62"/>
        <v>0</v>
      </c>
      <c r="M365" s="10">
        <f t="shared" si="63"/>
        <v>0</v>
      </c>
      <c r="N365" s="10"/>
      <c r="O365" s="10"/>
      <c r="P365" s="10">
        <v>0</v>
      </c>
      <c r="Q365" s="10"/>
      <c r="R365" s="10"/>
      <c r="S365" s="10"/>
      <c r="T365" s="10"/>
      <c r="U365" s="10"/>
      <c r="V365" s="4" t="s">
        <v>427</v>
      </c>
      <c r="W365" s="4" t="s">
        <v>951</v>
      </c>
      <c r="X365" s="8">
        <v>45165</v>
      </c>
      <c r="Y365" s="4"/>
      <c r="Z365" s="4"/>
      <c r="AA365" s="8"/>
      <c r="AB365" s="8"/>
      <c r="AC365" s="4"/>
      <c r="AD365" s="4"/>
    </row>
    <row r="366" spans="1:30" hidden="1">
      <c r="A366" s="4">
        <v>719</v>
      </c>
      <c r="B366" s="8">
        <v>45150</v>
      </c>
      <c r="C366" s="4"/>
      <c r="D366" s="4" t="s">
        <v>42</v>
      </c>
      <c r="E366" s="8">
        <v>45161</v>
      </c>
      <c r="F366" s="4" t="s">
        <v>43</v>
      </c>
      <c r="G366" s="16" t="s">
        <v>51</v>
      </c>
      <c r="H366" s="4" t="s">
        <v>52</v>
      </c>
      <c r="I366" s="4" t="s">
        <v>46</v>
      </c>
      <c r="J366" s="10">
        <v>6.3920000000000003</v>
      </c>
      <c r="K366" s="10">
        <v>6.4189999999999996</v>
      </c>
      <c r="L366" s="10">
        <f t="shared" si="62"/>
        <v>0</v>
      </c>
      <c r="M366" s="10">
        <f t="shared" si="63"/>
        <v>0</v>
      </c>
      <c r="N366" s="10"/>
      <c r="O366" s="10"/>
      <c r="P366" s="10">
        <v>0</v>
      </c>
      <c r="Q366" s="10"/>
      <c r="R366" s="10"/>
      <c r="S366" s="10"/>
      <c r="T366" s="10"/>
      <c r="U366" s="10"/>
      <c r="V366" s="4" t="s">
        <v>427</v>
      </c>
      <c r="W366" s="4"/>
      <c r="X366" s="8">
        <v>45164</v>
      </c>
      <c r="Y366" s="4"/>
      <c r="Z366" s="4"/>
      <c r="AA366" s="8">
        <v>45174</v>
      </c>
      <c r="AB366" s="8">
        <v>45174</v>
      </c>
      <c r="AC366" s="4"/>
      <c r="AD366" s="4"/>
    </row>
    <row r="367" spans="1:30" hidden="1">
      <c r="A367" s="4">
        <v>719</v>
      </c>
      <c r="B367" s="8">
        <v>45150</v>
      </c>
      <c r="C367" s="4"/>
      <c r="D367" s="4" t="s">
        <v>42</v>
      </c>
      <c r="E367" s="8">
        <v>45161</v>
      </c>
      <c r="F367" s="4" t="s">
        <v>43</v>
      </c>
      <c r="G367" s="16" t="s">
        <v>51</v>
      </c>
      <c r="H367" s="4" t="s">
        <v>52</v>
      </c>
      <c r="I367" s="4" t="s">
        <v>403</v>
      </c>
      <c r="J367" s="10">
        <v>2.274</v>
      </c>
      <c r="K367" s="10">
        <v>3.581</v>
      </c>
      <c r="L367" s="10">
        <f t="shared" si="62"/>
        <v>0</v>
      </c>
      <c r="M367" s="10">
        <f t="shared" si="63"/>
        <v>0</v>
      </c>
      <c r="N367" s="10"/>
      <c r="O367" s="10"/>
      <c r="P367" s="10"/>
      <c r="Q367" s="10"/>
      <c r="R367" s="10">
        <v>0</v>
      </c>
      <c r="S367" s="10"/>
      <c r="T367" s="10"/>
      <c r="U367" s="10"/>
      <c r="V367" s="4" t="s">
        <v>427</v>
      </c>
      <c r="W367" s="4" t="s">
        <v>521</v>
      </c>
      <c r="X367" s="8"/>
      <c r="Y367" s="4"/>
      <c r="Z367" s="4"/>
      <c r="AA367" s="8">
        <v>45176</v>
      </c>
      <c r="AB367" s="8">
        <v>45176</v>
      </c>
      <c r="AC367" s="4"/>
      <c r="AD367" s="4"/>
    </row>
    <row r="368" spans="1:30" hidden="1">
      <c r="A368" s="4">
        <v>720</v>
      </c>
      <c r="B368" s="8">
        <v>45150</v>
      </c>
      <c r="C368" s="4"/>
      <c r="D368" s="4" t="s">
        <v>42</v>
      </c>
      <c r="E368" s="8">
        <v>45199</v>
      </c>
      <c r="F368" s="4" t="s">
        <v>840</v>
      </c>
      <c r="G368" s="16" t="s">
        <v>44</v>
      </c>
      <c r="H368" s="4" t="s">
        <v>45</v>
      </c>
      <c r="I368" s="4" t="s">
        <v>57</v>
      </c>
      <c r="J368" s="10">
        <v>0.35760000000000003</v>
      </c>
      <c r="K368" s="10">
        <v>0.36099999999999999</v>
      </c>
      <c r="L368" s="10">
        <f t="shared" si="62"/>
        <v>0</v>
      </c>
      <c r="M368" s="10">
        <f t="shared" si="63"/>
        <v>0</v>
      </c>
      <c r="N368" s="10"/>
      <c r="O368" s="10"/>
      <c r="P368" s="10">
        <v>0</v>
      </c>
      <c r="Q368" s="10"/>
      <c r="R368" s="10"/>
      <c r="S368" s="10"/>
      <c r="T368" s="10"/>
      <c r="U368" s="10"/>
      <c r="V368" s="4" t="s">
        <v>841</v>
      </c>
      <c r="W368" s="4"/>
      <c r="X368" s="8">
        <v>45207</v>
      </c>
      <c r="Y368" s="4"/>
      <c r="Z368" s="4"/>
      <c r="AA368" s="8">
        <v>45222</v>
      </c>
      <c r="AB368" s="8">
        <v>45222</v>
      </c>
      <c r="AC368" s="4"/>
      <c r="AD368" s="4"/>
    </row>
    <row r="369" spans="1:30" hidden="1">
      <c r="A369" s="4">
        <v>720</v>
      </c>
      <c r="B369" s="8">
        <v>45150</v>
      </c>
      <c r="C369" s="4"/>
      <c r="D369" s="4" t="s">
        <v>42</v>
      </c>
      <c r="E369" s="8">
        <v>45199</v>
      </c>
      <c r="F369" s="4" t="s">
        <v>840</v>
      </c>
      <c r="G369" s="16" t="s">
        <v>44</v>
      </c>
      <c r="H369" s="4" t="s">
        <v>45</v>
      </c>
      <c r="I369" s="4" t="s">
        <v>48</v>
      </c>
      <c r="J369" s="10">
        <v>0.58079999999999998</v>
      </c>
      <c r="K369" s="10">
        <v>0.58499999999999996</v>
      </c>
      <c r="L369" s="10">
        <f t="shared" si="62"/>
        <v>0</v>
      </c>
      <c r="M369" s="10">
        <f t="shared" si="63"/>
        <v>0</v>
      </c>
      <c r="N369" s="10"/>
      <c r="O369" s="10"/>
      <c r="P369" s="10">
        <v>0</v>
      </c>
      <c r="Q369" s="10"/>
      <c r="R369" s="10"/>
      <c r="S369" s="10"/>
      <c r="T369" s="10"/>
      <c r="U369" s="10"/>
      <c r="V369" s="4" t="s">
        <v>841</v>
      </c>
      <c r="W369" s="4"/>
      <c r="X369" s="8">
        <v>45207</v>
      </c>
      <c r="Y369" s="4"/>
      <c r="Z369" s="4"/>
      <c r="AA369" s="8"/>
      <c r="AB369" s="8">
        <v>45227</v>
      </c>
      <c r="AC369" s="4"/>
      <c r="AD369" s="4"/>
    </row>
    <row r="370" spans="1:30" hidden="1">
      <c r="A370" s="4">
        <v>720</v>
      </c>
      <c r="B370" s="8">
        <v>45150</v>
      </c>
      <c r="C370" s="4"/>
      <c r="D370" s="4" t="s">
        <v>42</v>
      </c>
      <c r="E370" s="8">
        <v>45199</v>
      </c>
      <c r="F370" s="4" t="s">
        <v>840</v>
      </c>
      <c r="G370" s="16" t="s">
        <v>44</v>
      </c>
      <c r="H370" s="4" t="s">
        <v>45</v>
      </c>
      <c r="I370" s="4" t="s">
        <v>89</v>
      </c>
      <c r="J370" s="10">
        <v>9.8399999999999987E-2</v>
      </c>
      <c r="K370" s="10">
        <v>0.1</v>
      </c>
      <c r="L370" s="10">
        <f t="shared" si="62"/>
        <v>0</v>
      </c>
      <c r="M370" s="10">
        <f t="shared" si="63"/>
        <v>0</v>
      </c>
      <c r="N370" s="10"/>
      <c r="O370" s="10"/>
      <c r="P370" s="10">
        <v>0</v>
      </c>
      <c r="Q370" s="10"/>
      <c r="R370" s="10"/>
      <c r="S370" s="10"/>
      <c r="T370" s="10"/>
      <c r="U370" s="10"/>
      <c r="V370" s="4" t="s">
        <v>841</v>
      </c>
      <c r="W370" s="4"/>
      <c r="X370" s="8"/>
      <c r="Y370" s="4"/>
      <c r="Z370" s="4"/>
      <c r="AA370" s="8">
        <v>45222</v>
      </c>
      <c r="AB370" s="8">
        <v>45222</v>
      </c>
      <c r="AC370" s="4"/>
      <c r="AD370" s="4"/>
    </row>
    <row r="371" spans="1:30" hidden="1">
      <c r="A371" s="4">
        <v>720</v>
      </c>
      <c r="B371" s="8">
        <v>45150</v>
      </c>
      <c r="C371" s="4"/>
      <c r="D371" s="4" t="s">
        <v>42</v>
      </c>
      <c r="E371" s="8">
        <v>45199</v>
      </c>
      <c r="F371" s="4" t="s">
        <v>840</v>
      </c>
      <c r="G371" s="16" t="s">
        <v>44</v>
      </c>
      <c r="H371" s="4" t="s">
        <v>45</v>
      </c>
      <c r="I371" s="4" t="s">
        <v>87</v>
      </c>
      <c r="J371" s="10">
        <v>2.8319999999999999</v>
      </c>
      <c r="K371" s="10">
        <v>2.835</v>
      </c>
      <c r="L371" s="10">
        <f t="shared" si="62"/>
        <v>0</v>
      </c>
      <c r="M371" s="10">
        <f t="shared" si="63"/>
        <v>0</v>
      </c>
      <c r="N371" s="10"/>
      <c r="O371" s="10"/>
      <c r="P371" s="10">
        <v>0</v>
      </c>
      <c r="Q371" s="10"/>
      <c r="R371" s="10"/>
      <c r="S371" s="10"/>
      <c r="T371" s="10"/>
      <c r="U371" s="10"/>
      <c r="V371" s="4" t="s">
        <v>841</v>
      </c>
      <c r="W371" s="4"/>
      <c r="X371" s="8"/>
      <c r="Y371" s="4"/>
      <c r="Z371" s="4"/>
      <c r="AA371" s="8"/>
      <c r="AB371" s="8"/>
      <c r="AC371" s="4"/>
      <c r="AD371" s="4"/>
    </row>
    <row r="372" spans="1:30" hidden="1">
      <c r="A372" s="4">
        <v>720</v>
      </c>
      <c r="B372" s="8">
        <v>45150</v>
      </c>
      <c r="C372" s="4"/>
      <c r="D372" s="4" t="s">
        <v>42</v>
      </c>
      <c r="E372" s="8">
        <v>45199</v>
      </c>
      <c r="F372" s="4" t="s">
        <v>840</v>
      </c>
      <c r="G372" s="16" t="s">
        <v>44</v>
      </c>
      <c r="H372" s="4" t="s">
        <v>45</v>
      </c>
      <c r="I372" s="4" t="s">
        <v>434</v>
      </c>
      <c r="J372" s="10">
        <v>1.4819</v>
      </c>
      <c r="K372" s="10">
        <v>1.494</v>
      </c>
      <c r="L372" s="10">
        <f t="shared" si="62"/>
        <v>0</v>
      </c>
      <c r="M372" s="10">
        <f t="shared" si="63"/>
        <v>0</v>
      </c>
      <c r="N372" s="10"/>
      <c r="O372" s="10"/>
      <c r="P372" s="10">
        <v>0</v>
      </c>
      <c r="Q372" s="10"/>
      <c r="R372" s="10"/>
      <c r="S372" s="10"/>
      <c r="T372" s="10"/>
      <c r="U372" s="10"/>
      <c r="V372" s="4" t="s">
        <v>841</v>
      </c>
      <c r="W372" s="4"/>
      <c r="X372" s="8"/>
      <c r="Y372" s="4"/>
      <c r="Z372" s="4"/>
      <c r="AA372" s="8">
        <v>45206</v>
      </c>
      <c r="AB372" s="8">
        <v>45206</v>
      </c>
      <c r="AC372" s="4"/>
      <c r="AD372" s="4"/>
    </row>
    <row r="373" spans="1:30" hidden="1">
      <c r="A373" s="4">
        <v>720</v>
      </c>
      <c r="B373" s="8">
        <v>45150</v>
      </c>
      <c r="C373" s="4"/>
      <c r="D373" s="4" t="s">
        <v>42</v>
      </c>
      <c r="E373" s="8">
        <v>45199</v>
      </c>
      <c r="F373" s="4" t="s">
        <v>840</v>
      </c>
      <c r="G373" s="16" t="s">
        <v>44</v>
      </c>
      <c r="H373" s="4" t="s">
        <v>45</v>
      </c>
      <c r="I373" s="4" t="s">
        <v>435</v>
      </c>
      <c r="J373" s="10">
        <v>1.026</v>
      </c>
      <c r="K373" s="10">
        <v>1.0389999999999999</v>
      </c>
      <c r="L373" s="10">
        <f t="shared" si="62"/>
        <v>0</v>
      </c>
      <c r="M373" s="10">
        <f t="shared" si="63"/>
        <v>0</v>
      </c>
      <c r="N373" s="10"/>
      <c r="O373" s="10"/>
      <c r="P373" s="10">
        <v>0</v>
      </c>
      <c r="Q373" s="10"/>
      <c r="R373" s="10"/>
      <c r="S373" s="10"/>
      <c r="T373" s="10"/>
      <c r="U373" s="10"/>
      <c r="V373" s="4" t="s">
        <v>841</v>
      </c>
      <c r="W373" s="4"/>
      <c r="X373" s="8"/>
      <c r="Y373" s="4"/>
      <c r="Z373" s="4"/>
      <c r="AA373" s="8"/>
      <c r="AB373" s="8">
        <v>45226</v>
      </c>
      <c r="AC373" s="4"/>
      <c r="AD373" s="4"/>
    </row>
    <row r="374" spans="1:30" hidden="1">
      <c r="A374" s="4">
        <v>720</v>
      </c>
      <c r="B374" s="8">
        <v>45150</v>
      </c>
      <c r="C374" s="4"/>
      <c r="D374" s="4" t="s">
        <v>42</v>
      </c>
      <c r="E374" s="8">
        <v>45199</v>
      </c>
      <c r="F374" s="4" t="s">
        <v>840</v>
      </c>
      <c r="G374" s="16" t="s">
        <v>44</v>
      </c>
      <c r="H374" s="4" t="s">
        <v>45</v>
      </c>
      <c r="I374" s="4" t="s">
        <v>432</v>
      </c>
      <c r="J374" s="10">
        <v>0.44880000000000003</v>
      </c>
      <c r="K374" s="10">
        <v>0.45300000000000001</v>
      </c>
      <c r="L374" s="10">
        <f t="shared" si="62"/>
        <v>0</v>
      </c>
      <c r="M374" s="10">
        <f t="shared" si="63"/>
        <v>0</v>
      </c>
      <c r="N374" s="10"/>
      <c r="O374" s="10"/>
      <c r="P374" s="10">
        <v>0</v>
      </c>
      <c r="Q374" s="10"/>
      <c r="R374" s="10"/>
      <c r="S374" s="10"/>
      <c r="T374" s="10"/>
      <c r="U374" s="10"/>
      <c r="V374" s="4" t="s">
        <v>841</v>
      </c>
      <c r="W374" s="4"/>
      <c r="X374" s="8"/>
      <c r="Y374" s="4"/>
      <c r="Z374" s="4"/>
      <c r="AA374" s="8"/>
      <c r="AB374" s="8"/>
      <c r="AC374" s="4"/>
      <c r="AD374" s="4"/>
    </row>
    <row r="375" spans="1:30" hidden="1">
      <c r="A375" s="4">
        <v>720</v>
      </c>
      <c r="B375" s="8">
        <v>45150</v>
      </c>
      <c r="C375" s="4"/>
      <c r="D375" s="4" t="s">
        <v>42</v>
      </c>
      <c r="E375" s="8">
        <v>45199</v>
      </c>
      <c r="F375" s="4" t="s">
        <v>840</v>
      </c>
      <c r="G375" s="16" t="s">
        <v>44</v>
      </c>
      <c r="H375" s="4" t="s">
        <v>45</v>
      </c>
      <c r="I375" s="4" t="s">
        <v>403</v>
      </c>
      <c r="J375" s="10">
        <v>3.4860000000000002</v>
      </c>
      <c r="K375" s="10">
        <v>3.4820000000000002</v>
      </c>
      <c r="L375" s="10">
        <f t="shared" si="62"/>
        <v>0</v>
      </c>
      <c r="M375" s="10">
        <f t="shared" si="63"/>
        <v>0</v>
      </c>
      <c r="N375" s="10"/>
      <c r="O375" s="10"/>
      <c r="P375" s="10">
        <v>0</v>
      </c>
      <c r="Q375" s="10"/>
      <c r="R375" s="10"/>
      <c r="S375" s="10"/>
      <c r="T375" s="10"/>
      <c r="U375" s="10"/>
      <c r="V375" s="4" t="s">
        <v>841</v>
      </c>
      <c r="W375" s="4"/>
      <c r="X375" s="8"/>
      <c r="Y375" s="4"/>
      <c r="Z375" s="4"/>
      <c r="AA375" s="8"/>
      <c r="AB375" s="8">
        <v>45190</v>
      </c>
      <c r="AC375" s="4"/>
      <c r="AD375" s="4"/>
    </row>
    <row r="376" spans="1:30" hidden="1">
      <c r="A376" s="4">
        <v>720</v>
      </c>
      <c r="B376" s="8">
        <v>45150</v>
      </c>
      <c r="C376" s="4"/>
      <c r="D376" s="4" t="s">
        <v>42</v>
      </c>
      <c r="E376" s="8">
        <v>45199</v>
      </c>
      <c r="F376" s="4" t="s">
        <v>840</v>
      </c>
      <c r="G376" s="16" t="s">
        <v>51</v>
      </c>
      <c r="H376" s="4" t="s">
        <v>52</v>
      </c>
      <c r="I376" s="4" t="s">
        <v>49</v>
      </c>
      <c r="J376" s="10">
        <v>4.2587999999999999</v>
      </c>
      <c r="K376" s="10">
        <v>4.3310000000000004</v>
      </c>
      <c r="L376" s="10">
        <f t="shared" si="62"/>
        <v>0</v>
      </c>
      <c r="M376" s="10">
        <f t="shared" si="63"/>
        <v>0</v>
      </c>
      <c r="N376" s="10"/>
      <c r="O376" s="10"/>
      <c r="P376" s="10">
        <v>0</v>
      </c>
      <c r="Q376" s="10"/>
      <c r="R376" s="10"/>
      <c r="S376" s="10"/>
      <c r="T376" s="10"/>
      <c r="U376" s="10"/>
      <c r="V376" s="4" t="s">
        <v>841</v>
      </c>
      <c r="W376" s="4"/>
      <c r="X376" s="8">
        <v>45185</v>
      </c>
      <c r="Y376" s="4"/>
      <c r="Z376" s="4"/>
      <c r="AA376" s="8">
        <v>45206</v>
      </c>
      <c r="AB376" s="8">
        <v>45206</v>
      </c>
      <c r="AC376" s="4"/>
      <c r="AD376" s="4"/>
    </row>
    <row r="377" spans="1:30" hidden="1">
      <c r="A377" s="4">
        <v>720</v>
      </c>
      <c r="B377" s="8">
        <v>45150</v>
      </c>
      <c r="C377" s="4"/>
      <c r="D377" s="4" t="s">
        <v>42</v>
      </c>
      <c r="E377" s="8">
        <v>45199</v>
      </c>
      <c r="F377" s="4" t="s">
        <v>840</v>
      </c>
      <c r="G377" s="16" t="s">
        <v>51</v>
      </c>
      <c r="H377" s="4" t="s">
        <v>52</v>
      </c>
      <c r="I377" s="4" t="s">
        <v>54</v>
      </c>
      <c r="J377" s="10">
        <v>0.55200000000000005</v>
      </c>
      <c r="K377" s="10">
        <v>0.55600000000000005</v>
      </c>
      <c r="L377" s="10">
        <f t="shared" si="62"/>
        <v>0</v>
      </c>
      <c r="M377" s="10">
        <f t="shared" si="63"/>
        <v>0</v>
      </c>
      <c r="N377" s="10"/>
      <c r="O377" s="10"/>
      <c r="P377" s="10">
        <v>0</v>
      </c>
      <c r="Q377" s="10"/>
      <c r="R377" s="10"/>
      <c r="S377" s="10"/>
      <c r="T377" s="10"/>
      <c r="U377" s="10"/>
      <c r="V377" s="4" t="s">
        <v>841</v>
      </c>
      <c r="W377" s="4"/>
      <c r="X377" s="8">
        <v>45207</v>
      </c>
      <c r="Y377" s="4"/>
      <c r="Z377" s="4"/>
      <c r="AA377" s="8"/>
      <c r="AB377" s="8"/>
      <c r="AC377" s="4"/>
      <c r="AD377" s="4"/>
    </row>
    <row r="378" spans="1:30" hidden="1">
      <c r="A378" s="4">
        <v>720</v>
      </c>
      <c r="B378" s="8">
        <v>45150</v>
      </c>
      <c r="C378" s="4"/>
      <c r="D378" s="4" t="s">
        <v>42</v>
      </c>
      <c r="E378" s="8">
        <v>45199</v>
      </c>
      <c r="F378" s="4" t="s">
        <v>840</v>
      </c>
      <c r="G378" s="16" t="s">
        <v>51</v>
      </c>
      <c r="H378" s="4" t="s">
        <v>52</v>
      </c>
      <c r="I378" s="4" t="s">
        <v>89</v>
      </c>
      <c r="J378" s="10">
        <v>4.4198000000000004</v>
      </c>
      <c r="K378" s="10">
        <v>4.4850000000000003</v>
      </c>
      <c r="L378" s="10">
        <f t="shared" si="62"/>
        <v>0</v>
      </c>
      <c r="M378" s="10">
        <f t="shared" si="63"/>
        <v>0</v>
      </c>
      <c r="N378" s="10"/>
      <c r="O378" s="10"/>
      <c r="P378" s="10">
        <v>0</v>
      </c>
      <c r="Q378" s="10"/>
      <c r="R378" s="10"/>
      <c r="S378" s="10"/>
      <c r="T378" s="10"/>
      <c r="U378" s="10"/>
      <c r="V378" s="4" t="s">
        <v>841</v>
      </c>
      <c r="W378" s="4"/>
      <c r="X378" s="8"/>
      <c r="Y378" s="4"/>
      <c r="Z378" s="4"/>
      <c r="AA378" s="8"/>
      <c r="AB378" s="8"/>
      <c r="AC378" s="4"/>
      <c r="AD378" s="4"/>
    </row>
    <row r="379" spans="1:30" hidden="1">
      <c r="A379" s="4">
        <v>720</v>
      </c>
      <c r="B379" s="8">
        <v>45150</v>
      </c>
      <c r="C379" s="4"/>
      <c r="D379" s="4" t="s">
        <v>42</v>
      </c>
      <c r="E379" s="8">
        <v>45199</v>
      </c>
      <c r="F379" s="4" t="s">
        <v>840</v>
      </c>
      <c r="G379" s="16" t="s">
        <v>51</v>
      </c>
      <c r="H379" s="4" t="s">
        <v>52</v>
      </c>
      <c r="I379" s="4" t="s">
        <v>434</v>
      </c>
      <c r="J379" s="10">
        <v>0.38324999999999998</v>
      </c>
      <c r="K379" s="10">
        <f>0.232+0.155</f>
        <v>0.38700000000000001</v>
      </c>
      <c r="L379" s="10">
        <f t="shared" si="62"/>
        <v>0</v>
      </c>
      <c r="M379" s="10">
        <f t="shared" si="63"/>
        <v>0</v>
      </c>
      <c r="N379" s="10"/>
      <c r="O379" s="10"/>
      <c r="P379" s="10">
        <v>0</v>
      </c>
      <c r="Q379" s="10"/>
      <c r="R379" s="10"/>
      <c r="S379" s="10"/>
      <c r="T379" s="10"/>
      <c r="U379" s="10"/>
      <c r="V379" s="4" t="s">
        <v>841</v>
      </c>
      <c r="W379" s="4"/>
      <c r="X379" s="8"/>
      <c r="Y379" s="4"/>
      <c r="Z379" s="4"/>
      <c r="AA379" s="8"/>
      <c r="AB379" s="8"/>
      <c r="AC379" s="4"/>
      <c r="AD379" s="4"/>
    </row>
    <row r="380" spans="1:30" hidden="1">
      <c r="A380" s="4">
        <v>720</v>
      </c>
      <c r="B380" s="8">
        <v>45150</v>
      </c>
      <c r="C380" s="4"/>
      <c r="D380" s="4" t="s">
        <v>42</v>
      </c>
      <c r="E380" s="8">
        <v>45199</v>
      </c>
      <c r="F380" s="4" t="s">
        <v>840</v>
      </c>
      <c r="G380" s="16" t="s">
        <v>51</v>
      </c>
      <c r="H380" s="4" t="s">
        <v>52</v>
      </c>
      <c r="I380" s="4" t="s">
        <v>435</v>
      </c>
      <c r="J380" s="10">
        <v>6.016350000000001</v>
      </c>
      <c r="K380" s="10">
        <f>4.19+1.945</f>
        <v>6.1350000000000007</v>
      </c>
      <c r="L380" s="10">
        <f t="shared" si="62"/>
        <v>0</v>
      </c>
      <c r="M380" s="10">
        <f t="shared" si="63"/>
        <v>0</v>
      </c>
      <c r="N380" s="10"/>
      <c r="O380" s="10"/>
      <c r="P380" s="10">
        <v>0</v>
      </c>
      <c r="Q380" s="10"/>
      <c r="R380" s="10"/>
      <c r="S380" s="10"/>
      <c r="T380" s="10"/>
      <c r="U380" s="10"/>
      <c r="V380" s="4" t="s">
        <v>841</v>
      </c>
      <c r="W380" s="4"/>
      <c r="X380" s="8"/>
      <c r="Y380" s="4"/>
      <c r="Z380" s="4"/>
      <c r="AA380" s="8">
        <v>45222</v>
      </c>
      <c r="AB380" s="8">
        <v>45222</v>
      </c>
      <c r="AC380" s="4"/>
      <c r="AD380" s="4"/>
    </row>
    <row r="381" spans="1:30" hidden="1">
      <c r="A381" s="4">
        <v>720</v>
      </c>
      <c r="B381" s="8">
        <v>45150</v>
      </c>
      <c r="C381" s="4"/>
      <c r="D381" s="4" t="s">
        <v>42</v>
      </c>
      <c r="E381" s="8">
        <v>45199</v>
      </c>
      <c r="F381" s="4" t="s">
        <v>840</v>
      </c>
      <c r="G381" s="16" t="s">
        <v>51</v>
      </c>
      <c r="H381" s="4" t="s">
        <v>52</v>
      </c>
      <c r="I381" s="4" t="s">
        <v>432</v>
      </c>
      <c r="J381" s="10">
        <v>6.1913999999999998</v>
      </c>
      <c r="K381" s="10">
        <v>6.2460000000000004</v>
      </c>
      <c r="L381" s="10">
        <f t="shared" si="62"/>
        <v>0</v>
      </c>
      <c r="M381" s="10">
        <f t="shared" si="63"/>
        <v>0</v>
      </c>
      <c r="N381" s="10"/>
      <c r="O381" s="10"/>
      <c r="P381" s="10">
        <v>0</v>
      </c>
      <c r="Q381" s="10"/>
      <c r="R381" s="10"/>
      <c r="S381" s="10"/>
      <c r="T381" s="10"/>
      <c r="U381" s="10"/>
      <c r="V381" s="4" t="s">
        <v>841</v>
      </c>
      <c r="W381" s="4"/>
      <c r="X381" s="8"/>
      <c r="Y381" s="4"/>
      <c r="Z381" s="4"/>
      <c r="AA381" s="8"/>
      <c r="AB381" s="8"/>
      <c r="AC381" s="4"/>
      <c r="AD381" s="4"/>
    </row>
    <row r="382" spans="1:30" hidden="1">
      <c r="A382" s="4">
        <v>721</v>
      </c>
      <c r="B382" s="8">
        <v>45150</v>
      </c>
      <c r="C382" s="4"/>
      <c r="D382" s="4" t="s">
        <v>42</v>
      </c>
      <c r="E382" s="8">
        <v>45161</v>
      </c>
      <c r="F382" s="4" t="s">
        <v>43</v>
      </c>
      <c r="G382" s="16" t="s">
        <v>51</v>
      </c>
      <c r="H382" s="4" t="s">
        <v>52</v>
      </c>
      <c r="I382" s="4" t="s">
        <v>89</v>
      </c>
      <c r="J382" s="10">
        <v>17.998999999999999</v>
      </c>
      <c r="K382" s="10">
        <v>18.082000000000001</v>
      </c>
      <c r="L382" s="10">
        <f t="shared" si="62"/>
        <v>0</v>
      </c>
      <c r="M382" s="10">
        <f t="shared" si="63"/>
        <v>0</v>
      </c>
      <c r="N382" s="10"/>
      <c r="O382" s="10"/>
      <c r="P382" s="10">
        <v>0</v>
      </c>
      <c r="Q382" s="10"/>
      <c r="R382" s="10"/>
      <c r="S382" s="10"/>
      <c r="T382" s="10"/>
      <c r="U382" s="10"/>
      <c r="V382" s="4" t="s">
        <v>427</v>
      </c>
      <c r="W382" s="4"/>
      <c r="X382" s="8"/>
      <c r="Y382" s="4"/>
      <c r="Z382" s="4"/>
      <c r="AA382" s="8"/>
      <c r="AB382" s="8"/>
      <c r="AC382" s="4"/>
      <c r="AD382" s="4"/>
    </row>
    <row r="383" spans="1:30" hidden="1">
      <c r="A383" s="4">
        <v>721</v>
      </c>
      <c r="B383" s="8">
        <v>45150</v>
      </c>
      <c r="C383" s="4"/>
      <c r="D383" s="4" t="s">
        <v>42</v>
      </c>
      <c r="E383" s="8">
        <v>45161</v>
      </c>
      <c r="F383" s="4" t="s">
        <v>43</v>
      </c>
      <c r="G383" s="16" t="s">
        <v>51</v>
      </c>
      <c r="H383" s="4" t="s">
        <v>52</v>
      </c>
      <c r="I383" s="4" t="s">
        <v>87</v>
      </c>
      <c r="J383" s="10">
        <v>1.2829999999999999</v>
      </c>
      <c r="K383" s="10">
        <v>1.2829999999999999</v>
      </c>
      <c r="L383" s="10">
        <f t="shared" si="62"/>
        <v>0</v>
      </c>
      <c r="M383" s="10">
        <f t="shared" si="63"/>
        <v>0</v>
      </c>
      <c r="N383" s="10"/>
      <c r="O383" s="10"/>
      <c r="P383" s="10">
        <v>0</v>
      </c>
      <c r="Q383" s="10"/>
      <c r="R383" s="10"/>
      <c r="S383" s="10"/>
      <c r="T383" s="10"/>
      <c r="U383" s="10"/>
      <c r="V383" s="4" t="s">
        <v>427</v>
      </c>
      <c r="W383" s="4"/>
      <c r="X383" s="8"/>
      <c r="Y383" s="4"/>
      <c r="Z383" s="4"/>
      <c r="AA383" s="8">
        <v>45158</v>
      </c>
      <c r="AB383" s="8">
        <v>45158</v>
      </c>
      <c r="AC383" s="4"/>
      <c r="AD383" s="4"/>
    </row>
    <row r="384" spans="1:30" hidden="1">
      <c r="A384" s="4">
        <v>723</v>
      </c>
      <c r="B384" s="8">
        <v>45150</v>
      </c>
      <c r="C384" s="4"/>
      <c r="D384" s="4" t="s">
        <v>42</v>
      </c>
      <c r="E384" s="8">
        <v>45161</v>
      </c>
      <c r="F384" s="4" t="s">
        <v>840</v>
      </c>
      <c r="G384" s="16" t="s">
        <v>44</v>
      </c>
      <c r="H384" s="4" t="s">
        <v>45</v>
      </c>
      <c r="I384" s="4" t="s">
        <v>517</v>
      </c>
      <c r="J384" s="10">
        <v>0.61151999999999995</v>
      </c>
      <c r="K384" s="10">
        <v>0.63300000000000001</v>
      </c>
      <c r="L384" s="10">
        <f t="shared" si="62"/>
        <v>0</v>
      </c>
      <c r="M384" s="10">
        <f t="shared" si="63"/>
        <v>0</v>
      </c>
      <c r="N384" s="10"/>
      <c r="O384" s="10"/>
      <c r="P384" s="10">
        <v>0</v>
      </c>
      <c r="Q384" s="10"/>
      <c r="R384" s="10"/>
      <c r="S384" s="10"/>
      <c r="T384" s="10"/>
      <c r="U384" s="10"/>
      <c r="V384" s="4" t="s">
        <v>841</v>
      </c>
      <c r="W384" s="4"/>
      <c r="X384" s="8">
        <v>45171</v>
      </c>
      <c r="Y384" s="4"/>
      <c r="Z384" s="4"/>
      <c r="AA384" s="8"/>
      <c r="AB384" s="8">
        <v>45190</v>
      </c>
      <c r="AC384" s="4"/>
      <c r="AD384" s="4"/>
    </row>
    <row r="385" spans="1:30" hidden="1">
      <c r="A385" s="4" t="s">
        <v>1023</v>
      </c>
      <c r="B385" s="8">
        <v>45135</v>
      </c>
      <c r="C385" s="4"/>
      <c r="D385" s="4" t="s">
        <v>42</v>
      </c>
      <c r="E385" s="8">
        <v>45153</v>
      </c>
      <c r="F385" s="4" t="s">
        <v>840</v>
      </c>
      <c r="G385" s="16" t="s">
        <v>44</v>
      </c>
      <c r="H385" s="4" t="s">
        <v>45</v>
      </c>
      <c r="I385" s="4" t="s">
        <v>407</v>
      </c>
      <c r="J385" s="10">
        <v>12.569528</v>
      </c>
      <c r="K385" s="10">
        <f>4.764+7.805</f>
        <v>12.568999999999999</v>
      </c>
      <c r="L385" s="10">
        <f t="shared" ref="L385" si="64">M385+U385</f>
        <v>0</v>
      </c>
      <c r="M385" s="10">
        <f t="shared" ref="M385" si="65">SUM(N385:T385)</f>
        <v>0</v>
      </c>
      <c r="N385" s="10"/>
      <c r="O385" s="10"/>
      <c r="P385" s="10">
        <v>0</v>
      </c>
      <c r="Q385" s="10"/>
      <c r="R385" s="10"/>
      <c r="S385" s="10"/>
      <c r="T385" s="10"/>
      <c r="U385" s="10"/>
      <c r="V385" s="4" t="s">
        <v>841</v>
      </c>
      <c r="W385" s="4" t="s">
        <v>1022</v>
      </c>
      <c r="X385" s="8">
        <v>45144</v>
      </c>
      <c r="Y385" s="4"/>
      <c r="Z385" s="4"/>
      <c r="AA385" s="8">
        <v>45161</v>
      </c>
      <c r="AB385" s="8">
        <v>45162</v>
      </c>
      <c r="AC385" s="4"/>
      <c r="AD385" s="4"/>
    </row>
    <row r="386" spans="1:30" hidden="1">
      <c r="A386" s="4" t="s">
        <v>1024</v>
      </c>
      <c r="B386" s="8">
        <v>45139</v>
      </c>
      <c r="C386" s="4"/>
      <c r="D386" s="4" t="s">
        <v>42</v>
      </c>
      <c r="E386" s="8">
        <v>45161</v>
      </c>
      <c r="F386" s="4" t="s">
        <v>840</v>
      </c>
      <c r="G386" s="16" t="s">
        <v>44</v>
      </c>
      <c r="H386" s="4" t="s">
        <v>45</v>
      </c>
      <c r="I386" s="4" t="s">
        <v>405</v>
      </c>
      <c r="J386" s="10">
        <v>7.7317999999999998</v>
      </c>
      <c r="K386" s="10">
        <f>1.739+2.042+3.963</f>
        <v>7.7439999999999998</v>
      </c>
      <c r="L386" s="10">
        <f t="shared" ref="L386:L397" si="66">M386+U386</f>
        <v>0</v>
      </c>
      <c r="M386" s="10">
        <f t="shared" ref="M386:M397" si="67">SUM(N386:T386)</f>
        <v>0</v>
      </c>
      <c r="N386" s="10"/>
      <c r="O386" s="10"/>
      <c r="P386" s="10">
        <v>0</v>
      </c>
      <c r="Q386" s="10"/>
      <c r="R386" s="10"/>
      <c r="S386" s="10"/>
      <c r="T386" s="10"/>
      <c r="U386" s="10"/>
      <c r="V386" s="4" t="s">
        <v>841</v>
      </c>
      <c r="W386" s="4" t="s">
        <v>1022</v>
      </c>
      <c r="X386" s="8"/>
      <c r="Y386" s="4"/>
      <c r="Z386" s="4"/>
      <c r="AA386" s="8">
        <v>45188</v>
      </c>
      <c r="AB386" s="8">
        <v>45190</v>
      </c>
      <c r="AC386" s="4"/>
      <c r="AD386" s="4"/>
    </row>
    <row r="387" spans="1:30" hidden="1">
      <c r="A387" s="4" t="s">
        <v>1024</v>
      </c>
      <c r="B387" s="8">
        <v>45139</v>
      </c>
      <c r="C387" s="4"/>
      <c r="D387" s="4" t="s">
        <v>42</v>
      </c>
      <c r="E387" s="8">
        <v>45161</v>
      </c>
      <c r="F387" s="4" t="s">
        <v>840</v>
      </c>
      <c r="G387" s="16" t="s">
        <v>44</v>
      </c>
      <c r="H387" s="4" t="s">
        <v>45</v>
      </c>
      <c r="I387" s="4" t="s">
        <v>400</v>
      </c>
      <c r="J387" s="10">
        <v>2.5488000000000004</v>
      </c>
      <c r="K387" s="10">
        <v>2.5489999999999999</v>
      </c>
      <c r="L387" s="10">
        <f t="shared" si="66"/>
        <v>0</v>
      </c>
      <c r="M387" s="10">
        <f t="shared" si="67"/>
        <v>0</v>
      </c>
      <c r="N387" s="10"/>
      <c r="O387" s="10"/>
      <c r="P387" s="10">
        <v>0</v>
      </c>
      <c r="Q387" s="10"/>
      <c r="R387" s="10"/>
      <c r="S387" s="10"/>
      <c r="T387" s="10"/>
      <c r="U387" s="10"/>
      <c r="V387" s="4" t="s">
        <v>841</v>
      </c>
      <c r="W387" s="4" t="s">
        <v>1022</v>
      </c>
      <c r="X387" s="8">
        <v>45173</v>
      </c>
      <c r="Y387" s="4"/>
      <c r="Z387" s="4"/>
      <c r="AA387" s="8">
        <v>45187</v>
      </c>
      <c r="AB387" s="8">
        <v>45187</v>
      </c>
      <c r="AC387" s="4"/>
      <c r="AD387" s="4"/>
    </row>
    <row r="388" spans="1:30" hidden="1">
      <c r="A388" s="4" t="s">
        <v>1024</v>
      </c>
      <c r="B388" s="8">
        <v>45139</v>
      </c>
      <c r="C388" s="4"/>
      <c r="D388" s="4" t="s">
        <v>42</v>
      </c>
      <c r="E388" s="8">
        <v>45161</v>
      </c>
      <c r="F388" s="4" t="s">
        <v>840</v>
      </c>
      <c r="G388" s="16" t="s">
        <v>44</v>
      </c>
      <c r="H388" s="4" t="s">
        <v>45</v>
      </c>
      <c r="I388" s="4" t="s">
        <v>46</v>
      </c>
      <c r="J388" s="10">
        <v>53.629800000000003</v>
      </c>
      <c r="K388" s="10">
        <f>2.412+31.742+2.065+9.441+8.539</f>
        <v>54.199000000000005</v>
      </c>
      <c r="L388" s="10">
        <f t="shared" si="66"/>
        <v>0</v>
      </c>
      <c r="M388" s="10">
        <f t="shared" si="67"/>
        <v>0</v>
      </c>
      <c r="N388" s="10"/>
      <c r="O388" s="10"/>
      <c r="P388" s="10">
        <v>0</v>
      </c>
      <c r="Q388" s="10"/>
      <c r="R388" s="10"/>
      <c r="S388" s="10"/>
      <c r="T388" s="10"/>
      <c r="U388" s="10"/>
      <c r="V388" s="4" t="s">
        <v>841</v>
      </c>
      <c r="W388" s="4" t="s">
        <v>1022</v>
      </c>
      <c r="X388" s="8"/>
      <c r="Y388" s="4"/>
      <c r="Z388" s="4"/>
      <c r="AA388" s="8">
        <v>45188</v>
      </c>
      <c r="AB388" s="8">
        <v>45190</v>
      </c>
      <c r="AC388" s="4"/>
      <c r="AD388" s="4"/>
    </row>
    <row r="389" spans="1:30" hidden="1">
      <c r="A389" s="4" t="s">
        <v>1024</v>
      </c>
      <c r="B389" s="8">
        <v>45139</v>
      </c>
      <c r="C389" s="4"/>
      <c r="D389" s="4" t="s">
        <v>42</v>
      </c>
      <c r="E389" s="8">
        <v>45161</v>
      </c>
      <c r="F389" s="4" t="s">
        <v>840</v>
      </c>
      <c r="G389" s="16" t="s">
        <v>44</v>
      </c>
      <c r="H389" s="4" t="s">
        <v>45</v>
      </c>
      <c r="I389" s="4" t="s">
        <v>409</v>
      </c>
      <c r="J389" s="10">
        <v>12.871704999999999</v>
      </c>
      <c r="K389" s="10">
        <f>12.133+0.743</f>
        <v>12.875999999999999</v>
      </c>
      <c r="L389" s="10">
        <f t="shared" si="66"/>
        <v>0</v>
      </c>
      <c r="M389" s="10">
        <f t="shared" si="67"/>
        <v>0</v>
      </c>
      <c r="N389" s="10"/>
      <c r="O389" s="10"/>
      <c r="P389" s="10">
        <v>0</v>
      </c>
      <c r="Q389" s="10"/>
      <c r="R389" s="10"/>
      <c r="S389" s="10"/>
      <c r="T389" s="10"/>
      <c r="U389" s="10"/>
      <c r="V389" s="4" t="s">
        <v>841</v>
      </c>
      <c r="W389" s="4" t="s">
        <v>1022</v>
      </c>
      <c r="X389" s="8">
        <v>45143</v>
      </c>
      <c r="Y389" s="4"/>
      <c r="Z389" s="4"/>
      <c r="AA389" s="8">
        <v>45162</v>
      </c>
      <c r="AB389" s="8">
        <v>45164</v>
      </c>
      <c r="AC389" s="4"/>
      <c r="AD389" s="4"/>
    </row>
    <row r="390" spans="1:30" hidden="1">
      <c r="A390" s="4" t="s">
        <v>1024</v>
      </c>
      <c r="B390" s="8">
        <v>45139</v>
      </c>
      <c r="C390" s="4"/>
      <c r="D390" s="4" t="s">
        <v>42</v>
      </c>
      <c r="E390" s="8">
        <v>45161</v>
      </c>
      <c r="F390" s="4" t="s">
        <v>840</v>
      </c>
      <c r="G390" s="16" t="s">
        <v>44</v>
      </c>
      <c r="H390" s="4" t="s">
        <v>45</v>
      </c>
      <c r="I390" s="4" t="s">
        <v>410</v>
      </c>
      <c r="J390" s="10">
        <v>10.922711999999999</v>
      </c>
      <c r="K390" s="10">
        <f>5.249+5.757</f>
        <v>11.006</v>
      </c>
      <c r="L390" s="10">
        <f t="shared" si="66"/>
        <v>0</v>
      </c>
      <c r="M390" s="10">
        <f t="shared" si="67"/>
        <v>0</v>
      </c>
      <c r="N390" s="10"/>
      <c r="O390" s="10"/>
      <c r="P390" s="10">
        <v>0</v>
      </c>
      <c r="Q390" s="10"/>
      <c r="R390" s="10"/>
      <c r="S390" s="10"/>
      <c r="T390" s="10"/>
      <c r="U390" s="10"/>
      <c r="V390" s="4" t="s">
        <v>841</v>
      </c>
      <c r="W390" s="4" t="s">
        <v>1022</v>
      </c>
      <c r="X390" s="8"/>
      <c r="Y390" s="4"/>
      <c r="Z390" s="4"/>
      <c r="AA390" s="8">
        <v>45162</v>
      </c>
      <c r="AB390" s="8">
        <v>45162</v>
      </c>
      <c r="AC390" s="4"/>
      <c r="AD390" s="4"/>
    </row>
    <row r="391" spans="1:30" hidden="1">
      <c r="A391" s="4" t="s">
        <v>1024</v>
      </c>
      <c r="B391" s="8">
        <v>45139</v>
      </c>
      <c r="C391" s="4"/>
      <c r="D391" s="4" t="s">
        <v>42</v>
      </c>
      <c r="E391" s="8">
        <v>45161</v>
      </c>
      <c r="F391" s="4" t="s">
        <v>840</v>
      </c>
      <c r="G391" s="16" t="s">
        <v>44</v>
      </c>
      <c r="H391" s="4" t="s">
        <v>45</v>
      </c>
      <c r="I391" s="4" t="s">
        <v>761</v>
      </c>
      <c r="J391" s="10">
        <v>9.04176</v>
      </c>
      <c r="K391" s="10">
        <f>7.192+1.89</f>
        <v>9.0820000000000007</v>
      </c>
      <c r="L391" s="10">
        <f t="shared" si="66"/>
        <v>0</v>
      </c>
      <c r="M391" s="10">
        <f t="shared" si="67"/>
        <v>0</v>
      </c>
      <c r="N391" s="10"/>
      <c r="O391" s="10"/>
      <c r="P391" s="10">
        <v>0</v>
      </c>
      <c r="Q391" s="10"/>
      <c r="R391" s="10"/>
      <c r="S391" s="10"/>
      <c r="T391" s="10"/>
      <c r="U391" s="10"/>
      <c r="V391" s="4" t="s">
        <v>841</v>
      </c>
      <c r="W391" s="4" t="s">
        <v>1022</v>
      </c>
      <c r="X391" s="8">
        <v>45171</v>
      </c>
      <c r="Y391" s="4"/>
      <c r="Z391" s="4"/>
      <c r="AA391" s="8">
        <v>45184</v>
      </c>
      <c r="AB391" s="8">
        <v>45185</v>
      </c>
      <c r="AC391" s="4"/>
      <c r="AD391" s="4"/>
    </row>
    <row r="392" spans="1:30" hidden="1">
      <c r="A392" s="4" t="s">
        <v>1024</v>
      </c>
      <c r="B392" s="8">
        <v>45139</v>
      </c>
      <c r="C392" s="4"/>
      <c r="D392" s="4" t="s">
        <v>42</v>
      </c>
      <c r="E392" s="8">
        <v>45161</v>
      </c>
      <c r="F392" s="4" t="s">
        <v>840</v>
      </c>
      <c r="G392" s="16" t="s">
        <v>44</v>
      </c>
      <c r="H392" s="4" t="s">
        <v>45</v>
      </c>
      <c r="I392" s="4" t="s">
        <v>517</v>
      </c>
      <c r="J392" s="10">
        <v>9.3823019999999993</v>
      </c>
      <c r="K392" s="10">
        <f>1.433+2.03+4.847+0.876+0.259</f>
        <v>9.4450000000000003</v>
      </c>
      <c r="L392" s="10">
        <f t="shared" si="66"/>
        <v>0</v>
      </c>
      <c r="M392" s="10">
        <f t="shared" si="67"/>
        <v>0</v>
      </c>
      <c r="N392" s="10"/>
      <c r="O392" s="10"/>
      <c r="P392" s="10">
        <v>0</v>
      </c>
      <c r="Q392" s="10"/>
      <c r="R392" s="10"/>
      <c r="S392" s="10"/>
      <c r="T392" s="10"/>
      <c r="U392" s="10"/>
      <c r="V392" s="4" t="s">
        <v>841</v>
      </c>
      <c r="W392" s="4" t="s">
        <v>1022</v>
      </c>
      <c r="X392" s="8">
        <v>45171</v>
      </c>
      <c r="Y392" s="4"/>
      <c r="Z392" s="4"/>
      <c r="AA392" s="8"/>
      <c r="AB392" s="8">
        <v>45191</v>
      </c>
      <c r="AC392" s="4"/>
      <c r="AD392" s="4"/>
    </row>
    <row r="393" spans="1:30" hidden="1">
      <c r="A393" s="4" t="s">
        <v>1024</v>
      </c>
      <c r="B393" s="8">
        <v>45139</v>
      </c>
      <c r="C393" s="4"/>
      <c r="D393" s="4" t="s">
        <v>42</v>
      </c>
      <c r="E393" s="8">
        <v>45161</v>
      </c>
      <c r="F393" s="4" t="s">
        <v>840</v>
      </c>
      <c r="G393" s="16" t="s">
        <v>44</v>
      </c>
      <c r="H393" s="4" t="s">
        <v>45</v>
      </c>
      <c r="I393" s="4" t="s">
        <v>579</v>
      </c>
      <c r="J393" s="10">
        <v>23.554640000000003</v>
      </c>
      <c r="K393" s="10">
        <v>23.783000000000001</v>
      </c>
      <c r="L393" s="10">
        <f t="shared" si="66"/>
        <v>0</v>
      </c>
      <c r="M393" s="10">
        <f t="shared" si="67"/>
        <v>0</v>
      </c>
      <c r="N393" s="10"/>
      <c r="O393" s="10"/>
      <c r="P393" s="10">
        <v>0</v>
      </c>
      <c r="Q393" s="10"/>
      <c r="R393" s="10"/>
      <c r="S393" s="10"/>
      <c r="T393" s="10"/>
      <c r="U393" s="10"/>
      <c r="V393" s="4" t="s">
        <v>841</v>
      </c>
      <c r="W393" s="4" t="s">
        <v>1022</v>
      </c>
      <c r="X393" s="8">
        <v>45171</v>
      </c>
      <c r="Y393" s="4"/>
      <c r="Z393" s="4"/>
      <c r="AA393" s="8"/>
      <c r="AB393" s="8"/>
      <c r="AC393" s="4"/>
      <c r="AD393" s="4"/>
    </row>
    <row r="394" spans="1:30" hidden="1">
      <c r="A394" s="4" t="s">
        <v>1024</v>
      </c>
      <c r="B394" s="8">
        <v>45139</v>
      </c>
      <c r="C394" s="4"/>
      <c r="D394" s="4" t="s">
        <v>42</v>
      </c>
      <c r="E394" s="8">
        <v>45161</v>
      </c>
      <c r="F394" s="4" t="s">
        <v>840</v>
      </c>
      <c r="G394" s="16" t="s">
        <v>44</v>
      </c>
      <c r="H394" s="4" t="s">
        <v>45</v>
      </c>
      <c r="I394" s="4" t="s">
        <v>435</v>
      </c>
      <c r="J394" s="10">
        <v>5.0106679999999999</v>
      </c>
      <c r="K394" s="10">
        <f>4.721+0.298</f>
        <v>5.0190000000000001</v>
      </c>
      <c r="L394" s="10">
        <f t="shared" si="66"/>
        <v>0</v>
      </c>
      <c r="M394" s="10">
        <f t="shared" si="67"/>
        <v>0</v>
      </c>
      <c r="N394" s="10"/>
      <c r="O394" s="10"/>
      <c r="P394" s="10">
        <v>0</v>
      </c>
      <c r="Q394" s="10"/>
      <c r="R394" s="10"/>
      <c r="S394" s="10"/>
      <c r="T394" s="10"/>
      <c r="U394" s="10"/>
      <c r="V394" s="4" t="s">
        <v>841</v>
      </c>
      <c r="W394" s="4" t="s">
        <v>1022</v>
      </c>
      <c r="X394" s="8"/>
      <c r="Y394" s="4"/>
      <c r="Z394" s="4"/>
      <c r="AA394" s="8">
        <v>45184</v>
      </c>
      <c r="AB394" s="8">
        <v>45185</v>
      </c>
      <c r="AC394" s="4"/>
      <c r="AD394" s="4"/>
    </row>
    <row r="395" spans="1:30" hidden="1">
      <c r="A395" s="4" t="s">
        <v>1024</v>
      </c>
      <c r="B395" s="8">
        <v>45139</v>
      </c>
      <c r="C395" s="4"/>
      <c r="D395" s="4" t="s">
        <v>42</v>
      </c>
      <c r="E395" s="8">
        <v>45161</v>
      </c>
      <c r="F395" s="4" t="s">
        <v>840</v>
      </c>
      <c r="G395" s="16" t="s">
        <v>44</v>
      </c>
      <c r="H395" s="4" t="s">
        <v>45</v>
      </c>
      <c r="I395" s="4" t="s">
        <v>89</v>
      </c>
      <c r="J395" s="10">
        <v>34.35</v>
      </c>
      <c r="K395" s="10">
        <f>23.047+10.785+0.534</f>
        <v>34.366</v>
      </c>
      <c r="L395" s="10">
        <f t="shared" si="66"/>
        <v>0</v>
      </c>
      <c r="M395" s="10">
        <f t="shared" si="67"/>
        <v>0</v>
      </c>
      <c r="N395" s="10"/>
      <c r="O395" s="10"/>
      <c r="P395" s="10">
        <v>0</v>
      </c>
      <c r="Q395" s="10"/>
      <c r="R395" s="10"/>
      <c r="S395" s="10"/>
      <c r="T395" s="10"/>
      <c r="U395" s="10"/>
      <c r="V395" s="4" t="s">
        <v>841</v>
      </c>
      <c r="W395" s="4" t="s">
        <v>1022</v>
      </c>
      <c r="X395" s="8"/>
      <c r="Y395" s="4"/>
      <c r="Z395" s="4"/>
      <c r="AA395" s="8"/>
      <c r="AB395" s="8"/>
      <c r="AC395" s="4"/>
      <c r="AD395" s="4"/>
    </row>
    <row r="396" spans="1:30" hidden="1">
      <c r="A396" s="4" t="s">
        <v>1024</v>
      </c>
      <c r="B396" s="8">
        <v>45139</v>
      </c>
      <c r="C396" s="4"/>
      <c r="D396" s="4" t="s">
        <v>42</v>
      </c>
      <c r="E396" s="8">
        <v>45161</v>
      </c>
      <c r="F396" s="4" t="s">
        <v>840</v>
      </c>
      <c r="G396" s="16" t="s">
        <v>51</v>
      </c>
      <c r="H396" s="4" t="s">
        <v>52</v>
      </c>
      <c r="I396" s="4" t="s">
        <v>435</v>
      </c>
      <c r="J396" s="10">
        <v>2.2503000000000002</v>
      </c>
      <c r="K396" s="10">
        <f>1.125+1.168</f>
        <v>2.2930000000000001</v>
      </c>
      <c r="L396" s="10">
        <f t="shared" si="66"/>
        <v>0</v>
      </c>
      <c r="M396" s="10">
        <f t="shared" si="67"/>
        <v>0</v>
      </c>
      <c r="N396" s="10"/>
      <c r="O396" s="10"/>
      <c r="P396" s="10">
        <v>0</v>
      </c>
      <c r="Q396" s="10"/>
      <c r="R396" s="10"/>
      <c r="S396" s="10"/>
      <c r="T396" s="10"/>
      <c r="U396" s="10"/>
      <c r="V396" s="4" t="s">
        <v>841</v>
      </c>
      <c r="W396" s="4" t="s">
        <v>1022</v>
      </c>
      <c r="X396" s="8"/>
      <c r="Y396" s="4"/>
      <c r="Z396" s="4"/>
      <c r="AA396" s="8">
        <v>45184</v>
      </c>
      <c r="AB396" s="8">
        <v>45185</v>
      </c>
      <c r="AC396" s="4"/>
      <c r="AD396" s="4"/>
    </row>
    <row r="397" spans="1:30" hidden="1">
      <c r="A397" s="4" t="s">
        <v>1024</v>
      </c>
      <c r="B397" s="8">
        <v>45139</v>
      </c>
      <c r="C397" s="4"/>
      <c r="D397" s="4" t="s">
        <v>42</v>
      </c>
      <c r="E397" s="8">
        <v>45161</v>
      </c>
      <c r="F397" s="4" t="s">
        <v>840</v>
      </c>
      <c r="G397" s="16" t="s">
        <v>51</v>
      </c>
      <c r="H397" s="4" t="s">
        <v>52</v>
      </c>
      <c r="I397" s="4" t="s">
        <v>577</v>
      </c>
      <c r="J397" s="10">
        <v>4.8890000000000002</v>
      </c>
      <c r="K397" s="10">
        <f>3.827+1.168</f>
        <v>4.9950000000000001</v>
      </c>
      <c r="L397" s="10">
        <f t="shared" si="66"/>
        <v>0</v>
      </c>
      <c r="M397" s="10">
        <f t="shared" si="67"/>
        <v>0</v>
      </c>
      <c r="N397" s="10"/>
      <c r="O397" s="10"/>
      <c r="P397" s="10">
        <v>0</v>
      </c>
      <c r="Q397" s="10"/>
      <c r="R397" s="10"/>
      <c r="S397" s="10"/>
      <c r="T397" s="10"/>
      <c r="U397" s="10"/>
      <c r="V397" s="4" t="s">
        <v>841</v>
      </c>
      <c r="W397" s="4" t="s">
        <v>1022</v>
      </c>
      <c r="X397" s="8">
        <v>45156</v>
      </c>
      <c r="Y397" s="4"/>
      <c r="Z397" s="4"/>
      <c r="AA397" s="8"/>
      <c r="AB397" s="8"/>
      <c r="AC397" s="4"/>
      <c r="AD397" s="4"/>
    </row>
    <row r="398" spans="1:30" hidden="1">
      <c r="A398" s="4">
        <v>752</v>
      </c>
      <c r="B398" s="8">
        <v>45166</v>
      </c>
      <c r="C398" s="4"/>
      <c r="D398" s="4" t="s">
        <v>42</v>
      </c>
      <c r="E398" s="8">
        <v>45206</v>
      </c>
      <c r="F398" s="4" t="s">
        <v>43</v>
      </c>
      <c r="G398" s="16" t="s">
        <v>51</v>
      </c>
      <c r="H398" s="4" t="s">
        <v>52</v>
      </c>
      <c r="I398" s="4" t="s">
        <v>432</v>
      </c>
      <c r="J398" s="10">
        <v>1.4990000000000001</v>
      </c>
      <c r="K398" s="10">
        <v>1.4990000000000001</v>
      </c>
      <c r="L398" s="10">
        <f t="shared" ref="L398" si="68">M398+U398</f>
        <v>0</v>
      </c>
      <c r="M398" s="10">
        <f t="shared" ref="M398" si="69">SUM(N398:T398)</f>
        <v>0</v>
      </c>
      <c r="N398" s="10"/>
      <c r="O398" s="10"/>
      <c r="P398" s="10">
        <v>0</v>
      </c>
      <c r="Q398" s="10"/>
      <c r="R398" s="10"/>
      <c r="S398" s="10"/>
      <c r="T398" s="10"/>
      <c r="U398" s="10"/>
      <c r="V398" s="4" t="s">
        <v>826</v>
      </c>
      <c r="W398" s="4"/>
      <c r="X398" s="8"/>
      <c r="Y398" s="4"/>
      <c r="Z398" s="4"/>
      <c r="AA398" s="8">
        <v>45182</v>
      </c>
      <c r="AB398" s="8">
        <v>45182</v>
      </c>
      <c r="AC398" s="4"/>
      <c r="AD398" s="4"/>
    </row>
    <row r="399" spans="1:30" hidden="1">
      <c r="A399" s="4">
        <v>752</v>
      </c>
      <c r="B399" s="8">
        <v>45166</v>
      </c>
      <c r="C399" s="4"/>
      <c r="D399" s="4" t="s">
        <v>42</v>
      </c>
      <c r="E399" s="8">
        <v>45206</v>
      </c>
      <c r="F399" s="4" t="s">
        <v>43</v>
      </c>
      <c r="G399" s="16" t="s">
        <v>51</v>
      </c>
      <c r="H399" s="4" t="s">
        <v>52</v>
      </c>
      <c r="I399" s="4" t="s">
        <v>671</v>
      </c>
      <c r="J399" s="10">
        <v>16.506</v>
      </c>
      <c r="K399" s="10">
        <f>13.59+2.916</f>
        <v>16.506</v>
      </c>
      <c r="L399" s="10">
        <f t="shared" ref="L399" si="70">M399+U399</f>
        <v>0</v>
      </c>
      <c r="M399" s="10">
        <f t="shared" ref="M399" si="71">SUM(N399:T399)</f>
        <v>0</v>
      </c>
      <c r="N399" s="10"/>
      <c r="O399" s="10"/>
      <c r="P399" s="10">
        <v>0</v>
      </c>
      <c r="Q399" s="10"/>
      <c r="R399" s="10"/>
      <c r="S399" s="10"/>
      <c r="T399" s="10"/>
      <c r="U399" s="10"/>
      <c r="V399" s="4" t="s">
        <v>826</v>
      </c>
      <c r="W399" s="4"/>
      <c r="X399" s="8"/>
      <c r="Y399" s="4"/>
      <c r="Z399" s="4"/>
      <c r="AA399" s="8">
        <v>45182</v>
      </c>
      <c r="AB399" s="8">
        <v>45185</v>
      </c>
      <c r="AC399" s="4"/>
      <c r="AD399" s="4"/>
    </row>
    <row r="400" spans="1:30" hidden="1">
      <c r="A400" s="4">
        <v>750</v>
      </c>
      <c r="B400" s="8">
        <v>45166</v>
      </c>
      <c r="C400" s="4"/>
      <c r="D400" s="4" t="s">
        <v>42</v>
      </c>
      <c r="E400" s="8">
        <v>45176</v>
      </c>
      <c r="F400" s="4" t="s">
        <v>43</v>
      </c>
      <c r="G400" s="16" t="s">
        <v>51</v>
      </c>
      <c r="H400" s="4" t="s">
        <v>52</v>
      </c>
      <c r="I400" s="4" t="s">
        <v>432</v>
      </c>
      <c r="J400" s="10">
        <v>0.66</v>
      </c>
      <c r="K400" s="10">
        <v>0.65900000000000003</v>
      </c>
      <c r="L400" s="10">
        <f t="shared" ref="L400" si="72">M400+U400</f>
        <v>0</v>
      </c>
      <c r="M400" s="10">
        <f t="shared" ref="M400" si="73">SUM(N400:T400)</f>
        <v>0</v>
      </c>
      <c r="N400" s="10"/>
      <c r="O400" s="10"/>
      <c r="P400" s="10">
        <v>0</v>
      </c>
      <c r="Q400" s="10"/>
      <c r="R400" s="10"/>
      <c r="S400" s="10"/>
      <c r="T400" s="10"/>
      <c r="U400" s="10"/>
      <c r="V400" s="4" t="s">
        <v>466</v>
      </c>
      <c r="W400" s="4" t="s">
        <v>37</v>
      </c>
      <c r="X400" s="8">
        <v>45165</v>
      </c>
      <c r="Y400" s="4"/>
      <c r="Z400" s="4"/>
      <c r="AA400" s="8"/>
      <c r="AB400" s="8"/>
      <c r="AC400" s="4"/>
      <c r="AD400" s="4"/>
    </row>
    <row r="401" spans="1:30" hidden="1">
      <c r="A401" s="4">
        <v>751</v>
      </c>
      <c r="B401" s="8">
        <v>45164</v>
      </c>
      <c r="C401" s="4"/>
      <c r="D401" s="4" t="s">
        <v>42</v>
      </c>
      <c r="E401" s="8">
        <v>45176</v>
      </c>
      <c r="F401" s="4" t="s">
        <v>43</v>
      </c>
      <c r="G401" s="16" t="s">
        <v>51</v>
      </c>
      <c r="H401" s="4" t="s">
        <v>52</v>
      </c>
      <c r="I401" s="4" t="s">
        <v>432</v>
      </c>
      <c r="J401" s="10">
        <v>3.262</v>
      </c>
      <c r="K401" s="10">
        <v>3.3410000000000002</v>
      </c>
      <c r="L401" s="10">
        <f t="shared" ref="L401" si="74">M401+U401</f>
        <v>0</v>
      </c>
      <c r="M401" s="10">
        <f t="shared" ref="M401" si="75">SUM(N401:T401)</f>
        <v>0</v>
      </c>
      <c r="N401" s="10"/>
      <c r="O401" s="10"/>
      <c r="P401" s="10">
        <v>0</v>
      </c>
      <c r="Q401" s="10"/>
      <c r="R401" s="10"/>
      <c r="S401" s="10"/>
      <c r="T401" s="10"/>
      <c r="U401" s="10"/>
      <c r="V401" s="4" t="s">
        <v>826</v>
      </c>
      <c r="W401" s="4"/>
      <c r="X401" s="8"/>
      <c r="Y401" s="4"/>
      <c r="Z401" s="4"/>
      <c r="AA401" s="8">
        <v>45182</v>
      </c>
      <c r="AB401" s="8">
        <v>45182</v>
      </c>
      <c r="AC401" s="4"/>
      <c r="AD401" s="4"/>
    </row>
    <row r="402" spans="1:30" hidden="1">
      <c r="A402" s="4">
        <v>751</v>
      </c>
      <c r="B402" s="8">
        <v>45164</v>
      </c>
      <c r="C402" s="4"/>
      <c r="D402" s="4" t="s">
        <v>42</v>
      </c>
      <c r="E402" s="8">
        <v>45176</v>
      </c>
      <c r="F402" s="4" t="s">
        <v>43</v>
      </c>
      <c r="G402" s="16" t="s">
        <v>51</v>
      </c>
      <c r="H402" s="4" t="s">
        <v>52</v>
      </c>
      <c r="I402" s="4" t="s">
        <v>671</v>
      </c>
      <c r="J402" s="10">
        <v>13.955</v>
      </c>
      <c r="K402" s="10">
        <v>14.025</v>
      </c>
      <c r="L402" s="10">
        <f t="shared" ref="L402" si="76">M402+U402</f>
        <v>0</v>
      </c>
      <c r="M402" s="10">
        <f t="shared" ref="M402" si="77">SUM(N402:T402)</f>
        <v>0</v>
      </c>
      <c r="N402" s="10"/>
      <c r="O402" s="10"/>
      <c r="P402" s="10">
        <v>0</v>
      </c>
      <c r="Q402" s="10"/>
      <c r="R402" s="10"/>
      <c r="S402" s="10"/>
      <c r="T402" s="10"/>
      <c r="U402" s="10"/>
      <c r="V402" s="4" t="s">
        <v>826</v>
      </c>
      <c r="W402" s="4"/>
      <c r="X402" s="8"/>
      <c r="Y402" s="4"/>
      <c r="Z402" s="4"/>
      <c r="AA402" s="8">
        <v>45182</v>
      </c>
      <c r="AB402" s="8">
        <v>45182</v>
      </c>
      <c r="AC402" s="4"/>
      <c r="AD402" s="4"/>
    </row>
    <row r="403" spans="1:30" hidden="1">
      <c r="A403" s="4">
        <v>766</v>
      </c>
      <c r="B403" s="8">
        <v>45167</v>
      </c>
      <c r="C403" s="4"/>
      <c r="D403" s="4" t="s">
        <v>42</v>
      </c>
      <c r="E403" s="8">
        <v>45199</v>
      </c>
      <c r="F403" s="4" t="s">
        <v>840</v>
      </c>
      <c r="G403" s="16" t="s">
        <v>44</v>
      </c>
      <c r="H403" s="4" t="s">
        <v>45</v>
      </c>
      <c r="I403" s="4" t="s">
        <v>57</v>
      </c>
      <c r="J403" s="10">
        <v>2.1456</v>
      </c>
      <c r="K403" s="10">
        <v>2.1659999999999999</v>
      </c>
      <c r="L403" s="10">
        <f t="shared" ref="L403:L441" si="78">M403+U403</f>
        <v>0</v>
      </c>
      <c r="M403" s="10">
        <f t="shared" ref="M403:M441" si="79">SUM(N403:T403)</f>
        <v>0</v>
      </c>
      <c r="N403" s="10"/>
      <c r="O403" s="10"/>
      <c r="P403" s="10">
        <v>0</v>
      </c>
      <c r="Q403" s="10"/>
      <c r="R403" s="10"/>
      <c r="S403" s="10"/>
      <c r="T403" s="10"/>
      <c r="U403" s="10"/>
      <c r="V403" s="4" t="s">
        <v>841</v>
      </c>
      <c r="W403" s="4"/>
      <c r="X403" s="8">
        <v>45207</v>
      </c>
      <c r="Y403" s="4"/>
      <c r="Z403" s="4"/>
      <c r="AA403" s="8">
        <v>45222</v>
      </c>
      <c r="AB403" s="8">
        <v>45222</v>
      </c>
      <c r="AC403" s="4"/>
      <c r="AD403" s="4"/>
    </row>
    <row r="404" spans="1:30" hidden="1">
      <c r="A404" s="4">
        <v>766</v>
      </c>
      <c r="B404" s="8">
        <v>45167</v>
      </c>
      <c r="C404" s="4" t="s">
        <v>1250</v>
      </c>
      <c r="D404" s="4" t="s">
        <v>1249</v>
      </c>
      <c r="E404" s="8">
        <v>45199</v>
      </c>
      <c r="F404" s="4" t="s">
        <v>840</v>
      </c>
      <c r="G404" s="16" t="s">
        <v>44</v>
      </c>
      <c r="H404" s="4" t="s">
        <v>45</v>
      </c>
      <c r="I404" s="4" t="s">
        <v>54</v>
      </c>
      <c r="J404" s="10">
        <v>84.647919999999999</v>
      </c>
      <c r="K404" s="10">
        <f>20.094+11.668+16.557+4.119+13.641+6.204+10.899+1.433+0.249</f>
        <v>84.864000000000004</v>
      </c>
      <c r="L404" s="10">
        <f t="shared" si="78"/>
        <v>0</v>
      </c>
      <c r="M404" s="10">
        <f t="shared" si="79"/>
        <v>0</v>
      </c>
      <c r="N404" s="10"/>
      <c r="O404" s="10"/>
      <c r="P404" s="10">
        <v>0</v>
      </c>
      <c r="Q404" s="10"/>
      <c r="R404" s="10"/>
      <c r="S404" s="10"/>
      <c r="T404" s="10"/>
      <c r="U404" s="10"/>
      <c r="V404" s="4" t="s">
        <v>841</v>
      </c>
      <c r="W404" s="4" t="s">
        <v>1123</v>
      </c>
      <c r="X404" s="8"/>
      <c r="Y404" s="4"/>
      <c r="Z404" s="4"/>
      <c r="AA404" s="8">
        <v>45210</v>
      </c>
      <c r="AB404" s="8">
        <v>45226</v>
      </c>
      <c r="AC404" s="4"/>
      <c r="AD404" s="4"/>
    </row>
    <row r="405" spans="1:30" hidden="1">
      <c r="A405" s="4">
        <v>766</v>
      </c>
      <c r="B405" s="8">
        <v>45167</v>
      </c>
      <c r="C405" s="4" t="s">
        <v>1250</v>
      </c>
      <c r="D405" s="4" t="s">
        <v>397</v>
      </c>
      <c r="E405" s="8">
        <v>45199</v>
      </c>
      <c r="F405" s="4" t="s">
        <v>840</v>
      </c>
      <c r="G405" s="16" t="s">
        <v>44</v>
      </c>
      <c r="H405" s="4" t="s">
        <v>45</v>
      </c>
      <c r="I405" s="4" t="s">
        <v>56</v>
      </c>
      <c r="J405" s="10">
        <v>70.975246999999996</v>
      </c>
      <c r="K405" s="10">
        <f>27.275+11.405+23.82+8.369+0.169</f>
        <v>71.037999999999997</v>
      </c>
      <c r="L405" s="10">
        <f t="shared" si="78"/>
        <v>0</v>
      </c>
      <c r="M405" s="10">
        <f t="shared" si="79"/>
        <v>0</v>
      </c>
      <c r="N405" s="10"/>
      <c r="O405" s="10"/>
      <c r="P405" s="10">
        <v>0</v>
      </c>
      <c r="Q405" s="10"/>
      <c r="R405" s="10"/>
      <c r="S405" s="10"/>
      <c r="T405" s="10"/>
      <c r="U405" s="10"/>
      <c r="V405" s="4" t="s">
        <v>841</v>
      </c>
      <c r="W405" s="4"/>
      <c r="X405" s="8">
        <v>45206</v>
      </c>
      <c r="Y405" s="4"/>
      <c r="Z405" s="4"/>
      <c r="AA405" s="8">
        <v>45220</v>
      </c>
      <c r="AB405" s="8">
        <v>45227</v>
      </c>
      <c r="AC405" s="4"/>
      <c r="AD405" s="4"/>
    </row>
    <row r="406" spans="1:30" hidden="1">
      <c r="A406" s="4">
        <v>766</v>
      </c>
      <c r="B406" s="8">
        <v>45167</v>
      </c>
      <c r="C406" s="4"/>
      <c r="D406" s="4" t="s">
        <v>42</v>
      </c>
      <c r="E406" s="8">
        <v>45199</v>
      </c>
      <c r="F406" s="4" t="s">
        <v>840</v>
      </c>
      <c r="G406" s="16" t="s">
        <v>44</v>
      </c>
      <c r="H406" s="4" t="s">
        <v>45</v>
      </c>
      <c r="I406" s="4" t="s">
        <v>48</v>
      </c>
      <c r="J406" s="10">
        <v>5.8322000000000003</v>
      </c>
      <c r="K406" s="10">
        <f>3.069+0.853+1.949</f>
        <v>5.8709999999999996</v>
      </c>
      <c r="L406" s="10">
        <f t="shared" si="78"/>
        <v>0</v>
      </c>
      <c r="M406" s="10">
        <f t="shared" si="79"/>
        <v>0</v>
      </c>
      <c r="N406" s="10"/>
      <c r="O406" s="10"/>
      <c r="P406" s="10">
        <v>0</v>
      </c>
      <c r="Q406" s="10"/>
      <c r="R406" s="10"/>
      <c r="S406" s="10"/>
      <c r="T406" s="10"/>
      <c r="U406" s="10"/>
      <c r="V406" s="4" t="s">
        <v>841</v>
      </c>
      <c r="W406" s="4"/>
      <c r="X406" s="8">
        <v>45207</v>
      </c>
      <c r="Y406" s="4"/>
      <c r="Z406" s="4"/>
      <c r="AA406" s="8">
        <v>45222</v>
      </c>
      <c r="AB406" s="8">
        <v>45222</v>
      </c>
      <c r="AC406" s="4"/>
      <c r="AD406" s="4"/>
    </row>
    <row r="407" spans="1:30" hidden="1">
      <c r="A407" s="4">
        <v>766</v>
      </c>
      <c r="B407" s="8">
        <v>45167</v>
      </c>
      <c r="C407" s="4"/>
      <c r="D407" s="4" t="s">
        <v>42</v>
      </c>
      <c r="E407" s="8">
        <v>45199</v>
      </c>
      <c r="F407" s="4" t="s">
        <v>840</v>
      </c>
      <c r="G407" s="16" t="s">
        <v>44</v>
      </c>
      <c r="H407" s="4" t="s">
        <v>45</v>
      </c>
      <c r="I407" s="4" t="s">
        <v>403</v>
      </c>
      <c r="J407" s="10">
        <v>11.36768</v>
      </c>
      <c r="K407" s="10">
        <v>11.381</v>
      </c>
      <c r="L407" s="10">
        <f t="shared" si="78"/>
        <v>0</v>
      </c>
      <c r="M407" s="10">
        <f t="shared" si="79"/>
        <v>0</v>
      </c>
      <c r="N407" s="10"/>
      <c r="O407" s="10"/>
      <c r="P407" s="10">
        <v>0</v>
      </c>
      <c r="Q407" s="10"/>
      <c r="R407" s="10"/>
      <c r="S407" s="10"/>
      <c r="T407" s="10"/>
      <c r="U407" s="10"/>
      <c r="V407" s="4" t="s">
        <v>841</v>
      </c>
      <c r="W407" s="4"/>
      <c r="X407" s="8"/>
      <c r="Y407" s="4"/>
      <c r="Z407" s="4"/>
      <c r="AA407" s="8"/>
      <c r="AB407" s="8">
        <v>45190</v>
      </c>
      <c r="AC407" s="4"/>
      <c r="AD407" s="4"/>
    </row>
    <row r="408" spans="1:30" hidden="1">
      <c r="A408" s="4">
        <v>766</v>
      </c>
      <c r="B408" s="8">
        <v>45167</v>
      </c>
      <c r="C408" s="4"/>
      <c r="D408" s="4" t="s">
        <v>42</v>
      </c>
      <c r="E408" s="8">
        <v>45199</v>
      </c>
      <c r="F408" s="4" t="s">
        <v>840</v>
      </c>
      <c r="G408" s="16" t="s">
        <v>44</v>
      </c>
      <c r="H408" s="4" t="s">
        <v>45</v>
      </c>
      <c r="I408" s="4" t="s">
        <v>405</v>
      </c>
      <c r="J408" s="10">
        <v>6.5994000000000002</v>
      </c>
      <c r="K408" s="10">
        <v>6.5990000000000002</v>
      </c>
      <c r="L408" s="10">
        <f t="shared" si="78"/>
        <v>0</v>
      </c>
      <c r="M408" s="10">
        <f t="shared" si="79"/>
        <v>0</v>
      </c>
      <c r="N408" s="10"/>
      <c r="O408" s="10"/>
      <c r="P408" s="10">
        <v>0</v>
      </c>
      <c r="Q408" s="10"/>
      <c r="R408" s="10"/>
      <c r="S408" s="10"/>
      <c r="T408" s="10"/>
      <c r="U408" s="10"/>
      <c r="V408" s="4" t="s">
        <v>841</v>
      </c>
      <c r="W408" s="4"/>
      <c r="X408" s="8">
        <v>45172</v>
      </c>
      <c r="Y408" s="4"/>
      <c r="Z408" s="4"/>
      <c r="AA408" s="8">
        <v>45188</v>
      </c>
      <c r="AB408" s="8">
        <v>45188</v>
      </c>
      <c r="AC408" s="4"/>
      <c r="AD408" s="4"/>
    </row>
    <row r="409" spans="1:30" hidden="1">
      <c r="A409" s="4">
        <v>766</v>
      </c>
      <c r="B409" s="8">
        <v>45167</v>
      </c>
      <c r="C409" s="4"/>
      <c r="D409" s="4" t="s">
        <v>42</v>
      </c>
      <c r="E409" s="8">
        <v>45199</v>
      </c>
      <c r="F409" s="4" t="s">
        <v>840</v>
      </c>
      <c r="G409" s="16" t="s">
        <v>44</v>
      </c>
      <c r="H409" s="4" t="s">
        <v>45</v>
      </c>
      <c r="I409" s="4" t="s">
        <v>400</v>
      </c>
      <c r="J409" s="10">
        <v>15.538830000000001</v>
      </c>
      <c r="K409" s="10">
        <f>3.396+0.549+11.693</f>
        <v>15.638</v>
      </c>
      <c r="L409" s="10">
        <f t="shared" si="78"/>
        <v>0</v>
      </c>
      <c r="M409" s="10">
        <f t="shared" si="79"/>
        <v>0</v>
      </c>
      <c r="N409" s="10"/>
      <c r="O409" s="10"/>
      <c r="P409" s="10">
        <v>0</v>
      </c>
      <c r="Q409" s="10"/>
      <c r="R409" s="10"/>
      <c r="S409" s="10"/>
      <c r="T409" s="10"/>
      <c r="U409" s="10"/>
      <c r="V409" s="4" t="s">
        <v>841</v>
      </c>
      <c r="W409" s="4"/>
      <c r="X409" s="8">
        <v>45204</v>
      </c>
      <c r="Y409" s="4"/>
      <c r="Z409" s="4"/>
      <c r="AA409" s="8"/>
      <c r="AB409" s="8"/>
      <c r="AC409" s="4"/>
      <c r="AD409" s="4"/>
    </row>
    <row r="410" spans="1:30" hidden="1">
      <c r="A410" s="4">
        <v>766</v>
      </c>
      <c r="B410" s="8">
        <v>45167</v>
      </c>
      <c r="C410" s="4"/>
      <c r="D410" s="4" t="s">
        <v>42</v>
      </c>
      <c r="E410" s="8">
        <v>45199</v>
      </c>
      <c r="F410" s="4" t="s">
        <v>840</v>
      </c>
      <c r="G410" s="16" t="s">
        <v>44</v>
      </c>
      <c r="H410" s="4" t="s">
        <v>45</v>
      </c>
      <c r="I410" s="4" t="s">
        <v>46</v>
      </c>
      <c r="J410" s="10">
        <v>38.1096</v>
      </c>
      <c r="K410" s="10">
        <f>18.974+2.546+15.919+0.67</f>
        <v>38.109000000000002</v>
      </c>
      <c r="L410" s="10">
        <f t="shared" si="78"/>
        <v>0</v>
      </c>
      <c r="M410" s="10">
        <f t="shared" si="79"/>
        <v>0</v>
      </c>
      <c r="N410" s="10"/>
      <c r="O410" s="10"/>
      <c r="P410" s="10">
        <v>0</v>
      </c>
      <c r="Q410" s="10"/>
      <c r="R410" s="10"/>
      <c r="S410" s="10"/>
      <c r="T410" s="10"/>
      <c r="U410" s="10"/>
      <c r="V410" s="4" t="s">
        <v>841</v>
      </c>
      <c r="W410" s="4"/>
      <c r="X410" s="8">
        <v>45204</v>
      </c>
      <c r="Y410" s="4"/>
      <c r="Z410" s="4"/>
      <c r="AA410" s="8">
        <v>45218</v>
      </c>
      <c r="AB410" s="8"/>
      <c r="AC410" s="4"/>
      <c r="AD410" s="4"/>
    </row>
    <row r="411" spans="1:30" hidden="1">
      <c r="A411" s="4">
        <v>766</v>
      </c>
      <c r="B411" s="8">
        <v>45167</v>
      </c>
      <c r="C411" s="4"/>
      <c r="D411" s="4" t="s">
        <v>42</v>
      </c>
      <c r="E411" s="8">
        <v>45199</v>
      </c>
      <c r="F411" s="4" t="s">
        <v>840</v>
      </c>
      <c r="G411" s="16" t="s">
        <v>44</v>
      </c>
      <c r="H411" s="4" t="s">
        <v>45</v>
      </c>
      <c r="I411" s="4" t="s">
        <v>407</v>
      </c>
      <c r="J411" s="10">
        <v>19.213052000000005</v>
      </c>
      <c r="K411" s="10">
        <v>12.515000000000001</v>
      </c>
      <c r="L411" s="10">
        <f t="shared" si="78"/>
        <v>0</v>
      </c>
      <c r="M411" s="10">
        <f t="shared" si="79"/>
        <v>0</v>
      </c>
      <c r="N411" s="10"/>
      <c r="O411" s="10"/>
      <c r="P411" s="10">
        <v>0</v>
      </c>
      <c r="Q411" s="10"/>
      <c r="R411" s="10"/>
      <c r="S411" s="10"/>
      <c r="T411" s="10"/>
      <c r="U411" s="10"/>
      <c r="V411" s="4" t="s">
        <v>841</v>
      </c>
      <c r="W411" s="4"/>
      <c r="X411" s="8">
        <v>45181</v>
      </c>
      <c r="Y411" s="4"/>
      <c r="Z411" s="4"/>
      <c r="AA411" s="8">
        <v>45206</v>
      </c>
      <c r="AB411" s="8">
        <v>45206</v>
      </c>
      <c r="AC411" s="4"/>
      <c r="AD411" s="4"/>
    </row>
    <row r="412" spans="1:30" hidden="1">
      <c r="A412" s="4">
        <v>766</v>
      </c>
      <c r="B412" s="8">
        <v>45167</v>
      </c>
      <c r="C412" s="4"/>
      <c r="D412" s="4" t="s">
        <v>42</v>
      </c>
      <c r="E412" s="8">
        <v>45199</v>
      </c>
      <c r="F412" s="4" t="s">
        <v>840</v>
      </c>
      <c r="G412" s="16" t="s">
        <v>44</v>
      </c>
      <c r="H412" s="4" t="s">
        <v>45</v>
      </c>
      <c r="I412" s="4" t="s">
        <v>761</v>
      </c>
      <c r="J412" s="10">
        <v>31.109400000000001</v>
      </c>
      <c r="K412" s="10">
        <f>30.091+1.114</f>
        <v>31.205000000000002</v>
      </c>
      <c r="L412" s="10">
        <f t="shared" si="78"/>
        <v>0</v>
      </c>
      <c r="M412" s="10">
        <f t="shared" si="79"/>
        <v>0</v>
      </c>
      <c r="N412" s="10"/>
      <c r="O412" s="10"/>
      <c r="P412" s="10">
        <v>0</v>
      </c>
      <c r="Q412" s="10"/>
      <c r="R412" s="10"/>
      <c r="S412" s="10"/>
      <c r="T412" s="10"/>
      <c r="U412" s="10"/>
      <c r="V412" s="4" t="s">
        <v>841</v>
      </c>
      <c r="W412" s="4"/>
      <c r="X412" s="8">
        <v>45194</v>
      </c>
      <c r="Y412" s="4"/>
      <c r="Z412" s="4"/>
      <c r="AA412" s="8">
        <v>45210</v>
      </c>
      <c r="AB412" s="8">
        <v>45215</v>
      </c>
      <c r="AC412" s="4"/>
      <c r="AD412" s="4"/>
    </row>
    <row r="413" spans="1:30" hidden="1">
      <c r="A413" s="4">
        <v>766</v>
      </c>
      <c r="B413" s="8">
        <v>45167</v>
      </c>
      <c r="C413" s="4"/>
      <c r="D413" s="4" t="s">
        <v>42</v>
      </c>
      <c r="E413" s="8">
        <v>45199</v>
      </c>
      <c r="F413" s="4" t="s">
        <v>840</v>
      </c>
      <c r="G413" s="16" t="s">
        <v>44</v>
      </c>
      <c r="H413" s="4" t="s">
        <v>45</v>
      </c>
      <c r="I413" s="4" t="s">
        <v>517</v>
      </c>
      <c r="J413" s="10">
        <v>16.191165000000002</v>
      </c>
      <c r="K413" s="10">
        <v>16.38</v>
      </c>
      <c r="L413" s="10">
        <f t="shared" si="78"/>
        <v>0</v>
      </c>
      <c r="M413" s="10">
        <f t="shared" si="79"/>
        <v>0</v>
      </c>
      <c r="N413" s="10"/>
      <c r="O413" s="10"/>
      <c r="P413" s="10">
        <v>0</v>
      </c>
      <c r="Q413" s="10"/>
      <c r="R413" s="10"/>
      <c r="S413" s="10"/>
      <c r="T413" s="10"/>
      <c r="U413" s="10"/>
      <c r="V413" s="4" t="s">
        <v>841</v>
      </c>
      <c r="W413" s="4"/>
      <c r="X413" s="8">
        <v>45194</v>
      </c>
      <c r="Y413" s="4"/>
      <c r="Z413" s="4"/>
      <c r="AA413" s="8">
        <v>45210</v>
      </c>
      <c r="AB413" s="8">
        <v>45210</v>
      </c>
      <c r="AC413" s="4"/>
      <c r="AD413" s="4"/>
    </row>
    <row r="414" spans="1:30" hidden="1">
      <c r="A414" s="4">
        <v>766</v>
      </c>
      <c r="B414" s="8">
        <v>45167</v>
      </c>
      <c r="C414" s="4"/>
      <c r="D414" s="4" t="s">
        <v>42</v>
      </c>
      <c r="E414" s="8">
        <v>45199</v>
      </c>
      <c r="F414" s="4" t="s">
        <v>840</v>
      </c>
      <c r="G414" s="16" t="s">
        <v>44</v>
      </c>
      <c r="H414" s="4" t="s">
        <v>45</v>
      </c>
      <c r="I414" s="4" t="s">
        <v>579</v>
      </c>
      <c r="J414" s="10">
        <v>10.718720000000001</v>
      </c>
      <c r="K414" s="10">
        <v>10.718999999999999</v>
      </c>
      <c r="L414" s="10">
        <f t="shared" si="78"/>
        <v>0</v>
      </c>
      <c r="M414" s="10">
        <f t="shared" si="79"/>
        <v>0</v>
      </c>
      <c r="N414" s="10"/>
      <c r="O414" s="10"/>
      <c r="P414" s="10">
        <v>0</v>
      </c>
      <c r="Q414" s="10"/>
      <c r="R414" s="10"/>
      <c r="S414" s="10"/>
      <c r="T414" s="10"/>
      <c r="U414" s="10"/>
      <c r="V414" s="4" t="s">
        <v>841</v>
      </c>
      <c r="W414" s="4"/>
      <c r="X414" s="8">
        <v>45195</v>
      </c>
      <c r="Y414" s="4"/>
      <c r="Z414" s="4"/>
      <c r="AA414" s="8">
        <v>45210</v>
      </c>
      <c r="AB414" s="8">
        <v>45210</v>
      </c>
      <c r="AC414" s="4"/>
      <c r="AD414" s="4"/>
    </row>
    <row r="415" spans="1:30" hidden="1">
      <c r="A415" s="4">
        <v>766</v>
      </c>
      <c r="B415" s="8">
        <v>45167</v>
      </c>
      <c r="C415" s="4"/>
      <c r="D415" s="4" t="s">
        <v>42</v>
      </c>
      <c r="E415" s="8">
        <v>45199</v>
      </c>
      <c r="F415" s="4" t="s">
        <v>840</v>
      </c>
      <c r="G415" s="16" t="s">
        <v>44</v>
      </c>
      <c r="H415" s="4" t="s">
        <v>45</v>
      </c>
      <c r="I415" s="4" t="s">
        <v>448</v>
      </c>
      <c r="J415" s="10">
        <v>5.9825999999999997</v>
      </c>
      <c r="K415" s="10">
        <v>5.9850000000000003</v>
      </c>
      <c r="L415" s="10">
        <f t="shared" si="78"/>
        <v>0</v>
      </c>
      <c r="M415" s="10">
        <f t="shared" si="79"/>
        <v>0</v>
      </c>
      <c r="N415" s="10"/>
      <c r="O415" s="10"/>
      <c r="P415" s="10">
        <v>0</v>
      </c>
      <c r="Q415" s="10"/>
      <c r="R415" s="10"/>
      <c r="S415" s="10"/>
      <c r="T415" s="10"/>
      <c r="U415" s="10"/>
      <c r="V415" s="4" t="s">
        <v>841</v>
      </c>
      <c r="W415" s="4"/>
      <c r="X415" s="8">
        <v>45195</v>
      </c>
      <c r="Y415" s="4"/>
      <c r="Z415" s="4"/>
      <c r="AA415" s="8"/>
      <c r="AB415" s="8">
        <v>45227</v>
      </c>
      <c r="AC415" s="4"/>
      <c r="AD415" s="4"/>
    </row>
    <row r="416" spans="1:30" hidden="1">
      <c r="A416" s="4">
        <v>766</v>
      </c>
      <c r="B416" s="8">
        <v>45167</v>
      </c>
      <c r="C416" s="4"/>
      <c r="D416" s="4" t="s">
        <v>42</v>
      </c>
      <c r="E416" s="8">
        <v>45199</v>
      </c>
      <c r="F416" s="4" t="s">
        <v>840</v>
      </c>
      <c r="G416" s="16" t="s">
        <v>44</v>
      </c>
      <c r="H416" s="4" t="s">
        <v>45</v>
      </c>
      <c r="I416" s="4" t="s">
        <v>449</v>
      </c>
      <c r="J416" s="10">
        <v>7.6433000000000009</v>
      </c>
      <c r="K416" s="10">
        <v>7.6509999999999998</v>
      </c>
      <c r="L416" s="10">
        <f t="shared" si="78"/>
        <v>0</v>
      </c>
      <c r="M416" s="10">
        <f t="shared" si="79"/>
        <v>0</v>
      </c>
      <c r="N416" s="10"/>
      <c r="O416" s="10"/>
      <c r="P416" s="10">
        <v>0</v>
      </c>
      <c r="Q416" s="10"/>
      <c r="R416" s="10"/>
      <c r="S416" s="10"/>
      <c r="T416" s="10"/>
      <c r="U416" s="10"/>
      <c r="V416" s="4" t="s">
        <v>841</v>
      </c>
      <c r="W416" s="4"/>
      <c r="X416" s="8">
        <v>45195</v>
      </c>
      <c r="Y416" s="4"/>
      <c r="Z416" s="4"/>
      <c r="AA416" s="8">
        <v>45210</v>
      </c>
      <c r="AB416" s="8">
        <v>45210</v>
      </c>
      <c r="AC416" s="4"/>
      <c r="AD416" s="4"/>
    </row>
    <row r="417" spans="1:30" hidden="1">
      <c r="A417" s="4">
        <v>766</v>
      </c>
      <c r="B417" s="8">
        <v>45167</v>
      </c>
      <c r="C417" s="4"/>
      <c r="D417" s="4" t="s">
        <v>42</v>
      </c>
      <c r="E417" s="8">
        <v>45199</v>
      </c>
      <c r="F417" s="4" t="s">
        <v>840</v>
      </c>
      <c r="G417" s="16" t="s">
        <v>44</v>
      </c>
      <c r="H417" s="4" t="s">
        <v>45</v>
      </c>
      <c r="I417" s="4" t="s">
        <v>447</v>
      </c>
      <c r="J417" s="10">
        <v>6.473268</v>
      </c>
      <c r="K417" s="10">
        <v>6.4630000000000001</v>
      </c>
      <c r="L417" s="10">
        <f t="shared" si="78"/>
        <v>0</v>
      </c>
      <c r="M417" s="10">
        <f t="shared" si="79"/>
        <v>0</v>
      </c>
      <c r="N417" s="10"/>
      <c r="O417" s="10"/>
      <c r="P417" s="10">
        <v>0</v>
      </c>
      <c r="Q417" s="10"/>
      <c r="R417" s="10"/>
      <c r="S417" s="10"/>
      <c r="T417" s="10"/>
      <c r="U417" s="10"/>
      <c r="V417" s="4" t="s">
        <v>841</v>
      </c>
      <c r="W417" s="4"/>
      <c r="X417" s="8">
        <v>45195</v>
      </c>
      <c r="Y417" s="4"/>
      <c r="Z417" s="4"/>
      <c r="AA417" s="8">
        <v>45210</v>
      </c>
      <c r="AB417" s="8">
        <v>45210</v>
      </c>
      <c r="AC417" s="4"/>
      <c r="AD417" s="4"/>
    </row>
    <row r="418" spans="1:30" hidden="1">
      <c r="A418" s="4">
        <v>766</v>
      </c>
      <c r="B418" s="8">
        <v>45167</v>
      </c>
      <c r="C418" s="4"/>
      <c r="D418" s="4" t="s">
        <v>42</v>
      </c>
      <c r="E418" s="8">
        <v>45199</v>
      </c>
      <c r="F418" s="4" t="s">
        <v>840</v>
      </c>
      <c r="G418" s="16" t="s">
        <v>44</v>
      </c>
      <c r="H418" s="4" t="s">
        <v>45</v>
      </c>
      <c r="I418" s="4" t="s">
        <v>518</v>
      </c>
      <c r="J418" s="10">
        <v>15.393224999999999</v>
      </c>
      <c r="K418" s="10">
        <f>14.233+0.766+0.92</f>
        <v>15.919</v>
      </c>
      <c r="L418" s="10">
        <f t="shared" si="78"/>
        <v>0</v>
      </c>
      <c r="M418" s="10">
        <f t="shared" si="79"/>
        <v>0</v>
      </c>
      <c r="N418" s="10"/>
      <c r="O418" s="10"/>
      <c r="P418" s="10">
        <v>0</v>
      </c>
      <c r="Q418" s="10"/>
      <c r="R418" s="10"/>
      <c r="S418" s="10"/>
      <c r="T418" s="10"/>
      <c r="U418" s="10"/>
      <c r="V418" s="4" t="s">
        <v>841</v>
      </c>
      <c r="W418" s="4"/>
      <c r="X418" s="8">
        <v>45195</v>
      </c>
      <c r="Y418" s="4"/>
      <c r="Z418" s="4"/>
      <c r="AA418" s="8">
        <v>45210</v>
      </c>
      <c r="AB418" s="8">
        <v>45215</v>
      </c>
      <c r="AC418" s="4"/>
      <c r="AD418" s="4"/>
    </row>
    <row r="419" spans="1:30" hidden="1">
      <c r="A419" s="4">
        <v>766</v>
      </c>
      <c r="B419" s="8">
        <v>45167</v>
      </c>
      <c r="C419" s="4"/>
      <c r="D419" s="4" t="s">
        <v>42</v>
      </c>
      <c r="E419" s="8">
        <v>45199</v>
      </c>
      <c r="F419" s="4" t="s">
        <v>840</v>
      </c>
      <c r="G419" s="16" t="s">
        <v>44</v>
      </c>
      <c r="H419" s="4" t="s">
        <v>45</v>
      </c>
      <c r="I419" s="4" t="s">
        <v>435</v>
      </c>
      <c r="J419" s="10">
        <v>11.109120000000001</v>
      </c>
      <c r="K419" s="10">
        <f>0.115+2.574+8.442</f>
        <v>11.131</v>
      </c>
      <c r="L419" s="10">
        <f t="shared" si="78"/>
        <v>0</v>
      </c>
      <c r="M419" s="10">
        <f t="shared" si="79"/>
        <v>0</v>
      </c>
      <c r="N419" s="10"/>
      <c r="O419" s="10"/>
      <c r="P419" s="10">
        <v>0</v>
      </c>
      <c r="Q419" s="10"/>
      <c r="R419" s="10"/>
      <c r="S419" s="10"/>
      <c r="T419" s="10"/>
      <c r="U419" s="10"/>
      <c r="V419" s="4" t="s">
        <v>841</v>
      </c>
      <c r="W419" s="4"/>
      <c r="X419" s="8"/>
      <c r="Y419" s="4"/>
      <c r="Z419" s="4"/>
      <c r="AA419" s="8"/>
      <c r="AB419" s="8"/>
      <c r="AC419" s="4"/>
      <c r="AD419" s="4"/>
    </row>
    <row r="420" spans="1:30" hidden="1">
      <c r="A420" s="4">
        <v>766</v>
      </c>
      <c r="B420" s="8">
        <v>45167</v>
      </c>
      <c r="C420" s="4"/>
      <c r="D420" s="4" t="s">
        <v>42</v>
      </c>
      <c r="E420" s="8">
        <v>45199</v>
      </c>
      <c r="F420" s="4" t="s">
        <v>840</v>
      </c>
      <c r="G420" s="16" t="s">
        <v>44</v>
      </c>
      <c r="H420" s="4" t="s">
        <v>45</v>
      </c>
      <c r="I420" s="4" t="s">
        <v>432</v>
      </c>
      <c r="J420" s="10">
        <v>3.7536</v>
      </c>
      <c r="K420" s="10">
        <v>3.7869999999999999</v>
      </c>
      <c r="L420" s="10">
        <f t="shared" si="78"/>
        <v>0</v>
      </c>
      <c r="M420" s="10">
        <f t="shared" si="79"/>
        <v>0</v>
      </c>
      <c r="N420" s="10"/>
      <c r="O420" s="10"/>
      <c r="P420" s="10">
        <v>0</v>
      </c>
      <c r="Q420" s="10"/>
      <c r="R420" s="10"/>
      <c r="S420" s="10"/>
      <c r="T420" s="10"/>
      <c r="U420" s="10"/>
      <c r="V420" s="4" t="s">
        <v>841</v>
      </c>
      <c r="W420" s="4"/>
      <c r="X420" s="8"/>
      <c r="Y420" s="4"/>
      <c r="Z420" s="4"/>
      <c r="AA420" s="8"/>
      <c r="AB420" s="8"/>
      <c r="AC420" s="4"/>
      <c r="AD420" s="4"/>
    </row>
    <row r="421" spans="1:30" hidden="1">
      <c r="A421" s="4">
        <v>766</v>
      </c>
      <c r="B421" s="8">
        <v>45167</v>
      </c>
      <c r="C421" s="4"/>
      <c r="D421" s="4" t="s">
        <v>42</v>
      </c>
      <c r="E421" s="8">
        <v>45199</v>
      </c>
      <c r="F421" s="4" t="s">
        <v>840</v>
      </c>
      <c r="G421" s="16" t="s">
        <v>44</v>
      </c>
      <c r="H421" s="4" t="s">
        <v>45</v>
      </c>
      <c r="I421" s="4" t="s">
        <v>474</v>
      </c>
      <c r="J421" s="10">
        <v>9.1192600000000006</v>
      </c>
      <c r="K421" s="10">
        <v>9.1189999999999998</v>
      </c>
      <c r="L421" s="10">
        <f t="shared" si="78"/>
        <v>0</v>
      </c>
      <c r="M421" s="10">
        <f t="shared" si="79"/>
        <v>0</v>
      </c>
      <c r="N421" s="10"/>
      <c r="O421" s="10"/>
      <c r="P421" s="10">
        <v>0</v>
      </c>
      <c r="Q421" s="10"/>
      <c r="R421" s="10"/>
      <c r="S421" s="10"/>
      <c r="T421" s="10"/>
      <c r="U421" s="10"/>
      <c r="V421" s="4" t="s">
        <v>841</v>
      </c>
      <c r="W421" s="4"/>
      <c r="X421" s="8"/>
      <c r="Y421" s="4"/>
      <c r="Z421" s="4"/>
      <c r="AA421" s="8">
        <v>45206</v>
      </c>
      <c r="AB421" s="8">
        <v>45206</v>
      </c>
      <c r="AC421" s="4"/>
      <c r="AD421" s="4"/>
    </row>
    <row r="422" spans="1:30" hidden="1">
      <c r="A422" s="4">
        <v>766</v>
      </c>
      <c r="B422" s="8">
        <v>45167</v>
      </c>
      <c r="C422" s="4"/>
      <c r="D422" s="4" t="s">
        <v>42</v>
      </c>
      <c r="E422" s="8">
        <v>45199</v>
      </c>
      <c r="F422" s="4" t="s">
        <v>840</v>
      </c>
      <c r="G422" s="16" t="s">
        <v>44</v>
      </c>
      <c r="H422" s="4" t="s">
        <v>45</v>
      </c>
      <c r="I422" s="4" t="s">
        <v>434</v>
      </c>
      <c r="J422" s="10">
        <v>4.1986499999999998</v>
      </c>
      <c r="K422" s="10">
        <v>4.22</v>
      </c>
      <c r="L422" s="10">
        <f t="shared" si="78"/>
        <v>0</v>
      </c>
      <c r="M422" s="10">
        <f t="shared" si="79"/>
        <v>0</v>
      </c>
      <c r="N422" s="10"/>
      <c r="O422" s="10"/>
      <c r="P422" s="10">
        <v>0</v>
      </c>
      <c r="Q422" s="10"/>
      <c r="R422" s="10"/>
      <c r="S422" s="10"/>
      <c r="T422" s="10"/>
      <c r="U422" s="10"/>
      <c r="V422" s="4" t="s">
        <v>841</v>
      </c>
      <c r="W422" s="4"/>
      <c r="X422" s="8"/>
      <c r="Y422" s="4"/>
      <c r="Z422" s="4"/>
      <c r="AA422" s="8">
        <v>45206</v>
      </c>
      <c r="AB422" s="8">
        <v>45206</v>
      </c>
      <c r="AC422" s="4"/>
      <c r="AD422" s="4"/>
    </row>
    <row r="423" spans="1:30" hidden="1">
      <c r="A423" s="4">
        <v>766</v>
      </c>
      <c r="B423" s="8">
        <v>45167</v>
      </c>
      <c r="C423" s="4"/>
      <c r="D423" s="4" t="s">
        <v>42</v>
      </c>
      <c r="E423" s="8">
        <v>45199</v>
      </c>
      <c r="F423" s="4" t="s">
        <v>840</v>
      </c>
      <c r="G423" s="16" t="s">
        <v>44</v>
      </c>
      <c r="H423" s="4" t="s">
        <v>45</v>
      </c>
      <c r="I423" s="4" t="s">
        <v>577</v>
      </c>
      <c r="J423" s="10">
        <v>46.91507060606061</v>
      </c>
      <c r="K423" s="10">
        <f>32.658+8.936+1.404+1.917+2.009</f>
        <v>46.924000000000007</v>
      </c>
      <c r="L423" s="10">
        <f t="shared" si="78"/>
        <v>0</v>
      </c>
      <c r="M423" s="10">
        <f t="shared" si="79"/>
        <v>0</v>
      </c>
      <c r="N423" s="10"/>
      <c r="O423" s="10"/>
      <c r="P423" s="10">
        <v>0</v>
      </c>
      <c r="Q423" s="10">
        <v>0</v>
      </c>
      <c r="R423" s="10"/>
      <c r="S423" s="10"/>
      <c r="T423" s="10"/>
      <c r="U423" s="10"/>
      <c r="V423" s="4" t="s">
        <v>841</v>
      </c>
      <c r="W423" s="4" t="s">
        <v>1244</v>
      </c>
      <c r="X423" s="8">
        <v>45201</v>
      </c>
      <c r="Y423" s="4"/>
      <c r="Z423" s="4"/>
      <c r="AA423" s="8">
        <v>45218</v>
      </c>
      <c r="AB423" s="8">
        <v>45226</v>
      </c>
      <c r="AC423" s="4"/>
      <c r="AD423" s="4"/>
    </row>
    <row r="424" spans="1:30" hidden="1">
      <c r="A424" s="4">
        <v>766</v>
      </c>
      <c r="B424" s="8">
        <v>45167</v>
      </c>
      <c r="C424" s="4"/>
      <c r="D424" s="4" t="s">
        <v>42</v>
      </c>
      <c r="E424" s="8">
        <v>45199</v>
      </c>
      <c r="F424" s="4" t="s">
        <v>840</v>
      </c>
      <c r="G424" s="16" t="s">
        <v>44</v>
      </c>
      <c r="H424" s="4" t="s">
        <v>45</v>
      </c>
      <c r="I424" s="4" t="s">
        <v>89</v>
      </c>
      <c r="J424" s="10">
        <v>83.760159999999999</v>
      </c>
      <c r="K424" s="10">
        <f>30.635+23.253+2.059+11.282+4.992+6.439+1.717+3.437</f>
        <v>83.813999999999993</v>
      </c>
      <c r="L424" s="10">
        <f t="shared" si="78"/>
        <v>0</v>
      </c>
      <c r="M424" s="10">
        <f t="shared" si="79"/>
        <v>0</v>
      </c>
      <c r="N424" s="10"/>
      <c r="O424" s="10"/>
      <c r="P424" s="10">
        <v>0</v>
      </c>
      <c r="Q424" s="10"/>
      <c r="R424" s="10"/>
      <c r="S424" s="10"/>
      <c r="T424" s="10"/>
      <c r="U424" s="10"/>
      <c r="V424" s="4" t="s">
        <v>841</v>
      </c>
      <c r="W424" s="4"/>
      <c r="X424" s="8">
        <v>45201</v>
      </c>
      <c r="Y424" s="4"/>
      <c r="Z424" s="4"/>
      <c r="AA424" s="8">
        <v>45218</v>
      </c>
      <c r="AB424" s="8">
        <v>45226</v>
      </c>
      <c r="AC424" s="4"/>
      <c r="AD424" s="4"/>
    </row>
    <row r="425" spans="1:30" hidden="1">
      <c r="A425" s="4">
        <v>766</v>
      </c>
      <c r="B425" s="8">
        <v>45167</v>
      </c>
      <c r="C425" s="4"/>
      <c r="D425" s="4" t="s">
        <v>42</v>
      </c>
      <c r="E425" s="8">
        <v>45199</v>
      </c>
      <c r="F425" s="4" t="s">
        <v>840</v>
      </c>
      <c r="G425" s="16" t="s">
        <v>44</v>
      </c>
      <c r="H425" s="4" t="s">
        <v>45</v>
      </c>
      <c r="I425" s="4" t="s">
        <v>87</v>
      </c>
      <c r="J425" s="10">
        <v>3.8207999999999998</v>
      </c>
      <c r="K425" s="10">
        <v>3.8239999999999998</v>
      </c>
      <c r="L425" s="10">
        <f t="shared" si="78"/>
        <v>0</v>
      </c>
      <c r="M425" s="10">
        <f t="shared" si="79"/>
        <v>0</v>
      </c>
      <c r="N425" s="10"/>
      <c r="O425" s="10"/>
      <c r="P425" s="10">
        <v>0</v>
      </c>
      <c r="Q425" s="10"/>
      <c r="R425" s="10"/>
      <c r="S425" s="10"/>
      <c r="T425" s="10"/>
      <c r="U425" s="10"/>
      <c r="V425" s="4" t="s">
        <v>841</v>
      </c>
      <c r="W425" s="4"/>
      <c r="X425" s="8"/>
      <c r="Y425" s="4"/>
      <c r="Z425" s="4"/>
      <c r="AA425" s="8"/>
      <c r="AB425" s="8"/>
      <c r="AC425" s="4"/>
      <c r="AD425" s="4"/>
    </row>
    <row r="426" spans="1:30" hidden="1">
      <c r="A426" s="4">
        <v>766</v>
      </c>
      <c r="B426" s="8">
        <v>45167</v>
      </c>
      <c r="C426" s="4"/>
      <c r="D426" s="4" t="s">
        <v>42</v>
      </c>
      <c r="E426" s="8">
        <v>45199</v>
      </c>
      <c r="F426" s="4" t="s">
        <v>840</v>
      </c>
      <c r="G426" s="16" t="s">
        <v>51</v>
      </c>
      <c r="H426" s="4" t="s">
        <v>52</v>
      </c>
      <c r="I426" s="4" t="s">
        <v>54</v>
      </c>
      <c r="J426" s="10">
        <v>24.982599999999998</v>
      </c>
      <c r="K426" s="10">
        <f>3.791+18.015+3.611</f>
        <v>25.417000000000002</v>
      </c>
      <c r="L426" s="10">
        <f t="shared" si="78"/>
        <v>0</v>
      </c>
      <c r="M426" s="10">
        <f t="shared" si="79"/>
        <v>0</v>
      </c>
      <c r="N426" s="10"/>
      <c r="O426" s="10"/>
      <c r="P426" s="10">
        <v>0</v>
      </c>
      <c r="Q426" s="10"/>
      <c r="R426" s="10"/>
      <c r="S426" s="10"/>
      <c r="T426" s="10"/>
      <c r="U426" s="10"/>
      <c r="V426" s="4" t="s">
        <v>841</v>
      </c>
      <c r="W426" s="4"/>
      <c r="X426" s="8">
        <v>45207</v>
      </c>
      <c r="Y426" s="4"/>
      <c r="Z426" s="4"/>
      <c r="AA426" s="8">
        <v>45210</v>
      </c>
      <c r="AB426" s="8">
        <v>45210</v>
      </c>
      <c r="AC426" s="4"/>
      <c r="AD426" s="4"/>
    </row>
    <row r="427" spans="1:30" hidden="1">
      <c r="A427" s="4">
        <v>766</v>
      </c>
      <c r="B427" s="8">
        <v>45167</v>
      </c>
      <c r="C427" s="4"/>
      <c r="D427" s="4" t="s">
        <v>42</v>
      </c>
      <c r="E427" s="8">
        <v>45199</v>
      </c>
      <c r="F427" s="4" t="s">
        <v>840</v>
      </c>
      <c r="G427" s="16" t="s">
        <v>51</v>
      </c>
      <c r="H427" s="4" t="s">
        <v>52</v>
      </c>
      <c r="I427" s="4" t="s">
        <v>56</v>
      </c>
      <c r="J427" s="10">
        <v>14.006300000000001</v>
      </c>
      <c r="K427" s="10">
        <v>14.045</v>
      </c>
      <c r="L427" s="10">
        <f t="shared" si="78"/>
        <v>0</v>
      </c>
      <c r="M427" s="10">
        <f t="shared" si="79"/>
        <v>0</v>
      </c>
      <c r="N427" s="10"/>
      <c r="O427" s="10"/>
      <c r="P427" s="10">
        <v>0</v>
      </c>
      <c r="Q427" s="10"/>
      <c r="R427" s="10"/>
      <c r="S427" s="10"/>
      <c r="T427" s="10"/>
      <c r="U427" s="10"/>
      <c r="V427" s="4" t="s">
        <v>841</v>
      </c>
      <c r="W427" s="4"/>
      <c r="X427" s="8">
        <v>45207</v>
      </c>
      <c r="Y427" s="4"/>
      <c r="Z427" s="4"/>
      <c r="AA427" s="8"/>
      <c r="AB427" s="8"/>
      <c r="AC427" s="4"/>
      <c r="AD427" s="4"/>
    </row>
    <row r="428" spans="1:30" hidden="1">
      <c r="A428" s="4">
        <v>766</v>
      </c>
      <c r="B428" s="8">
        <v>45167</v>
      </c>
      <c r="C428" s="4"/>
      <c r="D428" s="4" t="s">
        <v>42</v>
      </c>
      <c r="E428" s="8">
        <v>45199</v>
      </c>
      <c r="F428" s="4" t="s">
        <v>840</v>
      </c>
      <c r="G428" s="16" t="s">
        <v>51</v>
      </c>
      <c r="H428" s="4" t="s">
        <v>52</v>
      </c>
      <c r="I428" s="4" t="s">
        <v>48</v>
      </c>
      <c r="J428" s="10">
        <v>8.4482199999999992</v>
      </c>
      <c r="K428" s="10">
        <f>3.169+3.376+1.476+0.482</f>
        <v>8.5030000000000001</v>
      </c>
      <c r="L428" s="10">
        <f t="shared" si="78"/>
        <v>0</v>
      </c>
      <c r="M428" s="10">
        <f t="shared" si="79"/>
        <v>0</v>
      </c>
      <c r="N428" s="10"/>
      <c r="O428" s="10"/>
      <c r="P428" s="10">
        <v>0</v>
      </c>
      <c r="Q428" s="10"/>
      <c r="R428" s="10"/>
      <c r="S428" s="10"/>
      <c r="T428" s="10"/>
      <c r="U428" s="10"/>
      <c r="V428" s="4" t="s">
        <v>841</v>
      </c>
      <c r="W428" s="4"/>
      <c r="X428" s="8">
        <v>45207</v>
      </c>
      <c r="Y428" s="4"/>
      <c r="Z428" s="4"/>
      <c r="AA428" s="8"/>
      <c r="AB428" s="8">
        <v>45226</v>
      </c>
      <c r="AC428" s="4"/>
      <c r="AD428" s="4"/>
    </row>
    <row r="429" spans="1:30" hidden="1">
      <c r="A429" s="4">
        <v>766</v>
      </c>
      <c r="B429" s="8">
        <v>45167</v>
      </c>
      <c r="C429" s="4"/>
      <c r="D429" s="4" t="s">
        <v>42</v>
      </c>
      <c r="E429" s="8">
        <v>45199</v>
      </c>
      <c r="F429" s="4" t="s">
        <v>840</v>
      </c>
      <c r="G429" s="16" t="s">
        <v>51</v>
      </c>
      <c r="H429" s="4" t="s">
        <v>52</v>
      </c>
      <c r="I429" s="4" t="s">
        <v>403</v>
      </c>
      <c r="J429" s="10">
        <f>0.61005+0.194</f>
        <v>0.80404999999999993</v>
      </c>
      <c r="K429" s="10">
        <f>0.759+0.194</f>
        <v>0.95300000000000007</v>
      </c>
      <c r="L429" s="10">
        <f t="shared" si="78"/>
        <v>0</v>
      </c>
      <c r="M429" s="10">
        <f t="shared" si="79"/>
        <v>0</v>
      </c>
      <c r="N429" s="10"/>
      <c r="O429" s="10"/>
      <c r="P429" s="10">
        <v>0</v>
      </c>
      <c r="Q429" s="10"/>
      <c r="R429" s="10"/>
      <c r="S429" s="10"/>
      <c r="T429" s="10"/>
      <c r="U429" s="10"/>
      <c r="V429" s="4" t="s">
        <v>841</v>
      </c>
      <c r="W429" s="4" t="s">
        <v>521</v>
      </c>
      <c r="X429" s="8"/>
      <c r="Y429" s="4"/>
      <c r="Z429" s="4"/>
      <c r="AA429" s="8"/>
      <c r="AB429" s="8">
        <v>45226</v>
      </c>
      <c r="AC429" s="4"/>
      <c r="AD429" s="4"/>
    </row>
    <row r="430" spans="1:30" hidden="1">
      <c r="A430" s="4">
        <v>766</v>
      </c>
      <c r="B430" s="8">
        <v>45167</v>
      </c>
      <c r="C430" s="4"/>
      <c r="D430" s="4" t="s">
        <v>42</v>
      </c>
      <c r="E430" s="8">
        <v>45199</v>
      </c>
      <c r="F430" s="4" t="s">
        <v>840</v>
      </c>
      <c r="G430" s="16" t="s">
        <v>51</v>
      </c>
      <c r="H430" s="4" t="s">
        <v>52</v>
      </c>
      <c r="I430" s="4" t="s">
        <v>405</v>
      </c>
      <c r="J430" s="10">
        <v>6.8339999999999996</v>
      </c>
      <c r="K430" s="10">
        <f>4.182+1.938+0.755</f>
        <v>6.875</v>
      </c>
      <c r="L430" s="10">
        <f t="shared" si="78"/>
        <v>0</v>
      </c>
      <c r="M430" s="10">
        <f t="shared" si="79"/>
        <v>0</v>
      </c>
      <c r="N430" s="10"/>
      <c r="O430" s="10"/>
      <c r="P430" s="10">
        <v>0</v>
      </c>
      <c r="Q430" s="10"/>
      <c r="R430" s="10"/>
      <c r="S430" s="10"/>
      <c r="T430" s="10"/>
      <c r="U430" s="10"/>
      <c r="V430" s="4" t="s">
        <v>841</v>
      </c>
      <c r="W430" s="4"/>
      <c r="X430" s="8"/>
      <c r="Y430" s="4"/>
      <c r="Z430" s="4"/>
      <c r="AA430" s="8">
        <v>45188</v>
      </c>
      <c r="AB430" s="8">
        <v>45191</v>
      </c>
      <c r="AC430" s="4"/>
      <c r="AD430" s="4"/>
    </row>
    <row r="431" spans="1:30" hidden="1">
      <c r="A431" s="4">
        <v>766</v>
      </c>
      <c r="B431" s="8">
        <v>45167</v>
      </c>
      <c r="C431" s="4"/>
      <c r="D431" s="4" t="s">
        <v>42</v>
      </c>
      <c r="E431" s="8">
        <v>45199</v>
      </c>
      <c r="F431" s="4" t="s">
        <v>840</v>
      </c>
      <c r="G431" s="16" t="s">
        <v>51</v>
      </c>
      <c r="H431" s="4" t="s">
        <v>52</v>
      </c>
      <c r="I431" s="4" t="s">
        <v>46</v>
      </c>
      <c r="J431" s="10">
        <v>42.632100000000001</v>
      </c>
      <c r="K431" s="10">
        <f>18.954+20.461+3.664</f>
        <v>43.079000000000001</v>
      </c>
      <c r="L431" s="10">
        <f t="shared" si="78"/>
        <v>0</v>
      </c>
      <c r="M431" s="10">
        <f t="shared" si="79"/>
        <v>0</v>
      </c>
      <c r="N431" s="10"/>
      <c r="O431" s="10"/>
      <c r="P431" s="10">
        <v>0</v>
      </c>
      <c r="Q431" s="10">
        <v>0</v>
      </c>
      <c r="R431" s="10"/>
      <c r="S431" s="10"/>
      <c r="T431" s="10"/>
      <c r="U431" s="10"/>
      <c r="V431" s="4" t="s">
        <v>841</v>
      </c>
      <c r="W431" s="4" t="s">
        <v>1245</v>
      </c>
      <c r="X431" s="8">
        <v>45204</v>
      </c>
      <c r="Y431" s="4"/>
      <c r="Z431" s="4"/>
      <c r="AA431" s="8"/>
      <c r="AB431" s="8">
        <v>45226</v>
      </c>
      <c r="AC431" s="4"/>
      <c r="AD431" s="4"/>
    </row>
    <row r="432" spans="1:30" hidden="1">
      <c r="A432" s="4">
        <v>766</v>
      </c>
      <c r="B432" s="8">
        <v>45167</v>
      </c>
      <c r="C432" s="4"/>
      <c r="D432" s="4" t="s">
        <v>42</v>
      </c>
      <c r="E432" s="8">
        <v>45199</v>
      </c>
      <c r="F432" s="4" t="s">
        <v>840</v>
      </c>
      <c r="G432" s="16" t="s">
        <v>51</v>
      </c>
      <c r="H432" s="4" t="s">
        <v>52</v>
      </c>
      <c r="I432" s="4" t="s">
        <v>49</v>
      </c>
      <c r="J432" s="10">
        <v>3.90754</v>
      </c>
      <c r="K432" s="10">
        <v>3.8969999999999998</v>
      </c>
      <c r="L432" s="10">
        <f t="shared" si="78"/>
        <v>0</v>
      </c>
      <c r="M432" s="10">
        <f t="shared" si="79"/>
        <v>0</v>
      </c>
      <c r="N432" s="10"/>
      <c r="O432" s="10"/>
      <c r="P432" s="10">
        <v>0</v>
      </c>
      <c r="Q432" s="10"/>
      <c r="R432" s="10"/>
      <c r="S432" s="10"/>
      <c r="T432" s="10"/>
      <c r="U432" s="10"/>
      <c r="V432" s="4" t="s">
        <v>841</v>
      </c>
      <c r="W432" s="4"/>
      <c r="X432" s="8">
        <v>45185</v>
      </c>
      <c r="Y432" s="4"/>
      <c r="Z432" s="4"/>
      <c r="AA432" s="8">
        <v>45206</v>
      </c>
      <c r="AB432" s="8">
        <v>45206</v>
      </c>
      <c r="AC432" s="4"/>
      <c r="AD432" s="4"/>
    </row>
    <row r="433" spans="1:30" hidden="1">
      <c r="A433" s="4">
        <v>766</v>
      </c>
      <c r="B433" s="8">
        <v>45167</v>
      </c>
      <c r="C433" s="4"/>
      <c r="D433" s="4" t="s">
        <v>42</v>
      </c>
      <c r="E433" s="8">
        <v>45199</v>
      </c>
      <c r="F433" s="4" t="s">
        <v>840</v>
      </c>
      <c r="G433" s="16" t="s">
        <v>51</v>
      </c>
      <c r="H433" s="4" t="s">
        <v>52</v>
      </c>
      <c r="I433" s="4" t="s">
        <v>50</v>
      </c>
      <c r="J433" s="10">
        <v>4.8803999999999998</v>
      </c>
      <c r="K433" s="10">
        <v>4.9640000000000004</v>
      </c>
      <c r="L433" s="10">
        <f t="shared" si="78"/>
        <v>0</v>
      </c>
      <c r="M433" s="10">
        <f t="shared" si="79"/>
        <v>0</v>
      </c>
      <c r="N433" s="10"/>
      <c r="O433" s="10"/>
      <c r="P433" s="10">
        <v>0</v>
      </c>
      <c r="Q433" s="10"/>
      <c r="R433" s="10"/>
      <c r="S433" s="10"/>
      <c r="T433" s="10"/>
      <c r="U433" s="10"/>
      <c r="V433" s="4" t="s">
        <v>841</v>
      </c>
      <c r="W433" s="4"/>
      <c r="X433" s="8">
        <v>45185</v>
      </c>
      <c r="Y433" s="4"/>
      <c r="Z433" s="4"/>
      <c r="AA433" s="8">
        <v>45206</v>
      </c>
      <c r="AB433" s="8">
        <v>45206</v>
      </c>
      <c r="AC433" s="4"/>
      <c r="AD433" s="4"/>
    </row>
    <row r="434" spans="1:30" hidden="1">
      <c r="A434" s="4">
        <v>766</v>
      </c>
      <c r="B434" s="8">
        <v>45167</v>
      </c>
      <c r="C434" s="4"/>
      <c r="D434" s="4" t="s">
        <v>42</v>
      </c>
      <c r="E434" s="8">
        <v>45199</v>
      </c>
      <c r="F434" s="4" t="s">
        <v>840</v>
      </c>
      <c r="G434" s="16" t="s">
        <v>51</v>
      </c>
      <c r="H434" s="4" t="s">
        <v>52</v>
      </c>
      <c r="I434" s="4" t="s">
        <v>407</v>
      </c>
      <c r="J434" s="10">
        <v>1.8202799999999999</v>
      </c>
      <c r="K434" s="10">
        <v>1.8220000000000001</v>
      </c>
      <c r="L434" s="10">
        <f t="shared" si="78"/>
        <v>0</v>
      </c>
      <c r="M434" s="10">
        <f t="shared" si="79"/>
        <v>0</v>
      </c>
      <c r="N434" s="10"/>
      <c r="O434" s="10"/>
      <c r="P434" s="10">
        <v>0</v>
      </c>
      <c r="Q434" s="10"/>
      <c r="R434" s="10"/>
      <c r="S434" s="10"/>
      <c r="T434" s="10"/>
      <c r="U434" s="10"/>
      <c r="V434" s="4" t="s">
        <v>841</v>
      </c>
      <c r="W434" s="4"/>
      <c r="X434" s="8">
        <v>45181</v>
      </c>
      <c r="Y434" s="4"/>
      <c r="Z434" s="4"/>
      <c r="AA434" s="8"/>
      <c r="AB434" s="8"/>
      <c r="AC434" s="4"/>
      <c r="AD434" s="4"/>
    </row>
    <row r="435" spans="1:30" hidden="1">
      <c r="A435" s="4">
        <v>766</v>
      </c>
      <c r="B435" s="8">
        <v>45167</v>
      </c>
      <c r="C435" s="4"/>
      <c r="D435" s="4" t="s">
        <v>42</v>
      </c>
      <c r="E435" s="8">
        <v>45199</v>
      </c>
      <c r="F435" s="4" t="s">
        <v>840</v>
      </c>
      <c r="G435" s="16" t="s">
        <v>51</v>
      </c>
      <c r="H435" s="4" t="s">
        <v>52</v>
      </c>
      <c r="I435" s="4" t="s">
        <v>410</v>
      </c>
      <c r="J435" s="10">
        <v>13.898160000000001</v>
      </c>
      <c r="K435" s="10">
        <v>13.898</v>
      </c>
      <c r="L435" s="10">
        <f t="shared" si="78"/>
        <v>0</v>
      </c>
      <c r="M435" s="10">
        <f t="shared" si="79"/>
        <v>0</v>
      </c>
      <c r="N435" s="10"/>
      <c r="O435" s="10"/>
      <c r="P435" s="10">
        <v>0</v>
      </c>
      <c r="Q435" s="10"/>
      <c r="R435" s="10"/>
      <c r="S435" s="10"/>
      <c r="T435" s="10"/>
      <c r="U435" s="10"/>
      <c r="V435" s="4" t="s">
        <v>841</v>
      </c>
      <c r="W435" s="4"/>
      <c r="X435" s="8">
        <v>45181</v>
      </c>
      <c r="Y435" s="4"/>
      <c r="Z435" s="4"/>
      <c r="AA435" s="8">
        <v>45206</v>
      </c>
      <c r="AB435" s="8">
        <v>45206</v>
      </c>
      <c r="AC435" s="4"/>
      <c r="AD435" s="4"/>
    </row>
    <row r="436" spans="1:30" hidden="1">
      <c r="A436" s="4">
        <v>766</v>
      </c>
      <c r="B436" s="8">
        <v>45167</v>
      </c>
      <c r="C436" s="4"/>
      <c r="D436" s="4" t="s">
        <v>42</v>
      </c>
      <c r="E436" s="8">
        <v>45199</v>
      </c>
      <c r="F436" s="4" t="s">
        <v>840</v>
      </c>
      <c r="G436" s="16" t="s">
        <v>51</v>
      </c>
      <c r="H436" s="4" t="s">
        <v>52</v>
      </c>
      <c r="I436" s="4" t="s">
        <v>435</v>
      </c>
      <c r="J436" s="10">
        <f>12.996-1.88</f>
        <v>11.116</v>
      </c>
      <c r="K436" s="10">
        <f>4.08+6.295+0.9</f>
        <v>11.275</v>
      </c>
      <c r="L436" s="10">
        <f t="shared" si="78"/>
        <v>0</v>
      </c>
      <c r="M436" s="10">
        <f t="shared" si="79"/>
        <v>0</v>
      </c>
      <c r="N436" s="10"/>
      <c r="O436" s="10"/>
      <c r="P436" s="10">
        <v>0</v>
      </c>
      <c r="Q436" s="10"/>
      <c r="R436" s="10"/>
      <c r="S436" s="10"/>
      <c r="T436" s="10"/>
      <c r="U436" s="10"/>
      <c r="V436" s="4" t="s">
        <v>841</v>
      </c>
      <c r="W436" s="4" t="s">
        <v>1246</v>
      </c>
      <c r="X436" s="8"/>
      <c r="Y436" s="4"/>
      <c r="Z436" s="4"/>
      <c r="AA436" s="8">
        <v>45222</v>
      </c>
      <c r="AB436" s="8">
        <v>45222</v>
      </c>
      <c r="AC436" s="4"/>
      <c r="AD436" s="4"/>
    </row>
    <row r="437" spans="1:30" hidden="1">
      <c r="A437" s="4">
        <v>766</v>
      </c>
      <c r="B437" s="8">
        <v>45167</v>
      </c>
      <c r="C437" s="4"/>
      <c r="D437" s="4" t="s">
        <v>42</v>
      </c>
      <c r="E437" s="8">
        <v>45199</v>
      </c>
      <c r="F437" s="4" t="s">
        <v>840</v>
      </c>
      <c r="G437" s="16" t="s">
        <v>51</v>
      </c>
      <c r="H437" s="4" t="s">
        <v>52</v>
      </c>
      <c r="I437" s="4" t="s">
        <v>432</v>
      </c>
      <c r="J437" s="10">
        <v>3.2640000000000002</v>
      </c>
      <c r="K437" s="10">
        <v>3.3319999999999999</v>
      </c>
      <c r="L437" s="10">
        <f t="shared" si="78"/>
        <v>0</v>
      </c>
      <c r="M437" s="10">
        <f t="shared" si="79"/>
        <v>0</v>
      </c>
      <c r="N437" s="10"/>
      <c r="O437" s="10"/>
      <c r="P437" s="10">
        <v>0</v>
      </c>
      <c r="Q437" s="10"/>
      <c r="R437" s="10"/>
      <c r="S437" s="10"/>
      <c r="T437" s="10"/>
      <c r="U437" s="10"/>
      <c r="V437" s="4" t="s">
        <v>841</v>
      </c>
      <c r="W437" s="4"/>
      <c r="X437" s="8"/>
      <c r="Y437" s="4"/>
      <c r="Z437" s="4"/>
      <c r="AA437" s="8"/>
      <c r="AB437" s="8"/>
      <c r="AC437" s="4"/>
      <c r="AD437" s="4"/>
    </row>
    <row r="438" spans="1:30" hidden="1">
      <c r="A438" s="4">
        <v>766</v>
      </c>
      <c r="B438" s="8">
        <v>45167</v>
      </c>
      <c r="C438" s="4"/>
      <c r="D438" s="4" t="s">
        <v>42</v>
      </c>
      <c r="E438" s="8">
        <v>45199</v>
      </c>
      <c r="F438" s="4" t="s">
        <v>840</v>
      </c>
      <c r="G438" s="16" t="s">
        <v>51</v>
      </c>
      <c r="H438" s="4" t="s">
        <v>52</v>
      </c>
      <c r="I438" s="4" t="s">
        <v>474</v>
      </c>
      <c r="J438" s="10">
        <v>11.27876</v>
      </c>
      <c r="K438" s="10">
        <v>11.409000000000001</v>
      </c>
      <c r="L438" s="10">
        <f t="shared" si="78"/>
        <v>0</v>
      </c>
      <c r="M438" s="10">
        <f t="shared" si="79"/>
        <v>0</v>
      </c>
      <c r="N438" s="10"/>
      <c r="O438" s="10"/>
      <c r="P438" s="10">
        <v>0</v>
      </c>
      <c r="Q438" s="10"/>
      <c r="R438" s="10"/>
      <c r="S438" s="10"/>
      <c r="T438" s="10"/>
      <c r="U438" s="10"/>
      <c r="V438" s="4" t="s">
        <v>841</v>
      </c>
      <c r="W438" s="4"/>
      <c r="X438" s="8"/>
      <c r="Y438" s="4"/>
      <c r="Z438" s="4"/>
      <c r="AA438" s="8">
        <v>45206</v>
      </c>
      <c r="AB438" s="8">
        <v>45206</v>
      </c>
      <c r="AC438" s="4"/>
      <c r="AD438" s="4"/>
    </row>
    <row r="439" spans="1:30" hidden="1">
      <c r="A439" s="4">
        <v>766</v>
      </c>
      <c r="B439" s="8">
        <v>45167</v>
      </c>
      <c r="C439" s="4"/>
      <c r="D439" s="4" t="s">
        <v>42</v>
      </c>
      <c r="E439" s="8">
        <v>45199</v>
      </c>
      <c r="F439" s="4" t="s">
        <v>840</v>
      </c>
      <c r="G439" s="16" t="s">
        <v>51</v>
      </c>
      <c r="H439" s="4" t="s">
        <v>52</v>
      </c>
      <c r="I439" s="4" t="s">
        <v>434</v>
      </c>
      <c r="J439" s="10">
        <v>16.703480000000003</v>
      </c>
      <c r="K439" s="10">
        <f>11.923+5.159</f>
        <v>17.082000000000001</v>
      </c>
      <c r="L439" s="10">
        <f t="shared" si="78"/>
        <v>0</v>
      </c>
      <c r="M439" s="10">
        <f t="shared" si="79"/>
        <v>0</v>
      </c>
      <c r="N439" s="10"/>
      <c r="O439" s="10"/>
      <c r="P439" s="10">
        <v>0</v>
      </c>
      <c r="Q439" s="10"/>
      <c r="R439" s="10"/>
      <c r="S439" s="10"/>
      <c r="T439" s="10"/>
      <c r="U439" s="10"/>
      <c r="V439" s="4" t="s">
        <v>841</v>
      </c>
      <c r="W439" s="4"/>
      <c r="X439" s="8"/>
      <c r="Y439" s="4"/>
      <c r="Z439" s="4"/>
      <c r="AA439" s="8"/>
      <c r="AB439" s="8"/>
      <c r="AC439" s="4"/>
      <c r="AD439" s="4"/>
    </row>
    <row r="440" spans="1:30" hidden="1">
      <c r="A440" s="4">
        <v>766</v>
      </c>
      <c r="B440" s="8">
        <v>45167</v>
      </c>
      <c r="C440" s="4"/>
      <c r="D440" s="4" t="s">
        <v>42</v>
      </c>
      <c r="E440" s="8">
        <v>45199</v>
      </c>
      <c r="F440" s="4" t="s">
        <v>840</v>
      </c>
      <c r="G440" s="16" t="s">
        <v>51</v>
      </c>
      <c r="H440" s="4" t="s">
        <v>52</v>
      </c>
      <c r="I440" s="4" t="s">
        <v>577</v>
      </c>
      <c r="J440" s="10">
        <v>1.1152000000000002</v>
      </c>
      <c r="K440" s="10">
        <v>1.115</v>
      </c>
      <c r="L440" s="10">
        <f t="shared" si="78"/>
        <v>0</v>
      </c>
      <c r="M440" s="10">
        <f t="shared" si="79"/>
        <v>0</v>
      </c>
      <c r="N440" s="10"/>
      <c r="O440" s="10"/>
      <c r="P440" s="10">
        <v>0</v>
      </c>
      <c r="Q440" s="10"/>
      <c r="R440" s="10"/>
      <c r="S440" s="10"/>
      <c r="T440" s="10"/>
      <c r="U440" s="10"/>
      <c r="V440" s="4" t="s">
        <v>841</v>
      </c>
      <c r="W440" s="4"/>
      <c r="X440" s="8"/>
      <c r="Y440" s="4"/>
      <c r="Z440" s="4"/>
      <c r="AA440" s="8"/>
      <c r="AB440" s="8"/>
      <c r="AC440" s="4"/>
      <c r="AD440" s="4"/>
    </row>
    <row r="441" spans="1:30" hidden="1">
      <c r="A441" s="4">
        <v>766</v>
      </c>
      <c r="B441" s="8">
        <v>45167</v>
      </c>
      <c r="C441" s="4"/>
      <c r="D441" s="4" t="s">
        <v>42</v>
      </c>
      <c r="E441" s="8">
        <v>45199</v>
      </c>
      <c r="F441" s="4" t="s">
        <v>840</v>
      </c>
      <c r="G441" s="16" t="s">
        <v>51</v>
      </c>
      <c r="H441" s="4" t="s">
        <v>52</v>
      </c>
      <c r="I441" s="4" t="s">
        <v>89</v>
      </c>
      <c r="J441" s="10">
        <v>24.991404000000003</v>
      </c>
      <c r="K441" s="10">
        <f>13.903+9.753+1.617</f>
        <v>25.273</v>
      </c>
      <c r="L441" s="10">
        <f t="shared" si="78"/>
        <v>0</v>
      </c>
      <c r="M441" s="10">
        <f t="shared" si="79"/>
        <v>0</v>
      </c>
      <c r="N441" s="10"/>
      <c r="O441" s="10"/>
      <c r="P441" s="10">
        <v>0</v>
      </c>
      <c r="Q441" s="10"/>
      <c r="R441" s="10"/>
      <c r="S441" s="10"/>
      <c r="T441" s="10"/>
      <c r="U441" s="10"/>
      <c r="V441" s="4" t="s">
        <v>841</v>
      </c>
      <c r="W441" s="4"/>
      <c r="X441" s="8">
        <v>45201</v>
      </c>
      <c r="Y441" s="4"/>
      <c r="Z441" s="4"/>
      <c r="AA441" s="8">
        <v>45218</v>
      </c>
      <c r="AB441" s="8">
        <v>45226</v>
      </c>
      <c r="AC441" s="4"/>
      <c r="AD441" s="4"/>
    </row>
    <row r="442" spans="1:30" hidden="1">
      <c r="A442" s="4">
        <v>767</v>
      </c>
      <c r="B442" s="8">
        <v>45167</v>
      </c>
      <c r="C442" s="4"/>
      <c r="D442" s="4" t="s">
        <v>42</v>
      </c>
      <c r="E442" s="8">
        <v>45176</v>
      </c>
      <c r="F442" s="4" t="s">
        <v>43</v>
      </c>
      <c r="G442" s="16" t="s">
        <v>44</v>
      </c>
      <c r="H442" s="4" t="s">
        <v>45</v>
      </c>
      <c r="I442" s="4" t="s">
        <v>579</v>
      </c>
      <c r="J442" s="10">
        <v>1.5169999999999999</v>
      </c>
      <c r="K442" s="10">
        <v>1.72</v>
      </c>
      <c r="L442" s="10">
        <f t="shared" ref="L442" si="80">M442+U442</f>
        <v>0</v>
      </c>
      <c r="M442" s="10">
        <f t="shared" ref="M442" si="81">SUM(N442:T442)</f>
        <v>0</v>
      </c>
      <c r="N442" s="10"/>
      <c r="O442" s="10"/>
      <c r="P442" s="10">
        <v>0</v>
      </c>
      <c r="Q442" s="10"/>
      <c r="R442" s="10"/>
      <c r="S442" s="10"/>
      <c r="T442" s="10"/>
      <c r="U442" s="10"/>
      <c r="V442" s="4" t="s">
        <v>466</v>
      </c>
      <c r="W442" s="4"/>
      <c r="X442" s="8"/>
      <c r="Y442" s="4"/>
      <c r="Z442" s="4"/>
      <c r="AA442" s="8"/>
      <c r="AB442" s="8">
        <v>45178</v>
      </c>
      <c r="AC442" s="4"/>
      <c r="AD442" s="4"/>
    </row>
    <row r="443" spans="1:30" hidden="1">
      <c r="A443" s="4">
        <v>768</v>
      </c>
      <c r="B443" s="8">
        <v>45167</v>
      </c>
      <c r="C443" s="4"/>
      <c r="D443" s="4" t="s">
        <v>42</v>
      </c>
      <c r="E443" s="8">
        <v>45199</v>
      </c>
      <c r="F443" s="4" t="s">
        <v>43</v>
      </c>
      <c r="G443" s="16" t="s">
        <v>51</v>
      </c>
      <c r="H443" s="4" t="s">
        <v>52</v>
      </c>
      <c r="I443" s="4" t="s">
        <v>729</v>
      </c>
      <c r="J443" s="10">
        <v>12.974</v>
      </c>
      <c r="K443" s="10">
        <v>13.147</v>
      </c>
      <c r="L443" s="10">
        <f t="shared" ref="L443:L445" si="82">M443+U443</f>
        <v>0</v>
      </c>
      <c r="M443" s="10">
        <f t="shared" ref="M443:M445" si="83">SUM(N443:T443)</f>
        <v>0</v>
      </c>
      <c r="N443" s="10"/>
      <c r="O443" s="10"/>
      <c r="P443" s="10">
        <v>0</v>
      </c>
      <c r="Q443" s="10"/>
      <c r="R443" s="10"/>
      <c r="S443" s="10"/>
      <c r="T443" s="10"/>
      <c r="U443" s="10"/>
      <c r="V443" s="4" t="s">
        <v>826</v>
      </c>
      <c r="W443" s="4"/>
      <c r="X443" s="8"/>
      <c r="Y443" s="4"/>
      <c r="Z443" s="4"/>
      <c r="AA443" s="8">
        <v>45206</v>
      </c>
      <c r="AB443" s="8">
        <v>45206</v>
      </c>
      <c r="AC443" s="4"/>
      <c r="AD443" s="4"/>
    </row>
    <row r="444" spans="1:30" hidden="1">
      <c r="A444" s="4">
        <v>768</v>
      </c>
      <c r="B444" s="8">
        <v>45167</v>
      </c>
      <c r="C444" s="4"/>
      <c r="D444" s="4" t="s">
        <v>42</v>
      </c>
      <c r="E444" s="8">
        <v>45199</v>
      </c>
      <c r="F444" s="4" t="s">
        <v>43</v>
      </c>
      <c r="G444" s="16" t="s">
        <v>51</v>
      </c>
      <c r="H444" s="4" t="s">
        <v>52</v>
      </c>
      <c r="I444" s="4" t="s">
        <v>89</v>
      </c>
      <c r="J444" s="10">
        <v>0.16400000000000003</v>
      </c>
      <c r="K444" s="10">
        <v>0.18099999999999999</v>
      </c>
      <c r="L444" s="10">
        <f t="shared" si="82"/>
        <v>0</v>
      </c>
      <c r="M444" s="10">
        <f t="shared" si="83"/>
        <v>0</v>
      </c>
      <c r="N444" s="10"/>
      <c r="O444" s="10"/>
      <c r="P444" s="10">
        <v>0</v>
      </c>
      <c r="Q444" s="10"/>
      <c r="R444" s="10"/>
      <c r="S444" s="10"/>
      <c r="T444" s="10"/>
      <c r="U444" s="10"/>
      <c r="V444" s="4" t="s">
        <v>826</v>
      </c>
      <c r="W444" s="4" t="s">
        <v>1091</v>
      </c>
      <c r="X444" s="8"/>
      <c r="Y444" s="4"/>
      <c r="Z444" s="4"/>
      <c r="AA444" s="8">
        <v>45206</v>
      </c>
      <c r="AB444" s="8">
        <v>45206</v>
      </c>
      <c r="AC444" s="4"/>
      <c r="AD444" s="4"/>
    </row>
    <row r="445" spans="1:30" hidden="1">
      <c r="A445" s="4">
        <v>768</v>
      </c>
      <c r="B445" s="8">
        <v>45167</v>
      </c>
      <c r="C445" s="4"/>
      <c r="D445" s="4" t="s">
        <v>42</v>
      </c>
      <c r="E445" s="8">
        <v>45199</v>
      </c>
      <c r="F445" s="4" t="s">
        <v>43</v>
      </c>
      <c r="G445" s="16" t="s">
        <v>51</v>
      </c>
      <c r="H445" s="4" t="s">
        <v>52</v>
      </c>
      <c r="I445" s="4" t="s">
        <v>125</v>
      </c>
      <c r="J445" s="10">
        <v>0.68</v>
      </c>
      <c r="K445" s="10">
        <v>0.78</v>
      </c>
      <c r="L445" s="10">
        <f t="shared" si="82"/>
        <v>0</v>
      </c>
      <c r="M445" s="10">
        <f t="shared" si="83"/>
        <v>0</v>
      </c>
      <c r="N445" s="10"/>
      <c r="O445" s="10"/>
      <c r="P445" s="10">
        <v>0</v>
      </c>
      <c r="Q445" s="10"/>
      <c r="R445" s="10"/>
      <c r="S445" s="10"/>
      <c r="T445" s="10"/>
      <c r="U445" s="10"/>
      <c r="V445" s="4" t="s">
        <v>826</v>
      </c>
      <c r="W445" s="4" t="s">
        <v>1091</v>
      </c>
      <c r="X445" s="8"/>
      <c r="Y445" s="4"/>
      <c r="Z445" s="4"/>
      <c r="AA445" s="8">
        <v>45206</v>
      </c>
      <c r="AB445" s="8">
        <v>45206</v>
      </c>
      <c r="AC445" s="4"/>
      <c r="AD445" s="4"/>
    </row>
    <row r="446" spans="1:30" hidden="1">
      <c r="A446" s="4">
        <v>835</v>
      </c>
      <c r="B446" s="8">
        <v>45188</v>
      </c>
      <c r="C446" s="4"/>
      <c r="D446" s="4" t="s">
        <v>42</v>
      </c>
      <c r="E446" s="8">
        <v>45206</v>
      </c>
      <c r="F446" s="4" t="s">
        <v>43</v>
      </c>
      <c r="G446" s="16" t="s">
        <v>44</v>
      </c>
      <c r="H446" s="4" t="s">
        <v>45</v>
      </c>
      <c r="I446" s="4" t="s">
        <v>57</v>
      </c>
      <c r="J446" s="10">
        <v>0.71520000000000006</v>
      </c>
      <c r="K446" s="10">
        <v>0.71499999999999997</v>
      </c>
      <c r="L446" s="10">
        <f t="shared" ref="L446:L483" si="84">M446+U446</f>
        <v>0</v>
      </c>
      <c r="M446" s="10">
        <f t="shared" ref="M446:M483" si="85">SUM(N446:T446)</f>
        <v>0</v>
      </c>
      <c r="N446" s="10"/>
      <c r="O446" s="10"/>
      <c r="P446" s="10">
        <v>0</v>
      </c>
      <c r="Q446" s="10"/>
      <c r="R446" s="10"/>
      <c r="S446" s="10"/>
      <c r="T446" s="10"/>
      <c r="U446" s="10"/>
      <c r="V446" s="4" t="s">
        <v>427</v>
      </c>
      <c r="W446" s="4"/>
      <c r="X446" s="8"/>
      <c r="Y446" s="4"/>
      <c r="Z446" s="4"/>
      <c r="AA446" s="8">
        <v>45206</v>
      </c>
      <c r="AB446" s="8"/>
      <c r="AC446" s="4"/>
      <c r="AD446" s="4"/>
    </row>
    <row r="447" spans="1:30" hidden="1">
      <c r="A447" s="4">
        <v>835</v>
      </c>
      <c r="B447" s="8">
        <v>45188</v>
      </c>
      <c r="C447" s="4"/>
      <c r="D447" s="4" t="s">
        <v>42</v>
      </c>
      <c r="E447" s="8">
        <v>45206</v>
      </c>
      <c r="F447" s="4" t="s">
        <v>43</v>
      </c>
      <c r="G447" s="16" t="s">
        <v>44</v>
      </c>
      <c r="H447" s="4" t="s">
        <v>45</v>
      </c>
      <c r="I447" s="4" t="s">
        <v>403</v>
      </c>
      <c r="J447" s="10">
        <v>0.79680000000000006</v>
      </c>
      <c r="K447" s="10">
        <v>0.79700000000000004</v>
      </c>
      <c r="L447" s="10">
        <f t="shared" si="84"/>
        <v>0</v>
      </c>
      <c r="M447" s="10">
        <f t="shared" si="85"/>
        <v>0</v>
      </c>
      <c r="N447" s="10"/>
      <c r="O447" s="10"/>
      <c r="P447" s="10">
        <v>0</v>
      </c>
      <c r="Q447" s="10"/>
      <c r="R447" s="10"/>
      <c r="S447" s="10"/>
      <c r="T447" s="10"/>
      <c r="U447" s="10"/>
      <c r="V447" s="4" t="s">
        <v>427</v>
      </c>
      <c r="W447" s="4" t="s">
        <v>37</v>
      </c>
      <c r="X447" s="8">
        <v>45204</v>
      </c>
      <c r="Y447" s="4"/>
      <c r="Z447" s="4"/>
      <c r="AA447" s="8"/>
      <c r="AB447" s="8"/>
      <c r="AC447" s="4"/>
      <c r="AD447" s="4"/>
    </row>
    <row r="448" spans="1:30" hidden="1">
      <c r="A448" s="4">
        <v>835</v>
      </c>
      <c r="B448" s="8">
        <v>45188</v>
      </c>
      <c r="C448" s="4"/>
      <c r="D448" s="4" t="s">
        <v>42</v>
      </c>
      <c r="E448" s="8">
        <v>45206</v>
      </c>
      <c r="F448" s="4" t="s">
        <v>43</v>
      </c>
      <c r="G448" s="16" t="s">
        <v>44</v>
      </c>
      <c r="H448" s="4" t="s">
        <v>45</v>
      </c>
      <c r="I448" s="4" t="s">
        <v>518</v>
      </c>
      <c r="J448" s="10">
        <v>4.1013000000000002</v>
      </c>
      <c r="K448" s="10">
        <f>3.441+0.666</f>
        <v>4.1070000000000002</v>
      </c>
      <c r="L448" s="10">
        <f t="shared" si="84"/>
        <v>0</v>
      </c>
      <c r="M448" s="10">
        <f t="shared" si="85"/>
        <v>0</v>
      </c>
      <c r="N448" s="10"/>
      <c r="O448" s="10"/>
      <c r="P448" s="10">
        <v>0</v>
      </c>
      <c r="Q448" s="10"/>
      <c r="R448" s="10"/>
      <c r="S448" s="10"/>
      <c r="T448" s="10"/>
      <c r="U448" s="10"/>
      <c r="V448" s="4" t="s">
        <v>427</v>
      </c>
      <c r="W448" s="4"/>
      <c r="X448" s="8">
        <v>45195</v>
      </c>
      <c r="Y448" s="4"/>
      <c r="Z448" s="4"/>
      <c r="AA448" s="8">
        <v>45206</v>
      </c>
      <c r="AB448" s="8"/>
      <c r="AC448" s="4"/>
      <c r="AD448" s="4"/>
    </row>
    <row r="449" spans="1:30" hidden="1">
      <c r="A449" s="4">
        <v>835</v>
      </c>
      <c r="B449" s="8">
        <v>45188</v>
      </c>
      <c r="C449" s="4"/>
      <c r="D449" s="4" t="s">
        <v>42</v>
      </c>
      <c r="E449" s="8">
        <v>45206</v>
      </c>
      <c r="F449" s="4" t="s">
        <v>43</v>
      </c>
      <c r="G449" s="16" t="s">
        <v>51</v>
      </c>
      <c r="H449" s="4" t="s">
        <v>52</v>
      </c>
      <c r="I449" s="4" t="s">
        <v>56</v>
      </c>
      <c r="J449" s="10">
        <v>2.0865</v>
      </c>
      <c r="K449" s="10">
        <f>0.612+1.478</f>
        <v>2.09</v>
      </c>
      <c r="L449" s="10">
        <f t="shared" si="84"/>
        <v>0</v>
      </c>
      <c r="M449" s="10">
        <f t="shared" si="85"/>
        <v>0</v>
      </c>
      <c r="N449" s="10"/>
      <c r="O449" s="10"/>
      <c r="P449" s="10">
        <v>0</v>
      </c>
      <c r="Q449" s="10"/>
      <c r="R449" s="10"/>
      <c r="S449" s="10"/>
      <c r="T449" s="10"/>
      <c r="U449" s="10"/>
      <c r="V449" s="4" t="s">
        <v>427</v>
      </c>
      <c r="W449" s="4"/>
      <c r="X449" s="8"/>
      <c r="Y449" s="4"/>
      <c r="Z449" s="4"/>
      <c r="AA449" s="8"/>
      <c r="AB449" s="8"/>
      <c r="AC449" s="4"/>
      <c r="AD449" s="4"/>
    </row>
    <row r="450" spans="1:30" hidden="1">
      <c r="A450" s="4">
        <v>835</v>
      </c>
      <c r="B450" s="8">
        <v>45188</v>
      </c>
      <c r="C450" s="4"/>
      <c r="D450" s="4" t="s">
        <v>42</v>
      </c>
      <c r="E450" s="8">
        <v>45206</v>
      </c>
      <c r="F450" s="4" t="s">
        <v>43</v>
      </c>
      <c r="G450" s="16" t="s">
        <v>51</v>
      </c>
      <c r="H450" s="4" t="s">
        <v>52</v>
      </c>
      <c r="I450" s="4" t="s">
        <v>48</v>
      </c>
      <c r="J450" s="10">
        <v>2.2869000000000002</v>
      </c>
      <c r="K450" s="10">
        <f>1.544+0.743</f>
        <v>2.2869999999999999</v>
      </c>
      <c r="L450" s="10">
        <f t="shared" si="84"/>
        <v>0</v>
      </c>
      <c r="M450" s="10">
        <f t="shared" si="85"/>
        <v>0</v>
      </c>
      <c r="N450" s="10"/>
      <c r="O450" s="10"/>
      <c r="P450" s="10">
        <v>0</v>
      </c>
      <c r="Q450" s="10"/>
      <c r="R450" s="10"/>
      <c r="S450" s="10"/>
      <c r="T450" s="10"/>
      <c r="U450" s="10"/>
      <c r="V450" s="4" t="s">
        <v>427</v>
      </c>
      <c r="W450" s="4"/>
      <c r="X450" s="8"/>
      <c r="Y450" s="4"/>
      <c r="Z450" s="4"/>
      <c r="AA450" s="8"/>
      <c r="AB450" s="8"/>
      <c r="AC450" s="4"/>
      <c r="AD450" s="4"/>
    </row>
    <row r="451" spans="1:30" hidden="1">
      <c r="A451" s="4">
        <v>835</v>
      </c>
      <c r="B451" s="8">
        <v>45188</v>
      </c>
      <c r="C451" s="4"/>
      <c r="D451" s="4" t="s">
        <v>42</v>
      </c>
      <c r="E451" s="8">
        <v>45206</v>
      </c>
      <c r="F451" s="4" t="s">
        <v>43</v>
      </c>
      <c r="G451" s="16" t="s">
        <v>51</v>
      </c>
      <c r="H451" s="4" t="s">
        <v>52</v>
      </c>
      <c r="I451" s="4" t="s">
        <v>403</v>
      </c>
      <c r="J451" s="10">
        <v>4.6546400000000006</v>
      </c>
      <c r="K451" s="10">
        <v>4.7649999999999997</v>
      </c>
      <c r="L451" s="10">
        <f t="shared" si="84"/>
        <v>0</v>
      </c>
      <c r="M451" s="10">
        <f t="shared" si="85"/>
        <v>0</v>
      </c>
      <c r="N451" s="10"/>
      <c r="O451" s="10"/>
      <c r="P451" s="10">
        <v>0</v>
      </c>
      <c r="Q451" s="10"/>
      <c r="R451" s="10"/>
      <c r="S451" s="10"/>
      <c r="T451" s="10"/>
      <c r="U451" s="10"/>
      <c r="V451" s="4" t="s">
        <v>427</v>
      </c>
      <c r="W451" s="4"/>
      <c r="X451" s="8">
        <v>45204</v>
      </c>
      <c r="Y451" s="4"/>
      <c r="Z451" s="4"/>
      <c r="AA451" s="8"/>
      <c r="AB451" s="8"/>
      <c r="AC451" s="4"/>
      <c r="AD451" s="4"/>
    </row>
    <row r="452" spans="1:30" hidden="1">
      <c r="A452" s="4">
        <v>835</v>
      </c>
      <c r="B452" s="8">
        <v>45188</v>
      </c>
      <c r="C452" s="4"/>
      <c r="D452" s="4" t="s">
        <v>42</v>
      </c>
      <c r="E452" s="8">
        <v>45206</v>
      </c>
      <c r="F452" s="4" t="s">
        <v>43</v>
      </c>
      <c r="G452" s="16" t="s">
        <v>51</v>
      </c>
      <c r="H452" s="4" t="s">
        <v>52</v>
      </c>
      <c r="I452" s="4" t="s">
        <v>46</v>
      </c>
      <c r="J452" s="10">
        <v>2.8542000000000001</v>
      </c>
      <c r="K452" s="10">
        <v>2.8540000000000001</v>
      </c>
      <c r="L452" s="10">
        <f t="shared" si="84"/>
        <v>0</v>
      </c>
      <c r="M452" s="10">
        <f t="shared" si="85"/>
        <v>0</v>
      </c>
      <c r="N452" s="10"/>
      <c r="O452" s="10"/>
      <c r="P452" s="10">
        <v>0</v>
      </c>
      <c r="Q452" s="10"/>
      <c r="R452" s="10"/>
      <c r="S452" s="10"/>
      <c r="T452" s="10"/>
      <c r="U452" s="10"/>
      <c r="V452" s="4" t="s">
        <v>427</v>
      </c>
      <c r="W452" s="4"/>
      <c r="X452" s="8">
        <v>45204</v>
      </c>
      <c r="Y452" s="4"/>
      <c r="Z452" s="4"/>
      <c r="AA452" s="8">
        <v>45206</v>
      </c>
      <c r="AB452" s="8">
        <v>45206</v>
      </c>
      <c r="AC452" s="4"/>
      <c r="AD452" s="4"/>
    </row>
    <row r="453" spans="1:30" hidden="1">
      <c r="A453" s="4">
        <v>835</v>
      </c>
      <c r="B453" s="8">
        <v>45188</v>
      </c>
      <c r="C453" s="4"/>
      <c r="D453" s="4" t="s">
        <v>42</v>
      </c>
      <c r="E453" s="8">
        <v>45206</v>
      </c>
      <c r="F453" s="4" t="s">
        <v>43</v>
      </c>
      <c r="G453" s="16" t="s">
        <v>44</v>
      </c>
      <c r="H453" s="4" t="s">
        <v>45</v>
      </c>
      <c r="I453" s="4" t="s">
        <v>57</v>
      </c>
      <c r="J453" s="10">
        <v>0.5364000000000001</v>
      </c>
      <c r="K453" s="10">
        <v>0.53600000000000003</v>
      </c>
      <c r="L453" s="10">
        <f t="shared" si="84"/>
        <v>0</v>
      </c>
      <c r="M453" s="10">
        <f t="shared" si="85"/>
        <v>0</v>
      </c>
      <c r="N453" s="10"/>
      <c r="O453" s="10"/>
      <c r="P453" s="10">
        <v>0</v>
      </c>
      <c r="Q453" s="10"/>
      <c r="R453" s="10"/>
      <c r="S453" s="10"/>
      <c r="T453" s="10"/>
      <c r="U453" s="10"/>
      <c r="V453" s="4" t="s">
        <v>466</v>
      </c>
      <c r="W453" s="4"/>
      <c r="X453" s="8"/>
      <c r="Y453" s="4"/>
      <c r="Z453" s="4"/>
      <c r="AA453" s="8"/>
      <c r="AB453" s="8"/>
      <c r="AC453" s="4"/>
      <c r="AD453" s="4"/>
    </row>
    <row r="454" spans="1:30" hidden="1">
      <c r="A454" s="4">
        <v>835</v>
      </c>
      <c r="B454" s="8">
        <v>45188</v>
      </c>
      <c r="C454" s="4"/>
      <c r="D454" s="4" t="s">
        <v>42</v>
      </c>
      <c r="E454" s="8">
        <v>45206</v>
      </c>
      <c r="F454" s="4" t="s">
        <v>43</v>
      </c>
      <c r="G454" s="16" t="s">
        <v>44</v>
      </c>
      <c r="H454" s="4" t="s">
        <v>45</v>
      </c>
      <c r="I454" s="4" t="s">
        <v>403</v>
      </c>
      <c r="J454" s="10">
        <v>1.2201</v>
      </c>
      <c r="K454" s="10">
        <v>1.22</v>
      </c>
      <c r="L454" s="10">
        <f t="shared" si="84"/>
        <v>0</v>
      </c>
      <c r="M454" s="10">
        <f t="shared" si="85"/>
        <v>0</v>
      </c>
      <c r="N454" s="10"/>
      <c r="O454" s="10"/>
      <c r="P454" s="10">
        <v>0</v>
      </c>
      <c r="Q454" s="10"/>
      <c r="R454" s="10"/>
      <c r="S454" s="10"/>
      <c r="T454" s="10"/>
      <c r="U454" s="10"/>
      <c r="V454" s="4" t="s">
        <v>466</v>
      </c>
      <c r="W454" s="4" t="s">
        <v>37</v>
      </c>
      <c r="X454" s="8">
        <v>45204</v>
      </c>
      <c r="Y454" s="4"/>
      <c r="Z454" s="4"/>
      <c r="AA454" s="8"/>
      <c r="AB454" s="8"/>
      <c r="AC454" s="4"/>
      <c r="AD454" s="4"/>
    </row>
    <row r="455" spans="1:30" hidden="1">
      <c r="A455" s="4">
        <v>835</v>
      </c>
      <c r="B455" s="8">
        <v>45188</v>
      </c>
      <c r="C455" s="4"/>
      <c r="D455" s="4" t="s">
        <v>42</v>
      </c>
      <c r="E455" s="8">
        <v>45206</v>
      </c>
      <c r="F455" s="4" t="s">
        <v>43</v>
      </c>
      <c r="G455" s="16" t="s">
        <v>44</v>
      </c>
      <c r="H455" s="4" t="s">
        <v>45</v>
      </c>
      <c r="I455" s="4" t="s">
        <v>417</v>
      </c>
      <c r="J455" s="10">
        <v>0.61879999999999991</v>
      </c>
      <c r="K455" s="10">
        <v>0.70699999999999996</v>
      </c>
      <c r="L455" s="10">
        <f t="shared" si="84"/>
        <v>0</v>
      </c>
      <c r="M455" s="10">
        <f t="shared" si="85"/>
        <v>0</v>
      </c>
      <c r="N455" s="10"/>
      <c r="O455" s="10"/>
      <c r="P455" s="10">
        <v>0</v>
      </c>
      <c r="Q455" s="10"/>
      <c r="R455" s="10"/>
      <c r="S455" s="10"/>
      <c r="T455" s="10"/>
      <c r="U455" s="10"/>
      <c r="V455" s="4" t="s">
        <v>466</v>
      </c>
      <c r="W455" s="4" t="s">
        <v>521</v>
      </c>
      <c r="X455" s="8"/>
      <c r="Y455" s="4"/>
      <c r="Z455" s="4"/>
      <c r="AA455" s="8"/>
      <c r="AB455" s="8"/>
      <c r="AC455" s="4"/>
      <c r="AD455" s="4"/>
    </row>
    <row r="456" spans="1:30" hidden="1">
      <c r="A456" s="4">
        <v>835</v>
      </c>
      <c r="B456" s="8">
        <v>45188</v>
      </c>
      <c r="C456" s="4"/>
      <c r="D456" s="4" t="s">
        <v>42</v>
      </c>
      <c r="E456" s="8">
        <v>45206</v>
      </c>
      <c r="F456" s="4" t="s">
        <v>43</v>
      </c>
      <c r="G456" s="16" t="s">
        <v>44</v>
      </c>
      <c r="H456" s="4" t="s">
        <v>45</v>
      </c>
      <c r="I456" s="4" t="s">
        <v>406</v>
      </c>
      <c r="J456" s="10">
        <v>1.35</v>
      </c>
      <c r="K456" s="10">
        <v>1.62</v>
      </c>
      <c r="L456" s="10">
        <f t="shared" si="84"/>
        <v>0</v>
      </c>
      <c r="M456" s="10">
        <f t="shared" si="85"/>
        <v>0</v>
      </c>
      <c r="N456" s="10"/>
      <c r="O456" s="10"/>
      <c r="P456" s="10">
        <v>0</v>
      </c>
      <c r="Q456" s="10"/>
      <c r="R456" s="10"/>
      <c r="S456" s="10"/>
      <c r="T456" s="10"/>
      <c r="U456" s="10"/>
      <c r="V456" s="4" t="s">
        <v>466</v>
      </c>
      <c r="W456" s="4" t="s">
        <v>521</v>
      </c>
      <c r="X456" s="8"/>
      <c r="Y456" s="4"/>
      <c r="Z456" s="4"/>
      <c r="AA456" s="8"/>
      <c r="AB456" s="8"/>
      <c r="AC456" s="4"/>
      <c r="AD456" s="4"/>
    </row>
    <row r="457" spans="1:30" hidden="1">
      <c r="A457" s="4">
        <v>835</v>
      </c>
      <c r="B457" s="8">
        <v>45188</v>
      </c>
      <c r="C457" s="4"/>
      <c r="D457" s="4" t="s">
        <v>42</v>
      </c>
      <c r="E457" s="8">
        <v>45206</v>
      </c>
      <c r="F457" s="4" t="s">
        <v>43</v>
      </c>
      <c r="G457" s="16" t="s">
        <v>44</v>
      </c>
      <c r="H457" s="4" t="s">
        <v>45</v>
      </c>
      <c r="I457" s="4" t="s">
        <v>517</v>
      </c>
      <c r="J457" s="10">
        <v>4.3297799999999995</v>
      </c>
      <c r="K457" s="10">
        <v>4.476</v>
      </c>
      <c r="L457" s="10">
        <f t="shared" si="84"/>
        <v>0</v>
      </c>
      <c r="M457" s="10">
        <f t="shared" si="85"/>
        <v>0</v>
      </c>
      <c r="N457" s="10"/>
      <c r="O457" s="10"/>
      <c r="P457" s="10">
        <v>0</v>
      </c>
      <c r="Q457" s="10"/>
      <c r="R457" s="10"/>
      <c r="S457" s="10"/>
      <c r="T457" s="10"/>
      <c r="U457" s="10"/>
      <c r="V457" s="4" t="s">
        <v>466</v>
      </c>
      <c r="W457" s="4"/>
      <c r="X457" s="8">
        <v>45195</v>
      </c>
      <c r="Y457" s="4"/>
      <c r="Z457" s="4"/>
      <c r="AA457" s="8">
        <v>45203</v>
      </c>
      <c r="AB457" s="8">
        <v>45203</v>
      </c>
      <c r="AC457" s="4"/>
      <c r="AD457" s="4"/>
    </row>
    <row r="458" spans="1:30" hidden="1">
      <c r="A458" s="4">
        <v>835</v>
      </c>
      <c r="B458" s="8">
        <v>45188</v>
      </c>
      <c r="C458" s="4"/>
      <c r="D458" s="4" t="s">
        <v>42</v>
      </c>
      <c r="E458" s="8">
        <v>45206</v>
      </c>
      <c r="F458" s="4" t="s">
        <v>43</v>
      </c>
      <c r="G458" s="16" t="s">
        <v>44</v>
      </c>
      <c r="H458" s="4" t="s">
        <v>45</v>
      </c>
      <c r="I458" s="4" t="s">
        <v>472</v>
      </c>
      <c r="J458" s="10">
        <v>1.8239999999999998</v>
      </c>
      <c r="K458" s="10">
        <v>1.8240000000000001</v>
      </c>
      <c r="L458" s="10">
        <f t="shared" si="84"/>
        <v>0</v>
      </c>
      <c r="M458" s="10">
        <f t="shared" si="85"/>
        <v>0</v>
      </c>
      <c r="N458" s="10"/>
      <c r="O458" s="10"/>
      <c r="P458" s="10">
        <v>0</v>
      </c>
      <c r="Q458" s="10"/>
      <c r="R458" s="10"/>
      <c r="S458" s="10"/>
      <c r="T458" s="10"/>
      <c r="U458" s="10"/>
      <c r="V458" s="4" t="s">
        <v>466</v>
      </c>
      <c r="W458" s="4"/>
      <c r="X458" s="8"/>
      <c r="Y458" s="4"/>
      <c r="Z458" s="4"/>
      <c r="AA458" s="8">
        <v>45203</v>
      </c>
      <c r="AB458" s="8">
        <v>45203</v>
      </c>
      <c r="AC458" s="4"/>
      <c r="AD458" s="4"/>
    </row>
    <row r="459" spans="1:30" hidden="1">
      <c r="A459" s="4">
        <v>835</v>
      </c>
      <c r="B459" s="8">
        <v>45188</v>
      </c>
      <c r="C459" s="4"/>
      <c r="D459" s="4" t="s">
        <v>42</v>
      </c>
      <c r="E459" s="8">
        <v>45206</v>
      </c>
      <c r="F459" s="4" t="s">
        <v>43</v>
      </c>
      <c r="G459" s="16" t="s">
        <v>44</v>
      </c>
      <c r="H459" s="4" t="s">
        <v>45</v>
      </c>
      <c r="I459" s="4" t="s">
        <v>473</v>
      </c>
      <c r="J459" s="10">
        <v>2.0060000000000002</v>
      </c>
      <c r="K459" s="10">
        <f>2.006+0.076</f>
        <v>2.0819999999999999</v>
      </c>
      <c r="L459" s="10">
        <f t="shared" si="84"/>
        <v>0</v>
      </c>
      <c r="M459" s="10">
        <f t="shared" si="85"/>
        <v>0</v>
      </c>
      <c r="N459" s="10"/>
      <c r="O459" s="10"/>
      <c r="P459" s="10"/>
      <c r="Q459" s="10"/>
      <c r="R459" s="10"/>
      <c r="S459" s="10"/>
      <c r="T459" s="10"/>
      <c r="U459" s="10"/>
      <c r="V459" s="4" t="s">
        <v>466</v>
      </c>
      <c r="W459" s="4"/>
      <c r="X459" s="8"/>
      <c r="Y459" s="4"/>
      <c r="Z459" s="4"/>
      <c r="AA459" s="8">
        <v>45203</v>
      </c>
      <c r="AB459" s="8">
        <v>45203</v>
      </c>
      <c r="AC459" s="4"/>
      <c r="AD459" s="4"/>
    </row>
    <row r="460" spans="1:30" hidden="1">
      <c r="A460" s="4">
        <v>835</v>
      </c>
      <c r="B460" s="8">
        <v>45188</v>
      </c>
      <c r="C460" s="4"/>
      <c r="D460" s="4" t="s">
        <v>42</v>
      </c>
      <c r="E460" s="8">
        <v>45206</v>
      </c>
      <c r="F460" s="4" t="s">
        <v>43</v>
      </c>
      <c r="G460" s="16" t="s">
        <v>44</v>
      </c>
      <c r="H460" s="4" t="s">
        <v>45</v>
      </c>
      <c r="I460" s="4" t="s">
        <v>263</v>
      </c>
      <c r="J460" s="10">
        <v>0.39168000000000003</v>
      </c>
      <c r="K460" s="10">
        <v>0.39400000000000002</v>
      </c>
      <c r="L460" s="10">
        <f t="shared" si="84"/>
        <v>0</v>
      </c>
      <c r="M460" s="10">
        <f t="shared" si="85"/>
        <v>0</v>
      </c>
      <c r="N460" s="10"/>
      <c r="O460" s="10"/>
      <c r="P460" s="10">
        <v>0</v>
      </c>
      <c r="Q460" s="10"/>
      <c r="R460" s="10"/>
      <c r="S460" s="10"/>
      <c r="T460" s="10"/>
      <c r="U460" s="10"/>
      <c r="V460" s="4" t="s">
        <v>466</v>
      </c>
      <c r="W460" s="4" t="s">
        <v>521</v>
      </c>
      <c r="X460" s="8"/>
      <c r="Y460" s="4"/>
      <c r="Z460" s="4"/>
      <c r="AA460" s="8">
        <v>45215</v>
      </c>
      <c r="AB460" s="8">
        <v>45215</v>
      </c>
      <c r="AC460" s="4"/>
      <c r="AD460" s="4"/>
    </row>
    <row r="461" spans="1:30" hidden="1">
      <c r="A461" s="4">
        <v>835</v>
      </c>
      <c r="B461" s="8">
        <v>45188</v>
      </c>
      <c r="C461" s="4"/>
      <c r="D461" s="4" t="s">
        <v>42</v>
      </c>
      <c r="E461" s="8">
        <v>45206</v>
      </c>
      <c r="F461" s="4" t="s">
        <v>43</v>
      </c>
      <c r="G461" s="16" t="s">
        <v>51</v>
      </c>
      <c r="H461" s="4" t="s">
        <v>52</v>
      </c>
      <c r="I461" s="4" t="s">
        <v>57</v>
      </c>
      <c r="J461" s="10">
        <v>4.5420800000000003</v>
      </c>
      <c r="K461" s="10">
        <f>1.764+2.778</f>
        <v>4.5419999999999998</v>
      </c>
      <c r="L461" s="10">
        <f t="shared" si="84"/>
        <v>0</v>
      </c>
      <c r="M461" s="10">
        <f t="shared" si="85"/>
        <v>0</v>
      </c>
      <c r="N461" s="10"/>
      <c r="O461" s="10"/>
      <c r="P461" s="10">
        <v>0</v>
      </c>
      <c r="Q461" s="10"/>
      <c r="R461" s="10"/>
      <c r="S461" s="10"/>
      <c r="T461" s="10"/>
      <c r="U461" s="10"/>
      <c r="V461" s="4" t="s">
        <v>1141</v>
      </c>
      <c r="W461" s="4"/>
      <c r="X461" s="8"/>
      <c r="Y461" s="4"/>
      <c r="Z461" s="4"/>
      <c r="AA461" s="8"/>
      <c r="AB461" s="8"/>
      <c r="AC461" s="4"/>
      <c r="AD461" s="4"/>
    </row>
    <row r="462" spans="1:30" hidden="1">
      <c r="A462" s="4">
        <v>835</v>
      </c>
      <c r="B462" s="8">
        <v>45188</v>
      </c>
      <c r="C462" s="4"/>
      <c r="D462" s="4" t="s">
        <v>42</v>
      </c>
      <c r="E462" s="8">
        <v>45206</v>
      </c>
      <c r="F462" s="4" t="s">
        <v>43</v>
      </c>
      <c r="G462" s="16" t="s">
        <v>51</v>
      </c>
      <c r="H462" s="4" t="s">
        <v>52</v>
      </c>
      <c r="I462" s="4" t="s">
        <v>48</v>
      </c>
      <c r="J462" s="10">
        <v>2.1924000000000001</v>
      </c>
      <c r="K462" s="10">
        <v>2.2240000000000002</v>
      </c>
      <c r="L462" s="10">
        <f t="shared" si="84"/>
        <v>0</v>
      </c>
      <c r="M462" s="10">
        <f t="shared" si="85"/>
        <v>0</v>
      </c>
      <c r="N462" s="10"/>
      <c r="O462" s="10"/>
      <c r="P462" s="10">
        <v>0</v>
      </c>
      <c r="Q462" s="10"/>
      <c r="R462" s="10"/>
      <c r="S462" s="10"/>
      <c r="T462" s="10"/>
      <c r="U462" s="10"/>
      <c r="V462" s="4" t="s">
        <v>1141</v>
      </c>
      <c r="W462" s="4"/>
      <c r="X462" s="8"/>
      <c r="Y462" s="4"/>
      <c r="Z462" s="4"/>
      <c r="AA462" s="8"/>
      <c r="AB462" s="8"/>
      <c r="AC462" s="4"/>
      <c r="AD462" s="4"/>
    </row>
    <row r="463" spans="1:30" hidden="1">
      <c r="A463" s="4">
        <v>835</v>
      </c>
      <c r="B463" s="8">
        <v>45188</v>
      </c>
      <c r="C463" s="4"/>
      <c r="D463" s="4" t="s">
        <v>42</v>
      </c>
      <c r="E463" s="8">
        <v>45206</v>
      </c>
      <c r="F463" s="4" t="s">
        <v>43</v>
      </c>
      <c r="G463" s="16" t="s">
        <v>51</v>
      </c>
      <c r="H463" s="4" t="s">
        <v>52</v>
      </c>
      <c r="I463" s="4" t="s">
        <v>403</v>
      </c>
      <c r="J463" s="10">
        <v>0.48082000000000003</v>
      </c>
      <c r="K463" s="10">
        <v>0.48099999999999998</v>
      </c>
      <c r="L463" s="10">
        <f t="shared" si="84"/>
        <v>0</v>
      </c>
      <c r="M463" s="10">
        <f t="shared" si="85"/>
        <v>0</v>
      </c>
      <c r="N463" s="10"/>
      <c r="O463" s="10"/>
      <c r="P463" s="10">
        <v>0</v>
      </c>
      <c r="Q463" s="10"/>
      <c r="R463" s="10"/>
      <c r="S463" s="10"/>
      <c r="T463" s="10"/>
      <c r="U463" s="10"/>
      <c r="V463" s="4" t="s">
        <v>1141</v>
      </c>
      <c r="W463" s="4"/>
      <c r="X463" s="8">
        <v>45204</v>
      </c>
      <c r="Y463" s="4"/>
      <c r="Z463" s="4"/>
      <c r="AA463" s="8"/>
      <c r="AB463" s="8"/>
      <c r="AC463" s="4"/>
      <c r="AD463" s="4"/>
    </row>
    <row r="464" spans="1:30" hidden="1">
      <c r="A464" s="4">
        <v>835</v>
      </c>
      <c r="B464" s="8">
        <v>45188</v>
      </c>
      <c r="C464" s="4"/>
      <c r="D464" s="4" t="s">
        <v>42</v>
      </c>
      <c r="E464" s="8">
        <v>45206</v>
      </c>
      <c r="F464" s="4" t="s">
        <v>43</v>
      </c>
      <c r="G464" s="16" t="s">
        <v>44</v>
      </c>
      <c r="H464" s="4" t="s">
        <v>45</v>
      </c>
      <c r="I464" s="4" t="s">
        <v>57</v>
      </c>
      <c r="J464" s="10">
        <v>4.1124000000000001</v>
      </c>
      <c r="K464" s="10">
        <v>4.1630000000000003</v>
      </c>
      <c r="L464" s="10">
        <f t="shared" si="84"/>
        <v>0</v>
      </c>
      <c r="M464" s="10">
        <f t="shared" si="85"/>
        <v>0</v>
      </c>
      <c r="N464" s="10"/>
      <c r="O464" s="10"/>
      <c r="P464" s="10">
        <v>0</v>
      </c>
      <c r="Q464" s="10"/>
      <c r="R464" s="10"/>
      <c r="S464" s="10"/>
      <c r="T464" s="10"/>
      <c r="U464" s="10"/>
      <c r="V464" s="4" t="s">
        <v>23</v>
      </c>
      <c r="W464" s="4"/>
      <c r="X464" s="8"/>
      <c r="Y464" s="4"/>
      <c r="Z464" s="4"/>
      <c r="AA464" s="8"/>
      <c r="AB464" s="8"/>
      <c r="AC464" s="4"/>
      <c r="AD464" s="4"/>
    </row>
    <row r="465" spans="1:30" hidden="1">
      <c r="A465" s="4">
        <v>835</v>
      </c>
      <c r="B465" s="8">
        <v>45188</v>
      </c>
      <c r="C465" s="4"/>
      <c r="D465" s="4" t="s">
        <v>42</v>
      </c>
      <c r="E465" s="8">
        <v>45206</v>
      </c>
      <c r="F465" s="4" t="s">
        <v>43</v>
      </c>
      <c r="G465" s="16" t="s">
        <v>44</v>
      </c>
      <c r="H465" s="4" t="s">
        <v>45</v>
      </c>
      <c r="I465" s="4" t="s">
        <v>56</v>
      </c>
      <c r="J465" s="10">
        <v>6.5056000000000012</v>
      </c>
      <c r="K465" s="10">
        <f>1.706+4.356+0.46</f>
        <v>6.5219999999999994</v>
      </c>
      <c r="L465" s="10">
        <f t="shared" si="84"/>
        <v>0</v>
      </c>
      <c r="M465" s="10">
        <f t="shared" si="85"/>
        <v>0</v>
      </c>
      <c r="N465" s="10"/>
      <c r="O465" s="10"/>
      <c r="P465" s="10">
        <v>0</v>
      </c>
      <c r="Q465" s="10"/>
      <c r="R465" s="10"/>
      <c r="S465" s="10"/>
      <c r="T465" s="10"/>
      <c r="U465" s="10"/>
      <c r="V465" s="4" t="s">
        <v>23</v>
      </c>
      <c r="W465" s="4"/>
      <c r="X465" s="8"/>
      <c r="Y465" s="4"/>
      <c r="Z465" s="4"/>
      <c r="AA465" s="8">
        <v>45215</v>
      </c>
      <c r="AB465" s="8">
        <v>45215</v>
      </c>
      <c r="AC465" s="4"/>
      <c r="AD465" s="4"/>
    </row>
    <row r="466" spans="1:30" hidden="1">
      <c r="A466" s="4">
        <v>835</v>
      </c>
      <c r="B466" s="8">
        <v>45188</v>
      </c>
      <c r="C466" s="4"/>
      <c r="D466" s="4" t="s">
        <v>42</v>
      </c>
      <c r="E466" s="8">
        <v>45206</v>
      </c>
      <c r="F466" s="4" t="s">
        <v>43</v>
      </c>
      <c r="G466" s="16" t="s">
        <v>44</v>
      </c>
      <c r="H466" s="4" t="s">
        <v>45</v>
      </c>
      <c r="I466" s="4" t="s">
        <v>48</v>
      </c>
      <c r="J466" s="10">
        <v>7.4923199999999994</v>
      </c>
      <c r="K466" s="10">
        <f>5.174+0.78+1.772</f>
        <v>7.7260000000000009</v>
      </c>
      <c r="L466" s="10">
        <f t="shared" si="84"/>
        <v>0</v>
      </c>
      <c r="M466" s="10">
        <f t="shared" si="85"/>
        <v>0</v>
      </c>
      <c r="N466" s="10"/>
      <c r="O466" s="10"/>
      <c r="P466" s="10">
        <v>0</v>
      </c>
      <c r="Q466" s="10"/>
      <c r="R466" s="10"/>
      <c r="S466" s="10"/>
      <c r="T466" s="10"/>
      <c r="U466" s="10"/>
      <c r="V466" s="4" t="s">
        <v>23</v>
      </c>
      <c r="W466" s="4"/>
      <c r="X466" s="8"/>
      <c r="Y466" s="4"/>
      <c r="Z466" s="4"/>
      <c r="AA466" s="8">
        <v>45215</v>
      </c>
      <c r="AB466" s="8">
        <v>45215</v>
      </c>
      <c r="AC466" s="4"/>
      <c r="AD466" s="4"/>
    </row>
    <row r="467" spans="1:30" hidden="1">
      <c r="A467" s="4">
        <v>835</v>
      </c>
      <c r="B467" s="8">
        <v>45188</v>
      </c>
      <c r="C467" s="4"/>
      <c r="D467" s="4" t="s">
        <v>42</v>
      </c>
      <c r="E467" s="8">
        <v>45206</v>
      </c>
      <c r="F467" s="4" t="s">
        <v>43</v>
      </c>
      <c r="G467" s="16" t="s">
        <v>44</v>
      </c>
      <c r="H467" s="4" t="s">
        <v>45</v>
      </c>
      <c r="I467" s="4" t="s">
        <v>403</v>
      </c>
      <c r="J467" s="10">
        <v>2.9630999999999998</v>
      </c>
      <c r="K467" s="10">
        <f>0.622+2.441</f>
        <v>3.0629999999999997</v>
      </c>
      <c r="L467" s="10">
        <f t="shared" si="84"/>
        <v>0</v>
      </c>
      <c r="M467" s="10">
        <f t="shared" si="85"/>
        <v>0</v>
      </c>
      <c r="N467" s="10"/>
      <c r="O467" s="10"/>
      <c r="P467" s="10">
        <v>0</v>
      </c>
      <c r="Q467" s="10"/>
      <c r="R467" s="10"/>
      <c r="S467" s="10"/>
      <c r="T467" s="10"/>
      <c r="U467" s="10"/>
      <c r="V467" s="4" t="s">
        <v>23</v>
      </c>
      <c r="W467" s="4" t="s">
        <v>37</v>
      </c>
      <c r="X467" s="8">
        <v>45204</v>
      </c>
      <c r="Y467" s="4"/>
      <c r="Z467" s="4"/>
      <c r="AA467" s="8">
        <v>45206</v>
      </c>
      <c r="AB467" s="8"/>
      <c r="AC467" s="4"/>
      <c r="AD467" s="4"/>
    </row>
    <row r="468" spans="1:30" hidden="1">
      <c r="A468" s="4">
        <v>835</v>
      </c>
      <c r="B468" s="8">
        <v>45188</v>
      </c>
      <c r="C468" s="4"/>
      <c r="D468" s="4" t="s">
        <v>42</v>
      </c>
      <c r="E468" s="8">
        <v>45206</v>
      </c>
      <c r="F468" s="4" t="s">
        <v>43</v>
      </c>
      <c r="G468" s="16" t="s">
        <v>44</v>
      </c>
      <c r="H468" s="4" t="s">
        <v>45</v>
      </c>
      <c r="I468" s="4" t="s">
        <v>844</v>
      </c>
      <c r="J468" s="10">
        <v>0.70920000000000005</v>
      </c>
      <c r="K468" s="10">
        <v>0.70799999999999996</v>
      </c>
      <c r="L468" s="10">
        <f t="shared" si="84"/>
        <v>0</v>
      </c>
      <c r="M468" s="10">
        <f t="shared" si="85"/>
        <v>0</v>
      </c>
      <c r="N468" s="10"/>
      <c r="O468" s="10"/>
      <c r="P468" s="10">
        <v>0</v>
      </c>
      <c r="Q468" s="10"/>
      <c r="R468" s="10"/>
      <c r="S468" s="10"/>
      <c r="T468" s="10"/>
      <c r="U468" s="10"/>
      <c r="V468" s="4" t="s">
        <v>23</v>
      </c>
      <c r="W468" s="4" t="s">
        <v>521</v>
      </c>
      <c r="X468" s="8"/>
      <c r="Y468" s="4"/>
      <c r="Z468" s="4"/>
      <c r="AA468" s="8">
        <v>45215</v>
      </c>
      <c r="AB468" s="8">
        <v>45215</v>
      </c>
      <c r="AC468" s="4"/>
      <c r="AD468" s="4"/>
    </row>
    <row r="469" spans="1:30" hidden="1">
      <c r="A469" s="4">
        <v>835</v>
      </c>
      <c r="B469" s="8">
        <v>45188</v>
      </c>
      <c r="C469" s="4"/>
      <c r="D469" s="4" t="s">
        <v>42</v>
      </c>
      <c r="E469" s="8">
        <v>45206</v>
      </c>
      <c r="F469" s="4" t="s">
        <v>43</v>
      </c>
      <c r="G469" s="16" t="s">
        <v>44</v>
      </c>
      <c r="H469" s="4" t="s">
        <v>45</v>
      </c>
      <c r="I469" s="4" t="s">
        <v>46</v>
      </c>
      <c r="J469" s="10">
        <v>10.36825</v>
      </c>
      <c r="K469" s="10">
        <f>8.76+1.892</f>
        <v>10.651999999999999</v>
      </c>
      <c r="L469" s="10">
        <f t="shared" si="84"/>
        <v>0</v>
      </c>
      <c r="M469" s="10">
        <f t="shared" si="85"/>
        <v>0</v>
      </c>
      <c r="N469" s="10"/>
      <c r="O469" s="10"/>
      <c r="P469" s="10">
        <v>0</v>
      </c>
      <c r="Q469" s="10"/>
      <c r="R469" s="10"/>
      <c r="S469" s="10"/>
      <c r="T469" s="10"/>
      <c r="U469" s="10"/>
      <c r="V469" s="4" t="s">
        <v>23</v>
      </c>
      <c r="W469" s="4"/>
      <c r="X469" s="8">
        <v>45204</v>
      </c>
      <c r="Y469" s="4"/>
      <c r="Z469" s="4"/>
      <c r="AA469" s="8">
        <v>45206</v>
      </c>
      <c r="AB469" s="8"/>
      <c r="AC469" s="4"/>
      <c r="AD469" s="4"/>
    </row>
    <row r="470" spans="1:30" hidden="1">
      <c r="A470" s="4">
        <v>835</v>
      </c>
      <c r="B470" s="8">
        <v>45188</v>
      </c>
      <c r="C470" s="4"/>
      <c r="D470" s="4" t="s">
        <v>42</v>
      </c>
      <c r="E470" s="8">
        <v>45206</v>
      </c>
      <c r="F470" s="4" t="s">
        <v>43</v>
      </c>
      <c r="G470" s="16" t="s">
        <v>44</v>
      </c>
      <c r="H470" s="4" t="s">
        <v>45</v>
      </c>
      <c r="I470" s="4" t="s">
        <v>519</v>
      </c>
      <c r="J470" s="10">
        <v>0.41220000000000001</v>
      </c>
      <c r="K470" s="10">
        <v>0.41299999999999998</v>
      </c>
      <c r="L470" s="10">
        <f t="shared" si="84"/>
        <v>0</v>
      </c>
      <c r="M470" s="10">
        <f t="shared" si="85"/>
        <v>0</v>
      </c>
      <c r="N470" s="10"/>
      <c r="O470" s="10"/>
      <c r="P470" s="10">
        <v>0</v>
      </c>
      <c r="Q470" s="10"/>
      <c r="R470" s="10"/>
      <c r="S470" s="10"/>
      <c r="T470" s="10"/>
      <c r="U470" s="10"/>
      <c r="V470" s="4" t="s">
        <v>23</v>
      </c>
      <c r="W470" s="4"/>
      <c r="X470" s="8">
        <v>45194</v>
      </c>
      <c r="Y470" s="4"/>
      <c r="Z470" s="4"/>
      <c r="AA470" s="8">
        <v>45203</v>
      </c>
      <c r="AB470" s="8">
        <v>45203</v>
      </c>
      <c r="AC470" s="4"/>
      <c r="AD470" s="4"/>
    </row>
    <row r="471" spans="1:30" hidden="1">
      <c r="A471" s="4">
        <v>835</v>
      </c>
      <c r="B471" s="8">
        <v>45188</v>
      </c>
      <c r="C471" s="4"/>
      <c r="D471" s="4" t="s">
        <v>42</v>
      </c>
      <c r="E471" s="8">
        <v>45206</v>
      </c>
      <c r="F471" s="4" t="s">
        <v>43</v>
      </c>
      <c r="G471" s="16" t="s">
        <v>44</v>
      </c>
      <c r="H471" s="4" t="s">
        <v>45</v>
      </c>
      <c r="I471" s="4" t="s">
        <v>472</v>
      </c>
      <c r="J471" s="10">
        <v>3.4428000000000001</v>
      </c>
      <c r="K471" s="10">
        <v>4.0510000000000002</v>
      </c>
      <c r="L471" s="10">
        <f t="shared" si="84"/>
        <v>0</v>
      </c>
      <c r="M471" s="10">
        <f t="shared" si="85"/>
        <v>0</v>
      </c>
      <c r="N471" s="10"/>
      <c r="O471" s="10"/>
      <c r="P471" s="10">
        <v>0</v>
      </c>
      <c r="Q471" s="10"/>
      <c r="R471" s="10">
        <v>0</v>
      </c>
      <c r="S471" s="10"/>
      <c r="T471" s="10"/>
      <c r="U471" s="10"/>
      <c r="V471" s="4" t="s">
        <v>23</v>
      </c>
      <c r="W471" s="4"/>
      <c r="X471" s="8"/>
      <c r="Y471" s="4"/>
      <c r="Z471" s="4"/>
      <c r="AA471" s="8">
        <v>45203</v>
      </c>
      <c r="AB471" s="8">
        <v>45203</v>
      </c>
      <c r="AC471" s="4"/>
      <c r="AD471" s="4"/>
    </row>
    <row r="472" spans="1:30" hidden="1">
      <c r="A472" s="4">
        <v>835</v>
      </c>
      <c r="B472" s="8">
        <v>45188</v>
      </c>
      <c r="C472" s="4"/>
      <c r="D472" s="4" t="s">
        <v>42</v>
      </c>
      <c r="E472" s="8">
        <v>45206</v>
      </c>
      <c r="F472" s="4" t="s">
        <v>43</v>
      </c>
      <c r="G472" s="16" t="s">
        <v>44</v>
      </c>
      <c r="H472" s="4" t="s">
        <v>45</v>
      </c>
      <c r="I472" s="4" t="s">
        <v>473</v>
      </c>
      <c r="J472" s="10">
        <v>1.4076000000000002</v>
      </c>
      <c r="K472" s="10">
        <v>1.41</v>
      </c>
      <c r="L472" s="10">
        <f t="shared" si="84"/>
        <v>0</v>
      </c>
      <c r="M472" s="10">
        <f t="shared" si="85"/>
        <v>0</v>
      </c>
      <c r="N472" s="10"/>
      <c r="O472" s="10"/>
      <c r="P472" s="10"/>
      <c r="Q472" s="10"/>
      <c r="R472" s="10"/>
      <c r="S472" s="10"/>
      <c r="T472" s="10"/>
      <c r="U472" s="10"/>
      <c r="V472" s="4" t="s">
        <v>23</v>
      </c>
      <c r="W472" s="4"/>
      <c r="X472" s="8"/>
      <c r="Y472" s="4"/>
      <c r="Z472" s="4"/>
      <c r="AA472" s="8">
        <v>45203</v>
      </c>
      <c r="AB472" s="8">
        <v>45203</v>
      </c>
      <c r="AC472" s="4"/>
      <c r="AD472" s="4"/>
    </row>
    <row r="473" spans="1:30" hidden="1">
      <c r="A473" s="4">
        <v>835</v>
      </c>
      <c r="B473" s="8">
        <v>45188</v>
      </c>
      <c r="C473" s="4"/>
      <c r="D473" s="4" t="s">
        <v>42</v>
      </c>
      <c r="E473" s="8">
        <v>45206</v>
      </c>
      <c r="F473" s="4" t="s">
        <v>43</v>
      </c>
      <c r="G473" s="16" t="s">
        <v>51</v>
      </c>
      <c r="H473" s="4" t="s">
        <v>52</v>
      </c>
      <c r="I473" s="4" t="s">
        <v>54</v>
      </c>
      <c r="J473" s="10">
        <v>0.31529000000000001</v>
      </c>
      <c r="K473" s="10">
        <v>0.38</v>
      </c>
      <c r="L473" s="10">
        <f t="shared" si="84"/>
        <v>0</v>
      </c>
      <c r="M473" s="10">
        <f t="shared" si="85"/>
        <v>0</v>
      </c>
      <c r="N473" s="10"/>
      <c r="O473" s="10"/>
      <c r="P473" s="10">
        <v>0</v>
      </c>
      <c r="Q473" s="10"/>
      <c r="R473" s="10"/>
      <c r="S473" s="10"/>
      <c r="T473" s="10"/>
      <c r="U473" s="10"/>
      <c r="V473" s="4" t="s">
        <v>23</v>
      </c>
      <c r="W473" s="4" t="s">
        <v>1150</v>
      </c>
      <c r="X473" s="8"/>
      <c r="Y473" s="4"/>
      <c r="Z473" s="4"/>
      <c r="AA473" s="8"/>
      <c r="AB473" s="8"/>
      <c r="AC473" s="4"/>
      <c r="AD473" s="4"/>
    </row>
    <row r="474" spans="1:30" hidden="1">
      <c r="A474" s="4">
        <v>835</v>
      </c>
      <c r="B474" s="8">
        <v>45188</v>
      </c>
      <c r="C474" s="4"/>
      <c r="D474" s="4" t="s">
        <v>42</v>
      </c>
      <c r="E474" s="8">
        <v>45206</v>
      </c>
      <c r="F474" s="4" t="s">
        <v>43</v>
      </c>
      <c r="G474" s="16" t="s">
        <v>51</v>
      </c>
      <c r="H474" s="4" t="s">
        <v>52</v>
      </c>
      <c r="I474" s="4" t="s">
        <v>54</v>
      </c>
      <c r="J474" s="10">
        <v>3.8088000000000002</v>
      </c>
      <c r="K474" s="10">
        <f>3.681+0.213</f>
        <v>3.8940000000000001</v>
      </c>
      <c r="L474" s="10">
        <f t="shared" si="84"/>
        <v>0</v>
      </c>
      <c r="M474" s="10">
        <f t="shared" si="85"/>
        <v>0</v>
      </c>
      <c r="N474" s="10"/>
      <c r="O474" s="10"/>
      <c r="P474" s="10">
        <v>0</v>
      </c>
      <c r="Q474" s="10"/>
      <c r="R474" s="10"/>
      <c r="S474" s="10"/>
      <c r="T474" s="10"/>
      <c r="U474" s="10"/>
      <c r="V474" s="4" t="s">
        <v>23</v>
      </c>
      <c r="W474" s="4"/>
      <c r="X474" s="8"/>
      <c r="Y474" s="4"/>
      <c r="Z474" s="4"/>
      <c r="AA474" s="8">
        <v>45215</v>
      </c>
      <c r="AB474" s="8">
        <v>45215</v>
      </c>
      <c r="AC474" s="4"/>
      <c r="AD474" s="4"/>
    </row>
    <row r="475" spans="1:30" hidden="1">
      <c r="A475" s="4">
        <v>835</v>
      </c>
      <c r="B475" s="8">
        <v>45188</v>
      </c>
      <c r="C475" s="4"/>
      <c r="D475" s="4" t="s">
        <v>42</v>
      </c>
      <c r="E475" s="8">
        <v>45206</v>
      </c>
      <c r="F475" s="4" t="s">
        <v>43</v>
      </c>
      <c r="G475" s="16" t="s">
        <v>51</v>
      </c>
      <c r="H475" s="4" t="s">
        <v>52</v>
      </c>
      <c r="I475" s="4" t="s">
        <v>56</v>
      </c>
      <c r="J475" s="10">
        <v>0.25679999999999997</v>
      </c>
      <c r="K475" s="10">
        <v>0.26</v>
      </c>
      <c r="L475" s="10">
        <f t="shared" si="84"/>
        <v>0</v>
      </c>
      <c r="M475" s="10">
        <f t="shared" si="85"/>
        <v>0</v>
      </c>
      <c r="N475" s="10"/>
      <c r="O475" s="10"/>
      <c r="P475" s="10">
        <v>0</v>
      </c>
      <c r="Q475" s="10"/>
      <c r="R475" s="10"/>
      <c r="S475" s="10"/>
      <c r="T475" s="10"/>
      <c r="U475" s="10"/>
      <c r="V475" s="4" t="s">
        <v>23</v>
      </c>
      <c r="W475" s="4"/>
      <c r="X475" s="8"/>
      <c r="Y475" s="4"/>
      <c r="Z475" s="4"/>
      <c r="AA475" s="8"/>
      <c r="AB475" s="8"/>
      <c r="AC475" s="4"/>
      <c r="AD475" s="4"/>
    </row>
    <row r="476" spans="1:30" hidden="1">
      <c r="A476" s="4">
        <v>835</v>
      </c>
      <c r="B476" s="8">
        <v>45188</v>
      </c>
      <c r="C476" s="4"/>
      <c r="D476" s="4" t="s">
        <v>42</v>
      </c>
      <c r="E476" s="8">
        <v>45206</v>
      </c>
      <c r="F476" s="4" t="s">
        <v>43</v>
      </c>
      <c r="G476" s="16" t="s">
        <v>51</v>
      </c>
      <c r="H476" s="4" t="s">
        <v>52</v>
      </c>
      <c r="I476" s="4" t="s">
        <v>48</v>
      </c>
      <c r="J476" s="10">
        <v>2.0327999999999999</v>
      </c>
      <c r="K476" s="10">
        <v>2.0299999999999998</v>
      </c>
      <c r="L476" s="10">
        <f t="shared" si="84"/>
        <v>0</v>
      </c>
      <c r="M476" s="10">
        <f t="shared" si="85"/>
        <v>0</v>
      </c>
      <c r="N476" s="10"/>
      <c r="O476" s="10"/>
      <c r="P476" s="10">
        <v>0</v>
      </c>
      <c r="Q476" s="10"/>
      <c r="R476" s="10"/>
      <c r="S476" s="10"/>
      <c r="T476" s="10"/>
      <c r="U476" s="10"/>
      <c r="V476" s="4" t="s">
        <v>23</v>
      </c>
      <c r="W476" s="4"/>
      <c r="X476" s="8"/>
      <c r="Y476" s="4"/>
      <c r="Z476" s="4"/>
      <c r="AA476" s="8"/>
      <c r="AB476" s="8"/>
      <c r="AC476" s="4"/>
      <c r="AD476" s="4"/>
    </row>
    <row r="477" spans="1:30" hidden="1">
      <c r="A477" s="4">
        <v>835</v>
      </c>
      <c r="B477" s="8">
        <v>45188</v>
      </c>
      <c r="C477" s="4"/>
      <c r="D477" s="4" t="s">
        <v>42</v>
      </c>
      <c r="E477" s="8">
        <v>45206</v>
      </c>
      <c r="F477" s="4" t="s">
        <v>43</v>
      </c>
      <c r="G477" s="16" t="s">
        <v>51</v>
      </c>
      <c r="H477" s="4" t="s">
        <v>52</v>
      </c>
      <c r="I477" s="4" t="s">
        <v>46</v>
      </c>
      <c r="J477" s="10">
        <v>1.0451999999999999</v>
      </c>
      <c r="K477" s="10">
        <v>1.0629999999999999</v>
      </c>
      <c r="L477" s="10">
        <f t="shared" si="84"/>
        <v>0</v>
      </c>
      <c r="M477" s="10">
        <f t="shared" si="85"/>
        <v>0</v>
      </c>
      <c r="N477" s="10"/>
      <c r="O477" s="10"/>
      <c r="P477" s="10">
        <v>0</v>
      </c>
      <c r="Q477" s="10"/>
      <c r="R477" s="10"/>
      <c r="S477" s="10"/>
      <c r="T477" s="10"/>
      <c r="U477" s="10"/>
      <c r="V477" s="4" t="s">
        <v>23</v>
      </c>
      <c r="W477" s="4"/>
      <c r="X477" s="8">
        <v>45204</v>
      </c>
      <c r="Y477" s="4"/>
      <c r="Z477" s="4"/>
      <c r="AA477" s="8">
        <v>45206</v>
      </c>
      <c r="AB477" s="8">
        <v>45206</v>
      </c>
      <c r="AC477" s="4"/>
      <c r="AD477" s="4"/>
    </row>
    <row r="478" spans="1:30" hidden="1">
      <c r="A478" s="4">
        <v>835</v>
      </c>
      <c r="B478" s="8">
        <v>45188</v>
      </c>
      <c r="C478" s="4"/>
      <c r="D478" s="4" t="s">
        <v>42</v>
      </c>
      <c r="E478" s="8">
        <v>45206</v>
      </c>
      <c r="F478" s="4" t="s">
        <v>43</v>
      </c>
      <c r="G478" s="16" t="s">
        <v>51</v>
      </c>
      <c r="H478" s="4" t="s">
        <v>52</v>
      </c>
      <c r="I478" s="4" t="s">
        <v>472</v>
      </c>
      <c r="J478" s="10">
        <v>4.4232000000000005</v>
      </c>
      <c r="K478" s="10">
        <v>4.4779999999999998</v>
      </c>
      <c r="L478" s="10">
        <f t="shared" si="84"/>
        <v>0</v>
      </c>
      <c r="M478" s="10">
        <f t="shared" si="85"/>
        <v>0</v>
      </c>
      <c r="N478" s="10"/>
      <c r="O478" s="10"/>
      <c r="P478" s="10">
        <v>0</v>
      </c>
      <c r="Q478" s="10"/>
      <c r="R478" s="10"/>
      <c r="S478" s="10"/>
      <c r="T478" s="10"/>
      <c r="U478" s="10"/>
      <c r="V478" s="4" t="s">
        <v>23</v>
      </c>
      <c r="W478" s="4"/>
      <c r="X478" s="8"/>
      <c r="Y478" s="4"/>
      <c r="Z478" s="4"/>
      <c r="AA478" s="8">
        <v>45203</v>
      </c>
      <c r="AB478" s="8">
        <v>45203</v>
      </c>
      <c r="AC478" s="4"/>
      <c r="AD478" s="4"/>
    </row>
    <row r="479" spans="1:30" hidden="1">
      <c r="A479" s="4">
        <v>835</v>
      </c>
      <c r="B479" s="8">
        <v>45188</v>
      </c>
      <c r="C479" s="4"/>
      <c r="D479" s="4" t="s">
        <v>42</v>
      </c>
      <c r="E479" s="8">
        <v>45206</v>
      </c>
      <c r="F479" s="4" t="s">
        <v>43</v>
      </c>
      <c r="G479" s="16" t="s">
        <v>51</v>
      </c>
      <c r="H479" s="4" t="s">
        <v>52</v>
      </c>
      <c r="I479" s="4" t="s">
        <v>473</v>
      </c>
      <c r="J479" s="10">
        <v>1.734</v>
      </c>
      <c r="K479" s="10">
        <v>1.7490000000000001</v>
      </c>
      <c r="L479" s="10">
        <f t="shared" si="84"/>
        <v>0</v>
      </c>
      <c r="M479" s="10">
        <f t="shared" si="85"/>
        <v>0</v>
      </c>
      <c r="N479" s="10"/>
      <c r="O479" s="10"/>
      <c r="P479" s="10">
        <v>0</v>
      </c>
      <c r="Q479" s="10"/>
      <c r="R479" s="10"/>
      <c r="S479" s="10"/>
      <c r="T479" s="10"/>
      <c r="U479" s="10"/>
      <c r="V479" s="4" t="s">
        <v>23</v>
      </c>
      <c r="W479" s="4"/>
      <c r="X479" s="8"/>
      <c r="Y479" s="4"/>
      <c r="Z479" s="4"/>
      <c r="AA479" s="8">
        <v>45203</v>
      </c>
      <c r="AB479" s="8">
        <v>45203</v>
      </c>
      <c r="AC479" s="4"/>
      <c r="AD479" s="4"/>
    </row>
    <row r="480" spans="1:30" hidden="1">
      <c r="A480" s="4">
        <v>835</v>
      </c>
      <c r="B480" s="8">
        <v>45188</v>
      </c>
      <c r="C480" s="4"/>
      <c r="D480" s="4" t="s">
        <v>42</v>
      </c>
      <c r="E480" s="8">
        <v>45206</v>
      </c>
      <c r="F480" s="4" t="s">
        <v>43</v>
      </c>
      <c r="G480" s="40" t="s">
        <v>126</v>
      </c>
      <c r="H480" s="4" t="s">
        <v>45</v>
      </c>
      <c r="I480" s="4" t="s">
        <v>57</v>
      </c>
      <c r="J480" s="10">
        <v>2.1456</v>
      </c>
      <c r="K480" s="10">
        <v>2.1659999999999999</v>
      </c>
      <c r="L480" s="10">
        <f t="shared" si="84"/>
        <v>0</v>
      </c>
      <c r="M480" s="10">
        <f t="shared" si="85"/>
        <v>0</v>
      </c>
      <c r="N480" s="10"/>
      <c r="O480" s="10"/>
      <c r="P480" s="10">
        <v>0</v>
      </c>
      <c r="Q480" s="10"/>
      <c r="R480" s="10"/>
      <c r="S480" s="10"/>
      <c r="T480" s="10"/>
      <c r="U480" s="10"/>
      <c r="V480" s="4" t="s">
        <v>23</v>
      </c>
      <c r="W480" s="4"/>
      <c r="X480" s="8"/>
      <c r="Y480" s="4"/>
      <c r="Z480" s="4"/>
      <c r="AA480" s="8"/>
      <c r="AB480" s="8"/>
      <c r="AC480" s="4"/>
      <c r="AD480" s="4"/>
    </row>
    <row r="481" spans="1:30" hidden="1">
      <c r="A481" s="4">
        <v>835</v>
      </c>
      <c r="B481" s="8">
        <v>45188</v>
      </c>
      <c r="C481" s="4"/>
      <c r="D481" s="4" t="s">
        <v>42</v>
      </c>
      <c r="E481" s="8">
        <v>45206</v>
      </c>
      <c r="F481" s="4" t="s">
        <v>43</v>
      </c>
      <c r="G481" s="40" t="s">
        <v>126</v>
      </c>
      <c r="H481" s="4" t="s">
        <v>45</v>
      </c>
      <c r="I481" s="4" t="s">
        <v>54</v>
      </c>
      <c r="J481" s="10">
        <v>0.1656</v>
      </c>
      <c r="K481" s="10">
        <v>0.16700000000000001</v>
      </c>
      <c r="L481" s="10">
        <f t="shared" si="84"/>
        <v>0</v>
      </c>
      <c r="M481" s="10">
        <f t="shared" si="85"/>
        <v>0</v>
      </c>
      <c r="N481" s="10"/>
      <c r="O481" s="10"/>
      <c r="P481" s="10">
        <v>0</v>
      </c>
      <c r="Q481" s="10"/>
      <c r="R481" s="10"/>
      <c r="S481" s="10"/>
      <c r="T481" s="10"/>
      <c r="U481" s="10"/>
      <c r="V481" s="4" t="s">
        <v>23</v>
      </c>
      <c r="W481" s="4"/>
      <c r="X481" s="8"/>
      <c r="Y481" s="4"/>
      <c r="Z481" s="4"/>
      <c r="AA481" s="8">
        <v>45215</v>
      </c>
      <c r="AB481" s="8">
        <v>45215</v>
      </c>
      <c r="AC481" s="4"/>
      <c r="AD481" s="4"/>
    </row>
    <row r="482" spans="1:30" hidden="1">
      <c r="A482" s="4">
        <v>835</v>
      </c>
      <c r="B482" s="8">
        <v>45188</v>
      </c>
      <c r="C482" s="4"/>
      <c r="D482" s="4" t="s">
        <v>42</v>
      </c>
      <c r="E482" s="8">
        <v>45206</v>
      </c>
      <c r="F482" s="4" t="s">
        <v>43</v>
      </c>
      <c r="G482" s="40" t="s">
        <v>126</v>
      </c>
      <c r="H482" s="4" t="s">
        <v>45</v>
      </c>
      <c r="I482" s="4" t="s">
        <v>56</v>
      </c>
      <c r="J482" s="10">
        <v>3.8520000000000003</v>
      </c>
      <c r="K482" s="10">
        <f>0.643+2.704+0.515</f>
        <v>3.8620000000000005</v>
      </c>
      <c r="L482" s="10">
        <f t="shared" si="84"/>
        <v>0</v>
      </c>
      <c r="M482" s="10">
        <f t="shared" si="85"/>
        <v>0</v>
      </c>
      <c r="N482" s="10"/>
      <c r="O482" s="10"/>
      <c r="P482" s="10">
        <v>0</v>
      </c>
      <c r="Q482" s="10"/>
      <c r="R482" s="10"/>
      <c r="S482" s="10"/>
      <c r="T482" s="10"/>
      <c r="U482" s="10"/>
      <c r="V482" s="4" t="s">
        <v>23</v>
      </c>
      <c r="W482" s="4"/>
      <c r="X482" s="8"/>
      <c r="Y482" s="4"/>
      <c r="Z482" s="4"/>
      <c r="AA482" s="8">
        <v>45215</v>
      </c>
      <c r="AB482" s="8">
        <v>45215</v>
      </c>
      <c r="AC482" s="4"/>
      <c r="AD482" s="4"/>
    </row>
    <row r="483" spans="1:30" hidden="1">
      <c r="A483" s="4">
        <v>835</v>
      </c>
      <c r="B483" s="8">
        <v>45188</v>
      </c>
      <c r="C483" s="4"/>
      <c r="D483" s="4" t="s">
        <v>42</v>
      </c>
      <c r="E483" s="8">
        <v>45206</v>
      </c>
      <c r="F483" s="4" t="s">
        <v>43</v>
      </c>
      <c r="G483" s="40" t="s">
        <v>126</v>
      </c>
      <c r="H483" s="4" t="s">
        <v>45</v>
      </c>
      <c r="I483" s="4" t="s">
        <v>48</v>
      </c>
      <c r="J483" s="10">
        <v>12.0274</v>
      </c>
      <c r="K483" s="10">
        <f>4.994+7.113</f>
        <v>12.106999999999999</v>
      </c>
      <c r="L483" s="10">
        <f t="shared" si="84"/>
        <v>0</v>
      </c>
      <c r="M483" s="10">
        <f t="shared" si="85"/>
        <v>0</v>
      </c>
      <c r="N483" s="10"/>
      <c r="O483" s="10"/>
      <c r="P483" s="10">
        <v>0</v>
      </c>
      <c r="Q483" s="10"/>
      <c r="R483" s="10"/>
      <c r="S483" s="10"/>
      <c r="T483" s="10"/>
      <c r="U483" s="10"/>
      <c r="V483" s="4" t="s">
        <v>23</v>
      </c>
      <c r="W483" s="4"/>
      <c r="X483" s="8"/>
      <c r="Y483" s="4"/>
      <c r="Z483" s="4"/>
      <c r="AA483" s="8"/>
      <c r="AB483" s="8"/>
      <c r="AC483" s="4"/>
      <c r="AD483" s="4"/>
    </row>
    <row r="484" spans="1:30" hidden="1">
      <c r="A484" s="4">
        <v>835</v>
      </c>
      <c r="B484" s="8">
        <v>45188</v>
      </c>
      <c r="C484" s="4"/>
      <c r="D484" s="4" t="s">
        <v>42</v>
      </c>
      <c r="E484" s="8">
        <v>45206</v>
      </c>
      <c r="F484" s="4" t="s">
        <v>43</v>
      </c>
      <c r="G484" s="40" t="s">
        <v>126</v>
      </c>
      <c r="H484" s="4" t="s">
        <v>45</v>
      </c>
      <c r="I484" s="4" t="s">
        <v>403</v>
      </c>
      <c r="J484" s="10">
        <v>1.1952</v>
      </c>
      <c r="K484" s="10">
        <v>1.194</v>
      </c>
      <c r="L484" s="10">
        <f t="shared" ref="L484:L520" si="86">M484+U484</f>
        <v>0</v>
      </c>
      <c r="M484" s="10">
        <f t="shared" ref="M484:M517" si="87">SUM(N484:T484)</f>
        <v>0</v>
      </c>
      <c r="N484" s="10"/>
      <c r="O484" s="10"/>
      <c r="P484" s="10">
        <v>0</v>
      </c>
      <c r="Q484" s="10"/>
      <c r="R484" s="10"/>
      <c r="S484" s="10"/>
      <c r="T484" s="10"/>
      <c r="U484" s="10"/>
      <c r="V484" s="4" t="s">
        <v>23</v>
      </c>
      <c r="W484" s="4" t="s">
        <v>37</v>
      </c>
      <c r="X484" s="8">
        <v>45204</v>
      </c>
      <c r="Y484" s="4"/>
      <c r="Z484" s="4"/>
      <c r="AA484" s="8"/>
      <c r="AB484" s="8"/>
      <c r="AC484" s="4"/>
      <c r="AD484" s="4"/>
    </row>
    <row r="485" spans="1:30" hidden="1">
      <c r="A485" s="4">
        <v>835</v>
      </c>
      <c r="B485" s="8">
        <v>45188</v>
      </c>
      <c r="C485" s="4"/>
      <c r="D485" s="4" t="s">
        <v>42</v>
      </c>
      <c r="E485" s="8">
        <v>45206</v>
      </c>
      <c r="F485" s="4" t="s">
        <v>43</v>
      </c>
      <c r="G485" s="40" t="s">
        <v>126</v>
      </c>
      <c r="H485" s="4" t="s">
        <v>45</v>
      </c>
      <c r="I485" s="4" t="s">
        <v>46</v>
      </c>
      <c r="J485" s="10">
        <v>8.0399999999999999E-2</v>
      </c>
      <c r="K485" s="10">
        <v>0.123</v>
      </c>
      <c r="L485" s="10">
        <f t="shared" si="86"/>
        <v>0</v>
      </c>
      <c r="M485" s="10">
        <f t="shared" si="87"/>
        <v>0</v>
      </c>
      <c r="N485" s="10"/>
      <c r="O485" s="10"/>
      <c r="P485" s="10">
        <v>0</v>
      </c>
      <c r="Q485" s="10"/>
      <c r="R485" s="10"/>
      <c r="S485" s="10"/>
      <c r="T485" s="10"/>
      <c r="U485" s="10"/>
      <c r="V485" s="4" t="s">
        <v>23</v>
      </c>
      <c r="W485" s="4" t="s">
        <v>37</v>
      </c>
      <c r="X485" s="8">
        <v>45204</v>
      </c>
      <c r="Y485" s="4"/>
      <c r="Z485" s="4"/>
      <c r="AA485" s="8"/>
      <c r="AB485" s="8"/>
      <c r="AC485" s="4"/>
      <c r="AD485" s="4"/>
    </row>
    <row r="486" spans="1:30" hidden="1">
      <c r="A486" s="4">
        <v>835</v>
      </c>
      <c r="B486" s="8">
        <v>45188</v>
      </c>
      <c r="C486" s="4"/>
      <c r="D486" s="4" t="s">
        <v>42</v>
      </c>
      <c r="E486" s="8">
        <v>45206</v>
      </c>
      <c r="F486" s="4" t="s">
        <v>43</v>
      </c>
      <c r="G486" s="40" t="s">
        <v>126</v>
      </c>
      <c r="H486" s="4" t="s">
        <v>45</v>
      </c>
      <c r="I486" s="4" t="s">
        <v>519</v>
      </c>
      <c r="J486" s="10">
        <v>0.45800000000000002</v>
      </c>
      <c r="K486" s="10">
        <v>0.45900000000000002</v>
      </c>
      <c r="L486" s="10">
        <f t="shared" si="86"/>
        <v>0</v>
      </c>
      <c r="M486" s="10">
        <f t="shared" si="87"/>
        <v>0</v>
      </c>
      <c r="N486" s="10"/>
      <c r="O486" s="10"/>
      <c r="P486" s="10">
        <v>0</v>
      </c>
      <c r="Q486" s="10"/>
      <c r="R486" s="10"/>
      <c r="S486" s="10"/>
      <c r="T486" s="10"/>
      <c r="U486" s="10"/>
      <c r="V486" s="4" t="s">
        <v>23</v>
      </c>
      <c r="W486" s="4"/>
      <c r="X486" s="8">
        <v>45194</v>
      </c>
      <c r="Y486" s="4"/>
      <c r="Z486" s="4"/>
      <c r="AA486" s="8">
        <v>45203</v>
      </c>
      <c r="AB486" s="8">
        <v>45203</v>
      </c>
      <c r="AC486" s="4"/>
      <c r="AD486" s="4"/>
    </row>
    <row r="487" spans="1:30" hidden="1">
      <c r="A487" s="4">
        <v>835</v>
      </c>
      <c r="B487" s="8">
        <v>45188</v>
      </c>
      <c r="C487" s="4"/>
      <c r="D487" s="4" t="s">
        <v>42</v>
      </c>
      <c r="E487" s="8">
        <v>45206</v>
      </c>
      <c r="F487" s="4" t="s">
        <v>43</v>
      </c>
      <c r="G487" s="40" t="s">
        <v>126</v>
      </c>
      <c r="H487" s="4" t="s">
        <v>45</v>
      </c>
      <c r="I487" s="4" t="s">
        <v>517</v>
      </c>
      <c r="J487" s="10">
        <v>3.5626499999999997</v>
      </c>
      <c r="K487" s="10">
        <v>3.5609999999999999</v>
      </c>
      <c r="L487" s="10">
        <f t="shared" si="86"/>
        <v>0</v>
      </c>
      <c r="M487" s="10">
        <f t="shared" si="87"/>
        <v>0</v>
      </c>
      <c r="N487" s="10"/>
      <c r="O487" s="10"/>
      <c r="P487" s="10">
        <v>0</v>
      </c>
      <c r="Q487" s="10"/>
      <c r="R487" s="10"/>
      <c r="S487" s="10"/>
      <c r="T487" s="10"/>
      <c r="U487" s="10"/>
      <c r="V487" s="4" t="s">
        <v>23</v>
      </c>
      <c r="W487" s="4"/>
      <c r="X487" s="8">
        <v>45195</v>
      </c>
      <c r="Y487" s="4"/>
      <c r="Z487" s="4"/>
      <c r="AA487" s="8">
        <v>45203</v>
      </c>
      <c r="AB487" s="8">
        <v>45203</v>
      </c>
      <c r="AC487" s="4"/>
      <c r="AD487" s="4"/>
    </row>
    <row r="488" spans="1:30" hidden="1">
      <c r="A488" s="4">
        <v>835</v>
      </c>
      <c r="B488" s="8">
        <v>45188</v>
      </c>
      <c r="C488" s="4"/>
      <c r="D488" s="4" t="s">
        <v>42</v>
      </c>
      <c r="E488" s="8">
        <v>45206</v>
      </c>
      <c r="F488" s="4" t="s">
        <v>43</v>
      </c>
      <c r="G488" s="40" t="s">
        <v>126</v>
      </c>
      <c r="H488" s="4" t="s">
        <v>45</v>
      </c>
      <c r="I488" s="4" t="s">
        <v>518</v>
      </c>
      <c r="J488" s="10">
        <v>1.0672200000000001</v>
      </c>
      <c r="K488" s="10">
        <v>1.0680000000000001</v>
      </c>
      <c r="L488" s="10">
        <f t="shared" si="86"/>
        <v>0</v>
      </c>
      <c r="M488" s="10">
        <f t="shared" si="87"/>
        <v>0</v>
      </c>
      <c r="N488" s="10"/>
      <c r="O488" s="10"/>
      <c r="P488" s="10">
        <v>0</v>
      </c>
      <c r="Q488" s="10"/>
      <c r="R488" s="10"/>
      <c r="S488" s="10"/>
      <c r="T488" s="10"/>
      <c r="U488" s="10"/>
      <c r="V488" s="4" t="s">
        <v>23</v>
      </c>
      <c r="W488" s="4"/>
      <c r="X488" s="8">
        <v>45195</v>
      </c>
      <c r="Y488" s="4"/>
      <c r="Z488" s="4"/>
      <c r="AA488" s="8">
        <v>45203</v>
      </c>
      <c r="AB488" s="8">
        <v>45203</v>
      </c>
      <c r="AC488" s="4"/>
      <c r="AD488" s="4"/>
    </row>
    <row r="489" spans="1:30" hidden="1">
      <c r="A489" s="4">
        <v>835</v>
      </c>
      <c r="B489" s="8">
        <v>45188</v>
      </c>
      <c r="C489" s="4"/>
      <c r="D489" s="4" t="s">
        <v>42</v>
      </c>
      <c r="E489" s="8">
        <v>45206</v>
      </c>
      <c r="F489" s="4" t="s">
        <v>43</v>
      </c>
      <c r="G489" s="40" t="s">
        <v>126</v>
      </c>
      <c r="H489" s="4" t="s">
        <v>45</v>
      </c>
      <c r="I489" s="4" t="s">
        <v>472</v>
      </c>
      <c r="J489" s="10">
        <v>5.7000000000000002E-2</v>
      </c>
      <c r="K489" s="10">
        <v>6.9000000000000006E-2</v>
      </c>
      <c r="L489" s="10">
        <f t="shared" si="86"/>
        <v>0</v>
      </c>
      <c r="M489" s="10">
        <f t="shared" si="87"/>
        <v>0</v>
      </c>
      <c r="N489" s="10"/>
      <c r="O489" s="10"/>
      <c r="P489" s="10"/>
      <c r="Q489" s="10"/>
      <c r="R489" s="10">
        <v>0</v>
      </c>
      <c r="S489" s="10"/>
      <c r="T489" s="10"/>
      <c r="U489" s="10"/>
      <c r="V489" s="4" t="s">
        <v>23</v>
      </c>
      <c r="W489" s="4"/>
      <c r="X489" s="8"/>
      <c r="Y489" s="4"/>
      <c r="Z489" s="4"/>
      <c r="AA489" s="8">
        <v>45203</v>
      </c>
      <c r="AB489" s="8">
        <v>45203</v>
      </c>
      <c r="AC489" s="4"/>
      <c r="AD489" s="4"/>
    </row>
    <row r="490" spans="1:30" hidden="1">
      <c r="A490" s="4">
        <v>835</v>
      </c>
      <c r="B490" s="8">
        <v>45188</v>
      </c>
      <c r="C490" s="4"/>
      <c r="D490" s="4" t="s">
        <v>42</v>
      </c>
      <c r="E490" s="8">
        <v>45206</v>
      </c>
      <c r="F490" s="4" t="s">
        <v>43</v>
      </c>
      <c r="G490" s="40" t="s">
        <v>126</v>
      </c>
      <c r="H490" s="4" t="s">
        <v>45</v>
      </c>
      <c r="I490" s="4" t="s">
        <v>473</v>
      </c>
      <c r="J490" s="10">
        <v>0.24480000000000002</v>
      </c>
      <c r="K490" s="10">
        <v>0.247</v>
      </c>
      <c r="L490" s="10">
        <f t="shared" si="86"/>
        <v>0</v>
      </c>
      <c r="M490" s="10">
        <f t="shared" si="87"/>
        <v>0</v>
      </c>
      <c r="N490" s="10"/>
      <c r="O490" s="10"/>
      <c r="P490" s="10"/>
      <c r="Q490" s="10"/>
      <c r="R490" s="10">
        <v>0</v>
      </c>
      <c r="S490" s="10"/>
      <c r="T490" s="10"/>
      <c r="U490" s="10"/>
      <c r="V490" s="4" t="s">
        <v>23</v>
      </c>
      <c r="W490" s="4"/>
      <c r="X490" s="8"/>
      <c r="Y490" s="4"/>
      <c r="Z490" s="4"/>
      <c r="AA490" s="8">
        <v>45203</v>
      </c>
      <c r="AB490" s="8">
        <v>45203</v>
      </c>
      <c r="AC490" s="4"/>
      <c r="AD490" s="4"/>
    </row>
    <row r="491" spans="1:30" hidden="1">
      <c r="A491" s="4">
        <v>835</v>
      </c>
      <c r="B491" s="8">
        <v>45188</v>
      </c>
      <c r="C491" s="4"/>
      <c r="D491" s="4" t="s">
        <v>42</v>
      </c>
      <c r="E491" s="8">
        <v>45206</v>
      </c>
      <c r="F491" s="4" t="s">
        <v>43</v>
      </c>
      <c r="G491" s="40" t="s">
        <v>1142</v>
      </c>
      <c r="H491" s="4" t="s">
        <v>52</v>
      </c>
      <c r="I491" s="4" t="s">
        <v>57</v>
      </c>
      <c r="J491" s="10">
        <v>0.51851999999999998</v>
      </c>
      <c r="K491" s="10">
        <v>0.52300000000000002</v>
      </c>
      <c r="L491" s="10">
        <f t="shared" si="86"/>
        <v>0</v>
      </c>
      <c r="M491" s="10">
        <f t="shared" si="87"/>
        <v>0</v>
      </c>
      <c r="N491" s="10"/>
      <c r="O491" s="10"/>
      <c r="P491" s="10">
        <v>0</v>
      </c>
      <c r="Q491" s="10"/>
      <c r="R491" s="10"/>
      <c r="S491" s="10"/>
      <c r="T491" s="10"/>
      <c r="U491" s="10"/>
      <c r="V491" s="4" t="s">
        <v>23</v>
      </c>
      <c r="W491" s="4"/>
      <c r="X491" s="8"/>
      <c r="Y491" s="4"/>
      <c r="Z491" s="4"/>
      <c r="AA491" s="8"/>
      <c r="AB491" s="8"/>
      <c r="AC491" s="4"/>
      <c r="AD491" s="4"/>
    </row>
    <row r="492" spans="1:30" hidden="1">
      <c r="A492" s="4">
        <v>835</v>
      </c>
      <c r="B492" s="8">
        <v>45188</v>
      </c>
      <c r="C492" s="4"/>
      <c r="D492" s="4" t="s">
        <v>42</v>
      </c>
      <c r="E492" s="8">
        <v>45206</v>
      </c>
      <c r="F492" s="4" t="s">
        <v>43</v>
      </c>
      <c r="G492" s="40" t="s">
        <v>1142</v>
      </c>
      <c r="H492" s="4" t="s">
        <v>52</v>
      </c>
      <c r="I492" s="4" t="s">
        <v>54</v>
      </c>
      <c r="J492" s="10">
        <v>2.6404000000000001</v>
      </c>
      <c r="K492" s="10">
        <f>1.764+0.306+0.588</f>
        <v>2.6579999999999999</v>
      </c>
      <c r="L492" s="10">
        <f t="shared" si="86"/>
        <v>0</v>
      </c>
      <c r="M492" s="10">
        <f t="shared" si="87"/>
        <v>0</v>
      </c>
      <c r="N492" s="10"/>
      <c r="O492" s="10"/>
      <c r="P492" s="10">
        <v>0</v>
      </c>
      <c r="Q492" s="10"/>
      <c r="R492" s="10"/>
      <c r="S492" s="10"/>
      <c r="T492" s="10"/>
      <c r="U492" s="10"/>
      <c r="V492" s="4" t="s">
        <v>23</v>
      </c>
      <c r="W492" s="4"/>
      <c r="X492" s="8"/>
      <c r="Y492" s="4"/>
      <c r="Z492" s="4"/>
      <c r="AA492" s="8">
        <v>45215</v>
      </c>
      <c r="AB492" s="8">
        <v>45215</v>
      </c>
      <c r="AC492" s="4"/>
      <c r="AD492" s="4"/>
    </row>
    <row r="493" spans="1:30" hidden="1">
      <c r="A493" s="4">
        <v>835</v>
      </c>
      <c r="B493" s="8">
        <v>45188</v>
      </c>
      <c r="C493" s="4"/>
      <c r="D493" s="4" t="s">
        <v>42</v>
      </c>
      <c r="E493" s="8">
        <v>45206</v>
      </c>
      <c r="F493" s="4" t="s">
        <v>43</v>
      </c>
      <c r="G493" s="40" t="s">
        <v>1142</v>
      </c>
      <c r="H493" s="4" t="s">
        <v>52</v>
      </c>
      <c r="I493" s="4" t="s">
        <v>56</v>
      </c>
      <c r="J493" s="10">
        <v>1.9687999999999999</v>
      </c>
      <c r="K493" s="10">
        <f>0.37+1.604</f>
        <v>1.9740000000000002</v>
      </c>
      <c r="L493" s="10">
        <f t="shared" si="86"/>
        <v>0</v>
      </c>
      <c r="M493" s="10">
        <f t="shared" si="87"/>
        <v>0</v>
      </c>
      <c r="N493" s="10"/>
      <c r="O493" s="10"/>
      <c r="P493" s="10">
        <v>0</v>
      </c>
      <c r="Q493" s="10"/>
      <c r="R493" s="10"/>
      <c r="S493" s="10"/>
      <c r="T493" s="10"/>
      <c r="U493" s="10"/>
      <c r="V493" s="4" t="s">
        <v>23</v>
      </c>
      <c r="W493" s="4"/>
      <c r="X493" s="8"/>
      <c r="Y493" s="4"/>
      <c r="Z493" s="4"/>
      <c r="AA493" s="8"/>
      <c r="AB493" s="8"/>
      <c r="AC493" s="4"/>
      <c r="AD493" s="4"/>
    </row>
    <row r="494" spans="1:30" hidden="1">
      <c r="A494" s="4">
        <v>835</v>
      </c>
      <c r="B494" s="8">
        <v>45188</v>
      </c>
      <c r="C494" s="4"/>
      <c r="D494" s="4" t="s">
        <v>42</v>
      </c>
      <c r="E494" s="8">
        <v>45206</v>
      </c>
      <c r="F494" s="4" t="s">
        <v>43</v>
      </c>
      <c r="G494" s="40" t="s">
        <v>1142</v>
      </c>
      <c r="H494" s="4" t="s">
        <v>52</v>
      </c>
      <c r="I494" s="4" t="s">
        <v>48</v>
      </c>
      <c r="J494" s="10">
        <v>0.50819999999999999</v>
      </c>
      <c r="K494" s="10">
        <v>0.51200000000000001</v>
      </c>
      <c r="L494" s="10">
        <f t="shared" si="86"/>
        <v>0</v>
      </c>
      <c r="M494" s="10">
        <f t="shared" si="87"/>
        <v>0</v>
      </c>
      <c r="N494" s="10"/>
      <c r="O494" s="10"/>
      <c r="P494" s="10">
        <v>0</v>
      </c>
      <c r="Q494" s="10"/>
      <c r="R494" s="10"/>
      <c r="S494" s="10"/>
      <c r="T494" s="10"/>
      <c r="U494" s="10"/>
      <c r="V494" s="4" t="s">
        <v>23</v>
      </c>
      <c r="W494" s="4"/>
      <c r="X494" s="8"/>
      <c r="Y494" s="4"/>
      <c r="Z494" s="4"/>
      <c r="AA494" s="8"/>
      <c r="AB494" s="8"/>
      <c r="AC494" s="4"/>
      <c r="AD494" s="4"/>
    </row>
    <row r="495" spans="1:30" hidden="1">
      <c r="A495" s="4">
        <v>835</v>
      </c>
      <c r="B495" s="8">
        <v>45188</v>
      </c>
      <c r="C495" s="4"/>
      <c r="D495" s="4" t="s">
        <v>42</v>
      </c>
      <c r="E495" s="8">
        <v>45206</v>
      </c>
      <c r="F495" s="4" t="s">
        <v>43</v>
      </c>
      <c r="G495" s="40" t="s">
        <v>1142</v>
      </c>
      <c r="H495" s="4" t="s">
        <v>52</v>
      </c>
      <c r="I495" s="4" t="s">
        <v>46</v>
      </c>
      <c r="J495" s="10">
        <v>1.8759999999999999</v>
      </c>
      <c r="K495" s="10">
        <v>1.881</v>
      </c>
      <c r="L495" s="10">
        <f t="shared" si="86"/>
        <v>0</v>
      </c>
      <c r="M495" s="10">
        <f t="shared" si="87"/>
        <v>0</v>
      </c>
      <c r="N495" s="10"/>
      <c r="O495" s="10">
        <v>0</v>
      </c>
      <c r="P495" s="10"/>
      <c r="Q495" s="10"/>
      <c r="R495" s="10"/>
      <c r="S495" s="10"/>
      <c r="T495" s="10"/>
      <c r="U495" s="10"/>
      <c r="V495" s="4" t="s">
        <v>23</v>
      </c>
      <c r="W495" s="4"/>
      <c r="X495" s="8">
        <v>45204</v>
      </c>
      <c r="Y495" s="4"/>
      <c r="Z495" s="4"/>
      <c r="AA495" s="8">
        <v>45206</v>
      </c>
      <c r="AB495" s="8">
        <v>45206</v>
      </c>
      <c r="AC495" s="4"/>
      <c r="AD495" s="4"/>
    </row>
    <row r="496" spans="1:30" hidden="1">
      <c r="A496" s="4">
        <v>835</v>
      </c>
      <c r="B496" s="8">
        <v>45188</v>
      </c>
      <c r="C496" s="4"/>
      <c r="D496" s="4" t="s">
        <v>42</v>
      </c>
      <c r="E496" s="8">
        <v>45206</v>
      </c>
      <c r="F496" s="4" t="s">
        <v>43</v>
      </c>
      <c r="G496" s="40" t="s">
        <v>1142</v>
      </c>
      <c r="H496" s="4" t="s">
        <v>52</v>
      </c>
      <c r="I496" s="4" t="s">
        <v>472</v>
      </c>
      <c r="J496" s="10">
        <v>1.026</v>
      </c>
      <c r="K496" s="10">
        <v>1.0389999999999999</v>
      </c>
      <c r="L496" s="10">
        <f t="shared" si="86"/>
        <v>0</v>
      </c>
      <c r="M496" s="10">
        <f t="shared" si="87"/>
        <v>0</v>
      </c>
      <c r="N496" s="10"/>
      <c r="O496" s="10"/>
      <c r="P496" s="10"/>
      <c r="Q496" s="10"/>
      <c r="R496" s="10">
        <v>0</v>
      </c>
      <c r="S496" s="10"/>
      <c r="T496" s="10"/>
      <c r="U496" s="10"/>
      <c r="V496" s="4" t="s">
        <v>23</v>
      </c>
      <c r="W496" s="4"/>
      <c r="X496" s="8"/>
      <c r="Y496" s="4"/>
      <c r="Z496" s="4"/>
      <c r="AA496" s="8">
        <v>45203</v>
      </c>
      <c r="AB496" s="8">
        <v>45203</v>
      </c>
      <c r="AC496" s="4"/>
      <c r="AD496" s="4"/>
    </row>
    <row r="497" spans="1:30" hidden="1">
      <c r="A497" s="4">
        <v>835</v>
      </c>
      <c r="B497" s="8">
        <v>45188</v>
      </c>
      <c r="C497" s="4"/>
      <c r="D497" s="4" t="s">
        <v>42</v>
      </c>
      <c r="E497" s="8">
        <v>45206</v>
      </c>
      <c r="F497" s="4" t="s">
        <v>43</v>
      </c>
      <c r="G497" s="40" t="s">
        <v>1142</v>
      </c>
      <c r="H497" s="4" t="s">
        <v>52</v>
      </c>
      <c r="I497" s="4" t="s">
        <v>473</v>
      </c>
      <c r="J497" s="10">
        <v>0.5474</v>
      </c>
      <c r="K497" s="10">
        <v>0.55200000000000005</v>
      </c>
      <c r="L497" s="10">
        <f t="shared" si="86"/>
        <v>0</v>
      </c>
      <c r="M497" s="10">
        <f t="shared" si="87"/>
        <v>0</v>
      </c>
      <c r="N497" s="10"/>
      <c r="O497" s="10"/>
      <c r="P497" s="10"/>
      <c r="Q497" s="10"/>
      <c r="R497" s="10">
        <v>0</v>
      </c>
      <c r="S497" s="10"/>
      <c r="T497" s="10"/>
      <c r="U497" s="10"/>
      <c r="V497" s="4" t="s">
        <v>23</v>
      </c>
      <c r="W497" s="4"/>
      <c r="X497" s="8"/>
      <c r="Y497" s="4"/>
      <c r="Z497" s="4"/>
      <c r="AA497" s="8">
        <v>45203</v>
      </c>
      <c r="AB497" s="8">
        <v>45203</v>
      </c>
      <c r="AC497" s="4"/>
      <c r="AD497" s="4"/>
    </row>
    <row r="498" spans="1:30" hidden="1">
      <c r="A498" s="4">
        <v>836</v>
      </c>
      <c r="B498" s="8">
        <v>45188</v>
      </c>
      <c r="C498" s="4"/>
      <c r="D498" s="4" t="s">
        <v>42</v>
      </c>
      <c r="E498" s="8">
        <v>45206</v>
      </c>
      <c r="F498" s="4" t="s">
        <v>840</v>
      </c>
      <c r="G498" s="16" t="s">
        <v>44</v>
      </c>
      <c r="H498" s="4" t="s">
        <v>45</v>
      </c>
      <c r="I498" s="4" t="s">
        <v>54</v>
      </c>
      <c r="J498" s="10">
        <v>85.614255999999997</v>
      </c>
      <c r="K498" s="10">
        <f>9.734+35.532+19.078+1.277+11.989+0.389+5.707+1.914</f>
        <v>85.61999999999999</v>
      </c>
      <c r="L498" s="10">
        <f t="shared" si="86"/>
        <v>0</v>
      </c>
      <c r="M498" s="10">
        <f t="shared" si="87"/>
        <v>0</v>
      </c>
      <c r="N498" s="10"/>
      <c r="O498" s="10"/>
      <c r="P498" s="10">
        <v>0</v>
      </c>
      <c r="Q498" s="10"/>
      <c r="R498" s="10"/>
      <c r="S498" s="10"/>
      <c r="T498" s="10"/>
      <c r="U498" s="10"/>
      <c r="V498" s="4" t="s">
        <v>841</v>
      </c>
      <c r="W498" s="4"/>
      <c r="X498" s="8">
        <v>45206</v>
      </c>
      <c r="Y498" s="4"/>
      <c r="Z498" s="4"/>
      <c r="AA498" s="8">
        <v>45220</v>
      </c>
      <c r="AB498" s="8">
        <v>45228</v>
      </c>
      <c r="AC498" s="4"/>
      <c r="AD498" s="4"/>
    </row>
    <row r="499" spans="1:30" hidden="1">
      <c r="A499" s="4">
        <v>836</v>
      </c>
      <c r="B499" s="8">
        <v>45188</v>
      </c>
      <c r="C499" s="4" t="s">
        <v>1251</v>
      </c>
      <c r="D499" s="4" t="s">
        <v>397</v>
      </c>
      <c r="E499" s="8">
        <v>45206</v>
      </c>
      <c r="F499" s="4" t="s">
        <v>840</v>
      </c>
      <c r="G499" s="16" t="s">
        <v>44</v>
      </c>
      <c r="H499" s="4" t="s">
        <v>45</v>
      </c>
      <c r="I499" s="4" t="s">
        <v>56</v>
      </c>
      <c r="J499" s="10">
        <v>25.376449999999998</v>
      </c>
      <c r="K499" s="10">
        <f>2.881+15.816+4.314+2.441</f>
        <v>25.451999999999998</v>
      </c>
      <c r="L499" s="10">
        <f t="shared" si="86"/>
        <v>0</v>
      </c>
      <c r="M499" s="10">
        <f t="shared" si="87"/>
        <v>0</v>
      </c>
      <c r="N499" s="10"/>
      <c r="O499" s="10"/>
      <c r="P499" s="10">
        <v>0</v>
      </c>
      <c r="Q499" s="10"/>
      <c r="R499" s="10"/>
      <c r="S499" s="10"/>
      <c r="T499" s="10"/>
      <c r="U499" s="10"/>
      <c r="V499" s="4" t="s">
        <v>841</v>
      </c>
      <c r="W499" s="4"/>
      <c r="X499" s="8">
        <v>45206</v>
      </c>
      <c r="Y499" s="4"/>
      <c r="Z499" s="4"/>
      <c r="AA499" s="8">
        <v>45220</v>
      </c>
      <c r="AB499" s="8"/>
      <c r="AC499" s="4"/>
      <c r="AD499" s="4"/>
    </row>
    <row r="500" spans="1:30" hidden="1">
      <c r="A500" s="4">
        <v>836</v>
      </c>
      <c r="B500" s="8">
        <v>45188</v>
      </c>
      <c r="C500" s="4" t="s">
        <v>1251</v>
      </c>
      <c r="D500" s="4" t="s">
        <v>397</v>
      </c>
      <c r="E500" s="8">
        <v>45206</v>
      </c>
      <c r="F500" s="4" t="s">
        <v>840</v>
      </c>
      <c r="G500" s="16" t="s">
        <v>44</v>
      </c>
      <c r="H500" s="4" t="s">
        <v>45</v>
      </c>
      <c r="I500" s="4" t="s">
        <v>48</v>
      </c>
      <c r="J500" s="10">
        <v>15.357152999999998</v>
      </c>
      <c r="K500" s="10">
        <f>7.018+7.018+1.322</f>
        <v>15.358000000000001</v>
      </c>
      <c r="L500" s="10">
        <f t="shared" si="86"/>
        <v>0</v>
      </c>
      <c r="M500" s="10">
        <f t="shared" si="87"/>
        <v>0</v>
      </c>
      <c r="N500" s="10"/>
      <c r="O500" s="10"/>
      <c r="P500" s="10">
        <v>0</v>
      </c>
      <c r="Q500" s="10"/>
      <c r="R500" s="10"/>
      <c r="S500" s="10"/>
      <c r="T500" s="10"/>
      <c r="U500" s="10"/>
      <c r="V500" s="4" t="s">
        <v>841</v>
      </c>
      <c r="W500" s="4"/>
      <c r="X500" s="8">
        <v>45207</v>
      </c>
      <c r="Y500" s="4"/>
      <c r="Z500" s="4"/>
      <c r="AA500" s="8"/>
      <c r="AB500" s="8">
        <v>45226</v>
      </c>
      <c r="AC500" s="4"/>
      <c r="AD500" s="4"/>
    </row>
    <row r="501" spans="1:30" hidden="1">
      <c r="A501" s="4">
        <v>836</v>
      </c>
      <c r="B501" s="8">
        <v>45188</v>
      </c>
      <c r="C501" s="4"/>
      <c r="D501" s="4" t="s">
        <v>42</v>
      </c>
      <c r="E501" s="8">
        <v>45206</v>
      </c>
      <c r="F501" s="4" t="s">
        <v>840</v>
      </c>
      <c r="G501" s="16" t="s">
        <v>44</v>
      </c>
      <c r="H501" s="4" t="s">
        <v>45</v>
      </c>
      <c r="I501" s="4" t="s">
        <v>403</v>
      </c>
      <c r="J501" s="10">
        <v>0.27356999999999998</v>
      </c>
      <c r="K501" s="10">
        <v>0.28999999999999998</v>
      </c>
      <c r="L501" s="10">
        <f t="shared" si="86"/>
        <v>0</v>
      </c>
      <c r="M501" s="10">
        <f t="shared" si="87"/>
        <v>0</v>
      </c>
      <c r="N501" s="10"/>
      <c r="O501" s="10"/>
      <c r="P501" s="10">
        <v>0</v>
      </c>
      <c r="Q501" s="10"/>
      <c r="R501" s="10"/>
      <c r="S501" s="10"/>
      <c r="T501" s="10"/>
      <c r="U501" s="10"/>
      <c r="V501" s="4" t="s">
        <v>841</v>
      </c>
      <c r="W501" s="4" t="s">
        <v>521</v>
      </c>
      <c r="X501" s="8"/>
      <c r="Y501" s="4"/>
      <c r="Z501" s="4"/>
      <c r="AA501" s="8"/>
      <c r="AB501" s="8">
        <v>45226</v>
      </c>
      <c r="AC501" s="4"/>
      <c r="AD501" s="4"/>
    </row>
    <row r="502" spans="1:30" hidden="1">
      <c r="A502" s="4">
        <v>836</v>
      </c>
      <c r="B502" s="8">
        <v>45188</v>
      </c>
      <c r="C502" s="4"/>
      <c r="D502" s="4" t="s">
        <v>42</v>
      </c>
      <c r="E502" s="8">
        <v>45206</v>
      </c>
      <c r="F502" s="4" t="s">
        <v>840</v>
      </c>
      <c r="G502" s="16" t="s">
        <v>44</v>
      </c>
      <c r="H502" s="4" t="s">
        <v>45</v>
      </c>
      <c r="I502" s="4" t="s">
        <v>405</v>
      </c>
      <c r="J502" s="10">
        <v>12.847919999999998</v>
      </c>
      <c r="K502" s="10">
        <f>12.513+0.335</f>
        <v>12.848000000000001</v>
      </c>
      <c r="L502" s="10">
        <f t="shared" si="86"/>
        <v>0</v>
      </c>
      <c r="M502" s="10">
        <f t="shared" si="87"/>
        <v>0</v>
      </c>
      <c r="N502" s="10"/>
      <c r="O502" s="10"/>
      <c r="P502" s="10">
        <v>0</v>
      </c>
      <c r="Q502" s="10"/>
      <c r="R502" s="10"/>
      <c r="S502" s="10"/>
      <c r="T502" s="10"/>
      <c r="U502" s="10"/>
      <c r="V502" s="4" t="s">
        <v>841</v>
      </c>
      <c r="W502" s="4"/>
      <c r="X502" s="8">
        <v>45204</v>
      </c>
      <c r="Y502" s="4"/>
      <c r="Z502" s="4"/>
      <c r="AA502" s="8"/>
      <c r="AB502" s="8"/>
      <c r="AC502" s="4"/>
      <c r="AD502" s="4"/>
    </row>
    <row r="503" spans="1:30" hidden="1">
      <c r="A503" s="4">
        <v>836</v>
      </c>
      <c r="B503" s="8">
        <v>45188</v>
      </c>
      <c r="C503" s="4"/>
      <c r="D503" s="4" t="s">
        <v>42</v>
      </c>
      <c r="E503" s="8">
        <v>45206</v>
      </c>
      <c r="F503" s="4" t="s">
        <v>840</v>
      </c>
      <c r="G503" s="16" t="s">
        <v>44</v>
      </c>
      <c r="H503" s="4" t="s">
        <v>45</v>
      </c>
      <c r="I503" s="4" t="s">
        <v>400</v>
      </c>
      <c r="J503" s="10">
        <v>6.6375000000000011</v>
      </c>
      <c r="K503" s="10">
        <f>6.118+1.068-0.549</f>
        <v>6.6369999999999996</v>
      </c>
      <c r="L503" s="10">
        <f t="shared" si="86"/>
        <v>4.9999999999983391E-4</v>
      </c>
      <c r="M503" s="10">
        <f t="shared" si="87"/>
        <v>4.9999999999983391E-4</v>
      </c>
      <c r="N503" s="10"/>
      <c r="O503" s="10"/>
      <c r="P503" s="10">
        <f>6.6375-6.118-1.068+0.549</f>
        <v>4.9999999999983391E-4</v>
      </c>
      <c r="Q503" s="10"/>
      <c r="R503" s="10"/>
      <c r="S503" s="10"/>
      <c r="T503" s="10"/>
      <c r="U503" s="10"/>
      <c r="V503" s="4" t="s">
        <v>841</v>
      </c>
      <c r="W503" s="4"/>
      <c r="X503" s="8">
        <v>45204</v>
      </c>
      <c r="Y503" s="4"/>
      <c r="Z503" s="4"/>
      <c r="AA503" s="8"/>
      <c r="AB503" s="8"/>
      <c r="AC503" s="4"/>
      <c r="AD503" s="4"/>
    </row>
    <row r="504" spans="1:30" hidden="1">
      <c r="A504" s="4">
        <v>836</v>
      </c>
      <c r="B504" s="8">
        <v>45188</v>
      </c>
      <c r="C504" s="4"/>
      <c r="D504" s="4" t="s">
        <v>42</v>
      </c>
      <c r="E504" s="8">
        <v>45206</v>
      </c>
      <c r="F504" s="4" t="s">
        <v>840</v>
      </c>
      <c r="G504" s="16" t="s">
        <v>44</v>
      </c>
      <c r="H504" s="4" t="s">
        <v>45</v>
      </c>
      <c r="I504" s="4" t="s">
        <v>46</v>
      </c>
      <c r="J504" s="10">
        <v>8.2617699999999985</v>
      </c>
      <c r="K504" s="10">
        <f>2.049+0.988+3.473+2.03</f>
        <v>8.5399999999999991</v>
      </c>
      <c r="L504" s="10">
        <f t="shared" si="86"/>
        <v>0</v>
      </c>
      <c r="M504" s="10">
        <f t="shared" si="87"/>
        <v>0</v>
      </c>
      <c r="N504" s="10"/>
      <c r="O504" s="10"/>
      <c r="P504" s="10">
        <v>0</v>
      </c>
      <c r="Q504" s="10"/>
      <c r="R504" s="10"/>
      <c r="S504" s="10"/>
      <c r="T504" s="10"/>
      <c r="U504" s="10"/>
      <c r="V504" s="4" t="s">
        <v>841</v>
      </c>
      <c r="W504" s="4"/>
      <c r="X504" s="8">
        <v>45204</v>
      </c>
      <c r="Y504" s="4"/>
      <c r="Z504" s="4"/>
      <c r="AA504" s="8">
        <v>45218</v>
      </c>
      <c r="AB504" s="8"/>
      <c r="AC504" s="4"/>
      <c r="AD504" s="4"/>
    </row>
    <row r="505" spans="1:30" hidden="1">
      <c r="A505" s="4">
        <v>836</v>
      </c>
      <c r="B505" s="8">
        <v>45188</v>
      </c>
      <c r="C505" s="4"/>
      <c r="D505" s="4" t="s">
        <v>42</v>
      </c>
      <c r="E505" s="8">
        <v>45206</v>
      </c>
      <c r="F505" s="4" t="s">
        <v>840</v>
      </c>
      <c r="G505" s="16" t="s">
        <v>44</v>
      </c>
      <c r="H505" s="4" t="s">
        <v>45</v>
      </c>
      <c r="I505" s="4" t="s">
        <v>519</v>
      </c>
      <c r="J505" s="10">
        <v>0.13758000000000001</v>
      </c>
      <c r="K505" s="10">
        <v>0.13800000000000001</v>
      </c>
      <c r="L505" s="10">
        <f t="shared" si="86"/>
        <v>0</v>
      </c>
      <c r="M505" s="10">
        <f t="shared" si="87"/>
        <v>0</v>
      </c>
      <c r="N505" s="10"/>
      <c r="O505" s="10"/>
      <c r="P505" s="10">
        <v>0</v>
      </c>
      <c r="Q505" s="10"/>
      <c r="R505" s="10"/>
      <c r="S505" s="10"/>
      <c r="T505" s="10"/>
      <c r="U505" s="10"/>
      <c r="V505" s="4" t="s">
        <v>841</v>
      </c>
      <c r="W505" s="4"/>
      <c r="X505" s="8">
        <v>45194</v>
      </c>
      <c r="Y505" s="4"/>
      <c r="Z505" s="4"/>
      <c r="AA505" s="8">
        <v>45210</v>
      </c>
      <c r="AB505" s="8">
        <v>45210</v>
      </c>
      <c r="AC505" s="4"/>
      <c r="AD505" s="4"/>
    </row>
    <row r="506" spans="1:30" hidden="1">
      <c r="A506" s="4">
        <v>836</v>
      </c>
      <c r="B506" s="8">
        <v>45188</v>
      </c>
      <c r="C506" s="4"/>
      <c r="D506" s="4" t="s">
        <v>42</v>
      </c>
      <c r="E506" s="8">
        <v>45206</v>
      </c>
      <c r="F506" s="4" t="s">
        <v>840</v>
      </c>
      <c r="G506" s="16" t="s">
        <v>44</v>
      </c>
      <c r="H506" s="4" t="s">
        <v>45</v>
      </c>
      <c r="I506" s="4" t="s">
        <v>761</v>
      </c>
      <c r="J506" s="10">
        <v>2.0411999999999999</v>
      </c>
      <c r="K506" s="10">
        <v>2.1219999999999999</v>
      </c>
      <c r="L506" s="10">
        <f t="shared" si="86"/>
        <v>0</v>
      </c>
      <c r="M506" s="10">
        <f t="shared" si="87"/>
        <v>0</v>
      </c>
      <c r="N506" s="10"/>
      <c r="O506" s="10"/>
      <c r="P506" s="10">
        <v>0</v>
      </c>
      <c r="Q506" s="10"/>
      <c r="R506" s="10"/>
      <c r="S506" s="10"/>
      <c r="T506" s="10"/>
      <c r="U506" s="10"/>
      <c r="V506" s="4" t="s">
        <v>841</v>
      </c>
      <c r="W506" s="4"/>
      <c r="X506" s="8">
        <v>45195</v>
      </c>
      <c r="Y506" s="4"/>
      <c r="Z506" s="4"/>
      <c r="AA506" s="8">
        <v>45210</v>
      </c>
      <c r="AB506" s="8">
        <v>45210</v>
      </c>
      <c r="AC506" s="4"/>
      <c r="AD506" s="4"/>
    </row>
    <row r="507" spans="1:30" hidden="1">
      <c r="A507" s="4">
        <v>836</v>
      </c>
      <c r="B507" s="8">
        <v>45188</v>
      </c>
      <c r="C507" s="4"/>
      <c r="D507" s="4" t="s">
        <v>42</v>
      </c>
      <c r="E507" s="8">
        <v>45206</v>
      </c>
      <c r="F507" s="4" t="s">
        <v>840</v>
      </c>
      <c r="G507" s="16" t="s">
        <v>44</v>
      </c>
      <c r="H507" s="4" t="s">
        <v>45</v>
      </c>
      <c r="I507" s="4" t="s">
        <v>517</v>
      </c>
      <c r="J507" s="10">
        <v>2.0262825000000002</v>
      </c>
      <c r="K507" s="10">
        <v>2.0259999999999998</v>
      </c>
      <c r="L507" s="10">
        <f t="shared" si="86"/>
        <v>0</v>
      </c>
      <c r="M507" s="10">
        <f t="shared" si="87"/>
        <v>0</v>
      </c>
      <c r="N507" s="10"/>
      <c r="O507" s="10"/>
      <c r="P507" s="10">
        <v>0</v>
      </c>
      <c r="Q507" s="10"/>
      <c r="R507" s="10"/>
      <c r="S507" s="10"/>
      <c r="T507" s="10"/>
      <c r="U507" s="10"/>
      <c r="V507" s="4" t="s">
        <v>841</v>
      </c>
      <c r="W507" s="4"/>
      <c r="X507" s="8">
        <v>45195</v>
      </c>
      <c r="Y507" s="4"/>
      <c r="Z507" s="4"/>
      <c r="AA507" s="8">
        <v>45210</v>
      </c>
      <c r="AB507" s="8">
        <v>45210</v>
      </c>
      <c r="AC507" s="4"/>
      <c r="AD507" s="4"/>
    </row>
    <row r="508" spans="1:30" hidden="1">
      <c r="A508" s="4">
        <v>836</v>
      </c>
      <c r="B508" s="8">
        <v>45188</v>
      </c>
      <c r="C508" s="4"/>
      <c r="D508" s="4" t="s">
        <v>42</v>
      </c>
      <c r="E508" s="8">
        <v>45206</v>
      </c>
      <c r="F508" s="4" t="s">
        <v>840</v>
      </c>
      <c r="G508" s="16" t="s">
        <v>44</v>
      </c>
      <c r="H508" s="4" t="s">
        <v>45</v>
      </c>
      <c r="I508" s="4" t="s">
        <v>837</v>
      </c>
      <c r="J508" s="10">
        <v>8.0122</v>
      </c>
      <c r="K508" s="10">
        <v>8.0120000000000005</v>
      </c>
      <c r="L508" s="10">
        <f t="shared" si="86"/>
        <v>0</v>
      </c>
      <c r="M508" s="10">
        <f t="shared" si="87"/>
        <v>0</v>
      </c>
      <c r="N508" s="10"/>
      <c r="O508" s="10"/>
      <c r="P508" s="10">
        <v>0</v>
      </c>
      <c r="Q508" s="10"/>
      <c r="R508" s="10"/>
      <c r="S508" s="10"/>
      <c r="T508" s="10"/>
      <c r="U508" s="10"/>
      <c r="V508" s="4" t="s">
        <v>841</v>
      </c>
      <c r="W508" s="4"/>
      <c r="X508" s="8">
        <v>45195</v>
      </c>
      <c r="Y508" s="4"/>
      <c r="Z508" s="4"/>
      <c r="AA508" s="8">
        <v>45210</v>
      </c>
      <c r="AB508" s="8">
        <v>45210</v>
      </c>
      <c r="AC508" s="4"/>
      <c r="AD508" s="4"/>
    </row>
    <row r="509" spans="1:30" hidden="1">
      <c r="A509" s="4">
        <v>836</v>
      </c>
      <c r="B509" s="8">
        <v>45188</v>
      </c>
      <c r="C509" s="4"/>
      <c r="D509" s="4" t="s">
        <v>42</v>
      </c>
      <c r="E509" s="8">
        <v>45206</v>
      </c>
      <c r="F509" s="4" t="s">
        <v>840</v>
      </c>
      <c r="G509" s="16" t="s">
        <v>44</v>
      </c>
      <c r="H509" s="4" t="s">
        <v>45</v>
      </c>
      <c r="I509" s="4" t="s">
        <v>448</v>
      </c>
      <c r="J509" s="10">
        <v>2.0231999999999997</v>
      </c>
      <c r="K509" s="10">
        <v>2.5470000000000002</v>
      </c>
      <c r="L509" s="10">
        <f t="shared" si="86"/>
        <v>0</v>
      </c>
      <c r="M509" s="10">
        <f t="shared" si="87"/>
        <v>0</v>
      </c>
      <c r="N509" s="10"/>
      <c r="O509" s="10"/>
      <c r="P509" s="10">
        <v>0</v>
      </c>
      <c r="Q509" s="10"/>
      <c r="R509" s="10"/>
      <c r="S509" s="10"/>
      <c r="T509" s="10"/>
      <c r="U509" s="10"/>
      <c r="V509" s="4" t="s">
        <v>841</v>
      </c>
      <c r="W509" s="4"/>
      <c r="X509" s="8">
        <v>45195</v>
      </c>
      <c r="Y509" s="4"/>
      <c r="Z509" s="4"/>
      <c r="AA509" s="8"/>
      <c r="AB509" s="8">
        <v>45227</v>
      </c>
      <c r="AC509" s="4"/>
      <c r="AD509" s="4"/>
    </row>
    <row r="510" spans="1:30" hidden="1">
      <c r="A510" s="4">
        <v>836</v>
      </c>
      <c r="B510" s="8">
        <v>45188</v>
      </c>
      <c r="C510" s="4"/>
      <c r="D510" s="4" t="s">
        <v>42</v>
      </c>
      <c r="E510" s="8">
        <v>45206</v>
      </c>
      <c r="F510" s="4" t="s">
        <v>840</v>
      </c>
      <c r="G510" s="16" t="s">
        <v>44</v>
      </c>
      <c r="H510" s="4" t="s">
        <v>45</v>
      </c>
      <c r="I510" s="4" t="s">
        <v>670</v>
      </c>
      <c r="J510" s="10">
        <v>0.3705</v>
      </c>
      <c r="K510" s="10">
        <v>0.371</v>
      </c>
      <c r="L510" s="10">
        <f t="shared" si="86"/>
        <v>0</v>
      </c>
      <c r="M510" s="10">
        <f t="shared" si="87"/>
        <v>0</v>
      </c>
      <c r="N510" s="10"/>
      <c r="O510" s="10"/>
      <c r="P510" s="10">
        <v>0</v>
      </c>
      <c r="Q510" s="10"/>
      <c r="R510" s="10"/>
      <c r="S510" s="10"/>
      <c r="T510" s="10"/>
      <c r="U510" s="10"/>
      <c r="V510" s="4" t="s">
        <v>841</v>
      </c>
      <c r="W510" s="4" t="s">
        <v>634</v>
      </c>
      <c r="X510" s="8">
        <v>45195</v>
      </c>
      <c r="Y510" s="4"/>
      <c r="Z510" s="4"/>
      <c r="AA510" s="8">
        <v>45215</v>
      </c>
      <c r="AB510" s="8">
        <v>45215</v>
      </c>
      <c r="AC510" s="4"/>
      <c r="AD510" s="4"/>
    </row>
    <row r="511" spans="1:30" hidden="1">
      <c r="A511" s="4">
        <v>836</v>
      </c>
      <c r="B511" s="8">
        <v>45188</v>
      </c>
      <c r="C511" s="4"/>
      <c r="D511" s="4" t="s">
        <v>42</v>
      </c>
      <c r="E511" s="8">
        <v>45206</v>
      </c>
      <c r="F511" s="4" t="s">
        <v>840</v>
      </c>
      <c r="G511" s="16" t="s">
        <v>44</v>
      </c>
      <c r="H511" s="4" t="s">
        <v>45</v>
      </c>
      <c r="I511" s="4" t="s">
        <v>472</v>
      </c>
      <c r="J511" s="10">
        <v>2.5618799999999995</v>
      </c>
      <c r="K511" s="10">
        <v>2.5619999999999998</v>
      </c>
      <c r="L511" s="10">
        <f t="shared" si="86"/>
        <v>0</v>
      </c>
      <c r="M511" s="10">
        <f t="shared" si="87"/>
        <v>0</v>
      </c>
      <c r="N511" s="10"/>
      <c r="O511" s="10"/>
      <c r="P511" s="10">
        <v>0</v>
      </c>
      <c r="Q511" s="10"/>
      <c r="R511" s="10"/>
      <c r="S511" s="10"/>
      <c r="T511" s="10"/>
      <c r="U511" s="10"/>
      <c r="V511" s="4" t="s">
        <v>841</v>
      </c>
      <c r="W511" s="4"/>
      <c r="X511" s="8"/>
      <c r="Y511" s="4"/>
      <c r="Z511" s="4"/>
      <c r="AA511" s="8"/>
      <c r="AB511" s="8"/>
      <c r="AC511" s="4"/>
      <c r="AD511" s="4"/>
    </row>
    <row r="512" spans="1:30" hidden="1">
      <c r="A512" s="4">
        <v>836</v>
      </c>
      <c r="B512" s="8">
        <v>45188</v>
      </c>
      <c r="C512" s="4"/>
      <c r="D512" s="4" t="s">
        <v>42</v>
      </c>
      <c r="E512" s="8">
        <v>45206</v>
      </c>
      <c r="F512" s="4" t="s">
        <v>840</v>
      </c>
      <c r="G512" s="16" t="s">
        <v>44</v>
      </c>
      <c r="H512" s="4" t="s">
        <v>45</v>
      </c>
      <c r="I512" s="4" t="s">
        <v>473</v>
      </c>
      <c r="J512" s="10">
        <v>0.32927999999999996</v>
      </c>
      <c r="K512" s="10">
        <v>0.38400000000000001</v>
      </c>
      <c r="L512" s="10">
        <f t="shared" si="86"/>
        <v>0</v>
      </c>
      <c r="M512" s="10">
        <f t="shared" si="87"/>
        <v>0</v>
      </c>
      <c r="N512" s="10"/>
      <c r="O512" s="10"/>
      <c r="P512" s="10">
        <v>0</v>
      </c>
      <c r="Q512" s="10"/>
      <c r="R512" s="10"/>
      <c r="S512" s="10"/>
      <c r="T512" s="10"/>
      <c r="U512" s="10"/>
      <c r="V512" s="4" t="s">
        <v>841</v>
      </c>
      <c r="W512" s="4"/>
      <c r="X512" s="8"/>
      <c r="Y512" s="4"/>
      <c r="Z512" s="4"/>
      <c r="AA512" s="8"/>
      <c r="AB512" s="8">
        <v>45227</v>
      </c>
      <c r="AC512" s="4"/>
      <c r="AD512" s="4"/>
    </row>
    <row r="513" spans="1:30" hidden="1">
      <c r="A513" s="4">
        <v>836</v>
      </c>
      <c r="B513" s="8">
        <v>45188</v>
      </c>
      <c r="C513" s="4"/>
      <c r="D513" s="4" t="s">
        <v>42</v>
      </c>
      <c r="E513" s="8">
        <v>45206</v>
      </c>
      <c r="F513" s="4" t="s">
        <v>840</v>
      </c>
      <c r="G513" s="16" t="s">
        <v>51</v>
      </c>
      <c r="H513" s="4" t="s">
        <v>52</v>
      </c>
      <c r="I513" s="4" t="s">
        <v>54</v>
      </c>
      <c r="J513" s="10">
        <v>18.908920000000002</v>
      </c>
      <c r="K513" s="10">
        <f>13.835+3.222+1.852</f>
        <v>18.909000000000002</v>
      </c>
      <c r="L513" s="10">
        <f t="shared" si="86"/>
        <v>0</v>
      </c>
      <c r="M513" s="10">
        <f t="shared" si="87"/>
        <v>0</v>
      </c>
      <c r="N513" s="10"/>
      <c r="O513" s="10"/>
      <c r="P513" s="10">
        <v>0</v>
      </c>
      <c r="Q513" s="10"/>
      <c r="R513" s="10"/>
      <c r="S513" s="10"/>
      <c r="T513" s="10"/>
      <c r="U513" s="10"/>
      <c r="V513" s="4" t="s">
        <v>841</v>
      </c>
      <c r="W513" s="4"/>
      <c r="X513" s="8">
        <v>45207</v>
      </c>
      <c r="Y513" s="4"/>
      <c r="Z513" s="4"/>
      <c r="AA513" s="8">
        <v>45222</v>
      </c>
      <c r="AB513" s="8">
        <v>45222</v>
      </c>
      <c r="AC513" s="4"/>
      <c r="AD513" s="4"/>
    </row>
    <row r="514" spans="1:30" hidden="1">
      <c r="A514" s="4">
        <v>836</v>
      </c>
      <c r="B514" s="8">
        <v>45188</v>
      </c>
      <c r="C514" s="4"/>
      <c r="D514" s="4" t="s">
        <v>42</v>
      </c>
      <c r="E514" s="8">
        <v>45206</v>
      </c>
      <c r="F514" s="4" t="s">
        <v>840</v>
      </c>
      <c r="G514" s="16" t="s">
        <v>51</v>
      </c>
      <c r="H514" s="4" t="s">
        <v>52</v>
      </c>
      <c r="I514" s="4" t="s">
        <v>56</v>
      </c>
      <c r="J514" s="10">
        <v>6.7341479999999994</v>
      </c>
      <c r="K514" s="10">
        <v>6.734</v>
      </c>
      <c r="L514" s="10">
        <f t="shared" si="86"/>
        <v>0</v>
      </c>
      <c r="M514" s="10">
        <f t="shared" si="87"/>
        <v>0</v>
      </c>
      <c r="N514" s="10"/>
      <c r="O514" s="10"/>
      <c r="P514" s="10">
        <v>0</v>
      </c>
      <c r="Q514" s="10"/>
      <c r="R514" s="10"/>
      <c r="S514" s="10"/>
      <c r="T514" s="10"/>
      <c r="U514" s="10"/>
      <c r="V514" s="4" t="s">
        <v>841</v>
      </c>
      <c r="W514" s="4"/>
      <c r="X514" s="8">
        <v>45207</v>
      </c>
      <c r="Y514" s="4"/>
      <c r="Z514" s="4"/>
      <c r="AA514" s="8"/>
      <c r="AB514" s="8"/>
      <c r="AC514" s="4"/>
      <c r="AD514" s="4"/>
    </row>
    <row r="515" spans="1:30" hidden="1">
      <c r="A515" s="4">
        <v>836</v>
      </c>
      <c r="B515" s="8">
        <v>45188</v>
      </c>
      <c r="C515" s="4"/>
      <c r="D515" s="4" t="s">
        <v>42</v>
      </c>
      <c r="E515" s="8">
        <v>45206</v>
      </c>
      <c r="F515" s="4" t="s">
        <v>840</v>
      </c>
      <c r="G515" s="16" t="s">
        <v>51</v>
      </c>
      <c r="H515" s="4" t="s">
        <v>52</v>
      </c>
      <c r="I515" s="4" t="s">
        <v>405</v>
      </c>
      <c r="J515" s="10">
        <v>7.105319999999999</v>
      </c>
      <c r="K515" s="10">
        <f>5.078+2.017</f>
        <v>7.0950000000000006</v>
      </c>
      <c r="L515" s="10">
        <f t="shared" si="86"/>
        <v>0</v>
      </c>
      <c r="M515" s="10">
        <f t="shared" si="87"/>
        <v>0</v>
      </c>
      <c r="N515" s="10"/>
      <c r="O515" s="10"/>
      <c r="P515" s="10">
        <v>0</v>
      </c>
      <c r="Q515" s="10"/>
      <c r="R515" s="10"/>
      <c r="S515" s="10"/>
      <c r="T515" s="10"/>
      <c r="U515" s="10"/>
      <c r="V515" s="4" t="s">
        <v>841</v>
      </c>
      <c r="W515" s="4" t="s">
        <v>1247</v>
      </c>
      <c r="X515" s="8">
        <v>45204</v>
      </c>
      <c r="Y515" s="4"/>
      <c r="Z515" s="4"/>
      <c r="AA515" s="8"/>
      <c r="AB515" s="8">
        <v>45228</v>
      </c>
      <c r="AC515" s="4"/>
      <c r="AD515" s="4"/>
    </row>
    <row r="516" spans="1:30" hidden="1">
      <c r="A516" s="4">
        <v>836</v>
      </c>
      <c r="B516" s="8">
        <v>45188</v>
      </c>
      <c r="C516" s="4"/>
      <c r="D516" s="4" t="s">
        <v>42</v>
      </c>
      <c r="E516" s="8">
        <v>45206</v>
      </c>
      <c r="F516" s="4" t="s">
        <v>840</v>
      </c>
      <c r="G516" s="16" t="s">
        <v>51</v>
      </c>
      <c r="H516" s="4" t="s">
        <v>52</v>
      </c>
      <c r="I516" s="4" t="s">
        <v>400</v>
      </c>
      <c r="J516" s="10">
        <v>0.26904000000000006</v>
      </c>
      <c r="K516" s="10">
        <v>0.42499999999999999</v>
      </c>
      <c r="L516" s="10">
        <f t="shared" si="86"/>
        <v>0</v>
      </c>
      <c r="M516" s="10">
        <f t="shared" si="87"/>
        <v>0</v>
      </c>
      <c r="N516" s="10"/>
      <c r="O516" s="10"/>
      <c r="P516" s="10">
        <v>0</v>
      </c>
      <c r="Q516" s="10"/>
      <c r="R516" s="10"/>
      <c r="S516" s="10"/>
      <c r="T516" s="10"/>
      <c r="U516" s="10"/>
      <c r="V516" s="4" t="s">
        <v>841</v>
      </c>
      <c r="W516" s="4" t="s">
        <v>521</v>
      </c>
      <c r="X516" s="8"/>
      <c r="Y516" s="4"/>
      <c r="Z516" s="4"/>
      <c r="AA516" s="8"/>
      <c r="AB516" s="8">
        <v>45226</v>
      </c>
      <c r="AC516" s="4"/>
      <c r="AD516" s="4"/>
    </row>
    <row r="517" spans="1:30" hidden="1">
      <c r="A517" s="4">
        <v>836</v>
      </c>
      <c r="B517" s="8">
        <v>45188</v>
      </c>
      <c r="C517" s="4"/>
      <c r="D517" s="4" t="s">
        <v>42</v>
      </c>
      <c r="E517" s="8">
        <v>45206</v>
      </c>
      <c r="F517" s="4" t="s">
        <v>840</v>
      </c>
      <c r="G517" s="16" t="s">
        <v>51</v>
      </c>
      <c r="H517" s="4" t="s">
        <v>52</v>
      </c>
      <c r="I517" s="4" t="s">
        <v>46</v>
      </c>
      <c r="J517" s="10">
        <v>7.1395200000000001</v>
      </c>
      <c r="K517" s="10">
        <f>3.421+3.719</f>
        <v>7.14</v>
      </c>
      <c r="L517" s="10">
        <f t="shared" si="86"/>
        <v>0</v>
      </c>
      <c r="M517" s="10">
        <f t="shared" si="87"/>
        <v>0</v>
      </c>
      <c r="N517" s="10"/>
      <c r="O517" s="10"/>
      <c r="P517" s="10">
        <v>0</v>
      </c>
      <c r="Q517" s="10"/>
      <c r="R517" s="10"/>
      <c r="S517" s="10"/>
      <c r="T517" s="10"/>
      <c r="U517" s="10"/>
      <c r="V517" s="4" t="s">
        <v>841</v>
      </c>
      <c r="W517" s="4"/>
      <c r="X517" s="8">
        <v>45204</v>
      </c>
      <c r="Y517" s="4"/>
      <c r="Z517" s="4"/>
      <c r="AA517" s="8"/>
      <c r="AB517" s="8"/>
      <c r="AC517" s="4"/>
      <c r="AD517" s="4"/>
    </row>
    <row r="518" spans="1:30" hidden="1">
      <c r="A518" s="4">
        <v>834</v>
      </c>
      <c r="B518" s="8">
        <v>45188</v>
      </c>
      <c r="C518" s="4"/>
      <c r="D518" s="4" t="s">
        <v>42</v>
      </c>
      <c r="E518" s="8">
        <v>45206</v>
      </c>
      <c r="F518" s="4" t="s">
        <v>840</v>
      </c>
      <c r="G518" s="16" t="s">
        <v>44</v>
      </c>
      <c r="H518" s="4" t="s">
        <v>45</v>
      </c>
      <c r="I518" s="4" t="s">
        <v>54</v>
      </c>
      <c r="J518" s="10">
        <v>6.0152960000000002</v>
      </c>
      <c r="K518" s="10">
        <f>2.111+3.015+0.889</f>
        <v>6.0150000000000006</v>
      </c>
      <c r="L518" s="10">
        <f t="shared" si="86"/>
        <v>0</v>
      </c>
      <c r="M518" s="10">
        <f t="shared" ref="M518:M523" si="88">SUM(N518:T518)</f>
        <v>0</v>
      </c>
      <c r="N518" s="10"/>
      <c r="O518" s="10"/>
      <c r="P518" s="10">
        <v>0</v>
      </c>
      <c r="Q518" s="10"/>
      <c r="R518" s="10"/>
      <c r="S518" s="10"/>
      <c r="T518" s="10"/>
      <c r="U518" s="10"/>
      <c r="V518" s="4" t="s">
        <v>841</v>
      </c>
      <c r="W518" s="4" t="s">
        <v>1157</v>
      </c>
      <c r="X518" s="8">
        <v>45207</v>
      </c>
      <c r="Y518" s="4"/>
      <c r="Z518" s="4"/>
      <c r="AA518" s="8">
        <v>45220</v>
      </c>
      <c r="AB518" s="8">
        <v>45226</v>
      </c>
      <c r="AC518" s="4"/>
      <c r="AD518" s="4"/>
    </row>
    <row r="519" spans="1:30" hidden="1">
      <c r="A519" s="4">
        <v>834</v>
      </c>
      <c r="B519" s="8">
        <v>45188</v>
      </c>
      <c r="C519" s="4"/>
      <c r="D519" s="4" t="s">
        <v>42</v>
      </c>
      <c r="E519" s="8">
        <v>45206</v>
      </c>
      <c r="F519" s="4" t="s">
        <v>840</v>
      </c>
      <c r="G519" s="16" t="s">
        <v>44</v>
      </c>
      <c r="H519" s="4" t="s">
        <v>45</v>
      </c>
      <c r="I519" s="4" t="s">
        <v>405</v>
      </c>
      <c r="J519" s="10">
        <v>3.6577199999999999</v>
      </c>
      <c r="K519" s="10">
        <v>3.6579999999999999</v>
      </c>
      <c r="L519" s="10">
        <f t="shared" si="86"/>
        <v>0</v>
      </c>
      <c r="M519" s="10">
        <f t="shared" si="88"/>
        <v>0</v>
      </c>
      <c r="N519" s="10"/>
      <c r="O519" s="10"/>
      <c r="P519" s="10">
        <v>0</v>
      </c>
      <c r="Q519" s="10"/>
      <c r="R519" s="10"/>
      <c r="S519" s="10"/>
      <c r="T519" s="10"/>
      <c r="U519" s="10"/>
      <c r="V519" s="4" t="s">
        <v>841</v>
      </c>
      <c r="W519" s="4" t="s">
        <v>1157</v>
      </c>
      <c r="X519" s="8">
        <v>45204</v>
      </c>
      <c r="Y519" s="4"/>
      <c r="Z519" s="4"/>
      <c r="AA519" s="8"/>
      <c r="AB519" s="8"/>
      <c r="AC519" s="4"/>
      <c r="AD519" s="4"/>
    </row>
    <row r="520" spans="1:30" hidden="1">
      <c r="A520" s="4">
        <v>834</v>
      </c>
      <c r="B520" s="8">
        <v>45188</v>
      </c>
      <c r="C520" s="4"/>
      <c r="D520" s="4" t="s">
        <v>42</v>
      </c>
      <c r="E520" s="8">
        <v>45206</v>
      </c>
      <c r="F520" s="4" t="s">
        <v>840</v>
      </c>
      <c r="G520" s="16" t="s">
        <v>44</v>
      </c>
      <c r="H520" s="4" t="s">
        <v>45</v>
      </c>
      <c r="I520" s="4" t="s">
        <v>46</v>
      </c>
      <c r="J520" s="10">
        <v>1.7152000000000001</v>
      </c>
      <c r="K520" s="10">
        <v>1.7150000000000001</v>
      </c>
      <c r="L520" s="10">
        <f t="shared" si="86"/>
        <v>0</v>
      </c>
      <c r="M520" s="10">
        <f t="shared" si="88"/>
        <v>0</v>
      </c>
      <c r="N520" s="10"/>
      <c r="O520" s="10"/>
      <c r="P520" s="10">
        <v>0</v>
      </c>
      <c r="Q520" s="10"/>
      <c r="R520" s="10"/>
      <c r="S520" s="10"/>
      <c r="T520" s="10"/>
      <c r="U520" s="10"/>
      <c r="V520" s="4" t="s">
        <v>841</v>
      </c>
      <c r="W520" s="4" t="s">
        <v>1157</v>
      </c>
      <c r="X520" s="8">
        <v>45204</v>
      </c>
      <c r="Y520" s="4"/>
      <c r="Z520" s="4"/>
      <c r="AA520" s="8"/>
      <c r="AB520" s="8"/>
      <c r="AC520" s="4"/>
      <c r="AD520" s="4"/>
    </row>
    <row r="521" spans="1:30" hidden="1">
      <c r="A521" s="4">
        <v>834</v>
      </c>
      <c r="B521" s="8">
        <v>45188</v>
      </c>
      <c r="C521" s="4"/>
      <c r="D521" s="4" t="s">
        <v>42</v>
      </c>
      <c r="E521" s="8">
        <v>45206</v>
      </c>
      <c r="F521" s="4" t="s">
        <v>840</v>
      </c>
      <c r="G521" s="16" t="s">
        <v>51</v>
      </c>
      <c r="H521" s="4" t="s">
        <v>52</v>
      </c>
      <c r="I521" s="4" t="s">
        <v>54</v>
      </c>
      <c r="J521" s="10">
        <v>5.511552</v>
      </c>
      <c r="K521" s="10">
        <f>1.022+3.467+1.022</f>
        <v>5.5110000000000001</v>
      </c>
      <c r="L521" s="10">
        <f t="shared" ref="L521:L546" si="89">M521+U521</f>
        <v>0</v>
      </c>
      <c r="M521" s="10">
        <f t="shared" si="88"/>
        <v>0</v>
      </c>
      <c r="N521" s="10"/>
      <c r="O521" s="10"/>
      <c r="P521" s="10">
        <v>0</v>
      </c>
      <c r="Q521" s="10"/>
      <c r="R521" s="10"/>
      <c r="S521" s="10"/>
      <c r="T521" s="10"/>
      <c r="U521" s="10"/>
      <c r="V521" s="4" t="s">
        <v>841</v>
      </c>
      <c r="W521" s="4" t="s">
        <v>1157</v>
      </c>
      <c r="X521" s="8">
        <v>45207</v>
      </c>
      <c r="Y521" s="4"/>
      <c r="Z521" s="4"/>
      <c r="AA521" s="8">
        <v>45222</v>
      </c>
      <c r="AB521" s="8">
        <v>45222</v>
      </c>
      <c r="AC521" s="4"/>
      <c r="AD521" s="4"/>
    </row>
    <row r="522" spans="1:30" hidden="1">
      <c r="A522" s="4">
        <v>834</v>
      </c>
      <c r="B522" s="8">
        <v>45188</v>
      </c>
      <c r="C522" s="4"/>
      <c r="D522" s="4" t="s">
        <v>42</v>
      </c>
      <c r="E522" s="8">
        <v>45206</v>
      </c>
      <c r="F522" s="4" t="s">
        <v>840</v>
      </c>
      <c r="G522" s="16" t="s">
        <v>51</v>
      </c>
      <c r="H522" s="4" t="s">
        <v>52</v>
      </c>
      <c r="I522" s="4" t="s">
        <v>405</v>
      </c>
      <c r="J522" s="10">
        <v>1.7707200000000003</v>
      </c>
      <c r="K522" s="10">
        <v>1.77</v>
      </c>
      <c r="L522" s="10">
        <f t="shared" si="89"/>
        <v>0</v>
      </c>
      <c r="M522" s="10">
        <f t="shared" si="88"/>
        <v>0</v>
      </c>
      <c r="N522" s="10"/>
      <c r="O522" s="10"/>
      <c r="P522" s="10">
        <v>0</v>
      </c>
      <c r="Q522" s="10"/>
      <c r="R522" s="10"/>
      <c r="S522" s="10"/>
      <c r="T522" s="10"/>
      <c r="U522" s="10"/>
      <c r="V522" s="4" t="s">
        <v>841</v>
      </c>
      <c r="W522" s="4" t="s">
        <v>1157</v>
      </c>
      <c r="X522" s="8">
        <v>45204</v>
      </c>
      <c r="Y522" s="4"/>
      <c r="Z522" s="4"/>
      <c r="AA522" s="8"/>
      <c r="AB522" s="8"/>
      <c r="AC522" s="4"/>
      <c r="AD522" s="4"/>
    </row>
    <row r="523" spans="1:30" hidden="1">
      <c r="A523" s="4">
        <v>834</v>
      </c>
      <c r="B523" s="8">
        <v>45188</v>
      </c>
      <c r="C523" s="4"/>
      <c r="D523" s="4" t="s">
        <v>42</v>
      </c>
      <c r="E523" s="8">
        <v>45206</v>
      </c>
      <c r="F523" s="4" t="s">
        <v>840</v>
      </c>
      <c r="G523" s="16" t="s">
        <v>51</v>
      </c>
      <c r="H523" s="4" t="s">
        <v>52</v>
      </c>
      <c r="I523" s="4" t="s">
        <v>46</v>
      </c>
      <c r="J523" s="10">
        <v>0.29747999999999997</v>
      </c>
      <c r="K523" s="10">
        <v>0.29699999999999999</v>
      </c>
      <c r="L523" s="10">
        <f t="shared" si="89"/>
        <v>0</v>
      </c>
      <c r="M523" s="10">
        <f t="shared" si="88"/>
        <v>0</v>
      </c>
      <c r="N523" s="10"/>
      <c r="O523" s="10"/>
      <c r="P523" s="10">
        <v>0</v>
      </c>
      <c r="Q523" s="10"/>
      <c r="R523" s="10"/>
      <c r="S523" s="10"/>
      <c r="T523" s="10"/>
      <c r="U523" s="10"/>
      <c r="V523" s="4" t="s">
        <v>841</v>
      </c>
      <c r="W523" s="4" t="s">
        <v>1157</v>
      </c>
      <c r="X523" s="8">
        <v>45204</v>
      </c>
      <c r="Y523" s="4"/>
      <c r="Z523" s="4"/>
      <c r="AA523" s="8"/>
      <c r="AB523" s="8"/>
      <c r="AC523" s="4"/>
      <c r="AD523" s="4"/>
    </row>
    <row r="524" spans="1:30" hidden="1">
      <c r="A524" s="4">
        <v>614</v>
      </c>
      <c r="B524" s="8">
        <v>45139</v>
      </c>
      <c r="C524" s="4"/>
      <c r="D524" s="4" t="s">
        <v>42</v>
      </c>
      <c r="E524" s="8">
        <v>45184</v>
      </c>
      <c r="F524" s="4" t="s">
        <v>840</v>
      </c>
      <c r="G524" s="16" t="s">
        <v>44</v>
      </c>
      <c r="H524" s="4" t="s">
        <v>45</v>
      </c>
      <c r="I524" s="4" t="s">
        <v>54</v>
      </c>
      <c r="J524" s="10">
        <f>93.156526-82.64</f>
        <v>10.516525999999999</v>
      </c>
      <c r="K524" s="10">
        <f>4.17+0.683+3.237+2.527</f>
        <v>10.617000000000001</v>
      </c>
      <c r="L524" s="10">
        <f t="shared" si="89"/>
        <v>0</v>
      </c>
      <c r="M524" s="10">
        <f t="shared" ref="M524:M546" si="90">SUM(N524:T524)</f>
        <v>0</v>
      </c>
      <c r="N524" s="10"/>
      <c r="O524" s="10"/>
      <c r="P524" s="10">
        <v>0</v>
      </c>
      <c r="Q524" s="10"/>
      <c r="R524" s="10"/>
      <c r="S524" s="10"/>
      <c r="T524" s="10"/>
      <c r="U524" s="10"/>
      <c r="V524" s="4" t="s">
        <v>841</v>
      </c>
      <c r="W524" s="4"/>
      <c r="X524" s="8">
        <v>45179</v>
      </c>
      <c r="Y524" s="4"/>
      <c r="Z524" s="4"/>
      <c r="AA524" s="8">
        <v>45222</v>
      </c>
      <c r="AB524" s="8">
        <v>45222</v>
      </c>
      <c r="AC524" s="4"/>
      <c r="AD524" s="4"/>
    </row>
    <row r="525" spans="1:30" hidden="1">
      <c r="A525" s="4">
        <v>614</v>
      </c>
      <c r="B525" s="8">
        <v>45139</v>
      </c>
      <c r="C525" s="4"/>
      <c r="D525" s="4" t="s">
        <v>42</v>
      </c>
      <c r="E525" s="8">
        <v>45184</v>
      </c>
      <c r="F525" s="4" t="s">
        <v>840</v>
      </c>
      <c r="G525" s="16" t="s">
        <v>44</v>
      </c>
      <c r="H525" s="4" t="s">
        <v>45</v>
      </c>
      <c r="I525" s="4" t="s">
        <v>56</v>
      </c>
      <c r="J525" s="10">
        <f>40.436005-26.69</f>
        <v>13.746005</v>
      </c>
      <c r="K525" s="10">
        <f>2.272+4.792+3.945+1.2+1.698</f>
        <v>13.907</v>
      </c>
      <c r="L525" s="10">
        <f t="shared" si="89"/>
        <v>0</v>
      </c>
      <c r="M525" s="10">
        <f t="shared" si="90"/>
        <v>0</v>
      </c>
      <c r="N525" s="10"/>
      <c r="O525" s="10"/>
      <c r="P525" s="10">
        <v>0</v>
      </c>
      <c r="Q525" s="10"/>
      <c r="R525" s="10"/>
      <c r="S525" s="10"/>
      <c r="T525" s="10"/>
      <c r="U525" s="10"/>
      <c r="V525" s="4" t="s">
        <v>841</v>
      </c>
      <c r="W525" s="4"/>
      <c r="X525" s="8">
        <v>45207</v>
      </c>
      <c r="Y525" s="4"/>
      <c r="Z525" s="4"/>
      <c r="AA525" s="8">
        <v>45220</v>
      </c>
      <c r="AB525" s="8">
        <v>45227</v>
      </c>
      <c r="AC525" s="4"/>
      <c r="AD525" s="4"/>
    </row>
    <row r="526" spans="1:30" hidden="1">
      <c r="A526" s="4">
        <v>614</v>
      </c>
      <c r="B526" s="8">
        <v>45139</v>
      </c>
      <c r="C526" s="4"/>
      <c r="D526" s="4" t="s">
        <v>42</v>
      </c>
      <c r="E526" s="8">
        <v>45184</v>
      </c>
      <c r="F526" s="4" t="s">
        <v>840</v>
      </c>
      <c r="G526" s="16" t="s">
        <v>44</v>
      </c>
      <c r="H526" s="4" t="s">
        <v>45</v>
      </c>
      <c r="I526" s="4" t="s">
        <v>48</v>
      </c>
      <c r="J526" s="10">
        <v>12.424818000000002</v>
      </c>
      <c r="K526" s="10">
        <f>1.315+6.499+3.451+0.738+0.438</f>
        <v>12.441000000000001</v>
      </c>
      <c r="L526" s="10">
        <f>M526+U526</f>
        <v>0</v>
      </c>
      <c r="M526" s="10">
        <f t="shared" si="90"/>
        <v>0</v>
      </c>
      <c r="N526" s="10"/>
      <c r="O526" s="10"/>
      <c r="P526" s="10">
        <v>0</v>
      </c>
      <c r="Q526" s="10"/>
      <c r="R526" s="10"/>
      <c r="S526" s="10"/>
      <c r="T526" s="10"/>
      <c r="U526" s="10"/>
      <c r="V526" s="4" t="s">
        <v>841</v>
      </c>
      <c r="W526" s="4"/>
      <c r="X526" s="8">
        <v>45207</v>
      </c>
      <c r="Y526" s="4"/>
      <c r="Z526" s="4"/>
      <c r="AA526" s="8"/>
      <c r="AB526" s="8">
        <v>45227</v>
      </c>
      <c r="AC526" s="4"/>
      <c r="AD526" s="4"/>
    </row>
    <row r="527" spans="1:30" hidden="1">
      <c r="A527" s="4">
        <v>614</v>
      </c>
      <c r="B527" s="8">
        <v>45139</v>
      </c>
      <c r="C527" s="4"/>
      <c r="D527" s="4" t="s">
        <v>42</v>
      </c>
      <c r="E527" s="8">
        <v>45184</v>
      </c>
      <c r="F527" s="4" t="s">
        <v>840</v>
      </c>
      <c r="G527" s="16" t="s">
        <v>44</v>
      </c>
      <c r="H527" s="4" t="s">
        <v>45</v>
      </c>
      <c r="I527" s="4" t="s">
        <v>405</v>
      </c>
      <c r="J527" s="10">
        <f>30.68721-21.03</f>
        <v>9.6572099999999992</v>
      </c>
      <c r="K527" s="10">
        <f>7.603+2.166</f>
        <v>9.7690000000000001</v>
      </c>
      <c r="L527" s="10">
        <f t="shared" si="89"/>
        <v>0</v>
      </c>
      <c r="M527" s="10">
        <f t="shared" si="90"/>
        <v>0</v>
      </c>
      <c r="N527" s="10"/>
      <c r="O527" s="10"/>
      <c r="P527" s="10"/>
      <c r="Q527" s="10"/>
      <c r="R527" s="10"/>
      <c r="S527" s="10"/>
      <c r="T527" s="10"/>
      <c r="U527" s="10"/>
      <c r="V527" s="4" t="s">
        <v>841</v>
      </c>
      <c r="W527" s="4" t="s">
        <v>1204</v>
      </c>
      <c r="X527" s="8">
        <v>45172</v>
      </c>
      <c r="Y527" s="4"/>
      <c r="Z527" s="4"/>
      <c r="AA527" s="8">
        <v>45201</v>
      </c>
      <c r="AB527" s="8"/>
      <c r="AC527" s="4"/>
      <c r="AD527" s="4"/>
    </row>
    <row r="528" spans="1:30" hidden="1">
      <c r="A528" s="4">
        <v>614</v>
      </c>
      <c r="B528" s="8">
        <v>45139</v>
      </c>
      <c r="C528" s="4"/>
      <c r="D528" s="4" t="s">
        <v>42</v>
      </c>
      <c r="E528" s="8">
        <v>45184</v>
      </c>
      <c r="F528" s="4" t="s">
        <v>840</v>
      </c>
      <c r="G528" s="16" t="s">
        <v>44</v>
      </c>
      <c r="H528" s="4" t="s">
        <v>45</v>
      </c>
      <c r="I528" s="4" t="s">
        <v>400</v>
      </c>
      <c r="J528" s="10">
        <f>67.67536-38.62</f>
        <v>29.05536</v>
      </c>
      <c r="K528" s="10">
        <f>9.774+16.294+0.589+2.613</f>
        <v>29.269999999999996</v>
      </c>
      <c r="L528" s="10">
        <f t="shared" si="89"/>
        <v>0</v>
      </c>
      <c r="M528" s="10">
        <f t="shared" si="90"/>
        <v>0</v>
      </c>
      <c r="N528" s="10"/>
      <c r="O528" s="10"/>
      <c r="P528" s="10"/>
      <c r="Q528" s="10"/>
      <c r="R528" s="10"/>
      <c r="S528" s="10"/>
      <c r="T528" s="10"/>
      <c r="U528" s="10"/>
      <c r="V528" s="4" t="s">
        <v>841</v>
      </c>
      <c r="W528" s="4" t="s">
        <v>1204</v>
      </c>
      <c r="X528" s="8">
        <v>45173</v>
      </c>
      <c r="Y528" s="4"/>
      <c r="Z528" s="4"/>
      <c r="AA528" s="8">
        <v>45201</v>
      </c>
      <c r="AB528" s="8"/>
      <c r="AC528" s="4"/>
      <c r="AD528" s="4"/>
    </row>
    <row r="529" spans="1:30" hidden="1">
      <c r="A529" s="4">
        <v>614</v>
      </c>
      <c r="B529" s="8">
        <v>45139</v>
      </c>
      <c r="C529" s="4"/>
      <c r="D529" s="4" t="s">
        <v>42</v>
      </c>
      <c r="E529" s="8">
        <v>45184</v>
      </c>
      <c r="F529" s="4" t="s">
        <v>840</v>
      </c>
      <c r="G529" s="16" t="s">
        <v>44</v>
      </c>
      <c r="H529" s="4" t="s">
        <v>45</v>
      </c>
      <c r="I529" s="4" t="s">
        <v>46</v>
      </c>
      <c r="J529" s="10">
        <f>45.02936-34.81+1.108</f>
        <v>11.327359999999995</v>
      </c>
      <c r="K529" s="10">
        <f>6.257+3.263+0.772+1.108</f>
        <v>11.4</v>
      </c>
      <c r="L529" s="10">
        <f t="shared" si="89"/>
        <v>0</v>
      </c>
      <c r="M529" s="10">
        <f t="shared" si="90"/>
        <v>0</v>
      </c>
      <c r="N529" s="10"/>
      <c r="O529" s="10"/>
      <c r="P529" s="10"/>
      <c r="Q529" s="10"/>
      <c r="R529" s="10"/>
      <c r="S529" s="10"/>
      <c r="T529" s="10"/>
      <c r="U529" s="10"/>
      <c r="V529" s="4" t="s">
        <v>841</v>
      </c>
      <c r="W529" s="4" t="s">
        <v>1204</v>
      </c>
      <c r="X529" s="8"/>
      <c r="Y529" s="4"/>
      <c r="Z529" s="4"/>
      <c r="AA529" s="8">
        <v>45201</v>
      </c>
      <c r="AB529" s="8"/>
      <c r="AC529" s="4"/>
      <c r="AD529" s="4"/>
    </row>
    <row r="530" spans="1:30" hidden="1">
      <c r="A530" s="4">
        <v>614</v>
      </c>
      <c r="B530" s="8">
        <v>45139</v>
      </c>
      <c r="C530" s="4"/>
      <c r="D530" s="4" t="s">
        <v>42</v>
      </c>
      <c r="E530" s="8">
        <v>45184</v>
      </c>
      <c r="F530" s="4" t="s">
        <v>840</v>
      </c>
      <c r="G530" s="16" t="s">
        <v>44</v>
      </c>
      <c r="H530" s="4" t="s">
        <v>45</v>
      </c>
      <c r="I530" s="4" t="s">
        <v>47</v>
      </c>
      <c r="J530" s="10">
        <f>37.357848-22.56</f>
        <v>14.797847999999998</v>
      </c>
      <c r="K530" s="10">
        <v>14.922000000000001</v>
      </c>
      <c r="L530" s="10">
        <f t="shared" si="89"/>
        <v>0</v>
      </c>
      <c r="M530" s="10">
        <f t="shared" si="90"/>
        <v>0</v>
      </c>
      <c r="N530" s="10"/>
      <c r="O530" s="10"/>
      <c r="P530" s="10"/>
      <c r="Q530" s="10"/>
      <c r="R530" s="10"/>
      <c r="S530" s="10"/>
      <c r="T530" s="10"/>
      <c r="U530" s="10"/>
      <c r="V530" s="4" t="s">
        <v>841</v>
      </c>
      <c r="W530" s="4" t="s">
        <v>1204</v>
      </c>
      <c r="X530" s="8">
        <v>45181</v>
      </c>
      <c r="Y530" s="4"/>
      <c r="Z530" s="4"/>
      <c r="AA530" s="8">
        <v>45208</v>
      </c>
      <c r="AB530" s="8"/>
      <c r="AC530" s="4"/>
      <c r="AD530" s="4"/>
    </row>
    <row r="531" spans="1:30" hidden="1">
      <c r="A531" s="4">
        <v>614</v>
      </c>
      <c r="B531" s="8">
        <v>45139</v>
      </c>
      <c r="C531" s="4"/>
      <c r="D531" s="4" t="s">
        <v>42</v>
      </c>
      <c r="E531" s="8">
        <v>45184</v>
      </c>
      <c r="F531" s="4" t="s">
        <v>840</v>
      </c>
      <c r="G531" s="16" t="s">
        <v>44</v>
      </c>
      <c r="H531" s="4" t="s">
        <v>45</v>
      </c>
      <c r="I531" s="4" t="s">
        <v>579</v>
      </c>
      <c r="J531" s="10">
        <f>5.4984-1.12</f>
        <v>4.3784000000000001</v>
      </c>
      <c r="K531" s="10">
        <v>4.38</v>
      </c>
      <c r="L531" s="10">
        <f t="shared" si="89"/>
        <v>0</v>
      </c>
      <c r="M531" s="10">
        <f t="shared" si="90"/>
        <v>0</v>
      </c>
      <c r="N531" s="10"/>
      <c r="O531" s="10"/>
      <c r="P531" s="10">
        <v>0</v>
      </c>
      <c r="Q531" s="10"/>
      <c r="R531" s="10"/>
      <c r="S531" s="10"/>
      <c r="T531" s="10"/>
      <c r="U531" s="10"/>
      <c r="V531" s="4" t="s">
        <v>841</v>
      </c>
      <c r="W531" s="4"/>
      <c r="X531" s="8">
        <v>45171</v>
      </c>
      <c r="Y531" s="4"/>
      <c r="Z531" s="4"/>
      <c r="AA531" s="8">
        <v>45201</v>
      </c>
      <c r="AB531" s="8">
        <v>45201</v>
      </c>
      <c r="AC531" s="4"/>
      <c r="AD531" s="4"/>
    </row>
    <row r="532" spans="1:30" hidden="1">
      <c r="A532" s="4">
        <v>614</v>
      </c>
      <c r="B532" s="8">
        <v>45139</v>
      </c>
      <c r="C532" s="4"/>
      <c r="D532" s="4" t="s">
        <v>42</v>
      </c>
      <c r="E532" s="8">
        <v>45184</v>
      </c>
      <c r="F532" s="4" t="s">
        <v>840</v>
      </c>
      <c r="G532" s="16" t="s">
        <v>44</v>
      </c>
      <c r="H532" s="4" t="s">
        <v>45</v>
      </c>
      <c r="I532" s="4" t="s">
        <v>448</v>
      </c>
      <c r="J532" s="10">
        <f>10.64709-8.22</f>
        <v>2.4270899999999997</v>
      </c>
      <c r="K532" s="10">
        <v>2.4279999999999999</v>
      </c>
      <c r="L532" s="10">
        <f t="shared" si="89"/>
        <v>0</v>
      </c>
      <c r="M532" s="10">
        <f t="shared" si="90"/>
        <v>0</v>
      </c>
      <c r="N532" s="10"/>
      <c r="O532" s="10"/>
      <c r="P532" s="10">
        <v>0</v>
      </c>
      <c r="Q532" s="10"/>
      <c r="R532" s="10"/>
      <c r="S532" s="10"/>
      <c r="T532" s="10"/>
      <c r="U532" s="10"/>
      <c r="V532" s="4" t="s">
        <v>841</v>
      </c>
      <c r="W532" s="4"/>
      <c r="X532" s="8">
        <v>45171</v>
      </c>
      <c r="Y532" s="4"/>
      <c r="Z532" s="4"/>
      <c r="AA532" s="8">
        <v>45201</v>
      </c>
      <c r="AB532" s="8">
        <v>45201</v>
      </c>
      <c r="AC532" s="4"/>
      <c r="AD532" s="4"/>
    </row>
    <row r="533" spans="1:30" hidden="1">
      <c r="A533" s="4">
        <v>614</v>
      </c>
      <c r="B533" s="8">
        <v>45139</v>
      </c>
      <c r="C533" s="4"/>
      <c r="D533" s="4" t="s">
        <v>42</v>
      </c>
      <c r="E533" s="8">
        <v>45184</v>
      </c>
      <c r="F533" s="4" t="s">
        <v>840</v>
      </c>
      <c r="G533" s="16" t="s">
        <v>44</v>
      </c>
      <c r="H533" s="4" t="s">
        <v>45</v>
      </c>
      <c r="I533" s="4" t="s">
        <v>670</v>
      </c>
      <c r="J533" s="10">
        <v>5.3466000000000005</v>
      </c>
      <c r="K533" s="10">
        <f>2.291+3.055</f>
        <v>5.3460000000000001</v>
      </c>
      <c r="L533" s="10">
        <f t="shared" si="89"/>
        <v>0</v>
      </c>
      <c r="M533" s="10">
        <f t="shared" si="90"/>
        <v>0</v>
      </c>
      <c r="N533" s="10"/>
      <c r="O533" s="10"/>
      <c r="P533" s="10"/>
      <c r="Q533" s="10"/>
      <c r="R533" s="10"/>
      <c r="S533" s="10"/>
      <c r="T533" s="10"/>
      <c r="U533" s="10"/>
      <c r="V533" s="4" t="s">
        <v>841</v>
      </c>
      <c r="W533" s="4" t="s">
        <v>1204</v>
      </c>
      <c r="X533" s="8">
        <v>45171</v>
      </c>
      <c r="Y533" s="4"/>
      <c r="Z533" s="4"/>
      <c r="AA533" s="8">
        <v>45201</v>
      </c>
      <c r="AB533" s="8"/>
      <c r="AC533" s="4"/>
      <c r="AD533" s="4"/>
    </row>
    <row r="534" spans="1:30" hidden="1">
      <c r="A534" s="4">
        <v>614</v>
      </c>
      <c r="B534" s="8">
        <v>45139</v>
      </c>
      <c r="C534" s="4"/>
      <c r="D534" s="4" t="s">
        <v>42</v>
      </c>
      <c r="E534" s="8">
        <v>45184</v>
      </c>
      <c r="F534" s="4" t="s">
        <v>840</v>
      </c>
      <c r="G534" s="16" t="s">
        <v>44</v>
      </c>
      <c r="H534" s="4" t="s">
        <v>45</v>
      </c>
      <c r="I534" s="4" t="s">
        <v>435</v>
      </c>
      <c r="J534" s="10">
        <v>3.7372290000000006</v>
      </c>
      <c r="K534" s="10">
        <f>3.383+0.364</f>
        <v>3.7469999999999999</v>
      </c>
      <c r="L534" s="10">
        <f t="shared" si="89"/>
        <v>0</v>
      </c>
      <c r="M534" s="10">
        <f t="shared" si="90"/>
        <v>0</v>
      </c>
      <c r="N534" s="10"/>
      <c r="O534" s="10"/>
      <c r="P534" s="10"/>
      <c r="Q534" s="10"/>
      <c r="R534" s="10"/>
      <c r="S534" s="10"/>
      <c r="T534" s="10"/>
      <c r="U534" s="10"/>
      <c r="V534" s="4" t="s">
        <v>841</v>
      </c>
      <c r="W534" s="4" t="s">
        <v>1204</v>
      </c>
      <c r="X534" s="8"/>
      <c r="Y534" s="4"/>
      <c r="Z534" s="4"/>
      <c r="AA534" s="8">
        <v>45201</v>
      </c>
      <c r="AB534" s="8"/>
      <c r="AC534" s="4"/>
      <c r="AD534" s="4"/>
    </row>
    <row r="535" spans="1:30" hidden="1">
      <c r="A535" s="4">
        <v>614</v>
      </c>
      <c r="B535" s="8">
        <v>45139</v>
      </c>
      <c r="C535" s="4"/>
      <c r="D535" s="4" t="s">
        <v>42</v>
      </c>
      <c r="E535" s="8">
        <v>45184</v>
      </c>
      <c r="F535" s="4" t="s">
        <v>840</v>
      </c>
      <c r="G535" s="16" t="s">
        <v>44</v>
      </c>
      <c r="H535" s="4" t="s">
        <v>45</v>
      </c>
      <c r="I535" s="4" t="s">
        <v>432</v>
      </c>
      <c r="J535" s="10">
        <v>5.0928640000000005</v>
      </c>
      <c r="K535" s="10">
        <f>3.886+1.231</f>
        <v>5.117</v>
      </c>
      <c r="L535" s="10">
        <f t="shared" si="89"/>
        <v>0</v>
      </c>
      <c r="M535" s="10">
        <f t="shared" si="90"/>
        <v>0</v>
      </c>
      <c r="N535" s="10"/>
      <c r="O535" s="10"/>
      <c r="P535" s="10"/>
      <c r="Q535" s="10"/>
      <c r="R535" s="10"/>
      <c r="S535" s="10"/>
      <c r="T535" s="10"/>
      <c r="U535" s="10"/>
      <c r="V535" s="4" t="s">
        <v>841</v>
      </c>
      <c r="W535" s="4" t="s">
        <v>1204</v>
      </c>
      <c r="X535" s="8"/>
      <c r="Y535" s="4"/>
      <c r="Z535" s="4"/>
      <c r="AA535" s="8">
        <v>45201</v>
      </c>
      <c r="AB535" s="8"/>
      <c r="AC535" s="4"/>
      <c r="AD535" s="4"/>
    </row>
    <row r="536" spans="1:30" hidden="1">
      <c r="A536" s="4">
        <v>614</v>
      </c>
      <c r="B536" s="8">
        <v>45139</v>
      </c>
      <c r="C536" s="4"/>
      <c r="D536" s="4" t="s">
        <v>42</v>
      </c>
      <c r="E536" s="8">
        <v>45184</v>
      </c>
      <c r="F536" s="4" t="s">
        <v>840</v>
      </c>
      <c r="G536" s="16" t="s">
        <v>44</v>
      </c>
      <c r="H536" s="4" t="s">
        <v>45</v>
      </c>
      <c r="I536" s="4" t="s">
        <v>474</v>
      </c>
      <c r="J536" s="10">
        <f>11.413266-4.37</f>
        <v>7.043266</v>
      </c>
      <c r="K536" s="10">
        <f>6.238+0.888</f>
        <v>7.1260000000000003</v>
      </c>
      <c r="L536" s="10">
        <f t="shared" si="89"/>
        <v>0</v>
      </c>
      <c r="M536" s="10">
        <f t="shared" si="90"/>
        <v>0</v>
      </c>
      <c r="N536" s="10"/>
      <c r="O536" s="10"/>
      <c r="P536" s="10">
        <v>0</v>
      </c>
      <c r="Q536" s="10"/>
      <c r="R536" s="10"/>
      <c r="S536" s="10"/>
      <c r="T536" s="10"/>
      <c r="U536" s="10"/>
      <c r="V536" s="4" t="s">
        <v>841</v>
      </c>
      <c r="W536" s="4" t="s">
        <v>1204</v>
      </c>
      <c r="X536" s="8"/>
      <c r="Y536" s="4"/>
      <c r="Z536" s="4"/>
      <c r="AA536" s="8">
        <v>45208</v>
      </c>
      <c r="AB536" s="8">
        <v>45240</v>
      </c>
      <c r="AC536" s="4"/>
      <c r="AD536" s="4"/>
    </row>
    <row r="537" spans="1:30" hidden="1">
      <c r="A537" s="4">
        <v>614</v>
      </c>
      <c r="B537" s="8">
        <v>45139</v>
      </c>
      <c r="C537" s="4"/>
      <c r="D537" s="4" t="s">
        <v>42</v>
      </c>
      <c r="E537" s="8">
        <v>45184</v>
      </c>
      <c r="F537" s="4" t="s">
        <v>840</v>
      </c>
      <c r="G537" s="16" t="s">
        <v>44</v>
      </c>
      <c r="H537" s="4" t="s">
        <v>45</v>
      </c>
      <c r="I537" s="4" t="s">
        <v>434</v>
      </c>
      <c r="J537" s="10">
        <f>16.236896-6</f>
        <v>10.236896000000002</v>
      </c>
      <c r="K537" s="10">
        <v>10.369</v>
      </c>
      <c r="L537" s="10">
        <f t="shared" si="89"/>
        <v>0</v>
      </c>
      <c r="M537" s="10">
        <f t="shared" si="90"/>
        <v>0</v>
      </c>
      <c r="N537" s="10"/>
      <c r="O537" s="10"/>
      <c r="P537" s="10"/>
      <c r="Q537" s="10"/>
      <c r="R537" s="10"/>
      <c r="S537" s="10"/>
      <c r="T537" s="10"/>
      <c r="U537" s="10"/>
      <c r="V537" s="4" t="s">
        <v>841</v>
      </c>
      <c r="W537" s="4" t="s">
        <v>1204</v>
      </c>
      <c r="X537" s="8"/>
      <c r="Y537" s="4"/>
      <c r="Z537" s="4"/>
      <c r="AA537" s="8">
        <v>45208</v>
      </c>
      <c r="AB537" s="8"/>
      <c r="AC537" s="4"/>
      <c r="AD537" s="4"/>
    </row>
    <row r="538" spans="1:30" hidden="1">
      <c r="A538" s="4">
        <v>614</v>
      </c>
      <c r="B538" s="8">
        <v>45139</v>
      </c>
      <c r="C538" s="4"/>
      <c r="D538" s="4" t="s">
        <v>42</v>
      </c>
      <c r="E538" s="8">
        <v>45184</v>
      </c>
      <c r="F538" s="4" t="s">
        <v>840</v>
      </c>
      <c r="G538" s="16" t="s">
        <v>44</v>
      </c>
      <c r="H538" s="4" t="s">
        <v>45</v>
      </c>
      <c r="I538" s="4" t="s">
        <v>577</v>
      </c>
      <c r="J538" s="10">
        <f>15.740351-9.36</f>
        <v>6.380351000000001</v>
      </c>
      <c r="K538" s="10">
        <f>6.156+0.466</f>
        <v>6.6219999999999999</v>
      </c>
      <c r="L538" s="10">
        <f t="shared" si="89"/>
        <v>0</v>
      </c>
      <c r="M538" s="10">
        <f t="shared" si="90"/>
        <v>0</v>
      </c>
      <c r="N538" s="10"/>
      <c r="O538" s="10"/>
      <c r="P538" s="10"/>
      <c r="Q538" s="10"/>
      <c r="R538" s="10"/>
      <c r="S538" s="10"/>
      <c r="T538" s="10"/>
      <c r="U538" s="10"/>
      <c r="V538" s="4" t="s">
        <v>841</v>
      </c>
      <c r="W538" s="4" t="s">
        <v>1204</v>
      </c>
      <c r="X538" s="8">
        <v>45176</v>
      </c>
      <c r="Y538" s="4"/>
      <c r="Z538" s="4"/>
      <c r="AA538" s="8">
        <v>45208</v>
      </c>
      <c r="AB538" s="8"/>
      <c r="AC538" s="4"/>
      <c r="AD538" s="4"/>
    </row>
    <row r="539" spans="1:30" hidden="1">
      <c r="A539" s="4">
        <v>614</v>
      </c>
      <c r="B539" s="8">
        <v>45139</v>
      </c>
      <c r="C539" s="4"/>
      <c r="D539" s="4" t="s">
        <v>42</v>
      </c>
      <c r="E539" s="8">
        <v>45184</v>
      </c>
      <c r="F539" s="4" t="s">
        <v>840</v>
      </c>
      <c r="G539" s="16" t="s">
        <v>44</v>
      </c>
      <c r="H539" s="4" t="s">
        <v>45</v>
      </c>
      <c r="I539" s="4" t="s">
        <v>89</v>
      </c>
      <c r="J539" s="10">
        <f>30.812704-20.32</f>
        <v>10.492704</v>
      </c>
      <c r="K539" s="10">
        <f>2.154+6.926+1.486</f>
        <v>10.566000000000001</v>
      </c>
      <c r="L539" s="10">
        <f t="shared" si="89"/>
        <v>0</v>
      </c>
      <c r="M539" s="10">
        <f t="shared" si="90"/>
        <v>0</v>
      </c>
      <c r="N539" s="10"/>
      <c r="O539" s="10"/>
      <c r="P539" s="10">
        <v>0</v>
      </c>
      <c r="Q539" s="10"/>
      <c r="R539" s="10"/>
      <c r="S539" s="10"/>
      <c r="T539" s="10"/>
      <c r="U539" s="10"/>
      <c r="V539" s="4" t="s">
        <v>841</v>
      </c>
      <c r="W539" s="4"/>
      <c r="X539" s="8">
        <v>45202</v>
      </c>
      <c r="Y539" s="4"/>
      <c r="Z539" s="4"/>
      <c r="AA539" s="8">
        <v>45218</v>
      </c>
      <c r="AB539" s="8">
        <v>45226</v>
      </c>
      <c r="AC539" s="4"/>
      <c r="AD539" s="4"/>
    </row>
    <row r="540" spans="1:30" hidden="1">
      <c r="A540" s="4">
        <v>614</v>
      </c>
      <c r="B540" s="8">
        <v>45139</v>
      </c>
      <c r="C540" s="4"/>
      <c r="D540" s="4" t="s">
        <v>42</v>
      </c>
      <c r="E540" s="8">
        <v>45184</v>
      </c>
      <c r="F540" s="4" t="s">
        <v>840</v>
      </c>
      <c r="G540" s="16" t="s">
        <v>51</v>
      </c>
      <c r="H540" s="4" t="s">
        <v>52</v>
      </c>
      <c r="I540" s="4" t="s">
        <v>54</v>
      </c>
      <c r="J540" s="10">
        <f>46.959312-6.34</f>
        <v>40.619311999999994</v>
      </c>
      <c r="K540" s="10">
        <f>2.126+14.883+12.903+3.73+4.827+1.278+1.344</f>
        <v>41.090999999999994</v>
      </c>
      <c r="L540" s="10">
        <f t="shared" si="89"/>
        <v>0</v>
      </c>
      <c r="M540" s="10">
        <f t="shared" si="90"/>
        <v>0</v>
      </c>
      <c r="N540" s="10"/>
      <c r="O540" s="10"/>
      <c r="P540" s="10">
        <v>0</v>
      </c>
      <c r="Q540" s="10"/>
      <c r="R540" s="10"/>
      <c r="S540" s="10"/>
      <c r="T540" s="10"/>
      <c r="U540" s="10"/>
      <c r="V540" s="4" t="s">
        <v>841</v>
      </c>
      <c r="W540" s="4" t="s">
        <v>1204</v>
      </c>
      <c r="X540" s="8">
        <v>45179</v>
      </c>
      <c r="Y540" s="4"/>
      <c r="Z540" s="4"/>
      <c r="AA540" s="8"/>
      <c r="AB540" s="8">
        <v>45228</v>
      </c>
      <c r="AC540" s="4"/>
      <c r="AD540" s="4"/>
    </row>
    <row r="541" spans="1:30" hidden="1">
      <c r="A541" s="4">
        <v>614</v>
      </c>
      <c r="B541" s="8">
        <v>45139</v>
      </c>
      <c r="C541" s="4"/>
      <c r="D541" s="4" t="s">
        <v>42</v>
      </c>
      <c r="E541" s="8">
        <v>45184</v>
      </c>
      <c r="F541" s="4" t="s">
        <v>840</v>
      </c>
      <c r="G541" s="16" t="s">
        <v>51</v>
      </c>
      <c r="H541" s="4" t="s">
        <v>52</v>
      </c>
      <c r="I541" s="4" t="s">
        <v>405</v>
      </c>
      <c r="J541" s="10">
        <f>10.51008-1.57</f>
        <v>8.94008</v>
      </c>
      <c r="K541" s="10">
        <f>8.231+0.767</f>
        <v>8.9979999999999993</v>
      </c>
      <c r="L541" s="10">
        <f t="shared" si="89"/>
        <v>0</v>
      </c>
      <c r="M541" s="10">
        <f t="shared" si="90"/>
        <v>0</v>
      </c>
      <c r="N541" s="10"/>
      <c r="O541" s="10"/>
      <c r="P541" s="10"/>
      <c r="Q541" s="10"/>
      <c r="R541" s="10"/>
      <c r="S541" s="10"/>
      <c r="T541" s="10"/>
      <c r="U541" s="10"/>
      <c r="V541" s="4" t="s">
        <v>841</v>
      </c>
      <c r="W541" s="4" t="s">
        <v>1204</v>
      </c>
      <c r="X541" s="8"/>
      <c r="Y541" s="4"/>
      <c r="Z541" s="4"/>
      <c r="AA541" s="8">
        <v>45201</v>
      </c>
      <c r="AB541" s="8"/>
      <c r="AC541" s="4"/>
      <c r="AD541" s="4"/>
    </row>
    <row r="542" spans="1:30" hidden="1">
      <c r="A542" s="4">
        <v>614</v>
      </c>
      <c r="B542" s="8">
        <v>45139</v>
      </c>
      <c r="C542" s="4"/>
      <c r="D542" s="4" t="s">
        <v>42</v>
      </c>
      <c r="E542" s="8">
        <v>45184</v>
      </c>
      <c r="F542" s="4" t="s">
        <v>840</v>
      </c>
      <c r="G542" s="16" t="s">
        <v>51</v>
      </c>
      <c r="H542" s="4" t="s">
        <v>52</v>
      </c>
      <c r="I542" s="4" t="s">
        <v>435</v>
      </c>
      <c r="J542" s="10">
        <v>16.912447</v>
      </c>
      <c r="K542" s="10">
        <f>14.899+2.133</f>
        <v>17.032</v>
      </c>
      <c r="L542" s="10">
        <f t="shared" si="89"/>
        <v>0</v>
      </c>
      <c r="M542" s="10">
        <f t="shared" si="90"/>
        <v>0</v>
      </c>
      <c r="N542" s="10"/>
      <c r="O542" s="10"/>
      <c r="P542" s="10"/>
      <c r="Q542" s="10"/>
      <c r="R542" s="10"/>
      <c r="S542" s="10"/>
      <c r="T542" s="10"/>
      <c r="U542" s="10"/>
      <c r="V542" s="4" t="s">
        <v>841</v>
      </c>
      <c r="W542" s="4" t="s">
        <v>1204</v>
      </c>
      <c r="X542" s="8"/>
      <c r="Y542" s="4"/>
      <c r="Z542" s="4"/>
      <c r="AA542" s="8">
        <v>45201</v>
      </c>
      <c r="AB542" s="8"/>
      <c r="AC542" s="4"/>
      <c r="AD542" s="4"/>
    </row>
    <row r="543" spans="1:30" hidden="1">
      <c r="A543" s="4">
        <v>614</v>
      </c>
      <c r="B543" s="8">
        <v>45139</v>
      </c>
      <c r="C543" s="4"/>
      <c r="D543" s="4" t="s">
        <v>42</v>
      </c>
      <c r="E543" s="8">
        <v>45184</v>
      </c>
      <c r="F543" s="4" t="s">
        <v>840</v>
      </c>
      <c r="G543" s="16" t="s">
        <v>51</v>
      </c>
      <c r="H543" s="4" t="s">
        <v>52</v>
      </c>
      <c r="I543" s="4" t="s">
        <v>474</v>
      </c>
      <c r="J543" s="10">
        <v>17.789961000000002</v>
      </c>
      <c r="K543" s="10">
        <v>17.849</v>
      </c>
      <c r="L543" s="10">
        <f t="shared" si="89"/>
        <v>0</v>
      </c>
      <c r="M543" s="10">
        <f t="shared" si="90"/>
        <v>0</v>
      </c>
      <c r="N543" s="10"/>
      <c r="O543" s="10"/>
      <c r="P543" s="10">
        <v>0</v>
      </c>
      <c r="Q543" s="10"/>
      <c r="R543" s="10"/>
      <c r="S543" s="10"/>
      <c r="T543" s="10"/>
      <c r="U543" s="10"/>
      <c r="V543" s="4" t="s">
        <v>841</v>
      </c>
      <c r="W543" s="4" t="s">
        <v>1066</v>
      </c>
      <c r="X543" s="8"/>
      <c r="Y543" s="4"/>
      <c r="Z543" s="4"/>
      <c r="AA543" s="8">
        <v>45201</v>
      </c>
      <c r="AB543" s="8">
        <v>45201</v>
      </c>
      <c r="AC543" s="4"/>
      <c r="AD543" s="4"/>
    </row>
    <row r="544" spans="1:30" hidden="1">
      <c r="A544" s="4">
        <v>614</v>
      </c>
      <c r="B544" s="8">
        <v>45139</v>
      </c>
      <c r="C544" s="4"/>
      <c r="D544" s="4" t="s">
        <v>42</v>
      </c>
      <c r="E544" s="8">
        <v>45184</v>
      </c>
      <c r="F544" s="4" t="s">
        <v>840</v>
      </c>
      <c r="G544" s="16" t="s">
        <v>51</v>
      </c>
      <c r="H544" s="4" t="s">
        <v>52</v>
      </c>
      <c r="I544" s="4" t="s">
        <v>434</v>
      </c>
      <c r="J544" s="10">
        <v>0.36799999999999999</v>
      </c>
      <c r="K544" s="10">
        <v>0.39800000000000002</v>
      </c>
      <c r="L544" s="10">
        <f t="shared" si="89"/>
        <v>0</v>
      </c>
      <c r="M544" s="10">
        <f t="shared" si="90"/>
        <v>0</v>
      </c>
      <c r="N544" s="10"/>
      <c r="O544" s="10"/>
      <c r="P544" s="10"/>
      <c r="Q544" s="10"/>
      <c r="R544" s="10"/>
      <c r="S544" s="10"/>
      <c r="T544" s="10"/>
      <c r="U544" s="10"/>
      <c r="V544" s="4" t="s">
        <v>841</v>
      </c>
      <c r="W544" s="4" t="s">
        <v>1204</v>
      </c>
      <c r="X544" s="8"/>
      <c r="Y544" s="4"/>
      <c r="Z544" s="4"/>
      <c r="AA544" s="8">
        <v>45208</v>
      </c>
      <c r="AB544" s="8"/>
      <c r="AC544" s="4"/>
      <c r="AD544" s="4"/>
    </row>
    <row r="545" spans="1:30" hidden="1">
      <c r="A545" s="4">
        <v>614</v>
      </c>
      <c r="B545" s="8">
        <v>45139</v>
      </c>
      <c r="C545" s="4"/>
      <c r="D545" s="4" t="s">
        <v>42</v>
      </c>
      <c r="E545" s="8">
        <v>45184</v>
      </c>
      <c r="F545" s="4" t="s">
        <v>840</v>
      </c>
      <c r="G545" s="16" t="s">
        <v>51</v>
      </c>
      <c r="H545" s="4" t="s">
        <v>52</v>
      </c>
      <c r="I545" s="4" t="s">
        <v>577</v>
      </c>
      <c r="J545" s="10">
        <f>30.2838833-14.09+1.129</f>
        <v>17.322883300000001</v>
      </c>
      <c r="K545" s="10">
        <f>16.237+1.129</f>
        <v>17.366</v>
      </c>
      <c r="L545" s="10">
        <f t="shared" si="89"/>
        <v>0</v>
      </c>
      <c r="M545" s="10">
        <f t="shared" si="90"/>
        <v>0</v>
      </c>
      <c r="N545" s="10"/>
      <c r="O545" s="10"/>
      <c r="P545" s="10">
        <v>0</v>
      </c>
      <c r="Q545" s="10"/>
      <c r="R545" s="10"/>
      <c r="S545" s="10"/>
      <c r="T545" s="10"/>
      <c r="U545" s="10"/>
      <c r="V545" s="4" t="s">
        <v>841</v>
      </c>
      <c r="W545" s="4"/>
      <c r="X545" s="8"/>
      <c r="Y545" s="4"/>
      <c r="Z545" s="4"/>
      <c r="AA545" s="8"/>
      <c r="AB545" s="8"/>
      <c r="AC545" s="4"/>
      <c r="AD545" s="4"/>
    </row>
    <row r="546" spans="1:30" hidden="1">
      <c r="A546" s="4">
        <v>614</v>
      </c>
      <c r="B546" s="8">
        <v>45139</v>
      </c>
      <c r="C546" s="4"/>
      <c r="D546" s="4" t="s">
        <v>42</v>
      </c>
      <c r="E546" s="8">
        <v>45184</v>
      </c>
      <c r="F546" s="4" t="s">
        <v>840</v>
      </c>
      <c r="G546" s="16" t="s">
        <v>51</v>
      </c>
      <c r="H546" s="4" t="s">
        <v>52</v>
      </c>
      <c r="I546" s="4" t="s">
        <v>89</v>
      </c>
      <c r="J546" s="10">
        <f>28.927808-15.26</f>
        <v>13.667807999999999</v>
      </c>
      <c r="K546" s="10">
        <f>5.667+7.806+0.267</f>
        <v>13.739999999999998</v>
      </c>
      <c r="L546" s="10">
        <f t="shared" si="89"/>
        <v>0</v>
      </c>
      <c r="M546" s="10">
        <f t="shared" si="90"/>
        <v>0</v>
      </c>
      <c r="N546" s="10"/>
      <c r="O546" s="10"/>
      <c r="P546" s="10">
        <v>0</v>
      </c>
      <c r="Q546" s="10"/>
      <c r="R546" s="10"/>
      <c r="S546" s="10"/>
      <c r="T546" s="10"/>
      <c r="U546" s="10"/>
      <c r="V546" s="4" t="s">
        <v>841</v>
      </c>
      <c r="W546" s="4"/>
      <c r="X546" s="8">
        <v>45202</v>
      </c>
      <c r="Y546" s="4"/>
      <c r="Z546" s="4"/>
      <c r="AA546" s="8">
        <v>45218</v>
      </c>
      <c r="AB546" s="8">
        <v>45226</v>
      </c>
      <c r="AC546" s="4"/>
      <c r="AD546" s="4"/>
    </row>
    <row r="547" spans="1:30" hidden="1">
      <c r="A547" s="4">
        <v>898</v>
      </c>
      <c r="B547" s="8">
        <v>45197</v>
      </c>
      <c r="C547" s="4"/>
      <c r="D547" s="4" t="s">
        <v>42</v>
      </c>
      <c r="E547" s="8">
        <v>45206</v>
      </c>
      <c r="F547" s="4" t="s">
        <v>840</v>
      </c>
      <c r="G547" s="16" t="s">
        <v>44</v>
      </c>
      <c r="H547" s="4" t="s">
        <v>45</v>
      </c>
      <c r="I547" s="4" t="s">
        <v>57</v>
      </c>
      <c r="J547" s="10">
        <v>8.9400000000000007E-2</v>
      </c>
      <c r="K547" s="10">
        <v>0.09</v>
      </c>
      <c r="L547" s="10">
        <f t="shared" ref="L547:L549" si="91">M547+U547</f>
        <v>0</v>
      </c>
      <c r="M547" s="10">
        <f t="shared" ref="M547:M549" si="92">SUM(N547:T547)</f>
        <v>0</v>
      </c>
      <c r="N547" s="10"/>
      <c r="O547" s="10"/>
      <c r="P547" s="10">
        <v>0</v>
      </c>
      <c r="Q547" s="10"/>
      <c r="R547" s="10"/>
      <c r="S547" s="10"/>
      <c r="T547" s="10"/>
      <c r="U547" s="10"/>
      <c r="V547" s="4" t="s">
        <v>841</v>
      </c>
      <c r="W547" s="4"/>
      <c r="X547" s="8">
        <v>45207</v>
      </c>
      <c r="Y547" s="4"/>
      <c r="Z547" s="4"/>
      <c r="AA547" s="8"/>
      <c r="AB547" s="8">
        <v>45228</v>
      </c>
      <c r="AC547" s="4"/>
      <c r="AD547" s="4"/>
    </row>
    <row r="548" spans="1:30" hidden="1">
      <c r="A548" s="4">
        <v>898</v>
      </c>
      <c r="B548" s="8">
        <v>45197</v>
      </c>
      <c r="C548" s="4"/>
      <c r="D548" s="4" t="s">
        <v>42</v>
      </c>
      <c r="E548" s="8">
        <v>45206</v>
      </c>
      <c r="F548" s="4" t="s">
        <v>840</v>
      </c>
      <c r="G548" s="16" t="s">
        <v>44</v>
      </c>
      <c r="H548" s="4" t="s">
        <v>45</v>
      </c>
      <c r="I548" s="4" t="s">
        <v>403</v>
      </c>
      <c r="J548" s="10">
        <v>0.91299999999999981</v>
      </c>
      <c r="K548" s="10">
        <v>1.0649999999999999</v>
      </c>
      <c r="L548" s="10">
        <f t="shared" si="91"/>
        <v>0</v>
      </c>
      <c r="M548" s="10">
        <f t="shared" si="92"/>
        <v>0</v>
      </c>
      <c r="N548" s="10"/>
      <c r="O548" s="10"/>
      <c r="P548" s="10">
        <v>0</v>
      </c>
      <c r="Q548" s="10"/>
      <c r="R548" s="10"/>
      <c r="S548" s="10"/>
      <c r="T548" s="10"/>
      <c r="U548" s="10"/>
      <c r="V548" s="4" t="s">
        <v>841</v>
      </c>
      <c r="W548" s="4" t="s">
        <v>521</v>
      </c>
      <c r="X548" s="8"/>
      <c r="Y548" s="4"/>
      <c r="Z548" s="4"/>
      <c r="AA548" s="8"/>
      <c r="AB548" s="8">
        <v>45226</v>
      </c>
      <c r="AC548" s="4"/>
      <c r="AD548" s="4"/>
    </row>
    <row r="549" spans="1:30" hidden="1">
      <c r="A549" s="4">
        <v>898</v>
      </c>
      <c r="B549" s="8">
        <v>45197</v>
      </c>
      <c r="C549" s="4"/>
      <c r="D549" s="4" t="s">
        <v>42</v>
      </c>
      <c r="E549" s="8">
        <v>45206</v>
      </c>
      <c r="F549" s="4" t="s">
        <v>840</v>
      </c>
      <c r="G549" s="16" t="s">
        <v>51</v>
      </c>
      <c r="H549" s="4" t="s">
        <v>52</v>
      </c>
      <c r="I549" s="4" t="s">
        <v>435</v>
      </c>
      <c r="J549" s="10">
        <v>1.083</v>
      </c>
      <c r="K549" s="10">
        <v>1.0960000000000001</v>
      </c>
      <c r="L549" s="10">
        <f t="shared" si="91"/>
        <v>0</v>
      </c>
      <c r="M549" s="10">
        <f t="shared" si="92"/>
        <v>0</v>
      </c>
      <c r="N549" s="10"/>
      <c r="O549" s="10"/>
      <c r="P549" s="10">
        <v>0</v>
      </c>
      <c r="Q549" s="10"/>
      <c r="R549" s="10"/>
      <c r="S549" s="10"/>
      <c r="T549" s="10"/>
      <c r="U549" s="10"/>
      <c r="V549" s="4" t="s">
        <v>841</v>
      </c>
      <c r="W549" s="4"/>
      <c r="X549" s="8"/>
      <c r="Y549" s="4"/>
      <c r="Z549" s="4"/>
      <c r="AA549" s="8">
        <v>45222</v>
      </c>
      <c r="AB549" s="8">
        <v>45222</v>
      </c>
      <c r="AC549" s="4"/>
      <c r="AD549" s="4"/>
    </row>
    <row r="550" spans="1:30" hidden="1">
      <c r="A550" s="4">
        <v>899</v>
      </c>
      <c r="B550" s="8">
        <v>45197</v>
      </c>
      <c r="C550" s="4"/>
      <c r="D550" s="4" t="s">
        <v>42</v>
      </c>
      <c r="E550" s="8">
        <v>45206</v>
      </c>
      <c r="F550" s="4" t="s">
        <v>43</v>
      </c>
      <c r="G550" s="16" t="s">
        <v>51</v>
      </c>
      <c r="H550" s="4" t="s">
        <v>52</v>
      </c>
      <c r="I550" s="4" t="s">
        <v>432</v>
      </c>
      <c r="J550" s="10">
        <v>0.32639999999999997</v>
      </c>
      <c r="K550" s="10">
        <v>0.39100000000000001</v>
      </c>
      <c r="L550" s="10">
        <f t="shared" ref="L550:L582" si="93">M550+U550</f>
        <v>0</v>
      </c>
      <c r="M550" s="10">
        <f t="shared" ref="M550:M582" si="94">SUM(N550:T550)</f>
        <v>0</v>
      </c>
      <c r="N550" s="10"/>
      <c r="O550" s="10"/>
      <c r="P550" s="10">
        <v>0</v>
      </c>
      <c r="Q550" s="10"/>
      <c r="R550" s="10"/>
      <c r="S550" s="10"/>
      <c r="T550" s="10"/>
      <c r="U550" s="10"/>
      <c r="V550" s="4" t="s">
        <v>826</v>
      </c>
      <c r="W550" s="4" t="s">
        <v>634</v>
      </c>
      <c r="X550" s="8"/>
      <c r="Y550" s="4"/>
      <c r="Z550" s="4"/>
      <c r="AA550" s="8"/>
      <c r="AB550" s="8">
        <v>45228</v>
      </c>
      <c r="AC550" s="4"/>
      <c r="AD550" s="4"/>
    </row>
    <row r="551" spans="1:30" hidden="1">
      <c r="A551" s="4">
        <v>899</v>
      </c>
      <c r="B551" s="8">
        <v>45197</v>
      </c>
      <c r="C551" s="4"/>
      <c r="D551" s="4" t="s">
        <v>42</v>
      </c>
      <c r="E551" s="8">
        <v>45206</v>
      </c>
      <c r="F551" s="4" t="s">
        <v>43</v>
      </c>
      <c r="G551" s="16" t="s">
        <v>51</v>
      </c>
      <c r="H551" s="4" t="s">
        <v>52</v>
      </c>
      <c r="I551" s="4" t="s">
        <v>671</v>
      </c>
      <c r="J551" s="10">
        <v>1.6182000000000001</v>
      </c>
      <c r="K551" s="10">
        <v>1.944</v>
      </c>
      <c r="L551" s="10">
        <f t="shared" si="93"/>
        <v>0</v>
      </c>
      <c r="M551" s="10">
        <f t="shared" si="94"/>
        <v>0</v>
      </c>
      <c r="N551" s="10"/>
      <c r="O551" s="10"/>
      <c r="P551" s="10">
        <v>0</v>
      </c>
      <c r="Q551" s="10"/>
      <c r="R551" s="10"/>
      <c r="S551" s="10"/>
      <c r="T551" s="10"/>
      <c r="U551" s="10"/>
      <c r="V551" s="4" t="s">
        <v>826</v>
      </c>
      <c r="W551" s="4" t="s">
        <v>634</v>
      </c>
      <c r="X551" s="8"/>
      <c r="Y551" s="4"/>
      <c r="Z551" s="4"/>
      <c r="AA551" s="8">
        <v>45229</v>
      </c>
      <c r="AB551" s="8">
        <v>45229</v>
      </c>
      <c r="AC551" s="4"/>
      <c r="AD551" s="4"/>
    </row>
    <row r="552" spans="1:30" hidden="1">
      <c r="A552" s="4">
        <v>899</v>
      </c>
      <c r="B552" s="8">
        <v>45197</v>
      </c>
      <c r="C552" s="4"/>
      <c r="D552" s="4" t="s">
        <v>42</v>
      </c>
      <c r="E552" s="8">
        <v>45206</v>
      </c>
      <c r="F552" s="4" t="s">
        <v>43</v>
      </c>
      <c r="G552" s="16" t="s">
        <v>51</v>
      </c>
      <c r="H552" s="4" t="s">
        <v>52</v>
      </c>
      <c r="I552" s="4" t="s">
        <v>729</v>
      </c>
      <c r="J552" s="10">
        <v>15.959</v>
      </c>
      <c r="K552" s="10">
        <v>15.959</v>
      </c>
      <c r="L552" s="10">
        <f t="shared" si="93"/>
        <v>0</v>
      </c>
      <c r="M552" s="10">
        <f t="shared" si="94"/>
        <v>0</v>
      </c>
      <c r="N552" s="10"/>
      <c r="O552" s="10"/>
      <c r="P552" s="10">
        <v>0</v>
      </c>
      <c r="Q552" s="10"/>
      <c r="R552" s="10"/>
      <c r="S552" s="10"/>
      <c r="T552" s="10"/>
      <c r="U552" s="10"/>
      <c r="V552" s="4" t="s">
        <v>826</v>
      </c>
      <c r="W552" s="4"/>
      <c r="X552" s="8">
        <v>45213</v>
      </c>
      <c r="Y552" s="4"/>
      <c r="Z552" s="4"/>
      <c r="AA552" s="8"/>
      <c r="AB552" s="8"/>
      <c r="AC552" s="4"/>
      <c r="AD552" s="4"/>
    </row>
    <row r="553" spans="1:30" hidden="1">
      <c r="A553" s="4">
        <v>899</v>
      </c>
      <c r="B553" s="8">
        <v>45197</v>
      </c>
      <c r="C553" s="4"/>
      <c r="D553" s="4" t="s">
        <v>42</v>
      </c>
      <c r="E553" s="8">
        <v>45206</v>
      </c>
      <c r="F553" s="4" t="s">
        <v>43</v>
      </c>
      <c r="G553" s="16" t="s">
        <v>51</v>
      </c>
      <c r="H553" s="4" t="s">
        <v>52</v>
      </c>
      <c r="I553" s="4" t="s">
        <v>89</v>
      </c>
      <c r="J553" s="10">
        <v>0.13700000000000001</v>
      </c>
      <c r="K553" s="10">
        <v>0.14599999999999999</v>
      </c>
      <c r="L553" s="10">
        <f t="shared" si="93"/>
        <v>0</v>
      </c>
      <c r="M553" s="10">
        <f t="shared" si="94"/>
        <v>0</v>
      </c>
      <c r="N553" s="10"/>
      <c r="O553" s="10"/>
      <c r="P553" s="10">
        <v>0</v>
      </c>
      <c r="Q553" s="10"/>
      <c r="R553" s="10"/>
      <c r="S553" s="10"/>
      <c r="T553" s="10"/>
      <c r="U553" s="10"/>
      <c r="V553" s="4" t="s">
        <v>826</v>
      </c>
      <c r="W553" s="4"/>
      <c r="X553" s="8"/>
      <c r="Y553" s="4"/>
      <c r="Z553" s="4"/>
      <c r="AA553" s="8"/>
      <c r="AB553" s="8">
        <v>45228</v>
      </c>
      <c r="AC553" s="4"/>
      <c r="AD553" s="4"/>
    </row>
    <row r="554" spans="1:30" hidden="1">
      <c r="A554" s="4">
        <v>900</v>
      </c>
      <c r="B554" s="8">
        <v>45197</v>
      </c>
      <c r="C554" s="4"/>
      <c r="D554" s="4" t="s">
        <v>42</v>
      </c>
      <c r="E554" s="8">
        <v>45214</v>
      </c>
      <c r="F554" s="4" t="s">
        <v>43</v>
      </c>
      <c r="G554" s="16" t="s">
        <v>51</v>
      </c>
      <c r="H554" s="4" t="s">
        <v>52</v>
      </c>
      <c r="I554" s="4" t="s">
        <v>54</v>
      </c>
      <c r="J554" s="10">
        <v>7.4999999999999997E-2</v>
      </c>
      <c r="K554" s="10">
        <v>0.46300000000000002</v>
      </c>
      <c r="L554" s="10">
        <f t="shared" si="93"/>
        <v>0</v>
      </c>
      <c r="M554" s="10">
        <f t="shared" si="94"/>
        <v>0</v>
      </c>
      <c r="N554" s="10"/>
      <c r="O554" s="10"/>
      <c r="P554" s="10">
        <v>0</v>
      </c>
      <c r="Q554" s="10"/>
      <c r="R554" s="10"/>
      <c r="S554" s="10"/>
      <c r="T554" s="10"/>
      <c r="U554" s="10"/>
      <c r="V554" s="4" t="s">
        <v>826</v>
      </c>
      <c r="W554" s="4"/>
      <c r="X554" s="8"/>
      <c r="Y554" s="4"/>
      <c r="Z554" s="4"/>
      <c r="AA554" s="8"/>
      <c r="AB554" s="8"/>
      <c r="AC554" s="4"/>
      <c r="AD554" s="4"/>
    </row>
    <row r="555" spans="1:30" hidden="1">
      <c r="A555" s="4">
        <v>900</v>
      </c>
      <c r="B555" s="8">
        <v>45197</v>
      </c>
      <c r="C555" s="4"/>
      <c r="D555" s="4" t="s">
        <v>42</v>
      </c>
      <c r="E555" s="8">
        <v>45214</v>
      </c>
      <c r="F555" s="4" t="s">
        <v>43</v>
      </c>
      <c r="G555" s="16" t="s">
        <v>51</v>
      </c>
      <c r="H555" s="4" t="s">
        <v>52</v>
      </c>
      <c r="I555" s="4" t="s">
        <v>432</v>
      </c>
      <c r="J555" s="10">
        <v>7.3521599999999996</v>
      </c>
      <c r="K555" s="10">
        <f>6.254+1.163</f>
        <v>7.4169999999999998</v>
      </c>
      <c r="L555" s="10">
        <f t="shared" si="93"/>
        <v>0</v>
      </c>
      <c r="M555" s="10">
        <f t="shared" si="94"/>
        <v>0</v>
      </c>
      <c r="N555" s="10"/>
      <c r="O555" s="10"/>
      <c r="P555" s="10">
        <v>0</v>
      </c>
      <c r="Q555" s="10"/>
      <c r="R555" s="10"/>
      <c r="S555" s="10"/>
      <c r="T555" s="10"/>
      <c r="U555" s="10"/>
      <c r="V555" s="4" t="s">
        <v>826</v>
      </c>
      <c r="W555" s="4"/>
      <c r="X555" s="8"/>
      <c r="Y555" s="4"/>
      <c r="Z555" s="4"/>
      <c r="AA555" s="8">
        <v>45222</v>
      </c>
      <c r="AB555" s="8">
        <v>45222</v>
      </c>
      <c r="AC555" s="4"/>
      <c r="AD555" s="4"/>
    </row>
    <row r="556" spans="1:30" hidden="1">
      <c r="A556" s="4">
        <v>900</v>
      </c>
      <c r="B556" s="8">
        <v>45197</v>
      </c>
      <c r="C556" s="4"/>
      <c r="D556" s="4" t="s">
        <v>42</v>
      </c>
      <c r="E556" s="8">
        <v>45214</v>
      </c>
      <c r="F556" s="4" t="s">
        <v>43</v>
      </c>
      <c r="G556" s="16" t="s">
        <v>51</v>
      </c>
      <c r="H556" s="4" t="s">
        <v>52</v>
      </c>
      <c r="I556" s="4" t="s">
        <v>671</v>
      </c>
      <c r="J556" s="10">
        <f>97.0367-0.756</f>
        <v>96.280699999999996</v>
      </c>
      <c r="K556" s="10">
        <f>32.531+32.99+19.116+13.295</f>
        <v>97.932000000000002</v>
      </c>
      <c r="L556" s="10">
        <f t="shared" si="93"/>
        <v>0</v>
      </c>
      <c r="M556" s="10">
        <f t="shared" si="94"/>
        <v>0</v>
      </c>
      <c r="N556" s="10"/>
      <c r="O556" s="10"/>
      <c r="P556" s="10">
        <v>0</v>
      </c>
      <c r="Q556" s="10"/>
      <c r="R556" s="10"/>
      <c r="S556" s="10"/>
      <c r="T556" s="10"/>
      <c r="U556" s="10"/>
      <c r="V556" s="4" t="s">
        <v>826</v>
      </c>
      <c r="W556" s="4"/>
      <c r="X556" s="8"/>
      <c r="Y556" s="4"/>
      <c r="Z556" s="4"/>
      <c r="AA556" s="8"/>
      <c r="AB556" s="8">
        <v>45227</v>
      </c>
      <c r="AC556" s="4"/>
      <c r="AD556" s="4"/>
    </row>
    <row r="557" spans="1:30" hidden="1">
      <c r="A557" s="4">
        <v>900</v>
      </c>
      <c r="B557" s="8">
        <v>45197</v>
      </c>
      <c r="C557" s="4"/>
      <c r="D557" s="4" t="s">
        <v>42</v>
      </c>
      <c r="E557" s="8">
        <v>45214</v>
      </c>
      <c r="F557" s="4" t="s">
        <v>43</v>
      </c>
      <c r="G557" s="16" t="s">
        <v>51</v>
      </c>
      <c r="H557" s="4" t="s">
        <v>52</v>
      </c>
      <c r="I557" s="4" t="s">
        <v>729</v>
      </c>
      <c r="J557" s="10">
        <v>4.3259999999999996</v>
      </c>
      <c r="K557" s="10">
        <f>1.537+2.81</f>
        <v>4.3469999999999995</v>
      </c>
      <c r="L557" s="10">
        <f t="shared" si="93"/>
        <v>0</v>
      </c>
      <c r="M557" s="10">
        <f t="shared" si="94"/>
        <v>0</v>
      </c>
      <c r="N557" s="10"/>
      <c r="O557" s="10"/>
      <c r="P557" s="10"/>
      <c r="Q557" s="10"/>
      <c r="R557" s="10"/>
      <c r="S557" s="10"/>
      <c r="T557" s="10"/>
      <c r="U557" s="10"/>
      <c r="V557" s="4" t="s">
        <v>826</v>
      </c>
      <c r="W557" s="4"/>
      <c r="X557" s="8">
        <v>45213</v>
      </c>
      <c r="Y557" s="4"/>
      <c r="Z557" s="4"/>
      <c r="AA557" s="8">
        <v>45234</v>
      </c>
      <c r="AB557" s="8">
        <v>45234</v>
      </c>
      <c r="AC557" s="4"/>
      <c r="AD557" s="4"/>
    </row>
    <row r="558" spans="1:30" hidden="1">
      <c r="A558" s="4">
        <v>900</v>
      </c>
      <c r="B558" s="8">
        <v>45197</v>
      </c>
      <c r="C558" s="4"/>
      <c r="D558" s="4" t="s">
        <v>42</v>
      </c>
      <c r="E558" s="8">
        <v>45214</v>
      </c>
      <c r="F558" s="4" t="s">
        <v>43</v>
      </c>
      <c r="G558" s="16" t="s">
        <v>51</v>
      </c>
      <c r="H558" s="4" t="s">
        <v>52</v>
      </c>
      <c r="I558" s="4" t="s">
        <v>89</v>
      </c>
      <c r="J558" s="10">
        <v>22.001999999999999</v>
      </c>
      <c r="K558" s="10">
        <f>4.98+14.913+1.498+0.641</f>
        <v>22.032000000000004</v>
      </c>
      <c r="L558" s="10">
        <f t="shared" si="93"/>
        <v>0</v>
      </c>
      <c r="M558" s="10">
        <f t="shared" si="94"/>
        <v>0</v>
      </c>
      <c r="N558" s="10"/>
      <c r="O558" s="10"/>
      <c r="P558" s="10">
        <v>0</v>
      </c>
      <c r="Q558" s="10"/>
      <c r="R558" s="10"/>
      <c r="S558" s="10"/>
      <c r="T558" s="10"/>
      <c r="U558" s="10"/>
      <c r="V558" s="4" t="s">
        <v>826</v>
      </c>
      <c r="W558" s="4"/>
      <c r="X558" s="8"/>
      <c r="Y558" s="4"/>
      <c r="Z558" s="4"/>
      <c r="AA558" s="8"/>
      <c r="AB558" s="8">
        <v>45228</v>
      </c>
      <c r="AC558" s="4"/>
      <c r="AD558" s="4"/>
    </row>
    <row r="559" spans="1:30" hidden="1">
      <c r="A559" s="4">
        <v>900</v>
      </c>
      <c r="B559" s="8">
        <v>45197</v>
      </c>
      <c r="C559" s="4"/>
      <c r="D559" s="4" t="s">
        <v>42</v>
      </c>
      <c r="E559" s="8">
        <v>45214</v>
      </c>
      <c r="F559" s="4" t="s">
        <v>43</v>
      </c>
      <c r="G559" s="16" t="s">
        <v>51</v>
      </c>
      <c r="H559" s="4" t="s">
        <v>52</v>
      </c>
      <c r="I559" s="4" t="s">
        <v>125</v>
      </c>
      <c r="J559" s="10">
        <v>4.5860000000000003</v>
      </c>
      <c r="K559" s="10">
        <f>1.605+1.835+1.31</f>
        <v>4.75</v>
      </c>
      <c r="L559" s="10">
        <f t="shared" si="93"/>
        <v>0</v>
      </c>
      <c r="M559" s="10">
        <f t="shared" si="94"/>
        <v>0</v>
      </c>
      <c r="N559" s="10"/>
      <c r="O559" s="10"/>
      <c r="P559" s="10">
        <v>0</v>
      </c>
      <c r="Q559" s="10"/>
      <c r="R559" s="10"/>
      <c r="S559" s="10"/>
      <c r="T559" s="10"/>
      <c r="U559" s="10"/>
      <c r="V559" s="4" t="s">
        <v>826</v>
      </c>
      <c r="W559" s="4"/>
      <c r="X559" s="8"/>
      <c r="Y559" s="4"/>
      <c r="Z559" s="4"/>
      <c r="AA559" s="8"/>
      <c r="AB559" s="8">
        <v>45228</v>
      </c>
      <c r="AC559" s="4"/>
      <c r="AD559" s="4"/>
    </row>
    <row r="560" spans="1:30" hidden="1">
      <c r="A560" s="4">
        <v>901</v>
      </c>
      <c r="B560" s="8">
        <v>45197</v>
      </c>
      <c r="C560" s="4"/>
      <c r="D560" s="4" t="s">
        <v>42</v>
      </c>
      <c r="E560" s="8">
        <v>45206</v>
      </c>
      <c r="F560" s="4" t="s">
        <v>43</v>
      </c>
      <c r="G560" s="16" t="s">
        <v>51</v>
      </c>
      <c r="H560" s="4" t="s">
        <v>52</v>
      </c>
      <c r="I560" s="4" t="s">
        <v>432</v>
      </c>
      <c r="J560" s="10">
        <v>0.28832000000000002</v>
      </c>
      <c r="K560" s="10">
        <v>0.29099999999999998</v>
      </c>
      <c r="L560" s="10">
        <f t="shared" si="93"/>
        <v>0</v>
      </c>
      <c r="M560" s="10">
        <f t="shared" si="94"/>
        <v>0</v>
      </c>
      <c r="N560" s="10"/>
      <c r="O560" s="10"/>
      <c r="P560" s="10">
        <v>0</v>
      </c>
      <c r="Q560" s="10"/>
      <c r="R560" s="10"/>
      <c r="S560" s="10"/>
      <c r="T560" s="10"/>
      <c r="U560" s="10"/>
      <c r="V560" s="4" t="s">
        <v>826</v>
      </c>
      <c r="W560" s="4" t="s">
        <v>634</v>
      </c>
      <c r="X560" s="8"/>
      <c r="Y560" s="4"/>
      <c r="Z560" s="4"/>
      <c r="AA560" s="8">
        <v>45222</v>
      </c>
      <c r="AB560" s="8">
        <v>45222</v>
      </c>
      <c r="AC560" s="4"/>
      <c r="AD560" s="4"/>
    </row>
    <row r="561" spans="1:30" hidden="1">
      <c r="A561" s="4">
        <v>901</v>
      </c>
      <c r="B561" s="8">
        <v>45197</v>
      </c>
      <c r="C561" s="4"/>
      <c r="D561" s="4" t="s">
        <v>42</v>
      </c>
      <c r="E561" s="8">
        <v>45206</v>
      </c>
      <c r="F561" s="4" t="s">
        <v>43</v>
      </c>
      <c r="G561" s="16" t="s">
        <v>51</v>
      </c>
      <c r="H561" s="4" t="s">
        <v>52</v>
      </c>
      <c r="I561" s="4" t="s">
        <v>671</v>
      </c>
      <c r="J561" s="10">
        <v>18.547599999999999</v>
      </c>
      <c r="K561" s="10">
        <f>17.91+0.756</f>
        <v>18.666</v>
      </c>
      <c r="L561" s="10">
        <f t="shared" si="93"/>
        <v>0</v>
      </c>
      <c r="M561" s="10">
        <f t="shared" si="94"/>
        <v>0</v>
      </c>
      <c r="N561" s="10"/>
      <c r="O561" s="10"/>
      <c r="P561" s="10">
        <v>0</v>
      </c>
      <c r="Q561" s="10"/>
      <c r="R561" s="10"/>
      <c r="S561" s="10"/>
      <c r="T561" s="10"/>
      <c r="U561" s="10"/>
      <c r="V561" s="4" t="s">
        <v>826</v>
      </c>
      <c r="W561" s="4" t="s">
        <v>634</v>
      </c>
      <c r="X561" s="8"/>
      <c r="Y561" s="4"/>
      <c r="Z561" s="4"/>
      <c r="AA561" s="8"/>
      <c r="AB561" s="8">
        <v>45227</v>
      </c>
      <c r="AC561" s="4"/>
      <c r="AD561" s="4"/>
    </row>
    <row r="562" spans="1:30" hidden="1">
      <c r="A562" s="4">
        <v>901</v>
      </c>
      <c r="B562" s="8">
        <v>45197</v>
      </c>
      <c r="C562" s="4"/>
      <c r="D562" s="4" t="s">
        <v>42</v>
      </c>
      <c r="E562" s="8">
        <v>45206</v>
      </c>
      <c r="F562" s="4" t="s">
        <v>43</v>
      </c>
      <c r="G562" s="16" t="s">
        <v>51</v>
      </c>
      <c r="H562" s="4" t="s">
        <v>52</v>
      </c>
      <c r="I562" s="4" t="s">
        <v>729</v>
      </c>
      <c r="J562" s="10">
        <v>6.56</v>
      </c>
      <c r="K562" s="10">
        <v>6.56</v>
      </c>
      <c r="L562" s="10">
        <f t="shared" si="93"/>
        <v>0</v>
      </c>
      <c r="M562" s="10">
        <f t="shared" si="94"/>
        <v>0</v>
      </c>
      <c r="N562" s="10"/>
      <c r="O562" s="10"/>
      <c r="P562" s="10">
        <v>0</v>
      </c>
      <c r="Q562" s="10"/>
      <c r="R562" s="10"/>
      <c r="S562" s="10"/>
      <c r="T562" s="10"/>
      <c r="U562" s="10"/>
      <c r="V562" s="4" t="s">
        <v>826</v>
      </c>
      <c r="W562" s="4"/>
      <c r="X562" s="8">
        <v>45213</v>
      </c>
      <c r="Y562" s="4"/>
      <c r="Z562" s="4"/>
      <c r="AA562" s="8"/>
      <c r="AB562" s="8"/>
      <c r="AC562" s="4"/>
      <c r="AD562" s="4"/>
    </row>
    <row r="563" spans="1:30" hidden="1">
      <c r="A563" s="4">
        <v>902</v>
      </c>
      <c r="B563" s="8">
        <v>45197</v>
      </c>
      <c r="C563" s="4"/>
      <c r="D563" s="4" t="s">
        <v>42</v>
      </c>
      <c r="E563" s="8">
        <v>45206</v>
      </c>
      <c r="F563" s="4" t="s">
        <v>43</v>
      </c>
      <c r="G563" s="16" t="s">
        <v>51</v>
      </c>
      <c r="H563" s="4" t="s">
        <v>52</v>
      </c>
      <c r="I563" s="4" t="s">
        <v>470</v>
      </c>
      <c r="J563" s="10">
        <v>0.97350000000000003</v>
      </c>
      <c r="K563" s="10">
        <v>0.98099999999999998</v>
      </c>
      <c r="L563" s="10">
        <f t="shared" si="93"/>
        <v>0</v>
      </c>
      <c r="M563" s="10">
        <f t="shared" si="94"/>
        <v>0</v>
      </c>
      <c r="N563" s="10"/>
      <c r="O563" s="10"/>
      <c r="P563" s="10">
        <v>0</v>
      </c>
      <c r="Q563" s="10"/>
      <c r="R563" s="10"/>
      <c r="S563" s="10"/>
      <c r="T563" s="10"/>
      <c r="U563" s="10"/>
      <c r="V563" s="4" t="s">
        <v>826</v>
      </c>
      <c r="W563" s="4"/>
      <c r="X563" s="8"/>
      <c r="Y563" s="4"/>
      <c r="Z563" s="4"/>
      <c r="AA563" s="8"/>
      <c r="AB563" s="8">
        <v>45228</v>
      </c>
      <c r="AC563" s="4"/>
      <c r="AD563" s="4"/>
    </row>
    <row r="564" spans="1:30" hidden="1">
      <c r="A564" s="4">
        <v>902</v>
      </c>
      <c r="B564" s="8">
        <v>45197</v>
      </c>
      <c r="C564" s="4"/>
      <c r="D564" s="4" t="s">
        <v>42</v>
      </c>
      <c r="E564" s="8">
        <v>45206</v>
      </c>
      <c r="F564" s="4" t="s">
        <v>43</v>
      </c>
      <c r="G564" s="16" t="s">
        <v>51</v>
      </c>
      <c r="H564" s="4" t="s">
        <v>52</v>
      </c>
      <c r="I564" s="4" t="s">
        <v>432</v>
      </c>
      <c r="J564" s="10">
        <v>4.2527200000000001</v>
      </c>
      <c r="K564" s="10">
        <v>4.3609999999999998</v>
      </c>
      <c r="L564" s="10">
        <f t="shared" si="93"/>
        <v>0</v>
      </c>
      <c r="M564" s="10">
        <f t="shared" si="94"/>
        <v>0</v>
      </c>
      <c r="N564" s="10"/>
      <c r="O564" s="10"/>
      <c r="P564" s="10">
        <v>0</v>
      </c>
      <c r="Q564" s="10"/>
      <c r="R564" s="10"/>
      <c r="S564" s="10"/>
      <c r="T564" s="10"/>
      <c r="U564" s="10"/>
      <c r="V564" s="4" t="s">
        <v>826</v>
      </c>
      <c r="W564" s="4"/>
      <c r="X564" s="8"/>
      <c r="Y564" s="4"/>
      <c r="Z564" s="4"/>
      <c r="AA564" s="8"/>
      <c r="AB564" s="8">
        <v>45228</v>
      </c>
      <c r="AC564" s="4"/>
      <c r="AD564" s="4"/>
    </row>
    <row r="565" spans="1:30" hidden="1">
      <c r="A565" s="4">
        <v>902</v>
      </c>
      <c r="B565" s="8">
        <v>45197</v>
      </c>
      <c r="C565" s="4"/>
      <c r="D565" s="4" t="s">
        <v>42</v>
      </c>
      <c r="E565" s="8">
        <v>45206</v>
      </c>
      <c r="F565" s="4" t="s">
        <v>43</v>
      </c>
      <c r="G565" s="16" t="s">
        <v>51</v>
      </c>
      <c r="H565" s="4" t="s">
        <v>52</v>
      </c>
      <c r="I565" s="4" t="s">
        <v>671</v>
      </c>
      <c r="J565" s="10">
        <v>19.459849999999996</v>
      </c>
      <c r="K565" s="10">
        <f>9.522+1.346+8.893</f>
        <v>19.761000000000003</v>
      </c>
      <c r="L565" s="10">
        <f t="shared" si="93"/>
        <v>0</v>
      </c>
      <c r="M565" s="10">
        <f t="shared" si="94"/>
        <v>0</v>
      </c>
      <c r="N565" s="10"/>
      <c r="O565" s="10"/>
      <c r="P565" s="10">
        <v>0</v>
      </c>
      <c r="Q565" s="10"/>
      <c r="R565" s="10"/>
      <c r="S565" s="10"/>
      <c r="T565" s="10"/>
      <c r="U565" s="10"/>
      <c r="V565" s="4" t="s">
        <v>826</v>
      </c>
      <c r="W565" s="4"/>
      <c r="X565" s="8"/>
      <c r="Y565" s="4"/>
      <c r="Z565" s="4"/>
      <c r="AA565" s="8"/>
      <c r="AB565" s="8">
        <v>45228</v>
      </c>
      <c r="AC565" s="4"/>
      <c r="AD565" s="4"/>
    </row>
    <row r="566" spans="1:30" hidden="1">
      <c r="A566" s="4">
        <v>902</v>
      </c>
      <c r="B566" s="8">
        <v>45197</v>
      </c>
      <c r="C566" s="4"/>
      <c r="D566" s="4" t="s">
        <v>42</v>
      </c>
      <c r="E566" s="8">
        <v>45206</v>
      </c>
      <c r="F566" s="4" t="s">
        <v>43</v>
      </c>
      <c r="G566" s="16" t="s">
        <v>51</v>
      </c>
      <c r="H566" s="4" t="s">
        <v>52</v>
      </c>
      <c r="I566" s="4" t="s">
        <v>729</v>
      </c>
      <c r="J566" s="10">
        <v>6.2030000000000003</v>
      </c>
      <c r="K566" s="10">
        <v>6.2220000000000004</v>
      </c>
      <c r="L566" s="10">
        <f t="shared" si="93"/>
        <v>0</v>
      </c>
      <c r="M566" s="10">
        <f t="shared" si="94"/>
        <v>0</v>
      </c>
      <c r="N566" s="10"/>
      <c r="O566" s="10"/>
      <c r="P566" s="10"/>
      <c r="Q566" s="10"/>
      <c r="R566" s="10"/>
      <c r="S566" s="10"/>
      <c r="T566" s="10"/>
      <c r="U566" s="10"/>
      <c r="V566" s="4" t="s">
        <v>826</v>
      </c>
      <c r="W566" s="4"/>
      <c r="X566" s="8">
        <v>45213</v>
      </c>
      <c r="Y566" s="4"/>
      <c r="Z566" s="4"/>
      <c r="AA566" s="8">
        <v>45234</v>
      </c>
      <c r="AB566" s="8">
        <v>45234</v>
      </c>
      <c r="AC566" s="4"/>
      <c r="AD566" s="4"/>
    </row>
    <row r="567" spans="1:30" hidden="1">
      <c r="A567" s="4">
        <v>902</v>
      </c>
      <c r="B567" s="8">
        <v>45197</v>
      </c>
      <c r="C567" s="4"/>
      <c r="D567" s="4" t="s">
        <v>42</v>
      </c>
      <c r="E567" s="8">
        <v>45206</v>
      </c>
      <c r="F567" s="4" t="s">
        <v>43</v>
      </c>
      <c r="G567" s="16" t="s">
        <v>51</v>
      </c>
      <c r="H567" s="4" t="s">
        <v>52</v>
      </c>
      <c r="I567" s="4" t="s">
        <v>125</v>
      </c>
      <c r="J567" s="10">
        <v>0.34399999999999997</v>
      </c>
      <c r="K567" s="10">
        <v>0.36799999999999999</v>
      </c>
      <c r="L567" s="10">
        <f t="shared" si="93"/>
        <v>0</v>
      </c>
      <c r="M567" s="10">
        <f t="shared" si="94"/>
        <v>0</v>
      </c>
      <c r="N567" s="10"/>
      <c r="O567" s="10"/>
      <c r="P567" s="10">
        <v>0</v>
      </c>
      <c r="Q567" s="10"/>
      <c r="R567" s="10"/>
      <c r="S567" s="10"/>
      <c r="T567" s="10"/>
      <c r="U567" s="10"/>
      <c r="V567" s="4" t="s">
        <v>826</v>
      </c>
      <c r="W567" s="4"/>
      <c r="X567" s="8"/>
      <c r="Y567" s="4"/>
      <c r="Z567" s="4"/>
      <c r="AA567" s="8"/>
      <c r="AB567" s="8">
        <v>45228</v>
      </c>
      <c r="AC567" s="4"/>
      <c r="AD567" s="4"/>
    </row>
    <row r="568" spans="1:30" hidden="1">
      <c r="A568" s="4">
        <v>903</v>
      </c>
      <c r="B568" s="8">
        <v>45197</v>
      </c>
      <c r="C568" s="4"/>
      <c r="D568" s="4" t="s">
        <v>42</v>
      </c>
      <c r="E568" s="8">
        <v>45206</v>
      </c>
      <c r="F568" s="4" t="s">
        <v>43</v>
      </c>
      <c r="G568" s="16" t="s">
        <v>51</v>
      </c>
      <c r="H568" s="4" t="s">
        <v>52</v>
      </c>
      <c r="I568" s="4" t="s">
        <v>432</v>
      </c>
      <c r="J568" s="10">
        <v>0.48960000000000004</v>
      </c>
      <c r="K568" s="10">
        <v>0.49399999999999999</v>
      </c>
      <c r="L568" s="10">
        <f t="shared" si="93"/>
        <v>0</v>
      </c>
      <c r="M568" s="10">
        <f t="shared" si="94"/>
        <v>0</v>
      </c>
      <c r="N568" s="10"/>
      <c r="O568" s="10"/>
      <c r="P568" s="10">
        <v>0</v>
      </c>
      <c r="Q568" s="10"/>
      <c r="R568" s="10"/>
      <c r="S568" s="10"/>
      <c r="T568" s="10"/>
      <c r="U568" s="10"/>
      <c r="V568" s="4" t="s">
        <v>826</v>
      </c>
      <c r="W568" s="4"/>
      <c r="X568" s="8"/>
      <c r="Y568" s="4"/>
      <c r="Z568" s="4"/>
      <c r="AA568" s="8"/>
      <c r="AB568" s="8">
        <v>45228</v>
      </c>
      <c r="AC568" s="4"/>
      <c r="AD568" s="4"/>
    </row>
    <row r="569" spans="1:30" hidden="1">
      <c r="A569" s="4">
        <v>903</v>
      </c>
      <c r="B569" s="8">
        <v>45197</v>
      </c>
      <c r="C569" s="4"/>
      <c r="D569" s="4" t="s">
        <v>42</v>
      </c>
      <c r="E569" s="8">
        <v>45206</v>
      </c>
      <c r="F569" s="4" t="s">
        <v>43</v>
      </c>
      <c r="G569" s="16" t="s">
        <v>51</v>
      </c>
      <c r="H569" s="4" t="s">
        <v>52</v>
      </c>
      <c r="I569" s="4" t="s">
        <v>671</v>
      </c>
      <c r="J569" s="10">
        <v>31.252349999999996</v>
      </c>
      <c r="K569" s="10">
        <f>24.534+2.745+0.914+3.788</f>
        <v>31.981000000000002</v>
      </c>
      <c r="L569" s="10">
        <f t="shared" si="93"/>
        <v>0</v>
      </c>
      <c r="M569" s="10">
        <f t="shared" si="94"/>
        <v>0</v>
      </c>
      <c r="N569" s="10"/>
      <c r="O569" s="10"/>
      <c r="P569" s="10">
        <v>0</v>
      </c>
      <c r="Q569" s="10"/>
      <c r="R569" s="10"/>
      <c r="S569" s="10"/>
      <c r="T569" s="10"/>
      <c r="U569" s="10"/>
      <c r="V569" s="4" t="s">
        <v>826</v>
      </c>
      <c r="W569" s="4"/>
      <c r="X569" s="8"/>
      <c r="Y569" s="4"/>
      <c r="Z569" s="4"/>
      <c r="AA569" s="8"/>
      <c r="AB569" s="8">
        <v>45228</v>
      </c>
      <c r="AC569" s="4"/>
      <c r="AD569" s="4"/>
    </row>
    <row r="570" spans="1:30" hidden="1">
      <c r="A570" s="4">
        <v>903</v>
      </c>
      <c r="B570" s="8">
        <v>45197</v>
      </c>
      <c r="C570" s="4"/>
      <c r="D570" s="4" t="s">
        <v>42</v>
      </c>
      <c r="E570" s="8">
        <v>45206</v>
      </c>
      <c r="F570" s="4" t="s">
        <v>43</v>
      </c>
      <c r="G570" s="16" t="s">
        <v>51</v>
      </c>
      <c r="H570" s="4" t="s">
        <v>52</v>
      </c>
      <c r="I570" s="4" t="s">
        <v>729</v>
      </c>
      <c r="J570" s="10">
        <v>15.901999999999999</v>
      </c>
      <c r="K570" s="10">
        <f>8.446+6.052+1.506</f>
        <v>16.003999999999998</v>
      </c>
      <c r="L570" s="10">
        <f t="shared" si="93"/>
        <v>0</v>
      </c>
      <c r="M570" s="10">
        <f t="shared" si="94"/>
        <v>0</v>
      </c>
      <c r="N570" s="10"/>
      <c r="O570" s="10"/>
      <c r="P570" s="10"/>
      <c r="Q570" s="10"/>
      <c r="R570" s="10"/>
      <c r="S570" s="10"/>
      <c r="T570" s="10"/>
      <c r="U570" s="10"/>
      <c r="V570" s="4" t="s">
        <v>826</v>
      </c>
      <c r="W570" s="4"/>
      <c r="X570" s="8">
        <v>45213</v>
      </c>
      <c r="Y570" s="4"/>
      <c r="Z570" s="4"/>
      <c r="AA570" s="8">
        <v>45233</v>
      </c>
      <c r="AB570" s="8">
        <v>45234</v>
      </c>
      <c r="AC570" s="4"/>
      <c r="AD570" s="4"/>
    </row>
    <row r="571" spans="1:30" hidden="1">
      <c r="A571" s="4">
        <v>903</v>
      </c>
      <c r="B571" s="8">
        <v>45197</v>
      </c>
      <c r="C571" s="4"/>
      <c r="D571" s="4" t="s">
        <v>42</v>
      </c>
      <c r="E571" s="8">
        <v>45206</v>
      </c>
      <c r="F571" s="4" t="s">
        <v>43</v>
      </c>
      <c r="G571" s="16" t="s">
        <v>51</v>
      </c>
      <c r="H571" s="4" t="s">
        <v>52</v>
      </c>
      <c r="I571" s="4" t="s">
        <v>125</v>
      </c>
      <c r="J571" s="10">
        <v>3.01</v>
      </c>
      <c r="K571" s="10">
        <f>2.084+0.926</f>
        <v>3.0100000000000002</v>
      </c>
      <c r="L571" s="10">
        <f t="shared" si="93"/>
        <v>0</v>
      </c>
      <c r="M571" s="10">
        <f t="shared" si="94"/>
        <v>0</v>
      </c>
      <c r="N571" s="10"/>
      <c r="O571" s="10"/>
      <c r="P571" s="10">
        <v>0</v>
      </c>
      <c r="Q571" s="10"/>
      <c r="R571" s="10"/>
      <c r="S571" s="10"/>
      <c r="T571" s="10"/>
      <c r="U571" s="10"/>
      <c r="V571" s="4" t="s">
        <v>826</v>
      </c>
      <c r="W571" s="4"/>
      <c r="X571" s="8"/>
      <c r="Y571" s="4"/>
      <c r="Z571" s="4"/>
      <c r="AA571" s="8">
        <v>45222</v>
      </c>
      <c r="AB571" s="8">
        <v>45222</v>
      </c>
      <c r="AC571" s="4"/>
      <c r="AD571" s="4"/>
    </row>
    <row r="572" spans="1:30" hidden="1">
      <c r="A572" s="4">
        <v>904</v>
      </c>
      <c r="B572" s="8">
        <v>45197</v>
      </c>
      <c r="C572" s="4"/>
      <c r="D572" s="4" t="s">
        <v>42</v>
      </c>
      <c r="E572" s="8">
        <v>45206</v>
      </c>
      <c r="F572" s="4" t="s">
        <v>43</v>
      </c>
      <c r="G572" s="16" t="s">
        <v>51</v>
      </c>
      <c r="H572" s="4" t="s">
        <v>52</v>
      </c>
      <c r="I572" s="4" t="s">
        <v>470</v>
      </c>
      <c r="J572" s="10">
        <v>0.58410000000000006</v>
      </c>
      <c r="K572" s="10">
        <v>0.58799999999999997</v>
      </c>
      <c r="L572" s="10">
        <f t="shared" si="93"/>
        <v>0</v>
      </c>
      <c r="M572" s="10">
        <f t="shared" si="94"/>
        <v>0</v>
      </c>
      <c r="N572" s="10"/>
      <c r="O572" s="10"/>
      <c r="P572" s="10">
        <v>0</v>
      </c>
      <c r="Q572" s="10"/>
      <c r="R572" s="10"/>
      <c r="S572" s="10"/>
      <c r="T572" s="10"/>
      <c r="U572" s="10"/>
      <c r="V572" s="4" t="s">
        <v>826</v>
      </c>
      <c r="W572" s="4"/>
      <c r="X572" s="8"/>
      <c r="Y572" s="4"/>
      <c r="Z572" s="4"/>
      <c r="AA572" s="8"/>
      <c r="AB572" s="8">
        <v>45228</v>
      </c>
      <c r="AC572" s="4"/>
      <c r="AD572" s="4"/>
    </row>
    <row r="573" spans="1:30" hidden="1">
      <c r="A573" s="4">
        <v>904</v>
      </c>
      <c r="B573" s="8">
        <v>45197</v>
      </c>
      <c r="C573" s="4"/>
      <c r="D573" s="4" t="s">
        <v>42</v>
      </c>
      <c r="E573" s="8">
        <v>45206</v>
      </c>
      <c r="F573" s="4" t="s">
        <v>43</v>
      </c>
      <c r="G573" s="16" t="s">
        <v>51</v>
      </c>
      <c r="H573" s="4" t="s">
        <v>52</v>
      </c>
      <c r="I573" s="4" t="s">
        <v>48</v>
      </c>
      <c r="J573" s="10">
        <v>0.14277999999999999</v>
      </c>
      <c r="K573" s="10">
        <v>0.14399999999999999</v>
      </c>
      <c r="L573" s="10">
        <f t="shared" si="93"/>
        <v>0</v>
      </c>
      <c r="M573" s="10">
        <f t="shared" si="94"/>
        <v>0</v>
      </c>
      <c r="N573" s="10"/>
      <c r="O573" s="10"/>
      <c r="P573" s="10">
        <v>0</v>
      </c>
      <c r="Q573" s="10"/>
      <c r="R573" s="10"/>
      <c r="S573" s="10"/>
      <c r="T573" s="10"/>
      <c r="U573" s="10"/>
      <c r="V573" s="4" t="s">
        <v>826</v>
      </c>
      <c r="W573" s="4"/>
      <c r="X573" s="8"/>
      <c r="Y573" s="4"/>
      <c r="Z573" s="4"/>
      <c r="AA573" s="8">
        <v>45222</v>
      </c>
      <c r="AB573" s="8">
        <v>45222</v>
      </c>
      <c r="AC573" s="4"/>
      <c r="AD573" s="4"/>
    </row>
    <row r="574" spans="1:30" hidden="1">
      <c r="A574" s="4">
        <v>904</v>
      </c>
      <c r="B574" s="8">
        <v>45197</v>
      </c>
      <c r="C574" s="4"/>
      <c r="D574" s="4" t="s">
        <v>42</v>
      </c>
      <c r="E574" s="8">
        <v>45206</v>
      </c>
      <c r="F574" s="4" t="s">
        <v>43</v>
      </c>
      <c r="G574" s="16" t="s">
        <v>51</v>
      </c>
      <c r="H574" s="4" t="s">
        <v>52</v>
      </c>
      <c r="I574" s="4" t="s">
        <v>432</v>
      </c>
      <c r="J574" s="10">
        <v>0.57664000000000004</v>
      </c>
      <c r="K574" s="10">
        <v>0.58199999999999996</v>
      </c>
      <c r="L574" s="10">
        <f t="shared" si="93"/>
        <v>0</v>
      </c>
      <c r="M574" s="10">
        <f t="shared" si="94"/>
        <v>0</v>
      </c>
      <c r="N574" s="10"/>
      <c r="O574" s="10"/>
      <c r="P574" s="10">
        <v>0</v>
      </c>
      <c r="Q574" s="10"/>
      <c r="R574" s="10"/>
      <c r="S574" s="10"/>
      <c r="T574" s="10"/>
      <c r="U574" s="10"/>
      <c r="V574" s="4" t="s">
        <v>826</v>
      </c>
      <c r="W574" s="4" t="s">
        <v>634</v>
      </c>
      <c r="X574" s="8"/>
      <c r="Y574" s="4"/>
      <c r="Z574" s="4"/>
      <c r="AA574" s="8">
        <v>45222</v>
      </c>
      <c r="AB574" s="8">
        <v>45222</v>
      </c>
      <c r="AC574" s="4"/>
      <c r="AD574" s="4"/>
    </row>
    <row r="575" spans="1:30" hidden="1">
      <c r="A575" s="4">
        <v>904</v>
      </c>
      <c r="B575" s="8">
        <v>45197</v>
      </c>
      <c r="C575" s="4"/>
      <c r="D575" s="4" t="s">
        <v>42</v>
      </c>
      <c r="E575" s="8">
        <v>45206</v>
      </c>
      <c r="F575" s="4" t="s">
        <v>43</v>
      </c>
      <c r="G575" s="16" t="s">
        <v>51</v>
      </c>
      <c r="H575" s="4" t="s">
        <v>52</v>
      </c>
      <c r="I575" s="4" t="s">
        <v>671</v>
      </c>
      <c r="J575" s="10">
        <f>6.58+20.932-11.981</f>
        <v>15.531000000000001</v>
      </c>
      <c r="K575" s="10">
        <f>1.296+9.396+1.188+3.96</f>
        <v>15.84</v>
      </c>
      <c r="L575" s="10">
        <f t="shared" si="93"/>
        <v>0</v>
      </c>
      <c r="M575" s="10">
        <f t="shared" si="94"/>
        <v>0</v>
      </c>
      <c r="N575" s="10"/>
      <c r="O575" s="10"/>
      <c r="P575" s="10">
        <v>0</v>
      </c>
      <c r="Q575" s="10"/>
      <c r="R575" s="10"/>
      <c r="S575" s="10"/>
      <c r="T575" s="10"/>
      <c r="U575" s="10"/>
      <c r="V575" s="4" t="s">
        <v>826</v>
      </c>
      <c r="W575" s="4" t="s">
        <v>634</v>
      </c>
      <c r="X575" s="8"/>
      <c r="Y575" s="4"/>
      <c r="Z575" s="4"/>
      <c r="AA575" s="8"/>
      <c r="AB575" s="8">
        <v>45227</v>
      </c>
      <c r="AC575" s="4"/>
      <c r="AD575" s="4"/>
    </row>
    <row r="576" spans="1:30" hidden="1">
      <c r="A576" s="4">
        <v>904</v>
      </c>
      <c r="B576" s="8">
        <v>45197</v>
      </c>
      <c r="C576" s="4"/>
      <c r="D576" s="4" t="s">
        <v>42</v>
      </c>
      <c r="E576" s="8">
        <v>45206</v>
      </c>
      <c r="F576" s="4" t="s">
        <v>43</v>
      </c>
      <c r="G576" s="16" t="s">
        <v>51</v>
      </c>
      <c r="H576" s="4" t="s">
        <v>52</v>
      </c>
      <c r="I576" s="4" t="s">
        <v>89</v>
      </c>
      <c r="J576" s="10">
        <v>0.77400000000000002</v>
      </c>
      <c r="K576" s="10">
        <v>0.79900000000000004</v>
      </c>
      <c r="L576" s="10">
        <f t="shared" si="93"/>
        <v>0</v>
      </c>
      <c r="M576" s="10">
        <f t="shared" si="94"/>
        <v>0</v>
      </c>
      <c r="N576" s="10"/>
      <c r="O576" s="10"/>
      <c r="P576" s="10">
        <v>0</v>
      </c>
      <c r="Q576" s="10"/>
      <c r="R576" s="10"/>
      <c r="S576" s="10"/>
      <c r="T576" s="10"/>
      <c r="U576" s="10"/>
      <c r="V576" s="4" t="s">
        <v>826</v>
      </c>
      <c r="W576" s="4"/>
      <c r="X576" s="8"/>
      <c r="Y576" s="4"/>
      <c r="Z576" s="4"/>
      <c r="AA576" s="8"/>
      <c r="AB576" s="8">
        <v>45228</v>
      </c>
      <c r="AC576" s="4"/>
      <c r="AD576" s="4"/>
    </row>
    <row r="577" spans="1:30" hidden="1">
      <c r="A577" s="4">
        <v>904</v>
      </c>
      <c r="B577" s="8">
        <v>45197</v>
      </c>
      <c r="C577" s="4"/>
      <c r="D577" s="4" t="s">
        <v>42</v>
      </c>
      <c r="E577" s="8">
        <v>45206</v>
      </c>
      <c r="F577" s="4" t="s">
        <v>43</v>
      </c>
      <c r="G577" s="16" t="s">
        <v>51</v>
      </c>
      <c r="H577" s="4" t="s">
        <v>52</v>
      </c>
      <c r="I577" s="4" t="s">
        <v>125</v>
      </c>
      <c r="J577" s="10">
        <v>0.61199999999999999</v>
      </c>
      <c r="K577" s="10">
        <v>0.61199999999999999</v>
      </c>
      <c r="L577" s="10">
        <f t="shared" si="93"/>
        <v>0</v>
      </c>
      <c r="M577" s="10">
        <f t="shared" si="94"/>
        <v>0</v>
      </c>
      <c r="N577" s="10"/>
      <c r="O577" s="10"/>
      <c r="P577" s="10">
        <v>0</v>
      </c>
      <c r="Q577" s="10"/>
      <c r="R577" s="10"/>
      <c r="S577" s="10"/>
      <c r="T577" s="10"/>
      <c r="U577" s="10"/>
      <c r="V577" s="4" t="s">
        <v>826</v>
      </c>
      <c r="W577" s="4"/>
      <c r="X577" s="8"/>
      <c r="Y577" s="4"/>
      <c r="Z577" s="4"/>
      <c r="AA577" s="8"/>
      <c r="AB577" s="8">
        <v>45228</v>
      </c>
      <c r="AC577" s="4"/>
      <c r="AD577" s="4"/>
    </row>
    <row r="578" spans="1:30" hidden="1">
      <c r="A578" s="4">
        <v>905</v>
      </c>
      <c r="B578" s="8">
        <v>45197</v>
      </c>
      <c r="C578" s="4"/>
      <c r="D578" s="4" t="s">
        <v>42</v>
      </c>
      <c r="E578" s="8">
        <v>45206</v>
      </c>
      <c r="F578" s="4" t="s">
        <v>43</v>
      </c>
      <c r="G578" s="16" t="s">
        <v>51</v>
      </c>
      <c r="H578" s="4" t="s">
        <v>52</v>
      </c>
      <c r="I578" s="4" t="s">
        <v>470</v>
      </c>
      <c r="J578" s="10">
        <v>0.38940000000000002</v>
      </c>
      <c r="K578" s="10">
        <v>0.39200000000000002</v>
      </c>
      <c r="L578" s="10">
        <f t="shared" si="93"/>
        <v>0</v>
      </c>
      <c r="M578" s="10">
        <f t="shared" si="94"/>
        <v>0</v>
      </c>
      <c r="N578" s="10"/>
      <c r="O578" s="10"/>
      <c r="P578" s="10">
        <v>0</v>
      </c>
      <c r="Q578" s="10"/>
      <c r="R578" s="10"/>
      <c r="S578" s="10"/>
      <c r="T578" s="10"/>
      <c r="U578" s="10"/>
      <c r="V578" s="4" t="s">
        <v>826</v>
      </c>
      <c r="W578" s="4"/>
      <c r="X578" s="8"/>
      <c r="Y578" s="4"/>
      <c r="Z578" s="4"/>
      <c r="AA578" s="8"/>
      <c r="AB578" s="8">
        <v>45228</v>
      </c>
      <c r="AC578" s="4"/>
      <c r="AD578" s="4"/>
    </row>
    <row r="579" spans="1:30" hidden="1">
      <c r="A579" s="4">
        <v>905</v>
      </c>
      <c r="B579" s="8">
        <v>45197</v>
      </c>
      <c r="C579" s="4"/>
      <c r="D579" s="4" t="s">
        <v>42</v>
      </c>
      <c r="E579" s="8">
        <v>45206</v>
      </c>
      <c r="F579" s="4" t="s">
        <v>43</v>
      </c>
      <c r="G579" s="16" t="s">
        <v>51</v>
      </c>
      <c r="H579" s="4" t="s">
        <v>52</v>
      </c>
      <c r="I579" s="4" t="s">
        <v>48</v>
      </c>
      <c r="J579" s="10">
        <v>1.4278</v>
      </c>
      <c r="K579" s="10">
        <v>1.4370000000000001</v>
      </c>
      <c r="L579" s="10">
        <f t="shared" si="93"/>
        <v>0</v>
      </c>
      <c r="M579" s="10">
        <f t="shared" si="94"/>
        <v>0</v>
      </c>
      <c r="N579" s="10"/>
      <c r="O579" s="10"/>
      <c r="P579" s="10">
        <v>0</v>
      </c>
      <c r="Q579" s="10"/>
      <c r="R579" s="10"/>
      <c r="S579" s="10"/>
      <c r="T579" s="10"/>
      <c r="U579" s="10"/>
      <c r="V579" s="4" t="s">
        <v>826</v>
      </c>
      <c r="W579" s="4"/>
      <c r="X579" s="8"/>
      <c r="Y579" s="4"/>
      <c r="Z579" s="4"/>
      <c r="AA579" s="8">
        <v>45222</v>
      </c>
      <c r="AB579" s="8">
        <v>45222</v>
      </c>
      <c r="AC579" s="4"/>
      <c r="AD579" s="4"/>
    </row>
    <row r="580" spans="1:30" hidden="1">
      <c r="A580" s="4">
        <v>905</v>
      </c>
      <c r="B580" s="8">
        <v>45197</v>
      </c>
      <c r="C580" s="4"/>
      <c r="D580" s="4" t="s">
        <v>42</v>
      </c>
      <c r="E580" s="8">
        <v>45206</v>
      </c>
      <c r="F580" s="4" t="s">
        <v>43</v>
      </c>
      <c r="G580" s="16" t="s">
        <v>51</v>
      </c>
      <c r="H580" s="4" t="s">
        <v>52</v>
      </c>
      <c r="I580" s="4" t="s">
        <v>432</v>
      </c>
      <c r="J580" s="10">
        <v>7.2079999999999991E-2</v>
      </c>
      <c r="K580" s="10">
        <v>7.2999999999999995E-2</v>
      </c>
      <c r="L580" s="10">
        <f t="shared" si="93"/>
        <v>0</v>
      </c>
      <c r="M580" s="10">
        <f t="shared" si="94"/>
        <v>0</v>
      </c>
      <c r="N580" s="10"/>
      <c r="O580" s="10"/>
      <c r="P580" s="10">
        <v>0</v>
      </c>
      <c r="Q580" s="10"/>
      <c r="R580" s="10"/>
      <c r="S580" s="10"/>
      <c r="T580" s="10"/>
      <c r="U580" s="10"/>
      <c r="V580" s="4" t="s">
        <v>826</v>
      </c>
      <c r="W580" s="4"/>
      <c r="X580" s="8"/>
      <c r="Y580" s="4"/>
      <c r="Z580" s="4"/>
      <c r="AA580" s="8">
        <v>45222</v>
      </c>
      <c r="AB580" s="8">
        <v>45222</v>
      </c>
      <c r="AC580" s="4"/>
      <c r="AD580" s="4"/>
    </row>
    <row r="581" spans="1:30" hidden="1">
      <c r="A581" s="4">
        <v>905</v>
      </c>
      <c r="B581" s="8">
        <v>45197</v>
      </c>
      <c r="C581" s="4"/>
      <c r="D581" s="4" t="s">
        <v>42</v>
      </c>
      <c r="E581" s="8">
        <v>45206</v>
      </c>
      <c r="F581" s="4" t="s">
        <v>43</v>
      </c>
      <c r="G581" s="16" t="s">
        <v>51</v>
      </c>
      <c r="H581" s="4" t="s">
        <v>52</v>
      </c>
      <c r="I581" s="4" t="s">
        <v>434</v>
      </c>
      <c r="J581" s="10">
        <v>1.619</v>
      </c>
      <c r="K581" s="10">
        <v>1.7889999999999999</v>
      </c>
      <c r="L581" s="10">
        <f t="shared" si="93"/>
        <v>0</v>
      </c>
      <c r="M581" s="10">
        <f t="shared" si="94"/>
        <v>0</v>
      </c>
      <c r="N581" s="10"/>
      <c r="O581" s="10"/>
      <c r="P581" s="10"/>
      <c r="Q581" s="10"/>
      <c r="R581" s="10"/>
      <c r="S581" s="10"/>
      <c r="T581" s="10"/>
      <c r="U581" s="10"/>
      <c r="V581" s="4" t="s">
        <v>826</v>
      </c>
      <c r="W581" s="4" t="s">
        <v>521</v>
      </c>
      <c r="X581" s="8"/>
      <c r="Y581" s="4"/>
      <c r="Z581" s="4"/>
      <c r="AA581" s="8">
        <v>45234</v>
      </c>
      <c r="AB581" s="8">
        <v>45234</v>
      </c>
      <c r="AC581" s="4"/>
      <c r="AD581" s="4"/>
    </row>
    <row r="582" spans="1:30" hidden="1">
      <c r="A582" s="4">
        <v>906</v>
      </c>
      <c r="B582" s="8">
        <v>45197</v>
      </c>
      <c r="C582" s="4"/>
      <c r="D582" s="4" t="s">
        <v>42</v>
      </c>
      <c r="E582" s="8">
        <v>45230</v>
      </c>
      <c r="F582" s="4" t="s">
        <v>43</v>
      </c>
      <c r="G582" s="16" t="s">
        <v>51</v>
      </c>
      <c r="H582" s="4" t="s">
        <v>52</v>
      </c>
      <c r="I582" s="4" t="s">
        <v>729</v>
      </c>
      <c r="J582" s="10">
        <v>2.895</v>
      </c>
      <c r="K582" s="10">
        <v>2.895</v>
      </c>
      <c r="L582" s="10">
        <f t="shared" si="93"/>
        <v>0</v>
      </c>
      <c r="M582" s="10">
        <f t="shared" si="94"/>
        <v>0</v>
      </c>
      <c r="N582" s="10"/>
      <c r="O582" s="10">
        <v>0</v>
      </c>
      <c r="P582" s="10"/>
      <c r="Q582" s="10"/>
      <c r="R582" s="10"/>
      <c r="S582" s="10"/>
      <c r="T582" s="10"/>
      <c r="U582" s="10"/>
      <c r="V582" s="4" t="s">
        <v>826</v>
      </c>
      <c r="W582" s="4"/>
      <c r="X582" s="8">
        <v>45213</v>
      </c>
      <c r="Y582" s="4"/>
      <c r="Z582" s="4"/>
      <c r="AA582" s="8">
        <v>45230</v>
      </c>
      <c r="AB582" s="8">
        <v>45230</v>
      </c>
      <c r="AC582" s="4"/>
      <c r="AD582" s="4"/>
    </row>
    <row r="583" spans="1:30" hidden="1">
      <c r="A583" s="4">
        <v>967</v>
      </c>
      <c r="B583" s="8">
        <v>45213</v>
      </c>
      <c r="C583" s="4"/>
      <c r="D583" s="4" t="s">
        <v>42</v>
      </c>
      <c r="E583" s="8">
        <v>45222</v>
      </c>
      <c r="F583" s="4" t="s">
        <v>840</v>
      </c>
      <c r="G583" s="16" t="s">
        <v>44</v>
      </c>
      <c r="H583" s="4" t="s">
        <v>45</v>
      </c>
      <c r="I583" s="4" t="s">
        <v>474</v>
      </c>
      <c r="J583" s="10">
        <v>13.026</v>
      </c>
      <c r="K583" s="10">
        <f>12.823+0.204</f>
        <v>13.027000000000001</v>
      </c>
      <c r="L583" s="10">
        <f t="shared" ref="L583" si="95">M583+U583</f>
        <v>0</v>
      </c>
      <c r="M583" s="10">
        <f t="shared" ref="M583" si="96">SUM(N583:T583)</f>
        <v>0</v>
      </c>
      <c r="N583" s="10"/>
      <c r="O583" s="10"/>
      <c r="P583" s="10">
        <v>0</v>
      </c>
      <c r="Q583" s="10"/>
      <c r="R583" s="10"/>
      <c r="S583" s="10"/>
      <c r="T583" s="10"/>
      <c r="U583" s="10"/>
      <c r="V583" s="4" t="s">
        <v>841</v>
      </c>
      <c r="W583" s="4"/>
      <c r="X583" s="8">
        <v>45214</v>
      </c>
      <c r="Y583" s="4"/>
      <c r="Z583" s="4"/>
      <c r="AA583" s="8"/>
      <c r="AB583" s="8"/>
      <c r="AC583" s="4"/>
      <c r="AD583" s="4"/>
    </row>
    <row r="584" spans="1:30" hidden="1">
      <c r="A584" s="4">
        <v>967</v>
      </c>
      <c r="B584" s="8">
        <v>45213</v>
      </c>
      <c r="C584" s="4"/>
      <c r="D584" s="4" t="s">
        <v>42</v>
      </c>
      <c r="E584" s="8">
        <v>45222</v>
      </c>
      <c r="F584" s="4" t="s">
        <v>840</v>
      </c>
      <c r="G584" s="16" t="s">
        <v>44</v>
      </c>
      <c r="H584" s="4" t="s">
        <v>45</v>
      </c>
      <c r="I584" s="4" t="s">
        <v>434</v>
      </c>
      <c r="J584" s="10">
        <v>3.62</v>
      </c>
      <c r="K584" s="10">
        <v>3.621</v>
      </c>
      <c r="L584" s="10">
        <f t="shared" ref="L584:L585" si="97">M584+U584</f>
        <v>0</v>
      </c>
      <c r="M584" s="10">
        <f t="shared" ref="M584:M585" si="98">SUM(N584:T584)</f>
        <v>0</v>
      </c>
      <c r="N584" s="10"/>
      <c r="O584" s="10"/>
      <c r="P584" s="10">
        <v>0</v>
      </c>
      <c r="Q584" s="10"/>
      <c r="R584" s="10"/>
      <c r="S584" s="10"/>
      <c r="T584" s="10"/>
      <c r="U584" s="10"/>
      <c r="V584" s="4" t="s">
        <v>841</v>
      </c>
      <c r="W584" s="4"/>
      <c r="X584" s="8">
        <v>45214</v>
      </c>
      <c r="Y584" s="4"/>
      <c r="Z584" s="4"/>
      <c r="AA584" s="8"/>
      <c r="AB584" s="8"/>
      <c r="AC584" s="4"/>
      <c r="AD584" s="4"/>
    </row>
    <row r="585" spans="1:30" hidden="1">
      <c r="A585" s="4">
        <v>967</v>
      </c>
      <c r="B585" s="8">
        <v>45213</v>
      </c>
      <c r="C585" s="4"/>
      <c r="D585" s="4" t="s">
        <v>42</v>
      </c>
      <c r="E585" s="8">
        <v>45222</v>
      </c>
      <c r="F585" s="4" t="s">
        <v>840</v>
      </c>
      <c r="G585" s="16" t="s">
        <v>51</v>
      </c>
      <c r="H585" s="4" t="s">
        <v>52</v>
      </c>
      <c r="I585" s="4" t="s">
        <v>474</v>
      </c>
      <c r="J585" s="10">
        <v>12.46</v>
      </c>
      <c r="K585" s="10">
        <v>12.537000000000001</v>
      </c>
      <c r="L585" s="10">
        <f t="shared" si="97"/>
        <v>0</v>
      </c>
      <c r="M585" s="10">
        <f t="shared" si="98"/>
        <v>0</v>
      </c>
      <c r="N585" s="10"/>
      <c r="O585" s="10"/>
      <c r="P585" s="10">
        <v>0</v>
      </c>
      <c r="Q585" s="10"/>
      <c r="R585" s="10"/>
      <c r="S585" s="10"/>
      <c r="T585" s="10"/>
      <c r="U585" s="10"/>
      <c r="V585" s="4" t="s">
        <v>841</v>
      </c>
      <c r="W585" s="4"/>
      <c r="X585" s="8">
        <v>45214</v>
      </c>
      <c r="Y585" s="4"/>
      <c r="Z585" s="4"/>
      <c r="AA585" s="8"/>
      <c r="AB585" s="8"/>
      <c r="AC585" s="4"/>
      <c r="AD585" s="4"/>
    </row>
    <row r="586" spans="1:30" hidden="1">
      <c r="A586" s="4">
        <v>967</v>
      </c>
      <c r="B586" s="8">
        <v>45213</v>
      </c>
      <c r="C586" s="4"/>
      <c r="D586" s="4" t="s">
        <v>42</v>
      </c>
      <c r="E586" s="8">
        <v>45222</v>
      </c>
      <c r="F586" s="4" t="s">
        <v>840</v>
      </c>
      <c r="G586" s="16" t="s">
        <v>44</v>
      </c>
      <c r="H586" s="4" t="s">
        <v>45</v>
      </c>
      <c r="I586" s="4" t="s">
        <v>577</v>
      </c>
      <c r="J586" s="10">
        <v>18.649999999999999</v>
      </c>
      <c r="K586" s="10">
        <f>7.695+9.088+1.871</f>
        <v>18.654</v>
      </c>
      <c r="L586" s="10">
        <f t="shared" ref="L586:L587" si="99">M586+U586</f>
        <v>0</v>
      </c>
      <c r="M586" s="10">
        <f t="shared" ref="M586:M587" si="100">SUM(N586:T586)</f>
        <v>0</v>
      </c>
      <c r="N586" s="10"/>
      <c r="O586" s="10"/>
      <c r="P586" s="10">
        <v>0</v>
      </c>
      <c r="Q586" s="10"/>
      <c r="R586" s="10"/>
      <c r="S586" s="10"/>
      <c r="T586" s="10"/>
      <c r="U586" s="10"/>
      <c r="V586" s="4" t="s">
        <v>841</v>
      </c>
      <c r="W586" s="4"/>
      <c r="X586" s="8">
        <v>45215</v>
      </c>
      <c r="Y586" s="4"/>
      <c r="Z586" s="4"/>
      <c r="AA586" s="8">
        <v>45228</v>
      </c>
      <c r="AB586" s="8"/>
      <c r="AC586" s="4"/>
      <c r="AD586" s="4"/>
    </row>
    <row r="587" spans="1:30" hidden="1">
      <c r="A587" s="4">
        <v>967</v>
      </c>
      <c r="B587" s="8">
        <v>45213</v>
      </c>
      <c r="C587" s="4"/>
      <c r="D587" s="4" t="s">
        <v>42</v>
      </c>
      <c r="E587" s="8">
        <v>45222</v>
      </c>
      <c r="F587" s="4" t="s">
        <v>840</v>
      </c>
      <c r="G587" s="16" t="s">
        <v>44</v>
      </c>
      <c r="H587" s="4" t="s">
        <v>45</v>
      </c>
      <c r="I587" s="4" t="s">
        <v>89</v>
      </c>
      <c r="J587" s="10">
        <v>26.02</v>
      </c>
      <c r="K587" s="10">
        <f>24.853+1.182</f>
        <v>26.035</v>
      </c>
      <c r="L587" s="10">
        <f t="shared" si="99"/>
        <v>0</v>
      </c>
      <c r="M587" s="10">
        <f t="shared" si="100"/>
        <v>0</v>
      </c>
      <c r="N587" s="10"/>
      <c r="O587" s="10"/>
      <c r="P587" s="10">
        <v>0</v>
      </c>
      <c r="Q587" s="10"/>
      <c r="R587" s="10"/>
      <c r="S587" s="10"/>
      <c r="T587" s="10"/>
      <c r="U587" s="10"/>
      <c r="V587" s="4" t="s">
        <v>841</v>
      </c>
      <c r="W587" s="4"/>
      <c r="X587" s="8">
        <v>45216</v>
      </c>
      <c r="Y587" s="4"/>
      <c r="Z587" s="4"/>
      <c r="AA587" s="8">
        <v>45228</v>
      </c>
      <c r="AB587" s="8"/>
      <c r="AC587" s="4"/>
      <c r="AD587" s="4"/>
    </row>
    <row r="588" spans="1:30" hidden="1">
      <c r="A588" s="4">
        <v>967</v>
      </c>
      <c r="B588" s="8">
        <v>45213</v>
      </c>
      <c r="C588" s="4"/>
      <c r="D588" s="4" t="s">
        <v>42</v>
      </c>
      <c r="E588" s="8">
        <v>45222</v>
      </c>
      <c r="F588" s="4" t="s">
        <v>840</v>
      </c>
      <c r="G588" s="16" t="s">
        <v>51</v>
      </c>
      <c r="H588" s="4" t="s">
        <v>52</v>
      </c>
      <c r="I588" s="4" t="s">
        <v>577</v>
      </c>
      <c r="J588" s="10">
        <v>22.11</v>
      </c>
      <c r="K588" s="10">
        <f>19.559+2.788</f>
        <v>22.347000000000001</v>
      </c>
      <c r="L588" s="10">
        <f t="shared" ref="L588:L590" si="101">M588+U588</f>
        <v>0</v>
      </c>
      <c r="M588" s="10">
        <f t="shared" ref="M588:M590" si="102">SUM(N588:T588)</f>
        <v>0</v>
      </c>
      <c r="N588" s="10"/>
      <c r="O588" s="10"/>
      <c r="P588" s="10">
        <v>0</v>
      </c>
      <c r="Q588" s="10"/>
      <c r="R588" s="10"/>
      <c r="S588" s="10"/>
      <c r="T588" s="10"/>
      <c r="U588" s="10"/>
      <c r="V588" s="4" t="s">
        <v>841</v>
      </c>
      <c r="W588" s="4"/>
      <c r="X588" s="8">
        <v>45216</v>
      </c>
      <c r="Y588" s="4"/>
      <c r="Z588" s="4"/>
      <c r="AA588" s="8"/>
      <c r="AB588" s="8"/>
      <c r="AC588" s="4"/>
      <c r="AD588" s="4"/>
    </row>
    <row r="589" spans="1:30" hidden="1">
      <c r="A589" s="4">
        <v>967</v>
      </c>
      <c r="B589" s="8">
        <v>45213</v>
      </c>
      <c r="C589" s="4"/>
      <c r="D589" s="4" t="s">
        <v>42</v>
      </c>
      <c r="E589" s="8">
        <v>45222</v>
      </c>
      <c r="F589" s="4" t="s">
        <v>840</v>
      </c>
      <c r="G589" s="16" t="s">
        <v>51</v>
      </c>
      <c r="H589" s="4" t="s">
        <v>52</v>
      </c>
      <c r="I589" s="4" t="s">
        <v>89</v>
      </c>
      <c r="J589" s="10">
        <v>44.19</v>
      </c>
      <c r="K589" s="10">
        <f>32.545+2.995+8.105+0.641+0.121</f>
        <v>44.406999999999996</v>
      </c>
      <c r="L589" s="10">
        <f t="shared" si="101"/>
        <v>0</v>
      </c>
      <c r="M589" s="10">
        <f t="shared" si="102"/>
        <v>0</v>
      </c>
      <c r="N589" s="10"/>
      <c r="O589" s="10"/>
      <c r="P589" s="10">
        <v>0</v>
      </c>
      <c r="Q589" s="10"/>
      <c r="R589" s="10"/>
      <c r="S589" s="10"/>
      <c r="T589" s="10"/>
      <c r="U589" s="10"/>
      <c r="V589" s="4" t="s">
        <v>841</v>
      </c>
      <c r="W589" s="4"/>
      <c r="X589" s="8">
        <v>45216</v>
      </c>
      <c r="Y589" s="4"/>
      <c r="Z589" s="4"/>
      <c r="AA589" s="8">
        <v>45228</v>
      </c>
      <c r="AB589" s="8"/>
      <c r="AC589" s="4"/>
      <c r="AD589" s="4"/>
    </row>
    <row r="590" spans="1:30" hidden="1">
      <c r="A590" s="4">
        <v>974</v>
      </c>
      <c r="B590" s="8">
        <v>45217</v>
      </c>
      <c r="C590" s="4"/>
      <c r="D590" s="4" t="s">
        <v>42</v>
      </c>
      <c r="E590" s="8">
        <v>45237</v>
      </c>
      <c r="F590" s="4" t="s">
        <v>43</v>
      </c>
      <c r="G590" s="16" t="s">
        <v>44</v>
      </c>
      <c r="H590" s="4" t="s">
        <v>45</v>
      </c>
      <c r="I590" s="4" t="s">
        <v>89</v>
      </c>
      <c r="J590" s="10">
        <v>0.39</v>
      </c>
      <c r="K590" s="10">
        <v>0.39900000000000002</v>
      </c>
      <c r="L590" s="10">
        <f t="shared" si="101"/>
        <v>0</v>
      </c>
      <c r="M590" s="10">
        <f t="shared" si="102"/>
        <v>0</v>
      </c>
      <c r="N590" s="10"/>
      <c r="O590" s="10"/>
      <c r="P590" s="10">
        <v>0</v>
      </c>
      <c r="Q590" s="10"/>
      <c r="R590" s="10"/>
      <c r="S590" s="10"/>
      <c r="T590" s="10"/>
      <c r="U590" s="10"/>
      <c r="V590" s="4" t="s">
        <v>466</v>
      </c>
      <c r="W590" s="4"/>
      <c r="X590" s="8">
        <v>45215</v>
      </c>
      <c r="Y590" s="4"/>
      <c r="Z590" s="4"/>
      <c r="AA590" s="8">
        <v>45236</v>
      </c>
      <c r="AB590" s="8">
        <v>45236</v>
      </c>
      <c r="AC590" s="4"/>
      <c r="AD590" s="4"/>
    </row>
    <row r="591" spans="1:30" hidden="1">
      <c r="A591" s="4">
        <v>968</v>
      </c>
      <c r="B591" s="8">
        <v>45214</v>
      </c>
      <c r="C591" s="4"/>
      <c r="D591" s="4" t="s">
        <v>42</v>
      </c>
      <c r="E591" s="8">
        <v>45222</v>
      </c>
      <c r="F591" s="4" t="s">
        <v>840</v>
      </c>
      <c r="G591" s="16" t="s">
        <v>51</v>
      </c>
      <c r="H591" s="4" t="s">
        <v>52</v>
      </c>
      <c r="I591" s="4" t="s">
        <v>400</v>
      </c>
      <c r="J591" s="10">
        <v>0.42499999999999999</v>
      </c>
      <c r="K591" s="10">
        <v>0.42499999999999999</v>
      </c>
      <c r="L591" s="10">
        <f t="shared" ref="L591" si="103">M591+U591</f>
        <v>0</v>
      </c>
      <c r="M591" s="10">
        <f t="shared" ref="M591" si="104">SUM(N591:T591)</f>
        <v>0</v>
      </c>
      <c r="N591" s="10"/>
      <c r="O591" s="10"/>
      <c r="P591" s="10">
        <v>0</v>
      </c>
      <c r="Q591" s="10"/>
      <c r="R591" s="10"/>
      <c r="S591" s="10"/>
      <c r="T591" s="10"/>
      <c r="U591" s="10"/>
      <c r="V591" s="4" t="s">
        <v>841</v>
      </c>
      <c r="W591" s="4" t="s">
        <v>521</v>
      </c>
      <c r="X591" s="8"/>
      <c r="Y591" s="4"/>
      <c r="Z591" s="4"/>
      <c r="AA591" s="8">
        <v>45215</v>
      </c>
      <c r="AB591" s="8">
        <v>45215</v>
      </c>
      <c r="AC591" s="4"/>
      <c r="AD591" s="4"/>
    </row>
    <row r="592" spans="1:30" hidden="1">
      <c r="A592" s="4">
        <v>968</v>
      </c>
      <c r="B592" s="8">
        <v>45214</v>
      </c>
      <c r="C592" s="4"/>
      <c r="D592" s="4" t="s">
        <v>42</v>
      </c>
      <c r="E592" s="8">
        <v>45222</v>
      </c>
      <c r="F592" s="4" t="s">
        <v>840</v>
      </c>
      <c r="G592" s="16" t="s">
        <v>51</v>
      </c>
      <c r="H592" s="4" t="s">
        <v>52</v>
      </c>
      <c r="I592" s="4" t="s">
        <v>587</v>
      </c>
      <c r="J592" s="10">
        <v>0.61799999999999999</v>
      </c>
      <c r="K592" s="10">
        <v>0.61799999999999999</v>
      </c>
      <c r="L592" s="10">
        <f t="shared" ref="L592:L597" si="105">M592+U592</f>
        <v>0</v>
      </c>
      <c r="M592" s="10">
        <f t="shared" ref="M592:M597" si="106">SUM(N592:T592)</f>
        <v>0</v>
      </c>
      <c r="N592" s="10"/>
      <c r="O592" s="10"/>
      <c r="P592" s="10">
        <v>0</v>
      </c>
      <c r="Q592" s="10"/>
      <c r="R592" s="10"/>
      <c r="S592" s="10"/>
      <c r="T592" s="10"/>
      <c r="U592" s="10"/>
      <c r="V592" s="4" t="s">
        <v>841</v>
      </c>
      <c r="W592" s="4" t="s">
        <v>521</v>
      </c>
      <c r="X592" s="8"/>
      <c r="Y592" s="4"/>
      <c r="Z592" s="4"/>
      <c r="AA592" s="8">
        <v>45215</v>
      </c>
      <c r="AB592" s="8">
        <v>45215</v>
      </c>
      <c r="AC592" s="4"/>
      <c r="AD592" s="4"/>
    </row>
    <row r="593" spans="1:30" hidden="1">
      <c r="A593" s="4">
        <v>968</v>
      </c>
      <c r="B593" s="8">
        <v>45214</v>
      </c>
      <c r="C593" s="4"/>
      <c r="D593" s="4" t="s">
        <v>42</v>
      </c>
      <c r="E593" s="8">
        <v>45222</v>
      </c>
      <c r="F593" s="4" t="s">
        <v>840</v>
      </c>
      <c r="G593" s="16" t="s">
        <v>51</v>
      </c>
      <c r="H593" s="4" t="s">
        <v>52</v>
      </c>
      <c r="I593" s="4" t="s">
        <v>50</v>
      </c>
      <c r="J593" s="10">
        <v>0.88</v>
      </c>
      <c r="K593" s="10">
        <v>0.88</v>
      </c>
      <c r="L593" s="10">
        <f t="shared" si="105"/>
        <v>0</v>
      </c>
      <c r="M593" s="10">
        <f t="shared" si="106"/>
        <v>0</v>
      </c>
      <c r="N593" s="10"/>
      <c r="O593" s="10"/>
      <c r="P593" s="10">
        <v>0</v>
      </c>
      <c r="Q593" s="10"/>
      <c r="R593" s="10"/>
      <c r="S593" s="10"/>
      <c r="T593" s="10"/>
      <c r="U593" s="10"/>
      <c r="V593" s="4" t="s">
        <v>841</v>
      </c>
      <c r="W593" s="4" t="s">
        <v>521</v>
      </c>
      <c r="X593" s="8"/>
      <c r="Y593" s="4"/>
      <c r="Z593" s="4"/>
      <c r="AA593" s="8">
        <v>45215</v>
      </c>
      <c r="AB593" s="8">
        <v>45215</v>
      </c>
      <c r="AC593" s="4"/>
      <c r="AD593" s="4"/>
    </row>
    <row r="594" spans="1:30" hidden="1">
      <c r="A594" s="4">
        <v>968</v>
      </c>
      <c r="B594" s="8">
        <v>45214</v>
      </c>
      <c r="C594" s="4"/>
      <c r="D594" s="4" t="s">
        <v>42</v>
      </c>
      <c r="E594" s="8">
        <v>45222</v>
      </c>
      <c r="F594" s="4" t="s">
        <v>840</v>
      </c>
      <c r="G594" s="16" t="s">
        <v>51</v>
      </c>
      <c r="H594" s="4" t="s">
        <v>52</v>
      </c>
      <c r="I594" s="4" t="s">
        <v>49</v>
      </c>
      <c r="J594" s="10">
        <v>0.41</v>
      </c>
      <c r="K594" s="10">
        <v>0.41</v>
      </c>
      <c r="L594" s="10">
        <f t="shared" si="105"/>
        <v>0</v>
      </c>
      <c r="M594" s="10">
        <f t="shared" si="106"/>
        <v>0</v>
      </c>
      <c r="N594" s="10"/>
      <c r="O594" s="10"/>
      <c r="P594" s="10">
        <v>0</v>
      </c>
      <c r="Q594" s="10"/>
      <c r="R594" s="10"/>
      <c r="S594" s="10"/>
      <c r="T594" s="10"/>
      <c r="U594" s="10"/>
      <c r="V594" s="4" t="s">
        <v>841</v>
      </c>
      <c r="W594" s="4" t="s">
        <v>521</v>
      </c>
      <c r="X594" s="8"/>
      <c r="Y594" s="4"/>
      <c r="Z594" s="4"/>
      <c r="AA594" s="8">
        <v>45215</v>
      </c>
      <c r="AB594" s="8">
        <v>45215</v>
      </c>
      <c r="AC594" s="4"/>
      <c r="AD594" s="4"/>
    </row>
    <row r="595" spans="1:30" hidden="1">
      <c r="A595" s="4">
        <v>968</v>
      </c>
      <c r="B595" s="8">
        <v>45214</v>
      </c>
      <c r="C595" s="4"/>
      <c r="D595" s="4" t="s">
        <v>42</v>
      </c>
      <c r="E595" s="8">
        <v>45222</v>
      </c>
      <c r="F595" s="4" t="s">
        <v>840</v>
      </c>
      <c r="G595" s="16" t="s">
        <v>44</v>
      </c>
      <c r="H595" s="4" t="s">
        <v>45</v>
      </c>
      <c r="I595" s="4" t="s">
        <v>448</v>
      </c>
      <c r="J595" s="10">
        <v>1.7869999999999999</v>
      </c>
      <c r="K595" s="10">
        <v>1.7869999999999999</v>
      </c>
      <c r="L595" s="10">
        <f t="shared" si="105"/>
        <v>0</v>
      </c>
      <c r="M595" s="10">
        <f t="shared" si="106"/>
        <v>0</v>
      </c>
      <c r="N595" s="10"/>
      <c r="O595" s="10"/>
      <c r="P595" s="10">
        <v>0</v>
      </c>
      <c r="Q595" s="10"/>
      <c r="R595" s="10"/>
      <c r="S595" s="10"/>
      <c r="T595" s="10"/>
      <c r="U595" s="10"/>
      <c r="V595" s="4" t="s">
        <v>841</v>
      </c>
      <c r="W595" s="4" t="s">
        <v>521</v>
      </c>
      <c r="X595" s="8"/>
      <c r="Y595" s="4"/>
      <c r="Z595" s="4"/>
      <c r="AA595" s="8">
        <v>45215</v>
      </c>
      <c r="AB595" s="8">
        <v>45215</v>
      </c>
      <c r="AC595" s="4"/>
      <c r="AD595" s="4"/>
    </row>
    <row r="596" spans="1:30" hidden="1">
      <c r="A596" s="4">
        <v>968</v>
      </c>
      <c r="B596" s="8">
        <v>45214</v>
      </c>
      <c r="C596" s="4"/>
      <c r="D596" s="4" t="s">
        <v>42</v>
      </c>
      <c r="E596" s="8">
        <v>45222</v>
      </c>
      <c r="F596" s="4" t="s">
        <v>840</v>
      </c>
      <c r="G596" s="16" t="s">
        <v>44</v>
      </c>
      <c r="H596" s="4" t="s">
        <v>45</v>
      </c>
      <c r="I596" s="4" t="s">
        <v>47</v>
      </c>
      <c r="J596" s="10">
        <v>0.54200000000000004</v>
      </c>
      <c r="K596" s="10">
        <v>0.54100000000000004</v>
      </c>
      <c r="L596" s="10">
        <f t="shared" si="105"/>
        <v>0</v>
      </c>
      <c r="M596" s="10">
        <f t="shared" si="106"/>
        <v>0</v>
      </c>
      <c r="N596" s="10"/>
      <c r="O596" s="10"/>
      <c r="P596" s="10">
        <v>0</v>
      </c>
      <c r="Q596" s="10"/>
      <c r="R596" s="10"/>
      <c r="S596" s="10"/>
      <c r="T596" s="10"/>
      <c r="U596" s="10"/>
      <c r="V596" s="4" t="s">
        <v>841</v>
      </c>
      <c r="W596" s="4" t="s">
        <v>521</v>
      </c>
      <c r="X596" s="8"/>
      <c r="Y596" s="4"/>
      <c r="Z596" s="4"/>
      <c r="AA596" s="8">
        <v>45215</v>
      </c>
      <c r="AB596" s="8">
        <v>45215</v>
      </c>
      <c r="AC596" s="4"/>
      <c r="AD596" s="4"/>
    </row>
    <row r="597" spans="1:30" hidden="1">
      <c r="A597" s="4">
        <v>968</v>
      </c>
      <c r="B597" s="8">
        <v>45214</v>
      </c>
      <c r="C597" s="4"/>
      <c r="D597" s="4" t="s">
        <v>42</v>
      </c>
      <c r="E597" s="8">
        <v>45222</v>
      </c>
      <c r="F597" s="4" t="s">
        <v>840</v>
      </c>
      <c r="G597" s="16" t="s">
        <v>44</v>
      </c>
      <c r="H597" s="4" t="s">
        <v>45</v>
      </c>
      <c r="I597" s="4" t="s">
        <v>405</v>
      </c>
      <c r="J597" s="10">
        <v>1.728</v>
      </c>
      <c r="K597" s="10">
        <v>1.7270000000000001</v>
      </c>
      <c r="L597" s="10">
        <f t="shared" si="105"/>
        <v>0</v>
      </c>
      <c r="M597" s="10">
        <f t="shared" si="106"/>
        <v>0</v>
      </c>
      <c r="N597" s="10"/>
      <c r="O597" s="10"/>
      <c r="P597" s="10">
        <v>0</v>
      </c>
      <c r="Q597" s="10"/>
      <c r="R597" s="10"/>
      <c r="S597" s="10"/>
      <c r="T597" s="10"/>
      <c r="U597" s="10"/>
      <c r="V597" s="4" t="s">
        <v>841</v>
      </c>
      <c r="W597" s="4" t="s">
        <v>521</v>
      </c>
      <c r="X597" s="8"/>
      <c r="Y597" s="4"/>
      <c r="Z597" s="4"/>
      <c r="AA597" s="8">
        <v>45215</v>
      </c>
      <c r="AB597" s="8">
        <v>45215</v>
      </c>
      <c r="AC597" s="4"/>
      <c r="AD597" s="4"/>
    </row>
    <row r="598" spans="1:30" hidden="1">
      <c r="A598" s="4">
        <v>973</v>
      </c>
      <c r="B598" s="8">
        <v>45215</v>
      </c>
      <c r="C598" s="4"/>
      <c r="D598" s="4" t="s">
        <v>42</v>
      </c>
      <c r="E598" s="8">
        <v>45237</v>
      </c>
      <c r="F598" s="4" t="s">
        <v>840</v>
      </c>
      <c r="G598" s="16" t="s">
        <v>51</v>
      </c>
      <c r="H598" s="4" t="s">
        <v>52</v>
      </c>
      <c r="I598" s="4" t="s">
        <v>54</v>
      </c>
      <c r="J598" s="10">
        <v>24.2</v>
      </c>
      <c r="K598" s="10">
        <f>7.126+5.038+10.001+1.115+1.157</f>
        <v>24.436999999999998</v>
      </c>
      <c r="L598" s="10">
        <f t="shared" ref="L598" si="107">M598+U598</f>
        <v>0</v>
      </c>
      <c r="M598" s="10">
        <f t="shared" ref="M598" si="108">SUM(N598:T598)</f>
        <v>0</v>
      </c>
      <c r="N598" s="10"/>
      <c r="O598" s="10"/>
      <c r="P598" s="10">
        <v>0</v>
      </c>
      <c r="Q598" s="10"/>
      <c r="R598" s="10"/>
      <c r="S598" s="10"/>
      <c r="T598" s="10"/>
      <c r="U598" s="10"/>
      <c r="V598" s="4" t="s">
        <v>841</v>
      </c>
      <c r="W598" s="4"/>
      <c r="X598" s="8"/>
      <c r="Y598" s="4"/>
      <c r="Z598" s="4"/>
      <c r="AA598" s="8"/>
      <c r="AB598" s="8">
        <v>45268</v>
      </c>
      <c r="AC598" s="4"/>
      <c r="AD598" s="4"/>
    </row>
    <row r="599" spans="1:30" hidden="1">
      <c r="A599" s="4">
        <v>973</v>
      </c>
      <c r="B599" s="8">
        <v>45215</v>
      </c>
      <c r="C599" s="4"/>
      <c r="D599" s="4" t="s">
        <v>42</v>
      </c>
      <c r="E599" s="8">
        <v>45237</v>
      </c>
      <c r="F599" s="4" t="s">
        <v>840</v>
      </c>
      <c r="G599" s="16" t="s">
        <v>44</v>
      </c>
      <c r="H599" s="4" t="s">
        <v>45</v>
      </c>
      <c r="I599" s="4" t="s">
        <v>54</v>
      </c>
      <c r="J599" s="10">
        <v>27.11</v>
      </c>
      <c r="K599" s="10">
        <f>12.592+12.249+1.333+0.949</f>
        <v>27.123000000000001</v>
      </c>
      <c r="L599" s="10">
        <f t="shared" ref="L599:L601" si="109">M599+U599</f>
        <v>0</v>
      </c>
      <c r="M599" s="10">
        <f t="shared" ref="M599:M601" si="110">SUM(N599:T599)</f>
        <v>0</v>
      </c>
      <c r="N599" s="10"/>
      <c r="O599" s="10"/>
      <c r="P599" s="10">
        <v>0</v>
      </c>
      <c r="Q599" s="10"/>
      <c r="R599" s="10"/>
      <c r="S599" s="10"/>
      <c r="T599" s="10"/>
      <c r="U599" s="10"/>
      <c r="V599" s="4" t="s">
        <v>841</v>
      </c>
      <c r="W599" s="4"/>
      <c r="X599" s="8"/>
      <c r="Y599" s="4"/>
      <c r="Z599" s="4"/>
      <c r="AA599" s="8"/>
      <c r="AB599" s="8">
        <v>45262</v>
      </c>
      <c r="AC599" s="4"/>
      <c r="AD599" s="4"/>
    </row>
    <row r="600" spans="1:30" hidden="1">
      <c r="A600" s="4">
        <v>973</v>
      </c>
      <c r="B600" s="8">
        <v>45215</v>
      </c>
      <c r="C600" s="4"/>
      <c r="D600" s="4" t="s">
        <v>42</v>
      </c>
      <c r="E600" s="8">
        <v>45237</v>
      </c>
      <c r="F600" s="4" t="s">
        <v>840</v>
      </c>
      <c r="G600" s="16" t="s">
        <v>44</v>
      </c>
      <c r="H600" s="4" t="s">
        <v>45</v>
      </c>
      <c r="I600" s="4" t="s">
        <v>56</v>
      </c>
      <c r="J600" s="10">
        <v>16.86</v>
      </c>
      <c r="K600" s="10">
        <f>9.829+4.389+2.645</f>
        <v>16.863</v>
      </c>
      <c r="L600" s="10">
        <f t="shared" si="109"/>
        <v>0</v>
      </c>
      <c r="M600" s="10">
        <f t="shared" si="110"/>
        <v>0</v>
      </c>
      <c r="N600" s="10"/>
      <c r="O600" s="10"/>
      <c r="P600" s="10">
        <v>0</v>
      </c>
      <c r="Q600" s="10"/>
      <c r="R600" s="10"/>
      <c r="S600" s="10"/>
      <c r="T600" s="10"/>
      <c r="U600" s="10"/>
      <c r="V600" s="4" t="s">
        <v>841</v>
      </c>
      <c r="W600" s="4"/>
      <c r="X600" s="8"/>
      <c r="Y600" s="4"/>
      <c r="Z600" s="4"/>
      <c r="AA600" s="8"/>
      <c r="AB600" s="8">
        <v>45262</v>
      </c>
      <c r="AC600" s="4"/>
      <c r="AD600" s="4"/>
    </row>
    <row r="601" spans="1:30" hidden="1">
      <c r="A601" s="4">
        <v>973</v>
      </c>
      <c r="B601" s="8">
        <v>45215</v>
      </c>
      <c r="C601" s="4"/>
      <c r="D601" s="4" t="s">
        <v>42</v>
      </c>
      <c r="E601" s="8">
        <v>45237</v>
      </c>
      <c r="F601" s="4" t="s">
        <v>840</v>
      </c>
      <c r="G601" s="16" t="s">
        <v>44</v>
      </c>
      <c r="H601" s="4" t="s">
        <v>45</v>
      </c>
      <c r="I601" s="4" t="s">
        <v>48</v>
      </c>
      <c r="J601" s="10">
        <v>5.15</v>
      </c>
      <c r="K601" s="10">
        <f>3.508+1.644</f>
        <v>5.1520000000000001</v>
      </c>
      <c r="L601" s="10">
        <f t="shared" si="109"/>
        <v>0</v>
      </c>
      <c r="M601" s="10">
        <f t="shared" si="110"/>
        <v>0</v>
      </c>
      <c r="N601" s="10"/>
      <c r="O601" s="10"/>
      <c r="P601" s="10">
        <v>0</v>
      </c>
      <c r="Q601" s="10"/>
      <c r="R601" s="10"/>
      <c r="S601" s="10"/>
      <c r="T601" s="10"/>
      <c r="U601" s="10"/>
      <c r="V601" s="4" t="s">
        <v>841</v>
      </c>
      <c r="W601" s="4"/>
      <c r="X601" s="8"/>
      <c r="Y601" s="4"/>
      <c r="Z601" s="4"/>
      <c r="AA601" s="8">
        <v>45255</v>
      </c>
      <c r="AB601" s="8">
        <v>45255</v>
      </c>
      <c r="AC601" s="4"/>
      <c r="AD601" s="4"/>
    </row>
    <row r="602" spans="1:30" hidden="1">
      <c r="A602" s="4">
        <v>973</v>
      </c>
      <c r="B602" s="8">
        <v>45215</v>
      </c>
      <c r="C602" s="4"/>
      <c r="D602" s="4" t="s">
        <v>42</v>
      </c>
      <c r="E602" s="8">
        <v>45237</v>
      </c>
      <c r="F602" s="4" t="s">
        <v>840</v>
      </c>
      <c r="G602" s="16" t="s">
        <v>44</v>
      </c>
      <c r="H602" s="4" t="s">
        <v>45</v>
      </c>
      <c r="I602" s="4" t="s">
        <v>46</v>
      </c>
      <c r="J602" s="10">
        <v>0.313</v>
      </c>
      <c r="K602" s="10">
        <v>0.313</v>
      </c>
      <c r="L602" s="10">
        <f t="shared" ref="L602:L603" si="111">M602+U602</f>
        <v>0</v>
      </c>
      <c r="M602" s="10">
        <f t="shared" ref="M602:M603" si="112">SUM(N602:T602)</f>
        <v>0</v>
      </c>
      <c r="N602" s="10"/>
      <c r="O602" s="10"/>
      <c r="P602" s="10"/>
      <c r="Q602" s="10"/>
      <c r="R602" s="10"/>
      <c r="S602" s="10"/>
      <c r="T602" s="10"/>
      <c r="U602" s="10"/>
      <c r="V602" s="4" t="s">
        <v>841</v>
      </c>
      <c r="W602" s="4"/>
      <c r="X602" s="8"/>
      <c r="Y602" s="4"/>
      <c r="Z602" s="4"/>
      <c r="AA602" s="8"/>
      <c r="AB602" s="8">
        <v>45251</v>
      </c>
      <c r="AC602" s="4"/>
      <c r="AD602" s="4"/>
    </row>
    <row r="603" spans="1:30" hidden="1">
      <c r="A603" s="4">
        <v>973</v>
      </c>
      <c r="B603" s="8">
        <v>45215</v>
      </c>
      <c r="C603" s="4"/>
      <c r="D603" s="4" t="s">
        <v>42</v>
      </c>
      <c r="E603" s="8">
        <v>45237</v>
      </c>
      <c r="F603" s="4" t="s">
        <v>840</v>
      </c>
      <c r="G603" s="16" t="s">
        <v>44</v>
      </c>
      <c r="H603" s="4" t="s">
        <v>45</v>
      </c>
      <c r="I603" s="4" t="s">
        <v>89</v>
      </c>
      <c r="J603" s="10">
        <v>9.9000000000000005E-2</v>
      </c>
      <c r="K603" s="10">
        <v>9.9000000000000005E-2</v>
      </c>
      <c r="L603" s="10">
        <f t="shared" si="111"/>
        <v>0</v>
      </c>
      <c r="M603" s="10">
        <f t="shared" si="112"/>
        <v>0</v>
      </c>
      <c r="N603" s="10"/>
      <c r="O603" s="10"/>
      <c r="P603" s="10"/>
      <c r="Q603" s="10"/>
      <c r="R603" s="10"/>
      <c r="S603" s="10"/>
      <c r="T603" s="10"/>
      <c r="U603" s="10"/>
      <c r="V603" s="4" t="s">
        <v>841</v>
      </c>
      <c r="W603" s="4"/>
      <c r="X603" s="8"/>
      <c r="Y603" s="4"/>
      <c r="Z603" s="4"/>
      <c r="AA603" s="8"/>
      <c r="AB603" s="8">
        <v>45251</v>
      </c>
      <c r="AC603" s="4"/>
      <c r="AD603" s="4"/>
    </row>
    <row r="604" spans="1:30" hidden="1">
      <c r="A604" s="4">
        <v>973</v>
      </c>
      <c r="B604" s="8">
        <v>45215</v>
      </c>
      <c r="C604" s="4"/>
      <c r="D604" s="4" t="s">
        <v>42</v>
      </c>
      <c r="E604" s="8">
        <v>45237</v>
      </c>
      <c r="F604" s="4" t="s">
        <v>840</v>
      </c>
      <c r="G604" s="16" t="s">
        <v>44</v>
      </c>
      <c r="H604" s="4" t="s">
        <v>45</v>
      </c>
      <c r="I604" s="4" t="s">
        <v>96</v>
      </c>
      <c r="J604" s="10">
        <v>0.54800000000000004</v>
      </c>
      <c r="K604" s="10">
        <v>0.54800000000000004</v>
      </c>
      <c r="L604" s="10">
        <f t="shared" ref="L604" si="113">M604+U604</f>
        <v>0</v>
      </c>
      <c r="M604" s="10">
        <f t="shared" ref="M604" si="114">SUM(N604:T604)</f>
        <v>0</v>
      </c>
      <c r="N604" s="10"/>
      <c r="O604" s="10"/>
      <c r="P604" s="10"/>
      <c r="Q604" s="10"/>
      <c r="R604" s="10"/>
      <c r="S604" s="10"/>
      <c r="T604" s="10"/>
      <c r="U604" s="10"/>
      <c r="V604" s="4" t="s">
        <v>841</v>
      </c>
      <c r="W604" s="4"/>
      <c r="X604" s="8"/>
      <c r="Y604" s="4"/>
      <c r="Z604" s="4"/>
      <c r="AA604" s="8"/>
      <c r="AB604" s="8">
        <v>45251</v>
      </c>
      <c r="AC604" s="4"/>
      <c r="AD604" s="4"/>
    </row>
    <row r="605" spans="1:30" hidden="1">
      <c r="A605" s="4">
        <v>1007</v>
      </c>
      <c r="B605" s="8">
        <v>45222</v>
      </c>
      <c r="C605" s="4"/>
      <c r="D605" s="4" t="s">
        <v>42</v>
      </c>
      <c r="E605" s="8">
        <v>45230</v>
      </c>
      <c r="F605" s="4" t="s">
        <v>43</v>
      </c>
      <c r="G605" s="16" t="s">
        <v>44</v>
      </c>
      <c r="H605" s="4" t="s">
        <v>45</v>
      </c>
      <c r="I605" s="4" t="s">
        <v>519</v>
      </c>
      <c r="J605" s="10">
        <v>2.7479999999999998</v>
      </c>
      <c r="K605" s="10">
        <v>2.76</v>
      </c>
      <c r="L605" s="10">
        <f t="shared" ref="L605:L618" si="115">M605+U605</f>
        <v>0</v>
      </c>
      <c r="M605" s="10">
        <f t="shared" ref="M605:M618" si="116">SUM(N605:T605)</f>
        <v>0</v>
      </c>
      <c r="N605" s="10"/>
      <c r="O605" s="10"/>
      <c r="P605" s="10">
        <v>0</v>
      </c>
      <c r="Q605" s="10"/>
      <c r="R605" s="10"/>
      <c r="S605" s="10"/>
      <c r="T605" s="10"/>
      <c r="U605" s="10"/>
      <c r="V605" s="4" t="s">
        <v>425</v>
      </c>
      <c r="W605" s="4"/>
      <c r="X605" s="8">
        <v>45232</v>
      </c>
      <c r="Y605" s="4"/>
      <c r="Z605" s="4"/>
      <c r="AA605" s="8">
        <v>45240</v>
      </c>
      <c r="AB605" s="8">
        <v>45240</v>
      </c>
      <c r="AC605" s="4"/>
      <c r="AD605" s="4"/>
    </row>
    <row r="606" spans="1:30" hidden="1">
      <c r="A606" s="4">
        <v>1008</v>
      </c>
      <c r="B606" s="8">
        <v>45222</v>
      </c>
      <c r="C606" s="4"/>
      <c r="D606" s="4" t="s">
        <v>42</v>
      </c>
      <c r="E606" s="8">
        <v>45230</v>
      </c>
      <c r="F606" s="4" t="s">
        <v>840</v>
      </c>
      <c r="G606" s="16" t="s">
        <v>44</v>
      </c>
      <c r="H606" s="4" t="s">
        <v>45</v>
      </c>
      <c r="I606" s="4" t="s">
        <v>405</v>
      </c>
      <c r="J606" s="10">
        <v>10.806899999999999</v>
      </c>
      <c r="K606" s="10">
        <f>4.616+1.607+4.584</f>
        <v>10.806999999999999</v>
      </c>
      <c r="L606" s="10">
        <f t="shared" si="115"/>
        <v>0</v>
      </c>
      <c r="M606" s="10">
        <f t="shared" si="116"/>
        <v>0</v>
      </c>
      <c r="N606" s="10"/>
      <c r="O606" s="10"/>
      <c r="P606" s="10">
        <v>0</v>
      </c>
      <c r="Q606" s="10"/>
      <c r="R606" s="10"/>
      <c r="S606" s="10"/>
      <c r="T606" s="10"/>
      <c r="U606" s="10"/>
      <c r="V606" s="4" t="s">
        <v>841</v>
      </c>
      <c r="W606" s="4"/>
      <c r="X606" s="8"/>
      <c r="Y606" s="4"/>
      <c r="Z606" s="4"/>
      <c r="AA606" s="8"/>
      <c r="AB606" s="8">
        <v>45262</v>
      </c>
      <c r="AC606" s="4"/>
      <c r="AD606" s="4"/>
    </row>
    <row r="607" spans="1:30" hidden="1">
      <c r="A607" s="4">
        <v>1008</v>
      </c>
      <c r="B607" s="8">
        <v>45222</v>
      </c>
      <c r="C607" s="4"/>
      <c r="D607" s="4" t="s">
        <v>42</v>
      </c>
      <c r="E607" s="8">
        <v>45230</v>
      </c>
      <c r="F607" s="4" t="s">
        <v>840</v>
      </c>
      <c r="G607" s="16" t="s">
        <v>44</v>
      </c>
      <c r="H607" s="4" t="s">
        <v>45</v>
      </c>
      <c r="I607" s="4" t="s">
        <v>400</v>
      </c>
      <c r="J607" s="10">
        <v>24.356380000000001</v>
      </c>
      <c r="K607" s="10">
        <f>12.9+5.825+5.63</f>
        <v>24.355</v>
      </c>
      <c r="L607" s="10">
        <f t="shared" si="115"/>
        <v>0</v>
      </c>
      <c r="M607" s="10">
        <f t="shared" si="116"/>
        <v>0</v>
      </c>
      <c r="N607" s="10"/>
      <c r="O607" s="10"/>
      <c r="P607" s="10">
        <v>0</v>
      </c>
      <c r="Q607" s="10"/>
      <c r="R607" s="10"/>
      <c r="S607" s="10"/>
      <c r="T607" s="10"/>
      <c r="U607" s="10"/>
      <c r="V607" s="4" t="s">
        <v>841</v>
      </c>
      <c r="W607" s="4"/>
      <c r="X607" s="8"/>
      <c r="Y607" s="4"/>
      <c r="Z607" s="4"/>
      <c r="AA607" s="8"/>
      <c r="AB607" s="8">
        <v>45246</v>
      </c>
      <c r="AC607" s="4"/>
      <c r="AD607" s="4"/>
    </row>
    <row r="608" spans="1:30" hidden="1">
      <c r="A608" s="4">
        <v>1008</v>
      </c>
      <c r="B608" s="8">
        <v>45222</v>
      </c>
      <c r="C608" s="4"/>
      <c r="D608" s="4" t="s">
        <v>42</v>
      </c>
      <c r="E608" s="8">
        <v>45230</v>
      </c>
      <c r="F608" s="4" t="s">
        <v>840</v>
      </c>
      <c r="G608" s="16" t="s">
        <v>44</v>
      </c>
      <c r="H608" s="4" t="s">
        <v>45</v>
      </c>
      <c r="I608" s="4" t="s">
        <v>46</v>
      </c>
      <c r="J608" s="10">
        <v>10.050000000000001</v>
      </c>
      <c r="K608" s="10">
        <f>9.527+0.523</f>
        <v>10.049999999999999</v>
      </c>
      <c r="L608" s="10">
        <f t="shared" si="115"/>
        <v>0</v>
      </c>
      <c r="M608" s="10">
        <f t="shared" si="116"/>
        <v>0</v>
      </c>
      <c r="N608" s="10"/>
      <c r="O608" s="10"/>
      <c r="P608" s="10">
        <v>0</v>
      </c>
      <c r="Q608" s="10"/>
      <c r="R608" s="10"/>
      <c r="S608" s="10"/>
      <c r="T608" s="10"/>
      <c r="U608" s="10"/>
      <c r="V608" s="4" t="s">
        <v>841</v>
      </c>
      <c r="W608" s="4"/>
      <c r="X608" s="8"/>
      <c r="Y608" s="4"/>
      <c r="Z608" s="4"/>
      <c r="AA608" s="8"/>
      <c r="AB608" s="8">
        <v>45262</v>
      </c>
      <c r="AC608" s="4"/>
      <c r="AD608" s="4"/>
    </row>
    <row r="609" spans="1:30" hidden="1">
      <c r="A609" s="4">
        <v>1008</v>
      </c>
      <c r="B609" s="8">
        <v>45222</v>
      </c>
      <c r="C609" s="4"/>
      <c r="D609" s="4" t="s">
        <v>42</v>
      </c>
      <c r="E609" s="8">
        <v>45230</v>
      </c>
      <c r="F609" s="4" t="s">
        <v>840</v>
      </c>
      <c r="G609" s="16" t="s">
        <v>44</v>
      </c>
      <c r="H609" s="4" t="s">
        <v>45</v>
      </c>
      <c r="I609" s="4" t="s">
        <v>761</v>
      </c>
      <c r="J609" s="10">
        <v>15.006600000000001</v>
      </c>
      <c r="K609" s="10">
        <f>12.398+2.079+0.529</f>
        <v>15.006</v>
      </c>
      <c r="L609" s="10">
        <f t="shared" si="115"/>
        <v>0</v>
      </c>
      <c r="M609" s="10">
        <f t="shared" si="116"/>
        <v>0</v>
      </c>
      <c r="N609" s="10"/>
      <c r="O609" s="10"/>
      <c r="P609" s="10">
        <v>0</v>
      </c>
      <c r="Q609" s="10"/>
      <c r="R609" s="10"/>
      <c r="S609" s="10"/>
      <c r="T609" s="10"/>
      <c r="U609" s="10"/>
      <c r="V609" s="4" t="s">
        <v>841</v>
      </c>
      <c r="W609" s="4"/>
      <c r="X609" s="8">
        <v>45233</v>
      </c>
      <c r="Y609" s="4"/>
      <c r="Z609" s="4"/>
      <c r="AA609" s="8"/>
      <c r="AB609" s="8">
        <v>45268</v>
      </c>
      <c r="AC609" s="4"/>
      <c r="AD609" s="4"/>
    </row>
    <row r="610" spans="1:30" hidden="1">
      <c r="A610" s="4">
        <v>1008</v>
      </c>
      <c r="B610" s="8">
        <v>45222</v>
      </c>
      <c r="C610" s="4"/>
      <c r="D610" s="4" t="s">
        <v>42</v>
      </c>
      <c r="E610" s="8">
        <v>45230</v>
      </c>
      <c r="F610" s="4" t="s">
        <v>840</v>
      </c>
      <c r="G610" s="16" t="s">
        <v>44</v>
      </c>
      <c r="H610" s="4" t="s">
        <v>45</v>
      </c>
      <c r="I610" s="4" t="s">
        <v>517</v>
      </c>
      <c r="J610" s="10">
        <v>3.3566700000000003</v>
      </c>
      <c r="K610" s="10">
        <v>3.548</v>
      </c>
      <c r="L610" s="10">
        <f t="shared" si="115"/>
        <v>0</v>
      </c>
      <c r="M610" s="10">
        <f t="shared" si="116"/>
        <v>0</v>
      </c>
      <c r="N610" s="10"/>
      <c r="O610" s="10"/>
      <c r="P610" s="10">
        <v>0</v>
      </c>
      <c r="Q610" s="10"/>
      <c r="R610" s="10"/>
      <c r="S610" s="10"/>
      <c r="T610" s="10"/>
      <c r="U610" s="10"/>
      <c r="V610" s="4" t="s">
        <v>841</v>
      </c>
      <c r="W610" s="4"/>
      <c r="X610" s="8">
        <v>45233</v>
      </c>
      <c r="Y610" s="4"/>
      <c r="Z610" s="4"/>
      <c r="AA610" s="8"/>
      <c r="AB610" s="8">
        <v>45254</v>
      </c>
      <c r="AC610" s="4"/>
      <c r="AD610" s="4"/>
    </row>
    <row r="611" spans="1:30" hidden="1">
      <c r="A611" s="4">
        <v>1008</v>
      </c>
      <c r="B611" s="8">
        <v>45222</v>
      </c>
      <c r="C611" s="4"/>
      <c r="D611" s="4" t="s">
        <v>42</v>
      </c>
      <c r="E611" s="8">
        <v>45230</v>
      </c>
      <c r="F611" s="4" t="s">
        <v>840</v>
      </c>
      <c r="G611" s="16" t="s">
        <v>44</v>
      </c>
      <c r="H611" s="4" t="s">
        <v>45</v>
      </c>
      <c r="I611" s="4" t="s">
        <v>579</v>
      </c>
      <c r="J611" s="10">
        <v>4.5503999999999989</v>
      </c>
      <c r="K611" s="10">
        <v>4.55</v>
      </c>
      <c r="L611" s="10">
        <f t="shared" si="115"/>
        <v>0</v>
      </c>
      <c r="M611" s="10">
        <f t="shared" si="116"/>
        <v>0</v>
      </c>
      <c r="N611" s="10"/>
      <c r="O611" s="10"/>
      <c r="P611" s="10">
        <v>0</v>
      </c>
      <c r="Q611" s="10"/>
      <c r="R611" s="10"/>
      <c r="S611" s="10"/>
      <c r="T611" s="10"/>
      <c r="U611" s="10"/>
      <c r="V611" s="4" t="s">
        <v>841</v>
      </c>
      <c r="W611" s="4"/>
      <c r="X611" s="8">
        <v>45233</v>
      </c>
      <c r="Y611" s="4"/>
      <c r="Z611" s="4"/>
      <c r="AA611" s="8"/>
      <c r="AB611" s="8">
        <v>45254</v>
      </c>
      <c r="AC611" s="4"/>
      <c r="AD611" s="4"/>
    </row>
    <row r="612" spans="1:30" hidden="1">
      <c r="A612" s="4">
        <v>1008</v>
      </c>
      <c r="B612" s="8">
        <v>45222</v>
      </c>
      <c r="C612" s="4"/>
      <c r="D612" s="4" t="s">
        <v>42</v>
      </c>
      <c r="E612" s="8">
        <v>45230</v>
      </c>
      <c r="F612" s="4" t="s">
        <v>840</v>
      </c>
      <c r="G612" s="16" t="s">
        <v>44</v>
      </c>
      <c r="H612" s="4" t="s">
        <v>45</v>
      </c>
      <c r="I612" s="4" t="s">
        <v>448</v>
      </c>
      <c r="J612" s="10">
        <v>1.2139199999999999</v>
      </c>
      <c r="K612" s="10">
        <v>1.214</v>
      </c>
      <c r="L612" s="10">
        <f t="shared" si="115"/>
        <v>0</v>
      </c>
      <c r="M612" s="10">
        <f t="shared" si="116"/>
        <v>0</v>
      </c>
      <c r="N612" s="10"/>
      <c r="O612" s="10"/>
      <c r="P612" s="10">
        <v>0</v>
      </c>
      <c r="Q612" s="10"/>
      <c r="R612" s="10"/>
      <c r="S612" s="10"/>
      <c r="T612" s="10"/>
      <c r="U612" s="10"/>
      <c r="V612" s="4" t="s">
        <v>841</v>
      </c>
      <c r="W612" s="4"/>
      <c r="X612" s="8">
        <v>45233</v>
      </c>
      <c r="Y612" s="4"/>
      <c r="Z612" s="4"/>
      <c r="AA612" s="8"/>
      <c r="AB612" s="8">
        <v>45262</v>
      </c>
      <c r="AC612" s="4"/>
      <c r="AD612" s="4"/>
    </row>
    <row r="613" spans="1:30" hidden="1">
      <c r="A613" s="4">
        <v>1008</v>
      </c>
      <c r="B613" s="8">
        <v>45222</v>
      </c>
      <c r="C613" s="4"/>
      <c r="D613" s="4" t="s">
        <v>42</v>
      </c>
      <c r="E613" s="8">
        <v>45230</v>
      </c>
      <c r="F613" s="4" t="s">
        <v>840</v>
      </c>
      <c r="G613" s="16" t="s">
        <v>44</v>
      </c>
      <c r="H613" s="4" t="s">
        <v>45</v>
      </c>
      <c r="I613" s="4" t="s">
        <v>670</v>
      </c>
      <c r="J613" s="10">
        <v>3.306</v>
      </c>
      <c r="K613" s="10">
        <v>3.306</v>
      </c>
      <c r="L613" s="10">
        <f t="shared" si="115"/>
        <v>0</v>
      </c>
      <c r="M613" s="10">
        <f t="shared" si="116"/>
        <v>0</v>
      </c>
      <c r="N613" s="10"/>
      <c r="O613" s="10"/>
      <c r="P613" s="10">
        <v>0</v>
      </c>
      <c r="Q613" s="10"/>
      <c r="R613" s="10"/>
      <c r="S613" s="10"/>
      <c r="T613" s="10"/>
      <c r="U613" s="10"/>
      <c r="V613" s="4" t="s">
        <v>841</v>
      </c>
      <c r="W613" s="4"/>
      <c r="X613" s="8">
        <v>45233</v>
      </c>
      <c r="Y613" s="4"/>
      <c r="Z613" s="4"/>
      <c r="AA613" s="8"/>
      <c r="AB613" s="8"/>
      <c r="AC613" s="4"/>
      <c r="AD613" s="4"/>
    </row>
    <row r="614" spans="1:30" hidden="1">
      <c r="A614" s="4">
        <v>1008</v>
      </c>
      <c r="B614" s="8">
        <v>45222</v>
      </c>
      <c r="C614" s="4"/>
      <c r="D614" s="4" t="s">
        <v>42</v>
      </c>
      <c r="E614" s="8">
        <v>45230</v>
      </c>
      <c r="F614" s="4" t="s">
        <v>840</v>
      </c>
      <c r="G614" s="16" t="s">
        <v>44</v>
      </c>
      <c r="H614" s="4" t="s">
        <v>45</v>
      </c>
      <c r="I614" s="4" t="s">
        <v>447</v>
      </c>
      <c r="J614" s="10">
        <v>0.48011999999999999</v>
      </c>
      <c r="K614" s="10">
        <v>0.48</v>
      </c>
      <c r="L614" s="10">
        <f t="shared" si="115"/>
        <v>0</v>
      </c>
      <c r="M614" s="10">
        <f t="shared" si="116"/>
        <v>0</v>
      </c>
      <c r="N614" s="10"/>
      <c r="O614" s="10"/>
      <c r="P614" s="10"/>
      <c r="Q614" s="10"/>
      <c r="R614" s="10"/>
      <c r="S614" s="10">
        <v>0</v>
      </c>
      <c r="T614" s="10"/>
      <c r="U614" s="10"/>
      <c r="V614" s="4" t="s">
        <v>841</v>
      </c>
      <c r="W614" s="4"/>
      <c r="X614" s="8">
        <v>45233</v>
      </c>
      <c r="Y614" s="4"/>
      <c r="Z614" s="4"/>
      <c r="AA614" s="8"/>
      <c r="AB614" s="8">
        <v>45254</v>
      </c>
      <c r="AC614" s="4"/>
      <c r="AD614" s="4"/>
    </row>
    <row r="615" spans="1:30" hidden="1">
      <c r="A615" s="4">
        <v>1008</v>
      </c>
      <c r="B615" s="8">
        <v>45222</v>
      </c>
      <c r="C615" s="4"/>
      <c r="D615" s="4" t="s">
        <v>42</v>
      </c>
      <c r="E615" s="8">
        <v>45230</v>
      </c>
      <c r="F615" s="4" t="s">
        <v>840</v>
      </c>
      <c r="G615" s="16" t="s">
        <v>51</v>
      </c>
      <c r="H615" s="4" t="s">
        <v>52</v>
      </c>
      <c r="I615" s="4" t="s">
        <v>405</v>
      </c>
      <c r="J615" s="10">
        <v>10.4856</v>
      </c>
      <c r="K615" s="10">
        <f>9.481+0.984</f>
        <v>10.465</v>
      </c>
      <c r="L615" s="10">
        <f t="shared" si="115"/>
        <v>0</v>
      </c>
      <c r="M615" s="10">
        <f t="shared" si="116"/>
        <v>0</v>
      </c>
      <c r="N615" s="10"/>
      <c r="O615" s="10"/>
      <c r="P615" s="10">
        <v>0</v>
      </c>
      <c r="Q615" s="10"/>
      <c r="R615" s="10"/>
      <c r="S615" s="10"/>
      <c r="T615" s="10"/>
      <c r="U615" s="10"/>
      <c r="V615" s="4" t="s">
        <v>841</v>
      </c>
      <c r="W615" s="4" t="s">
        <v>1337</v>
      </c>
      <c r="X615" s="8"/>
      <c r="Y615" s="4"/>
      <c r="Z615" s="4"/>
      <c r="AA615" s="8"/>
      <c r="AB615" s="8">
        <v>45268</v>
      </c>
      <c r="AC615" s="4"/>
      <c r="AD615" s="4"/>
    </row>
    <row r="616" spans="1:30" hidden="1">
      <c r="A616" s="4">
        <v>1008</v>
      </c>
      <c r="B616" s="8">
        <v>45222</v>
      </c>
      <c r="C616" s="4"/>
      <c r="D616" s="4" t="s">
        <v>42</v>
      </c>
      <c r="E616" s="8">
        <v>45230</v>
      </c>
      <c r="F616" s="4" t="s">
        <v>840</v>
      </c>
      <c r="G616" s="16" t="s">
        <v>51</v>
      </c>
      <c r="H616" s="4" t="s">
        <v>52</v>
      </c>
      <c r="I616" s="4" t="s">
        <v>46</v>
      </c>
      <c r="J616" s="10">
        <v>0.20100000000000001</v>
      </c>
      <c r="K616" s="10">
        <v>0.20100000000000001</v>
      </c>
      <c r="L616" s="10">
        <f t="shared" si="115"/>
        <v>0</v>
      </c>
      <c r="M616" s="10">
        <f>SUM(N616:T616)</f>
        <v>0</v>
      </c>
      <c r="N616" s="10"/>
      <c r="O616" s="10"/>
      <c r="P616" s="10">
        <v>0</v>
      </c>
      <c r="Q616" s="10"/>
      <c r="R616" s="10"/>
      <c r="S616" s="10"/>
      <c r="T616" s="10"/>
      <c r="U616" s="10"/>
      <c r="V616" s="4" t="s">
        <v>841</v>
      </c>
      <c r="W616" s="4"/>
      <c r="X616" s="8"/>
      <c r="Y616" s="4"/>
      <c r="Z616" s="4"/>
      <c r="AA616" s="8">
        <v>45255</v>
      </c>
      <c r="AB616" s="8">
        <v>45255</v>
      </c>
      <c r="AC616" s="4"/>
      <c r="AD616" s="4"/>
    </row>
    <row r="617" spans="1:30" hidden="1">
      <c r="A617" s="4">
        <v>1008</v>
      </c>
      <c r="B617" s="8">
        <v>45222</v>
      </c>
      <c r="C617" s="4"/>
      <c r="D617" s="4" t="s">
        <v>42</v>
      </c>
      <c r="E617" s="8">
        <v>45230</v>
      </c>
      <c r="F617" s="4" t="s">
        <v>840</v>
      </c>
      <c r="G617" s="16" t="s">
        <v>51</v>
      </c>
      <c r="H617" s="4" t="s">
        <v>52</v>
      </c>
      <c r="I617" s="4" t="s">
        <v>435</v>
      </c>
      <c r="J617" s="10">
        <v>7.2528899999999998</v>
      </c>
      <c r="K617" s="10">
        <f>3.116+4.137</f>
        <v>7.2530000000000001</v>
      </c>
      <c r="L617" s="10">
        <f t="shared" si="115"/>
        <v>0</v>
      </c>
      <c r="M617" s="10">
        <f t="shared" si="116"/>
        <v>0</v>
      </c>
      <c r="N617" s="10"/>
      <c r="O617" s="10"/>
      <c r="P617" s="10">
        <v>0</v>
      </c>
      <c r="Q617" s="10"/>
      <c r="R617" s="10"/>
      <c r="S617" s="10"/>
      <c r="T617" s="10"/>
      <c r="U617" s="10"/>
      <c r="V617" s="4" t="s">
        <v>841</v>
      </c>
      <c r="W617" s="4"/>
      <c r="X617" s="8">
        <v>45227</v>
      </c>
      <c r="Y617" s="4"/>
      <c r="Z617" s="4"/>
      <c r="AA617" s="8"/>
      <c r="AB617" s="8"/>
      <c r="AC617" s="4"/>
      <c r="AD617" s="4"/>
    </row>
    <row r="618" spans="1:30" hidden="1">
      <c r="A618" s="4">
        <v>1008</v>
      </c>
      <c r="B618" s="8">
        <v>45222</v>
      </c>
      <c r="C618" s="4"/>
      <c r="D618" s="4" t="s">
        <v>42</v>
      </c>
      <c r="E618" s="8">
        <v>45230</v>
      </c>
      <c r="F618" s="4" t="s">
        <v>840</v>
      </c>
      <c r="G618" s="16" t="s">
        <v>51</v>
      </c>
      <c r="H618" s="4" t="s">
        <v>52</v>
      </c>
      <c r="I618" s="4" t="s">
        <v>432</v>
      </c>
      <c r="J618" s="10">
        <v>10.444349999999998</v>
      </c>
      <c r="K618" s="10">
        <v>10.444000000000001</v>
      </c>
      <c r="L618" s="10">
        <f t="shared" si="115"/>
        <v>0</v>
      </c>
      <c r="M618" s="10">
        <f t="shared" si="116"/>
        <v>0</v>
      </c>
      <c r="N618" s="10"/>
      <c r="O618" s="10"/>
      <c r="P618" s="10">
        <v>0</v>
      </c>
      <c r="Q618" s="10"/>
      <c r="R618" s="10"/>
      <c r="S618" s="10"/>
      <c r="T618" s="10"/>
      <c r="U618" s="10"/>
      <c r="V618" s="4" t="s">
        <v>841</v>
      </c>
      <c r="W618" s="4"/>
      <c r="X618" s="8">
        <v>45227</v>
      </c>
      <c r="Y618" s="4"/>
      <c r="Z618" s="4"/>
      <c r="AA618" s="8"/>
      <c r="AB618" s="8"/>
      <c r="AC618" s="4"/>
      <c r="AD618" s="4"/>
    </row>
    <row r="619" spans="1:30" hidden="1">
      <c r="A619" s="4">
        <v>1009</v>
      </c>
      <c r="B619" s="8">
        <v>45222</v>
      </c>
      <c r="C619" s="4"/>
      <c r="D619" s="4"/>
      <c r="E619" s="8">
        <v>45230</v>
      </c>
      <c r="F619" s="4" t="s">
        <v>43</v>
      </c>
      <c r="G619" s="16" t="s">
        <v>51</v>
      </c>
      <c r="H619" s="4" t="s">
        <v>52</v>
      </c>
      <c r="I619" s="4" t="s">
        <v>671</v>
      </c>
      <c r="J619" s="10">
        <v>8.6507999999999985</v>
      </c>
      <c r="K619" s="10">
        <v>8.7479999999999993</v>
      </c>
      <c r="L619" s="10">
        <f t="shared" ref="L619" si="117">M619+U619</f>
        <v>0</v>
      </c>
      <c r="M619" s="10">
        <f t="shared" ref="M619" si="118">SUM(N619:T619)</f>
        <v>0</v>
      </c>
      <c r="N619" s="10"/>
      <c r="O619" s="10"/>
      <c r="P619" s="10"/>
      <c r="Q619" s="10"/>
      <c r="R619" s="10"/>
      <c r="S619" s="10"/>
      <c r="T619" s="10"/>
      <c r="U619" s="10"/>
      <c r="V619" s="4" t="s">
        <v>826</v>
      </c>
      <c r="W619" s="4"/>
      <c r="X619" s="8">
        <v>45227</v>
      </c>
      <c r="Y619" s="4"/>
      <c r="Z619" s="4"/>
      <c r="AA619" s="8">
        <v>45234</v>
      </c>
      <c r="AB619" s="8">
        <v>45234</v>
      </c>
      <c r="AC619" s="4"/>
      <c r="AD619" s="4"/>
    </row>
    <row r="620" spans="1:30" hidden="1">
      <c r="A620" s="4">
        <v>1010</v>
      </c>
      <c r="B620" s="8">
        <v>45222</v>
      </c>
      <c r="C620" s="4"/>
      <c r="D620" s="4" t="s">
        <v>42</v>
      </c>
      <c r="E620" s="8">
        <v>45230</v>
      </c>
      <c r="F620" s="4" t="s">
        <v>43</v>
      </c>
      <c r="G620" s="16" t="s">
        <v>44</v>
      </c>
      <c r="H620" s="4" t="s">
        <v>45</v>
      </c>
      <c r="I620" s="4" t="s">
        <v>449</v>
      </c>
      <c r="J620" s="10">
        <v>0.71599999999999997</v>
      </c>
      <c r="K620" s="10">
        <v>0.71799999999999997</v>
      </c>
      <c r="L620" s="10">
        <f t="shared" ref="L620" si="119">M620+U620</f>
        <v>0</v>
      </c>
      <c r="M620" s="10">
        <f t="shared" ref="M620" si="120">SUM(N620:T620)</f>
        <v>0</v>
      </c>
      <c r="N620" s="10"/>
      <c r="O620" s="10"/>
      <c r="P620" s="10">
        <v>0</v>
      </c>
      <c r="Q620" s="10"/>
      <c r="R620" s="10"/>
      <c r="S620" s="10"/>
      <c r="T620" s="10"/>
      <c r="U620" s="10"/>
      <c r="V620" s="4" t="s">
        <v>466</v>
      </c>
      <c r="W620" s="4"/>
      <c r="X620" s="8">
        <v>45233</v>
      </c>
      <c r="Y620" s="4"/>
      <c r="Z620" s="4"/>
      <c r="AA620" s="8">
        <v>45240</v>
      </c>
      <c r="AB620" s="8">
        <v>45240</v>
      </c>
      <c r="AC620" s="4"/>
      <c r="AD620" s="4"/>
    </row>
    <row r="621" spans="1:30" hidden="1">
      <c r="A621" s="4">
        <v>1023</v>
      </c>
      <c r="B621" s="8">
        <v>45227</v>
      </c>
      <c r="C621" s="4"/>
      <c r="D621" s="4" t="s">
        <v>42</v>
      </c>
      <c r="E621" s="8">
        <v>45245</v>
      </c>
      <c r="F621" s="4" t="s">
        <v>43</v>
      </c>
      <c r="G621" s="16" t="s">
        <v>44</v>
      </c>
      <c r="H621" s="4" t="s">
        <v>45</v>
      </c>
      <c r="I621" s="4" t="s">
        <v>407</v>
      </c>
      <c r="J621" s="10">
        <v>0.11831999999999998</v>
      </c>
      <c r="K621" s="10">
        <v>0.22700000000000001</v>
      </c>
      <c r="L621" s="10">
        <f t="shared" ref="L621:L625" si="121">M621+U621</f>
        <v>0</v>
      </c>
      <c r="M621" s="10">
        <f t="shared" ref="M621:M625" si="122">SUM(N621:T621)</f>
        <v>0</v>
      </c>
      <c r="N621" s="10"/>
      <c r="O621" s="10"/>
      <c r="P621" s="10"/>
      <c r="Q621" s="10"/>
      <c r="R621" s="10">
        <v>0</v>
      </c>
      <c r="S621" s="10"/>
      <c r="T621" s="10"/>
      <c r="U621" s="10"/>
      <c r="V621" s="4" t="s">
        <v>846</v>
      </c>
      <c r="W621" s="4" t="s">
        <v>521</v>
      </c>
      <c r="X621" s="8"/>
      <c r="Y621" s="4"/>
      <c r="Z621" s="4"/>
      <c r="AA621" s="8">
        <v>45238</v>
      </c>
      <c r="AB621" s="8"/>
      <c r="AC621" s="4"/>
      <c r="AD621" s="4"/>
    </row>
    <row r="622" spans="1:30" hidden="1">
      <c r="A622" s="4">
        <v>1023</v>
      </c>
      <c r="B622" s="8">
        <v>45227</v>
      </c>
      <c r="C622" s="4"/>
      <c r="D622" s="4" t="s">
        <v>42</v>
      </c>
      <c r="E622" s="8">
        <v>45245</v>
      </c>
      <c r="F622" s="4" t="s">
        <v>43</v>
      </c>
      <c r="G622" s="16" t="s">
        <v>44</v>
      </c>
      <c r="H622" s="4" t="s">
        <v>45</v>
      </c>
      <c r="I622" s="4" t="s">
        <v>517</v>
      </c>
      <c r="J622" s="10">
        <v>0.34112499999999996</v>
      </c>
      <c r="K622" s="10">
        <v>0.34100000000000003</v>
      </c>
      <c r="L622" s="10">
        <f t="shared" si="121"/>
        <v>0</v>
      </c>
      <c r="M622" s="10">
        <f t="shared" si="122"/>
        <v>0</v>
      </c>
      <c r="N622" s="10"/>
      <c r="O622" s="10"/>
      <c r="P622" s="10"/>
      <c r="Q622" s="10"/>
      <c r="R622" s="10">
        <v>0</v>
      </c>
      <c r="S622" s="10"/>
      <c r="T622" s="10"/>
      <c r="U622" s="10"/>
      <c r="V622" s="4" t="s">
        <v>846</v>
      </c>
      <c r="W622" s="4" t="s">
        <v>1285</v>
      </c>
      <c r="X622" s="8">
        <v>45230</v>
      </c>
      <c r="Y622" s="4"/>
      <c r="Z622" s="4"/>
      <c r="AA622" s="8">
        <v>45240</v>
      </c>
      <c r="AB622" s="8">
        <v>45240</v>
      </c>
      <c r="AC622" s="4"/>
      <c r="AD622" s="4"/>
    </row>
    <row r="623" spans="1:30" hidden="1">
      <c r="A623" s="4">
        <v>1023</v>
      </c>
      <c r="B623" s="8">
        <v>45227</v>
      </c>
      <c r="C623" s="4"/>
      <c r="D623" s="4" t="s">
        <v>42</v>
      </c>
      <c r="E623" s="8">
        <v>45245</v>
      </c>
      <c r="F623" s="4" t="s">
        <v>43</v>
      </c>
      <c r="G623" s="16" t="s">
        <v>44</v>
      </c>
      <c r="H623" s="4" t="s">
        <v>45</v>
      </c>
      <c r="I623" s="4" t="s">
        <v>472</v>
      </c>
      <c r="J623" s="10">
        <v>6.3469999999999999E-2</v>
      </c>
      <c r="K623" s="10">
        <v>6.6000000000000003E-2</v>
      </c>
      <c r="L623" s="10">
        <f t="shared" si="121"/>
        <v>0</v>
      </c>
      <c r="M623" s="10">
        <f t="shared" si="122"/>
        <v>0</v>
      </c>
      <c r="N623" s="10"/>
      <c r="O623" s="10"/>
      <c r="P623" s="10"/>
      <c r="Q623" s="10"/>
      <c r="R623" s="10"/>
      <c r="S623" s="10"/>
      <c r="T623" s="10"/>
      <c r="U623" s="10"/>
      <c r="V623" s="4" t="s">
        <v>846</v>
      </c>
      <c r="W623" s="4" t="s">
        <v>951</v>
      </c>
      <c r="X623" s="8">
        <v>45227</v>
      </c>
      <c r="Y623" s="4"/>
      <c r="Z623" s="4"/>
      <c r="AA623" s="8"/>
      <c r="AB623" s="8"/>
      <c r="AC623" s="4"/>
      <c r="AD623" s="4"/>
    </row>
    <row r="624" spans="1:30" hidden="1">
      <c r="A624" s="4">
        <v>1023</v>
      </c>
      <c r="B624" s="8">
        <v>45227</v>
      </c>
      <c r="C624" s="4"/>
      <c r="D624" s="4" t="s">
        <v>42</v>
      </c>
      <c r="E624" s="8">
        <v>45245</v>
      </c>
      <c r="F624" s="4" t="s">
        <v>43</v>
      </c>
      <c r="G624" s="16" t="s">
        <v>44</v>
      </c>
      <c r="H624" s="4" t="s">
        <v>45</v>
      </c>
      <c r="I624" s="4" t="s">
        <v>473</v>
      </c>
      <c r="J624" s="10">
        <v>0.12348000000000001</v>
      </c>
      <c r="K624" s="10">
        <v>0.154</v>
      </c>
      <c r="L624" s="10">
        <f t="shared" ref="L624" si="123">M624+U624</f>
        <v>0</v>
      </c>
      <c r="M624" s="10">
        <f t="shared" ref="M624" si="124">SUM(N624:T624)</f>
        <v>0</v>
      </c>
      <c r="N624" s="10"/>
      <c r="O624" s="10"/>
      <c r="P624" s="10"/>
      <c r="Q624" s="10"/>
      <c r="R624" s="10"/>
      <c r="S624" s="10"/>
      <c r="T624" s="10"/>
      <c r="U624" s="10"/>
      <c r="V624" s="4" t="s">
        <v>846</v>
      </c>
      <c r="W624" s="4"/>
      <c r="X624" s="8"/>
      <c r="Y624" s="4"/>
      <c r="Z624" s="4"/>
      <c r="AA624" s="8">
        <v>45234</v>
      </c>
      <c r="AB624" s="8">
        <v>45234</v>
      </c>
      <c r="AC624" s="4"/>
      <c r="AD624" s="4"/>
    </row>
    <row r="625" spans="1:30" hidden="1">
      <c r="A625" s="4">
        <v>1023</v>
      </c>
      <c r="B625" s="8">
        <v>45227</v>
      </c>
      <c r="C625" s="4"/>
      <c r="D625" s="4" t="s">
        <v>42</v>
      </c>
      <c r="E625" s="8">
        <v>45245</v>
      </c>
      <c r="F625" s="4" t="s">
        <v>43</v>
      </c>
      <c r="G625" s="16" t="s">
        <v>51</v>
      </c>
      <c r="H625" s="4" t="s">
        <v>52</v>
      </c>
      <c r="I625" s="4" t="s">
        <v>473</v>
      </c>
      <c r="J625" s="10">
        <v>1.8360000000000001</v>
      </c>
      <c r="K625" s="10">
        <v>1.8360000000000001</v>
      </c>
      <c r="L625" s="10">
        <f t="shared" si="121"/>
        <v>0</v>
      </c>
      <c r="M625" s="10">
        <f t="shared" si="122"/>
        <v>0</v>
      </c>
      <c r="N625" s="10"/>
      <c r="O625" s="10"/>
      <c r="P625" s="10"/>
      <c r="Q625" s="10"/>
      <c r="R625" s="10"/>
      <c r="S625" s="10"/>
      <c r="T625" s="10"/>
      <c r="U625" s="10"/>
      <c r="V625" s="4" t="s">
        <v>846</v>
      </c>
      <c r="W625" s="4" t="s">
        <v>521</v>
      </c>
      <c r="X625" s="8"/>
      <c r="Y625" s="4"/>
      <c r="Z625" s="4"/>
      <c r="AA625" s="8">
        <v>45255</v>
      </c>
      <c r="AB625" s="8">
        <v>45255</v>
      </c>
      <c r="AC625" s="4"/>
      <c r="AD625" s="4"/>
    </row>
    <row r="626" spans="1:30" hidden="1">
      <c r="A626" s="4">
        <v>1025</v>
      </c>
      <c r="B626" s="8">
        <v>45227</v>
      </c>
      <c r="C626" s="4"/>
      <c r="D626" s="4" t="s">
        <v>42</v>
      </c>
      <c r="E626" s="8">
        <v>45245</v>
      </c>
      <c r="F626" s="4" t="s">
        <v>43</v>
      </c>
      <c r="G626" s="40" t="s">
        <v>20</v>
      </c>
      <c r="H626" s="4" t="s">
        <v>45</v>
      </c>
      <c r="I626" s="4" t="s">
        <v>518</v>
      </c>
      <c r="J626" s="10">
        <f>2.05437-0.676</f>
        <v>1.3783699999999999</v>
      </c>
      <c r="K626" s="10"/>
      <c r="L626" s="10">
        <f t="shared" ref="L626:L639" si="125">M626+U626</f>
        <v>1.3783699999999999</v>
      </c>
      <c r="M626" s="10">
        <f t="shared" ref="M626:M639" si="126">SUM(N626:T626)</f>
        <v>1.3783699999999999</v>
      </c>
      <c r="N626" s="10"/>
      <c r="O626" s="10"/>
      <c r="P626" s="10">
        <f>2.05437-0.676</f>
        <v>1.3783699999999999</v>
      </c>
      <c r="Q626" s="10"/>
      <c r="R626" s="10"/>
      <c r="S626" s="10"/>
      <c r="T626" s="10"/>
      <c r="U626" s="10"/>
      <c r="V626" s="4" t="s">
        <v>415</v>
      </c>
      <c r="W626" s="4" t="s">
        <v>1067</v>
      </c>
      <c r="X626" s="8">
        <v>45233</v>
      </c>
      <c r="Y626" s="4"/>
      <c r="Z626" s="4"/>
      <c r="AA626" s="8"/>
      <c r="AB626" s="8"/>
      <c r="AC626" s="4"/>
      <c r="AD626" s="4"/>
    </row>
    <row r="627" spans="1:30" hidden="1">
      <c r="A627" s="4">
        <v>1025</v>
      </c>
      <c r="B627" s="8">
        <v>45227</v>
      </c>
      <c r="C627" s="4"/>
      <c r="D627" s="4" t="s">
        <v>42</v>
      </c>
      <c r="E627" s="8">
        <v>45245</v>
      </c>
      <c r="F627" s="4" t="s">
        <v>43</v>
      </c>
      <c r="G627" s="15" t="s">
        <v>19</v>
      </c>
      <c r="H627" s="4" t="s">
        <v>45</v>
      </c>
      <c r="I627" s="4" t="s">
        <v>56</v>
      </c>
      <c r="J627" s="10">
        <v>0.94960500000000003</v>
      </c>
      <c r="K627" s="10"/>
      <c r="L627" s="10">
        <f t="shared" si="125"/>
        <v>0.94960500000000003</v>
      </c>
      <c r="M627" s="10">
        <f t="shared" si="126"/>
        <v>0.94960500000000003</v>
      </c>
      <c r="N627" s="10"/>
      <c r="O627" s="10"/>
      <c r="P627" s="10">
        <v>0.94960500000000003</v>
      </c>
      <c r="Q627" s="10"/>
      <c r="R627" s="10"/>
      <c r="S627" s="10"/>
      <c r="T627" s="10"/>
      <c r="U627" s="10"/>
      <c r="V627" s="4" t="s">
        <v>415</v>
      </c>
      <c r="W627" s="4" t="s">
        <v>1067</v>
      </c>
      <c r="X627" s="8"/>
      <c r="Y627" s="4"/>
      <c r="Z627" s="4"/>
      <c r="AA627" s="8"/>
      <c r="AB627" s="8"/>
      <c r="AC627" s="4"/>
      <c r="AD627" s="4"/>
    </row>
    <row r="628" spans="1:30" hidden="1">
      <c r="A628" s="4">
        <v>1025</v>
      </c>
      <c r="B628" s="8">
        <v>45227</v>
      </c>
      <c r="C628" s="4"/>
      <c r="D628" s="4" t="s">
        <v>42</v>
      </c>
      <c r="E628" s="8">
        <v>45245</v>
      </c>
      <c r="F628" s="4" t="s">
        <v>43</v>
      </c>
      <c r="G628" s="15" t="s">
        <v>19</v>
      </c>
      <c r="H628" s="4" t="s">
        <v>45</v>
      </c>
      <c r="I628" s="4" t="s">
        <v>49</v>
      </c>
      <c r="J628" s="10">
        <v>0.20019999999999999</v>
      </c>
      <c r="K628" s="10"/>
      <c r="L628" s="10">
        <f t="shared" si="125"/>
        <v>0.20019999999999999</v>
      </c>
      <c r="M628" s="10">
        <f t="shared" si="126"/>
        <v>0.20019999999999999</v>
      </c>
      <c r="N628" s="10"/>
      <c r="O628" s="10"/>
      <c r="P628" s="10">
        <v>0.20019999999999999</v>
      </c>
      <c r="Q628" s="10"/>
      <c r="R628" s="10"/>
      <c r="S628" s="10"/>
      <c r="T628" s="10"/>
      <c r="U628" s="10"/>
      <c r="V628" s="4" t="s">
        <v>415</v>
      </c>
      <c r="W628" s="4" t="s">
        <v>1067</v>
      </c>
      <c r="X628" s="8"/>
      <c r="Y628" s="4"/>
      <c r="Z628" s="4"/>
      <c r="AA628" s="8"/>
      <c r="AB628" s="8"/>
      <c r="AC628" s="4"/>
      <c r="AD628" s="4"/>
    </row>
    <row r="629" spans="1:30" hidden="1">
      <c r="A629" s="4">
        <v>1025</v>
      </c>
      <c r="B629" s="8">
        <v>45227</v>
      </c>
      <c r="C629" s="4"/>
      <c r="D629" s="4" t="s">
        <v>42</v>
      </c>
      <c r="E629" s="8">
        <v>45245</v>
      </c>
      <c r="F629" s="4" t="s">
        <v>43</v>
      </c>
      <c r="G629" s="15" t="s">
        <v>19</v>
      </c>
      <c r="H629" s="4" t="s">
        <v>45</v>
      </c>
      <c r="I629" s="4" t="s">
        <v>409</v>
      </c>
      <c r="J629" s="10">
        <v>0.50268000000000002</v>
      </c>
      <c r="K629" s="10"/>
      <c r="L629" s="10">
        <f t="shared" si="125"/>
        <v>0.50268000000000002</v>
      </c>
      <c r="M629" s="10">
        <f t="shared" si="126"/>
        <v>0</v>
      </c>
      <c r="N629" s="10"/>
      <c r="O629" s="10"/>
      <c r="P629" s="10"/>
      <c r="Q629" s="10"/>
      <c r="R629" s="10"/>
      <c r="S629" s="10"/>
      <c r="T629" s="10"/>
      <c r="U629" s="10">
        <v>0.50268000000000002</v>
      </c>
      <c r="V629" s="4" t="s">
        <v>415</v>
      </c>
      <c r="W629" s="4" t="s">
        <v>1067</v>
      </c>
      <c r="X629" s="8"/>
      <c r="Y629" s="4"/>
      <c r="Z629" s="4"/>
      <c r="AA629" s="8"/>
      <c r="AB629" s="8"/>
      <c r="AC629" s="4"/>
      <c r="AD629" s="4"/>
    </row>
    <row r="630" spans="1:30" hidden="1">
      <c r="A630" s="4">
        <v>1025</v>
      </c>
      <c r="B630" s="8">
        <v>45227</v>
      </c>
      <c r="C630" s="4"/>
      <c r="D630" s="4" t="s">
        <v>42</v>
      </c>
      <c r="E630" s="8">
        <v>45245</v>
      </c>
      <c r="F630" s="4" t="s">
        <v>43</v>
      </c>
      <c r="G630" s="15" t="s">
        <v>19</v>
      </c>
      <c r="H630" s="4" t="s">
        <v>45</v>
      </c>
      <c r="I630" s="4" t="s">
        <v>472</v>
      </c>
      <c r="J630" s="10">
        <v>0.8985599999999998</v>
      </c>
      <c r="K630" s="10"/>
      <c r="L630" s="10">
        <f t="shared" si="125"/>
        <v>0.8985599999999998</v>
      </c>
      <c r="M630" s="10">
        <f t="shared" si="126"/>
        <v>0.8985599999999998</v>
      </c>
      <c r="N630" s="10"/>
      <c r="O630" s="10"/>
      <c r="P630" s="10">
        <v>0.8985599999999998</v>
      </c>
      <c r="Q630" s="10"/>
      <c r="R630" s="10"/>
      <c r="S630" s="10"/>
      <c r="T630" s="10"/>
      <c r="U630" s="10"/>
      <c r="V630" s="4" t="s">
        <v>415</v>
      </c>
      <c r="W630" s="4" t="s">
        <v>1067</v>
      </c>
      <c r="X630" s="8">
        <v>45227</v>
      </c>
      <c r="Y630" s="4"/>
      <c r="Z630" s="4"/>
      <c r="AA630" s="8"/>
      <c r="AB630" s="8"/>
      <c r="AC630" s="4"/>
      <c r="AD630" s="4"/>
    </row>
    <row r="631" spans="1:30" hidden="1">
      <c r="A631" s="4">
        <v>1025</v>
      </c>
      <c r="B631" s="8">
        <v>45227</v>
      </c>
      <c r="C631" s="4"/>
      <c r="D631" s="4" t="s">
        <v>42</v>
      </c>
      <c r="E631" s="8">
        <v>45245</v>
      </c>
      <c r="F631" s="4" t="s">
        <v>43</v>
      </c>
      <c r="G631" s="15" t="s">
        <v>19</v>
      </c>
      <c r="H631" s="4" t="s">
        <v>45</v>
      </c>
      <c r="I631" s="4" t="s">
        <v>473</v>
      </c>
      <c r="J631" s="10">
        <v>6.1649999999999996E-2</v>
      </c>
      <c r="K631" s="10"/>
      <c r="L631" s="10">
        <f t="shared" si="125"/>
        <v>6.1649999999999996E-2</v>
      </c>
      <c r="M631" s="10">
        <f t="shared" si="126"/>
        <v>6.1649999999999996E-2</v>
      </c>
      <c r="N631" s="10"/>
      <c r="O631" s="10"/>
      <c r="P631" s="10">
        <v>6.1649999999999996E-2</v>
      </c>
      <c r="Q631" s="10"/>
      <c r="R631" s="10"/>
      <c r="S631" s="10"/>
      <c r="T631" s="10"/>
      <c r="U631" s="10"/>
      <c r="V631" s="4" t="s">
        <v>415</v>
      </c>
      <c r="W631" s="4" t="s">
        <v>1067</v>
      </c>
      <c r="X631" s="8"/>
      <c r="Y631" s="4"/>
      <c r="Z631" s="4"/>
      <c r="AA631" s="8"/>
      <c r="AB631" s="8"/>
      <c r="AC631" s="4"/>
      <c r="AD631" s="4"/>
    </row>
    <row r="632" spans="1:30" hidden="1">
      <c r="A632" s="4">
        <v>1025</v>
      </c>
      <c r="B632" s="8">
        <v>45227</v>
      </c>
      <c r="C632" s="4"/>
      <c r="D632" s="4" t="s">
        <v>42</v>
      </c>
      <c r="E632" s="8">
        <v>45245</v>
      </c>
      <c r="F632" s="4" t="s">
        <v>43</v>
      </c>
      <c r="G632" s="15" t="s">
        <v>19</v>
      </c>
      <c r="H632" s="4" t="s">
        <v>45</v>
      </c>
      <c r="I632" s="4" t="s">
        <v>237</v>
      </c>
      <c r="J632" s="10">
        <v>1.8111499999999996</v>
      </c>
      <c r="K632" s="10"/>
      <c r="L632" s="10">
        <f t="shared" si="125"/>
        <v>1.8111499999999996</v>
      </c>
      <c r="M632" s="10">
        <f t="shared" si="126"/>
        <v>0</v>
      </c>
      <c r="N632" s="10"/>
      <c r="O632" s="10"/>
      <c r="P632" s="10"/>
      <c r="Q632" s="10"/>
      <c r="R632" s="10"/>
      <c r="S632" s="10"/>
      <c r="T632" s="10"/>
      <c r="U632" s="10">
        <v>1.8111499999999996</v>
      </c>
      <c r="V632" s="4" t="s">
        <v>415</v>
      </c>
      <c r="W632" s="4" t="s">
        <v>1067</v>
      </c>
      <c r="X632" s="8"/>
      <c r="Y632" s="4"/>
      <c r="Z632" s="4"/>
      <c r="AA632" s="8"/>
      <c r="AB632" s="8"/>
      <c r="AC632" s="4"/>
      <c r="AD632" s="4"/>
    </row>
    <row r="633" spans="1:30" hidden="1">
      <c r="A633" s="4">
        <v>1025</v>
      </c>
      <c r="B633" s="8">
        <v>45227</v>
      </c>
      <c r="C633" s="4"/>
      <c r="D633" s="4" t="s">
        <v>42</v>
      </c>
      <c r="E633" s="8">
        <v>45245</v>
      </c>
      <c r="F633" s="4" t="s">
        <v>43</v>
      </c>
      <c r="G633" s="15" t="s">
        <v>19</v>
      </c>
      <c r="H633" s="4" t="s">
        <v>45</v>
      </c>
      <c r="I633" s="4" t="s">
        <v>235</v>
      </c>
      <c r="J633" s="10">
        <v>0.93952000000000002</v>
      </c>
      <c r="K633" s="10"/>
      <c r="L633" s="10">
        <f t="shared" si="125"/>
        <v>0.93952000000000002</v>
      </c>
      <c r="M633" s="10">
        <f t="shared" si="126"/>
        <v>0</v>
      </c>
      <c r="N633" s="10"/>
      <c r="O633" s="10"/>
      <c r="P633" s="10"/>
      <c r="Q633" s="10"/>
      <c r="R633" s="10"/>
      <c r="S633" s="10"/>
      <c r="T633" s="10"/>
      <c r="U633" s="10">
        <v>0.93952000000000002</v>
      </c>
      <c r="V633" s="4" t="s">
        <v>415</v>
      </c>
      <c r="W633" s="4" t="s">
        <v>1067</v>
      </c>
      <c r="X633" s="8"/>
      <c r="Y633" s="4"/>
      <c r="Z633" s="4"/>
      <c r="AA633" s="8"/>
      <c r="AB633" s="8"/>
      <c r="AC633" s="4"/>
      <c r="AD633" s="4"/>
    </row>
    <row r="634" spans="1:30" hidden="1">
      <c r="A634" s="4">
        <v>1025</v>
      </c>
      <c r="B634" s="8">
        <v>45227</v>
      </c>
      <c r="C634" s="4"/>
      <c r="D634" s="4" t="s">
        <v>42</v>
      </c>
      <c r="E634" s="8">
        <v>45245</v>
      </c>
      <c r="F634" s="4" t="s">
        <v>43</v>
      </c>
      <c r="G634" s="15" t="s">
        <v>19</v>
      </c>
      <c r="H634" s="4" t="s">
        <v>45</v>
      </c>
      <c r="I634" s="4" t="s">
        <v>246</v>
      </c>
      <c r="J634" s="10">
        <v>1.3324799999999999</v>
      </c>
      <c r="K634" s="10"/>
      <c r="L634" s="10">
        <f t="shared" si="125"/>
        <v>1.3324799999999999</v>
      </c>
      <c r="M634" s="10">
        <f t="shared" si="126"/>
        <v>0</v>
      </c>
      <c r="N634" s="10"/>
      <c r="O634" s="10"/>
      <c r="P634" s="10"/>
      <c r="Q634" s="10"/>
      <c r="R634" s="10"/>
      <c r="S634" s="10"/>
      <c r="T634" s="10"/>
      <c r="U634" s="10">
        <v>1.3324799999999999</v>
      </c>
      <c r="V634" s="4" t="s">
        <v>415</v>
      </c>
      <c r="W634" s="4" t="s">
        <v>1067</v>
      </c>
      <c r="X634" s="8"/>
      <c r="Y634" s="4"/>
      <c r="Z634" s="4"/>
      <c r="AA634" s="8"/>
      <c r="AB634" s="8"/>
      <c r="AC634" s="4"/>
      <c r="AD634" s="4"/>
    </row>
    <row r="635" spans="1:30" hidden="1">
      <c r="A635" s="4">
        <v>1025</v>
      </c>
      <c r="B635" s="8">
        <v>45227</v>
      </c>
      <c r="C635" s="4"/>
      <c r="D635" s="4" t="s">
        <v>42</v>
      </c>
      <c r="E635" s="8">
        <v>45245</v>
      </c>
      <c r="F635" s="4" t="s">
        <v>43</v>
      </c>
      <c r="G635" s="15" t="s">
        <v>19</v>
      </c>
      <c r="H635" s="4" t="s">
        <v>45</v>
      </c>
      <c r="I635" s="4" t="s">
        <v>100</v>
      </c>
      <c r="J635" s="10">
        <v>2.3904000000000001</v>
      </c>
      <c r="K635" s="10"/>
      <c r="L635" s="10">
        <f t="shared" si="125"/>
        <v>2.3904000000000001</v>
      </c>
      <c r="M635" s="10">
        <f t="shared" si="126"/>
        <v>0</v>
      </c>
      <c r="N635" s="10"/>
      <c r="O635" s="10"/>
      <c r="P635" s="10"/>
      <c r="Q635" s="10"/>
      <c r="R635" s="10"/>
      <c r="S635" s="10"/>
      <c r="T635" s="10"/>
      <c r="U635" s="10">
        <v>2.3904000000000001</v>
      </c>
      <c r="V635" s="4" t="s">
        <v>415</v>
      </c>
      <c r="W635" s="4" t="s">
        <v>1067</v>
      </c>
      <c r="X635" s="8"/>
      <c r="Y635" s="4"/>
      <c r="Z635" s="4"/>
      <c r="AA635" s="8"/>
      <c r="AB635" s="8"/>
      <c r="AC635" s="4"/>
      <c r="AD635" s="4"/>
    </row>
    <row r="636" spans="1:30" hidden="1">
      <c r="A636" s="4">
        <v>1025</v>
      </c>
      <c r="B636" s="8">
        <v>45227</v>
      </c>
      <c r="C636" s="4"/>
      <c r="D636" s="4" t="s">
        <v>42</v>
      </c>
      <c r="E636" s="8">
        <v>45245</v>
      </c>
      <c r="F636" s="4" t="s">
        <v>43</v>
      </c>
      <c r="G636" s="15" t="s">
        <v>19</v>
      </c>
      <c r="H636" s="4" t="s">
        <v>45</v>
      </c>
      <c r="I636" s="4" t="s">
        <v>96</v>
      </c>
      <c r="J636" s="10">
        <v>0.88412000000000002</v>
      </c>
      <c r="K636" s="10"/>
      <c r="L636" s="10">
        <f t="shared" si="125"/>
        <v>0.88412000000000002</v>
      </c>
      <c r="M636" s="10">
        <f t="shared" si="126"/>
        <v>0</v>
      </c>
      <c r="N636" s="10"/>
      <c r="O636" s="10"/>
      <c r="P636" s="10"/>
      <c r="Q636" s="10"/>
      <c r="R636" s="10"/>
      <c r="S636" s="10"/>
      <c r="T636" s="10"/>
      <c r="U636" s="10">
        <v>0.88412000000000002</v>
      </c>
      <c r="V636" s="4" t="s">
        <v>415</v>
      </c>
      <c r="W636" s="4" t="s">
        <v>1067</v>
      </c>
      <c r="X636" s="8"/>
      <c r="Y636" s="4"/>
      <c r="Z636" s="4"/>
      <c r="AA636" s="8"/>
      <c r="AB636" s="8"/>
      <c r="AC636" s="4"/>
      <c r="AD636" s="4"/>
    </row>
    <row r="637" spans="1:30" hidden="1">
      <c r="A637" s="4">
        <v>1025</v>
      </c>
      <c r="B637" s="8">
        <v>45227</v>
      </c>
      <c r="C637" s="4"/>
      <c r="D637" s="4" t="s">
        <v>42</v>
      </c>
      <c r="E637" s="8">
        <v>45245</v>
      </c>
      <c r="F637" s="4" t="s">
        <v>43</v>
      </c>
      <c r="G637" s="15" t="s">
        <v>21</v>
      </c>
      <c r="H637" s="4" t="s">
        <v>52</v>
      </c>
      <c r="I637" s="4" t="s">
        <v>472</v>
      </c>
      <c r="J637" s="10">
        <v>0.11520000000000001</v>
      </c>
      <c r="K637" s="10"/>
      <c r="L637" s="10">
        <f t="shared" si="125"/>
        <v>0.11520000000000001</v>
      </c>
      <c r="M637" s="10">
        <f t="shared" si="126"/>
        <v>0</v>
      </c>
      <c r="N637" s="10"/>
      <c r="O637" s="10"/>
      <c r="P637" s="10"/>
      <c r="Q637" s="10"/>
      <c r="R637" s="10"/>
      <c r="S637" s="10"/>
      <c r="T637" s="10"/>
      <c r="U637" s="10">
        <v>0.11520000000000001</v>
      </c>
      <c r="V637" s="4" t="s">
        <v>415</v>
      </c>
      <c r="W637" s="4" t="s">
        <v>1067</v>
      </c>
      <c r="X637" s="8"/>
      <c r="Y637" s="4"/>
      <c r="Z637" s="4"/>
      <c r="AA637" s="8"/>
      <c r="AB637" s="8"/>
      <c r="AC637" s="4"/>
      <c r="AD637" s="4"/>
    </row>
    <row r="638" spans="1:30" hidden="1">
      <c r="A638" s="4">
        <v>1025</v>
      </c>
      <c r="B638" s="8">
        <v>45227</v>
      </c>
      <c r="C638" s="4"/>
      <c r="D638" s="4" t="s">
        <v>42</v>
      </c>
      <c r="E638" s="8">
        <v>45245</v>
      </c>
      <c r="F638" s="4" t="s">
        <v>43</v>
      </c>
      <c r="G638" s="15" t="s">
        <v>21</v>
      </c>
      <c r="H638" s="4" t="s">
        <v>52</v>
      </c>
      <c r="I638" s="4" t="s">
        <v>237</v>
      </c>
      <c r="J638" s="10">
        <v>0.35952000000000001</v>
      </c>
      <c r="K638" s="10"/>
      <c r="L638" s="10">
        <f t="shared" si="125"/>
        <v>0.35952000000000001</v>
      </c>
      <c r="M638" s="10">
        <f t="shared" si="126"/>
        <v>0</v>
      </c>
      <c r="N638" s="10"/>
      <c r="O638" s="10"/>
      <c r="P638" s="10"/>
      <c r="Q638" s="10"/>
      <c r="R638" s="10"/>
      <c r="S638" s="10"/>
      <c r="T638" s="10"/>
      <c r="U638" s="10">
        <v>0.35952000000000001</v>
      </c>
      <c r="V638" s="4" t="s">
        <v>415</v>
      </c>
      <c r="W638" s="4" t="s">
        <v>1067</v>
      </c>
      <c r="X638" s="8"/>
      <c r="Y638" s="4"/>
      <c r="Z638" s="4"/>
      <c r="AA638" s="8"/>
      <c r="AB638" s="8"/>
      <c r="AC638" s="4"/>
      <c r="AD638" s="4"/>
    </row>
    <row r="639" spans="1:30" hidden="1">
      <c r="A639" s="4">
        <v>1025</v>
      </c>
      <c r="B639" s="8">
        <v>45227</v>
      </c>
      <c r="C639" s="4"/>
      <c r="D639" s="4" t="s">
        <v>42</v>
      </c>
      <c r="E639" s="8">
        <v>45245</v>
      </c>
      <c r="F639" s="4" t="s">
        <v>43</v>
      </c>
      <c r="G639" s="15" t="s">
        <v>21</v>
      </c>
      <c r="H639" s="4" t="s">
        <v>52</v>
      </c>
      <c r="I639" s="4" t="s">
        <v>246</v>
      </c>
      <c r="J639" s="10">
        <v>0.24984000000000001</v>
      </c>
      <c r="K639" s="10"/>
      <c r="L639" s="10">
        <f t="shared" si="125"/>
        <v>0.24984000000000001</v>
      </c>
      <c r="M639" s="10">
        <f t="shared" si="126"/>
        <v>0</v>
      </c>
      <c r="N639" s="10"/>
      <c r="O639" s="10"/>
      <c r="P639" s="10"/>
      <c r="Q639" s="10"/>
      <c r="R639" s="10"/>
      <c r="S639" s="10"/>
      <c r="T639" s="10"/>
      <c r="U639" s="10">
        <v>0.24984000000000001</v>
      </c>
      <c r="V639" s="4" t="s">
        <v>415</v>
      </c>
      <c r="W639" s="4" t="s">
        <v>1067</v>
      </c>
      <c r="X639" s="8"/>
      <c r="Y639" s="4"/>
      <c r="Z639" s="4"/>
      <c r="AA639" s="8"/>
      <c r="AB639" s="8"/>
      <c r="AC639" s="4"/>
      <c r="AD639" s="4"/>
    </row>
    <row r="640" spans="1:30" hidden="1">
      <c r="A640" s="4">
        <v>1027</v>
      </c>
      <c r="B640" s="8">
        <v>45227</v>
      </c>
      <c r="C640" s="4"/>
      <c r="D640" s="4" t="s">
        <v>42</v>
      </c>
      <c r="E640" s="8">
        <v>45245</v>
      </c>
      <c r="F640" s="4" t="s">
        <v>43</v>
      </c>
      <c r="G640" s="16" t="s">
        <v>51</v>
      </c>
      <c r="H640" s="4" t="s">
        <v>52</v>
      </c>
      <c r="I640" s="4" t="s">
        <v>671</v>
      </c>
      <c r="J640" s="10">
        <v>3.5329999999999999</v>
      </c>
      <c r="K640" s="10">
        <v>3.65</v>
      </c>
      <c r="L640" s="10">
        <f t="shared" ref="L640:L641" si="127">M640+U640</f>
        <v>0</v>
      </c>
      <c r="M640" s="10">
        <f t="shared" ref="M640:M641" si="128">SUM(N640:T640)</f>
        <v>0</v>
      </c>
      <c r="N640" s="10"/>
      <c r="O640" s="10"/>
      <c r="P640" s="10">
        <v>0</v>
      </c>
      <c r="Q640" s="10"/>
      <c r="R640" s="10"/>
      <c r="S640" s="10"/>
      <c r="T640" s="10"/>
      <c r="U640" s="10"/>
      <c r="V640" s="4" t="s">
        <v>826</v>
      </c>
      <c r="W640" s="4"/>
      <c r="X640" s="8">
        <v>45227</v>
      </c>
      <c r="Y640" s="4"/>
      <c r="Z640" s="4"/>
      <c r="AA640" s="8">
        <v>45236</v>
      </c>
      <c r="AB640" s="8">
        <v>45236</v>
      </c>
      <c r="AC640" s="4"/>
      <c r="AD640" s="4"/>
    </row>
    <row r="641" spans="1:30" hidden="1">
      <c r="A641" s="4">
        <v>1027</v>
      </c>
      <c r="B641" s="8">
        <v>45227</v>
      </c>
      <c r="C641" s="4"/>
      <c r="D641" s="4" t="s">
        <v>42</v>
      </c>
      <c r="E641" s="8">
        <v>45245</v>
      </c>
      <c r="F641" s="4" t="s">
        <v>43</v>
      </c>
      <c r="G641" s="16" t="s">
        <v>51</v>
      </c>
      <c r="H641" s="4" t="s">
        <v>52</v>
      </c>
      <c r="I641" s="4" t="s">
        <v>470</v>
      </c>
      <c r="J641" s="10">
        <v>0.18584999999999999</v>
      </c>
      <c r="K641" s="10">
        <v>0.19600000000000001</v>
      </c>
      <c r="L641" s="10">
        <f t="shared" si="127"/>
        <v>0</v>
      </c>
      <c r="M641" s="10">
        <f t="shared" si="128"/>
        <v>0</v>
      </c>
      <c r="N641" s="10"/>
      <c r="O641" s="10"/>
      <c r="P641" s="10">
        <v>0</v>
      </c>
      <c r="Q641" s="10"/>
      <c r="R641" s="10"/>
      <c r="S641" s="10"/>
      <c r="T641" s="10"/>
      <c r="U641" s="10"/>
      <c r="V641" s="4" t="s">
        <v>826</v>
      </c>
      <c r="W641" s="4" t="s">
        <v>521</v>
      </c>
      <c r="X641" s="8"/>
      <c r="Y641" s="4"/>
      <c r="Z641" s="4"/>
      <c r="AA641" s="8"/>
      <c r="AB641" s="8"/>
      <c r="AC641" s="4"/>
      <c r="AD641" s="4"/>
    </row>
    <row r="642" spans="1:30" hidden="1">
      <c r="A642" s="4">
        <v>1028</v>
      </c>
      <c r="B642" s="8">
        <v>45227</v>
      </c>
      <c r="C642" s="4"/>
      <c r="D642" s="4" t="s">
        <v>42</v>
      </c>
      <c r="E642" s="8">
        <v>45245</v>
      </c>
      <c r="F642" s="4" t="s">
        <v>43</v>
      </c>
      <c r="G642" s="16" t="s">
        <v>44</v>
      </c>
      <c r="H642" s="4" t="s">
        <v>45</v>
      </c>
      <c r="I642" s="4" t="s">
        <v>54</v>
      </c>
      <c r="J642" s="10">
        <v>20.668319999999994</v>
      </c>
      <c r="K642" s="10">
        <f>17.316+3.351</f>
        <v>20.666999999999998</v>
      </c>
      <c r="L642" s="10">
        <f t="shared" ref="L642:L663" si="129">M642+U642</f>
        <v>0</v>
      </c>
      <c r="M642" s="10">
        <f t="shared" ref="M642:M663" si="130">SUM(N642:T642)</f>
        <v>0</v>
      </c>
      <c r="N642" s="10"/>
      <c r="O642" s="10"/>
      <c r="P642" s="10">
        <v>0</v>
      </c>
      <c r="Q642" s="10"/>
      <c r="R642" s="10"/>
      <c r="S642" s="10"/>
      <c r="T642" s="10"/>
      <c r="U642" s="10"/>
      <c r="V642" s="4" t="s">
        <v>466</v>
      </c>
      <c r="W642" s="4"/>
      <c r="X642" s="8"/>
      <c r="Y642" s="4"/>
      <c r="Z642" s="4"/>
      <c r="AA642" s="8">
        <v>45240</v>
      </c>
      <c r="AB642" s="8">
        <v>45240</v>
      </c>
      <c r="AC642" s="4"/>
      <c r="AD642" s="4"/>
    </row>
    <row r="643" spans="1:30" hidden="1">
      <c r="A643" s="4">
        <v>1028</v>
      </c>
      <c r="B643" s="8">
        <v>45227</v>
      </c>
      <c r="C643" s="4"/>
      <c r="D643" s="4" t="s">
        <v>42</v>
      </c>
      <c r="E643" s="8">
        <v>45245</v>
      </c>
      <c r="F643" s="4" t="s">
        <v>43</v>
      </c>
      <c r="G643" s="16" t="s">
        <v>44</v>
      </c>
      <c r="H643" s="4" t="s">
        <v>45</v>
      </c>
      <c r="I643" s="4" t="s">
        <v>405</v>
      </c>
      <c r="J643" s="10">
        <v>81.217500000000001</v>
      </c>
      <c r="K643" s="10">
        <f>23.776+28.173+18.016+8.558+2.795</f>
        <v>81.317999999999998</v>
      </c>
      <c r="L643" s="10">
        <f t="shared" si="129"/>
        <v>0</v>
      </c>
      <c r="M643" s="10">
        <f t="shared" si="130"/>
        <v>0</v>
      </c>
      <c r="N643" s="10"/>
      <c r="O643" s="10"/>
      <c r="P643" s="10">
        <v>0</v>
      </c>
      <c r="Q643" s="10"/>
      <c r="R643" s="10"/>
      <c r="S643" s="10"/>
      <c r="T643" s="10"/>
      <c r="U643" s="10"/>
      <c r="V643" s="4" t="s">
        <v>466</v>
      </c>
      <c r="W643" s="4"/>
      <c r="X643" s="8"/>
      <c r="Y643" s="4"/>
      <c r="Z643" s="4"/>
      <c r="AA643" s="8">
        <v>45240</v>
      </c>
      <c r="AB643" s="8">
        <v>45240</v>
      </c>
      <c r="AC643" s="4"/>
      <c r="AD643" s="4"/>
    </row>
    <row r="644" spans="1:30" hidden="1">
      <c r="A644" s="4">
        <v>1028</v>
      </c>
      <c r="B644" s="8">
        <v>45227</v>
      </c>
      <c r="C644" s="4"/>
      <c r="D644" s="4" t="s">
        <v>42</v>
      </c>
      <c r="E644" s="8">
        <v>45245</v>
      </c>
      <c r="F644" s="4" t="s">
        <v>43</v>
      </c>
      <c r="G644" s="16" t="s">
        <v>44</v>
      </c>
      <c r="H644" s="4" t="s">
        <v>45</v>
      </c>
      <c r="I644" s="4" t="s">
        <v>400</v>
      </c>
      <c r="J644" s="10">
        <v>26.196000000000005</v>
      </c>
      <c r="K644" s="10">
        <f>13.423+7.895+4.958</f>
        <v>26.275999999999996</v>
      </c>
      <c r="L644" s="10">
        <f t="shared" si="129"/>
        <v>0</v>
      </c>
      <c r="M644" s="10">
        <f t="shared" si="130"/>
        <v>0</v>
      </c>
      <c r="N644" s="10"/>
      <c r="O644" s="10"/>
      <c r="P644" s="10">
        <v>0</v>
      </c>
      <c r="Q644" s="10"/>
      <c r="R644" s="10"/>
      <c r="S644" s="10"/>
      <c r="T644" s="10"/>
      <c r="U644" s="10"/>
      <c r="V644" s="4" t="s">
        <v>466</v>
      </c>
      <c r="W644" s="4"/>
      <c r="X644" s="8"/>
      <c r="Y644" s="4"/>
      <c r="Z644" s="4"/>
      <c r="AA644" s="8">
        <v>45234</v>
      </c>
      <c r="AB644" s="8">
        <v>45240</v>
      </c>
      <c r="AC644" s="4"/>
      <c r="AD644" s="4"/>
    </row>
    <row r="645" spans="1:30" hidden="1">
      <c r="A645" s="4">
        <v>1028</v>
      </c>
      <c r="B645" s="8">
        <v>45227</v>
      </c>
      <c r="C645" s="4"/>
      <c r="D645" s="4" t="s">
        <v>42</v>
      </c>
      <c r="E645" s="8">
        <v>45245</v>
      </c>
      <c r="F645" s="4" t="s">
        <v>43</v>
      </c>
      <c r="G645" s="16" t="s">
        <v>44</v>
      </c>
      <c r="H645" s="4" t="s">
        <v>45</v>
      </c>
      <c r="I645" s="4" t="s">
        <v>587</v>
      </c>
      <c r="J645" s="10">
        <v>7.74</v>
      </c>
      <c r="K645" s="10">
        <v>7.74</v>
      </c>
      <c r="L645" s="10">
        <f t="shared" si="129"/>
        <v>0</v>
      </c>
      <c r="M645" s="10">
        <f t="shared" si="130"/>
        <v>0</v>
      </c>
      <c r="N645" s="10"/>
      <c r="O645" s="10">
        <v>0</v>
      </c>
      <c r="P645" s="10"/>
      <c r="Q645" s="10"/>
      <c r="R645" s="10"/>
      <c r="S645" s="10"/>
      <c r="T645" s="10"/>
      <c r="U645" s="10"/>
      <c r="V645" s="4" t="s">
        <v>466</v>
      </c>
      <c r="W645" s="4"/>
      <c r="X645" s="8"/>
      <c r="Y645" s="4"/>
      <c r="Z645" s="4"/>
      <c r="AA645" s="8"/>
      <c r="AB645" s="8"/>
      <c r="AC645" s="4"/>
      <c r="AD645" s="4"/>
    </row>
    <row r="646" spans="1:30" hidden="1">
      <c r="A646" s="4">
        <v>1028</v>
      </c>
      <c r="B646" s="8">
        <v>45227</v>
      </c>
      <c r="C646" s="4"/>
      <c r="D646" s="4" t="s">
        <v>42</v>
      </c>
      <c r="E646" s="8">
        <v>45245</v>
      </c>
      <c r="F646" s="4" t="s">
        <v>43</v>
      </c>
      <c r="G646" s="16" t="s">
        <v>44</v>
      </c>
      <c r="H646" s="4" t="s">
        <v>45</v>
      </c>
      <c r="I646" s="4" t="s">
        <v>50</v>
      </c>
      <c r="J646" s="10">
        <v>13.72176</v>
      </c>
      <c r="K646" s="10">
        <v>13.722</v>
      </c>
      <c r="L646" s="10">
        <f t="shared" si="129"/>
        <v>0</v>
      </c>
      <c r="M646" s="10">
        <f t="shared" si="130"/>
        <v>0</v>
      </c>
      <c r="N646" s="10"/>
      <c r="O646" s="10">
        <v>0</v>
      </c>
      <c r="P646" s="10"/>
      <c r="Q646" s="10"/>
      <c r="R646" s="10"/>
      <c r="S646" s="10"/>
      <c r="T646" s="10"/>
      <c r="U646" s="10"/>
      <c r="V646" s="4" t="s">
        <v>466</v>
      </c>
      <c r="W646" s="4"/>
      <c r="X646" s="8"/>
      <c r="Y646" s="4"/>
      <c r="Z646" s="4"/>
      <c r="AA646" s="8"/>
      <c r="AB646" s="8"/>
      <c r="AC646" s="4"/>
      <c r="AD646" s="4"/>
    </row>
    <row r="647" spans="1:30" hidden="1">
      <c r="A647" s="4">
        <v>1028</v>
      </c>
      <c r="B647" s="8">
        <v>45227</v>
      </c>
      <c r="C647" s="4"/>
      <c r="D647" s="4" t="s">
        <v>42</v>
      </c>
      <c r="E647" s="8">
        <v>45245</v>
      </c>
      <c r="F647" s="4" t="s">
        <v>43</v>
      </c>
      <c r="G647" s="16" t="s">
        <v>44</v>
      </c>
      <c r="H647" s="4" t="s">
        <v>45</v>
      </c>
      <c r="I647" s="4" t="s">
        <v>407</v>
      </c>
      <c r="J647" s="10">
        <v>6.1526399999999999</v>
      </c>
      <c r="K647" s="10">
        <v>6.1529999999999996</v>
      </c>
      <c r="L647" s="10">
        <f t="shared" si="129"/>
        <v>0</v>
      </c>
      <c r="M647" s="10">
        <f t="shared" si="130"/>
        <v>0</v>
      </c>
      <c r="N647" s="10"/>
      <c r="O647" s="10"/>
      <c r="P647" s="10">
        <v>0</v>
      </c>
      <c r="Q647" s="10"/>
      <c r="R647" s="10"/>
      <c r="S647" s="10"/>
      <c r="T647" s="10"/>
      <c r="U647" s="10"/>
      <c r="V647" s="4" t="s">
        <v>466</v>
      </c>
      <c r="W647" s="4"/>
      <c r="X647" s="8"/>
      <c r="Y647" s="4">
        <v>45247</v>
      </c>
      <c r="Z647" s="4"/>
      <c r="AA647" s="8"/>
      <c r="AB647" s="8"/>
      <c r="AC647" s="4"/>
      <c r="AD647" s="4"/>
    </row>
    <row r="648" spans="1:30" hidden="1">
      <c r="A648" s="4">
        <v>1028</v>
      </c>
      <c r="B648" s="8">
        <v>45227</v>
      </c>
      <c r="C648" s="4"/>
      <c r="D648" s="4" t="s">
        <v>42</v>
      </c>
      <c r="E648" s="8">
        <v>45245</v>
      </c>
      <c r="F648" s="4" t="s">
        <v>43</v>
      </c>
      <c r="G648" s="16" t="s">
        <v>44</v>
      </c>
      <c r="H648" s="4" t="s">
        <v>45</v>
      </c>
      <c r="I648" s="4" t="s">
        <v>47</v>
      </c>
      <c r="J648" s="10">
        <v>19.552104</v>
      </c>
      <c r="K648" s="10">
        <f>5.127+6.665+7.771</f>
        <v>19.562999999999999</v>
      </c>
      <c r="L648" s="10">
        <f t="shared" si="129"/>
        <v>0</v>
      </c>
      <c r="M648" s="10">
        <f t="shared" si="130"/>
        <v>0</v>
      </c>
      <c r="N648" s="10"/>
      <c r="O648" s="10"/>
      <c r="P648" s="10">
        <v>0</v>
      </c>
      <c r="Q648" s="10"/>
      <c r="R648" s="10"/>
      <c r="S648" s="10"/>
      <c r="T648" s="10"/>
      <c r="U648" s="10"/>
      <c r="V648" s="4" t="s">
        <v>466</v>
      </c>
      <c r="W648" s="4"/>
      <c r="X648" s="8">
        <v>45248</v>
      </c>
      <c r="Y648" s="4"/>
      <c r="Z648" s="4"/>
      <c r="AA648" s="8"/>
      <c r="AB648" s="8"/>
      <c r="AC648" s="4"/>
      <c r="AD648" s="4"/>
    </row>
    <row r="649" spans="1:30" hidden="1">
      <c r="A649" s="4">
        <v>1028</v>
      </c>
      <c r="B649" s="8">
        <v>45227</v>
      </c>
      <c r="C649" s="4"/>
      <c r="D649" s="4" t="s">
        <v>42</v>
      </c>
      <c r="E649" s="8">
        <v>45245</v>
      </c>
      <c r="F649" s="4" t="s">
        <v>43</v>
      </c>
      <c r="G649" s="16" t="s">
        <v>44</v>
      </c>
      <c r="H649" s="4" t="s">
        <v>45</v>
      </c>
      <c r="I649" s="4" t="s">
        <v>519</v>
      </c>
      <c r="J649" s="10">
        <v>0.55949199999999999</v>
      </c>
      <c r="K649" s="10">
        <v>0.55900000000000005</v>
      </c>
      <c r="L649" s="10">
        <f t="shared" si="129"/>
        <v>0</v>
      </c>
      <c r="M649" s="10">
        <f t="shared" si="130"/>
        <v>0</v>
      </c>
      <c r="N649" s="10"/>
      <c r="O649" s="10"/>
      <c r="P649" s="10">
        <v>0</v>
      </c>
      <c r="Q649" s="10"/>
      <c r="R649" s="10"/>
      <c r="S649" s="10"/>
      <c r="T649" s="10"/>
      <c r="U649" s="10"/>
      <c r="V649" s="4" t="s">
        <v>466</v>
      </c>
      <c r="W649" s="4"/>
      <c r="X649" s="8">
        <v>45233</v>
      </c>
      <c r="Y649" s="4"/>
      <c r="Z649" s="4"/>
      <c r="AA649" s="8">
        <v>45246</v>
      </c>
      <c r="AB649" s="8">
        <v>45246</v>
      </c>
      <c r="AC649" s="4"/>
      <c r="AD649" s="4"/>
    </row>
    <row r="650" spans="1:30" hidden="1">
      <c r="A650" s="4">
        <v>1028</v>
      </c>
      <c r="B650" s="8">
        <v>45227</v>
      </c>
      <c r="C650" s="4"/>
      <c r="D650" s="4" t="s">
        <v>42</v>
      </c>
      <c r="E650" s="8">
        <v>45245</v>
      </c>
      <c r="F650" s="4" t="s">
        <v>43</v>
      </c>
      <c r="G650" s="16" t="s">
        <v>44</v>
      </c>
      <c r="H650" s="4" t="s">
        <v>45</v>
      </c>
      <c r="I650" s="4" t="s">
        <v>517</v>
      </c>
      <c r="J650" s="10">
        <v>28.913754629629629</v>
      </c>
      <c r="K650" s="10">
        <f>11.394+3.275+10.03+4.216</f>
        <v>28.914999999999999</v>
      </c>
      <c r="L650" s="10">
        <f t="shared" si="129"/>
        <v>0</v>
      </c>
      <c r="M650" s="10">
        <f t="shared" si="130"/>
        <v>0</v>
      </c>
      <c r="N650" s="10"/>
      <c r="O650" s="10"/>
      <c r="P650" s="10">
        <v>0</v>
      </c>
      <c r="Q650" s="10"/>
      <c r="R650" s="10"/>
      <c r="S650" s="10"/>
      <c r="T650" s="10"/>
      <c r="U650" s="10"/>
      <c r="V650" s="4" t="s">
        <v>466</v>
      </c>
      <c r="W650" s="4"/>
      <c r="X650" s="8">
        <v>45230</v>
      </c>
      <c r="Y650" s="4"/>
      <c r="Z650" s="4"/>
      <c r="AA650" s="8"/>
      <c r="AB650" s="8"/>
      <c r="AC650" s="4"/>
      <c r="AD650" s="4"/>
    </row>
    <row r="651" spans="1:30" hidden="1">
      <c r="A651" s="4">
        <v>1028</v>
      </c>
      <c r="B651" s="8">
        <v>45227</v>
      </c>
      <c r="C651" s="4"/>
      <c r="D651" s="4"/>
      <c r="E651" s="8">
        <v>45245</v>
      </c>
      <c r="F651" s="4" t="s">
        <v>43</v>
      </c>
      <c r="G651" s="16" t="s">
        <v>44</v>
      </c>
      <c r="H651" s="4" t="s">
        <v>45</v>
      </c>
      <c r="I651" s="4" t="s">
        <v>472</v>
      </c>
      <c r="J651" s="10">
        <v>55.567983999999996</v>
      </c>
      <c r="K651" s="10">
        <f>40.077+9.354+6.136</f>
        <v>55.567</v>
      </c>
      <c r="L651" s="10">
        <f t="shared" si="129"/>
        <v>0</v>
      </c>
      <c r="M651" s="10">
        <f t="shared" si="130"/>
        <v>0</v>
      </c>
      <c r="N651" s="10"/>
      <c r="O651" s="10"/>
      <c r="P651" s="10">
        <v>0</v>
      </c>
      <c r="Q651" s="10"/>
      <c r="R651" s="10"/>
      <c r="S651" s="10"/>
      <c r="T651" s="10"/>
      <c r="U651" s="10"/>
      <c r="V651" s="4" t="s">
        <v>466</v>
      </c>
      <c r="W651" s="4" t="s">
        <v>37</v>
      </c>
      <c r="X651" s="8">
        <v>45227</v>
      </c>
      <c r="Y651" s="4"/>
      <c r="Z651" s="4"/>
      <c r="AA651" s="8">
        <v>45230</v>
      </c>
      <c r="AB651" s="8"/>
      <c r="AC651" s="4"/>
      <c r="AD651" s="4"/>
    </row>
    <row r="652" spans="1:30" hidden="1">
      <c r="A652" s="4">
        <v>1028</v>
      </c>
      <c r="B652" s="8">
        <v>45227</v>
      </c>
      <c r="C652" s="4"/>
      <c r="D652" s="4"/>
      <c r="E652" s="8">
        <v>45245</v>
      </c>
      <c r="F652" s="4" t="s">
        <v>43</v>
      </c>
      <c r="G652" s="16" t="s">
        <v>44</v>
      </c>
      <c r="H652" s="4" t="s">
        <v>45</v>
      </c>
      <c r="I652" s="4" t="s">
        <v>473</v>
      </c>
      <c r="J652" s="10">
        <v>31.526502000000001</v>
      </c>
      <c r="K652" s="10">
        <f>13.994+3.046+6.99+7.498</f>
        <v>31.528000000000002</v>
      </c>
      <c r="L652" s="10">
        <f t="shared" si="129"/>
        <v>0</v>
      </c>
      <c r="M652" s="10">
        <f t="shared" si="130"/>
        <v>0</v>
      </c>
      <c r="N652" s="10"/>
      <c r="O652" s="10"/>
      <c r="P652" s="10">
        <v>0</v>
      </c>
      <c r="Q652" s="10"/>
      <c r="R652" s="10"/>
      <c r="S652" s="10"/>
      <c r="T652" s="10"/>
      <c r="U652" s="10"/>
      <c r="V652" s="4" t="s">
        <v>466</v>
      </c>
      <c r="W652" s="4"/>
      <c r="X652" s="8">
        <v>45227</v>
      </c>
      <c r="Y652" s="4"/>
      <c r="Z652" s="4"/>
      <c r="AA652" s="8">
        <v>45230</v>
      </c>
      <c r="AB652" s="8"/>
      <c r="AC652" s="4"/>
      <c r="AD652" s="4"/>
    </row>
    <row r="653" spans="1:30" hidden="1">
      <c r="A653" s="4">
        <v>1028</v>
      </c>
      <c r="B653" s="8">
        <v>45227</v>
      </c>
      <c r="C653" s="4"/>
      <c r="D653" s="4" t="s">
        <v>42</v>
      </c>
      <c r="E653" s="8">
        <v>45245</v>
      </c>
      <c r="F653" s="4" t="s">
        <v>43</v>
      </c>
      <c r="G653" s="16" t="s">
        <v>44</v>
      </c>
      <c r="H653" s="4" t="s">
        <v>45</v>
      </c>
      <c r="I653" s="4" t="s">
        <v>237</v>
      </c>
      <c r="J653" s="10">
        <v>30.634050000000002</v>
      </c>
      <c r="K653" s="10">
        <f>11.254+15.93+3.475</f>
        <v>30.658999999999999</v>
      </c>
      <c r="L653" s="10">
        <f t="shared" si="129"/>
        <v>0</v>
      </c>
      <c r="M653" s="10">
        <f t="shared" si="130"/>
        <v>0</v>
      </c>
      <c r="N653" s="10"/>
      <c r="O653" s="10"/>
      <c r="P653" s="10">
        <v>0</v>
      </c>
      <c r="Q653" s="10"/>
      <c r="R653" s="10"/>
      <c r="S653" s="10"/>
      <c r="T653" s="10"/>
      <c r="U653" s="10"/>
      <c r="V653" s="4" t="s">
        <v>466</v>
      </c>
      <c r="W653" s="4"/>
      <c r="X653" s="8">
        <v>45250</v>
      </c>
      <c r="Y653" s="4"/>
      <c r="Z653" s="4"/>
      <c r="AA653" s="8"/>
      <c r="AB653" s="8"/>
      <c r="AC653" s="4"/>
      <c r="AD653" s="4"/>
    </row>
    <row r="654" spans="1:30" hidden="1">
      <c r="A654" s="4">
        <v>1028</v>
      </c>
      <c r="B654" s="8">
        <v>45227</v>
      </c>
      <c r="C654" s="4"/>
      <c r="D654" s="4" t="s">
        <v>42</v>
      </c>
      <c r="E654" s="8">
        <v>45245</v>
      </c>
      <c r="F654" s="4" t="s">
        <v>43</v>
      </c>
      <c r="G654" s="16" t="s">
        <v>44</v>
      </c>
      <c r="H654" s="4" t="s">
        <v>45</v>
      </c>
      <c r="I654" s="4" t="s">
        <v>235</v>
      </c>
      <c r="J654" s="10">
        <v>24.427840000000003</v>
      </c>
      <c r="K654" s="10">
        <f>21.559+0.703+2.168</f>
        <v>24.43</v>
      </c>
      <c r="L654" s="10">
        <f t="shared" si="129"/>
        <v>0</v>
      </c>
      <c r="M654" s="10">
        <f t="shared" si="130"/>
        <v>0</v>
      </c>
      <c r="N654" s="10"/>
      <c r="O654" s="10"/>
      <c r="P654" s="10">
        <v>0</v>
      </c>
      <c r="Q654" s="10"/>
      <c r="R654" s="10"/>
      <c r="S654" s="10"/>
      <c r="T654" s="10"/>
      <c r="U654" s="10"/>
      <c r="V654" s="4" t="s">
        <v>466</v>
      </c>
      <c r="W654" s="4"/>
      <c r="X654" s="8">
        <v>45250</v>
      </c>
      <c r="Y654" s="4"/>
      <c r="Z654" s="4"/>
      <c r="AA654" s="8">
        <v>45252</v>
      </c>
      <c r="AB654" s="8">
        <v>45255</v>
      </c>
      <c r="AC654" s="4"/>
      <c r="AD654" s="4"/>
    </row>
    <row r="655" spans="1:30" hidden="1">
      <c r="A655" s="4">
        <v>1028</v>
      </c>
      <c r="B655" s="8">
        <v>45227</v>
      </c>
      <c r="C655" s="4"/>
      <c r="D655" s="4" t="s">
        <v>42</v>
      </c>
      <c r="E655" s="8">
        <v>45245</v>
      </c>
      <c r="F655" s="4" t="s">
        <v>43</v>
      </c>
      <c r="G655" s="16" t="s">
        <v>44</v>
      </c>
      <c r="H655" s="4" t="s">
        <v>45</v>
      </c>
      <c r="I655" s="4" t="s">
        <v>246</v>
      </c>
      <c r="J655" s="10">
        <v>14.71367</v>
      </c>
      <c r="K655" s="10">
        <f>8.068+1.603+3.858+1.185</f>
        <v>14.714</v>
      </c>
      <c r="L655" s="10">
        <f t="shared" si="129"/>
        <v>0</v>
      </c>
      <c r="M655" s="10">
        <f t="shared" si="130"/>
        <v>0</v>
      </c>
      <c r="N655" s="10"/>
      <c r="O655" s="10"/>
      <c r="P655" s="10">
        <v>0</v>
      </c>
      <c r="Q655" s="10"/>
      <c r="R655" s="10">
        <v>0</v>
      </c>
      <c r="S655" s="10"/>
      <c r="T655" s="10"/>
      <c r="U655" s="10"/>
      <c r="V655" s="4" t="s">
        <v>466</v>
      </c>
      <c r="W655" s="4" t="s">
        <v>37</v>
      </c>
      <c r="X655" s="8">
        <v>45239</v>
      </c>
      <c r="Y655" s="4"/>
      <c r="Z655" s="4"/>
      <c r="AA655" s="8"/>
      <c r="AB655" s="8"/>
      <c r="AC655" s="4"/>
      <c r="AD655" s="4"/>
    </row>
    <row r="656" spans="1:30" hidden="1">
      <c r="A656" s="4">
        <v>1028</v>
      </c>
      <c r="B656" s="8">
        <v>45227</v>
      </c>
      <c r="C656" s="4"/>
      <c r="D656" s="4" t="s">
        <v>42</v>
      </c>
      <c r="E656" s="8">
        <v>45245</v>
      </c>
      <c r="F656" s="4" t="s">
        <v>43</v>
      </c>
      <c r="G656" s="16" t="s">
        <v>44</v>
      </c>
      <c r="H656" s="4" t="s">
        <v>45</v>
      </c>
      <c r="I656" s="4" t="s">
        <v>100</v>
      </c>
      <c r="J656" s="10">
        <v>15.753919999999997</v>
      </c>
      <c r="K656" s="10">
        <f>12.3+3.452</f>
        <v>15.752000000000001</v>
      </c>
      <c r="L656" s="10">
        <f t="shared" si="129"/>
        <v>0</v>
      </c>
      <c r="M656" s="10">
        <f t="shared" si="130"/>
        <v>0</v>
      </c>
      <c r="N656" s="10"/>
      <c r="O656" s="10"/>
      <c r="P656" s="10">
        <v>0</v>
      </c>
      <c r="Q656" s="10"/>
      <c r="R656" s="10">
        <v>0</v>
      </c>
      <c r="S656" s="10"/>
      <c r="T656" s="10"/>
      <c r="U656" s="10"/>
      <c r="V656" s="4" t="s">
        <v>466</v>
      </c>
      <c r="W656" s="4"/>
      <c r="X656" s="8">
        <v>45239</v>
      </c>
      <c r="Y656" s="4"/>
      <c r="Z656" s="4"/>
      <c r="AA656" s="8"/>
      <c r="AB656" s="8"/>
      <c r="AC656" s="4"/>
      <c r="AD656" s="4"/>
    </row>
    <row r="657" spans="1:30" hidden="1">
      <c r="A657" s="4">
        <v>1028</v>
      </c>
      <c r="B657" s="8">
        <v>45227</v>
      </c>
      <c r="C657" s="4"/>
      <c r="D657" s="4" t="s">
        <v>42</v>
      </c>
      <c r="E657" s="8">
        <v>45245</v>
      </c>
      <c r="F657" s="4" t="s">
        <v>43</v>
      </c>
      <c r="G657" s="16" t="s">
        <v>51</v>
      </c>
      <c r="H657" s="4" t="s">
        <v>52</v>
      </c>
      <c r="I657" s="4" t="s">
        <v>54</v>
      </c>
      <c r="J657" s="10">
        <v>21.287813999999997</v>
      </c>
      <c r="K657" s="10">
        <f>7.232+11.805+2.252</f>
        <v>21.288999999999998</v>
      </c>
      <c r="L657" s="10">
        <f t="shared" si="129"/>
        <v>0</v>
      </c>
      <c r="M657" s="10">
        <f t="shared" si="130"/>
        <v>0</v>
      </c>
      <c r="N657" s="10"/>
      <c r="O657" s="10"/>
      <c r="P657" s="10">
        <v>0</v>
      </c>
      <c r="Q657" s="10"/>
      <c r="R657" s="10">
        <v>0</v>
      </c>
      <c r="S657" s="10"/>
      <c r="T657" s="10"/>
      <c r="U657" s="10"/>
      <c r="V657" s="4" t="s">
        <v>466</v>
      </c>
      <c r="W657" s="4"/>
      <c r="X657" s="8"/>
      <c r="Y657" s="4"/>
      <c r="Z657" s="4"/>
      <c r="AA657" s="8">
        <v>45238</v>
      </c>
      <c r="AB657" s="8"/>
      <c r="AC657" s="4"/>
      <c r="AD657" s="4"/>
    </row>
    <row r="658" spans="1:30" hidden="1">
      <c r="A658" s="4">
        <v>1028</v>
      </c>
      <c r="B658" s="8">
        <v>45227</v>
      </c>
      <c r="C658" s="4"/>
      <c r="D658" s="4" t="s">
        <v>42</v>
      </c>
      <c r="E658" s="8">
        <v>45245</v>
      </c>
      <c r="F658" s="4" t="s">
        <v>43</v>
      </c>
      <c r="G658" s="16" t="s">
        <v>51</v>
      </c>
      <c r="H658" s="4" t="s">
        <v>52</v>
      </c>
      <c r="I658" s="4" t="s">
        <v>56</v>
      </c>
      <c r="J658" s="10">
        <v>2.0279700000000003</v>
      </c>
      <c r="K658" s="10">
        <v>2.028</v>
      </c>
      <c r="L658" s="10">
        <f t="shared" si="129"/>
        <v>0</v>
      </c>
      <c r="M658" s="10">
        <f t="shared" si="130"/>
        <v>0</v>
      </c>
      <c r="N658" s="10"/>
      <c r="O658" s="10"/>
      <c r="P658" s="10">
        <v>0</v>
      </c>
      <c r="Q658" s="10"/>
      <c r="R658" s="10"/>
      <c r="S658" s="10"/>
      <c r="T658" s="10"/>
      <c r="U658" s="10"/>
      <c r="V658" s="4" t="s">
        <v>466</v>
      </c>
      <c r="W658" s="4"/>
      <c r="X658" s="8"/>
      <c r="Y658" s="4"/>
      <c r="Z658" s="4"/>
      <c r="AA658" s="8"/>
      <c r="AB658" s="8"/>
      <c r="AC658" s="4"/>
      <c r="AD658" s="4"/>
    </row>
    <row r="659" spans="1:30" hidden="1">
      <c r="A659" s="4">
        <v>1028</v>
      </c>
      <c r="B659" s="8">
        <v>45227</v>
      </c>
      <c r="C659" s="4"/>
      <c r="D659" s="4" t="s">
        <v>42</v>
      </c>
      <c r="E659" s="8">
        <v>45245</v>
      </c>
      <c r="F659" s="4" t="s">
        <v>43</v>
      </c>
      <c r="G659" s="16" t="s">
        <v>51</v>
      </c>
      <c r="H659" s="4" t="s">
        <v>52</v>
      </c>
      <c r="I659" s="4" t="s">
        <v>405</v>
      </c>
      <c r="J659" s="10">
        <v>2.7084000000000001</v>
      </c>
      <c r="K659" s="10">
        <v>2.7010000000000001</v>
      </c>
      <c r="L659" s="10">
        <f t="shared" si="129"/>
        <v>0</v>
      </c>
      <c r="M659" s="10">
        <f t="shared" si="130"/>
        <v>0</v>
      </c>
      <c r="N659" s="10"/>
      <c r="O659" s="10"/>
      <c r="P659" s="10"/>
      <c r="Q659" s="10"/>
      <c r="R659" s="10"/>
      <c r="S659" s="10"/>
      <c r="T659" s="10"/>
      <c r="U659" s="10"/>
      <c r="V659" s="4" t="s">
        <v>466</v>
      </c>
      <c r="W659" s="4"/>
      <c r="X659" s="8">
        <v>45228</v>
      </c>
      <c r="Y659" s="4"/>
      <c r="Z659" s="4">
        <v>45234</v>
      </c>
      <c r="AA659" s="8">
        <v>45234</v>
      </c>
      <c r="AB659" s="8"/>
      <c r="AC659" s="4"/>
      <c r="AD659" s="4"/>
    </row>
    <row r="660" spans="1:30" hidden="1">
      <c r="A660" s="4">
        <v>1028</v>
      </c>
      <c r="B660" s="8">
        <v>45227</v>
      </c>
      <c r="C660" s="4"/>
      <c r="D660" s="4" t="s">
        <v>42</v>
      </c>
      <c r="E660" s="8">
        <v>45245</v>
      </c>
      <c r="F660" s="4" t="s">
        <v>43</v>
      </c>
      <c r="G660" s="16" t="s">
        <v>51</v>
      </c>
      <c r="H660" s="4" t="s">
        <v>52</v>
      </c>
      <c r="I660" s="4" t="s">
        <v>400</v>
      </c>
      <c r="J660" s="10">
        <v>148.82159999999999</v>
      </c>
      <c r="K660" s="10">
        <f>29.311+32.657+29.196+33.04+4.248+9.112+10.062+1.416</f>
        <v>149.042</v>
      </c>
      <c r="L660" s="10">
        <f t="shared" si="129"/>
        <v>0</v>
      </c>
      <c r="M660" s="10">
        <f t="shared" si="130"/>
        <v>0</v>
      </c>
      <c r="N660" s="10"/>
      <c r="O660" s="10"/>
      <c r="P660" s="10">
        <v>0</v>
      </c>
      <c r="Q660" s="10"/>
      <c r="R660" s="10"/>
      <c r="S660" s="10"/>
      <c r="T660" s="10"/>
      <c r="U660" s="10"/>
      <c r="V660" s="4" t="s">
        <v>466</v>
      </c>
      <c r="W660" s="4" t="s">
        <v>1279</v>
      </c>
      <c r="X660" s="8">
        <v>45228</v>
      </c>
      <c r="Y660" s="4"/>
      <c r="Z660" s="4"/>
      <c r="AA660" s="8"/>
      <c r="AB660" s="8"/>
      <c r="AC660" s="4"/>
      <c r="AD660" s="4"/>
    </row>
    <row r="661" spans="1:30" hidden="1">
      <c r="A661" s="4">
        <v>1028</v>
      </c>
      <c r="B661" s="8">
        <v>45227</v>
      </c>
      <c r="C661" s="4"/>
      <c r="D661" s="4" t="s">
        <v>42</v>
      </c>
      <c r="E661" s="8">
        <v>45245</v>
      </c>
      <c r="F661" s="4" t="s">
        <v>43</v>
      </c>
      <c r="G661" s="16" t="s">
        <v>51</v>
      </c>
      <c r="H661" s="4" t="s">
        <v>52</v>
      </c>
      <c r="I661" s="4" t="s">
        <v>587</v>
      </c>
      <c r="J661" s="10">
        <v>4.0247999999999999</v>
      </c>
      <c r="K661" s="10">
        <v>4.0250000000000004</v>
      </c>
      <c r="L661" s="10">
        <f t="shared" si="129"/>
        <v>0</v>
      </c>
      <c r="M661" s="10">
        <f t="shared" si="130"/>
        <v>0</v>
      </c>
      <c r="N661" s="10"/>
      <c r="O661" s="10"/>
      <c r="P661" s="10">
        <v>0</v>
      </c>
      <c r="Q661" s="10"/>
      <c r="R661" s="10"/>
      <c r="S661" s="10"/>
      <c r="T661" s="10"/>
      <c r="U661" s="10"/>
      <c r="V661" s="4" t="s">
        <v>466</v>
      </c>
      <c r="W661" s="4"/>
      <c r="X661" s="8"/>
      <c r="Y661" s="4"/>
      <c r="Z661" s="4"/>
      <c r="AA661" s="8"/>
      <c r="AB661" s="8"/>
      <c r="AC661" s="4"/>
      <c r="AD661" s="4"/>
    </row>
    <row r="662" spans="1:30" hidden="1">
      <c r="A662" s="4">
        <v>1028</v>
      </c>
      <c r="B662" s="8">
        <v>45227</v>
      </c>
      <c r="C662" s="4"/>
      <c r="D662" s="4" t="s">
        <v>42</v>
      </c>
      <c r="E662" s="8">
        <v>45245</v>
      </c>
      <c r="F662" s="4" t="s">
        <v>43</v>
      </c>
      <c r="G662" s="16" t="s">
        <v>51</v>
      </c>
      <c r="H662" s="4" t="s">
        <v>52</v>
      </c>
      <c r="I662" s="4" t="s">
        <v>472</v>
      </c>
      <c r="J662" s="10">
        <v>0.19906499999999999</v>
      </c>
      <c r="K662" s="10">
        <v>0.19900000000000001</v>
      </c>
      <c r="L662" s="10">
        <f t="shared" si="129"/>
        <v>0</v>
      </c>
      <c r="M662" s="10">
        <f t="shared" si="130"/>
        <v>0</v>
      </c>
      <c r="N662" s="10"/>
      <c r="O662" s="10"/>
      <c r="P662" s="10">
        <v>0</v>
      </c>
      <c r="Q662" s="10"/>
      <c r="R662" s="10"/>
      <c r="S662" s="10"/>
      <c r="T662" s="10"/>
      <c r="U662" s="10"/>
      <c r="V662" s="4" t="s">
        <v>466</v>
      </c>
      <c r="W662" s="4"/>
      <c r="X662" s="8">
        <v>45251</v>
      </c>
      <c r="Y662" s="4"/>
      <c r="Z662" s="4"/>
      <c r="AA662" s="8"/>
      <c r="AB662" s="8"/>
      <c r="AC662" s="4"/>
      <c r="AD662" s="4"/>
    </row>
    <row r="663" spans="1:30" hidden="1">
      <c r="A663" s="4">
        <v>1028</v>
      </c>
      <c r="B663" s="8">
        <v>45227</v>
      </c>
      <c r="C663" s="4"/>
      <c r="D663" s="4" t="s">
        <v>42</v>
      </c>
      <c r="E663" s="8">
        <v>45245</v>
      </c>
      <c r="F663" s="4" t="s">
        <v>43</v>
      </c>
      <c r="G663" s="16" t="s">
        <v>51</v>
      </c>
      <c r="H663" s="4" t="s">
        <v>52</v>
      </c>
      <c r="I663" s="4" t="s">
        <v>473</v>
      </c>
      <c r="J663" s="10">
        <v>1.4543200000000001</v>
      </c>
      <c r="K663" s="10">
        <v>1.454</v>
      </c>
      <c r="L663" s="10">
        <f t="shared" si="129"/>
        <v>0</v>
      </c>
      <c r="M663" s="10">
        <f t="shared" si="130"/>
        <v>0</v>
      </c>
      <c r="N663" s="10"/>
      <c r="O663" s="10">
        <v>0</v>
      </c>
      <c r="P663" s="10"/>
      <c r="Q663" s="10"/>
      <c r="R663" s="10"/>
      <c r="S663" s="10"/>
      <c r="T663" s="10"/>
      <c r="U663" s="10"/>
      <c r="V663" s="4" t="s">
        <v>466</v>
      </c>
      <c r="W663" s="4"/>
      <c r="X663" s="8">
        <v>45251</v>
      </c>
      <c r="Y663" s="4"/>
      <c r="Z663" s="4"/>
      <c r="AA663" s="8"/>
      <c r="AB663" s="8"/>
      <c r="AC663" s="4"/>
      <c r="AD663" s="4"/>
    </row>
    <row r="664" spans="1:30" hidden="1">
      <c r="A664" s="4">
        <v>1024</v>
      </c>
      <c r="B664" s="8">
        <v>45227</v>
      </c>
      <c r="C664" s="4"/>
      <c r="D664" s="4" t="s">
        <v>42</v>
      </c>
      <c r="E664" s="8">
        <v>45245</v>
      </c>
      <c r="F664" s="4" t="s">
        <v>840</v>
      </c>
      <c r="G664" s="16" t="s">
        <v>44</v>
      </c>
      <c r="H664" s="4" t="s">
        <v>45</v>
      </c>
      <c r="I664" s="4" t="s">
        <v>57</v>
      </c>
      <c r="J664" s="10">
        <v>8.9400000000000007E-2</v>
      </c>
      <c r="K664" s="10">
        <v>0.09</v>
      </c>
      <c r="L664" s="10">
        <f t="shared" ref="L664:L682" si="131">M664+U664</f>
        <v>0</v>
      </c>
      <c r="M664" s="10">
        <f t="shared" ref="M664:M682" si="132">SUM(N664:T664)</f>
        <v>0</v>
      </c>
      <c r="N664" s="10"/>
      <c r="O664" s="10"/>
      <c r="P664" s="10">
        <v>0</v>
      </c>
      <c r="Q664" s="10"/>
      <c r="R664" s="10"/>
      <c r="S664" s="10"/>
      <c r="T664" s="10"/>
      <c r="U664" s="10"/>
      <c r="V664" s="4" t="s">
        <v>841</v>
      </c>
      <c r="W664" s="4" t="s">
        <v>521</v>
      </c>
      <c r="X664" s="8"/>
      <c r="Y664" s="4"/>
      <c r="Z664" s="4"/>
      <c r="AA664" s="8"/>
      <c r="AB664" s="8">
        <v>45268</v>
      </c>
      <c r="AC664" s="4"/>
      <c r="AD664" s="4"/>
    </row>
    <row r="665" spans="1:30" hidden="1">
      <c r="A665" s="4">
        <v>1024</v>
      </c>
      <c r="B665" s="8">
        <v>45227</v>
      </c>
      <c r="C665" s="4"/>
      <c r="D665" s="4" t="s">
        <v>42</v>
      </c>
      <c r="E665" s="8">
        <v>45245</v>
      </c>
      <c r="F665" s="4" t="s">
        <v>840</v>
      </c>
      <c r="G665" s="16" t="s">
        <v>44</v>
      </c>
      <c r="H665" s="4" t="s">
        <v>45</v>
      </c>
      <c r="I665" s="4" t="s">
        <v>54</v>
      </c>
      <c r="J665" s="10">
        <v>5.8819999999999997</v>
      </c>
      <c r="K665" s="10">
        <f>4.507+0.597+0.778</f>
        <v>5.8819999999999997</v>
      </c>
      <c r="L665" s="10">
        <f t="shared" si="131"/>
        <v>0</v>
      </c>
      <c r="M665" s="10">
        <f t="shared" si="132"/>
        <v>0</v>
      </c>
      <c r="N665" s="10"/>
      <c r="O665" s="10"/>
      <c r="P665" s="10">
        <v>0</v>
      </c>
      <c r="Q665" s="10"/>
      <c r="R665" s="10"/>
      <c r="S665" s="10"/>
      <c r="T665" s="10"/>
      <c r="U665" s="10"/>
      <c r="V665" s="4" t="s">
        <v>841</v>
      </c>
      <c r="W665" s="4"/>
      <c r="X665" s="8"/>
      <c r="Y665" s="4"/>
      <c r="Z665" s="4"/>
      <c r="AA665" s="8"/>
      <c r="AB665" s="8">
        <v>45268</v>
      </c>
      <c r="AC665" s="4"/>
      <c r="AD665" s="4"/>
    </row>
    <row r="666" spans="1:30" hidden="1">
      <c r="A666" s="4">
        <v>1024</v>
      </c>
      <c r="B666" s="8">
        <v>45227</v>
      </c>
      <c r="C666" s="4"/>
      <c r="D666" s="4" t="s">
        <v>42</v>
      </c>
      <c r="E666" s="8">
        <v>45245</v>
      </c>
      <c r="F666" s="4" t="s">
        <v>840</v>
      </c>
      <c r="G666" s="16" t="s">
        <v>44</v>
      </c>
      <c r="H666" s="4" t="s">
        <v>45</v>
      </c>
      <c r="I666" s="4" t="s">
        <v>56</v>
      </c>
      <c r="J666" s="10">
        <v>5.2779999999999996</v>
      </c>
      <c r="K666" s="10">
        <f>3.475+1.803</f>
        <v>5.2780000000000005</v>
      </c>
      <c r="L666" s="10">
        <f t="shared" si="131"/>
        <v>0</v>
      </c>
      <c r="M666" s="10">
        <f t="shared" si="132"/>
        <v>0</v>
      </c>
      <c r="N666" s="10"/>
      <c r="O666" s="10"/>
      <c r="P666" s="10">
        <v>0</v>
      </c>
      <c r="Q666" s="10"/>
      <c r="R666" s="10"/>
      <c r="S666" s="10"/>
      <c r="T666" s="10"/>
      <c r="U666" s="10"/>
      <c r="V666" s="4" t="s">
        <v>841</v>
      </c>
      <c r="W666" s="4"/>
      <c r="X666" s="8"/>
      <c r="Y666" s="4"/>
      <c r="Z666" s="4"/>
      <c r="AA666" s="8">
        <v>45255</v>
      </c>
      <c r="AB666" s="8">
        <v>45255</v>
      </c>
      <c r="AC666" s="4"/>
      <c r="AD666" s="4"/>
    </row>
    <row r="667" spans="1:30" hidden="1">
      <c r="A667" s="4">
        <v>1024</v>
      </c>
      <c r="B667" s="8">
        <v>45227</v>
      </c>
      <c r="C667" s="4"/>
      <c r="D667" s="4" t="s">
        <v>42</v>
      </c>
      <c r="E667" s="8">
        <v>45245</v>
      </c>
      <c r="F667" s="4" t="s">
        <v>840</v>
      </c>
      <c r="G667" s="16" t="s">
        <v>44</v>
      </c>
      <c r="H667" s="4" t="s">
        <v>45</v>
      </c>
      <c r="I667" s="4" t="s">
        <v>48</v>
      </c>
      <c r="J667" s="10">
        <v>1.839</v>
      </c>
      <c r="K667" s="10">
        <v>1.839</v>
      </c>
      <c r="L667" s="10">
        <f t="shared" si="131"/>
        <v>0</v>
      </c>
      <c r="M667" s="10">
        <f t="shared" si="132"/>
        <v>0</v>
      </c>
      <c r="N667" s="10"/>
      <c r="O667" s="10"/>
      <c r="P667" s="10">
        <v>0</v>
      </c>
      <c r="Q667" s="10"/>
      <c r="R667" s="10"/>
      <c r="S667" s="10"/>
      <c r="T667" s="10"/>
      <c r="U667" s="10"/>
      <c r="V667" s="4" t="s">
        <v>841</v>
      </c>
      <c r="W667" s="4"/>
      <c r="X667" s="8">
        <v>45234</v>
      </c>
      <c r="Y667" s="4"/>
      <c r="Z667" s="4"/>
      <c r="AA667" s="8">
        <v>45255</v>
      </c>
      <c r="AB667" s="8">
        <v>45255</v>
      </c>
      <c r="AC667" s="4"/>
      <c r="AD667" s="4"/>
    </row>
    <row r="668" spans="1:30" hidden="1">
      <c r="A668" s="4">
        <v>1024</v>
      </c>
      <c r="B668" s="8">
        <v>45227</v>
      </c>
      <c r="C668" s="4"/>
      <c r="D668" s="4" t="s">
        <v>42</v>
      </c>
      <c r="E668" s="8">
        <v>45245</v>
      </c>
      <c r="F668" s="4" t="s">
        <v>840</v>
      </c>
      <c r="G668" s="16" t="s">
        <v>44</v>
      </c>
      <c r="H668" s="4" t="s">
        <v>45</v>
      </c>
      <c r="I668" s="4" t="s">
        <v>403</v>
      </c>
      <c r="J668" s="10">
        <v>2.9350000000000001</v>
      </c>
      <c r="K668" s="10">
        <v>2.9350000000000001</v>
      </c>
      <c r="L668" s="10">
        <f t="shared" si="131"/>
        <v>0</v>
      </c>
      <c r="M668" s="10">
        <f t="shared" si="132"/>
        <v>0</v>
      </c>
      <c r="N668" s="10"/>
      <c r="O668" s="10"/>
      <c r="P668" s="10">
        <v>0</v>
      </c>
      <c r="Q668" s="10"/>
      <c r="R668" s="10"/>
      <c r="S668" s="10"/>
      <c r="T668" s="10"/>
      <c r="U668" s="10"/>
      <c r="V668" s="4" t="s">
        <v>841</v>
      </c>
      <c r="W668" s="4"/>
      <c r="X668" s="8"/>
      <c r="Y668" s="4"/>
      <c r="Z668" s="4"/>
      <c r="AA668" s="8"/>
      <c r="AB668" s="8"/>
      <c r="AC668" s="4"/>
      <c r="AD668" s="4"/>
    </row>
    <row r="669" spans="1:30" hidden="1">
      <c r="A669" s="4">
        <v>1024</v>
      </c>
      <c r="B669" s="8">
        <v>45227</v>
      </c>
      <c r="C669" s="4"/>
      <c r="D669" s="4" t="s">
        <v>42</v>
      </c>
      <c r="E669" s="8">
        <v>45245</v>
      </c>
      <c r="F669" s="4" t="s">
        <v>840</v>
      </c>
      <c r="G669" s="16" t="s">
        <v>44</v>
      </c>
      <c r="H669" s="4" t="s">
        <v>45</v>
      </c>
      <c r="I669" s="4" t="s">
        <v>46</v>
      </c>
      <c r="J669" s="10">
        <v>1.4472</v>
      </c>
      <c r="K669" s="10">
        <v>1.4470000000000001</v>
      </c>
      <c r="L669" s="10">
        <f t="shared" si="131"/>
        <v>0</v>
      </c>
      <c r="M669" s="10">
        <f t="shared" si="132"/>
        <v>0</v>
      </c>
      <c r="N669" s="10"/>
      <c r="O669" s="10"/>
      <c r="P669" s="10">
        <v>0</v>
      </c>
      <c r="Q669" s="10"/>
      <c r="R669" s="10"/>
      <c r="S669" s="10"/>
      <c r="T669" s="10"/>
      <c r="U669" s="10"/>
      <c r="V669" s="4" t="s">
        <v>841</v>
      </c>
      <c r="W669" s="4"/>
      <c r="X669" s="8"/>
      <c r="Y669" s="4"/>
      <c r="Z669" s="4"/>
      <c r="AA669" s="8"/>
      <c r="AB669" s="8"/>
      <c r="AC669" s="4"/>
      <c r="AD669" s="4"/>
    </row>
    <row r="670" spans="1:30" hidden="1">
      <c r="A670" s="4">
        <v>1024</v>
      </c>
      <c r="B670" s="8">
        <v>45227</v>
      </c>
      <c r="C670" s="4"/>
      <c r="D670" s="4" t="s">
        <v>42</v>
      </c>
      <c r="E670" s="8">
        <v>45245</v>
      </c>
      <c r="F670" s="4" t="s">
        <v>840</v>
      </c>
      <c r="G670" s="16" t="s">
        <v>44</v>
      </c>
      <c r="H670" s="4" t="s">
        <v>45</v>
      </c>
      <c r="I670" s="4" t="s">
        <v>49</v>
      </c>
      <c r="J670" s="10">
        <v>4.0039999999999996</v>
      </c>
      <c r="K670" s="10">
        <v>3.992</v>
      </c>
      <c r="L670" s="10">
        <f t="shared" si="131"/>
        <v>0</v>
      </c>
      <c r="M670" s="10">
        <f t="shared" si="132"/>
        <v>0</v>
      </c>
      <c r="N670" s="10"/>
      <c r="O670" s="10"/>
      <c r="P670" s="10">
        <v>0</v>
      </c>
      <c r="Q670" s="10"/>
      <c r="R670" s="10"/>
      <c r="S670" s="10"/>
      <c r="T670" s="10"/>
      <c r="U670" s="10"/>
      <c r="V670" s="4" t="s">
        <v>841</v>
      </c>
      <c r="W670" s="4"/>
      <c r="X670" s="8"/>
      <c r="Y670" s="4"/>
      <c r="Z670" s="4"/>
      <c r="AA670" s="8"/>
      <c r="AB670" s="8">
        <v>45268</v>
      </c>
      <c r="AC670" s="4"/>
      <c r="AD670" s="4"/>
    </row>
    <row r="671" spans="1:30" hidden="1">
      <c r="A671" s="4">
        <v>1024</v>
      </c>
      <c r="B671" s="8">
        <v>45227</v>
      </c>
      <c r="C671" s="4"/>
      <c r="D671" s="4" t="s">
        <v>42</v>
      </c>
      <c r="E671" s="8">
        <v>45245</v>
      </c>
      <c r="F671" s="4" t="s">
        <v>840</v>
      </c>
      <c r="G671" s="16" t="s">
        <v>44</v>
      </c>
      <c r="H671" s="4" t="s">
        <v>45</v>
      </c>
      <c r="I671" s="4" t="s">
        <v>50</v>
      </c>
      <c r="J671" s="10">
        <v>0.36749999999999999</v>
      </c>
      <c r="K671" s="10">
        <v>0.36699999999999999</v>
      </c>
      <c r="L671" s="10">
        <f t="shared" si="131"/>
        <v>0</v>
      </c>
      <c r="M671" s="10">
        <f t="shared" si="132"/>
        <v>0</v>
      </c>
      <c r="N671" s="10"/>
      <c r="O671" s="10"/>
      <c r="P671" s="10">
        <v>0</v>
      </c>
      <c r="Q671" s="10"/>
      <c r="R671" s="10"/>
      <c r="S671" s="10"/>
      <c r="T671" s="10"/>
      <c r="U671" s="10"/>
      <c r="V671" s="4" t="s">
        <v>841</v>
      </c>
      <c r="W671" s="4"/>
      <c r="X671" s="8">
        <v>45246</v>
      </c>
      <c r="Y671" s="4"/>
      <c r="Z671" s="4"/>
      <c r="AA671" s="8">
        <v>45269</v>
      </c>
      <c r="AB671" s="8">
        <v>45269</v>
      </c>
      <c r="AC671" s="4"/>
      <c r="AD671" s="4"/>
    </row>
    <row r="672" spans="1:30" hidden="1">
      <c r="A672" s="4">
        <v>1024</v>
      </c>
      <c r="B672" s="8">
        <v>45227</v>
      </c>
      <c r="C672" s="4"/>
      <c r="D672" s="4" t="s">
        <v>42</v>
      </c>
      <c r="E672" s="8">
        <v>45245</v>
      </c>
      <c r="F672" s="4" t="s">
        <v>840</v>
      </c>
      <c r="G672" s="16" t="s">
        <v>44</v>
      </c>
      <c r="H672" s="4" t="s">
        <v>45</v>
      </c>
      <c r="I672" s="4" t="s">
        <v>407</v>
      </c>
      <c r="J672" s="10">
        <v>1.4184000000000001</v>
      </c>
      <c r="K672" s="10">
        <v>1.42</v>
      </c>
      <c r="L672" s="10">
        <f t="shared" si="131"/>
        <v>0</v>
      </c>
      <c r="M672" s="10">
        <f t="shared" si="132"/>
        <v>0</v>
      </c>
      <c r="N672" s="10"/>
      <c r="O672" s="10"/>
      <c r="P672" s="10">
        <v>0</v>
      </c>
      <c r="Q672" s="10"/>
      <c r="R672" s="10"/>
      <c r="S672" s="10"/>
      <c r="T672" s="10"/>
      <c r="U672" s="10"/>
      <c r="V672" s="4" t="s">
        <v>841</v>
      </c>
      <c r="W672" s="4"/>
      <c r="X672" s="8"/>
      <c r="Y672" s="4">
        <v>45248</v>
      </c>
      <c r="Z672" s="4"/>
      <c r="AA672" s="8">
        <v>45269</v>
      </c>
      <c r="AB672" s="8">
        <v>45269</v>
      </c>
      <c r="AC672" s="4"/>
      <c r="AD672" s="4"/>
    </row>
    <row r="673" spans="1:30" hidden="1">
      <c r="A673" s="4">
        <v>1024</v>
      </c>
      <c r="B673" s="8">
        <v>45227</v>
      </c>
      <c r="C673" s="4"/>
      <c r="D673" s="4" t="s">
        <v>42</v>
      </c>
      <c r="E673" s="8">
        <v>45245</v>
      </c>
      <c r="F673" s="4" t="s">
        <v>840</v>
      </c>
      <c r="G673" s="16" t="s">
        <v>44</v>
      </c>
      <c r="H673" s="4" t="s">
        <v>45</v>
      </c>
      <c r="I673" s="4" t="s">
        <v>409</v>
      </c>
      <c r="J673" s="10">
        <v>8.2484999999999999</v>
      </c>
      <c r="K673" s="10">
        <v>8.2309999999999999</v>
      </c>
      <c r="L673" s="10">
        <f t="shared" si="131"/>
        <v>0</v>
      </c>
      <c r="M673" s="10">
        <f>SUM(N673:T673)</f>
        <v>0</v>
      </c>
      <c r="N673" s="10"/>
      <c r="O673" s="10"/>
      <c r="P673" s="10">
        <v>0</v>
      </c>
      <c r="Q673" s="10"/>
      <c r="R673" s="10"/>
      <c r="S673" s="10"/>
      <c r="T673" s="10"/>
      <c r="U673" s="10"/>
      <c r="V673" s="4" t="s">
        <v>841</v>
      </c>
      <c r="W673" s="4"/>
      <c r="X673" s="8">
        <v>45248</v>
      </c>
      <c r="Y673" s="4"/>
      <c r="Z673" s="4"/>
      <c r="AA673" s="8">
        <v>45269</v>
      </c>
      <c r="AB673" s="8">
        <v>45269</v>
      </c>
      <c r="AC673" s="4"/>
      <c r="AD673" s="4"/>
    </row>
    <row r="674" spans="1:30" hidden="1">
      <c r="A674" s="4">
        <v>1024</v>
      </c>
      <c r="B674" s="8">
        <v>45227</v>
      </c>
      <c r="C674" s="4"/>
      <c r="D674" s="4" t="s">
        <v>42</v>
      </c>
      <c r="E674" s="8">
        <v>45245</v>
      </c>
      <c r="F674" s="4" t="s">
        <v>840</v>
      </c>
      <c r="G674" s="16" t="s">
        <v>44</v>
      </c>
      <c r="H674" s="4" t="s">
        <v>45</v>
      </c>
      <c r="I674" s="4" t="s">
        <v>448</v>
      </c>
      <c r="J674" s="10">
        <v>0.98499999999999999</v>
      </c>
      <c r="K674" s="10">
        <v>0.98499999999999999</v>
      </c>
      <c r="L674" s="10">
        <f t="shared" si="131"/>
        <v>0</v>
      </c>
      <c r="M674" s="10">
        <f t="shared" si="132"/>
        <v>0</v>
      </c>
      <c r="N674" s="10"/>
      <c r="O674" s="10"/>
      <c r="P674" s="10">
        <v>0</v>
      </c>
      <c r="Q674" s="10"/>
      <c r="R674" s="10"/>
      <c r="S674" s="10"/>
      <c r="T674" s="10"/>
      <c r="U674" s="10"/>
      <c r="V674" s="4" t="s">
        <v>841</v>
      </c>
      <c r="W674" s="4"/>
      <c r="X674" s="8">
        <v>45233</v>
      </c>
      <c r="Y674" s="4"/>
      <c r="Z674" s="4"/>
      <c r="AA674" s="8"/>
      <c r="AB674" s="8">
        <v>45262</v>
      </c>
      <c r="AC674" s="4"/>
      <c r="AD674" s="4"/>
    </row>
    <row r="675" spans="1:30" hidden="1">
      <c r="A675" s="4">
        <v>1024</v>
      </c>
      <c r="B675" s="8">
        <v>45227</v>
      </c>
      <c r="C675" s="4"/>
      <c r="D675" s="4" t="s">
        <v>42</v>
      </c>
      <c r="E675" s="8">
        <v>45245</v>
      </c>
      <c r="F675" s="4" t="s">
        <v>840</v>
      </c>
      <c r="G675" s="16" t="s">
        <v>44</v>
      </c>
      <c r="H675" s="4" t="s">
        <v>45</v>
      </c>
      <c r="I675" s="4" t="s">
        <v>449</v>
      </c>
      <c r="J675" s="10">
        <v>1.5049999999999999</v>
      </c>
      <c r="K675" s="10">
        <v>1.5049999999999999</v>
      </c>
      <c r="L675" s="10">
        <f t="shared" si="131"/>
        <v>0</v>
      </c>
      <c r="M675" s="10">
        <f t="shared" si="132"/>
        <v>0</v>
      </c>
      <c r="N675" s="10"/>
      <c r="O675" s="10"/>
      <c r="P675" s="10">
        <v>0</v>
      </c>
      <c r="Q675" s="10"/>
      <c r="R675" s="10"/>
      <c r="S675" s="10"/>
      <c r="T675" s="10"/>
      <c r="U675" s="10"/>
      <c r="V675" s="4" t="s">
        <v>841</v>
      </c>
      <c r="W675" s="4"/>
      <c r="X675" s="8">
        <v>45233</v>
      </c>
      <c r="Y675" s="4"/>
      <c r="Z675" s="4"/>
      <c r="AA675" s="8"/>
      <c r="AB675" s="8"/>
      <c r="AC675" s="4"/>
      <c r="AD675" s="4"/>
    </row>
    <row r="676" spans="1:30" hidden="1">
      <c r="A676" s="4">
        <v>1024</v>
      </c>
      <c r="B676" s="8">
        <v>45227</v>
      </c>
      <c r="C676" s="4"/>
      <c r="D676" s="4" t="s">
        <v>42</v>
      </c>
      <c r="E676" s="8">
        <v>45245</v>
      </c>
      <c r="F676" s="4" t="s">
        <v>840</v>
      </c>
      <c r="G676" s="16" t="s">
        <v>44</v>
      </c>
      <c r="H676" s="4" t="s">
        <v>45</v>
      </c>
      <c r="I676" s="4" t="s">
        <v>518</v>
      </c>
      <c r="J676" s="10">
        <v>0.58211999999999997</v>
      </c>
      <c r="K676" s="10">
        <v>0.58199999999999996</v>
      </c>
      <c r="L676" s="10">
        <f t="shared" si="131"/>
        <v>0</v>
      </c>
      <c r="M676" s="10">
        <f t="shared" si="132"/>
        <v>0</v>
      </c>
      <c r="N676" s="10"/>
      <c r="O676" s="10"/>
      <c r="P676" s="10"/>
      <c r="Q676" s="10"/>
      <c r="R676" s="10"/>
      <c r="S676" s="10">
        <v>0</v>
      </c>
      <c r="T676" s="10"/>
      <c r="U676" s="10"/>
      <c r="V676" s="4" t="s">
        <v>841</v>
      </c>
      <c r="W676" s="4"/>
      <c r="X676" s="8">
        <v>45233</v>
      </c>
      <c r="Y676" s="4"/>
      <c r="Z676" s="4"/>
      <c r="AA676" s="8"/>
      <c r="AB676" s="8">
        <v>45254</v>
      </c>
      <c r="AC676" s="4"/>
      <c r="AD676" s="4"/>
    </row>
    <row r="677" spans="1:30" hidden="1">
      <c r="A677" s="4">
        <v>1024</v>
      </c>
      <c r="B677" s="8">
        <v>45227</v>
      </c>
      <c r="C677" s="4"/>
      <c r="D677" s="4" t="s">
        <v>42</v>
      </c>
      <c r="E677" s="8">
        <v>45245</v>
      </c>
      <c r="F677" s="4" t="s">
        <v>840</v>
      </c>
      <c r="G677" s="16" t="s">
        <v>44</v>
      </c>
      <c r="H677" s="4" t="s">
        <v>45</v>
      </c>
      <c r="I677" s="4" t="s">
        <v>472</v>
      </c>
      <c r="J677" s="10">
        <v>0.1368</v>
      </c>
      <c r="K677" s="10">
        <v>0.13800000000000001</v>
      </c>
      <c r="L677" s="10">
        <f t="shared" si="131"/>
        <v>0</v>
      </c>
      <c r="M677" s="10">
        <f t="shared" si="132"/>
        <v>0</v>
      </c>
      <c r="N677" s="10"/>
      <c r="O677" s="10"/>
      <c r="P677" s="10">
        <v>0</v>
      </c>
      <c r="Q677" s="10"/>
      <c r="R677" s="10"/>
      <c r="S677" s="10"/>
      <c r="T677" s="10"/>
      <c r="U677" s="10"/>
      <c r="V677" s="4" t="s">
        <v>841</v>
      </c>
      <c r="W677" s="4"/>
      <c r="X677" s="8">
        <v>45251</v>
      </c>
      <c r="Y677" s="4"/>
      <c r="Z677" s="4"/>
      <c r="AA677" s="8">
        <v>45269</v>
      </c>
      <c r="AB677" s="8">
        <v>45269</v>
      </c>
      <c r="AC677" s="4"/>
      <c r="AD677" s="4"/>
    </row>
    <row r="678" spans="1:30" hidden="1">
      <c r="A678" s="4">
        <v>1024</v>
      </c>
      <c r="B678" s="8">
        <v>45227</v>
      </c>
      <c r="C678" s="4"/>
      <c r="D678" s="4" t="s">
        <v>42</v>
      </c>
      <c r="E678" s="8">
        <v>45245</v>
      </c>
      <c r="F678" s="4" t="s">
        <v>840</v>
      </c>
      <c r="G678" s="16" t="s">
        <v>44</v>
      </c>
      <c r="H678" s="4" t="s">
        <v>45</v>
      </c>
      <c r="I678" s="4" t="s">
        <v>473</v>
      </c>
      <c r="J678" s="10">
        <v>3.1286799999999997</v>
      </c>
      <c r="K678" s="10">
        <f>1.592+1.29+0.404</f>
        <v>3.286</v>
      </c>
      <c r="L678" s="10">
        <f t="shared" si="131"/>
        <v>0</v>
      </c>
      <c r="M678" s="10">
        <f t="shared" si="132"/>
        <v>0</v>
      </c>
      <c r="N678" s="10"/>
      <c r="O678" s="10"/>
      <c r="P678" s="10">
        <v>0</v>
      </c>
      <c r="Q678" s="10"/>
      <c r="R678" s="10"/>
      <c r="S678" s="10"/>
      <c r="T678" s="10"/>
      <c r="U678" s="10"/>
      <c r="V678" s="4" t="s">
        <v>841</v>
      </c>
      <c r="W678" s="4"/>
      <c r="X678" s="8">
        <v>45227</v>
      </c>
      <c r="Y678" s="4"/>
      <c r="Z678" s="4"/>
      <c r="AA678" s="8"/>
      <c r="AB678" s="8">
        <v>45268</v>
      </c>
      <c r="AC678" s="4"/>
      <c r="AD678" s="4"/>
    </row>
    <row r="679" spans="1:30" hidden="1">
      <c r="A679" s="4">
        <v>1024</v>
      </c>
      <c r="B679" s="8">
        <v>45227</v>
      </c>
      <c r="C679" s="4"/>
      <c r="D679" s="4" t="s">
        <v>42</v>
      </c>
      <c r="E679" s="8">
        <v>45245</v>
      </c>
      <c r="F679" s="4" t="s">
        <v>840</v>
      </c>
      <c r="G679" s="16" t="s">
        <v>44</v>
      </c>
      <c r="H679" s="4" t="s">
        <v>45</v>
      </c>
      <c r="I679" s="4" t="s">
        <v>235</v>
      </c>
      <c r="J679" s="10">
        <v>1.8206200000000001</v>
      </c>
      <c r="K679" s="10">
        <v>2.1230000000000002</v>
      </c>
      <c r="L679" s="10">
        <f t="shared" si="131"/>
        <v>0</v>
      </c>
      <c r="M679" s="10">
        <f t="shared" si="132"/>
        <v>0</v>
      </c>
      <c r="N679" s="10"/>
      <c r="O679" s="10"/>
      <c r="P679" s="10">
        <v>0</v>
      </c>
      <c r="Q679" s="10"/>
      <c r="R679" s="10"/>
      <c r="S679" s="10"/>
      <c r="T679" s="10"/>
      <c r="U679" s="10"/>
      <c r="V679" s="4" t="s">
        <v>841</v>
      </c>
      <c r="W679" s="4"/>
      <c r="X679" s="8">
        <v>45249</v>
      </c>
      <c r="Y679" s="4"/>
      <c r="Z679" s="4"/>
      <c r="AA679" s="8"/>
      <c r="AB679" s="8"/>
      <c r="AC679" s="4"/>
      <c r="AD679" s="4"/>
    </row>
    <row r="680" spans="1:30" hidden="1">
      <c r="A680" s="4">
        <v>1024</v>
      </c>
      <c r="B680" s="8">
        <v>45227</v>
      </c>
      <c r="C680" s="4"/>
      <c r="D680" s="4" t="s">
        <v>42</v>
      </c>
      <c r="E680" s="8">
        <v>45245</v>
      </c>
      <c r="F680" s="4" t="s">
        <v>840</v>
      </c>
      <c r="G680" s="16" t="s">
        <v>44</v>
      </c>
      <c r="H680" s="4" t="s">
        <v>45</v>
      </c>
      <c r="I680" s="4" t="s">
        <v>100</v>
      </c>
      <c r="J680" s="10">
        <v>3.0011999999999999</v>
      </c>
      <c r="K680" s="10">
        <v>3.044</v>
      </c>
      <c r="L680" s="10">
        <f t="shared" si="131"/>
        <v>0</v>
      </c>
      <c r="M680" s="10">
        <f t="shared" si="132"/>
        <v>0</v>
      </c>
      <c r="N680" s="10"/>
      <c r="O680" s="10"/>
      <c r="P680" s="10">
        <v>0</v>
      </c>
      <c r="Q680" s="10"/>
      <c r="R680" s="10"/>
      <c r="S680" s="10"/>
      <c r="T680" s="10"/>
      <c r="U680" s="10"/>
      <c r="V680" s="4" t="s">
        <v>841</v>
      </c>
      <c r="W680" s="4"/>
      <c r="X680" s="8">
        <v>45240</v>
      </c>
      <c r="Y680" s="4"/>
      <c r="Z680" s="4"/>
      <c r="AA680" s="8"/>
      <c r="AB680" s="8">
        <v>45262</v>
      </c>
      <c r="AC680" s="4"/>
      <c r="AD680" s="4"/>
    </row>
    <row r="681" spans="1:30" hidden="1">
      <c r="A681" s="4">
        <v>1024</v>
      </c>
      <c r="B681" s="8">
        <v>45227</v>
      </c>
      <c r="C681" s="4"/>
      <c r="D681" s="4" t="s">
        <v>42</v>
      </c>
      <c r="E681" s="8">
        <v>45245</v>
      </c>
      <c r="F681" s="4" t="s">
        <v>840</v>
      </c>
      <c r="G681" s="16" t="s">
        <v>44</v>
      </c>
      <c r="H681" s="4" t="s">
        <v>45</v>
      </c>
      <c r="I681" s="4" t="s">
        <v>96</v>
      </c>
      <c r="J681" s="10">
        <v>2.3424</v>
      </c>
      <c r="K681" s="10">
        <v>2.3450000000000002</v>
      </c>
      <c r="L681" s="10">
        <f t="shared" si="131"/>
        <v>0</v>
      </c>
      <c r="M681" s="10">
        <f t="shared" si="132"/>
        <v>0</v>
      </c>
      <c r="N681" s="10"/>
      <c r="O681" s="10"/>
      <c r="P681" s="10">
        <v>0</v>
      </c>
      <c r="Q681" s="10"/>
      <c r="R681" s="10"/>
      <c r="S681" s="10"/>
      <c r="T681" s="10"/>
      <c r="U681" s="10"/>
      <c r="V681" s="4" t="s">
        <v>841</v>
      </c>
      <c r="W681" s="4"/>
      <c r="X681" s="8">
        <v>45240</v>
      </c>
      <c r="Y681" s="4"/>
      <c r="Z681" s="4"/>
      <c r="AA681" s="8"/>
      <c r="AB681" s="8">
        <v>45262</v>
      </c>
      <c r="AC681" s="4"/>
      <c r="AD681" s="4"/>
    </row>
    <row r="682" spans="1:30" hidden="1">
      <c r="A682" s="4">
        <v>1024</v>
      </c>
      <c r="B682" s="8">
        <v>45227</v>
      </c>
      <c r="C682" s="4"/>
      <c r="D682" s="4" t="s">
        <v>42</v>
      </c>
      <c r="E682" s="8">
        <v>45245</v>
      </c>
      <c r="F682" s="4" t="s">
        <v>840</v>
      </c>
      <c r="G682" s="16" t="s">
        <v>44</v>
      </c>
      <c r="H682" s="4" t="s">
        <v>45</v>
      </c>
      <c r="I682" s="4" t="s">
        <v>97</v>
      </c>
      <c r="J682" s="10">
        <v>0.49399999999999999</v>
      </c>
      <c r="K682" s="10">
        <v>0.49399999999999999</v>
      </c>
      <c r="L682" s="10">
        <f t="shared" si="131"/>
        <v>0</v>
      </c>
      <c r="M682" s="10">
        <f t="shared" si="132"/>
        <v>0</v>
      </c>
      <c r="N682" s="10"/>
      <c r="O682" s="10"/>
      <c r="P682" s="10">
        <v>0</v>
      </c>
      <c r="Q682" s="10"/>
      <c r="R682" s="10"/>
      <c r="S682" s="10"/>
      <c r="T682" s="10"/>
      <c r="U682" s="10"/>
      <c r="V682" s="4" t="s">
        <v>841</v>
      </c>
      <c r="W682" s="4" t="s">
        <v>521</v>
      </c>
      <c r="X682" s="8">
        <v>45240</v>
      </c>
      <c r="Y682" s="4"/>
      <c r="Z682" s="4"/>
      <c r="AA682" s="8"/>
      <c r="AB682" s="8">
        <v>45268</v>
      </c>
      <c r="AC682" s="4"/>
      <c r="AD682" s="4"/>
    </row>
    <row r="683" spans="1:30" hidden="1">
      <c r="A683" s="4">
        <v>1024</v>
      </c>
      <c r="B683" s="8">
        <v>45227</v>
      </c>
      <c r="C683" s="4"/>
      <c r="D683" s="4" t="s">
        <v>42</v>
      </c>
      <c r="E683" s="8">
        <v>45245</v>
      </c>
      <c r="F683" s="4" t="s">
        <v>840</v>
      </c>
      <c r="G683" s="16" t="s">
        <v>51</v>
      </c>
      <c r="H683" s="4" t="s">
        <v>52</v>
      </c>
      <c r="I683" s="4" t="s">
        <v>57</v>
      </c>
      <c r="J683" s="10">
        <v>0.32780000000000004</v>
      </c>
      <c r="K683" s="10">
        <v>0.33100000000000002</v>
      </c>
      <c r="L683" s="10">
        <f t="shared" ref="L683:L695" si="133">M683+U683</f>
        <v>0</v>
      </c>
      <c r="M683" s="10">
        <f t="shared" ref="M683:M695" si="134">SUM(N683:T683)</f>
        <v>0</v>
      </c>
      <c r="N683" s="10"/>
      <c r="O683" s="10"/>
      <c r="P683" s="10">
        <v>0</v>
      </c>
      <c r="Q683" s="10"/>
      <c r="R683" s="10"/>
      <c r="S683" s="10"/>
      <c r="T683" s="10"/>
      <c r="U683" s="10"/>
      <c r="V683" s="4" t="s">
        <v>841</v>
      </c>
      <c r="W683" s="4"/>
      <c r="X683" s="8">
        <v>45237</v>
      </c>
      <c r="Y683" s="4"/>
      <c r="Z683" s="4"/>
      <c r="AA683" s="8"/>
      <c r="AB683" s="8">
        <v>45268</v>
      </c>
      <c r="AC683" s="4"/>
      <c r="AD683" s="4"/>
    </row>
    <row r="684" spans="1:30" hidden="1">
      <c r="A684" s="4">
        <v>1024</v>
      </c>
      <c r="B684" s="8">
        <v>45227</v>
      </c>
      <c r="C684" s="4"/>
      <c r="D684" s="4" t="s">
        <v>42</v>
      </c>
      <c r="E684" s="8">
        <v>45245</v>
      </c>
      <c r="F684" s="4" t="s">
        <v>840</v>
      </c>
      <c r="G684" s="16" t="s">
        <v>51</v>
      </c>
      <c r="H684" s="4" t="s">
        <v>52</v>
      </c>
      <c r="I684" s="4" t="s">
        <v>54</v>
      </c>
      <c r="J684" s="10">
        <v>3.5539999999999998</v>
      </c>
      <c r="K684" s="10">
        <v>3.5529999999999999</v>
      </c>
      <c r="L684" s="10">
        <f t="shared" si="133"/>
        <v>0</v>
      </c>
      <c r="M684" s="10">
        <f t="shared" si="134"/>
        <v>0</v>
      </c>
      <c r="N684" s="10"/>
      <c r="O684" s="10"/>
      <c r="P684" s="10">
        <v>0</v>
      </c>
      <c r="Q684" s="10"/>
      <c r="R684" s="10"/>
      <c r="S684" s="10"/>
      <c r="T684" s="10"/>
      <c r="U684" s="10"/>
      <c r="V684" s="4" t="s">
        <v>841</v>
      </c>
      <c r="W684" s="4"/>
      <c r="X684" s="8">
        <v>45237</v>
      </c>
      <c r="Y684" s="4"/>
      <c r="Z684" s="4"/>
      <c r="AA684" s="8"/>
      <c r="AB684" s="8">
        <v>45254</v>
      </c>
      <c r="AC684" s="4"/>
      <c r="AD684" s="4"/>
    </row>
    <row r="685" spans="1:30" hidden="1">
      <c r="A685" s="4">
        <v>1024</v>
      </c>
      <c r="B685" s="8">
        <v>45227</v>
      </c>
      <c r="C685" s="4"/>
      <c r="D685" s="4" t="s">
        <v>42</v>
      </c>
      <c r="E685" s="8">
        <v>45245</v>
      </c>
      <c r="F685" s="4" t="s">
        <v>840</v>
      </c>
      <c r="G685" s="16" t="s">
        <v>51</v>
      </c>
      <c r="H685" s="4" t="s">
        <v>52</v>
      </c>
      <c r="I685" s="4" t="s">
        <v>56</v>
      </c>
      <c r="J685" s="10">
        <v>1.3520000000000001</v>
      </c>
      <c r="K685" s="10">
        <v>1.3520000000000001</v>
      </c>
      <c r="L685" s="10">
        <f t="shared" si="133"/>
        <v>0</v>
      </c>
      <c r="M685" s="10">
        <f t="shared" si="134"/>
        <v>0</v>
      </c>
      <c r="N685" s="10"/>
      <c r="O685" s="10"/>
      <c r="P685" s="10">
        <v>0</v>
      </c>
      <c r="Q685" s="10"/>
      <c r="R685" s="10"/>
      <c r="S685" s="10"/>
      <c r="T685" s="10"/>
      <c r="U685" s="10"/>
      <c r="V685" s="4" t="s">
        <v>841</v>
      </c>
      <c r="W685" s="4"/>
      <c r="X685" s="8"/>
      <c r="Y685" s="4"/>
      <c r="Z685" s="4"/>
      <c r="AA685" s="8"/>
      <c r="AB685" s="8">
        <v>45254</v>
      </c>
      <c r="AC685" s="4"/>
      <c r="AD685" s="4"/>
    </row>
    <row r="686" spans="1:30" hidden="1">
      <c r="A686" s="4">
        <v>1024</v>
      </c>
      <c r="B686" s="8">
        <v>45227</v>
      </c>
      <c r="C686" s="4"/>
      <c r="D686" s="4" t="s">
        <v>42</v>
      </c>
      <c r="E686" s="8">
        <v>45245</v>
      </c>
      <c r="F686" s="4" t="s">
        <v>840</v>
      </c>
      <c r="G686" s="16" t="s">
        <v>51</v>
      </c>
      <c r="H686" s="4" t="s">
        <v>52</v>
      </c>
      <c r="I686" s="4" t="s">
        <v>48</v>
      </c>
      <c r="J686" s="10">
        <v>3.5453000000000001</v>
      </c>
      <c r="K686" s="10">
        <v>3.569</v>
      </c>
      <c r="L686" s="10">
        <f t="shared" si="133"/>
        <v>0</v>
      </c>
      <c r="M686" s="10">
        <f t="shared" si="134"/>
        <v>0</v>
      </c>
      <c r="N686" s="10"/>
      <c r="O686" s="10"/>
      <c r="P686" s="10">
        <v>0</v>
      </c>
      <c r="Q686" s="10"/>
      <c r="R686" s="10"/>
      <c r="S686" s="10"/>
      <c r="T686" s="10"/>
      <c r="U686" s="10"/>
      <c r="V686" s="4" t="s">
        <v>841</v>
      </c>
      <c r="W686" s="4"/>
      <c r="X686" s="8">
        <v>45237</v>
      </c>
      <c r="Y686" s="4"/>
      <c r="Z686" s="4"/>
      <c r="AA686" s="8"/>
      <c r="AB686" s="8"/>
      <c r="AC686" s="4"/>
      <c r="AD686" s="4"/>
    </row>
    <row r="687" spans="1:30" hidden="1">
      <c r="A687" s="4">
        <v>1024</v>
      </c>
      <c r="B687" s="8">
        <v>45227</v>
      </c>
      <c r="C687" s="4"/>
      <c r="D687" s="4" t="s">
        <v>42</v>
      </c>
      <c r="E687" s="8">
        <v>45245</v>
      </c>
      <c r="F687" s="4" t="s">
        <v>840</v>
      </c>
      <c r="G687" s="16" t="s">
        <v>51</v>
      </c>
      <c r="H687" s="4" t="s">
        <v>52</v>
      </c>
      <c r="I687" s="4" t="s">
        <v>403</v>
      </c>
      <c r="J687" s="10">
        <v>2.2244000000000002</v>
      </c>
      <c r="K687" s="10">
        <v>2.1019999999999999</v>
      </c>
      <c r="L687" s="10">
        <f t="shared" si="133"/>
        <v>0</v>
      </c>
      <c r="M687" s="10">
        <f t="shared" si="134"/>
        <v>0</v>
      </c>
      <c r="N687" s="10"/>
      <c r="O687" s="10"/>
      <c r="P687" s="10">
        <v>0</v>
      </c>
      <c r="Q687" s="10"/>
      <c r="R687" s="10"/>
      <c r="S687" s="10"/>
      <c r="T687" s="10"/>
      <c r="U687" s="10"/>
      <c r="V687" s="4" t="s">
        <v>841</v>
      </c>
      <c r="W687" s="4"/>
      <c r="X687" s="8"/>
      <c r="Y687" s="4"/>
      <c r="Z687" s="4"/>
      <c r="AA687" s="8">
        <v>45246</v>
      </c>
      <c r="AB687" s="8">
        <v>45246</v>
      </c>
      <c r="AC687" s="4"/>
      <c r="AD687" s="4"/>
    </row>
    <row r="688" spans="1:30" hidden="1">
      <c r="A688" s="4">
        <v>1024</v>
      </c>
      <c r="B688" s="8">
        <v>45227</v>
      </c>
      <c r="C688" s="4"/>
      <c r="D688" s="4" t="s">
        <v>42</v>
      </c>
      <c r="E688" s="8">
        <v>45245</v>
      </c>
      <c r="F688" s="4" t="s">
        <v>840</v>
      </c>
      <c r="G688" s="16" t="s">
        <v>51</v>
      </c>
      <c r="H688" s="4" t="s">
        <v>52</v>
      </c>
      <c r="I688" s="4" t="s">
        <v>46</v>
      </c>
      <c r="J688" s="10">
        <v>3.3553600000000001</v>
      </c>
      <c r="K688" s="10">
        <f>1.985+1.37</f>
        <v>3.3550000000000004</v>
      </c>
      <c r="L688" s="10">
        <f t="shared" si="133"/>
        <v>0</v>
      </c>
      <c r="M688" s="10">
        <f t="shared" si="134"/>
        <v>0</v>
      </c>
      <c r="N688" s="10"/>
      <c r="O688" s="10"/>
      <c r="P688" s="10">
        <v>0</v>
      </c>
      <c r="Q688" s="10"/>
      <c r="R688" s="10"/>
      <c r="S688" s="10"/>
      <c r="T688" s="10"/>
      <c r="U688" s="10"/>
      <c r="V688" s="4" t="s">
        <v>841</v>
      </c>
      <c r="W688" s="4"/>
      <c r="X688" s="8"/>
      <c r="Y688" s="4"/>
      <c r="Z688" s="4"/>
      <c r="AA688" s="8">
        <v>45255</v>
      </c>
      <c r="AB688" s="8">
        <v>45255</v>
      </c>
      <c r="AC688" s="4"/>
      <c r="AD688" s="4"/>
    </row>
    <row r="689" spans="1:30" hidden="1">
      <c r="A689" s="4">
        <v>1024</v>
      </c>
      <c r="B689" s="8">
        <v>45227</v>
      </c>
      <c r="C689" s="4"/>
      <c r="D689" s="4" t="s">
        <v>42</v>
      </c>
      <c r="E689" s="8">
        <v>45245</v>
      </c>
      <c r="F689" s="4" t="s">
        <v>840</v>
      </c>
      <c r="G689" s="16" t="s">
        <v>51</v>
      </c>
      <c r="H689" s="4" t="s">
        <v>52</v>
      </c>
      <c r="I689" s="4" t="s">
        <v>49</v>
      </c>
      <c r="J689" s="10">
        <v>1.2785500000000001</v>
      </c>
      <c r="K689" s="10">
        <v>1.2749999999999999</v>
      </c>
      <c r="L689" s="10">
        <f t="shared" si="133"/>
        <v>0</v>
      </c>
      <c r="M689" s="10">
        <f t="shared" si="134"/>
        <v>0</v>
      </c>
      <c r="N689" s="10"/>
      <c r="O689" s="10"/>
      <c r="P689" s="10">
        <v>0</v>
      </c>
      <c r="Q689" s="10"/>
      <c r="R689" s="10"/>
      <c r="S689" s="10"/>
      <c r="T689" s="10"/>
      <c r="U689" s="10"/>
      <c r="V689" s="4" t="s">
        <v>841</v>
      </c>
      <c r="W689" s="4" t="s">
        <v>521</v>
      </c>
      <c r="X689" s="8"/>
      <c r="Y689" s="4"/>
      <c r="Z689" s="4"/>
      <c r="AA689" s="8"/>
      <c r="AB689" s="8"/>
      <c r="AC689" s="4"/>
      <c r="AD689" s="4"/>
    </row>
    <row r="690" spans="1:30" hidden="1">
      <c r="A690" s="4">
        <v>1024</v>
      </c>
      <c r="B690" s="8">
        <v>45227</v>
      </c>
      <c r="C690" s="4"/>
      <c r="D690" s="4" t="s">
        <v>42</v>
      </c>
      <c r="E690" s="8">
        <v>45245</v>
      </c>
      <c r="F690" s="4" t="s">
        <v>840</v>
      </c>
      <c r="G690" s="16" t="s">
        <v>51</v>
      </c>
      <c r="H690" s="4" t="s">
        <v>52</v>
      </c>
      <c r="I690" s="4" t="s">
        <v>407</v>
      </c>
      <c r="J690" s="10">
        <v>4.2552000000000003</v>
      </c>
      <c r="K690" s="10">
        <v>4.26</v>
      </c>
      <c r="L690" s="10">
        <f t="shared" si="133"/>
        <v>0</v>
      </c>
      <c r="M690" s="10">
        <f t="shared" si="134"/>
        <v>0</v>
      </c>
      <c r="N690" s="10"/>
      <c r="O690" s="10"/>
      <c r="P690" s="10">
        <v>0</v>
      </c>
      <c r="Q690" s="10"/>
      <c r="R690" s="10"/>
      <c r="S690" s="10"/>
      <c r="T690" s="10"/>
      <c r="U690" s="10"/>
      <c r="V690" s="4" t="s">
        <v>841</v>
      </c>
      <c r="W690" s="4"/>
      <c r="X690" s="8">
        <v>45250</v>
      </c>
      <c r="Y690" s="4">
        <v>45248</v>
      </c>
      <c r="Z690" s="4"/>
      <c r="AA690" s="8">
        <v>45269</v>
      </c>
      <c r="AB690" s="8">
        <v>45269</v>
      </c>
      <c r="AC690" s="4"/>
      <c r="AD690" s="4"/>
    </row>
    <row r="691" spans="1:30" hidden="1">
      <c r="A691" s="4">
        <v>1024</v>
      </c>
      <c r="B691" s="8">
        <v>45227</v>
      </c>
      <c r="C691" s="4"/>
      <c r="D691" s="4" t="s">
        <v>42</v>
      </c>
      <c r="E691" s="8">
        <v>45245</v>
      </c>
      <c r="F691" s="4" t="s">
        <v>840</v>
      </c>
      <c r="G691" s="16" t="s">
        <v>51</v>
      </c>
      <c r="H691" s="4" t="s">
        <v>52</v>
      </c>
      <c r="I691" s="4" t="s">
        <v>409</v>
      </c>
      <c r="J691" s="10">
        <v>1.4569999999999999</v>
      </c>
      <c r="K691" s="10">
        <v>1.454</v>
      </c>
      <c r="L691" s="10">
        <f t="shared" si="133"/>
        <v>0</v>
      </c>
      <c r="M691" s="10">
        <f t="shared" si="134"/>
        <v>0</v>
      </c>
      <c r="N691" s="10"/>
      <c r="O691" s="10"/>
      <c r="P691" s="10">
        <v>0</v>
      </c>
      <c r="Q691" s="10"/>
      <c r="R691" s="10"/>
      <c r="S691" s="10"/>
      <c r="T691" s="10"/>
      <c r="U691" s="10"/>
      <c r="V691" s="4" t="s">
        <v>841</v>
      </c>
      <c r="W691" s="4"/>
      <c r="X691" s="8">
        <v>45248</v>
      </c>
      <c r="Y691" s="4"/>
      <c r="Z691" s="4"/>
      <c r="AA691" s="8">
        <v>45269</v>
      </c>
      <c r="AB691" s="8">
        <v>45269</v>
      </c>
      <c r="AC691" s="4"/>
      <c r="AD691" s="4"/>
    </row>
    <row r="692" spans="1:30" hidden="1">
      <c r="A692" s="4">
        <v>1024</v>
      </c>
      <c r="B692" s="8">
        <v>45227</v>
      </c>
      <c r="C692" s="4"/>
      <c r="D692" s="4" t="s">
        <v>42</v>
      </c>
      <c r="E692" s="8">
        <v>45245</v>
      </c>
      <c r="F692" s="4" t="s">
        <v>840</v>
      </c>
      <c r="G692" s="16" t="s">
        <v>51</v>
      </c>
      <c r="H692" s="4" t="s">
        <v>52</v>
      </c>
      <c r="I692" s="4" t="s">
        <v>472</v>
      </c>
      <c r="J692" s="10">
        <v>2.6191499999999999</v>
      </c>
      <c r="K692" s="10">
        <v>2.6509999999999998</v>
      </c>
      <c r="L692" s="10">
        <f t="shared" si="133"/>
        <v>0</v>
      </c>
      <c r="M692" s="10">
        <f t="shared" si="134"/>
        <v>0</v>
      </c>
      <c r="N692" s="10"/>
      <c r="O692" s="10"/>
      <c r="P692" s="10">
        <v>0</v>
      </c>
      <c r="Q692" s="10"/>
      <c r="R692" s="10"/>
      <c r="S692" s="10"/>
      <c r="T692" s="10"/>
      <c r="U692" s="10"/>
      <c r="V692" s="4" t="s">
        <v>841</v>
      </c>
      <c r="W692" s="4"/>
      <c r="X692" s="8">
        <v>45251</v>
      </c>
      <c r="Y692" s="4"/>
      <c r="Z692" s="4"/>
      <c r="AA692" s="8"/>
      <c r="AB692" s="8"/>
      <c r="AC692" s="4"/>
      <c r="AD692" s="4"/>
    </row>
    <row r="693" spans="1:30" hidden="1">
      <c r="A693" s="4">
        <v>1024</v>
      </c>
      <c r="B693" s="8">
        <v>45227</v>
      </c>
      <c r="C693" s="4"/>
      <c r="D693" s="4" t="s">
        <v>42</v>
      </c>
      <c r="E693" s="8">
        <v>45245</v>
      </c>
      <c r="F693" s="4" t="s">
        <v>840</v>
      </c>
      <c r="G693" s="16" t="s">
        <v>51</v>
      </c>
      <c r="H693" s="4" t="s">
        <v>52</v>
      </c>
      <c r="I693" s="4" t="s">
        <v>473</v>
      </c>
      <c r="J693" s="10">
        <v>4.6495000000000006</v>
      </c>
      <c r="K693" s="10">
        <v>4.6900000000000004</v>
      </c>
      <c r="L693" s="10">
        <f t="shared" si="133"/>
        <v>0</v>
      </c>
      <c r="M693" s="10">
        <f t="shared" si="134"/>
        <v>0</v>
      </c>
      <c r="N693" s="10"/>
      <c r="O693" s="10"/>
      <c r="P693" s="10">
        <v>0</v>
      </c>
      <c r="Q693" s="10"/>
      <c r="R693" s="10"/>
      <c r="S693" s="10"/>
      <c r="T693" s="10"/>
      <c r="U693" s="10"/>
      <c r="V693" s="4" t="s">
        <v>841</v>
      </c>
      <c r="W693" s="4"/>
      <c r="X693" s="8">
        <v>45251</v>
      </c>
      <c r="Y693" s="4"/>
      <c r="Z693" s="4"/>
      <c r="AA693" s="8"/>
      <c r="AB693" s="8"/>
      <c r="AC693" s="4"/>
      <c r="AD693" s="4"/>
    </row>
    <row r="694" spans="1:30" hidden="1">
      <c r="A694" s="4">
        <v>1024</v>
      </c>
      <c r="B694" s="8">
        <v>45227</v>
      </c>
      <c r="C694" s="4"/>
      <c r="D694" s="4" t="s">
        <v>42</v>
      </c>
      <c r="E694" s="8">
        <v>45245</v>
      </c>
      <c r="F694" s="4" t="s">
        <v>840</v>
      </c>
      <c r="G694" s="16" t="s">
        <v>51</v>
      </c>
      <c r="H694" s="4" t="s">
        <v>52</v>
      </c>
      <c r="I694" s="4" t="s">
        <v>235</v>
      </c>
      <c r="J694" s="10">
        <v>5.5114999999999998</v>
      </c>
      <c r="K694" s="10">
        <v>5.5570000000000004</v>
      </c>
      <c r="L694" s="10">
        <f t="shared" si="133"/>
        <v>0</v>
      </c>
      <c r="M694" s="10">
        <f t="shared" si="134"/>
        <v>0</v>
      </c>
      <c r="N694" s="10"/>
      <c r="O694" s="10"/>
      <c r="P694" s="10">
        <v>0</v>
      </c>
      <c r="Q694" s="10"/>
      <c r="R694" s="10"/>
      <c r="S694" s="10"/>
      <c r="T694" s="10"/>
      <c r="U694" s="10"/>
      <c r="V694" s="4" t="s">
        <v>841</v>
      </c>
      <c r="W694" s="4"/>
      <c r="X694" s="8">
        <v>45250</v>
      </c>
      <c r="Y694" s="4"/>
      <c r="Z694" s="4"/>
      <c r="AA694" s="8">
        <v>45269</v>
      </c>
      <c r="AB694" s="8">
        <v>45269</v>
      </c>
      <c r="AC694" s="4"/>
      <c r="AD694" s="4"/>
    </row>
    <row r="695" spans="1:30" hidden="1">
      <c r="A695" s="4">
        <v>1024</v>
      </c>
      <c r="B695" s="8">
        <v>45227</v>
      </c>
      <c r="C695" s="4"/>
      <c r="D695" s="4" t="s">
        <v>42</v>
      </c>
      <c r="E695" s="8">
        <v>45245</v>
      </c>
      <c r="F695" s="4" t="s">
        <v>840</v>
      </c>
      <c r="G695" s="16" t="s">
        <v>51</v>
      </c>
      <c r="H695" s="4" t="s">
        <v>52</v>
      </c>
      <c r="I695" s="4" t="s">
        <v>100</v>
      </c>
      <c r="J695" s="10">
        <v>13.8416</v>
      </c>
      <c r="K695" s="10">
        <f>12.838+1.206</f>
        <v>14.043999999999999</v>
      </c>
      <c r="L695" s="10">
        <f t="shared" si="133"/>
        <v>0</v>
      </c>
      <c r="M695" s="10">
        <f t="shared" si="134"/>
        <v>0</v>
      </c>
      <c r="N695" s="10"/>
      <c r="O695" s="10"/>
      <c r="P695" s="10">
        <v>0</v>
      </c>
      <c r="Q695" s="10"/>
      <c r="R695" s="10"/>
      <c r="S695" s="10"/>
      <c r="T695" s="10"/>
      <c r="U695" s="10"/>
      <c r="V695" s="4" t="s">
        <v>841</v>
      </c>
      <c r="W695" s="4"/>
      <c r="X695" s="8">
        <v>45240</v>
      </c>
      <c r="Y695" s="4"/>
      <c r="Z695" s="4"/>
      <c r="AA695" s="8"/>
      <c r="AB695" s="8">
        <v>45268</v>
      </c>
      <c r="AC695" s="4"/>
      <c r="AD695" s="4"/>
    </row>
    <row r="696" spans="1:30" hidden="1">
      <c r="A696" s="4">
        <v>1026</v>
      </c>
      <c r="B696" s="8">
        <v>45227</v>
      </c>
      <c r="C696" s="4"/>
      <c r="D696" s="4" t="s">
        <v>42</v>
      </c>
      <c r="E696" s="8">
        <v>45245</v>
      </c>
      <c r="F696" s="4" t="s">
        <v>840</v>
      </c>
      <c r="G696" s="16" t="s">
        <v>44</v>
      </c>
      <c r="H696" s="4" t="s">
        <v>45</v>
      </c>
      <c r="I696" s="4" t="s">
        <v>54</v>
      </c>
      <c r="J696" s="10">
        <v>0.874</v>
      </c>
      <c r="K696" s="10">
        <v>0.874</v>
      </c>
      <c r="L696" s="10">
        <f t="shared" ref="L696:L721" si="135">M696+U696</f>
        <v>0</v>
      </c>
      <c r="M696" s="10">
        <f t="shared" ref="M696:M721" si="136">SUM(N696:T696)</f>
        <v>0</v>
      </c>
      <c r="N696" s="10"/>
      <c r="O696" s="10"/>
      <c r="P696" s="10">
        <v>0</v>
      </c>
      <c r="Q696" s="10"/>
      <c r="R696" s="10"/>
      <c r="S696" s="10"/>
      <c r="T696" s="10"/>
      <c r="U696" s="10"/>
      <c r="V696" s="4" t="s">
        <v>841</v>
      </c>
      <c r="W696" s="4"/>
      <c r="X696" s="8"/>
      <c r="Y696" s="4"/>
      <c r="Z696" s="4"/>
      <c r="AA696" s="8"/>
      <c r="AB696" s="8">
        <v>45262</v>
      </c>
      <c r="AC696" s="4"/>
      <c r="AD696" s="4"/>
    </row>
    <row r="697" spans="1:30" hidden="1">
      <c r="A697" s="4">
        <v>1026</v>
      </c>
      <c r="B697" s="8">
        <v>45227</v>
      </c>
      <c r="C697" s="4"/>
      <c r="D697" s="4" t="s">
        <v>42</v>
      </c>
      <c r="E697" s="8">
        <v>45245</v>
      </c>
      <c r="F697" s="4" t="s">
        <v>840</v>
      </c>
      <c r="G697" s="16" t="s">
        <v>44</v>
      </c>
      <c r="H697" s="4" t="s">
        <v>45</v>
      </c>
      <c r="I697" s="4" t="s">
        <v>56</v>
      </c>
      <c r="J697" s="10">
        <v>1.5389999999999999</v>
      </c>
      <c r="K697" s="10">
        <f>1.281+0.258</f>
        <v>1.5389999999999999</v>
      </c>
      <c r="L697" s="10">
        <f t="shared" si="135"/>
        <v>0</v>
      </c>
      <c r="M697" s="10">
        <f t="shared" si="136"/>
        <v>0</v>
      </c>
      <c r="N697" s="10"/>
      <c r="O697" s="10"/>
      <c r="P697" s="10">
        <v>0</v>
      </c>
      <c r="Q697" s="10"/>
      <c r="R697" s="10"/>
      <c r="S697" s="10"/>
      <c r="T697" s="10"/>
      <c r="U697" s="10"/>
      <c r="V697" s="4" t="s">
        <v>841</v>
      </c>
      <c r="W697" s="4"/>
      <c r="X697" s="8"/>
      <c r="Y697" s="4"/>
      <c r="Z697" s="4"/>
      <c r="AA697" s="8"/>
      <c r="AB697" s="8">
        <v>45262</v>
      </c>
      <c r="AC697" s="4"/>
      <c r="AD697" s="4"/>
    </row>
    <row r="698" spans="1:30" hidden="1">
      <c r="A698" s="4">
        <v>1026</v>
      </c>
      <c r="B698" s="8">
        <v>45227</v>
      </c>
      <c r="C698" s="4"/>
      <c r="D698" s="4" t="s">
        <v>42</v>
      </c>
      <c r="E698" s="8">
        <v>45245</v>
      </c>
      <c r="F698" s="4" t="s">
        <v>840</v>
      </c>
      <c r="G698" s="16" t="s">
        <v>44</v>
      </c>
      <c r="H698" s="4" t="s">
        <v>45</v>
      </c>
      <c r="I698" s="4" t="s">
        <v>48</v>
      </c>
      <c r="J698" s="10">
        <v>1.2669999999999999</v>
      </c>
      <c r="K698" s="10">
        <v>1.2669999999999999</v>
      </c>
      <c r="L698" s="10">
        <f t="shared" si="135"/>
        <v>0</v>
      </c>
      <c r="M698" s="10">
        <f t="shared" si="136"/>
        <v>0</v>
      </c>
      <c r="N698" s="10"/>
      <c r="O698" s="10"/>
      <c r="P698" s="10">
        <v>0</v>
      </c>
      <c r="Q698" s="10"/>
      <c r="R698" s="10"/>
      <c r="S698" s="10"/>
      <c r="T698" s="10"/>
      <c r="U698" s="10"/>
      <c r="V698" s="4" t="s">
        <v>841</v>
      </c>
      <c r="W698" s="4"/>
      <c r="X698" s="8"/>
      <c r="Y698" s="4"/>
      <c r="Z698" s="4"/>
      <c r="AA698" s="8">
        <v>45255</v>
      </c>
      <c r="AB698" s="8">
        <v>45255</v>
      </c>
      <c r="AC698" s="4"/>
      <c r="AD698" s="4"/>
    </row>
    <row r="699" spans="1:30" hidden="1">
      <c r="A699" s="4">
        <v>1026</v>
      </c>
      <c r="B699" s="8">
        <v>45227</v>
      </c>
      <c r="C699" s="4"/>
      <c r="D699" s="4" t="s">
        <v>42</v>
      </c>
      <c r="E699" s="8">
        <v>45245</v>
      </c>
      <c r="F699" s="4" t="s">
        <v>840</v>
      </c>
      <c r="G699" s="16" t="s">
        <v>44</v>
      </c>
      <c r="H699" s="4" t="s">
        <v>45</v>
      </c>
      <c r="I699" s="4" t="s">
        <v>403</v>
      </c>
      <c r="J699" s="10">
        <v>0.91300000000000003</v>
      </c>
      <c r="K699" s="10">
        <v>0.91200000000000003</v>
      </c>
      <c r="L699" s="10">
        <f t="shared" si="135"/>
        <v>0</v>
      </c>
      <c r="M699" s="10">
        <f t="shared" si="136"/>
        <v>0</v>
      </c>
      <c r="N699" s="10"/>
      <c r="O699" s="10"/>
      <c r="P699" s="10">
        <v>0</v>
      </c>
      <c r="Q699" s="10"/>
      <c r="R699" s="10"/>
      <c r="S699" s="10"/>
      <c r="T699" s="10"/>
      <c r="U699" s="10"/>
      <c r="V699" s="4" t="s">
        <v>841</v>
      </c>
      <c r="W699" s="4"/>
      <c r="X699" s="8"/>
      <c r="Y699" s="4"/>
      <c r="Z699" s="4"/>
      <c r="AA699" s="8"/>
      <c r="AB699" s="8"/>
      <c r="AC699" s="4"/>
      <c r="AD699" s="4"/>
    </row>
    <row r="700" spans="1:30" hidden="1">
      <c r="A700" s="4">
        <v>1026</v>
      </c>
      <c r="B700" s="8">
        <v>45227</v>
      </c>
      <c r="C700" s="4"/>
      <c r="D700" s="4" t="s">
        <v>42</v>
      </c>
      <c r="E700" s="8">
        <v>45245</v>
      </c>
      <c r="F700" s="4" t="s">
        <v>840</v>
      </c>
      <c r="G700" s="16" t="s">
        <v>44</v>
      </c>
      <c r="H700" s="4" t="s">
        <v>45</v>
      </c>
      <c r="I700" s="4" t="s">
        <v>46</v>
      </c>
      <c r="J700" s="10">
        <v>0.40199999999999997</v>
      </c>
      <c r="K700" s="10">
        <v>0.40200000000000002</v>
      </c>
      <c r="L700" s="10">
        <f t="shared" si="135"/>
        <v>0</v>
      </c>
      <c r="M700" s="10">
        <f t="shared" si="136"/>
        <v>0</v>
      </c>
      <c r="N700" s="10"/>
      <c r="O700" s="10"/>
      <c r="P700" s="10">
        <v>0</v>
      </c>
      <c r="Q700" s="10"/>
      <c r="R700" s="10"/>
      <c r="S700" s="10"/>
      <c r="T700" s="10"/>
      <c r="U700" s="10"/>
      <c r="V700" s="4" t="s">
        <v>841</v>
      </c>
      <c r="W700" s="4"/>
      <c r="X700" s="8"/>
      <c r="Y700" s="4"/>
      <c r="Z700" s="4"/>
      <c r="AA700" s="8"/>
      <c r="AB700" s="8"/>
      <c r="AC700" s="4"/>
      <c r="AD700" s="4"/>
    </row>
    <row r="701" spans="1:30" hidden="1">
      <c r="A701" s="4">
        <v>1026</v>
      </c>
      <c r="B701" s="8">
        <v>45227</v>
      </c>
      <c r="C701" s="4"/>
      <c r="D701" s="4" t="s">
        <v>42</v>
      </c>
      <c r="E701" s="8">
        <v>45245</v>
      </c>
      <c r="F701" s="4" t="s">
        <v>840</v>
      </c>
      <c r="G701" s="16" t="s">
        <v>44</v>
      </c>
      <c r="H701" s="4" t="s">
        <v>45</v>
      </c>
      <c r="I701" s="4" t="s">
        <v>49</v>
      </c>
      <c r="J701" s="10">
        <v>0.21840000000000001</v>
      </c>
      <c r="K701" s="10">
        <v>0.218</v>
      </c>
      <c r="L701" s="10">
        <f t="shared" si="135"/>
        <v>0</v>
      </c>
      <c r="M701" s="10">
        <f t="shared" si="136"/>
        <v>0</v>
      </c>
      <c r="N701" s="10"/>
      <c r="O701" s="10"/>
      <c r="P701" s="10">
        <v>0</v>
      </c>
      <c r="Q701" s="10"/>
      <c r="R701" s="10"/>
      <c r="S701" s="10"/>
      <c r="T701" s="10"/>
      <c r="U701" s="10"/>
      <c r="V701" s="4" t="s">
        <v>841</v>
      </c>
      <c r="W701" s="4"/>
      <c r="X701" s="8"/>
      <c r="Y701" s="4"/>
      <c r="Z701" s="4"/>
      <c r="AA701" s="8"/>
      <c r="AB701" s="8">
        <v>45268</v>
      </c>
      <c r="AC701" s="4"/>
      <c r="AD701" s="4"/>
    </row>
    <row r="702" spans="1:30" hidden="1">
      <c r="A702" s="4">
        <v>1026</v>
      </c>
      <c r="B702" s="8">
        <v>45227</v>
      </c>
      <c r="C702" s="4"/>
      <c r="D702" s="4" t="s">
        <v>42</v>
      </c>
      <c r="E702" s="8">
        <v>45245</v>
      </c>
      <c r="F702" s="4" t="s">
        <v>840</v>
      </c>
      <c r="G702" s="16" t="s">
        <v>44</v>
      </c>
      <c r="H702" s="4" t="s">
        <v>45</v>
      </c>
      <c r="I702" s="4" t="s">
        <v>50</v>
      </c>
      <c r="J702" s="10">
        <v>9.1874999999999998E-2</v>
      </c>
      <c r="K702" s="10">
        <v>0.09</v>
      </c>
      <c r="L702" s="10">
        <f t="shared" si="135"/>
        <v>0</v>
      </c>
      <c r="M702" s="10">
        <f t="shared" si="136"/>
        <v>0</v>
      </c>
      <c r="N702" s="10"/>
      <c r="O702" s="10"/>
      <c r="P702" s="10">
        <v>0</v>
      </c>
      <c r="Q702" s="10"/>
      <c r="R702" s="10"/>
      <c r="S702" s="10"/>
      <c r="T702" s="10"/>
      <c r="U702" s="10"/>
      <c r="V702" s="4" t="s">
        <v>841</v>
      </c>
      <c r="W702" s="4"/>
      <c r="X702" s="8">
        <v>45246</v>
      </c>
      <c r="Y702" s="4"/>
      <c r="Z702" s="4"/>
      <c r="AA702" s="8">
        <v>45269</v>
      </c>
      <c r="AB702" s="8">
        <v>45269</v>
      </c>
      <c r="AC702" s="4"/>
      <c r="AD702" s="4"/>
    </row>
    <row r="703" spans="1:30" hidden="1">
      <c r="A703" s="4">
        <v>1026</v>
      </c>
      <c r="B703" s="8">
        <v>45227</v>
      </c>
      <c r="C703" s="4"/>
      <c r="D703" s="4" t="s">
        <v>42</v>
      </c>
      <c r="E703" s="8">
        <v>45245</v>
      </c>
      <c r="F703" s="4" t="s">
        <v>840</v>
      </c>
      <c r="G703" s="16" t="s">
        <v>44</v>
      </c>
      <c r="H703" s="4" t="s">
        <v>45</v>
      </c>
      <c r="I703" s="4" t="s">
        <v>407</v>
      </c>
      <c r="J703" s="10">
        <v>0.9928800000000001</v>
      </c>
      <c r="K703" s="10">
        <v>0.99399999999999999</v>
      </c>
      <c r="L703" s="10">
        <f t="shared" si="135"/>
        <v>0</v>
      </c>
      <c r="M703" s="10">
        <f t="shared" si="136"/>
        <v>0</v>
      </c>
      <c r="N703" s="10"/>
      <c r="O703" s="10"/>
      <c r="P703" s="10">
        <v>0</v>
      </c>
      <c r="Q703" s="10"/>
      <c r="R703" s="10"/>
      <c r="S703" s="10"/>
      <c r="T703" s="10"/>
      <c r="U703" s="10"/>
      <c r="V703" s="4" t="s">
        <v>841</v>
      </c>
      <c r="W703" s="4"/>
      <c r="X703" s="8"/>
      <c r="Y703" s="4">
        <v>45248</v>
      </c>
      <c r="Z703" s="4"/>
      <c r="AA703" s="8">
        <v>45269</v>
      </c>
      <c r="AB703" s="8">
        <v>45269</v>
      </c>
      <c r="AC703" s="4"/>
      <c r="AD703" s="4"/>
    </row>
    <row r="704" spans="1:30" hidden="1">
      <c r="A704" s="4">
        <v>1026</v>
      </c>
      <c r="B704" s="8">
        <v>45227</v>
      </c>
      <c r="C704" s="4"/>
      <c r="D704" s="4" t="s">
        <v>42</v>
      </c>
      <c r="E704" s="8">
        <v>45245</v>
      </c>
      <c r="F704" s="4" t="s">
        <v>840</v>
      </c>
      <c r="G704" s="16" t="s">
        <v>44</v>
      </c>
      <c r="H704" s="4" t="s">
        <v>45</v>
      </c>
      <c r="I704" s="4" t="s">
        <v>409</v>
      </c>
      <c r="J704" s="10">
        <v>1.927</v>
      </c>
      <c r="K704" s="10">
        <v>1.923</v>
      </c>
      <c r="L704" s="10">
        <f t="shared" si="135"/>
        <v>0</v>
      </c>
      <c r="M704" s="10">
        <f t="shared" si="136"/>
        <v>0</v>
      </c>
      <c r="N704" s="10"/>
      <c r="O704" s="10"/>
      <c r="P704" s="10">
        <v>0</v>
      </c>
      <c r="Q704" s="10"/>
      <c r="R704" s="10"/>
      <c r="S704" s="10"/>
      <c r="T704" s="10"/>
      <c r="U704" s="10"/>
      <c r="V704" s="4" t="s">
        <v>841</v>
      </c>
      <c r="W704" s="4"/>
      <c r="X704" s="8">
        <v>45248</v>
      </c>
      <c r="Y704" s="4"/>
      <c r="Z704" s="4"/>
      <c r="AA704" s="8">
        <v>45269</v>
      </c>
      <c r="AB704" s="8">
        <v>45269</v>
      </c>
      <c r="AC704" s="4"/>
      <c r="AD704" s="4"/>
    </row>
    <row r="705" spans="1:30" hidden="1">
      <c r="A705" s="4">
        <v>1026</v>
      </c>
      <c r="B705" s="8">
        <v>45227</v>
      </c>
      <c r="C705" s="4"/>
      <c r="D705" s="4" t="s">
        <v>42</v>
      </c>
      <c r="E705" s="8">
        <v>45245</v>
      </c>
      <c r="F705" s="4" t="s">
        <v>840</v>
      </c>
      <c r="G705" s="16" t="s">
        <v>44</v>
      </c>
      <c r="H705" s="4" t="s">
        <v>45</v>
      </c>
      <c r="I705" s="4" t="s">
        <v>517</v>
      </c>
      <c r="J705" s="10">
        <v>0.96095999999999993</v>
      </c>
      <c r="K705" s="10">
        <v>0.96099999999999997</v>
      </c>
      <c r="L705" s="10">
        <f t="shared" si="135"/>
        <v>0</v>
      </c>
      <c r="M705" s="10">
        <f t="shared" si="136"/>
        <v>0</v>
      </c>
      <c r="N705" s="10"/>
      <c r="O705" s="10"/>
      <c r="P705" s="10">
        <v>0</v>
      </c>
      <c r="Q705" s="10"/>
      <c r="R705" s="10"/>
      <c r="S705" s="10"/>
      <c r="T705" s="10"/>
      <c r="U705" s="10"/>
      <c r="V705" s="4" t="s">
        <v>841</v>
      </c>
      <c r="W705" s="4"/>
      <c r="X705" s="8">
        <v>45233</v>
      </c>
      <c r="Y705" s="4"/>
      <c r="Z705" s="4"/>
      <c r="AA705" s="8"/>
      <c r="AB705" s="8">
        <v>45254</v>
      </c>
      <c r="AC705" s="4"/>
      <c r="AD705" s="4"/>
    </row>
    <row r="706" spans="1:30" hidden="1">
      <c r="A706" s="4">
        <v>1026</v>
      </c>
      <c r="B706" s="8">
        <v>45227</v>
      </c>
      <c r="C706" s="4"/>
      <c r="D706" s="4" t="s">
        <v>42</v>
      </c>
      <c r="E706" s="8">
        <v>45245</v>
      </c>
      <c r="F706" s="4" t="s">
        <v>840</v>
      </c>
      <c r="G706" s="16" t="s">
        <v>44</v>
      </c>
      <c r="H706" s="4" t="s">
        <v>45</v>
      </c>
      <c r="I706" s="4" t="s">
        <v>448</v>
      </c>
      <c r="J706" s="10">
        <v>0.79200000000000004</v>
      </c>
      <c r="K706" s="10">
        <v>0.79200000000000004</v>
      </c>
      <c r="L706" s="10">
        <f t="shared" si="135"/>
        <v>0</v>
      </c>
      <c r="M706" s="10">
        <f t="shared" si="136"/>
        <v>0</v>
      </c>
      <c r="N706" s="10"/>
      <c r="O706" s="10"/>
      <c r="P706" s="10">
        <v>0</v>
      </c>
      <c r="Q706" s="10"/>
      <c r="R706" s="10"/>
      <c r="S706" s="10"/>
      <c r="T706" s="10"/>
      <c r="U706" s="10"/>
      <c r="V706" s="4" t="s">
        <v>841</v>
      </c>
      <c r="W706" s="4"/>
      <c r="X706" s="8">
        <v>45233</v>
      </c>
      <c r="Y706" s="4"/>
      <c r="Z706" s="4"/>
      <c r="AA706" s="8"/>
      <c r="AB706" s="8">
        <v>45262</v>
      </c>
      <c r="AC706" s="4"/>
      <c r="AD706" s="4"/>
    </row>
    <row r="707" spans="1:30" hidden="1">
      <c r="A707" s="4">
        <v>1026</v>
      </c>
      <c r="B707" s="8">
        <v>45227</v>
      </c>
      <c r="C707" s="4"/>
      <c r="D707" s="4" t="s">
        <v>42</v>
      </c>
      <c r="E707" s="8">
        <v>45245</v>
      </c>
      <c r="F707" s="4" t="s">
        <v>840</v>
      </c>
      <c r="G707" s="16" t="s">
        <v>44</v>
      </c>
      <c r="H707" s="4" t="s">
        <v>45</v>
      </c>
      <c r="I707" s="4" t="s">
        <v>449</v>
      </c>
      <c r="J707" s="10">
        <v>0.86</v>
      </c>
      <c r="K707" s="10">
        <v>0.86</v>
      </c>
      <c r="L707" s="10">
        <f t="shared" si="135"/>
        <v>0</v>
      </c>
      <c r="M707" s="10">
        <f t="shared" si="136"/>
        <v>0</v>
      </c>
      <c r="N707" s="10"/>
      <c r="O707" s="10"/>
      <c r="P707" s="10">
        <v>0</v>
      </c>
      <c r="Q707" s="10"/>
      <c r="R707" s="10"/>
      <c r="S707" s="10"/>
      <c r="T707" s="10"/>
      <c r="U707" s="10"/>
      <c r="V707" s="4" t="s">
        <v>841</v>
      </c>
      <c r="W707" s="4"/>
      <c r="X707" s="8">
        <v>45233</v>
      </c>
      <c r="Y707" s="4"/>
      <c r="Z707" s="4"/>
      <c r="AA707" s="8"/>
      <c r="AB707" s="8"/>
      <c r="AC707" s="4"/>
      <c r="AD707" s="4"/>
    </row>
    <row r="708" spans="1:30" hidden="1">
      <c r="A708" s="4">
        <v>1026</v>
      </c>
      <c r="B708" s="8">
        <v>45227</v>
      </c>
      <c r="C708" s="4"/>
      <c r="D708" s="4" t="s">
        <v>42</v>
      </c>
      <c r="E708" s="8">
        <v>45245</v>
      </c>
      <c r="F708" s="4" t="s">
        <v>840</v>
      </c>
      <c r="G708" s="16" t="s">
        <v>44</v>
      </c>
      <c r="H708" s="4" t="s">
        <v>45</v>
      </c>
      <c r="I708" s="4" t="s">
        <v>472</v>
      </c>
      <c r="J708" s="10">
        <v>0.1368</v>
      </c>
      <c r="K708" s="10">
        <v>0.13800000000000001</v>
      </c>
      <c r="L708" s="10">
        <f t="shared" si="135"/>
        <v>0</v>
      </c>
      <c r="M708" s="10">
        <f t="shared" si="136"/>
        <v>0</v>
      </c>
      <c r="N708" s="10"/>
      <c r="O708" s="10"/>
      <c r="P708" s="10">
        <v>0</v>
      </c>
      <c r="Q708" s="10"/>
      <c r="R708" s="10"/>
      <c r="S708" s="10"/>
      <c r="T708" s="10"/>
      <c r="U708" s="10"/>
      <c r="V708" s="4" t="s">
        <v>841</v>
      </c>
      <c r="W708" s="4"/>
      <c r="X708" s="8">
        <v>45251</v>
      </c>
      <c r="Y708" s="4"/>
      <c r="Z708" s="4"/>
      <c r="AA708" s="8">
        <v>45269</v>
      </c>
      <c r="AB708" s="8">
        <v>45269</v>
      </c>
      <c r="AC708" s="4"/>
      <c r="AD708" s="4"/>
    </row>
    <row r="709" spans="1:30" hidden="1">
      <c r="A709" s="4">
        <v>1026</v>
      </c>
      <c r="B709" s="8">
        <v>45227</v>
      </c>
      <c r="C709" s="4"/>
      <c r="D709" s="4" t="s">
        <v>42</v>
      </c>
      <c r="E709" s="8">
        <v>45245</v>
      </c>
      <c r="F709" s="4" t="s">
        <v>840</v>
      </c>
      <c r="G709" s="16" t="s">
        <v>44</v>
      </c>
      <c r="H709" s="4" t="s">
        <v>45</v>
      </c>
      <c r="I709" s="4" t="s">
        <v>473</v>
      </c>
      <c r="J709" s="10">
        <v>0.27880000000000005</v>
      </c>
      <c r="K709" s="10">
        <v>0.28100000000000003</v>
      </c>
      <c r="L709" s="10">
        <f t="shared" si="135"/>
        <v>0</v>
      </c>
      <c r="M709" s="10">
        <f t="shared" si="136"/>
        <v>0</v>
      </c>
      <c r="N709" s="10"/>
      <c r="O709" s="10"/>
      <c r="P709" s="10">
        <v>0</v>
      </c>
      <c r="Q709" s="10"/>
      <c r="R709" s="10"/>
      <c r="S709" s="10"/>
      <c r="T709" s="10"/>
      <c r="U709" s="10"/>
      <c r="V709" s="4" t="s">
        <v>841</v>
      </c>
      <c r="W709" s="4"/>
      <c r="X709" s="8">
        <v>45227</v>
      </c>
      <c r="Y709" s="4"/>
      <c r="Z709" s="4"/>
      <c r="AA709" s="8"/>
      <c r="AB709" s="8">
        <v>45262</v>
      </c>
      <c r="AC709" s="4"/>
      <c r="AD709" s="4"/>
    </row>
    <row r="710" spans="1:30" hidden="1">
      <c r="A710" s="4">
        <v>1026</v>
      </c>
      <c r="B710" s="8">
        <v>45227</v>
      </c>
      <c r="C710" s="4"/>
      <c r="D710" s="4" t="s">
        <v>42</v>
      </c>
      <c r="E710" s="8">
        <v>45245</v>
      </c>
      <c r="F710" s="4" t="s">
        <v>840</v>
      </c>
      <c r="G710" s="16" t="s">
        <v>44</v>
      </c>
      <c r="H710" s="4" t="s">
        <v>45</v>
      </c>
      <c r="I710" s="4" t="s">
        <v>235</v>
      </c>
      <c r="J710" s="10">
        <v>0.24819999999999998</v>
      </c>
      <c r="K710" s="10">
        <v>0.25800000000000001</v>
      </c>
      <c r="L710" s="10">
        <f t="shared" si="135"/>
        <v>0</v>
      </c>
      <c r="M710" s="10">
        <f t="shared" si="136"/>
        <v>0</v>
      </c>
      <c r="N710" s="10"/>
      <c r="O710" s="10"/>
      <c r="P710" s="10">
        <v>0</v>
      </c>
      <c r="Q710" s="10"/>
      <c r="R710" s="10"/>
      <c r="S710" s="10"/>
      <c r="T710" s="10"/>
      <c r="U710" s="10"/>
      <c r="V710" s="4" t="s">
        <v>841</v>
      </c>
      <c r="W710" s="4"/>
      <c r="X710" s="8">
        <v>45249</v>
      </c>
      <c r="Y710" s="4"/>
      <c r="Z710" s="4"/>
      <c r="AA710" s="8"/>
      <c r="AB710" s="8"/>
      <c r="AC710" s="4"/>
      <c r="AD710" s="4"/>
    </row>
    <row r="711" spans="1:30" hidden="1">
      <c r="A711" s="4">
        <v>1026</v>
      </c>
      <c r="B711" s="8">
        <v>45227</v>
      </c>
      <c r="C711" s="4"/>
      <c r="D711" s="4" t="s">
        <v>42</v>
      </c>
      <c r="E711" s="8">
        <v>45245</v>
      </c>
      <c r="F711" s="4" t="s">
        <v>840</v>
      </c>
      <c r="G711" s="16" t="s">
        <v>44</v>
      </c>
      <c r="H711" s="4" t="s">
        <v>45</v>
      </c>
      <c r="I711" s="4" t="s">
        <v>100</v>
      </c>
      <c r="J711" s="10">
        <v>0.93479999999999985</v>
      </c>
      <c r="K711" s="10">
        <v>0.95599999999999996</v>
      </c>
      <c r="L711" s="10">
        <f t="shared" si="135"/>
        <v>0</v>
      </c>
      <c r="M711" s="10">
        <f t="shared" si="136"/>
        <v>0</v>
      </c>
      <c r="N711" s="10"/>
      <c r="O711" s="10"/>
      <c r="P711" s="10">
        <v>0</v>
      </c>
      <c r="Q711" s="10"/>
      <c r="R711" s="10"/>
      <c r="S711" s="10"/>
      <c r="T711" s="10"/>
      <c r="U711" s="10"/>
      <c r="V711" s="4" t="s">
        <v>841</v>
      </c>
      <c r="W711" s="4"/>
      <c r="X711" s="8">
        <v>45240</v>
      </c>
      <c r="Y711" s="4"/>
      <c r="Z711" s="4"/>
      <c r="AA711" s="8"/>
      <c r="AB711" s="8">
        <v>45262</v>
      </c>
      <c r="AC711" s="4"/>
      <c r="AD711" s="4"/>
    </row>
    <row r="712" spans="1:30" hidden="1">
      <c r="A712" s="4">
        <v>1026</v>
      </c>
      <c r="B712" s="8">
        <v>45227</v>
      </c>
      <c r="C712" s="4"/>
      <c r="D712" s="4" t="s">
        <v>42</v>
      </c>
      <c r="E712" s="8">
        <v>45245</v>
      </c>
      <c r="F712" s="4" t="s">
        <v>840</v>
      </c>
      <c r="G712" s="16" t="s">
        <v>44</v>
      </c>
      <c r="H712" s="4" t="s">
        <v>45</v>
      </c>
      <c r="I712" s="4" t="s">
        <v>96</v>
      </c>
      <c r="J712" s="10">
        <v>5.7599999999999998E-2</v>
      </c>
      <c r="K712" s="10">
        <v>8.6999999999999994E-2</v>
      </c>
      <c r="L712" s="10">
        <f t="shared" si="135"/>
        <v>0</v>
      </c>
      <c r="M712" s="10">
        <f t="shared" si="136"/>
        <v>0</v>
      </c>
      <c r="N712" s="10"/>
      <c r="O712" s="10"/>
      <c r="P712" s="10">
        <v>0</v>
      </c>
      <c r="Q712" s="10"/>
      <c r="R712" s="10"/>
      <c r="S712" s="10"/>
      <c r="T712" s="10"/>
      <c r="U712" s="10"/>
      <c r="V712" s="4" t="s">
        <v>841</v>
      </c>
      <c r="W712" s="4"/>
      <c r="X712" s="8">
        <v>45240</v>
      </c>
      <c r="Y712" s="4"/>
      <c r="Z712" s="4"/>
      <c r="AA712" s="8"/>
      <c r="AB712" s="8">
        <v>45262</v>
      </c>
      <c r="AC712" s="4"/>
      <c r="AD712" s="4"/>
    </row>
    <row r="713" spans="1:30" hidden="1">
      <c r="A713" s="4">
        <v>1026</v>
      </c>
      <c r="B713" s="8">
        <v>45227</v>
      </c>
      <c r="C713" s="4"/>
      <c r="D713" s="4" t="s">
        <v>42</v>
      </c>
      <c r="E713" s="8">
        <v>45245</v>
      </c>
      <c r="F713" s="4" t="s">
        <v>840</v>
      </c>
      <c r="G713" s="16" t="s">
        <v>51</v>
      </c>
      <c r="H713" s="4" t="s">
        <v>52</v>
      </c>
      <c r="I713" s="4" t="s">
        <v>54</v>
      </c>
      <c r="J713" s="10">
        <v>2.38</v>
      </c>
      <c r="K713" s="10">
        <v>2.38</v>
      </c>
      <c r="L713" s="10">
        <f t="shared" si="135"/>
        <v>0</v>
      </c>
      <c r="M713" s="10">
        <f t="shared" si="136"/>
        <v>0</v>
      </c>
      <c r="N713" s="10"/>
      <c r="O713" s="10"/>
      <c r="P713" s="10">
        <v>0</v>
      </c>
      <c r="Q713" s="10"/>
      <c r="R713" s="10"/>
      <c r="S713" s="10"/>
      <c r="T713" s="10"/>
      <c r="U713" s="10"/>
      <c r="V713" s="4" t="s">
        <v>841</v>
      </c>
      <c r="W713" s="4"/>
      <c r="X713" s="8">
        <v>45237</v>
      </c>
      <c r="Y713" s="4"/>
      <c r="Z713" s="4"/>
      <c r="AA713" s="8"/>
      <c r="AB713" s="8">
        <v>45254</v>
      </c>
      <c r="AC713" s="4"/>
      <c r="AD713" s="4"/>
    </row>
    <row r="714" spans="1:30" hidden="1">
      <c r="A714" s="4">
        <v>1026</v>
      </c>
      <c r="B714" s="8">
        <v>45227</v>
      </c>
      <c r="C714" s="4"/>
      <c r="D714" s="4" t="s">
        <v>42</v>
      </c>
      <c r="E714" s="8">
        <v>45245</v>
      </c>
      <c r="F714" s="4" t="s">
        <v>840</v>
      </c>
      <c r="G714" s="16" t="s">
        <v>51</v>
      </c>
      <c r="H714" s="4" t="s">
        <v>52</v>
      </c>
      <c r="I714" s="4" t="s">
        <v>56</v>
      </c>
      <c r="J714" s="10">
        <v>0.98699999999999999</v>
      </c>
      <c r="K714" s="10">
        <v>0.98699999999999999</v>
      </c>
      <c r="L714" s="10">
        <f t="shared" si="135"/>
        <v>0</v>
      </c>
      <c r="M714" s="10">
        <f t="shared" si="136"/>
        <v>0</v>
      </c>
      <c r="N714" s="10"/>
      <c r="O714" s="10"/>
      <c r="P714" s="10">
        <v>0</v>
      </c>
      <c r="Q714" s="10"/>
      <c r="R714" s="10"/>
      <c r="S714" s="10"/>
      <c r="T714" s="10"/>
      <c r="U714" s="10"/>
      <c r="V714" s="4" t="s">
        <v>841</v>
      </c>
      <c r="W714" s="4"/>
      <c r="X714" s="8"/>
      <c r="Y714" s="4"/>
      <c r="Z714" s="4"/>
      <c r="AA714" s="8"/>
      <c r="AB714" s="8">
        <v>45254</v>
      </c>
      <c r="AC714" s="4"/>
      <c r="AD714" s="4"/>
    </row>
    <row r="715" spans="1:30" hidden="1">
      <c r="A715" s="4">
        <v>1026</v>
      </c>
      <c r="B715" s="8">
        <v>45227</v>
      </c>
      <c r="C715" s="4"/>
      <c r="D715" s="4" t="s">
        <v>42</v>
      </c>
      <c r="E715" s="8">
        <v>45245</v>
      </c>
      <c r="F715" s="4" t="s">
        <v>840</v>
      </c>
      <c r="G715" s="16" t="s">
        <v>51</v>
      </c>
      <c r="H715" s="4" t="s">
        <v>52</v>
      </c>
      <c r="I715" s="4" t="s">
        <v>48</v>
      </c>
      <c r="J715" s="10">
        <v>0.19359999999999999</v>
      </c>
      <c r="K715" s="10">
        <v>0.19500000000000001</v>
      </c>
      <c r="L715" s="10">
        <f t="shared" si="135"/>
        <v>0</v>
      </c>
      <c r="M715" s="10">
        <f t="shared" si="136"/>
        <v>0</v>
      </c>
      <c r="N715" s="10"/>
      <c r="O715" s="10"/>
      <c r="P715" s="10">
        <v>0</v>
      </c>
      <c r="Q715" s="10"/>
      <c r="R715" s="10"/>
      <c r="S715" s="10"/>
      <c r="T715" s="10"/>
      <c r="U715" s="10"/>
      <c r="V715" s="4" t="s">
        <v>841</v>
      </c>
      <c r="W715" s="4"/>
      <c r="X715" s="8">
        <v>45237</v>
      </c>
      <c r="Y715" s="4"/>
      <c r="Z715" s="4"/>
      <c r="AA715" s="8"/>
      <c r="AB715" s="8"/>
      <c r="AC715" s="4"/>
      <c r="AD715" s="4"/>
    </row>
    <row r="716" spans="1:30" hidden="1">
      <c r="A716" s="4">
        <v>1026</v>
      </c>
      <c r="B716" s="8">
        <v>45227</v>
      </c>
      <c r="C716" s="4"/>
      <c r="D716" s="4" t="s">
        <v>42</v>
      </c>
      <c r="E716" s="8">
        <v>45245</v>
      </c>
      <c r="F716" s="4" t="s">
        <v>840</v>
      </c>
      <c r="G716" s="16" t="s">
        <v>51</v>
      </c>
      <c r="H716" s="4" t="s">
        <v>52</v>
      </c>
      <c r="I716" s="4" t="s">
        <v>403</v>
      </c>
      <c r="J716" s="10">
        <v>0.53120000000000001</v>
      </c>
      <c r="K716" s="10">
        <v>0.53100000000000003</v>
      </c>
      <c r="L716" s="10">
        <f t="shared" si="135"/>
        <v>0</v>
      </c>
      <c r="M716" s="10">
        <f t="shared" si="136"/>
        <v>0</v>
      </c>
      <c r="N716" s="10"/>
      <c r="O716" s="10"/>
      <c r="P716" s="10">
        <v>0</v>
      </c>
      <c r="Q716" s="10"/>
      <c r="R716" s="10"/>
      <c r="S716" s="10"/>
      <c r="T716" s="10"/>
      <c r="U716" s="10"/>
      <c r="V716" s="4" t="s">
        <v>841</v>
      </c>
      <c r="W716" s="4"/>
      <c r="X716" s="8"/>
      <c r="Y716" s="4"/>
      <c r="Z716" s="4"/>
      <c r="AA716" s="8">
        <v>45246</v>
      </c>
      <c r="AB716" s="8">
        <v>45246</v>
      </c>
      <c r="AC716" s="4"/>
      <c r="AD716" s="4"/>
    </row>
    <row r="717" spans="1:30" hidden="1">
      <c r="A717" s="4">
        <v>1026</v>
      </c>
      <c r="B717" s="8">
        <v>45227</v>
      </c>
      <c r="C717" s="4"/>
      <c r="D717" s="4" t="s">
        <v>42</v>
      </c>
      <c r="E717" s="8">
        <v>45245</v>
      </c>
      <c r="F717" s="4" t="s">
        <v>840</v>
      </c>
      <c r="G717" s="16" t="s">
        <v>51</v>
      </c>
      <c r="H717" s="4" t="s">
        <v>52</v>
      </c>
      <c r="I717" s="4" t="s">
        <v>46</v>
      </c>
      <c r="J717" s="10">
        <v>0.1608</v>
      </c>
      <c r="K717" s="10">
        <v>0.161</v>
      </c>
      <c r="L717" s="10">
        <f t="shared" si="135"/>
        <v>0</v>
      </c>
      <c r="M717" s="10">
        <f t="shared" si="136"/>
        <v>0</v>
      </c>
      <c r="N717" s="10"/>
      <c r="O717" s="10"/>
      <c r="P717" s="10">
        <v>0</v>
      </c>
      <c r="Q717" s="10"/>
      <c r="R717" s="10"/>
      <c r="S717" s="10"/>
      <c r="T717" s="10"/>
      <c r="U717" s="10"/>
      <c r="V717" s="4" t="s">
        <v>841</v>
      </c>
      <c r="W717" s="4"/>
      <c r="X717" s="8"/>
      <c r="Y717" s="4"/>
      <c r="Z717" s="4"/>
      <c r="AA717" s="8"/>
      <c r="AB717" s="8">
        <v>45262</v>
      </c>
      <c r="AC717" s="4"/>
      <c r="AD717" s="4"/>
    </row>
    <row r="718" spans="1:30" hidden="1">
      <c r="A718" s="4">
        <v>1026</v>
      </c>
      <c r="B718" s="8">
        <v>45227</v>
      </c>
      <c r="C718" s="4"/>
      <c r="D718" s="4" t="s">
        <v>42</v>
      </c>
      <c r="E718" s="8">
        <v>45245</v>
      </c>
      <c r="F718" s="4" t="s">
        <v>840</v>
      </c>
      <c r="G718" s="16" t="s">
        <v>51</v>
      </c>
      <c r="H718" s="4" t="s">
        <v>52</v>
      </c>
      <c r="I718" s="4" t="s">
        <v>472</v>
      </c>
      <c r="J718" s="10">
        <v>2.2629000000000001</v>
      </c>
      <c r="K718" s="10">
        <v>2.2909999999999999</v>
      </c>
      <c r="L718" s="10">
        <f t="shared" si="135"/>
        <v>0</v>
      </c>
      <c r="M718" s="10">
        <f t="shared" si="136"/>
        <v>0</v>
      </c>
      <c r="N718" s="10"/>
      <c r="O718" s="10"/>
      <c r="P718" s="10">
        <v>0</v>
      </c>
      <c r="Q718" s="10"/>
      <c r="R718" s="10"/>
      <c r="S718" s="10"/>
      <c r="T718" s="10"/>
      <c r="U718" s="10"/>
      <c r="V718" s="4" t="s">
        <v>841</v>
      </c>
      <c r="W718" s="4"/>
      <c r="X718" s="8">
        <v>45251</v>
      </c>
      <c r="Y718" s="4"/>
      <c r="Z718" s="4"/>
      <c r="AA718" s="8"/>
      <c r="AB718" s="8"/>
      <c r="AC718" s="4"/>
      <c r="AD718" s="4"/>
    </row>
    <row r="719" spans="1:30" hidden="1">
      <c r="A719" s="4">
        <v>1026</v>
      </c>
      <c r="B719" s="8">
        <v>45227</v>
      </c>
      <c r="C719" s="4"/>
      <c r="D719" s="4" t="s">
        <v>42</v>
      </c>
      <c r="E719" s="8">
        <v>45245</v>
      </c>
      <c r="F719" s="4" t="s">
        <v>840</v>
      </c>
      <c r="G719" s="16" t="s">
        <v>51</v>
      </c>
      <c r="H719" s="4" t="s">
        <v>52</v>
      </c>
      <c r="I719" s="4" t="s">
        <v>473</v>
      </c>
      <c r="J719" s="10">
        <v>0.31280000000000002</v>
      </c>
      <c r="K719" s="10">
        <v>0.316</v>
      </c>
      <c r="L719" s="10">
        <f t="shared" si="135"/>
        <v>0</v>
      </c>
      <c r="M719" s="10">
        <f t="shared" si="136"/>
        <v>0</v>
      </c>
      <c r="N719" s="10"/>
      <c r="O719" s="10"/>
      <c r="P719" s="10">
        <v>0</v>
      </c>
      <c r="Q719" s="10"/>
      <c r="R719" s="10"/>
      <c r="S719" s="10"/>
      <c r="T719" s="10"/>
      <c r="U719" s="10"/>
      <c r="V719" s="4" t="s">
        <v>841</v>
      </c>
      <c r="W719" s="4"/>
      <c r="X719" s="8">
        <v>45251</v>
      </c>
      <c r="Y719" s="4"/>
      <c r="Z719" s="4"/>
      <c r="AA719" s="8"/>
      <c r="AB719" s="8">
        <v>45268</v>
      </c>
      <c r="AC719" s="4"/>
      <c r="AD719" s="4"/>
    </row>
    <row r="720" spans="1:30" hidden="1">
      <c r="A720" s="4">
        <v>1026</v>
      </c>
      <c r="B720" s="8">
        <v>45227</v>
      </c>
      <c r="C720" s="4"/>
      <c r="D720" s="4" t="s">
        <v>42</v>
      </c>
      <c r="E720" s="8">
        <v>45245</v>
      </c>
      <c r="F720" s="4" t="s">
        <v>840</v>
      </c>
      <c r="G720" s="16" t="s">
        <v>51</v>
      </c>
      <c r="H720" s="4" t="s">
        <v>52</v>
      </c>
      <c r="I720" s="4" t="s">
        <v>235</v>
      </c>
      <c r="J720" s="10">
        <v>2.044</v>
      </c>
      <c r="K720" s="10">
        <v>2.0609999999999999</v>
      </c>
      <c r="L720" s="10">
        <f t="shared" si="135"/>
        <v>0</v>
      </c>
      <c r="M720" s="10">
        <f t="shared" si="136"/>
        <v>0</v>
      </c>
      <c r="N720" s="10"/>
      <c r="O720" s="10"/>
      <c r="P720" s="10">
        <v>0</v>
      </c>
      <c r="Q720" s="10"/>
      <c r="R720" s="10"/>
      <c r="S720" s="10"/>
      <c r="T720" s="10"/>
      <c r="U720" s="10"/>
      <c r="V720" s="4" t="s">
        <v>841</v>
      </c>
      <c r="W720" s="4"/>
      <c r="X720" s="8">
        <v>45250</v>
      </c>
      <c r="Y720" s="4"/>
      <c r="Z720" s="4"/>
      <c r="AA720" s="8">
        <v>45269</v>
      </c>
      <c r="AB720" s="8">
        <v>45269</v>
      </c>
      <c r="AC720" s="4"/>
      <c r="AD720" s="4"/>
    </row>
    <row r="721" spans="1:30" hidden="1">
      <c r="A721" s="4">
        <v>1026</v>
      </c>
      <c r="B721" s="8">
        <v>45227</v>
      </c>
      <c r="C721" s="4"/>
      <c r="D721" s="4" t="s">
        <v>42</v>
      </c>
      <c r="E721" s="8">
        <v>45245</v>
      </c>
      <c r="F721" s="4" t="s">
        <v>840</v>
      </c>
      <c r="G721" s="16" t="s">
        <v>51</v>
      </c>
      <c r="H721" s="4" t="s">
        <v>52</v>
      </c>
      <c r="I721" s="4" t="s">
        <v>100</v>
      </c>
      <c r="J721" s="10">
        <v>2.7387999999999999</v>
      </c>
      <c r="K721" s="10">
        <f>2.246+0.533</f>
        <v>2.7789999999999999</v>
      </c>
      <c r="L721" s="10">
        <f t="shared" si="135"/>
        <v>0</v>
      </c>
      <c r="M721" s="10">
        <f t="shared" si="136"/>
        <v>0</v>
      </c>
      <c r="N721" s="10"/>
      <c r="O721" s="10"/>
      <c r="P721" s="10">
        <v>0</v>
      </c>
      <c r="Q721" s="10"/>
      <c r="R721" s="10"/>
      <c r="S721" s="10"/>
      <c r="T721" s="10"/>
      <c r="U721" s="10"/>
      <c r="V721" s="4" t="s">
        <v>841</v>
      </c>
      <c r="W721" s="4"/>
      <c r="X721" s="8">
        <v>45240</v>
      </c>
      <c r="Y721" s="4"/>
      <c r="Z721" s="4"/>
      <c r="AA721" s="8"/>
      <c r="AB721" s="8">
        <v>45268</v>
      </c>
      <c r="AC721" s="4"/>
      <c r="AD721" s="4"/>
    </row>
    <row r="722" spans="1:30" hidden="1">
      <c r="A722" s="4">
        <v>1029</v>
      </c>
      <c r="B722" s="8">
        <v>45227</v>
      </c>
      <c r="C722" s="4"/>
      <c r="D722" s="4" t="s">
        <v>42</v>
      </c>
      <c r="E722" s="8">
        <v>45267</v>
      </c>
      <c r="F722" s="4" t="s">
        <v>43</v>
      </c>
      <c r="G722" s="16" t="s">
        <v>44</v>
      </c>
      <c r="H722" s="4" t="s">
        <v>45</v>
      </c>
      <c r="I722" s="4" t="s">
        <v>54</v>
      </c>
      <c r="J722" s="10">
        <v>59.287149999999997</v>
      </c>
      <c r="K722" s="10">
        <f>13.08+17.585+27.641+0.648+0.333</f>
        <v>59.286999999999999</v>
      </c>
      <c r="L722" s="10">
        <f t="shared" ref="L722:L752" si="137">M722+U722</f>
        <v>0</v>
      </c>
      <c r="M722" s="10">
        <f t="shared" ref="M722:M752" si="138">SUM(N722:T722)</f>
        <v>0</v>
      </c>
      <c r="N722" s="10"/>
      <c r="O722" s="10"/>
      <c r="P722" s="10">
        <v>0</v>
      </c>
      <c r="Q722" s="10"/>
      <c r="R722" s="10"/>
      <c r="S722" s="10"/>
      <c r="T722" s="10"/>
      <c r="U722" s="10"/>
      <c r="V722" s="4" t="s">
        <v>466</v>
      </c>
      <c r="W722" s="4"/>
      <c r="X722" s="8"/>
      <c r="Y722" s="4"/>
      <c r="Z722" s="4"/>
      <c r="AA722" s="8"/>
      <c r="AB722" s="8"/>
      <c r="AC722" s="4"/>
      <c r="AD722" s="4"/>
    </row>
    <row r="723" spans="1:30" hidden="1">
      <c r="A723" s="4">
        <v>1029</v>
      </c>
      <c r="B723" s="8">
        <v>45227</v>
      </c>
      <c r="C723" s="4"/>
      <c r="D723" s="4" t="s">
        <v>42</v>
      </c>
      <c r="E723" s="8">
        <v>45267</v>
      </c>
      <c r="F723" s="4" t="s">
        <v>43</v>
      </c>
      <c r="G723" s="16" t="s">
        <v>44</v>
      </c>
      <c r="H723" s="4" t="s">
        <v>45</v>
      </c>
      <c r="I723" s="4" t="s">
        <v>56</v>
      </c>
      <c r="J723" s="10">
        <v>14.662545</v>
      </c>
      <c r="K723" s="10">
        <f>3.15+5.091+6.422</f>
        <v>14.663</v>
      </c>
      <c r="L723" s="10">
        <f t="shared" si="137"/>
        <v>0</v>
      </c>
      <c r="M723" s="10">
        <f t="shared" si="138"/>
        <v>0</v>
      </c>
      <c r="N723" s="10"/>
      <c r="O723" s="10"/>
      <c r="P723" s="10">
        <v>0</v>
      </c>
      <c r="Q723" s="10"/>
      <c r="R723" s="10"/>
      <c r="S723" s="10"/>
      <c r="T723" s="10"/>
      <c r="U723" s="10"/>
      <c r="V723" s="4" t="s">
        <v>466</v>
      </c>
      <c r="W723" s="4"/>
      <c r="X723" s="8"/>
      <c r="Y723" s="4"/>
      <c r="Z723" s="4"/>
      <c r="AA723" s="8"/>
      <c r="AB723" s="8">
        <v>45280</v>
      </c>
      <c r="AC723" s="4"/>
      <c r="AD723" s="4"/>
    </row>
    <row r="724" spans="1:30" hidden="1">
      <c r="A724" s="4">
        <v>1029</v>
      </c>
      <c r="B724" s="8">
        <v>45227</v>
      </c>
      <c r="C724" s="4"/>
      <c r="D724" s="4" t="s">
        <v>42</v>
      </c>
      <c r="E724" s="8">
        <v>45267</v>
      </c>
      <c r="F724" s="4" t="s">
        <v>43</v>
      </c>
      <c r="G724" s="16" t="s">
        <v>44</v>
      </c>
      <c r="H724" s="4" t="s">
        <v>45</v>
      </c>
      <c r="I724" s="4" t="s">
        <v>48</v>
      </c>
      <c r="J724" s="10">
        <v>4.8689549999999997</v>
      </c>
      <c r="K724" s="10">
        <v>4.8689999999999998</v>
      </c>
      <c r="L724" s="10">
        <f t="shared" si="137"/>
        <v>0</v>
      </c>
      <c r="M724" s="10">
        <f t="shared" si="138"/>
        <v>0</v>
      </c>
      <c r="N724" s="10"/>
      <c r="O724" s="10"/>
      <c r="P724" s="10">
        <v>0</v>
      </c>
      <c r="Q724" s="10"/>
      <c r="R724" s="10"/>
      <c r="S724" s="10"/>
      <c r="T724" s="10"/>
      <c r="U724" s="10"/>
      <c r="V724" s="4" t="s">
        <v>466</v>
      </c>
      <c r="W724" s="4"/>
      <c r="X724" s="8"/>
      <c r="Y724" s="4"/>
      <c r="Z724" s="4"/>
      <c r="AA724" s="8"/>
      <c r="AB724" s="8">
        <v>45280</v>
      </c>
      <c r="AC724" s="4"/>
      <c r="AD724" s="4"/>
    </row>
    <row r="725" spans="1:30" hidden="1">
      <c r="A725" s="4">
        <v>1029</v>
      </c>
      <c r="B725" s="8">
        <v>45227</v>
      </c>
      <c r="C725" s="4"/>
      <c r="D725" s="4" t="s">
        <v>42</v>
      </c>
      <c r="E725" s="8">
        <v>45267</v>
      </c>
      <c r="F725" s="4" t="s">
        <v>43</v>
      </c>
      <c r="G725" s="16" t="s">
        <v>44</v>
      </c>
      <c r="H725" s="4" t="s">
        <v>45</v>
      </c>
      <c r="I725" s="4" t="s">
        <v>405</v>
      </c>
      <c r="J725" s="10">
        <v>1.5912000000000002</v>
      </c>
      <c r="K725" s="10">
        <v>1.591</v>
      </c>
      <c r="L725" s="10">
        <f t="shared" si="137"/>
        <v>0</v>
      </c>
      <c r="M725" s="10">
        <f t="shared" si="138"/>
        <v>0</v>
      </c>
      <c r="N725" s="10"/>
      <c r="O725" s="10"/>
      <c r="P725" s="10">
        <v>0</v>
      </c>
      <c r="Q725" s="10"/>
      <c r="R725" s="10"/>
      <c r="S725" s="10"/>
      <c r="T725" s="10"/>
      <c r="U725" s="10"/>
      <c r="V725" s="4" t="s">
        <v>466</v>
      </c>
      <c r="W725" s="4" t="s">
        <v>634</v>
      </c>
      <c r="X725" s="8"/>
      <c r="Y725" s="4"/>
      <c r="Z725" s="4"/>
      <c r="AA725" s="8"/>
      <c r="AB725" s="8"/>
      <c r="AC725" s="4"/>
      <c r="AD725" s="4"/>
    </row>
    <row r="726" spans="1:30" hidden="1">
      <c r="A726" s="4">
        <v>1029</v>
      </c>
      <c r="B726" s="8">
        <v>45227</v>
      </c>
      <c r="C726" s="4"/>
      <c r="D726" s="4" t="s">
        <v>42</v>
      </c>
      <c r="E726" s="8">
        <v>45267</v>
      </c>
      <c r="F726" s="4" t="s">
        <v>43</v>
      </c>
      <c r="G726" s="16" t="s">
        <v>44</v>
      </c>
      <c r="H726" s="4" t="s">
        <v>45</v>
      </c>
      <c r="I726" s="4" t="s">
        <v>400</v>
      </c>
      <c r="J726" s="10">
        <v>95.957599999999999</v>
      </c>
      <c r="K726" s="10">
        <f>32.615+14.868+3.54+31.766+2.868+3.446+6.856</f>
        <v>95.958999999999989</v>
      </c>
      <c r="L726" s="10">
        <f t="shared" si="137"/>
        <v>0</v>
      </c>
      <c r="M726" s="10">
        <f t="shared" si="138"/>
        <v>0</v>
      </c>
      <c r="N726" s="10"/>
      <c r="O726" s="10"/>
      <c r="P726" s="10">
        <v>0</v>
      </c>
      <c r="Q726" s="10"/>
      <c r="R726" s="10"/>
      <c r="S726" s="10"/>
      <c r="T726" s="10"/>
      <c r="U726" s="10"/>
      <c r="V726" s="4" t="s">
        <v>466</v>
      </c>
      <c r="W726" s="4"/>
      <c r="X726" s="8">
        <v>45253</v>
      </c>
      <c r="Y726" s="4"/>
      <c r="Z726" s="4"/>
      <c r="AA726" s="8">
        <v>45254</v>
      </c>
      <c r="AB726" s="8"/>
      <c r="AC726" s="4"/>
      <c r="AD726" s="4"/>
    </row>
    <row r="727" spans="1:30" hidden="1">
      <c r="A727" s="4">
        <v>1029</v>
      </c>
      <c r="B727" s="8">
        <v>45227</v>
      </c>
      <c r="C727" s="4"/>
      <c r="D727" s="4" t="s">
        <v>42</v>
      </c>
      <c r="E727" s="8">
        <v>45267</v>
      </c>
      <c r="F727" s="4" t="s">
        <v>43</v>
      </c>
      <c r="G727" s="16" t="s">
        <v>44</v>
      </c>
      <c r="H727" s="4" t="s">
        <v>45</v>
      </c>
      <c r="I727" s="4" t="s">
        <v>46</v>
      </c>
      <c r="J727" s="10">
        <v>11.276100000000001</v>
      </c>
      <c r="K727" s="10">
        <v>11.276</v>
      </c>
      <c r="L727" s="10">
        <f t="shared" si="137"/>
        <v>0</v>
      </c>
      <c r="M727" s="10">
        <f t="shared" si="138"/>
        <v>0</v>
      </c>
      <c r="N727" s="10"/>
      <c r="O727" s="10"/>
      <c r="P727" s="10">
        <v>0</v>
      </c>
      <c r="Q727" s="10"/>
      <c r="R727" s="10"/>
      <c r="S727" s="10"/>
      <c r="T727" s="10"/>
      <c r="U727" s="10"/>
      <c r="V727" s="4" t="s">
        <v>466</v>
      </c>
      <c r="W727" s="4"/>
      <c r="X727" s="8">
        <v>45253</v>
      </c>
      <c r="Y727" s="4"/>
      <c r="Z727" s="4"/>
      <c r="AA727" s="8"/>
      <c r="AB727" s="8"/>
      <c r="AC727" s="4"/>
      <c r="AD727" s="4"/>
    </row>
    <row r="728" spans="1:30" hidden="1">
      <c r="A728" s="4">
        <v>1029</v>
      </c>
      <c r="B728" s="8">
        <v>45227</v>
      </c>
      <c r="C728" s="4"/>
      <c r="D728" s="4" t="s">
        <v>42</v>
      </c>
      <c r="E728" s="8">
        <v>45267</v>
      </c>
      <c r="F728" s="4" t="s">
        <v>43</v>
      </c>
      <c r="G728" s="16" t="s">
        <v>44</v>
      </c>
      <c r="H728" s="4" t="s">
        <v>45</v>
      </c>
      <c r="I728" s="4" t="s">
        <v>587</v>
      </c>
      <c r="J728" s="10">
        <v>69.1053</v>
      </c>
      <c r="K728" s="10">
        <f>5.055+2.064+5.231+5.483+21.285+22.027+3.284+2.898+1.941</f>
        <v>69.268000000000001</v>
      </c>
      <c r="L728" s="10">
        <f t="shared" si="137"/>
        <v>0</v>
      </c>
      <c r="M728" s="10">
        <f t="shared" si="138"/>
        <v>0</v>
      </c>
      <c r="N728" s="10"/>
      <c r="O728" s="10"/>
      <c r="P728" s="10">
        <v>0</v>
      </c>
      <c r="Q728" s="10"/>
      <c r="R728" s="10"/>
      <c r="S728" s="10"/>
      <c r="T728" s="10"/>
      <c r="U728" s="10"/>
      <c r="V728" s="4" t="s">
        <v>466</v>
      </c>
      <c r="W728" s="4"/>
      <c r="X728" s="8">
        <v>45274</v>
      </c>
      <c r="Y728" s="4"/>
      <c r="Z728" s="4"/>
      <c r="AA728" s="8"/>
      <c r="AB728" s="8"/>
      <c r="AC728" s="4"/>
      <c r="AD728" s="4"/>
    </row>
    <row r="729" spans="1:30" hidden="1">
      <c r="A729" s="4">
        <v>1029</v>
      </c>
      <c r="B729" s="8">
        <v>45227</v>
      </c>
      <c r="C729" s="4"/>
      <c r="D729" s="4" t="s">
        <v>42</v>
      </c>
      <c r="E729" s="8">
        <v>45267</v>
      </c>
      <c r="F729" s="4" t="s">
        <v>43</v>
      </c>
      <c r="G729" s="16" t="s">
        <v>44</v>
      </c>
      <c r="H729" s="4" t="s">
        <v>45</v>
      </c>
      <c r="I729" s="4" t="s">
        <v>50</v>
      </c>
      <c r="J729" s="10">
        <v>110.5364</v>
      </c>
      <c r="K729" s="10">
        <f>10.731+7.389+14.074+32.545+25.157+9.698+3.629+7.315</f>
        <v>110.538</v>
      </c>
      <c r="L729" s="10">
        <f t="shared" si="137"/>
        <v>0</v>
      </c>
      <c r="M729" s="10">
        <f t="shared" si="138"/>
        <v>0</v>
      </c>
      <c r="N729" s="10"/>
      <c r="O729" s="10"/>
      <c r="P729" s="10">
        <v>0</v>
      </c>
      <c r="Q729" s="10"/>
      <c r="R729" s="10">
        <v>0</v>
      </c>
      <c r="S729" s="10"/>
      <c r="T729" s="10"/>
      <c r="U729" s="10"/>
      <c r="V729" s="4" t="s">
        <v>466</v>
      </c>
      <c r="W729" s="4"/>
      <c r="X729" s="8"/>
      <c r="Y729" s="4"/>
      <c r="Z729" s="4"/>
      <c r="AA729" s="8"/>
      <c r="AB729" s="8">
        <v>45280</v>
      </c>
      <c r="AC729" s="4"/>
      <c r="AD729" s="4"/>
    </row>
    <row r="730" spans="1:30" hidden="1">
      <c r="A730" s="4">
        <v>1029</v>
      </c>
      <c r="B730" s="8">
        <v>45227</v>
      </c>
      <c r="C730" s="4"/>
      <c r="D730" s="4" t="s">
        <v>42</v>
      </c>
      <c r="E730" s="8">
        <v>45267</v>
      </c>
      <c r="F730" s="4" t="s">
        <v>43</v>
      </c>
      <c r="G730" s="16" t="s">
        <v>44</v>
      </c>
      <c r="H730" s="4" t="s">
        <v>45</v>
      </c>
      <c r="I730" s="4" t="s">
        <v>588</v>
      </c>
      <c r="J730" s="10">
        <v>14.206500000000002</v>
      </c>
      <c r="K730" s="10">
        <v>14.206500000000002</v>
      </c>
      <c r="L730" s="10">
        <f t="shared" si="137"/>
        <v>0</v>
      </c>
      <c r="M730" s="10">
        <f t="shared" si="138"/>
        <v>0</v>
      </c>
      <c r="N730" s="10"/>
      <c r="O730" s="10"/>
      <c r="P730" s="10">
        <v>0</v>
      </c>
      <c r="Q730" s="10"/>
      <c r="R730" s="10"/>
      <c r="S730" s="10"/>
      <c r="T730" s="10"/>
      <c r="U730" s="10"/>
      <c r="V730" s="4" t="s">
        <v>466</v>
      </c>
      <c r="W730" s="4"/>
      <c r="X730" s="8"/>
      <c r="Y730" s="4"/>
      <c r="Z730" s="4"/>
      <c r="AA730" s="8"/>
      <c r="AB730" s="8"/>
      <c r="AC730" s="4"/>
      <c r="AD730" s="4"/>
    </row>
    <row r="731" spans="1:30" hidden="1">
      <c r="A731" s="4">
        <v>1029</v>
      </c>
      <c r="B731" s="8">
        <v>45227</v>
      </c>
      <c r="C731" s="4"/>
      <c r="D731" s="4" t="s">
        <v>42</v>
      </c>
      <c r="E731" s="8">
        <v>45267</v>
      </c>
      <c r="F731" s="4" t="s">
        <v>43</v>
      </c>
      <c r="G731" s="16" t="s">
        <v>44</v>
      </c>
      <c r="H731" s="4" t="s">
        <v>45</v>
      </c>
      <c r="I731" s="4" t="s">
        <v>407</v>
      </c>
      <c r="J731" s="10">
        <v>56.162560000000006</v>
      </c>
      <c r="K731" s="10">
        <f>11.477+4.309+11.359+21.534+2.84+4.644</f>
        <v>56.163000000000004</v>
      </c>
      <c r="L731" s="10">
        <f t="shared" si="137"/>
        <v>0</v>
      </c>
      <c r="M731" s="10">
        <f t="shared" si="138"/>
        <v>0</v>
      </c>
      <c r="N731" s="10"/>
      <c r="O731" s="10"/>
      <c r="P731" s="10">
        <v>0</v>
      </c>
      <c r="Q731" s="10"/>
      <c r="R731" s="10"/>
      <c r="S731" s="10"/>
      <c r="T731" s="10"/>
      <c r="U731" s="10"/>
      <c r="V731" s="4" t="s">
        <v>466</v>
      </c>
      <c r="W731" s="4"/>
      <c r="X731" s="8"/>
      <c r="Y731" s="4">
        <v>45247</v>
      </c>
      <c r="Z731" s="4"/>
      <c r="AA731" s="8"/>
      <c r="AB731" s="8">
        <v>45280</v>
      </c>
      <c r="AC731" s="4"/>
      <c r="AD731" s="4"/>
    </row>
    <row r="732" spans="1:30" hidden="1">
      <c r="A732" s="4">
        <v>1029</v>
      </c>
      <c r="B732" s="8">
        <v>45227</v>
      </c>
      <c r="C732" s="4"/>
      <c r="D732" s="4" t="s">
        <v>42</v>
      </c>
      <c r="E732" s="8">
        <v>45267</v>
      </c>
      <c r="F732" s="4" t="s">
        <v>43</v>
      </c>
      <c r="G732" s="16" t="s">
        <v>44</v>
      </c>
      <c r="H732" s="4" t="s">
        <v>45</v>
      </c>
      <c r="I732" s="4" t="s">
        <v>47</v>
      </c>
      <c r="J732" s="10">
        <v>152.448318</v>
      </c>
      <c r="K732" s="10">
        <f>7.65+8.063+8.29+3.553+32.689+32.477+21.031+32.65+6.045</f>
        <v>152.44800000000001</v>
      </c>
      <c r="L732" s="10">
        <f t="shared" si="137"/>
        <v>0</v>
      </c>
      <c r="M732" s="10">
        <f t="shared" si="138"/>
        <v>0</v>
      </c>
      <c r="N732" s="10"/>
      <c r="O732" s="10"/>
      <c r="P732" s="10">
        <v>0</v>
      </c>
      <c r="Q732" s="10"/>
      <c r="R732" s="10"/>
      <c r="S732" s="10"/>
      <c r="T732" s="10"/>
      <c r="U732" s="10"/>
      <c r="V732" s="4" t="s">
        <v>466</v>
      </c>
      <c r="W732" s="4"/>
      <c r="X732" s="8">
        <v>45248</v>
      </c>
      <c r="Y732" s="4"/>
      <c r="Z732" s="4"/>
      <c r="AA732" s="8"/>
      <c r="AB732" s="8"/>
      <c r="AC732" s="4"/>
      <c r="AD732" s="4"/>
    </row>
    <row r="733" spans="1:30" hidden="1">
      <c r="A733" s="4">
        <v>1029</v>
      </c>
      <c r="B733" s="8">
        <v>45227</v>
      </c>
      <c r="C733" s="4"/>
      <c r="D733" s="4" t="s">
        <v>42</v>
      </c>
      <c r="E733" s="8">
        <v>45267</v>
      </c>
      <c r="F733" s="4" t="s">
        <v>43</v>
      </c>
      <c r="G733" s="16" t="s">
        <v>44</v>
      </c>
      <c r="H733" s="4" t="s">
        <v>45</v>
      </c>
      <c r="I733" s="4" t="s">
        <v>519</v>
      </c>
      <c r="J733" s="10">
        <v>6.1911024000000001</v>
      </c>
      <c r="K733" s="10">
        <v>6.1909999999999998</v>
      </c>
      <c r="L733" s="10">
        <f t="shared" si="137"/>
        <v>0</v>
      </c>
      <c r="M733" s="10">
        <f t="shared" si="138"/>
        <v>0</v>
      </c>
      <c r="N733" s="10"/>
      <c r="O733" s="10"/>
      <c r="P733" s="10">
        <v>0</v>
      </c>
      <c r="Q733" s="10"/>
      <c r="R733" s="10"/>
      <c r="S733" s="10"/>
      <c r="T733" s="10"/>
      <c r="U733" s="10"/>
      <c r="V733" s="4" t="s">
        <v>466</v>
      </c>
      <c r="W733" s="4" t="s">
        <v>37</v>
      </c>
      <c r="X733" s="8">
        <v>45233</v>
      </c>
      <c r="Y733" s="4"/>
      <c r="Z733" s="4"/>
      <c r="AA733" s="8">
        <v>45246</v>
      </c>
      <c r="AB733" s="8">
        <v>45246</v>
      </c>
      <c r="AC733" s="4"/>
      <c r="AD733" s="4"/>
    </row>
    <row r="734" spans="1:30" hidden="1">
      <c r="A734" s="4">
        <v>1029</v>
      </c>
      <c r="B734" s="8">
        <v>45227</v>
      </c>
      <c r="C734" s="4"/>
      <c r="D734" s="4" t="s">
        <v>42</v>
      </c>
      <c r="E734" s="8">
        <v>45267</v>
      </c>
      <c r="F734" s="4" t="s">
        <v>43</v>
      </c>
      <c r="G734" s="16" t="s">
        <v>44</v>
      </c>
      <c r="H734" s="4" t="s">
        <v>45</v>
      </c>
      <c r="I734" s="4" t="s">
        <v>761</v>
      </c>
      <c r="J734" s="10">
        <v>11.5542</v>
      </c>
      <c r="K734" s="10">
        <v>11.554</v>
      </c>
      <c r="L734" s="10">
        <f t="shared" si="137"/>
        <v>0</v>
      </c>
      <c r="M734" s="10">
        <f t="shared" si="138"/>
        <v>0</v>
      </c>
      <c r="N734" s="10"/>
      <c r="O734" s="10"/>
      <c r="P734" s="10">
        <v>0</v>
      </c>
      <c r="Q734" s="10"/>
      <c r="R734" s="10"/>
      <c r="S734" s="10"/>
      <c r="T734" s="10"/>
      <c r="U734" s="10"/>
      <c r="V734" s="4" t="s">
        <v>466</v>
      </c>
      <c r="W734" s="4"/>
      <c r="X734" s="8"/>
      <c r="Y734" s="4"/>
      <c r="Z734" s="4"/>
      <c r="AA734" s="8">
        <v>45238</v>
      </c>
      <c r="AB734" s="8">
        <v>45238</v>
      </c>
      <c r="AC734" s="4"/>
      <c r="AD734" s="4"/>
    </row>
    <row r="735" spans="1:30" hidden="1">
      <c r="A735" s="4">
        <v>1029</v>
      </c>
      <c r="B735" s="8">
        <v>45227</v>
      </c>
      <c r="C735" s="4"/>
      <c r="D735" s="4" t="s">
        <v>42</v>
      </c>
      <c r="E735" s="8">
        <v>45267</v>
      </c>
      <c r="F735" s="4" t="s">
        <v>43</v>
      </c>
      <c r="G735" s="16" t="s">
        <v>44</v>
      </c>
      <c r="H735" s="4" t="s">
        <v>45</v>
      </c>
      <c r="I735" s="4" t="s">
        <v>517</v>
      </c>
      <c r="J735" s="10">
        <v>128.26300000000001</v>
      </c>
      <c r="K735" s="10">
        <f>27.89+32.775+3.002+4.366+28.518+20.358+8.214+2.866</f>
        <v>127.989</v>
      </c>
      <c r="L735" s="10">
        <f t="shared" si="137"/>
        <v>0</v>
      </c>
      <c r="M735" s="10">
        <f t="shared" si="138"/>
        <v>0</v>
      </c>
      <c r="N735" s="10"/>
      <c r="O735" s="10"/>
      <c r="P735" s="10">
        <v>0</v>
      </c>
      <c r="Q735" s="10"/>
      <c r="R735" s="10"/>
      <c r="S735" s="10"/>
      <c r="T735" s="10"/>
      <c r="U735" s="10"/>
      <c r="V735" s="4" t="s">
        <v>466</v>
      </c>
      <c r="W735" s="4"/>
      <c r="X735" s="8">
        <v>45230</v>
      </c>
      <c r="Y735" s="4"/>
      <c r="Z735" s="4"/>
      <c r="AA735" s="8"/>
      <c r="AB735" s="8">
        <v>45262</v>
      </c>
      <c r="AC735" s="4"/>
      <c r="AD735" s="4"/>
    </row>
    <row r="736" spans="1:30" hidden="1">
      <c r="A736" s="4">
        <v>1029</v>
      </c>
      <c r="B736" s="8">
        <v>45227</v>
      </c>
      <c r="C736" s="4"/>
      <c r="D736" s="4" t="s">
        <v>42</v>
      </c>
      <c r="E736" s="8">
        <v>45267</v>
      </c>
      <c r="F736" s="4" t="s">
        <v>43</v>
      </c>
      <c r="G736" s="16" t="s">
        <v>44</v>
      </c>
      <c r="H736" s="4" t="s">
        <v>45</v>
      </c>
      <c r="I736" s="4" t="s">
        <v>449</v>
      </c>
      <c r="J736" s="10">
        <v>8.4223999999999997</v>
      </c>
      <c r="K736" s="10">
        <f>5.896+2.527</f>
        <v>8.423</v>
      </c>
      <c r="L736" s="10">
        <f t="shared" si="137"/>
        <v>0</v>
      </c>
      <c r="M736" s="10">
        <f t="shared" si="138"/>
        <v>0</v>
      </c>
      <c r="N736" s="10"/>
      <c r="O736" s="10"/>
      <c r="P736" s="10">
        <v>0</v>
      </c>
      <c r="Q736" s="10"/>
      <c r="R736" s="10"/>
      <c r="S736" s="10"/>
      <c r="T736" s="10"/>
      <c r="U736" s="10"/>
      <c r="V736" s="4" t="s">
        <v>466</v>
      </c>
      <c r="W736" s="4"/>
      <c r="X736" s="8">
        <v>45233</v>
      </c>
      <c r="Y736" s="4"/>
      <c r="Z736" s="4"/>
      <c r="AA736" s="8">
        <v>45238</v>
      </c>
      <c r="AB736" s="8">
        <v>45246</v>
      </c>
      <c r="AC736" s="4"/>
      <c r="AD736" s="4"/>
    </row>
    <row r="737" spans="1:30" hidden="1">
      <c r="A737" s="4">
        <v>1029</v>
      </c>
      <c r="B737" s="8">
        <v>45227</v>
      </c>
      <c r="C737" s="4"/>
      <c r="D737" s="4" t="s">
        <v>42</v>
      </c>
      <c r="E737" s="8">
        <v>45267</v>
      </c>
      <c r="F737" s="4" t="s">
        <v>43</v>
      </c>
      <c r="G737" s="16" t="s">
        <v>44</v>
      </c>
      <c r="H737" s="4" t="s">
        <v>45</v>
      </c>
      <c r="I737" s="4" t="s">
        <v>472</v>
      </c>
      <c r="J737" s="10">
        <f>133.010035-25.83</f>
        <v>107.18003499999999</v>
      </c>
      <c r="K737" s="10">
        <f>32.906+32.047+26.357+15.873</f>
        <v>107.18300000000001</v>
      </c>
      <c r="L737" s="10">
        <f t="shared" si="137"/>
        <v>0</v>
      </c>
      <c r="M737" s="10">
        <f t="shared" si="138"/>
        <v>0</v>
      </c>
      <c r="N737" s="10"/>
      <c r="O737" s="10"/>
      <c r="P737" s="10">
        <v>0</v>
      </c>
      <c r="Q737" s="10"/>
      <c r="R737" s="10"/>
      <c r="S737" s="10"/>
      <c r="T737" s="10"/>
      <c r="U737" s="10"/>
      <c r="V737" s="4" t="s">
        <v>466</v>
      </c>
      <c r="W737" s="4"/>
      <c r="X737" s="8"/>
      <c r="Y737" s="4"/>
      <c r="Z737" s="4"/>
      <c r="AA737" s="8"/>
      <c r="AB737" s="8">
        <v>45273</v>
      </c>
      <c r="AC737" s="4"/>
      <c r="AD737" s="4"/>
    </row>
    <row r="738" spans="1:30" hidden="1">
      <c r="A738" s="4">
        <v>1029</v>
      </c>
      <c r="B738" s="8">
        <v>45227</v>
      </c>
      <c r="C738" s="4"/>
      <c r="D738" s="4" t="s">
        <v>42</v>
      </c>
      <c r="E738" s="8">
        <v>45267</v>
      </c>
      <c r="F738" s="4" t="s">
        <v>43</v>
      </c>
      <c r="G738" s="16" t="s">
        <v>44</v>
      </c>
      <c r="H738" s="4" t="s">
        <v>45</v>
      </c>
      <c r="I738" s="4" t="s">
        <v>473</v>
      </c>
      <c r="J738" s="10">
        <f>77.3808-15.09</f>
        <v>62.29079999999999</v>
      </c>
      <c r="K738" s="10">
        <f>6.942+32.362+21.17+1.814</f>
        <v>62.288000000000004</v>
      </c>
      <c r="L738" s="10">
        <f t="shared" si="137"/>
        <v>0</v>
      </c>
      <c r="M738" s="10">
        <f t="shared" si="138"/>
        <v>0</v>
      </c>
      <c r="N738" s="10"/>
      <c r="O738" s="10"/>
      <c r="P738" s="10">
        <v>0</v>
      </c>
      <c r="Q738" s="10"/>
      <c r="R738" s="10"/>
      <c r="S738" s="10"/>
      <c r="T738" s="10"/>
      <c r="U738" s="10"/>
      <c r="V738" s="4" t="s">
        <v>466</v>
      </c>
      <c r="W738" s="4"/>
      <c r="X738" s="8"/>
      <c r="Y738" s="4"/>
      <c r="Z738" s="4"/>
      <c r="AA738" s="8"/>
      <c r="AB738" s="8"/>
      <c r="AC738" s="4"/>
      <c r="AD738" s="4"/>
    </row>
    <row r="739" spans="1:30" hidden="1">
      <c r="A739" s="4">
        <v>1029</v>
      </c>
      <c r="B739" s="8">
        <v>45227</v>
      </c>
      <c r="C739" s="4"/>
      <c r="D739" s="4" t="s">
        <v>42</v>
      </c>
      <c r="E739" s="8">
        <v>45267</v>
      </c>
      <c r="F739" s="4" t="s">
        <v>43</v>
      </c>
      <c r="G739" s="16" t="s">
        <v>44</v>
      </c>
      <c r="H739" s="4" t="s">
        <v>45</v>
      </c>
      <c r="I739" s="4" t="s">
        <v>237</v>
      </c>
      <c r="J739" s="10">
        <v>82.705765</v>
      </c>
      <c r="K739" s="10">
        <f>3.628+13.651+30.634+31.51+3.338</f>
        <v>82.760999999999996</v>
      </c>
      <c r="L739" s="10">
        <f t="shared" si="137"/>
        <v>0</v>
      </c>
      <c r="M739" s="10">
        <f t="shared" si="138"/>
        <v>0</v>
      </c>
      <c r="N739" s="10"/>
      <c r="O739" s="10"/>
      <c r="P739" s="10">
        <v>0</v>
      </c>
      <c r="Q739" s="10"/>
      <c r="R739" s="10"/>
      <c r="S739" s="10"/>
      <c r="T739" s="10"/>
      <c r="U739" s="10"/>
      <c r="V739" s="4" t="s">
        <v>466</v>
      </c>
      <c r="W739" s="4"/>
      <c r="X739" s="8">
        <v>45267</v>
      </c>
      <c r="Y739" s="4"/>
      <c r="Z739" s="4"/>
      <c r="AA739" s="8"/>
      <c r="AB739" s="8"/>
      <c r="AC739" s="4"/>
      <c r="AD739" s="4"/>
    </row>
    <row r="740" spans="1:30" hidden="1">
      <c r="A740" s="4">
        <v>1029</v>
      </c>
      <c r="B740" s="8">
        <v>45227</v>
      </c>
      <c r="C740" s="4"/>
      <c r="D740" s="4" t="s">
        <v>42</v>
      </c>
      <c r="E740" s="8">
        <v>45267</v>
      </c>
      <c r="F740" s="4" t="s">
        <v>43</v>
      </c>
      <c r="G740" s="16" t="s">
        <v>44</v>
      </c>
      <c r="H740" s="4" t="s">
        <v>45</v>
      </c>
      <c r="I740" s="4" t="s">
        <v>235</v>
      </c>
      <c r="J740" s="10">
        <v>130.72832</v>
      </c>
      <c r="K740" s="10">
        <f>11.342+9.267+32.314+1.1+32.394+31.582+9.274+3.489</f>
        <v>130.762</v>
      </c>
      <c r="L740" s="10">
        <f>M740+U740</f>
        <v>0</v>
      </c>
      <c r="M740" s="10">
        <f t="shared" si="138"/>
        <v>0</v>
      </c>
      <c r="N740" s="10"/>
      <c r="O740" s="10"/>
      <c r="P740" s="10">
        <v>0</v>
      </c>
      <c r="Q740" s="10"/>
      <c r="R740" s="10"/>
      <c r="S740" s="10"/>
      <c r="T740" s="10"/>
      <c r="U740" s="10"/>
      <c r="V740" s="4" t="s">
        <v>466</v>
      </c>
      <c r="W740" s="4"/>
      <c r="X740" s="8">
        <v>45267</v>
      </c>
      <c r="Y740" s="4"/>
      <c r="Z740" s="4"/>
      <c r="AA740" s="8">
        <v>45252</v>
      </c>
      <c r="AB740" s="8">
        <v>45273</v>
      </c>
      <c r="AC740" s="4"/>
      <c r="AD740" s="4"/>
    </row>
    <row r="741" spans="1:30" hidden="1">
      <c r="A741" s="4">
        <v>1029</v>
      </c>
      <c r="B741" s="8">
        <v>45227</v>
      </c>
      <c r="C741" s="4"/>
      <c r="D741" s="4" t="s">
        <v>42</v>
      </c>
      <c r="E741" s="8">
        <v>45267</v>
      </c>
      <c r="F741" s="4" t="s">
        <v>43</v>
      </c>
      <c r="G741" s="16" t="s">
        <v>44</v>
      </c>
      <c r="H741" s="4" t="s">
        <v>45</v>
      </c>
      <c r="I741" s="4" t="s">
        <v>246</v>
      </c>
      <c r="J741" s="10">
        <v>99.130824999999987</v>
      </c>
      <c r="K741" s="10">
        <f>12.386+10.328+7.658+22.52+17.153+15.345+8.374+1.028+4.339</f>
        <v>99.130999999999986</v>
      </c>
      <c r="L741" s="10">
        <f t="shared" si="137"/>
        <v>0</v>
      </c>
      <c r="M741" s="10">
        <f t="shared" si="138"/>
        <v>0</v>
      </c>
      <c r="N741" s="10"/>
      <c r="O741" s="10"/>
      <c r="P741" s="10">
        <v>0</v>
      </c>
      <c r="Q741" s="10"/>
      <c r="R741" s="10">
        <v>0</v>
      </c>
      <c r="S741" s="10"/>
      <c r="T741" s="10"/>
      <c r="U741" s="10"/>
      <c r="V741" s="4" t="s">
        <v>466</v>
      </c>
      <c r="W741" s="4"/>
      <c r="X741" s="8">
        <v>45264</v>
      </c>
      <c r="Y741" s="4"/>
      <c r="Z741" s="4"/>
      <c r="AA741" s="8"/>
      <c r="AB741" s="8"/>
      <c r="AC741" s="4"/>
      <c r="AD741" s="4"/>
    </row>
    <row r="742" spans="1:30" hidden="1">
      <c r="A742" s="4">
        <v>1029</v>
      </c>
      <c r="B742" s="8">
        <v>45227</v>
      </c>
      <c r="C742" s="4"/>
      <c r="D742" s="4" t="s">
        <v>42</v>
      </c>
      <c r="E742" s="8">
        <v>45267</v>
      </c>
      <c r="F742" s="4" t="s">
        <v>43</v>
      </c>
      <c r="G742" s="16" t="s">
        <v>44</v>
      </c>
      <c r="H742" s="4" t="s">
        <v>45</v>
      </c>
      <c r="I742" s="4" t="s">
        <v>100</v>
      </c>
      <c r="J742" s="10">
        <v>121.28896000000002</v>
      </c>
      <c r="K742" s="10">
        <f>15.217+4.937+15.027+15.005+39.054+4.921+15.584+5.574+5.969</f>
        <v>121.28800000000001</v>
      </c>
      <c r="L742" s="10">
        <f t="shared" si="137"/>
        <v>0</v>
      </c>
      <c r="M742" s="10">
        <f t="shared" si="138"/>
        <v>0</v>
      </c>
      <c r="N742" s="10"/>
      <c r="O742" s="10"/>
      <c r="P742" s="10">
        <v>0</v>
      </c>
      <c r="Q742" s="10"/>
      <c r="R742" s="10"/>
      <c r="S742" s="10"/>
      <c r="T742" s="10"/>
      <c r="U742" s="10"/>
      <c r="V742" s="4" t="s">
        <v>466</v>
      </c>
      <c r="W742" s="4" t="s">
        <v>1400</v>
      </c>
      <c r="X742" s="8">
        <v>45263</v>
      </c>
      <c r="Y742" s="4"/>
      <c r="Z742" s="4"/>
      <c r="AA742" s="8">
        <v>45266</v>
      </c>
      <c r="AB742" s="8"/>
      <c r="AC742" s="4"/>
      <c r="AD742" s="4"/>
    </row>
    <row r="743" spans="1:30" hidden="1">
      <c r="A743" s="4">
        <v>1029</v>
      </c>
      <c r="B743" s="8">
        <v>45227</v>
      </c>
      <c r="C743" s="4"/>
      <c r="D743" s="4" t="s">
        <v>42</v>
      </c>
      <c r="E743" s="8">
        <v>45267</v>
      </c>
      <c r="F743" s="4" t="s">
        <v>43</v>
      </c>
      <c r="G743" s="16" t="s">
        <v>44</v>
      </c>
      <c r="H743" s="4" t="s">
        <v>45</v>
      </c>
      <c r="I743" s="4" t="s">
        <v>96</v>
      </c>
      <c r="J743" s="10">
        <v>30.732779999999998</v>
      </c>
      <c r="K743" s="10">
        <f>16.798+16.952</f>
        <v>33.75</v>
      </c>
      <c r="L743" s="10">
        <f t="shared" si="137"/>
        <v>0</v>
      </c>
      <c r="M743" s="10">
        <f t="shared" si="138"/>
        <v>0</v>
      </c>
      <c r="N743" s="10"/>
      <c r="O743" s="10"/>
      <c r="P743" s="10"/>
      <c r="Q743" s="10"/>
      <c r="R743" s="10"/>
      <c r="S743" s="10"/>
      <c r="T743" s="10"/>
      <c r="U743" s="10"/>
      <c r="V743" s="4" t="s">
        <v>466</v>
      </c>
      <c r="W743" s="4"/>
      <c r="X743" s="8">
        <v>45263</v>
      </c>
      <c r="Y743" s="4"/>
      <c r="Z743" s="4"/>
      <c r="AA743" s="8"/>
      <c r="AB743" s="8"/>
      <c r="AC743" s="4"/>
      <c r="AD743" s="4"/>
    </row>
    <row r="744" spans="1:30" hidden="1">
      <c r="A744" s="4">
        <v>1029</v>
      </c>
      <c r="B744" s="8">
        <v>45227</v>
      </c>
      <c r="C744" s="4"/>
      <c r="D744" s="4" t="s">
        <v>42</v>
      </c>
      <c r="E744" s="8">
        <v>45267</v>
      </c>
      <c r="F744" s="4" t="s">
        <v>43</v>
      </c>
      <c r="G744" s="16" t="s">
        <v>51</v>
      </c>
      <c r="H744" s="4" t="s">
        <v>52</v>
      </c>
      <c r="I744" s="4" t="s">
        <v>54</v>
      </c>
      <c r="J744" s="10">
        <v>88.240392</v>
      </c>
      <c r="K744" s="10">
        <f>6.007+11.454+14.829+32.947+5.028+18.139</f>
        <v>88.403999999999996</v>
      </c>
      <c r="L744" s="10">
        <f t="shared" si="137"/>
        <v>0</v>
      </c>
      <c r="M744" s="10">
        <f t="shared" si="138"/>
        <v>0</v>
      </c>
      <c r="N744" s="10"/>
      <c r="O744" s="10"/>
      <c r="P744" s="10">
        <v>0</v>
      </c>
      <c r="Q744" s="10"/>
      <c r="R744" s="10"/>
      <c r="S744" s="10"/>
      <c r="T744" s="10"/>
      <c r="U744" s="10"/>
      <c r="V744" s="4" t="s">
        <v>466</v>
      </c>
      <c r="W744" s="4" t="s">
        <v>37</v>
      </c>
      <c r="X744" s="8">
        <v>45262</v>
      </c>
      <c r="Y744" s="4"/>
      <c r="Z744" s="4"/>
      <c r="AA744" s="8">
        <v>45266</v>
      </c>
      <c r="AB744" s="8"/>
      <c r="AC744" s="4"/>
      <c r="AD744" s="4"/>
    </row>
    <row r="745" spans="1:30" hidden="1">
      <c r="A745" s="4">
        <v>1029</v>
      </c>
      <c r="B745" s="8">
        <v>45227</v>
      </c>
      <c r="C745" s="4"/>
      <c r="D745" s="4" t="s">
        <v>42</v>
      </c>
      <c r="E745" s="8">
        <v>45267</v>
      </c>
      <c r="F745" s="4" t="s">
        <v>43</v>
      </c>
      <c r="G745" s="16" t="s">
        <v>51</v>
      </c>
      <c r="H745" s="4" t="s">
        <v>52</v>
      </c>
      <c r="I745" s="4" t="s">
        <v>56</v>
      </c>
      <c r="J745" s="10">
        <v>20.86985</v>
      </c>
      <c r="K745" s="10">
        <f>18.428+1.878+0.563</f>
        <v>20.869</v>
      </c>
      <c r="L745" s="10">
        <f t="shared" si="137"/>
        <v>0</v>
      </c>
      <c r="M745" s="10">
        <f t="shared" si="138"/>
        <v>0</v>
      </c>
      <c r="N745" s="10"/>
      <c r="O745" s="10"/>
      <c r="P745" s="10">
        <v>0</v>
      </c>
      <c r="Q745" s="10"/>
      <c r="R745" s="10"/>
      <c r="S745" s="10"/>
      <c r="T745" s="10"/>
      <c r="U745" s="10"/>
      <c r="V745" s="4" t="s">
        <v>466</v>
      </c>
      <c r="W745" s="4" t="s">
        <v>37</v>
      </c>
      <c r="X745" s="8">
        <v>45262</v>
      </c>
      <c r="Y745" s="4"/>
      <c r="Z745" s="4"/>
      <c r="AA745" s="8">
        <v>45266</v>
      </c>
      <c r="AB745" s="8"/>
      <c r="AC745" s="4"/>
      <c r="AD745" s="4"/>
    </row>
    <row r="746" spans="1:30" hidden="1">
      <c r="A746" s="4">
        <v>1029</v>
      </c>
      <c r="B746" s="8">
        <v>45227</v>
      </c>
      <c r="C746" s="4"/>
      <c r="D746" s="4" t="s">
        <v>42</v>
      </c>
      <c r="E746" s="8">
        <v>45267</v>
      </c>
      <c r="F746" s="4" t="s">
        <v>43</v>
      </c>
      <c r="G746" s="16" t="s">
        <v>51</v>
      </c>
      <c r="H746" s="4" t="s">
        <v>52</v>
      </c>
      <c r="I746" s="4" t="s">
        <v>405</v>
      </c>
      <c r="J746" s="10">
        <v>46.92</v>
      </c>
      <c r="K746" s="10">
        <f>21.701+19.472+4.106+0.649+1.087</f>
        <v>47.015000000000008</v>
      </c>
      <c r="L746" s="10">
        <f t="shared" si="137"/>
        <v>0</v>
      </c>
      <c r="M746" s="10">
        <f t="shared" si="138"/>
        <v>0</v>
      </c>
      <c r="N746" s="10"/>
      <c r="O746" s="10"/>
      <c r="P746" s="10">
        <v>0</v>
      </c>
      <c r="Q746" s="10"/>
      <c r="R746" s="10"/>
      <c r="S746" s="10"/>
      <c r="T746" s="10"/>
      <c r="U746" s="10"/>
      <c r="V746" s="4" t="s">
        <v>466</v>
      </c>
      <c r="W746" s="4"/>
      <c r="X746" s="8"/>
      <c r="Y746" s="4"/>
      <c r="Z746" s="4"/>
      <c r="AA746" s="8"/>
      <c r="AB746" s="8"/>
      <c r="AC746" s="4"/>
      <c r="AD746" s="4"/>
    </row>
    <row r="747" spans="1:30" hidden="1">
      <c r="A747" s="4">
        <v>1029</v>
      </c>
      <c r="B747" s="8">
        <v>45227</v>
      </c>
      <c r="C747" s="4"/>
      <c r="D747" s="4" t="s">
        <v>42</v>
      </c>
      <c r="E747" s="8">
        <v>45267</v>
      </c>
      <c r="F747" s="4" t="s">
        <v>43</v>
      </c>
      <c r="G747" s="16" t="s">
        <v>51</v>
      </c>
      <c r="H747" s="4" t="s">
        <v>52</v>
      </c>
      <c r="I747" s="4" t="s">
        <v>400</v>
      </c>
      <c r="J747" s="10">
        <v>54.279999999999987</v>
      </c>
      <c r="K747" s="10">
        <f>32.568+6.514+15.198</f>
        <v>54.28</v>
      </c>
      <c r="L747" s="10">
        <f t="shared" si="137"/>
        <v>0</v>
      </c>
      <c r="M747" s="10">
        <f t="shared" si="138"/>
        <v>0</v>
      </c>
      <c r="N747" s="10"/>
      <c r="O747" s="10"/>
      <c r="P747" s="10">
        <v>0</v>
      </c>
      <c r="Q747" s="10"/>
      <c r="R747" s="10"/>
      <c r="S747" s="10"/>
      <c r="T747" s="10"/>
      <c r="U747" s="10"/>
      <c r="V747" s="4" t="s">
        <v>466</v>
      </c>
      <c r="W747" s="4"/>
      <c r="X747" s="8"/>
      <c r="Y747" s="4"/>
      <c r="Z747" s="4"/>
      <c r="AA747" s="8"/>
      <c r="AB747" s="8"/>
      <c r="AC747" s="4"/>
      <c r="AD747" s="4"/>
    </row>
    <row r="748" spans="1:30" hidden="1">
      <c r="A748" s="4">
        <v>1029</v>
      </c>
      <c r="B748" s="8">
        <v>45227</v>
      </c>
      <c r="C748" s="4"/>
      <c r="D748" s="4" t="s">
        <v>42</v>
      </c>
      <c r="E748" s="8">
        <v>45267</v>
      </c>
      <c r="F748" s="4" t="s">
        <v>43</v>
      </c>
      <c r="G748" s="16" t="s">
        <v>51</v>
      </c>
      <c r="H748" s="4" t="s">
        <v>52</v>
      </c>
      <c r="I748" s="4" t="s">
        <v>587</v>
      </c>
      <c r="J748" s="10">
        <v>33.54</v>
      </c>
      <c r="K748" s="10">
        <f>5.87+1.425+10.062+9.559+6.624</f>
        <v>33.54</v>
      </c>
      <c r="L748" s="10">
        <f t="shared" si="137"/>
        <v>0</v>
      </c>
      <c r="M748" s="10">
        <f t="shared" si="138"/>
        <v>0</v>
      </c>
      <c r="N748" s="10"/>
      <c r="O748" s="10"/>
      <c r="P748" s="10">
        <v>0</v>
      </c>
      <c r="Q748" s="10"/>
      <c r="R748" s="10"/>
      <c r="S748" s="10"/>
      <c r="T748" s="10"/>
      <c r="U748" s="10"/>
      <c r="V748" s="4" t="s">
        <v>466</v>
      </c>
      <c r="W748" s="4" t="s">
        <v>1330</v>
      </c>
      <c r="X748" s="8">
        <v>45274</v>
      </c>
      <c r="Y748" s="4"/>
      <c r="Z748" s="4"/>
      <c r="AA748" s="8"/>
      <c r="AB748" s="8"/>
      <c r="AC748" s="4"/>
      <c r="AD748" s="4"/>
    </row>
    <row r="749" spans="1:30" hidden="1">
      <c r="A749" s="4">
        <v>1029</v>
      </c>
      <c r="B749" s="8">
        <v>45227</v>
      </c>
      <c r="C749" s="4"/>
      <c r="D749" s="4" t="s">
        <v>42</v>
      </c>
      <c r="E749" s="8">
        <v>45267</v>
      </c>
      <c r="F749" s="4" t="s">
        <v>43</v>
      </c>
      <c r="G749" s="16" t="s">
        <v>51</v>
      </c>
      <c r="H749" s="4" t="s">
        <v>52</v>
      </c>
      <c r="I749" s="4" t="s">
        <v>472</v>
      </c>
      <c r="J749" s="10">
        <v>1.6848399999999999</v>
      </c>
      <c r="K749" s="10">
        <v>1.6850000000000001</v>
      </c>
      <c r="L749" s="10">
        <f t="shared" si="137"/>
        <v>0</v>
      </c>
      <c r="M749" s="10">
        <f t="shared" si="138"/>
        <v>0</v>
      </c>
      <c r="N749" s="10"/>
      <c r="O749" s="10"/>
      <c r="P749" s="10">
        <v>0</v>
      </c>
      <c r="Q749" s="10"/>
      <c r="R749" s="10">
        <v>0</v>
      </c>
      <c r="S749" s="10"/>
      <c r="T749" s="10"/>
      <c r="U749" s="10"/>
      <c r="V749" s="4" t="s">
        <v>466</v>
      </c>
      <c r="W749" s="4"/>
      <c r="X749" s="8">
        <v>45270</v>
      </c>
      <c r="Y749" s="4"/>
      <c r="Z749" s="4"/>
      <c r="AA749" s="8"/>
      <c r="AB749" s="8">
        <v>45280</v>
      </c>
      <c r="AC749" s="4"/>
      <c r="AD749" s="4"/>
    </row>
    <row r="750" spans="1:30" hidden="1">
      <c r="A750" s="4">
        <v>1029</v>
      </c>
      <c r="B750" s="8">
        <v>45227</v>
      </c>
      <c r="C750" s="4"/>
      <c r="D750" s="4" t="s">
        <v>42</v>
      </c>
      <c r="E750" s="8">
        <v>45267</v>
      </c>
      <c r="F750" s="4" t="s">
        <v>43</v>
      </c>
      <c r="G750" s="16" t="s">
        <v>51</v>
      </c>
      <c r="H750" s="4" t="s">
        <v>52</v>
      </c>
      <c r="I750" s="4" t="s">
        <v>473</v>
      </c>
      <c r="J750" s="10">
        <f>10.4272-1.65</f>
        <v>8.7771999999999988</v>
      </c>
      <c r="K750" s="10">
        <f>5.488+3.293</f>
        <v>8.7810000000000006</v>
      </c>
      <c r="L750" s="10">
        <f t="shared" si="137"/>
        <v>0</v>
      </c>
      <c r="M750" s="10">
        <f t="shared" si="138"/>
        <v>0</v>
      </c>
      <c r="N750" s="10"/>
      <c r="O750" s="10"/>
      <c r="P750" s="10">
        <v>0</v>
      </c>
      <c r="Q750" s="10"/>
      <c r="R750" s="10">
        <v>0</v>
      </c>
      <c r="S750" s="10"/>
      <c r="T750" s="10"/>
      <c r="U750" s="10"/>
      <c r="V750" s="4" t="s">
        <v>466</v>
      </c>
      <c r="W750" s="4"/>
      <c r="X750" s="8"/>
      <c r="Y750" s="4"/>
      <c r="Z750" s="4"/>
      <c r="AA750" s="8"/>
      <c r="AB750" s="8">
        <v>45273</v>
      </c>
      <c r="AC750" s="4"/>
      <c r="AD750" s="4"/>
    </row>
    <row r="751" spans="1:30" hidden="1">
      <c r="A751" s="4">
        <v>1029</v>
      </c>
      <c r="B751" s="8">
        <v>45227</v>
      </c>
      <c r="C751" s="4"/>
      <c r="D751" s="4" t="s">
        <v>42</v>
      </c>
      <c r="E751" s="8">
        <v>45267</v>
      </c>
      <c r="F751" s="4" t="s">
        <v>43</v>
      </c>
      <c r="G751" s="16" t="s">
        <v>51</v>
      </c>
      <c r="H751" s="4" t="s">
        <v>52</v>
      </c>
      <c r="I751" s="4" t="s">
        <v>237</v>
      </c>
      <c r="J751" s="10">
        <v>4.917489999999999</v>
      </c>
      <c r="K751" s="10">
        <v>4.9169999999999998</v>
      </c>
      <c r="L751" s="10">
        <f t="shared" si="137"/>
        <v>0</v>
      </c>
      <c r="M751" s="10">
        <f t="shared" si="138"/>
        <v>0</v>
      </c>
      <c r="N751" s="10"/>
      <c r="O751" s="10"/>
      <c r="P751" s="10">
        <v>0</v>
      </c>
      <c r="Q751" s="10"/>
      <c r="R751" s="10">
        <v>0</v>
      </c>
      <c r="S751" s="10"/>
      <c r="T751" s="10"/>
      <c r="U751" s="10"/>
      <c r="V751" s="4" t="s">
        <v>466</v>
      </c>
      <c r="W751" s="4"/>
      <c r="X751" s="8">
        <v>45268</v>
      </c>
      <c r="Y751" s="4"/>
      <c r="Z751" s="4"/>
      <c r="AA751" s="8"/>
      <c r="AB751" s="8">
        <v>45273</v>
      </c>
      <c r="AC751" s="4"/>
      <c r="AD751" s="4"/>
    </row>
    <row r="752" spans="1:30" hidden="1">
      <c r="A752" s="4">
        <v>1029</v>
      </c>
      <c r="B752" s="8">
        <v>45227</v>
      </c>
      <c r="C752" s="4"/>
      <c r="D752" s="4" t="s">
        <v>42</v>
      </c>
      <c r="E752" s="8">
        <v>45267</v>
      </c>
      <c r="F752" s="4" t="s">
        <v>43</v>
      </c>
      <c r="G752" s="16" t="s">
        <v>51</v>
      </c>
      <c r="H752" s="4" t="s">
        <v>52</v>
      </c>
      <c r="I752" s="4" t="s">
        <v>246</v>
      </c>
      <c r="J752" s="10">
        <v>5.4505400000000002</v>
      </c>
      <c r="K752" s="10">
        <v>5.4509999999999996</v>
      </c>
      <c r="L752" s="10">
        <f t="shared" si="137"/>
        <v>0</v>
      </c>
      <c r="M752" s="10">
        <f t="shared" si="138"/>
        <v>0</v>
      </c>
      <c r="N752" s="10"/>
      <c r="O752" s="10"/>
      <c r="P752" s="10">
        <v>0</v>
      </c>
      <c r="Q752" s="10"/>
      <c r="R752" s="10"/>
      <c r="S752" s="10"/>
      <c r="T752" s="10"/>
      <c r="U752" s="10"/>
      <c r="V752" s="4" t="s">
        <v>466</v>
      </c>
      <c r="W752" s="4"/>
      <c r="X752" s="8">
        <v>45265</v>
      </c>
      <c r="Y752" s="4"/>
      <c r="Z752" s="4"/>
      <c r="AA752" s="8"/>
      <c r="AB752" s="8">
        <v>45273</v>
      </c>
      <c r="AC752" s="4"/>
      <c r="AD752" s="4"/>
    </row>
    <row r="753" spans="1:30" hidden="1">
      <c r="A753" s="4">
        <v>1116</v>
      </c>
      <c r="B753" s="8">
        <v>45240</v>
      </c>
      <c r="C753" s="4"/>
      <c r="D753" s="4" t="s">
        <v>42</v>
      </c>
      <c r="E753" s="8">
        <v>45253</v>
      </c>
      <c r="F753" s="4" t="s">
        <v>840</v>
      </c>
      <c r="G753" s="16" t="s">
        <v>44</v>
      </c>
      <c r="H753" s="4" t="s">
        <v>45</v>
      </c>
      <c r="I753" s="4" t="s">
        <v>407</v>
      </c>
      <c r="J753" s="10">
        <v>3.0760000000000001</v>
      </c>
      <c r="K753" s="10">
        <v>3.0760000000000001</v>
      </c>
      <c r="L753" s="10">
        <f t="shared" ref="L753" si="139">M753+U753</f>
        <v>0</v>
      </c>
      <c r="M753" s="10">
        <f t="shared" ref="M753" si="140">SUM(N753:T753)</f>
        <v>0</v>
      </c>
      <c r="N753" s="10"/>
      <c r="O753" s="10"/>
      <c r="P753" s="10">
        <v>0</v>
      </c>
      <c r="Q753" s="10"/>
      <c r="R753" s="10"/>
      <c r="S753" s="10"/>
      <c r="T753" s="10"/>
      <c r="U753" s="10"/>
      <c r="V753" s="4" t="s">
        <v>841</v>
      </c>
      <c r="W753" s="4"/>
      <c r="X753" s="8"/>
      <c r="Y753" s="4">
        <v>45248</v>
      </c>
      <c r="Z753" s="4"/>
      <c r="AA753" s="8"/>
      <c r="AB753" s="8"/>
      <c r="AC753" s="4"/>
      <c r="AD753" s="4"/>
    </row>
    <row r="754" spans="1:30" hidden="1">
      <c r="A754" s="4">
        <v>1116</v>
      </c>
      <c r="B754" s="8">
        <v>45240</v>
      </c>
      <c r="C754" s="4"/>
      <c r="D754" s="4" t="s">
        <v>42</v>
      </c>
      <c r="E754" s="8">
        <v>45253</v>
      </c>
      <c r="F754" s="4" t="s">
        <v>840</v>
      </c>
      <c r="G754" s="16" t="s">
        <v>44</v>
      </c>
      <c r="H754" s="4" t="s">
        <v>45</v>
      </c>
      <c r="I754" s="4" t="s">
        <v>410</v>
      </c>
      <c r="J754" s="10">
        <v>2.4060000000000001</v>
      </c>
      <c r="K754" s="10">
        <v>2.391</v>
      </c>
      <c r="L754" s="10">
        <f t="shared" ref="L754" si="141">M754+U754</f>
        <v>0</v>
      </c>
      <c r="M754" s="10">
        <f t="shared" ref="M754" si="142">SUM(N754:T754)</f>
        <v>0</v>
      </c>
      <c r="N754" s="10"/>
      <c r="O754" s="10"/>
      <c r="P754" s="10">
        <v>0</v>
      </c>
      <c r="Q754" s="10"/>
      <c r="R754" s="10"/>
      <c r="S754" s="10"/>
      <c r="T754" s="10"/>
      <c r="U754" s="10"/>
      <c r="V754" s="4" t="s">
        <v>841</v>
      </c>
      <c r="W754" s="4" t="s">
        <v>521</v>
      </c>
      <c r="X754" s="8"/>
      <c r="Y754" s="4"/>
      <c r="Z754" s="4"/>
      <c r="AA754" s="8"/>
      <c r="AB754" s="8"/>
      <c r="AC754" s="4"/>
      <c r="AD754" s="4"/>
    </row>
    <row r="755" spans="1:30" hidden="1">
      <c r="A755" s="4">
        <v>1116</v>
      </c>
      <c r="B755" s="8">
        <v>45240</v>
      </c>
      <c r="C755" s="4"/>
      <c r="D755" s="4" t="s">
        <v>42</v>
      </c>
      <c r="E755" s="8">
        <v>45253</v>
      </c>
      <c r="F755" s="4" t="s">
        <v>840</v>
      </c>
      <c r="G755" s="16" t="s">
        <v>51</v>
      </c>
      <c r="H755" s="4" t="s">
        <v>52</v>
      </c>
      <c r="I755" s="4" t="s">
        <v>47</v>
      </c>
      <c r="J755" s="10">
        <v>2.3519999999999999</v>
      </c>
      <c r="K755" s="10">
        <v>2.3519999999999999</v>
      </c>
      <c r="L755" s="10">
        <f t="shared" ref="L755:L794" si="143">M755+U755</f>
        <v>0</v>
      </c>
      <c r="M755" s="10">
        <f t="shared" ref="M755" si="144">SUM(N755:T755)</f>
        <v>0</v>
      </c>
      <c r="N755" s="10"/>
      <c r="O755" s="10"/>
      <c r="P755" s="10">
        <v>0</v>
      </c>
      <c r="Q755" s="10"/>
      <c r="R755" s="10"/>
      <c r="S755" s="10"/>
      <c r="T755" s="10"/>
      <c r="U755" s="10"/>
      <c r="V755" s="4" t="s">
        <v>841</v>
      </c>
      <c r="W755" s="4"/>
      <c r="X755" s="8">
        <v>45248</v>
      </c>
      <c r="Y755" s="4"/>
      <c r="Z755" s="4"/>
      <c r="AA755" s="8"/>
      <c r="AB755" s="8"/>
      <c r="AC755" s="4"/>
      <c r="AD755" s="4"/>
    </row>
    <row r="756" spans="1:30" hidden="1">
      <c r="A756" s="4">
        <v>1134</v>
      </c>
      <c r="B756" s="8">
        <v>45252</v>
      </c>
      <c r="C756" s="4"/>
      <c r="D756" s="82" t="s">
        <v>42</v>
      </c>
      <c r="E756" s="8">
        <v>45260</v>
      </c>
      <c r="F756" s="4" t="s">
        <v>43</v>
      </c>
      <c r="G756" s="16" t="s">
        <v>51</v>
      </c>
      <c r="H756" s="4" t="s">
        <v>52</v>
      </c>
      <c r="I756" s="4" t="s">
        <v>432</v>
      </c>
      <c r="J756" s="10">
        <v>3.4990000000000001</v>
      </c>
      <c r="K756" s="10">
        <f>1.166+2.415</f>
        <v>3.581</v>
      </c>
      <c r="L756" s="10">
        <f t="shared" si="143"/>
        <v>0</v>
      </c>
      <c r="M756" s="10">
        <f t="shared" ref="M756:M794" si="145">SUM(N756:T756)</f>
        <v>0</v>
      </c>
      <c r="N756" s="10"/>
      <c r="O756" s="10"/>
      <c r="P756" s="10">
        <v>0</v>
      </c>
      <c r="Q756" s="10"/>
      <c r="R756" s="10"/>
      <c r="S756" s="10"/>
      <c r="T756" s="10"/>
      <c r="U756" s="10"/>
      <c r="V756" s="4" t="s">
        <v>826</v>
      </c>
      <c r="W756" s="4" t="s">
        <v>1253</v>
      </c>
      <c r="X756" s="8">
        <v>45269</v>
      </c>
      <c r="Y756" s="4"/>
      <c r="Z756" s="4"/>
      <c r="AA756" s="8"/>
      <c r="AB756" s="8"/>
      <c r="AC756" s="4"/>
      <c r="AD756" s="4"/>
    </row>
    <row r="757" spans="1:30" hidden="1">
      <c r="A757" s="4">
        <v>1134</v>
      </c>
      <c r="B757" s="8">
        <v>45252</v>
      </c>
      <c r="C757" s="4"/>
      <c r="D757" s="82" t="s">
        <v>42</v>
      </c>
      <c r="E757" s="8">
        <v>45260</v>
      </c>
      <c r="F757" s="4" t="s">
        <v>43</v>
      </c>
      <c r="G757" s="16" t="s">
        <v>51</v>
      </c>
      <c r="H757" s="4" t="s">
        <v>52</v>
      </c>
      <c r="I757" s="4" t="s">
        <v>671</v>
      </c>
      <c r="J757" s="10">
        <v>19.238</v>
      </c>
      <c r="K757" s="10">
        <f>5.616+5.342+5.279+3.002</f>
        <v>19.238999999999997</v>
      </c>
      <c r="L757" s="10">
        <f t="shared" si="143"/>
        <v>0</v>
      </c>
      <c r="M757" s="10">
        <f t="shared" si="145"/>
        <v>0</v>
      </c>
      <c r="N757" s="10"/>
      <c r="O757" s="10"/>
      <c r="P757" s="64">
        <v>0</v>
      </c>
      <c r="Q757" s="10"/>
      <c r="R757" s="10"/>
      <c r="S757" s="10"/>
      <c r="T757" s="10"/>
      <c r="U757" s="10"/>
      <c r="V757" s="4" t="s">
        <v>826</v>
      </c>
      <c r="W757" s="4" t="s">
        <v>1253</v>
      </c>
      <c r="X757" s="8"/>
      <c r="Y757" s="4"/>
      <c r="Z757" s="4"/>
      <c r="AA757" s="8">
        <v>45291</v>
      </c>
      <c r="AB757" s="8"/>
      <c r="AC757" s="4"/>
      <c r="AD757" s="4"/>
    </row>
    <row r="758" spans="1:30" hidden="1">
      <c r="A758" s="4">
        <v>1134</v>
      </c>
      <c r="B758" s="8">
        <v>45252</v>
      </c>
      <c r="C758" s="4"/>
      <c r="D758" s="82" t="s">
        <v>42</v>
      </c>
      <c r="E758" s="8">
        <v>45260</v>
      </c>
      <c r="F758" s="4" t="s">
        <v>43</v>
      </c>
      <c r="G758" s="16" t="s">
        <v>51</v>
      </c>
      <c r="H758" s="4" t="s">
        <v>52</v>
      </c>
      <c r="I758" s="4" t="s">
        <v>729</v>
      </c>
      <c r="J758" s="10">
        <v>20.985599999999998</v>
      </c>
      <c r="K758" s="10">
        <f>14.103+2.533+4.458</f>
        <v>21.094000000000001</v>
      </c>
      <c r="L758" s="10">
        <f t="shared" si="143"/>
        <v>0</v>
      </c>
      <c r="M758" s="10">
        <f t="shared" si="145"/>
        <v>0</v>
      </c>
      <c r="N758" s="10"/>
      <c r="O758" s="10"/>
      <c r="P758" s="42">
        <v>0</v>
      </c>
      <c r="Q758" s="10"/>
      <c r="R758" s="10"/>
      <c r="S758" s="10"/>
      <c r="T758" s="10"/>
      <c r="U758" s="10"/>
      <c r="V758" s="4" t="s">
        <v>826</v>
      </c>
      <c r="W758" s="4" t="s">
        <v>1253</v>
      </c>
      <c r="X758" s="8">
        <v>45268</v>
      </c>
      <c r="Y758" s="4"/>
      <c r="Z758" s="4"/>
      <c r="AA758" s="8"/>
      <c r="AB758" s="8"/>
      <c r="AC758" s="4"/>
      <c r="AD758" s="4"/>
    </row>
    <row r="759" spans="1:30" hidden="1">
      <c r="A759" s="4">
        <v>1134</v>
      </c>
      <c r="B759" s="8">
        <v>45252</v>
      </c>
      <c r="C759" s="4"/>
      <c r="D759" s="82" t="s">
        <v>42</v>
      </c>
      <c r="E759" s="8">
        <v>45260</v>
      </c>
      <c r="F759" s="4" t="s">
        <v>43</v>
      </c>
      <c r="G759" s="16" t="s">
        <v>51</v>
      </c>
      <c r="H759" s="4" t="s">
        <v>52</v>
      </c>
      <c r="I759" s="4" t="s">
        <v>125</v>
      </c>
      <c r="J759" s="10">
        <v>1.4742</v>
      </c>
      <c r="K759" s="10">
        <v>1.7230000000000001</v>
      </c>
      <c r="L759" s="10">
        <f t="shared" si="143"/>
        <v>0</v>
      </c>
      <c r="M759" s="10">
        <f t="shared" si="145"/>
        <v>0</v>
      </c>
      <c r="N759" s="10"/>
      <c r="O759" s="10"/>
      <c r="P759" s="10">
        <v>0</v>
      </c>
      <c r="Q759" s="10"/>
      <c r="R759" s="10"/>
      <c r="S759" s="10"/>
      <c r="T759" s="10"/>
      <c r="U759" s="10"/>
      <c r="V759" s="4" t="s">
        <v>826</v>
      </c>
      <c r="W759" s="4" t="s">
        <v>634</v>
      </c>
      <c r="X759" s="8"/>
      <c r="Y759" s="4"/>
      <c r="Z759" s="4"/>
      <c r="AA759" s="8"/>
      <c r="AB759" s="8"/>
      <c r="AC759" s="4"/>
      <c r="AD759" s="4"/>
    </row>
    <row r="760" spans="1:30" hidden="1">
      <c r="A760" s="4">
        <v>1135</v>
      </c>
      <c r="B760" s="8">
        <v>45252</v>
      </c>
      <c r="C760" s="4"/>
      <c r="D760" s="4"/>
      <c r="E760" s="8">
        <v>45291</v>
      </c>
      <c r="F760" s="4" t="s">
        <v>840</v>
      </c>
      <c r="G760" s="16" t="s">
        <v>51</v>
      </c>
      <c r="H760" s="4" t="s">
        <v>52</v>
      </c>
      <c r="I760" s="4" t="s">
        <v>54</v>
      </c>
      <c r="J760" s="10">
        <v>2.6110000000000002</v>
      </c>
      <c r="K760" s="10"/>
      <c r="L760" s="10">
        <f t="shared" si="143"/>
        <v>2.6110000000000002</v>
      </c>
      <c r="M760" s="10">
        <f t="shared" si="145"/>
        <v>2.6110000000000002</v>
      </c>
      <c r="N760" s="10"/>
      <c r="O760" s="10"/>
      <c r="P760" s="10">
        <v>2.6110000000000002</v>
      </c>
      <c r="Q760" s="10"/>
      <c r="R760" s="10"/>
      <c r="S760" s="10"/>
      <c r="T760" s="10"/>
      <c r="U760" s="10"/>
      <c r="V760" s="4" t="s">
        <v>841</v>
      </c>
      <c r="W760" s="4" t="s">
        <v>1067</v>
      </c>
      <c r="X760" s="8"/>
      <c r="Y760" s="4"/>
      <c r="Z760" s="4"/>
      <c r="AA760" s="8"/>
      <c r="AB760" s="8"/>
      <c r="AC760" s="4"/>
      <c r="AD760" s="4"/>
    </row>
    <row r="761" spans="1:30" hidden="1">
      <c r="A761" s="4">
        <v>1136</v>
      </c>
      <c r="B761" s="8">
        <v>45252</v>
      </c>
      <c r="C761" s="4"/>
      <c r="D761" s="4" t="s">
        <v>42</v>
      </c>
      <c r="E761" s="8">
        <v>45291</v>
      </c>
      <c r="F761" s="4" t="s">
        <v>43</v>
      </c>
      <c r="G761" s="16" t="s">
        <v>44</v>
      </c>
      <c r="H761" s="4" t="s">
        <v>45</v>
      </c>
      <c r="I761" s="4" t="s">
        <v>54</v>
      </c>
      <c r="J761" s="10">
        <v>0.22080000000000005</v>
      </c>
      <c r="K761" s="10">
        <v>0.222</v>
      </c>
      <c r="L761" s="10">
        <f t="shared" si="143"/>
        <v>0</v>
      </c>
      <c r="M761" s="10">
        <f t="shared" si="145"/>
        <v>0</v>
      </c>
      <c r="N761" s="10"/>
      <c r="O761" s="10"/>
      <c r="P761" s="10"/>
      <c r="Q761" s="10"/>
      <c r="R761" s="10">
        <v>0</v>
      </c>
      <c r="S761" s="10"/>
      <c r="T761" s="10"/>
      <c r="U761" s="10"/>
      <c r="V761" s="4" t="s">
        <v>23</v>
      </c>
      <c r="W761" s="4" t="s">
        <v>634</v>
      </c>
      <c r="X761" s="8">
        <v>45261</v>
      </c>
      <c r="Y761" s="4"/>
      <c r="Z761" s="4"/>
      <c r="AA761" s="8"/>
      <c r="AB761" s="8">
        <v>45280</v>
      </c>
      <c r="AC761" s="4"/>
      <c r="AD761" s="4"/>
    </row>
    <row r="762" spans="1:30" hidden="1">
      <c r="A762" s="4">
        <v>1136</v>
      </c>
      <c r="B762" s="8">
        <v>45252</v>
      </c>
      <c r="C762" s="4"/>
      <c r="D762" s="4" t="s">
        <v>42</v>
      </c>
      <c r="E762" s="8">
        <v>45291</v>
      </c>
      <c r="F762" s="4" t="s">
        <v>43</v>
      </c>
      <c r="G762" s="16" t="s">
        <v>44</v>
      </c>
      <c r="H762" s="4" t="s">
        <v>45</v>
      </c>
      <c r="I762" s="4" t="s">
        <v>403</v>
      </c>
      <c r="J762" s="10">
        <v>0.39840000000000003</v>
      </c>
      <c r="K762" s="10"/>
      <c r="L762" s="10">
        <f t="shared" si="143"/>
        <v>0.39840000000000003</v>
      </c>
      <c r="M762" s="10">
        <f t="shared" si="145"/>
        <v>0.39840000000000003</v>
      </c>
      <c r="N762" s="10"/>
      <c r="O762" s="10"/>
      <c r="P762" s="10"/>
      <c r="Q762" s="10"/>
      <c r="R762" s="10">
        <v>0.39840000000000003</v>
      </c>
      <c r="S762" s="10"/>
      <c r="T762" s="10"/>
      <c r="U762" s="10"/>
      <c r="V762" s="4" t="s">
        <v>23</v>
      </c>
      <c r="W762" s="4" t="s">
        <v>634</v>
      </c>
      <c r="X762" s="8"/>
      <c r="Y762" s="4"/>
      <c r="Z762" s="4"/>
      <c r="AA762" s="8"/>
      <c r="AB762" s="8"/>
      <c r="AC762" s="4"/>
      <c r="AD762" s="4"/>
    </row>
    <row r="763" spans="1:30" hidden="1">
      <c r="A763" s="4">
        <v>1136</v>
      </c>
      <c r="B763" s="8">
        <v>45252</v>
      </c>
      <c r="C763" s="4"/>
      <c r="D763" s="4" t="s">
        <v>42</v>
      </c>
      <c r="E763" s="8">
        <v>45291</v>
      </c>
      <c r="F763" s="4" t="s">
        <v>43</v>
      </c>
      <c r="G763" s="16" t="s">
        <v>44</v>
      </c>
      <c r="H763" s="4" t="s">
        <v>45</v>
      </c>
      <c r="I763" s="4" t="s">
        <v>407</v>
      </c>
      <c r="J763" s="10">
        <v>0.47280000000000005</v>
      </c>
      <c r="K763" s="10"/>
      <c r="L763" s="10">
        <f t="shared" si="143"/>
        <v>0.47280000000000005</v>
      </c>
      <c r="M763" s="10">
        <f t="shared" si="145"/>
        <v>0.47280000000000005</v>
      </c>
      <c r="N763" s="10"/>
      <c r="O763" s="10"/>
      <c r="P763" s="10">
        <v>0.47280000000000005</v>
      </c>
      <c r="Q763" s="10"/>
      <c r="R763" s="10"/>
      <c r="S763" s="10"/>
      <c r="T763" s="10"/>
      <c r="U763" s="10"/>
      <c r="V763" s="4" t="s">
        <v>23</v>
      </c>
      <c r="W763" s="4" t="s">
        <v>1253</v>
      </c>
      <c r="X763" s="8"/>
      <c r="Y763" s="4"/>
      <c r="Z763" s="4"/>
      <c r="AA763" s="8"/>
      <c r="AB763" s="8"/>
      <c r="AC763" s="4"/>
      <c r="AD763" s="4"/>
    </row>
    <row r="764" spans="1:30" hidden="1">
      <c r="A764" s="4">
        <v>1136</v>
      </c>
      <c r="B764" s="8">
        <v>45252</v>
      </c>
      <c r="C764" s="4"/>
      <c r="D764" s="4" t="s">
        <v>42</v>
      </c>
      <c r="E764" s="8">
        <v>45291</v>
      </c>
      <c r="F764" s="4" t="s">
        <v>43</v>
      </c>
      <c r="G764" s="16" t="s">
        <v>44</v>
      </c>
      <c r="H764" s="4" t="s">
        <v>45</v>
      </c>
      <c r="I764" s="4" t="s">
        <v>519</v>
      </c>
      <c r="J764" s="10">
        <v>0.22900000000000001</v>
      </c>
      <c r="K764" s="10"/>
      <c r="L764" s="10">
        <f t="shared" si="143"/>
        <v>0.22900000000000001</v>
      </c>
      <c r="M764" s="10">
        <f t="shared" si="145"/>
        <v>0.22900000000000001</v>
      </c>
      <c r="N764" s="10"/>
      <c r="O764" s="10"/>
      <c r="P764" s="10"/>
      <c r="Q764" s="10"/>
      <c r="R764" s="10">
        <v>0.22900000000000001</v>
      </c>
      <c r="S764" s="10"/>
      <c r="T764" s="10"/>
      <c r="U764" s="10"/>
      <c r="V764" s="4" t="s">
        <v>23</v>
      </c>
      <c r="W764" s="4" t="s">
        <v>634</v>
      </c>
      <c r="X764" s="8"/>
      <c r="Y764" s="4"/>
      <c r="Z764" s="4"/>
      <c r="AA764" s="8"/>
      <c r="AB764" s="8"/>
      <c r="AC764" s="4"/>
      <c r="AD764" s="4"/>
    </row>
    <row r="765" spans="1:30" hidden="1">
      <c r="A765" s="4">
        <v>1136</v>
      </c>
      <c r="B765" s="8">
        <v>45252</v>
      </c>
      <c r="C765" s="4"/>
      <c r="D765" s="4" t="s">
        <v>42</v>
      </c>
      <c r="E765" s="8">
        <v>45291</v>
      </c>
      <c r="F765" s="4" t="s">
        <v>43</v>
      </c>
      <c r="G765" s="16" t="s">
        <v>44</v>
      </c>
      <c r="H765" s="4" t="s">
        <v>45</v>
      </c>
      <c r="I765" s="4" t="s">
        <v>435</v>
      </c>
      <c r="J765" s="10">
        <v>0.1368</v>
      </c>
      <c r="K765" s="10">
        <v>0.13800000000000001</v>
      </c>
      <c r="L765" s="10">
        <f t="shared" si="143"/>
        <v>0</v>
      </c>
      <c r="M765" s="10">
        <f t="shared" si="145"/>
        <v>0</v>
      </c>
      <c r="N765" s="10"/>
      <c r="O765" s="10"/>
      <c r="P765" s="10">
        <v>0</v>
      </c>
      <c r="Q765" s="10"/>
      <c r="R765" s="10"/>
      <c r="S765" s="10"/>
      <c r="T765" s="10"/>
      <c r="U765" s="10"/>
      <c r="V765" s="4" t="s">
        <v>23</v>
      </c>
      <c r="W765" s="4" t="s">
        <v>1253</v>
      </c>
      <c r="X765" s="8"/>
      <c r="Y765" s="4"/>
      <c r="Z765" s="4"/>
      <c r="AA765" s="8"/>
      <c r="AB765" s="8"/>
      <c r="AC765" s="4"/>
      <c r="AD765" s="4"/>
    </row>
    <row r="766" spans="1:30" hidden="1">
      <c r="A766" s="4">
        <v>1136</v>
      </c>
      <c r="B766" s="8">
        <v>45252</v>
      </c>
      <c r="C766" s="4"/>
      <c r="D766" s="4" t="s">
        <v>42</v>
      </c>
      <c r="E766" s="8">
        <v>45291</v>
      </c>
      <c r="F766" s="4" t="s">
        <v>43</v>
      </c>
      <c r="G766" s="16" t="s">
        <v>44</v>
      </c>
      <c r="H766" s="4" t="s">
        <v>45</v>
      </c>
      <c r="I766" s="4" t="s">
        <v>434</v>
      </c>
      <c r="J766" s="10">
        <v>0.14599999999999999</v>
      </c>
      <c r="K766" s="10"/>
      <c r="L766" s="10">
        <f t="shared" si="143"/>
        <v>0.14599999999999999</v>
      </c>
      <c r="M766" s="10">
        <f t="shared" si="145"/>
        <v>0</v>
      </c>
      <c r="N766" s="10"/>
      <c r="O766" s="10"/>
      <c r="P766" s="10"/>
      <c r="Q766" s="10"/>
      <c r="R766" s="10"/>
      <c r="S766" s="10"/>
      <c r="T766" s="10"/>
      <c r="U766" s="10">
        <v>0.14599999999999999</v>
      </c>
      <c r="V766" s="4" t="s">
        <v>23</v>
      </c>
      <c r="W766" s="4" t="s">
        <v>1253</v>
      </c>
      <c r="X766" s="8"/>
      <c r="Y766" s="4"/>
      <c r="Z766" s="4"/>
      <c r="AA766" s="8"/>
      <c r="AB766" s="8"/>
      <c r="AC766" s="4"/>
      <c r="AD766" s="4"/>
    </row>
    <row r="767" spans="1:30" hidden="1">
      <c r="A767" s="4">
        <v>1136</v>
      </c>
      <c r="B767" s="8">
        <v>45252</v>
      </c>
      <c r="C767" s="4"/>
      <c r="D767" s="4" t="s">
        <v>42</v>
      </c>
      <c r="E767" s="8">
        <v>45291</v>
      </c>
      <c r="F767" s="4" t="s">
        <v>43</v>
      </c>
      <c r="G767" s="16" t="s">
        <v>44</v>
      </c>
      <c r="H767" s="4" t="s">
        <v>45</v>
      </c>
      <c r="I767" s="4" t="s">
        <v>89</v>
      </c>
      <c r="J767" s="10">
        <v>0.19679999999999997</v>
      </c>
      <c r="K767" s="10"/>
      <c r="L767" s="10">
        <f t="shared" si="143"/>
        <v>0.19679999999999997</v>
      </c>
      <c r="M767" s="10">
        <f t="shared" si="145"/>
        <v>0.19679999999999997</v>
      </c>
      <c r="N767" s="10"/>
      <c r="O767" s="10"/>
      <c r="P767" s="10">
        <v>0.19679999999999997</v>
      </c>
      <c r="Q767" s="10"/>
      <c r="R767" s="10"/>
      <c r="S767" s="10"/>
      <c r="T767" s="10"/>
      <c r="U767" s="10"/>
      <c r="V767" s="4" t="s">
        <v>23</v>
      </c>
      <c r="W767" s="4" t="s">
        <v>1253</v>
      </c>
      <c r="X767" s="8">
        <v>45286</v>
      </c>
      <c r="Y767" s="4"/>
      <c r="Z767" s="4"/>
      <c r="AA767" s="8"/>
      <c r="AB767" s="8"/>
      <c r="AC767" s="4"/>
      <c r="AD767" s="4"/>
    </row>
    <row r="768" spans="1:30" hidden="1">
      <c r="A768" s="4">
        <v>1136</v>
      </c>
      <c r="B768" s="8">
        <v>45252</v>
      </c>
      <c r="C768" s="4"/>
      <c r="D768" s="4" t="s">
        <v>42</v>
      </c>
      <c r="E768" s="8">
        <v>45291</v>
      </c>
      <c r="F768" s="4" t="s">
        <v>43</v>
      </c>
      <c r="G768" s="16" t="s">
        <v>51</v>
      </c>
      <c r="H768" s="4" t="s">
        <v>52</v>
      </c>
      <c r="I768" s="4" t="s">
        <v>470</v>
      </c>
      <c r="J768" s="10">
        <v>0.23179</v>
      </c>
      <c r="K768" s="10">
        <v>0.39200000000000002</v>
      </c>
      <c r="L768" s="10">
        <f t="shared" si="143"/>
        <v>0</v>
      </c>
      <c r="M768" s="10">
        <f t="shared" si="145"/>
        <v>0</v>
      </c>
      <c r="N768" s="10"/>
      <c r="O768" s="10"/>
      <c r="P768" s="10"/>
      <c r="Q768" s="10"/>
      <c r="R768" s="10"/>
      <c r="S768" s="10"/>
      <c r="T768" s="10"/>
      <c r="U768" s="10">
        <v>0</v>
      </c>
      <c r="V768" s="4" t="s">
        <v>1141</v>
      </c>
      <c r="W768" s="4"/>
      <c r="X768" s="8"/>
      <c r="Y768" s="4"/>
      <c r="Z768" s="4"/>
      <c r="AA768" s="8">
        <v>45262</v>
      </c>
      <c r="AB768" s="8">
        <v>45262</v>
      </c>
      <c r="AC768" s="4"/>
      <c r="AD768" s="4"/>
    </row>
    <row r="769" spans="1:30" hidden="1">
      <c r="A769" s="4">
        <v>1136</v>
      </c>
      <c r="B769" s="8">
        <v>45252</v>
      </c>
      <c r="C769" s="4"/>
      <c r="D769" s="4" t="s">
        <v>42</v>
      </c>
      <c r="E769" s="8">
        <v>45291</v>
      </c>
      <c r="F769" s="4" t="s">
        <v>43</v>
      </c>
      <c r="G769" s="16" t="s">
        <v>51</v>
      </c>
      <c r="H769" s="4" t="s">
        <v>52</v>
      </c>
      <c r="I769" s="4" t="s">
        <v>54</v>
      </c>
      <c r="J769" s="10">
        <v>5.5560000000000005E-2</v>
      </c>
      <c r="K769" s="10"/>
      <c r="L769" s="10">
        <f t="shared" si="143"/>
        <v>5.5560000000000005E-2</v>
      </c>
      <c r="M769" s="10">
        <f t="shared" si="145"/>
        <v>5.5560000000000005E-2</v>
      </c>
      <c r="N769" s="10"/>
      <c r="O769" s="10"/>
      <c r="P769" s="10">
        <v>5.5560000000000005E-2</v>
      </c>
      <c r="Q769" s="10"/>
      <c r="R769" s="10"/>
      <c r="S769" s="10"/>
      <c r="T769" s="10"/>
      <c r="U769" s="10"/>
      <c r="V769" s="4" t="s">
        <v>427</v>
      </c>
      <c r="W769" s="4"/>
      <c r="X769" s="8"/>
      <c r="Y769" s="4"/>
      <c r="Z769" s="4"/>
      <c r="AA769" s="8"/>
      <c r="AB769" s="8"/>
      <c r="AC769" s="4"/>
      <c r="AD769" s="4"/>
    </row>
    <row r="770" spans="1:30" hidden="1">
      <c r="A770" s="4">
        <v>1136</v>
      </c>
      <c r="B770" s="8">
        <v>45252</v>
      </c>
      <c r="C770" s="4"/>
      <c r="D770" s="4" t="s">
        <v>42</v>
      </c>
      <c r="E770" s="8">
        <v>45291</v>
      </c>
      <c r="F770" s="4" t="s">
        <v>43</v>
      </c>
      <c r="G770" s="16" t="s">
        <v>51</v>
      </c>
      <c r="H770" s="4" t="s">
        <v>52</v>
      </c>
      <c r="I770" s="4" t="s">
        <v>48</v>
      </c>
      <c r="J770" s="10">
        <v>0.87695999999999996</v>
      </c>
      <c r="K770" s="10">
        <v>0.877</v>
      </c>
      <c r="L770" s="10">
        <f t="shared" si="143"/>
        <v>0</v>
      </c>
      <c r="M770" s="10">
        <f t="shared" si="145"/>
        <v>0</v>
      </c>
      <c r="N770" s="10"/>
      <c r="O770" s="10"/>
      <c r="P770" s="10">
        <v>0</v>
      </c>
      <c r="Q770" s="10"/>
      <c r="R770" s="10"/>
      <c r="S770" s="10"/>
      <c r="T770" s="10"/>
      <c r="U770" s="10"/>
      <c r="V770" s="4" t="s">
        <v>1351</v>
      </c>
      <c r="W770" s="4"/>
      <c r="X770" s="8">
        <v>45262</v>
      </c>
      <c r="Y770" s="4"/>
      <c r="Z770" s="4"/>
      <c r="AA770" s="8"/>
      <c r="AB770" s="8"/>
      <c r="AC770" s="4"/>
      <c r="AD770" s="4"/>
    </row>
    <row r="771" spans="1:30" hidden="1">
      <c r="A771" s="4">
        <v>1136</v>
      </c>
      <c r="B771" s="8">
        <v>45252</v>
      </c>
      <c r="C771" s="4"/>
      <c r="D771" s="4" t="s">
        <v>42</v>
      </c>
      <c r="E771" s="8">
        <v>45291</v>
      </c>
      <c r="F771" s="4" t="s">
        <v>43</v>
      </c>
      <c r="G771" s="16" t="s">
        <v>51</v>
      </c>
      <c r="H771" s="4" t="s">
        <v>52</v>
      </c>
      <c r="I771" s="4" t="s">
        <v>46</v>
      </c>
      <c r="J771" s="10">
        <v>0.34839999999999999</v>
      </c>
      <c r="K771" s="10"/>
      <c r="L771" s="10">
        <f t="shared" si="143"/>
        <v>0.34839999999999999</v>
      </c>
      <c r="M771" s="10">
        <f t="shared" si="145"/>
        <v>0.34839999999999999</v>
      </c>
      <c r="N771" s="10"/>
      <c r="O771" s="10"/>
      <c r="P771" s="10"/>
      <c r="Q771" s="10"/>
      <c r="R771" s="10">
        <v>0.34839999999999999</v>
      </c>
      <c r="S771" s="10"/>
      <c r="T771" s="10"/>
      <c r="U771" s="10"/>
      <c r="V771" s="4" t="s">
        <v>1141</v>
      </c>
      <c r="W771" s="4" t="s">
        <v>634</v>
      </c>
      <c r="X771" s="8"/>
      <c r="Y771" s="4"/>
      <c r="Z771" s="4"/>
      <c r="AA771" s="8"/>
      <c r="AB771" s="8"/>
      <c r="AC771" s="4"/>
      <c r="AD771" s="4"/>
    </row>
    <row r="772" spans="1:30" hidden="1">
      <c r="A772" s="4">
        <v>1136</v>
      </c>
      <c r="B772" s="8">
        <v>45252</v>
      </c>
      <c r="C772" s="4"/>
      <c r="D772" s="4" t="s">
        <v>42</v>
      </c>
      <c r="E772" s="8">
        <v>45291</v>
      </c>
      <c r="F772" s="4" t="s">
        <v>43</v>
      </c>
      <c r="G772" s="16" t="s">
        <v>51</v>
      </c>
      <c r="H772" s="4" t="s">
        <v>52</v>
      </c>
      <c r="I772" s="4" t="s">
        <v>409</v>
      </c>
      <c r="J772" s="10">
        <v>0.30954000000000004</v>
      </c>
      <c r="K772" s="10"/>
      <c r="L772" s="10">
        <f t="shared" si="143"/>
        <v>0.30954000000000004</v>
      </c>
      <c r="M772" s="10">
        <f t="shared" si="145"/>
        <v>0.30954000000000004</v>
      </c>
      <c r="N772" s="10"/>
      <c r="O772" s="10"/>
      <c r="P772" s="10"/>
      <c r="Q772" s="10"/>
      <c r="R772" s="10">
        <v>0.30954000000000004</v>
      </c>
      <c r="S772" s="10"/>
      <c r="T772" s="10"/>
      <c r="U772" s="10"/>
      <c r="V772" s="4" t="s">
        <v>1141</v>
      </c>
      <c r="W772" s="4" t="s">
        <v>1086</v>
      </c>
      <c r="X772" s="8"/>
      <c r="Y772" s="4"/>
      <c r="Z772" s="4"/>
      <c r="AA772" s="8"/>
      <c r="AB772" s="8"/>
      <c r="AC772" s="4"/>
      <c r="AD772" s="4"/>
    </row>
    <row r="773" spans="1:30" hidden="1">
      <c r="A773" s="4">
        <v>1136</v>
      </c>
      <c r="B773" s="8">
        <v>45252</v>
      </c>
      <c r="C773" s="4"/>
      <c r="D773" s="4" t="s">
        <v>42</v>
      </c>
      <c r="E773" s="8">
        <v>45291</v>
      </c>
      <c r="F773" s="4" t="s">
        <v>43</v>
      </c>
      <c r="G773" s="16" t="s">
        <v>51</v>
      </c>
      <c r="H773" s="4" t="s">
        <v>52</v>
      </c>
      <c r="I773" s="4" t="s">
        <v>435</v>
      </c>
      <c r="J773" s="10">
        <v>0.20580000000000001</v>
      </c>
      <c r="K773" s="10">
        <v>0.20799999999999999</v>
      </c>
      <c r="L773" s="10">
        <f t="shared" si="143"/>
        <v>0</v>
      </c>
      <c r="M773" s="10">
        <f t="shared" si="145"/>
        <v>0</v>
      </c>
      <c r="N773" s="10"/>
      <c r="O773" s="10"/>
      <c r="P773" s="10">
        <v>0</v>
      </c>
      <c r="Q773" s="10"/>
      <c r="R773" s="10"/>
      <c r="S773" s="10"/>
      <c r="T773" s="10"/>
      <c r="U773" s="10"/>
      <c r="V773" s="4" t="s">
        <v>1352</v>
      </c>
      <c r="W773" s="4"/>
      <c r="X773" s="8">
        <v>45270</v>
      </c>
      <c r="Y773" s="4"/>
      <c r="Z773" s="4"/>
      <c r="AA773" s="8"/>
      <c r="AB773" s="8">
        <v>45280</v>
      </c>
      <c r="AC773" s="4"/>
      <c r="AD773" s="4"/>
    </row>
    <row r="774" spans="1:30" hidden="1">
      <c r="A774" s="4">
        <v>1136</v>
      </c>
      <c r="B774" s="8">
        <v>45252</v>
      </c>
      <c r="C774" s="4"/>
      <c r="D774" s="4" t="s">
        <v>42</v>
      </c>
      <c r="E774" s="8">
        <v>45291</v>
      </c>
      <c r="F774" s="4" t="s">
        <v>43</v>
      </c>
      <c r="G774" s="16" t="s">
        <v>51</v>
      </c>
      <c r="H774" s="4" t="s">
        <v>52</v>
      </c>
      <c r="I774" s="4" t="s">
        <v>432</v>
      </c>
      <c r="J774" s="10">
        <v>0.12280000000000001</v>
      </c>
      <c r="K774" s="10"/>
      <c r="L774" s="10">
        <f t="shared" si="143"/>
        <v>0.12280000000000001</v>
      </c>
      <c r="M774" s="10">
        <f t="shared" si="145"/>
        <v>0.12280000000000001</v>
      </c>
      <c r="N774" s="10"/>
      <c r="O774" s="10"/>
      <c r="P774" s="10"/>
      <c r="Q774" s="10"/>
      <c r="R774" s="10">
        <v>0.12280000000000001</v>
      </c>
      <c r="S774" s="10"/>
      <c r="T774" s="10"/>
      <c r="U774" s="10"/>
      <c r="V774" s="4" t="s">
        <v>1352</v>
      </c>
      <c r="W774" s="4"/>
      <c r="X774" s="8"/>
      <c r="Y774" s="4"/>
      <c r="Z774" s="4"/>
      <c r="AA774" s="8"/>
      <c r="AB774" s="8"/>
      <c r="AC774" s="4"/>
      <c r="AD774" s="4"/>
    </row>
    <row r="775" spans="1:30" hidden="1">
      <c r="A775" s="4">
        <v>1136</v>
      </c>
      <c r="B775" s="8">
        <v>45252</v>
      </c>
      <c r="C775" s="4"/>
      <c r="D775" s="4" t="s">
        <v>42</v>
      </c>
      <c r="E775" s="8">
        <v>45291</v>
      </c>
      <c r="F775" s="4" t="s">
        <v>43</v>
      </c>
      <c r="G775" s="16" t="s">
        <v>51</v>
      </c>
      <c r="H775" s="4" t="s">
        <v>52</v>
      </c>
      <c r="I775" s="4" t="s">
        <v>434</v>
      </c>
      <c r="J775" s="10">
        <v>5.1829999999999994E-2</v>
      </c>
      <c r="K775" s="10"/>
      <c r="L775" s="10">
        <f t="shared" si="143"/>
        <v>5.1829999999999994E-2</v>
      </c>
      <c r="M775" s="10">
        <f t="shared" si="145"/>
        <v>5.1829999999999994E-2</v>
      </c>
      <c r="N775" s="10"/>
      <c r="O775" s="10"/>
      <c r="P775" s="10"/>
      <c r="Q775" s="10"/>
      <c r="R775" s="10">
        <v>5.1829999999999994E-2</v>
      </c>
      <c r="S775" s="10"/>
      <c r="T775" s="10"/>
      <c r="U775" s="10"/>
      <c r="V775" s="4" t="s">
        <v>23</v>
      </c>
      <c r="W775" s="4" t="s">
        <v>521</v>
      </c>
      <c r="X775" s="8"/>
      <c r="Y775" s="4"/>
      <c r="Z775" s="4"/>
      <c r="AA775" s="8"/>
      <c r="AB775" s="8"/>
      <c r="AC775" s="4"/>
      <c r="AD775" s="4"/>
    </row>
    <row r="776" spans="1:30" hidden="1">
      <c r="A776" s="4">
        <v>1136</v>
      </c>
      <c r="B776" s="8">
        <v>45252</v>
      </c>
      <c r="C776" s="4"/>
      <c r="D776" s="4" t="s">
        <v>42</v>
      </c>
      <c r="E776" s="8">
        <v>45291</v>
      </c>
      <c r="F776" s="4" t="s">
        <v>43</v>
      </c>
      <c r="G776" s="16" t="s">
        <v>51</v>
      </c>
      <c r="H776" s="4" t="s">
        <v>52</v>
      </c>
      <c r="I776" s="4" t="s">
        <v>1353</v>
      </c>
      <c r="J776" s="10">
        <v>9.4290000000000013E-2</v>
      </c>
      <c r="K776" s="10"/>
      <c r="L776" s="10">
        <f t="shared" si="143"/>
        <v>9.4290000000000013E-2</v>
      </c>
      <c r="M776" s="10">
        <f t="shared" si="145"/>
        <v>0</v>
      </c>
      <c r="N776" s="10"/>
      <c r="O776" s="10"/>
      <c r="P776" s="10"/>
      <c r="Q776" s="10"/>
      <c r="R776" s="10"/>
      <c r="S776" s="10"/>
      <c r="T776" s="10"/>
      <c r="U776" s="10">
        <v>9.4290000000000013E-2</v>
      </c>
      <c r="V776" s="4" t="s">
        <v>1141</v>
      </c>
      <c r="W776" s="4"/>
      <c r="X776" s="8"/>
      <c r="Y776" s="4"/>
      <c r="Z776" s="4"/>
      <c r="AA776" s="8"/>
      <c r="AB776" s="8"/>
      <c r="AC776" s="4"/>
      <c r="AD776" s="4"/>
    </row>
    <row r="777" spans="1:30" hidden="1">
      <c r="A777" s="4">
        <v>1136</v>
      </c>
      <c r="B777" s="8">
        <v>45252</v>
      </c>
      <c r="C777" s="4"/>
      <c r="D777" s="4" t="s">
        <v>42</v>
      </c>
      <c r="E777" s="8">
        <v>45291</v>
      </c>
      <c r="F777" s="4" t="s">
        <v>43</v>
      </c>
      <c r="G777" s="16" t="s">
        <v>51</v>
      </c>
      <c r="H777" s="4" t="s">
        <v>52</v>
      </c>
      <c r="I777" s="4" t="s">
        <v>89</v>
      </c>
      <c r="J777" s="10">
        <v>0.71520000000000006</v>
      </c>
      <c r="K777" s="10">
        <v>0.66600000000000004</v>
      </c>
      <c r="L777" s="10">
        <f t="shared" si="143"/>
        <v>0.05</v>
      </c>
      <c r="M777" s="10">
        <f t="shared" si="145"/>
        <v>0.05</v>
      </c>
      <c r="N777" s="10"/>
      <c r="O777" s="10"/>
      <c r="P777" s="10">
        <v>0.05</v>
      </c>
      <c r="Q777" s="10"/>
      <c r="R777" s="10"/>
      <c r="S777" s="10"/>
      <c r="T777" s="10"/>
      <c r="U777" s="10"/>
      <c r="V777" s="4" t="s">
        <v>1352</v>
      </c>
      <c r="W777" s="4"/>
      <c r="X777" s="8"/>
      <c r="Y777" s="4"/>
      <c r="Z777" s="4"/>
      <c r="AA777" s="8"/>
      <c r="AB777" s="8"/>
      <c r="AC777" s="4"/>
      <c r="AD777" s="4"/>
    </row>
    <row r="778" spans="1:30" hidden="1">
      <c r="A778" s="4">
        <v>1136</v>
      </c>
      <c r="B778" s="8">
        <v>45252</v>
      </c>
      <c r="C778" s="4"/>
      <c r="D778" s="4" t="s">
        <v>42</v>
      </c>
      <c r="E778" s="8">
        <v>45291</v>
      </c>
      <c r="F778" s="4" t="s">
        <v>43</v>
      </c>
      <c r="G778" s="16" t="s">
        <v>51</v>
      </c>
      <c r="H778" s="4" t="s">
        <v>52</v>
      </c>
      <c r="I778" s="4" t="s">
        <v>125</v>
      </c>
      <c r="J778" s="10">
        <v>1.2885599999999999</v>
      </c>
      <c r="K778" s="10"/>
      <c r="L778" s="10">
        <f t="shared" si="143"/>
        <v>1.2885599999999999</v>
      </c>
      <c r="M778" s="10">
        <f t="shared" si="145"/>
        <v>1.2885599999999999</v>
      </c>
      <c r="N778" s="10"/>
      <c r="O778" s="10"/>
      <c r="P778" s="10">
        <v>1.2885599999999999</v>
      </c>
      <c r="Q778" s="10"/>
      <c r="R778" s="10"/>
      <c r="S778" s="10"/>
      <c r="T778" s="10"/>
      <c r="U778" s="10"/>
      <c r="V778" s="4" t="s">
        <v>427</v>
      </c>
      <c r="W778" s="32"/>
      <c r="X778" s="8"/>
      <c r="Y778" s="4"/>
      <c r="Z778" s="4"/>
      <c r="AA778" s="8"/>
      <c r="AB778" s="8"/>
      <c r="AC778" s="4"/>
      <c r="AD778" s="4"/>
    </row>
    <row r="779" spans="1:30" hidden="1">
      <c r="A779" s="4">
        <v>1137</v>
      </c>
      <c r="B779" s="8">
        <v>45252</v>
      </c>
      <c r="C779" s="4"/>
      <c r="D779" s="4" t="s">
        <v>42</v>
      </c>
      <c r="E779" s="8">
        <v>45291</v>
      </c>
      <c r="F779" s="4" t="s">
        <v>43</v>
      </c>
      <c r="G779" s="40" t="s">
        <v>126</v>
      </c>
      <c r="H779" s="4" t="s">
        <v>45</v>
      </c>
      <c r="I779" s="4" t="s">
        <v>54</v>
      </c>
      <c r="J779" s="10">
        <v>7.3600000000000013E-2</v>
      </c>
      <c r="K779" s="10"/>
      <c r="L779" s="10">
        <f t="shared" si="143"/>
        <v>7.3600000000000013E-2</v>
      </c>
      <c r="M779" s="10">
        <f t="shared" si="145"/>
        <v>7.3600000000000013E-2</v>
      </c>
      <c r="N779" s="10"/>
      <c r="O779" s="10"/>
      <c r="P779" s="10"/>
      <c r="Q779" s="10"/>
      <c r="R779" s="10">
        <v>7.3600000000000013E-2</v>
      </c>
      <c r="S779" s="10"/>
      <c r="T779" s="10"/>
      <c r="U779" s="10"/>
      <c r="V779" s="4" t="s">
        <v>23</v>
      </c>
      <c r="W779" s="4" t="s">
        <v>634</v>
      </c>
      <c r="X779" s="8">
        <v>45261</v>
      </c>
      <c r="Y779" s="4"/>
      <c r="Z779" s="4"/>
      <c r="AA779" s="8"/>
      <c r="AB779" s="8"/>
      <c r="AC779" s="4"/>
      <c r="AD779" s="4"/>
    </row>
    <row r="780" spans="1:30" hidden="1">
      <c r="A780" s="4">
        <v>1137</v>
      </c>
      <c r="B780" s="8">
        <v>45252</v>
      </c>
      <c r="C780" s="4"/>
      <c r="D780" s="4" t="s">
        <v>42</v>
      </c>
      <c r="E780" s="8">
        <v>45291</v>
      </c>
      <c r="F780" s="4" t="s">
        <v>43</v>
      </c>
      <c r="G780" s="40" t="s">
        <v>126</v>
      </c>
      <c r="H780" s="4" t="s">
        <v>45</v>
      </c>
      <c r="I780" s="4" t="s">
        <v>56</v>
      </c>
      <c r="J780" s="10">
        <v>6.4200000000000007E-2</v>
      </c>
      <c r="K780" s="10"/>
      <c r="L780" s="10">
        <f t="shared" si="143"/>
        <v>6.4200000000000007E-2</v>
      </c>
      <c r="M780" s="10">
        <f t="shared" si="145"/>
        <v>6.4200000000000007E-2</v>
      </c>
      <c r="N780" s="10"/>
      <c r="O780" s="10"/>
      <c r="P780" s="10"/>
      <c r="Q780" s="10"/>
      <c r="R780" s="10">
        <v>6.4200000000000007E-2</v>
      </c>
      <c r="S780" s="10"/>
      <c r="T780" s="10"/>
      <c r="U780" s="10"/>
      <c r="V780" s="4" t="s">
        <v>23</v>
      </c>
      <c r="W780" s="4" t="s">
        <v>1385</v>
      </c>
      <c r="X780" s="8"/>
      <c r="Y780" s="4"/>
      <c r="Z780" s="4"/>
      <c r="AA780" s="8"/>
      <c r="AB780" s="8"/>
      <c r="AC780" s="4"/>
      <c r="AD780" s="4"/>
    </row>
    <row r="781" spans="1:30" hidden="1">
      <c r="A781" s="4">
        <v>1137</v>
      </c>
      <c r="B781" s="8">
        <v>45252</v>
      </c>
      <c r="C781" s="4"/>
      <c r="D781" s="4" t="s">
        <v>42</v>
      </c>
      <c r="E781" s="8">
        <v>45291</v>
      </c>
      <c r="F781" s="4" t="s">
        <v>43</v>
      </c>
      <c r="G781" s="40" t="s">
        <v>126</v>
      </c>
      <c r="H781" s="4" t="s">
        <v>45</v>
      </c>
      <c r="I781" s="4" t="s">
        <v>48</v>
      </c>
      <c r="J781" s="10">
        <v>0.29039999999999999</v>
      </c>
      <c r="K781" s="10"/>
      <c r="L781" s="10">
        <f t="shared" si="143"/>
        <v>0.29039999999999999</v>
      </c>
      <c r="M781" s="10">
        <f t="shared" si="145"/>
        <v>0.29039999999999999</v>
      </c>
      <c r="N781" s="10"/>
      <c r="O781" s="10"/>
      <c r="P781" s="10"/>
      <c r="Q781" s="10"/>
      <c r="R781" s="10">
        <v>0.29039999999999999</v>
      </c>
      <c r="S781" s="10"/>
      <c r="T781" s="10"/>
      <c r="U781" s="10"/>
      <c r="V781" s="4" t="s">
        <v>23</v>
      </c>
      <c r="W781" s="4"/>
      <c r="X781" s="8">
        <v>45258</v>
      </c>
      <c r="Y781" s="4"/>
      <c r="Z781" s="4"/>
      <c r="AA781" s="8"/>
      <c r="AB781" s="8"/>
      <c r="AC781" s="4"/>
      <c r="AD781" s="4"/>
    </row>
    <row r="782" spans="1:30" hidden="1">
      <c r="A782" s="4">
        <v>1137</v>
      </c>
      <c r="B782" s="8">
        <v>45252</v>
      </c>
      <c r="C782" s="4"/>
      <c r="D782" s="4" t="s">
        <v>42</v>
      </c>
      <c r="E782" s="8">
        <v>45291</v>
      </c>
      <c r="F782" s="4" t="s">
        <v>43</v>
      </c>
      <c r="G782" s="40" t="s">
        <v>126</v>
      </c>
      <c r="H782" s="4" t="s">
        <v>45</v>
      </c>
      <c r="I782" s="4" t="s">
        <v>49</v>
      </c>
      <c r="J782" s="10">
        <v>0.13650000000000001</v>
      </c>
      <c r="K782" s="10"/>
      <c r="L782" s="10">
        <f t="shared" si="143"/>
        <v>0.13650000000000001</v>
      </c>
      <c r="M782" s="10">
        <f t="shared" si="145"/>
        <v>0.13650000000000001</v>
      </c>
      <c r="N782" s="10"/>
      <c r="O782" s="10"/>
      <c r="P782" s="10">
        <v>0.13650000000000001</v>
      </c>
      <c r="Q782" s="10"/>
      <c r="R782" s="10"/>
      <c r="S782" s="10"/>
      <c r="T782" s="10"/>
      <c r="U782" s="10"/>
      <c r="V782" s="4" t="s">
        <v>23</v>
      </c>
      <c r="W782" s="4"/>
      <c r="X782" s="8"/>
      <c r="Y782" s="4"/>
      <c r="Z782" s="4"/>
      <c r="AA782" s="8"/>
      <c r="AB782" s="8"/>
      <c r="AC782" s="4"/>
      <c r="AD782" s="4"/>
    </row>
    <row r="783" spans="1:30" hidden="1">
      <c r="A783" s="4">
        <v>1137</v>
      </c>
      <c r="B783" s="8">
        <v>45252</v>
      </c>
      <c r="C783" s="4"/>
      <c r="D783" s="4" t="s">
        <v>42</v>
      </c>
      <c r="E783" s="8">
        <v>45291</v>
      </c>
      <c r="F783" s="4" t="s">
        <v>43</v>
      </c>
      <c r="G783" s="40" t="s">
        <v>126</v>
      </c>
      <c r="H783" s="4" t="s">
        <v>45</v>
      </c>
      <c r="I783" s="4" t="s">
        <v>50</v>
      </c>
      <c r="J783" s="10">
        <v>0.14846999999999999</v>
      </c>
      <c r="K783" s="10"/>
      <c r="L783" s="10">
        <f t="shared" si="143"/>
        <v>0.14846999999999999</v>
      </c>
      <c r="M783" s="10">
        <f t="shared" si="145"/>
        <v>0.14846999999999999</v>
      </c>
      <c r="N783" s="10"/>
      <c r="O783" s="10"/>
      <c r="P783" s="10"/>
      <c r="Q783" s="10"/>
      <c r="R783" s="10">
        <v>0.14846999999999999</v>
      </c>
      <c r="S783" s="10"/>
      <c r="T783" s="10"/>
      <c r="U783" s="10"/>
      <c r="V783" s="4" t="s">
        <v>23</v>
      </c>
      <c r="W783" s="4"/>
      <c r="X783" s="8"/>
      <c r="Y783" s="4"/>
      <c r="Z783" s="4"/>
      <c r="AA783" s="8"/>
      <c r="AB783" s="8"/>
      <c r="AC783" s="4"/>
      <c r="AD783" s="4"/>
    </row>
    <row r="784" spans="1:30" hidden="1">
      <c r="A784" s="4">
        <v>1137</v>
      </c>
      <c r="B784" s="8">
        <v>45252</v>
      </c>
      <c r="C784" s="4"/>
      <c r="D784" s="4" t="s">
        <v>42</v>
      </c>
      <c r="E784" s="8">
        <v>45291</v>
      </c>
      <c r="F784" s="4" t="s">
        <v>43</v>
      </c>
      <c r="G784" s="40" t="s">
        <v>126</v>
      </c>
      <c r="H784" s="4" t="s">
        <v>45</v>
      </c>
      <c r="I784" s="4" t="s">
        <v>407</v>
      </c>
      <c r="J784" s="10">
        <v>0.23640000000000003</v>
      </c>
      <c r="K784" s="10"/>
      <c r="L784" s="10">
        <f t="shared" si="143"/>
        <v>0.23640000000000003</v>
      </c>
      <c r="M784" s="10">
        <f t="shared" si="145"/>
        <v>0.23640000000000003</v>
      </c>
      <c r="N784" s="10"/>
      <c r="O784" s="10"/>
      <c r="P784" s="10">
        <v>0.23640000000000003</v>
      </c>
      <c r="Q784" s="10"/>
      <c r="R784" s="10"/>
      <c r="S784" s="10"/>
      <c r="T784" s="10"/>
      <c r="U784" s="10"/>
      <c r="V784" s="4" t="s">
        <v>23</v>
      </c>
      <c r="W784" s="4"/>
      <c r="X784" s="8"/>
      <c r="Y784" s="4"/>
      <c r="Z784" s="4"/>
      <c r="AA784" s="8"/>
      <c r="AB784" s="8"/>
      <c r="AC784" s="4"/>
      <c r="AD784" s="4"/>
    </row>
    <row r="785" spans="1:30" hidden="1">
      <c r="A785" s="4">
        <v>1137</v>
      </c>
      <c r="B785" s="8">
        <v>45252</v>
      </c>
      <c r="C785" s="4"/>
      <c r="D785" s="4" t="s">
        <v>42</v>
      </c>
      <c r="E785" s="8">
        <v>45291</v>
      </c>
      <c r="F785" s="4" t="s">
        <v>43</v>
      </c>
      <c r="G785" s="40" t="s">
        <v>126</v>
      </c>
      <c r="H785" s="4" t="s">
        <v>45</v>
      </c>
      <c r="I785" s="4" t="s">
        <v>409</v>
      </c>
      <c r="J785" s="10">
        <v>0.70499999999999996</v>
      </c>
      <c r="K785" s="10">
        <v>0.70399999999999996</v>
      </c>
      <c r="L785" s="10">
        <f t="shared" si="143"/>
        <v>0</v>
      </c>
      <c r="M785" s="10">
        <f t="shared" si="145"/>
        <v>0</v>
      </c>
      <c r="N785" s="10"/>
      <c r="O785" s="10"/>
      <c r="P785" s="10">
        <v>0</v>
      </c>
      <c r="Q785" s="10"/>
      <c r="R785" s="10"/>
      <c r="S785" s="10"/>
      <c r="T785" s="10"/>
      <c r="U785" s="10"/>
      <c r="V785" s="4" t="s">
        <v>23</v>
      </c>
      <c r="W785" s="4"/>
      <c r="X785" s="8"/>
      <c r="Y785" s="4"/>
      <c r="Z785" s="4"/>
      <c r="AA785" s="8"/>
      <c r="AB785" s="8">
        <v>45280</v>
      </c>
      <c r="AC785" s="4"/>
      <c r="AD785" s="4"/>
    </row>
    <row r="786" spans="1:30" hidden="1">
      <c r="A786" s="4">
        <v>1137</v>
      </c>
      <c r="B786" s="8">
        <v>45252</v>
      </c>
      <c r="C786" s="4"/>
      <c r="D786" s="4" t="s">
        <v>42</v>
      </c>
      <c r="E786" s="8">
        <v>45291</v>
      </c>
      <c r="F786" s="4" t="s">
        <v>43</v>
      </c>
      <c r="G786" s="40" t="s">
        <v>126</v>
      </c>
      <c r="H786" s="4" t="s">
        <v>45</v>
      </c>
      <c r="I786" s="4" t="s">
        <v>517</v>
      </c>
      <c r="J786" s="10">
        <v>0.19928999999999999</v>
      </c>
      <c r="K786" s="10"/>
      <c r="L786" s="10">
        <f t="shared" si="143"/>
        <v>0.19928999999999999</v>
      </c>
      <c r="M786" s="10">
        <f t="shared" si="145"/>
        <v>0.19928999999999999</v>
      </c>
      <c r="N786" s="10"/>
      <c r="O786" s="10"/>
      <c r="P786" s="10">
        <v>0.19928999999999999</v>
      </c>
      <c r="Q786" s="10"/>
      <c r="R786" s="10"/>
      <c r="S786" s="10"/>
      <c r="T786" s="10"/>
      <c r="U786" s="10"/>
      <c r="V786" s="4" t="s">
        <v>23</v>
      </c>
      <c r="W786" s="4" t="s">
        <v>521</v>
      </c>
      <c r="X786" s="8">
        <v>45295</v>
      </c>
      <c r="Y786" s="4"/>
      <c r="Z786" s="4"/>
      <c r="AA786" s="8"/>
      <c r="AB786" s="8"/>
      <c r="AC786" s="4"/>
      <c r="AD786" s="4"/>
    </row>
    <row r="787" spans="1:30" hidden="1">
      <c r="A787" s="4">
        <v>1137</v>
      </c>
      <c r="B787" s="8">
        <v>45252</v>
      </c>
      <c r="C787" s="4"/>
      <c r="D787" s="4" t="s">
        <v>42</v>
      </c>
      <c r="E787" s="8">
        <v>45291</v>
      </c>
      <c r="F787" s="4" t="s">
        <v>43</v>
      </c>
      <c r="G787" s="40" t="s">
        <v>126</v>
      </c>
      <c r="H787" s="4" t="s">
        <v>45</v>
      </c>
      <c r="I787" s="4" t="s">
        <v>435</v>
      </c>
      <c r="J787" s="10">
        <v>3.4200000000000001E-2</v>
      </c>
      <c r="K787" s="10"/>
      <c r="L787" s="10">
        <f t="shared" si="143"/>
        <v>3.4200000000000001E-2</v>
      </c>
      <c r="M787" s="10">
        <f t="shared" si="145"/>
        <v>3.4200000000000001E-2</v>
      </c>
      <c r="N787" s="10"/>
      <c r="O787" s="10"/>
      <c r="P787" s="10">
        <v>3.4200000000000001E-2</v>
      </c>
      <c r="Q787" s="10"/>
      <c r="R787" s="10"/>
      <c r="S787" s="10"/>
      <c r="T787" s="10"/>
      <c r="U787" s="10"/>
      <c r="V787" s="4" t="s">
        <v>23</v>
      </c>
      <c r="W787" s="4"/>
      <c r="X787" s="8"/>
      <c r="Y787" s="4"/>
      <c r="Z787" s="4"/>
      <c r="AA787" s="8"/>
      <c r="AB787" s="8"/>
      <c r="AC787" s="4"/>
      <c r="AD787" s="4"/>
    </row>
    <row r="788" spans="1:30" hidden="1">
      <c r="A788" s="4">
        <v>1137</v>
      </c>
      <c r="B788" s="8">
        <v>45252</v>
      </c>
      <c r="C788" s="4"/>
      <c r="D788" s="4" t="s">
        <v>42</v>
      </c>
      <c r="E788" s="8">
        <v>45291</v>
      </c>
      <c r="F788" s="4" t="s">
        <v>43</v>
      </c>
      <c r="G788" s="40" t="s">
        <v>126</v>
      </c>
      <c r="H788" s="4" t="s">
        <v>45</v>
      </c>
      <c r="I788" s="4" t="s">
        <v>432</v>
      </c>
      <c r="J788" s="10">
        <v>5.1679999999999997E-2</v>
      </c>
      <c r="K788" s="10">
        <v>5.1999999999999998E-2</v>
      </c>
      <c r="L788" s="10">
        <f t="shared" si="143"/>
        <v>0</v>
      </c>
      <c r="M788" s="10">
        <f t="shared" si="145"/>
        <v>0</v>
      </c>
      <c r="N788" s="10"/>
      <c r="O788" s="10"/>
      <c r="P788" s="10">
        <v>0</v>
      </c>
      <c r="Q788" s="10"/>
      <c r="R788" s="10"/>
      <c r="S788" s="10"/>
      <c r="T788" s="10"/>
      <c r="U788" s="10"/>
      <c r="V788" s="4" t="s">
        <v>23</v>
      </c>
      <c r="W788" s="4"/>
      <c r="X788" s="8"/>
      <c r="Y788" s="4"/>
      <c r="Z788" s="4"/>
      <c r="AA788" s="8"/>
      <c r="AB788" s="8"/>
      <c r="AC788" s="4"/>
      <c r="AD788" s="4"/>
    </row>
    <row r="789" spans="1:30" hidden="1">
      <c r="A789" s="4">
        <v>1137</v>
      </c>
      <c r="B789" s="8">
        <v>45252</v>
      </c>
      <c r="C789" s="4"/>
      <c r="D789" s="4" t="s">
        <v>42</v>
      </c>
      <c r="E789" s="8">
        <v>45291</v>
      </c>
      <c r="F789" s="4" t="s">
        <v>43</v>
      </c>
      <c r="G789" s="40" t="s">
        <v>126</v>
      </c>
      <c r="H789" s="4" t="s">
        <v>45</v>
      </c>
      <c r="I789" s="4" t="s">
        <v>434</v>
      </c>
      <c r="J789" s="10">
        <v>4.3799999999999999E-2</v>
      </c>
      <c r="K789" s="10"/>
      <c r="L789" s="10">
        <f t="shared" si="143"/>
        <v>4.3799999999999999E-2</v>
      </c>
      <c r="M789" s="10">
        <f t="shared" si="145"/>
        <v>0</v>
      </c>
      <c r="N789" s="10"/>
      <c r="O789" s="10"/>
      <c r="P789" s="10"/>
      <c r="Q789" s="10"/>
      <c r="R789" s="10"/>
      <c r="S789" s="10"/>
      <c r="T789" s="10"/>
      <c r="U789" s="10">
        <v>4.3799999999999999E-2</v>
      </c>
      <c r="V789" s="4" t="s">
        <v>23</v>
      </c>
      <c r="W789" s="4"/>
      <c r="X789" s="8"/>
      <c r="Y789" s="4"/>
      <c r="Z789" s="4"/>
      <c r="AA789" s="8"/>
      <c r="AB789" s="8"/>
      <c r="AC789" s="4"/>
      <c r="AD789" s="4"/>
    </row>
    <row r="790" spans="1:30" hidden="1">
      <c r="A790" s="4">
        <v>1137</v>
      </c>
      <c r="B790" s="8">
        <v>45252</v>
      </c>
      <c r="C790" s="4"/>
      <c r="D790" s="4" t="s">
        <v>42</v>
      </c>
      <c r="E790" s="8">
        <v>45291</v>
      </c>
      <c r="F790" s="4" t="s">
        <v>43</v>
      </c>
      <c r="G790" s="40" t="s">
        <v>126</v>
      </c>
      <c r="H790" s="4" t="s">
        <v>45</v>
      </c>
      <c r="I790" s="4" t="s">
        <v>89</v>
      </c>
      <c r="J790" s="10">
        <v>4.9199999999999994E-2</v>
      </c>
      <c r="K790" s="10"/>
      <c r="L790" s="10">
        <f t="shared" si="143"/>
        <v>4.9199999999999994E-2</v>
      </c>
      <c r="M790" s="10">
        <f t="shared" si="145"/>
        <v>4.9199999999999994E-2</v>
      </c>
      <c r="N790" s="10"/>
      <c r="O790" s="10"/>
      <c r="P790" s="10">
        <v>4.9199999999999994E-2</v>
      </c>
      <c r="Q790" s="10"/>
      <c r="R790" s="10"/>
      <c r="S790" s="10"/>
      <c r="T790" s="10"/>
      <c r="U790" s="10"/>
      <c r="V790" s="4" t="s">
        <v>23</v>
      </c>
      <c r="W790" s="4"/>
      <c r="X790" s="8">
        <v>45286</v>
      </c>
      <c r="Y790" s="4"/>
      <c r="Z790" s="4"/>
      <c r="AA790" s="8"/>
      <c r="AB790" s="8"/>
      <c r="AC790" s="4"/>
      <c r="AD790" s="4"/>
    </row>
    <row r="791" spans="1:30" hidden="1">
      <c r="A791" s="4">
        <v>1137</v>
      </c>
      <c r="B791" s="8">
        <v>45252</v>
      </c>
      <c r="C791" s="4"/>
      <c r="D791" s="4" t="s">
        <v>42</v>
      </c>
      <c r="E791" s="8">
        <v>45291</v>
      </c>
      <c r="F791" s="4" t="s">
        <v>43</v>
      </c>
      <c r="G791" s="40" t="s">
        <v>1142</v>
      </c>
      <c r="H791" s="4" t="s">
        <v>52</v>
      </c>
      <c r="I791" s="4" t="s">
        <v>54</v>
      </c>
      <c r="J791" s="10">
        <v>8.9240000000000014E-2</v>
      </c>
      <c r="K791" s="10"/>
      <c r="L791" s="10">
        <f t="shared" si="143"/>
        <v>8.9240000000000014E-2</v>
      </c>
      <c r="M791" s="10">
        <f t="shared" si="145"/>
        <v>8.9240000000000014E-2</v>
      </c>
      <c r="N791" s="10"/>
      <c r="O791" s="10"/>
      <c r="P791" s="10">
        <v>8.9240000000000014E-2</v>
      </c>
      <c r="Q791" s="10"/>
      <c r="R791" s="10"/>
      <c r="S791" s="10"/>
      <c r="T791" s="10"/>
      <c r="U791" s="10"/>
      <c r="V791" s="4" t="s">
        <v>23</v>
      </c>
      <c r="W791" s="4"/>
      <c r="X791" s="8">
        <v>45262</v>
      </c>
      <c r="Y791" s="4"/>
      <c r="Z791" s="4"/>
      <c r="AA791" s="8"/>
      <c r="AB791" s="8"/>
      <c r="AC791" s="4"/>
      <c r="AD791" s="4"/>
    </row>
    <row r="792" spans="1:30" hidden="1">
      <c r="A792" s="4">
        <v>1137</v>
      </c>
      <c r="B792" s="8">
        <v>45252</v>
      </c>
      <c r="C792" s="4"/>
      <c r="D792" s="4" t="s">
        <v>42</v>
      </c>
      <c r="E792" s="8">
        <v>45291</v>
      </c>
      <c r="F792" s="4" t="s">
        <v>43</v>
      </c>
      <c r="G792" s="40" t="s">
        <v>1142</v>
      </c>
      <c r="H792" s="4" t="s">
        <v>52</v>
      </c>
      <c r="I792" s="4" t="s">
        <v>432</v>
      </c>
      <c r="J792" s="10">
        <v>4.0799999999999996E-2</v>
      </c>
      <c r="K792" s="10"/>
      <c r="L792" s="10">
        <f t="shared" si="143"/>
        <v>4.0799999999999996E-2</v>
      </c>
      <c r="M792" s="10">
        <f t="shared" si="145"/>
        <v>4.0799999999999996E-2</v>
      </c>
      <c r="N792" s="10"/>
      <c r="O792" s="10"/>
      <c r="P792" s="10"/>
      <c r="Q792" s="10"/>
      <c r="R792" s="10">
        <v>4.0799999999999996E-2</v>
      </c>
      <c r="S792" s="10"/>
      <c r="T792" s="10"/>
      <c r="U792" s="10"/>
      <c r="V792" s="4" t="s">
        <v>23</v>
      </c>
      <c r="W792" s="4" t="s">
        <v>521</v>
      </c>
      <c r="X792" s="8"/>
      <c r="Y792" s="4"/>
      <c r="Z792" s="4"/>
      <c r="AA792" s="8"/>
      <c r="AB792" s="8"/>
      <c r="AC792" s="4"/>
      <c r="AD792" s="4"/>
    </row>
    <row r="793" spans="1:30" hidden="1">
      <c r="A793" s="4">
        <v>1137</v>
      </c>
      <c r="B793" s="8">
        <v>45252</v>
      </c>
      <c r="C793" s="4"/>
      <c r="D793" s="4" t="s">
        <v>42</v>
      </c>
      <c r="E793" s="8">
        <v>45291</v>
      </c>
      <c r="F793" s="4" t="s">
        <v>43</v>
      </c>
      <c r="G793" s="40" t="s">
        <v>1142</v>
      </c>
      <c r="H793" s="4" t="s">
        <v>52</v>
      </c>
      <c r="I793" s="4" t="s">
        <v>89</v>
      </c>
      <c r="J793" s="10">
        <v>9.8399999999999987E-2</v>
      </c>
      <c r="K793" s="10"/>
      <c r="L793" s="10">
        <f t="shared" si="143"/>
        <v>0.1</v>
      </c>
      <c r="M793" s="10">
        <f t="shared" si="145"/>
        <v>0.1</v>
      </c>
      <c r="N793" s="10"/>
      <c r="O793" s="10"/>
      <c r="P793" s="10"/>
      <c r="Q793" s="10"/>
      <c r="R793" s="10">
        <v>0.1</v>
      </c>
      <c r="S793" s="10"/>
      <c r="T793" s="10"/>
      <c r="U793" s="10"/>
      <c r="V793" s="4" t="s">
        <v>23</v>
      </c>
      <c r="W793" s="4"/>
      <c r="X793" s="8"/>
      <c r="Y793" s="4"/>
      <c r="Z793" s="4"/>
      <c r="AA793" s="8"/>
      <c r="AB793" s="8"/>
      <c r="AC793" s="4"/>
      <c r="AD793" s="4"/>
    </row>
    <row r="794" spans="1:30" hidden="1">
      <c r="A794" s="4">
        <v>1137</v>
      </c>
      <c r="B794" s="8">
        <v>45252</v>
      </c>
      <c r="C794" s="4"/>
      <c r="D794" s="4" t="s">
        <v>42</v>
      </c>
      <c r="E794" s="8">
        <v>45291</v>
      </c>
      <c r="F794" s="4" t="s">
        <v>43</v>
      </c>
      <c r="G794" s="40" t="s">
        <v>1142</v>
      </c>
      <c r="H794" s="4" t="s">
        <v>52</v>
      </c>
      <c r="I794" s="4" t="s">
        <v>87</v>
      </c>
      <c r="J794" s="10">
        <v>5.7599999999999998E-2</v>
      </c>
      <c r="K794" s="10"/>
      <c r="L794" s="10">
        <f t="shared" si="143"/>
        <v>5.7599999999999998E-2</v>
      </c>
      <c r="M794" s="10">
        <f t="shared" si="145"/>
        <v>5.7599999999999998E-2</v>
      </c>
      <c r="N794" s="10"/>
      <c r="O794" s="10"/>
      <c r="P794" s="10"/>
      <c r="Q794" s="10"/>
      <c r="R794" s="10">
        <v>5.7599999999999998E-2</v>
      </c>
      <c r="S794" s="10"/>
      <c r="T794" s="10"/>
      <c r="U794" s="10"/>
      <c r="V794" s="4" t="s">
        <v>23</v>
      </c>
      <c r="W794" s="4"/>
      <c r="X794" s="8"/>
      <c r="Y794" s="4"/>
      <c r="Z794" s="4"/>
      <c r="AA794" s="8"/>
      <c r="AB794" s="8"/>
      <c r="AC794" s="4"/>
      <c r="AD794" s="4"/>
    </row>
    <row r="795" spans="1:30" hidden="1">
      <c r="A795" s="4">
        <v>1215</v>
      </c>
      <c r="B795" s="8">
        <v>45261</v>
      </c>
      <c r="C795" s="4"/>
      <c r="D795" s="4"/>
      <c r="E795" s="8">
        <v>45267</v>
      </c>
      <c r="F795" s="4" t="s">
        <v>840</v>
      </c>
      <c r="G795" s="16" t="s">
        <v>51</v>
      </c>
      <c r="H795" s="4" t="s">
        <v>52</v>
      </c>
      <c r="I795" s="4" t="s">
        <v>407</v>
      </c>
      <c r="J795" s="10">
        <v>0.82799999999999996</v>
      </c>
      <c r="K795" s="10">
        <v>1.1040000000000001</v>
      </c>
      <c r="L795" s="10">
        <f t="shared" ref="L795" si="146">M795+U795</f>
        <v>0</v>
      </c>
      <c r="M795" s="10">
        <f t="shared" ref="M795" si="147">SUM(N795:T795)</f>
        <v>0</v>
      </c>
      <c r="N795" s="10">
        <v>0</v>
      </c>
      <c r="O795" s="10"/>
      <c r="P795" s="10"/>
      <c r="Q795" s="10"/>
      <c r="R795" s="10"/>
      <c r="S795" s="10"/>
      <c r="T795" s="10"/>
      <c r="U795" s="10"/>
      <c r="V795" s="4" t="s">
        <v>841</v>
      </c>
      <c r="W795" s="4" t="s">
        <v>521</v>
      </c>
      <c r="X795" s="8"/>
      <c r="Y795" s="4"/>
      <c r="Z795" s="4"/>
      <c r="AA795" s="8"/>
      <c r="AB795" s="8"/>
      <c r="AC795" s="4"/>
      <c r="AD795" s="4"/>
    </row>
    <row r="796" spans="1:30" hidden="1">
      <c r="A796" s="4">
        <v>1215</v>
      </c>
      <c r="B796" s="8">
        <v>45261</v>
      </c>
      <c r="C796" s="4"/>
      <c r="D796" s="4"/>
      <c r="E796" s="8">
        <v>45267</v>
      </c>
      <c r="F796" s="4" t="s">
        <v>840</v>
      </c>
      <c r="G796" s="16" t="s">
        <v>51</v>
      </c>
      <c r="H796" s="4" t="s">
        <v>52</v>
      </c>
      <c r="I796" s="4" t="s">
        <v>50</v>
      </c>
      <c r="J796" s="10">
        <v>0.70367999999999997</v>
      </c>
      <c r="K796" s="10">
        <v>0.70399999999999996</v>
      </c>
      <c r="L796" s="10">
        <f t="shared" ref="L796:L804" si="148">M796+U796</f>
        <v>0</v>
      </c>
      <c r="M796" s="10">
        <f t="shared" ref="M796:M804" si="149">SUM(N796:T796)</f>
        <v>0</v>
      </c>
      <c r="N796" s="10">
        <v>0</v>
      </c>
      <c r="O796" s="10"/>
      <c r="P796" s="10"/>
      <c r="Q796" s="10"/>
      <c r="R796" s="10"/>
      <c r="S796" s="10"/>
      <c r="T796" s="10"/>
      <c r="U796" s="10"/>
      <c r="V796" s="4" t="s">
        <v>841</v>
      </c>
      <c r="W796" s="4" t="s">
        <v>521</v>
      </c>
      <c r="X796" s="8"/>
      <c r="Y796" s="4"/>
      <c r="Z796" s="4"/>
      <c r="AA796" s="8"/>
      <c r="AB796" s="8"/>
      <c r="AC796" s="4"/>
      <c r="AD796" s="4"/>
    </row>
    <row r="797" spans="1:30" s="127" customFormat="1" hidden="1">
      <c r="A797" s="129">
        <v>1215</v>
      </c>
      <c r="B797" s="8">
        <v>45261</v>
      </c>
      <c r="C797" s="129"/>
      <c r="D797" s="129"/>
      <c r="E797" s="8">
        <v>45267</v>
      </c>
      <c r="F797" s="129" t="s">
        <v>840</v>
      </c>
      <c r="G797" s="16" t="s">
        <v>51</v>
      </c>
      <c r="H797" s="129" t="s">
        <v>52</v>
      </c>
      <c r="I797" s="135" t="s">
        <v>47</v>
      </c>
      <c r="J797" s="10">
        <v>0.42799999999999999</v>
      </c>
      <c r="K797" s="10">
        <v>0.42799999999999999</v>
      </c>
      <c r="L797" s="10">
        <f t="shared" si="148"/>
        <v>0</v>
      </c>
      <c r="M797" s="10">
        <f t="shared" si="149"/>
        <v>0</v>
      </c>
      <c r="N797" s="10">
        <v>0</v>
      </c>
      <c r="O797" s="10"/>
      <c r="P797" s="10"/>
      <c r="Q797" s="10"/>
      <c r="R797" s="10"/>
      <c r="S797" s="10"/>
      <c r="T797" s="10"/>
      <c r="U797" s="10"/>
      <c r="V797" s="129" t="s">
        <v>841</v>
      </c>
      <c r="W797" s="129" t="s">
        <v>521</v>
      </c>
      <c r="X797" s="8"/>
      <c r="Y797" s="129"/>
      <c r="Z797" s="129"/>
      <c r="AA797" s="8"/>
      <c r="AB797" s="8"/>
      <c r="AC797" s="129"/>
      <c r="AD797" s="129"/>
    </row>
    <row r="798" spans="1:30" s="127" customFormat="1" hidden="1">
      <c r="A798" s="129">
        <v>1215</v>
      </c>
      <c r="B798" s="8">
        <v>45261</v>
      </c>
      <c r="C798" s="129"/>
      <c r="D798" s="129"/>
      <c r="E798" s="8">
        <v>45267</v>
      </c>
      <c r="F798" s="129" t="s">
        <v>840</v>
      </c>
      <c r="G798" s="16" t="s">
        <v>51</v>
      </c>
      <c r="H798" s="129" t="s">
        <v>52</v>
      </c>
      <c r="I798" s="135" t="s">
        <v>89</v>
      </c>
      <c r="J798" s="10">
        <v>0.34899999999999998</v>
      </c>
      <c r="K798" s="10">
        <v>0.34899999999999998</v>
      </c>
      <c r="L798" s="10">
        <f t="shared" ref="L798" si="150">M798+U798</f>
        <v>0</v>
      </c>
      <c r="M798" s="10">
        <f t="shared" ref="M798" si="151">SUM(N798:T798)</f>
        <v>0</v>
      </c>
      <c r="N798" s="10">
        <v>0</v>
      </c>
      <c r="O798" s="10"/>
      <c r="P798" s="10"/>
      <c r="Q798" s="10"/>
      <c r="R798" s="10"/>
      <c r="S798" s="10"/>
      <c r="T798" s="10"/>
      <c r="U798" s="10"/>
      <c r="V798" s="129" t="s">
        <v>841</v>
      </c>
      <c r="W798" s="129" t="s">
        <v>521</v>
      </c>
      <c r="X798" s="8"/>
      <c r="Y798" s="129"/>
      <c r="Z798" s="129"/>
      <c r="AA798" s="8"/>
      <c r="AB798" s="8"/>
      <c r="AC798" s="129"/>
      <c r="AD798" s="129"/>
    </row>
    <row r="799" spans="1:30" s="127" customFormat="1" hidden="1">
      <c r="A799" s="129">
        <v>1215</v>
      </c>
      <c r="B799" s="8">
        <v>45261</v>
      </c>
      <c r="C799" s="129"/>
      <c r="D799" s="129"/>
      <c r="E799" s="8">
        <v>45267</v>
      </c>
      <c r="F799" s="129" t="s">
        <v>840</v>
      </c>
      <c r="G799" s="16" t="s">
        <v>51</v>
      </c>
      <c r="H799" s="129" t="s">
        <v>52</v>
      </c>
      <c r="I799" s="135" t="s">
        <v>405</v>
      </c>
      <c r="J799" s="10">
        <v>0.66300000000000003</v>
      </c>
      <c r="K799" s="10">
        <v>0.66300000000000003</v>
      </c>
      <c r="L799" s="10">
        <f t="shared" ref="L799" si="152">M799+U799</f>
        <v>0</v>
      </c>
      <c r="M799" s="10">
        <f t="shared" ref="M799" si="153">SUM(N799:T799)</f>
        <v>0</v>
      </c>
      <c r="N799" s="10">
        <v>0</v>
      </c>
      <c r="O799" s="10"/>
      <c r="P799" s="10"/>
      <c r="Q799" s="10"/>
      <c r="R799" s="10"/>
      <c r="S799" s="10"/>
      <c r="T799" s="10"/>
      <c r="U799" s="10"/>
      <c r="V799" s="129" t="s">
        <v>841</v>
      </c>
      <c r="W799" s="129" t="s">
        <v>521</v>
      </c>
      <c r="X799" s="8"/>
      <c r="Y799" s="129"/>
      <c r="Z799" s="129"/>
      <c r="AA799" s="8"/>
      <c r="AB799" s="8"/>
      <c r="AC799" s="129"/>
      <c r="AD799" s="129"/>
    </row>
    <row r="800" spans="1:30" hidden="1">
      <c r="A800" s="4">
        <v>1215</v>
      </c>
      <c r="B800" s="8">
        <v>45261</v>
      </c>
      <c r="C800" s="4"/>
      <c r="D800" s="4"/>
      <c r="E800" s="8">
        <v>45267</v>
      </c>
      <c r="F800" s="4" t="s">
        <v>840</v>
      </c>
      <c r="G800" s="16" t="s">
        <v>51</v>
      </c>
      <c r="H800" s="4" t="s">
        <v>52</v>
      </c>
      <c r="I800" s="4" t="s">
        <v>587</v>
      </c>
      <c r="J800" s="10">
        <v>2.437615384615385</v>
      </c>
      <c r="K800" s="10">
        <v>2.4380000000000002</v>
      </c>
      <c r="L800" s="10">
        <f t="shared" si="148"/>
        <v>0</v>
      </c>
      <c r="M800" s="10">
        <f t="shared" si="149"/>
        <v>0</v>
      </c>
      <c r="N800" s="10">
        <v>0</v>
      </c>
      <c r="O800" s="10"/>
      <c r="P800" s="10"/>
      <c r="Q800" s="10"/>
      <c r="R800" s="10"/>
      <c r="S800" s="10"/>
      <c r="T800" s="10"/>
      <c r="U800" s="10"/>
      <c r="V800" s="4" t="s">
        <v>841</v>
      </c>
      <c r="W800" s="4" t="s">
        <v>521</v>
      </c>
      <c r="X800" s="8"/>
      <c r="Y800" s="4"/>
      <c r="Z800" s="4"/>
      <c r="AA800" s="8"/>
      <c r="AB800" s="8"/>
      <c r="AC800" s="4"/>
      <c r="AD800" s="4"/>
    </row>
    <row r="801" spans="1:30" s="127" customFormat="1" hidden="1">
      <c r="A801" s="129">
        <v>1215</v>
      </c>
      <c r="B801" s="8">
        <v>45261</v>
      </c>
      <c r="C801" s="129"/>
      <c r="D801" s="129"/>
      <c r="E801" s="8">
        <v>45267</v>
      </c>
      <c r="F801" s="129" t="s">
        <v>840</v>
      </c>
      <c r="G801" s="16" t="s">
        <v>44</v>
      </c>
      <c r="H801" s="129" t="s">
        <v>45</v>
      </c>
      <c r="I801" s="135" t="s">
        <v>474</v>
      </c>
      <c r="J801" s="10">
        <v>0.52</v>
      </c>
      <c r="K801" s="10">
        <v>0.71</v>
      </c>
      <c r="L801" s="10">
        <f t="shared" ref="L801" si="154">M801+U801</f>
        <v>0</v>
      </c>
      <c r="M801" s="10">
        <f t="shared" ref="M801" si="155">SUM(N801:T801)</f>
        <v>0</v>
      </c>
      <c r="N801" s="10">
        <v>0</v>
      </c>
      <c r="O801" s="10"/>
      <c r="P801" s="10">
        <v>0</v>
      </c>
      <c r="Q801" s="10"/>
      <c r="R801" s="10"/>
      <c r="S801" s="10"/>
      <c r="T801" s="10"/>
      <c r="U801" s="10"/>
      <c r="V801" s="129" t="s">
        <v>841</v>
      </c>
      <c r="W801" s="129" t="s">
        <v>521</v>
      </c>
      <c r="X801" s="8"/>
      <c r="Y801" s="129"/>
      <c r="Z801" s="129"/>
      <c r="AA801" s="8"/>
      <c r="AB801" s="8"/>
      <c r="AC801" s="129"/>
      <c r="AD801" s="129"/>
    </row>
    <row r="802" spans="1:30" s="127" customFormat="1" hidden="1">
      <c r="A802" s="129">
        <v>1215</v>
      </c>
      <c r="B802" s="8">
        <v>45261</v>
      </c>
      <c r="C802" s="129"/>
      <c r="D802" s="129"/>
      <c r="E802" s="8">
        <v>45267</v>
      </c>
      <c r="F802" s="129" t="s">
        <v>840</v>
      </c>
      <c r="G802" s="16" t="s">
        <v>44</v>
      </c>
      <c r="H802" s="129" t="s">
        <v>45</v>
      </c>
      <c r="I802" s="135" t="s">
        <v>46</v>
      </c>
      <c r="J802" s="10">
        <v>1.39</v>
      </c>
      <c r="K802" s="10">
        <v>2.0350000000000001</v>
      </c>
      <c r="L802" s="10">
        <f t="shared" ref="L802" si="156">M802+U802</f>
        <v>0</v>
      </c>
      <c r="M802" s="10">
        <f t="shared" ref="M802" si="157">SUM(N802:T802)</f>
        <v>0</v>
      </c>
      <c r="N802" s="10">
        <v>0</v>
      </c>
      <c r="O802" s="10"/>
      <c r="P802" s="10">
        <v>0</v>
      </c>
      <c r="Q802" s="10"/>
      <c r="R802" s="10"/>
      <c r="S802" s="10"/>
      <c r="T802" s="10"/>
      <c r="U802" s="10"/>
      <c r="V802" s="129" t="s">
        <v>841</v>
      </c>
      <c r="W802" s="129" t="s">
        <v>521</v>
      </c>
      <c r="X802" s="8"/>
      <c r="Y802" s="129"/>
      <c r="Z802" s="129"/>
      <c r="AA802" s="8"/>
      <c r="AB802" s="8"/>
      <c r="AC802" s="129"/>
      <c r="AD802" s="129"/>
    </row>
    <row r="803" spans="1:30" s="127" customFormat="1" hidden="1">
      <c r="A803" s="129">
        <v>1215</v>
      </c>
      <c r="B803" s="8">
        <v>45261</v>
      </c>
      <c r="C803" s="129"/>
      <c r="D803" s="129"/>
      <c r="E803" s="8">
        <v>45267</v>
      </c>
      <c r="F803" s="129" t="s">
        <v>840</v>
      </c>
      <c r="G803" s="16" t="s">
        <v>44</v>
      </c>
      <c r="H803" s="129" t="s">
        <v>45</v>
      </c>
      <c r="I803" s="135" t="s">
        <v>405</v>
      </c>
      <c r="J803" s="10">
        <v>0.21</v>
      </c>
      <c r="K803" s="10">
        <v>0.245</v>
      </c>
      <c r="L803" s="10">
        <f t="shared" ref="L803" si="158">M803+U803</f>
        <v>0</v>
      </c>
      <c r="M803" s="10">
        <f t="shared" ref="M803" si="159">SUM(N803:T803)</f>
        <v>0</v>
      </c>
      <c r="N803" s="10">
        <v>0</v>
      </c>
      <c r="O803" s="10"/>
      <c r="P803" s="10">
        <v>0</v>
      </c>
      <c r="Q803" s="10"/>
      <c r="R803" s="10"/>
      <c r="S803" s="10"/>
      <c r="T803" s="10"/>
      <c r="U803" s="10"/>
      <c r="V803" s="129" t="s">
        <v>841</v>
      </c>
      <c r="W803" s="129" t="s">
        <v>521</v>
      </c>
      <c r="X803" s="8"/>
      <c r="Y803" s="129"/>
      <c r="Z803" s="129"/>
      <c r="AA803" s="8"/>
      <c r="AB803" s="8"/>
      <c r="AC803" s="129"/>
      <c r="AD803" s="129"/>
    </row>
    <row r="804" spans="1:30" hidden="1">
      <c r="A804" s="4">
        <v>1215</v>
      </c>
      <c r="B804" s="8">
        <v>45261</v>
      </c>
      <c r="C804" s="4"/>
      <c r="D804" s="4"/>
      <c r="E804" s="8">
        <v>45267</v>
      </c>
      <c r="F804" s="4" t="s">
        <v>840</v>
      </c>
      <c r="G804" s="16" t="s">
        <v>44</v>
      </c>
      <c r="H804" s="4" t="s">
        <v>45</v>
      </c>
      <c r="I804" s="4" t="s">
        <v>588</v>
      </c>
      <c r="J804" s="10">
        <v>0.43559999999999988</v>
      </c>
      <c r="K804" s="10">
        <v>0.48599999999999999</v>
      </c>
      <c r="L804" s="10">
        <f t="shared" si="148"/>
        <v>0</v>
      </c>
      <c r="M804" s="10">
        <f t="shared" si="149"/>
        <v>0</v>
      </c>
      <c r="N804" s="10">
        <v>0</v>
      </c>
      <c r="O804" s="10"/>
      <c r="P804" s="10"/>
      <c r="Q804" s="10"/>
      <c r="R804" s="10"/>
      <c r="S804" s="10"/>
      <c r="T804" s="10"/>
      <c r="U804" s="10"/>
      <c r="V804" s="4" t="s">
        <v>841</v>
      </c>
      <c r="W804" s="4" t="s">
        <v>521</v>
      </c>
      <c r="X804" s="8"/>
      <c r="Y804" s="4"/>
      <c r="Z804" s="4"/>
      <c r="AA804" s="8"/>
      <c r="AB804" s="8"/>
      <c r="AC804" s="4"/>
      <c r="AD804" s="4"/>
    </row>
    <row r="805" spans="1:30" hidden="1">
      <c r="A805" s="4">
        <v>1226</v>
      </c>
      <c r="B805" s="8">
        <v>45265</v>
      </c>
      <c r="C805" s="4"/>
      <c r="D805" s="82" t="s">
        <v>42</v>
      </c>
      <c r="E805" s="8">
        <v>45275</v>
      </c>
      <c r="F805" s="4" t="s">
        <v>43</v>
      </c>
      <c r="G805" s="16" t="s">
        <v>51</v>
      </c>
      <c r="H805" s="4" t="s">
        <v>52</v>
      </c>
      <c r="I805" s="32" t="s">
        <v>470</v>
      </c>
      <c r="J805" s="10">
        <v>1.569</v>
      </c>
      <c r="K805" s="10">
        <v>1.64</v>
      </c>
      <c r="L805" s="10">
        <f t="shared" ref="L805" si="160">M805+U805</f>
        <v>0</v>
      </c>
      <c r="M805" s="10">
        <f t="shared" ref="M805" si="161">SUM(N805:T805)</f>
        <v>0</v>
      </c>
      <c r="N805" s="10"/>
      <c r="O805" s="10"/>
      <c r="P805" s="10">
        <v>0</v>
      </c>
      <c r="Q805" s="10"/>
      <c r="R805" s="10"/>
      <c r="S805" s="10"/>
      <c r="T805" s="10"/>
      <c r="U805" s="10"/>
      <c r="V805" s="4" t="s">
        <v>826</v>
      </c>
      <c r="W805" s="32" t="s">
        <v>1463</v>
      </c>
      <c r="X805" s="8"/>
      <c r="Y805" s="4"/>
      <c r="Z805" s="4"/>
      <c r="AA805" s="8"/>
      <c r="AB805" s="8"/>
      <c r="AC805" s="4"/>
      <c r="AD805" s="4"/>
    </row>
    <row r="806" spans="1:30" hidden="1">
      <c r="A806" s="4">
        <v>1192</v>
      </c>
      <c r="B806" s="8">
        <v>45261</v>
      </c>
      <c r="C806" s="4"/>
      <c r="D806" s="82" t="s">
        <v>42</v>
      </c>
      <c r="E806" s="8">
        <v>45267</v>
      </c>
      <c r="F806" s="4" t="s">
        <v>43</v>
      </c>
      <c r="G806" s="16" t="s">
        <v>51</v>
      </c>
      <c r="H806" s="4" t="s">
        <v>52</v>
      </c>
      <c r="I806" s="4" t="s">
        <v>53</v>
      </c>
      <c r="J806" s="10">
        <v>0.19080000000000003</v>
      </c>
      <c r="K806" s="10"/>
      <c r="L806" s="10">
        <f t="shared" ref="L806:L807" si="162">M806+U806</f>
        <v>0.19080000000000003</v>
      </c>
      <c r="M806" s="10">
        <f t="shared" ref="M806:M807" si="163">SUM(N806:T806)</f>
        <v>0.19080000000000003</v>
      </c>
      <c r="N806" s="10"/>
      <c r="O806" s="10"/>
      <c r="P806" s="10"/>
      <c r="Q806" s="10"/>
      <c r="R806" s="10">
        <v>0.19080000000000003</v>
      </c>
      <c r="S806" s="10"/>
      <c r="T806" s="10"/>
      <c r="U806" s="10"/>
      <c r="V806" s="4" t="s">
        <v>23</v>
      </c>
      <c r="W806" s="4"/>
      <c r="X806" s="8">
        <v>45293</v>
      </c>
      <c r="Y806" s="4"/>
      <c r="Z806" s="4"/>
      <c r="AA806" s="8"/>
      <c r="AB806" s="8"/>
      <c r="AC806" s="4"/>
      <c r="AD806" s="4"/>
    </row>
    <row r="807" spans="1:30" hidden="1">
      <c r="A807" s="4">
        <v>1192</v>
      </c>
      <c r="B807" s="8">
        <v>45261</v>
      </c>
      <c r="C807" s="4"/>
      <c r="D807" s="82" t="s">
        <v>42</v>
      </c>
      <c r="E807" s="8">
        <v>45267</v>
      </c>
      <c r="F807" s="4" t="s">
        <v>43</v>
      </c>
      <c r="G807" s="40" t="s">
        <v>1142</v>
      </c>
      <c r="H807" s="4" t="s">
        <v>52</v>
      </c>
      <c r="I807" s="4" t="s">
        <v>53</v>
      </c>
      <c r="J807" s="10">
        <v>3.1800000000000002E-2</v>
      </c>
      <c r="K807" s="10"/>
      <c r="L807" s="10">
        <f t="shared" si="162"/>
        <v>3.1800000000000002E-2</v>
      </c>
      <c r="M807" s="10">
        <f t="shared" si="163"/>
        <v>3.1800000000000002E-2</v>
      </c>
      <c r="N807" s="10"/>
      <c r="O807" s="10"/>
      <c r="P807" s="10">
        <v>3.1800000000000002E-2</v>
      </c>
      <c r="Q807" s="10"/>
      <c r="R807" s="10"/>
      <c r="S807" s="10"/>
      <c r="T807" s="10"/>
      <c r="U807" s="10"/>
      <c r="V807" s="4" t="s">
        <v>23</v>
      </c>
      <c r="W807" s="4"/>
      <c r="X807" s="8">
        <v>45293</v>
      </c>
      <c r="Y807" s="4"/>
      <c r="Z807" s="4"/>
      <c r="AA807" s="8"/>
      <c r="AB807" s="8"/>
      <c r="AC807" s="4"/>
      <c r="AD807" s="4"/>
    </row>
    <row r="808" spans="1:30" hidden="1">
      <c r="A808" s="4">
        <v>1227</v>
      </c>
      <c r="B808" s="8">
        <v>45265</v>
      </c>
      <c r="C808" s="4"/>
      <c r="D808" s="189" t="s">
        <v>42</v>
      </c>
      <c r="E808" s="8">
        <v>45283</v>
      </c>
      <c r="F808" s="4" t="s">
        <v>840</v>
      </c>
      <c r="G808" s="16" t="s">
        <v>1394</v>
      </c>
      <c r="H808" s="4" t="s">
        <v>45</v>
      </c>
      <c r="I808" s="4" t="s">
        <v>761</v>
      </c>
      <c r="J808" s="10">
        <v>2.1369600000000002</v>
      </c>
      <c r="K808" s="10"/>
      <c r="L808" s="10">
        <f t="shared" ref="L808:L834" si="164">M808+U808</f>
        <v>2.1369600000000002</v>
      </c>
      <c r="M808" s="10">
        <f t="shared" ref="M808:M834" si="165">SUM(N808:T808)</f>
        <v>2.1369600000000002</v>
      </c>
      <c r="N808" s="10"/>
      <c r="O808" s="10"/>
      <c r="P808" s="10"/>
      <c r="Q808" s="10"/>
      <c r="R808" s="10"/>
      <c r="S808" s="10"/>
      <c r="T808" s="10">
        <v>2.1369600000000002</v>
      </c>
      <c r="U808" s="10"/>
      <c r="V808" s="4" t="s">
        <v>841</v>
      </c>
      <c r="W808" s="4"/>
      <c r="X808" s="8">
        <v>45295</v>
      </c>
      <c r="Y808" s="4"/>
      <c r="Z808" s="4"/>
      <c r="AA808" s="8"/>
      <c r="AB808" s="8"/>
      <c r="AC808" s="4"/>
      <c r="AD808" s="4"/>
    </row>
    <row r="809" spans="1:30" hidden="1">
      <c r="A809" s="4">
        <v>1228</v>
      </c>
      <c r="B809" s="8">
        <v>45265</v>
      </c>
      <c r="C809" s="4"/>
      <c r="D809" s="189" t="s">
        <v>42</v>
      </c>
      <c r="E809" s="8">
        <v>45291</v>
      </c>
      <c r="F809" s="4" t="s">
        <v>840</v>
      </c>
      <c r="G809" s="16" t="s">
        <v>1394</v>
      </c>
      <c r="H809" s="4" t="s">
        <v>45</v>
      </c>
      <c r="I809" s="4" t="s">
        <v>54</v>
      </c>
      <c r="J809" s="10">
        <v>82.948765000000009</v>
      </c>
      <c r="K809" s="10">
        <f>2.084+19.418+16.816+21.458+6.355</f>
        <v>66.131</v>
      </c>
      <c r="L809" s="10">
        <f t="shared" si="164"/>
        <v>16.818000000000001</v>
      </c>
      <c r="M809" s="10">
        <f t="shared" si="165"/>
        <v>16.818000000000001</v>
      </c>
      <c r="N809" s="10"/>
      <c r="O809" s="10"/>
      <c r="P809" s="10">
        <f>82.949-2.084-19.418-16.816-21.458-6.355</f>
        <v>16.818000000000001</v>
      </c>
      <c r="Q809" s="10"/>
      <c r="R809" s="10"/>
      <c r="S809" s="10"/>
      <c r="T809" s="10"/>
      <c r="U809" s="10"/>
      <c r="V809" s="4" t="s">
        <v>841</v>
      </c>
      <c r="W809" s="4"/>
      <c r="X809" s="8">
        <v>45279</v>
      </c>
      <c r="Y809" s="4"/>
      <c r="Z809" s="4"/>
      <c r="AA809" s="8"/>
      <c r="AB809" s="8"/>
      <c r="AC809" s="4"/>
      <c r="AD809" s="4"/>
    </row>
    <row r="810" spans="1:30" hidden="1">
      <c r="A810" s="4">
        <v>1228</v>
      </c>
      <c r="B810" s="8">
        <v>45265</v>
      </c>
      <c r="C810" s="4"/>
      <c r="D810" s="189" t="s">
        <v>42</v>
      </c>
      <c r="E810" s="8">
        <v>45291</v>
      </c>
      <c r="F810" s="4" t="s">
        <v>840</v>
      </c>
      <c r="G810" s="16" t="s">
        <v>1394</v>
      </c>
      <c r="H810" s="4" t="s">
        <v>45</v>
      </c>
      <c r="I810" s="4" t="s">
        <v>56</v>
      </c>
      <c r="J810" s="10">
        <v>26.53529</v>
      </c>
      <c r="K810" s="10">
        <f>2.141+5.118+10.516</f>
        <v>17.774999999999999</v>
      </c>
      <c r="L810" s="10">
        <f t="shared" si="164"/>
        <v>8.7602899999999959</v>
      </c>
      <c r="M810" s="10">
        <f t="shared" si="165"/>
        <v>8.7602899999999959</v>
      </c>
      <c r="N810" s="10"/>
      <c r="O810" s="10"/>
      <c r="P810" s="10">
        <f>26.53529-2.141-5.118-10.516</f>
        <v>8.7602899999999959</v>
      </c>
      <c r="Q810" s="10"/>
      <c r="R810" s="10"/>
      <c r="S810" s="10"/>
      <c r="T810" s="10"/>
      <c r="U810" s="10"/>
      <c r="V810" s="4" t="s">
        <v>841</v>
      </c>
      <c r="W810" s="4"/>
      <c r="X810" s="8">
        <v>45278</v>
      </c>
      <c r="Y810" s="4"/>
      <c r="Z810" s="4"/>
      <c r="AA810" s="8"/>
      <c r="AB810" s="8"/>
      <c r="AC810" s="4"/>
      <c r="AD810" s="4"/>
    </row>
    <row r="811" spans="1:30" hidden="1">
      <c r="A811" s="4">
        <v>1228</v>
      </c>
      <c r="B811" s="8">
        <v>45265</v>
      </c>
      <c r="C811" s="4"/>
      <c r="D811" s="189" t="s">
        <v>42</v>
      </c>
      <c r="E811" s="8">
        <v>45291</v>
      </c>
      <c r="F811" s="4" t="s">
        <v>840</v>
      </c>
      <c r="G811" s="16" t="s">
        <v>1394</v>
      </c>
      <c r="H811" s="4" t="s">
        <v>45</v>
      </c>
      <c r="I811" s="4" t="s">
        <v>405</v>
      </c>
      <c r="J811" s="10">
        <v>21.101760000000002</v>
      </c>
      <c r="K811" s="10">
        <f>14.049+7.067</f>
        <v>21.116</v>
      </c>
      <c r="L811" s="10">
        <f t="shared" si="164"/>
        <v>0</v>
      </c>
      <c r="M811" s="10">
        <f t="shared" si="165"/>
        <v>0</v>
      </c>
      <c r="N811" s="10"/>
      <c r="O811" s="10"/>
      <c r="P811" s="10">
        <v>0</v>
      </c>
      <c r="Q811" s="10"/>
      <c r="R811" s="10"/>
      <c r="S811" s="10"/>
      <c r="T811" s="10"/>
      <c r="U811" s="10"/>
      <c r="V811" s="4" t="s">
        <v>841</v>
      </c>
      <c r="W811" s="4"/>
      <c r="X811" s="8"/>
      <c r="Y811" s="4"/>
      <c r="Z811" s="4"/>
      <c r="AA811" s="8"/>
      <c r="AB811" s="8">
        <v>45296</v>
      </c>
      <c r="AC811" s="4"/>
      <c r="AD811" s="4"/>
    </row>
    <row r="812" spans="1:30" hidden="1">
      <c r="A812" s="4">
        <v>1228</v>
      </c>
      <c r="B812" s="8">
        <v>45265</v>
      </c>
      <c r="C812" s="4"/>
      <c r="D812" s="189" t="s">
        <v>42</v>
      </c>
      <c r="E812" s="8">
        <v>45291</v>
      </c>
      <c r="F812" s="4" t="s">
        <v>840</v>
      </c>
      <c r="G812" s="16" t="s">
        <v>1394</v>
      </c>
      <c r="H812" s="4" t="s">
        <v>45</v>
      </c>
      <c r="I812" s="4" t="s">
        <v>400</v>
      </c>
      <c r="J812" s="10">
        <v>38.734679999999997</v>
      </c>
      <c r="K812" s="10">
        <f>19.011+13.738+5.986</f>
        <v>38.734999999999992</v>
      </c>
      <c r="L812" s="10">
        <f t="shared" si="164"/>
        <v>0</v>
      </c>
      <c r="M812" s="10">
        <f t="shared" si="165"/>
        <v>0</v>
      </c>
      <c r="N812" s="10"/>
      <c r="O812" s="10"/>
      <c r="P812" s="10">
        <v>0</v>
      </c>
      <c r="Q812" s="10"/>
      <c r="R812" s="10"/>
      <c r="S812" s="10"/>
      <c r="T812" s="10"/>
      <c r="U812" s="10"/>
      <c r="V812" s="4" t="s">
        <v>841</v>
      </c>
      <c r="W812" s="4"/>
      <c r="X812" s="8"/>
      <c r="Y812" s="4"/>
      <c r="Z812" s="4"/>
      <c r="AA812" s="8"/>
      <c r="AB812" s="8">
        <v>45296</v>
      </c>
      <c r="AC812" s="4"/>
      <c r="AD812" s="4"/>
    </row>
    <row r="813" spans="1:30" hidden="1">
      <c r="A813" s="4">
        <v>1228</v>
      </c>
      <c r="B813" s="8">
        <v>45265</v>
      </c>
      <c r="C813" s="4"/>
      <c r="D813" s="189" t="s">
        <v>42</v>
      </c>
      <c r="E813" s="8">
        <v>45291</v>
      </c>
      <c r="F813" s="4" t="s">
        <v>840</v>
      </c>
      <c r="G813" s="16" t="s">
        <v>1394</v>
      </c>
      <c r="H813" s="4" t="s">
        <v>45</v>
      </c>
      <c r="I813" s="4" t="s">
        <v>46</v>
      </c>
      <c r="J813" s="10">
        <v>35.242000000000004</v>
      </c>
      <c r="K813" s="10">
        <f>18.76+16.482</f>
        <v>35.242000000000004</v>
      </c>
      <c r="L813" s="10">
        <f t="shared" si="164"/>
        <v>0</v>
      </c>
      <c r="M813" s="10">
        <f t="shared" si="165"/>
        <v>0</v>
      </c>
      <c r="N813" s="10"/>
      <c r="O813" s="10"/>
      <c r="P813" s="10">
        <v>0</v>
      </c>
      <c r="Q813" s="10"/>
      <c r="R813" s="10"/>
      <c r="S813" s="10"/>
      <c r="T813" s="10"/>
      <c r="U813" s="10"/>
      <c r="V813" s="4" t="s">
        <v>841</v>
      </c>
      <c r="W813" s="4"/>
      <c r="X813" s="8"/>
      <c r="Y813" s="4"/>
      <c r="Z813" s="4"/>
      <c r="AA813" s="8"/>
      <c r="AB813" s="8"/>
      <c r="AC813" s="4"/>
      <c r="AD813" s="4"/>
    </row>
    <row r="814" spans="1:30" hidden="1">
      <c r="A814" s="4">
        <v>1228</v>
      </c>
      <c r="B814" s="8">
        <v>45265</v>
      </c>
      <c r="C814" s="4"/>
      <c r="D814" s="189" t="s">
        <v>42</v>
      </c>
      <c r="E814" s="8">
        <v>45291</v>
      </c>
      <c r="F814" s="4" t="s">
        <v>840</v>
      </c>
      <c r="G814" s="16" t="s">
        <v>1394</v>
      </c>
      <c r="H814" s="4" t="s">
        <v>45</v>
      </c>
      <c r="I814" s="4" t="s">
        <v>587</v>
      </c>
      <c r="J814" s="10">
        <v>37.409999999999997</v>
      </c>
      <c r="K814" s="10">
        <f>22.259+14.558</f>
        <v>36.817</v>
      </c>
      <c r="L814" s="10">
        <f t="shared" si="164"/>
        <v>0.59299999999999997</v>
      </c>
      <c r="M814" s="10">
        <f t="shared" si="165"/>
        <v>0.59299999999999997</v>
      </c>
      <c r="N814" s="10"/>
      <c r="O814" s="10"/>
      <c r="P814" s="10">
        <v>0</v>
      </c>
      <c r="Q814" s="28">
        <v>0.59299999999999997</v>
      </c>
      <c r="R814" s="10"/>
      <c r="S814" s="10"/>
      <c r="T814" s="10"/>
      <c r="U814" s="10"/>
      <c r="V814" s="4" t="s">
        <v>841</v>
      </c>
      <c r="W814" s="4"/>
      <c r="X814" s="8">
        <v>45274</v>
      </c>
      <c r="Y814" s="4"/>
      <c r="Z814" s="4"/>
      <c r="AA814" s="8"/>
      <c r="AB814" s="8"/>
      <c r="AC814" s="4"/>
      <c r="AD814" s="4"/>
    </row>
    <row r="815" spans="1:30" hidden="1">
      <c r="A815" s="4">
        <v>1228</v>
      </c>
      <c r="B815" s="8">
        <v>45265</v>
      </c>
      <c r="C815" s="4"/>
      <c r="D815" s="189" t="s">
        <v>42</v>
      </c>
      <c r="E815" s="8">
        <v>45291</v>
      </c>
      <c r="F815" s="4" t="s">
        <v>840</v>
      </c>
      <c r="G815" s="16" t="s">
        <v>1394</v>
      </c>
      <c r="H815" s="4" t="s">
        <v>45</v>
      </c>
      <c r="I815" s="4" t="s">
        <v>50</v>
      </c>
      <c r="J815" s="10">
        <v>16.255007999999997</v>
      </c>
      <c r="K815" s="10">
        <f>9.943+6.311</f>
        <v>16.253999999999998</v>
      </c>
      <c r="L815" s="10">
        <f t="shared" si="164"/>
        <v>0</v>
      </c>
      <c r="M815" s="10">
        <f t="shared" si="165"/>
        <v>0</v>
      </c>
      <c r="N815" s="10"/>
      <c r="O815" s="10"/>
      <c r="P815" s="10">
        <v>0</v>
      </c>
      <c r="Q815" s="10"/>
      <c r="R815" s="10"/>
      <c r="S815" s="10"/>
      <c r="T815" s="10"/>
      <c r="U815" s="10"/>
      <c r="V815" s="4" t="s">
        <v>841</v>
      </c>
      <c r="W815" s="4"/>
      <c r="X815" s="8">
        <v>45274</v>
      </c>
      <c r="Y815" s="4"/>
      <c r="Z815" s="4"/>
      <c r="AA815" s="8"/>
      <c r="AB815" s="8">
        <v>45296</v>
      </c>
      <c r="AC815" s="4"/>
      <c r="AD815" s="4"/>
    </row>
    <row r="816" spans="1:30" hidden="1">
      <c r="A816" s="4">
        <v>1228</v>
      </c>
      <c r="B816" s="8">
        <v>45265</v>
      </c>
      <c r="C816" s="4"/>
      <c r="D816" s="189" t="s">
        <v>42</v>
      </c>
      <c r="E816" s="8">
        <v>45291</v>
      </c>
      <c r="F816" s="4" t="s">
        <v>840</v>
      </c>
      <c r="G816" s="16" t="s">
        <v>1394</v>
      </c>
      <c r="H816" s="4" t="s">
        <v>45</v>
      </c>
      <c r="I816" s="4" t="s">
        <v>588</v>
      </c>
      <c r="J816" s="10">
        <v>9.5106000000000002</v>
      </c>
      <c r="K816" s="10">
        <f>4.911+4.6</f>
        <v>9.5109999999999992</v>
      </c>
      <c r="L816" s="10">
        <f t="shared" si="164"/>
        <v>0</v>
      </c>
      <c r="M816" s="10">
        <f t="shared" si="165"/>
        <v>0</v>
      </c>
      <c r="N816" s="10"/>
      <c r="O816" s="10"/>
      <c r="P816" s="10">
        <v>0</v>
      </c>
      <c r="Q816" s="10"/>
      <c r="R816" s="10"/>
      <c r="S816" s="10"/>
      <c r="T816" s="10"/>
      <c r="U816" s="10"/>
      <c r="V816" s="4" t="s">
        <v>841</v>
      </c>
      <c r="W816" s="4"/>
      <c r="X816" s="8">
        <v>45274</v>
      </c>
      <c r="Y816" s="4"/>
      <c r="Z816" s="4"/>
      <c r="AA816" s="8"/>
      <c r="AB816" s="8">
        <v>45296</v>
      </c>
      <c r="AC816" s="4"/>
      <c r="AD816" s="4"/>
    </row>
    <row r="817" spans="1:30" hidden="1">
      <c r="A817" s="4">
        <v>1228</v>
      </c>
      <c r="B817" s="8">
        <v>45265</v>
      </c>
      <c r="C817" s="4"/>
      <c r="D817" s="189" t="s">
        <v>42</v>
      </c>
      <c r="E817" s="8">
        <v>45291</v>
      </c>
      <c r="F817" s="4" t="s">
        <v>840</v>
      </c>
      <c r="G817" s="16" t="s">
        <v>1394</v>
      </c>
      <c r="H817" s="4" t="s">
        <v>45</v>
      </c>
      <c r="I817" s="4" t="s">
        <v>408</v>
      </c>
      <c r="J817" s="10">
        <v>20.252609999999997</v>
      </c>
      <c r="K817" s="10"/>
      <c r="L817" s="10">
        <f t="shared" si="164"/>
        <v>20.252609999999997</v>
      </c>
      <c r="M817" s="10">
        <f t="shared" si="165"/>
        <v>20.252609999999997</v>
      </c>
      <c r="N817" s="10">
        <v>20.252609999999997</v>
      </c>
      <c r="O817" s="10"/>
      <c r="P817" s="10"/>
      <c r="Q817" s="10"/>
      <c r="R817" s="10"/>
      <c r="S817" s="10"/>
      <c r="T817" s="10"/>
      <c r="U817" s="10"/>
      <c r="V817" s="4" t="s">
        <v>841</v>
      </c>
      <c r="W817" s="4"/>
      <c r="X817" s="8">
        <v>45282</v>
      </c>
      <c r="Y817" s="4"/>
      <c r="Z817" s="4"/>
      <c r="AA817" s="8"/>
      <c r="AB817" s="8"/>
      <c r="AC817" s="4"/>
      <c r="AD817" s="4"/>
    </row>
    <row r="818" spans="1:30" hidden="1">
      <c r="A818" s="4">
        <v>1228</v>
      </c>
      <c r="B818" s="8">
        <v>45265</v>
      </c>
      <c r="C818" s="4"/>
      <c r="D818" s="189" t="s">
        <v>42</v>
      </c>
      <c r="E818" s="8">
        <v>45291</v>
      </c>
      <c r="F818" s="4" t="s">
        <v>840</v>
      </c>
      <c r="G818" s="16" t="s">
        <v>1394</v>
      </c>
      <c r="H818" s="4" t="s">
        <v>45</v>
      </c>
      <c r="I818" s="4" t="s">
        <v>410</v>
      </c>
      <c r="J818" s="10">
        <v>24.930720000000001</v>
      </c>
      <c r="K818" s="10"/>
      <c r="L818" s="10">
        <f t="shared" si="164"/>
        <v>24.930999999999997</v>
      </c>
      <c r="M818" s="10">
        <f t="shared" si="165"/>
        <v>24.930999999999997</v>
      </c>
      <c r="N818" s="10">
        <f>15.321+9.61</f>
        <v>24.930999999999997</v>
      </c>
      <c r="O818" s="10"/>
      <c r="P818" s="10"/>
      <c r="Q818" s="10"/>
      <c r="R818" s="10"/>
      <c r="S818" s="10"/>
      <c r="T818" s="10"/>
      <c r="U818" s="10"/>
      <c r="V818" s="4" t="s">
        <v>841</v>
      </c>
      <c r="W818" s="4"/>
      <c r="X818" s="8">
        <v>45282</v>
      </c>
      <c r="Y818" s="4"/>
      <c r="Z818" s="4"/>
      <c r="AA818" s="8"/>
      <c r="AB818" s="8"/>
      <c r="AC818" s="4"/>
      <c r="AD818" s="4"/>
    </row>
    <row r="819" spans="1:30" hidden="1">
      <c r="A819" s="4">
        <v>1228</v>
      </c>
      <c r="B819" s="8">
        <v>45265</v>
      </c>
      <c r="C819" s="4"/>
      <c r="D819" s="189" t="s">
        <v>42</v>
      </c>
      <c r="E819" s="8">
        <v>45291</v>
      </c>
      <c r="F819" s="4" t="s">
        <v>840</v>
      </c>
      <c r="G819" s="16" t="s">
        <v>1394</v>
      </c>
      <c r="H819" s="4" t="s">
        <v>45</v>
      </c>
      <c r="I819" s="4" t="s">
        <v>47</v>
      </c>
      <c r="J819" s="10">
        <v>22.560120000000001</v>
      </c>
      <c r="K819" s="10">
        <v>22.56</v>
      </c>
      <c r="L819" s="10">
        <f t="shared" si="164"/>
        <v>0</v>
      </c>
      <c r="M819" s="10">
        <f t="shared" si="165"/>
        <v>0</v>
      </c>
      <c r="N819" s="10"/>
      <c r="O819" s="10"/>
      <c r="P819" s="10">
        <v>0</v>
      </c>
      <c r="Q819" s="10"/>
      <c r="R819" s="10"/>
      <c r="S819" s="10"/>
      <c r="T819" s="10"/>
      <c r="U819" s="10"/>
      <c r="V819" s="4" t="s">
        <v>841</v>
      </c>
      <c r="W819" s="4"/>
      <c r="X819" s="8"/>
      <c r="Y819" s="4"/>
      <c r="Z819" s="4"/>
      <c r="AA819" s="8"/>
      <c r="AB819" s="8"/>
      <c r="AC819" s="4"/>
      <c r="AD819" s="4"/>
    </row>
    <row r="820" spans="1:30" hidden="1">
      <c r="A820" s="4">
        <v>1228</v>
      </c>
      <c r="B820" s="8">
        <v>45265</v>
      </c>
      <c r="C820" s="4"/>
      <c r="D820" s="189" t="s">
        <v>42</v>
      </c>
      <c r="E820" s="8">
        <v>45291</v>
      </c>
      <c r="F820" s="4" t="s">
        <v>840</v>
      </c>
      <c r="G820" s="16" t="s">
        <v>1394</v>
      </c>
      <c r="H820" s="4" t="s">
        <v>45</v>
      </c>
      <c r="I820" s="4" t="s">
        <v>579</v>
      </c>
      <c r="J820" s="10">
        <v>1.1186399999999999</v>
      </c>
      <c r="K820" s="10"/>
      <c r="L820" s="10">
        <f t="shared" si="164"/>
        <v>1.1186399999999999</v>
      </c>
      <c r="M820" s="10">
        <f t="shared" si="165"/>
        <v>1.1186399999999999</v>
      </c>
      <c r="N820" s="10"/>
      <c r="O820" s="10"/>
      <c r="P820" s="10"/>
      <c r="Q820" s="10"/>
      <c r="R820" s="10"/>
      <c r="S820" s="10"/>
      <c r="T820" s="10">
        <v>1.1186399999999999</v>
      </c>
      <c r="U820" s="10"/>
      <c r="V820" s="4" t="s">
        <v>841</v>
      </c>
      <c r="W820" s="4"/>
      <c r="X820" s="8"/>
      <c r="Y820" s="4"/>
      <c r="Z820" s="4"/>
      <c r="AA820" s="8"/>
      <c r="AB820" s="8"/>
      <c r="AC820" s="4"/>
      <c r="AD820" s="4"/>
    </row>
    <row r="821" spans="1:30" hidden="1">
      <c r="A821" s="4">
        <v>1228</v>
      </c>
      <c r="B821" s="8">
        <v>45265</v>
      </c>
      <c r="C821" s="4"/>
      <c r="D821" s="189" t="s">
        <v>42</v>
      </c>
      <c r="E821" s="8">
        <v>45291</v>
      </c>
      <c r="F821" s="4" t="s">
        <v>840</v>
      </c>
      <c r="G821" s="16" t="s">
        <v>1394</v>
      </c>
      <c r="H821" s="4" t="s">
        <v>45</v>
      </c>
      <c r="I821" s="4" t="s">
        <v>448</v>
      </c>
      <c r="J821" s="10">
        <v>7.8500159999999992</v>
      </c>
      <c r="K821" s="10"/>
      <c r="L821" s="10">
        <f t="shared" si="164"/>
        <v>7.8500159999999992</v>
      </c>
      <c r="M821" s="10">
        <f t="shared" si="165"/>
        <v>7.8500159999999992</v>
      </c>
      <c r="N821" s="10"/>
      <c r="O821" s="10"/>
      <c r="P821" s="10"/>
      <c r="Q821" s="10"/>
      <c r="R821" s="10"/>
      <c r="S821" s="10"/>
      <c r="T821" s="10">
        <v>7.8500159999999992</v>
      </c>
      <c r="U821" s="10"/>
      <c r="V821" s="4" t="s">
        <v>841</v>
      </c>
      <c r="W821" s="4"/>
      <c r="X821" s="8"/>
      <c r="Y821" s="4"/>
      <c r="Z821" s="4"/>
      <c r="AA821" s="8"/>
      <c r="AB821" s="8"/>
      <c r="AC821" s="4"/>
      <c r="AD821" s="4"/>
    </row>
    <row r="822" spans="1:30" hidden="1">
      <c r="A822" s="4">
        <v>1228</v>
      </c>
      <c r="B822" s="8">
        <v>45265</v>
      </c>
      <c r="C822" s="4"/>
      <c r="D822" s="189" t="s">
        <v>42</v>
      </c>
      <c r="E822" s="8">
        <v>45291</v>
      </c>
      <c r="F822" s="4" t="s">
        <v>840</v>
      </c>
      <c r="G822" s="16" t="s">
        <v>1394</v>
      </c>
      <c r="H822" s="4" t="s">
        <v>45</v>
      </c>
      <c r="I822" s="4" t="s">
        <v>53</v>
      </c>
      <c r="J822" s="10">
        <v>2.8002900000000004</v>
      </c>
      <c r="K822" s="10"/>
      <c r="L822" s="10">
        <f t="shared" si="164"/>
        <v>2.8002900000000004</v>
      </c>
      <c r="M822" s="10">
        <f t="shared" si="165"/>
        <v>2.8002900000000004</v>
      </c>
      <c r="N822" s="10">
        <v>2.8002900000000004</v>
      </c>
      <c r="O822" s="10"/>
      <c r="P822" s="10"/>
      <c r="Q822" s="10"/>
      <c r="R822" s="10"/>
      <c r="S822" s="10"/>
      <c r="T822" s="10"/>
      <c r="U822" s="10"/>
      <c r="V822" s="4" t="s">
        <v>841</v>
      </c>
      <c r="W822" s="4"/>
      <c r="X822" s="8">
        <v>45293</v>
      </c>
      <c r="Y822" s="4"/>
      <c r="Z822" s="4"/>
      <c r="AA822" s="8"/>
      <c r="AB822" s="8"/>
      <c r="AC822" s="4"/>
      <c r="AD822" s="4"/>
    </row>
    <row r="823" spans="1:30" hidden="1">
      <c r="A823" s="4">
        <v>1228</v>
      </c>
      <c r="B823" s="8">
        <v>45265</v>
      </c>
      <c r="C823" s="4"/>
      <c r="D823" s="189" t="s">
        <v>42</v>
      </c>
      <c r="E823" s="8">
        <v>45291</v>
      </c>
      <c r="F823" s="4" t="s">
        <v>840</v>
      </c>
      <c r="G823" s="16" t="s">
        <v>1394</v>
      </c>
      <c r="H823" s="4" t="s">
        <v>45</v>
      </c>
      <c r="I823" s="4" t="s">
        <v>435</v>
      </c>
      <c r="J823" s="10">
        <v>3.1608060000000004</v>
      </c>
      <c r="K823" s="10"/>
      <c r="L823" s="10">
        <f t="shared" si="164"/>
        <v>3.1608060000000004</v>
      </c>
      <c r="M823" s="10">
        <f t="shared" si="165"/>
        <v>0</v>
      </c>
      <c r="N823" s="10"/>
      <c r="O823" s="10"/>
      <c r="P823" s="10"/>
      <c r="Q823" s="10"/>
      <c r="R823" s="10"/>
      <c r="S823" s="10"/>
      <c r="T823" s="10"/>
      <c r="U823" s="10">
        <v>3.1608060000000004</v>
      </c>
      <c r="V823" s="4" t="s">
        <v>841</v>
      </c>
      <c r="W823" s="4"/>
      <c r="X823" s="8"/>
      <c r="Y823" s="4"/>
      <c r="Z823" s="4"/>
      <c r="AA823" s="8"/>
      <c r="AB823" s="8"/>
      <c r="AC823" s="4"/>
      <c r="AD823" s="4"/>
    </row>
    <row r="824" spans="1:30" hidden="1">
      <c r="A824" s="4">
        <v>1228</v>
      </c>
      <c r="B824" s="8">
        <v>45265</v>
      </c>
      <c r="C824" s="4"/>
      <c r="D824" s="189" t="s">
        <v>42</v>
      </c>
      <c r="E824" s="8">
        <v>45291</v>
      </c>
      <c r="F824" s="4" t="s">
        <v>840</v>
      </c>
      <c r="G824" s="16" t="s">
        <v>1394</v>
      </c>
      <c r="H824" s="4" t="s">
        <v>45</v>
      </c>
      <c r="I824" s="4" t="s">
        <v>432</v>
      </c>
      <c r="J824" s="10">
        <v>5.2135999999999996</v>
      </c>
      <c r="K824" s="10"/>
      <c r="L824" s="10">
        <f t="shared" si="164"/>
        <v>5.2135999999999996</v>
      </c>
      <c r="M824" s="10">
        <f t="shared" si="165"/>
        <v>0</v>
      </c>
      <c r="N824" s="10"/>
      <c r="O824" s="10"/>
      <c r="P824" s="10"/>
      <c r="Q824" s="10"/>
      <c r="R824" s="10"/>
      <c r="S824" s="10"/>
      <c r="T824" s="10"/>
      <c r="U824" s="10">
        <v>5.2135999999999996</v>
      </c>
      <c r="V824" s="4" t="s">
        <v>841</v>
      </c>
      <c r="W824" s="4"/>
      <c r="X824" s="8"/>
      <c r="Y824" s="4"/>
      <c r="Z824" s="4"/>
      <c r="AA824" s="8"/>
      <c r="AB824" s="8"/>
      <c r="AC824" s="4"/>
      <c r="AD824" s="4"/>
    </row>
    <row r="825" spans="1:30" hidden="1">
      <c r="A825" s="4">
        <v>1228</v>
      </c>
      <c r="B825" s="8">
        <v>45265</v>
      </c>
      <c r="C825" s="4"/>
      <c r="D825" s="189" t="s">
        <v>42</v>
      </c>
      <c r="E825" s="8">
        <v>45291</v>
      </c>
      <c r="F825" s="4" t="s">
        <v>840</v>
      </c>
      <c r="G825" s="16" t="s">
        <v>1394</v>
      </c>
      <c r="H825" s="4" t="s">
        <v>45</v>
      </c>
      <c r="I825" s="4" t="s">
        <v>474</v>
      </c>
      <c r="J825" s="10">
        <v>4.1709199999999997</v>
      </c>
      <c r="K825" s="10">
        <v>1.373</v>
      </c>
      <c r="L825" s="10">
        <f t="shared" si="164"/>
        <v>2.7979199999999995</v>
      </c>
      <c r="M825" s="10">
        <f t="shared" si="165"/>
        <v>2.7979199999999995</v>
      </c>
      <c r="N825" s="10"/>
      <c r="O825" s="10"/>
      <c r="P825" s="10">
        <f>4.17092-1.373</f>
        <v>2.7979199999999995</v>
      </c>
      <c r="Q825" s="10"/>
      <c r="R825" s="10"/>
      <c r="S825" s="10"/>
      <c r="T825" s="10"/>
      <c r="U825" s="10"/>
      <c r="V825" s="4" t="s">
        <v>841</v>
      </c>
      <c r="W825" s="4"/>
      <c r="X825" s="8">
        <v>45268</v>
      </c>
      <c r="Y825" s="4"/>
      <c r="Z825" s="4"/>
      <c r="AA825" s="8"/>
      <c r="AB825" s="8"/>
      <c r="AC825" s="4"/>
      <c r="AD825" s="4"/>
    </row>
    <row r="826" spans="1:30" hidden="1">
      <c r="A826" s="4">
        <v>1228</v>
      </c>
      <c r="B826" s="8">
        <v>45265</v>
      </c>
      <c r="C826" s="4"/>
      <c r="D826" s="189" t="s">
        <v>42</v>
      </c>
      <c r="E826" s="8">
        <v>45291</v>
      </c>
      <c r="F826" s="4" t="s">
        <v>840</v>
      </c>
      <c r="G826" s="16" t="s">
        <v>1394</v>
      </c>
      <c r="H826" s="4" t="s">
        <v>45</v>
      </c>
      <c r="I826" s="4" t="s">
        <v>434</v>
      </c>
      <c r="J826" s="10">
        <v>6.0565440000000006</v>
      </c>
      <c r="K826" s="10">
        <f>2.279+3.189</f>
        <v>5.468</v>
      </c>
      <c r="L826" s="10">
        <f t="shared" si="164"/>
        <v>0.58854399999999973</v>
      </c>
      <c r="M826" s="10">
        <f t="shared" si="165"/>
        <v>0.58854399999999973</v>
      </c>
      <c r="N826" s="10"/>
      <c r="O826" s="10"/>
      <c r="P826" s="10">
        <f>6.056544-2.279-3.189</f>
        <v>0.58854399999999973</v>
      </c>
      <c r="Q826" s="10"/>
      <c r="R826" s="10"/>
      <c r="S826" s="10"/>
      <c r="T826" s="10"/>
      <c r="U826" s="10"/>
      <c r="V826" s="4" t="s">
        <v>841</v>
      </c>
      <c r="W826" s="4"/>
      <c r="X826" s="8">
        <v>45268</v>
      </c>
      <c r="Y826" s="4"/>
      <c r="Z826" s="4"/>
      <c r="AA826" s="8"/>
      <c r="AB826" s="8"/>
      <c r="AC826" s="4"/>
      <c r="AD826" s="4"/>
    </row>
    <row r="827" spans="1:30" hidden="1">
      <c r="A827" s="4">
        <v>1228</v>
      </c>
      <c r="B827" s="8">
        <v>45265</v>
      </c>
      <c r="C827" s="4"/>
      <c r="D827" s="189" t="s">
        <v>42</v>
      </c>
      <c r="E827" s="8">
        <v>45291</v>
      </c>
      <c r="F827" s="4" t="s">
        <v>840</v>
      </c>
      <c r="G827" s="16" t="s">
        <v>1394</v>
      </c>
      <c r="H827" s="4" t="s">
        <v>45</v>
      </c>
      <c r="I827" s="4" t="s">
        <v>577</v>
      </c>
      <c r="J827" s="10">
        <v>9.3432849999999981</v>
      </c>
      <c r="K827" s="10"/>
      <c r="L827" s="10">
        <f t="shared" si="164"/>
        <v>9.3432849999999981</v>
      </c>
      <c r="M827" s="10">
        <f t="shared" si="165"/>
        <v>9.3432849999999981</v>
      </c>
      <c r="N827" s="10">
        <v>9.3432849999999981</v>
      </c>
      <c r="O827" s="10"/>
      <c r="P827" s="10"/>
      <c r="Q827" s="10"/>
      <c r="R827" s="10"/>
      <c r="S827" s="10"/>
      <c r="T827" s="10"/>
      <c r="U827" s="10"/>
      <c r="V827" s="4" t="s">
        <v>841</v>
      </c>
      <c r="W827" s="4"/>
      <c r="X827" s="8"/>
      <c r="Y827" s="4"/>
      <c r="Z827" s="4"/>
      <c r="AA827" s="8"/>
      <c r="AB827" s="8"/>
      <c r="AC827" s="4"/>
      <c r="AD827" s="4"/>
    </row>
    <row r="828" spans="1:30" hidden="1">
      <c r="A828" s="4">
        <v>1228</v>
      </c>
      <c r="B828" s="8">
        <v>45265</v>
      </c>
      <c r="C828" s="4"/>
      <c r="D828" s="189" t="s">
        <v>42</v>
      </c>
      <c r="E828" s="8">
        <v>45291</v>
      </c>
      <c r="F828" s="4" t="s">
        <v>840</v>
      </c>
      <c r="G828" s="16" t="s">
        <v>1394</v>
      </c>
      <c r="H828" s="4" t="s">
        <v>45</v>
      </c>
      <c r="I828" s="4" t="s">
        <v>89</v>
      </c>
      <c r="J828" s="10">
        <v>20.202624</v>
      </c>
      <c r="K828" s="10"/>
      <c r="L828" s="10">
        <f t="shared" si="164"/>
        <v>20.203000000000003</v>
      </c>
      <c r="M828" s="10">
        <f t="shared" si="165"/>
        <v>20.203000000000003</v>
      </c>
      <c r="N828" s="10">
        <f>17.263+2.94</f>
        <v>20.203000000000003</v>
      </c>
      <c r="O828" s="10"/>
      <c r="P828" s="10"/>
      <c r="Q828" s="10"/>
      <c r="R828" s="10"/>
      <c r="S828" s="10"/>
      <c r="T828" s="10"/>
      <c r="U828" s="10"/>
      <c r="V828" s="4" t="s">
        <v>841</v>
      </c>
      <c r="W828" s="150" t="s">
        <v>1504</v>
      </c>
      <c r="X828" s="8">
        <v>45286</v>
      </c>
      <c r="Y828" s="4"/>
      <c r="Z828" s="4"/>
      <c r="AA828" s="8"/>
      <c r="AB828" s="8"/>
      <c r="AC828" s="4"/>
      <c r="AD828" s="4"/>
    </row>
    <row r="829" spans="1:30" hidden="1">
      <c r="A829" s="4">
        <v>1228</v>
      </c>
      <c r="B829" s="8">
        <v>45265</v>
      </c>
      <c r="C829" s="4"/>
      <c r="D829" s="189" t="s">
        <v>42</v>
      </c>
      <c r="E829" s="8">
        <v>45291</v>
      </c>
      <c r="F829" s="4" t="s">
        <v>840</v>
      </c>
      <c r="G829" s="16" t="s">
        <v>1395</v>
      </c>
      <c r="H829" s="4" t="s">
        <v>52</v>
      </c>
      <c r="I829" s="4" t="s">
        <v>54</v>
      </c>
      <c r="J829" s="10">
        <v>6.4060679999999994</v>
      </c>
      <c r="K829" s="10">
        <f>0.472+5.934</f>
        <v>6.4060000000000006</v>
      </c>
      <c r="L829" s="10">
        <f t="shared" si="164"/>
        <v>0</v>
      </c>
      <c r="M829" s="10">
        <f t="shared" si="165"/>
        <v>0</v>
      </c>
      <c r="N829" s="10"/>
      <c r="O829" s="10"/>
      <c r="P829" s="10">
        <v>0</v>
      </c>
      <c r="Q829" s="10"/>
      <c r="R829" s="10"/>
      <c r="S829" s="10"/>
      <c r="T829" s="10"/>
      <c r="U829" s="10"/>
      <c r="V829" s="4" t="s">
        <v>841</v>
      </c>
      <c r="W829" s="4"/>
      <c r="X829" s="8"/>
      <c r="Y829" s="4"/>
      <c r="Z829" s="4"/>
      <c r="AA829" s="8"/>
      <c r="AB829" s="8"/>
      <c r="AC829" s="4"/>
      <c r="AD829" s="4"/>
    </row>
    <row r="830" spans="1:30" hidden="1">
      <c r="A830" s="4">
        <v>1228</v>
      </c>
      <c r="B830" s="8">
        <v>45265</v>
      </c>
      <c r="C830" s="4"/>
      <c r="D830" s="189" t="s">
        <v>42</v>
      </c>
      <c r="E830" s="8">
        <v>45291</v>
      </c>
      <c r="F830" s="4" t="s">
        <v>840</v>
      </c>
      <c r="G830" s="16" t="s">
        <v>1395</v>
      </c>
      <c r="H830" s="4" t="s">
        <v>52</v>
      </c>
      <c r="I830" s="4" t="s">
        <v>405</v>
      </c>
      <c r="J830" s="10">
        <v>1.6320000000000001</v>
      </c>
      <c r="K830" s="10"/>
      <c r="L830" s="10">
        <f t="shared" si="164"/>
        <v>1.6320000000000001</v>
      </c>
      <c r="M830" s="10">
        <f t="shared" si="165"/>
        <v>1.6320000000000001</v>
      </c>
      <c r="N830" s="10">
        <v>1.6320000000000001</v>
      </c>
      <c r="O830" s="10"/>
      <c r="P830" s="10"/>
      <c r="Q830" s="10"/>
      <c r="R830" s="10"/>
      <c r="S830" s="10"/>
      <c r="T830" s="10"/>
      <c r="U830" s="10"/>
      <c r="V830" s="4" t="s">
        <v>841</v>
      </c>
      <c r="W830" s="4"/>
      <c r="X830" s="8">
        <v>45285</v>
      </c>
      <c r="Y830" s="4"/>
      <c r="Z830" s="4"/>
      <c r="AA830" s="8"/>
      <c r="AB830" s="8"/>
      <c r="AC830" s="4"/>
      <c r="AD830" s="4"/>
    </row>
    <row r="831" spans="1:30" hidden="1">
      <c r="A831" s="4">
        <v>1228</v>
      </c>
      <c r="B831" s="8">
        <v>45265</v>
      </c>
      <c r="C831" s="4"/>
      <c r="D831" s="189" t="s">
        <v>42</v>
      </c>
      <c r="E831" s="8">
        <v>45291</v>
      </c>
      <c r="F831" s="4" t="s">
        <v>840</v>
      </c>
      <c r="G831" s="16" t="s">
        <v>1395</v>
      </c>
      <c r="H831" s="4" t="s">
        <v>52</v>
      </c>
      <c r="I831" s="4" t="s">
        <v>435</v>
      </c>
      <c r="J831" s="10">
        <v>9.0012000000000008</v>
      </c>
      <c r="K831" s="10">
        <f>3.973+3.211+1.818</f>
        <v>9.0019999999999989</v>
      </c>
      <c r="L831" s="10">
        <f t="shared" si="164"/>
        <v>0</v>
      </c>
      <c r="M831" s="10">
        <f t="shared" si="165"/>
        <v>0</v>
      </c>
      <c r="N831" s="10"/>
      <c r="O831" s="10"/>
      <c r="P831" s="10">
        <v>0</v>
      </c>
      <c r="Q831" s="10"/>
      <c r="R831" s="10"/>
      <c r="S831" s="10"/>
      <c r="T831" s="10"/>
      <c r="U831" s="10"/>
      <c r="V831" s="4" t="s">
        <v>841</v>
      </c>
      <c r="W831" s="4"/>
      <c r="X831" s="8">
        <v>45270</v>
      </c>
      <c r="Y831" s="4"/>
      <c r="Z831" s="4"/>
      <c r="AA831" s="8"/>
      <c r="AB831" s="8">
        <v>45296</v>
      </c>
      <c r="AC831" s="4"/>
      <c r="AD831" s="4"/>
    </row>
    <row r="832" spans="1:30" hidden="1">
      <c r="A832" s="4">
        <v>1228</v>
      </c>
      <c r="B832" s="8">
        <v>45265</v>
      </c>
      <c r="C832" s="4"/>
      <c r="D832" s="189" t="s">
        <v>42</v>
      </c>
      <c r="E832" s="8">
        <v>45291</v>
      </c>
      <c r="F832" s="4" t="s">
        <v>840</v>
      </c>
      <c r="G832" s="16" t="s">
        <v>1395</v>
      </c>
      <c r="H832" s="4" t="s">
        <v>52</v>
      </c>
      <c r="I832" s="4" t="s">
        <v>474</v>
      </c>
      <c r="J832" s="10">
        <v>12.5868</v>
      </c>
      <c r="K832" s="10">
        <v>10.664999999999999</v>
      </c>
      <c r="L832" s="10">
        <f t="shared" si="164"/>
        <v>2.2810000000000001</v>
      </c>
      <c r="M832" s="10">
        <f t="shared" si="165"/>
        <v>2.2810000000000001</v>
      </c>
      <c r="N832" s="10">
        <v>2.2810000000000001</v>
      </c>
      <c r="O832" s="10"/>
      <c r="P832" s="10">
        <v>0</v>
      </c>
      <c r="Q832" s="10"/>
      <c r="R832" s="10"/>
      <c r="S832" s="10"/>
      <c r="T832" s="10"/>
      <c r="U832" s="10"/>
      <c r="V832" s="4" t="s">
        <v>841</v>
      </c>
      <c r="W832" s="4"/>
      <c r="X832" s="8">
        <v>45268</v>
      </c>
      <c r="Y832" s="4"/>
      <c r="Z832" s="4"/>
      <c r="AA832" s="8"/>
      <c r="AB832" s="8"/>
      <c r="AC832" s="4"/>
      <c r="AD832" s="4"/>
    </row>
    <row r="833" spans="1:30" hidden="1">
      <c r="A833" s="4">
        <v>1228</v>
      </c>
      <c r="B833" s="8">
        <v>45265</v>
      </c>
      <c r="C833" s="4"/>
      <c r="D833" s="189" t="s">
        <v>42</v>
      </c>
      <c r="E833" s="8">
        <v>45291</v>
      </c>
      <c r="F833" s="4" t="s">
        <v>840</v>
      </c>
      <c r="G833" s="16" t="s">
        <v>1395</v>
      </c>
      <c r="H833" s="4" t="s">
        <v>52</v>
      </c>
      <c r="I833" s="4" t="s">
        <v>577</v>
      </c>
      <c r="J833" s="10">
        <v>14.099612999999998</v>
      </c>
      <c r="K833" s="10"/>
      <c r="L833" s="10">
        <f t="shared" si="164"/>
        <v>14.099612999999998</v>
      </c>
      <c r="M833" s="10">
        <f t="shared" si="165"/>
        <v>14.099612999999998</v>
      </c>
      <c r="N833" s="10">
        <v>14.099612999999998</v>
      </c>
      <c r="O833" s="10"/>
      <c r="P833" s="10"/>
      <c r="Q833" s="10"/>
      <c r="R833" s="10"/>
      <c r="S833" s="10"/>
      <c r="T833" s="10"/>
      <c r="U833" s="10"/>
      <c r="V833" s="4" t="s">
        <v>841</v>
      </c>
      <c r="W833" s="4"/>
      <c r="X833" s="8">
        <v>45286</v>
      </c>
      <c r="Y833" s="4"/>
      <c r="Z833" s="4"/>
      <c r="AA833" s="8"/>
      <c r="AB833" s="8"/>
      <c r="AC833" s="4"/>
      <c r="AD833" s="4"/>
    </row>
    <row r="834" spans="1:30" hidden="1">
      <c r="A834" s="4">
        <v>1228</v>
      </c>
      <c r="B834" s="8">
        <v>45265</v>
      </c>
      <c r="C834" s="4"/>
      <c r="D834" s="189" t="s">
        <v>42</v>
      </c>
      <c r="E834" s="8">
        <v>45291</v>
      </c>
      <c r="F834" s="4" t="s">
        <v>840</v>
      </c>
      <c r="G834" s="16" t="s">
        <v>1395</v>
      </c>
      <c r="H834" s="4" t="s">
        <v>52</v>
      </c>
      <c r="I834" s="4" t="s">
        <v>89</v>
      </c>
      <c r="J834" s="10">
        <v>15.015936</v>
      </c>
      <c r="K834" s="10"/>
      <c r="L834" s="10">
        <f t="shared" si="164"/>
        <v>15.016</v>
      </c>
      <c r="M834" s="10">
        <f t="shared" si="165"/>
        <v>15.016</v>
      </c>
      <c r="N834" s="10">
        <f>12.77+2.246</f>
        <v>15.016</v>
      </c>
      <c r="O834" s="10"/>
      <c r="P834" s="10"/>
      <c r="Q834" s="10"/>
      <c r="R834" s="10"/>
      <c r="S834" s="10"/>
      <c r="T834" s="10"/>
      <c r="U834" s="10"/>
      <c r="V834" s="4" t="s">
        <v>841</v>
      </c>
      <c r="W834" s="4"/>
      <c r="X834" s="8">
        <v>45286</v>
      </c>
      <c r="Y834" s="4"/>
      <c r="Z834" s="4"/>
      <c r="AA834" s="8"/>
      <c r="AB834" s="8"/>
      <c r="AC834" s="4"/>
      <c r="AD834" s="4"/>
    </row>
    <row r="835" spans="1:30" s="152" customFormat="1" hidden="1">
      <c r="A835" s="154">
        <v>1229</v>
      </c>
      <c r="B835" s="8">
        <v>45265</v>
      </c>
      <c r="C835" s="154"/>
      <c r="D835" s="189" t="s">
        <v>42</v>
      </c>
      <c r="E835" s="8">
        <v>45298</v>
      </c>
      <c r="F835" s="154" t="s">
        <v>840</v>
      </c>
      <c r="G835" s="16" t="s">
        <v>1394</v>
      </c>
      <c r="H835" s="154" t="s">
        <v>45</v>
      </c>
      <c r="I835" s="154" t="s">
        <v>54</v>
      </c>
      <c r="J835" s="10">
        <v>132.870814</v>
      </c>
      <c r="K835" s="10">
        <f>28.5+32.655+32.808+15.683+8.516</f>
        <v>118.16199999999999</v>
      </c>
      <c r="L835" s="10">
        <f t="shared" ref="L835:L872" si="166">M835+U835</f>
        <v>14.709000000000014</v>
      </c>
      <c r="M835" s="10">
        <f t="shared" ref="M835:M872" si="167">SUM(N835:T835)</f>
        <v>14.709000000000014</v>
      </c>
      <c r="N835" s="10"/>
      <c r="O835" s="10"/>
      <c r="P835" s="10">
        <f>15.13+117.741-29.323+7+22.323-2.63-28.5-32.655-32.808-15.683-8.516</f>
        <v>12.079000000000013</v>
      </c>
      <c r="Q835" s="77">
        <v>2.63</v>
      </c>
      <c r="R835" s="10"/>
      <c r="S835" s="10"/>
      <c r="T835" s="10"/>
      <c r="U835" s="10"/>
      <c r="V835" s="154" t="s">
        <v>841</v>
      </c>
      <c r="W835" s="74" t="s">
        <v>1468</v>
      </c>
      <c r="X835" s="8">
        <v>45278</v>
      </c>
      <c r="Y835" s="154"/>
      <c r="Z835" s="154"/>
      <c r="AA835" s="8"/>
      <c r="AB835" s="8"/>
      <c r="AC835" s="154"/>
      <c r="AD835" s="154"/>
    </row>
    <row r="836" spans="1:30" hidden="1">
      <c r="A836" s="4">
        <v>1229</v>
      </c>
      <c r="B836" s="8">
        <v>45265</v>
      </c>
      <c r="C836" s="4"/>
      <c r="D836" s="189" t="s">
        <v>42</v>
      </c>
      <c r="E836" s="8">
        <v>45298</v>
      </c>
      <c r="F836" s="4" t="s">
        <v>840</v>
      </c>
      <c r="G836" s="16" t="s">
        <v>1394</v>
      </c>
      <c r="H836" s="4" t="s">
        <v>45</v>
      </c>
      <c r="I836" s="4" t="s">
        <v>56</v>
      </c>
      <c r="J836" s="10">
        <v>112.16498200000001</v>
      </c>
      <c r="K836" s="10">
        <f>30.499+33.027+19.846+22.402+4.024</f>
        <v>109.798</v>
      </c>
      <c r="L836" s="10">
        <f t="shared" si="166"/>
        <v>2.3669819999999975</v>
      </c>
      <c r="M836" s="10">
        <f t="shared" si="167"/>
        <v>2.3669819999999975</v>
      </c>
      <c r="N836" s="10"/>
      <c r="O836" s="10"/>
      <c r="P836" s="10">
        <f>112.164982-30.499-33.027-19.846-22.402-4.024</f>
        <v>2.3669819999999975</v>
      </c>
      <c r="Q836" s="10"/>
      <c r="R836" s="10"/>
      <c r="S836" s="10"/>
      <c r="T836" s="10"/>
      <c r="U836" s="10"/>
      <c r="V836" s="4" t="s">
        <v>841</v>
      </c>
      <c r="W836" s="154"/>
      <c r="X836" s="8">
        <v>45278</v>
      </c>
      <c r="Y836" s="4"/>
      <c r="Z836" s="4"/>
      <c r="AA836" s="8"/>
      <c r="AB836" s="8"/>
      <c r="AC836" s="4"/>
      <c r="AD836" s="4"/>
    </row>
    <row r="837" spans="1:30" hidden="1">
      <c r="A837" s="4">
        <v>1229</v>
      </c>
      <c r="B837" s="8">
        <v>45265</v>
      </c>
      <c r="C837" s="4"/>
      <c r="D837" s="189" t="s">
        <v>42</v>
      </c>
      <c r="E837" s="8">
        <v>45298</v>
      </c>
      <c r="F837" s="4" t="s">
        <v>840</v>
      </c>
      <c r="G837" s="16" t="s">
        <v>1394</v>
      </c>
      <c r="H837" s="4" t="s">
        <v>45</v>
      </c>
      <c r="I837" s="4" t="s">
        <v>48</v>
      </c>
      <c r="J837" s="10">
        <v>35.251356000000001</v>
      </c>
      <c r="K837" s="10">
        <f>18.782+10.394</f>
        <v>29.176000000000002</v>
      </c>
      <c r="L837" s="10">
        <f t="shared" si="166"/>
        <v>6.0753560000000011</v>
      </c>
      <c r="M837" s="10">
        <f t="shared" si="167"/>
        <v>6.0753560000000011</v>
      </c>
      <c r="N837" s="10"/>
      <c r="O837" s="10"/>
      <c r="P837" s="10">
        <f>35.251356-18.782-10.394</f>
        <v>6.0753560000000011</v>
      </c>
      <c r="Q837" s="10"/>
      <c r="R837" s="10"/>
      <c r="S837" s="10"/>
      <c r="T837" s="10"/>
      <c r="U837" s="10"/>
      <c r="V837" s="4" t="s">
        <v>841</v>
      </c>
      <c r="W837" s="4"/>
      <c r="X837" s="8">
        <v>45278</v>
      </c>
      <c r="Y837" s="4"/>
      <c r="Z837" s="4"/>
      <c r="AA837" s="8"/>
      <c r="AB837" s="8"/>
      <c r="AC837" s="4"/>
      <c r="AD837" s="4"/>
    </row>
    <row r="838" spans="1:30" hidden="1">
      <c r="A838" s="4">
        <v>1229</v>
      </c>
      <c r="B838" s="8">
        <v>45265</v>
      </c>
      <c r="C838" s="4"/>
      <c r="D838" s="189" t="s">
        <v>42</v>
      </c>
      <c r="E838" s="8">
        <v>45298</v>
      </c>
      <c r="F838" s="4" t="s">
        <v>840</v>
      </c>
      <c r="G838" s="16" t="s">
        <v>1394</v>
      </c>
      <c r="H838" s="4" t="s">
        <v>45</v>
      </c>
      <c r="I838" s="4" t="s">
        <v>405</v>
      </c>
      <c r="J838" s="10">
        <v>89.010299999999987</v>
      </c>
      <c r="K838" s="10"/>
      <c r="L838" s="10">
        <f t="shared" si="166"/>
        <v>89.009999999999991</v>
      </c>
      <c r="M838" s="10">
        <f t="shared" si="167"/>
        <v>89.009999999999991</v>
      </c>
      <c r="N838" s="10">
        <f>65.452+8.401+15.157</f>
        <v>89.009999999999991</v>
      </c>
      <c r="O838" s="10"/>
      <c r="P838" s="10"/>
      <c r="Q838" s="10"/>
      <c r="R838" s="10"/>
      <c r="S838" s="10"/>
      <c r="T838" s="10"/>
      <c r="U838" s="10"/>
      <c r="V838" s="4" t="s">
        <v>841</v>
      </c>
      <c r="W838" s="4"/>
      <c r="X838" s="8">
        <v>45285</v>
      </c>
      <c r="Y838" s="4"/>
      <c r="Z838" s="4"/>
      <c r="AA838" s="8"/>
      <c r="AB838" s="8"/>
      <c r="AC838" s="4"/>
      <c r="AD838" s="4"/>
    </row>
    <row r="839" spans="1:30" hidden="1">
      <c r="A839" s="4">
        <v>1229</v>
      </c>
      <c r="B839" s="8">
        <v>45265</v>
      </c>
      <c r="C839" s="4"/>
      <c r="D839" s="189" t="s">
        <v>42</v>
      </c>
      <c r="E839" s="8">
        <v>45298</v>
      </c>
      <c r="F839" s="4" t="s">
        <v>840</v>
      </c>
      <c r="G839" s="16" t="s">
        <v>1394</v>
      </c>
      <c r="H839" s="4" t="s">
        <v>45</v>
      </c>
      <c r="I839" s="4" t="s">
        <v>400</v>
      </c>
      <c r="J839" s="10">
        <v>37.169999999999995</v>
      </c>
      <c r="K839" s="10"/>
      <c r="L839" s="10">
        <f t="shared" si="166"/>
        <v>37.17</v>
      </c>
      <c r="M839" s="10">
        <f t="shared" si="167"/>
        <v>37.17</v>
      </c>
      <c r="N839" s="10">
        <f>12+25.17</f>
        <v>37.17</v>
      </c>
      <c r="O839" s="10"/>
      <c r="P839" s="10"/>
      <c r="Q839" s="10"/>
      <c r="R839" s="10"/>
      <c r="S839" s="10"/>
      <c r="T839" s="10"/>
      <c r="U839" s="10"/>
      <c r="V839" s="4" t="s">
        <v>841</v>
      </c>
      <c r="W839" s="4"/>
      <c r="X839" s="8"/>
      <c r="Y839" s="4"/>
      <c r="Z839" s="4"/>
      <c r="AA839" s="8"/>
      <c r="AB839" s="8"/>
      <c r="AC839" s="4"/>
      <c r="AD839" s="4"/>
    </row>
    <row r="840" spans="1:30" hidden="1">
      <c r="A840" s="4">
        <v>1229</v>
      </c>
      <c r="B840" s="8">
        <v>45265</v>
      </c>
      <c r="C840" s="4"/>
      <c r="D840" s="189" t="s">
        <v>42</v>
      </c>
      <c r="E840" s="8">
        <v>45298</v>
      </c>
      <c r="F840" s="4" t="s">
        <v>840</v>
      </c>
      <c r="G840" s="16" t="s">
        <v>1394</v>
      </c>
      <c r="H840" s="4" t="s">
        <v>45</v>
      </c>
      <c r="I840" s="4" t="s">
        <v>46</v>
      </c>
      <c r="J840" s="10">
        <v>138.75900999999999</v>
      </c>
      <c r="K840" s="10"/>
      <c r="L840" s="10">
        <f t="shared" si="166"/>
        <v>138.75900999999999</v>
      </c>
      <c r="M840" s="10">
        <f t="shared" si="167"/>
        <v>138.75900999999999</v>
      </c>
      <c r="N840" s="10">
        <f>138.75901-0.308</f>
        <v>138.45101</v>
      </c>
      <c r="O840" s="10"/>
      <c r="P840" s="10"/>
      <c r="Q840" s="28">
        <v>0.308</v>
      </c>
      <c r="R840" s="10"/>
      <c r="S840" s="10"/>
      <c r="T840" s="10"/>
      <c r="U840" s="10"/>
      <c r="V840" s="4" t="s">
        <v>841</v>
      </c>
      <c r="W840" s="4"/>
      <c r="X840" s="8"/>
      <c r="Y840" s="4"/>
      <c r="Z840" s="4"/>
      <c r="AA840" s="8"/>
      <c r="AB840" s="8"/>
      <c r="AC840" s="4"/>
      <c r="AD840" s="4"/>
    </row>
    <row r="841" spans="1:30" hidden="1">
      <c r="A841" s="4">
        <v>1229</v>
      </c>
      <c r="B841" s="8">
        <v>45265</v>
      </c>
      <c r="C841" s="4"/>
      <c r="D841" s="189" t="s">
        <v>42</v>
      </c>
      <c r="E841" s="8">
        <v>45298</v>
      </c>
      <c r="F841" s="4" t="s">
        <v>840</v>
      </c>
      <c r="G841" s="16" t="s">
        <v>1394</v>
      </c>
      <c r="H841" s="4" t="s">
        <v>45</v>
      </c>
      <c r="I841" s="4" t="s">
        <v>49</v>
      </c>
      <c r="J841" s="10">
        <v>20.473199999999999</v>
      </c>
      <c r="K841" s="10">
        <f>6.098+5.881+8.494</f>
        <v>20.472999999999999</v>
      </c>
      <c r="L841" s="10">
        <f t="shared" si="166"/>
        <v>0</v>
      </c>
      <c r="M841" s="10">
        <f t="shared" si="167"/>
        <v>0</v>
      </c>
      <c r="N841" s="10"/>
      <c r="O841" s="10"/>
      <c r="P841" s="10">
        <v>0</v>
      </c>
      <c r="Q841" s="10"/>
      <c r="R841" s="10"/>
      <c r="S841" s="10"/>
      <c r="T841" s="10"/>
      <c r="U841" s="10"/>
      <c r="V841" s="4" t="s">
        <v>841</v>
      </c>
      <c r="W841" s="4"/>
      <c r="X841" s="8">
        <v>45274</v>
      </c>
      <c r="Y841" s="4"/>
      <c r="Z841" s="4"/>
      <c r="AA841" s="8"/>
      <c r="AB841" s="8"/>
      <c r="AC841" s="4"/>
      <c r="AD841" s="4"/>
    </row>
    <row r="842" spans="1:30" hidden="1">
      <c r="A842" s="4">
        <v>1229</v>
      </c>
      <c r="B842" s="8">
        <v>45265</v>
      </c>
      <c r="C842" s="4"/>
      <c r="D842" s="189" t="s">
        <v>42</v>
      </c>
      <c r="E842" s="8">
        <v>45298</v>
      </c>
      <c r="F842" s="4" t="s">
        <v>840</v>
      </c>
      <c r="G842" s="16" t="s">
        <v>1394</v>
      </c>
      <c r="H842" s="4" t="s">
        <v>45</v>
      </c>
      <c r="I842" s="4" t="s">
        <v>50</v>
      </c>
      <c r="J842" s="10">
        <v>3.15</v>
      </c>
      <c r="K842" s="10">
        <v>3.1429999999999998</v>
      </c>
      <c r="L842" s="10">
        <f t="shared" si="166"/>
        <v>0</v>
      </c>
      <c r="M842" s="10">
        <f t="shared" si="167"/>
        <v>0</v>
      </c>
      <c r="N842" s="10"/>
      <c r="O842" s="10"/>
      <c r="P842" s="10">
        <v>0</v>
      </c>
      <c r="Q842" s="10"/>
      <c r="R842" s="10"/>
      <c r="S842" s="10"/>
      <c r="T842" s="10"/>
      <c r="U842" s="10"/>
      <c r="V842" s="4" t="s">
        <v>841</v>
      </c>
      <c r="W842" s="4"/>
      <c r="X842" s="8">
        <v>45274</v>
      </c>
      <c r="Y842" s="4"/>
      <c r="Z842" s="4"/>
      <c r="AA842" s="8"/>
      <c r="AB842" s="8">
        <v>45296</v>
      </c>
      <c r="AC842" s="4"/>
      <c r="AD842" s="4"/>
    </row>
    <row r="843" spans="1:30" hidden="1">
      <c r="A843" s="4">
        <v>1229</v>
      </c>
      <c r="B843" s="8">
        <v>45265</v>
      </c>
      <c r="C843" s="4"/>
      <c r="D843" s="189" t="s">
        <v>42</v>
      </c>
      <c r="E843" s="8">
        <v>45298</v>
      </c>
      <c r="F843" s="4" t="s">
        <v>840</v>
      </c>
      <c r="G843" s="16" t="s">
        <v>1394</v>
      </c>
      <c r="H843" s="4" t="s">
        <v>45</v>
      </c>
      <c r="I843" s="4" t="s">
        <v>50</v>
      </c>
      <c r="J843" s="10">
        <v>29.622430000000001</v>
      </c>
      <c r="K843" s="10"/>
      <c r="L843" s="10">
        <f t="shared" si="166"/>
        <v>29.622</v>
      </c>
      <c r="M843" s="10">
        <f t="shared" si="167"/>
        <v>29.622</v>
      </c>
      <c r="N843" s="10">
        <f>13.53+16.092</f>
        <v>29.622</v>
      </c>
      <c r="O843" s="10"/>
      <c r="P843" s="10"/>
      <c r="Q843" s="10"/>
      <c r="R843" s="10"/>
      <c r="S843" s="10"/>
      <c r="T843" s="10"/>
      <c r="U843" s="10"/>
      <c r="V843" s="4" t="s">
        <v>841</v>
      </c>
      <c r="W843" s="154"/>
      <c r="X843" s="8"/>
      <c r="Y843" s="4"/>
      <c r="Z843" s="4"/>
      <c r="AA843" s="8"/>
      <c r="AB843" s="8"/>
      <c r="AC843" s="4"/>
      <c r="AD843" s="4"/>
    </row>
    <row r="844" spans="1:30" hidden="1">
      <c r="A844" s="4">
        <v>1229</v>
      </c>
      <c r="B844" s="8">
        <v>45265</v>
      </c>
      <c r="C844" s="4"/>
      <c r="D844" s="189" t="s">
        <v>42</v>
      </c>
      <c r="E844" s="8">
        <v>45298</v>
      </c>
      <c r="F844" s="4" t="s">
        <v>840</v>
      </c>
      <c r="G844" s="16" t="s">
        <v>1394</v>
      </c>
      <c r="H844" s="4" t="s">
        <v>45</v>
      </c>
      <c r="I844" s="4" t="s">
        <v>588</v>
      </c>
      <c r="J844" s="10">
        <v>107.08005</v>
      </c>
      <c r="K844" s="10"/>
      <c r="L844" s="10">
        <f t="shared" si="166"/>
        <v>107.08005</v>
      </c>
      <c r="M844" s="10">
        <f t="shared" si="167"/>
        <v>107.08005</v>
      </c>
      <c r="N844" s="10">
        <v>107.08005</v>
      </c>
      <c r="O844" s="10"/>
      <c r="P844" s="10"/>
      <c r="Q844" s="10"/>
      <c r="R844" s="10"/>
      <c r="S844" s="10"/>
      <c r="T844" s="10"/>
      <c r="U844" s="10"/>
      <c r="V844" s="4" t="s">
        <v>841</v>
      </c>
      <c r="W844" s="4"/>
      <c r="X844" s="8"/>
      <c r="Y844" s="4"/>
      <c r="Z844" s="4"/>
      <c r="AA844" s="8"/>
      <c r="AB844" s="8"/>
      <c r="AC844" s="4"/>
      <c r="AD844" s="4"/>
    </row>
    <row r="845" spans="1:30" hidden="1">
      <c r="A845" s="4">
        <v>1229</v>
      </c>
      <c r="B845" s="8">
        <v>45265</v>
      </c>
      <c r="C845" s="4"/>
      <c r="D845" s="189" t="s">
        <v>42</v>
      </c>
      <c r="E845" s="8">
        <v>45298</v>
      </c>
      <c r="F845" s="4" t="s">
        <v>840</v>
      </c>
      <c r="G845" s="16" t="s">
        <v>1394</v>
      </c>
      <c r="H845" s="4" t="s">
        <v>45</v>
      </c>
      <c r="I845" s="4" t="s">
        <v>407</v>
      </c>
      <c r="J845" s="10">
        <v>31.17239</v>
      </c>
      <c r="K845" s="10"/>
      <c r="L845" s="10">
        <f t="shared" si="166"/>
        <v>31.17239</v>
      </c>
      <c r="M845" s="10">
        <f t="shared" si="167"/>
        <v>31.17239</v>
      </c>
      <c r="N845" s="10">
        <v>31.17239</v>
      </c>
      <c r="O845" s="10"/>
      <c r="P845" s="10"/>
      <c r="Q845" s="10"/>
      <c r="R845" s="10"/>
      <c r="S845" s="10"/>
      <c r="T845" s="10"/>
      <c r="U845" s="10"/>
      <c r="V845" s="4" t="s">
        <v>841</v>
      </c>
      <c r="W845" s="4"/>
      <c r="X845" s="8">
        <v>45282</v>
      </c>
      <c r="Y845" s="4"/>
      <c r="Z845" s="4"/>
      <c r="AA845" s="8"/>
      <c r="AB845" s="8"/>
      <c r="AC845" s="4"/>
      <c r="AD845" s="4"/>
    </row>
    <row r="846" spans="1:30" hidden="1">
      <c r="A846" s="4">
        <v>1229</v>
      </c>
      <c r="B846" s="8">
        <v>45265</v>
      </c>
      <c r="C846" s="4"/>
      <c r="D846" s="189" t="s">
        <v>42</v>
      </c>
      <c r="E846" s="8">
        <v>45298</v>
      </c>
      <c r="F846" s="4" t="s">
        <v>840</v>
      </c>
      <c r="G846" s="16" t="s">
        <v>1394</v>
      </c>
      <c r="H846" s="4" t="s">
        <v>45</v>
      </c>
      <c r="I846" s="4" t="s">
        <v>409</v>
      </c>
      <c r="J846" s="10">
        <v>26.423460000000002</v>
      </c>
      <c r="K846" s="10"/>
      <c r="L846" s="10">
        <f t="shared" si="166"/>
        <v>26.423460000000002</v>
      </c>
      <c r="M846" s="10">
        <f t="shared" si="167"/>
        <v>26.423460000000002</v>
      </c>
      <c r="N846" s="10">
        <v>26.423460000000002</v>
      </c>
      <c r="O846" s="10"/>
      <c r="P846" s="10"/>
      <c r="Q846" s="10"/>
      <c r="R846" s="10"/>
      <c r="S846" s="10"/>
      <c r="T846" s="10"/>
      <c r="U846" s="10"/>
      <c r="V846" s="4" t="s">
        <v>841</v>
      </c>
      <c r="W846" s="4"/>
      <c r="X846" s="8">
        <v>45282</v>
      </c>
      <c r="Y846" s="4"/>
      <c r="Z846" s="4"/>
      <c r="AA846" s="8"/>
      <c r="AB846" s="8"/>
      <c r="AC846" s="4"/>
      <c r="AD846" s="4"/>
    </row>
    <row r="847" spans="1:30" hidden="1">
      <c r="A847" s="4">
        <v>1229</v>
      </c>
      <c r="B847" s="8">
        <v>45265</v>
      </c>
      <c r="C847" s="4"/>
      <c r="D847" s="189" t="s">
        <v>42</v>
      </c>
      <c r="E847" s="8">
        <v>45298</v>
      </c>
      <c r="F847" s="4" t="s">
        <v>840</v>
      </c>
      <c r="G847" s="16" t="s">
        <v>1394</v>
      </c>
      <c r="H847" s="4" t="s">
        <v>45</v>
      </c>
      <c r="I847" s="4" t="s">
        <v>410</v>
      </c>
      <c r="J847" s="10">
        <v>17.792192</v>
      </c>
      <c r="K847" s="10">
        <v>9.282</v>
      </c>
      <c r="L847" s="10">
        <f t="shared" si="166"/>
        <v>8.5109999999999975</v>
      </c>
      <c r="M847" s="10">
        <f t="shared" si="167"/>
        <v>8.5109999999999975</v>
      </c>
      <c r="N847" s="10">
        <f>14.296+3.496-9.281</f>
        <v>8.5109999999999975</v>
      </c>
      <c r="O847" s="10"/>
      <c r="P847" s="10">
        <v>0</v>
      </c>
      <c r="Q847" s="10"/>
      <c r="R847" s="10"/>
      <c r="S847" s="10"/>
      <c r="T847" s="10"/>
      <c r="U847" s="10"/>
      <c r="V847" s="4" t="s">
        <v>841</v>
      </c>
      <c r="W847" s="4"/>
      <c r="X847" s="8">
        <v>45282</v>
      </c>
      <c r="Y847" s="4"/>
      <c r="Z847" s="4"/>
      <c r="AA847" s="8"/>
      <c r="AB847" s="8"/>
      <c r="AC847" s="4"/>
      <c r="AD847" s="4"/>
    </row>
    <row r="848" spans="1:30" hidden="1">
      <c r="A848" s="4">
        <v>1229</v>
      </c>
      <c r="B848" s="8">
        <v>45265</v>
      </c>
      <c r="C848" s="4"/>
      <c r="D848" s="189" t="s">
        <v>42</v>
      </c>
      <c r="E848" s="8">
        <v>45298</v>
      </c>
      <c r="F848" s="4" t="s">
        <v>840</v>
      </c>
      <c r="G848" s="16" t="s">
        <v>1394</v>
      </c>
      <c r="H848" s="4" t="s">
        <v>45</v>
      </c>
      <c r="I848" s="4" t="s">
        <v>47</v>
      </c>
      <c r="J848" s="10">
        <v>22.495968000000001</v>
      </c>
      <c r="K848" s="10"/>
      <c r="L848" s="10">
        <f t="shared" si="166"/>
        <v>22.495999999999999</v>
      </c>
      <c r="M848" s="10">
        <f t="shared" si="167"/>
        <v>22.495999999999999</v>
      </c>
      <c r="N848" s="10">
        <f>16.965+5.531</f>
        <v>22.495999999999999</v>
      </c>
      <c r="O848" s="10"/>
      <c r="P848" s="10"/>
      <c r="Q848" s="10"/>
      <c r="R848" s="10"/>
      <c r="S848" s="10"/>
      <c r="T848" s="10"/>
      <c r="U848" s="10"/>
      <c r="V848" s="4" t="s">
        <v>841</v>
      </c>
      <c r="W848" s="4"/>
      <c r="X848" s="8">
        <v>45282</v>
      </c>
      <c r="Y848" s="4"/>
      <c r="Z848" s="4"/>
      <c r="AA848" s="8"/>
      <c r="AB848" s="8"/>
      <c r="AC848" s="4"/>
      <c r="AD848" s="4"/>
    </row>
    <row r="849" spans="1:30" hidden="1">
      <c r="A849" s="4">
        <v>1229</v>
      </c>
      <c r="B849" s="8">
        <v>45265</v>
      </c>
      <c r="C849" s="4"/>
      <c r="D849" s="189" t="s">
        <v>42</v>
      </c>
      <c r="E849" s="8">
        <v>45298</v>
      </c>
      <c r="F849" s="4" t="s">
        <v>840</v>
      </c>
      <c r="G849" s="16" t="s">
        <v>1394</v>
      </c>
      <c r="H849" s="4" t="s">
        <v>45</v>
      </c>
      <c r="I849" s="4" t="s">
        <v>761</v>
      </c>
      <c r="J849" s="10">
        <v>85.380120000000005</v>
      </c>
      <c r="K849" s="10"/>
      <c r="L849" s="10">
        <f t="shared" si="166"/>
        <v>85.38</v>
      </c>
      <c r="M849" s="10">
        <f t="shared" si="167"/>
        <v>85.38</v>
      </c>
      <c r="N849" s="10">
        <f>13.5+43.104</f>
        <v>56.603999999999999</v>
      </c>
      <c r="O849" s="10"/>
      <c r="P849" s="10"/>
      <c r="Q849" s="10"/>
      <c r="R849" s="10"/>
      <c r="S849" s="10"/>
      <c r="T849" s="10">
        <f>40.128-13.5+45.252-43.104</f>
        <v>28.775999999999996</v>
      </c>
      <c r="U849" s="10"/>
      <c r="V849" s="4" t="s">
        <v>841</v>
      </c>
      <c r="W849" s="4"/>
      <c r="X849" s="8">
        <v>45295</v>
      </c>
      <c r="Y849" s="4"/>
      <c r="Z849" s="4"/>
      <c r="AA849" s="8"/>
      <c r="AB849" s="8"/>
      <c r="AC849" s="4"/>
      <c r="AD849" s="4"/>
    </row>
    <row r="850" spans="1:30" hidden="1">
      <c r="A850" s="4">
        <v>1229</v>
      </c>
      <c r="B850" s="8">
        <v>45265</v>
      </c>
      <c r="C850" s="4"/>
      <c r="D850" s="189" t="s">
        <v>42</v>
      </c>
      <c r="E850" s="8">
        <v>45298</v>
      </c>
      <c r="F850" s="4" t="s">
        <v>840</v>
      </c>
      <c r="G850" s="16" t="s">
        <v>1394</v>
      </c>
      <c r="H850" s="4" t="s">
        <v>45</v>
      </c>
      <c r="I850" s="4" t="s">
        <v>517</v>
      </c>
      <c r="J850" s="10">
        <v>23.721831999999999</v>
      </c>
      <c r="K850" s="10"/>
      <c r="L850" s="10">
        <f t="shared" si="166"/>
        <v>23.721831999999999</v>
      </c>
      <c r="M850" s="10">
        <f t="shared" si="167"/>
        <v>23.721831999999999</v>
      </c>
      <c r="N850" s="10">
        <v>8.6219999999999999</v>
      </c>
      <c r="O850" s="10"/>
      <c r="P850" s="10"/>
      <c r="Q850" s="10"/>
      <c r="R850" s="10"/>
      <c r="S850" s="10"/>
      <c r="T850" s="10">
        <f>23.721832-8.622</f>
        <v>15.099831999999999</v>
      </c>
      <c r="U850" s="10"/>
      <c r="V850" s="4" t="s">
        <v>841</v>
      </c>
      <c r="W850" s="4"/>
      <c r="X850" s="8"/>
      <c r="Y850" s="4"/>
      <c r="Z850" s="4"/>
      <c r="AA850" s="8"/>
      <c r="AB850" s="8"/>
      <c r="AC850" s="4"/>
      <c r="AD850" s="4"/>
    </row>
    <row r="851" spans="1:30" hidden="1">
      <c r="A851" s="4">
        <v>1229</v>
      </c>
      <c r="B851" s="8">
        <v>45265</v>
      </c>
      <c r="C851" s="4"/>
      <c r="D851" s="189" t="s">
        <v>42</v>
      </c>
      <c r="E851" s="8">
        <v>45298</v>
      </c>
      <c r="F851" s="4" t="s">
        <v>840</v>
      </c>
      <c r="G851" s="16" t="s">
        <v>1394</v>
      </c>
      <c r="H851" s="4" t="s">
        <v>45</v>
      </c>
      <c r="I851" s="4" t="s">
        <v>579</v>
      </c>
      <c r="J851" s="10">
        <v>66.996739999999988</v>
      </c>
      <c r="K851" s="10"/>
      <c r="L851" s="10">
        <f t="shared" si="166"/>
        <v>66.996740000000003</v>
      </c>
      <c r="M851" s="10">
        <f t="shared" si="167"/>
        <v>66.996740000000003</v>
      </c>
      <c r="N851" s="10">
        <v>33.237000000000002</v>
      </c>
      <c r="O851" s="10"/>
      <c r="P851" s="10"/>
      <c r="Q851" s="10"/>
      <c r="R851" s="10"/>
      <c r="S851" s="10"/>
      <c r="T851" s="10">
        <f>66.99674-33.237</f>
        <v>33.759740000000001</v>
      </c>
      <c r="U851" s="10"/>
      <c r="V851" s="4" t="s">
        <v>841</v>
      </c>
      <c r="W851" s="4"/>
      <c r="X851" s="8"/>
      <c r="Y851" s="4"/>
      <c r="Z851" s="4"/>
      <c r="AA851" s="8"/>
      <c r="AB851" s="8"/>
      <c r="AC851" s="4"/>
      <c r="AD851" s="4"/>
    </row>
    <row r="852" spans="1:30" hidden="1">
      <c r="A852" s="4">
        <v>1229</v>
      </c>
      <c r="B852" s="8">
        <v>45265</v>
      </c>
      <c r="C852" s="4"/>
      <c r="D852" s="189" t="s">
        <v>42</v>
      </c>
      <c r="E852" s="8">
        <v>45298</v>
      </c>
      <c r="F852" s="4" t="s">
        <v>840</v>
      </c>
      <c r="G852" s="16" t="s">
        <v>1394</v>
      </c>
      <c r="H852" s="4" t="s">
        <v>45</v>
      </c>
      <c r="I852" s="4" t="s">
        <v>670</v>
      </c>
      <c r="J852" s="10">
        <v>72.868800000000007</v>
      </c>
      <c r="K852" s="10"/>
      <c r="L852" s="10">
        <f t="shared" si="166"/>
        <v>72.868800000000007</v>
      </c>
      <c r="M852" s="10">
        <f t="shared" si="167"/>
        <v>72.868800000000007</v>
      </c>
      <c r="N852" s="10">
        <v>72.868800000000007</v>
      </c>
      <c r="O852" s="10"/>
      <c r="P852" s="10"/>
      <c r="Q852" s="10"/>
      <c r="R852" s="10"/>
      <c r="S852" s="10"/>
      <c r="T852" s="10"/>
      <c r="U852" s="10"/>
      <c r="V852" s="4" t="s">
        <v>841</v>
      </c>
      <c r="W852" s="4"/>
      <c r="X852" s="8"/>
      <c r="Y852" s="4"/>
      <c r="Z852" s="4"/>
      <c r="AA852" s="8"/>
      <c r="AB852" s="8"/>
      <c r="AC852" s="4"/>
      <c r="AD852" s="4"/>
    </row>
    <row r="853" spans="1:30" hidden="1">
      <c r="A853" s="4">
        <v>1229</v>
      </c>
      <c r="B853" s="8">
        <v>45265</v>
      </c>
      <c r="C853" s="4"/>
      <c r="D853" s="189" t="s">
        <v>42</v>
      </c>
      <c r="E853" s="8">
        <v>45298</v>
      </c>
      <c r="F853" s="4" t="s">
        <v>840</v>
      </c>
      <c r="G853" s="16" t="s">
        <v>1394</v>
      </c>
      <c r="H853" s="4" t="s">
        <v>45</v>
      </c>
      <c r="I853" s="4" t="s">
        <v>447</v>
      </c>
      <c r="J853" s="10">
        <v>1.568392</v>
      </c>
      <c r="K853" s="10"/>
      <c r="L853" s="10">
        <f t="shared" si="166"/>
        <v>1.568392</v>
      </c>
      <c r="M853" s="10">
        <f t="shared" si="167"/>
        <v>1.568392</v>
      </c>
      <c r="N853" s="10">
        <v>1.568392</v>
      </c>
      <c r="O853" s="10"/>
      <c r="P853" s="10"/>
      <c r="Q853" s="10"/>
      <c r="R853" s="10"/>
      <c r="S853" s="10"/>
      <c r="T853" s="10"/>
      <c r="U853" s="10"/>
      <c r="V853" s="4" t="s">
        <v>841</v>
      </c>
      <c r="W853" s="4"/>
      <c r="X853" s="8"/>
      <c r="Y853" s="4"/>
      <c r="Z853" s="4"/>
      <c r="AA853" s="8"/>
      <c r="AB853" s="8"/>
      <c r="AC853" s="4"/>
      <c r="AD853" s="4"/>
    </row>
    <row r="854" spans="1:30" hidden="1">
      <c r="A854" s="4">
        <v>1229</v>
      </c>
      <c r="B854" s="8">
        <v>45265</v>
      </c>
      <c r="C854" s="4"/>
      <c r="D854" s="189" t="s">
        <v>42</v>
      </c>
      <c r="E854" s="8">
        <v>45298</v>
      </c>
      <c r="F854" s="4" t="s">
        <v>840</v>
      </c>
      <c r="G854" s="16" t="s">
        <v>1394</v>
      </c>
      <c r="H854" s="4" t="s">
        <v>45</v>
      </c>
      <c r="I854" s="4" t="s">
        <v>53</v>
      </c>
      <c r="J854" s="10">
        <v>23.79036</v>
      </c>
      <c r="K854" s="10"/>
      <c r="L854" s="10">
        <f t="shared" si="166"/>
        <v>23.79036</v>
      </c>
      <c r="M854" s="10">
        <f t="shared" si="167"/>
        <v>23.79036</v>
      </c>
      <c r="N854" s="10">
        <f>23.79036-1.02</f>
        <v>22.77036</v>
      </c>
      <c r="O854" s="10"/>
      <c r="P854" s="10"/>
      <c r="Q854" s="28">
        <v>1.02</v>
      </c>
      <c r="R854" s="10"/>
      <c r="S854" s="10"/>
      <c r="T854" s="10"/>
      <c r="U854" s="10"/>
      <c r="V854" s="4" t="s">
        <v>841</v>
      </c>
      <c r="W854" s="201" t="s">
        <v>1527</v>
      </c>
      <c r="X854" s="8">
        <v>45293</v>
      </c>
      <c r="Y854" s="4"/>
      <c r="Z854" s="4"/>
      <c r="AA854" s="8"/>
      <c r="AB854" s="8"/>
      <c r="AC854" s="4"/>
      <c r="AD854" s="4"/>
    </row>
    <row r="855" spans="1:30" hidden="1">
      <c r="A855" s="4">
        <v>1229</v>
      </c>
      <c r="B855" s="8">
        <v>45265</v>
      </c>
      <c r="C855" s="4"/>
      <c r="D855" s="189" t="s">
        <v>42</v>
      </c>
      <c r="E855" s="8">
        <v>45298</v>
      </c>
      <c r="F855" s="4" t="s">
        <v>840</v>
      </c>
      <c r="G855" s="16" t="s">
        <v>1394</v>
      </c>
      <c r="H855" s="4" t="s">
        <v>45</v>
      </c>
      <c r="I855" s="4" t="s">
        <v>435</v>
      </c>
      <c r="J855" s="10">
        <v>40.673884402519178</v>
      </c>
      <c r="K855" s="10"/>
      <c r="L855" s="10">
        <f t="shared" si="166"/>
        <v>40.673884402519178</v>
      </c>
      <c r="M855" s="10">
        <f t="shared" si="167"/>
        <v>0</v>
      </c>
      <c r="N855" s="10"/>
      <c r="O855" s="10"/>
      <c r="P855" s="10"/>
      <c r="Q855" s="10"/>
      <c r="R855" s="10"/>
      <c r="S855" s="10"/>
      <c r="T855" s="10"/>
      <c r="U855" s="10">
        <v>40.673884402519178</v>
      </c>
      <c r="V855" s="4" t="s">
        <v>841</v>
      </c>
      <c r="W855" s="4"/>
      <c r="X855" s="8"/>
      <c r="Y855" s="4"/>
      <c r="Z855" s="4"/>
      <c r="AA855" s="8"/>
      <c r="AB855" s="8"/>
      <c r="AC855" s="4"/>
      <c r="AD855" s="4"/>
    </row>
    <row r="856" spans="1:30" hidden="1">
      <c r="A856" s="4">
        <v>1229</v>
      </c>
      <c r="B856" s="8">
        <v>45265</v>
      </c>
      <c r="C856" s="4"/>
      <c r="D856" s="189" t="s">
        <v>42</v>
      </c>
      <c r="E856" s="8">
        <v>45298</v>
      </c>
      <c r="F856" s="4" t="s">
        <v>840</v>
      </c>
      <c r="G856" s="16" t="s">
        <v>1394</v>
      </c>
      <c r="H856" s="4" t="s">
        <v>45</v>
      </c>
      <c r="I856" s="4" t="s">
        <v>432</v>
      </c>
      <c r="J856" s="10">
        <v>24.229520000000001</v>
      </c>
      <c r="K856" s="10"/>
      <c r="L856" s="10">
        <f t="shared" si="166"/>
        <v>24.229520000000001</v>
      </c>
      <c r="M856" s="10">
        <f t="shared" si="167"/>
        <v>0</v>
      </c>
      <c r="N856" s="10"/>
      <c r="O856" s="10"/>
      <c r="P856" s="10"/>
      <c r="Q856" s="10"/>
      <c r="R856" s="10"/>
      <c r="S856" s="10"/>
      <c r="T856" s="10"/>
      <c r="U856" s="10">
        <v>24.229520000000001</v>
      </c>
      <c r="V856" s="4" t="s">
        <v>841</v>
      </c>
      <c r="W856" s="4"/>
      <c r="X856" s="8"/>
      <c r="Y856" s="4"/>
      <c r="Z856" s="4"/>
      <c r="AA856" s="8"/>
      <c r="AB856" s="8"/>
      <c r="AC856" s="4"/>
      <c r="AD856" s="4"/>
    </row>
    <row r="857" spans="1:30" hidden="1">
      <c r="A857" s="4">
        <v>1229</v>
      </c>
      <c r="B857" s="8">
        <v>45265</v>
      </c>
      <c r="C857" s="4"/>
      <c r="D857" s="189" t="s">
        <v>42</v>
      </c>
      <c r="E857" s="8">
        <v>45298</v>
      </c>
      <c r="F857" s="4" t="s">
        <v>840</v>
      </c>
      <c r="G857" s="16" t="s">
        <v>1394</v>
      </c>
      <c r="H857" s="4" t="s">
        <v>45</v>
      </c>
      <c r="I857" s="4" t="s">
        <v>474</v>
      </c>
      <c r="J857" s="10">
        <v>32.25</v>
      </c>
      <c r="K857" s="227">
        <f>15.535+8.152</f>
        <v>23.686999999999998</v>
      </c>
      <c r="L857" s="10">
        <f t="shared" si="166"/>
        <v>8.5630000000000006</v>
      </c>
      <c r="M857" s="10">
        <f t="shared" si="167"/>
        <v>8.5630000000000006</v>
      </c>
      <c r="N857" s="10"/>
      <c r="O857" s="10"/>
      <c r="P857" s="10">
        <f>32.25-15.535-8.152</f>
        <v>8.5630000000000006</v>
      </c>
      <c r="Q857" s="10"/>
      <c r="R857" s="10"/>
      <c r="S857" s="10"/>
      <c r="T857" s="10"/>
      <c r="U857" s="10"/>
      <c r="V857" s="4" t="s">
        <v>841</v>
      </c>
      <c r="W857" s="4"/>
      <c r="X857" s="8">
        <v>45268</v>
      </c>
      <c r="Y857" s="4"/>
      <c r="Z857" s="4"/>
      <c r="AA857" s="8"/>
      <c r="AB857" s="8"/>
      <c r="AC857" s="4"/>
      <c r="AD857" s="4"/>
    </row>
    <row r="858" spans="1:30" hidden="1">
      <c r="A858" s="4">
        <v>1229</v>
      </c>
      <c r="B858" s="8">
        <v>45265</v>
      </c>
      <c r="C858" s="4"/>
      <c r="D858" s="189" t="s">
        <v>42</v>
      </c>
      <c r="E858" s="8">
        <v>45298</v>
      </c>
      <c r="F858" s="4" t="s">
        <v>840</v>
      </c>
      <c r="G858" s="16" t="s">
        <v>1394</v>
      </c>
      <c r="H858" s="4" t="s">
        <v>45</v>
      </c>
      <c r="I858" s="4" t="s">
        <v>434</v>
      </c>
      <c r="J858" s="10">
        <v>50.48</v>
      </c>
      <c r="K858" s="10">
        <f>27.282+21.31</f>
        <v>48.591999999999999</v>
      </c>
      <c r="L858" s="10">
        <f t="shared" si="166"/>
        <v>1.8879999999999992</v>
      </c>
      <c r="M858" s="10">
        <f t="shared" si="167"/>
        <v>-8.2000000000000739E-2</v>
      </c>
      <c r="N858" s="10"/>
      <c r="O858" s="10"/>
      <c r="P858" s="10">
        <f>50.48-1.97-27.282-21.31</f>
        <v>-8.2000000000000739E-2</v>
      </c>
      <c r="Q858" s="10"/>
      <c r="R858" s="10"/>
      <c r="S858" s="10"/>
      <c r="T858" s="10"/>
      <c r="U858" s="10">
        <v>1.97</v>
      </c>
      <c r="V858" s="4" t="s">
        <v>841</v>
      </c>
      <c r="W858" s="4"/>
      <c r="X858" s="8">
        <v>45268</v>
      </c>
      <c r="Y858" s="4"/>
      <c r="Z858" s="4"/>
      <c r="AA858" s="8"/>
      <c r="AB858" s="8"/>
      <c r="AC858" s="4"/>
      <c r="AD858" s="4"/>
    </row>
    <row r="859" spans="1:30" hidden="1">
      <c r="A859" s="4">
        <v>1229</v>
      </c>
      <c r="B859" s="8">
        <v>45265</v>
      </c>
      <c r="C859" s="4"/>
      <c r="D859" s="189" t="s">
        <v>42</v>
      </c>
      <c r="E859" s="8">
        <v>45298</v>
      </c>
      <c r="F859" s="4" t="s">
        <v>840</v>
      </c>
      <c r="G859" s="16" t="s">
        <v>1394</v>
      </c>
      <c r="H859" s="4" t="s">
        <v>45</v>
      </c>
      <c r="I859" s="4" t="s">
        <v>474</v>
      </c>
      <c r="J859" s="10">
        <v>21.634154000000002</v>
      </c>
      <c r="K859" s="10"/>
      <c r="L859" s="10">
        <f t="shared" si="166"/>
        <v>21.634154000000002</v>
      </c>
      <c r="M859" s="10">
        <f t="shared" si="167"/>
        <v>0</v>
      </c>
      <c r="N859" s="10"/>
      <c r="O859" s="10"/>
      <c r="P859" s="10"/>
      <c r="Q859" s="10"/>
      <c r="R859" s="10"/>
      <c r="S859" s="10"/>
      <c r="T859" s="10"/>
      <c r="U859" s="10">
        <v>21.634154000000002</v>
      </c>
      <c r="V859" s="4" t="s">
        <v>841</v>
      </c>
      <c r="W859" s="4"/>
      <c r="X859" s="8"/>
      <c r="Y859" s="4"/>
      <c r="Z859" s="4"/>
      <c r="AA859" s="8"/>
      <c r="AB859" s="8"/>
      <c r="AC859" s="4"/>
      <c r="AD859" s="4"/>
    </row>
    <row r="860" spans="1:30" hidden="1">
      <c r="A860" s="4">
        <v>1229</v>
      </c>
      <c r="B860" s="8">
        <v>45265</v>
      </c>
      <c r="C860" s="4"/>
      <c r="D860" s="189" t="s">
        <v>42</v>
      </c>
      <c r="E860" s="8">
        <v>45298</v>
      </c>
      <c r="F860" s="4" t="s">
        <v>840</v>
      </c>
      <c r="G860" s="16" t="s">
        <v>1394</v>
      </c>
      <c r="H860" s="4" t="s">
        <v>45</v>
      </c>
      <c r="I860" s="4" t="s">
        <v>434</v>
      </c>
      <c r="J860" s="10">
        <v>46.127360000000003</v>
      </c>
      <c r="K860" s="10"/>
      <c r="L860" s="10">
        <f t="shared" si="166"/>
        <v>46.127360000000003</v>
      </c>
      <c r="M860" s="10">
        <f t="shared" si="167"/>
        <v>0</v>
      </c>
      <c r="N860" s="10"/>
      <c r="O860" s="10"/>
      <c r="P860" s="10"/>
      <c r="Q860" s="10"/>
      <c r="R860" s="10"/>
      <c r="S860" s="10"/>
      <c r="T860" s="10"/>
      <c r="U860" s="10">
        <v>46.127360000000003</v>
      </c>
      <c r="V860" s="4" t="s">
        <v>841</v>
      </c>
      <c r="W860" s="4"/>
      <c r="X860" s="8"/>
      <c r="Y860" s="4"/>
      <c r="Z860" s="4"/>
      <c r="AA860" s="8"/>
      <c r="AB860" s="8"/>
      <c r="AC860" s="4"/>
      <c r="AD860" s="4"/>
    </row>
    <row r="861" spans="1:30" hidden="1">
      <c r="A861" s="4">
        <v>1229</v>
      </c>
      <c r="B861" s="8">
        <v>45265</v>
      </c>
      <c r="C861" s="4"/>
      <c r="D861" s="189" t="s">
        <v>42</v>
      </c>
      <c r="E861" s="8">
        <v>45298</v>
      </c>
      <c r="F861" s="4" t="s">
        <v>840</v>
      </c>
      <c r="G861" s="16" t="s">
        <v>1394</v>
      </c>
      <c r="H861" s="4" t="s">
        <v>45</v>
      </c>
      <c r="I861" s="4" t="s">
        <v>577</v>
      </c>
      <c r="J861" s="10">
        <v>163.05408900000003</v>
      </c>
      <c r="K861" s="10"/>
      <c r="L861" s="10">
        <f t="shared" si="166"/>
        <v>163.054</v>
      </c>
      <c r="M861" s="10">
        <f t="shared" si="167"/>
        <v>163.054</v>
      </c>
      <c r="N861" s="10">
        <f>16.7+146.354-0.763</f>
        <v>162.291</v>
      </c>
      <c r="O861" s="10"/>
      <c r="P861" s="10"/>
      <c r="Q861" s="77">
        <v>0.76300000000000001</v>
      </c>
      <c r="R861" s="10"/>
      <c r="S861" s="10"/>
      <c r="T861" s="10"/>
      <c r="U861" s="10"/>
      <c r="V861" s="4" t="s">
        <v>841</v>
      </c>
      <c r="W861" s="4"/>
      <c r="X861" s="8"/>
      <c r="Y861" s="4"/>
      <c r="Z861" s="4"/>
      <c r="AA861" s="8"/>
      <c r="AB861" s="8"/>
      <c r="AC861" s="4"/>
      <c r="AD861" s="4"/>
    </row>
    <row r="862" spans="1:30" hidden="1">
      <c r="A862" s="4">
        <v>1229</v>
      </c>
      <c r="B862" s="8">
        <v>45265</v>
      </c>
      <c r="C862" s="4"/>
      <c r="D862" s="189" t="s">
        <v>42</v>
      </c>
      <c r="E862" s="8">
        <v>45298</v>
      </c>
      <c r="F862" s="4" t="s">
        <v>840</v>
      </c>
      <c r="G862" s="16" t="s">
        <v>1394</v>
      </c>
      <c r="H862" s="4" t="s">
        <v>45</v>
      </c>
      <c r="I862" s="4" t="s">
        <v>89</v>
      </c>
      <c r="J862" s="10">
        <v>179.40332799999996</v>
      </c>
      <c r="K862" s="10"/>
      <c r="L862" s="10">
        <f t="shared" si="166"/>
        <v>179.40300000000002</v>
      </c>
      <c r="M862" s="10">
        <f t="shared" si="167"/>
        <v>179.40300000000002</v>
      </c>
      <c r="N862" s="10">
        <f>72.613+106.79-2</f>
        <v>177.40300000000002</v>
      </c>
      <c r="O862" s="10"/>
      <c r="P862" s="10"/>
      <c r="Q862" s="77">
        <v>2</v>
      </c>
      <c r="R862" s="10"/>
      <c r="S862" s="10"/>
      <c r="T862" s="10"/>
      <c r="U862" s="10"/>
      <c r="V862" s="4" t="s">
        <v>841</v>
      </c>
      <c r="W862" s="150" t="s">
        <v>1505</v>
      </c>
      <c r="X862" s="8">
        <v>45286</v>
      </c>
      <c r="Y862" s="4"/>
      <c r="Z862" s="4"/>
      <c r="AA862" s="8"/>
      <c r="AB862" s="8"/>
      <c r="AC862" s="4"/>
      <c r="AD862" s="4"/>
    </row>
    <row r="863" spans="1:30" hidden="1">
      <c r="A863" s="4">
        <v>1229</v>
      </c>
      <c r="B863" s="8">
        <v>45265</v>
      </c>
      <c r="C863" s="4"/>
      <c r="D863" s="189" t="s">
        <v>42</v>
      </c>
      <c r="E863" s="8">
        <v>45298</v>
      </c>
      <c r="F863" s="4" t="s">
        <v>840</v>
      </c>
      <c r="G863" s="16" t="s">
        <v>1394</v>
      </c>
      <c r="H863" s="4" t="s">
        <v>45</v>
      </c>
      <c r="I863" s="4" t="s">
        <v>87</v>
      </c>
      <c r="J863" s="10">
        <v>9.6484400000000008</v>
      </c>
      <c r="K863" s="10"/>
      <c r="L863" s="10">
        <f t="shared" si="166"/>
        <v>9.6479999999999997</v>
      </c>
      <c r="M863" s="10">
        <f t="shared" si="167"/>
        <v>9.6479999999999997</v>
      </c>
      <c r="N863" s="10">
        <f>5.403+4.245</f>
        <v>9.6479999999999997</v>
      </c>
      <c r="O863" s="10"/>
      <c r="P863" s="10"/>
      <c r="Q863" s="10"/>
      <c r="R863" s="10"/>
      <c r="S863" s="10"/>
      <c r="T863" s="10"/>
      <c r="U863" s="10"/>
      <c r="V863" s="4" t="s">
        <v>841</v>
      </c>
      <c r="W863" s="4"/>
      <c r="X863" s="8"/>
      <c r="Y863" s="4"/>
      <c r="Z863" s="4"/>
      <c r="AA863" s="8"/>
      <c r="AB863" s="8"/>
      <c r="AC863" s="4"/>
      <c r="AD863" s="4"/>
    </row>
    <row r="864" spans="1:30" hidden="1">
      <c r="A864" s="4">
        <v>1229</v>
      </c>
      <c r="B864" s="8">
        <v>45265</v>
      </c>
      <c r="C864" s="4"/>
      <c r="D864" s="189" t="s">
        <v>42</v>
      </c>
      <c r="E864" s="8">
        <v>45298</v>
      </c>
      <c r="F864" s="4" t="s">
        <v>840</v>
      </c>
      <c r="G864" s="16" t="s">
        <v>1395</v>
      </c>
      <c r="H864" s="4" t="s">
        <v>52</v>
      </c>
      <c r="I864" s="4" t="s">
        <v>54</v>
      </c>
      <c r="J864" s="10">
        <v>33.869375999999995</v>
      </c>
      <c r="K864" s="10">
        <f>14.756+19.113</f>
        <v>33.869</v>
      </c>
      <c r="L864" s="10">
        <f t="shared" si="166"/>
        <v>0</v>
      </c>
      <c r="M864" s="10">
        <f t="shared" si="167"/>
        <v>0</v>
      </c>
      <c r="N864" s="10"/>
      <c r="O864" s="10"/>
      <c r="P864" s="10">
        <v>0</v>
      </c>
      <c r="Q864" s="10"/>
      <c r="R864" s="10"/>
      <c r="S864" s="10"/>
      <c r="T864" s="10"/>
      <c r="U864" s="10"/>
      <c r="V864" s="4" t="s">
        <v>841</v>
      </c>
      <c r="W864" s="4"/>
      <c r="X864" s="8"/>
      <c r="Y864" s="4"/>
      <c r="Z864" s="4"/>
      <c r="AA864" s="8"/>
      <c r="AB864" s="8"/>
      <c r="AC864" s="4"/>
      <c r="AD864" s="4"/>
    </row>
    <row r="865" spans="1:30" hidden="1">
      <c r="A865" s="4">
        <v>1229</v>
      </c>
      <c r="B865" s="8">
        <v>45265</v>
      </c>
      <c r="C865" s="4"/>
      <c r="D865" s="189" t="s">
        <v>42</v>
      </c>
      <c r="E865" s="8">
        <v>45298</v>
      </c>
      <c r="F865" s="4" t="s">
        <v>840</v>
      </c>
      <c r="G865" s="16" t="s">
        <v>1395</v>
      </c>
      <c r="H865" s="4" t="s">
        <v>52</v>
      </c>
      <c r="I865" s="4" t="s">
        <v>405</v>
      </c>
      <c r="J865" s="10">
        <v>73.031999999999996</v>
      </c>
      <c r="K865" s="10"/>
      <c r="L865" s="10">
        <f t="shared" si="166"/>
        <v>73.031999999999996</v>
      </c>
      <c r="M865" s="10">
        <f t="shared" si="167"/>
        <v>73.031999999999996</v>
      </c>
      <c r="N865" s="10">
        <f>52.76+20.272-1.17</f>
        <v>71.861999999999995</v>
      </c>
      <c r="O865" s="10"/>
      <c r="P865" s="10"/>
      <c r="Q865" s="28">
        <v>1.17</v>
      </c>
      <c r="R865" s="10"/>
      <c r="S865" s="10"/>
      <c r="T865" s="10"/>
      <c r="U865" s="10"/>
      <c r="V865" s="4" t="s">
        <v>841</v>
      </c>
      <c r="W865" s="135" t="s">
        <v>1494</v>
      </c>
      <c r="X865" s="8">
        <v>45285</v>
      </c>
      <c r="Y865" s="4"/>
      <c r="Z865" s="4"/>
      <c r="AA865" s="8"/>
      <c r="AB865" s="8"/>
      <c r="AC865" s="4"/>
      <c r="AD865" s="4"/>
    </row>
    <row r="866" spans="1:30" hidden="1">
      <c r="A866" s="4">
        <v>1229</v>
      </c>
      <c r="B866" s="8">
        <v>45265</v>
      </c>
      <c r="C866" s="4"/>
      <c r="D866" s="189" t="s">
        <v>42</v>
      </c>
      <c r="E866" s="8">
        <v>45298</v>
      </c>
      <c r="F866" s="4" t="s">
        <v>840</v>
      </c>
      <c r="G866" s="16" t="s">
        <v>1395</v>
      </c>
      <c r="H866" s="4" t="s">
        <v>52</v>
      </c>
      <c r="I866" s="4" t="s">
        <v>410</v>
      </c>
      <c r="J866" s="10">
        <v>11.510159999999999</v>
      </c>
      <c r="K866" s="10"/>
      <c r="L866" s="10">
        <f t="shared" si="166"/>
        <v>11.510159999999999</v>
      </c>
      <c r="M866" s="10">
        <f t="shared" si="167"/>
        <v>11.510159999999999</v>
      </c>
      <c r="N866" s="10">
        <v>11.510159999999999</v>
      </c>
      <c r="O866" s="10"/>
      <c r="P866" s="10"/>
      <c r="Q866" s="10"/>
      <c r="R866" s="10"/>
      <c r="S866" s="10"/>
      <c r="T866" s="10"/>
      <c r="U866" s="10"/>
      <c r="V866" s="4" t="s">
        <v>841</v>
      </c>
      <c r="W866" s="4"/>
      <c r="X866" s="8">
        <v>45282</v>
      </c>
      <c r="Y866" s="4"/>
      <c r="Z866" s="4"/>
      <c r="AA866" s="8"/>
      <c r="AB866" s="8"/>
      <c r="AC866" s="4"/>
      <c r="AD866" s="4"/>
    </row>
    <row r="867" spans="1:30" hidden="1">
      <c r="A867" s="4">
        <v>1229</v>
      </c>
      <c r="B867" s="8">
        <v>45265</v>
      </c>
      <c r="C867" s="4"/>
      <c r="D867" s="189" t="s">
        <v>42</v>
      </c>
      <c r="E867" s="8">
        <v>45298</v>
      </c>
      <c r="F867" s="4" t="s">
        <v>840</v>
      </c>
      <c r="G867" s="16" t="s">
        <v>1395</v>
      </c>
      <c r="H867" s="4" t="s">
        <v>52</v>
      </c>
      <c r="I867" s="4" t="s">
        <v>53</v>
      </c>
      <c r="J867" s="10">
        <v>7.4270900000000006</v>
      </c>
      <c r="K867" s="10"/>
      <c r="L867" s="10">
        <f t="shared" si="166"/>
        <v>7.4269999999999996</v>
      </c>
      <c r="M867" s="10">
        <f t="shared" si="167"/>
        <v>7.4269999999999996</v>
      </c>
      <c r="N867" s="10">
        <f>5.5+1.927</f>
        <v>7.4269999999999996</v>
      </c>
      <c r="O867" s="10"/>
      <c r="P867" s="10"/>
      <c r="Q867" s="10"/>
      <c r="R867" s="10"/>
      <c r="S867" s="10"/>
      <c r="T867" s="10"/>
      <c r="U867" s="10"/>
      <c r="V867" s="4" t="s">
        <v>841</v>
      </c>
      <c r="W867" s="4"/>
      <c r="X867" s="8">
        <v>45293</v>
      </c>
      <c r="Y867" s="4"/>
      <c r="Z867" s="4"/>
      <c r="AA867" s="8"/>
      <c r="AB867" s="8"/>
      <c r="AC867" s="4"/>
      <c r="AD867" s="4"/>
    </row>
    <row r="868" spans="1:30" hidden="1">
      <c r="A868" s="4">
        <v>1229</v>
      </c>
      <c r="B868" s="8">
        <v>45265</v>
      </c>
      <c r="C868" s="4"/>
      <c r="D868" s="189" t="s">
        <v>42</v>
      </c>
      <c r="E868" s="8">
        <v>45298</v>
      </c>
      <c r="F868" s="4" t="s">
        <v>840</v>
      </c>
      <c r="G868" s="16" t="s">
        <v>1395</v>
      </c>
      <c r="H868" s="4" t="s">
        <v>52</v>
      </c>
      <c r="I868" s="4" t="s">
        <v>435</v>
      </c>
      <c r="J868" s="10">
        <v>17.238451999999999</v>
      </c>
      <c r="K868" s="10">
        <f>7.108+4.355</f>
        <v>11.463000000000001</v>
      </c>
      <c r="L868" s="10">
        <f t="shared" si="166"/>
        <v>5.7754519999999987</v>
      </c>
      <c r="M868" s="10">
        <f t="shared" si="167"/>
        <v>2.2654519999999989</v>
      </c>
      <c r="N868" s="10"/>
      <c r="O868" s="10"/>
      <c r="P868" s="10">
        <f>17.238452-3.51-7.108-4.355</f>
        <v>2.2654519999999989</v>
      </c>
      <c r="Q868" s="10"/>
      <c r="R868" s="10"/>
      <c r="S868" s="10"/>
      <c r="T868" s="10"/>
      <c r="U868" s="10">
        <v>3.51</v>
      </c>
      <c r="V868" s="4" t="s">
        <v>841</v>
      </c>
      <c r="W868" s="147" t="s">
        <v>37</v>
      </c>
      <c r="X868" s="8">
        <v>45270</v>
      </c>
      <c r="Y868" s="4"/>
      <c r="Z868" s="4"/>
      <c r="AA868" s="8"/>
      <c r="AB868" s="8"/>
      <c r="AC868" s="4"/>
      <c r="AD868" s="4"/>
    </row>
    <row r="869" spans="1:30" hidden="1">
      <c r="A869" s="4">
        <v>1229</v>
      </c>
      <c r="B869" s="8">
        <v>45265</v>
      </c>
      <c r="C869" s="4"/>
      <c r="D869" s="189" t="s">
        <v>42</v>
      </c>
      <c r="E869" s="8">
        <v>45298</v>
      </c>
      <c r="F869" s="4" t="s">
        <v>840</v>
      </c>
      <c r="G869" s="16" t="s">
        <v>1395</v>
      </c>
      <c r="H869" s="4" t="s">
        <v>52</v>
      </c>
      <c r="I869" s="4" t="s">
        <v>474</v>
      </c>
      <c r="J869" s="10">
        <v>16.112338000000001</v>
      </c>
      <c r="K869" s="10"/>
      <c r="L869" s="10">
        <f t="shared" si="166"/>
        <v>16.112338000000001</v>
      </c>
      <c r="M869" s="10">
        <f t="shared" si="167"/>
        <v>0</v>
      </c>
      <c r="N869" s="10"/>
      <c r="O869" s="10"/>
      <c r="P869" s="10"/>
      <c r="Q869" s="10"/>
      <c r="R869" s="10"/>
      <c r="S869" s="10"/>
      <c r="T869" s="10"/>
      <c r="U869" s="10">
        <v>16.112338000000001</v>
      </c>
      <c r="V869" s="4" t="s">
        <v>841</v>
      </c>
      <c r="W869" s="4"/>
      <c r="X869" s="8"/>
      <c r="Y869" s="4"/>
      <c r="Z869" s="4"/>
      <c r="AA869" s="8"/>
      <c r="AB869" s="8"/>
      <c r="AC869" s="4"/>
      <c r="AD869" s="4"/>
    </row>
    <row r="870" spans="1:30" hidden="1">
      <c r="A870" s="4">
        <v>1229</v>
      </c>
      <c r="B870" s="8">
        <v>45265</v>
      </c>
      <c r="C870" s="4"/>
      <c r="D870" s="189" t="s">
        <v>42</v>
      </c>
      <c r="E870" s="8">
        <v>45298</v>
      </c>
      <c r="F870" s="4" t="s">
        <v>840</v>
      </c>
      <c r="G870" s="16" t="s">
        <v>1395</v>
      </c>
      <c r="H870" s="4" t="s">
        <v>52</v>
      </c>
      <c r="I870" s="4" t="s">
        <v>434</v>
      </c>
      <c r="J870" s="10">
        <v>7.7280000000000001E-2</v>
      </c>
      <c r="K870" s="10"/>
      <c r="L870" s="10">
        <f t="shared" si="166"/>
        <v>7.7280000000000001E-2</v>
      </c>
      <c r="M870" s="10">
        <f t="shared" si="167"/>
        <v>0</v>
      </c>
      <c r="N870" s="10"/>
      <c r="O870" s="10"/>
      <c r="P870" s="10"/>
      <c r="Q870" s="10"/>
      <c r="R870" s="10"/>
      <c r="S870" s="10"/>
      <c r="T870" s="10"/>
      <c r="U870" s="10">
        <v>7.7280000000000001E-2</v>
      </c>
      <c r="V870" s="4" t="s">
        <v>841</v>
      </c>
      <c r="W870" s="154"/>
      <c r="X870" s="8"/>
      <c r="Y870" s="4"/>
      <c r="Z870" s="4"/>
      <c r="AA870" s="8"/>
      <c r="AB870" s="8"/>
      <c r="AC870" s="4"/>
      <c r="AD870" s="4"/>
    </row>
    <row r="871" spans="1:30" hidden="1">
      <c r="A871" s="4">
        <v>1229</v>
      </c>
      <c r="B871" s="8">
        <v>45265</v>
      </c>
      <c r="C871" s="4"/>
      <c r="D871" s="189" t="s">
        <v>42</v>
      </c>
      <c r="E871" s="8">
        <v>45298</v>
      </c>
      <c r="F871" s="4" t="s">
        <v>840</v>
      </c>
      <c r="G871" s="16" t="s">
        <v>1395</v>
      </c>
      <c r="H871" s="4" t="s">
        <v>52</v>
      </c>
      <c r="I871" s="4" t="s">
        <v>577</v>
      </c>
      <c r="J871" s="10">
        <v>34.713388000000002</v>
      </c>
      <c r="K871" s="10"/>
      <c r="L871" s="10">
        <f t="shared" si="166"/>
        <v>34.713388000000002</v>
      </c>
      <c r="M871" s="10">
        <f t="shared" si="167"/>
        <v>34.713388000000002</v>
      </c>
      <c r="N871" s="10">
        <f>34.713388-1.33</f>
        <v>33.383388000000004</v>
      </c>
      <c r="O871" s="10"/>
      <c r="P871" s="10"/>
      <c r="Q871" s="77">
        <v>1.33</v>
      </c>
      <c r="R871" s="10"/>
      <c r="S871" s="10"/>
      <c r="T871" s="10"/>
      <c r="U871" s="10"/>
      <c r="V871" s="4" t="s">
        <v>841</v>
      </c>
      <c r="W871" s="4"/>
      <c r="X871" s="8">
        <v>45286</v>
      </c>
      <c r="Y871" s="4"/>
      <c r="Z871" s="4"/>
      <c r="AA871" s="8"/>
      <c r="AB871" s="8"/>
      <c r="AC871" s="4"/>
      <c r="AD871" s="4"/>
    </row>
    <row r="872" spans="1:30" hidden="1">
      <c r="A872" s="4">
        <v>1229</v>
      </c>
      <c r="B872" s="8">
        <v>45265</v>
      </c>
      <c r="C872" s="4"/>
      <c r="D872" s="189" t="s">
        <v>42</v>
      </c>
      <c r="E872" s="8">
        <v>45298</v>
      </c>
      <c r="F872" s="4" t="s">
        <v>840</v>
      </c>
      <c r="G872" s="16" t="s">
        <v>1395</v>
      </c>
      <c r="H872" s="4" t="s">
        <v>52</v>
      </c>
      <c r="I872" s="4" t="s">
        <v>89</v>
      </c>
      <c r="J872" s="10">
        <v>59.404799999999994</v>
      </c>
      <c r="K872" s="10"/>
      <c r="L872" s="10">
        <f t="shared" si="166"/>
        <v>59.405000000000001</v>
      </c>
      <c r="M872" s="10">
        <f t="shared" si="167"/>
        <v>59.405000000000001</v>
      </c>
      <c r="N872" s="10">
        <f>50+9.405-3.586</f>
        <v>55.819000000000003</v>
      </c>
      <c r="O872" s="10"/>
      <c r="P872" s="10"/>
      <c r="Q872" s="77">
        <v>3.5859999999999999</v>
      </c>
      <c r="R872" s="10"/>
      <c r="S872" s="10"/>
      <c r="T872" s="10"/>
      <c r="U872" s="10"/>
      <c r="V872" s="4" t="s">
        <v>841</v>
      </c>
      <c r="W872" s="156" t="s">
        <v>1506</v>
      </c>
      <c r="X872" s="8">
        <v>45286</v>
      </c>
      <c r="Y872" s="4"/>
      <c r="Z872" s="4"/>
      <c r="AA872" s="8"/>
      <c r="AB872" s="8"/>
      <c r="AC872" s="4"/>
      <c r="AD872" s="4"/>
    </row>
    <row r="873" spans="1:30" hidden="1">
      <c r="A873" s="4">
        <v>1230</v>
      </c>
      <c r="B873" s="8">
        <v>45265</v>
      </c>
      <c r="C873" s="4"/>
      <c r="D873" s="82" t="s">
        <v>42</v>
      </c>
      <c r="E873" s="8">
        <v>45298</v>
      </c>
      <c r="F873" s="4" t="s">
        <v>43</v>
      </c>
      <c r="G873" s="16" t="s">
        <v>51</v>
      </c>
      <c r="H873" s="4" t="s">
        <v>52</v>
      </c>
      <c r="I873" s="4" t="s">
        <v>470</v>
      </c>
      <c r="J873" s="10">
        <v>0.58410000000000006</v>
      </c>
      <c r="K873" s="10">
        <v>0.61499999999999999</v>
      </c>
      <c r="L873" s="10">
        <f t="shared" ref="L873:L884" si="168">M873+U873</f>
        <v>0</v>
      </c>
      <c r="M873" s="10">
        <f t="shared" ref="M873:M884" si="169">SUM(N873:T873)</f>
        <v>0</v>
      </c>
      <c r="N873" s="10"/>
      <c r="O873" s="10"/>
      <c r="P873" s="10">
        <v>0</v>
      </c>
      <c r="Q873" s="10"/>
      <c r="R873" s="10"/>
      <c r="S873" s="10"/>
      <c r="T873" s="10"/>
      <c r="U873" s="10"/>
      <c r="V873" s="4" t="s">
        <v>826</v>
      </c>
      <c r="W873" s="4" t="s">
        <v>521</v>
      </c>
      <c r="X873" s="8"/>
      <c r="Y873" s="4"/>
      <c r="Z873" s="4"/>
      <c r="AA873" s="8">
        <v>45291</v>
      </c>
      <c r="AB873" s="8"/>
      <c r="AC873" s="4"/>
      <c r="AD873" s="4"/>
    </row>
    <row r="874" spans="1:30">
      <c r="A874" s="4">
        <v>1230</v>
      </c>
      <c r="B874" s="8">
        <v>45265</v>
      </c>
      <c r="C874" s="4"/>
      <c r="D874" s="82" t="s">
        <v>42</v>
      </c>
      <c r="E874" s="8">
        <v>45298</v>
      </c>
      <c r="F874" s="4" t="s">
        <v>43</v>
      </c>
      <c r="G874" s="16" t="s">
        <v>51</v>
      </c>
      <c r="H874" s="4" t="s">
        <v>52</v>
      </c>
      <c r="I874" s="4" t="s">
        <v>432</v>
      </c>
      <c r="J874" s="10">
        <v>3.9449999999999998</v>
      </c>
      <c r="K874" s="10">
        <v>2.13</v>
      </c>
      <c r="L874" s="10">
        <f t="shared" si="168"/>
        <v>1.8149999999999999</v>
      </c>
      <c r="M874" s="10">
        <f t="shared" si="169"/>
        <v>1.8149999999999999</v>
      </c>
      <c r="N874" s="10"/>
      <c r="O874" s="10"/>
      <c r="P874" s="64"/>
      <c r="Q874" s="42">
        <f>3.945-2.13</f>
        <v>1.8149999999999999</v>
      </c>
      <c r="R874" s="10"/>
      <c r="S874" s="10"/>
      <c r="T874" s="10"/>
      <c r="U874" s="10"/>
      <c r="V874" s="4" t="s">
        <v>826</v>
      </c>
      <c r="W874" s="4"/>
      <c r="X874" s="8">
        <v>45269</v>
      </c>
      <c r="Y874" s="4"/>
      <c r="Z874" s="4"/>
      <c r="AA874" s="8"/>
      <c r="AB874" s="8"/>
      <c r="AC874" s="4"/>
      <c r="AD874" s="4"/>
    </row>
    <row r="875" spans="1:30" hidden="1">
      <c r="A875" s="4">
        <v>1230</v>
      </c>
      <c r="B875" s="8">
        <v>45265</v>
      </c>
      <c r="C875" s="4"/>
      <c r="D875" s="82" t="s">
        <v>42</v>
      </c>
      <c r="E875" s="8">
        <v>45298</v>
      </c>
      <c r="F875" s="4" t="s">
        <v>43</v>
      </c>
      <c r="G875" s="16" t="s">
        <v>51</v>
      </c>
      <c r="H875" s="4" t="s">
        <v>52</v>
      </c>
      <c r="I875" s="4" t="s">
        <v>671</v>
      </c>
      <c r="J875" s="10">
        <v>1.044</v>
      </c>
      <c r="K875" s="10">
        <v>1.044</v>
      </c>
      <c r="L875" s="10">
        <f t="shared" si="168"/>
        <v>0</v>
      </c>
      <c r="M875" s="10">
        <f t="shared" si="169"/>
        <v>0</v>
      </c>
      <c r="N875" s="10"/>
      <c r="O875" s="10"/>
      <c r="P875" s="42">
        <v>0</v>
      </c>
      <c r="Q875" s="10"/>
      <c r="R875" s="10"/>
      <c r="S875" s="10"/>
      <c r="T875" s="10"/>
      <c r="U875" s="10"/>
      <c r="V875" s="4" t="s">
        <v>826</v>
      </c>
      <c r="W875" s="4"/>
      <c r="X875" s="8"/>
      <c r="Y875" s="4"/>
      <c r="Z875" s="4"/>
      <c r="AA875" s="8"/>
      <c r="AB875" s="8"/>
      <c r="AC875" s="4"/>
      <c r="AD875" s="4"/>
    </row>
    <row r="876" spans="1:30" hidden="1">
      <c r="A876" s="4">
        <v>1230</v>
      </c>
      <c r="B876" s="8">
        <v>45265</v>
      </c>
      <c r="C876" s="4"/>
      <c r="D876" s="82" t="s">
        <v>42</v>
      </c>
      <c r="E876" s="8">
        <v>45298</v>
      </c>
      <c r="F876" s="4" t="s">
        <v>43</v>
      </c>
      <c r="G876" s="16" t="s">
        <v>51</v>
      </c>
      <c r="H876" s="4" t="s">
        <v>52</v>
      </c>
      <c r="I876" s="4" t="s">
        <v>729</v>
      </c>
      <c r="J876" s="10">
        <v>15.228000000000002</v>
      </c>
      <c r="K876" s="10">
        <f>8.666+6.451+0.347</f>
        <v>15.464</v>
      </c>
      <c r="L876" s="10">
        <f t="shared" si="168"/>
        <v>0</v>
      </c>
      <c r="M876" s="10">
        <f t="shared" si="169"/>
        <v>0</v>
      </c>
      <c r="N876" s="10"/>
      <c r="O876" s="10"/>
      <c r="P876" s="42">
        <v>0</v>
      </c>
      <c r="Q876" s="10"/>
      <c r="R876" s="10"/>
      <c r="S876" s="10"/>
      <c r="T876" s="10"/>
      <c r="U876" s="10"/>
      <c r="V876" s="4" t="s">
        <v>826</v>
      </c>
      <c r="W876" s="4"/>
      <c r="X876" s="8">
        <v>45268</v>
      </c>
      <c r="Y876" s="4"/>
      <c r="Z876" s="4"/>
      <c r="AA876" s="8"/>
      <c r="AB876" s="8"/>
      <c r="AC876" s="4"/>
      <c r="AD876" s="4"/>
    </row>
    <row r="877" spans="1:30" hidden="1">
      <c r="A877" s="4">
        <v>1231</v>
      </c>
      <c r="B877" s="8">
        <v>45265</v>
      </c>
      <c r="C877" s="4"/>
      <c r="D877" s="82" t="s">
        <v>42</v>
      </c>
      <c r="E877" s="8">
        <v>45298</v>
      </c>
      <c r="F877" s="4" t="s">
        <v>43</v>
      </c>
      <c r="G877" s="16" t="s">
        <v>1395</v>
      </c>
      <c r="H877" s="4" t="s">
        <v>52</v>
      </c>
      <c r="I877" s="4" t="s">
        <v>432</v>
      </c>
      <c r="J877" s="10">
        <v>0.39400000000000002</v>
      </c>
      <c r="K877" s="10">
        <v>0.39400000000000002</v>
      </c>
      <c r="L877" s="10">
        <f t="shared" si="168"/>
        <v>0</v>
      </c>
      <c r="M877" s="10">
        <f t="shared" si="169"/>
        <v>0</v>
      </c>
      <c r="N877" s="10"/>
      <c r="O877" s="10"/>
      <c r="P877" s="42">
        <v>0</v>
      </c>
      <c r="Q877" s="10"/>
      <c r="R877" s="10"/>
      <c r="S877" s="10"/>
      <c r="T877" s="10"/>
      <c r="U877" s="10"/>
      <c r="V877" s="4" t="s">
        <v>826</v>
      </c>
      <c r="W877" s="4"/>
      <c r="X877" s="8">
        <v>45269</v>
      </c>
      <c r="Y877" s="4"/>
      <c r="Z877" s="4"/>
      <c r="AA877" s="8"/>
      <c r="AB877" s="8"/>
      <c r="AC877" s="4"/>
      <c r="AD877" s="4"/>
    </row>
    <row r="878" spans="1:30" hidden="1">
      <c r="A878" s="4">
        <v>1231</v>
      </c>
      <c r="B878" s="8">
        <v>45265</v>
      </c>
      <c r="C878" s="4"/>
      <c r="D878" s="82" t="s">
        <v>42</v>
      </c>
      <c r="E878" s="8">
        <v>45298</v>
      </c>
      <c r="F878" s="4" t="s">
        <v>43</v>
      </c>
      <c r="G878" s="16" t="s">
        <v>1395</v>
      </c>
      <c r="H878" s="4" t="s">
        <v>52</v>
      </c>
      <c r="I878" s="4" t="s">
        <v>671</v>
      </c>
      <c r="J878" s="10">
        <v>64.790999999999997</v>
      </c>
      <c r="K878" s="10">
        <f>23.679+32.247+5.423+1.386+2.057</f>
        <v>64.792000000000002</v>
      </c>
      <c r="L878" s="10">
        <f t="shared" si="168"/>
        <v>0</v>
      </c>
      <c r="M878" s="10">
        <f t="shared" si="169"/>
        <v>0</v>
      </c>
      <c r="N878" s="10"/>
      <c r="O878" s="10"/>
      <c r="P878" s="64">
        <v>0</v>
      </c>
      <c r="Q878" s="10"/>
      <c r="R878" s="10"/>
      <c r="S878" s="10"/>
      <c r="T878" s="10"/>
      <c r="U878" s="10"/>
      <c r="V878" s="4" t="s">
        <v>826</v>
      </c>
      <c r="W878" s="4"/>
      <c r="X878" s="8"/>
      <c r="Y878" s="4"/>
      <c r="Z878" s="4"/>
      <c r="AA878" s="8">
        <v>45291</v>
      </c>
      <c r="AB878" s="8"/>
      <c r="AC878" s="4"/>
      <c r="AD878" s="4"/>
    </row>
    <row r="879" spans="1:30" hidden="1">
      <c r="A879" s="4">
        <v>1231</v>
      </c>
      <c r="B879" s="8">
        <v>45265</v>
      </c>
      <c r="C879" s="4"/>
      <c r="D879" s="82" t="s">
        <v>42</v>
      </c>
      <c r="E879" s="8">
        <v>45298</v>
      </c>
      <c r="F879" s="4" t="s">
        <v>43</v>
      </c>
      <c r="G879" s="16" t="s">
        <v>1395</v>
      </c>
      <c r="H879" s="4" t="s">
        <v>52</v>
      </c>
      <c r="I879" s="4" t="s">
        <v>125</v>
      </c>
      <c r="J879" s="10">
        <v>2.3813999999999997</v>
      </c>
      <c r="K879" s="10">
        <v>2.4079999999999999</v>
      </c>
      <c r="L879" s="10">
        <f t="shared" si="168"/>
        <v>0</v>
      </c>
      <c r="M879" s="10">
        <f t="shared" si="169"/>
        <v>0</v>
      </c>
      <c r="N879" s="10"/>
      <c r="O879" s="10"/>
      <c r="P879" s="10">
        <v>0</v>
      </c>
      <c r="Q879" s="10"/>
      <c r="R879" s="10"/>
      <c r="S879" s="10"/>
      <c r="T879" s="10"/>
      <c r="U879" s="10"/>
      <c r="V879" s="4" t="s">
        <v>826</v>
      </c>
      <c r="W879" s="87" t="s">
        <v>37</v>
      </c>
      <c r="X879" s="8"/>
      <c r="Y879" s="4"/>
      <c r="Z879" s="4"/>
      <c r="AA879" s="8"/>
      <c r="AB879" s="8"/>
      <c r="AC879" s="4"/>
      <c r="AD879" s="4"/>
    </row>
    <row r="880" spans="1:30" hidden="1">
      <c r="A880" s="4">
        <v>1232</v>
      </c>
      <c r="B880" s="8">
        <v>45265</v>
      </c>
      <c r="C880" s="4"/>
      <c r="D880" s="82" t="s">
        <v>42</v>
      </c>
      <c r="E880" s="8">
        <v>45298</v>
      </c>
      <c r="F880" s="4" t="s">
        <v>43</v>
      </c>
      <c r="G880" s="16" t="s">
        <v>1395</v>
      </c>
      <c r="H880" s="4" t="s">
        <v>52</v>
      </c>
      <c r="I880" s="4" t="s">
        <v>470</v>
      </c>
      <c r="J880" s="10">
        <v>0.19470000000000001</v>
      </c>
      <c r="K880" s="10">
        <v>0.20499999999999999</v>
      </c>
      <c r="L880" s="10">
        <f t="shared" si="168"/>
        <v>0</v>
      </c>
      <c r="M880" s="10">
        <f t="shared" si="169"/>
        <v>0</v>
      </c>
      <c r="N880" s="10"/>
      <c r="O880" s="10"/>
      <c r="P880" s="10">
        <v>0</v>
      </c>
      <c r="Q880" s="10"/>
      <c r="R880" s="10"/>
      <c r="S880" s="10"/>
      <c r="T880" s="10"/>
      <c r="U880" s="10"/>
      <c r="V880" s="4" t="s">
        <v>826</v>
      </c>
      <c r="W880" s="4" t="s">
        <v>521</v>
      </c>
      <c r="X880" s="8"/>
      <c r="Y880" s="4"/>
      <c r="Z880" s="4"/>
      <c r="AA880" s="8">
        <v>45291</v>
      </c>
      <c r="AB880" s="8"/>
      <c r="AC880" s="4"/>
      <c r="AD880" s="4"/>
    </row>
    <row r="881" spans="1:30" hidden="1">
      <c r="A881" s="4">
        <v>1232</v>
      </c>
      <c r="B881" s="8">
        <v>45265</v>
      </c>
      <c r="C881" s="4"/>
      <c r="D881" s="82" t="s">
        <v>42</v>
      </c>
      <c r="E881" s="8">
        <v>45298</v>
      </c>
      <c r="F881" s="4" t="s">
        <v>43</v>
      </c>
      <c r="G881" s="16" t="s">
        <v>1395</v>
      </c>
      <c r="H881" s="4" t="s">
        <v>52</v>
      </c>
      <c r="I881" s="4" t="s">
        <v>432</v>
      </c>
      <c r="J881" s="10">
        <v>0.16700000000000001</v>
      </c>
      <c r="K881" s="10">
        <v>0.184</v>
      </c>
      <c r="L881" s="10">
        <f t="shared" si="168"/>
        <v>0</v>
      </c>
      <c r="M881" s="10">
        <f t="shared" si="169"/>
        <v>0</v>
      </c>
      <c r="N881" s="10"/>
      <c r="O881" s="10"/>
      <c r="P881" s="42">
        <v>0</v>
      </c>
      <c r="Q881" s="10"/>
      <c r="R881" s="10"/>
      <c r="S881" s="10"/>
      <c r="T881" s="10"/>
      <c r="U881" s="10"/>
      <c r="V881" s="4" t="s">
        <v>826</v>
      </c>
      <c r="W881" s="4"/>
      <c r="X881" s="8">
        <v>45269</v>
      </c>
      <c r="Y881" s="4"/>
      <c r="Z881" s="4"/>
      <c r="AA881" s="8"/>
      <c r="AB881" s="8"/>
      <c r="AC881" s="4"/>
      <c r="AD881" s="4"/>
    </row>
    <row r="882" spans="1:30" hidden="1">
      <c r="A882" s="4">
        <v>1232</v>
      </c>
      <c r="B882" s="8">
        <v>45265</v>
      </c>
      <c r="C882" s="4"/>
      <c r="D882" s="82" t="s">
        <v>42</v>
      </c>
      <c r="E882" s="8">
        <v>45298</v>
      </c>
      <c r="F882" s="4" t="s">
        <v>43</v>
      </c>
      <c r="G882" s="16" t="s">
        <v>1395</v>
      </c>
      <c r="H882" s="4" t="s">
        <v>52</v>
      </c>
      <c r="I882" s="4" t="s">
        <v>671</v>
      </c>
      <c r="J882" s="10">
        <v>29.558</v>
      </c>
      <c r="K882" s="10">
        <f>16.904+9.378+2.385+0.891</f>
        <v>29.558</v>
      </c>
      <c r="L882" s="10">
        <f t="shared" si="168"/>
        <v>0</v>
      </c>
      <c r="M882" s="10">
        <f t="shared" si="169"/>
        <v>0</v>
      </c>
      <c r="N882" s="10"/>
      <c r="O882" s="10"/>
      <c r="P882" s="64">
        <v>0</v>
      </c>
      <c r="Q882" s="10"/>
      <c r="R882" s="10"/>
      <c r="S882" s="10"/>
      <c r="T882" s="10"/>
      <c r="U882" s="10"/>
      <c r="V882" s="4" t="s">
        <v>826</v>
      </c>
      <c r="W882" s="4"/>
      <c r="X882" s="8">
        <v>45274</v>
      </c>
      <c r="Y882" s="4"/>
      <c r="Z882" s="4"/>
      <c r="AA882" s="8">
        <v>45291</v>
      </c>
      <c r="AB882" s="8"/>
      <c r="AC882" s="4"/>
      <c r="AD882" s="4"/>
    </row>
    <row r="883" spans="1:30" hidden="1">
      <c r="A883" s="4">
        <v>1232</v>
      </c>
      <c r="B883" s="8">
        <v>45265</v>
      </c>
      <c r="C883" s="4"/>
      <c r="D883" s="82" t="s">
        <v>42</v>
      </c>
      <c r="E883" s="8">
        <v>45298</v>
      </c>
      <c r="F883" s="4" t="s">
        <v>43</v>
      </c>
      <c r="G883" s="16" t="s">
        <v>1395</v>
      </c>
      <c r="H883" s="4" t="s">
        <v>52</v>
      </c>
      <c r="I883" s="4" t="s">
        <v>48</v>
      </c>
      <c r="J883" s="10">
        <v>1</v>
      </c>
      <c r="K883" s="10">
        <v>1.1499999999999999</v>
      </c>
      <c r="L883" s="10">
        <f t="shared" ref="L883" si="170">M883+U883</f>
        <v>0</v>
      </c>
      <c r="M883" s="10">
        <f t="shared" ref="M883" si="171">SUM(N883:T883)</f>
        <v>0</v>
      </c>
      <c r="N883" s="10"/>
      <c r="O883" s="10"/>
      <c r="P883" s="10">
        <v>0</v>
      </c>
      <c r="Q883" s="10"/>
      <c r="R883" s="10"/>
      <c r="S883" s="10"/>
      <c r="T883" s="10"/>
      <c r="U883" s="10"/>
      <c r="V883" s="4" t="s">
        <v>826</v>
      </c>
      <c r="W883" s="4" t="s">
        <v>521</v>
      </c>
      <c r="X883" s="8"/>
      <c r="Y883" s="4"/>
      <c r="Z883" s="4"/>
      <c r="AA883" s="8"/>
      <c r="AB883" s="8"/>
      <c r="AC883" s="4"/>
      <c r="AD883" s="4"/>
    </row>
    <row r="884" spans="1:30" hidden="1">
      <c r="A884" s="4">
        <v>1232</v>
      </c>
      <c r="B884" s="8">
        <v>45265</v>
      </c>
      <c r="C884" s="4"/>
      <c r="D884" s="82" t="s">
        <v>42</v>
      </c>
      <c r="E884" s="8">
        <v>45298</v>
      </c>
      <c r="F884" s="4" t="s">
        <v>43</v>
      </c>
      <c r="G884" s="16" t="s">
        <v>1395</v>
      </c>
      <c r="H884" s="4" t="s">
        <v>52</v>
      </c>
      <c r="I884" s="4" t="s">
        <v>125</v>
      </c>
      <c r="J884" s="10">
        <v>1.8144</v>
      </c>
      <c r="K884" s="10">
        <v>1.835</v>
      </c>
      <c r="L884" s="10">
        <f t="shared" si="168"/>
        <v>0</v>
      </c>
      <c r="M884" s="10">
        <f t="shared" si="169"/>
        <v>0</v>
      </c>
      <c r="N884" s="10"/>
      <c r="O884" s="10"/>
      <c r="P884" s="10">
        <v>0</v>
      </c>
      <c r="Q884" s="10"/>
      <c r="R884" s="10"/>
      <c r="S884" s="10"/>
      <c r="T884" s="10"/>
      <c r="U884" s="10"/>
      <c r="V884" s="4" t="s">
        <v>826</v>
      </c>
      <c r="W884" s="87" t="s">
        <v>37</v>
      </c>
      <c r="X884" s="8"/>
      <c r="Y884" s="4"/>
      <c r="Z884" s="4"/>
      <c r="AA884" s="8"/>
      <c r="AB884" s="8"/>
      <c r="AC884" s="4"/>
      <c r="AD884" s="4"/>
    </row>
    <row r="885" spans="1:30">
      <c r="A885" s="4">
        <v>1335</v>
      </c>
      <c r="B885" s="8">
        <v>45275</v>
      </c>
      <c r="C885" s="4"/>
      <c r="D885" s="4"/>
      <c r="E885" s="8">
        <v>45298</v>
      </c>
      <c r="F885" s="4" t="s">
        <v>43</v>
      </c>
      <c r="G885" s="16" t="s">
        <v>1395</v>
      </c>
      <c r="H885" s="4" t="s">
        <v>52</v>
      </c>
      <c r="I885" s="4" t="s">
        <v>432</v>
      </c>
      <c r="J885" s="10">
        <v>4.1479999999999996E-2</v>
      </c>
      <c r="K885" s="10"/>
      <c r="L885" s="10">
        <f t="shared" ref="L885:L895" si="172">M885+U885</f>
        <v>4.1479999999999996E-2</v>
      </c>
      <c r="M885" s="10">
        <f t="shared" ref="M885:M895" si="173">SUM(N885:T885)</f>
        <v>0</v>
      </c>
      <c r="N885" s="10"/>
      <c r="O885" s="10"/>
      <c r="P885" s="10"/>
      <c r="Q885" s="10"/>
      <c r="R885" s="10"/>
      <c r="S885" s="10"/>
      <c r="T885" s="10"/>
      <c r="U885" s="10">
        <v>4.1479999999999996E-2</v>
      </c>
      <c r="V885" s="4" t="s">
        <v>826</v>
      </c>
      <c r="W885" s="4" t="s">
        <v>1430</v>
      </c>
      <c r="X885" s="8"/>
      <c r="Y885" s="4"/>
      <c r="Z885" s="4"/>
      <c r="AA885" s="8"/>
      <c r="AB885" s="8"/>
      <c r="AC885" s="4"/>
      <c r="AD885" s="4"/>
    </row>
    <row r="886" spans="1:30">
      <c r="A886" s="4">
        <v>1335</v>
      </c>
      <c r="B886" s="8">
        <v>45275</v>
      </c>
      <c r="C886" s="4"/>
      <c r="D886" s="4"/>
      <c r="E886" s="8">
        <v>45298</v>
      </c>
      <c r="F886" s="4" t="s">
        <v>43</v>
      </c>
      <c r="G886" s="16" t="s">
        <v>1395</v>
      </c>
      <c r="H886" s="4" t="s">
        <v>52</v>
      </c>
      <c r="I886" s="4" t="s">
        <v>671</v>
      </c>
      <c r="J886" s="10">
        <v>58.216999999999999</v>
      </c>
      <c r="K886" s="10"/>
      <c r="L886" s="10">
        <f t="shared" si="172"/>
        <v>58.216999999999999</v>
      </c>
      <c r="M886" s="10">
        <f t="shared" si="173"/>
        <v>0</v>
      </c>
      <c r="N886" s="10"/>
      <c r="O886" s="10"/>
      <c r="P886" s="10"/>
      <c r="Q886" s="10"/>
      <c r="R886" s="10"/>
      <c r="S886" s="10"/>
      <c r="T886" s="10"/>
      <c r="U886" s="10">
        <v>58.216999999999999</v>
      </c>
      <c r="V886" s="4" t="s">
        <v>826</v>
      </c>
      <c r="W886" s="4"/>
      <c r="X886" s="8"/>
      <c r="Y886" s="4"/>
      <c r="Z886" s="4"/>
      <c r="AA886" s="8"/>
      <c r="AB886" s="8"/>
      <c r="AC886" s="4"/>
      <c r="AD886" s="4"/>
    </row>
    <row r="887" spans="1:30">
      <c r="A887" s="4">
        <v>1335</v>
      </c>
      <c r="B887" s="8">
        <v>45275</v>
      </c>
      <c r="C887" s="4"/>
      <c r="D887" s="4"/>
      <c r="E887" s="8">
        <v>45298</v>
      </c>
      <c r="F887" s="4" t="s">
        <v>43</v>
      </c>
      <c r="G887" s="16" t="s">
        <v>1395</v>
      </c>
      <c r="H887" s="4" t="s">
        <v>52</v>
      </c>
      <c r="I887" s="4" t="s">
        <v>729</v>
      </c>
      <c r="J887" s="10">
        <v>3.4367999999999999</v>
      </c>
      <c r="K887" s="10"/>
      <c r="L887" s="10">
        <f t="shared" si="172"/>
        <v>3.4367999999999999</v>
      </c>
      <c r="M887" s="10">
        <f t="shared" si="173"/>
        <v>0</v>
      </c>
      <c r="N887" s="10"/>
      <c r="O887" s="10"/>
      <c r="P887" s="10"/>
      <c r="Q887" s="10"/>
      <c r="R887" s="10"/>
      <c r="S887" s="10"/>
      <c r="T887" s="10"/>
      <c r="U887" s="10">
        <v>3.4367999999999999</v>
      </c>
      <c r="V887" s="4" t="s">
        <v>826</v>
      </c>
      <c r="W887" s="4"/>
      <c r="X887" s="8"/>
      <c r="Y887" s="4"/>
      <c r="Z887" s="4"/>
      <c r="AA887" s="8"/>
      <c r="AB887" s="8"/>
      <c r="AC887" s="4"/>
      <c r="AD887" s="4"/>
    </row>
    <row r="888" spans="1:30">
      <c r="A888" s="4">
        <v>1335</v>
      </c>
      <c r="B888" s="8">
        <v>45275</v>
      </c>
      <c r="C888" s="4"/>
      <c r="D888" s="4"/>
      <c r="E888" s="8">
        <v>45298</v>
      </c>
      <c r="F888" s="4" t="s">
        <v>43</v>
      </c>
      <c r="G888" s="16" t="s">
        <v>1395</v>
      </c>
      <c r="H888" s="4" t="s">
        <v>52</v>
      </c>
      <c r="I888" s="4" t="s">
        <v>89</v>
      </c>
      <c r="J888" s="10">
        <v>0.39359999999999995</v>
      </c>
      <c r="K888" s="10"/>
      <c r="L888" s="10">
        <f t="shared" si="172"/>
        <v>0.39359999999999995</v>
      </c>
      <c r="M888" s="10">
        <f t="shared" si="173"/>
        <v>0</v>
      </c>
      <c r="N888" s="10"/>
      <c r="O888" s="10"/>
      <c r="P888" s="10"/>
      <c r="Q888" s="10"/>
      <c r="R888" s="10"/>
      <c r="S888" s="10"/>
      <c r="T888" s="10"/>
      <c r="U888" s="10">
        <v>0.39359999999999995</v>
      </c>
      <c r="V888" s="4" t="s">
        <v>826</v>
      </c>
      <c r="W888" s="4" t="s">
        <v>1431</v>
      </c>
      <c r="X888" s="8"/>
      <c r="Y888" s="4"/>
      <c r="Z888" s="4"/>
      <c r="AA888" s="8"/>
      <c r="AB888" s="8"/>
      <c r="AC888" s="4"/>
      <c r="AD888" s="4"/>
    </row>
    <row r="889" spans="1:30">
      <c r="A889" s="4">
        <v>1335</v>
      </c>
      <c r="B889" s="8">
        <v>45275</v>
      </c>
      <c r="C889" s="4"/>
      <c r="D889" s="4"/>
      <c r="E889" s="8">
        <v>45298</v>
      </c>
      <c r="F889" s="4" t="s">
        <v>43</v>
      </c>
      <c r="G889" s="16" t="s">
        <v>1395</v>
      </c>
      <c r="H889" s="4" t="s">
        <v>52</v>
      </c>
      <c r="I889" s="4" t="s">
        <v>125</v>
      </c>
      <c r="J889" s="10">
        <v>2.3814000000000002</v>
      </c>
      <c r="K889" s="10"/>
      <c r="L889" s="10">
        <f t="shared" si="172"/>
        <v>2.3814000000000002</v>
      </c>
      <c r="M889" s="10">
        <f t="shared" si="173"/>
        <v>2.3814000000000002</v>
      </c>
      <c r="N889" s="10"/>
      <c r="O889" s="10">
        <v>2.3814000000000002</v>
      </c>
      <c r="P889" s="10"/>
      <c r="Q889" s="10"/>
      <c r="R889" s="10"/>
      <c r="S889" s="10"/>
      <c r="T889" s="10"/>
      <c r="U889" s="10"/>
      <c r="V889" s="4" t="s">
        <v>826</v>
      </c>
      <c r="W889" s="4"/>
      <c r="X889" s="8"/>
      <c r="Y889" s="4"/>
      <c r="Z889" s="4"/>
      <c r="AA889" s="8"/>
      <c r="AB889" s="8"/>
      <c r="AC889" s="4"/>
      <c r="AD889" s="4"/>
    </row>
    <row r="890" spans="1:30">
      <c r="A890" s="4">
        <v>1336</v>
      </c>
      <c r="B890" s="8">
        <v>45275</v>
      </c>
      <c r="C890" s="4"/>
      <c r="D890" s="4"/>
      <c r="E890" s="8">
        <v>45298</v>
      </c>
      <c r="F890" s="4" t="s">
        <v>43</v>
      </c>
      <c r="G890" s="16" t="s">
        <v>1395</v>
      </c>
      <c r="H890" s="4" t="s">
        <v>52</v>
      </c>
      <c r="I890" s="4" t="s">
        <v>432</v>
      </c>
      <c r="J890" s="10">
        <v>8.2959999999999992E-2</v>
      </c>
      <c r="K890" s="10"/>
      <c r="L890" s="10">
        <f t="shared" si="172"/>
        <v>8.2959999999999992E-2</v>
      </c>
      <c r="M890" s="10">
        <f t="shared" si="173"/>
        <v>0</v>
      </c>
      <c r="N890" s="10"/>
      <c r="O890" s="10"/>
      <c r="P890" s="10"/>
      <c r="Q890" s="10"/>
      <c r="R890" s="10"/>
      <c r="S890" s="10"/>
      <c r="T890" s="10"/>
      <c r="U890" s="10">
        <v>8.2959999999999992E-2</v>
      </c>
      <c r="V890" s="4" t="s">
        <v>826</v>
      </c>
      <c r="W890" s="4" t="s">
        <v>1430</v>
      </c>
      <c r="X890" s="8"/>
      <c r="Y890" s="4"/>
      <c r="Z890" s="4"/>
      <c r="AA890" s="8"/>
      <c r="AB890" s="8"/>
      <c r="AC890" s="4"/>
      <c r="AD890" s="4"/>
    </row>
    <row r="891" spans="1:30">
      <c r="A891" s="4">
        <v>1336</v>
      </c>
      <c r="B891" s="8">
        <v>45275</v>
      </c>
      <c r="C891" s="4"/>
      <c r="D891" s="4"/>
      <c r="E891" s="8">
        <v>45298</v>
      </c>
      <c r="F891" s="4" t="s">
        <v>43</v>
      </c>
      <c r="G891" s="16" t="s">
        <v>1395</v>
      </c>
      <c r="H891" s="4" t="s">
        <v>52</v>
      </c>
      <c r="I891" s="4" t="s">
        <v>671</v>
      </c>
      <c r="J891" s="10">
        <v>22.594999999999999</v>
      </c>
      <c r="K891" s="10"/>
      <c r="L891" s="10">
        <f t="shared" si="172"/>
        <v>22.594999999999999</v>
      </c>
      <c r="M891" s="10">
        <f t="shared" si="173"/>
        <v>0</v>
      </c>
      <c r="N891" s="10"/>
      <c r="O891" s="10"/>
      <c r="P891" s="10"/>
      <c r="Q891" s="10"/>
      <c r="R891" s="10"/>
      <c r="S891" s="10"/>
      <c r="T891" s="10"/>
      <c r="U891" s="10">
        <v>22.594999999999999</v>
      </c>
      <c r="V891" s="4" t="s">
        <v>826</v>
      </c>
      <c r="W891" s="4"/>
      <c r="X891" s="8"/>
      <c r="Y891" s="4"/>
      <c r="Z891" s="4"/>
      <c r="AA891" s="8"/>
      <c r="AB891" s="8"/>
      <c r="AC891" s="4"/>
      <c r="AD891" s="4"/>
    </row>
    <row r="892" spans="1:30">
      <c r="A892" s="4">
        <v>1336</v>
      </c>
      <c r="B892" s="8">
        <v>45275</v>
      </c>
      <c r="C892" s="4"/>
      <c r="D892" s="4"/>
      <c r="E892" s="8">
        <v>45298</v>
      </c>
      <c r="F892" s="4" t="s">
        <v>43</v>
      </c>
      <c r="G892" s="16" t="s">
        <v>1395</v>
      </c>
      <c r="H892" s="4" t="s">
        <v>52</v>
      </c>
      <c r="I892" s="4" t="s">
        <v>125</v>
      </c>
      <c r="J892" s="10">
        <v>0.2268</v>
      </c>
      <c r="K892" s="10"/>
      <c r="L892" s="10">
        <f t="shared" si="172"/>
        <v>0.2268</v>
      </c>
      <c r="M892" s="10">
        <f t="shared" si="173"/>
        <v>0.2268</v>
      </c>
      <c r="N892" s="10"/>
      <c r="O892" s="10">
        <v>0.2268</v>
      </c>
      <c r="P892" s="10"/>
      <c r="Q892" s="10"/>
      <c r="R892" s="10"/>
      <c r="S892" s="10"/>
      <c r="T892" s="10"/>
      <c r="U892" s="10"/>
      <c r="V892" s="4" t="s">
        <v>826</v>
      </c>
      <c r="W892" s="4"/>
      <c r="X892" s="8"/>
      <c r="Y892" s="4"/>
      <c r="Z892" s="4"/>
      <c r="AA892" s="8"/>
      <c r="AB892" s="8"/>
      <c r="AC892" s="4"/>
      <c r="AD892" s="4"/>
    </row>
    <row r="893" spans="1:30">
      <c r="A893" s="4">
        <v>1336</v>
      </c>
      <c r="B893" s="8">
        <v>45275</v>
      </c>
      <c r="C893" s="4"/>
      <c r="D893" s="4"/>
      <c r="E893" s="8">
        <v>45298</v>
      </c>
      <c r="F893" s="4" t="s">
        <v>43</v>
      </c>
      <c r="G893" s="16" t="s">
        <v>1395</v>
      </c>
      <c r="H893" s="4" t="s">
        <v>52</v>
      </c>
      <c r="I893" s="4" t="s">
        <v>729</v>
      </c>
      <c r="J893" s="10">
        <v>2.4480000000000004</v>
      </c>
      <c r="K893" s="10"/>
      <c r="L893" s="10">
        <f t="shared" si="172"/>
        <v>2.4480000000000004</v>
      </c>
      <c r="M893" s="10">
        <f t="shared" si="173"/>
        <v>0</v>
      </c>
      <c r="N893" s="10"/>
      <c r="O893" s="10"/>
      <c r="P893" s="10"/>
      <c r="Q893" s="10"/>
      <c r="R893" s="10"/>
      <c r="S893" s="10"/>
      <c r="T893" s="10"/>
      <c r="U893" s="10">
        <v>2.4480000000000004</v>
      </c>
      <c r="V893" s="4" t="s">
        <v>826</v>
      </c>
      <c r="W893" s="4"/>
      <c r="X893" s="8"/>
      <c r="Y893" s="4"/>
      <c r="Z893" s="4"/>
      <c r="AA893" s="8"/>
      <c r="AB893" s="8"/>
      <c r="AC893" s="4"/>
      <c r="AD893" s="4"/>
    </row>
    <row r="894" spans="1:30" hidden="1">
      <c r="A894" s="4">
        <v>1336</v>
      </c>
      <c r="B894" s="8">
        <v>45275</v>
      </c>
      <c r="C894" s="4"/>
      <c r="D894" s="4"/>
      <c r="E894" s="8">
        <v>45298</v>
      </c>
      <c r="F894" s="4" t="s">
        <v>43</v>
      </c>
      <c r="G894" s="16" t="s">
        <v>1395</v>
      </c>
      <c r="H894" s="4" t="s">
        <v>52</v>
      </c>
      <c r="I894" s="4" t="s">
        <v>432</v>
      </c>
      <c r="J894" s="10">
        <v>0.54879999999999995</v>
      </c>
      <c r="K894" s="10"/>
      <c r="L894" s="10">
        <f t="shared" si="172"/>
        <v>0.54879999999999995</v>
      </c>
      <c r="M894" s="10">
        <f t="shared" si="173"/>
        <v>0</v>
      </c>
      <c r="N894" s="10"/>
      <c r="O894" s="10"/>
      <c r="P894" s="10"/>
      <c r="Q894" s="10"/>
      <c r="R894" s="10"/>
      <c r="S894" s="10"/>
      <c r="T894" s="10"/>
      <c r="U894" s="10">
        <v>0.54879999999999995</v>
      </c>
      <c r="V894" s="4" t="s">
        <v>1432</v>
      </c>
      <c r="W894" s="4"/>
      <c r="X894" s="8"/>
      <c r="Y894" s="4"/>
      <c r="Z894" s="4"/>
      <c r="AA894" s="8"/>
      <c r="AB894" s="8"/>
      <c r="AC894" s="4"/>
      <c r="AD894" s="4"/>
    </row>
    <row r="895" spans="1:30" hidden="1">
      <c r="A895" s="4">
        <v>1336</v>
      </c>
      <c r="B895" s="8">
        <v>45275</v>
      </c>
      <c r="C895" s="4"/>
      <c r="D895" s="4"/>
      <c r="E895" s="8">
        <v>45298</v>
      </c>
      <c r="F895" s="4" t="s">
        <v>43</v>
      </c>
      <c r="G895" s="16" t="s">
        <v>1395</v>
      </c>
      <c r="H895" s="4" t="s">
        <v>52</v>
      </c>
      <c r="I895" s="4" t="s">
        <v>671</v>
      </c>
      <c r="J895" s="10">
        <v>2.16</v>
      </c>
      <c r="K895" s="10"/>
      <c r="L895" s="10">
        <f t="shared" si="172"/>
        <v>2.16</v>
      </c>
      <c r="M895" s="10">
        <f t="shared" si="173"/>
        <v>0</v>
      </c>
      <c r="N895" s="10"/>
      <c r="O895" s="10"/>
      <c r="P895" s="10"/>
      <c r="Q895" s="10"/>
      <c r="R895" s="10"/>
      <c r="S895" s="10"/>
      <c r="T895" s="10"/>
      <c r="U895" s="10">
        <v>2.16</v>
      </c>
      <c r="V895" s="4" t="s">
        <v>1432</v>
      </c>
      <c r="W895" s="4"/>
      <c r="X895" s="8"/>
      <c r="Y895" s="4"/>
      <c r="Z895" s="4"/>
      <c r="AA895" s="8"/>
      <c r="AB895" s="8"/>
      <c r="AC895" s="4"/>
      <c r="AD895" s="4"/>
    </row>
    <row r="896" spans="1:30" hidden="1">
      <c r="A896" s="4">
        <v>1337</v>
      </c>
      <c r="B896" s="8">
        <v>45275</v>
      </c>
      <c r="C896" s="4"/>
      <c r="D896" s="82" t="s">
        <v>42</v>
      </c>
      <c r="E896" s="8">
        <v>45298</v>
      </c>
      <c r="F896" s="4" t="s">
        <v>43</v>
      </c>
      <c r="G896" s="16" t="s">
        <v>44</v>
      </c>
      <c r="H896" s="4" t="s">
        <v>45</v>
      </c>
      <c r="I896" s="4" t="s">
        <v>54</v>
      </c>
      <c r="J896" s="10">
        <v>9.2599999999999991E-3</v>
      </c>
      <c r="K896" s="10"/>
      <c r="L896" s="10">
        <f t="shared" ref="L896:L916" si="174">M896+U896</f>
        <v>9.2599999999999991E-3</v>
      </c>
      <c r="M896" s="10">
        <f t="shared" ref="M896:M916" si="175">SUM(N896:T896)</f>
        <v>9.2599999999999991E-3</v>
      </c>
      <c r="N896" s="10"/>
      <c r="O896" s="10"/>
      <c r="P896" s="10"/>
      <c r="Q896" s="10"/>
      <c r="R896" s="77">
        <v>9.2599999999999991E-3</v>
      </c>
      <c r="S896" s="10"/>
      <c r="T896" s="10"/>
      <c r="U896" s="10"/>
      <c r="V896" s="4" t="s">
        <v>1435</v>
      </c>
      <c r="W896" s="4" t="s">
        <v>1436</v>
      </c>
      <c r="X896" s="8"/>
      <c r="Y896" s="4"/>
      <c r="Z896" s="4"/>
      <c r="AA896" s="8"/>
      <c r="AB896" s="8"/>
      <c r="AC896" s="4"/>
      <c r="AD896" s="4"/>
    </row>
    <row r="897" spans="1:30" hidden="1">
      <c r="A897" s="4">
        <v>1337</v>
      </c>
      <c r="B897" s="8">
        <v>45275</v>
      </c>
      <c r="C897" s="4"/>
      <c r="D897" s="82" t="s">
        <v>42</v>
      </c>
      <c r="E897" s="8">
        <v>45298</v>
      </c>
      <c r="F897" s="4" t="s">
        <v>43</v>
      </c>
      <c r="G897" s="16" t="s">
        <v>44</v>
      </c>
      <c r="H897" s="4" t="s">
        <v>45</v>
      </c>
      <c r="I897" s="4" t="s">
        <v>53</v>
      </c>
      <c r="J897" s="10">
        <v>3.2280000000000003E-2</v>
      </c>
      <c r="K897" s="10"/>
      <c r="L897" s="10">
        <f t="shared" si="174"/>
        <v>3.2280000000000003E-2</v>
      </c>
      <c r="M897" s="10">
        <f t="shared" si="175"/>
        <v>3.2280000000000003E-2</v>
      </c>
      <c r="N897" s="10"/>
      <c r="O897" s="10"/>
      <c r="P897" s="10">
        <v>3.2280000000000003E-2</v>
      </c>
      <c r="Q897" s="10"/>
      <c r="R897" s="10"/>
      <c r="S897" s="10"/>
      <c r="T897" s="10"/>
      <c r="U897" s="10"/>
      <c r="V897" s="4" t="s">
        <v>1435</v>
      </c>
      <c r="W897" s="4" t="s">
        <v>1253</v>
      </c>
      <c r="X897" s="8">
        <v>45293</v>
      </c>
      <c r="Y897" s="4"/>
      <c r="Z897" s="4"/>
      <c r="AA897" s="8"/>
      <c r="AB897" s="8"/>
      <c r="AC897" s="4"/>
      <c r="AD897" s="4"/>
    </row>
    <row r="898" spans="1:30" hidden="1">
      <c r="A898" s="4">
        <v>1337</v>
      </c>
      <c r="B898" s="8">
        <v>45275</v>
      </c>
      <c r="C898" s="4"/>
      <c r="D898" s="82" t="s">
        <v>42</v>
      </c>
      <c r="E898" s="8">
        <v>45298</v>
      </c>
      <c r="F898" s="4" t="s">
        <v>43</v>
      </c>
      <c r="G898" s="16" t="s">
        <v>44</v>
      </c>
      <c r="H898" s="4" t="s">
        <v>45</v>
      </c>
      <c r="I898" s="4" t="s">
        <v>435</v>
      </c>
      <c r="J898" s="10">
        <v>3.4619999999999998E-2</v>
      </c>
      <c r="K898" s="10"/>
      <c r="L898" s="10">
        <f t="shared" si="174"/>
        <v>3.4619999999999998E-2</v>
      </c>
      <c r="M898" s="10">
        <f t="shared" si="175"/>
        <v>0</v>
      </c>
      <c r="N898" s="10"/>
      <c r="O898" s="10"/>
      <c r="P898" s="10"/>
      <c r="Q898" s="10"/>
      <c r="R898" s="10"/>
      <c r="S898" s="10"/>
      <c r="T898" s="10"/>
      <c r="U898" s="10">
        <v>3.4619999999999998E-2</v>
      </c>
      <c r="V898" s="4" t="s">
        <v>1435</v>
      </c>
      <c r="W898" s="4" t="s">
        <v>1437</v>
      </c>
      <c r="X898" s="8"/>
      <c r="Y898" s="4"/>
      <c r="Z898" s="4"/>
      <c r="AA898" s="8"/>
      <c r="AB898" s="8"/>
      <c r="AC898" s="4"/>
      <c r="AD898" s="4"/>
    </row>
    <row r="899" spans="1:30" hidden="1">
      <c r="A899" s="4">
        <v>1337</v>
      </c>
      <c r="B899" s="8">
        <v>45275</v>
      </c>
      <c r="C899" s="4"/>
      <c r="D899" s="82" t="s">
        <v>42</v>
      </c>
      <c r="E899" s="8">
        <v>45298</v>
      </c>
      <c r="F899" s="4" t="s">
        <v>43</v>
      </c>
      <c r="G899" s="16" t="s">
        <v>44</v>
      </c>
      <c r="H899" s="4" t="s">
        <v>45</v>
      </c>
      <c r="I899" s="4" t="s">
        <v>434</v>
      </c>
      <c r="J899" s="10">
        <v>4.4159999999999998E-2</v>
      </c>
      <c r="K899" s="10"/>
      <c r="L899" s="10">
        <f t="shared" si="174"/>
        <v>4.4159999999999998E-2</v>
      </c>
      <c r="M899" s="10">
        <f t="shared" si="175"/>
        <v>0</v>
      </c>
      <c r="N899" s="10"/>
      <c r="O899" s="10"/>
      <c r="P899" s="10"/>
      <c r="Q899" s="10"/>
      <c r="R899" s="10"/>
      <c r="S899" s="10"/>
      <c r="T899" s="10"/>
      <c r="U899" s="10">
        <v>4.4159999999999998E-2</v>
      </c>
      <c r="V899" s="4" t="s">
        <v>1435</v>
      </c>
      <c r="W899" s="4" t="s">
        <v>1253</v>
      </c>
      <c r="X899" s="8"/>
      <c r="Y899" s="4"/>
      <c r="Z899" s="4"/>
      <c r="AA899" s="8"/>
      <c r="AB899" s="8"/>
      <c r="AC899" s="4"/>
      <c r="AD899" s="4"/>
    </row>
    <row r="900" spans="1:30" hidden="1">
      <c r="A900" s="4">
        <v>1337</v>
      </c>
      <c r="B900" s="8">
        <v>45275</v>
      </c>
      <c r="C900" s="4"/>
      <c r="D900" s="82" t="s">
        <v>42</v>
      </c>
      <c r="E900" s="8">
        <v>45298</v>
      </c>
      <c r="F900" s="4" t="s">
        <v>43</v>
      </c>
      <c r="G900" s="16" t="s">
        <v>44</v>
      </c>
      <c r="H900" s="4" t="s">
        <v>45</v>
      </c>
      <c r="I900" s="4" t="s">
        <v>577</v>
      </c>
      <c r="J900" s="10">
        <v>4.1820000000000003E-2</v>
      </c>
      <c r="K900" s="10"/>
      <c r="L900" s="10">
        <f t="shared" si="174"/>
        <v>4.1820000000000003E-2</v>
      </c>
      <c r="M900" s="10">
        <f t="shared" si="175"/>
        <v>4.1820000000000003E-2</v>
      </c>
      <c r="N900" s="10"/>
      <c r="O900" s="10"/>
      <c r="P900" s="10"/>
      <c r="Q900" s="10"/>
      <c r="R900" s="77">
        <v>4.1820000000000003E-2</v>
      </c>
      <c r="S900" s="10"/>
      <c r="T900" s="10"/>
      <c r="U900" s="10"/>
      <c r="V900" s="4" t="s">
        <v>1435</v>
      </c>
      <c r="W900" s="4" t="s">
        <v>1253</v>
      </c>
      <c r="X900" s="8">
        <v>45286</v>
      </c>
      <c r="Y900" s="4"/>
      <c r="Z900" s="4"/>
      <c r="AA900" s="8"/>
      <c r="AB900" s="8"/>
      <c r="AC900" s="4"/>
      <c r="AD900" s="4"/>
    </row>
    <row r="901" spans="1:30" hidden="1">
      <c r="A901" s="4">
        <v>1337</v>
      </c>
      <c r="B901" s="8">
        <v>45275</v>
      </c>
      <c r="C901" s="4"/>
      <c r="D901" s="82" t="s">
        <v>42</v>
      </c>
      <c r="E901" s="8">
        <v>45298</v>
      </c>
      <c r="F901" s="4" t="s">
        <v>43</v>
      </c>
      <c r="G901" s="16" t="s">
        <v>44</v>
      </c>
      <c r="H901" s="4" t="s">
        <v>45</v>
      </c>
      <c r="I901" s="4" t="s">
        <v>89</v>
      </c>
      <c r="J901" s="10">
        <v>4.9920000000000013E-2</v>
      </c>
      <c r="K901" s="10"/>
      <c r="L901" s="10">
        <f t="shared" si="174"/>
        <v>4.9920000000000013E-2</v>
      </c>
      <c r="M901" s="10">
        <f t="shared" si="175"/>
        <v>4.9920000000000013E-2</v>
      </c>
      <c r="N901" s="10"/>
      <c r="O901" s="10"/>
      <c r="P901" s="10">
        <v>4.9920000000000013E-2</v>
      </c>
      <c r="Q901" s="10"/>
      <c r="R901" s="10"/>
      <c r="S901" s="10"/>
      <c r="T901" s="10"/>
      <c r="U901" s="10"/>
      <c r="V901" s="4" t="s">
        <v>1435</v>
      </c>
      <c r="W901" s="4" t="s">
        <v>1253</v>
      </c>
      <c r="X901" s="8">
        <v>45286</v>
      </c>
      <c r="Y901" s="4"/>
      <c r="Z901" s="4"/>
      <c r="AA901" s="8"/>
      <c r="AB901" s="8"/>
      <c r="AC901" s="4"/>
      <c r="AD901" s="4"/>
    </row>
    <row r="902" spans="1:30" hidden="1">
      <c r="A902" s="4">
        <v>1337</v>
      </c>
      <c r="B902" s="8">
        <v>45275</v>
      </c>
      <c r="C902" s="4"/>
      <c r="D902" s="82" t="s">
        <v>42</v>
      </c>
      <c r="E902" s="8">
        <v>45298</v>
      </c>
      <c r="F902" s="4" t="s">
        <v>43</v>
      </c>
      <c r="G902" s="16" t="s">
        <v>1395</v>
      </c>
      <c r="H902" s="4" t="s">
        <v>52</v>
      </c>
      <c r="I902" s="4" t="s">
        <v>54</v>
      </c>
      <c r="J902" s="10">
        <v>5.5560000000000005E-2</v>
      </c>
      <c r="K902" s="10"/>
      <c r="L902" s="10">
        <f t="shared" si="174"/>
        <v>5.5560000000000005E-2</v>
      </c>
      <c r="M902" s="10">
        <f t="shared" si="175"/>
        <v>5.5560000000000005E-2</v>
      </c>
      <c r="N902" s="10"/>
      <c r="O902" s="10"/>
      <c r="P902" s="10">
        <v>5.5560000000000005E-2</v>
      </c>
      <c r="Q902" s="10"/>
      <c r="R902" s="10"/>
      <c r="S902" s="10"/>
      <c r="T902" s="10"/>
      <c r="U902" s="10"/>
      <c r="V902" s="4" t="s">
        <v>1435</v>
      </c>
      <c r="W902" s="4" t="s">
        <v>1253</v>
      </c>
      <c r="X902" s="8"/>
      <c r="Y902" s="4"/>
      <c r="Z902" s="4"/>
      <c r="AA902" s="8"/>
      <c r="AB902" s="8"/>
      <c r="AC902" s="4"/>
      <c r="AD902" s="4"/>
    </row>
    <row r="903" spans="1:30" hidden="1">
      <c r="A903" s="4">
        <v>1337</v>
      </c>
      <c r="B903" s="8">
        <v>45275</v>
      </c>
      <c r="C903" s="4"/>
      <c r="D903" s="82" t="s">
        <v>42</v>
      </c>
      <c r="E903" s="8">
        <v>45298</v>
      </c>
      <c r="F903" s="4" t="s">
        <v>43</v>
      </c>
      <c r="G903" s="16" t="s">
        <v>1395</v>
      </c>
      <c r="H903" s="4" t="s">
        <v>52</v>
      </c>
      <c r="I903" s="4" t="s">
        <v>577</v>
      </c>
      <c r="J903" s="10">
        <v>6.9699999999999998E-2</v>
      </c>
      <c r="K903" s="10"/>
      <c r="L903" s="10">
        <f t="shared" si="174"/>
        <v>6.9699999999999998E-2</v>
      </c>
      <c r="M903" s="10">
        <f t="shared" si="175"/>
        <v>6.9699999999999998E-2</v>
      </c>
      <c r="N903" s="10"/>
      <c r="O903" s="10"/>
      <c r="P903" s="10">
        <v>6.9699999999999998E-2</v>
      </c>
      <c r="Q903" s="10"/>
      <c r="R903" s="10"/>
      <c r="S903" s="10"/>
      <c r="T903" s="10"/>
      <c r="U903" s="10"/>
      <c r="V903" s="4" t="s">
        <v>1435</v>
      </c>
      <c r="W903" s="4" t="s">
        <v>1253</v>
      </c>
      <c r="X903" s="8">
        <v>45286</v>
      </c>
      <c r="Y903" s="4"/>
      <c r="Z903" s="4"/>
      <c r="AA903" s="8"/>
      <c r="AB903" s="8"/>
      <c r="AC903" s="4"/>
      <c r="AD903" s="4"/>
    </row>
    <row r="904" spans="1:30" hidden="1">
      <c r="A904" s="4">
        <v>1338</v>
      </c>
      <c r="B904" s="8">
        <v>45275</v>
      </c>
      <c r="C904" s="4"/>
      <c r="D904" s="82" t="s">
        <v>42</v>
      </c>
      <c r="E904" s="8">
        <v>45298</v>
      </c>
      <c r="F904" s="4" t="s">
        <v>43</v>
      </c>
      <c r="G904" s="40" t="s">
        <v>126</v>
      </c>
      <c r="H904" s="4" t="s">
        <v>45</v>
      </c>
      <c r="I904" s="4" t="s">
        <v>54</v>
      </c>
      <c r="J904" s="10">
        <v>0.1196</v>
      </c>
      <c r="K904" s="10"/>
      <c r="L904" s="10">
        <f t="shared" si="174"/>
        <v>0.1196</v>
      </c>
      <c r="M904" s="10">
        <f t="shared" si="175"/>
        <v>0.1196</v>
      </c>
      <c r="N904" s="10"/>
      <c r="O904" s="10"/>
      <c r="P904" s="10"/>
      <c r="Q904" s="10"/>
      <c r="R904" s="77">
        <v>0.1196</v>
      </c>
      <c r="S904" s="10"/>
      <c r="T904" s="10"/>
      <c r="U904" s="10"/>
      <c r="V904" s="4" t="s">
        <v>23</v>
      </c>
      <c r="W904" s="4" t="s">
        <v>1438</v>
      </c>
      <c r="X904" s="8"/>
      <c r="Y904" s="4"/>
      <c r="Z904" s="4"/>
      <c r="AA904" s="8"/>
      <c r="AB904" s="8"/>
      <c r="AC904" s="4"/>
      <c r="AD904" s="4"/>
    </row>
    <row r="905" spans="1:30" hidden="1">
      <c r="A905" s="4">
        <v>1338</v>
      </c>
      <c r="B905" s="8">
        <v>45275</v>
      </c>
      <c r="C905" s="4"/>
      <c r="D905" s="82" t="s">
        <v>42</v>
      </c>
      <c r="E905" s="8">
        <v>45298</v>
      </c>
      <c r="F905" s="4" t="s">
        <v>43</v>
      </c>
      <c r="G905" s="40" t="s">
        <v>126</v>
      </c>
      <c r="H905" s="4" t="s">
        <v>45</v>
      </c>
      <c r="I905" s="4" t="s">
        <v>56</v>
      </c>
      <c r="J905" s="10">
        <v>0.76772499999999999</v>
      </c>
      <c r="K905" s="10"/>
      <c r="L905" s="10">
        <f t="shared" si="174"/>
        <v>0.76772499999999999</v>
      </c>
      <c r="M905" s="10">
        <f t="shared" si="175"/>
        <v>0.76772499999999999</v>
      </c>
      <c r="N905" s="10"/>
      <c r="O905" s="10"/>
      <c r="P905" s="10"/>
      <c r="Q905" s="10"/>
      <c r="R905" s="77">
        <v>0.76772499999999999</v>
      </c>
      <c r="S905" s="10"/>
      <c r="T905" s="10"/>
      <c r="U905" s="10"/>
      <c r="V905" s="4" t="s">
        <v>23</v>
      </c>
      <c r="W905" s="4" t="s">
        <v>1439</v>
      </c>
      <c r="X905" s="8"/>
      <c r="Y905" s="4"/>
      <c r="Z905" s="4"/>
      <c r="AA905" s="8"/>
      <c r="AB905" s="8"/>
      <c r="AC905" s="4"/>
      <c r="AD905" s="4"/>
    </row>
    <row r="906" spans="1:30" hidden="1">
      <c r="A906" s="4">
        <v>1338</v>
      </c>
      <c r="B906" s="8">
        <v>45275</v>
      </c>
      <c r="C906" s="4"/>
      <c r="D906" s="82" t="s">
        <v>42</v>
      </c>
      <c r="E906" s="8">
        <v>45298</v>
      </c>
      <c r="F906" s="4" t="s">
        <v>43</v>
      </c>
      <c r="G906" s="40" t="s">
        <v>126</v>
      </c>
      <c r="H906" s="4" t="s">
        <v>45</v>
      </c>
      <c r="I906" s="4" t="s">
        <v>48</v>
      </c>
      <c r="J906" s="10">
        <v>0.29886999999999997</v>
      </c>
      <c r="K906" s="10"/>
      <c r="L906" s="10">
        <f t="shared" si="174"/>
        <v>0.29886999999999997</v>
      </c>
      <c r="M906" s="10">
        <f t="shared" si="175"/>
        <v>0.29886999999999997</v>
      </c>
      <c r="N906" s="10"/>
      <c r="O906" s="10"/>
      <c r="P906" s="10"/>
      <c r="Q906" s="10"/>
      <c r="R906" s="77">
        <v>0.29886999999999997</v>
      </c>
      <c r="S906" s="10"/>
      <c r="T906" s="10"/>
      <c r="U906" s="10"/>
      <c r="V906" s="4" t="s">
        <v>23</v>
      </c>
      <c r="W906" s="4" t="s">
        <v>1440</v>
      </c>
      <c r="X906" s="8"/>
      <c r="Y906" s="4"/>
      <c r="Z906" s="4"/>
      <c r="AA906" s="8"/>
      <c r="AB906" s="8"/>
      <c r="AC906" s="4"/>
      <c r="AD906" s="4"/>
    </row>
    <row r="907" spans="1:30" hidden="1">
      <c r="A907" s="4">
        <v>1338</v>
      </c>
      <c r="B907" s="8">
        <v>45275</v>
      </c>
      <c r="C907" s="4"/>
      <c r="D907" s="82" t="s">
        <v>42</v>
      </c>
      <c r="E907" s="8">
        <v>45298</v>
      </c>
      <c r="F907" s="4" t="s">
        <v>43</v>
      </c>
      <c r="G907" s="40" t="s">
        <v>126</v>
      </c>
      <c r="H907" s="4" t="s">
        <v>45</v>
      </c>
      <c r="I907" s="4" t="s">
        <v>46</v>
      </c>
      <c r="J907" s="10">
        <v>0.1072</v>
      </c>
      <c r="K907" s="10"/>
      <c r="L907" s="10">
        <f t="shared" si="174"/>
        <v>0.1072</v>
      </c>
      <c r="M907" s="10">
        <f t="shared" si="175"/>
        <v>0.1072</v>
      </c>
      <c r="N907" s="10"/>
      <c r="O907" s="10"/>
      <c r="P907" s="10"/>
      <c r="Q907" s="10"/>
      <c r="R907" s="77">
        <v>0.1072</v>
      </c>
      <c r="S907" s="10"/>
      <c r="T907" s="10"/>
      <c r="U907" s="10"/>
      <c r="V907" s="4" t="s">
        <v>23</v>
      </c>
      <c r="W907" s="4" t="s">
        <v>1441</v>
      </c>
      <c r="X907" s="8"/>
      <c r="Y907" s="4"/>
      <c r="Z907" s="4"/>
      <c r="AA907" s="8"/>
      <c r="AB907" s="8"/>
      <c r="AC907" s="4"/>
      <c r="AD907" s="4"/>
    </row>
    <row r="908" spans="1:30" hidden="1">
      <c r="A908" s="4">
        <v>1338</v>
      </c>
      <c r="B908" s="8">
        <v>45275</v>
      </c>
      <c r="C908" s="4"/>
      <c r="D908" s="82" t="s">
        <v>42</v>
      </c>
      <c r="E908" s="8">
        <v>45298</v>
      </c>
      <c r="F908" s="4" t="s">
        <v>43</v>
      </c>
      <c r="G908" s="40" t="s">
        <v>126</v>
      </c>
      <c r="H908" s="4" t="s">
        <v>45</v>
      </c>
      <c r="I908" s="4" t="s">
        <v>95</v>
      </c>
      <c r="J908" s="10">
        <v>0.11924999999999999</v>
      </c>
      <c r="K908" s="10"/>
      <c r="L908" s="10">
        <f t="shared" si="174"/>
        <v>0.11924999999999999</v>
      </c>
      <c r="M908" s="10">
        <f t="shared" si="175"/>
        <v>0.11924999999999999</v>
      </c>
      <c r="N908" s="10"/>
      <c r="O908" s="10"/>
      <c r="P908" s="10">
        <v>0.11924999999999999</v>
      </c>
      <c r="Q908" s="10"/>
      <c r="R908" s="10"/>
      <c r="S908" s="10"/>
      <c r="T908" s="10"/>
      <c r="U908" s="10"/>
      <c r="V908" s="4" t="s">
        <v>23</v>
      </c>
      <c r="W908" s="4" t="s">
        <v>1253</v>
      </c>
      <c r="X908" s="8">
        <v>45293</v>
      </c>
      <c r="Y908" s="4"/>
      <c r="Z908" s="4"/>
      <c r="AA908" s="8"/>
      <c r="AB908" s="8"/>
      <c r="AC908" s="4"/>
      <c r="AD908" s="4"/>
    </row>
    <row r="909" spans="1:30" hidden="1">
      <c r="A909" s="4">
        <v>1338</v>
      </c>
      <c r="B909" s="8">
        <v>45275</v>
      </c>
      <c r="C909" s="4"/>
      <c r="D909" s="82" t="s">
        <v>42</v>
      </c>
      <c r="E909" s="8">
        <v>45298</v>
      </c>
      <c r="F909" s="4" t="s">
        <v>43</v>
      </c>
      <c r="G909" s="40" t="s">
        <v>126</v>
      </c>
      <c r="H909" s="4" t="s">
        <v>45</v>
      </c>
      <c r="I909" s="4" t="s">
        <v>235</v>
      </c>
      <c r="J909" s="10">
        <v>0.61319999999999997</v>
      </c>
      <c r="K909" s="10"/>
      <c r="L909" s="10">
        <f t="shared" si="174"/>
        <v>0.61319999999999997</v>
      </c>
      <c r="M909" s="10">
        <f t="shared" si="175"/>
        <v>0</v>
      </c>
      <c r="N909" s="10"/>
      <c r="O909" s="10"/>
      <c r="P909" s="10"/>
      <c r="Q909" s="10"/>
      <c r="R909" s="10"/>
      <c r="S909" s="10"/>
      <c r="T909" s="10"/>
      <c r="U909" s="10">
        <v>0.61319999999999997</v>
      </c>
      <c r="V909" s="4" t="s">
        <v>23</v>
      </c>
      <c r="W909" s="4" t="s">
        <v>1253</v>
      </c>
      <c r="X909" s="8"/>
      <c r="Y909" s="4"/>
      <c r="Z909" s="4"/>
      <c r="AA909" s="8"/>
      <c r="AB909" s="8"/>
      <c r="AC909" s="4"/>
      <c r="AD909" s="4"/>
    </row>
    <row r="910" spans="1:30" hidden="1">
      <c r="A910" s="4">
        <v>1338</v>
      </c>
      <c r="B910" s="8">
        <v>45275</v>
      </c>
      <c r="C910" s="4"/>
      <c r="D910" s="82" t="s">
        <v>42</v>
      </c>
      <c r="E910" s="8">
        <v>45298</v>
      </c>
      <c r="F910" s="4" t="s">
        <v>43</v>
      </c>
      <c r="G910" s="40" t="s">
        <v>126</v>
      </c>
      <c r="H910" s="4" t="s">
        <v>45</v>
      </c>
      <c r="I910" s="4" t="s">
        <v>100</v>
      </c>
      <c r="J910" s="10">
        <v>0.36079999999999995</v>
      </c>
      <c r="K910" s="10"/>
      <c r="L910" s="10">
        <f t="shared" si="174"/>
        <v>0.36079999999999995</v>
      </c>
      <c r="M910" s="10">
        <f t="shared" si="175"/>
        <v>0.36079999999999995</v>
      </c>
      <c r="N910" s="10"/>
      <c r="O910" s="10"/>
      <c r="P910" s="10">
        <v>0.36079999999999995</v>
      </c>
      <c r="Q910" s="10"/>
      <c r="R910" s="10"/>
      <c r="S910" s="10"/>
      <c r="T910" s="10"/>
      <c r="U910" s="10"/>
      <c r="V910" s="4" t="s">
        <v>23</v>
      </c>
      <c r="W910" s="4" t="s">
        <v>1253</v>
      </c>
      <c r="X910" s="8">
        <v>45286</v>
      </c>
      <c r="Y910" s="4"/>
      <c r="Z910" s="4"/>
      <c r="AA910" s="8"/>
      <c r="AB910" s="8"/>
      <c r="AC910" s="4"/>
      <c r="AD910" s="4"/>
    </row>
    <row r="911" spans="1:30" hidden="1">
      <c r="A911" s="4">
        <v>1338</v>
      </c>
      <c r="B911" s="8">
        <v>45275</v>
      </c>
      <c r="C911" s="4"/>
      <c r="D911" s="82" t="s">
        <v>42</v>
      </c>
      <c r="E911" s="8">
        <v>45298</v>
      </c>
      <c r="F911" s="4" t="s">
        <v>43</v>
      </c>
      <c r="G911" s="40" t="s">
        <v>1142</v>
      </c>
      <c r="H911" s="4" t="s">
        <v>52</v>
      </c>
      <c r="I911" s="4" t="s">
        <v>95</v>
      </c>
      <c r="J911" s="10">
        <v>0.18285000000000001</v>
      </c>
      <c r="K911" s="10"/>
      <c r="L911" s="10">
        <f t="shared" si="174"/>
        <v>0.18285000000000001</v>
      </c>
      <c r="M911" s="10">
        <f t="shared" si="175"/>
        <v>0.18285000000000001</v>
      </c>
      <c r="N911" s="10"/>
      <c r="O911" s="10"/>
      <c r="P911" s="10">
        <v>0.18285000000000001</v>
      </c>
      <c r="Q911" s="10"/>
      <c r="R911" s="10"/>
      <c r="S911" s="10"/>
      <c r="T911" s="10"/>
      <c r="U911" s="10"/>
      <c r="V911" s="4" t="s">
        <v>23</v>
      </c>
      <c r="W911" s="4" t="s">
        <v>1418</v>
      </c>
      <c r="X911" s="8">
        <v>45293</v>
      </c>
      <c r="Y911" s="4"/>
      <c r="Z911" s="4"/>
      <c r="AA911" s="8"/>
      <c r="AB911" s="8"/>
      <c r="AC911" s="4"/>
      <c r="AD911" s="4"/>
    </row>
    <row r="912" spans="1:30" hidden="1">
      <c r="A912" s="4">
        <v>1338</v>
      </c>
      <c r="B912" s="8">
        <v>45275</v>
      </c>
      <c r="C912" s="4"/>
      <c r="D912" s="82" t="s">
        <v>42</v>
      </c>
      <c r="E912" s="8">
        <v>45298</v>
      </c>
      <c r="F912" s="4" t="s">
        <v>43</v>
      </c>
      <c r="G912" s="40" t="s">
        <v>1142</v>
      </c>
      <c r="H912" s="4" t="s">
        <v>52</v>
      </c>
      <c r="I912" s="4" t="s">
        <v>472</v>
      </c>
      <c r="J912" s="10">
        <v>0.1026</v>
      </c>
      <c r="K912" s="10"/>
      <c r="L912" s="10">
        <f t="shared" si="174"/>
        <v>0.1026</v>
      </c>
      <c r="M912" s="10">
        <f t="shared" si="175"/>
        <v>0</v>
      </c>
      <c r="N912" s="10"/>
      <c r="O912" s="10"/>
      <c r="P912" s="10"/>
      <c r="Q912" s="10"/>
      <c r="R912" s="10"/>
      <c r="S912" s="10"/>
      <c r="T912" s="10"/>
      <c r="U912" s="10">
        <v>0.1026</v>
      </c>
      <c r="V912" s="4" t="s">
        <v>23</v>
      </c>
      <c r="W912" s="4" t="s">
        <v>1253</v>
      </c>
      <c r="X912" s="8"/>
      <c r="Y912" s="4"/>
      <c r="Z912" s="4"/>
      <c r="AA912" s="8"/>
      <c r="AB912" s="8"/>
      <c r="AC912" s="4"/>
      <c r="AD912" s="4"/>
    </row>
    <row r="913" spans="1:30" hidden="1">
      <c r="A913" s="4">
        <v>1338</v>
      </c>
      <c r="B913" s="8">
        <v>45275</v>
      </c>
      <c r="C913" s="4"/>
      <c r="D913" s="82" t="s">
        <v>42</v>
      </c>
      <c r="E913" s="8">
        <v>45298</v>
      </c>
      <c r="F913" s="4" t="s">
        <v>43</v>
      </c>
      <c r="G913" s="40" t="s">
        <v>1142</v>
      </c>
      <c r="H913" s="4" t="s">
        <v>52</v>
      </c>
      <c r="I913" s="4" t="s">
        <v>473</v>
      </c>
      <c r="J913" s="10">
        <v>0.16319999999999998</v>
      </c>
      <c r="K913" s="10"/>
      <c r="L913" s="10">
        <f t="shared" si="174"/>
        <v>0.16319999999999998</v>
      </c>
      <c r="M913" s="10">
        <f t="shared" si="175"/>
        <v>0</v>
      </c>
      <c r="N913" s="10"/>
      <c r="O913" s="10"/>
      <c r="P913" s="10"/>
      <c r="Q913" s="10"/>
      <c r="R913" s="10"/>
      <c r="S913" s="10"/>
      <c r="T913" s="10"/>
      <c r="U913" s="10">
        <v>0.16319999999999998</v>
      </c>
      <c r="V913" s="4" t="s">
        <v>23</v>
      </c>
      <c r="W913" s="4" t="s">
        <v>1253</v>
      </c>
      <c r="X913" s="8"/>
      <c r="Y913" s="4"/>
      <c r="Z913" s="4"/>
      <c r="AA913" s="8"/>
      <c r="AB913" s="8"/>
      <c r="AC913" s="4"/>
      <c r="AD913" s="4"/>
    </row>
    <row r="914" spans="1:30" hidden="1">
      <c r="A914" s="4">
        <v>1338</v>
      </c>
      <c r="B914" s="8">
        <v>45275</v>
      </c>
      <c r="C914" s="4"/>
      <c r="D914" s="82" t="s">
        <v>42</v>
      </c>
      <c r="E914" s="8">
        <v>45298</v>
      </c>
      <c r="F914" s="4" t="s">
        <v>43</v>
      </c>
      <c r="G914" s="40" t="s">
        <v>1142</v>
      </c>
      <c r="H914" s="4" t="s">
        <v>52</v>
      </c>
      <c r="I914" s="4" t="s">
        <v>235</v>
      </c>
      <c r="J914" s="10">
        <v>0.1898</v>
      </c>
      <c r="K914" s="10"/>
      <c r="L914" s="10">
        <f t="shared" si="174"/>
        <v>0.1898</v>
      </c>
      <c r="M914" s="10">
        <f t="shared" si="175"/>
        <v>0</v>
      </c>
      <c r="N914" s="10"/>
      <c r="O914" s="10"/>
      <c r="P914" s="10"/>
      <c r="Q914" s="10"/>
      <c r="R914" s="10"/>
      <c r="S914" s="10"/>
      <c r="T914" s="10"/>
      <c r="U914" s="10">
        <v>0.1898</v>
      </c>
      <c r="V914" s="4" t="s">
        <v>23</v>
      </c>
      <c r="W914" s="4" t="s">
        <v>1442</v>
      </c>
      <c r="X914" s="8"/>
      <c r="Y914" s="4"/>
      <c r="Z914" s="4"/>
      <c r="AA914" s="8"/>
      <c r="AB914" s="8"/>
      <c r="AC914" s="4"/>
      <c r="AD914" s="4"/>
    </row>
    <row r="915" spans="1:30" hidden="1">
      <c r="A915" s="4">
        <v>1339</v>
      </c>
      <c r="B915" s="8">
        <v>45275</v>
      </c>
      <c r="C915" s="4"/>
      <c r="D915" s="4"/>
      <c r="E915" s="8">
        <v>45298</v>
      </c>
      <c r="F915" s="4" t="s">
        <v>840</v>
      </c>
      <c r="G915" s="16" t="s">
        <v>1394</v>
      </c>
      <c r="H915" s="4" t="s">
        <v>45</v>
      </c>
      <c r="I915" s="4" t="s">
        <v>405</v>
      </c>
      <c r="J915" s="10">
        <v>2.2746</v>
      </c>
      <c r="K915" s="10"/>
      <c r="L915" s="10">
        <f t="shared" si="174"/>
        <v>2.2746</v>
      </c>
      <c r="M915" s="10">
        <f t="shared" si="175"/>
        <v>2.2746</v>
      </c>
      <c r="N915" s="10">
        <v>2.2746</v>
      </c>
      <c r="O915" s="10"/>
      <c r="P915" s="10"/>
      <c r="Q915" s="10"/>
      <c r="R915" s="10"/>
      <c r="S915" s="10"/>
      <c r="T915" s="10"/>
      <c r="U915" s="10"/>
      <c r="V915" s="4" t="s">
        <v>841</v>
      </c>
      <c r="W915" s="4"/>
      <c r="X915" s="8">
        <v>45285</v>
      </c>
      <c r="Y915" s="4"/>
      <c r="Z915" s="4"/>
      <c r="AA915" s="8"/>
      <c r="AB915" s="8"/>
      <c r="AC915" s="4"/>
      <c r="AD915" s="4"/>
    </row>
    <row r="916" spans="1:30" hidden="1">
      <c r="A916" s="4">
        <v>1339</v>
      </c>
      <c r="B916" s="8">
        <v>45275</v>
      </c>
      <c r="C916" s="4"/>
      <c r="D916" s="4"/>
      <c r="E916" s="8">
        <v>45298</v>
      </c>
      <c r="F916" s="4" t="s">
        <v>840</v>
      </c>
      <c r="G916" s="16" t="s">
        <v>1394</v>
      </c>
      <c r="H916" s="4" t="s">
        <v>45</v>
      </c>
      <c r="I916" s="4" t="s">
        <v>670</v>
      </c>
      <c r="J916" s="10">
        <v>0.94240000000000002</v>
      </c>
      <c r="K916" s="10"/>
      <c r="L916" s="10">
        <f t="shared" si="174"/>
        <v>0.94240000000000002</v>
      </c>
      <c r="M916" s="10">
        <f t="shared" si="175"/>
        <v>0.94240000000000002</v>
      </c>
      <c r="N916" s="10">
        <v>0.94240000000000002</v>
      </c>
      <c r="O916" s="10"/>
      <c r="P916" s="10"/>
      <c r="Q916" s="10"/>
      <c r="R916" s="10"/>
      <c r="S916" s="10"/>
      <c r="T916" s="10"/>
      <c r="U916" s="10"/>
      <c r="V916" s="4" t="s">
        <v>841</v>
      </c>
      <c r="W916" s="4" t="s">
        <v>1443</v>
      </c>
      <c r="X916" s="8"/>
      <c r="Y916" s="4"/>
      <c r="Z916" s="4"/>
      <c r="AA916" s="8"/>
      <c r="AB916" s="8"/>
      <c r="AC916" s="4"/>
      <c r="AD916" s="4"/>
    </row>
    <row r="917" spans="1:30" hidden="1">
      <c r="A917" s="4">
        <v>1340</v>
      </c>
      <c r="B917" s="8">
        <v>45275</v>
      </c>
      <c r="C917" s="4"/>
      <c r="D917" s="82" t="s">
        <v>42</v>
      </c>
      <c r="E917" s="8">
        <v>45298</v>
      </c>
      <c r="F917" s="4" t="s">
        <v>43</v>
      </c>
      <c r="G917" s="16" t="s">
        <v>44</v>
      </c>
      <c r="H917" s="4" t="s">
        <v>45</v>
      </c>
      <c r="I917" s="4" t="s">
        <v>56</v>
      </c>
      <c r="J917" s="10">
        <v>2.5161850000000001</v>
      </c>
      <c r="K917" s="10">
        <f>1.277+1.239</f>
        <v>2.516</v>
      </c>
      <c r="L917" s="10">
        <f t="shared" ref="L917:L948" si="176">M917+U917</f>
        <v>0</v>
      </c>
      <c r="M917" s="10">
        <f t="shared" ref="M917:M948" si="177">SUM(N917:T917)</f>
        <v>0</v>
      </c>
      <c r="N917" s="10"/>
      <c r="O917" s="10"/>
      <c r="P917" s="10">
        <v>0</v>
      </c>
      <c r="Q917" s="10"/>
      <c r="R917" s="10"/>
      <c r="S917" s="10"/>
      <c r="T917" s="10"/>
      <c r="U917" s="10"/>
      <c r="V917" s="4" t="s">
        <v>451</v>
      </c>
      <c r="W917" s="4"/>
      <c r="X917" s="8"/>
      <c r="Y917" s="4"/>
      <c r="Z917" s="4"/>
      <c r="AA917" s="8"/>
      <c r="AB917" s="8"/>
      <c r="AC917" s="4"/>
      <c r="AD917" s="4"/>
    </row>
    <row r="918" spans="1:30" hidden="1">
      <c r="A918" s="4">
        <v>1340</v>
      </c>
      <c r="B918" s="8">
        <v>45275</v>
      </c>
      <c r="C918" s="4"/>
      <c r="D918" s="82" t="s">
        <v>42</v>
      </c>
      <c r="E918" s="8">
        <v>45298</v>
      </c>
      <c r="F918" s="4" t="s">
        <v>43</v>
      </c>
      <c r="G918" s="16" t="s">
        <v>44</v>
      </c>
      <c r="H918" s="4" t="s">
        <v>45</v>
      </c>
      <c r="I918" s="4" t="s">
        <v>48</v>
      </c>
      <c r="J918" s="10">
        <v>5.1156000000000006</v>
      </c>
      <c r="K918" s="10">
        <f>2.192+2.193</f>
        <v>4.3849999999999998</v>
      </c>
      <c r="L918" s="10">
        <f t="shared" si="176"/>
        <v>0</v>
      </c>
      <c r="M918" s="10">
        <f t="shared" si="177"/>
        <v>0</v>
      </c>
      <c r="N918" s="10"/>
      <c r="O918" s="10"/>
      <c r="P918" s="10">
        <v>0</v>
      </c>
      <c r="Q918" s="10"/>
      <c r="R918" s="10"/>
      <c r="S918" s="10"/>
      <c r="T918" s="10"/>
      <c r="U918" s="10"/>
      <c r="V918" s="4" t="s">
        <v>451</v>
      </c>
      <c r="W918" s="4"/>
      <c r="X918" s="8"/>
      <c r="Y918" s="4"/>
      <c r="Z918" s="4"/>
      <c r="AA918" s="8"/>
      <c r="AB918" s="8"/>
      <c r="AC918" s="4"/>
      <c r="AD918" s="4"/>
    </row>
    <row r="919" spans="1:30" hidden="1">
      <c r="A919" s="4">
        <v>1340</v>
      </c>
      <c r="B919" s="8">
        <v>45275</v>
      </c>
      <c r="C919" s="4"/>
      <c r="D919" s="82" t="s">
        <v>42</v>
      </c>
      <c r="E919" s="8">
        <v>45298</v>
      </c>
      <c r="F919" s="4" t="s">
        <v>43</v>
      </c>
      <c r="G919" s="16" t="s">
        <v>44</v>
      </c>
      <c r="H919" s="4" t="s">
        <v>45</v>
      </c>
      <c r="I919" s="4" t="s">
        <v>403</v>
      </c>
      <c r="J919" s="10">
        <v>1.1191500000000001</v>
      </c>
      <c r="K919" s="10">
        <v>1.486</v>
      </c>
      <c r="L919" s="10">
        <f t="shared" si="176"/>
        <v>0</v>
      </c>
      <c r="M919" s="42">
        <f t="shared" si="177"/>
        <v>0</v>
      </c>
      <c r="N919" s="10"/>
      <c r="O919" s="10"/>
      <c r="P919" s="10"/>
      <c r="Q919" s="10"/>
      <c r="R919" s="42">
        <v>0</v>
      </c>
      <c r="S919" s="10"/>
      <c r="T919" s="10"/>
      <c r="U919" s="64"/>
      <c r="V919" s="4" t="s">
        <v>451</v>
      </c>
      <c r="W919" s="34" t="s">
        <v>1445</v>
      </c>
      <c r="X919" s="88"/>
      <c r="Y919" s="34"/>
      <c r="Z919" s="4"/>
      <c r="AA919" s="8"/>
      <c r="AB919" s="8"/>
      <c r="AC919" s="4"/>
      <c r="AD919" s="4"/>
    </row>
    <row r="920" spans="1:30" hidden="1">
      <c r="A920" s="4">
        <v>1340</v>
      </c>
      <c r="B920" s="8">
        <v>45275</v>
      </c>
      <c r="C920" s="4"/>
      <c r="D920" s="82" t="s">
        <v>42</v>
      </c>
      <c r="E920" s="8">
        <v>45298</v>
      </c>
      <c r="F920" s="4" t="s">
        <v>43</v>
      </c>
      <c r="G920" s="16" t="s">
        <v>44</v>
      </c>
      <c r="H920" s="4" t="s">
        <v>45</v>
      </c>
      <c r="I920" s="4" t="s">
        <v>46</v>
      </c>
      <c r="J920" s="10">
        <v>2.2243999999999997</v>
      </c>
      <c r="K920" s="10">
        <v>2.2240000000000002</v>
      </c>
      <c r="L920" s="10">
        <f t="shared" si="176"/>
        <v>0</v>
      </c>
      <c r="M920" s="10">
        <f t="shared" si="177"/>
        <v>0</v>
      </c>
      <c r="N920" s="10"/>
      <c r="O920" s="10"/>
      <c r="P920" s="10">
        <v>0</v>
      </c>
      <c r="Q920" s="10"/>
      <c r="R920" s="10"/>
      <c r="S920" s="10"/>
      <c r="T920" s="10"/>
      <c r="U920" s="10"/>
      <c r="V920" s="4" t="s">
        <v>451</v>
      </c>
      <c r="W920" s="4"/>
      <c r="X920" s="8"/>
      <c r="Y920" s="4"/>
      <c r="Z920" s="4"/>
      <c r="AA920" s="8"/>
      <c r="AB920" s="8"/>
      <c r="AC920" s="4"/>
      <c r="AD920" s="4"/>
    </row>
    <row r="921" spans="1:30" hidden="1">
      <c r="A921" s="4">
        <v>1340</v>
      </c>
      <c r="B921" s="8">
        <v>45275</v>
      </c>
      <c r="C921" s="4"/>
      <c r="D921" s="82" t="s">
        <v>42</v>
      </c>
      <c r="E921" s="8">
        <v>45298</v>
      </c>
      <c r="F921" s="4" t="s">
        <v>43</v>
      </c>
      <c r="G921" s="16" t="s">
        <v>44</v>
      </c>
      <c r="H921" s="4" t="s">
        <v>45</v>
      </c>
      <c r="I921" s="4" t="s">
        <v>49</v>
      </c>
      <c r="J921" s="10">
        <v>4.6736249999999995</v>
      </c>
      <c r="K921" s="10"/>
      <c r="L921" s="10">
        <f t="shared" si="176"/>
        <v>4.6736249999999995</v>
      </c>
      <c r="M921" s="10">
        <f t="shared" si="177"/>
        <v>0</v>
      </c>
      <c r="N921" s="10"/>
      <c r="O921" s="10"/>
      <c r="P921" s="10"/>
      <c r="Q921" s="10"/>
      <c r="R921" s="10"/>
      <c r="S921" s="10"/>
      <c r="T921" s="10"/>
      <c r="U921" s="77">
        <v>4.6736249999999995</v>
      </c>
      <c r="V921" s="95" t="s">
        <v>1474</v>
      </c>
      <c r="W921" s="86" t="s">
        <v>1471</v>
      </c>
      <c r="X921" s="8"/>
      <c r="Y921" s="4"/>
      <c r="Z921" s="4"/>
      <c r="AA921" s="8"/>
      <c r="AB921" s="8"/>
      <c r="AC921" s="4"/>
      <c r="AD921" s="4"/>
    </row>
    <row r="922" spans="1:30" hidden="1">
      <c r="A922" s="4">
        <v>1340</v>
      </c>
      <c r="B922" s="8">
        <v>45275</v>
      </c>
      <c r="C922" s="4"/>
      <c r="D922" s="82" t="s">
        <v>42</v>
      </c>
      <c r="E922" s="8">
        <v>45298</v>
      </c>
      <c r="F922" s="4" t="s">
        <v>43</v>
      </c>
      <c r="G922" s="16" t="s">
        <v>44</v>
      </c>
      <c r="H922" s="4" t="s">
        <v>45</v>
      </c>
      <c r="I922" s="4" t="s">
        <v>50</v>
      </c>
      <c r="J922" s="10">
        <v>1.2900799999999999</v>
      </c>
      <c r="K922" s="10">
        <v>1.7150000000000001</v>
      </c>
      <c r="L922" s="10">
        <f t="shared" si="176"/>
        <v>0</v>
      </c>
      <c r="M922" s="42">
        <f t="shared" si="177"/>
        <v>0</v>
      </c>
      <c r="N922" s="10"/>
      <c r="O922" s="10"/>
      <c r="P922" s="10"/>
      <c r="Q922" s="10"/>
      <c r="R922" s="77">
        <v>0</v>
      </c>
      <c r="S922" s="10"/>
      <c r="T922" s="10"/>
      <c r="U922" s="10"/>
      <c r="V922" s="95" t="s">
        <v>1475</v>
      </c>
      <c r="W922" s="34" t="s">
        <v>1447</v>
      </c>
      <c r="X922" s="8"/>
      <c r="Y922" s="4"/>
      <c r="Z922" s="4"/>
      <c r="AA922" s="8"/>
      <c r="AB922" s="8"/>
      <c r="AC922" s="4"/>
      <c r="AD922" s="4"/>
    </row>
    <row r="923" spans="1:30" hidden="1">
      <c r="A923" s="4">
        <v>1340</v>
      </c>
      <c r="B923" s="8">
        <v>45275</v>
      </c>
      <c r="C923" s="4"/>
      <c r="D923" s="82" t="s">
        <v>42</v>
      </c>
      <c r="E923" s="8">
        <v>45298</v>
      </c>
      <c r="F923" s="4" t="s">
        <v>43</v>
      </c>
      <c r="G923" s="16" t="s">
        <v>44</v>
      </c>
      <c r="H923" s="4" t="s">
        <v>45</v>
      </c>
      <c r="I923" s="4" t="s">
        <v>407</v>
      </c>
      <c r="J923" s="10">
        <v>3.5594600000000001</v>
      </c>
      <c r="K923" s="10">
        <v>3.5510000000000002</v>
      </c>
      <c r="L923" s="10">
        <f t="shared" si="176"/>
        <v>0</v>
      </c>
      <c r="M923" s="42">
        <f t="shared" si="177"/>
        <v>0</v>
      </c>
      <c r="N923" s="10"/>
      <c r="O923" s="10"/>
      <c r="P923" s="10"/>
      <c r="Q923" s="10"/>
      <c r="R923" s="77">
        <v>0</v>
      </c>
      <c r="S923" s="10"/>
      <c r="T923" s="10"/>
      <c r="U923" s="10"/>
      <c r="V923" s="87" t="s">
        <v>1470</v>
      </c>
      <c r="W923" s="34" t="s">
        <v>1446</v>
      </c>
      <c r="X923" s="88"/>
      <c r="Y923" s="4"/>
      <c r="Z923" s="4"/>
      <c r="AA923" s="8"/>
      <c r="AB923" s="8"/>
      <c r="AC923" s="4"/>
      <c r="AD923" s="4"/>
    </row>
    <row r="924" spans="1:30" hidden="1">
      <c r="A924" s="4">
        <v>1340</v>
      </c>
      <c r="B924" s="8">
        <v>45275</v>
      </c>
      <c r="C924" s="4"/>
      <c r="D924" s="82" t="s">
        <v>42</v>
      </c>
      <c r="E924" s="8">
        <v>45298</v>
      </c>
      <c r="F924" s="4" t="s">
        <v>43</v>
      </c>
      <c r="G924" s="16" t="s">
        <v>44</v>
      </c>
      <c r="H924" s="4" t="s">
        <v>45</v>
      </c>
      <c r="I924" s="4" t="s">
        <v>517</v>
      </c>
      <c r="J924" s="10">
        <v>1.566446</v>
      </c>
      <c r="K924" s="10"/>
      <c r="L924" s="10">
        <f t="shared" si="176"/>
        <v>1.566446</v>
      </c>
      <c r="M924" s="10">
        <f t="shared" si="177"/>
        <v>1.566446</v>
      </c>
      <c r="N924" s="10"/>
      <c r="O924" s="10"/>
      <c r="P924" s="10">
        <v>1.566446</v>
      </c>
      <c r="Q924" s="10"/>
      <c r="R924" s="10"/>
      <c r="S924" s="10"/>
      <c r="T924" s="10"/>
      <c r="U924" s="10"/>
      <c r="V924" s="4" t="s">
        <v>451</v>
      </c>
      <c r="W924" s="4"/>
      <c r="X924" s="8">
        <v>45295</v>
      </c>
      <c r="Y924" s="4"/>
      <c r="Z924" s="4"/>
      <c r="AA924" s="8"/>
      <c r="AB924" s="8"/>
      <c r="AC924" s="4"/>
      <c r="AD924" s="4"/>
    </row>
    <row r="925" spans="1:30" hidden="1">
      <c r="A925" s="4">
        <v>1340</v>
      </c>
      <c r="B925" s="8">
        <v>45275</v>
      </c>
      <c r="C925" s="4"/>
      <c r="D925" s="82" t="s">
        <v>42</v>
      </c>
      <c r="E925" s="8">
        <v>45298</v>
      </c>
      <c r="F925" s="4" t="s">
        <v>43</v>
      </c>
      <c r="G925" s="16" t="s">
        <v>44</v>
      </c>
      <c r="H925" s="4" t="s">
        <v>45</v>
      </c>
      <c r="I925" s="4" t="s">
        <v>579</v>
      </c>
      <c r="J925" s="10">
        <v>2.528</v>
      </c>
      <c r="K925" s="10"/>
      <c r="L925" s="42">
        <f t="shared" si="176"/>
        <v>2.528</v>
      </c>
      <c r="M925" s="10">
        <f t="shared" si="177"/>
        <v>2.528</v>
      </c>
      <c r="N925" s="10"/>
      <c r="O925" s="10"/>
      <c r="P925" s="10"/>
      <c r="Q925" s="10"/>
      <c r="R925" s="77">
        <v>2.528</v>
      </c>
      <c r="S925" s="10"/>
      <c r="T925" s="64"/>
      <c r="U925" s="64"/>
      <c r="V925" s="4" t="s">
        <v>451</v>
      </c>
      <c r="W925" s="34" t="s">
        <v>1449</v>
      </c>
      <c r="X925" s="88"/>
      <c r="Y925" s="4"/>
      <c r="Z925" s="4"/>
      <c r="AA925" s="8"/>
      <c r="AB925" s="8"/>
      <c r="AC925" s="4"/>
      <c r="AD925" s="4"/>
    </row>
    <row r="926" spans="1:30" hidden="1">
      <c r="A926" s="4">
        <v>1340</v>
      </c>
      <c r="B926" s="8">
        <v>45275</v>
      </c>
      <c r="C926" s="4"/>
      <c r="D926" s="82" t="s">
        <v>42</v>
      </c>
      <c r="E926" s="8">
        <v>45298</v>
      </c>
      <c r="F926" s="4" t="s">
        <v>43</v>
      </c>
      <c r="G926" s="16" t="s">
        <v>44</v>
      </c>
      <c r="H926" s="4" t="s">
        <v>45</v>
      </c>
      <c r="I926" s="4" t="s">
        <v>449</v>
      </c>
      <c r="J926" s="10">
        <v>0.57299999999999995</v>
      </c>
      <c r="K926" s="10">
        <v>0.86</v>
      </c>
      <c r="L926" s="42">
        <f t="shared" si="176"/>
        <v>0</v>
      </c>
      <c r="M926" s="10">
        <f t="shared" si="177"/>
        <v>0</v>
      </c>
      <c r="N926" s="10"/>
      <c r="O926" s="10"/>
      <c r="P926" s="10"/>
      <c r="Q926" s="10"/>
      <c r="R926" s="10"/>
      <c r="S926" s="10"/>
      <c r="T926" s="10"/>
      <c r="U926" s="42">
        <v>0</v>
      </c>
      <c r="V926" s="4" t="s">
        <v>451</v>
      </c>
      <c r="W926" s="34" t="s">
        <v>1450</v>
      </c>
      <c r="X926" s="88"/>
      <c r="Y926" s="4"/>
      <c r="Z926" s="4"/>
      <c r="AA926" s="8"/>
      <c r="AB926" s="8"/>
      <c r="AC926" s="4"/>
      <c r="AD926" s="4"/>
    </row>
    <row r="927" spans="1:30" hidden="1">
      <c r="A927" s="4">
        <v>1340</v>
      </c>
      <c r="B927" s="8">
        <v>45275</v>
      </c>
      <c r="C927" s="4"/>
      <c r="D927" s="82" t="s">
        <v>42</v>
      </c>
      <c r="E927" s="8">
        <v>45298</v>
      </c>
      <c r="F927" s="4" t="s">
        <v>43</v>
      </c>
      <c r="G927" s="16" t="s">
        <v>44</v>
      </c>
      <c r="H927" s="4" t="s">
        <v>45</v>
      </c>
      <c r="I927" s="4" t="s">
        <v>447</v>
      </c>
      <c r="J927" s="10">
        <v>0.64816200000000002</v>
      </c>
      <c r="K927" s="10"/>
      <c r="L927" s="42">
        <f t="shared" si="176"/>
        <v>0.64816200000000002</v>
      </c>
      <c r="M927" s="10">
        <f t="shared" si="177"/>
        <v>0.64816200000000002</v>
      </c>
      <c r="N927" s="10"/>
      <c r="O927" s="10"/>
      <c r="P927" s="10"/>
      <c r="Q927" s="10"/>
      <c r="R927" s="77">
        <v>0.64816200000000002</v>
      </c>
      <c r="S927" s="10"/>
      <c r="T927" s="64"/>
      <c r="U927" s="64"/>
      <c r="V927" s="4" t="s">
        <v>451</v>
      </c>
      <c r="W927" s="34" t="s">
        <v>1448</v>
      </c>
      <c r="X927" s="88"/>
      <c r="Y927" s="4"/>
      <c r="Z927" s="4"/>
      <c r="AA927" s="8"/>
      <c r="AB927" s="8"/>
      <c r="AC927" s="4"/>
      <c r="AD927" s="4"/>
    </row>
    <row r="928" spans="1:30" hidden="1">
      <c r="A928" s="4">
        <v>1340</v>
      </c>
      <c r="B928" s="8">
        <v>45275</v>
      </c>
      <c r="C928" s="4"/>
      <c r="D928" s="82" t="s">
        <v>42</v>
      </c>
      <c r="E928" s="8">
        <v>45298</v>
      </c>
      <c r="F928" s="4" t="s">
        <v>43</v>
      </c>
      <c r="G928" s="16" t="s">
        <v>44</v>
      </c>
      <c r="H928" s="4" t="s">
        <v>45</v>
      </c>
      <c r="I928" s="4" t="s">
        <v>518</v>
      </c>
      <c r="J928" s="10">
        <v>1.81995</v>
      </c>
      <c r="K928" s="10">
        <v>2.6030000000000002</v>
      </c>
      <c r="L928" s="42">
        <f t="shared" si="176"/>
        <v>0</v>
      </c>
      <c r="M928" s="10">
        <f t="shared" si="177"/>
        <v>0</v>
      </c>
      <c r="N928" s="10"/>
      <c r="O928" s="10"/>
      <c r="P928" s="10"/>
      <c r="Q928" s="10"/>
      <c r="R928" s="10"/>
      <c r="S928" s="10"/>
      <c r="T928" s="10"/>
      <c r="U928" s="42"/>
      <c r="V928" s="4" t="s">
        <v>451</v>
      </c>
      <c r="W928" s="34" t="s">
        <v>1451</v>
      </c>
      <c r="X928" s="88"/>
      <c r="Y928" s="4"/>
      <c r="Z928" s="4"/>
      <c r="AA928" s="8"/>
      <c r="AB928" s="8"/>
      <c r="AC928" s="4"/>
      <c r="AD928" s="4"/>
    </row>
    <row r="929" spans="1:30" hidden="1">
      <c r="A929" s="4">
        <v>1340</v>
      </c>
      <c r="B929" s="8">
        <v>45275</v>
      </c>
      <c r="C929" s="4"/>
      <c r="D929" s="82" t="s">
        <v>42</v>
      </c>
      <c r="E929" s="8">
        <v>45298</v>
      </c>
      <c r="F929" s="4" t="s">
        <v>43</v>
      </c>
      <c r="G929" s="16" t="s">
        <v>44</v>
      </c>
      <c r="H929" s="4" t="s">
        <v>45</v>
      </c>
      <c r="I929" s="4" t="s">
        <v>95</v>
      </c>
      <c r="J929" s="10">
        <v>1.1109700000000002</v>
      </c>
      <c r="K929" s="10"/>
      <c r="L929" s="10">
        <f t="shared" si="176"/>
        <v>1.1109700000000002</v>
      </c>
      <c r="M929" s="10">
        <f t="shared" si="177"/>
        <v>1.1109700000000002</v>
      </c>
      <c r="N929" s="10"/>
      <c r="O929" s="64"/>
      <c r="P929" s="64">
        <v>1.1109700000000002</v>
      </c>
      <c r="Q929" s="10"/>
      <c r="R929" s="10"/>
      <c r="S929" s="10"/>
      <c r="T929" s="64"/>
      <c r="U929" s="64"/>
      <c r="V929" s="4" t="s">
        <v>451</v>
      </c>
      <c r="W929" s="4"/>
      <c r="X929" s="8">
        <v>45293</v>
      </c>
      <c r="Y929" s="4"/>
      <c r="Z929" s="4"/>
      <c r="AA929" s="8"/>
      <c r="AB929" s="8"/>
      <c r="AC929" s="4"/>
      <c r="AD929" s="4"/>
    </row>
    <row r="930" spans="1:30" hidden="1">
      <c r="A930" s="4">
        <v>1340</v>
      </c>
      <c r="B930" s="8">
        <v>45275</v>
      </c>
      <c r="C930" s="4"/>
      <c r="D930" s="82" t="s">
        <v>42</v>
      </c>
      <c r="E930" s="8">
        <v>45298</v>
      </c>
      <c r="F930" s="4" t="s">
        <v>43</v>
      </c>
      <c r="G930" s="16" t="s">
        <v>44</v>
      </c>
      <c r="H930" s="4" t="s">
        <v>45</v>
      </c>
      <c r="I930" s="4" t="s">
        <v>472</v>
      </c>
      <c r="J930" s="10">
        <v>1.3963399999999999</v>
      </c>
      <c r="K930" s="10"/>
      <c r="L930" s="10">
        <f t="shared" si="176"/>
        <v>1.3963399999999999</v>
      </c>
      <c r="M930" s="10">
        <f t="shared" si="177"/>
        <v>0</v>
      </c>
      <c r="N930" s="10"/>
      <c r="O930" s="10"/>
      <c r="P930" s="10"/>
      <c r="Q930" s="10"/>
      <c r="R930" s="10"/>
      <c r="S930" s="10"/>
      <c r="T930" s="10"/>
      <c r="U930" s="10">
        <v>1.3963399999999999</v>
      </c>
      <c r="V930" s="4" t="s">
        <v>451</v>
      </c>
      <c r="W930" s="4"/>
      <c r="X930" s="8"/>
      <c r="Y930" s="4"/>
      <c r="Z930" s="4"/>
      <c r="AA930" s="8"/>
      <c r="AB930" s="8"/>
      <c r="AC930" s="4"/>
      <c r="AD930" s="4"/>
    </row>
    <row r="931" spans="1:30" hidden="1">
      <c r="A931" s="4">
        <v>1340</v>
      </c>
      <c r="B931" s="8">
        <v>45275</v>
      </c>
      <c r="C931" s="4"/>
      <c r="D931" s="82" t="s">
        <v>42</v>
      </c>
      <c r="E931" s="8">
        <v>45298</v>
      </c>
      <c r="F931" s="4" t="s">
        <v>43</v>
      </c>
      <c r="G931" s="16" t="s">
        <v>44</v>
      </c>
      <c r="H931" s="4" t="s">
        <v>45</v>
      </c>
      <c r="I931" s="4" t="s">
        <v>473</v>
      </c>
      <c r="J931" s="10">
        <v>2.312506</v>
      </c>
      <c r="K931" s="10"/>
      <c r="L931" s="10">
        <f t="shared" si="176"/>
        <v>2.312506</v>
      </c>
      <c r="M931" s="10">
        <f t="shared" si="177"/>
        <v>0</v>
      </c>
      <c r="N931" s="10"/>
      <c r="O931" s="10"/>
      <c r="P931" s="10"/>
      <c r="Q931" s="10"/>
      <c r="R931" s="10"/>
      <c r="S931" s="10"/>
      <c r="T931" s="10"/>
      <c r="U931" s="10">
        <v>2.312506</v>
      </c>
      <c r="V931" s="4" t="s">
        <v>451</v>
      </c>
      <c r="W931" s="4"/>
      <c r="X931" s="8"/>
      <c r="Y931" s="4"/>
      <c r="Z931" s="4"/>
      <c r="AA931" s="8"/>
      <c r="AB931" s="8"/>
      <c r="AC931" s="4"/>
      <c r="AD931" s="4"/>
    </row>
    <row r="932" spans="1:30" hidden="1">
      <c r="A932" s="4">
        <v>1340</v>
      </c>
      <c r="B932" s="8">
        <v>45275</v>
      </c>
      <c r="C932" s="4"/>
      <c r="D932" s="82" t="s">
        <v>42</v>
      </c>
      <c r="E932" s="8">
        <v>45298</v>
      </c>
      <c r="F932" s="4" t="s">
        <v>43</v>
      </c>
      <c r="G932" s="16" t="s">
        <v>44</v>
      </c>
      <c r="H932" s="4" t="s">
        <v>45</v>
      </c>
      <c r="I932" s="4" t="s">
        <v>235</v>
      </c>
      <c r="J932" s="10">
        <v>2.8151999999999999</v>
      </c>
      <c r="K932" s="10"/>
      <c r="L932" s="10">
        <f t="shared" si="176"/>
        <v>2.8151999999999999</v>
      </c>
      <c r="M932" s="10">
        <f t="shared" si="177"/>
        <v>0</v>
      </c>
      <c r="N932" s="10"/>
      <c r="O932" s="10"/>
      <c r="P932" s="10"/>
      <c r="Q932" s="10"/>
      <c r="R932" s="10"/>
      <c r="S932" s="10"/>
      <c r="T932" s="10"/>
      <c r="U932" s="10">
        <v>2.8151999999999999</v>
      </c>
      <c r="V932" s="4" t="s">
        <v>451</v>
      </c>
      <c r="W932" s="4"/>
      <c r="X932" s="8"/>
      <c r="Y932" s="4"/>
      <c r="Z932" s="4"/>
      <c r="AA932" s="8"/>
      <c r="AB932" s="8"/>
      <c r="AC932" s="4"/>
      <c r="AD932" s="4"/>
    </row>
    <row r="933" spans="1:30" hidden="1">
      <c r="A933" s="4">
        <v>1340</v>
      </c>
      <c r="B933" s="8">
        <v>45275</v>
      </c>
      <c r="C933" s="4"/>
      <c r="D933" s="82" t="s">
        <v>42</v>
      </c>
      <c r="E933" s="8">
        <v>45298</v>
      </c>
      <c r="F933" s="4" t="s">
        <v>43</v>
      </c>
      <c r="G933" s="16" t="s">
        <v>44</v>
      </c>
      <c r="H933" s="4" t="s">
        <v>45</v>
      </c>
      <c r="I933" s="4" t="s">
        <v>100</v>
      </c>
      <c r="J933" s="10">
        <v>1.54</v>
      </c>
      <c r="K933" s="10">
        <v>1.514</v>
      </c>
      <c r="L933" s="10">
        <f t="shared" si="176"/>
        <v>0</v>
      </c>
      <c r="M933" s="10">
        <f t="shared" si="177"/>
        <v>0</v>
      </c>
      <c r="N933" s="10"/>
      <c r="O933" s="10"/>
      <c r="P933" s="10">
        <v>0</v>
      </c>
      <c r="Q933" s="10"/>
      <c r="R933" s="10"/>
      <c r="S933" s="10"/>
      <c r="T933" s="10"/>
      <c r="U933" s="10"/>
      <c r="V933" s="4" t="s">
        <v>451</v>
      </c>
      <c r="W933" s="4"/>
      <c r="X933" s="8">
        <v>45286</v>
      </c>
      <c r="Y933" s="4"/>
      <c r="Z933" s="4"/>
      <c r="AA933" s="8"/>
      <c r="AB933" s="8"/>
      <c r="AC933" s="4"/>
      <c r="AD933" s="4"/>
    </row>
    <row r="934" spans="1:30" hidden="1">
      <c r="A934" s="4">
        <v>1340</v>
      </c>
      <c r="B934" s="8">
        <v>45275</v>
      </c>
      <c r="C934" s="4"/>
      <c r="D934" s="82" t="s">
        <v>42</v>
      </c>
      <c r="E934" s="8">
        <v>45298</v>
      </c>
      <c r="F934" s="4" t="s">
        <v>43</v>
      </c>
      <c r="G934" s="16" t="s">
        <v>44</v>
      </c>
      <c r="H934" s="4" t="s">
        <v>45</v>
      </c>
      <c r="I934" s="4" t="s">
        <v>96</v>
      </c>
      <c r="J934" s="10">
        <v>2.675424</v>
      </c>
      <c r="K934" s="10">
        <v>2.6760000000000002</v>
      </c>
      <c r="L934" s="10">
        <f t="shared" si="176"/>
        <v>0</v>
      </c>
      <c r="M934" s="10">
        <f t="shared" si="177"/>
        <v>0</v>
      </c>
      <c r="N934" s="10"/>
      <c r="O934" s="10"/>
      <c r="P934" s="10">
        <v>0</v>
      </c>
      <c r="Q934" s="10"/>
      <c r="R934" s="10"/>
      <c r="S934" s="10"/>
      <c r="T934" s="10"/>
      <c r="U934" s="10"/>
      <c r="V934" s="4" t="s">
        <v>451</v>
      </c>
      <c r="W934" s="4"/>
      <c r="X934" s="8">
        <v>45286</v>
      </c>
      <c r="Y934" s="4"/>
      <c r="Z934" s="4"/>
      <c r="AA934" s="8"/>
      <c r="AB934" s="8"/>
      <c r="AC934" s="4"/>
      <c r="AD934" s="4"/>
    </row>
    <row r="935" spans="1:30" hidden="1">
      <c r="A935" s="4">
        <v>1340</v>
      </c>
      <c r="B935" s="8">
        <v>45275</v>
      </c>
      <c r="C935" s="4"/>
      <c r="D935" s="82" t="s">
        <v>42</v>
      </c>
      <c r="E935" s="8">
        <v>45298</v>
      </c>
      <c r="F935" s="4" t="s">
        <v>43</v>
      </c>
      <c r="G935" s="16" t="s">
        <v>44</v>
      </c>
      <c r="H935" s="4" t="s">
        <v>45</v>
      </c>
      <c r="I935" s="4" t="s">
        <v>97</v>
      </c>
      <c r="J935" s="10">
        <v>0.72072000000000003</v>
      </c>
      <c r="K935" s="10"/>
      <c r="L935" s="10">
        <f t="shared" si="176"/>
        <v>0.72072000000000003</v>
      </c>
      <c r="M935" s="10">
        <f t="shared" si="177"/>
        <v>0.72072000000000003</v>
      </c>
      <c r="N935" s="10"/>
      <c r="O935" s="10"/>
      <c r="P935" s="10"/>
      <c r="Q935" s="10"/>
      <c r="R935" s="77">
        <v>0.72072000000000003</v>
      </c>
      <c r="S935" s="10"/>
      <c r="T935" s="10"/>
      <c r="U935" s="10"/>
      <c r="V935" s="4" t="s">
        <v>451</v>
      </c>
      <c r="W935" s="104" t="s">
        <v>521</v>
      </c>
      <c r="X935" s="8"/>
      <c r="Y935" s="4"/>
      <c r="Z935" s="4"/>
      <c r="AA935" s="8"/>
      <c r="AB935" s="8"/>
      <c r="AC935" s="4"/>
      <c r="AD935" s="4"/>
    </row>
    <row r="936" spans="1:30" hidden="1">
      <c r="A936" s="4">
        <v>1340</v>
      </c>
      <c r="B936" s="8">
        <v>45275</v>
      </c>
      <c r="C936" s="4"/>
      <c r="D936" s="82" t="s">
        <v>42</v>
      </c>
      <c r="E936" s="8">
        <v>45298</v>
      </c>
      <c r="F936" s="4" t="s">
        <v>43</v>
      </c>
      <c r="G936" s="16" t="s">
        <v>1395</v>
      </c>
      <c r="H936" s="4" t="s">
        <v>52</v>
      </c>
      <c r="I936" s="4" t="s">
        <v>56</v>
      </c>
      <c r="J936" s="10">
        <v>4.0269690000000002</v>
      </c>
      <c r="K936" s="10">
        <f>2.215+1.856</f>
        <v>4.0709999999999997</v>
      </c>
      <c r="L936" s="10">
        <f t="shared" si="176"/>
        <v>0</v>
      </c>
      <c r="M936" s="10">
        <f t="shared" si="177"/>
        <v>0</v>
      </c>
      <c r="N936" s="10"/>
      <c r="O936" s="10"/>
      <c r="P936" s="10">
        <v>0</v>
      </c>
      <c r="Q936" s="10"/>
      <c r="R936" s="10"/>
      <c r="S936" s="10"/>
      <c r="T936" s="10"/>
      <c r="U936" s="10"/>
      <c r="V936" s="4" t="s">
        <v>451</v>
      </c>
      <c r="W936" s="4"/>
      <c r="X936" s="8"/>
      <c r="Y936" s="4"/>
      <c r="Z936" s="4"/>
      <c r="AA936" s="8"/>
      <c r="AB936" s="8"/>
      <c r="AC936" s="4"/>
      <c r="AD936" s="4"/>
    </row>
    <row r="937" spans="1:30" hidden="1">
      <c r="A937" s="4">
        <v>1340</v>
      </c>
      <c r="B937" s="8">
        <v>45275</v>
      </c>
      <c r="C937" s="4"/>
      <c r="D937" s="82" t="s">
        <v>42</v>
      </c>
      <c r="E937" s="8">
        <v>45298</v>
      </c>
      <c r="F937" s="4" t="s">
        <v>43</v>
      </c>
      <c r="G937" s="16" t="s">
        <v>1395</v>
      </c>
      <c r="H937" s="4" t="s">
        <v>52</v>
      </c>
      <c r="I937" s="4" t="s">
        <v>48</v>
      </c>
      <c r="J937" s="10">
        <v>2.42991</v>
      </c>
      <c r="K937" s="10">
        <f>1.559+0.982</f>
        <v>2.5409999999999999</v>
      </c>
      <c r="L937" s="10">
        <f t="shared" si="176"/>
        <v>0</v>
      </c>
      <c r="M937" s="42">
        <f t="shared" si="177"/>
        <v>0</v>
      </c>
      <c r="N937" s="10"/>
      <c r="O937" s="10"/>
      <c r="P937" s="10"/>
      <c r="Q937" s="10"/>
      <c r="R937" s="77">
        <v>0</v>
      </c>
      <c r="S937" s="10"/>
      <c r="T937" s="10"/>
      <c r="U937" s="10"/>
      <c r="V937" s="4" t="s">
        <v>451</v>
      </c>
      <c r="W937" s="34" t="s">
        <v>1458</v>
      </c>
      <c r="X937" s="88"/>
      <c r="Y937" s="34"/>
      <c r="Z937" s="34"/>
      <c r="AA937" s="8"/>
      <c r="AB937" s="8"/>
      <c r="AC937" s="4"/>
      <c r="AD937" s="4"/>
    </row>
    <row r="938" spans="1:30" hidden="1">
      <c r="A938" s="4">
        <v>1340</v>
      </c>
      <c r="B938" s="8">
        <v>45275</v>
      </c>
      <c r="C938" s="4"/>
      <c r="D938" s="82" t="s">
        <v>42</v>
      </c>
      <c r="E938" s="8">
        <v>45298</v>
      </c>
      <c r="F938" s="4" t="s">
        <v>43</v>
      </c>
      <c r="G938" s="16" t="s">
        <v>1395</v>
      </c>
      <c r="H938" s="4" t="s">
        <v>52</v>
      </c>
      <c r="I938" s="4" t="s">
        <v>403</v>
      </c>
      <c r="J938" s="10">
        <v>0.63003999999999993</v>
      </c>
      <c r="K938" s="10">
        <v>0.77800000000000002</v>
      </c>
      <c r="L938" s="10">
        <f t="shared" si="176"/>
        <v>0</v>
      </c>
      <c r="M938" s="42">
        <f t="shared" si="177"/>
        <v>0</v>
      </c>
      <c r="N938" s="10"/>
      <c r="O938" s="10"/>
      <c r="P938" s="10"/>
      <c r="Q938" s="10"/>
      <c r="R938" s="77">
        <v>0</v>
      </c>
      <c r="S938" s="10"/>
      <c r="T938" s="10"/>
      <c r="U938" s="64"/>
      <c r="V938" s="4" t="s">
        <v>451</v>
      </c>
      <c r="W938" s="34" t="s">
        <v>1444</v>
      </c>
      <c r="X938" s="88"/>
      <c r="Y938" s="34"/>
      <c r="Z938" s="34"/>
      <c r="AA938" s="8"/>
      <c r="AB938" s="8"/>
      <c r="AC938" s="4"/>
      <c r="AD938" s="4"/>
    </row>
    <row r="939" spans="1:30" hidden="1">
      <c r="A939" s="4">
        <v>1340</v>
      </c>
      <c r="B939" s="8">
        <v>45275</v>
      </c>
      <c r="C939" s="4"/>
      <c r="D939" s="82" t="s">
        <v>42</v>
      </c>
      <c r="E939" s="8">
        <v>45298</v>
      </c>
      <c r="F939" s="4" t="s">
        <v>43</v>
      </c>
      <c r="G939" s="16" t="s">
        <v>1395</v>
      </c>
      <c r="H939" s="4" t="s">
        <v>52</v>
      </c>
      <c r="I939" s="4" t="s">
        <v>46</v>
      </c>
      <c r="J939" s="10">
        <v>1.5677999999999999</v>
      </c>
      <c r="K939" s="10">
        <f>0.482+1.272</f>
        <v>1.754</v>
      </c>
      <c r="L939" s="10">
        <f t="shared" si="176"/>
        <v>0</v>
      </c>
      <c r="M939" s="42">
        <f t="shared" si="177"/>
        <v>0</v>
      </c>
      <c r="N939" s="10"/>
      <c r="O939" s="10"/>
      <c r="P939" s="10"/>
      <c r="Q939" s="10"/>
      <c r="R939" s="77">
        <v>0</v>
      </c>
      <c r="S939" s="10"/>
      <c r="T939" s="10"/>
      <c r="U939" s="64"/>
      <c r="V939" s="4" t="s">
        <v>451</v>
      </c>
      <c r="W939" s="34" t="s">
        <v>1455</v>
      </c>
      <c r="X939" s="88"/>
      <c r="Y939" s="34"/>
      <c r="Z939" s="34"/>
      <c r="AA939" s="8"/>
      <c r="AB939" s="8"/>
      <c r="AC939" s="4"/>
      <c r="AD939" s="4"/>
    </row>
    <row r="940" spans="1:30" hidden="1">
      <c r="A940" s="4">
        <v>1340</v>
      </c>
      <c r="B940" s="8">
        <v>45275</v>
      </c>
      <c r="C940" s="4"/>
      <c r="D940" s="82" t="s">
        <v>42</v>
      </c>
      <c r="E940" s="8">
        <v>45298</v>
      </c>
      <c r="F940" s="4" t="s">
        <v>43</v>
      </c>
      <c r="G940" s="16" t="s">
        <v>1395</v>
      </c>
      <c r="H940" s="4" t="s">
        <v>52</v>
      </c>
      <c r="I940" s="4" t="s">
        <v>50</v>
      </c>
      <c r="J940" s="10">
        <v>2.6241400000000001</v>
      </c>
      <c r="K940" s="10"/>
      <c r="L940" s="10">
        <f t="shared" si="176"/>
        <v>2.6241400000000001</v>
      </c>
      <c r="M940" s="10">
        <f t="shared" si="177"/>
        <v>0</v>
      </c>
      <c r="N940" s="10"/>
      <c r="O940" s="10"/>
      <c r="P940" s="10"/>
      <c r="Q940" s="10"/>
      <c r="R940" s="28"/>
      <c r="S940" s="10"/>
      <c r="T940" s="10"/>
      <c r="U940" s="94">
        <v>2.6241400000000001</v>
      </c>
      <c r="V940" s="95" t="s">
        <v>1474</v>
      </c>
      <c r="W940" s="86" t="s">
        <v>1471</v>
      </c>
      <c r="X940" s="88"/>
      <c r="Y940" s="34"/>
      <c r="Z940" s="4"/>
      <c r="AA940" s="8"/>
      <c r="AB940" s="8"/>
      <c r="AC940" s="4"/>
      <c r="AD940" s="4"/>
    </row>
    <row r="941" spans="1:30" hidden="1">
      <c r="A941" s="4">
        <v>1340</v>
      </c>
      <c r="B941" s="8">
        <v>45275</v>
      </c>
      <c r="C941" s="4"/>
      <c r="D941" s="82" t="s">
        <v>42</v>
      </c>
      <c r="E941" s="8">
        <v>45298</v>
      </c>
      <c r="F941" s="4" t="s">
        <v>43</v>
      </c>
      <c r="G941" s="16" t="s">
        <v>1395</v>
      </c>
      <c r="H941" s="4" t="s">
        <v>52</v>
      </c>
      <c r="I941" s="4" t="s">
        <v>410</v>
      </c>
      <c r="J941" s="10">
        <v>0.56356799999999996</v>
      </c>
      <c r="K941" s="10">
        <v>0.56399999999999995</v>
      </c>
      <c r="L941" s="10">
        <f t="shared" si="176"/>
        <v>0</v>
      </c>
      <c r="M941" s="10">
        <f t="shared" si="177"/>
        <v>0</v>
      </c>
      <c r="N941" s="10"/>
      <c r="O941" s="10">
        <v>0</v>
      </c>
      <c r="P941" s="10"/>
      <c r="Q941" s="10"/>
      <c r="R941" s="10"/>
      <c r="S941" s="10"/>
      <c r="T941" s="10"/>
      <c r="U941" s="10"/>
      <c r="V941" s="4" t="s">
        <v>451</v>
      </c>
      <c r="W941" s="4"/>
      <c r="X941" s="8">
        <v>45282</v>
      </c>
      <c r="Y941" s="4"/>
      <c r="Z941" s="4"/>
      <c r="AA941" s="8"/>
      <c r="AB941" s="8"/>
      <c r="AC941" s="4"/>
      <c r="AD941" s="4"/>
    </row>
    <row r="942" spans="1:30" hidden="1">
      <c r="A942" s="4">
        <v>1340</v>
      </c>
      <c r="B942" s="8">
        <v>45275</v>
      </c>
      <c r="C942" s="4"/>
      <c r="D942" s="82" t="s">
        <v>42</v>
      </c>
      <c r="E942" s="8">
        <v>45298</v>
      </c>
      <c r="F942" s="4" t="s">
        <v>43</v>
      </c>
      <c r="G942" s="16" t="s">
        <v>1395</v>
      </c>
      <c r="H942" s="4" t="s">
        <v>52</v>
      </c>
      <c r="I942" s="4" t="s">
        <v>95</v>
      </c>
      <c r="J942" s="10">
        <v>1.1055899999999999</v>
      </c>
      <c r="K942" s="10"/>
      <c r="L942" s="10">
        <f t="shared" si="176"/>
        <v>1.1055899999999999</v>
      </c>
      <c r="M942" s="10">
        <f t="shared" si="177"/>
        <v>1.1055899999999999</v>
      </c>
      <c r="N942" s="10"/>
      <c r="O942" s="10"/>
      <c r="P942" s="10"/>
      <c r="Q942" s="10"/>
      <c r="R942" s="10">
        <v>1.1055899999999999</v>
      </c>
      <c r="S942" s="10"/>
      <c r="T942" s="10"/>
      <c r="U942" s="10"/>
      <c r="V942" s="4" t="s">
        <v>451</v>
      </c>
      <c r="W942" s="4"/>
      <c r="X942" s="8">
        <v>45293</v>
      </c>
      <c r="Y942" s="4"/>
      <c r="Z942" s="4"/>
      <c r="AA942" s="8"/>
      <c r="AB942" s="8"/>
      <c r="AC942" s="4"/>
      <c r="AD942" s="4"/>
    </row>
    <row r="943" spans="1:30" hidden="1">
      <c r="A943" s="4">
        <v>1340</v>
      </c>
      <c r="B943" s="8">
        <v>45275</v>
      </c>
      <c r="C943" s="4"/>
      <c r="D943" s="82" t="s">
        <v>42</v>
      </c>
      <c r="E943" s="8">
        <v>45298</v>
      </c>
      <c r="F943" s="4" t="s">
        <v>43</v>
      </c>
      <c r="G943" s="16" t="s">
        <v>1395</v>
      </c>
      <c r="H943" s="4" t="s">
        <v>52</v>
      </c>
      <c r="I943" s="4" t="s">
        <v>1426</v>
      </c>
      <c r="J943" s="10">
        <v>0.40895999999999999</v>
      </c>
      <c r="K943" s="10"/>
      <c r="L943" s="10">
        <f t="shared" si="176"/>
        <v>0.40895999999999999</v>
      </c>
      <c r="M943" s="10">
        <f t="shared" si="177"/>
        <v>0.40895999999999999</v>
      </c>
      <c r="N943" s="10"/>
      <c r="O943" s="10"/>
      <c r="P943" s="10"/>
      <c r="Q943" s="10"/>
      <c r="R943" s="10">
        <v>0.40895999999999999</v>
      </c>
      <c r="S943" s="10"/>
      <c r="T943" s="10"/>
      <c r="U943" s="10"/>
      <c r="V943" s="4" t="s">
        <v>451</v>
      </c>
      <c r="W943" s="4"/>
      <c r="X943" s="8">
        <v>45293</v>
      </c>
      <c r="Y943" s="4"/>
      <c r="Z943" s="4"/>
      <c r="AA943" s="8"/>
      <c r="AB943" s="8"/>
      <c r="AC943" s="4"/>
      <c r="AD943" s="4"/>
    </row>
    <row r="944" spans="1:30" hidden="1">
      <c r="A944" s="56">
        <v>1340</v>
      </c>
      <c r="B944" s="8">
        <v>45275</v>
      </c>
      <c r="C944" s="56"/>
      <c r="D944" s="82" t="s">
        <v>42</v>
      </c>
      <c r="E944" s="8">
        <v>45298</v>
      </c>
      <c r="F944" s="56" t="s">
        <v>43</v>
      </c>
      <c r="G944" s="16" t="s">
        <v>1395</v>
      </c>
      <c r="H944" s="56" t="s">
        <v>52</v>
      </c>
      <c r="I944" s="56" t="s">
        <v>472</v>
      </c>
      <c r="J944" s="10">
        <v>2.2629999999999999</v>
      </c>
      <c r="K944" s="10"/>
      <c r="L944" s="10">
        <f t="shared" si="176"/>
        <v>2.2629999999999999</v>
      </c>
      <c r="M944" s="10">
        <f t="shared" si="177"/>
        <v>0</v>
      </c>
      <c r="N944" s="10"/>
      <c r="O944" s="10"/>
      <c r="P944" s="10"/>
      <c r="Q944" s="10"/>
      <c r="R944" s="10"/>
      <c r="S944" s="10"/>
      <c r="T944" s="10"/>
      <c r="U944" s="10">
        <v>2.2629999999999999</v>
      </c>
      <c r="V944" s="56" t="s">
        <v>451</v>
      </c>
      <c r="W944" s="56"/>
      <c r="X944" s="8"/>
      <c r="Y944" s="56"/>
      <c r="Z944" s="56"/>
      <c r="AA944" s="8"/>
      <c r="AB944" s="8"/>
      <c r="AC944" s="56"/>
      <c r="AD944" s="56"/>
    </row>
    <row r="945" spans="1:30" hidden="1">
      <c r="A945" s="56">
        <v>1340</v>
      </c>
      <c r="B945" s="8">
        <v>45275</v>
      </c>
      <c r="C945" s="56"/>
      <c r="D945" s="82" t="s">
        <v>42</v>
      </c>
      <c r="E945" s="8">
        <v>45298</v>
      </c>
      <c r="F945" s="56" t="s">
        <v>43</v>
      </c>
      <c r="G945" s="16" t="s">
        <v>1395</v>
      </c>
      <c r="H945" s="56" t="s">
        <v>52</v>
      </c>
      <c r="I945" s="56" t="s">
        <v>473</v>
      </c>
      <c r="J945" s="10">
        <v>0.71344000000000007</v>
      </c>
      <c r="K945" s="10"/>
      <c r="L945" s="10">
        <f t="shared" si="176"/>
        <v>0.71344000000000007</v>
      </c>
      <c r="M945" s="10">
        <f t="shared" si="177"/>
        <v>0</v>
      </c>
      <c r="N945" s="10"/>
      <c r="O945" s="10"/>
      <c r="P945" s="10"/>
      <c r="Q945" s="10"/>
      <c r="R945" s="10"/>
      <c r="S945" s="10"/>
      <c r="T945" s="10"/>
      <c r="U945" s="10">
        <v>0.71344000000000007</v>
      </c>
      <c r="V945" s="56" t="s">
        <v>451</v>
      </c>
      <c r="W945" s="56"/>
      <c r="X945" s="8"/>
      <c r="Y945" s="56"/>
      <c r="Z945" s="56"/>
      <c r="AA945" s="8"/>
      <c r="AB945" s="8"/>
      <c r="AC945" s="56"/>
      <c r="AD945" s="56"/>
    </row>
    <row r="946" spans="1:30" hidden="1">
      <c r="A946" s="56">
        <v>1340</v>
      </c>
      <c r="B946" s="8">
        <v>45275</v>
      </c>
      <c r="C946" s="56"/>
      <c r="D946" s="82" t="s">
        <v>42</v>
      </c>
      <c r="E946" s="8">
        <v>45298</v>
      </c>
      <c r="F946" s="56" t="s">
        <v>43</v>
      </c>
      <c r="G946" s="16" t="s">
        <v>1395</v>
      </c>
      <c r="H946" s="56" t="s">
        <v>52</v>
      </c>
      <c r="I946" s="56" t="s">
        <v>235</v>
      </c>
      <c r="J946" s="10">
        <v>4.1510400000000001</v>
      </c>
      <c r="K946" s="10"/>
      <c r="L946" s="10">
        <f t="shared" si="176"/>
        <v>4.1510400000000001</v>
      </c>
      <c r="M946" s="10">
        <f t="shared" si="177"/>
        <v>0</v>
      </c>
      <c r="N946" s="10"/>
      <c r="O946" s="10"/>
      <c r="P946" s="10"/>
      <c r="Q946" s="10"/>
      <c r="R946" s="10"/>
      <c r="S946" s="10"/>
      <c r="T946" s="10"/>
      <c r="U946" s="10">
        <v>4.1510400000000001</v>
      </c>
      <c r="V946" s="56" t="s">
        <v>451</v>
      </c>
      <c r="W946" s="56"/>
      <c r="X946" s="8"/>
      <c r="Y946" s="56"/>
      <c r="Z946" s="56"/>
      <c r="AA946" s="8"/>
      <c r="AB946" s="8"/>
      <c r="AC946" s="56"/>
      <c r="AD946" s="56"/>
    </row>
    <row r="947" spans="1:30" hidden="1">
      <c r="A947" s="56">
        <v>1340</v>
      </c>
      <c r="B947" s="8">
        <v>45275</v>
      </c>
      <c r="C947" s="56"/>
      <c r="D947" s="82" t="s">
        <v>42</v>
      </c>
      <c r="E947" s="8">
        <v>45298</v>
      </c>
      <c r="F947" s="56" t="s">
        <v>43</v>
      </c>
      <c r="G947" s="16" t="s">
        <v>1395</v>
      </c>
      <c r="H947" s="56" t="s">
        <v>52</v>
      </c>
      <c r="I947" s="56" t="s">
        <v>100</v>
      </c>
      <c r="J947" s="10">
        <v>6.7899519999999987</v>
      </c>
      <c r="K947" s="10"/>
      <c r="L947" s="10">
        <f t="shared" si="176"/>
        <v>6.7900000000000009</v>
      </c>
      <c r="M947" s="10">
        <f t="shared" si="177"/>
        <v>6.7900000000000009</v>
      </c>
      <c r="N947" s="10"/>
      <c r="O947" s="10"/>
      <c r="P947" s="10">
        <f>3.72+1.042</f>
        <v>4.7620000000000005</v>
      </c>
      <c r="Q947" s="10"/>
      <c r="R947" s="10">
        <v>2.028</v>
      </c>
      <c r="S947" s="10"/>
      <c r="T947" s="10"/>
      <c r="U947" s="10"/>
      <c r="V947" s="56" t="s">
        <v>451</v>
      </c>
      <c r="W947" s="56"/>
      <c r="X947" s="8">
        <v>45286</v>
      </c>
      <c r="Y947" s="56"/>
      <c r="Z947" s="56"/>
      <c r="AA947" s="8"/>
      <c r="AB947" s="8"/>
      <c r="AC947" s="56"/>
      <c r="AD947" s="56"/>
    </row>
    <row r="948" spans="1:30" hidden="1">
      <c r="A948" s="56">
        <v>1340</v>
      </c>
      <c r="B948" s="8">
        <v>45275</v>
      </c>
      <c r="C948" s="56"/>
      <c r="D948" s="82" t="s">
        <v>42</v>
      </c>
      <c r="E948" s="8">
        <v>45298</v>
      </c>
      <c r="F948" s="56" t="s">
        <v>43</v>
      </c>
      <c r="G948" s="16" t="s">
        <v>1395</v>
      </c>
      <c r="H948" s="56" t="s">
        <v>52</v>
      </c>
      <c r="I948" s="56" t="s">
        <v>96</v>
      </c>
      <c r="J948" s="10">
        <v>1.4415</v>
      </c>
      <c r="K948" s="10">
        <v>1.4419999999999999</v>
      </c>
      <c r="L948" s="10">
        <f t="shared" si="176"/>
        <v>0</v>
      </c>
      <c r="M948" s="10">
        <f t="shared" si="177"/>
        <v>0</v>
      </c>
      <c r="N948" s="10"/>
      <c r="O948" s="10"/>
      <c r="P948" s="10">
        <v>0</v>
      </c>
      <c r="Q948" s="10"/>
      <c r="R948" s="10"/>
      <c r="S948" s="10"/>
      <c r="T948" s="10"/>
      <c r="U948" s="10"/>
      <c r="V948" s="56" t="s">
        <v>451</v>
      </c>
      <c r="W948" s="56"/>
      <c r="X948" s="8"/>
      <c r="Y948" s="56"/>
      <c r="Z948" s="56"/>
      <c r="AA948" s="8">
        <v>45291</v>
      </c>
      <c r="AB948" s="8"/>
      <c r="AC948" s="56"/>
      <c r="AD948" s="56"/>
    </row>
    <row r="949" spans="1:30" s="54" customFormat="1" hidden="1">
      <c r="A949" s="56">
        <v>1359</v>
      </c>
      <c r="B949" s="8">
        <v>45278</v>
      </c>
      <c r="C949" s="56"/>
      <c r="D949" s="56"/>
      <c r="E949" s="8">
        <v>45329</v>
      </c>
      <c r="F949" s="61" t="s">
        <v>43</v>
      </c>
      <c r="G949" s="24" t="s">
        <v>44</v>
      </c>
      <c r="H949" s="56" t="s">
        <v>45</v>
      </c>
      <c r="I949" s="62" t="s">
        <v>407</v>
      </c>
      <c r="J949" s="27">
        <v>3.0861800000000001</v>
      </c>
      <c r="K949" s="56"/>
      <c r="L949" s="10">
        <f t="shared" ref="L949:L980" si="178">M949+U949</f>
        <v>3.0861800000000001</v>
      </c>
      <c r="M949" s="10">
        <f t="shared" ref="M949:M980" si="179">SUM(N949:T949)</f>
        <v>3.0861800000000001</v>
      </c>
      <c r="N949" s="10"/>
      <c r="O949" s="27"/>
      <c r="P949" s="27">
        <v>3.0861800000000001</v>
      </c>
      <c r="Q949" s="10"/>
      <c r="R949" s="10"/>
      <c r="S949" s="10"/>
      <c r="T949" s="27"/>
      <c r="U949" s="27"/>
      <c r="V949" s="22" t="s">
        <v>23</v>
      </c>
      <c r="W949" s="56"/>
      <c r="X949" s="8">
        <v>45282</v>
      </c>
      <c r="Y949" s="56"/>
      <c r="Z949" s="56"/>
      <c r="AA949" s="8"/>
      <c r="AB949" s="8"/>
      <c r="AC949" s="56"/>
      <c r="AD949" s="56"/>
    </row>
    <row r="950" spans="1:30" hidden="1">
      <c r="A950" s="56">
        <v>1359</v>
      </c>
      <c r="B950" s="8">
        <v>45278</v>
      </c>
      <c r="C950" s="56"/>
      <c r="D950" s="56"/>
      <c r="E950" s="8">
        <v>45329</v>
      </c>
      <c r="F950" s="61" t="s">
        <v>43</v>
      </c>
      <c r="G950" s="24" t="s">
        <v>44</v>
      </c>
      <c r="H950" s="56" t="s">
        <v>45</v>
      </c>
      <c r="I950" s="62" t="s">
        <v>409</v>
      </c>
      <c r="J950" s="27">
        <v>3.0555349999999999</v>
      </c>
      <c r="K950" s="56"/>
      <c r="L950" s="10">
        <f t="shared" si="178"/>
        <v>3.0555349999999999</v>
      </c>
      <c r="M950" s="10">
        <f t="shared" si="179"/>
        <v>3.0555349999999999</v>
      </c>
      <c r="N950" s="10"/>
      <c r="O950" s="27"/>
      <c r="P950" s="27">
        <v>3.0555349999999999</v>
      </c>
      <c r="Q950" s="10"/>
      <c r="R950" s="10"/>
      <c r="S950" s="10"/>
      <c r="T950" s="27"/>
      <c r="U950" s="27"/>
      <c r="V950" s="22" t="s">
        <v>23</v>
      </c>
      <c r="W950" s="56"/>
      <c r="X950" s="8">
        <v>45272</v>
      </c>
      <c r="Y950" s="56"/>
      <c r="Z950" s="56"/>
      <c r="AA950" s="8"/>
      <c r="AB950" s="8"/>
      <c r="AC950" s="56"/>
      <c r="AD950" s="56"/>
    </row>
    <row r="951" spans="1:30" hidden="1">
      <c r="A951" s="56">
        <v>1359</v>
      </c>
      <c r="B951" s="8">
        <v>45278</v>
      </c>
      <c r="C951" s="56"/>
      <c r="D951" s="56"/>
      <c r="E951" s="8">
        <v>45329</v>
      </c>
      <c r="F951" s="61" t="s">
        <v>43</v>
      </c>
      <c r="G951" s="24" t="s">
        <v>44</v>
      </c>
      <c r="H951" s="56" t="s">
        <v>45</v>
      </c>
      <c r="I951" s="62" t="s">
        <v>403</v>
      </c>
      <c r="J951" s="27">
        <v>1.8586179999999999</v>
      </c>
      <c r="K951" s="56"/>
      <c r="L951" s="10">
        <f t="shared" si="178"/>
        <v>1.8586179999999999</v>
      </c>
      <c r="M951" s="10">
        <f t="shared" si="179"/>
        <v>1.8586179999999999</v>
      </c>
      <c r="N951" s="10"/>
      <c r="O951" s="10"/>
      <c r="P951" s="10"/>
      <c r="Q951" s="10"/>
      <c r="R951" s="78">
        <v>1.8586179999999999</v>
      </c>
      <c r="S951" s="10"/>
      <c r="T951" s="10"/>
      <c r="U951" s="27"/>
      <c r="V951" s="22" t="s">
        <v>23</v>
      </c>
      <c r="W951" s="91" t="s">
        <v>521</v>
      </c>
      <c r="X951" s="8"/>
      <c r="Y951" s="56"/>
      <c r="Z951" s="56"/>
      <c r="AA951" s="8"/>
      <c r="AB951" s="8"/>
      <c r="AC951" s="56"/>
      <c r="AD951" s="56"/>
    </row>
    <row r="952" spans="1:30" hidden="1">
      <c r="A952" s="56">
        <v>1359</v>
      </c>
      <c r="B952" s="8">
        <v>45278</v>
      </c>
      <c r="C952" s="56"/>
      <c r="D952" s="56"/>
      <c r="E952" s="8">
        <v>45329</v>
      </c>
      <c r="F952" s="61" t="s">
        <v>43</v>
      </c>
      <c r="G952" s="24" t="s">
        <v>44</v>
      </c>
      <c r="H952" s="56" t="s">
        <v>45</v>
      </c>
      <c r="I952" s="62" t="s">
        <v>46</v>
      </c>
      <c r="J952" s="27">
        <v>5.7620000000000005</v>
      </c>
      <c r="K952" s="56"/>
      <c r="L952" s="10">
        <f t="shared" si="178"/>
        <v>5.7619999999999996</v>
      </c>
      <c r="M952" s="10">
        <f t="shared" si="179"/>
        <v>5.7619999999999996</v>
      </c>
      <c r="N952" s="10"/>
      <c r="O952" s="10"/>
      <c r="P952" s="10">
        <f>2.385+3.377</f>
        <v>5.7619999999999996</v>
      </c>
      <c r="Q952" s="10"/>
      <c r="R952" s="10"/>
      <c r="S952" s="10"/>
      <c r="T952" s="27"/>
      <c r="U952" s="27"/>
      <c r="V952" s="22" t="s">
        <v>23</v>
      </c>
      <c r="W952" s="56"/>
      <c r="X952" s="8"/>
      <c r="Y952" s="56"/>
      <c r="Z952" s="56"/>
      <c r="AA952" s="8"/>
      <c r="AB952" s="8"/>
      <c r="AC952" s="56"/>
      <c r="AD952" s="56"/>
    </row>
    <row r="953" spans="1:30" hidden="1">
      <c r="A953" s="56">
        <v>1359</v>
      </c>
      <c r="B953" s="8">
        <v>45278</v>
      </c>
      <c r="C953" s="56"/>
      <c r="D953" s="56"/>
      <c r="E953" s="8">
        <v>45329</v>
      </c>
      <c r="F953" s="61" t="s">
        <v>43</v>
      </c>
      <c r="G953" s="24" t="s">
        <v>44</v>
      </c>
      <c r="H953" s="56" t="s">
        <v>45</v>
      </c>
      <c r="I953" s="62" t="s">
        <v>54</v>
      </c>
      <c r="J953" s="27">
        <v>2.5650200000000001</v>
      </c>
      <c r="K953" s="56"/>
      <c r="L953" s="10">
        <f t="shared" si="178"/>
        <v>2.5650200000000001</v>
      </c>
      <c r="M953" s="10">
        <f t="shared" si="179"/>
        <v>0</v>
      </c>
      <c r="N953" s="10"/>
      <c r="O953" s="10"/>
      <c r="P953" s="10"/>
      <c r="Q953" s="10"/>
      <c r="R953" s="10"/>
      <c r="S953" s="10"/>
      <c r="T953" s="10"/>
      <c r="U953" s="27">
        <v>2.5650200000000001</v>
      </c>
      <c r="V953" s="22" t="s">
        <v>23</v>
      </c>
      <c r="W953" s="56"/>
      <c r="X953" s="8"/>
      <c r="Y953" s="56"/>
      <c r="Z953" s="56"/>
      <c r="AA953" s="8"/>
      <c r="AB953" s="8"/>
      <c r="AC953" s="56"/>
      <c r="AD953" s="56"/>
    </row>
    <row r="954" spans="1:30" hidden="1">
      <c r="A954" s="56">
        <v>1359</v>
      </c>
      <c r="B954" s="8">
        <v>45278</v>
      </c>
      <c r="C954" s="56"/>
      <c r="D954" s="56"/>
      <c r="E954" s="8">
        <v>45329</v>
      </c>
      <c r="F954" s="61" t="s">
        <v>43</v>
      </c>
      <c r="G954" s="24" t="s">
        <v>44</v>
      </c>
      <c r="H954" s="56" t="s">
        <v>45</v>
      </c>
      <c r="I954" s="62" t="s">
        <v>56</v>
      </c>
      <c r="J954" s="27">
        <v>2.3927900000000002</v>
      </c>
      <c r="K954" s="56"/>
      <c r="L954" s="10">
        <f t="shared" si="178"/>
        <v>2.3927900000000002</v>
      </c>
      <c r="M954" s="10">
        <f t="shared" si="179"/>
        <v>0</v>
      </c>
      <c r="N954" s="10"/>
      <c r="O954" s="10"/>
      <c r="P954" s="10"/>
      <c r="Q954" s="10"/>
      <c r="R954" s="10"/>
      <c r="S954" s="10"/>
      <c r="T954" s="10"/>
      <c r="U954" s="27">
        <v>2.3927900000000002</v>
      </c>
      <c r="V954" s="22" t="s">
        <v>23</v>
      </c>
      <c r="W954" s="56"/>
      <c r="X954" s="8"/>
      <c r="Y954" s="56"/>
      <c r="Z954" s="56"/>
      <c r="AA954" s="8"/>
      <c r="AB954" s="8"/>
      <c r="AC954" s="56"/>
      <c r="AD954" s="56"/>
    </row>
    <row r="955" spans="1:30" hidden="1">
      <c r="A955" s="56">
        <v>1359</v>
      </c>
      <c r="B955" s="8">
        <v>45278</v>
      </c>
      <c r="C955" s="56"/>
      <c r="D955" s="56"/>
      <c r="E955" s="8">
        <v>45329</v>
      </c>
      <c r="F955" s="61" t="s">
        <v>43</v>
      </c>
      <c r="G955" s="24" t="s">
        <v>44</v>
      </c>
      <c r="H955" s="56" t="s">
        <v>45</v>
      </c>
      <c r="I955" s="62" t="s">
        <v>49</v>
      </c>
      <c r="J955" s="27">
        <v>1.6915799999999996</v>
      </c>
      <c r="K955" s="56"/>
      <c r="L955" s="10">
        <f t="shared" si="178"/>
        <v>1.6915799999999996</v>
      </c>
      <c r="M955" s="10">
        <f t="shared" si="179"/>
        <v>0</v>
      </c>
      <c r="N955" s="10"/>
      <c r="O955" s="10"/>
      <c r="P955" s="10"/>
      <c r="Q955" s="10"/>
      <c r="R955" s="10"/>
      <c r="S955" s="10"/>
      <c r="T955" s="10"/>
      <c r="U955" s="27">
        <v>1.6915799999999996</v>
      </c>
      <c r="V955" s="22" t="s">
        <v>23</v>
      </c>
      <c r="W955" s="56"/>
      <c r="X955" s="8"/>
      <c r="Y955" s="56"/>
      <c r="Z955" s="56"/>
      <c r="AA955" s="8"/>
      <c r="AB955" s="8"/>
      <c r="AC955" s="56"/>
      <c r="AD955" s="56"/>
    </row>
    <row r="956" spans="1:30" hidden="1">
      <c r="A956" s="56">
        <v>1359</v>
      </c>
      <c r="B956" s="8">
        <v>45278</v>
      </c>
      <c r="C956" s="56"/>
      <c r="D956" s="56"/>
      <c r="E956" s="8">
        <v>45329</v>
      </c>
      <c r="F956" s="61" t="s">
        <v>43</v>
      </c>
      <c r="G956" s="24" t="s">
        <v>44</v>
      </c>
      <c r="H956" s="56" t="s">
        <v>45</v>
      </c>
      <c r="I956" s="62" t="s">
        <v>50</v>
      </c>
      <c r="J956" s="27">
        <v>1.8764799999999999</v>
      </c>
      <c r="K956" s="56"/>
      <c r="L956" s="10">
        <f t="shared" si="178"/>
        <v>1.8764799999999999</v>
      </c>
      <c r="M956" s="10">
        <f t="shared" si="179"/>
        <v>0</v>
      </c>
      <c r="N956" s="10"/>
      <c r="O956" s="10"/>
      <c r="P956" s="10"/>
      <c r="Q956" s="10"/>
      <c r="R956" s="10"/>
      <c r="S956" s="10"/>
      <c r="T956" s="10"/>
      <c r="U956" s="27">
        <v>1.8764799999999999</v>
      </c>
      <c r="V956" s="22" t="s">
        <v>23</v>
      </c>
      <c r="W956" s="56"/>
      <c r="X956" s="8"/>
      <c r="Y956" s="56"/>
      <c r="Z956" s="56"/>
      <c r="AA956" s="8"/>
      <c r="AB956" s="8"/>
      <c r="AC956" s="56"/>
      <c r="AD956" s="56"/>
    </row>
    <row r="957" spans="1:30" hidden="1">
      <c r="A957" s="56">
        <v>1359</v>
      </c>
      <c r="B957" s="8">
        <v>45278</v>
      </c>
      <c r="C957" s="56"/>
      <c r="D957" s="56"/>
      <c r="E957" s="8">
        <v>45329</v>
      </c>
      <c r="F957" s="61" t="s">
        <v>43</v>
      </c>
      <c r="G957" s="24" t="s">
        <v>44</v>
      </c>
      <c r="H957" s="56" t="s">
        <v>45</v>
      </c>
      <c r="I957" s="62" t="s">
        <v>519</v>
      </c>
      <c r="J957" s="27">
        <v>0.68790000000000007</v>
      </c>
      <c r="K957" s="56"/>
      <c r="L957" s="10">
        <f t="shared" si="178"/>
        <v>0.68789999999999996</v>
      </c>
      <c r="M957" s="10">
        <f t="shared" si="179"/>
        <v>0.68789999999999996</v>
      </c>
      <c r="N957" s="10"/>
      <c r="O957" s="10"/>
      <c r="P957" s="10"/>
      <c r="Q957" s="10"/>
      <c r="R957" s="77">
        <v>0.41299999999999998</v>
      </c>
      <c r="S957" s="10"/>
      <c r="T957" s="78">
        <f>0.6879-0.413</f>
        <v>0.27489999999999998</v>
      </c>
      <c r="U957" s="27"/>
      <c r="V957" s="22" t="s">
        <v>23</v>
      </c>
      <c r="W957" s="56"/>
      <c r="X957" s="8">
        <v>45295</v>
      </c>
      <c r="Y957" s="56"/>
      <c r="Z957" s="56"/>
      <c r="AA957" s="8"/>
      <c r="AB957" s="8"/>
      <c r="AC957" s="56"/>
      <c r="AD957" s="56"/>
    </row>
    <row r="958" spans="1:30" hidden="1">
      <c r="A958" s="56">
        <v>1359</v>
      </c>
      <c r="B958" s="8">
        <v>45278</v>
      </c>
      <c r="C958" s="56"/>
      <c r="D958" s="56"/>
      <c r="E958" s="8">
        <v>45329</v>
      </c>
      <c r="F958" s="61" t="s">
        <v>43</v>
      </c>
      <c r="G958" s="63" t="s">
        <v>126</v>
      </c>
      <c r="H958" s="56" t="s">
        <v>45</v>
      </c>
      <c r="I958" s="62" t="s">
        <v>519</v>
      </c>
      <c r="J958" s="27">
        <v>0.36458699999999999</v>
      </c>
      <c r="K958" s="56"/>
      <c r="L958" s="10">
        <f t="shared" si="178"/>
        <v>0.36458699999999999</v>
      </c>
      <c r="M958" s="10">
        <f t="shared" si="179"/>
        <v>0.36458699999999999</v>
      </c>
      <c r="N958" s="10"/>
      <c r="O958" s="10"/>
      <c r="P958" s="10"/>
      <c r="Q958" s="10"/>
      <c r="R958" s="10"/>
      <c r="S958" s="10"/>
      <c r="T958" s="78">
        <v>0.36458699999999999</v>
      </c>
      <c r="U958" s="27"/>
      <c r="V958" s="22" t="s">
        <v>23</v>
      </c>
      <c r="W958" s="56"/>
      <c r="X958" s="8">
        <v>45295</v>
      </c>
      <c r="Y958" s="56"/>
      <c r="Z958" s="56"/>
      <c r="AA958" s="8"/>
      <c r="AB958" s="8"/>
      <c r="AC958" s="56"/>
      <c r="AD958" s="56"/>
    </row>
    <row r="959" spans="1:30" hidden="1">
      <c r="A959" s="56">
        <v>1359</v>
      </c>
      <c r="B959" s="8">
        <v>45278</v>
      </c>
      <c r="C959" s="56"/>
      <c r="D959" s="56"/>
      <c r="E959" s="8">
        <v>45329</v>
      </c>
      <c r="F959" s="61" t="s">
        <v>43</v>
      </c>
      <c r="G959" s="24" t="s">
        <v>44</v>
      </c>
      <c r="H959" s="56" t="s">
        <v>45</v>
      </c>
      <c r="I959" s="62" t="s">
        <v>517</v>
      </c>
      <c r="J959" s="27">
        <v>4.7484600000000006</v>
      </c>
      <c r="K959" s="56"/>
      <c r="L959" s="10">
        <f t="shared" si="178"/>
        <v>4.7484600000000006</v>
      </c>
      <c r="M959" s="10">
        <f t="shared" si="179"/>
        <v>0</v>
      </c>
      <c r="N959" s="10"/>
      <c r="O959" s="10"/>
      <c r="P959" s="10"/>
      <c r="Q959" s="10"/>
      <c r="R959" s="10"/>
      <c r="S959" s="10"/>
      <c r="T959" s="10"/>
      <c r="U959" s="27">
        <v>4.7484600000000006</v>
      </c>
      <c r="V959" s="22" t="s">
        <v>23</v>
      </c>
      <c r="W959" s="56"/>
      <c r="X959" s="8"/>
      <c r="Y959" s="56"/>
      <c r="Z959" s="56"/>
      <c r="AA959" s="8"/>
      <c r="AB959" s="8"/>
      <c r="AC959" s="56"/>
      <c r="AD959" s="56"/>
    </row>
    <row r="960" spans="1:30" hidden="1">
      <c r="A960" s="56">
        <v>1359</v>
      </c>
      <c r="B960" s="8">
        <v>45278</v>
      </c>
      <c r="C960" s="56"/>
      <c r="D960" s="56"/>
      <c r="E960" s="8">
        <v>45329</v>
      </c>
      <c r="F960" s="61" t="s">
        <v>43</v>
      </c>
      <c r="G960" s="24" t="s">
        <v>44</v>
      </c>
      <c r="H960" s="56" t="s">
        <v>45</v>
      </c>
      <c r="I960" s="62" t="s">
        <v>579</v>
      </c>
      <c r="J960" s="27">
        <v>0.1578</v>
      </c>
      <c r="K960" s="56"/>
      <c r="L960" s="10">
        <f t="shared" si="178"/>
        <v>0.1578</v>
      </c>
      <c r="M960" s="10">
        <f t="shared" si="179"/>
        <v>0</v>
      </c>
      <c r="N960" s="10"/>
      <c r="O960" s="10"/>
      <c r="P960" s="10"/>
      <c r="Q960" s="10"/>
      <c r="R960" s="10"/>
      <c r="S960" s="10"/>
      <c r="T960" s="10"/>
      <c r="U960" s="27">
        <v>0.1578</v>
      </c>
      <c r="V960" s="22" t="s">
        <v>23</v>
      </c>
      <c r="W960" s="56"/>
      <c r="X960" s="8"/>
      <c r="Y960" s="56"/>
      <c r="Z960" s="56"/>
      <c r="AA960" s="8"/>
      <c r="AB960" s="8"/>
      <c r="AC960" s="56"/>
      <c r="AD960" s="56"/>
    </row>
    <row r="961" spans="1:30" hidden="1">
      <c r="A961" s="56">
        <v>1359</v>
      </c>
      <c r="B961" s="8">
        <v>45278</v>
      </c>
      <c r="C961" s="56"/>
      <c r="D961" s="56"/>
      <c r="E961" s="8">
        <v>45329</v>
      </c>
      <c r="F961" s="61" t="s">
        <v>43</v>
      </c>
      <c r="G961" s="24" t="s">
        <v>44</v>
      </c>
      <c r="H961" s="56" t="s">
        <v>45</v>
      </c>
      <c r="I961" s="62" t="s">
        <v>579</v>
      </c>
      <c r="J961" s="27">
        <v>2.0198399999999999</v>
      </c>
      <c r="K961" s="56"/>
      <c r="L961" s="10">
        <f t="shared" si="178"/>
        <v>2.0198399999999999</v>
      </c>
      <c r="M961" s="10">
        <f t="shared" si="179"/>
        <v>0</v>
      </c>
      <c r="N961" s="10"/>
      <c r="O961" s="10"/>
      <c r="P961" s="10"/>
      <c r="Q961" s="10"/>
      <c r="R961" s="10"/>
      <c r="S961" s="10"/>
      <c r="T961" s="10"/>
      <c r="U961" s="27">
        <v>2.0198399999999999</v>
      </c>
      <c r="V961" s="22" t="s">
        <v>23</v>
      </c>
      <c r="W961" s="56"/>
      <c r="X961" s="8"/>
      <c r="Y961" s="56"/>
      <c r="Z961" s="56"/>
      <c r="AA961" s="8"/>
      <c r="AB961" s="8"/>
      <c r="AC961" s="56"/>
      <c r="AD961" s="56"/>
    </row>
    <row r="962" spans="1:30" hidden="1">
      <c r="A962" s="103">
        <v>1359</v>
      </c>
      <c r="B962" s="8">
        <v>45278</v>
      </c>
      <c r="C962" s="103"/>
      <c r="D962" s="103"/>
      <c r="E962" s="8">
        <v>45329</v>
      </c>
      <c r="F962" s="61" t="s">
        <v>43</v>
      </c>
      <c r="G962" s="24" t="s">
        <v>44</v>
      </c>
      <c r="H962" s="103" t="s">
        <v>45</v>
      </c>
      <c r="I962" s="62" t="s">
        <v>448</v>
      </c>
      <c r="J962" s="27">
        <v>2.4683039999999998</v>
      </c>
      <c r="K962" s="103"/>
      <c r="L962" s="10">
        <f t="shared" si="178"/>
        <v>2.4683039999999998</v>
      </c>
      <c r="M962" s="10">
        <f t="shared" si="179"/>
        <v>0</v>
      </c>
      <c r="N962" s="10"/>
      <c r="O962" s="10"/>
      <c r="P962" s="10"/>
      <c r="Q962" s="10"/>
      <c r="R962" s="10"/>
      <c r="S962" s="10"/>
      <c r="T962" s="10"/>
      <c r="U962" s="27">
        <v>2.4683039999999998</v>
      </c>
      <c r="V962" s="22" t="s">
        <v>23</v>
      </c>
      <c r="W962" s="103"/>
      <c r="X962" s="8"/>
      <c r="Y962" s="103"/>
      <c r="Z962" s="103"/>
      <c r="AA962" s="8"/>
      <c r="AB962" s="8"/>
      <c r="AC962" s="103"/>
      <c r="AD962" s="103"/>
    </row>
    <row r="963" spans="1:30" hidden="1">
      <c r="A963" s="103">
        <v>1359</v>
      </c>
      <c r="B963" s="8">
        <v>45278</v>
      </c>
      <c r="C963" s="103"/>
      <c r="D963" s="103"/>
      <c r="E963" s="8">
        <v>45329</v>
      </c>
      <c r="F963" s="61" t="s">
        <v>43</v>
      </c>
      <c r="G963" s="24" t="s">
        <v>44</v>
      </c>
      <c r="H963" s="103" t="s">
        <v>45</v>
      </c>
      <c r="I963" s="62" t="s">
        <v>449</v>
      </c>
      <c r="J963" s="27">
        <v>0.50534400000000002</v>
      </c>
      <c r="K963" s="103"/>
      <c r="L963" s="10">
        <f t="shared" si="178"/>
        <v>0.50534400000000002</v>
      </c>
      <c r="M963" s="10">
        <f t="shared" si="179"/>
        <v>0.50534400000000002</v>
      </c>
      <c r="N963" s="10"/>
      <c r="O963" s="10"/>
      <c r="P963" s="10"/>
      <c r="Q963" s="10"/>
      <c r="R963" s="78">
        <v>0.50534400000000002</v>
      </c>
      <c r="S963" s="10"/>
      <c r="T963" s="27"/>
      <c r="U963" s="27"/>
      <c r="V963" s="22" t="s">
        <v>23</v>
      </c>
      <c r="W963" s="103"/>
      <c r="X963" s="8"/>
      <c r="Y963" s="103"/>
      <c r="Z963" s="103"/>
      <c r="AA963" s="8"/>
      <c r="AB963" s="8"/>
      <c r="AC963" s="103"/>
      <c r="AD963" s="103"/>
    </row>
    <row r="964" spans="1:30" hidden="1">
      <c r="A964" s="103">
        <v>1359</v>
      </c>
      <c r="B964" s="8">
        <v>45278</v>
      </c>
      <c r="C964" s="103"/>
      <c r="D964" s="103"/>
      <c r="E964" s="8">
        <v>45329</v>
      </c>
      <c r="F964" s="61" t="s">
        <v>43</v>
      </c>
      <c r="G964" s="24" t="s">
        <v>44</v>
      </c>
      <c r="H964" s="103" t="s">
        <v>45</v>
      </c>
      <c r="I964" s="62" t="s">
        <v>447</v>
      </c>
      <c r="J964" s="27">
        <v>0.68017000000000005</v>
      </c>
      <c r="K964" s="103"/>
      <c r="L964" s="10">
        <f t="shared" si="178"/>
        <v>0.68017000000000005</v>
      </c>
      <c r="M964" s="10">
        <f t="shared" si="179"/>
        <v>0.68017000000000005</v>
      </c>
      <c r="N964" s="10"/>
      <c r="O964" s="27">
        <v>0.68017000000000005</v>
      </c>
      <c r="P964" s="10"/>
      <c r="Q964" s="10"/>
      <c r="R964" s="10"/>
      <c r="S964" s="10"/>
      <c r="T964" s="27"/>
      <c r="U964" s="27"/>
      <c r="V964" s="22" t="s">
        <v>23</v>
      </c>
      <c r="W964" s="103"/>
      <c r="X964" s="8"/>
      <c r="Y964" s="103"/>
      <c r="Z964" s="103"/>
      <c r="AA964" s="8"/>
      <c r="AB964" s="8"/>
      <c r="AC964" s="103"/>
      <c r="AD964" s="103"/>
    </row>
    <row r="965" spans="1:30" hidden="1">
      <c r="A965" s="103">
        <v>1359</v>
      </c>
      <c r="B965" s="8">
        <v>45278</v>
      </c>
      <c r="C965" s="103"/>
      <c r="D965" s="103"/>
      <c r="E965" s="8">
        <v>45329</v>
      </c>
      <c r="F965" s="61" t="s">
        <v>43</v>
      </c>
      <c r="G965" s="24" t="s">
        <v>44</v>
      </c>
      <c r="H965" s="103" t="s">
        <v>45</v>
      </c>
      <c r="I965" s="62" t="s">
        <v>518</v>
      </c>
      <c r="J965" s="27">
        <v>3.0354559999999999</v>
      </c>
      <c r="K965" s="103"/>
      <c r="L965" s="10">
        <f t="shared" si="178"/>
        <v>3.0354559999999999</v>
      </c>
      <c r="M965" s="10">
        <f t="shared" si="179"/>
        <v>3.0354559999999999</v>
      </c>
      <c r="N965" s="10"/>
      <c r="O965" s="10"/>
      <c r="P965" s="10">
        <v>2.6560000000000001</v>
      </c>
      <c r="Q965" s="10"/>
      <c r="R965" s="10"/>
      <c r="S965" s="10"/>
      <c r="T965" s="27">
        <f>3.035456-2.656</f>
        <v>0.37945599999999979</v>
      </c>
      <c r="U965" s="27"/>
      <c r="V965" s="22" t="s">
        <v>23</v>
      </c>
      <c r="W965" s="103"/>
      <c r="X965" s="8">
        <v>45295</v>
      </c>
      <c r="Y965" s="103"/>
      <c r="Z965" s="103"/>
      <c r="AA965" s="8"/>
      <c r="AB965" s="8"/>
      <c r="AC965" s="103"/>
      <c r="AD965" s="103"/>
    </row>
    <row r="966" spans="1:30" hidden="1">
      <c r="A966" s="103">
        <v>1359</v>
      </c>
      <c r="B966" s="8">
        <v>45278</v>
      </c>
      <c r="C966" s="103"/>
      <c r="D966" s="103"/>
      <c r="E966" s="8">
        <v>45329</v>
      </c>
      <c r="F966" s="61" t="s">
        <v>43</v>
      </c>
      <c r="G966" s="24" t="s">
        <v>44</v>
      </c>
      <c r="H966" s="103" t="s">
        <v>45</v>
      </c>
      <c r="I966" s="62" t="s">
        <v>95</v>
      </c>
      <c r="J966" s="27">
        <v>1.0975199999999998</v>
      </c>
      <c r="K966" s="103"/>
      <c r="L966" s="10">
        <f t="shared" si="178"/>
        <v>1.0975199999999998</v>
      </c>
      <c r="M966" s="10">
        <f t="shared" si="179"/>
        <v>1.0975199999999998</v>
      </c>
      <c r="N966" s="10"/>
      <c r="O966" s="27"/>
      <c r="P966" s="27">
        <v>1.0975199999999998</v>
      </c>
      <c r="Q966" s="10"/>
      <c r="R966" s="10"/>
      <c r="S966" s="10"/>
      <c r="T966" s="27"/>
      <c r="U966" s="27"/>
      <c r="V966" s="22" t="s">
        <v>23</v>
      </c>
      <c r="W966" s="103"/>
      <c r="X966" s="8">
        <v>45293</v>
      </c>
      <c r="Y966" s="103"/>
      <c r="Z966" s="103"/>
      <c r="AA966" s="8"/>
      <c r="AB966" s="8"/>
      <c r="AC966" s="103"/>
      <c r="AD966" s="103"/>
    </row>
    <row r="967" spans="1:30" hidden="1">
      <c r="A967" s="103">
        <v>1359</v>
      </c>
      <c r="B967" s="8">
        <v>45278</v>
      </c>
      <c r="C967" s="103"/>
      <c r="D967" s="103"/>
      <c r="E967" s="8">
        <v>45329</v>
      </c>
      <c r="F967" s="61" t="s">
        <v>43</v>
      </c>
      <c r="G967" s="24" t="s">
        <v>44</v>
      </c>
      <c r="H967" s="103" t="s">
        <v>45</v>
      </c>
      <c r="I967" s="62" t="s">
        <v>1426</v>
      </c>
      <c r="J967" s="27">
        <v>0.88181999999999994</v>
      </c>
      <c r="K967" s="103"/>
      <c r="L967" s="10">
        <f t="shared" si="178"/>
        <v>0.88181999999999994</v>
      </c>
      <c r="M967" s="10">
        <f t="shared" si="179"/>
        <v>0.88181999999999994</v>
      </c>
      <c r="N967" s="10"/>
      <c r="O967" s="27"/>
      <c r="P967" s="27">
        <v>0.88181999999999994</v>
      </c>
      <c r="Q967" s="10"/>
      <c r="R967" s="10"/>
      <c r="S967" s="10"/>
      <c r="T967" s="27"/>
      <c r="U967" s="27"/>
      <c r="V967" s="22" t="s">
        <v>23</v>
      </c>
      <c r="W967" s="103"/>
      <c r="X967" s="8">
        <v>45293</v>
      </c>
      <c r="Y967" s="103"/>
      <c r="Z967" s="103"/>
      <c r="AA967" s="8"/>
      <c r="AB967" s="8"/>
      <c r="AC967" s="103"/>
      <c r="AD967" s="103"/>
    </row>
    <row r="968" spans="1:30" hidden="1">
      <c r="A968" s="103">
        <v>1359</v>
      </c>
      <c r="B968" s="8">
        <v>45278</v>
      </c>
      <c r="C968" s="103"/>
      <c r="D968" s="103"/>
      <c r="E968" s="8">
        <v>45329</v>
      </c>
      <c r="F968" s="61" t="s">
        <v>43</v>
      </c>
      <c r="G968" s="24" t="s">
        <v>44</v>
      </c>
      <c r="H968" s="103" t="s">
        <v>45</v>
      </c>
      <c r="I968" s="62" t="s">
        <v>472</v>
      </c>
      <c r="J968" s="27">
        <v>0.70624799999999999</v>
      </c>
      <c r="K968" s="103"/>
      <c r="L968" s="10">
        <f t="shared" si="178"/>
        <v>0.70624799999999999</v>
      </c>
      <c r="M968" s="10">
        <f t="shared" si="179"/>
        <v>0</v>
      </c>
      <c r="N968" s="10"/>
      <c r="O968" s="10"/>
      <c r="P968" s="10"/>
      <c r="Q968" s="10"/>
      <c r="R968" s="10"/>
      <c r="S968" s="10"/>
      <c r="T968" s="10"/>
      <c r="U968" s="27">
        <v>0.70624799999999999</v>
      </c>
      <c r="V968" s="22" t="s">
        <v>23</v>
      </c>
      <c r="W968" s="103"/>
      <c r="X968" s="8"/>
      <c r="Y968" s="103"/>
      <c r="Z968" s="103"/>
      <c r="AA968" s="8"/>
      <c r="AB968" s="8"/>
      <c r="AC968" s="103"/>
      <c r="AD968" s="103"/>
    </row>
    <row r="969" spans="1:30" hidden="1">
      <c r="A969" s="103">
        <v>1359</v>
      </c>
      <c r="B969" s="8">
        <v>45278</v>
      </c>
      <c r="C969" s="103"/>
      <c r="D969" s="103"/>
      <c r="E969" s="8">
        <v>45329</v>
      </c>
      <c r="F969" s="61" t="s">
        <v>43</v>
      </c>
      <c r="G969" s="24" t="s">
        <v>44</v>
      </c>
      <c r="H969" s="103" t="s">
        <v>45</v>
      </c>
      <c r="I969" s="62" t="s">
        <v>473</v>
      </c>
      <c r="J969" s="27">
        <v>0.78204000000000007</v>
      </c>
      <c r="K969" s="103"/>
      <c r="L969" s="10">
        <f t="shared" si="178"/>
        <v>0.78204000000000007</v>
      </c>
      <c r="M969" s="10">
        <f t="shared" si="179"/>
        <v>0</v>
      </c>
      <c r="N969" s="10"/>
      <c r="O969" s="10"/>
      <c r="P969" s="10"/>
      <c r="Q969" s="10"/>
      <c r="R969" s="10"/>
      <c r="S969" s="10"/>
      <c r="T969" s="10"/>
      <c r="U969" s="27">
        <v>0.78204000000000007</v>
      </c>
      <c r="V969" s="22" t="s">
        <v>23</v>
      </c>
      <c r="W969" s="103"/>
      <c r="X969" s="8"/>
      <c r="Y969" s="103"/>
      <c r="Z969" s="103"/>
      <c r="AA969" s="8"/>
      <c r="AB969" s="8"/>
      <c r="AC969" s="103"/>
      <c r="AD969" s="103"/>
    </row>
    <row r="970" spans="1:30" hidden="1">
      <c r="A970" s="103">
        <v>1359</v>
      </c>
      <c r="B970" s="8">
        <v>45278</v>
      </c>
      <c r="C970" s="103"/>
      <c r="D970" s="103"/>
      <c r="E970" s="8">
        <v>45329</v>
      </c>
      <c r="F970" s="61" t="s">
        <v>43</v>
      </c>
      <c r="G970" s="24" t="s">
        <v>44</v>
      </c>
      <c r="H970" s="103" t="s">
        <v>45</v>
      </c>
      <c r="I970" s="62" t="s">
        <v>235</v>
      </c>
      <c r="J970" s="27">
        <v>1.4904000000000002</v>
      </c>
      <c r="K970" s="103"/>
      <c r="L970" s="10">
        <f t="shared" si="178"/>
        <v>1.4904000000000002</v>
      </c>
      <c r="M970" s="10">
        <f t="shared" si="179"/>
        <v>0</v>
      </c>
      <c r="N970" s="10"/>
      <c r="O970" s="10"/>
      <c r="P970" s="10"/>
      <c r="Q970" s="10"/>
      <c r="R970" s="10"/>
      <c r="S970" s="10"/>
      <c r="T970" s="10"/>
      <c r="U970" s="27">
        <v>1.4904000000000002</v>
      </c>
      <c r="V970" s="22" t="s">
        <v>23</v>
      </c>
      <c r="W970" s="103"/>
      <c r="X970" s="8"/>
      <c r="Y970" s="103"/>
      <c r="Z970" s="103"/>
      <c r="AA970" s="8"/>
      <c r="AB970" s="8"/>
      <c r="AC970" s="103"/>
      <c r="AD970" s="103"/>
    </row>
    <row r="971" spans="1:30" hidden="1">
      <c r="A971" s="103">
        <v>1359</v>
      </c>
      <c r="B971" s="8">
        <v>45278</v>
      </c>
      <c r="C971" s="103"/>
      <c r="D971" s="103"/>
      <c r="E971" s="8">
        <v>45329</v>
      </c>
      <c r="F971" s="61" t="s">
        <v>43</v>
      </c>
      <c r="G971" s="24" t="s">
        <v>44</v>
      </c>
      <c r="H971" s="103" t="s">
        <v>45</v>
      </c>
      <c r="I971" s="62" t="s">
        <v>246</v>
      </c>
      <c r="J971" s="27">
        <v>0.59593499999999999</v>
      </c>
      <c r="K971" s="103"/>
      <c r="L971" s="10">
        <f t="shared" si="178"/>
        <v>0.59600000000000009</v>
      </c>
      <c r="M971" s="10">
        <f t="shared" si="179"/>
        <v>0.59600000000000009</v>
      </c>
      <c r="N971" s="10"/>
      <c r="O971" s="10"/>
      <c r="P971" s="10">
        <f>0.199+0.397</f>
        <v>0.59600000000000009</v>
      </c>
      <c r="Q971" s="10"/>
      <c r="R971" s="10"/>
      <c r="S971" s="10"/>
      <c r="T971" s="27"/>
      <c r="U971" s="27"/>
      <c r="V971" s="22" t="s">
        <v>23</v>
      </c>
      <c r="W971" s="103"/>
      <c r="X971" s="8"/>
      <c r="Y971" s="103"/>
      <c r="Z971" s="103"/>
      <c r="AA971" s="8"/>
      <c r="AB971" s="8"/>
      <c r="AC971" s="103"/>
      <c r="AD971" s="103"/>
    </row>
    <row r="972" spans="1:30" hidden="1">
      <c r="A972" s="103">
        <v>1359</v>
      </c>
      <c r="B972" s="8">
        <v>45278</v>
      </c>
      <c r="C972" s="103"/>
      <c r="D972" s="103"/>
      <c r="E972" s="8">
        <v>45329</v>
      </c>
      <c r="F972" s="61" t="s">
        <v>43</v>
      </c>
      <c r="G972" s="24" t="s">
        <v>44</v>
      </c>
      <c r="H972" s="103" t="s">
        <v>45</v>
      </c>
      <c r="I972" s="62" t="s">
        <v>100</v>
      </c>
      <c r="J972" s="27">
        <v>2.0716800000000002</v>
      </c>
      <c r="K972" s="103"/>
      <c r="L972" s="10">
        <f t="shared" si="178"/>
        <v>2.0716800000000002</v>
      </c>
      <c r="M972" s="10">
        <f t="shared" si="179"/>
        <v>0</v>
      </c>
      <c r="N972" s="10"/>
      <c r="O972" s="10"/>
      <c r="P972" s="10"/>
      <c r="Q972" s="10"/>
      <c r="R972" s="10"/>
      <c r="S972" s="10"/>
      <c r="T972" s="10"/>
      <c r="U972" s="27">
        <v>2.0716800000000002</v>
      </c>
      <c r="V972" s="22" t="s">
        <v>23</v>
      </c>
      <c r="W972" s="103"/>
      <c r="X972" s="8"/>
      <c r="Y972" s="103"/>
      <c r="Z972" s="103"/>
      <c r="AA972" s="8"/>
      <c r="AB972" s="8"/>
      <c r="AC972" s="103"/>
      <c r="AD972" s="103"/>
    </row>
    <row r="973" spans="1:30" hidden="1">
      <c r="A973" s="103">
        <v>1359</v>
      </c>
      <c r="B973" s="8">
        <v>45278</v>
      </c>
      <c r="C973" s="103"/>
      <c r="D973" s="103"/>
      <c r="E973" s="8">
        <v>45329</v>
      </c>
      <c r="F973" s="61" t="s">
        <v>43</v>
      </c>
      <c r="G973" s="24" t="s">
        <v>44</v>
      </c>
      <c r="H973" s="103" t="s">
        <v>45</v>
      </c>
      <c r="I973" s="62" t="s">
        <v>96</v>
      </c>
      <c r="J973" s="27">
        <v>3.4559999999999995</v>
      </c>
      <c r="K973" s="103"/>
      <c r="L973" s="10">
        <f t="shared" si="178"/>
        <v>3.4559999999999995</v>
      </c>
      <c r="M973" s="10">
        <f t="shared" si="179"/>
        <v>0</v>
      </c>
      <c r="N973" s="10"/>
      <c r="O973" s="10"/>
      <c r="P973" s="10"/>
      <c r="Q973" s="10"/>
      <c r="R973" s="10"/>
      <c r="S973" s="10"/>
      <c r="T973" s="10"/>
      <c r="U973" s="27">
        <v>3.4559999999999995</v>
      </c>
      <c r="V973" s="22" t="s">
        <v>23</v>
      </c>
      <c r="W973" s="103"/>
      <c r="X973" s="8"/>
      <c r="Y973" s="103"/>
      <c r="Z973" s="103"/>
      <c r="AA973" s="8"/>
      <c r="AB973" s="8"/>
      <c r="AC973" s="103"/>
      <c r="AD973" s="103"/>
    </row>
    <row r="974" spans="1:30" hidden="1">
      <c r="A974" s="103">
        <v>1359</v>
      </c>
      <c r="B974" s="8">
        <v>45278</v>
      </c>
      <c r="C974" s="103"/>
      <c r="D974" s="103"/>
      <c r="E974" s="8">
        <v>45329</v>
      </c>
      <c r="F974" s="61" t="s">
        <v>43</v>
      </c>
      <c r="G974" s="24" t="s">
        <v>51</v>
      </c>
      <c r="H974" s="103" t="s">
        <v>52</v>
      </c>
      <c r="I974" s="62" t="s">
        <v>54</v>
      </c>
      <c r="J974" s="27">
        <v>0.17594000000000001</v>
      </c>
      <c r="K974" s="103"/>
      <c r="L974" s="10">
        <f t="shared" si="178"/>
        <v>0.17594000000000001</v>
      </c>
      <c r="M974" s="10">
        <f t="shared" si="179"/>
        <v>0</v>
      </c>
      <c r="N974" s="10"/>
      <c r="O974" s="10"/>
      <c r="P974" s="10"/>
      <c r="Q974" s="10"/>
      <c r="R974" s="10"/>
      <c r="S974" s="10"/>
      <c r="T974" s="10"/>
      <c r="U974" s="27">
        <v>0.17594000000000001</v>
      </c>
      <c r="V974" s="22" t="s">
        <v>23</v>
      </c>
      <c r="W974" s="103"/>
      <c r="X974" s="8"/>
      <c r="Y974" s="103"/>
      <c r="Z974" s="103"/>
      <c r="AA974" s="8"/>
      <c r="AB974" s="8"/>
      <c r="AC974" s="103"/>
      <c r="AD974" s="103"/>
    </row>
    <row r="975" spans="1:30" hidden="1">
      <c r="A975" s="103">
        <v>1359</v>
      </c>
      <c r="B975" s="8">
        <v>45278</v>
      </c>
      <c r="C975" s="103"/>
      <c r="D975" s="103"/>
      <c r="E975" s="8">
        <v>45329</v>
      </c>
      <c r="F975" s="61" t="s">
        <v>43</v>
      </c>
      <c r="G975" s="24" t="s">
        <v>51</v>
      </c>
      <c r="H975" s="103" t="s">
        <v>52</v>
      </c>
      <c r="I975" s="62" t="s">
        <v>56</v>
      </c>
      <c r="J975" s="27">
        <v>0.79831200000000002</v>
      </c>
      <c r="K975" s="103"/>
      <c r="L975" s="10">
        <f t="shared" si="178"/>
        <v>0.79831200000000002</v>
      </c>
      <c r="M975" s="10">
        <f t="shared" si="179"/>
        <v>0</v>
      </c>
      <c r="N975" s="10"/>
      <c r="O975" s="10"/>
      <c r="P975" s="10"/>
      <c r="Q975" s="10"/>
      <c r="R975" s="10"/>
      <c r="S975" s="10"/>
      <c r="T975" s="10"/>
      <c r="U975" s="27">
        <v>0.79831200000000002</v>
      </c>
      <c r="V975" s="22" t="s">
        <v>23</v>
      </c>
      <c r="W975" s="103"/>
      <c r="X975" s="8"/>
      <c r="Y975" s="103"/>
      <c r="Z975" s="103"/>
      <c r="AA975" s="8"/>
      <c r="AB975" s="8"/>
      <c r="AC975" s="103"/>
      <c r="AD975" s="103"/>
    </row>
    <row r="976" spans="1:30" hidden="1">
      <c r="A976" s="103">
        <v>1359</v>
      </c>
      <c r="B976" s="8">
        <v>45278</v>
      </c>
      <c r="C976" s="103"/>
      <c r="D976" s="103"/>
      <c r="E976" s="8">
        <v>45329</v>
      </c>
      <c r="F976" s="61" t="s">
        <v>43</v>
      </c>
      <c r="G976" s="24" t="s">
        <v>51</v>
      </c>
      <c r="H976" s="103" t="s">
        <v>52</v>
      </c>
      <c r="I976" s="62" t="s">
        <v>95</v>
      </c>
      <c r="J976" s="27">
        <v>0.38951200000000002</v>
      </c>
      <c r="K976" s="103"/>
      <c r="L976" s="10">
        <f t="shared" si="178"/>
        <v>0.39</v>
      </c>
      <c r="M976" s="10">
        <f t="shared" si="179"/>
        <v>0.39</v>
      </c>
      <c r="N976" s="10"/>
      <c r="O976" s="10"/>
      <c r="P976" s="10">
        <f>0.146+0.244</f>
        <v>0.39</v>
      </c>
      <c r="Q976" s="10"/>
      <c r="R976" s="10"/>
      <c r="S976" s="10"/>
      <c r="T976" s="27"/>
      <c r="U976" s="27"/>
      <c r="V976" s="22" t="s">
        <v>23</v>
      </c>
      <c r="W976" s="103"/>
      <c r="X976" s="8">
        <v>45293</v>
      </c>
      <c r="Y976" s="103"/>
      <c r="Z976" s="103"/>
      <c r="AA976" s="8"/>
      <c r="AB976" s="8"/>
      <c r="AC976" s="103"/>
      <c r="AD976" s="103"/>
    </row>
    <row r="977" spans="1:30" hidden="1">
      <c r="A977" s="103">
        <v>1359</v>
      </c>
      <c r="B977" s="8">
        <v>45278</v>
      </c>
      <c r="C977" s="103"/>
      <c r="D977" s="103"/>
      <c r="E977" s="8">
        <v>45329</v>
      </c>
      <c r="F977" s="61" t="s">
        <v>43</v>
      </c>
      <c r="G977" s="24" t="s">
        <v>51</v>
      </c>
      <c r="H977" s="103" t="s">
        <v>52</v>
      </c>
      <c r="I977" s="62" t="s">
        <v>1426</v>
      </c>
      <c r="J977" s="27">
        <v>4.7925000000000002E-2</v>
      </c>
      <c r="K977" s="103"/>
      <c r="L977" s="10">
        <f t="shared" si="178"/>
        <v>4.7925000000000002E-2</v>
      </c>
      <c r="M977" s="10">
        <f t="shared" si="179"/>
        <v>4.7925000000000002E-2</v>
      </c>
      <c r="N977" s="10"/>
      <c r="O977" s="10"/>
      <c r="P977" s="10"/>
      <c r="Q977" s="10"/>
      <c r="R977" s="27">
        <v>4.7925000000000002E-2</v>
      </c>
      <c r="S977" s="10"/>
      <c r="T977" s="27"/>
      <c r="U977" s="27"/>
      <c r="V977" s="22" t="s">
        <v>23</v>
      </c>
      <c r="W977" s="103"/>
      <c r="X977" s="8">
        <v>45293</v>
      </c>
      <c r="Y977" s="103"/>
      <c r="Z977" s="103"/>
      <c r="AA977" s="8"/>
      <c r="AB977" s="8"/>
      <c r="AC977" s="103"/>
      <c r="AD977" s="103"/>
    </row>
    <row r="978" spans="1:30" hidden="1">
      <c r="A978" s="103">
        <v>1359</v>
      </c>
      <c r="B978" s="8">
        <v>45278</v>
      </c>
      <c r="C978" s="103"/>
      <c r="D978" s="103"/>
      <c r="E978" s="8">
        <v>45329</v>
      </c>
      <c r="F978" s="61" t="s">
        <v>43</v>
      </c>
      <c r="G978" s="24" t="s">
        <v>51</v>
      </c>
      <c r="H978" s="103" t="s">
        <v>52</v>
      </c>
      <c r="I978" s="62" t="s">
        <v>472</v>
      </c>
      <c r="J978" s="27">
        <v>0.90588999999999986</v>
      </c>
      <c r="K978" s="103"/>
      <c r="L978" s="10">
        <f t="shared" si="178"/>
        <v>0.90588999999999986</v>
      </c>
      <c r="M978" s="10">
        <f t="shared" si="179"/>
        <v>0</v>
      </c>
      <c r="N978" s="10"/>
      <c r="O978" s="10"/>
      <c r="P978" s="10"/>
      <c r="Q978" s="10"/>
      <c r="R978" s="10"/>
      <c r="S978" s="10"/>
      <c r="T978" s="10"/>
      <c r="U978" s="27">
        <v>0.90588999999999986</v>
      </c>
      <c r="V978" s="22" t="s">
        <v>23</v>
      </c>
      <c r="W978" s="103"/>
      <c r="X978" s="8"/>
      <c r="Y978" s="103"/>
      <c r="Z978" s="103"/>
      <c r="AA978" s="8"/>
      <c r="AB978" s="8"/>
      <c r="AC978" s="103"/>
      <c r="AD978" s="103"/>
    </row>
    <row r="979" spans="1:30" hidden="1">
      <c r="A979" s="103">
        <v>1359</v>
      </c>
      <c r="B979" s="8">
        <v>45278</v>
      </c>
      <c r="C979" s="103"/>
      <c r="D979" s="103"/>
      <c r="E979" s="8">
        <v>45329</v>
      </c>
      <c r="F979" s="61" t="s">
        <v>43</v>
      </c>
      <c r="G979" s="24" t="s">
        <v>51</v>
      </c>
      <c r="H979" s="103" t="s">
        <v>52</v>
      </c>
      <c r="I979" s="62" t="s">
        <v>100</v>
      </c>
      <c r="J979" s="27">
        <v>0.47673600000000005</v>
      </c>
      <c r="K979" s="103"/>
      <c r="L979" s="10">
        <f t="shared" si="178"/>
        <v>0.47673600000000005</v>
      </c>
      <c r="M979" s="10">
        <f t="shared" si="179"/>
        <v>0</v>
      </c>
      <c r="N979" s="10"/>
      <c r="O979" s="10"/>
      <c r="P979" s="10"/>
      <c r="Q979" s="10"/>
      <c r="R979" s="10"/>
      <c r="S979" s="10"/>
      <c r="T979" s="10"/>
      <c r="U979" s="27">
        <v>0.47673600000000005</v>
      </c>
      <c r="V979" s="22" t="s">
        <v>23</v>
      </c>
      <c r="W979" s="103"/>
      <c r="X979" s="8"/>
      <c r="Y979" s="103"/>
      <c r="Z979" s="103"/>
      <c r="AA979" s="8"/>
      <c r="AB979" s="8"/>
      <c r="AC979" s="103"/>
      <c r="AD979" s="103"/>
    </row>
    <row r="980" spans="1:30" hidden="1">
      <c r="A980" s="103">
        <v>1359</v>
      </c>
      <c r="B980" s="8">
        <v>45278</v>
      </c>
      <c r="C980" s="103"/>
      <c r="D980" s="103"/>
      <c r="E980" s="8">
        <v>45329</v>
      </c>
      <c r="F980" s="61" t="s">
        <v>43</v>
      </c>
      <c r="G980" s="24" t="s">
        <v>51</v>
      </c>
      <c r="H980" s="103" t="s">
        <v>52</v>
      </c>
      <c r="I980" s="62" t="s">
        <v>96</v>
      </c>
      <c r="J980" s="27">
        <v>0.30720000000000003</v>
      </c>
      <c r="K980" s="103"/>
      <c r="L980" s="10">
        <f t="shared" si="178"/>
        <v>0.30720000000000003</v>
      </c>
      <c r="M980" s="10">
        <f t="shared" si="179"/>
        <v>0</v>
      </c>
      <c r="N980" s="10"/>
      <c r="O980" s="10"/>
      <c r="P980" s="10"/>
      <c r="Q980" s="10"/>
      <c r="R980" s="10"/>
      <c r="S980" s="10"/>
      <c r="T980" s="10"/>
      <c r="U980" s="27">
        <v>0.30720000000000003</v>
      </c>
      <c r="V980" s="22" t="s">
        <v>23</v>
      </c>
      <c r="W980" s="103"/>
      <c r="X980" s="8"/>
      <c r="Y980" s="103"/>
      <c r="Z980" s="103"/>
      <c r="AA980" s="8"/>
      <c r="AB980" s="8"/>
      <c r="AC980" s="103"/>
      <c r="AD980" s="103"/>
    </row>
    <row r="981" spans="1:30" hidden="1">
      <c r="A981" s="103">
        <v>1398</v>
      </c>
      <c r="B981" s="8">
        <v>45288</v>
      </c>
      <c r="C981" s="103"/>
      <c r="D981" s="103"/>
      <c r="E981" s="8">
        <v>45329</v>
      </c>
      <c r="F981" s="61" t="s">
        <v>43</v>
      </c>
      <c r="G981" s="24" t="s">
        <v>44</v>
      </c>
      <c r="H981" s="103" t="s">
        <v>45</v>
      </c>
      <c r="I981" s="51" t="s">
        <v>54</v>
      </c>
      <c r="J981" s="111">
        <v>5.0599999999999999E-2</v>
      </c>
      <c r="K981" s="103"/>
      <c r="L981" s="10">
        <f t="shared" ref="L981:L1008" si="180">M981+U981</f>
        <v>5.0599999999999999E-2</v>
      </c>
      <c r="M981" s="10">
        <f t="shared" ref="M981:M1008" si="181">SUM(N981:T981)</f>
        <v>0</v>
      </c>
      <c r="N981" s="10"/>
      <c r="O981" s="10"/>
      <c r="P981" s="10"/>
      <c r="Q981" s="10"/>
      <c r="R981" s="10"/>
      <c r="S981" s="10"/>
      <c r="T981" s="10"/>
      <c r="U981" s="111">
        <v>5.0599999999999999E-2</v>
      </c>
      <c r="V981" s="22" t="s">
        <v>23</v>
      </c>
      <c r="W981" s="103"/>
      <c r="X981" s="8"/>
      <c r="Y981" s="103"/>
      <c r="Z981" s="103"/>
      <c r="AA981" s="8"/>
      <c r="AB981" s="8"/>
      <c r="AC981" s="103"/>
      <c r="AD981" s="103"/>
    </row>
    <row r="982" spans="1:30" hidden="1">
      <c r="A982" s="103">
        <v>1398</v>
      </c>
      <c r="B982" s="8">
        <v>45288</v>
      </c>
      <c r="C982" s="103"/>
      <c r="D982" s="103"/>
      <c r="E982" s="8">
        <v>45329</v>
      </c>
      <c r="F982" s="61" t="s">
        <v>43</v>
      </c>
      <c r="G982" s="24" t="s">
        <v>44</v>
      </c>
      <c r="H982" s="103" t="s">
        <v>45</v>
      </c>
      <c r="I982" s="51" t="s">
        <v>48</v>
      </c>
      <c r="J982" s="111">
        <v>1.21E-2</v>
      </c>
      <c r="K982" s="103"/>
      <c r="L982" s="10">
        <f t="shared" si="180"/>
        <v>1.21E-2</v>
      </c>
      <c r="M982" s="10">
        <f t="shared" si="181"/>
        <v>0</v>
      </c>
      <c r="N982" s="10"/>
      <c r="O982" s="10"/>
      <c r="P982" s="10"/>
      <c r="Q982" s="10"/>
      <c r="R982" s="10"/>
      <c r="S982" s="10"/>
      <c r="T982" s="10"/>
      <c r="U982" s="111">
        <v>1.21E-2</v>
      </c>
      <c r="V982" s="22" t="s">
        <v>23</v>
      </c>
      <c r="W982" s="103"/>
      <c r="X982" s="8"/>
      <c r="Y982" s="103"/>
      <c r="Z982" s="103"/>
      <c r="AA982" s="8"/>
      <c r="AB982" s="8"/>
      <c r="AC982" s="103"/>
      <c r="AD982" s="103"/>
    </row>
    <row r="983" spans="1:30" hidden="1">
      <c r="A983" s="103">
        <v>1398</v>
      </c>
      <c r="B983" s="8">
        <v>45288</v>
      </c>
      <c r="C983" s="103"/>
      <c r="D983" s="103"/>
      <c r="E983" s="8">
        <v>45329</v>
      </c>
      <c r="F983" s="61" t="s">
        <v>43</v>
      </c>
      <c r="G983" s="24" t="s">
        <v>44</v>
      </c>
      <c r="H983" s="103" t="s">
        <v>45</v>
      </c>
      <c r="I983" s="51" t="s">
        <v>46</v>
      </c>
      <c r="J983" s="111">
        <v>0.1608</v>
      </c>
      <c r="K983" s="103"/>
      <c r="L983" s="10">
        <f t="shared" si="180"/>
        <v>0.1608</v>
      </c>
      <c r="M983" s="10">
        <f t="shared" si="181"/>
        <v>0</v>
      </c>
      <c r="N983" s="10"/>
      <c r="O983" s="10"/>
      <c r="P983" s="10"/>
      <c r="Q983" s="10"/>
      <c r="R983" s="10"/>
      <c r="S983" s="10"/>
      <c r="T983" s="10"/>
      <c r="U983" s="111">
        <v>0.1608</v>
      </c>
      <c r="V983" s="22" t="s">
        <v>23</v>
      </c>
      <c r="W983" s="103"/>
      <c r="X983" s="8"/>
      <c r="Y983" s="103"/>
      <c r="Z983" s="103"/>
      <c r="AA983" s="8"/>
      <c r="AB983" s="8"/>
      <c r="AC983" s="103"/>
      <c r="AD983" s="103"/>
    </row>
    <row r="984" spans="1:30" hidden="1">
      <c r="A984" s="103">
        <v>1398</v>
      </c>
      <c r="B984" s="8">
        <v>45288</v>
      </c>
      <c r="C984" s="103"/>
      <c r="D984" s="103"/>
      <c r="E984" s="8">
        <v>45329</v>
      </c>
      <c r="F984" s="61" t="s">
        <v>43</v>
      </c>
      <c r="G984" s="24" t="s">
        <v>44</v>
      </c>
      <c r="H984" s="103" t="s">
        <v>45</v>
      </c>
      <c r="I984" s="51" t="s">
        <v>49</v>
      </c>
      <c r="J984" s="111">
        <v>1.8200000000000001E-2</v>
      </c>
      <c r="K984" s="103"/>
      <c r="L984" s="10">
        <f t="shared" si="180"/>
        <v>1.8200000000000001E-2</v>
      </c>
      <c r="M984" s="10">
        <f t="shared" si="181"/>
        <v>0</v>
      </c>
      <c r="N984" s="10"/>
      <c r="O984" s="10"/>
      <c r="P984" s="10"/>
      <c r="Q984" s="10"/>
      <c r="R984" s="10"/>
      <c r="S984" s="10"/>
      <c r="T984" s="10"/>
      <c r="U984" s="111">
        <v>1.8200000000000001E-2</v>
      </c>
      <c r="V984" s="22" t="s">
        <v>23</v>
      </c>
      <c r="W984" s="103"/>
      <c r="X984" s="8"/>
      <c r="Y984" s="103"/>
      <c r="Z984" s="103"/>
      <c r="AA984" s="8"/>
      <c r="AB984" s="8"/>
      <c r="AC984" s="103"/>
      <c r="AD984" s="103"/>
    </row>
    <row r="985" spans="1:30" hidden="1">
      <c r="A985" s="103">
        <v>1398</v>
      </c>
      <c r="B985" s="8">
        <v>45288</v>
      </c>
      <c r="C985" s="103"/>
      <c r="D985" s="103"/>
      <c r="E985" s="8">
        <v>45329</v>
      </c>
      <c r="F985" s="61" t="s">
        <v>43</v>
      </c>
      <c r="G985" s="24" t="s">
        <v>44</v>
      </c>
      <c r="H985" s="103" t="s">
        <v>45</v>
      </c>
      <c r="I985" s="51" t="s">
        <v>407</v>
      </c>
      <c r="J985" s="111">
        <v>1.9699999999999999E-2</v>
      </c>
      <c r="K985" s="103"/>
      <c r="L985" s="10">
        <f t="shared" si="180"/>
        <v>1.9699999999999999E-2</v>
      </c>
      <c r="M985" s="10">
        <f t="shared" si="181"/>
        <v>0</v>
      </c>
      <c r="N985" s="10"/>
      <c r="O985" s="10"/>
      <c r="P985" s="10"/>
      <c r="Q985" s="10"/>
      <c r="R985" s="10"/>
      <c r="S985" s="10"/>
      <c r="T985" s="10"/>
      <c r="U985" s="111">
        <v>1.9699999999999999E-2</v>
      </c>
      <c r="V985" s="22" t="s">
        <v>23</v>
      </c>
      <c r="W985" s="103"/>
      <c r="X985" s="8"/>
      <c r="Y985" s="103"/>
      <c r="Z985" s="103"/>
      <c r="AA985" s="8"/>
      <c r="AB985" s="8"/>
      <c r="AC985" s="103"/>
      <c r="AD985" s="103"/>
    </row>
    <row r="986" spans="1:30" hidden="1">
      <c r="A986" s="103">
        <v>1398</v>
      </c>
      <c r="B986" s="8">
        <v>45288</v>
      </c>
      <c r="C986" s="103"/>
      <c r="D986" s="103"/>
      <c r="E986" s="8">
        <v>45329</v>
      </c>
      <c r="F986" s="61" t="s">
        <v>43</v>
      </c>
      <c r="G986" s="24" t="s">
        <v>44</v>
      </c>
      <c r="H986" s="103" t="s">
        <v>45</v>
      </c>
      <c r="I986" s="51" t="s">
        <v>519</v>
      </c>
      <c r="J986" s="111">
        <v>0.13800000000000001</v>
      </c>
      <c r="K986" s="103"/>
      <c r="L986" s="10">
        <f t="shared" si="180"/>
        <v>0.13800000000000001</v>
      </c>
      <c r="M986" s="10">
        <f t="shared" si="181"/>
        <v>0.13800000000000001</v>
      </c>
      <c r="N986" s="10"/>
      <c r="O986" s="10"/>
      <c r="P986" s="10"/>
      <c r="Q986" s="10"/>
      <c r="R986" s="234">
        <v>0.13800000000000001</v>
      </c>
      <c r="S986" s="10"/>
      <c r="T986" s="10"/>
      <c r="U986" s="111"/>
      <c r="V986" s="22" t="s">
        <v>23</v>
      </c>
      <c r="W986" s="103"/>
      <c r="X986" s="8"/>
      <c r="Y986" s="103"/>
      <c r="Z986" s="103"/>
      <c r="AA986" s="8"/>
      <c r="AB986" s="8"/>
      <c r="AC986" s="103"/>
      <c r="AD986" s="103"/>
    </row>
    <row r="987" spans="1:30" hidden="1">
      <c r="A987" s="103">
        <v>1398</v>
      </c>
      <c r="B987" s="8">
        <v>45288</v>
      </c>
      <c r="C987" s="103"/>
      <c r="D987" s="103"/>
      <c r="E987" s="8">
        <v>45329</v>
      </c>
      <c r="F987" s="61" t="s">
        <v>43</v>
      </c>
      <c r="G987" s="24" t="s">
        <v>44</v>
      </c>
      <c r="H987" s="103" t="s">
        <v>45</v>
      </c>
      <c r="I987" s="51" t="s">
        <v>517</v>
      </c>
      <c r="J987" s="111">
        <v>0.16400000000000001</v>
      </c>
      <c r="K987" s="103"/>
      <c r="L987" s="10">
        <f t="shared" si="180"/>
        <v>0.16400000000000001</v>
      </c>
      <c r="M987" s="10">
        <f t="shared" si="181"/>
        <v>0.16400000000000001</v>
      </c>
      <c r="N987" s="10"/>
      <c r="O987" s="10"/>
      <c r="P987" s="10"/>
      <c r="Q987" s="10"/>
      <c r="R987" s="234">
        <v>0.16400000000000001</v>
      </c>
      <c r="S987" s="10"/>
      <c r="T987" s="10"/>
      <c r="U987" s="111"/>
      <c r="V987" s="22" t="s">
        <v>23</v>
      </c>
      <c r="W987" s="103"/>
      <c r="X987" s="8"/>
      <c r="Y987" s="103"/>
      <c r="Z987" s="103"/>
      <c r="AA987" s="8"/>
      <c r="AB987" s="8"/>
      <c r="AC987" s="103"/>
      <c r="AD987" s="103"/>
    </row>
    <row r="988" spans="1:30" hidden="1">
      <c r="A988" s="103">
        <v>1398</v>
      </c>
      <c r="B988" s="8">
        <v>45288</v>
      </c>
      <c r="C988" s="103"/>
      <c r="D988" s="103"/>
      <c r="E988" s="8">
        <v>45329</v>
      </c>
      <c r="F988" s="61" t="s">
        <v>43</v>
      </c>
      <c r="G988" s="24" t="s">
        <v>44</v>
      </c>
      <c r="H988" s="103" t="s">
        <v>45</v>
      </c>
      <c r="I988" s="51" t="s">
        <v>449</v>
      </c>
      <c r="J988" s="111">
        <v>0.215</v>
      </c>
      <c r="K988" s="103"/>
      <c r="L988" s="10">
        <f t="shared" si="180"/>
        <v>0.215</v>
      </c>
      <c r="M988" s="10">
        <f t="shared" si="181"/>
        <v>0.215</v>
      </c>
      <c r="N988" s="10"/>
      <c r="O988" s="10"/>
      <c r="P988" s="10"/>
      <c r="Q988" s="10"/>
      <c r="R988" s="234">
        <v>0.215</v>
      </c>
      <c r="S988" s="10"/>
      <c r="T988" s="111"/>
      <c r="U988" s="111"/>
      <c r="V988" s="22" t="s">
        <v>23</v>
      </c>
      <c r="W988" s="103"/>
      <c r="X988" s="8"/>
      <c r="Y988" s="103"/>
      <c r="Z988" s="103"/>
      <c r="AA988" s="8"/>
      <c r="AB988" s="8"/>
      <c r="AC988" s="103"/>
      <c r="AD988" s="103"/>
    </row>
    <row r="989" spans="1:30" hidden="1">
      <c r="A989" s="103">
        <v>1398</v>
      </c>
      <c r="B989" s="8">
        <v>45288</v>
      </c>
      <c r="C989" s="103"/>
      <c r="D989" s="103"/>
      <c r="E989" s="8">
        <v>45329</v>
      </c>
      <c r="F989" s="61" t="s">
        <v>43</v>
      </c>
      <c r="G989" s="24" t="s">
        <v>44</v>
      </c>
      <c r="H989" s="103" t="s">
        <v>45</v>
      </c>
      <c r="I989" s="51" t="s">
        <v>235</v>
      </c>
      <c r="J989" s="111">
        <v>1.8322999999999999E-2</v>
      </c>
      <c r="K989" s="103"/>
      <c r="L989" s="10">
        <f t="shared" si="180"/>
        <v>1.8322999999999999E-2</v>
      </c>
      <c r="M989" s="10">
        <f t="shared" si="181"/>
        <v>0</v>
      </c>
      <c r="N989" s="10"/>
      <c r="O989" s="10"/>
      <c r="P989" s="10"/>
      <c r="Q989" s="10"/>
      <c r="R989" s="10"/>
      <c r="S989" s="10"/>
      <c r="T989" s="10"/>
      <c r="U989" s="111">
        <v>1.8322999999999999E-2</v>
      </c>
      <c r="V989" s="22" t="s">
        <v>23</v>
      </c>
      <c r="W989" s="103"/>
      <c r="X989" s="8"/>
      <c r="Y989" s="103"/>
      <c r="Z989" s="103"/>
      <c r="AA989" s="8"/>
      <c r="AB989" s="8"/>
      <c r="AC989" s="103"/>
      <c r="AD989" s="103"/>
    </row>
    <row r="990" spans="1:30" hidden="1">
      <c r="A990" s="103">
        <v>1400</v>
      </c>
      <c r="B990" s="8">
        <v>45288</v>
      </c>
      <c r="C990" s="103"/>
      <c r="D990" s="103"/>
      <c r="E990" s="8">
        <v>45329</v>
      </c>
      <c r="F990" s="61" t="s">
        <v>43</v>
      </c>
      <c r="G990" s="24" t="s">
        <v>51</v>
      </c>
      <c r="H990" s="103" t="s">
        <v>52</v>
      </c>
      <c r="I990" s="51" t="s">
        <v>49</v>
      </c>
      <c r="J990" s="111">
        <v>0.10920000000000001</v>
      </c>
      <c r="K990" s="103"/>
      <c r="L990" s="10">
        <f t="shared" si="180"/>
        <v>0.10920000000000001</v>
      </c>
      <c r="M990" s="10">
        <f t="shared" si="181"/>
        <v>0</v>
      </c>
      <c r="N990" s="10"/>
      <c r="O990" s="10"/>
      <c r="P990" s="10"/>
      <c r="Q990" s="10"/>
      <c r="R990" s="10"/>
      <c r="S990" s="10"/>
      <c r="T990" s="10"/>
      <c r="U990" s="111">
        <v>0.10920000000000001</v>
      </c>
      <c r="V990" s="103" t="s">
        <v>427</v>
      </c>
      <c r="W990" s="103"/>
      <c r="X990" s="8"/>
      <c r="Y990" s="103"/>
      <c r="Z990" s="103"/>
      <c r="AA990" s="8"/>
      <c r="AB990" s="8"/>
      <c r="AC990" s="103"/>
      <c r="AD990" s="103"/>
    </row>
    <row r="991" spans="1:30" hidden="1">
      <c r="A991" s="103">
        <v>1400</v>
      </c>
      <c r="B991" s="8">
        <v>45288</v>
      </c>
      <c r="C991" s="103"/>
      <c r="D991" s="103"/>
      <c r="E991" s="8">
        <v>45329</v>
      </c>
      <c r="F991" s="61" t="s">
        <v>43</v>
      </c>
      <c r="G991" s="24" t="s">
        <v>51</v>
      </c>
      <c r="H991" s="103" t="s">
        <v>52</v>
      </c>
      <c r="I991" s="51" t="s">
        <v>407</v>
      </c>
      <c r="J991" s="111">
        <v>0.25610000000000005</v>
      </c>
      <c r="K991" s="103"/>
      <c r="L991" s="10">
        <f t="shared" si="180"/>
        <v>0.25610000000000005</v>
      </c>
      <c r="M991" s="10">
        <f t="shared" si="181"/>
        <v>0</v>
      </c>
      <c r="N991" s="10"/>
      <c r="O991" s="10"/>
      <c r="P991" s="10"/>
      <c r="Q991" s="10"/>
      <c r="R991" s="10"/>
      <c r="S991" s="10"/>
      <c r="T991" s="10"/>
      <c r="U991" s="111">
        <v>0.25610000000000005</v>
      </c>
      <c r="V991" s="103" t="s">
        <v>427</v>
      </c>
      <c r="W991" s="103"/>
      <c r="X991" s="8"/>
      <c r="Y991" s="103"/>
      <c r="Z991" s="103"/>
      <c r="AA991" s="8"/>
      <c r="AB991" s="8"/>
      <c r="AC991" s="103"/>
      <c r="AD991" s="103"/>
    </row>
    <row r="992" spans="1:30" hidden="1">
      <c r="A992" s="103">
        <v>1400</v>
      </c>
      <c r="B992" s="8">
        <v>45288</v>
      </c>
      <c r="C992" s="103"/>
      <c r="D992" s="103"/>
      <c r="E992" s="8">
        <v>45329</v>
      </c>
      <c r="F992" s="61" t="s">
        <v>43</v>
      </c>
      <c r="G992" s="24" t="s">
        <v>51</v>
      </c>
      <c r="H992" s="103" t="s">
        <v>52</v>
      </c>
      <c r="I992" s="51" t="s">
        <v>100</v>
      </c>
      <c r="J992" s="111">
        <v>8.2000000000000003E-2</v>
      </c>
      <c r="K992" s="103"/>
      <c r="L992" s="10">
        <f t="shared" si="180"/>
        <v>8.2000000000000003E-2</v>
      </c>
      <c r="M992" s="10">
        <f t="shared" si="181"/>
        <v>0</v>
      </c>
      <c r="N992" s="10"/>
      <c r="O992" s="10"/>
      <c r="P992" s="10"/>
      <c r="Q992" s="10"/>
      <c r="R992" s="10"/>
      <c r="S992" s="10"/>
      <c r="T992" s="10"/>
      <c r="U992" s="111">
        <v>8.2000000000000003E-2</v>
      </c>
      <c r="V992" s="103" t="s">
        <v>427</v>
      </c>
      <c r="W992" s="103"/>
      <c r="X992" s="8"/>
      <c r="Y992" s="103"/>
      <c r="Z992" s="103"/>
      <c r="AA992" s="8"/>
      <c r="AB992" s="8"/>
      <c r="AC992" s="103"/>
      <c r="AD992" s="103"/>
    </row>
    <row r="993" spans="1:30" hidden="1">
      <c r="A993" s="103">
        <v>1399</v>
      </c>
      <c r="B993" s="8">
        <v>45288</v>
      </c>
      <c r="C993" s="103"/>
      <c r="D993" s="103"/>
      <c r="E993" s="8">
        <v>45329</v>
      </c>
      <c r="F993" s="61" t="s">
        <v>43</v>
      </c>
      <c r="G993" s="63" t="s">
        <v>126</v>
      </c>
      <c r="H993" s="103" t="s">
        <v>45</v>
      </c>
      <c r="I993" s="51" t="s">
        <v>48</v>
      </c>
      <c r="J993" s="111">
        <v>1.21E-2</v>
      </c>
      <c r="K993" s="103"/>
      <c r="L993" s="10">
        <f t="shared" si="180"/>
        <v>1.21E-2</v>
      </c>
      <c r="M993" s="10">
        <f t="shared" si="181"/>
        <v>0</v>
      </c>
      <c r="N993" s="10"/>
      <c r="O993" s="10"/>
      <c r="P993" s="10"/>
      <c r="Q993" s="10"/>
      <c r="R993" s="10"/>
      <c r="S993" s="10"/>
      <c r="T993" s="10"/>
      <c r="U993" s="111">
        <v>1.21E-2</v>
      </c>
      <c r="V993" s="103" t="s">
        <v>23</v>
      </c>
      <c r="W993" s="103"/>
      <c r="X993" s="8"/>
      <c r="Y993" s="103"/>
      <c r="Z993" s="103"/>
      <c r="AA993" s="8"/>
      <c r="AB993" s="8"/>
      <c r="AC993" s="103"/>
      <c r="AD993" s="103"/>
    </row>
    <row r="994" spans="1:30" hidden="1">
      <c r="A994" s="103">
        <v>1399</v>
      </c>
      <c r="B994" s="8">
        <v>45288</v>
      </c>
      <c r="C994" s="103"/>
      <c r="D994" s="103"/>
      <c r="E994" s="8">
        <v>45329</v>
      </c>
      <c r="F994" s="61" t="s">
        <v>43</v>
      </c>
      <c r="G994" s="63" t="s">
        <v>126</v>
      </c>
      <c r="H994" s="103" t="s">
        <v>45</v>
      </c>
      <c r="I994" s="51" t="s">
        <v>50</v>
      </c>
      <c r="J994" s="111">
        <v>1.47E-2</v>
      </c>
      <c r="K994" s="103"/>
      <c r="L994" s="10">
        <f t="shared" si="180"/>
        <v>1.47E-2</v>
      </c>
      <c r="M994" s="10">
        <f t="shared" si="181"/>
        <v>0</v>
      </c>
      <c r="N994" s="10"/>
      <c r="O994" s="10"/>
      <c r="P994" s="10"/>
      <c r="Q994" s="10"/>
      <c r="R994" s="10"/>
      <c r="S994" s="10"/>
      <c r="T994" s="10"/>
      <c r="U994" s="111">
        <v>1.47E-2</v>
      </c>
      <c r="V994" s="103" t="s">
        <v>23</v>
      </c>
      <c r="W994" s="103"/>
      <c r="X994" s="8"/>
      <c r="Y994" s="103"/>
      <c r="Z994" s="103"/>
      <c r="AA994" s="8"/>
      <c r="AB994" s="8"/>
      <c r="AC994" s="103"/>
      <c r="AD994" s="103"/>
    </row>
    <row r="995" spans="1:30" hidden="1">
      <c r="A995" s="103">
        <v>1399</v>
      </c>
      <c r="B995" s="8">
        <v>45288</v>
      </c>
      <c r="C995" s="103"/>
      <c r="D995" s="103"/>
      <c r="E995" s="8">
        <v>45329</v>
      </c>
      <c r="F995" s="61" t="s">
        <v>43</v>
      </c>
      <c r="G995" s="63" t="s">
        <v>126</v>
      </c>
      <c r="H995" s="103" t="s">
        <v>45</v>
      </c>
      <c r="I995" s="51" t="s">
        <v>407</v>
      </c>
      <c r="J995" s="111">
        <v>1.9699999999999999E-2</v>
      </c>
      <c r="K995" s="103"/>
      <c r="L995" s="10">
        <f t="shared" si="180"/>
        <v>1.9699999999999999E-2</v>
      </c>
      <c r="M995" s="10">
        <f t="shared" si="181"/>
        <v>0</v>
      </c>
      <c r="N995" s="10"/>
      <c r="O995" s="10"/>
      <c r="P995" s="10"/>
      <c r="Q995" s="10"/>
      <c r="R995" s="10"/>
      <c r="S995" s="10"/>
      <c r="T995" s="10"/>
      <c r="U995" s="111">
        <v>1.9699999999999999E-2</v>
      </c>
      <c r="V995" s="103" t="s">
        <v>23</v>
      </c>
      <c r="W995" s="103"/>
      <c r="X995" s="8"/>
      <c r="Y995" s="103"/>
      <c r="Z995" s="103"/>
      <c r="AA995" s="8"/>
      <c r="AB995" s="8"/>
      <c r="AC995" s="103"/>
      <c r="AD995" s="103"/>
    </row>
    <row r="996" spans="1:30" hidden="1">
      <c r="A996" s="103">
        <v>1399</v>
      </c>
      <c r="B996" s="8">
        <v>45288</v>
      </c>
      <c r="C996" s="103"/>
      <c r="D996" s="103"/>
      <c r="E996" s="8">
        <v>45329</v>
      </c>
      <c r="F996" s="61" t="s">
        <v>43</v>
      </c>
      <c r="G996" s="63" t="s">
        <v>126</v>
      </c>
      <c r="H996" s="103" t="s">
        <v>45</v>
      </c>
      <c r="I996" s="51" t="s">
        <v>517</v>
      </c>
      <c r="J996" s="111">
        <v>0.16400000000000001</v>
      </c>
      <c r="K996" s="103"/>
      <c r="L996" s="10">
        <f t="shared" si="180"/>
        <v>0.16400000000000001</v>
      </c>
      <c r="M996" s="10">
        <f t="shared" si="181"/>
        <v>0.16400000000000001</v>
      </c>
      <c r="N996" s="10"/>
      <c r="O996" s="10"/>
      <c r="P996" s="10"/>
      <c r="Q996" s="10"/>
      <c r="R996" s="234">
        <v>0.16400000000000001</v>
      </c>
      <c r="S996" s="10"/>
      <c r="T996" s="111"/>
      <c r="U996" s="111"/>
      <c r="V996" s="103" t="s">
        <v>23</v>
      </c>
      <c r="W996" s="103"/>
      <c r="X996" s="8"/>
      <c r="Y996" s="103"/>
      <c r="Z996" s="103"/>
      <c r="AA996" s="8"/>
      <c r="AB996" s="8"/>
      <c r="AC996" s="103"/>
      <c r="AD996" s="103"/>
    </row>
    <row r="997" spans="1:30" hidden="1">
      <c r="A997" s="103">
        <v>1399</v>
      </c>
      <c r="B997" s="8">
        <v>45288</v>
      </c>
      <c r="C997" s="103"/>
      <c r="D997" s="103"/>
      <c r="E997" s="8">
        <v>45329</v>
      </c>
      <c r="F997" s="61" t="s">
        <v>43</v>
      </c>
      <c r="G997" s="63" t="s">
        <v>126</v>
      </c>
      <c r="H997" s="103" t="s">
        <v>45</v>
      </c>
      <c r="I997" s="51" t="s">
        <v>235</v>
      </c>
      <c r="J997" s="111">
        <v>7.3000000000000001E-3</v>
      </c>
      <c r="K997" s="103"/>
      <c r="L997" s="10">
        <f t="shared" si="180"/>
        <v>7.3000000000000001E-3</v>
      </c>
      <c r="M997" s="10">
        <f t="shared" si="181"/>
        <v>0</v>
      </c>
      <c r="N997" s="10"/>
      <c r="O997" s="10"/>
      <c r="P997" s="10"/>
      <c r="Q997" s="10"/>
      <c r="R997" s="10"/>
      <c r="S997" s="10"/>
      <c r="T997" s="10"/>
      <c r="U997" s="111">
        <v>7.3000000000000001E-3</v>
      </c>
      <c r="V997" s="103" t="s">
        <v>23</v>
      </c>
      <c r="W997" s="103"/>
      <c r="X997" s="8"/>
      <c r="Y997" s="103"/>
      <c r="Z997" s="103"/>
      <c r="AA997" s="8"/>
      <c r="AB997" s="8"/>
      <c r="AC997" s="103"/>
      <c r="AD997" s="103"/>
    </row>
    <row r="998" spans="1:30" hidden="1">
      <c r="A998" s="103">
        <v>1399</v>
      </c>
      <c r="B998" s="8">
        <v>45288</v>
      </c>
      <c r="C998" s="103"/>
      <c r="D998" s="103"/>
      <c r="E998" s="8">
        <v>45329</v>
      </c>
      <c r="F998" s="61" t="s">
        <v>43</v>
      </c>
      <c r="G998" s="63" t="s">
        <v>126</v>
      </c>
      <c r="H998" s="103" t="s">
        <v>45</v>
      </c>
      <c r="I998" s="51" t="s">
        <v>100</v>
      </c>
      <c r="J998" s="111">
        <v>1.23E-2</v>
      </c>
      <c r="K998" s="103"/>
      <c r="L998" s="10">
        <f t="shared" si="180"/>
        <v>1.23E-2</v>
      </c>
      <c r="M998" s="10">
        <f t="shared" si="181"/>
        <v>0</v>
      </c>
      <c r="N998" s="10"/>
      <c r="O998" s="10"/>
      <c r="P998" s="10"/>
      <c r="Q998" s="10"/>
      <c r="R998" s="10"/>
      <c r="S998" s="10"/>
      <c r="T998" s="10"/>
      <c r="U998" s="111">
        <v>1.23E-2</v>
      </c>
      <c r="V998" s="103" t="s">
        <v>23</v>
      </c>
      <c r="W998" s="103"/>
      <c r="X998" s="8"/>
      <c r="Y998" s="103"/>
      <c r="Z998" s="103"/>
      <c r="AA998" s="8"/>
      <c r="AB998" s="8"/>
      <c r="AC998" s="103"/>
      <c r="AD998" s="103"/>
    </row>
    <row r="999" spans="1:30" hidden="1">
      <c r="A999" s="103">
        <v>1399</v>
      </c>
      <c r="B999" s="8">
        <v>45288</v>
      </c>
      <c r="C999" s="103"/>
      <c r="D999" s="103"/>
      <c r="E999" s="8">
        <v>45329</v>
      </c>
      <c r="F999" s="61" t="s">
        <v>43</v>
      </c>
      <c r="G999" s="63" t="s">
        <v>1142</v>
      </c>
      <c r="H999" s="103" t="s">
        <v>52</v>
      </c>
      <c r="I999" s="51" t="s">
        <v>57</v>
      </c>
      <c r="J999" s="111">
        <v>5.96E-2</v>
      </c>
      <c r="K999" s="103"/>
      <c r="L999" s="10">
        <f t="shared" si="180"/>
        <v>5.96E-2</v>
      </c>
      <c r="M999" s="10">
        <f t="shared" si="181"/>
        <v>0</v>
      </c>
      <c r="N999" s="10"/>
      <c r="O999" s="10"/>
      <c r="P999" s="10"/>
      <c r="Q999" s="10"/>
      <c r="R999" s="10"/>
      <c r="S999" s="10"/>
      <c r="T999" s="10"/>
      <c r="U999" s="111">
        <v>5.96E-2</v>
      </c>
      <c r="V999" s="103" t="s">
        <v>23</v>
      </c>
      <c r="W999" s="103"/>
      <c r="X999" s="8"/>
      <c r="Y999" s="103"/>
      <c r="Z999" s="103"/>
      <c r="AA999" s="8"/>
      <c r="AB999" s="8"/>
      <c r="AC999" s="103"/>
      <c r="AD999" s="103"/>
    </row>
    <row r="1000" spans="1:30" hidden="1">
      <c r="A1000" s="103">
        <v>1399</v>
      </c>
      <c r="B1000" s="8">
        <v>45288</v>
      </c>
      <c r="C1000" s="103"/>
      <c r="D1000" s="103"/>
      <c r="E1000" s="8">
        <v>45329</v>
      </c>
      <c r="F1000" s="61" t="s">
        <v>43</v>
      </c>
      <c r="G1000" s="63" t="s">
        <v>1142</v>
      </c>
      <c r="H1000" s="103" t="s">
        <v>52</v>
      </c>
      <c r="I1000" s="51" t="s">
        <v>54</v>
      </c>
      <c r="J1000" s="111">
        <v>9.1999999999999998E-3</v>
      </c>
      <c r="K1000" s="103"/>
      <c r="L1000" s="10">
        <f t="shared" si="180"/>
        <v>9.1999999999999998E-3</v>
      </c>
      <c r="M1000" s="10">
        <f t="shared" si="181"/>
        <v>0</v>
      </c>
      <c r="N1000" s="10"/>
      <c r="O1000" s="10"/>
      <c r="P1000" s="10"/>
      <c r="Q1000" s="10"/>
      <c r="R1000" s="10"/>
      <c r="S1000" s="10"/>
      <c r="T1000" s="10"/>
      <c r="U1000" s="111">
        <v>9.1999999999999998E-3</v>
      </c>
      <c r="V1000" s="103" t="s">
        <v>23</v>
      </c>
      <c r="W1000" s="103"/>
      <c r="X1000" s="8"/>
      <c r="Y1000" s="103"/>
      <c r="Z1000" s="103"/>
      <c r="AA1000" s="8"/>
      <c r="AB1000" s="8"/>
      <c r="AC1000" s="103"/>
      <c r="AD1000" s="103"/>
    </row>
    <row r="1001" spans="1:30" hidden="1">
      <c r="A1001" s="103">
        <v>1399</v>
      </c>
      <c r="B1001" s="8">
        <v>45288</v>
      </c>
      <c r="C1001" s="103"/>
      <c r="D1001" s="103"/>
      <c r="E1001" s="8">
        <v>45329</v>
      </c>
      <c r="F1001" s="61" t="s">
        <v>43</v>
      </c>
      <c r="G1001" s="63" t="s">
        <v>1142</v>
      </c>
      <c r="H1001" s="103" t="s">
        <v>52</v>
      </c>
      <c r="I1001" s="51" t="s">
        <v>56</v>
      </c>
      <c r="J1001" s="111">
        <v>7.7040000000000011E-2</v>
      </c>
      <c r="K1001" s="103"/>
      <c r="L1001" s="10">
        <f t="shared" si="180"/>
        <v>7.7040000000000011E-2</v>
      </c>
      <c r="M1001" s="10">
        <f t="shared" si="181"/>
        <v>0</v>
      </c>
      <c r="N1001" s="10"/>
      <c r="O1001" s="10"/>
      <c r="P1001" s="10"/>
      <c r="Q1001" s="10"/>
      <c r="R1001" s="10"/>
      <c r="S1001" s="10"/>
      <c r="T1001" s="10"/>
      <c r="U1001" s="111">
        <v>7.7040000000000011E-2</v>
      </c>
      <c r="V1001" s="103" t="s">
        <v>23</v>
      </c>
      <c r="W1001" s="103"/>
      <c r="X1001" s="8"/>
      <c r="Y1001" s="103"/>
      <c r="Z1001" s="103"/>
      <c r="AA1001" s="8"/>
      <c r="AB1001" s="8"/>
      <c r="AC1001" s="103"/>
      <c r="AD1001" s="103"/>
    </row>
    <row r="1002" spans="1:30" hidden="1">
      <c r="A1002" s="103">
        <v>1399</v>
      </c>
      <c r="B1002" s="8">
        <v>45288</v>
      </c>
      <c r="C1002" s="103"/>
      <c r="D1002" s="103"/>
      <c r="E1002" s="8">
        <v>45329</v>
      </c>
      <c r="F1002" s="61" t="s">
        <v>43</v>
      </c>
      <c r="G1002" s="63" t="s">
        <v>1142</v>
      </c>
      <c r="H1002" s="103" t="s">
        <v>52</v>
      </c>
      <c r="I1002" s="51" t="s">
        <v>472</v>
      </c>
      <c r="J1002" s="111">
        <v>4.7024999999999997E-2</v>
      </c>
      <c r="K1002" s="103"/>
      <c r="L1002" s="10">
        <f t="shared" si="180"/>
        <v>4.7024999999999997E-2</v>
      </c>
      <c r="M1002" s="10">
        <f t="shared" si="181"/>
        <v>0</v>
      </c>
      <c r="N1002" s="10"/>
      <c r="O1002" s="10"/>
      <c r="P1002" s="10"/>
      <c r="Q1002" s="10"/>
      <c r="R1002" s="10"/>
      <c r="S1002" s="10"/>
      <c r="T1002" s="10"/>
      <c r="U1002" s="111">
        <v>4.7024999999999997E-2</v>
      </c>
      <c r="V1002" s="103" t="s">
        <v>23</v>
      </c>
      <c r="W1002" s="103"/>
      <c r="X1002" s="8"/>
      <c r="Y1002" s="103"/>
      <c r="Z1002" s="103"/>
      <c r="AA1002" s="8"/>
      <c r="AB1002" s="8"/>
      <c r="AC1002" s="103"/>
      <c r="AD1002" s="103"/>
    </row>
    <row r="1003" spans="1:30">
      <c r="A1003" s="103">
        <v>1401</v>
      </c>
      <c r="B1003" s="8">
        <v>45288</v>
      </c>
      <c r="C1003" s="103"/>
      <c r="D1003" s="103"/>
      <c r="E1003" s="8">
        <v>45314</v>
      </c>
      <c r="F1003" s="61" t="s">
        <v>43</v>
      </c>
      <c r="G1003" s="24" t="s">
        <v>51</v>
      </c>
      <c r="H1003" s="103" t="s">
        <v>52</v>
      </c>
      <c r="I1003" s="51" t="s">
        <v>432</v>
      </c>
      <c r="J1003" s="111">
        <v>6.8000000000000005E-2</v>
      </c>
      <c r="K1003" s="103"/>
      <c r="L1003" s="10">
        <f t="shared" si="180"/>
        <v>6.8000000000000005E-2</v>
      </c>
      <c r="M1003" s="10">
        <f t="shared" si="181"/>
        <v>0</v>
      </c>
      <c r="N1003" s="10"/>
      <c r="O1003" s="10"/>
      <c r="P1003" s="10"/>
      <c r="Q1003" s="10"/>
      <c r="R1003" s="10"/>
      <c r="S1003" s="10"/>
      <c r="T1003" s="10"/>
      <c r="U1003" s="111">
        <v>6.8000000000000005E-2</v>
      </c>
      <c r="V1003" s="103" t="s">
        <v>826</v>
      </c>
      <c r="W1003" s="103"/>
      <c r="X1003" s="8"/>
      <c r="Y1003" s="103"/>
      <c r="Z1003" s="103"/>
      <c r="AA1003" s="8"/>
      <c r="AB1003" s="8"/>
      <c r="AC1003" s="103"/>
      <c r="AD1003" s="103"/>
    </row>
    <row r="1004" spans="1:30">
      <c r="A1004" s="103">
        <v>1402</v>
      </c>
      <c r="B1004" s="8">
        <v>45288</v>
      </c>
      <c r="C1004" s="103"/>
      <c r="D1004" s="103"/>
      <c r="E1004" s="8">
        <v>45329</v>
      </c>
      <c r="F1004" s="61" t="s">
        <v>43</v>
      </c>
      <c r="G1004" s="24" t="s">
        <v>51</v>
      </c>
      <c r="H1004" s="103" t="s">
        <v>52</v>
      </c>
      <c r="I1004" s="51" t="s">
        <v>48</v>
      </c>
      <c r="J1004" s="9">
        <v>7.2220000000000004</v>
      </c>
      <c r="K1004" s="103"/>
      <c r="L1004" s="10">
        <f t="shared" si="180"/>
        <v>7.2220000000000004</v>
      </c>
      <c r="M1004" s="10">
        <f t="shared" si="181"/>
        <v>0</v>
      </c>
      <c r="N1004" s="10"/>
      <c r="O1004" s="10"/>
      <c r="P1004" s="10"/>
      <c r="Q1004" s="10"/>
      <c r="R1004" s="10"/>
      <c r="S1004" s="10"/>
      <c r="T1004" s="10"/>
      <c r="U1004" s="9">
        <v>7.2220000000000004</v>
      </c>
      <c r="V1004" s="103" t="s">
        <v>826</v>
      </c>
      <c r="W1004" s="103"/>
      <c r="X1004" s="8"/>
      <c r="Y1004" s="103"/>
      <c r="Z1004" s="103"/>
      <c r="AA1004" s="8"/>
      <c r="AB1004" s="8"/>
      <c r="AC1004" s="103"/>
      <c r="AD1004" s="103"/>
    </row>
    <row r="1005" spans="1:30">
      <c r="A1005" s="103">
        <v>1402</v>
      </c>
      <c r="B1005" s="8">
        <v>45288</v>
      </c>
      <c r="C1005" s="103"/>
      <c r="D1005" s="103"/>
      <c r="E1005" s="8">
        <v>45329</v>
      </c>
      <c r="F1005" s="61" t="s">
        <v>43</v>
      </c>
      <c r="G1005" s="24" t="s">
        <v>51</v>
      </c>
      <c r="H1005" s="103" t="s">
        <v>52</v>
      </c>
      <c r="I1005" s="51" t="s">
        <v>54</v>
      </c>
      <c r="J1005" s="9">
        <v>0.14399999999999999</v>
      </c>
      <c r="K1005" s="103"/>
      <c r="L1005" s="10">
        <f t="shared" si="180"/>
        <v>0.14399999999999999</v>
      </c>
      <c r="M1005" s="10">
        <f t="shared" si="181"/>
        <v>0</v>
      </c>
      <c r="N1005" s="10"/>
      <c r="O1005" s="10"/>
      <c r="P1005" s="10"/>
      <c r="Q1005" s="10"/>
      <c r="R1005" s="10"/>
      <c r="S1005" s="10"/>
      <c r="T1005" s="10"/>
      <c r="U1005" s="9">
        <v>0.14399999999999999</v>
      </c>
      <c r="V1005" s="103" t="s">
        <v>826</v>
      </c>
      <c r="W1005" s="103"/>
      <c r="X1005" s="8"/>
      <c r="Y1005" s="103"/>
      <c r="Z1005" s="103"/>
      <c r="AA1005" s="8"/>
      <c r="AB1005" s="8"/>
      <c r="AC1005" s="103"/>
      <c r="AD1005" s="103"/>
    </row>
    <row r="1006" spans="1:30">
      <c r="A1006" s="103">
        <v>1402</v>
      </c>
      <c r="B1006" s="8">
        <v>45288</v>
      </c>
      <c r="C1006" s="103"/>
      <c r="D1006" s="103"/>
      <c r="E1006" s="8">
        <v>45329</v>
      </c>
      <c r="F1006" s="61" t="s">
        <v>43</v>
      </c>
      <c r="G1006" s="24" t="s">
        <v>51</v>
      </c>
      <c r="H1006" s="103" t="s">
        <v>52</v>
      </c>
      <c r="I1006" s="51" t="s">
        <v>473</v>
      </c>
      <c r="J1006" s="9">
        <v>2.5489999999999999</v>
      </c>
      <c r="K1006" s="103"/>
      <c r="L1006" s="10">
        <f t="shared" si="180"/>
        <v>2.5489999999999999</v>
      </c>
      <c r="M1006" s="10">
        <f t="shared" si="181"/>
        <v>0</v>
      </c>
      <c r="N1006" s="10"/>
      <c r="O1006" s="10"/>
      <c r="P1006" s="10"/>
      <c r="Q1006" s="10"/>
      <c r="R1006" s="10"/>
      <c r="S1006" s="10"/>
      <c r="T1006" s="10"/>
      <c r="U1006" s="9">
        <v>2.5489999999999999</v>
      </c>
      <c r="V1006" s="103" t="s">
        <v>826</v>
      </c>
      <c r="W1006" s="103"/>
      <c r="X1006" s="8"/>
      <c r="Y1006" s="103"/>
      <c r="Z1006" s="103"/>
      <c r="AA1006" s="8"/>
      <c r="AB1006" s="8"/>
      <c r="AC1006" s="103"/>
      <c r="AD1006" s="103"/>
    </row>
    <row r="1007" spans="1:30">
      <c r="A1007" s="103">
        <v>1402</v>
      </c>
      <c r="B1007" s="8">
        <v>45288</v>
      </c>
      <c r="C1007" s="103"/>
      <c r="D1007" s="103"/>
      <c r="E1007" s="8">
        <v>45329</v>
      </c>
      <c r="F1007" s="61" t="s">
        <v>43</v>
      </c>
      <c r="G1007" s="24" t="s">
        <v>51</v>
      </c>
      <c r="H1007" s="103" t="s">
        <v>52</v>
      </c>
      <c r="I1007" s="51" t="s">
        <v>235</v>
      </c>
      <c r="J1007" s="100">
        <v>8.0299999999999996E-2</v>
      </c>
      <c r="K1007" s="103"/>
      <c r="L1007" s="10">
        <f t="shared" si="180"/>
        <v>8.0299999999999996E-2</v>
      </c>
      <c r="M1007" s="10">
        <f t="shared" si="181"/>
        <v>0</v>
      </c>
      <c r="N1007" s="10"/>
      <c r="O1007" s="10"/>
      <c r="P1007" s="10"/>
      <c r="Q1007" s="10"/>
      <c r="R1007" s="10"/>
      <c r="S1007" s="10"/>
      <c r="T1007" s="10"/>
      <c r="U1007" s="100">
        <v>8.0299999999999996E-2</v>
      </c>
      <c r="V1007" s="103" t="s">
        <v>826</v>
      </c>
      <c r="W1007" s="103"/>
      <c r="X1007" s="8"/>
      <c r="Y1007" s="103"/>
      <c r="Z1007" s="103"/>
      <c r="AA1007" s="8"/>
      <c r="AB1007" s="8"/>
      <c r="AC1007" s="103"/>
      <c r="AD1007" s="103"/>
    </row>
    <row r="1008" spans="1:30">
      <c r="A1008" s="103">
        <v>1402</v>
      </c>
      <c r="B1008" s="8">
        <v>45288</v>
      </c>
      <c r="C1008" s="103"/>
      <c r="D1008" s="103"/>
      <c r="E1008" s="8">
        <v>45329</v>
      </c>
      <c r="F1008" s="61" t="s">
        <v>43</v>
      </c>
      <c r="G1008" s="24" t="s">
        <v>51</v>
      </c>
      <c r="H1008" s="103" t="s">
        <v>52</v>
      </c>
      <c r="I1008" s="51" t="s">
        <v>100</v>
      </c>
      <c r="J1008" s="9">
        <v>0.28399999999999997</v>
      </c>
      <c r="K1008" s="103"/>
      <c r="L1008" s="10">
        <f t="shared" si="180"/>
        <v>0.28399999999999997</v>
      </c>
      <c r="M1008" s="10">
        <f t="shared" si="181"/>
        <v>0</v>
      </c>
      <c r="N1008" s="10"/>
      <c r="O1008" s="10"/>
      <c r="P1008" s="10"/>
      <c r="Q1008" s="10"/>
      <c r="R1008" s="10"/>
      <c r="S1008" s="10"/>
      <c r="T1008" s="10"/>
      <c r="U1008" s="9">
        <v>0.28399999999999997</v>
      </c>
      <c r="V1008" s="103" t="s">
        <v>826</v>
      </c>
      <c r="W1008" s="103"/>
      <c r="X1008" s="8"/>
      <c r="Y1008" s="103"/>
      <c r="Z1008" s="103"/>
      <c r="AA1008" s="8"/>
      <c r="AB1008" s="8"/>
      <c r="AC1008" s="103"/>
      <c r="AD1008" s="103"/>
    </row>
    <row r="1009" spans="1:30">
      <c r="A1009" s="103"/>
      <c r="B1009" s="8"/>
      <c r="C1009" s="103"/>
      <c r="D1009" s="103"/>
      <c r="E1009" s="8"/>
      <c r="F1009" s="103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3"/>
      <c r="V1009" s="103"/>
      <c r="W1009" s="103"/>
      <c r="X1009" s="8"/>
      <c r="Y1009" s="103"/>
      <c r="Z1009" s="103"/>
      <c r="AA1009" s="8"/>
      <c r="AB1009" s="8"/>
      <c r="AC1009" s="103"/>
      <c r="AD1009" s="103"/>
    </row>
  </sheetData>
  <autoFilter ref="A4:AD1008">
    <filterColumn colId="11">
      <filters>
        <filter val="0.007"/>
        <filter val="0.009"/>
        <filter val="0.012"/>
        <filter val="0.015"/>
        <filter val="0.018"/>
        <filter val="0.020"/>
        <filter val="0.032"/>
        <filter val="0.034"/>
        <filter val="0.035"/>
        <filter val="0.041"/>
        <filter val="0.042"/>
        <filter val="0.044"/>
        <filter val="0.047"/>
        <filter val="0.048"/>
        <filter val="0.049"/>
        <filter val="0.050"/>
        <filter val="0.051"/>
        <filter val="0.052"/>
        <filter val="0.056"/>
        <filter val="0.058"/>
        <filter val="0.060"/>
        <filter val="0.062"/>
        <filter val="0.064"/>
        <filter val="0.068"/>
        <filter val="0.070"/>
        <filter val="0.074"/>
        <filter val="0.077"/>
        <filter val="0.080"/>
        <filter val="0.082"/>
        <filter val="0.083"/>
        <filter val="0.089"/>
        <filter val="0.094"/>
        <filter val="0.100"/>
        <filter val="0.103"/>
        <filter val="0.107"/>
        <filter val="0.109"/>
        <filter val="0.115"/>
        <filter val="0.119"/>
        <filter val="0.120"/>
        <filter val="0.123"/>
        <filter val="0.137"/>
        <filter val="0.138"/>
        <filter val="0.144"/>
        <filter val="0.146"/>
        <filter val="0.148"/>
        <filter val="0.158"/>
        <filter val="0.161"/>
        <filter val="0.163"/>
        <filter val="0.164"/>
        <filter val="0.176"/>
        <filter val="0.183"/>
        <filter val="0.190"/>
        <filter val="0.191"/>
        <filter val="0.197"/>
        <filter val="0.199"/>
        <filter val="0.200"/>
        <filter val="0.215"/>
        <filter val="0.227"/>
        <filter val="0.229"/>
        <filter val="0.236"/>
        <filter val="0.250"/>
        <filter val="0.256"/>
        <filter val="0.284"/>
        <filter val="0.290"/>
        <filter val="0.299"/>
        <filter val="0.307"/>
        <filter val="0.310"/>
        <filter val="0.348"/>
        <filter val="0.360"/>
        <filter val="0.361"/>
        <filter val="0.365"/>
        <filter val="0.390"/>
        <filter val="0.394"/>
        <filter val="0.398"/>
        <filter val="0.409"/>
        <filter val="0.473"/>
        <filter val="0.477"/>
        <filter val="0.503"/>
        <filter val="0.505"/>
        <filter val="0.549"/>
        <filter val="0.589"/>
        <filter val="0.593"/>
        <filter val="0.596"/>
        <filter val="0.613"/>
        <filter val="0.648"/>
        <filter val="0.680"/>
        <filter val="0.688"/>
        <filter val="0.706"/>
        <filter val="0.713"/>
        <filter val="0.721"/>
        <filter val="0.768"/>
        <filter val="0.782"/>
        <filter val="0.798"/>
        <filter val="0.882"/>
        <filter val="0.884"/>
        <filter val="0.899"/>
        <filter val="0.906"/>
        <filter val="0.940"/>
        <filter val="0.942"/>
        <filter val="0.950"/>
        <filter val="1.098"/>
        <filter val="1.106"/>
        <filter val="1.111"/>
        <filter val="1.119"/>
        <filter val="1.289"/>
        <filter val="1.332"/>
        <filter val="1.378"/>
        <filter val="1.396"/>
        <filter val="1.490"/>
        <filter val="1.566"/>
        <filter val="1.568"/>
        <filter val="1.632"/>
        <filter val="1.692"/>
        <filter val="1.811"/>
        <filter val="1.815"/>
        <filter val="1.859"/>
        <filter val="1.876"/>
        <filter val="1.888"/>
        <filter val="107.080"/>
        <filter val="11.510"/>
        <filter val="138.759"/>
        <filter val="14.100"/>
        <filter val="14.709"/>
        <filter val="15.016"/>
        <filter val="16.112"/>
        <filter val="16.818"/>
        <filter val="163.054"/>
        <filter val="179.403"/>
        <filter val="2.020"/>
        <filter val="2.072"/>
        <filter val="2.137"/>
        <filter val="2.160"/>
        <filter val="2.263"/>
        <filter val="2.275"/>
        <filter val="2.281"/>
        <filter val="2.313"/>
        <filter val="2.367"/>
        <filter val="2.381"/>
        <filter val="2.390"/>
        <filter val="2.393"/>
        <filter val="2.448"/>
        <filter val="2.468"/>
        <filter val="2.528"/>
        <filter val="2.549"/>
        <filter val="2.565"/>
        <filter val="2.611"/>
        <filter val="2.624"/>
        <filter val="2.798"/>
        <filter val="2.800"/>
        <filter val="2.815"/>
        <filter val="20.203"/>
        <filter val="20.253"/>
        <filter val="21.634"/>
        <filter val="22.496"/>
        <filter val="22.595"/>
        <filter val="23.722"/>
        <filter val="23.790"/>
        <filter val="24.230"/>
        <filter val="24.931"/>
        <filter val="26.423"/>
        <filter val="29.622"/>
        <filter val="3.035"/>
        <filter val="3.056"/>
        <filter val="3.086"/>
        <filter val="3.161"/>
        <filter val="3.437"/>
        <filter val="3.456"/>
        <filter val="31.172"/>
        <filter val="34.713"/>
        <filter val="37.170"/>
        <filter val="4.151"/>
        <filter val="4.674"/>
        <filter val="4.748"/>
        <filter val="40.674"/>
        <filter val="46.127"/>
        <filter val="5.214"/>
        <filter val="5.762"/>
        <filter val="5.775"/>
        <filter val="58.217"/>
        <filter val="59.405"/>
        <filter val="6.075"/>
        <filter val="6.790"/>
        <filter val="66.997"/>
        <filter val="7.222"/>
        <filter val="7.427"/>
        <filter val="7.850"/>
        <filter val="72.869"/>
        <filter val="73.032"/>
        <filter val="8.511"/>
        <filter val="8.563"/>
        <filter val="8.760"/>
        <filter val="85.380"/>
        <filter val="89.010"/>
        <filter val="9.343"/>
        <filter val="9.648"/>
      </filters>
    </filterColumn>
    <filterColumn colId="21">
      <filters>
        <filter val="RAILWAY"/>
      </filters>
    </filterColumn>
  </autoFilter>
  <sortState ref="A835:AD873">
    <sortCondition ref="H835:H873"/>
  </sortState>
  <mergeCells count="2">
    <mergeCell ref="A2:L2"/>
    <mergeCell ref="A3:G3"/>
  </mergeCells>
  <pageMargins left="0.2" right="0.2" top="0.2" bottom="0.2" header="0.3" footer="0.2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7"/>
  <dimension ref="A1:H389"/>
  <sheetViews>
    <sheetView topLeftCell="A3" workbookViewId="0">
      <pane ySplit="4" topLeftCell="A361" activePane="bottomLeft" state="frozen"/>
      <selection activeCell="A3" sqref="A3"/>
      <selection pane="bottomLeft" activeCell="F383" sqref="F383"/>
    </sheetView>
  </sheetViews>
  <sheetFormatPr defaultRowHeight="14.4"/>
  <cols>
    <col min="1" max="1" width="8.44140625" style="7" customWidth="1"/>
    <col min="2" max="2" width="9.44140625" style="7" bestFit="1" customWidth="1"/>
    <col min="3" max="3" width="10" bestFit="1" customWidth="1"/>
    <col min="4" max="4" width="7.44140625" bestFit="1" customWidth="1"/>
    <col min="5" max="5" width="8.44140625" bestFit="1" customWidth="1"/>
    <col min="6" max="6" width="9.44140625" bestFit="1" customWidth="1"/>
    <col min="7" max="7" width="18.6640625" customWidth="1"/>
    <col min="8" max="8" width="10.44140625" customWidth="1"/>
    <col min="10" max="10" width="11.44140625" customWidth="1"/>
    <col min="11" max="11" width="8.5546875" bestFit="1" customWidth="1"/>
    <col min="12" max="12" width="8.109375" bestFit="1" customWidth="1"/>
  </cols>
  <sheetData>
    <row r="1" spans="1:8" hidden="1">
      <c r="B1" s="7" t="s">
        <v>272</v>
      </c>
      <c r="C1">
        <f>SUM(C46:C76)</f>
        <v>1676.5</v>
      </c>
      <c r="E1">
        <f>SUM(E46:E76)</f>
        <v>299.19499999999999</v>
      </c>
      <c r="F1">
        <f>SUM(F46:F76)</f>
        <v>1975.6950000000002</v>
      </c>
    </row>
    <row r="2" spans="1:8" hidden="1">
      <c r="B2" s="7" t="s">
        <v>285</v>
      </c>
      <c r="C2">
        <f>SUM(C78:C105)</f>
        <v>2578.5500000000002</v>
      </c>
      <c r="D2">
        <f t="shared" ref="D2:F2" si="0">SUM(D78:D105)</f>
        <v>0</v>
      </c>
      <c r="E2">
        <f t="shared" si="0"/>
        <v>668.6160000000001</v>
      </c>
      <c r="F2">
        <f t="shared" si="0"/>
        <v>3247.1660000000002</v>
      </c>
    </row>
    <row r="4" spans="1:8">
      <c r="A4" s="12" t="s">
        <v>62</v>
      </c>
      <c r="B4" s="12"/>
      <c r="C4" s="1"/>
      <c r="D4" s="1"/>
      <c r="E4" s="1"/>
      <c r="F4" s="1"/>
    </row>
    <row r="5" spans="1:8">
      <c r="A5" s="12" t="s">
        <v>805</v>
      </c>
      <c r="B5" s="12"/>
      <c r="C5" s="1"/>
      <c r="D5" s="1"/>
      <c r="E5" s="1"/>
      <c r="F5" s="1">
        <v>2074.5720000000001</v>
      </c>
    </row>
    <row r="6" spans="1:8">
      <c r="A6" s="6" t="s">
        <v>7</v>
      </c>
      <c r="B6" s="6" t="s">
        <v>6</v>
      </c>
      <c r="C6" s="3" t="s">
        <v>8</v>
      </c>
      <c r="D6" s="3" t="s">
        <v>16</v>
      </c>
      <c r="E6" s="3" t="s">
        <v>9</v>
      </c>
      <c r="F6" s="3" t="s">
        <v>1</v>
      </c>
    </row>
    <row r="7" spans="1:8">
      <c r="A7" s="8">
        <v>44887</v>
      </c>
      <c r="B7" s="8">
        <v>44890</v>
      </c>
      <c r="C7" s="4">
        <v>32.456000000000003</v>
      </c>
      <c r="D7" s="4"/>
      <c r="E7" s="4"/>
      <c r="F7" s="4">
        <f t="shared" ref="F7:F12" si="1">SUM(C7:E7)</f>
        <v>32.456000000000003</v>
      </c>
    </row>
    <row r="8" spans="1:8">
      <c r="A8" s="8">
        <v>44887</v>
      </c>
      <c r="B8" s="8">
        <v>44891</v>
      </c>
      <c r="C8" s="4">
        <v>96.578999999999994</v>
      </c>
      <c r="D8" s="4"/>
      <c r="E8" s="4"/>
      <c r="F8" s="4">
        <f t="shared" si="1"/>
        <v>96.578999999999994</v>
      </c>
    </row>
    <row r="9" spans="1:8">
      <c r="A9" s="8">
        <v>44887</v>
      </c>
      <c r="B9" s="8">
        <v>44892</v>
      </c>
      <c r="C9" s="4"/>
      <c r="D9" s="4"/>
      <c r="E9" s="4"/>
      <c r="F9" s="4">
        <f t="shared" si="1"/>
        <v>0</v>
      </c>
    </row>
    <row r="10" spans="1:8">
      <c r="A10" s="8">
        <v>44887</v>
      </c>
      <c r="B10" s="8">
        <v>44893</v>
      </c>
      <c r="C10" s="4">
        <v>97.662000000000006</v>
      </c>
      <c r="D10" s="4"/>
      <c r="E10" s="4"/>
      <c r="F10" s="4">
        <f t="shared" si="1"/>
        <v>97.662000000000006</v>
      </c>
    </row>
    <row r="11" spans="1:8">
      <c r="A11" s="8">
        <v>44887</v>
      </c>
      <c r="B11" s="8">
        <v>44894</v>
      </c>
      <c r="C11" s="4">
        <v>97.706999999999994</v>
      </c>
      <c r="D11" s="4"/>
      <c r="E11" s="4"/>
      <c r="F11" s="4">
        <f t="shared" si="1"/>
        <v>97.706999999999994</v>
      </c>
      <c r="G11" t="s">
        <v>333</v>
      </c>
      <c r="H11" t="s">
        <v>9</v>
      </c>
    </row>
    <row r="12" spans="1:8">
      <c r="A12" s="8">
        <v>44887</v>
      </c>
      <c r="B12" s="8">
        <v>44895</v>
      </c>
      <c r="C12" s="4">
        <v>32.689</v>
      </c>
      <c r="D12" s="4"/>
      <c r="E12" s="4"/>
      <c r="F12" s="4">
        <f t="shared" si="1"/>
        <v>32.689</v>
      </c>
    </row>
    <row r="13" spans="1:8">
      <c r="A13" s="8"/>
      <c r="B13" s="8"/>
      <c r="C13" s="4">
        <f t="shared" ref="C13:E13" si="2">SUM(C7:C12)</f>
        <v>357.09300000000002</v>
      </c>
      <c r="D13" s="4">
        <f t="shared" si="2"/>
        <v>0</v>
      </c>
      <c r="E13" s="4">
        <f t="shared" si="2"/>
        <v>0</v>
      </c>
      <c r="F13" s="4">
        <f>SUM(F7:F12)</f>
        <v>357.09300000000002</v>
      </c>
    </row>
    <row r="14" spans="1:8">
      <c r="A14" s="8">
        <v>44917</v>
      </c>
      <c r="B14" s="8">
        <v>44896</v>
      </c>
      <c r="C14" s="4">
        <f>33.045+32.477+32.449</f>
        <v>97.970999999999989</v>
      </c>
      <c r="D14" s="4"/>
      <c r="E14" s="4"/>
      <c r="F14" s="4">
        <f t="shared" ref="F14:F44" si="3">SUM(C14:E14)</f>
        <v>97.970999999999989</v>
      </c>
    </row>
    <row r="15" spans="1:8">
      <c r="A15" s="8">
        <v>44917</v>
      </c>
      <c r="B15" s="8">
        <v>44897</v>
      </c>
      <c r="C15" s="4">
        <v>32.927999999999997</v>
      </c>
      <c r="D15" s="4"/>
      <c r="E15" s="4"/>
      <c r="F15" s="4">
        <f t="shared" si="3"/>
        <v>32.927999999999997</v>
      </c>
    </row>
    <row r="16" spans="1:8">
      <c r="A16" s="8">
        <v>44917</v>
      </c>
      <c r="B16" s="8">
        <v>44898</v>
      </c>
      <c r="C16" s="4">
        <f>32.865+32.234+32.353</f>
        <v>97.451999999999998</v>
      </c>
      <c r="D16" s="4"/>
      <c r="E16" s="4"/>
      <c r="F16" s="4">
        <f t="shared" si="3"/>
        <v>97.451999999999998</v>
      </c>
    </row>
    <row r="17" spans="1:6">
      <c r="A17" s="8">
        <v>44917</v>
      </c>
      <c r="B17" s="8">
        <v>44899</v>
      </c>
      <c r="C17" s="4">
        <f>32.889+31.701</f>
        <v>64.59</v>
      </c>
      <c r="D17" s="4"/>
      <c r="E17" s="4"/>
      <c r="F17" s="4">
        <f t="shared" si="3"/>
        <v>64.59</v>
      </c>
    </row>
    <row r="18" spans="1:6">
      <c r="A18" s="8">
        <v>44917</v>
      </c>
      <c r="B18" s="8">
        <v>44900</v>
      </c>
      <c r="C18" s="4">
        <f>33.485+32.761</f>
        <v>66.246000000000009</v>
      </c>
      <c r="D18" s="4"/>
      <c r="E18" s="4"/>
      <c r="F18" s="4">
        <f t="shared" si="3"/>
        <v>66.246000000000009</v>
      </c>
    </row>
    <row r="19" spans="1:6">
      <c r="A19" s="8">
        <v>44917</v>
      </c>
      <c r="B19" s="8">
        <v>44901</v>
      </c>
      <c r="C19" s="4">
        <f>31.896+32.152</f>
        <v>64.048000000000002</v>
      </c>
      <c r="D19" s="4"/>
      <c r="E19" s="4"/>
      <c r="F19" s="4">
        <f t="shared" si="3"/>
        <v>64.048000000000002</v>
      </c>
    </row>
    <row r="20" spans="1:6">
      <c r="A20" s="8">
        <v>44917</v>
      </c>
      <c r="B20" s="8">
        <v>44902</v>
      </c>
      <c r="C20" s="4">
        <f>32.154+32.049</f>
        <v>64.203000000000003</v>
      </c>
      <c r="D20" s="4"/>
      <c r="E20" s="4"/>
      <c r="F20" s="4">
        <f t="shared" si="3"/>
        <v>64.203000000000003</v>
      </c>
    </row>
    <row r="21" spans="1:6">
      <c r="A21" s="8">
        <v>44917</v>
      </c>
      <c r="B21" s="8">
        <v>44903</v>
      </c>
      <c r="C21" s="4">
        <v>31.971</v>
      </c>
      <c r="D21" s="4"/>
      <c r="E21" s="4">
        <v>32.49</v>
      </c>
      <c r="F21" s="4">
        <f t="shared" si="3"/>
        <v>64.460999999999999</v>
      </c>
    </row>
    <row r="22" spans="1:6">
      <c r="A22" s="8">
        <v>44917</v>
      </c>
      <c r="B22" s="8">
        <v>44904</v>
      </c>
      <c r="C22" s="4">
        <f>31.851+31.105</f>
        <v>62.956000000000003</v>
      </c>
      <c r="D22" s="4"/>
      <c r="E22" s="4">
        <v>32.326999999999998</v>
      </c>
      <c r="F22" s="4">
        <f t="shared" si="3"/>
        <v>95.283000000000001</v>
      </c>
    </row>
    <row r="23" spans="1:6">
      <c r="A23" s="8">
        <v>44917</v>
      </c>
      <c r="B23" s="8">
        <v>44905</v>
      </c>
      <c r="C23" s="4">
        <v>32.042000000000002</v>
      </c>
      <c r="D23" s="4"/>
      <c r="E23" s="4">
        <v>32.573999999999998</v>
      </c>
      <c r="F23" s="4">
        <f t="shared" si="3"/>
        <v>64.616</v>
      </c>
    </row>
    <row r="24" spans="1:6">
      <c r="A24" s="8">
        <v>44917</v>
      </c>
      <c r="B24" s="8">
        <v>44906</v>
      </c>
      <c r="C24" s="4">
        <f>32.678+31.201</f>
        <v>63.878999999999998</v>
      </c>
      <c r="D24" s="4"/>
      <c r="E24" s="4">
        <v>32.981999999999999</v>
      </c>
      <c r="F24" s="4">
        <f t="shared" si="3"/>
        <v>96.86099999999999</v>
      </c>
    </row>
    <row r="25" spans="1:6">
      <c r="A25" s="8">
        <v>44917</v>
      </c>
      <c r="B25" s="8">
        <v>44907</v>
      </c>
      <c r="C25" s="4">
        <f>30.874+32.48+29.798</f>
        <v>93.152000000000001</v>
      </c>
      <c r="D25" s="4"/>
      <c r="E25" s="4"/>
      <c r="F25" s="4">
        <f t="shared" si="3"/>
        <v>93.152000000000001</v>
      </c>
    </row>
    <row r="26" spans="1:6">
      <c r="A26" s="8">
        <v>44917</v>
      </c>
      <c r="B26" s="8">
        <v>44908</v>
      </c>
      <c r="C26" s="4">
        <f>33.456+33.422</f>
        <v>66.878</v>
      </c>
      <c r="D26" s="4"/>
      <c r="E26" s="4">
        <v>32.414000000000001</v>
      </c>
      <c r="F26" s="4">
        <f t="shared" si="3"/>
        <v>99.292000000000002</v>
      </c>
    </row>
    <row r="27" spans="1:6">
      <c r="A27" s="8">
        <v>44917</v>
      </c>
      <c r="B27" s="8">
        <v>44909</v>
      </c>
      <c r="C27" s="4"/>
      <c r="D27" s="4"/>
      <c r="E27" s="4">
        <v>40.313000000000002</v>
      </c>
      <c r="F27" s="4">
        <f t="shared" si="3"/>
        <v>40.313000000000002</v>
      </c>
    </row>
    <row r="28" spans="1:6">
      <c r="A28" s="8">
        <v>44917</v>
      </c>
      <c r="B28" s="8">
        <v>44910</v>
      </c>
      <c r="C28" s="4">
        <f>32.494+32.156+32.052</f>
        <v>96.701999999999998</v>
      </c>
      <c r="D28" s="4"/>
      <c r="E28" s="4"/>
      <c r="F28" s="4">
        <f t="shared" si="3"/>
        <v>96.701999999999998</v>
      </c>
    </row>
    <row r="29" spans="1:6">
      <c r="A29" s="8">
        <v>44917</v>
      </c>
      <c r="B29" s="8">
        <v>44911</v>
      </c>
      <c r="C29" s="4"/>
      <c r="D29" s="4"/>
      <c r="E29" s="4">
        <v>32.595999999999997</v>
      </c>
      <c r="F29" s="4">
        <f t="shared" si="3"/>
        <v>32.595999999999997</v>
      </c>
    </row>
    <row r="30" spans="1:6">
      <c r="A30" s="8">
        <v>44917</v>
      </c>
      <c r="B30" s="8">
        <v>44912</v>
      </c>
      <c r="C30" s="4">
        <v>32.752000000000002</v>
      </c>
      <c r="D30" s="4"/>
      <c r="E30" s="4"/>
      <c r="F30" s="4">
        <f t="shared" si="3"/>
        <v>32.752000000000002</v>
      </c>
    </row>
    <row r="31" spans="1:6">
      <c r="A31" s="8">
        <v>44917</v>
      </c>
      <c r="B31" s="8">
        <v>44913</v>
      </c>
      <c r="C31" s="4">
        <v>29.38</v>
      </c>
      <c r="D31" s="4"/>
      <c r="E31" s="4">
        <v>22.14</v>
      </c>
      <c r="F31" s="4">
        <f t="shared" si="3"/>
        <v>51.519999999999996</v>
      </c>
    </row>
    <row r="32" spans="1:6">
      <c r="A32" s="8">
        <v>44917</v>
      </c>
      <c r="B32" s="8">
        <v>44914</v>
      </c>
      <c r="C32" s="4"/>
      <c r="D32" s="4"/>
      <c r="E32" s="4"/>
      <c r="F32" s="4">
        <f t="shared" si="3"/>
        <v>0</v>
      </c>
    </row>
    <row r="33" spans="1:6">
      <c r="A33" s="8">
        <v>44917</v>
      </c>
      <c r="B33" s="8">
        <v>44915</v>
      </c>
      <c r="C33" s="4">
        <f>32.739+27.178</f>
        <v>59.917000000000002</v>
      </c>
      <c r="D33" s="4"/>
      <c r="E33" s="4"/>
      <c r="F33" s="4">
        <f t="shared" si="3"/>
        <v>59.917000000000002</v>
      </c>
    </row>
    <row r="34" spans="1:6">
      <c r="A34" s="8">
        <v>44917</v>
      </c>
      <c r="B34" s="8">
        <v>44916</v>
      </c>
      <c r="C34" s="4"/>
      <c r="D34" s="4"/>
      <c r="E34" s="4"/>
      <c r="F34" s="4">
        <f t="shared" si="3"/>
        <v>0</v>
      </c>
    </row>
    <row r="35" spans="1:6">
      <c r="A35" s="8">
        <v>44917</v>
      </c>
      <c r="B35" s="8">
        <v>44917</v>
      </c>
      <c r="C35" s="4">
        <f>33.362+33.077+33.671+32.557</f>
        <v>132.66699999999997</v>
      </c>
      <c r="D35" s="4"/>
      <c r="E35" s="4"/>
      <c r="F35" s="4">
        <f t="shared" si="3"/>
        <v>132.66699999999997</v>
      </c>
    </row>
    <row r="36" spans="1:6">
      <c r="A36" s="8">
        <v>44917</v>
      </c>
      <c r="B36" s="8">
        <v>44918</v>
      </c>
      <c r="C36" s="4">
        <f>32.805+32.875+33.072+32.996</f>
        <v>131.74800000000002</v>
      </c>
      <c r="D36" s="4"/>
      <c r="E36" s="4"/>
      <c r="F36" s="4">
        <f t="shared" si="3"/>
        <v>131.74800000000002</v>
      </c>
    </row>
    <row r="37" spans="1:6">
      <c r="A37" s="8">
        <v>44917</v>
      </c>
      <c r="B37" s="8">
        <v>44919</v>
      </c>
      <c r="C37" s="4">
        <f>32.838+32.199</f>
        <v>65.037000000000006</v>
      </c>
      <c r="D37" s="4"/>
      <c r="E37" s="4"/>
      <c r="F37" s="4">
        <f t="shared" si="3"/>
        <v>65.037000000000006</v>
      </c>
    </row>
    <row r="38" spans="1:6">
      <c r="A38" s="8">
        <v>44917</v>
      </c>
      <c r="B38" s="8">
        <v>44920</v>
      </c>
      <c r="C38" s="4">
        <f>31.873+32.567+32.518+31.513</f>
        <v>128.471</v>
      </c>
      <c r="D38" s="4"/>
      <c r="E38" s="4"/>
      <c r="F38" s="4">
        <f t="shared" si="3"/>
        <v>128.471</v>
      </c>
    </row>
    <row r="39" spans="1:6">
      <c r="A39" s="8">
        <v>44917</v>
      </c>
      <c r="B39" s="8">
        <v>44921</v>
      </c>
      <c r="C39" s="4">
        <f>32.303+32.754+32.764</f>
        <v>97.820999999999998</v>
      </c>
      <c r="D39" s="4"/>
      <c r="E39" s="4"/>
      <c r="F39" s="4">
        <f t="shared" si="3"/>
        <v>97.820999999999998</v>
      </c>
    </row>
    <row r="40" spans="1:6">
      <c r="A40" s="8">
        <v>44917</v>
      </c>
      <c r="B40" s="8">
        <v>44922</v>
      </c>
      <c r="C40" s="4">
        <f>32.454+33.154+31.518+33.236</f>
        <v>130.36199999999999</v>
      </c>
      <c r="D40" s="4"/>
      <c r="E40" s="4">
        <v>32.994999999999997</v>
      </c>
      <c r="F40" s="4">
        <f t="shared" si="3"/>
        <v>163.357</v>
      </c>
    </row>
    <row r="41" spans="1:6">
      <c r="A41" s="8">
        <v>44917</v>
      </c>
      <c r="B41" s="8">
        <v>44923</v>
      </c>
      <c r="C41" s="4">
        <f>30.902</f>
        <v>30.902000000000001</v>
      </c>
      <c r="D41" s="4"/>
      <c r="E41" s="4">
        <f>32.555</f>
        <v>32.555</v>
      </c>
      <c r="F41" s="4">
        <f t="shared" si="3"/>
        <v>63.457000000000001</v>
      </c>
    </row>
    <row r="42" spans="1:6">
      <c r="A42" s="8">
        <v>44917</v>
      </c>
      <c r="B42" s="8">
        <v>44924</v>
      </c>
      <c r="C42" s="4">
        <f>32.063+32.189+36.374</f>
        <v>100.626</v>
      </c>
      <c r="D42" s="4"/>
      <c r="E42" s="4"/>
      <c r="F42" s="4">
        <f t="shared" si="3"/>
        <v>100.626</v>
      </c>
    </row>
    <row r="43" spans="1:6">
      <c r="A43" s="8">
        <v>44917</v>
      </c>
      <c r="B43" s="8">
        <v>44925</v>
      </c>
      <c r="C43" s="4">
        <f>28.809+32.478+31.776</f>
        <v>93.063000000000002</v>
      </c>
      <c r="D43" s="4"/>
      <c r="E43" s="4"/>
      <c r="F43" s="4">
        <f t="shared" si="3"/>
        <v>93.063000000000002</v>
      </c>
    </row>
    <row r="44" spans="1:6">
      <c r="A44" s="8">
        <v>44917</v>
      </c>
      <c r="B44" s="8">
        <v>44926</v>
      </c>
      <c r="C44" s="4">
        <f>31.857+32.486+31.225</f>
        <v>95.567999999999984</v>
      </c>
      <c r="D44" s="4"/>
      <c r="E44" s="4"/>
      <c r="F44" s="4">
        <f t="shared" si="3"/>
        <v>95.567999999999984</v>
      </c>
    </row>
    <row r="45" spans="1:6">
      <c r="A45" s="8"/>
      <c r="B45" s="8"/>
      <c r="C45" s="4">
        <f t="shared" ref="C45:E45" si="4">SUM(C14:C44)</f>
        <v>2063.3320000000003</v>
      </c>
      <c r="D45" s="4">
        <f t="shared" si="4"/>
        <v>0</v>
      </c>
      <c r="E45" s="4">
        <f t="shared" si="4"/>
        <v>323.38599999999997</v>
      </c>
      <c r="F45" s="4">
        <f>SUM(F14:F44)</f>
        <v>2386.7179999999998</v>
      </c>
    </row>
    <row r="46" spans="1:6">
      <c r="A46" s="8">
        <v>44949</v>
      </c>
      <c r="B46" s="8">
        <v>44927</v>
      </c>
      <c r="C46" s="4">
        <v>0</v>
      </c>
      <c r="D46" s="4"/>
      <c r="E46" s="4">
        <v>0</v>
      </c>
      <c r="F46" s="4">
        <f>C46+D46+E46</f>
        <v>0</v>
      </c>
    </row>
    <row r="47" spans="1:6">
      <c r="A47" s="8">
        <v>44949</v>
      </c>
      <c r="B47" s="8">
        <v>44928</v>
      </c>
      <c r="C47" s="4">
        <v>0</v>
      </c>
      <c r="D47" s="4"/>
      <c r="E47" s="4">
        <v>11.103999999999999</v>
      </c>
      <c r="F47" s="4">
        <f t="shared" ref="F47:F76" si="5">C47+D47+E47</f>
        <v>11.103999999999999</v>
      </c>
    </row>
    <row r="48" spans="1:6">
      <c r="A48" s="8">
        <v>44949</v>
      </c>
      <c r="B48" s="8">
        <v>44929</v>
      </c>
      <c r="C48" s="4">
        <v>0</v>
      </c>
      <c r="D48" s="4"/>
      <c r="E48" s="4">
        <v>0</v>
      </c>
      <c r="F48" s="4">
        <f t="shared" si="5"/>
        <v>0</v>
      </c>
    </row>
    <row r="49" spans="1:6">
      <c r="A49" s="8">
        <v>44949</v>
      </c>
      <c r="B49" s="8">
        <v>44930</v>
      </c>
      <c r="C49" s="4">
        <v>0</v>
      </c>
      <c r="D49" s="4"/>
      <c r="E49" s="4">
        <v>0</v>
      </c>
      <c r="F49" s="4">
        <f t="shared" si="5"/>
        <v>0</v>
      </c>
    </row>
    <row r="50" spans="1:6">
      <c r="A50" s="8">
        <v>44949</v>
      </c>
      <c r="B50" s="8">
        <v>44931</v>
      </c>
      <c r="C50" s="4">
        <f>31.918+32.101</f>
        <v>64.019000000000005</v>
      </c>
      <c r="D50" s="4"/>
      <c r="E50" s="4">
        <v>0</v>
      </c>
      <c r="F50" s="4">
        <f t="shared" si="5"/>
        <v>64.019000000000005</v>
      </c>
    </row>
    <row r="51" spans="1:6">
      <c r="A51" s="8">
        <v>44949</v>
      </c>
      <c r="B51" s="8">
        <v>44932</v>
      </c>
      <c r="C51" s="4">
        <f>31.497+31.94+31.742</f>
        <v>95.179000000000002</v>
      </c>
      <c r="D51" s="4"/>
      <c r="E51" s="4">
        <v>0</v>
      </c>
      <c r="F51" s="4">
        <f t="shared" si="5"/>
        <v>95.179000000000002</v>
      </c>
    </row>
    <row r="52" spans="1:6">
      <c r="A52" s="8">
        <v>44949</v>
      </c>
      <c r="B52" s="8">
        <v>44933</v>
      </c>
      <c r="C52" s="4">
        <f>32.896+32.227+32.561</f>
        <v>97.683999999999997</v>
      </c>
      <c r="D52" s="4"/>
      <c r="E52" s="4">
        <v>0</v>
      </c>
      <c r="F52" s="4">
        <f t="shared" si="5"/>
        <v>97.683999999999997</v>
      </c>
    </row>
    <row r="53" spans="1:6">
      <c r="A53" s="8">
        <v>44949</v>
      </c>
      <c r="B53" s="8">
        <v>44934</v>
      </c>
      <c r="C53" s="4">
        <f>31.653+32.556+33.251</f>
        <v>97.460000000000008</v>
      </c>
      <c r="D53" s="4"/>
      <c r="E53" s="4">
        <v>0</v>
      </c>
      <c r="F53" s="4">
        <f t="shared" si="5"/>
        <v>97.460000000000008</v>
      </c>
    </row>
    <row r="54" spans="1:6">
      <c r="A54" s="8">
        <v>44949</v>
      </c>
      <c r="B54" s="8">
        <v>44935</v>
      </c>
      <c r="C54" s="4">
        <f>32.285+31.556</f>
        <v>63.840999999999994</v>
      </c>
      <c r="D54" s="4"/>
      <c r="E54" s="4">
        <v>0</v>
      </c>
      <c r="F54" s="4">
        <f t="shared" si="5"/>
        <v>63.840999999999994</v>
      </c>
    </row>
    <row r="55" spans="1:6">
      <c r="A55" s="8">
        <v>44949</v>
      </c>
      <c r="B55" s="8">
        <v>44936</v>
      </c>
      <c r="C55" s="4">
        <f>32.795+32.356</f>
        <v>65.15100000000001</v>
      </c>
      <c r="D55" s="4"/>
      <c r="E55" s="4">
        <v>0</v>
      </c>
      <c r="F55" s="4">
        <f t="shared" si="5"/>
        <v>65.15100000000001</v>
      </c>
    </row>
    <row r="56" spans="1:6">
      <c r="A56" s="8">
        <v>44949</v>
      </c>
      <c r="B56" s="8">
        <v>44937</v>
      </c>
      <c r="C56" s="4">
        <v>30.481000000000002</v>
      </c>
      <c r="D56" s="4"/>
      <c r="E56" s="4">
        <v>0</v>
      </c>
      <c r="F56" s="4">
        <f t="shared" si="5"/>
        <v>30.481000000000002</v>
      </c>
    </row>
    <row r="57" spans="1:6">
      <c r="A57" s="8">
        <v>44949</v>
      </c>
      <c r="B57" s="8">
        <v>44938</v>
      </c>
      <c r="C57" s="4">
        <v>0</v>
      </c>
      <c r="D57" s="4"/>
      <c r="E57" s="4">
        <v>0</v>
      </c>
      <c r="F57" s="4">
        <f t="shared" si="5"/>
        <v>0</v>
      </c>
    </row>
    <row r="58" spans="1:6">
      <c r="A58" s="8">
        <v>44949</v>
      </c>
      <c r="B58" s="8">
        <v>44939</v>
      </c>
      <c r="C58" s="4">
        <v>32.692</v>
      </c>
      <c r="D58" s="4"/>
      <c r="E58" s="4">
        <v>0</v>
      </c>
      <c r="F58" s="4">
        <f t="shared" si="5"/>
        <v>32.692</v>
      </c>
    </row>
    <row r="59" spans="1:6">
      <c r="A59" s="8">
        <v>44949</v>
      </c>
      <c r="B59" s="8">
        <v>44940</v>
      </c>
      <c r="C59" s="4">
        <v>0</v>
      </c>
      <c r="D59" s="4"/>
      <c r="E59" s="4">
        <v>0</v>
      </c>
      <c r="F59" s="4">
        <f t="shared" si="5"/>
        <v>0</v>
      </c>
    </row>
    <row r="60" spans="1:6">
      <c r="A60" s="8">
        <v>44949</v>
      </c>
      <c r="B60" s="8">
        <v>44941</v>
      </c>
      <c r="C60" s="4">
        <v>0</v>
      </c>
      <c r="D60" s="4"/>
      <c r="E60" s="4">
        <v>0</v>
      </c>
      <c r="F60" s="4">
        <f t="shared" si="5"/>
        <v>0</v>
      </c>
    </row>
    <row r="61" spans="1:6">
      <c r="A61" s="8">
        <v>44949</v>
      </c>
      <c r="B61" s="8">
        <v>44942</v>
      </c>
      <c r="C61" s="4">
        <v>0</v>
      </c>
      <c r="D61" s="4"/>
      <c r="E61" s="4"/>
      <c r="F61" s="4">
        <f t="shared" si="5"/>
        <v>0</v>
      </c>
    </row>
    <row r="62" spans="1:6">
      <c r="A62" s="8">
        <v>44949</v>
      </c>
      <c r="B62" s="8">
        <v>44943</v>
      </c>
      <c r="C62" s="4">
        <v>24.693000000000001</v>
      </c>
      <c r="D62" s="4"/>
      <c r="E62" s="4"/>
      <c r="F62" s="4">
        <f t="shared" si="5"/>
        <v>24.693000000000001</v>
      </c>
    </row>
    <row r="63" spans="1:6">
      <c r="A63" s="8">
        <v>44949</v>
      </c>
      <c r="B63" s="8">
        <v>44944</v>
      </c>
      <c r="C63" s="4">
        <f>31.379+31.374+32.037</f>
        <v>94.789999999999992</v>
      </c>
      <c r="D63" s="4"/>
      <c r="E63" s="4"/>
      <c r="F63" s="4">
        <f t="shared" si="5"/>
        <v>94.789999999999992</v>
      </c>
    </row>
    <row r="64" spans="1:6">
      <c r="A64" s="8">
        <v>44949</v>
      </c>
      <c r="B64" s="8">
        <v>44945</v>
      </c>
      <c r="C64" s="4">
        <f>31.945+24.668+24.668+25.237+24.288</f>
        <v>130.80600000000001</v>
      </c>
      <c r="D64" s="4"/>
      <c r="E64" s="4"/>
      <c r="F64" s="4">
        <f t="shared" si="5"/>
        <v>130.80600000000001</v>
      </c>
    </row>
    <row r="65" spans="1:7">
      <c r="A65" s="8">
        <v>44949</v>
      </c>
      <c r="B65" s="8">
        <v>44946</v>
      </c>
      <c r="C65" s="4">
        <f>31.606+30.844+24.668+24.668+24.498</f>
        <v>136.28399999999999</v>
      </c>
      <c r="D65" s="4"/>
      <c r="E65" s="4"/>
      <c r="F65" s="4">
        <f t="shared" si="5"/>
        <v>136.28399999999999</v>
      </c>
    </row>
    <row r="66" spans="1:7">
      <c r="A66" s="8">
        <v>44949</v>
      </c>
      <c r="B66" s="8">
        <v>44947</v>
      </c>
      <c r="C66" s="4">
        <f>32.435+24.576</f>
        <v>57.011000000000003</v>
      </c>
      <c r="D66" s="4"/>
      <c r="E66" s="4"/>
      <c r="F66" s="4">
        <f t="shared" si="5"/>
        <v>57.011000000000003</v>
      </c>
    </row>
    <row r="67" spans="1:7">
      <c r="A67" s="8">
        <v>44949</v>
      </c>
      <c r="B67" s="8">
        <v>44948</v>
      </c>
      <c r="C67" s="4">
        <f>24.663+24.495+24.297+24.402</f>
        <v>97.856999999999999</v>
      </c>
      <c r="D67" s="4"/>
      <c r="E67" s="4"/>
      <c r="F67" s="4">
        <f t="shared" si="5"/>
        <v>97.856999999999999</v>
      </c>
    </row>
    <row r="68" spans="1:7">
      <c r="A68" s="8">
        <v>44949</v>
      </c>
      <c r="B68" s="8">
        <v>44949</v>
      </c>
      <c r="C68" s="4">
        <f>24.594+32.791</f>
        <v>57.384999999999998</v>
      </c>
      <c r="D68" s="4"/>
      <c r="E68" s="4">
        <v>32.615000000000002</v>
      </c>
      <c r="F68" s="4">
        <f t="shared" si="5"/>
        <v>90</v>
      </c>
    </row>
    <row r="69" spans="1:7">
      <c r="A69" s="8">
        <v>44949</v>
      </c>
      <c r="B69" s="8">
        <v>44950</v>
      </c>
      <c r="C69" s="4">
        <f>24.05+24.594</f>
        <v>48.644000000000005</v>
      </c>
      <c r="D69" s="4"/>
      <c r="E69" s="4">
        <f>32.841+32.363+28.251</f>
        <v>93.455000000000013</v>
      </c>
      <c r="F69" s="4">
        <f t="shared" si="5"/>
        <v>142.09900000000002</v>
      </c>
    </row>
    <row r="70" spans="1:7">
      <c r="A70" s="8">
        <v>44949</v>
      </c>
      <c r="B70" s="8">
        <v>44951</v>
      </c>
      <c r="C70" s="4">
        <f>24.19+24.415</f>
        <v>48.605000000000004</v>
      </c>
      <c r="D70" s="4"/>
      <c r="E70" s="4"/>
      <c r="F70" s="4">
        <f t="shared" si="5"/>
        <v>48.605000000000004</v>
      </c>
    </row>
    <row r="71" spans="1:7">
      <c r="A71" s="8">
        <v>44949</v>
      </c>
      <c r="B71" s="8">
        <v>44952</v>
      </c>
      <c r="C71" s="4">
        <v>0</v>
      </c>
      <c r="D71" s="4"/>
      <c r="E71" s="4">
        <v>0</v>
      </c>
      <c r="F71" s="4">
        <f t="shared" si="5"/>
        <v>0</v>
      </c>
    </row>
    <row r="72" spans="1:7">
      <c r="A72" s="8">
        <v>44949</v>
      </c>
      <c r="B72" s="8">
        <v>44953</v>
      </c>
      <c r="C72" s="4">
        <f>24.47+24.494</f>
        <v>48.963999999999999</v>
      </c>
      <c r="D72" s="4"/>
      <c r="E72" s="4">
        <v>32.454999999999998</v>
      </c>
      <c r="F72" s="4">
        <f t="shared" si="5"/>
        <v>81.418999999999997</v>
      </c>
    </row>
    <row r="73" spans="1:7">
      <c r="A73" s="8">
        <v>44949</v>
      </c>
      <c r="B73" s="8">
        <v>44954</v>
      </c>
      <c r="C73" s="4">
        <f>24.113+24.488+24.488+24.488+24.012</f>
        <v>121.589</v>
      </c>
      <c r="D73" s="4"/>
      <c r="E73" s="4"/>
      <c r="F73" s="4">
        <f t="shared" si="5"/>
        <v>121.589</v>
      </c>
    </row>
    <row r="74" spans="1:7">
      <c r="A74" s="8">
        <v>44949</v>
      </c>
      <c r="B74" s="8">
        <v>44955</v>
      </c>
      <c r="C74" s="4">
        <f>24.557+30.535+30.076</f>
        <v>85.168000000000006</v>
      </c>
      <c r="D74" s="4"/>
      <c r="E74" s="4">
        <f>32.409+32.536+32.015</f>
        <v>96.96</v>
      </c>
      <c r="F74" s="4">
        <f t="shared" si="5"/>
        <v>182.12799999999999</v>
      </c>
    </row>
    <row r="75" spans="1:7">
      <c r="A75" s="8">
        <v>44949</v>
      </c>
      <c r="B75" s="8">
        <v>44956</v>
      </c>
      <c r="C75" s="4">
        <f>24.332+24.308+24.309+24.308</f>
        <v>97.257000000000005</v>
      </c>
      <c r="D75" s="4"/>
      <c r="E75" s="4"/>
      <c r="F75" s="4">
        <f t="shared" si="5"/>
        <v>97.257000000000005</v>
      </c>
    </row>
    <row r="76" spans="1:7">
      <c r="A76" s="8">
        <v>44949</v>
      </c>
      <c r="B76" s="8">
        <v>44957</v>
      </c>
      <c r="C76" s="4">
        <f>24.338+24.098+32.504</f>
        <v>80.94</v>
      </c>
      <c r="D76" s="4"/>
      <c r="E76" s="4">
        <v>32.606000000000002</v>
      </c>
      <c r="F76" s="4">
        <f t="shared" si="5"/>
        <v>113.54599999999999</v>
      </c>
    </row>
    <row r="77" spans="1:7">
      <c r="A77" s="8"/>
      <c r="B77" s="8"/>
      <c r="C77" s="4">
        <f t="shared" ref="C77:E77" si="6">SUM(C46:C76)</f>
        <v>1676.5</v>
      </c>
      <c r="D77" s="4">
        <f t="shared" si="6"/>
        <v>0</v>
      </c>
      <c r="E77" s="4">
        <f t="shared" si="6"/>
        <v>299.19499999999999</v>
      </c>
      <c r="F77" s="4">
        <f>SUM(F46:F76)</f>
        <v>1975.6950000000002</v>
      </c>
    </row>
    <row r="78" spans="1:7">
      <c r="A78" s="8">
        <v>44980</v>
      </c>
      <c r="B78" s="8">
        <v>44958</v>
      </c>
      <c r="C78" s="4">
        <f>24.313+24.514+24.488+24.559+31.126+30.013</f>
        <v>159.01300000000001</v>
      </c>
      <c r="D78" s="4"/>
      <c r="E78" s="4">
        <f>33.258</f>
        <v>33.258000000000003</v>
      </c>
      <c r="F78" s="4">
        <f t="shared" ref="F78" si="7">C78+D78+E78</f>
        <v>192.27100000000002</v>
      </c>
    </row>
    <row r="79" spans="1:7">
      <c r="A79" s="8">
        <v>44980</v>
      </c>
      <c r="B79" s="8">
        <v>44959</v>
      </c>
      <c r="C79" s="4">
        <f>31.475+25.969+24.691</f>
        <v>82.135000000000005</v>
      </c>
      <c r="D79" s="4"/>
      <c r="E79" s="4">
        <v>0</v>
      </c>
      <c r="F79" s="4">
        <f t="shared" ref="F79:F103" si="8">C79+D79+E79</f>
        <v>82.135000000000005</v>
      </c>
      <c r="G79" t="s">
        <v>346</v>
      </c>
    </row>
    <row r="80" spans="1:7">
      <c r="A80" s="8">
        <v>44980</v>
      </c>
      <c r="B80" s="8">
        <v>44960</v>
      </c>
      <c r="C80" s="4">
        <f>31.602+24.737+24.236+24.488</f>
        <v>105.063</v>
      </c>
      <c r="D80" s="4"/>
      <c r="E80" s="4">
        <f>32.533+32.136</f>
        <v>64.669000000000011</v>
      </c>
      <c r="F80" s="4">
        <f t="shared" si="8"/>
        <v>169.73200000000003</v>
      </c>
      <c r="G80" t="s">
        <v>346</v>
      </c>
    </row>
    <row r="81" spans="1:7">
      <c r="A81" s="8">
        <v>44980</v>
      </c>
      <c r="B81" s="8">
        <v>44961</v>
      </c>
      <c r="C81" s="4">
        <f>32.851+32.098+32.321+32.05+33.721</f>
        <v>163.041</v>
      </c>
      <c r="D81" s="4"/>
      <c r="E81" s="4">
        <v>32.664999999999999</v>
      </c>
      <c r="F81" s="4">
        <f t="shared" si="8"/>
        <v>195.70599999999999</v>
      </c>
      <c r="G81" t="s">
        <v>346</v>
      </c>
    </row>
    <row r="82" spans="1:7">
      <c r="A82" s="8">
        <v>44980</v>
      </c>
      <c r="B82" s="8">
        <v>44962</v>
      </c>
      <c r="C82" s="4">
        <f>24.326+32.182+31.479</f>
        <v>87.986999999999995</v>
      </c>
      <c r="D82" s="4"/>
      <c r="E82" s="4">
        <v>32.040999999999997</v>
      </c>
      <c r="F82" s="4">
        <f t="shared" si="8"/>
        <v>120.02799999999999</v>
      </c>
      <c r="G82" t="s">
        <v>346</v>
      </c>
    </row>
    <row r="83" spans="1:7">
      <c r="A83" s="8">
        <v>44980</v>
      </c>
      <c r="B83" s="8">
        <v>44963</v>
      </c>
      <c r="C83" s="4">
        <f>30.263+24.488</f>
        <v>54.751000000000005</v>
      </c>
      <c r="D83" s="4"/>
      <c r="E83" s="4">
        <f>32.235+32.606</f>
        <v>64.841000000000008</v>
      </c>
      <c r="F83" s="4">
        <f t="shared" si="8"/>
        <v>119.59200000000001</v>
      </c>
      <c r="G83" t="s">
        <v>346</v>
      </c>
    </row>
    <row r="84" spans="1:7">
      <c r="A84" s="8">
        <v>44980</v>
      </c>
      <c r="B84" s="8">
        <v>44964</v>
      </c>
      <c r="C84" s="4">
        <f>32.304+31.002+31.661+24.281</f>
        <v>119.24799999999999</v>
      </c>
      <c r="D84" s="4"/>
      <c r="E84" s="4">
        <v>0</v>
      </c>
      <c r="F84" s="4">
        <f t="shared" si="8"/>
        <v>119.24799999999999</v>
      </c>
      <c r="G84" t="s">
        <v>346</v>
      </c>
    </row>
    <row r="85" spans="1:7">
      <c r="A85" s="8">
        <v>44980</v>
      </c>
      <c r="B85" s="8">
        <v>44965</v>
      </c>
      <c r="C85" s="4">
        <v>0</v>
      </c>
      <c r="D85" s="4"/>
      <c r="E85" s="4">
        <f>39.703+19.112+32.403+32.581</f>
        <v>123.79899999999999</v>
      </c>
      <c r="F85" s="4">
        <f t="shared" si="8"/>
        <v>123.79899999999999</v>
      </c>
      <c r="G85" t="s">
        <v>346</v>
      </c>
    </row>
    <row r="86" spans="1:7">
      <c r="A86" s="8">
        <v>44980</v>
      </c>
      <c r="B86" s="8">
        <v>44966</v>
      </c>
      <c r="C86" s="4">
        <v>0</v>
      </c>
      <c r="D86" s="4"/>
      <c r="E86" s="4">
        <v>0</v>
      </c>
      <c r="F86" s="4">
        <f t="shared" si="8"/>
        <v>0</v>
      </c>
      <c r="G86" t="s">
        <v>346</v>
      </c>
    </row>
    <row r="87" spans="1:7">
      <c r="A87" s="8">
        <v>44980</v>
      </c>
      <c r="B87" s="8">
        <v>44967</v>
      </c>
      <c r="C87" s="4">
        <f>32.853</f>
        <v>32.853000000000002</v>
      </c>
      <c r="D87" s="4"/>
      <c r="E87" s="4">
        <v>32.207000000000001</v>
      </c>
      <c r="F87" s="4">
        <f t="shared" si="8"/>
        <v>65.06</v>
      </c>
      <c r="G87" t="s">
        <v>346</v>
      </c>
    </row>
    <row r="88" spans="1:7">
      <c r="A88" s="8">
        <v>44980</v>
      </c>
      <c r="B88" s="8">
        <v>44968</v>
      </c>
      <c r="C88" s="4">
        <f>24.52+24.452+32.051</f>
        <v>81.022999999999996</v>
      </c>
      <c r="D88" s="4"/>
      <c r="E88" s="4">
        <f>32.203</f>
        <v>32.203000000000003</v>
      </c>
      <c r="F88" s="4">
        <f t="shared" si="8"/>
        <v>113.226</v>
      </c>
      <c r="G88" t="s">
        <v>346</v>
      </c>
    </row>
    <row r="89" spans="1:7">
      <c r="A89" s="8">
        <v>44980</v>
      </c>
      <c r="B89" s="8">
        <v>44969</v>
      </c>
      <c r="C89" s="4">
        <f>31.575+32.749+24.152</f>
        <v>88.475999999999999</v>
      </c>
      <c r="D89" s="4"/>
      <c r="E89" s="4">
        <v>0</v>
      </c>
      <c r="F89" s="4">
        <f t="shared" si="8"/>
        <v>88.475999999999999</v>
      </c>
      <c r="G89" t="s">
        <v>346</v>
      </c>
    </row>
    <row r="90" spans="1:7">
      <c r="A90" s="8">
        <v>44980</v>
      </c>
      <c r="B90" s="8">
        <v>44970</v>
      </c>
      <c r="C90" s="4">
        <v>113.029</v>
      </c>
      <c r="D90" s="4"/>
      <c r="E90" s="4">
        <v>0</v>
      </c>
      <c r="F90" s="4">
        <f t="shared" si="8"/>
        <v>113.029</v>
      </c>
      <c r="G90" t="s">
        <v>346</v>
      </c>
    </row>
    <row r="91" spans="1:7">
      <c r="A91" s="8">
        <v>44980</v>
      </c>
      <c r="B91" s="8">
        <v>44971</v>
      </c>
      <c r="C91" s="4">
        <f>32.543+32.345+24.675</f>
        <v>89.563000000000002</v>
      </c>
      <c r="D91" s="4"/>
      <c r="E91" s="4">
        <f>32.442</f>
        <v>32.442</v>
      </c>
      <c r="F91" s="4">
        <f t="shared" si="8"/>
        <v>122.005</v>
      </c>
      <c r="G91" t="s">
        <v>346</v>
      </c>
    </row>
    <row r="92" spans="1:7">
      <c r="A92" s="8">
        <v>44980</v>
      </c>
      <c r="B92" s="8">
        <v>44972</v>
      </c>
      <c r="C92" s="4">
        <f>32.635+33.504</f>
        <v>66.138999999999996</v>
      </c>
      <c r="D92" s="4"/>
      <c r="E92" s="4">
        <v>0</v>
      </c>
      <c r="F92" s="4">
        <f t="shared" si="8"/>
        <v>66.138999999999996</v>
      </c>
      <c r="G92" t="s">
        <v>346</v>
      </c>
    </row>
    <row r="93" spans="1:7">
      <c r="A93" s="8">
        <v>44980</v>
      </c>
      <c r="B93" s="8">
        <v>44973</v>
      </c>
      <c r="C93" s="4">
        <f>32.652</f>
        <v>32.652000000000001</v>
      </c>
      <c r="D93" s="4"/>
      <c r="E93" s="4">
        <f>32.005</f>
        <v>32.005000000000003</v>
      </c>
      <c r="F93" s="4">
        <f t="shared" si="8"/>
        <v>64.657000000000011</v>
      </c>
      <c r="G93" t="s">
        <v>346</v>
      </c>
    </row>
    <row r="94" spans="1:7">
      <c r="A94" s="8">
        <v>44980</v>
      </c>
      <c r="B94" s="8">
        <v>44974</v>
      </c>
      <c r="C94" s="4">
        <v>99.963999999999999</v>
      </c>
      <c r="D94" s="4"/>
      <c r="E94" s="4">
        <v>32.634</v>
      </c>
      <c r="F94" s="4">
        <f t="shared" si="8"/>
        <v>132.59800000000001</v>
      </c>
      <c r="G94" t="s">
        <v>346</v>
      </c>
    </row>
    <row r="95" spans="1:7">
      <c r="A95" s="8">
        <v>44980</v>
      </c>
      <c r="B95" s="8">
        <v>44975</v>
      </c>
      <c r="C95" s="4">
        <v>32.424999999999997</v>
      </c>
      <c r="D95" s="4"/>
      <c r="E95" s="4">
        <v>33.088999999999999</v>
      </c>
      <c r="F95" s="4">
        <f>C95+D95+E95</f>
        <v>65.513999999999996</v>
      </c>
      <c r="G95" t="s">
        <v>346</v>
      </c>
    </row>
    <row r="96" spans="1:7">
      <c r="A96" s="8">
        <v>44980</v>
      </c>
      <c r="B96" s="8">
        <v>44976</v>
      </c>
      <c r="C96" s="4">
        <f>32.223+24.365+32.846</f>
        <v>89.433999999999997</v>
      </c>
      <c r="D96" s="4"/>
      <c r="E96" s="4">
        <v>29.600999999999999</v>
      </c>
      <c r="F96" s="4">
        <f>C96+D96+E96</f>
        <v>119.035</v>
      </c>
      <c r="G96" t="s">
        <v>346</v>
      </c>
    </row>
    <row r="97" spans="1:7">
      <c r="A97" s="8">
        <v>44980</v>
      </c>
      <c r="B97" s="8">
        <v>44977</v>
      </c>
      <c r="C97" s="4">
        <v>122.777</v>
      </c>
      <c r="D97" s="4"/>
      <c r="E97" s="4">
        <v>26.905999999999999</v>
      </c>
      <c r="F97" s="4">
        <f t="shared" si="8"/>
        <v>149.68299999999999</v>
      </c>
      <c r="G97" t="s">
        <v>346</v>
      </c>
    </row>
    <row r="98" spans="1:7">
      <c r="A98" s="8">
        <v>44980</v>
      </c>
      <c r="B98" s="8">
        <v>44978</v>
      </c>
      <c r="C98" s="4">
        <v>64.713999999999999</v>
      </c>
      <c r="D98" s="4"/>
      <c r="E98" s="4">
        <v>33.646999999999998</v>
      </c>
      <c r="F98" s="4">
        <f t="shared" si="8"/>
        <v>98.36099999999999</v>
      </c>
      <c r="G98" t="s">
        <v>346</v>
      </c>
    </row>
    <row r="99" spans="1:7">
      <c r="A99" s="8">
        <v>44980</v>
      </c>
      <c r="B99" s="8">
        <v>44979</v>
      </c>
      <c r="C99" s="4">
        <f>24.162+24.53+24.322+98.611</f>
        <v>171.625</v>
      </c>
      <c r="D99" s="4"/>
      <c r="E99" s="4"/>
      <c r="F99" s="4">
        <f t="shared" si="8"/>
        <v>171.625</v>
      </c>
      <c r="G99" t="s">
        <v>346</v>
      </c>
    </row>
    <row r="100" spans="1:7">
      <c r="A100" s="8">
        <v>44980</v>
      </c>
      <c r="B100" s="8">
        <v>44980</v>
      </c>
      <c r="C100" s="4">
        <v>113.855</v>
      </c>
      <c r="D100" s="4"/>
      <c r="E100" s="4"/>
      <c r="F100" s="4">
        <f t="shared" si="8"/>
        <v>113.855</v>
      </c>
      <c r="G100" t="s">
        <v>346</v>
      </c>
    </row>
    <row r="101" spans="1:7">
      <c r="A101" s="8">
        <v>44980</v>
      </c>
      <c r="B101" s="8">
        <v>44981</v>
      </c>
      <c r="C101" s="4">
        <v>123.44500000000004</v>
      </c>
      <c r="D101" s="4"/>
      <c r="E101" s="4"/>
      <c r="F101" s="4">
        <f t="shared" si="8"/>
        <v>123.44500000000004</v>
      </c>
      <c r="G101" t="s">
        <v>346</v>
      </c>
    </row>
    <row r="102" spans="1:7">
      <c r="A102" s="8">
        <v>44980</v>
      </c>
      <c r="B102" s="8">
        <v>44982</v>
      </c>
      <c r="C102" s="4">
        <f>32.702+33.639+33.294+33.766</f>
        <v>133.40100000000001</v>
      </c>
      <c r="D102" s="4"/>
      <c r="E102" s="4"/>
      <c r="F102" s="4">
        <f t="shared" si="8"/>
        <v>133.40100000000001</v>
      </c>
      <c r="G102" t="s">
        <v>346</v>
      </c>
    </row>
    <row r="103" spans="1:7">
      <c r="A103" s="8">
        <v>44980</v>
      </c>
      <c r="B103" s="8">
        <v>44983</v>
      </c>
      <c r="C103" s="4">
        <v>130.173</v>
      </c>
      <c r="D103" s="4"/>
      <c r="E103" s="4">
        <v>32.609000000000002</v>
      </c>
      <c r="F103" s="4">
        <f t="shared" si="8"/>
        <v>162.78200000000001</v>
      </c>
      <c r="G103" t="s">
        <v>346</v>
      </c>
    </row>
    <row r="104" spans="1:7">
      <c r="A104" s="8">
        <v>44980</v>
      </c>
      <c r="B104" s="8">
        <v>44984</v>
      </c>
      <c r="C104" s="4">
        <v>98.908000000000001</v>
      </c>
      <c r="D104" s="4"/>
      <c r="E104" s="4"/>
      <c r="F104" s="4">
        <f t="shared" ref="F104" si="9">C104+D104+E104</f>
        <v>98.908000000000001</v>
      </c>
      <c r="G104" t="s">
        <v>346</v>
      </c>
    </row>
    <row r="105" spans="1:7">
      <c r="A105" s="8">
        <v>44980</v>
      </c>
      <c r="B105" s="8">
        <v>44985</v>
      </c>
      <c r="C105" s="4">
        <v>122.85599999999999</v>
      </c>
      <c r="D105" s="4"/>
      <c r="E105" s="4"/>
      <c r="F105" s="4">
        <f t="shared" ref="F105:F111" si="10">C105+D105+E105</f>
        <v>122.85599999999999</v>
      </c>
      <c r="G105" t="s">
        <v>346</v>
      </c>
    </row>
    <row r="106" spans="1:7">
      <c r="A106" s="8"/>
      <c r="B106" s="8"/>
      <c r="C106" s="4">
        <f t="shared" ref="C106:E106" si="11">SUM(C78:C105)</f>
        <v>2578.5500000000002</v>
      </c>
      <c r="D106" s="4">
        <f t="shared" si="11"/>
        <v>0</v>
      </c>
      <c r="E106" s="4">
        <f t="shared" si="11"/>
        <v>668.6160000000001</v>
      </c>
      <c r="F106" s="4">
        <f>SUM(F78:F105)</f>
        <v>3247.1660000000002</v>
      </c>
    </row>
    <row r="107" spans="1:7">
      <c r="A107" s="8">
        <v>45008</v>
      </c>
      <c r="B107" s="8">
        <v>44986</v>
      </c>
      <c r="C107" s="4">
        <v>99.536000000000001</v>
      </c>
      <c r="D107" s="4"/>
      <c r="E107" s="4"/>
      <c r="F107" s="4">
        <f t="shared" si="10"/>
        <v>99.536000000000001</v>
      </c>
      <c r="G107" t="s">
        <v>346</v>
      </c>
    </row>
    <row r="108" spans="1:7">
      <c r="A108" s="8">
        <v>45008</v>
      </c>
      <c r="B108" s="8">
        <v>44987</v>
      </c>
      <c r="C108" s="4">
        <v>164.64100000000002</v>
      </c>
      <c r="D108" s="4"/>
      <c r="E108" s="4"/>
      <c r="F108" s="4">
        <f t="shared" si="10"/>
        <v>164.64100000000002</v>
      </c>
      <c r="G108" t="s">
        <v>346</v>
      </c>
    </row>
    <row r="109" spans="1:7">
      <c r="A109" s="8">
        <v>45008</v>
      </c>
      <c r="B109" s="8">
        <v>44988</v>
      </c>
      <c r="C109" s="4">
        <v>92.566999999999993</v>
      </c>
      <c r="D109" s="4"/>
      <c r="E109" s="4"/>
      <c r="F109" s="4">
        <f t="shared" si="10"/>
        <v>92.566999999999993</v>
      </c>
      <c r="G109" t="s">
        <v>346</v>
      </c>
    </row>
    <row r="110" spans="1:7">
      <c r="A110" s="8">
        <v>45008</v>
      </c>
      <c r="B110" s="8">
        <v>44989</v>
      </c>
      <c r="C110" s="4">
        <f>135.098+10.879</f>
        <v>145.977</v>
      </c>
      <c r="D110" s="4"/>
      <c r="E110" s="4"/>
      <c r="F110" s="4">
        <f t="shared" si="10"/>
        <v>145.977</v>
      </c>
      <c r="G110" t="s">
        <v>346</v>
      </c>
    </row>
    <row r="111" spans="1:7">
      <c r="A111" s="8">
        <v>45008</v>
      </c>
      <c r="B111" s="8">
        <v>44990</v>
      </c>
      <c r="C111" s="4">
        <v>65.965000000000003</v>
      </c>
      <c r="D111" s="4"/>
      <c r="E111" s="4">
        <v>7.3550000000000004</v>
      </c>
      <c r="F111" s="4">
        <f t="shared" si="10"/>
        <v>73.320000000000007</v>
      </c>
      <c r="G111" t="s">
        <v>346</v>
      </c>
    </row>
    <row r="112" spans="1:7">
      <c r="A112" s="8">
        <v>45008</v>
      </c>
      <c r="B112" s="8">
        <v>44991</v>
      </c>
      <c r="C112" s="4">
        <v>31.512</v>
      </c>
      <c r="D112" s="4"/>
      <c r="E112" s="4"/>
      <c r="F112" s="4">
        <f t="shared" ref="F112:F116" si="12">C112+D112+E112</f>
        <v>31.512</v>
      </c>
      <c r="G112" t="s">
        <v>346</v>
      </c>
    </row>
    <row r="113" spans="1:7">
      <c r="A113" s="8">
        <v>45008</v>
      </c>
      <c r="B113" s="8">
        <v>44994</v>
      </c>
      <c r="C113" s="4">
        <v>64.248999999999995</v>
      </c>
      <c r="D113" s="4"/>
      <c r="E113" s="4"/>
      <c r="F113" s="4">
        <f t="shared" si="12"/>
        <v>64.248999999999995</v>
      </c>
      <c r="G113" t="s">
        <v>346</v>
      </c>
    </row>
    <row r="114" spans="1:7">
      <c r="A114" s="8">
        <v>45008</v>
      </c>
      <c r="B114" s="8">
        <v>44995</v>
      </c>
      <c r="C114" s="4">
        <v>81.757000000000005</v>
      </c>
      <c r="D114" s="4"/>
      <c r="E114" s="4"/>
      <c r="F114" s="4">
        <f t="shared" si="12"/>
        <v>81.757000000000005</v>
      </c>
      <c r="G114" t="s">
        <v>346</v>
      </c>
    </row>
    <row r="115" spans="1:7">
      <c r="A115" s="8">
        <v>45008</v>
      </c>
      <c r="B115" s="8">
        <v>44996</v>
      </c>
      <c r="C115" s="4">
        <v>31.734000000000002</v>
      </c>
      <c r="D115" s="4"/>
      <c r="E115" s="4"/>
      <c r="F115" s="4">
        <f t="shared" si="12"/>
        <v>31.734000000000002</v>
      </c>
      <c r="G115" t="s">
        <v>346</v>
      </c>
    </row>
    <row r="116" spans="1:7">
      <c r="A116" s="8">
        <v>45008</v>
      </c>
      <c r="B116" s="8">
        <v>44997</v>
      </c>
      <c r="C116" s="4">
        <v>24.314</v>
      </c>
      <c r="D116" s="4"/>
      <c r="E116" s="4"/>
      <c r="F116" s="4">
        <f t="shared" si="12"/>
        <v>24.314</v>
      </c>
      <c r="G116" t="s">
        <v>346</v>
      </c>
    </row>
    <row r="117" spans="1:7">
      <c r="A117" s="8">
        <v>45008</v>
      </c>
      <c r="B117" s="8">
        <v>44998</v>
      </c>
      <c r="C117" s="4">
        <v>33.659999999999997</v>
      </c>
      <c r="D117" s="4"/>
      <c r="E117" s="4"/>
      <c r="F117" s="4">
        <f t="shared" ref="F117:F128" si="13">C117+D117+E117</f>
        <v>33.659999999999997</v>
      </c>
      <c r="G117" t="s">
        <v>346</v>
      </c>
    </row>
    <row r="118" spans="1:7">
      <c r="A118" s="8">
        <v>45008</v>
      </c>
      <c r="B118" s="8">
        <v>44999</v>
      </c>
      <c r="C118" s="4">
        <v>1.9350000000000001</v>
      </c>
      <c r="D118" s="4"/>
      <c r="E118" s="4"/>
      <c r="F118" s="4">
        <f t="shared" si="13"/>
        <v>1.9350000000000001</v>
      </c>
      <c r="G118" t="s">
        <v>346</v>
      </c>
    </row>
    <row r="119" spans="1:7">
      <c r="A119" s="8">
        <v>45008</v>
      </c>
      <c r="B119" s="8">
        <v>45001</v>
      </c>
      <c r="C119" s="4">
        <f>15.994+8.576+24.471</f>
        <v>49.040999999999997</v>
      </c>
      <c r="D119" s="4"/>
      <c r="E119" s="4"/>
      <c r="F119" s="4">
        <f t="shared" si="13"/>
        <v>49.040999999999997</v>
      </c>
      <c r="G119" t="s">
        <v>346</v>
      </c>
    </row>
    <row r="120" spans="1:7">
      <c r="A120" s="8">
        <v>45008</v>
      </c>
      <c r="B120" s="8">
        <v>45002</v>
      </c>
      <c r="C120" s="4">
        <v>24.614999999999998</v>
      </c>
      <c r="D120" s="4"/>
      <c r="E120" s="4"/>
      <c r="F120" s="4">
        <f t="shared" si="13"/>
        <v>24.614999999999998</v>
      </c>
      <c r="G120" t="s">
        <v>346</v>
      </c>
    </row>
    <row r="121" spans="1:7">
      <c r="A121" s="8">
        <v>45008</v>
      </c>
      <c r="B121" s="8">
        <v>45003</v>
      </c>
      <c r="C121" s="4">
        <v>27.486000000000001</v>
      </c>
      <c r="D121" s="4"/>
      <c r="E121" s="4"/>
      <c r="F121" s="4">
        <f t="shared" si="13"/>
        <v>27.486000000000001</v>
      </c>
      <c r="G121" t="s">
        <v>346</v>
      </c>
    </row>
    <row r="122" spans="1:7">
      <c r="A122" s="8">
        <v>45008</v>
      </c>
      <c r="B122" s="8">
        <v>45006</v>
      </c>
      <c r="C122" s="4">
        <v>48.933</v>
      </c>
      <c r="D122" s="4"/>
      <c r="E122" s="4"/>
      <c r="F122" s="4">
        <f t="shared" si="13"/>
        <v>48.933</v>
      </c>
      <c r="G122" t="s">
        <v>346</v>
      </c>
    </row>
    <row r="123" spans="1:7">
      <c r="A123" s="8">
        <v>45008</v>
      </c>
      <c r="B123" s="8">
        <v>45007</v>
      </c>
      <c r="C123" s="4">
        <v>155.09899999999996</v>
      </c>
      <c r="D123" s="4"/>
      <c r="E123" s="4"/>
      <c r="F123" s="4">
        <f t="shared" si="13"/>
        <v>155.09899999999996</v>
      </c>
      <c r="G123" t="s">
        <v>346</v>
      </c>
    </row>
    <row r="124" spans="1:7">
      <c r="A124" s="8">
        <v>45008</v>
      </c>
      <c r="B124" s="8">
        <v>45008</v>
      </c>
      <c r="C124" s="4">
        <v>99.09</v>
      </c>
      <c r="D124" s="4"/>
      <c r="E124" s="4"/>
      <c r="F124" s="4">
        <f t="shared" si="13"/>
        <v>99.09</v>
      </c>
      <c r="G124" t="s">
        <v>346</v>
      </c>
    </row>
    <row r="125" spans="1:7">
      <c r="A125" s="8">
        <v>45008</v>
      </c>
      <c r="B125" s="8">
        <v>45009</v>
      </c>
      <c r="C125" s="4">
        <v>98.552999999999997</v>
      </c>
      <c r="D125" s="4"/>
      <c r="E125" s="4"/>
      <c r="F125" s="4">
        <f t="shared" si="13"/>
        <v>98.552999999999997</v>
      </c>
      <c r="G125" t="s">
        <v>346</v>
      </c>
    </row>
    <row r="126" spans="1:7">
      <c r="A126" s="8">
        <v>45008</v>
      </c>
      <c r="B126" s="8">
        <v>45010</v>
      </c>
      <c r="C126" s="4">
        <v>73.864000000000004</v>
      </c>
      <c r="D126" s="4"/>
      <c r="E126" s="4"/>
      <c r="F126" s="4">
        <f t="shared" si="13"/>
        <v>73.864000000000004</v>
      </c>
      <c r="G126" t="s">
        <v>346</v>
      </c>
    </row>
    <row r="127" spans="1:7">
      <c r="A127" s="8">
        <v>45008</v>
      </c>
      <c r="B127" s="8">
        <v>45013</v>
      </c>
      <c r="C127" s="4">
        <v>50.069000000000003</v>
      </c>
      <c r="D127" s="4"/>
      <c r="E127" s="4"/>
      <c r="F127" s="4">
        <f t="shared" si="13"/>
        <v>50.069000000000003</v>
      </c>
      <c r="G127" t="s">
        <v>346</v>
      </c>
    </row>
    <row r="128" spans="1:7">
      <c r="A128" s="8">
        <v>45008</v>
      </c>
      <c r="B128" s="8">
        <v>45016</v>
      </c>
      <c r="C128" s="4">
        <f>24.552+24.852</f>
        <v>49.403999999999996</v>
      </c>
      <c r="D128" s="4"/>
      <c r="E128" s="4"/>
      <c r="F128" s="4">
        <f t="shared" si="13"/>
        <v>49.403999999999996</v>
      </c>
      <c r="G128" t="s">
        <v>346</v>
      </c>
    </row>
    <row r="129" spans="1:7">
      <c r="A129" s="8"/>
      <c r="B129" s="8"/>
      <c r="C129" s="4">
        <f t="shared" ref="C129:E129" si="14">SUM(C107:C128)</f>
        <v>1514.0010000000002</v>
      </c>
      <c r="D129" s="4">
        <f t="shared" si="14"/>
        <v>0</v>
      </c>
      <c r="E129" s="4">
        <f t="shared" si="14"/>
        <v>7.3550000000000004</v>
      </c>
      <c r="F129" s="4">
        <f>SUM(F107:F128)</f>
        <v>1521.3560000000002</v>
      </c>
    </row>
    <row r="130" spans="1:7">
      <c r="A130" s="8">
        <v>45039</v>
      </c>
      <c r="B130" s="8">
        <v>45020</v>
      </c>
      <c r="C130" s="4">
        <v>74.173000000000002</v>
      </c>
      <c r="D130" s="4"/>
      <c r="E130" s="4"/>
      <c r="F130" s="4">
        <f t="shared" ref="F130:F135" si="15">C130+D130+E130</f>
        <v>74.173000000000002</v>
      </c>
      <c r="G130" t="s">
        <v>346</v>
      </c>
    </row>
    <row r="131" spans="1:7">
      <c r="A131" s="8">
        <v>45039</v>
      </c>
      <c r="B131" s="8">
        <v>45021</v>
      </c>
      <c r="C131" s="4">
        <v>48.959000000000003</v>
      </c>
      <c r="D131" s="4"/>
      <c r="E131" s="4"/>
      <c r="F131" s="4">
        <f t="shared" si="15"/>
        <v>48.959000000000003</v>
      </c>
      <c r="G131" t="s">
        <v>346</v>
      </c>
    </row>
    <row r="132" spans="1:7">
      <c r="A132" s="8">
        <v>45039</v>
      </c>
      <c r="B132" s="8">
        <v>45022</v>
      </c>
      <c r="C132" s="4">
        <v>124.02800000000001</v>
      </c>
      <c r="D132" s="4"/>
      <c r="E132" s="4"/>
      <c r="F132" s="4">
        <f t="shared" si="15"/>
        <v>124.02800000000001</v>
      </c>
      <c r="G132" t="s">
        <v>346</v>
      </c>
    </row>
    <row r="133" spans="1:7">
      <c r="A133" s="8">
        <v>45039</v>
      </c>
      <c r="B133" s="8">
        <v>45024</v>
      </c>
      <c r="C133" s="4">
        <v>98.016000000000005</v>
      </c>
      <c r="D133" s="4"/>
      <c r="E133" s="4"/>
      <c r="F133" s="4">
        <f t="shared" si="15"/>
        <v>98.016000000000005</v>
      </c>
      <c r="G133" t="s">
        <v>346</v>
      </c>
    </row>
    <row r="134" spans="1:7">
      <c r="A134" s="8">
        <v>45039</v>
      </c>
      <c r="B134" s="8">
        <v>45025</v>
      </c>
      <c r="C134" s="4">
        <v>130.94499999999999</v>
      </c>
      <c r="D134" s="4"/>
      <c r="E134" s="4"/>
      <c r="F134" s="4">
        <f t="shared" si="15"/>
        <v>130.94499999999999</v>
      </c>
      <c r="G134" t="s">
        <v>346</v>
      </c>
    </row>
    <row r="135" spans="1:7">
      <c r="A135" s="8">
        <v>45039</v>
      </c>
      <c r="B135" s="8">
        <v>45026</v>
      </c>
      <c r="C135" s="4">
        <v>88.488</v>
      </c>
      <c r="D135" s="4"/>
      <c r="E135" s="4"/>
      <c r="F135" s="4">
        <f t="shared" si="15"/>
        <v>88.488</v>
      </c>
      <c r="G135" t="s">
        <v>346</v>
      </c>
    </row>
    <row r="136" spans="1:7">
      <c r="A136" s="8">
        <v>45039</v>
      </c>
      <c r="B136" s="8">
        <v>45027</v>
      </c>
      <c r="C136" s="4">
        <v>112.874</v>
      </c>
      <c r="D136" s="4"/>
      <c r="E136" s="4"/>
      <c r="F136" s="4">
        <f t="shared" ref="F136:F140" si="16">C136+D136+E136</f>
        <v>112.874</v>
      </c>
      <c r="G136" t="s">
        <v>346</v>
      </c>
    </row>
    <row r="137" spans="1:7">
      <c r="A137" s="8">
        <v>45039</v>
      </c>
      <c r="B137" s="8">
        <v>45028</v>
      </c>
      <c r="C137" s="4">
        <v>65.468999999999994</v>
      </c>
      <c r="D137" s="4"/>
      <c r="E137" s="4"/>
      <c r="F137" s="4">
        <f t="shared" si="16"/>
        <v>65.468999999999994</v>
      </c>
      <c r="G137" t="s">
        <v>346</v>
      </c>
    </row>
    <row r="138" spans="1:7">
      <c r="A138" s="8">
        <v>45039</v>
      </c>
      <c r="B138" s="8">
        <v>45029</v>
      </c>
      <c r="C138" s="4">
        <f>22.15+2.995+1.941+30.35</f>
        <v>57.436</v>
      </c>
      <c r="D138" s="4"/>
      <c r="E138" s="4"/>
      <c r="F138" s="4">
        <f t="shared" si="16"/>
        <v>57.436</v>
      </c>
      <c r="G138" t="s">
        <v>346</v>
      </c>
    </row>
    <row r="139" spans="1:7">
      <c r="A139" s="8">
        <v>45039</v>
      </c>
      <c r="B139" s="8">
        <v>45030</v>
      </c>
      <c r="C139" s="4">
        <v>119.134</v>
      </c>
      <c r="D139" s="4"/>
      <c r="E139" s="4"/>
      <c r="F139" s="4">
        <f t="shared" si="16"/>
        <v>119.134</v>
      </c>
      <c r="G139" t="s">
        <v>346</v>
      </c>
    </row>
    <row r="140" spans="1:7">
      <c r="A140" s="8">
        <v>45039</v>
      </c>
      <c r="B140" s="8">
        <v>45031</v>
      </c>
      <c r="C140" s="4">
        <v>64.385000000000005</v>
      </c>
      <c r="D140" s="4"/>
      <c r="E140" s="4"/>
      <c r="F140" s="4">
        <f t="shared" si="16"/>
        <v>64.385000000000005</v>
      </c>
      <c r="G140" t="s">
        <v>346</v>
      </c>
    </row>
    <row r="141" spans="1:7">
      <c r="A141" s="8">
        <v>45039</v>
      </c>
      <c r="B141" s="8">
        <v>45032</v>
      </c>
      <c r="C141" s="4">
        <v>64.789000000000001</v>
      </c>
      <c r="D141" s="4"/>
      <c r="E141" s="4"/>
      <c r="F141" s="4">
        <f t="shared" ref="F141:F151" si="17">C141+D141+E141</f>
        <v>64.789000000000001</v>
      </c>
      <c r="G141" t="s">
        <v>346</v>
      </c>
    </row>
    <row r="142" spans="1:7">
      <c r="A142" s="8">
        <v>45039</v>
      </c>
      <c r="B142" s="8">
        <v>45033</v>
      </c>
      <c r="C142" s="4">
        <v>87.352999999999994</v>
      </c>
      <c r="D142" s="4"/>
      <c r="E142" s="4"/>
      <c r="F142" s="4">
        <f t="shared" si="17"/>
        <v>87.352999999999994</v>
      </c>
      <c r="G142" t="s">
        <v>346</v>
      </c>
    </row>
    <row r="143" spans="1:7">
      <c r="A143" s="8">
        <v>45039</v>
      </c>
      <c r="B143" s="8">
        <v>45034</v>
      </c>
      <c r="C143" s="4">
        <v>97.388999999999996</v>
      </c>
      <c r="D143" s="4"/>
      <c r="E143" s="4"/>
      <c r="F143" s="4">
        <f t="shared" si="17"/>
        <v>97.388999999999996</v>
      </c>
      <c r="G143" t="s">
        <v>346</v>
      </c>
    </row>
    <row r="144" spans="1:7">
      <c r="A144" s="8">
        <v>45039</v>
      </c>
      <c r="B144" s="8">
        <v>45035</v>
      </c>
      <c r="C144" s="4">
        <v>64.888000000000005</v>
      </c>
      <c r="D144" s="4"/>
      <c r="E144" s="4"/>
      <c r="F144" s="4">
        <f t="shared" si="17"/>
        <v>64.888000000000005</v>
      </c>
      <c r="G144" t="s">
        <v>346</v>
      </c>
    </row>
    <row r="145" spans="1:7">
      <c r="A145" s="8">
        <v>45039</v>
      </c>
      <c r="B145" s="8">
        <v>45036</v>
      </c>
      <c r="C145" s="4">
        <v>97.088999999999999</v>
      </c>
      <c r="D145" s="4"/>
      <c r="E145" s="4"/>
      <c r="F145" s="4">
        <f t="shared" si="17"/>
        <v>97.088999999999999</v>
      </c>
      <c r="G145" t="s">
        <v>346</v>
      </c>
    </row>
    <row r="146" spans="1:7">
      <c r="A146" s="8">
        <v>45039</v>
      </c>
      <c r="B146" s="8">
        <v>45037</v>
      </c>
      <c r="C146" s="4">
        <f>110.513+8.322</f>
        <v>118.83500000000001</v>
      </c>
      <c r="D146" s="4"/>
      <c r="E146" s="4"/>
      <c r="F146" s="4">
        <f t="shared" si="17"/>
        <v>118.83500000000001</v>
      </c>
      <c r="G146" t="s">
        <v>346</v>
      </c>
    </row>
    <row r="147" spans="1:7">
      <c r="A147" s="8">
        <v>45039</v>
      </c>
      <c r="B147" s="8">
        <v>45038</v>
      </c>
      <c r="C147" s="4">
        <v>98.218000000000004</v>
      </c>
      <c r="D147" s="4"/>
      <c r="E147" s="4"/>
      <c r="F147" s="4">
        <f t="shared" si="17"/>
        <v>98.218000000000004</v>
      </c>
      <c r="G147" t="s">
        <v>346</v>
      </c>
    </row>
    <row r="148" spans="1:7">
      <c r="A148" s="8">
        <v>45039</v>
      </c>
      <c r="B148" s="8">
        <v>45039</v>
      </c>
      <c r="C148" s="4">
        <v>130.672</v>
      </c>
      <c r="D148" s="4"/>
      <c r="E148" s="4"/>
      <c r="F148" s="4">
        <f t="shared" si="17"/>
        <v>130.672</v>
      </c>
      <c r="G148" t="s">
        <v>346</v>
      </c>
    </row>
    <row r="149" spans="1:7">
      <c r="A149" s="8">
        <v>45039</v>
      </c>
      <c r="B149" s="8">
        <v>45040</v>
      </c>
      <c r="C149" s="4">
        <v>96.403000000000006</v>
      </c>
      <c r="D149" s="4"/>
      <c r="E149" s="4"/>
      <c r="F149" s="4">
        <f t="shared" si="17"/>
        <v>96.403000000000006</v>
      </c>
      <c r="G149" t="s">
        <v>346</v>
      </c>
    </row>
    <row r="150" spans="1:7">
      <c r="A150" s="8">
        <v>45039</v>
      </c>
      <c r="B150" s="8">
        <v>45041</v>
      </c>
      <c r="C150" s="4">
        <v>33.439</v>
      </c>
      <c r="D150" s="4"/>
      <c r="E150" s="4"/>
      <c r="F150" s="4">
        <f t="shared" si="17"/>
        <v>33.439</v>
      </c>
      <c r="G150" t="s">
        <v>346</v>
      </c>
    </row>
    <row r="151" spans="1:7">
      <c r="A151" s="8">
        <v>45039</v>
      </c>
      <c r="B151" s="8">
        <v>45042</v>
      </c>
      <c r="C151" s="4">
        <v>65.39</v>
      </c>
      <c r="D151" s="4"/>
      <c r="E151" s="4"/>
      <c r="F151" s="4">
        <f t="shared" si="17"/>
        <v>65.39</v>
      </c>
      <c r="G151" t="s">
        <v>346</v>
      </c>
    </row>
    <row r="152" spans="1:7">
      <c r="A152" s="8">
        <v>45039</v>
      </c>
      <c r="B152" s="8">
        <v>45043</v>
      </c>
      <c r="C152" s="4">
        <v>31.968</v>
      </c>
      <c r="D152" s="4"/>
      <c r="E152" s="4"/>
      <c r="F152" s="4">
        <f t="shared" ref="F152:F166" si="18">C152+D152+E152</f>
        <v>31.968</v>
      </c>
      <c r="G152" t="s">
        <v>346</v>
      </c>
    </row>
    <row r="153" spans="1:7">
      <c r="A153" s="8">
        <v>45039</v>
      </c>
      <c r="B153" s="8">
        <v>45044</v>
      </c>
      <c r="C153" s="4">
        <v>33.432000000000002</v>
      </c>
      <c r="D153" s="4"/>
      <c r="E153" s="4"/>
      <c r="F153" s="4">
        <f t="shared" si="18"/>
        <v>33.432000000000002</v>
      </c>
      <c r="G153" t="s">
        <v>346</v>
      </c>
    </row>
    <row r="154" spans="1:7">
      <c r="A154" s="8">
        <v>45039</v>
      </c>
      <c r="B154" s="8">
        <v>45045</v>
      </c>
      <c r="C154" s="4">
        <v>31.888000000000002</v>
      </c>
      <c r="D154" s="4"/>
      <c r="E154" s="4"/>
      <c r="F154" s="4">
        <f t="shared" si="18"/>
        <v>31.888000000000002</v>
      </c>
      <c r="G154" t="s">
        <v>346</v>
      </c>
    </row>
    <row r="155" spans="1:7">
      <c r="A155" s="8">
        <v>45039</v>
      </c>
      <c r="B155" s="8">
        <v>45046</v>
      </c>
      <c r="C155" s="4">
        <v>64.912000000000006</v>
      </c>
      <c r="D155" s="4"/>
      <c r="E155" s="4"/>
      <c r="F155" s="4">
        <f t="shared" si="18"/>
        <v>64.912000000000006</v>
      </c>
      <c r="G155" t="s">
        <v>346</v>
      </c>
    </row>
    <row r="156" spans="1:7">
      <c r="A156" s="8"/>
      <c r="B156" s="8"/>
      <c r="C156" s="4">
        <f t="shared" ref="C156:E156" si="19">SUM(C130:C155)</f>
        <v>2100.5720000000001</v>
      </c>
      <c r="D156" s="4">
        <f t="shared" si="19"/>
        <v>0</v>
      </c>
      <c r="E156" s="4">
        <f t="shared" si="19"/>
        <v>0</v>
      </c>
      <c r="F156" s="4">
        <f>SUM(F130:F155)</f>
        <v>2100.5720000000001</v>
      </c>
    </row>
    <row r="157" spans="1:7">
      <c r="A157" s="8">
        <v>45069</v>
      </c>
      <c r="B157" s="8">
        <v>45048</v>
      </c>
      <c r="C157" s="4">
        <v>31.228999999999999</v>
      </c>
      <c r="D157" s="4"/>
      <c r="E157" s="4"/>
      <c r="F157" s="4">
        <f t="shared" si="18"/>
        <v>31.228999999999999</v>
      </c>
      <c r="G157" t="s">
        <v>346</v>
      </c>
    </row>
    <row r="158" spans="1:7">
      <c r="A158" s="8">
        <v>45069</v>
      </c>
      <c r="B158" s="8">
        <v>45050</v>
      </c>
      <c r="C158" s="4">
        <v>66.599000000000004</v>
      </c>
      <c r="D158" s="4"/>
      <c r="E158" s="4"/>
      <c r="F158" s="4">
        <f t="shared" si="18"/>
        <v>66.599000000000004</v>
      </c>
      <c r="G158" t="s">
        <v>346</v>
      </c>
    </row>
    <row r="159" spans="1:7">
      <c r="A159" s="8">
        <v>45069</v>
      </c>
      <c r="B159" s="8">
        <v>45052</v>
      </c>
      <c r="C159" s="4">
        <v>26.204000000000001</v>
      </c>
      <c r="D159" s="4"/>
      <c r="E159" s="4"/>
      <c r="F159" s="4">
        <f t="shared" si="18"/>
        <v>26.204000000000001</v>
      </c>
      <c r="G159" t="s">
        <v>346</v>
      </c>
    </row>
    <row r="160" spans="1:7">
      <c r="A160" s="8">
        <v>45069</v>
      </c>
      <c r="B160" s="8">
        <v>45058</v>
      </c>
      <c r="C160" s="4">
        <v>24.821000000000002</v>
      </c>
      <c r="D160" s="4"/>
      <c r="E160" s="4"/>
      <c r="F160" s="4">
        <f t="shared" si="18"/>
        <v>24.821000000000002</v>
      </c>
      <c r="G160" t="s">
        <v>346</v>
      </c>
    </row>
    <row r="161" spans="1:7">
      <c r="A161" s="8">
        <v>45069</v>
      </c>
      <c r="B161" s="8">
        <v>45059</v>
      </c>
      <c r="C161" s="4">
        <v>49.042000000000002</v>
      </c>
      <c r="D161" s="4"/>
      <c r="E161" s="4"/>
      <c r="F161" s="4">
        <f t="shared" si="18"/>
        <v>49.042000000000002</v>
      </c>
      <c r="G161" t="s">
        <v>346</v>
      </c>
    </row>
    <row r="162" spans="1:7">
      <c r="A162" s="8">
        <v>45069</v>
      </c>
      <c r="B162" s="8">
        <v>45060</v>
      </c>
      <c r="C162" s="4">
        <v>49.97</v>
      </c>
      <c r="D162" s="4"/>
      <c r="E162" s="4"/>
      <c r="F162" s="4">
        <f t="shared" si="18"/>
        <v>49.97</v>
      </c>
      <c r="G162" t="s">
        <v>346</v>
      </c>
    </row>
    <row r="163" spans="1:7">
      <c r="A163" s="8">
        <v>45069</v>
      </c>
      <c r="B163" s="8">
        <v>45061</v>
      </c>
      <c r="C163" s="4">
        <v>49.47</v>
      </c>
      <c r="D163" s="4"/>
      <c r="E163" s="4"/>
      <c r="F163" s="4">
        <f t="shared" si="18"/>
        <v>49.47</v>
      </c>
      <c r="G163" t="s">
        <v>346</v>
      </c>
    </row>
    <row r="164" spans="1:7">
      <c r="A164" s="8">
        <v>45069</v>
      </c>
      <c r="B164" s="8">
        <v>45062</v>
      </c>
      <c r="C164" s="4">
        <v>3.8170000000000002</v>
      </c>
      <c r="D164" s="4"/>
      <c r="E164" s="4"/>
      <c r="F164" s="4">
        <f t="shared" si="18"/>
        <v>3.8170000000000002</v>
      </c>
      <c r="G164" t="s">
        <v>346</v>
      </c>
    </row>
    <row r="165" spans="1:7">
      <c r="A165" s="8">
        <v>45069</v>
      </c>
      <c r="B165" s="8">
        <v>45070</v>
      </c>
      <c r="C165" s="4">
        <v>24.497</v>
      </c>
      <c r="D165" s="4"/>
      <c r="E165" s="4"/>
      <c r="F165" s="4">
        <f t="shared" si="18"/>
        <v>24.497</v>
      </c>
      <c r="G165" t="s">
        <v>346</v>
      </c>
    </row>
    <row r="166" spans="1:7">
      <c r="A166" s="8">
        <v>45069</v>
      </c>
      <c r="B166" s="8">
        <v>45071</v>
      </c>
      <c r="C166" s="4">
        <v>66.435000000000002</v>
      </c>
      <c r="D166" s="4"/>
      <c r="E166" s="4"/>
      <c r="F166" s="4">
        <f t="shared" si="18"/>
        <v>66.435000000000002</v>
      </c>
      <c r="G166" t="s">
        <v>346</v>
      </c>
    </row>
    <row r="167" spans="1:7">
      <c r="A167" s="8">
        <v>45069</v>
      </c>
      <c r="B167" s="8">
        <v>45072</v>
      </c>
      <c r="C167" s="4">
        <v>67.176000000000002</v>
      </c>
      <c r="D167" s="4"/>
      <c r="E167" s="4"/>
      <c r="F167" s="4">
        <f t="shared" ref="F167:F175" si="20">C167+D167+E167</f>
        <v>67.176000000000002</v>
      </c>
      <c r="G167" t="s">
        <v>346</v>
      </c>
    </row>
    <row r="168" spans="1:7">
      <c r="A168" s="8">
        <v>45069</v>
      </c>
      <c r="B168" s="8">
        <v>45074</v>
      </c>
      <c r="C168" s="4">
        <v>65.177000000000007</v>
      </c>
      <c r="D168" s="4"/>
      <c r="E168" s="4"/>
      <c r="F168" s="4">
        <f t="shared" si="20"/>
        <v>65.177000000000007</v>
      </c>
      <c r="G168" t="s">
        <v>346</v>
      </c>
    </row>
    <row r="169" spans="1:7">
      <c r="A169" s="8">
        <v>45069</v>
      </c>
      <c r="B169" s="8">
        <v>45075</v>
      </c>
      <c r="C169" s="4">
        <v>96.61</v>
      </c>
      <c r="D169" s="4"/>
      <c r="E169" s="4"/>
      <c r="F169" s="4">
        <f t="shared" si="20"/>
        <v>96.61</v>
      </c>
      <c r="G169" t="s">
        <v>346</v>
      </c>
    </row>
    <row r="170" spans="1:7">
      <c r="A170" s="8">
        <v>45069</v>
      </c>
      <c r="B170" s="8">
        <v>45076</v>
      </c>
      <c r="C170" s="4">
        <v>96.253</v>
      </c>
      <c r="D170" s="4"/>
      <c r="E170" s="4"/>
      <c r="F170" s="4">
        <f t="shared" si="20"/>
        <v>96.253</v>
      </c>
      <c r="G170" t="s">
        <v>346</v>
      </c>
    </row>
    <row r="171" spans="1:7">
      <c r="A171" s="8"/>
      <c r="B171" s="8"/>
      <c r="C171" s="4">
        <f t="shared" ref="C171:E171" si="21">SUM(C157:C170)</f>
        <v>717.30000000000007</v>
      </c>
      <c r="D171" s="4">
        <f t="shared" si="21"/>
        <v>0</v>
      </c>
      <c r="E171" s="4">
        <f t="shared" si="21"/>
        <v>0</v>
      </c>
      <c r="F171" s="4">
        <f>SUM(F157:F170)</f>
        <v>717.30000000000007</v>
      </c>
    </row>
    <row r="172" spans="1:7">
      <c r="A172" s="8">
        <v>45100</v>
      </c>
      <c r="B172" s="8">
        <v>45078</v>
      </c>
      <c r="C172" s="4">
        <v>113.739</v>
      </c>
      <c r="D172" s="4"/>
      <c r="E172" s="4"/>
      <c r="F172" s="4">
        <f t="shared" si="20"/>
        <v>113.739</v>
      </c>
      <c r="G172" t="s">
        <v>346</v>
      </c>
    </row>
    <row r="173" spans="1:7">
      <c r="A173" s="8">
        <v>45100</v>
      </c>
      <c r="B173" s="8">
        <v>45079</v>
      </c>
      <c r="C173" s="4">
        <v>25.277999999999999</v>
      </c>
      <c r="D173" s="4"/>
      <c r="E173" s="4"/>
      <c r="F173" s="4">
        <f t="shared" si="20"/>
        <v>25.277999999999999</v>
      </c>
      <c r="G173" t="s">
        <v>346</v>
      </c>
    </row>
    <row r="174" spans="1:7">
      <c r="A174" s="8">
        <v>45100</v>
      </c>
      <c r="B174" s="8">
        <v>45080</v>
      </c>
      <c r="C174" s="4">
        <v>79.876000000000005</v>
      </c>
      <c r="D174" s="4"/>
      <c r="E174" s="4"/>
      <c r="F174" s="4">
        <f t="shared" si="20"/>
        <v>79.876000000000005</v>
      </c>
      <c r="G174" t="s">
        <v>346</v>
      </c>
    </row>
    <row r="175" spans="1:7">
      <c r="A175" s="8">
        <v>45100</v>
      </c>
      <c r="B175" s="8">
        <v>45081</v>
      </c>
      <c r="C175" s="4">
        <f>31.614+74.853</f>
        <v>106.467</v>
      </c>
      <c r="D175" s="4"/>
      <c r="E175" s="4"/>
      <c r="F175" s="4">
        <f t="shared" si="20"/>
        <v>106.467</v>
      </c>
      <c r="G175" t="s">
        <v>346</v>
      </c>
    </row>
    <row r="176" spans="1:7">
      <c r="A176" s="8">
        <v>45100</v>
      </c>
      <c r="B176" s="8">
        <v>45082</v>
      </c>
      <c r="C176" s="4">
        <v>25.196000000000002</v>
      </c>
      <c r="D176" s="4"/>
      <c r="E176" s="4"/>
      <c r="F176" s="4">
        <f t="shared" ref="F176:F189" si="22">C176+D176+E176</f>
        <v>25.196000000000002</v>
      </c>
      <c r="G176" t="s">
        <v>346</v>
      </c>
    </row>
    <row r="177" spans="1:7">
      <c r="A177" s="8">
        <v>45100</v>
      </c>
      <c r="B177" s="8">
        <v>45083</v>
      </c>
      <c r="C177" s="4">
        <v>94.954999999999998</v>
      </c>
      <c r="D177" s="4"/>
      <c r="E177" s="4"/>
      <c r="F177" s="4">
        <f t="shared" si="22"/>
        <v>94.954999999999998</v>
      </c>
      <c r="G177" t="s">
        <v>346</v>
      </c>
    </row>
    <row r="178" spans="1:7">
      <c r="A178" s="8">
        <v>45100</v>
      </c>
      <c r="B178" s="8">
        <v>45085</v>
      </c>
      <c r="C178" s="4">
        <v>50.488999999999997</v>
      </c>
      <c r="D178" s="4"/>
      <c r="E178" s="4">
        <v>85.602999999999994</v>
      </c>
      <c r="F178" s="4">
        <f t="shared" si="22"/>
        <v>136.09199999999998</v>
      </c>
      <c r="G178" t="s">
        <v>346</v>
      </c>
    </row>
    <row r="179" spans="1:7">
      <c r="A179" s="8">
        <v>45100</v>
      </c>
      <c r="B179" s="8">
        <v>45086</v>
      </c>
      <c r="C179" s="4"/>
      <c r="D179" s="4"/>
      <c r="E179" s="4">
        <v>130.71</v>
      </c>
      <c r="F179" s="4">
        <f t="shared" si="22"/>
        <v>130.71</v>
      </c>
      <c r="G179" t="s">
        <v>346</v>
      </c>
    </row>
    <row r="180" spans="1:7">
      <c r="A180" s="8">
        <v>45100</v>
      </c>
      <c r="B180" s="8">
        <v>45087</v>
      </c>
      <c r="C180" s="4"/>
      <c r="D180" s="4"/>
      <c r="E180" s="4">
        <v>65.504999999999995</v>
      </c>
      <c r="F180" s="4">
        <f t="shared" si="22"/>
        <v>65.504999999999995</v>
      </c>
      <c r="G180" t="s">
        <v>346</v>
      </c>
    </row>
    <row r="181" spans="1:7">
      <c r="A181" s="8">
        <v>45100</v>
      </c>
      <c r="B181" s="8">
        <v>45088</v>
      </c>
      <c r="C181" s="4">
        <v>57.470999999999997</v>
      </c>
      <c r="D181" s="4"/>
      <c r="E181" s="4"/>
      <c r="F181" s="4">
        <f t="shared" si="22"/>
        <v>57.470999999999997</v>
      </c>
      <c r="G181" t="s">
        <v>346</v>
      </c>
    </row>
    <row r="182" spans="1:7">
      <c r="A182" s="8">
        <v>45100</v>
      </c>
      <c r="B182" s="8">
        <v>45089</v>
      </c>
      <c r="C182" s="4">
        <v>24.8</v>
      </c>
      <c r="D182" s="4"/>
      <c r="E182" s="4"/>
      <c r="F182" s="4">
        <f t="shared" si="22"/>
        <v>24.8</v>
      </c>
      <c r="G182" t="s">
        <v>346</v>
      </c>
    </row>
    <row r="183" spans="1:7">
      <c r="A183" s="8">
        <v>45100</v>
      </c>
      <c r="B183" s="8">
        <v>45090</v>
      </c>
      <c r="C183" s="4">
        <v>65.596000000000004</v>
      </c>
      <c r="D183" s="4"/>
      <c r="E183" s="4"/>
      <c r="F183" s="4">
        <f t="shared" si="22"/>
        <v>65.596000000000004</v>
      </c>
      <c r="G183" t="s">
        <v>346</v>
      </c>
    </row>
    <row r="184" spans="1:7">
      <c r="A184" s="8">
        <v>45100</v>
      </c>
      <c r="B184" s="8">
        <v>45091</v>
      </c>
      <c r="C184" s="4">
        <v>131.012</v>
      </c>
      <c r="D184" s="4"/>
      <c r="E184" s="4"/>
      <c r="F184" s="4">
        <f t="shared" si="22"/>
        <v>131.012</v>
      </c>
      <c r="G184" t="s">
        <v>346</v>
      </c>
    </row>
    <row r="185" spans="1:7">
      <c r="A185" s="8">
        <v>45100</v>
      </c>
      <c r="B185" s="8">
        <v>45092</v>
      </c>
      <c r="C185" s="4">
        <v>50.221999999999994</v>
      </c>
      <c r="D185" s="4"/>
      <c r="E185" s="4"/>
      <c r="F185" s="4">
        <f t="shared" si="22"/>
        <v>50.221999999999994</v>
      </c>
      <c r="G185" t="s">
        <v>346</v>
      </c>
    </row>
    <row r="186" spans="1:7">
      <c r="A186" s="8">
        <v>45100</v>
      </c>
      <c r="B186" s="8">
        <v>45093</v>
      </c>
      <c r="C186" s="4">
        <v>82.004999999999995</v>
      </c>
      <c r="D186" s="4"/>
      <c r="E186" s="4"/>
      <c r="F186" s="4">
        <f t="shared" si="22"/>
        <v>82.004999999999995</v>
      </c>
      <c r="G186" t="s">
        <v>346</v>
      </c>
    </row>
    <row r="187" spans="1:7">
      <c r="A187" s="8">
        <v>45100</v>
      </c>
      <c r="B187" s="8">
        <v>45094</v>
      </c>
      <c r="C187" s="4">
        <v>24.911999999999999</v>
      </c>
      <c r="D187" s="4"/>
      <c r="E187" s="4"/>
      <c r="F187" s="4">
        <f t="shared" si="22"/>
        <v>24.911999999999999</v>
      </c>
      <c r="G187" t="s">
        <v>346</v>
      </c>
    </row>
    <row r="188" spans="1:7">
      <c r="A188" s="8">
        <v>45100</v>
      </c>
      <c r="B188" s="8">
        <v>45096</v>
      </c>
      <c r="C188" s="4">
        <v>124.64700000000001</v>
      </c>
      <c r="D188" s="4"/>
      <c r="E188" s="4"/>
      <c r="F188" s="4">
        <f t="shared" si="22"/>
        <v>124.64700000000001</v>
      </c>
      <c r="G188" t="s">
        <v>346</v>
      </c>
    </row>
    <row r="189" spans="1:7">
      <c r="A189" s="8">
        <v>45100</v>
      </c>
      <c r="B189" s="8">
        <v>45097</v>
      </c>
      <c r="C189" s="4">
        <v>82.385000000000005</v>
      </c>
      <c r="D189" s="4"/>
      <c r="E189" s="4"/>
      <c r="F189" s="4">
        <f t="shared" si="22"/>
        <v>82.385000000000005</v>
      </c>
      <c r="G189" t="s">
        <v>346</v>
      </c>
    </row>
    <row r="190" spans="1:7">
      <c r="A190" s="8">
        <v>45100</v>
      </c>
      <c r="B190" s="8">
        <v>45099</v>
      </c>
      <c r="C190" s="4">
        <f>80.233-17.305</f>
        <v>62.928000000000004</v>
      </c>
      <c r="D190" s="4"/>
      <c r="E190" s="4">
        <v>17.305</v>
      </c>
      <c r="F190" s="4">
        <f>C190+D190+E190</f>
        <v>80.233000000000004</v>
      </c>
      <c r="G190" t="s">
        <v>346</v>
      </c>
    </row>
    <row r="191" spans="1:7">
      <c r="A191" s="8">
        <v>45100</v>
      </c>
      <c r="B191" s="8">
        <v>45100</v>
      </c>
      <c r="C191" s="4">
        <v>211.75100000000003</v>
      </c>
      <c r="D191" s="4"/>
      <c r="E191" s="4"/>
      <c r="F191" s="4">
        <f>C191+D191+E191</f>
        <v>211.75100000000003</v>
      </c>
      <c r="G191" t="s">
        <v>346</v>
      </c>
    </row>
    <row r="192" spans="1:7">
      <c r="A192" s="8">
        <v>45100</v>
      </c>
      <c r="B192" s="8">
        <v>45101</v>
      </c>
      <c r="C192" s="4">
        <v>188.381</v>
      </c>
      <c r="D192" s="4"/>
      <c r="E192" s="4"/>
      <c r="F192" s="4">
        <f>C192+D192+E192</f>
        <v>188.381</v>
      </c>
      <c r="G192" t="s">
        <v>346</v>
      </c>
    </row>
    <row r="193" spans="1:7">
      <c r="A193" s="8">
        <v>45100</v>
      </c>
      <c r="B193" s="8">
        <v>45102</v>
      </c>
      <c r="C193" s="4">
        <v>110.955</v>
      </c>
      <c r="D193" s="4"/>
      <c r="E193" s="4"/>
      <c r="F193" s="4">
        <f t="shared" ref="F193:F194" si="23">C193+D193+E193</f>
        <v>110.955</v>
      </c>
      <c r="G193" t="s">
        <v>346</v>
      </c>
    </row>
    <row r="194" spans="1:7">
      <c r="A194" s="8">
        <v>45100</v>
      </c>
      <c r="B194" s="8">
        <v>45103</v>
      </c>
      <c r="C194" s="4">
        <v>89.864000000000004</v>
      </c>
      <c r="D194" s="4"/>
      <c r="E194" s="4"/>
      <c r="F194" s="4">
        <f t="shared" si="23"/>
        <v>89.864000000000004</v>
      </c>
      <c r="G194" t="s">
        <v>346</v>
      </c>
    </row>
    <row r="195" spans="1:7">
      <c r="A195" s="8">
        <v>45100</v>
      </c>
      <c r="B195" s="8">
        <v>45104</v>
      </c>
      <c r="C195" s="4">
        <v>89.132000000000005</v>
      </c>
      <c r="D195" s="4"/>
      <c r="E195" s="4"/>
      <c r="F195" s="4">
        <f>C195+D195+E195</f>
        <v>89.132000000000005</v>
      </c>
      <c r="G195" t="s">
        <v>346</v>
      </c>
    </row>
    <row r="196" spans="1:7">
      <c r="A196" s="8">
        <v>45100</v>
      </c>
      <c r="B196" s="8">
        <v>45105</v>
      </c>
      <c r="C196" s="4">
        <v>114.358</v>
      </c>
      <c r="D196" s="4"/>
      <c r="E196" s="4"/>
      <c r="F196" s="4">
        <f>C196+D196+E196</f>
        <v>114.358</v>
      </c>
      <c r="G196" t="s">
        <v>346</v>
      </c>
    </row>
    <row r="197" spans="1:7">
      <c r="A197" s="8">
        <v>45100</v>
      </c>
      <c r="B197" s="8">
        <v>45106</v>
      </c>
      <c r="C197" s="4">
        <v>96.643000000000001</v>
      </c>
      <c r="D197" s="4"/>
      <c r="E197" s="4"/>
      <c r="F197" s="4">
        <f>C197+D197+E197</f>
        <v>96.643000000000001</v>
      </c>
      <c r="G197" t="s">
        <v>346</v>
      </c>
    </row>
    <row r="198" spans="1:7">
      <c r="A198" s="8">
        <v>45100</v>
      </c>
      <c r="B198" s="8">
        <v>45107</v>
      </c>
      <c r="C198" s="4">
        <v>144.577</v>
      </c>
      <c r="D198" s="4"/>
      <c r="E198" s="4"/>
      <c r="F198" s="4">
        <f>C198+D198+E198</f>
        <v>144.577</v>
      </c>
      <c r="G198" t="s">
        <v>346</v>
      </c>
    </row>
    <row r="199" spans="1:7">
      <c r="A199" s="8"/>
      <c r="B199" s="8"/>
      <c r="C199" s="4">
        <f>SUM(C172:C198)</f>
        <v>2247.6390000000001</v>
      </c>
      <c r="D199" s="4">
        <f t="shared" ref="D199" si="24">SUM(D172:D198)</f>
        <v>0</v>
      </c>
      <c r="E199" s="4">
        <f>SUM(E172:E198)</f>
        <v>299.12299999999999</v>
      </c>
      <c r="F199" s="4">
        <f>SUM(F172:F198)</f>
        <v>2546.7619999999997</v>
      </c>
    </row>
    <row r="200" spans="1:7">
      <c r="A200" s="8">
        <v>45130</v>
      </c>
      <c r="B200" s="8">
        <v>45108</v>
      </c>
      <c r="C200" s="4">
        <v>88.853999999999999</v>
      </c>
      <c r="D200" s="4"/>
      <c r="E200" s="4">
        <v>32.787999999999997</v>
      </c>
      <c r="F200" s="4">
        <f t="shared" ref="F200:F210" si="25">C200+D200+E200</f>
        <v>121.642</v>
      </c>
      <c r="G200" t="s">
        <v>346</v>
      </c>
    </row>
    <row r="201" spans="1:7">
      <c r="A201" s="8">
        <v>45130</v>
      </c>
      <c r="B201" s="8">
        <v>45109</v>
      </c>
      <c r="C201" s="4">
        <f>25.25+63.608</f>
        <v>88.858000000000004</v>
      </c>
      <c r="D201" s="4"/>
      <c r="E201" s="4">
        <v>65.138999999999996</v>
      </c>
      <c r="F201" s="4">
        <f t="shared" si="25"/>
        <v>153.99700000000001</v>
      </c>
      <c r="G201" t="s">
        <v>346</v>
      </c>
    </row>
    <row r="202" spans="1:7">
      <c r="A202" s="8">
        <v>45130</v>
      </c>
      <c r="B202" s="8">
        <v>45110</v>
      </c>
      <c r="C202" s="4">
        <v>114.825</v>
      </c>
      <c r="D202" s="4"/>
      <c r="E202" s="4">
        <f>28.397+4.163</f>
        <v>32.56</v>
      </c>
      <c r="F202" s="4">
        <f t="shared" si="25"/>
        <v>147.38499999999999</v>
      </c>
      <c r="G202" t="s">
        <v>346</v>
      </c>
    </row>
    <row r="203" spans="1:7">
      <c r="A203" s="8">
        <v>45130</v>
      </c>
      <c r="B203" s="8">
        <v>45111</v>
      </c>
      <c r="C203" s="4">
        <v>81.581000000000003</v>
      </c>
      <c r="D203" s="4"/>
      <c r="E203" s="4"/>
      <c r="F203" s="4">
        <f t="shared" si="25"/>
        <v>81.581000000000003</v>
      </c>
      <c r="G203" t="s">
        <v>346</v>
      </c>
    </row>
    <row r="204" spans="1:7">
      <c r="A204" s="8">
        <v>45130</v>
      </c>
      <c r="B204" s="8">
        <v>45112</v>
      </c>
      <c r="C204" s="4"/>
      <c r="D204" s="4"/>
      <c r="E204" s="4">
        <v>32.101999999999997</v>
      </c>
      <c r="F204" s="4">
        <f t="shared" si="25"/>
        <v>32.101999999999997</v>
      </c>
      <c r="G204" t="s">
        <v>346</v>
      </c>
    </row>
    <row r="205" spans="1:7">
      <c r="A205" s="8">
        <v>45130</v>
      </c>
      <c r="B205" s="8">
        <v>45113</v>
      </c>
      <c r="C205" s="4">
        <v>105.98399999999999</v>
      </c>
      <c r="D205" s="4"/>
      <c r="E205" s="4">
        <v>19.672000000000001</v>
      </c>
      <c r="F205" s="4">
        <f t="shared" si="25"/>
        <v>125.65599999999999</v>
      </c>
      <c r="G205" t="s">
        <v>346</v>
      </c>
    </row>
    <row r="206" spans="1:7">
      <c r="A206" s="8">
        <v>45130</v>
      </c>
      <c r="B206" s="8">
        <v>45114</v>
      </c>
      <c r="C206" s="4">
        <v>81.384</v>
      </c>
      <c r="D206" s="4"/>
      <c r="E206" s="4"/>
      <c r="F206" s="4">
        <f t="shared" si="25"/>
        <v>81.384</v>
      </c>
      <c r="G206" t="s">
        <v>346</v>
      </c>
    </row>
    <row r="207" spans="1:7">
      <c r="A207" s="8">
        <v>45130</v>
      </c>
      <c r="B207" s="8">
        <v>45115</v>
      </c>
      <c r="C207" s="4">
        <v>57.578000000000003</v>
      </c>
      <c r="D207" s="4"/>
      <c r="E207" s="4"/>
      <c r="F207" s="4">
        <f t="shared" si="25"/>
        <v>57.578000000000003</v>
      </c>
      <c r="G207" t="s">
        <v>346</v>
      </c>
    </row>
    <row r="208" spans="1:7">
      <c r="A208" s="8">
        <v>45130</v>
      </c>
      <c r="B208" s="8">
        <v>45116</v>
      </c>
      <c r="C208" s="4">
        <v>30.725000000000001</v>
      </c>
      <c r="D208" s="4"/>
      <c r="E208" s="4"/>
      <c r="F208" s="4">
        <f t="shared" si="25"/>
        <v>30.725000000000001</v>
      </c>
      <c r="G208" t="s">
        <v>346</v>
      </c>
    </row>
    <row r="209" spans="1:7">
      <c r="A209" s="8">
        <v>45130</v>
      </c>
      <c r="B209" s="8">
        <v>45117</v>
      </c>
      <c r="C209" s="4">
        <v>113.935</v>
      </c>
      <c r="D209" s="4"/>
      <c r="E209" s="4">
        <v>11.253</v>
      </c>
      <c r="F209" s="4">
        <f t="shared" si="25"/>
        <v>125.188</v>
      </c>
      <c r="G209" t="s">
        <v>346</v>
      </c>
    </row>
    <row r="210" spans="1:7">
      <c r="A210" s="8">
        <v>45130</v>
      </c>
      <c r="B210" s="8">
        <v>45118</v>
      </c>
      <c r="C210" s="4">
        <v>90.355000000000004</v>
      </c>
      <c r="D210" s="4"/>
      <c r="E210" s="4">
        <v>30.971</v>
      </c>
      <c r="F210" s="4">
        <f t="shared" si="25"/>
        <v>121.32600000000001</v>
      </c>
      <c r="G210" t="s">
        <v>346</v>
      </c>
    </row>
    <row r="211" spans="1:7">
      <c r="A211" s="8">
        <v>45130</v>
      </c>
      <c r="B211" s="8">
        <v>45119</v>
      </c>
      <c r="C211" s="4">
        <v>64.126000000000005</v>
      </c>
      <c r="D211" s="4"/>
      <c r="E211" s="4"/>
      <c r="F211" s="4">
        <f t="shared" ref="F211:F229" si="26">C211+D211+E211</f>
        <v>64.126000000000005</v>
      </c>
      <c r="G211" t="s">
        <v>346</v>
      </c>
    </row>
    <row r="212" spans="1:7">
      <c r="A212" s="8">
        <v>45130</v>
      </c>
      <c r="B212" s="8">
        <v>45120</v>
      </c>
      <c r="C212" s="4">
        <v>87.02</v>
      </c>
      <c r="D212" s="4"/>
      <c r="E212" s="4">
        <v>32.26</v>
      </c>
      <c r="F212" s="4">
        <f t="shared" si="26"/>
        <v>119.28</v>
      </c>
      <c r="G212" t="s">
        <v>346</v>
      </c>
    </row>
    <row r="213" spans="1:7">
      <c r="A213" s="8">
        <v>45130</v>
      </c>
      <c r="B213" s="8">
        <v>45121</v>
      </c>
      <c r="C213" s="4">
        <v>63.552</v>
      </c>
      <c r="D213" s="4"/>
      <c r="E213" s="4"/>
      <c r="F213" s="4">
        <f t="shared" si="26"/>
        <v>63.552</v>
      </c>
      <c r="G213" t="s">
        <v>346</v>
      </c>
    </row>
    <row r="214" spans="1:7">
      <c r="A214" s="8">
        <v>45130</v>
      </c>
      <c r="B214" s="8">
        <v>45122</v>
      </c>
      <c r="C214" s="4">
        <v>88.108000000000004</v>
      </c>
      <c r="D214" s="4"/>
      <c r="E214" s="4">
        <v>13.836</v>
      </c>
      <c r="F214" s="4">
        <f t="shared" si="26"/>
        <v>101.944</v>
      </c>
      <c r="G214" t="s">
        <v>346</v>
      </c>
    </row>
    <row r="215" spans="1:7">
      <c r="A215" s="8">
        <v>45130</v>
      </c>
      <c r="B215" s="8">
        <v>45123</v>
      </c>
      <c r="C215" s="4">
        <v>88.555000000000007</v>
      </c>
      <c r="D215" s="4"/>
      <c r="E215" s="4"/>
      <c r="F215" s="4">
        <f t="shared" si="26"/>
        <v>88.555000000000007</v>
      </c>
      <c r="G215" t="s">
        <v>346</v>
      </c>
    </row>
    <row r="216" spans="1:7">
      <c r="A216" s="8">
        <v>45130</v>
      </c>
      <c r="B216" s="8">
        <v>45124</v>
      </c>
      <c r="C216" s="4">
        <v>63.988999999999997</v>
      </c>
      <c r="D216" s="4"/>
      <c r="E216" s="4"/>
      <c r="F216" s="4">
        <f t="shared" si="26"/>
        <v>63.988999999999997</v>
      </c>
      <c r="G216" t="s">
        <v>346</v>
      </c>
    </row>
    <row r="217" spans="1:7">
      <c r="A217" s="8">
        <v>45130</v>
      </c>
      <c r="B217" s="8">
        <v>45125</v>
      </c>
      <c r="C217" s="4">
        <v>52.713000000000001</v>
      </c>
      <c r="D217" s="4"/>
      <c r="E217" s="4"/>
      <c r="F217" s="4">
        <f t="shared" si="26"/>
        <v>52.713000000000001</v>
      </c>
      <c r="G217" t="s">
        <v>346</v>
      </c>
    </row>
    <row r="218" spans="1:7">
      <c r="A218" s="8">
        <v>45130</v>
      </c>
      <c r="B218" s="8">
        <v>45127</v>
      </c>
      <c r="C218" s="4">
        <v>32.444000000000003</v>
      </c>
      <c r="D218" s="4"/>
      <c r="E218" s="4"/>
      <c r="F218" s="4">
        <f t="shared" si="26"/>
        <v>32.444000000000003</v>
      </c>
      <c r="G218" t="s">
        <v>346</v>
      </c>
    </row>
    <row r="219" spans="1:7">
      <c r="A219" s="8">
        <v>45130</v>
      </c>
      <c r="B219" s="8">
        <v>45128</v>
      </c>
      <c r="C219" s="4">
        <v>89.3</v>
      </c>
      <c r="D219" s="4"/>
      <c r="E219" s="4">
        <v>31.341999999999999</v>
      </c>
      <c r="F219" s="4">
        <f t="shared" si="26"/>
        <v>120.642</v>
      </c>
      <c r="G219" t="s">
        <v>346</v>
      </c>
    </row>
    <row r="220" spans="1:7">
      <c r="A220" s="8">
        <v>45130</v>
      </c>
      <c r="B220" s="8">
        <v>45129</v>
      </c>
      <c r="C220" s="4">
        <v>56.430999999999997</v>
      </c>
      <c r="D220" s="4"/>
      <c r="E220" s="4">
        <v>32.710999999999999</v>
      </c>
      <c r="F220" s="4">
        <f t="shared" si="26"/>
        <v>89.141999999999996</v>
      </c>
      <c r="G220" t="s">
        <v>346</v>
      </c>
    </row>
    <row r="221" spans="1:7">
      <c r="A221" s="8">
        <v>45130</v>
      </c>
      <c r="B221" s="8">
        <v>45130</v>
      </c>
      <c r="C221" s="4">
        <v>65.953999999999994</v>
      </c>
      <c r="D221" s="4"/>
      <c r="E221" s="4"/>
      <c r="F221" s="4">
        <f t="shared" si="26"/>
        <v>65.953999999999994</v>
      </c>
      <c r="G221" t="s">
        <v>346</v>
      </c>
    </row>
    <row r="222" spans="1:7">
      <c r="A222" s="8">
        <v>45130</v>
      </c>
      <c r="B222" s="8">
        <v>45131</v>
      </c>
      <c r="C222" s="4">
        <v>64.513999999999996</v>
      </c>
      <c r="D222" s="4"/>
      <c r="E222" s="4">
        <v>32.429000000000002</v>
      </c>
      <c r="F222" s="4">
        <f t="shared" si="26"/>
        <v>96.942999999999998</v>
      </c>
      <c r="G222" t="s">
        <v>346</v>
      </c>
    </row>
    <row r="223" spans="1:7">
      <c r="A223" s="8">
        <v>45130</v>
      </c>
      <c r="B223" s="8">
        <v>45132</v>
      </c>
      <c r="C223" s="4">
        <v>137.68700000000001</v>
      </c>
      <c r="D223" s="4"/>
      <c r="E223" s="4">
        <v>31.925000000000001</v>
      </c>
      <c r="F223" s="4">
        <f t="shared" si="26"/>
        <v>169.61200000000002</v>
      </c>
      <c r="G223" t="s">
        <v>346</v>
      </c>
    </row>
    <row r="224" spans="1:7">
      <c r="A224" s="8">
        <v>45130</v>
      </c>
      <c r="B224" s="8">
        <v>45133</v>
      </c>
      <c r="C224" s="4">
        <v>32.353000000000002</v>
      </c>
      <c r="D224" s="4"/>
      <c r="E224" s="4"/>
      <c r="F224" s="4">
        <f t="shared" si="26"/>
        <v>32.353000000000002</v>
      </c>
      <c r="G224" t="s">
        <v>346</v>
      </c>
    </row>
    <row r="225" spans="1:7">
      <c r="A225" s="8">
        <v>45130</v>
      </c>
      <c r="B225" s="8">
        <v>45134</v>
      </c>
      <c r="C225" s="4">
        <v>31.460999999999999</v>
      </c>
      <c r="D225" s="4"/>
      <c r="E225" s="4"/>
      <c r="F225" s="4">
        <f t="shared" si="26"/>
        <v>31.460999999999999</v>
      </c>
      <c r="G225" t="s">
        <v>346</v>
      </c>
    </row>
    <row r="226" spans="1:7">
      <c r="A226" s="8">
        <v>45130</v>
      </c>
      <c r="B226" s="8">
        <v>45135</v>
      </c>
      <c r="C226" s="4">
        <v>32.220999999999997</v>
      </c>
      <c r="D226" s="4"/>
      <c r="E226" s="4"/>
      <c r="F226" s="4">
        <f t="shared" si="26"/>
        <v>32.220999999999997</v>
      </c>
      <c r="G226" t="s">
        <v>346</v>
      </c>
    </row>
    <row r="227" spans="1:7">
      <c r="A227" s="8">
        <v>45130</v>
      </c>
      <c r="B227" s="8">
        <v>45136</v>
      </c>
      <c r="C227" s="4">
        <v>87.623999999999995</v>
      </c>
      <c r="D227" s="4"/>
      <c r="E227" s="4">
        <v>12.656000000000001</v>
      </c>
      <c r="F227" s="4">
        <f t="shared" si="26"/>
        <v>100.28</v>
      </c>
      <c r="G227" t="s">
        <v>346</v>
      </c>
    </row>
    <row r="228" spans="1:7">
      <c r="A228" s="8">
        <v>45130</v>
      </c>
      <c r="B228" s="8">
        <v>45137</v>
      </c>
      <c r="C228" s="4">
        <v>94.048000000000002</v>
      </c>
      <c r="D228" s="4"/>
      <c r="E228" s="4"/>
      <c r="F228" s="4">
        <f t="shared" si="26"/>
        <v>94.048000000000002</v>
      </c>
      <c r="G228" t="s">
        <v>346</v>
      </c>
    </row>
    <row r="229" spans="1:7">
      <c r="A229" s="8">
        <v>45130</v>
      </c>
      <c r="B229" s="8">
        <v>45138</v>
      </c>
      <c r="C229" s="4">
        <v>63.914999999999999</v>
      </c>
      <c r="D229" s="4"/>
      <c r="E229" s="4"/>
      <c r="F229" s="4">
        <f t="shared" si="26"/>
        <v>63.914999999999999</v>
      </c>
      <c r="G229" t="s">
        <v>346</v>
      </c>
    </row>
    <row r="230" spans="1:7">
      <c r="A230" s="8"/>
      <c r="B230" s="8"/>
      <c r="C230" s="4">
        <f>SUM(C200:C229)</f>
        <v>2150.0940000000001</v>
      </c>
      <c r="D230" s="4">
        <f t="shared" ref="D230:E230" si="27">SUM(D200:D229)</f>
        <v>0</v>
      </c>
      <c r="E230" s="4">
        <f t="shared" si="27"/>
        <v>411.64400000000001</v>
      </c>
      <c r="F230" s="4">
        <f>SUM(F200:F229)</f>
        <v>2561.7379999999994</v>
      </c>
    </row>
    <row r="231" spans="1:7">
      <c r="A231" s="8">
        <v>45161</v>
      </c>
      <c r="B231" s="8">
        <v>45139</v>
      </c>
      <c r="C231" s="4">
        <v>145.86699999999999</v>
      </c>
      <c r="D231" s="4"/>
      <c r="E231" s="4"/>
      <c r="F231" s="4">
        <f t="shared" ref="F231:F249" si="28">C231+D231+E231</f>
        <v>145.86699999999999</v>
      </c>
      <c r="G231" t="s">
        <v>346</v>
      </c>
    </row>
    <row r="232" spans="1:7">
      <c r="A232" s="8">
        <v>45161</v>
      </c>
      <c r="B232" s="8">
        <v>45141</v>
      </c>
      <c r="C232" s="4">
        <v>121.176</v>
      </c>
      <c r="D232" s="4"/>
      <c r="E232" s="4"/>
      <c r="F232" s="4">
        <f t="shared" si="28"/>
        <v>121.176</v>
      </c>
      <c r="G232" t="s">
        <v>346</v>
      </c>
    </row>
    <row r="233" spans="1:7">
      <c r="A233" s="8">
        <v>45161</v>
      </c>
      <c r="B233" s="8">
        <v>45142</v>
      </c>
      <c r="C233" s="4">
        <v>113.96299999999999</v>
      </c>
      <c r="D233" s="4"/>
      <c r="E233" s="4"/>
      <c r="F233" s="4">
        <f t="shared" si="28"/>
        <v>113.96299999999999</v>
      </c>
      <c r="G233" t="s">
        <v>346</v>
      </c>
    </row>
    <row r="234" spans="1:7">
      <c r="A234" s="8">
        <v>45161</v>
      </c>
      <c r="B234" s="8">
        <v>45143</v>
      </c>
      <c r="C234" s="4">
        <v>145.667</v>
      </c>
      <c r="D234" s="4"/>
      <c r="E234" s="4">
        <v>22.11</v>
      </c>
      <c r="F234" s="4">
        <f t="shared" si="28"/>
        <v>167.77699999999999</v>
      </c>
      <c r="G234" t="s">
        <v>346</v>
      </c>
    </row>
    <row r="235" spans="1:7">
      <c r="A235" s="8">
        <v>45161</v>
      </c>
      <c r="B235" s="8">
        <v>45144</v>
      </c>
      <c r="C235" s="4">
        <v>114.77500000000001</v>
      </c>
      <c r="D235" s="4"/>
      <c r="E235" s="4">
        <v>32.963999999999999</v>
      </c>
      <c r="F235" s="4">
        <f t="shared" si="28"/>
        <v>147.739</v>
      </c>
      <c r="G235" t="s">
        <v>346</v>
      </c>
    </row>
    <row r="236" spans="1:7">
      <c r="A236" s="8">
        <v>45161</v>
      </c>
      <c r="B236" s="8">
        <v>45145</v>
      </c>
      <c r="C236" s="4">
        <v>146.286</v>
      </c>
      <c r="D236" s="4"/>
      <c r="E236" s="4">
        <v>11.625999999999999</v>
      </c>
      <c r="F236" s="4">
        <f t="shared" si="28"/>
        <v>157.91200000000001</v>
      </c>
      <c r="G236" t="s">
        <v>346</v>
      </c>
    </row>
    <row r="237" spans="1:7">
      <c r="A237" s="8">
        <v>45161</v>
      </c>
      <c r="B237" s="8">
        <v>45146</v>
      </c>
      <c r="C237" s="4">
        <f>25.28+25.077+31.839+32.993+33.097</f>
        <v>148.286</v>
      </c>
      <c r="D237" s="4"/>
      <c r="E237" s="4"/>
      <c r="F237" s="4">
        <f t="shared" ref="F237:F242" si="29">C237+D237+E237</f>
        <v>148.286</v>
      </c>
      <c r="G237" t="s">
        <v>346</v>
      </c>
    </row>
    <row r="238" spans="1:7">
      <c r="A238" s="8">
        <v>45161</v>
      </c>
      <c r="B238" s="8">
        <v>45147</v>
      </c>
      <c r="C238" s="4">
        <f>25.494+25.281+30.645+32.328</f>
        <v>113.748</v>
      </c>
      <c r="D238" s="4"/>
      <c r="E238" s="4">
        <v>12.973000000000001</v>
      </c>
      <c r="F238" s="4">
        <f t="shared" si="29"/>
        <v>126.721</v>
      </c>
      <c r="G238" t="s">
        <v>346</v>
      </c>
    </row>
    <row r="239" spans="1:7">
      <c r="A239" s="8">
        <v>45161</v>
      </c>
      <c r="B239" s="8">
        <v>45148</v>
      </c>
      <c r="C239" s="4">
        <f>31.928+25.128+25.345</f>
        <v>82.400999999999996</v>
      </c>
      <c r="D239" s="4"/>
      <c r="E239" s="4">
        <f>33.02+32.777</f>
        <v>65.796999999999997</v>
      </c>
      <c r="F239" s="4">
        <f t="shared" si="29"/>
        <v>148.19799999999998</v>
      </c>
      <c r="G239" t="s">
        <v>346</v>
      </c>
    </row>
    <row r="240" spans="1:7">
      <c r="A240" s="8">
        <v>45161</v>
      </c>
      <c r="B240" s="8">
        <v>45149</v>
      </c>
      <c r="C240" s="4">
        <f>31.987+24.417+32.37+31.621+24.538</f>
        <v>144.93299999999999</v>
      </c>
      <c r="D240" s="4"/>
      <c r="E240" s="4"/>
      <c r="F240" s="4">
        <f t="shared" si="29"/>
        <v>144.93299999999999</v>
      </c>
      <c r="G240" t="s">
        <v>346</v>
      </c>
    </row>
    <row r="241" spans="1:7">
      <c r="A241" s="8">
        <v>45161</v>
      </c>
      <c r="B241" s="8">
        <v>45150</v>
      </c>
      <c r="C241" s="4">
        <f>33.252+32.376+32.361+32.166</f>
        <v>130.155</v>
      </c>
      <c r="D241" s="4"/>
      <c r="E241" s="4"/>
      <c r="F241" s="4">
        <f t="shared" si="29"/>
        <v>130.155</v>
      </c>
      <c r="G241" t="s">
        <v>346</v>
      </c>
    </row>
    <row r="242" spans="1:7">
      <c r="A242" s="8">
        <v>45161</v>
      </c>
      <c r="B242" s="8">
        <v>45151</v>
      </c>
      <c r="C242" s="4">
        <f>32.472+32.404+32.686</f>
        <v>97.562000000000012</v>
      </c>
      <c r="D242" s="4"/>
      <c r="E242" s="4"/>
      <c r="F242" s="4">
        <f t="shared" si="29"/>
        <v>97.562000000000012</v>
      </c>
      <c r="G242" t="s">
        <v>346</v>
      </c>
    </row>
    <row r="243" spans="1:7">
      <c r="A243" s="8">
        <v>45161</v>
      </c>
      <c r="B243" s="8">
        <v>45152</v>
      </c>
      <c r="C243" s="4">
        <f>31.588+31.989</f>
        <v>63.576999999999998</v>
      </c>
      <c r="D243" s="4"/>
      <c r="E243" s="4"/>
      <c r="F243" s="4">
        <f t="shared" ref="F243:F244" si="30">C243+D243+E243</f>
        <v>63.576999999999998</v>
      </c>
      <c r="G243" t="s">
        <v>346</v>
      </c>
    </row>
    <row r="244" spans="1:7">
      <c r="A244" s="8">
        <v>45161</v>
      </c>
      <c r="B244" s="8">
        <v>45154</v>
      </c>
      <c r="C244" s="4">
        <f>32.334+32.956</f>
        <v>65.290000000000006</v>
      </c>
      <c r="D244" s="4"/>
      <c r="E244" s="4"/>
      <c r="F244" s="4">
        <f t="shared" si="30"/>
        <v>65.290000000000006</v>
      </c>
      <c r="G244" t="s">
        <v>346</v>
      </c>
    </row>
    <row r="245" spans="1:7">
      <c r="A245" s="8">
        <v>45161</v>
      </c>
      <c r="B245" s="8">
        <v>45155</v>
      </c>
      <c r="C245" s="4">
        <v>96.884</v>
      </c>
      <c r="D245" s="4"/>
      <c r="E245" s="4">
        <v>27.568000000000001</v>
      </c>
      <c r="F245" s="4">
        <f t="shared" si="28"/>
        <v>124.452</v>
      </c>
      <c r="G245" t="s">
        <v>346</v>
      </c>
    </row>
    <row r="246" spans="1:7">
      <c r="A246" s="8">
        <v>45161</v>
      </c>
      <c r="B246" s="8">
        <v>45156</v>
      </c>
      <c r="C246" s="4">
        <v>158.93299999999999</v>
      </c>
      <c r="D246" s="4"/>
      <c r="E246" s="4"/>
      <c r="F246" s="4">
        <f t="shared" si="28"/>
        <v>158.93299999999999</v>
      </c>
      <c r="G246" t="s">
        <v>346</v>
      </c>
    </row>
    <row r="247" spans="1:7">
      <c r="A247" s="8">
        <v>45161</v>
      </c>
      <c r="B247" s="8">
        <v>45157</v>
      </c>
      <c r="C247" s="4">
        <v>96.028000000000006</v>
      </c>
      <c r="D247" s="4"/>
      <c r="E247" s="4"/>
      <c r="F247" s="4">
        <f t="shared" si="28"/>
        <v>96.028000000000006</v>
      </c>
      <c r="G247" t="s">
        <v>346</v>
      </c>
    </row>
    <row r="248" spans="1:7">
      <c r="A248" s="8">
        <v>45161</v>
      </c>
      <c r="B248" s="8">
        <v>45158</v>
      </c>
      <c r="C248" s="4">
        <v>65.509</v>
      </c>
      <c r="D248" s="4"/>
      <c r="E248" s="4">
        <v>38.99</v>
      </c>
      <c r="F248" s="4">
        <f t="shared" si="28"/>
        <v>104.499</v>
      </c>
      <c r="G248" t="s">
        <v>346</v>
      </c>
    </row>
    <row r="249" spans="1:7">
      <c r="A249" s="8">
        <v>45161</v>
      </c>
      <c r="B249" s="8">
        <v>45159</v>
      </c>
      <c r="C249" s="4">
        <v>63.317999999999998</v>
      </c>
      <c r="D249" s="4"/>
      <c r="E249" s="4"/>
      <c r="F249" s="4">
        <f t="shared" si="28"/>
        <v>63.317999999999998</v>
      </c>
      <c r="G249" t="s">
        <v>346</v>
      </c>
    </row>
    <row r="250" spans="1:7">
      <c r="A250" s="8">
        <v>45161</v>
      </c>
      <c r="B250" s="8">
        <v>45160</v>
      </c>
      <c r="C250" s="4">
        <v>97.738</v>
      </c>
      <c r="D250" s="4"/>
      <c r="E250" s="4">
        <v>94.385000000000005</v>
      </c>
      <c r="F250" s="4">
        <f t="shared" ref="F250:F254" si="31">C250+D250+E250</f>
        <v>192.12299999999999</v>
      </c>
      <c r="G250" t="s">
        <v>346</v>
      </c>
    </row>
    <row r="251" spans="1:7">
      <c r="A251" s="8">
        <v>45161</v>
      </c>
      <c r="B251" s="8">
        <v>45161</v>
      </c>
      <c r="C251" s="4">
        <v>98.332999999999998</v>
      </c>
      <c r="D251" s="4"/>
      <c r="E251" s="4">
        <v>131.84100000000001</v>
      </c>
      <c r="F251" s="4">
        <f t="shared" si="31"/>
        <v>230.17400000000001</v>
      </c>
      <c r="G251" t="s">
        <v>346</v>
      </c>
    </row>
    <row r="252" spans="1:7">
      <c r="A252" s="8">
        <v>45161</v>
      </c>
      <c r="B252" s="8">
        <v>45162</v>
      </c>
      <c r="C252" s="4">
        <v>151.774</v>
      </c>
      <c r="D252" s="4">
        <v>3.6219999999999999</v>
      </c>
      <c r="E252" s="4">
        <v>65.774000000000001</v>
      </c>
      <c r="F252" s="4">
        <f t="shared" si="31"/>
        <v>221.17000000000002</v>
      </c>
      <c r="G252" t="s">
        <v>346</v>
      </c>
    </row>
    <row r="253" spans="1:7">
      <c r="A253" s="8">
        <v>45161</v>
      </c>
      <c r="B253" s="8">
        <v>45163</v>
      </c>
      <c r="C253" s="4">
        <v>129.804</v>
      </c>
      <c r="D253" s="4"/>
      <c r="E253" s="4"/>
      <c r="F253" s="4">
        <f t="shared" si="31"/>
        <v>129.804</v>
      </c>
      <c r="G253" t="s">
        <v>346</v>
      </c>
    </row>
    <row r="254" spans="1:7">
      <c r="A254" s="8">
        <v>45161</v>
      </c>
      <c r="B254" s="8">
        <v>45164</v>
      </c>
      <c r="C254" s="4">
        <v>125.215</v>
      </c>
      <c r="D254" s="4"/>
      <c r="E254" s="4">
        <v>32.381999999999998</v>
      </c>
      <c r="F254" s="4">
        <f t="shared" si="31"/>
        <v>157.59700000000001</v>
      </c>
      <c r="G254" t="s">
        <v>346</v>
      </c>
    </row>
    <row r="255" spans="1:7">
      <c r="A255" s="8">
        <v>45161</v>
      </c>
      <c r="B255" s="8">
        <v>45165</v>
      </c>
      <c r="C255" s="4">
        <v>93.644999999999996</v>
      </c>
      <c r="D255" s="4"/>
      <c r="E255" s="4"/>
      <c r="F255" s="4">
        <f>C255+D255+E255</f>
        <v>93.644999999999996</v>
      </c>
      <c r="G255" t="s">
        <v>346</v>
      </c>
    </row>
    <row r="256" spans="1:7">
      <c r="A256" s="8">
        <v>45161</v>
      </c>
      <c r="B256" s="8">
        <v>45166</v>
      </c>
      <c r="C256" s="4">
        <v>96.587000000000003</v>
      </c>
      <c r="D256" s="4"/>
      <c r="E256" s="4">
        <v>39.747999999999998</v>
      </c>
      <c r="F256" s="4">
        <f>C256+D256+E256</f>
        <v>136.33500000000001</v>
      </c>
      <c r="G256" t="s">
        <v>346</v>
      </c>
    </row>
    <row r="257" spans="1:7">
      <c r="A257" s="8">
        <v>45161</v>
      </c>
      <c r="B257" s="8">
        <v>45167</v>
      </c>
      <c r="C257" s="4">
        <v>130.09399999999999</v>
      </c>
      <c r="D257" s="4"/>
      <c r="E257" s="4"/>
      <c r="F257" s="4">
        <f>C257+D257+E257</f>
        <v>130.09399999999999</v>
      </c>
      <c r="G257" t="s">
        <v>346</v>
      </c>
    </row>
    <row r="258" spans="1:7">
      <c r="A258" s="8">
        <v>45161</v>
      </c>
      <c r="B258" s="8">
        <v>45168</v>
      </c>
      <c r="C258" s="4">
        <v>63.32</v>
      </c>
      <c r="D258" s="4"/>
      <c r="E258" s="4"/>
      <c r="F258" s="4">
        <f>C258+D258+E258</f>
        <v>63.32</v>
      </c>
      <c r="G258" t="s">
        <v>346</v>
      </c>
    </row>
    <row r="259" spans="1:7">
      <c r="A259" s="8">
        <v>45161</v>
      </c>
      <c r="B259" s="8">
        <v>45169</v>
      </c>
      <c r="C259" s="4">
        <v>61.752000000000002</v>
      </c>
      <c r="D259" s="4"/>
      <c r="E259" s="4">
        <v>25.423999999999999</v>
      </c>
      <c r="F259" s="4">
        <f>C259+D259+E259</f>
        <v>87.176000000000002</v>
      </c>
      <c r="G259" t="s">
        <v>346</v>
      </c>
    </row>
    <row r="260" spans="1:7">
      <c r="A260" s="8"/>
      <c r="B260" s="8"/>
      <c r="C260" s="4">
        <f>SUM(C231:C259)</f>
        <v>3162.6200000000003</v>
      </c>
      <c r="D260" s="4">
        <f t="shared" ref="D260" si="32">SUM(D231:D259)</f>
        <v>3.6219999999999999</v>
      </c>
      <c r="E260" s="4">
        <f>SUM(E231:E259)</f>
        <v>601.58199999999999</v>
      </c>
      <c r="F260" s="4">
        <f>SUM(F231:F259)</f>
        <v>3767.8240000000005</v>
      </c>
    </row>
    <row r="261" spans="1:7">
      <c r="A261" s="8">
        <v>45192</v>
      </c>
      <c r="B261" s="8">
        <v>45170</v>
      </c>
      <c r="C261" s="4">
        <v>59.485999999999997</v>
      </c>
      <c r="D261" s="4"/>
      <c r="E261" s="4"/>
      <c r="F261" s="4">
        <f t="shared" ref="F261:F270" si="33">C261+D261+E261</f>
        <v>59.485999999999997</v>
      </c>
      <c r="G261" t="s">
        <v>346</v>
      </c>
    </row>
    <row r="262" spans="1:7">
      <c r="A262" s="8">
        <v>45192</v>
      </c>
      <c r="B262" s="8">
        <v>45171</v>
      </c>
      <c r="C262" s="4">
        <v>74.117999999999995</v>
      </c>
      <c r="D262" s="4"/>
      <c r="E262" s="4"/>
      <c r="F262" s="4">
        <f t="shared" si="33"/>
        <v>74.117999999999995</v>
      </c>
      <c r="G262" t="s">
        <v>346</v>
      </c>
    </row>
    <row r="263" spans="1:7">
      <c r="A263" s="8">
        <v>45192</v>
      </c>
      <c r="B263" s="8">
        <v>45172</v>
      </c>
      <c r="C263" s="4">
        <v>106.14700000000001</v>
      </c>
      <c r="D263" s="4"/>
      <c r="E263" s="4"/>
      <c r="F263" s="4">
        <f t="shared" si="33"/>
        <v>106.14700000000001</v>
      </c>
      <c r="G263" t="s">
        <v>346</v>
      </c>
    </row>
    <row r="264" spans="1:7">
      <c r="A264" s="8">
        <v>45192</v>
      </c>
      <c r="B264" s="8">
        <v>45173</v>
      </c>
      <c r="C264" s="4">
        <f>97.075-15.912</f>
        <v>81.162999999999997</v>
      </c>
      <c r="D264" s="4"/>
      <c r="E264" s="4">
        <v>15.912000000000001</v>
      </c>
      <c r="F264" s="4">
        <f t="shared" si="33"/>
        <v>97.075000000000003</v>
      </c>
      <c r="G264" t="s">
        <v>346</v>
      </c>
    </row>
    <row r="265" spans="1:7">
      <c r="A265" s="8">
        <v>45192</v>
      </c>
      <c r="B265" s="8">
        <v>45174</v>
      </c>
      <c r="C265" s="4">
        <v>112.173</v>
      </c>
      <c r="D265" s="4"/>
      <c r="E265" s="4"/>
      <c r="F265" s="4">
        <f t="shared" si="33"/>
        <v>112.173</v>
      </c>
      <c r="G265" t="s">
        <v>346</v>
      </c>
    </row>
    <row r="266" spans="1:7">
      <c r="A266" s="8">
        <v>45192</v>
      </c>
      <c r="B266" s="8">
        <v>45175</v>
      </c>
      <c r="C266" s="4">
        <v>24.596</v>
      </c>
      <c r="D266" s="4"/>
      <c r="E266" s="4">
        <v>65.082999999999998</v>
      </c>
      <c r="F266" s="4">
        <f t="shared" si="33"/>
        <v>89.679000000000002</v>
      </c>
      <c r="G266" t="s">
        <v>346</v>
      </c>
    </row>
    <row r="267" spans="1:7">
      <c r="A267" s="8">
        <v>45192</v>
      </c>
      <c r="B267" s="8">
        <v>45176</v>
      </c>
      <c r="C267" s="4">
        <v>57.411999999999999</v>
      </c>
      <c r="D267" s="4"/>
      <c r="E267" s="4">
        <v>32.110999999999997</v>
      </c>
      <c r="F267" s="4">
        <f t="shared" si="33"/>
        <v>89.522999999999996</v>
      </c>
      <c r="G267" t="s">
        <v>346</v>
      </c>
    </row>
    <row r="268" spans="1:7">
      <c r="A268" s="8">
        <v>45192</v>
      </c>
      <c r="B268" s="8">
        <v>45177</v>
      </c>
      <c r="C268" s="4">
        <v>64.472999999999999</v>
      </c>
      <c r="D268" s="4"/>
      <c r="E268" s="4">
        <v>32.984000000000002</v>
      </c>
      <c r="F268" s="4">
        <f t="shared" si="33"/>
        <v>97.456999999999994</v>
      </c>
      <c r="G268" t="s">
        <v>346</v>
      </c>
    </row>
    <row r="269" spans="1:7">
      <c r="A269" s="8">
        <v>45192</v>
      </c>
      <c r="B269" s="8">
        <v>45178</v>
      </c>
      <c r="C269" s="4">
        <v>57.613999999999997</v>
      </c>
      <c r="D269" s="4"/>
      <c r="E269" s="4">
        <v>21.286000000000001</v>
      </c>
      <c r="F269" s="4">
        <f t="shared" si="33"/>
        <v>78.900000000000006</v>
      </c>
      <c r="G269" t="s">
        <v>346</v>
      </c>
    </row>
    <row r="270" spans="1:7">
      <c r="A270" s="8">
        <v>45192</v>
      </c>
      <c r="B270" s="8">
        <v>45179</v>
      </c>
      <c r="C270" s="4">
        <v>63.389000000000003</v>
      </c>
      <c r="D270" s="4"/>
      <c r="E270" s="4"/>
      <c r="F270" s="4">
        <f t="shared" si="33"/>
        <v>63.389000000000003</v>
      </c>
      <c r="G270" t="s">
        <v>346</v>
      </c>
    </row>
    <row r="271" spans="1:7">
      <c r="A271" s="8">
        <v>45192</v>
      </c>
      <c r="B271" s="8">
        <v>45180</v>
      </c>
      <c r="C271" s="4">
        <v>64.34</v>
      </c>
      <c r="D271" s="4"/>
      <c r="E271" s="4"/>
      <c r="F271" s="4">
        <f t="shared" ref="F271:F279" si="34">C271+D271+E271</f>
        <v>64.34</v>
      </c>
      <c r="G271" t="s">
        <v>346</v>
      </c>
    </row>
    <row r="272" spans="1:7">
      <c r="A272" s="8">
        <v>45192</v>
      </c>
      <c r="B272" s="8">
        <v>45181</v>
      </c>
      <c r="C272" s="4">
        <v>109.813</v>
      </c>
      <c r="D272" s="4"/>
      <c r="E272" s="4"/>
      <c r="F272" s="4">
        <f t="shared" si="34"/>
        <v>109.813</v>
      </c>
      <c r="G272" t="s">
        <v>346</v>
      </c>
    </row>
    <row r="273" spans="1:7">
      <c r="A273" s="8">
        <v>45192</v>
      </c>
      <c r="B273" s="8">
        <v>45182</v>
      </c>
      <c r="C273" s="4">
        <v>74.024000000000001</v>
      </c>
      <c r="D273" s="4"/>
      <c r="E273" s="4">
        <v>32.454999999999998</v>
      </c>
      <c r="F273" s="4">
        <f t="shared" si="34"/>
        <v>106.479</v>
      </c>
      <c r="G273" t="s">
        <v>346</v>
      </c>
    </row>
    <row r="274" spans="1:7">
      <c r="A274" s="8">
        <v>45192</v>
      </c>
      <c r="B274" s="8">
        <v>45183</v>
      </c>
      <c r="C274" s="4">
        <v>97.525999999999996</v>
      </c>
      <c r="D274" s="4"/>
      <c r="E274" s="4"/>
      <c r="F274" s="4">
        <f t="shared" si="34"/>
        <v>97.525999999999996</v>
      </c>
      <c r="G274" t="s">
        <v>346</v>
      </c>
    </row>
    <row r="275" spans="1:7">
      <c r="A275" s="8">
        <v>45192</v>
      </c>
      <c r="B275" s="8">
        <v>45184</v>
      </c>
      <c r="C275" s="4"/>
      <c r="D275" s="4"/>
      <c r="E275" s="4">
        <v>130.58699999999999</v>
      </c>
      <c r="F275" s="4">
        <f t="shared" si="34"/>
        <v>130.58699999999999</v>
      </c>
      <c r="G275" t="s">
        <v>346</v>
      </c>
    </row>
    <row r="276" spans="1:7">
      <c r="A276" s="8">
        <v>45192</v>
      </c>
      <c r="B276" s="8">
        <v>45185</v>
      </c>
      <c r="C276" s="4">
        <v>105.06399999999999</v>
      </c>
      <c r="D276" s="4"/>
      <c r="E276" s="4">
        <v>23.539000000000001</v>
      </c>
      <c r="F276" s="4">
        <f t="shared" si="34"/>
        <v>128.60300000000001</v>
      </c>
      <c r="G276" t="s">
        <v>346</v>
      </c>
    </row>
    <row r="277" spans="1:7">
      <c r="A277" s="8">
        <v>45192</v>
      </c>
      <c r="B277" s="8">
        <v>45187</v>
      </c>
      <c r="C277" s="4">
        <v>137.78899999999999</v>
      </c>
      <c r="D277" s="4"/>
      <c r="E277" s="4">
        <v>33.222000000000001</v>
      </c>
      <c r="F277" s="4">
        <f t="shared" si="34"/>
        <v>171.011</v>
      </c>
      <c r="G277" t="s">
        <v>346</v>
      </c>
    </row>
    <row r="278" spans="1:7">
      <c r="A278" s="8">
        <v>45192</v>
      </c>
      <c r="B278" s="8">
        <v>45188</v>
      </c>
      <c r="C278" s="4">
        <v>103.898</v>
      </c>
      <c r="D278" s="4"/>
      <c r="E278" s="4">
        <v>83.891000000000005</v>
      </c>
      <c r="F278" s="4">
        <f t="shared" si="34"/>
        <v>187.78899999999999</v>
      </c>
      <c r="G278" t="s">
        <v>346</v>
      </c>
    </row>
    <row r="279" spans="1:7">
      <c r="A279" s="8">
        <v>45192</v>
      </c>
      <c r="B279" s="8">
        <v>45189</v>
      </c>
      <c r="C279" s="4">
        <v>24.111999999999998</v>
      </c>
      <c r="D279" s="4"/>
      <c r="E279" s="4">
        <v>98.751999999999995</v>
      </c>
      <c r="F279" s="4">
        <f t="shared" si="34"/>
        <v>122.86399999999999</v>
      </c>
      <c r="G279" t="s">
        <v>346</v>
      </c>
    </row>
    <row r="280" spans="1:7">
      <c r="A280" s="8">
        <v>45192</v>
      </c>
      <c r="B280" s="8">
        <v>45190</v>
      </c>
      <c r="C280" s="4">
        <v>80.649000000000001</v>
      </c>
      <c r="D280" s="4"/>
      <c r="E280" s="4">
        <v>65.400999999999996</v>
      </c>
      <c r="F280" s="4">
        <f t="shared" ref="F280:F285" si="35">C280+D280+E280</f>
        <v>146.05000000000001</v>
      </c>
      <c r="G280" t="s">
        <v>346</v>
      </c>
    </row>
    <row r="281" spans="1:7">
      <c r="A281" s="8">
        <v>45192</v>
      </c>
      <c r="B281" s="8">
        <v>45191</v>
      </c>
      <c r="C281" s="4">
        <v>113.345</v>
      </c>
      <c r="D281" s="4"/>
      <c r="E281" s="4">
        <v>9.7430000000000003</v>
      </c>
      <c r="F281" s="4">
        <f t="shared" si="35"/>
        <v>123.08799999999999</v>
      </c>
      <c r="G281" t="s">
        <v>346</v>
      </c>
    </row>
    <row r="282" spans="1:7">
      <c r="A282" s="8">
        <v>45192</v>
      </c>
      <c r="B282" s="8">
        <v>45192</v>
      </c>
      <c r="C282" s="4">
        <v>29.725000000000001</v>
      </c>
      <c r="D282" s="4"/>
      <c r="E282" s="4"/>
      <c r="F282" s="4">
        <f t="shared" si="35"/>
        <v>29.725000000000001</v>
      </c>
      <c r="G282" t="s">
        <v>346</v>
      </c>
    </row>
    <row r="283" spans="1:7">
      <c r="A283" s="8">
        <v>45192</v>
      </c>
      <c r="B283" s="8">
        <v>45193</v>
      </c>
      <c r="C283" s="4">
        <v>56.917000000000002</v>
      </c>
      <c r="D283" s="4"/>
      <c r="E283" s="4"/>
      <c r="F283" s="4">
        <f t="shared" si="35"/>
        <v>56.917000000000002</v>
      </c>
      <c r="G283" t="s">
        <v>346</v>
      </c>
    </row>
    <row r="284" spans="1:7">
      <c r="A284" s="8">
        <v>45192</v>
      </c>
      <c r="B284" s="8">
        <v>45195</v>
      </c>
      <c r="C284" s="4">
        <v>48.451999999999998</v>
      </c>
      <c r="D284" s="4"/>
      <c r="E284" s="4"/>
      <c r="F284" s="4">
        <f t="shared" si="35"/>
        <v>48.451999999999998</v>
      </c>
      <c r="G284" t="s">
        <v>346</v>
      </c>
    </row>
    <row r="285" spans="1:7">
      <c r="A285" s="8">
        <v>45192</v>
      </c>
      <c r="B285" s="8">
        <v>45196</v>
      </c>
      <c r="C285" s="4">
        <v>56.097999999999999</v>
      </c>
      <c r="D285" s="4"/>
      <c r="E285" s="4"/>
      <c r="F285" s="4">
        <f t="shared" si="35"/>
        <v>56.097999999999999</v>
      </c>
      <c r="G285" t="s">
        <v>346</v>
      </c>
    </row>
    <row r="286" spans="1:7">
      <c r="A286" s="8">
        <v>45192</v>
      </c>
      <c r="B286" s="8">
        <v>45197</v>
      </c>
      <c r="C286" s="4">
        <v>32.616</v>
      </c>
      <c r="D286" s="4"/>
      <c r="E286" s="4"/>
      <c r="F286" s="4">
        <f>C286+D286+E286</f>
        <v>32.616</v>
      </c>
      <c r="G286" t="s">
        <v>346</v>
      </c>
    </row>
    <row r="287" spans="1:7">
      <c r="A287" s="8">
        <v>45192</v>
      </c>
      <c r="B287" s="8">
        <v>45198</v>
      </c>
      <c r="C287" s="4">
        <v>88.921000000000006</v>
      </c>
      <c r="D287" s="4"/>
      <c r="E287" s="4"/>
      <c r="F287" s="4">
        <f>C287+D287+E287</f>
        <v>88.921000000000006</v>
      </c>
      <c r="G287" t="s">
        <v>346</v>
      </c>
    </row>
    <row r="288" spans="1:7">
      <c r="A288" s="8">
        <v>45192</v>
      </c>
      <c r="B288" s="8">
        <v>45199</v>
      </c>
      <c r="C288" s="4">
        <v>252.56700000000001</v>
      </c>
      <c r="D288" s="4"/>
      <c r="E288" s="4"/>
      <c r="F288" s="4">
        <f>C288+D288+E288</f>
        <v>252.56700000000001</v>
      </c>
      <c r="G288" t="s">
        <v>346</v>
      </c>
    </row>
    <row r="289" spans="1:7">
      <c r="A289" s="8"/>
      <c r="B289" s="8"/>
      <c r="C289" s="4">
        <f>SUM(C261:C288)</f>
        <v>2176.4269999999997</v>
      </c>
      <c r="D289" s="4">
        <f t="shared" ref="D289" si="36">SUM(D261:D288)</f>
        <v>0</v>
      </c>
      <c r="E289" s="4">
        <f>SUM(E261:E288)</f>
        <v>644.96600000000001</v>
      </c>
      <c r="F289" s="4">
        <f>SUM(F261:F288)</f>
        <v>2821.3930000000005</v>
      </c>
    </row>
    <row r="290" spans="1:7">
      <c r="A290" s="8">
        <v>45222</v>
      </c>
      <c r="B290" s="8">
        <v>45200</v>
      </c>
      <c r="C290" s="4">
        <v>89.415999999999997</v>
      </c>
      <c r="D290" s="4"/>
      <c r="E290" s="4"/>
      <c r="F290" s="4">
        <f>C290+D290+E290</f>
        <v>89.415999999999997</v>
      </c>
      <c r="G290" t="s">
        <v>346</v>
      </c>
    </row>
    <row r="291" spans="1:7">
      <c r="A291" s="8">
        <v>45222</v>
      </c>
      <c r="B291" s="8">
        <v>45201</v>
      </c>
      <c r="C291" s="4">
        <v>227.97300000000001</v>
      </c>
      <c r="D291" s="4"/>
      <c r="E291" s="4"/>
      <c r="F291" s="4">
        <f>C291+D291+E291</f>
        <v>227.97300000000001</v>
      </c>
      <c r="G291" t="s">
        <v>346</v>
      </c>
    </row>
    <row r="292" spans="1:7">
      <c r="A292" s="8">
        <v>45222</v>
      </c>
      <c r="B292" s="8">
        <v>45202</v>
      </c>
      <c r="C292" s="4">
        <v>127.07</v>
      </c>
      <c r="D292" s="4"/>
      <c r="E292" s="4"/>
      <c r="F292" s="4">
        <f t="shared" ref="F292:F295" si="37">C292+D292+E292</f>
        <v>127.07</v>
      </c>
      <c r="G292" t="s">
        <v>346</v>
      </c>
    </row>
    <row r="293" spans="1:7">
      <c r="A293" s="8">
        <v>45222</v>
      </c>
      <c r="B293" s="8">
        <v>45203</v>
      </c>
      <c r="C293" s="4">
        <v>120.917</v>
      </c>
      <c r="D293" s="4"/>
      <c r="E293" s="4">
        <v>27.477</v>
      </c>
      <c r="F293" s="4">
        <f t="shared" si="37"/>
        <v>148.39400000000001</v>
      </c>
      <c r="G293" t="s">
        <v>346</v>
      </c>
    </row>
    <row r="294" spans="1:7">
      <c r="A294" s="8">
        <v>45222</v>
      </c>
      <c r="B294" s="8">
        <v>45204</v>
      </c>
      <c r="C294" s="4">
        <v>63.52</v>
      </c>
      <c r="D294" s="4"/>
      <c r="E294" s="4"/>
      <c r="F294" s="4">
        <f t="shared" si="37"/>
        <v>63.52</v>
      </c>
      <c r="G294" t="s">
        <v>346</v>
      </c>
    </row>
    <row r="295" spans="1:7">
      <c r="A295" s="8">
        <v>45222</v>
      </c>
      <c r="B295" s="8">
        <v>45205</v>
      </c>
      <c r="C295" s="4">
        <v>60.49</v>
      </c>
      <c r="D295" s="4"/>
      <c r="E295" s="4"/>
      <c r="F295" s="4">
        <f t="shared" si="37"/>
        <v>60.49</v>
      </c>
      <c r="G295" t="s">
        <v>346</v>
      </c>
    </row>
    <row r="296" spans="1:7">
      <c r="A296" s="8">
        <v>45222</v>
      </c>
      <c r="B296" s="8">
        <v>45206</v>
      </c>
      <c r="C296" s="4"/>
      <c r="D296" s="4"/>
      <c r="E296" s="4">
        <v>130.82499999999999</v>
      </c>
      <c r="F296" s="4">
        <f t="shared" ref="F296:F305" si="38">C296+D296+E296</f>
        <v>130.82499999999999</v>
      </c>
      <c r="G296" t="s">
        <v>346</v>
      </c>
    </row>
    <row r="297" spans="1:7">
      <c r="A297" s="8">
        <v>45222</v>
      </c>
      <c r="B297" s="8">
        <v>45207</v>
      </c>
      <c r="C297" s="4">
        <v>28.721</v>
      </c>
      <c r="D297" s="4"/>
      <c r="E297" s="4">
        <v>32.807000000000002</v>
      </c>
      <c r="F297" s="4">
        <f t="shared" si="38"/>
        <v>61.528000000000006</v>
      </c>
      <c r="G297" t="s">
        <v>346</v>
      </c>
    </row>
    <row r="298" spans="1:7">
      <c r="A298" s="8">
        <v>45222</v>
      </c>
      <c r="B298" s="8">
        <v>45208</v>
      </c>
      <c r="C298" s="4">
        <v>72.510999999999996</v>
      </c>
      <c r="D298" s="4"/>
      <c r="E298" s="4"/>
      <c r="F298" s="4">
        <f t="shared" si="38"/>
        <v>72.510999999999996</v>
      </c>
      <c r="G298" t="s">
        <v>346</v>
      </c>
    </row>
    <row r="299" spans="1:7">
      <c r="A299" s="8">
        <v>45222</v>
      </c>
      <c r="B299" s="8">
        <v>45210</v>
      </c>
      <c r="C299" s="4">
        <v>97.162999999999997</v>
      </c>
      <c r="D299" s="4"/>
      <c r="E299" s="4">
        <v>97.834999999999994</v>
      </c>
      <c r="F299" s="4">
        <f t="shared" si="38"/>
        <v>194.99799999999999</v>
      </c>
      <c r="G299" t="s">
        <v>346</v>
      </c>
    </row>
    <row r="300" spans="1:7">
      <c r="A300" s="8">
        <v>45222</v>
      </c>
      <c r="B300" s="8">
        <v>45211</v>
      </c>
      <c r="C300" s="4"/>
      <c r="D300" s="4"/>
      <c r="E300" s="4">
        <v>89.13</v>
      </c>
      <c r="F300" s="4">
        <f t="shared" si="38"/>
        <v>89.13</v>
      </c>
      <c r="G300" t="s">
        <v>346</v>
      </c>
    </row>
    <row r="301" spans="1:7">
      <c r="A301" s="8">
        <v>45222</v>
      </c>
      <c r="B301" s="8">
        <v>45213</v>
      </c>
      <c r="C301" s="4"/>
      <c r="D301" s="4">
        <v>64.043999999999997</v>
      </c>
      <c r="E301" s="4"/>
      <c r="F301" s="4">
        <f t="shared" si="38"/>
        <v>64.043999999999997</v>
      </c>
      <c r="G301" t="s">
        <v>346</v>
      </c>
    </row>
    <row r="302" spans="1:7">
      <c r="A302" s="8">
        <v>45222</v>
      </c>
      <c r="B302" s="8">
        <v>45214</v>
      </c>
      <c r="C302" s="4">
        <v>32.737000000000002</v>
      </c>
      <c r="D302" s="4"/>
      <c r="E302" s="4"/>
      <c r="F302" s="4">
        <f t="shared" si="38"/>
        <v>32.737000000000002</v>
      </c>
      <c r="G302" t="s">
        <v>346</v>
      </c>
    </row>
    <row r="303" spans="1:7">
      <c r="A303" s="8">
        <v>45222</v>
      </c>
      <c r="B303" s="8">
        <v>45215</v>
      </c>
      <c r="C303" s="4"/>
      <c r="D303" s="4">
        <v>96.938000000000002</v>
      </c>
      <c r="E303" s="4">
        <v>13.61</v>
      </c>
      <c r="F303" s="4">
        <f t="shared" si="38"/>
        <v>110.548</v>
      </c>
      <c r="G303" t="s">
        <v>346</v>
      </c>
    </row>
    <row r="304" spans="1:7">
      <c r="A304" s="8">
        <v>45222</v>
      </c>
      <c r="B304" s="8">
        <v>45216</v>
      </c>
      <c r="C304" s="4">
        <v>25.259</v>
      </c>
      <c r="D304" s="4">
        <v>96.927999999999997</v>
      </c>
      <c r="E304" s="4"/>
      <c r="F304" s="4">
        <f t="shared" si="38"/>
        <v>122.187</v>
      </c>
      <c r="G304" t="s">
        <v>346</v>
      </c>
    </row>
    <row r="305" spans="1:7">
      <c r="A305" s="8">
        <v>45222</v>
      </c>
      <c r="B305" s="8">
        <v>45217</v>
      </c>
      <c r="C305" s="4"/>
      <c r="D305" s="4">
        <v>32.661000000000001</v>
      </c>
      <c r="E305" s="4"/>
      <c r="F305" s="4">
        <f t="shared" si="38"/>
        <v>32.661000000000001</v>
      </c>
      <c r="G305" t="s">
        <v>346</v>
      </c>
    </row>
    <row r="306" spans="1:7">
      <c r="A306" s="8">
        <v>45222</v>
      </c>
      <c r="B306" s="8">
        <v>45218</v>
      </c>
      <c r="C306" s="4"/>
      <c r="D306" s="4">
        <v>65.218999999999994</v>
      </c>
      <c r="E306" s="4">
        <v>162.714</v>
      </c>
      <c r="F306" s="4">
        <f t="shared" ref="F306:F311" si="39">C306+D306+E306</f>
        <v>227.93299999999999</v>
      </c>
      <c r="G306" t="s">
        <v>346</v>
      </c>
    </row>
    <row r="307" spans="1:7">
      <c r="A307" s="8">
        <v>45222</v>
      </c>
      <c r="B307" s="8">
        <v>45219</v>
      </c>
      <c r="C307" s="4"/>
      <c r="D307" s="4"/>
      <c r="E307" s="4">
        <v>292.54199999999997</v>
      </c>
      <c r="F307" s="4">
        <f t="shared" si="39"/>
        <v>292.54199999999997</v>
      </c>
      <c r="G307" t="s">
        <v>346</v>
      </c>
    </row>
    <row r="308" spans="1:7">
      <c r="A308" s="8">
        <v>45222</v>
      </c>
      <c r="B308" s="8">
        <v>45220</v>
      </c>
      <c r="C308" s="4">
        <v>32.731000000000002</v>
      </c>
      <c r="D308" s="4"/>
      <c r="E308" s="4">
        <v>200.92400000000001</v>
      </c>
      <c r="F308" s="4">
        <f t="shared" si="39"/>
        <v>233.655</v>
      </c>
      <c r="G308" t="s">
        <v>346</v>
      </c>
    </row>
    <row r="309" spans="1:7">
      <c r="A309" s="8">
        <v>45222</v>
      </c>
      <c r="B309" s="8">
        <v>45221</v>
      </c>
      <c r="C309" s="4"/>
      <c r="D309" s="4"/>
      <c r="E309" s="4">
        <v>195.40799999999999</v>
      </c>
      <c r="F309" s="4">
        <f t="shared" si="39"/>
        <v>195.40799999999999</v>
      </c>
      <c r="G309" t="s">
        <v>346</v>
      </c>
    </row>
    <row r="310" spans="1:7">
      <c r="A310" s="8">
        <v>45222</v>
      </c>
      <c r="B310" s="8">
        <v>45222</v>
      </c>
      <c r="C310" s="4"/>
      <c r="D310" s="4"/>
      <c r="E310" s="4">
        <v>97.893000000000001</v>
      </c>
      <c r="F310" s="4">
        <f t="shared" si="39"/>
        <v>97.893000000000001</v>
      </c>
      <c r="G310" t="s">
        <v>346</v>
      </c>
    </row>
    <row r="311" spans="1:7">
      <c r="A311" s="8">
        <v>45222</v>
      </c>
      <c r="B311" s="8">
        <v>45225</v>
      </c>
      <c r="C311" s="4"/>
      <c r="D311" s="4"/>
      <c r="E311" s="4">
        <v>40.045000000000002</v>
      </c>
      <c r="F311" s="4">
        <f t="shared" si="39"/>
        <v>40.045000000000002</v>
      </c>
      <c r="G311" t="s">
        <v>346</v>
      </c>
    </row>
    <row r="312" spans="1:7">
      <c r="A312" s="8">
        <v>45222</v>
      </c>
      <c r="B312" s="8">
        <v>45226</v>
      </c>
      <c r="C312" s="4"/>
      <c r="D312" s="4"/>
      <c r="E312" s="4">
        <f>37.329+1.571</f>
        <v>38.9</v>
      </c>
      <c r="F312" s="4">
        <f>C312+D312+E312</f>
        <v>38.9</v>
      </c>
      <c r="G312" t="s">
        <v>346</v>
      </c>
    </row>
    <row r="313" spans="1:7">
      <c r="A313" s="8">
        <v>45222</v>
      </c>
      <c r="B313" s="8">
        <v>45227</v>
      </c>
      <c r="C313" s="4"/>
      <c r="D313" s="4"/>
      <c r="E313" s="4">
        <f>31.908+0.169</f>
        <v>32.076999999999998</v>
      </c>
      <c r="F313" s="4">
        <f>C313+D313+E313</f>
        <v>32.076999999999998</v>
      </c>
      <c r="G313" t="s">
        <v>346</v>
      </c>
    </row>
    <row r="314" spans="1:7">
      <c r="A314" s="8">
        <v>45222</v>
      </c>
      <c r="B314" s="8">
        <v>45228</v>
      </c>
      <c r="C314" s="4">
        <v>32.651000000000003</v>
      </c>
      <c r="D314" s="4"/>
      <c r="E314" s="4">
        <v>97.216999999999999</v>
      </c>
      <c r="F314" s="4">
        <f>C314+D314+E314</f>
        <v>129.86799999999999</v>
      </c>
      <c r="G314" t="s">
        <v>346</v>
      </c>
    </row>
    <row r="315" spans="1:7">
      <c r="A315" s="8">
        <v>45222</v>
      </c>
      <c r="B315" s="8">
        <v>45229</v>
      </c>
      <c r="C315" s="4">
        <v>129.583</v>
      </c>
      <c r="D315" s="4"/>
      <c r="E315" s="4">
        <v>71.593999999999994</v>
      </c>
      <c r="F315" s="4">
        <f>C315+D315+E315</f>
        <v>201.17699999999999</v>
      </c>
      <c r="G315" t="s">
        <v>346</v>
      </c>
    </row>
    <row r="316" spans="1:7">
      <c r="A316" s="8">
        <v>45222</v>
      </c>
      <c r="B316" s="8">
        <v>45230</v>
      </c>
      <c r="C316" s="4">
        <v>129.27099999999999</v>
      </c>
      <c r="D316" s="4"/>
      <c r="E316" s="4">
        <v>118.934</v>
      </c>
      <c r="F316" s="4">
        <f>C316+D316+E316</f>
        <v>248.20499999999998</v>
      </c>
      <c r="G316" t="s">
        <v>346</v>
      </c>
    </row>
    <row r="317" spans="1:7">
      <c r="A317" s="8"/>
      <c r="B317" s="8"/>
      <c r="C317" s="4">
        <f t="shared" ref="C317:D317" si="40">SUM(C290:C316)</f>
        <v>1270.0129999999999</v>
      </c>
      <c r="D317" s="4">
        <f t="shared" si="40"/>
        <v>355.78999999999996</v>
      </c>
      <c r="E317" s="4">
        <f>SUM(E290:E316)</f>
        <v>1739.932</v>
      </c>
      <c r="F317" s="4">
        <f>SUM(F290:F316)</f>
        <v>3365.7350000000006</v>
      </c>
    </row>
    <row r="318" spans="1:7">
      <c r="A318" s="8">
        <v>45253</v>
      </c>
      <c r="B318" s="8">
        <v>45231</v>
      </c>
      <c r="C318" s="4">
        <v>127.916</v>
      </c>
      <c r="D318" s="4"/>
      <c r="E318" s="4">
        <v>65.281999999999996</v>
      </c>
      <c r="F318" s="4">
        <f t="shared" ref="F318:F321" si="41">C318+D318+E318</f>
        <v>193.19799999999998</v>
      </c>
      <c r="G318" t="s">
        <v>346</v>
      </c>
    </row>
    <row r="319" spans="1:7">
      <c r="A319" s="8">
        <v>45253</v>
      </c>
      <c r="B319" s="8">
        <v>45232</v>
      </c>
      <c r="C319" s="4">
        <v>162.67500000000001</v>
      </c>
      <c r="D319" s="4"/>
      <c r="E319" s="4">
        <v>40.119999999999997</v>
      </c>
      <c r="F319" s="4">
        <f t="shared" si="41"/>
        <v>202.79500000000002</v>
      </c>
      <c r="G319" t="s">
        <v>346</v>
      </c>
    </row>
    <row r="320" spans="1:7">
      <c r="A320" s="8">
        <v>45253</v>
      </c>
      <c r="B320" s="8">
        <v>45233</v>
      </c>
      <c r="C320" s="4">
        <v>65.191999999999993</v>
      </c>
      <c r="D320" s="4"/>
      <c r="E320" s="4">
        <v>97.646000000000001</v>
      </c>
      <c r="F320" s="4">
        <f t="shared" si="41"/>
        <v>162.83799999999999</v>
      </c>
      <c r="G320" t="s">
        <v>346</v>
      </c>
    </row>
    <row r="321" spans="1:7">
      <c r="A321" s="8">
        <v>45253</v>
      </c>
      <c r="B321" s="8">
        <v>45234</v>
      </c>
      <c r="C321" s="4">
        <v>32.219000000000001</v>
      </c>
      <c r="D321" s="4"/>
      <c r="E321" s="4">
        <v>64.171999999999997</v>
      </c>
      <c r="F321" s="4">
        <f t="shared" si="41"/>
        <v>96.390999999999991</v>
      </c>
      <c r="G321" t="s">
        <v>346</v>
      </c>
    </row>
    <row r="322" spans="1:7">
      <c r="A322" s="8">
        <v>45253</v>
      </c>
      <c r="B322" s="8">
        <v>45235</v>
      </c>
      <c r="C322" s="4">
        <v>32.185000000000002</v>
      </c>
      <c r="D322" s="4">
        <v>31.984000000000002</v>
      </c>
      <c r="E322" s="4"/>
      <c r="F322" s="4">
        <f t="shared" ref="F322:F329" si="42">C322+D322+E322</f>
        <v>64.169000000000011</v>
      </c>
      <c r="G322" t="s">
        <v>346</v>
      </c>
    </row>
    <row r="323" spans="1:7">
      <c r="A323" s="8">
        <v>45253</v>
      </c>
      <c r="B323" s="8">
        <v>45236</v>
      </c>
      <c r="C323" s="4">
        <v>63.512999999999998</v>
      </c>
      <c r="D323" s="4"/>
      <c r="E323" s="4">
        <v>32.759</v>
      </c>
      <c r="F323" s="4">
        <f t="shared" si="42"/>
        <v>96.271999999999991</v>
      </c>
      <c r="G323" t="s">
        <v>346</v>
      </c>
    </row>
    <row r="324" spans="1:7">
      <c r="A324" s="8">
        <v>45253</v>
      </c>
      <c r="B324" s="8">
        <v>45237</v>
      </c>
      <c r="C324" s="4">
        <v>147.52199999999999</v>
      </c>
      <c r="D324" s="4"/>
      <c r="E324" s="4"/>
      <c r="F324" s="4">
        <f t="shared" si="42"/>
        <v>147.52199999999999</v>
      </c>
      <c r="G324" t="s">
        <v>346</v>
      </c>
    </row>
    <row r="325" spans="1:7">
      <c r="A325" s="8">
        <v>45253</v>
      </c>
      <c r="B325" s="8">
        <v>45238</v>
      </c>
      <c r="C325" s="4">
        <v>96.975999999999999</v>
      </c>
      <c r="D325" s="4"/>
      <c r="E325" s="4">
        <v>88.849000000000004</v>
      </c>
      <c r="F325" s="4">
        <f t="shared" si="42"/>
        <v>185.82499999999999</v>
      </c>
      <c r="G325" t="s">
        <v>346</v>
      </c>
    </row>
    <row r="326" spans="1:7">
      <c r="A326" s="8">
        <v>45253</v>
      </c>
      <c r="B326" s="8">
        <v>45239</v>
      </c>
      <c r="C326" s="4">
        <v>132.86600000000001</v>
      </c>
      <c r="D326" s="4"/>
      <c r="E326" s="4"/>
      <c r="F326" s="4">
        <f t="shared" si="42"/>
        <v>132.86600000000001</v>
      </c>
      <c r="G326" t="s">
        <v>346</v>
      </c>
    </row>
    <row r="327" spans="1:7">
      <c r="A327" s="8">
        <v>45253</v>
      </c>
      <c r="B327" s="8">
        <v>45240</v>
      </c>
      <c r="C327" s="4">
        <v>63.542999999999999</v>
      </c>
      <c r="D327" s="4"/>
      <c r="E327" s="4">
        <v>32.646000000000001</v>
      </c>
      <c r="F327" s="4">
        <f t="shared" si="42"/>
        <v>96.188999999999993</v>
      </c>
      <c r="G327" t="s">
        <v>346</v>
      </c>
    </row>
    <row r="328" spans="1:7">
      <c r="A328" s="8">
        <v>45253</v>
      </c>
      <c r="B328" s="8">
        <v>45241</v>
      </c>
      <c r="C328" s="4">
        <v>64.37</v>
      </c>
      <c r="D328" s="4"/>
      <c r="E328" s="4">
        <v>97.686000000000007</v>
      </c>
      <c r="F328" s="4">
        <f t="shared" si="42"/>
        <v>162.05600000000001</v>
      </c>
      <c r="G328" t="s">
        <v>346</v>
      </c>
    </row>
    <row r="329" spans="1:7">
      <c r="A329" s="8">
        <v>45253</v>
      </c>
      <c r="B329" s="8">
        <v>45245</v>
      </c>
      <c r="C329" s="4">
        <v>63.862000000000002</v>
      </c>
      <c r="D329" s="4"/>
      <c r="E329" s="4">
        <v>65.466999999999999</v>
      </c>
      <c r="F329" s="4">
        <f t="shared" si="42"/>
        <v>129.32900000000001</v>
      </c>
      <c r="G329" t="s">
        <v>346</v>
      </c>
    </row>
    <row r="330" spans="1:7">
      <c r="A330" s="8">
        <v>45253</v>
      </c>
      <c r="B330" s="8">
        <v>45246</v>
      </c>
      <c r="C330" s="4">
        <v>64.251000000000005</v>
      </c>
      <c r="D330" s="4"/>
      <c r="E330" s="4">
        <v>64.129000000000005</v>
      </c>
      <c r="F330" s="4">
        <f t="shared" ref="F330:F334" si="43">C330+D330+E330</f>
        <v>128.38</v>
      </c>
      <c r="G330" t="s">
        <v>346</v>
      </c>
    </row>
    <row r="331" spans="1:7">
      <c r="A331" s="8">
        <v>45253</v>
      </c>
      <c r="B331" s="8">
        <v>45247</v>
      </c>
      <c r="C331" s="4">
        <v>110.373</v>
      </c>
      <c r="D331" s="4"/>
      <c r="E331" s="4"/>
      <c r="F331" s="4">
        <f t="shared" si="43"/>
        <v>110.373</v>
      </c>
      <c r="G331" t="s">
        <v>346</v>
      </c>
    </row>
    <row r="332" spans="1:7">
      <c r="A332" s="8">
        <v>45253</v>
      </c>
      <c r="B332" s="8">
        <v>45248</v>
      </c>
      <c r="C332" s="4">
        <v>98.049000000000007</v>
      </c>
      <c r="D332" s="4"/>
      <c r="E332" s="4">
        <v>44.399000000000001</v>
      </c>
      <c r="F332" s="4">
        <f t="shared" si="43"/>
        <v>142.44800000000001</v>
      </c>
      <c r="G332" t="s">
        <v>346</v>
      </c>
    </row>
    <row r="333" spans="1:7">
      <c r="A333" s="8">
        <v>45253</v>
      </c>
      <c r="B333" s="8">
        <v>45249</v>
      </c>
      <c r="C333" s="4">
        <v>104.76</v>
      </c>
      <c r="D333" s="4"/>
      <c r="E333" s="4">
        <v>65.484999999999999</v>
      </c>
      <c r="F333" s="4">
        <f t="shared" si="43"/>
        <v>170.245</v>
      </c>
      <c r="G333" t="s">
        <v>346</v>
      </c>
    </row>
    <row r="334" spans="1:7">
      <c r="A334" s="8">
        <v>45253</v>
      </c>
      <c r="B334" s="8">
        <v>45250</v>
      </c>
      <c r="C334" s="4">
        <v>105.259</v>
      </c>
      <c r="D334" s="4">
        <v>6.1150000000000002</v>
      </c>
      <c r="E334" s="4"/>
      <c r="F334" s="4">
        <f t="shared" si="43"/>
        <v>111.374</v>
      </c>
      <c r="G334" t="s">
        <v>1369</v>
      </c>
    </row>
    <row r="335" spans="1:7">
      <c r="A335" s="8">
        <v>45253</v>
      </c>
      <c r="B335" s="8">
        <v>45251</v>
      </c>
      <c r="C335" s="4">
        <v>95.036000000000001</v>
      </c>
      <c r="D335" s="4"/>
      <c r="E335" s="4">
        <v>64.605999999999995</v>
      </c>
      <c r="F335" s="4">
        <f t="shared" ref="F335:F341" si="44">C335+D335+E335</f>
        <v>159.642</v>
      </c>
      <c r="G335" t="s">
        <v>346</v>
      </c>
    </row>
    <row r="336" spans="1:7">
      <c r="A336" s="8">
        <v>45253</v>
      </c>
      <c r="B336" s="8">
        <v>45252</v>
      </c>
      <c r="C336" s="4">
        <v>94.001999999999995</v>
      </c>
      <c r="D336" s="4"/>
      <c r="E336" s="4">
        <v>32.901000000000003</v>
      </c>
      <c r="F336" s="4">
        <f t="shared" si="44"/>
        <v>126.90299999999999</v>
      </c>
      <c r="G336" t="s">
        <v>346</v>
      </c>
    </row>
    <row r="337" spans="1:7">
      <c r="A337" s="8">
        <v>45253</v>
      </c>
      <c r="B337" s="8">
        <v>45253</v>
      </c>
      <c r="C337" s="4">
        <v>89.040999999999997</v>
      </c>
      <c r="D337" s="4"/>
      <c r="E337" s="4">
        <v>63.999000000000002</v>
      </c>
      <c r="F337" s="4">
        <f t="shared" si="44"/>
        <v>153.04</v>
      </c>
      <c r="G337" t="s">
        <v>346</v>
      </c>
    </row>
    <row r="338" spans="1:7">
      <c r="A338" s="8">
        <v>45253</v>
      </c>
      <c r="B338" s="8">
        <v>45254</v>
      </c>
      <c r="C338" s="4">
        <v>89.478999999999999</v>
      </c>
      <c r="D338" s="4"/>
      <c r="E338" s="4">
        <v>65.567999999999998</v>
      </c>
      <c r="F338" s="4">
        <f t="shared" si="44"/>
        <v>155.047</v>
      </c>
      <c r="G338" t="s">
        <v>346</v>
      </c>
    </row>
    <row r="339" spans="1:7">
      <c r="A339" s="8">
        <v>45253</v>
      </c>
      <c r="B339" s="8">
        <v>45255</v>
      </c>
      <c r="C339" s="4">
        <v>65.061000000000007</v>
      </c>
      <c r="D339" s="4"/>
      <c r="E339" s="4">
        <v>49.500999999999998</v>
      </c>
      <c r="F339" s="4">
        <f t="shared" si="44"/>
        <v>114.56200000000001</v>
      </c>
      <c r="G339" t="s">
        <v>346</v>
      </c>
    </row>
    <row r="340" spans="1:7">
      <c r="A340" s="8">
        <v>45253</v>
      </c>
      <c r="B340" s="8">
        <v>45256</v>
      </c>
      <c r="C340" s="4">
        <v>129.315</v>
      </c>
      <c r="D340" s="4"/>
      <c r="E340" s="4"/>
      <c r="F340" s="4">
        <f t="shared" si="44"/>
        <v>129.315</v>
      </c>
      <c r="G340" t="s">
        <v>346</v>
      </c>
    </row>
    <row r="341" spans="1:7">
      <c r="A341" s="8">
        <v>45253</v>
      </c>
      <c r="B341" s="8">
        <v>45257</v>
      </c>
      <c r="C341" s="4">
        <v>129.316</v>
      </c>
      <c r="D341" s="4"/>
      <c r="E341" s="4">
        <v>64.742999999999995</v>
      </c>
      <c r="F341" s="4">
        <f t="shared" si="44"/>
        <v>194.059</v>
      </c>
      <c r="G341" t="s">
        <v>346</v>
      </c>
    </row>
    <row r="342" spans="1:7">
      <c r="A342" s="8">
        <v>45253</v>
      </c>
      <c r="B342" s="8">
        <v>45258</v>
      </c>
      <c r="C342" s="4">
        <v>114.346</v>
      </c>
      <c r="D342" s="4"/>
      <c r="E342" s="4"/>
      <c r="F342" s="4">
        <f>C342+D342+E342</f>
        <v>114.346</v>
      </c>
      <c r="G342" t="s">
        <v>346</v>
      </c>
    </row>
    <row r="343" spans="1:7">
      <c r="A343" s="8">
        <v>45253</v>
      </c>
      <c r="B343" s="8">
        <v>45259</v>
      </c>
      <c r="C343" s="4">
        <v>128.68700000000001</v>
      </c>
      <c r="D343" s="4"/>
      <c r="E343" s="4"/>
      <c r="F343" s="4">
        <f>C343+D343+E343</f>
        <v>128.68700000000001</v>
      </c>
      <c r="G343" t="s">
        <v>346</v>
      </c>
    </row>
    <row r="344" spans="1:7">
      <c r="A344" s="8">
        <v>45253</v>
      </c>
      <c r="B344" s="8">
        <v>45260</v>
      </c>
      <c r="C344" s="4">
        <v>160.90600000000001</v>
      </c>
      <c r="D344" s="4"/>
      <c r="E344" s="4"/>
      <c r="F344" s="4">
        <f>C344+D344+E344</f>
        <v>160.90600000000001</v>
      </c>
      <c r="G344" t="s">
        <v>346</v>
      </c>
    </row>
    <row r="345" spans="1:7">
      <c r="A345" s="8"/>
      <c r="B345" s="8"/>
      <c r="C345" s="4">
        <f>SUM(C318:C344)</f>
        <v>2630.7199999999993</v>
      </c>
      <c r="D345" s="4">
        <f t="shared" ref="D345:E345" si="45">SUM(D318:D343)</f>
        <v>38.099000000000004</v>
      </c>
      <c r="E345" s="4">
        <f t="shared" si="45"/>
        <v>1099.9580000000001</v>
      </c>
      <c r="F345" s="4">
        <f>SUM(F318:F344)</f>
        <v>3768.7769999999991</v>
      </c>
    </row>
    <row r="346" spans="1:7">
      <c r="A346" s="8">
        <v>45283</v>
      </c>
      <c r="B346" s="8">
        <v>45261</v>
      </c>
      <c r="C346" s="4">
        <v>131.29499999999999</v>
      </c>
      <c r="D346" s="4"/>
      <c r="E346" s="4"/>
      <c r="F346" s="4">
        <f>C346+D346+E346</f>
        <v>131.29499999999999</v>
      </c>
      <c r="G346" t="s">
        <v>346</v>
      </c>
    </row>
    <row r="347" spans="1:7">
      <c r="A347" s="8">
        <v>45283</v>
      </c>
      <c r="B347" s="8">
        <v>45262</v>
      </c>
      <c r="C347" s="4">
        <v>192.43799999999999</v>
      </c>
      <c r="D347" s="4"/>
      <c r="E347" s="4">
        <v>32.655999999999999</v>
      </c>
      <c r="F347" s="4">
        <f>C347+D347+E347</f>
        <v>225.09399999999999</v>
      </c>
      <c r="G347" t="s">
        <v>346</v>
      </c>
    </row>
    <row r="348" spans="1:7">
      <c r="A348" s="8">
        <v>45283</v>
      </c>
      <c r="B348" s="8">
        <v>45263</v>
      </c>
      <c r="C348" s="4">
        <v>225.04300000000001</v>
      </c>
      <c r="D348" s="4"/>
      <c r="E348" s="4"/>
      <c r="F348" s="4">
        <f>C348+D348+E348</f>
        <v>225.04300000000001</v>
      </c>
      <c r="G348" t="s">
        <v>346</v>
      </c>
    </row>
    <row r="349" spans="1:7">
      <c r="A349" s="8">
        <v>45283</v>
      </c>
      <c r="B349" s="8">
        <v>45264</v>
      </c>
      <c r="C349" s="4">
        <v>225.72499999999999</v>
      </c>
      <c r="D349" s="4"/>
      <c r="E349" s="4">
        <v>39.652000000000001</v>
      </c>
      <c r="F349" s="4">
        <f>C349+D349+E349</f>
        <v>265.37700000000001</v>
      </c>
      <c r="G349" t="s">
        <v>346</v>
      </c>
    </row>
    <row r="350" spans="1:7">
      <c r="A350" s="8">
        <v>45283</v>
      </c>
      <c r="B350" s="8">
        <v>45265</v>
      </c>
      <c r="C350" s="4">
        <v>224.321</v>
      </c>
      <c r="D350" s="4"/>
      <c r="E350" s="4"/>
      <c r="F350" s="4">
        <f t="shared" ref="F350:F353" si="46">C350+D350+E350</f>
        <v>224.321</v>
      </c>
      <c r="G350" t="s">
        <v>346</v>
      </c>
    </row>
    <row r="351" spans="1:7">
      <c r="A351" s="8">
        <v>45283</v>
      </c>
      <c r="B351" s="8">
        <v>45266</v>
      </c>
      <c r="C351" s="4">
        <v>190.28100000000001</v>
      </c>
      <c r="D351" s="4"/>
      <c r="E351" s="4">
        <v>65.340999999999994</v>
      </c>
      <c r="F351" s="4">
        <f t="shared" si="46"/>
        <v>255.62200000000001</v>
      </c>
      <c r="G351" t="s">
        <v>346</v>
      </c>
    </row>
    <row r="352" spans="1:7">
      <c r="A352" s="8">
        <v>45283</v>
      </c>
      <c r="B352" s="8">
        <v>45267</v>
      </c>
      <c r="C352" s="4">
        <v>195.50200000000001</v>
      </c>
      <c r="D352" s="4"/>
      <c r="E352" s="4"/>
      <c r="F352" s="4">
        <f t="shared" si="46"/>
        <v>195.50200000000001</v>
      </c>
      <c r="G352" t="s">
        <v>346</v>
      </c>
    </row>
    <row r="353" spans="1:7">
      <c r="A353" s="8">
        <v>45283</v>
      </c>
      <c r="B353" s="8">
        <v>45268</v>
      </c>
      <c r="C353" s="4">
        <v>129.74700000000001</v>
      </c>
      <c r="D353" s="4"/>
      <c r="E353" s="4">
        <v>137.32599999999999</v>
      </c>
      <c r="F353" s="4">
        <f t="shared" si="46"/>
        <v>267.07299999999998</v>
      </c>
      <c r="G353" t="s">
        <v>346</v>
      </c>
    </row>
    <row r="354" spans="1:7">
      <c r="A354" s="8">
        <v>45283</v>
      </c>
      <c r="B354" s="8">
        <v>45269</v>
      </c>
      <c r="C354" s="4">
        <v>163.43600000000001</v>
      </c>
      <c r="D354" s="4"/>
      <c r="E354" s="4">
        <v>64.358000000000004</v>
      </c>
      <c r="F354" s="4">
        <f t="shared" ref="F354:F361" si="47">C354+D354+E354</f>
        <v>227.79400000000001</v>
      </c>
      <c r="G354" t="s">
        <v>346</v>
      </c>
    </row>
    <row r="355" spans="1:7">
      <c r="A355" s="8">
        <v>45283</v>
      </c>
      <c r="B355" s="8">
        <v>45270</v>
      </c>
      <c r="C355" s="4">
        <v>147.571</v>
      </c>
      <c r="D355" s="4">
        <v>4.6230000000000002</v>
      </c>
      <c r="E355" s="4">
        <v>97.680999999999997</v>
      </c>
      <c r="F355" s="4">
        <f t="shared" si="47"/>
        <v>249.875</v>
      </c>
      <c r="G355" t="s">
        <v>346</v>
      </c>
    </row>
    <row r="356" spans="1:7">
      <c r="A356" s="8">
        <v>45283</v>
      </c>
      <c r="B356" s="8">
        <v>45271</v>
      </c>
      <c r="C356" s="4">
        <v>29.917999999999999</v>
      </c>
      <c r="D356" s="4"/>
      <c r="E356" s="4">
        <v>129.077</v>
      </c>
      <c r="F356" s="4">
        <f t="shared" si="47"/>
        <v>158.995</v>
      </c>
      <c r="G356" t="s">
        <v>346</v>
      </c>
    </row>
    <row r="357" spans="1:7">
      <c r="A357" s="8">
        <v>45283</v>
      </c>
      <c r="B357" s="8">
        <v>45272</v>
      </c>
      <c r="C357" s="4">
        <v>64.132999999999996</v>
      </c>
      <c r="D357" s="4"/>
      <c r="E357" s="4">
        <v>137.13499999999999</v>
      </c>
      <c r="F357" s="4">
        <f t="shared" si="47"/>
        <v>201.26799999999997</v>
      </c>
      <c r="G357" t="s">
        <v>346</v>
      </c>
    </row>
    <row r="358" spans="1:7">
      <c r="A358" s="8">
        <v>45283</v>
      </c>
      <c r="B358" s="8">
        <v>45273</v>
      </c>
      <c r="C358" s="4">
        <v>127.44199999999999</v>
      </c>
      <c r="D358" s="4"/>
      <c r="E358" s="4">
        <v>33.161000000000001</v>
      </c>
      <c r="F358" s="4">
        <f t="shared" si="47"/>
        <v>160.60300000000001</v>
      </c>
      <c r="G358" t="s">
        <v>346</v>
      </c>
    </row>
    <row r="359" spans="1:7">
      <c r="A359" s="8">
        <v>45283</v>
      </c>
      <c r="B359" s="8">
        <v>45274</v>
      </c>
      <c r="C359" s="4">
        <v>56.46</v>
      </c>
      <c r="D359" s="4"/>
      <c r="E359" s="4">
        <f>96.87+0.677</f>
        <v>97.547000000000011</v>
      </c>
      <c r="F359" s="4">
        <f t="shared" si="47"/>
        <v>154.00700000000001</v>
      </c>
      <c r="G359" t="s">
        <v>346</v>
      </c>
    </row>
    <row r="360" spans="1:7">
      <c r="A360" s="8">
        <v>45283</v>
      </c>
      <c r="B360" s="8">
        <v>45275</v>
      </c>
      <c r="C360" s="4">
        <v>57.198999999999998</v>
      </c>
      <c r="D360" s="4"/>
      <c r="E360" s="4">
        <v>62.933</v>
      </c>
      <c r="F360" s="4">
        <f t="shared" si="47"/>
        <v>120.13200000000001</v>
      </c>
      <c r="G360" s="29" t="s">
        <v>346</v>
      </c>
    </row>
    <row r="361" spans="1:7">
      <c r="A361" s="8">
        <v>45283</v>
      </c>
      <c r="B361" s="8">
        <v>45276</v>
      </c>
      <c r="C361" s="4"/>
      <c r="D361" s="4"/>
      <c r="E361" s="4">
        <v>146.52799999999999</v>
      </c>
      <c r="F361" s="4">
        <f t="shared" si="47"/>
        <v>146.52799999999999</v>
      </c>
      <c r="G361" s="29" t="s">
        <v>346</v>
      </c>
    </row>
    <row r="362" spans="1:7" s="29" customFormat="1">
      <c r="A362" s="46">
        <v>45283</v>
      </c>
      <c r="B362" s="46">
        <v>45277</v>
      </c>
      <c r="C362" s="47">
        <v>31.853000000000002</v>
      </c>
      <c r="D362" s="47"/>
      <c r="E362" s="47">
        <v>122.51</v>
      </c>
      <c r="F362" s="47">
        <f t="shared" ref="F362:F368" si="48">C362+D362+E362</f>
        <v>154.363</v>
      </c>
      <c r="G362" s="29" t="s">
        <v>346</v>
      </c>
    </row>
    <row r="363" spans="1:7" s="43" customFormat="1">
      <c r="A363" s="46">
        <v>45283</v>
      </c>
      <c r="B363" s="46">
        <v>45278</v>
      </c>
      <c r="C363" s="45">
        <v>30.882999999999999</v>
      </c>
      <c r="D363" s="45"/>
      <c r="E363" s="45">
        <v>130.41399999999999</v>
      </c>
      <c r="F363" s="47">
        <f t="shared" si="48"/>
        <v>161.297</v>
      </c>
      <c r="G363" s="54" t="s">
        <v>346</v>
      </c>
    </row>
    <row r="364" spans="1:7" s="29" customFormat="1">
      <c r="A364" s="46">
        <v>45283</v>
      </c>
      <c r="B364" s="46">
        <v>45279</v>
      </c>
      <c r="C364" s="31">
        <v>32.268000000000001</v>
      </c>
      <c r="D364" s="31"/>
      <c r="E364" s="31">
        <v>32.424999999999997</v>
      </c>
      <c r="F364" s="47">
        <f t="shared" si="48"/>
        <v>64.692999999999998</v>
      </c>
      <c r="G364" s="54" t="s">
        <v>346</v>
      </c>
    </row>
    <row r="365" spans="1:7" s="54" customFormat="1">
      <c r="A365" s="46">
        <v>45283</v>
      </c>
      <c r="B365" s="46">
        <v>45280</v>
      </c>
      <c r="C365" s="56"/>
      <c r="D365" s="56"/>
      <c r="E365" s="56">
        <v>32.142000000000003</v>
      </c>
      <c r="F365" s="47">
        <f t="shared" si="48"/>
        <v>32.142000000000003</v>
      </c>
      <c r="G365" s="89" t="s">
        <v>346</v>
      </c>
    </row>
    <row r="366" spans="1:7" s="65" customFormat="1">
      <c r="A366" s="46">
        <v>45283</v>
      </c>
      <c r="B366" s="46">
        <v>45281</v>
      </c>
      <c r="C366" s="66">
        <v>32.893999999999998</v>
      </c>
      <c r="D366" s="66"/>
      <c r="E366" s="66"/>
      <c r="F366" s="47">
        <f t="shared" si="48"/>
        <v>32.893999999999998</v>
      </c>
      <c r="G366" s="89" t="s">
        <v>346</v>
      </c>
    </row>
    <row r="367" spans="1:7" s="72" customFormat="1">
      <c r="A367" s="46">
        <v>45283</v>
      </c>
      <c r="B367" s="46">
        <v>45283</v>
      </c>
      <c r="C367" s="73">
        <v>99.619</v>
      </c>
      <c r="D367" s="73"/>
      <c r="E367" s="73"/>
      <c r="F367" s="47">
        <f t="shared" si="48"/>
        <v>99.619</v>
      </c>
      <c r="G367" s="89" t="s">
        <v>346</v>
      </c>
    </row>
    <row r="368" spans="1:7" s="81" customFormat="1">
      <c r="A368" s="46">
        <v>45283</v>
      </c>
      <c r="B368" s="46">
        <v>45284</v>
      </c>
      <c r="C368" s="82">
        <v>123.547</v>
      </c>
      <c r="D368" s="82"/>
      <c r="E368" s="82"/>
      <c r="F368" s="47">
        <f t="shared" si="48"/>
        <v>123.547</v>
      </c>
      <c r="G368" s="89" t="s">
        <v>346</v>
      </c>
    </row>
    <row r="369" spans="1:7" s="89" customFormat="1">
      <c r="A369" s="46">
        <v>45283</v>
      </c>
      <c r="B369" s="46">
        <v>45285</v>
      </c>
      <c r="C369" s="90">
        <v>73.997</v>
      </c>
      <c r="D369" s="90"/>
      <c r="E369" s="90"/>
      <c r="F369" s="47">
        <f t="shared" ref="F369:F375" si="49">C369+D369+E369</f>
        <v>73.997</v>
      </c>
      <c r="G369" s="102" t="s">
        <v>346</v>
      </c>
    </row>
    <row r="370" spans="1:7" s="96" customFormat="1">
      <c r="A370" s="46">
        <v>45283</v>
      </c>
      <c r="B370" s="46">
        <v>45286</v>
      </c>
      <c r="C370" s="97"/>
      <c r="D370" s="97"/>
      <c r="E370" s="97">
        <v>130.61700000000002</v>
      </c>
      <c r="F370" s="47">
        <f t="shared" si="49"/>
        <v>130.61700000000002</v>
      </c>
      <c r="G370" s="102" t="s">
        <v>346</v>
      </c>
    </row>
    <row r="371" spans="1:7" s="102" customFormat="1">
      <c r="A371" s="46">
        <v>45283</v>
      </c>
      <c r="B371" s="46">
        <v>45287</v>
      </c>
      <c r="C371" s="103">
        <v>24.484000000000002</v>
      </c>
      <c r="D371" s="103"/>
      <c r="E371" s="103"/>
      <c r="F371" s="47">
        <f t="shared" si="49"/>
        <v>24.484000000000002</v>
      </c>
      <c r="G371" s="102" t="s">
        <v>346</v>
      </c>
    </row>
    <row r="372" spans="1:7" s="127" customFormat="1">
      <c r="A372" s="46">
        <v>45283</v>
      </c>
      <c r="B372" s="46">
        <v>45288</v>
      </c>
      <c r="C372" s="129"/>
      <c r="D372" s="129"/>
      <c r="E372" s="129">
        <v>64.882000000000005</v>
      </c>
      <c r="F372" s="47">
        <f t="shared" si="49"/>
        <v>64.882000000000005</v>
      </c>
      <c r="G372" s="142" t="s">
        <v>346</v>
      </c>
    </row>
    <row r="373" spans="1:7" s="136" customFormat="1">
      <c r="A373" s="46">
        <v>45283</v>
      </c>
      <c r="B373" s="46">
        <v>45289</v>
      </c>
      <c r="C373" s="137">
        <v>30.738000000000003</v>
      </c>
      <c r="D373" s="137"/>
      <c r="E373" s="137">
        <v>131.36199999999999</v>
      </c>
      <c r="F373" s="47">
        <f t="shared" si="49"/>
        <v>162.1</v>
      </c>
      <c r="G373" s="142" t="s">
        <v>346</v>
      </c>
    </row>
    <row r="374" spans="1:7" s="142" customFormat="1">
      <c r="A374" s="46">
        <v>45283</v>
      </c>
      <c r="B374" s="46">
        <v>45290</v>
      </c>
      <c r="C374" s="143"/>
      <c r="D374" s="143"/>
      <c r="E374" s="143">
        <v>98.381</v>
      </c>
      <c r="F374" s="47">
        <f t="shared" si="49"/>
        <v>98.381</v>
      </c>
      <c r="G374" s="152" t="s">
        <v>346</v>
      </c>
    </row>
    <row r="375" spans="1:7" s="144" customFormat="1">
      <c r="A375" s="46">
        <v>45283</v>
      </c>
      <c r="B375" s="46">
        <v>45291</v>
      </c>
      <c r="C375" s="146"/>
      <c r="D375" s="146"/>
      <c r="E375" s="146">
        <v>65.599000000000004</v>
      </c>
      <c r="F375" s="47">
        <f t="shared" si="49"/>
        <v>65.599000000000004</v>
      </c>
      <c r="G375" s="152" t="s">
        <v>346</v>
      </c>
    </row>
    <row r="376" spans="1:7">
      <c r="A376" s="8"/>
      <c r="B376" s="55"/>
      <c r="C376" s="145">
        <f>SUM(C346:C375)</f>
        <v>2640.7939999999994</v>
      </c>
      <c r="D376" s="145">
        <f t="shared" ref="D376" si="50">SUM(D346:D375)</f>
        <v>4.6230000000000002</v>
      </c>
      <c r="E376" s="145">
        <f>SUM(E346:E375)</f>
        <v>1851.7270000000001</v>
      </c>
      <c r="F376" s="30">
        <f>SUM(F346:F375)</f>
        <v>4497.1440000000002</v>
      </c>
    </row>
    <row r="377" spans="1:7">
      <c r="A377" s="46">
        <v>45315</v>
      </c>
      <c r="B377" s="46">
        <v>45292</v>
      </c>
      <c r="C377" s="154"/>
      <c r="D377" s="154"/>
      <c r="E377" s="154">
        <v>97.998999999999995</v>
      </c>
      <c r="F377" s="47">
        <f>C377+D377+E377</f>
        <v>97.998999999999995</v>
      </c>
      <c r="G377" s="52" t="s">
        <v>346</v>
      </c>
    </row>
    <row r="378" spans="1:7" s="152" customFormat="1">
      <c r="A378" s="46">
        <v>45315</v>
      </c>
      <c r="B378" s="46">
        <v>45293</v>
      </c>
      <c r="C378" s="154">
        <v>64.296999999999997</v>
      </c>
      <c r="D378" s="154"/>
      <c r="E378" s="154">
        <v>131.179</v>
      </c>
      <c r="F378" s="47">
        <f>C378+D378+E378</f>
        <v>195.476</v>
      </c>
      <c r="G378" s="52" t="s">
        <v>346</v>
      </c>
    </row>
    <row r="379" spans="1:7" s="152" customFormat="1">
      <c r="A379" s="46">
        <v>45315</v>
      </c>
      <c r="B379" s="46">
        <v>45294</v>
      </c>
      <c r="C379" s="154">
        <v>96.623000000000005</v>
      </c>
      <c r="D379" s="154"/>
      <c r="E379" s="154">
        <v>66.414000000000001</v>
      </c>
      <c r="F379" s="47">
        <f>C379+D379+E379</f>
        <v>163.03700000000001</v>
      </c>
      <c r="G379" s="52" t="s">
        <v>346</v>
      </c>
    </row>
    <row r="380" spans="1:7" s="152" customFormat="1">
      <c r="A380" s="229">
        <v>45315</v>
      </c>
      <c r="B380" s="229">
        <v>45295</v>
      </c>
      <c r="C380" s="230">
        <v>98.975999999999999</v>
      </c>
      <c r="D380" s="230"/>
      <c r="E380" s="230">
        <v>75.206999999999994</v>
      </c>
      <c r="F380" s="230">
        <f>C380+D380+E380</f>
        <v>174.18299999999999</v>
      </c>
    </row>
    <row r="381" spans="1:7" s="152" customFormat="1">
      <c r="A381" s="229">
        <v>45315</v>
      </c>
      <c r="B381" s="229">
        <v>45296</v>
      </c>
      <c r="C381" s="154">
        <v>126.423</v>
      </c>
      <c r="D381" s="154"/>
      <c r="E381" s="154">
        <v>64.542000000000002</v>
      </c>
      <c r="F381" s="47">
        <f>C381+D381+E381</f>
        <v>190.965</v>
      </c>
    </row>
    <row r="382" spans="1:7" s="152" customFormat="1">
      <c r="A382" s="46"/>
      <c r="B382" s="46"/>
      <c r="C382" s="153">
        <f>SUM(C377:C381)</f>
        <v>386.31900000000002</v>
      </c>
      <c r="D382" s="153">
        <f t="shared" ref="D382" si="51">SUM(D377:D381)</f>
        <v>0</v>
      </c>
      <c r="E382" s="153">
        <f>SUM(E377:E381)</f>
        <v>435.34100000000001</v>
      </c>
      <c r="F382" s="153">
        <f>SUM(F377:F381)</f>
        <v>821.66000000000008</v>
      </c>
    </row>
    <row r="383" spans="1:7" s="152" customFormat="1">
      <c r="A383" s="46"/>
      <c r="B383" s="46"/>
      <c r="C383" s="154"/>
      <c r="D383" s="154"/>
      <c r="E383" s="154"/>
      <c r="F383" s="47"/>
    </row>
    <row r="384" spans="1:7">
      <c r="A384" s="8"/>
      <c r="B384" s="8"/>
      <c r="C384" s="4"/>
      <c r="D384" s="4"/>
      <c r="E384" s="4"/>
      <c r="F384" s="4"/>
    </row>
    <row r="385" spans="1:6">
      <c r="A385" s="8"/>
      <c r="B385" s="8"/>
      <c r="C385" s="4"/>
      <c r="D385" s="4"/>
      <c r="E385" s="4"/>
      <c r="F385" s="4"/>
    </row>
    <row r="386" spans="1:6">
      <c r="A386" s="8"/>
      <c r="B386" s="8"/>
      <c r="C386" s="4"/>
      <c r="D386" s="4"/>
      <c r="E386" s="4"/>
      <c r="F386" s="4"/>
    </row>
    <row r="387" spans="1:6">
      <c r="A387" s="8"/>
      <c r="B387" s="8"/>
      <c r="C387" s="4"/>
      <c r="D387" s="4"/>
      <c r="E387" s="4"/>
      <c r="F387" s="4"/>
    </row>
    <row r="388" spans="1:6">
      <c r="A388" s="8"/>
      <c r="B388" s="8"/>
      <c r="C388" s="4"/>
      <c r="D388" s="4"/>
      <c r="E388" s="4"/>
      <c r="F388" s="4"/>
    </row>
    <row r="389" spans="1:6">
      <c r="A389" s="6" t="s">
        <v>313</v>
      </c>
      <c r="B389" s="6"/>
      <c r="C389" s="153">
        <f t="shared" ref="C389:E389" si="52">+C199+C171+C156+C129+C106+C77+C45+C13+C230+C260+C289+C317+C345+C376+C382</f>
        <v>27671.973999999995</v>
      </c>
      <c r="D389" s="153">
        <f t="shared" si="52"/>
        <v>402.13399999999996</v>
      </c>
      <c r="E389" s="153">
        <f t="shared" si="52"/>
        <v>8382.8249999999989</v>
      </c>
      <c r="F389" s="3">
        <f>+F199+F171+F156+F129+F106+F77+F45+F13+F230+F260+F289+F317+F345+F376+F382</f>
        <v>36456.933000000005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M1606"/>
  <sheetViews>
    <sheetView workbookViewId="0">
      <pane ySplit="5" topLeftCell="A1568" activePane="bottomLeft" state="frozen"/>
      <selection pane="bottomLeft" activeCell="F1583" sqref="F1583"/>
    </sheetView>
  </sheetViews>
  <sheetFormatPr defaultRowHeight="14.4"/>
  <cols>
    <col min="1" max="1" width="13.5546875" customWidth="1"/>
    <col min="2" max="2" width="5" customWidth="1"/>
    <col min="3" max="3" width="25.109375" customWidth="1"/>
    <col min="4" max="4" width="10.5546875" customWidth="1"/>
    <col min="5" max="5" width="12.109375" customWidth="1"/>
    <col min="6" max="6" width="21.109375" customWidth="1"/>
    <col min="7" max="7" width="10.33203125" bestFit="1" customWidth="1"/>
    <col min="8" max="8" width="12.6640625" bestFit="1" customWidth="1"/>
    <col min="9" max="9" width="8.88671875" customWidth="1"/>
    <col min="10" max="10" width="14" bestFit="1" customWidth="1"/>
    <col min="11" max="11" width="10.33203125" customWidth="1"/>
  </cols>
  <sheetData>
    <row r="1" spans="1:10" hidden="1">
      <c r="C1" t="s">
        <v>289</v>
      </c>
      <c r="D1">
        <f>D307</f>
        <v>2933.0920000000001</v>
      </c>
    </row>
    <row r="2" spans="1:10">
      <c r="C2" t="s">
        <v>506</v>
      </c>
      <c r="D2">
        <f>D366</f>
        <v>1268.7399999999998</v>
      </c>
    </row>
    <row r="3" spans="1:10">
      <c r="A3" t="s">
        <v>14</v>
      </c>
      <c r="J3">
        <v>7.5940000000000003</v>
      </c>
    </row>
    <row r="4" spans="1:10">
      <c r="D4">
        <f>D1606</f>
        <v>38969.663</v>
      </c>
    </row>
    <row r="5" spans="1:10">
      <c r="A5" s="3" t="s">
        <v>6</v>
      </c>
      <c r="B5" s="3"/>
      <c r="C5" s="3" t="s">
        <v>5</v>
      </c>
      <c r="D5" s="3" t="s">
        <v>83</v>
      </c>
      <c r="E5" s="3" t="s">
        <v>397</v>
      </c>
      <c r="F5" s="3" t="s">
        <v>15</v>
      </c>
      <c r="G5" s="3" t="s">
        <v>0</v>
      </c>
      <c r="H5" s="3" t="s">
        <v>10</v>
      </c>
      <c r="I5" s="3" t="s">
        <v>4</v>
      </c>
      <c r="J5" s="3" t="s">
        <v>315</v>
      </c>
    </row>
    <row r="6" spans="1:10">
      <c r="A6" s="4" t="s">
        <v>66</v>
      </c>
      <c r="B6" s="4"/>
      <c r="C6" s="4" t="s">
        <v>63</v>
      </c>
      <c r="D6" s="4">
        <v>12.72</v>
      </c>
      <c r="E6" s="4"/>
      <c r="F6" s="4"/>
      <c r="G6" s="4" t="s">
        <v>17</v>
      </c>
      <c r="H6" s="4" t="s">
        <v>61</v>
      </c>
      <c r="I6" s="4"/>
      <c r="J6" s="4"/>
    </row>
    <row r="7" spans="1:10">
      <c r="A7" s="4"/>
      <c r="B7" s="4"/>
      <c r="C7" s="4" t="s">
        <v>64</v>
      </c>
      <c r="D7" s="4">
        <v>32.67</v>
      </c>
      <c r="E7" s="4"/>
      <c r="F7" s="4"/>
      <c r="G7" s="4" t="s">
        <v>18</v>
      </c>
      <c r="H7" s="4" t="s">
        <v>61</v>
      </c>
      <c r="I7" s="4"/>
      <c r="J7" s="4"/>
    </row>
    <row r="8" spans="1:10">
      <c r="A8" s="4"/>
      <c r="B8" s="4"/>
      <c r="C8" s="4"/>
      <c r="D8" s="4">
        <f>SUM(D6:D7)</f>
        <v>45.39</v>
      </c>
      <c r="E8" s="4"/>
      <c r="F8" s="4"/>
      <c r="G8" s="4"/>
      <c r="H8" s="4"/>
      <c r="I8" s="4"/>
      <c r="J8" s="4"/>
    </row>
    <row r="9" spans="1:10">
      <c r="A9" s="4" t="s">
        <v>65</v>
      </c>
      <c r="B9" s="4"/>
      <c r="C9" s="4" t="s">
        <v>64</v>
      </c>
      <c r="D9" s="4">
        <v>100.68</v>
      </c>
      <c r="E9" s="4"/>
      <c r="F9" s="4"/>
      <c r="G9" s="4" t="s">
        <v>18</v>
      </c>
      <c r="H9" s="4"/>
      <c r="I9" s="4"/>
      <c r="J9" s="4"/>
    </row>
    <row r="10" spans="1:10">
      <c r="A10" s="4"/>
      <c r="B10" s="4"/>
      <c r="C10" s="4"/>
      <c r="D10" s="4">
        <f>D9</f>
        <v>100.68</v>
      </c>
      <c r="E10" s="4"/>
      <c r="F10" s="4"/>
      <c r="G10" s="4"/>
      <c r="H10" s="4"/>
      <c r="I10" s="4"/>
      <c r="J10" s="4"/>
    </row>
    <row r="11" spans="1:10">
      <c r="A11" s="4" t="s">
        <v>67</v>
      </c>
      <c r="B11" s="4"/>
      <c r="C11" s="4" t="s">
        <v>64</v>
      </c>
      <c r="D11" s="4">
        <v>82.32</v>
      </c>
      <c r="E11" s="4"/>
      <c r="F11" s="4"/>
      <c r="G11" s="4" t="s">
        <v>18</v>
      </c>
      <c r="H11" s="4"/>
      <c r="I11" s="4"/>
      <c r="J11" s="4"/>
    </row>
    <row r="12" spans="1:10">
      <c r="A12" s="4"/>
      <c r="B12" s="4"/>
      <c r="C12" s="4"/>
      <c r="D12" s="4">
        <f>D11</f>
        <v>82.32</v>
      </c>
      <c r="E12" s="4"/>
      <c r="F12" s="4"/>
      <c r="G12" s="4"/>
      <c r="H12" s="4"/>
      <c r="I12" s="4"/>
      <c r="J12" s="4"/>
    </row>
    <row r="13" spans="1:10">
      <c r="A13" s="239" t="s">
        <v>68</v>
      </c>
      <c r="B13" s="239"/>
      <c r="C13" s="239"/>
      <c r="D13" s="4"/>
      <c r="E13" s="4"/>
      <c r="F13" s="4"/>
      <c r="G13" s="4"/>
      <c r="H13" s="4"/>
      <c r="I13" s="4"/>
      <c r="J13" s="4"/>
    </row>
    <row r="14" spans="1:10">
      <c r="A14" s="4" t="s">
        <v>69</v>
      </c>
      <c r="B14" s="4"/>
      <c r="C14" s="4" t="s">
        <v>64</v>
      </c>
      <c r="D14" s="4">
        <v>70.11</v>
      </c>
      <c r="E14" s="4"/>
      <c r="F14" s="4"/>
      <c r="G14" s="4" t="s">
        <v>18</v>
      </c>
      <c r="H14" s="4"/>
      <c r="I14" s="4"/>
      <c r="J14" s="4"/>
    </row>
    <row r="15" spans="1:10">
      <c r="A15" s="4"/>
      <c r="B15" s="4"/>
      <c r="C15" s="4" t="s">
        <v>70</v>
      </c>
      <c r="D15" s="4">
        <v>6.26</v>
      </c>
      <c r="E15" s="4"/>
      <c r="F15" s="4"/>
      <c r="G15" s="4" t="s">
        <v>18</v>
      </c>
      <c r="H15" s="4"/>
      <c r="I15" s="4"/>
      <c r="J15" s="4"/>
    </row>
    <row r="16" spans="1:10">
      <c r="A16" s="4"/>
      <c r="B16" s="4"/>
      <c r="C16" s="4"/>
      <c r="D16" s="4">
        <f>D15+D14</f>
        <v>76.37</v>
      </c>
      <c r="E16" s="4"/>
      <c r="F16" s="4"/>
      <c r="G16" s="4"/>
      <c r="H16" s="4"/>
      <c r="I16" s="4"/>
      <c r="J16" s="4"/>
    </row>
    <row r="17" spans="1:10">
      <c r="A17" s="4" t="s">
        <v>71</v>
      </c>
      <c r="B17" s="4"/>
      <c r="C17" s="4" t="s">
        <v>72</v>
      </c>
      <c r="D17" s="4">
        <v>27.18</v>
      </c>
      <c r="E17" s="4"/>
      <c r="F17" s="4"/>
      <c r="G17" s="4" t="s">
        <v>17</v>
      </c>
      <c r="H17" s="4"/>
      <c r="I17" s="4"/>
      <c r="J17" s="4"/>
    </row>
    <row r="18" spans="1:10">
      <c r="A18" s="4"/>
      <c r="B18" s="4"/>
      <c r="C18" s="4"/>
      <c r="D18" s="4">
        <f>D17</f>
        <v>27.18</v>
      </c>
      <c r="E18" s="4"/>
      <c r="F18" s="4"/>
      <c r="G18" s="4"/>
      <c r="H18" s="4"/>
      <c r="I18" s="4"/>
      <c r="J18" s="4"/>
    </row>
    <row r="19" spans="1:10">
      <c r="A19" s="4" t="s">
        <v>73</v>
      </c>
      <c r="B19" s="4"/>
      <c r="C19" s="4" t="s">
        <v>72</v>
      </c>
      <c r="D19" s="4">
        <v>118.81</v>
      </c>
      <c r="E19" s="4"/>
      <c r="F19" s="4"/>
      <c r="G19" s="4" t="s">
        <v>17</v>
      </c>
      <c r="H19" s="4"/>
      <c r="I19" s="4"/>
      <c r="J19" s="4"/>
    </row>
    <row r="20" spans="1:10">
      <c r="A20" s="4"/>
      <c r="B20" s="4"/>
      <c r="C20" s="4"/>
      <c r="D20" s="4">
        <f>D19</f>
        <v>118.81</v>
      </c>
      <c r="E20" s="4"/>
      <c r="F20" s="4"/>
      <c r="G20" s="4"/>
      <c r="H20" s="4"/>
      <c r="I20" s="4"/>
      <c r="J20" s="4"/>
    </row>
    <row r="21" spans="1:10">
      <c r="A21" s="4" t="s">
        <v>74</v>
      </c>
      <c r="B21" s="4"/>
      <c r="C21" s="4" t="s">
        <v>72</v>
      </c>
      <c r="D21" s="4">
        <v>121.54</v>
      </c>
      <c r="E21" s="4"/>
      <c r="F21" s="4"/>
      <c r="G21" s="4" t="s">
        <v>17</v>
      </c>
      <c r="H21" s="4"/>
      <c r="I21" s="4"/>
      <c r="J21" s="4"/>
    </row>
    <row r="22" spans="1:10">
      <c r="A22" s="4"/>
      <c r="B22" s="4"/>
      <c r="C22" s="4"/>
      <c r="D22" s="4">
        <f>D21</f>
        <v>121.54</v>
      </c>
      <c r="E22" s="4"/>
      <c r="F22" s="4"/>
      <c r="G22" s="4"/>
      <c r="H22" s="4"/>
      <c r="I22" s="4"/>
      <c r="J22" s="4"/>
    </row>
    <row r="23" spans="1:10">
      <c r="A23" s="4" t="s">
        <v>75</v>
      </c>
      <c r="B23" s="4"/>
      <c r="C23" s="4" t="s">
        <v>72</v>
      </c>
      <c r="D23" s="4">
        <v>113.78</v>
      </c>
      <c r="E23" s="4"/>
      <c r="F23" s="4"/>
      <c r="G23" s="4" t="s">
        <v>17</v>
      </c>
      <c r="H23" s="4"/>
      <c r="I23" s="4"/>
      <c r="J23" s="4"/>
    </row>
    <row r="24" spans="1:10">
      <c r="A24" s="4"/>
      <c r="B24" s="4"/>
      <c r="C24" s="4"/>
      <c r="D24" s="4">
        <f>D23</f>
        <v>113.78</v>
      </c>
      <c r="E24" s="4"/>
      <c r="F24" s="4"/>
      <c r="G24" s="4"/>
      <c r="H24" s="4"/>
      <c r="I24" s="4"/>
      <c r="J24" s="4"/>
    </row>
    <row r="25" spans="1:10">
      <c r="A25" s="4" t="s">
        <v>76</v>
      </c>
      <c r="B25" s="4"/>
      <c r="C25" s="4" t="s">
        <v>72</v>
      </c>
      <c r="D25" s="4">
        <v>44.57</v>
      </c>
      <c r="E25" s="4"/>
      <c r="F25" s="4"/>
      <c r="G25" s="4" t="s">
        <v>17</v>
      </c>
      <c r="H25" s="4"/>
      <c r="I25" s="4"/>
      <c r="J25" s="4"/>
    </row>
    <row r="26" spans="1:10">
      <c r="A26" s="4"/>
      <c r="B26" s="4"/>
      <c r="C26" s="4" t="s">
        <v>77</v>
      </c>
      <c r="D26" s="4">
        <v>2.94</v>
      </c>
      <c r="E26" s="4"/>
      <c r="F26" s="4"/>
      <c r="G26" s="4" t="s">
        <v>17</v>
      </c>
      <c r="H26" s="4"/>
      <c r="I26" s="4"/>
      <c r="J26" s="4"/>
    </row>
    <row r="27" spans="1:10">
      <c r="A27" s="4"/>
      <c r="B27" s="4"/>
      <c r="C27" s="4" t="s">
        <v>78</v>
      </c>
      <c r="D27" s="4">
        <v>37.549999999999997</v>
      </c>
      <c r="E27" s="4"/>
      <c r="F27" s="4"/>
      <c r="G27" s="4" t="s">
        <v>17</v>
      </c>
      <c r="H27" s="4"/>
      <c r="I27" s="4"/>
      <c r="J27" s="4"/>
    </row>
    <row r="28" spans="1:10">
      <c r="A28" s="4"/>
      <c r="B28" s="4"/>
      <c r="C28" s="4" t="s">
        <v>79</v>
      </c>
      <c r="D28" s="4">
        <v>7.05</v>
      </c>
      <c r="E28" s="4"/>
      <c r="F28" s="4"/>
      <c r="G28" s="4" t="s">
        <v>18</v>
      </c>
      <c r="H28" s="4"/>
      <c r="I28" s="4"/>
      <c r="J28" s="4"/>
    </row>
    <row r="29" spans="1:10">
      <c r="A29" s="4"/>
      <c r="B29" s="4"/>
      <c r="C29" s="4" t="s">
        <v>80</v>
      </c>
      <c r="D29" s="4">
        <v>19.23</v>
      </c>
      <c r="E29" s="4"/>
      <c r="F29" s="4"/>
      <c r="G29" s="4" t="s">
        <v>18</v>
      </c>
      <c r="H29" s="4"/>
      <c r="I29" s="4"/>
      <c r="J29" s="4"/>
    </row>
    <row r="30" spans="1:10">
      <c r="A30" s="4"/>
      <c r="B30" s="4"/>
      <c r="C30" s="4"/>
      <c r="D30" s="4">
        <f>SUM(D25:D29)</f>
        <v>111.34</v>
      </c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239" t="s">
        <v>82</v>
      </c>
      <c r="B32" s="239"/>
      <c r="C32" s="239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 t="s">
        <v>230</v>
      </c>
      <c r="D33" s="4">
        <f>D8+D10+D12+D16+D18+D20+D22+D24+D30</f>
        <v>797.41</v>
      </c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239" t="s">
        <v>136</v>
      </c>
      <c r="B35" s="239"/>
      <c r="C35" s="239"/>
      <c r="D35" s="4"/>
      <c r="E35" s="4"/>
      <c r="F35" s="4"/>
      <c r="G35" s="4"/>
      <c r="H35" s="4"/>
      <c r="I35" s="4"/>
      <c r="J35" s="4"/>
    </row>
    <row r="36" spans="1:10">
      <c r="A36" s="4" t="s">
        <v>137</v>
      </c>
      <c r="B36" s="4"/>
      <c r="C36" s="4" t="s">
        <v>138</v>
      </c>
      <c r="D36" s="4">
        <v>94.14</v>
      </c>
      <c r="E36" s="4"/>
      <c r="F36" s="4"/>
      <c r="G36" s="4" t="s">
        <v>139</v>
      </c>
      <c r="H36" s="4" t="s">
        <v>140</v>
      </c>
      <c r="I36" s="4"/>
      <c r="J36" s="4"/>
    </row>
    <row r="37" spans="1:10">
      <c r="A37" s="4"/>
      <c r="B37" s="4"/>
      <c r="C37" s="4"/>
      <c r="D37" s="4">
        <f>SUM(D36:D36)</f>
        <v>94.14</v>
      </c>
      <c r="E37" s="4"/>
      <c r="F37" s="4"/>
      <c r="G37" s="4"/>
      <c r="H37" s="4"/>
      <c r="I37" s="4"/>
      <c r="J37" s="4"/>
    </row>
    <row r="38" spans="1:10">
      <c r="A38" s="239" t="s">
        <v>141</v>
      </c>
      <c r="B38" s="239"/>
      <c r="C38" s="239"/>
      <c r="D38" s="4"/>
      <c r="E38" s="4"/>
      <c r="F38" s="4"/>
      <c r="G38" s="4"/>
      <c r="H38" s="4"/>
      <c r="I38" s="4"/>
      <c r="J38" s="4"/>
    </row>
    <row r="39" spans="1:10">
      <c r="A39" s="4" t="s">
        <v>142</v>
      </c>
      <c r="B39" s="4"/>
      <c r="C39" s="4" t="s">
        <v>143</v>
      </c>
      <c r="D39" s="4">
        <v>150.25</v>
      </c>
      <c r="E39" s="4"/>
      <c r="F39" s="4"/>
      <c r="G39" s="4" t="s">
        <v>139</v>
      </c>
      <c r="H39" s="4"/>
      <c r="I39" s="4"/>
      <c r="J39" s="4"/>
    </row>
    <row r="40" spans="1:10">
      <c r="A40" s="4"/>
      <c r="B40" s="4"/>
      <c r="C40" s="4"/>
      <c r="D40" s="4">
        <f>D39</f>
        <v>150.25</v>
      </c>
      <c r="E40" s="4"/>
      <c r="F40" s="4"/>
      <c r="G40" s="4"/>
      <c r="H40" s="4"/>
      <c r="I40" s="4"/>
      <c r="J40" s="4"/>
    </row>
    <row r="41" spans="1:10">
      <c r="A41" s="4" t="s">
        <v>144</v>
      </c>
      <c r="B41" s="4"/>
      <c r="C41" s="4" t="s">
        <v>143</v>
      </c>
      <c r="D41" s="4">
        <v>122.425</v>
      </c>
      <c r="E41" s="4"/>
      <c r="F41" s="4"/>
      <c r="G41" s="4" t="s">
        <v>139</v>
      </c>
      <c r="H41" s="4"/>
      <c r="I41" s="4"/>
      <c r="J41" s="4"/>
    </row>
    <row r="42" spans="1:10">
      <c r="A42" s="4"/>
      <c r="B42" s="4"/>
      <c r="C42" s="4"/>
      <c r="D42" s="4">
        <f>D41</f>
        <v>122.425</v>
      </c>
      <c r="E42" s="4"/>
      <c r="F42" s="4"/>
      <c r="G42" s="4"/>
      <c r="H42" s="4"/>
      <c r="I42" s="4"/>
      <c r="J42" s="4"/>
    </row>
    <row r="43" spans="1:10">
      <c r="A43" s="4" t="s">
        <v>145</v>
      </c>
      <c r="B43" s="4"/>
      <c r="C43" s="4" t="s">
        <v>138</v>
      </c>
      <c r="D43" s="4">
        <v>17</v>
      </c>
      <c r="E43" s="4"/>
      <c r="F43" s="4"/>
      <c r="G43" s="4" t="s">
        <v>139</v>
      </c>
      <c r="H43" s="4"/>
      <c r="I43" s="4"/>
      <c r="J43" s="4"/>
    </row>
    <row r="44" spans="1:10">
      <c r="A44" s="4"/>
      <c r="B44" s="4"/>
      <c r="C44" s="4" t="s">
        <v>143</v>
      </c>
      <c r="D44" s="4">
        <v>1.93</v>
      </c>
      <c r="E44" s="4"/>
      <c r="F44" s="4"/>
      <c r="G44" s="4" t="s">
        <v>139</v>
      </c>
      <c r="H44" s="4"/>
      <c r="I44" s="4"/>
      <c r="J44" s="4"/>
    </row>
    <row r="45" spans="1:10">
      <c r="A45" s="4"/>
      <c r="B45" s="4"/>
      <c r="C45" s="4" t="s">
        <v>146</v>
      </c>
      <c r="D45" s="4">
        <v>10.55</v>
      </c>
      <c r="E45" s="4"/>
      <c r="F45" s="4"/>
      <c r="G45" s="4" t="s">
        <v>139</v>
      </c>
      <c r="H45" s="4"/>
      <c r="I45" s="4"/>
      <c r="J45" s="4"/>
    </row>
    <row r="46" spans="1:10">
      <c r="A46" s="4"/>
      <c r="B46" s="4"/>
      <c r="C46" s="4" t="s">
        <v>147</v>
      </c>
      <c r="D46" s="4">
        <v>5.91</v>
      </c>
      <c r="E46" s="4"/>
      <c r="F46" s="4"/>
      <c r="G46" s="4" t="s">
        <v>148</v>
      </c>
      <c r="H46" s="4"/>
      <c r="I46" s="4"/>
      <c r="J46" s="4"/>
    </row>
    <row r="47" spans="1:10">
      <c r="A47" s="4"/>
      <c r="B47" s="4"/>
      <c r="C47" s="4" t="s">
        <v>149</v>
      </c>
      <c r="D47" s="4">
        <v>10.395</v>
      </c>
      <c r="E47" s="4"/>
      <c r="F47" s="4"/>
      <c r="G47" s="4" t="s">
        <v>148</v>
      </c>
      <c r="H47" s="4"/>
      <c r="I47" s="4"/>
      <c r="J47" s="4"/>
    </row>
    <row r="48" spans="1:10">
      <c r="A48" s="4"/>
      <c r="B48" s="4"/>
      <c r="C48" s="4" t="s">
        <v>150</v>
      </c>
      <c r="D48" s="4">
        <v>25.574999999999999</v>
      </c>
      <c r="E48" s="4"/>
      <c r="F48" s="4"/>
      <c r="G48" s="4" t="s">
        <v>148</v>
      </c>
      <c r="H48" s="4"/>
      <c r="I48" s="4"/>
      <c r="J48" s="4"/>
    </row>
    <row r="49" spans="1:10">
      <c r="A49" s="4"/>
      <c r="B49" s="4"/>
      <c r="C49" s="4"/>
      <c r="D49" s="4">
        <f>SUM(D43:D48)</f>
        <v>71.36</v>
      </c>
      <c r="E49" s="4"/>
      <c r="F49" s="4"/>
      <c r="G49" s="4"/>
      <c r="H49" s="4"/>
      <c r="I49" s="4"/>
      <c r="J49" s="4"/>
    </row>
    <row r="50" spans="1:10">
      <c r="A50" s="239" t="s">
        <v>151</v>
      </c>
      <c r="B50" s="239"/>
      <c r="C50" s="239"/>
      <c r="D50" s="4"/>
      <c r="E50" s="4"/>
      <c r="F50" s="4"/>
      <c r="G50" s="4"/>
      <c r="H50" s="4"/>
      <c r="I50" s="4"/>
      <c r="J50" s="4"/>
    </row>
    <row r="51" spans="1:10">
      <c r="A51" s="4" t="s">
        <v>152</v>
      </c>
      <c r="B51" s="4"/>
      <c r="C51" s="4" t="s">
        <v>153</v>
      </c>
      <c r="D51" s="4">
        <v>83.81</v>
      </c>
      <c r="E51" s="4"/>
      <c r="F51" s="4"/>
      <c r="G51" s="4"/>
      <c r="H51" s="4"/>
      <c r="I51" s="4"/>
      <c r="J51" s="4"/>
    </row>
    <row r="52" spans="1:10">
      <c r="A52" s="4"/>
      <c r="B52" s="4"/>
      <c r="C52" s="4" t="s">
        <v>154</v>
      </c>
      <c r="D52" s="4">
        <v>70.64</v>
      </c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>
        <f>D52+D51</f>
        <v>154.44999999999999</v>
      </c>
      <c r="E53" s="4"/>
      <c r="F53" s="4"/>
      <c r="G53" s="4"/>
      <c r="H53" s="4"/>
      <c r="I53" s="4"/>
      <c r="J53" s="4"/>
    </row>
    <row r="54" spans="1:10">
      <c r="A54" s="4" t="s">
        <v>155</v>
      </c>
      <c r="B54" s="4"/>
      <c r="C54" s="4" t="s">
        <v>154</v>
      </c>
      <c r="D54" s="4">
        <v>89.944999999999993</v>
      </c>
      <c r="E54" s="4"/>
      <c r="F54" s="4"/>
      <c r="G54" s="4" t="s">
        <v>139</v>
      </c>
      <c r="H54" s="4"/>
      <c r="I54" s="4"/>
      <c r="J54" s="4"/>
    </row>
    <row r="55" spans="1:10">
      <c r="A55" s="4"/>
      <c r="B55" s="4"/>
      <c r="C55" s="4" t="s">
        <v>156</v>
      </c>
      <c r="D55" s="4">
        <v>21.44</v>
      </c>
      <c r="E55" s="4"/>
      <c r="F55" s="4"/>
      <c r="G55" s="4" t="s">
        <v>148</v>
      </c>
      <c r="H55" s="4"/>
      <c r="I55" s="4"/>
      <c r="J55" s="4"/>
    </row>
    <row r="56" spans="1:10">
      <c r="A56" s="4"/>
      <c r="B56" s="4"/>
      <c r="C56" s="4" t="s">
        <v>157</v>
      </c>
      <c r="D56" s="4">
        <v>3.43</v>
      </c>
      <c r="E56" s="4"/>
      <c r="F56" s="4"/>
      <c r="G56" s="4" t="s">
        <v>148</v>
      </c>
      <c r="H56" s="4"/>
      <c r="I56" s="4"/>
      <c r="J56" s="4"/>
    </row>
    <row r="57" spans="1:10">
      <c r="A57" s="4"/>
      <c r="B57" s="4"/>
      <c r="C57" s="4"/>
      <c r="D57" s="4">
        <f>SUM(D54:D56)</f>
        <v>114.815</v>
      </c>
      <c r="E57" s="4"/>
      <c r="F57" s="4"/>
      <c r="G57" s="4"/>
      <c r="H57" s="4"/>
      <c r="I57" s="4"/>
      <c r="J57" s="4"/>
    </row>
    <row r="58" spans="1:10">
      <c r="A58" s="239" t="s">
        <v>158</v>
      </c>
      <c r="B58" s="239"/>
      <c r="C58" s="239"/>
      <c r="D58" s="4"/>
      <c r="E58" s="4"/>
      <c r="F58" s="4"/>
      <c r="G58" s="4"/>
      <c r="H58" s="4"/>
      <c r="I58" s="4"/>
      <c r="J58" s="4"/>
    </row>
    <row r="59" spans="1:10">
      <c r="A59" s="239" t="s">
        <v>159</v>
      </c>
      <c r="B59" s="239"/>
      <c r="C59" s="239"/>
      <c r="D59" s="4"/>
      <c r="E59" s="4"/>
      <c r="F59" s="4"/>
      <c r="G59" s="4"/>
      <c r="H59" s="4"/>
      <c r="I59" s="4"/>
      <c r="J59" s="4"/>
    </row>
    <row r="60" spans="1:10">
      <c r="A60" s="4" t="s">
        <v>160</v>
      </c>
      <c r="B60" s="4"/>
      <c r="C60" s="4" t="s">
        <v>64</v>
      </c>
      <c r="D60" s="4">
        <v>88.12</v>
      </c>
      <c r="E60" s="4"/>
      <c r="F60" s="4"/>
      <c r="G60" s="4" t="s">
        <v>18</v>
      </c>
      <c r="H60" s="4"/>
      <c r="I60" s="4"/>
      <c r="J60" s="4"/>
    </row>
    <row r="61" spans="1:10">
      <c r="A61" s="4"/>
      <c r="B61" s="4"/>
      <c r="C61" s="4"/>
      <c r="D61" s="4">
        <f>D60</f>
        <v>88.12</v>
      </c>
      <c r="E61" s="4"/>
      <c r="F61" s="4"/>
      <c r="G61" s="4"/>
      <c r="H61" s="4"/>
      <c r="I61" s="4"/>
      <c r="J61" s="4"/>
    </row>
    <row r="62" spans="1:10">
      <c r="A62" s="4" t="s">
        <v>161</v>
      </c>
      <c r="B62" s="4"/>
      <c r="C62" s="4" t="s">
        <v>64</v>
      </c>
      <c r="D62" s="4">
        <v>62.93</v>
      </c>
      <c r="E62" s="4"/>
      <c r="F62" s="4"/>
      <c r="G62" s="4" t="s">
        <v>18</v>
      </c>
      <c r="H62" s="4"/>
      <c r="I62" s="4"/>
      <c r="J62" s="4"/>
    </row>
    <row r="63" spans="1:10">
      <c r="A63" s="4"/>
      <c r="B63" s="4"/>
      <c r="C63" s="4" t="s">
        <v>70</v>
      </c>
      <c r="D63" s="4">
        <v>4.32</v>
      </c>
      <c r="E63" s="4"/>
      <c r="F63" s="4"/>
      <c r="G63" s="4" t="s">
        <v>18</v>
      </c>
      <c r="H63" s="4"/>
      <c r="I63" s="4"/>
      <c r="J63" s="4"/>
    </row>
    <row r="64" spans="1:10">
      <c r="A64" s="4"/>
      <c r="B64" s="4"/>
      <c r="C64" s="4" t="s">
        <v>162</v>
      </c>
      <c r="D64" s="4">
        <v>4.5149999999999997</v>
      </c>
      <c r="E64" s="4"/>
      <c r="F64" s="4"/>
      <c r="G64" s="4" t="s">
        <v>17</v>
      </c>
      <c r="H64" s="4"/>
      <c r="I64" s="4"/>
      <c r="J64" s="4"/>
    </row>
    <row r="65" spans="1:10">
      <c r="A65" s="4"/>
      <c r="B65" s="4"/>
      <c r="C65" s="4" t="s">
        <v>163</v>
      </c>
      <c r="D65" s="4">
        <v>1.84</v>
      </c>
      <c r="E65" s="4"/>
      <c r="F65" s="4"/>
      <c r="G65" s="4" t="s">
        <v>17</v>
      </c>
      <c r="H65" s="4"/>
      <c r="I65" s="4"/>
      <c r="J65" s="4"/>
    </row>
    <row r="66" spans="1:10">
      <c r="A66" s="4"/>
      <c r="B66" s="4"/>
      <c r="C66" s="4"/>
      <c r="D66" s="4">
        <f>SUM(D62:D65)</f>
        <v>73.605000000000004</v>
      </c>
      <c r="E66" s="4"/>
      <c r="F66" s="4"/>
      <c r="G66" s="4"/>
      <c r="H66" s="4"/>
      <c r="I66" s="4"/>
      <c r="J66" s="4"/>
    </row>
    <row r="67" spans="1:10">
      <c r="A67" s="239" t="s">
        <v>164</v>
      </c>
      <c r="B67" s="239"/>
      <c r="C67" s="239"/>
      <c r="D67" s="4"/>
      <c r="E67" s="4"/>
      <c r="F67" s="4"/>
      <c r="G67" s="4"/>
      <c r="H67" s="4"/>
      <c r="I67" s="4"/>
      <c r="J67" s="4"/>
    </row>
    <row r="68" spans="1:10">
      <c r="A68" s="4" t="s">
        <v>165</v>
      </c>
      <c r="B68" s="4"/>
      <c r="C68" s="4" t="s">
        <v>78</v>
      </c>
      <c r="D68" s="4">
        <v>122.75</v>
      </c>
      <c r="E68" s="4"/>
      <c r="F68" s="4"/>
      <c r="G68" s="4" t="s">
        <v>139</v>
      </c>
      <c r="H68" s="4"/>
      <c r="I68" s="4"/>
      <c r="J68" s="4"/>
    </row>
    <row r="69" spans="1:10">
      <c r="A69" s="4"/>
      <c r="B69" s="4"/>
      <c r="C69" s="4" t="s">
        <v>72</v>
      </c>
      <c r="D69" s="4">
        <v>34.134999999999998</v>
      </c>
      <c r="E69" s="4"/>
      <c r="F69" s="4"/>
      <c r="G69" s="4" t="s">
        <v>139</v>
      </c>
      <c r="H69" s="4"/>
      <c r="I69" s="4"/>
      <c r="J69" s="4"/>
    </row>
    <row r="70" spans="1:10">
      <c r="A70" s="4"/>
      <c r="B70" s="4"/>
      <c r="C70" s="4"/>
      <c r="D70" s="4">
        <f>SUM(D68:D69)</f>
        <v>156.88499999999999</v>
      </c>
      <c r="E70" s="4"/>
      <c r="F70" s="4"/>
      <c r="G70" s="4"/>
      <c r="H70" s="4"/>
      <c r="I70" s="4"/>
      <c r="J70" s="4"/>
    </row>
    <row r="71" spans="1:10">
      <c r="A71" s="239" t="s">
        <v>166</v>
      </c>
      <c r="B71" s="239"/>
      <c r="C71" s="239"/>
      <c r="D71" s="4"/>
      <c r="E71" s="4"/>
      <c r="F71" s="4"/>
      <c r="G71" s="4"/>
      <c r="H71" s="4"/>
      <c r="I71" s="4"/>
      <c r="J71" s="4"/>
    </row>
    <row r="72" spans="1:10">
      <c r="A72" s="4" t="s">
        <v>167</v>
      </c>
      <c r="B72" s="4"/>
      <c r="C72" s="4" t="s">
        <v>168</v>
      </c>
      <c r="D72" s="4">
        <v>39.380000000000003</v>
      </c>
      <c r="E72" s="4"/>
      <c r="F72" s="4"/>
      <c r="G72" s="4" t="s">
        <v>139</v>
      </c>
      <c r="H72" s="4"/>
      <c r="I72" s="4"/>
      <c r="J72" s="4"/>
    </row>
    <row r="73" spans="1:10">
      <c r="A73" s="4"/>
      <c r="B73" s="4"/>
      <c r="C73" s="4" t="s">
        <v>169</v>
      </c>
      <c r="D73" s="4">
        <v>77.84</v>
      </c>
      <c r="E73" s="4"/>
      <c r="F73" s="4"/>
      <c r="G73" s="4" t="s">
        <v>139</v>
      </c>
      <c r="H73" s="4"/>
      <c r="I73" s="4"/>
      <c r="J73" s="4"/>
    </row>
    <row r="74" spans="1:10">
      <c r="A74" s="4"/>
      <c r="B74" s="4"/>
      <c r="C74" s="4" t="s">
        <v>170</v>
      </c>
      <c r="D74" s="4">
        <v>5.5650000000000004</v>
      </c>
      <c r="E74" s="4"/>
      <c r="F74" s="4"/>
      <c r="G74" s="4" t="s">
        <v>139</v>
      </c>
      <c r="H74" s="4"/>
      <c r="I74" s="4"/>
      <c r="J74" s="4"/>
    </row>
    <row r="75" spans="1:10">
      <c r="A75" s="4"/>
      <c r="B75" s="4"/>
      <c r="C75" s="4"/>
      <c r="D75" s="4">
        <f>SUM(D72:D74)</f>
        <v>122.785</v>
      </c>
      <c r="E75" s="4"/>
      <c r="F75" s="4"/>
      <c r="G75" s="4"/>
      <c r="H75" s="4"/>
      <c r="I75" s="4"/>
      <c r="J75" s="4"/>
    </row>
    <row r="76" spans="1:10">
      <c r="A76" s="4" t="s">
        <v>171</v>
      </c>
      <c r="B76" s="4"/>
      <c r="C76" s="4" t="s">
        <v>170</v>
      </c>
      <c r="D76" s="4">
        <v>29.83</v>
      </c>
      <c r="E76" s="4"/>
      <c r="F76" s="4"/>
      <c r="G76" s="4" t="s">
        <v>139</v>
      </c>
      <c r="H76" s="4" t="s">
        <v>172</v>
      </c>
      <c r="I76" s="4"/>
      <c r="J76" s="4"/>
    </row>
    <row r="77" spans="1:10">
      <c r="A77" s="4"/>
      <c r="B77" s="4"/>
      <c r="C77" s="4" t="s">
        <v>168</v>
      </c>
      <c r="D77" s="4">
        <v>41.395000000000003</v>
      </c>
      <c r="E77" s="4"/>
      <c r="F77" s="4"/>
      <c r="G77" s="4" t="s">
        <v>139</v>
      </c>
      <c r="H77" s="4" t="s">
        <v>172</v>
      </c>
      <c r="I77" s="4"/>
      <c r="J77" s="4"/>
    </row>
    <row r="78" spans="1:10">
      <c r="A78" s="4"/>
      <c r="B78" s="4"/>
      <c r="C78" s="4" t="s">
        <v>173</v>
      </c>
      <c r="D78" s="4">
        <v>38.15</v>
      </c>
      <c r="E78" s="4"/>
      <c r="F78" s="4"/>
      <c r="G78" s="4" t="s">
        <v>139</v>
      </c>
      <c r="H78" s="4" t="s">
        <v>172</v>
      </c>
      <c r="I78" s="4"/>
      <c r="J78" s="4"/>
    </row>
    <row r="79" spans="1:10">
      <c r="A79" s="4"/>
      <c r="B79" s="4"/>
      <c r="C79" s="4" t="s">
        <v>174</v>
      </c>
      <c r="D79" s="4">
        <v>40.81</v>
      </c>
      <c r="E79" s="4"/>
      <c r="F79" s="4"/>
      <c r="G79" s="4" t="s">
        <v>139</v>
      </c>
      <c r="H79" s="4" t="s">
        <v>172</v>
      </c>
      <c r="I79" s="4"/>
      <c r="J79" s="4"/>
    </row>
    <row r="80" spans="1:10">
      <c r="A80" s="4"/>
      <c r="B80" s="4"/>
      <c r="C80" s="4"/>
      <c r="D80" s="4">
        <f>SUM(D76:D79)</f>
        <v>150.185</v>
      </c>
      <c r="E80" s="4"/>
      <c r="F80" s="4"/>
      <c r="G80" s="4"/>
      <c r="H80" s="4"/>
      <c r="I80" s="4"/>
      <c r="J80" s="4"/>
    </row>
    <row r="81" spans="1:10">
      <c r="A81" s="4" t="s">
        <v>175</v>
      </c>
      <c r="B81" s="4"/>
      <c r="C81" s="4" t="s">
        <v>153</v>
      </c>
      <c r="D81" s="4">
        <v>35.854999999999997</v>
      </c>
      <c r="E81" s="4"/>
      <c r="F81" s="4"/>
      <c r="G81" s="4" t="s">
        <v>139</v>
      </c>
      <c r="H81" s="4" t="s">
        <v>172</v>
      </c>
      <c r="I81" s="4"/>
      <c r="J81" s="4"/>
    </row>
    <row r="82" spans="1:10">
      <c r="A82" s="4"/>
      <c r="B82" s="4"/>
      <c r="C82" s="4" t="s">
        <v>176</v>
      </c>
      <c r="D82" s="4">
        <v>55.805</v>
      </c>
      <c r="E82" s="4"/>
      <c r="F82" s="4"/>
      <c r="G82" s="4" t="s">
        <v>139</v>
      </c>
      <c r="H82" s="4" t="s">
        <v>172</v>
      </c>
      <c r="I82" s="4"/>
      <c r="J82" s="4"/>
    </row>
    <row r="83" spans="1:10">
      <c r="A83" s="4"/>
      <c r="B83" s="4"/>
      <c r="C83" s="4" t="s">
        <v>154</v>
      </c>
      <c r="D83" s="4">
        <v>81.58</v>
      </c>
      <c r="E83" s="4"/>
      <c r="F83" s="4"/>
      <c r="G83" s="4" t="s">
        <v>139</v>
      </c>
      <c r="H83" s="4" t="s">
        <v>172</v>
      </c>
      <c r="I83" s="4"/>
      <c r="J83" s="4"/>
    </row>
    <row r="84" spans="1:10">
      <c r="A84" s="4"/>
      <c r="B84" s="4"/>
      <c r="C84" s="4"/>
      <c r="D84" s="4">
        <f>SUM(D81:D83)</f>
        <v>173.24</v>
      </c>
      <c r="E84" s="4"/>
      <c r="F84" s="4"/>
      <c r="G84" s="4"/>
      <c r="H84" s="4"/>
      <c r="I84" s="4"/>
      <c r="J84" s="4"/>
    </row>
    <row r="85" spans="1:10">
      <c r="A85" s="4" t="s">
        <v>177</v>
      </c>
      <c r="B85" s="4"/>
      <c r="C85" s="4" t="s">
        <v>178</v>
      </c>
      <c r="D85" s="4">
        <v>76.715000000000003</v>
      </c>
      <c r="E85" s="4"/>
      <c r="F85" s="4"/>
      <c r="G85" s="4" t="s">
        <v>139</v>
      </c>
      <c r="H85" s="4" t="s">
        <v>172</v>
      </c>
      <c r="I85" s="4"/>
      <c r="J85" s="4"/>
    </row>
    <row r="86" spans="1:10">
      <c r="A86" s="4"/>
      <c r="B86" s="4"/>
      <c r="C86" s="4" t="s">
        <v>138</v>
      </c>
      <c r="D86" s="4">
        <v>8.5649999999999995</v>
      </c>
      <c r="E86" s="4"/>
      <c r="F86" s="4"/>
      <c r="G86" s="4" t="s">
        <v>139</v>
      </c>
      <c r="H86" s="4" t="s">
        <v>172</v>
      </c>
      <c r="I86" s="4"/>
      <c r="J86" s="4"/>
    </row>
    <row r="87" spans="1:10">
      <c r="A87" s="4"/>
      <c r="B87" s="4"/>
      <c r="C87" s="4"/>
      <c r="D87" s="4">
        <f>SUM(D85:D86)</f>
        <v>85.28</v>
      </c>
      <c r="E87" s="4"/>
      <c r="F87" s="4"/>
      <c r="G87" s="4"/>
      <c r="H87" s="4"/>
      <c r="I87" s="4"/>
      <c r="J87" s="4"/>
    </row>
    <row r="88" spans="1:10">
      <c r="A88" s="239" t="s">
        <v>179</v>
      </c>
      <c r="B88" s="239"/>
      <c r="C88" s="239"/>
      <c r="D88" s="4"/>
      <c r="E88" s="4"/>
      <c r="F88" s="4"/>
      <c r="G88" s="4"/>
      <c r="H88" s="4"/>
      <c r="I88" s="4"/>
      <c r="J88" s="4"/>
    </row>
    <row r="89" spans="1:10">
      <c r="A89" s="4" t="s">
        <v>180</v>
      </c>
      <c r="B89" s="4"/>
      <c r="C89" s="4" t="s">
        <v>138</v>
      </c>
      <c r="D89" s="4">
        <v>13.275</v>
      </c>
      <c r="E89" s="4"/>
      <c r="F89" s="4"/>
      <c r="G89" s="4" t="s">
        <v>139</v>
      </c>
      <c r="H89" s="4" t="s">
        <v>172</v>
      </c>
      <c r="I89" s="4" t="s">
        <v>181</v>
      </c>
      <c r="J89" s="4"/>
    </row>
    <row r="90" spans="1:10">
      <c r="A90" s="4"/>
      <c r="B90" s="4"/>
      <c r="C90" s="4"/>
      <c r="D90" s="4">
        <f>D89</f>
        <v>13.275</v>
      </c>
      <c r="E90" s="4"/>
      <c r="F90" s="4"/>
      <c r="G90" s="4"/>
      <c r="H90" s="4"/>
      <c r="I90" s="4"/>
      <c r="J90" s="4"/>
    </row>
    <row r="91" spans="1:10">
      <c r="A91" s="4" t="s">
        <v>182</v>
      </c>
      <c r="B91" s="4"/>
      <c r="C91" s="4" t="s">
        <v>138</v>
      </c>
      <c r="D91" s="4">
        <v>106.04</v>
      </c>
      <c r="E91" s="4"/>
      <c r="F91" s="4"/>
      <c r="G91" s="4" t="s">
        <v>139</v>
      </c>
      <c r="H91" s="4" t="s">
        <v>172</v>
      </c>
      <c r="I91" s="4"/>
      <c r="J91" s="4"/>
    </row>
    <row r="92" spans="1:10">
      <c r="A92" s="4"/>
      <c r="B92" s="4"/>
      <c r="C92" s="4" t="s">
        <v>143</v>
      </c>
      <c r="D92" s="4">
        <v>45.39</v>
      </c>
      <c r="E92" s="4"/>
      <c r="F92" s="4"/>
      <c r="G92" s="4" t="s">
        <v>139</v>
      </c>
      <c r="H92" s="4" t="s">
        <v>172</v>
      </c>
      <c r="I92" s="4"/>
      <c r="J92" s="4"/>
    </row>
    <row r="93" spans="1:10">
      <c r="A93" s="4"/>
      <c r="B93" s="4"/>
      <c r="C93" s="4"/>
      <c r="D93" s="4">
        <f>SUM(D91:D92)</f>
        <v>151.43</v>
      </c>
      <c r="E93" s="4"/>
      <c r="F93" s="4"/>
      <c r="G93" s="4"/>
      <c r="H93" s="4"/>
      <c r="I93" s="4"/>
      <c r="J93" s="4"/>
    </row>
    <row r="94" spans="1:10">
      <c r="A94" s="4" t="s">
        <v>183</v>
      </c>
      <c r="B94" s="4"/>
      <c r="C94" s="4" t="s">
        <v>143</v>
      </c>
      <c r="D94" s="4">
        <v>117.5</v>
      </c>
      <c r="E94" s="4"/>
      <c r="F94" s="4"/>
      <c r="G94" s="4" t="s">
        <v>139</v>
      </c>
      <c r="H94" s="4" t="s">
        <v>172</v>
      </c>
      <c r="I94" s="4"/>
      <c r="J94" s="4"/>
    </row>
    <row r="95" spans="1:10">
      <c r="A95" s="4"/>
      <c r="B95" s="4"/>
      <c r="C95" s="4" t="s">
        <v>178</v>
      </c>
      <c r="D95" s="4">
        <v>0.64</v>
      </c>
      <c r="E95" s="4"/>
      <c r="F95" s="4"/>
      <c r="G95" s="4" t="s">
        <v>139</v>
      </c>
      <c r="H95" s="4" t="s">
        <v>172</v>
      </c>
      <c r="I95" s="4"/>
      <c r="J95" s="4"/>
    </row>
    <row r="96" spans="1:10">
      <c r="A96" s="4"/>
      <c r="B96" s="4"/>
      <c r="C96" s="4" t="s">
        <v>146</v>
      </c>
      <c r="D96" s="4">
        <v>22.055</v>
      </c>
      <c r="E96" s="4"/>
      <c r="F96" s="4"/>
      <c r="G96" s="4" t="s">
        <v>139</v>
      </c>
      <c r="H96" s="4" t="s">
        <v>172</v>
      </c>
      <c r="I96" s="4"/>
      <c r="J96" s="4"/>
    </row>
    <row r="97" spans="1:10">
      <c r="A97" s="4"/>
      <c r="B97" s="4"/>
      <c r="C97" s="4"/>
      <c r="D97" s="4">
        <f>SUM(D94:D96)</f>
        <v>140.19499999999999</v>
      </c>
      <c r="E97" s="4"/>
      <c r="F97" s="4"/>
      <c r="G97" s="4"/>
      <c r="H97" s="4"/>
      <c r="I97" s="4"/>
      <c r="J97" s="4"/>
    </row>
    <row r="98" spans="1:10">
      <c r="A98" s="4" t="s">
        <v>191</v>
      </c>
      <c r="B98" s="4"/>
      <c r="C98" s="4" t="s">
        <v>146</v>
      </c>
      <c r="D98" s="4">
        <v>118.98</v>
      </c>
      <c r="E98" s="4"/>
      <c r="F98" s="4"/>
      <c r="G98" s="4" t="s">
        <v>139</v>
      </c>
      <c r="H98" s="4" t="s">
        <v>172</v>
      </c>
      <c r="I98" s="4"/>
      <c r="J98" s="4"/>
    </row>
    <row r="99" spans="1:10">
      <c r="A99" s="4"/>
      <c r="B99" s="4"/>
      <c r="C99" s="4" t="s">
        <v>178</v>
      </c>
      <c r="D99" s="4">
        <v>3.06</v>
      </c>
      <c r="E99" s="4"/>
      <c r="F99" s="4"/>
      <c r="G99" s="4" t="s">
        <v>139</v>
      </c>
      <c r="H99" s="4" t="s">
        <v>172</v>
      </c>
      <c r="I99" s="4"/>
      <c r="J99" s="4"/>
    </row>
    <row r="100" spans="1:10">
      <c r="A100" s="4"/>
      <c r="B100" s="4"/>
      <c r="C100" s="4"/>
      <c r="D100" s="4">
        <f>SUM(D98:D99)</f>
        <v>122.04</v>
      </c>
      <c r="E100" s="4"/>
      <c r="F100" s="4"/>
      <c r="G100" s="4"/>
      <c r="H100" s="4"/>
      <c r="I100" s="4"/>
      <c r="J100" s="4"/>
    </row>
    <row r="101" spans="1:10">
      <c r="A101" s="4" t="s">
        <v>192</v>
      </c>
      <c r="B101" s="4"/>
      <c r="C101" s="4" t="s">
        <v>193</v>
      </c>
      <c r="D101" s="4">
        <v>24.965</v>
      </c>
      <c r="E101" s="4"/>
      <c r="F101" s="4"/>
      <c r="G101" s="4" t="s">
        <v>194</v>
      </c>
      <c r="H101" s="4" t="s">
        <v>172</v>
      </c>
      <c r="I101" s="4"/>
      <c r="J101" s="4"/>
    </row>
    <row r="102" spans="1:10">
      <c r="A102" s="4"/>
      <c r="B102" s="4"/>
      <c r="C102" s="4"/>
      <c r="D102" s="4">
        <f>D101</f>
        <v>24.965</v>
      </c>
      <c r="E102" s="4"/>
      <c r="F102" s="4"/>
      <c r="G102" s="4"/>
      <c r="H102" s="4"/>
      <c r="I102" s="4"/>
      <c r="J102" s="4"/>
    </row>
    <row r="103" spans="1:10">
      <c r="A103" s="4" t="s">
        <v>195</v>
      </c>
      <c r="B103" s="4"/>
      <c r="C103" s="4" t="s">
        <v>196</v>
      </c>
      <c r="D103" s="4">
        <v>58.59</v>
      </c>
      <c r="E103" s="4"/>
      <c r="F103" s="4"/>
      <c r="G103" s="4" t="s">
        <v>194</v>
      </c>
      <c r="H103" s="4" t="s">
        <v>172</v>
      </c>
      <c r="I103" s="4"/>
      <c r="J103" s="4"/>
    </row>
    <row r="104" spans="1:10">
      <c r="A104" s="4"/>
      <c r="B104" s="4"/>
      <c r="C104" s="4" t="s">
        <v>197</v>
      </c>
      <c r="D104" s="4">
        <v>32.984999999999999</v>
      </c>
      <c r="E104" s="4"/>
      <c r="F104" s="4"/>
      <c r="G104" s="4" t="s">
        <v>194</v>
      </c>
      <c r="H104" s="4" t="s">
        <v>172</v>
      </c>
      <c r="I104" s="4"/>
      <c r="J104" s="4"/>
    </row>
    <row r="105" spans="1:10">
      <c r="A105" s="4"/>
      <c r="B105" s="4"/>
      <c r="C105" s="4" t="s">
        <v>198</v>
      </c>
      <c r="D105" s="4">
        <v>35.795000000000002</v>
      </c>
      <c r="E105" s="4"/>
      <c r="F105" s="4"/>
      <c r="G105" s="4" t="s">
        <v>194</v>
      </c>
      <c r="H105" s="4" t="s">
        <v>172</v>
      </c>
      <c r="I105" s="4"/>
      <c r="J105" s="4"/>
    </row>
    <row r="106" spans="1:10">
      <c r="A106" s="4"/>
      <c r="B106" s="4"/>
      <c r="C106" s="4" t="s">
        <v>199</v>
      </c>
      <c r="D106" s="4">
        <v>23.66</v>
      </c>
      <c r="E106" s="4"/>
      <c r="F106" s="4"/>
      <c r="G106" s="4" t="s">
        <v>194</v>
      </c>
      <c r="H106" s="4" t="s">
        <v>172</v>
      </c>
      <c r="I106" s="4"/>
      <c r="J106" s="4"/>
    </row>
    <row r="107" spans="1:10">
      <c r="A107" s="4"/>
      <c r="B107" s="4"/>
      <c r="C107" s="4" t="s">
        <v>200</v>
      </c>
      <c r="D107" s="4">
        <v>7.96</v>
      </c>
      <c r="E107" s="4"/>
      <c r="F107" s="4"/>
      <c r="G107" s="4" t="s">
        <v>194</v>
      </c>
      <c r="H107" s="4" t="s">
        <v>172</v>
      </c>
      <c r="I107" s="4"/>
      <c r="J107" s="4"/>
    </row>
    <row r="108" spans="1:10">
      <c r="A108" s="4"/>
      <c r="B108" s="4"/>
      <c r="C108" s="4" t="s">
        <v>201</v>
      </c>
      <c r="D108" s="4">
        <v>4.32</v>
      </c>
      <c r="E108" s="4"/>
      <c r="F108" s="4"/>
      <c r="G108" s="4" t="s">
        <v>194</v>
      </c>
      <c r="H108" s="4" t="s">
        <v>172</v>
      </c>
      <c r="I108" s="4"/>
      <c r="J108" s="4"/>
    </row>
    <row r="109" spans="1:10">
      <c r="A109" s="4"/>
      <c r="B109" s="4"/>
      <c r="C109" s="4"/>
      <c r="D109" s="4">
        <f>SUM(D103:D108)</f>
        <v>163.31</v>
      </c>
      <c r="E109" s="4"/>
      <c r="F109" s="4"/>
      <c r="G109" s="4"/>
      <c r="H109" s="4"/>
      <c r="I109" s="4"/>
      <c r="J109" s="4"/>
    </row>
    <row r="110" spans="1:10">
      <c r="A110" s="239" t="s">
        <v>202</v>
      </c>
      <c r="B110" s="239"/>
      <c r="C110" s="239"/>
      <c r="D110" s="4"/>
      <c r="E110" s="4"/>
      <c r="F110" s="4"/>
      <c r="G110" s="4"/>
      <c r="H110" s="4"/>
      <c r="I110" s="4"/>
      <c r="J110" s="4"/>
    </row>
    <row r="111" spans="1:10">
      <c r="A111" s="4" t="s">
        <v>203</v>
      </c>
      <c r="B111" s="4"/>
      <c r="C111" s="4" t="s">
        <v>80</v>
      </c>
      <c r="D111" s="4">
        <v>108.69499999999999</v>
      </c>
      <c r="E111" s="4"/>
      <c r="F111" s="4"/>
      <c r="G111" s="4" t="s">
        <v>18</v>
      </c>
      <c r="H111" s="4" t="s">
        <v>204</v>
      </c>
      <c r="I111" s="4"/>
      <c r="J111" s="4"/>
    </row>
    <row r="112" spans="1:10">
      <c r="A112" s="4"/>
      <c r="B112" s="4"/>
      <c r="C112" s="4"/>
      <c r="D112" s="4">
        <f>D111</f>
        <v>108.69499999999999</v>
      </c>
      <c r="E112" s="4"/>
      <c r="F112" s="4"/>
      <c r="G112" s="4"/>
      <c r="H112" s="4"/>
      <c r="I112" s="4"/>
      <c r="J112" s="4"/>
    </row>
    <row r="113" spans="1:10">
      <c r="A113" s="4" t="s">
        <v>205</v>
      </c>
      <c r="B113" s="4"/>
      <c r="C113" s="4" t="s">
        <v>80</v>
      </c>
      <c r="D113" s="4">
        <v>116.69</v>
      </c>
      <c r="E113" s="4"/>
      <c r="F113" s="4"/>
      <c r="G113" s="4" t="s">
        <v>18</v>
      </c>
      <c r="H113" s="4" t="s">
        <v>204</v>
      </c>
      <c r="I113" s="4"/>
      <c r="J113" s="4"/>
    </row>
    <row r="114" spans="1:10">
      <c r="A114" s="4"/>
      <c r="B114" s="4"/>
      <c r="C114" s="4" t="s">
        <v>79</v>
      </c>
      <c r="D114" s="4">
        <v>11.16</v>
      </c>
      <c r="E114" s="4"/>
      <c r="F114" s="4"/>
      <c r="G114" s="4" t="s">
        <v>18</v>
      </c>
      <c r="H114" s="4" t="s">
        <v>204</v>
      </c>
      <c r="I114" s="4"/>
      <c r="J114" s="4"/>
    </row>
    <row r="115" spans="1:10">
      <c r="A115" s="4"/>
      <c r="B115" s="4"/>
      <c r="C115" s="4"/>
      <c r="D115" s="4">
        <f>SUM(D113:D114)</f>
        <v>127.85</v>
      </c>
      <c r="E115" s="4"/>
      <c r="F115" s="4"/>
      <c r="G115" s="4"/>
      <c r="H115" s="4"/>
      <c r="I115" s="4"/>
      <c r="J115" s="4"/>
    </row>
    <row r="116" spans="1:10">
      <c r="A116" s="4" t="s">
        <v>206</v>
      </c>
      <c r="B116" s="4"/>
      <c r="C116" s="4" t="s">
        <v>79</v>
      </c>
      <c r="D116" s="4">
        <v>31.76</v>
      </c>
      <c r="E116" s="4"/>
      <c r="F116" s="4"/>
      <c r="G116" s="4" t="s">
        <v>18</v>
      </c>
      <c r="H116" s="4" t="s">
        <v>204</v>
      </c>
      <c r="I116" s="4"/>
      <c r="J116" s="4"/>
    </row>
    <row r="117" spans="1:10">
      <c r="A117" s="4"/>
      <c r="B117" s="4"/>
      <c r="C117" s="4" t="s">
        <v>72</v>
      </c>
      <c r="D117" s="4">
        <v>73.944999999999993</v>
      </c>
      <c r="E117" s="4"/>
      <c r="F117" s="4"/>
      <c r="G117" s="4"/>
      <c r="H117" s="4"/>
      <c r="I117" s="4"/>
      <c r="J117" s="4"/>
    </row>
    <row r="118" spans="1:10">
      <c r="A118" s="4"/>
      <c r="B118" s="4"/>
      <c r="C118" s="4"/>
      <c r="D118" s="4">
        <f>SUM(D116:D117)</f>
        <v>105.705</v>
      </c>
      <c r="E118" s="4"/>
      <c r="F118" s="4"/>
      <c r="G118" s="4"/>
      <c r="H118" s="4"/>
      <c r="I118" s="4"/>
      <c r="J118" s="4"/>
    </row>
    <row r="119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>
      <c r="A120" s="4"/>
      <c r="B120" s="4"/>
      <c r="C120" s="4" t="s">
        <v>231</v>
      </c>
      <c r="D120" s="4">
        <f>D37+D40+D42+D49+D53+D57+D61+D66+D70+D75+D80+D84+D87+D90+D93+D97+D100+D102+D109+D112+D115+D118</f>
        <v>2515.0050000000001</v>
      </c>
      <c r="E120" s="4"/>
      <c r="F120" s="4"/>
      <c r="G120" s="4"/>
      <c r="H120" s="4"/>
      <c r="I120" s="4"/>
      <c r="J120" s="4"/>
    </row>
    <row r="121" spans="1:10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>
      <c r="A122" s="4" t="s">
        <v>208</v>
      </c>
      <c r="B122" s="4"/>
      <c r="C122" s="4" t="s">
        <v>72</v>
      </c>
      <c r="D122" s="4">
        <v>52.414999999999999</v>
      </c>
      <c r="E122" s="4"/>
      <c r="F122" s="4"/>
      <c r="G122" s="4" t="s">
        <v>139</v>
      </c>
      <c r="H122" s="4" t="s">
        <v>172</v>
      </c>
      <c r="I122" s="4"/>
      <c r="J122" s="4"/>
    </row>
    <row r="123" spans="1:10">
      <c r="A123" s="4"/>
      <c r="B123" s="4"/>
      <c r="C123" s="4" t="s">
        <v>78</v>
      </c>
      <c r="D123" s="4">
        <v>65.185000000000002</v>
      </c>
      <c r="E123" s="4"/>
      <c r="F123" s="4"/>
      <c r="G123" s="4" t="s">
        <v>139</v>
      </c>
      <c r="H123" s="4" t="s">
        <v>172</v>
      </c>
      <c r="I123" s="4"/>
      <c r="J123" s="4"/>
    </row>
    <row r="124" spans="1:10">
      <c r="A124" s="4"/>
      <c r="B124" s="4"/>
      <c r="C124" s="4"/>
      <c r="D124" s="4">
        <f>SUM(D122:D123)</f>
        <v>117.6</v>
      </c>
      <c r="E124" s="4"/>
      <c r="F124" s="4"/>
      <c r="G124" s="4"/>
      <c r="H124" s="4"/>
      <c r="I124" s="4"/>
      <c r="J124" s="4"/>
    </row>
    <row r="125" spans="1:10">
      <c r="A125" s="4" t="s">
        <v>209</v>
      </c>
      <c r="B125" s="4"/>
      <c r="C125" s="4" t="s">
        <v>78</v>
      </c>
      <c r="D125" s="4">
        <v>107.44499999999999</v>
      </c>
      <c r="E125" s="4"/>
      <c r="F125" s="4"/>
      <c r="G125" s="4" t="s">
        <v>139</v>
      </c>
      <c r="H125" s="4" t="s">
        <v>172</v>
      </c>
      <c r="I125" s="4"/>
      <c r="J125" s="4"/>
    </row>
    <row r="126" spans="1:10">
      <c r="A126" s="4"/>
      <c r="B126" s="4"/>
      <c r="C126" s="4" t="s">
        <v>77</v>
      </c>
      <c r="D126" s="4">
        <v>2.875</v>
      </c>
      <c r="E126" s="4"/>
      <c r="F126" s="4"/>
      <c r="G126" s="4" t="s">
        <v>139</v>
      </c>
      <c r="H126" s="4" t="s">
        <v>172</v>
      </c>
      <c r="I126" s="4"/>
      <c r="J126" s="4"/>
    </row>
    <row r="127" spans="1:10">
      <c r="A127" s="4"/>
      <c r="B127" s="4"/>
      <c r="C127" s="4"/>
      <c r="D127" s="4">
        <f>SUM(D125:D126)</f>
        <v>110.32</v>
      </c>
      <c r="E127" s="4"/>
      <c r="F127" s="4"/>
      <c r="G127" s="4"/>
      <c r="H127" s="4"/>
      <c r="I127" s="4"/>
      <c r="J127" s="4"/>
    </row>
    <row r="128" spans="1:10">
      <c r="A128" s="4" t="s">
        <v>210</v>
      </c>
      <c r="B128" s="4"/>
      <c r="C128" s="4" t="s">
        <v>211</v>
      </c>
      <c r="D128" s="4">
        <v>64.010000000000005</v>
      </c>
      <c r="E128" s="4"/>
      <c r="F128" s="4"/>
      <c r="G128" s="4" t="s">
        <v>139</v>
      </c>
      <c r="H128" s="4" t="s">
        <v>172</v>
      </c>
      <c r="I128" s="4"/>
      <c r="J128" s="4"/>
    </row>
    <row r="129" spans="1:10">
      <c r="A129" s="4"/>
      <c r="B129" s="4"/>
      <c r="C129" s="4" t="s">
        <v>212</v>
      </c>
      <c r="D129" s="4">
        <v>2.27</v>
      </c>
      <c r="E129" s="4"/>
      <c r="F129" s="4"/>
      <c r="G129" s="4" t="s">
        <v>139</v>
      </c>
      <c r="H129" s="4" t="s">
        <v>172</v>
      </c>
      <c r="I129" s="4"/>
      <c r="J129" s="4"/>
    </row>
    <row r="130" spans="1:10">
      <c r="A130" s="4"/>
      <c r="B130" s="4"/>
      <c r="C130" s="4" t="s">
        <v>213</v>
      </c>
      <c r="D130" s="4">
        <v>94.25</v>
      </c>
      <c r="E130" s="4"/>
      <c r="F130" s="4"/>
      <c r="G130" s="4" t="s">
        <v>139</v>
      </c>
      <c r="H130" s="4" t="s">
        <v>172</v>
      </c>
      <c r="I130" s="4"/>
      <c r="J130" s="4"/>
    </row>
    <row r="131" spans="1:10">
      <c r="A131" s="4"/>
      <c r="B131" s="4"/>
      <c r="C131" s="4"/>
      <c r="D131" s="4">
        <f>SUM(D128:D130)</f>
        <v>160.53</v>
      </c>
      <c r="E131" s="4"/>
      <c r="F131" s="4"/>
      <c r="G131" s="4"/>
      <c r="H131" s="4"/>
      <c r="I131" s="4"/>
      <c r="J131" s="4"/>
    </row>
    <row r="132" spans="1:10">
      <c r="A132" s="239" t="s">
        <v>214</v>
      </c>
      <c r="B132" s="239"/>
      <c r="C132" s="239"/>
      <c r="D132" s="4"/>
      <c r="E132" s="4"/>
      <c r="F132" s="4"/>
      <c r="G132" s="4"/>
      <c r="H132" s="4"/>
      <c r="I132" s="4"/>
      <c r="J132" s="4"/>
    </row>
    <row r="133" spans="1:10">
      <c r="A133" s="4" t="s">
        <v>215</v>
      </c>
      <c r="B133" s="4"/>
      <c r="C133" s="4" t="s">
        <v>213</v>
      </c>
      <c r="D133" s="4">
        <v>20.82</v>
      </c>
      <c r="E133" s="4"/>
      <c r="F133" s="4"/>
      <c r="G133" s="4" t="s">
        <v>139</v>
      </c>
      <c r="H133" s="4" t="s">
        <v>172</v>
      </c>
      <c r="I133" s="4"/>
      <c r="J133" s="4"/>
    </row>
    <row r="134" spans="1:10">
      <c r="A134" s="4"/>
      <c r="B134" s="4"/>
      <c r="C134" s="4" t="s">
        <v>216</v>
      </c>
      <c r="D134" s="4">
        <v>88.77</v>
      </c>
      <c r="E134" s="4"/>
      <c r="F134" s="4"/>
      <c r="G134" s="4" t="s">
        <v>139</v>
      </c>
      <c r="H134" s="4" t="s">
        <v>172</v>
      </c>
      <c r="I134" s="4"/>
      <c r="J134" s="4"/>
    </row>
    <row r="135" spans="1:10">
      <c r="A135" s="4"/>
      <c r="B135" s="4"/>
      <c r="C135" s="4" t="s">
        <v>217</v>
      </c>
      <c r="D135" s="4">
        <v>3.56</v>
      </c>
      <c r="E135" s="4"/>
      <c r="F135" s="4"/>
      <c r="G135" s="4" t="s">
        <v>139</v>
      </c>
      <c r="H135" s="4" t="s">
        <v>172</v>
      </c>
      <c r="I135" s="4"/>
      <c r="J135" s="4"/>
    </row>
    <row r="136" spans="1:10">
      <c r="A136" s="4"/>
      <c r="B136" s="4"/>
      <c r="C136" s="4"/>
      <c r="D136" s="4">
        <f>SUM(D133:D135)</f>
        <v>113.15</v>
      </c>
      <c r="E136" s="4"/>
      <c r="F136" s="4"/>
      <c r="G136" s="4"/>
      <c r="H136" s="4"/>
      <c r="I136" s="4"/>
      <c r="J136" s="4"/>
    </row>
    <row r="137" spans="1:10">
      <c r="A137" s="4" t="s">
        <v>220</v>
      </c>
      <c r="B137" s="4"/>
      <c r="C137" s="4" t="s">
        <v>150</v>
      </c>
      <c r="D137" s="4">
        <v>56.53</v>
      </c>
      <c r="E137" s="4"/>
      <c r="F137" s="4"/>
      <c r="G137" s="4" t="s">
        <v>148</v>
      </c>
      <c r="H137" s="4" t="s">
        <v>204</v>
      </c>
      <c r="I137" s="4"/>
      <c r="J137" s="4"/>
    </row>
    <row r="138" spans="1:10">
      <c r="A138" s="4"/>
      <c r="B138" s="4"/>
      <c r="C138" s="4" t="s">
        <v>147</v>
      </c>
      <c r="D138" s="4">
        <v>23.7</v>
      </c>
      <c r="E138" s="4"/>
      <c r="F138" s="4"/>
      <c r="G138" s="4" t="s">
        <v>148</v>
      </c>
      <c r="H138" s="4" t="s">
        <v>204</v>
      </c>
      <c r="I138" s="4"/>
      <c r="J138" s="4"/>
    </row>
    <row r="139" spans="1:10">
      <c r="A139" s="4"/>
      <c r="B139" s="4"/>
      <c r="C139" s="4" t="s">
        <v>149</v>
      </c>
      <c r="D139" s="4">
        <v>25.645</v>
      </c>
      <c r="E139" s="4"/>
      <c r="F139" s="4"/>
      <c r="G139" s="4" t="s">
        <v>148</v>
      </c>
      <c r="H139" s="4" t="s">
        <v>204</v>
      </c>
      <c r="I139" s="4"/>
      <c r="J139" s="4"/>
    </row>
    <row r="140" spans="1:10">
      <c r="A140" s="4"/>
      <c r="B140" s="4"/>
      <c r="C140" s="4" t="s">
        <v>138</v>
      </c>
      <c r="D140" s="4">
        <v>12.005000000000001</v>
      </c>
      <c r="E140" s="4"/>
      <c r="F140" s="4"/>
      <c r="G140" s="4" t="s">
        <v>139</v>
      </c>
      <c r="H140" s="4" t="s">
        <v>172</v>
      </c>
      <c r="I140" s="4"/>
      <c r="J140" s="4"/>
    </row>
    <row r="141" spans="1:10">
      <c r="A141" s="4"/>
      <c r="B141" s="4"/>
      <c r="C141" s="4" t="s">
        <v>143</v>
      </c>
      <c r="D141" s="4">
        <v>45.3</v>
      </c>
      <c r="E141" s="4"/>
      <c r="F141" s="4"/>
      <c r="G141" s="4" t="s">
        <v>139</v>
      </c>
      <c r="H141" s="4" t="s">
        <v>172</v>
      </c>
      <c r="I141" s="4"/>
      <c r="J141" s="4"/>
    </row>
    <row r="142" spans="1:10">
      <c r="A142" s="4"/>
      <c r="B142" s="4"/>
      <c r="C142" s="4" t="s">
        <v>146</v>
      </c>
      <c r="D142" s="4">
        <v>4.93</v>
      </c>
      <c r="E142" s="4"/>
      <c r="F142" s="4"/>
      <c r="G142" s="4" t="s">
        <v>139</v>
      </c>
      <c r="H142" s="4" t="s">
        <v>172</v>
      </c>
      <c r="I142" s="4"/>
      <c r="J142" s="4"/>
    </row>
    <row r="143" spans="1:10">
      <c r="A143" s="4"/>
      <c r="B143" s="4"/>
      <c r="C143" s="4"/>
      <c r="D143" s="4">
        <f>SUM(D137:D142)</f>
        <v>168.11</v>
      </c>
      <c r="E143" s="4"/>
      <c r="F143" s="4"/>
      <c r="G143" s="4"/>
      <c r="H143" s="4"/>
      <c r="I143" s="4"/>
      <c r="J143" s="4"/>
    </row>
    <row r="144" spans="1:10">
      <c r="A144" s="4" t="s">
        <v>227</v>
      </c>
      <c r="B144" s="4"/>
      <c r="C144" s="4" t="s">
        <v>153</v>
      </c>
      <c r="D144" s="4">
        <v>24.68</v>
      </c>
      <c r="E144" s="4"/>
      <c r="F144" s="4"/>
      <c r="G144" s="4" t="s">
        <v>139</v>
      </c>
      <c r="H144" s="4" t="s">
        <v>172</v>
      </c>
      <c r="I144" s="4"/>
      <c r="J144" s="4"/>
    </row>
    <row r="145" spans="1:10">
      <c r="A145" s="4"/>
      <c r="B145" s="4"/>
      <c r="C145" s="4" t="s">
        <v>176</v>
      </c>
      <c r="D145" s="4">
        <v>119.155</v>
      </c>
      <c r="E145" s="4"/>
      <c r="F145" s="4"/>
      <c r="G145" s="4" t="s">
        <v>139</v>
      </c>
      <c r="H145" s="4" t="s">
        <v>172</v>
      </c>
      <c r="I145" s="4"/>
      <c r="J145" s="4"/>
    </row>
    <row r="146" spans="1:10">
      <c r="A146" s="4"/>
      <c r="B146" s="4"/>
      <c r="C146" s="4"/>
      <c r="D146" s="4">
        <f>SUM(D144:D145)</f>
        <v>143.83500000000001</v>
      </c>
      <c r="E146" s="4"/>
      <c r="F146" s="4"/>
      <c r="G146" s="4"/>
      <c r="H146" s="4"/>
      <c r="I146" s="4"/>
      <c r="J146" s="4"/>
    </row>
    <row r="147" spans="1:10">
      <c r="A147" s="4" t="s">
        <v>228</v>
      </c>
      <c r="B147" s="4"/>
      <c r="C147" s="4" t="s">
        <v>176</v>
      </c>
      <c r="D147" s="4">
        <v>98.075000000000003</v>
      </c>
      <c r="E147" s="4"/>
      <c r="F147" s="4"/>
      <c r="G147" s="4" t="s">
        <v>139</v>
      </c>
      <c r="H147" s="4" t="s">
        <v>172</v>
      </c>
      <c r="I147" s="4"/>
      <c r="J147" s="4"/>
    </row>
    <row r="148" spans="1:10">
      <c r="A148" s="4"/>
      <c r="B148" s="4"/>
      <c r="C148" s="4" t="s">
        <v>154</v>
      </c>
      <c r="D148" s="4">
        <v>23.88</v>
      </c>
      <c r="E148" s="4"/>
      <c r="F148" s="4"/>
      <c r="G148" s="4" t="s">
        <v>139</v>
      </c>
      <c r="H148" s="4" t="s">
        <v>172</v>
      </c>
      <c r="I148" s="4"/>
      <c r="J148" s="4"/>
    </row>
    <row r="149" spans="1:10">
      <c r="A149" s="4"/>
      <c r="B149" s="4"/>
      <c r="C149" s="4"/>
      <c r="D149" s="4">
        <f>SUM(D147:D148)</f>
        <v>121.955</v>
      </c>
      <c r="E149" s="4"/>
      <c r="F149" s="4"/>
      <c r="G149" s="4"/>
      <c r="H149" s="4"/>
      <c r="I149" s="4"/>
      <c r="J149" s="4"/>
    </row>
    <row r="150" spans="1:10">
      <c r="A150" s="4" t="s">
        <v>229</v>
      </c>
      <c r="B150" s="4"/>
      <c r="C150" s="4" t="s">
        <v>174</v>
      </c>
      <c r="D150" s="4">
        <v>49.25</v>
      </c>
      <c r="E150" s="4"/>
      <c r="F150" s="4"/>
      <c r="G150" s="4" t="s">
        <v>139</v>
      </c>
      <c r="H150" s="4" t="s">
        <v>172</v>
      </c>
      <c r="I150" s="4"/>
      <c r="J150" s="4"/>
    </row>
    <row r="151" spans="1:10">
      <c r="A151" s="4"/>
      <c r="B151" s="4"/>
      <c r="C151" s="4" t="s">
        <v>173</v>
      </c>
      <c r="D151" s="4">
        <v>56.4</v>
      </c>
      <c r="E151" s="4"/>
      <c r="F151" s="4"/>
      <c r="G151" s="4" t="s">
        <v>139</v>
      </c>
      <c r="H151" s="4" t="s">
        <v>172</v>
      </c>
      <c r="I151" s="4"/>
      <c r="J151" s="4"/>
    </row>
    <row r="152" spans="1:10">
      <c r="A152" s="4"/>
      <c r="B152" s="4"/>
      <c r="C152" s="4" t="s">
        <v>168</v>
      </c>
      <c r="D152" s="4">
        <v>43.954999999999998</v>
      </c>
      <c r="E152" s="4"/>
      <c r="F152" s="4"/>
      <c r="G152" s="4" t="s">
        <v>139</v>
      </c>
      <c r="H152" s="4" t="s">
        <v>172</v>
      </c>
      <c r="I152" s="4"/>
      <c r="J152" s="4"/>
    </row>
    <row r="153" spans="1:10">
      <c r="A153" s="4"/>
      <c r="B153" s="4"/>
      <c r="C153" s="4"/>
      <c r="D153" s="4">
        <f>SUM(D150:D152)</f>
        <v>149.60500000000002</v>
      </c>
      <c r="E153" s="4"/>
      <c r="F153" s="4"/>
      <c r="G153" s="4"/>
      <c r="H153" s="4"/>
      <c r="I153" s="4"/>
      <c r="J153" s="4"/>
    </row>
    <row r="154" spans="1:10">
      <c r="A154" s="4" t="s">
        <v>233</v>
      </c>
      <c r="B154" s="4"/>
      <c r="C154" s="4" t="s">
        <v>193</v>
      </c>
      <c r="D154" s="4">
        <v>25.195</v>
      </c>
      <c r="E154" s="4"/>
      <c r="F154" s="4"/>
      <c r="G154" s="4" t="s">
        <v>194</v>
      </c>
      <c r="H154" s="4" t="s">
        <v>172</v>
      </c>
      <c r="I154" s="4"/>
      <c r="J154" s="4"/>
    </row>
    <row r="155" spans="1:10">
      <c r="A155" s="4"/>
      <c r="B155" s="4"/>
      <c r="C155" s="4" t="s">
        <v>196</v>
      </c>
      <c r="D155" s="4">
        <v>20.765000000000001</v>
      </c>
      <c r="E155" s="4"/>
      <c r="F155" s="4"/>
      <c r="G155" s="4" t="s">
        <v>194</v>
      </c>
      <c r="H155" s="4" t="s">
        <v>172</v>
      </c>
      <c r="I155" s="4"/>
      <c r="J155" s="4"/>
    </row>
    <row r="156" spans="1:10">
      <c r="A156" s="4"/>
      <c r="B156" s="4"/>
      <c r="C156" s="4" t="s">
        <v>197</v>
      </c>
      <c r="D156" s="4">
        <v>72.92</v>
      </c>
      <c r="E156" s="4"/>
      <c r="F156" s="4"/>
      <c r="G156" s="4" t="s">
        <v>194</v>
      </c>
      <c r="H156" s="4" t="s">
        <v>172</v>
      </c>
      <c r="I156" s="4"/>
      <c r="J156" s="4"/>
    </row>
    <row r="157" spans="1:10">
      <c r="A157" s="4"/>
      <c r="B157" s="4"/>
      <c r="C157" s="4"/>
      <c r="D157" s="4">
        <f>SUM(D154:D156)</f>
        <v>118.88</v>
      </c>
      <c r="E157" s="4"/>
      <c r="F157" s="4"/>
      <c r="G157" s="4"/>
      <c r="H157" s="4"/>
      <c r="I157" s="4"/>
      <c r="J157" s="4"/>
    </row>
    <row r="158" spans="1:10">
      <c r="A158" s="239" t="s">
        <v>232</v>
      </c>
      <c r="B158" s="239"/>
      <c r="C158" s="239"/>
      <c r="D158" s="4"/>
      <c r="E158" s="4"/>
      <c r="F158" s="4"/>
      <c r="G158" s="4"/>
      <c r="H158" s="4"/>
      <c r="I158" s="4"/>
      <c r="J158" s="4"/>
    </row>
    <row r="159" spans="1:10">
      <c r="A159" s="239" t="s">
        <v>240</v>
      </c>
      <c r="B159" s="239"/>
      <c r="C159" s="239"/>
      <c r="D159" s="4"/>
      <c r="E159" s="4"/>
      <c r="F159" s="4"/>
      <c r="G159" s="4"/>
      <c r="H159" s="4"/>
      <c r="I159" s="4"/>
      <c r="J159" s="4"/>
    </row>
    <row r="160" spans="1:10">
      <c r="A160" s="239" t="s">
        <v>241</v>
      </c>
      <c r="B160" s="239"/>
      <c r="C160" s="239"/>
      <c r="D160" s="4"/>
      <c r="E160" s="4"/>
      <c r="F160" s="4"/>
      <c r="G160" s="4"/>
      <c r="H160" s="4"/>
      <c r="I160" s="4"/>
      <c r="J160" s="4"/>
    </row>
    <row r="161" spans="1:10">
      <c r="A161" s="239" t="s">
        <v>242</v>
      </c>
      <c r="B161" s="239"/>
      <c r="C161" s="239"/>
      <c r="D161" s="4"/>
      <c r="E161" s="4"/>
      <c r="F161" s="4"/>
      <c r="G161" s="4"/>
      <c r="H161" s="4"/>
      <c r="I161" s="4"/>
      <c r="J161" s="4"/>
    </row>
    <row r="162" spans="1:10">
      <c r="A162" s="239" t="s">
        <v>243</v>
      </c>
      <c r="B162" s="239"/>
      <c r="C162" s="239"/>
      <c r="D162" s="4"/>
      <c r="E162" s="4"/>
      <c r="F162" s="4"/>
      <c r="G162" s="4"/>
      <c r="H162" s="4"/>
      <c r="I162" s="4"/>
      <c r="J162" s="4"/>
    </row>
    <row r="163" spans="1:10">
      <c r="A163" s="239" t="s">
        <v>244</v>
      </c>
      <c r="B163" s="239"/>
      <c r="C163" s="239"/>
      <c r="D163" s="4"/>
      <c r="E163" s="4"/>
      <c r="F163" s="4"/>
      <c r="G163" s="4"/>
      <c r="H163" s="4"/>
      <c r="I163" s="4"/>
      <c r="J163" s="4"/>
    </row>
    <row r="164" spans="1:10">
      <c r="A164" s="239" t="s">
        <v>250</v>
      </c>
      <c r="B164" s="239"/>
      <c r="C164" s="239"/>
      <c r="D164" s="4"/>
      <c r="E164" s="4"/>
      <c r="F164" s="4"/>
      <c r="G164" s="4"/>
      <c r="H164" s="4"/>
      <c r="I164" s="4"/>
      <c r="J164" s="4"/>
    </row>
    <row r="165" spans="1:10">
      <c r="A165" s="239" t="s">
        <v>251</v>
      </c>
      <c r="B165" s="239"/>
      <c r="C165" s="239"/>
      <c r="D165" s="4"/>
      <c r="E165" s="4"/>
      <c r="F165" s="4"/>
      <c r="G165" s="4"/>
      <c r="H165" s="4"/>
      <c r="I165" s="4"/>
      <c r="J165" s="4"/>
    </row>
    <row r="166" spans="1:10">
      <c r="A166" s="4" t="s">
        <v>252</v>
      </c>
      <c r="B166" s="4"/>
      <c r="C166" s="4" t="s">
        <v>197</v>
      </c>
      <c r="D166" s="4">
        <v>118.21</v>
      </c>
      <c r="E166" s="4"/>
      <c r="F166" s="4"/>
      <c r="G166" s="4" t="s">
        <v>194</v>
      </c>
      <c r="H166" s="4" t="s">
        <v>172</v>
      </c>
      <c r="I166" s="4"/>
      <c r="J166" s="4"/>
    </row>
    <row r="167" spans="1:10">
      <c r="A167" s="4"/>
      <c r="B167" s="4"/>
      <c r="C167" s="4"/>
      <c r="D167" s="4">
        <f>D166</f>
        <v>118.21</v>
      </c>
      <c r="E167" s="4"/>
      <c r="F167" s="4"/>
      <c r="G167" s="4"/>
      <c r="H167" s="4"/>
      <c r="I167" s="4"/>
      <c r="J167" s="4"/>
    </row>
    <row r="168" spans="1:10">
      <c r="A168" s="4" t="s">
        <v>253</v>
      </c>
      <c r="B168" s="4"/>
      <c r="C168" s="4" t="s">
        <v>197</v>
      </c>
      <c r="D168" s="4">
        <v>143.845</v>
      </c>
      <c r="E168" s="4"/>
      <c r="F168" s="4"/>
      <c r="G168" s="4" t="s">
        <v>194</v>
      </c>
      <c r="H168" s="4" t="s">
        <v>172</v>
      </c>
      <c r="I168" s="4"/>
      <c r="J168" s="4"/>
    </row>
    <row r="169" spans="1:10">
      <c r="A169" s="4"/>
      <c r="B169" s="4"/>
      <c r="C169" s="4" t="s">
        <v>199</v>
      </c>
      <c r="D169" s="4">
        <v>36.909999999999997</v>
      </c>
      <c r="E169" s="4"/>
      <c r="F169" s="4"/>
      <c r="G169" s="4" t="s">
        <v>194</v>
      </c>
      <c r="H169" s="4" t="s">
        <v>172</v>
      </c>
      <c r="I169" s="4"/>
      <c r="J169" s="4"/>
    </row>
    <row r="170" spans="1:10">
      <c r="A170" s="4"/>
      <c r="B170" s="4"/>
      <c r="C170" s="4"/>
      <c r="D170" s="4">
        <f>SUM(D168:D169)</f>
        <v>180.755</v>
      </c>
      <c r="E170" s="4"/>
      <c r="F170" s="4"/>
      <c r="G170" s="4"/>
      <c r="H170" s="4"/>
      <c r="I170" s="4"/>
      <c r="J170" s="4"/>
    </row>
    <row r="171" spans="1:10">
      <c r="A171" s="4" t="s">
        <v>254</v>
      </c>
      <c r="B171" s="4"/>
      <c r="C171" s="4" t="s">
        <v>199</v>
      </c>
      <c r="D171" s="4">
        <v>78.98</v>
      </c>
      <c r="E171" s="4"/>
      <c r="F171" s="4"/>
      <c r="G171" s="4" t="s">
        <v>194</v>
      </c>
      <c r="H171" s="4" t="s">
        <v>172</v>
      </c>
      <c r="I171" s="4"/>
      <c r="J171" s="4"/>
    </row>
    <row r="172" spans="1:10">
      <c r="A172" s="4"/>
      <c r="B172" s="4"/>
      <c r="C172" s="4" t="s">
        <v>197</v>
      </c>
      <c r="D172" s="4">
        <v>28.51</v>
      </c>
      <c r="E172" s="4"/>
      <c r="F172" s="4"/>
      <c r="G172" s="4" t="s">
        <v>194</v>
      </c>
      <c r="H172" s="4" t="s">
        <v>172</v>
      </c>
      <c r="I172" s="4"/>
      <c r="J172" s="4"/>
    </row>
    <row r="173" spans="1:10">
      <c r="A173" s="4"/>
      <c r="B173" s="4"/>
      <c r="C173" s="4" t="s">
        <v>196</v>
      </c>
      <c r="D173" s="4">
        <v>69.215000000000003</v>
      </c>
      <c r="E173" s="4"/>
      <c r="F173" s="4"/>
      <c r="G173" s="4" t="s">
        <v>194</v>
      </c>
      <c r="H173" s="4" t="s">
        <v>172</v>
      </c>
      <c r="I173" s="4"/>
      <c r="J173" s="4"/>
    </row>
    <row r="174" spans="1:10">
      <c r="A174" s="4"/>
      <c r="B174" s="4"/>
      <c r="C174" s="4"/>
      <c r="D174" s="4">
        <f>SUM(D171:D173)</f>
        <v>176.70500000000001</v>
      </c>
      <c r="E174" s="4"/>
      <c r="F174" s="4"/>
      <c r="G174" s="4"/>
      <c r="H174" s="4"/>
      <c r="I174" s="4"/>
      <c r="J174" s="4"/>
    </row>
    <row r="175" spans="1:10">
      <c r="A175" s="4" t="s">
        <v>255</v>
      </c>
      <c r="B175" s="4"/>
      <c r="C175" s="4" t="s">
        <v>256</v>
      </c>
      <c r="D175" s="4">
        <v>20.414999999999999</v>
      </c>
      <c r="E175" s="4"/>
      <c r="F175" s="4"/>
      <c r="G175" s="4" t="s">
        <v>194</v>
      </c>
      <c r="H175" s="4" t="s">
        <v>172</v>
      </c>
      <c r="I175" s="4"/>
      <c r="J175" s="4"/>
    </row>
    <row r="176" spans="1:10">
      <c r="A176" s="4"/>
      <c r="B176" s="4"/>
      <c r="C176" s="4" t="s">
        <v>211</v>
      </c>
      <c r="D176" s="4">
        <v>41.204999999999998</v>
      </c>
      <c r="E176" s="4"/>
      <c r="F176" s="4"/>
      <c r="G176" s="4" t="s">
        <v>194</v>
      </c>
      <c r="H176" s="4" t="s">
        <v>172</v>
      </c>
      <c r="I176" s="4"/>
      <c r="J176" s="4"/>
    </row>
    <row r="177" spans="1:10">
      <c r="A177" s="4"/>
      <c r="B177" s="4"/>
      <c r="C177" s="4" t="s">
        <v>212</v>
      </c>
      <c r="D177" s="4">
        <v>7.6349999999999998</v>
      </c>
      <c r="E177" s="4"/>
      <c r="F177" s="4"/>
      <c r="G177" s="4" t="s">
        <v>194</v>
      </c>
      <c r="H177" s="4" t="s">
        <v>172</v>
      </c>
      <c r="I177" s="4"/>
      <c r="J177" s="4"/>
    </row>
    <row r="178" spans="1:10">
      <c r="A178" s="4"/>
      <c r="B178" s="4"/>
      <c r="C178" s="4" t="s">
        <v>213</v>
      </c>
      <c r="D178" s="4">
        <v>37.090000000000003</v>
      </c>
      <c r="E178" s="4"/>
      <c r="F178" s="4"/>
      <c r="G178" s="4" t="s">
        <v>194</v>
      </c>
      <c r="H178" s="4" t="s">
        <v>172</v>
      </c>
      <c r="I178" s="4"/>
      <c r="J178" s="4"/>
    </row>
    <row r="179" spans="1:10">
      <c r="A179" s="4"/>
      <c r="B179" s="4"/>
      <c r="C179" s="4"/>
      <c r="D179" s="4">
        <f>SUM(D175:D178)</f>
        <v>106.345</v>
      </c>
      <c r="E179" s="4"/>
      <c r="F179" s="4"/>
      <c r="G179" s="4"/>
      <c r="H179" s="4"/>
      <c r="I179" s="4"/>
      <c r="J179" s="4"/>
    </row>
    <row r="180" spans="1:10">
      <c r="A180" s="4" t="s">
        <v>265</v>
      </c>
      <c r="B180" s="4"/>
      <c r="C180" s="4" t="s">
        <v>213</v>
      </c>
      <c r="D180" s="4">
        <v>90.11</v>
      </c>
      <c r="E180" s="4"/>
      <c r="F180" s="4"/>
      <c r="G180" s="4" t="s">
        <v>139</v>
      </c>
      <c r="H180" s="4" t="s">
        <v>172</v>
      </c>
      <c r="I180" s="4"/>
      <c r="J180" s="4"/>
    </row>
    <row r="181" spans="1:10">
      <c r="A181" s="4"/>
      <c r="B181" s="4"/>
      <c r="C181" s="4" t="s">
        <v>216</v>
      </c>
      <c r="D181" s="4">
        <v>66.81</v>
      </c>
      <c r="E181" s="4"/>
      <c r="F181" s="4"/>
      <c r="G181" s="4" t="s">
        <v>139</v>
      </c>
      <c r="H181" s="4" t="s">
        <v>172</v>
      </c>
      <c r="I181" s="4"/>
      <c r="J181" s="4"/>
    </row>
    <row r="182" spans="1:10">
      <c r="A182" s="4"/>
      <c r="B182" s="4"/>
      <c r="C182" s="4" t="s">
        <v>217</v>
      </c>
      <c r="D182" s="4">
        <v>26.795000000000002</v>
      </c>
      <c r="E182" s="4"/>
      <c r="F182" s="4"/>
      <c r="G182" s="4" t="s">
        <v>139</v>
      </c>
      <c r="H182" s="4" t="s">
        <v>172</v>
      </c>
      <c r="I182" s="4"/>
      <c r="J182" s="4"/>
    </row>
    <row r="183" spans="1:10">
      <c r="A183" s="4"/>
      <c r="B183" s="4"/>
      <c r="C183" s="4"/>
      <c r="D183" s="4">
        <f>SUM(D180:D182)</f>
        <v>183.71500000000003</v>
      </c>
      <c r="E183" s="4"/>
      <c r="F183" s="4"/>
      <c r="G183" s="4"/>
      <c r="H183" s="4"/>
      <c r="I183" s="4"/>
      <c r="J183" s="4"/>
    </row>
    <row r="184" spans="1:10">
      <c r="A184" s="4" t="s">
        <v>267</v>
      </c>
      <c r="B184" s="4"/>
      <c r="C184" s="4" t="s">
        <v>178</v>
      </c>
      <c r="D184" s="4">
        <v>37.74</v>
      </c>
      <c r="E184" s="4"/>
      <c r="F184" s="4"/>
      <c r="G184" s="4" t="s">
        <v>139</v>
      </c>
      <c r="H184" s="4" t="s">
        <v>268</v>
      </c>
      <c r="I184" s="4"/>
      <c r="J184" s="4"/>
    </row>
    <row r="185" spans="1:10">
      <c r="A185" s="4"/>
      <c r="B185" s="4"/>
      <c r="C185" s="4" t="s">
        <v>138</v>
      </c>
      <c r="D185" s="4">
        <f>39.635+3.63</f>
        <v>43.265000000000001</v>
      </c>
      <c r="E185" s="4"/>
      <c r="F185" s="4"/>
      <c r="G185" s="4" t="s">
        <v>139</v>
      </c>
      <c r="H185" s="4" t="s">
        <v>269</v>
      </c>
      <c r="I185" s="4"/>
      <c r="J185" s="4"/>
    </row>
    <row r="186" spans="1:10">
      <c r="A186" s="4"/>
      <c r="B186" s="4"/>
      <c r="C186" s="4"/>
      <c r="D186" s="4">
        <f>SUM(D184:D185)</f>
        <v>81.004999999999995</v>
      </c>
      <c r="E186" s="4"/>
      <c r="F186" s="4"/>
      <c r="G186" s="4"/>
      <c r="H186" s="4"/>
      <c r="I186" s="4">
        <v>81.004999999999995</v>
      </c>
      <c r="J186" s="4"/>
    </row>
    <row r="187" spans="1:10">
      <c r="A187" s="239" t="s">
        <v>273</v>
      </c>
      <c r="B187" s="239"/>
      <c r="C187" s="239"/>
      <c r="D187" s="4"/>
      <c r="E187" s="4"/>
      <c r="F187" s="4"/>
      <c r="G187" s="4"/>
      <c r="H187" s="4"/>
      <c r="I187" s="4"/>
      <c r="J187" s="4"/>
    </row>
    <row r="188" spans="1:10">
      <c r="A188" s="239" t="s">
        <v>274</v>
      </c>
      <c r="B188" s="239"/>
      <c r="C188" s="239"/>
      <c r="D188" s="4"/>
      <c r="E188" s="4"/>
      <c r="F188" s="4"/>
      <c r="G188" s="4"/>
      <c r="H188" s="4"/>
      <c r="I188" s="4"/>
      <c r="J188" s="4"/>
    </row>
    <row r="189" spans="1:10">
      <c r="A189" s="4" t="s">
        <v>275</v>
      </c>
      <c r="B189" s="4"/>
      <c r="C189" s="4" t="s">
        <v>138</v>
      </c>
      <c r="D189" s="4">
        <v>9.6449999999999996</v>
      </c>
      <c r="E189" s="4"/>
      <c r="F189" s="4"/>
      <c r="G189" s="4" t="s">
        <v>139</v>
      </c>
      <c r="H189" s="4" t="s">
        <v>172</v>
      </c>
      <c r="I189" s="4"/>
      <c r="J189" s="4"/>
    </row>
    <row r="190" spans="1:10">
      <c r="A190" s="4"/>
      <c r="B190" s="4"/>
      <c r="C190" s="4" t="s">
        <v>143</v>
      </c>
      <c r="D190" s="4">
        <v>112.91500000000001</v>
      </c>
      <c r="E190" s="4"/>
      <c r="F190" s="4"/>
      <c r="G190" s="4" t="s">
        <v>139</v>
      </c>
      <c r="H190" s="4" t="s">
        <v>172</v>
      </c>
      <c r="I190" s="4"/>
      <c r="J190" s="4"/>
    </row>
    <row r="191" spans="1:10">
      <c r="A191" s="4"/>
      <c r="B191" s="4"/>
      <c r="C191" s="4" t="s">
        <v>146</v>
      </c>
      <c r="D191" s="4">
        <v>24.76</v>
      </c>
      <c r="E191" s="4"/>
      <c r="F191" s="4"/>
      <c r="G191" s="4" t="s">
        <v>139</v>
      </c>
      <c r="H191" s="4" t="s">
        <v>172</v>
      </c>
      <c r="I191" s="4"/>
      <c r="J191" s="4"/>
    </row>
    <row r="192" spans="1:10">
      <c r="A192" s="4"/>
      <c r="B192" s="4"/>
      <c r="C192" s="4"/>
      <c r="D192" s="4">
        <f>SUM(D189:D191)</f>
        <v>147.32</v>
      </c>
      <c r="E192" s="4"/>
      <c r="F192" s="4"/>
      <c r="G192" s="4"/>
      <c r="H192" s="4"/>
      <c r="I192" s="4"/>
      <c r="J192" s="4"/>
    </row>
    <row r="193" spans="1:10">
      <c r="A193" s="4" t="s">
        <v>277</v>
      </c>
      <c r="B193" s="4"/>
      <c r="C193" s="4" t="s">
        <v>146</v>
      </c>
      <c r="D193" s="4">
        <v>94.234999999999999</v>
      </c>
      <c r="E193" s="4"/>
      <c r="F193" s="4"/>
      <c r="G193" s="4" t="s">
        <v>139</v>
      </c>
      <c r="H193" s="4" t="s">
        <v>172</v>
      </c>
      <c r="I193" s="4"/>
      <c r="J193" s="4"/>
    </row>
    <row r="194" spans="1:10">
      <c r="A194" s="4"/>
      <c r="B194" s="4"/>
      <c r="C194" s="4"/>
      <c r="D194" s="4">
        <f>D193</f>
        <v>94.234999999999999</v>
      </c>
      <c r="E194" s="4"/>
      <c r="F194" s="4"/>
      <c r="G194" s="4"/>
      <c r="H194" s="4"/>
      <c r="I194" s="4"/>
      <c r="J194" s="4"/>
    </row>
    <row r="195" spans="1:10">
      <c r="A195" s="4" t="s">
        <v>278</v>
      </c>
      <c r="B195" s="4"/>
      <c r="C195" s="4" t="s">
        <v>174</v>
      </c>
      <c r="D195" s="4">
        <v>88.52</v>
      </c>
      <c r="E195" s="4"/>
      <c r="F195" s="4"/>
      <c r="G195" s="4" t="s">
        <v>139</v>
      </c>
      <c r="H195" s="4" t="s">
        <v>172</v>
      </c>
      <c r="I195" s="4"/>
      <c r="J195" s="4"/>
    </row>
    <row r="196" spans="1:10">
      <c r="A196" s="4"/>
      <c r="B196" s="4"/>
      <c r="C196" s="4" t="s">
        <v>173</v>
      </c>
      <c r="D196" s="4">
        <v>42.23</v>
      </c>
      <c r="E196" s="4"/>
      <c r="F196" s="4"/>
      <c r="G196" s="4" t="s">
        <v>139</v>
      </c>
      <c r="H196" s="4" t="s">
        <v>172</v>
      </c>
      <c r="I196" s="4"/>
      <c r="J196" s="4"/>
    </row>
    <row r="197" spans="1:10">
      <c r="A197" s="4"/>
      <c r="B197" s="4"/>
      <c r="C197" s="4" t="s">
        <v>168</v>
      </c>
      <c r="D197" s="4">
        <v>49.08</v>
      </c>
      <c r="E197" s="4"/>
      <c r="F197" s="4"/>
      <c r="G197" s="4" t="s">
        <v>139</v>
      </c>
      <c r="H197" s="4" t="s">
        <v>172</v>
      </c>
      <c r="I197" s="4"/>
      <c r="J197" s="4"/>
    </row>
    <row r="198" spans="1:10">
      <c r="A198" s="4"/>
      <c r="B198" s="4"/>
      <c r="C198" s="4"/>
      <c r="D198" s="4">
        <f>SUM(D195:D197)</f>
        <v>179.82999999999998</v>
      </c>
      <c r="E198" s="4"/>
      <c r="F198" s="4"/>
      <c r="G198" s="4"/>
      <c r="H198" s="4"/>
      <c r="I198" s="4"/>
      <c r="J198" s="4"/>
    </row>
    <row r="199" spans="1:10">
      <c r="A199" s="4" t="s">
        <v>279</v>
      </c>
      <c r="B199" s="4"/>
      <c r="C199" s="4" t="s">
        <v>168</v>
      </c>
      <c r="D199" s="4">
        <v>21.78</v>
      </c>
      <c r="E199" s="4"/>
      <c r="F199" s="4"/>
      <c r="G199" s="4" t="s">
        <v>139</v>
      </c>
      <c r="H199" s="4" t="s">
        <v>172</v>
      </c>
      <c r="I199" s="4"/>
      <c r="J199" s="4"/>
    </row>
    <row r="200" spans="1:10">
      <c r="A200" s="4"/>
      <c r="B200" s="4"/>
      <c r="C200" s="4" t="s">
        <v>169</v>
      </c>
      <c r="D200" s="4">
        <v>49.56</v>
      </c>
      <c r="E200" s="4"/>
      <c r="F200" s="4"/>
      <c r="G200" s="4" t="s">
        <v>139</v>
      </c>
      <c r="H200" s="4" t="s">
        <v>172</v>
      </c>
      <c r="I200" s="4"/>
      <c r="J200" s="4"/>
    </row>
    <row r="201" spans="1:10">
      <c r="A201" s="4"/>
      <c r="B201" s="4"/>
      <c r="C201" s="4" t="s">
        <v>170</v>
      </c>
      <c r="D201" s="4">
        <v>37.625</v>
      </c>
      <c r="E201" s="4"/>
      <c r="F201" s="4"/>
      <c r="G201" s="4" t="s">
        <v>139</v>
      </c>
      <c r="H201" s="4" t="s">
        <v>172</v>
      </c>
      <c r="I201" s="4"/>
      <c r="J201" s="4"/>
    </row>
    <row r="202" spans="1:10">
      <c r="A202" s="4"/>
      <c r="B202" s="4"/>
      <c r="C202" s="4"/>
      <c r="D202" s="4">
        <f>SUM(D199:D201)</f>
        <v>108.965</v>
      </c>
      <c r="E202" s="4"/>
      <c r="F202" s="4"/>
      <c r="G202" s="4"/>
      <c r="H202" s="4"/>
      <c r="I202" s="4"/>
      <c r="J202" s="4"/>
    </row>
    <row r="203" spans="1:10">
      <c r="A203" s="4" t="s">
        <v>276</v>
      </c>
      <c r="B203" s="4"/>
      <c r="C203" s="4" t="s">
        <v>153</v>
      </c>
      <c r="D203" s="4">
        <v>60.97</v>
      </c>
      <c r="E203" s="4"/>
      <c r="F203" s="4"/>
      <c r="G203" s="4" t="s">
        <v>139</v>
      </c>
      <c r="H203" s="4" t="s">
        <v>172</v>
      </c>
      <c r="I203" s="4"/>
      <c r="J203" s="4"/>
    </row>
    <row r="204" spans="1:10">
      <c r="A204" s="4"/>
      <c r="B204" s="4"/>
      <c r="C204" s="4" t="s">
        <v>154</v>
      </c>
      <c r="D204" s="4">
        <v>94.564999999999998</v>
      </c>
      <c r="E204" s="4"/>
      <c r="F204" s="4"/>
      <c r="G204" s="4" t="s">
        <v>139</v>
      </c>
      <c r="H204" s="4" t="s">
        <v>172</v>
      </c>
      <c r="I204" s="4"/>
      <c r="J204" s="4"/>
    </row>
    <row r="205" spans="1:10">
      <c r="A205" s="4"/>
      <c r="B205" s="4"/>
      <c r="C205" s="4"/>
      <c r="D205" s="4">
        <f>SUM(D203:D204)</f>
        <v>155.535</v>
      </c>
      <c r="E205" s="4"/>
      <c r="F205" s="4"/>
      <c r="G205" s="4"/>
      <c r="H205" s="4"/>
      <c r="I205" s="4"/>
      <c r="J205" s="4"/>
    </row>
    <row r="206" spans="1:10">
      <c r="A206" s="4"/>
      <c r="B206" s="4"/>
      <c r="C206" s="4" t="s">
        <v>224</v>
      </c>
      <c r="D206" s="4">
        <f>D124+D127+D131+D136+D143+D146+D149+D153+D157+D167+D170+D174+D179+D183+D186+D192+D194+D198+D202+D205</f>
        <v>2736.6050000000005</v>
      </c>
      <c r="E206" s="4"/>
      <c r="F206" s="4"/>
      <c r="G206" s="4"/>
      <c r="H206" s="4"/>
      <c r="I206" s="4"/>
      <c r="J206" s="4"/>
    </row>
    <row r="207" spans="1:10">
      <c r="A207" s="239" t="s">
        <v>286</v>
      </c>
      <c r="B207" s="239"/>
      <c r="C207" s="239"/>
      <c r="D207" s="4"/>
      <c r="E207" s="4"/>
      <c r="F207" s="4"/>
      <c r="G207" s="4"/>
      <c r="H207" s="4"/>
      <c r="I207" s="4"/>
      <c r="J207" s="4"/>
    </row>
    <row r="208" spans="1:10">
      <c r="A208" s="4" t="s">
        <v>287</v>
      </c>
      <c r="B208" s="4"/>
      <c r="C208" s="4" t="s">
        <v>288</v>
      </c>
      <c r="D208" s="4">
        <v>69.218000000000004</v>
      </c>
      <c r="E208" s="4"/>
      <c r="F208" s="4"/>
      <c r="G208" s="4" t="s">
        <v>139</v>
      </c>
      <c r="H208" s="4" t="s">
        <v>172</v>
      </c>
      <c r="I208" s="4"/>
      <c r="J208" s="4"/>
    </row>
    <row r="209" spans="1:10">
      <c r="A209" s="4"/>
      <c r="B209" s="4"/>
      <c r="C209" s="4" t="s">
        <v>78</v>
      </c>
      <c r="D209" s="4">
        <v>32.01</v>
      </c>
      <c r="E209" s="4"/>
      <c r="F209" s="4"/>
      <c r="G209" s="4" t="s">
        <v>139</v>
      </c>
      <c r="H209" s="4" t="s">
        <v>172</v>
      </c>
      <c r="I209" s="4"/>
      <c r="J209" s="4"/>
    </row>
    <row r="210" spans="1:10">
      <c r="A210" s="4"/>
      <c r="B210" s="4"/>
      <c r="C210" s="4"/>
      <c r="D210" s="4">
        <f>SUM(D208:D209)</f>
        <v>101.22800000000001</v>
      </c>
      <c r="E210" s="4"/>
      <c r="F210" s="4"/>
      <c r="G210" s="4"/>
      <c r="H210" s="4"/>
      <c r="I210" s="4"/>
      <c r="J210" s="4"/>
    </row>
    <row r="211" spans="1:10">
      <c r="A211" s="4" t="s">
        <v>290</v>
      </c>
      <c r="B211" s="4"/>
      <c r="C211" s="4" t="s">
        <v>78</v>
      </c>
      <c r="D211" s="4">
        <v>166.73500000000001</v>
      </c>
      <c r="E211" s="4"/>
      <c r="F211" s="4"/>
      <c r="G211" s="4" t="s">
        <v>139</v>
      </c>
      <c r="H211" s="4" t="s">
        <v>172</v>
      </c>
      <c r="I211" s="4"/>
      <c r="J211" s="4">
        <v>15.782999999999999</v>
      </c>
    </row>
    <row r="212" spans="1:10">
      <c r="A212" s="4"/>
      <c r="B212" s="4"/>
      <c r="C212" s="4" t="s">
        <v>72</v>
      </c>
      <c r="D212" s="4">
        <v>3.3149999999999999</v>
      </c>
      <c r="E212" s="4"/>
      <c r="F212" s="4"/>
      <c r="G212" s="4" t="s">
        <v>139</v>
      </c>
      <c r="H212" s="4" t="s">
        <v>172</v>
      </c>
      <c r="I212" s="4"/>
      <c r="J212" s="4"/>
    </row>
    <row r="213" spans="1:10">
      <c r="A213" s="4"/>
      <c r="B213" s="4"/>
      <c r="C213" s="4"/>
      <c r="D213" s="4">
        <f>SUM(D211:D212)</f>
        <v>170.05</v>
      </c>
      <c r="E213" s="4"/>
      <c r="F213" s="4"/>
      <c r="G213" s="4"/>
      <c r="H213" s="4"/>
      <c r="I213" s="4"/>
      <c r="J213" s="4"/>
    </row>
    <row r="214" spans="1:10">
      <c r="A214" s="4" t="s">
        <v>291</v>
      </c>
      <c r="B214" s="4"/>
      <c r="C214" s="4" t="s">
        <v>72</v>
      </c>
      <c r="D214" s="4">
        <v>65.489999999999995</v>
      </c>
      <c r="E214" s="4"/>
      <c r="F214" s="4"/>
      <c r="G214" s="4" t="s">
        <v>139</v>
      </c>
      <c r="H214" s="4" t="s">
        <v>172</v>
      </c>
      <c r="I214" s="4"/>
      <c r="J214" s="4"/>
    </row>
    <row r="215" spans="1:10">
      <c r="A215" s="4"/>
      <c r="B215" s="4"/>
      <c r="C215" s="4" t="s">
        <v>77</v>
      </c>
      <c r="D215" s="4">
        <v>13.71</v>
      </c>
      <c r="E215" s="4"/>
      <c r="F215" s="4"/>
      <c r="G215" s="4" t="s">
        <v>139</v>
      </c>
      <c r="H215" s="4" t="s">
        <v>172</v>
      </c>
      <c r="I215" s="4"/>
      <c r="J215" s="4"/>
    </row>
    <row r="216" spans="1:10">
      <c r="A216" s="4"/>
      <c r="B216" s="4"/>
      <c r="C216" s="4" t="s">
        <v>79</v>
      </c>
      <c r="D216" s="4">
        <v>1.21</v>
      </c>
      <c r="E216" s="4"/>
      <c r="F216" s="4"/>
      <c r="G216" s="4" t="s">
        <v>148</v>
      </c>
      <c r="H216" s="4" t="s">
        <v>268</v>
      </c>
      <c r="I216" s="4"/>
      <c r="J216" s="4"/>
    </row>
    <row r="217" spans="1:10">
      <c r="A217" s="4"/>
      <c r="B217" s="4"/>
      <c r="C217" s="4" t="s">
        <v>80</v>
      </c>
      <c r="D217" s="4">
        <v>14.664999999999999</v>
      </c>
      <c r="E217" s="4"/>
      <c r="F217" s="4"/>
      <c r="G217" s="4" t="s">
        <v>148</v>
      </c>
      <c r="H217" s="4" t="s">
        <v>268</v>
      </c>
      <c r="I217" s="4"/>
      <c r="J217" s="4"/>
    </row>
    <row r="218" spans="1:10">
      <c r="A218" s="4"/>
      <c r="B218" s="4"/>
      <c r="C218" s="4"/>
      <c r="D218" s="4">
        <f>SUM(D214:D217)</f>
        <v>95.074999999999989</v>
      </c>
      <c r="E218" s="4"/>
      <c r="F218" s="4"/>
      <c r="G218" s="4"/>
      <c r="H218" s="4"/>
      <c r="I218" s="4"/>
      <c r="J218" s="4"/>
    </row>
    <row r="219" spans="1:10">
      <c r="A219" s="4" t="s">
        <v>292</v>
      </c>
      <c r="B219" s="4"/>
      <c r="C219" s="4" t="s">
        <v>80</v>
      </c>
      <c r="D219" s="4">
        <v>23.12</v>
      </c>
      <c r="E219" s="4"/>
      <c r="F219" s="4"/>
      <c r="G219" s="4" t="s">
        <v>148</v>
      </c>
      <c r="H219" s="4" t="s">
        <v>268</v>
      </c>
      <c r="I219" s="4"/>
      <c r="J219" s="4"/>
    </row>
    <row r="220" spans="1:10">
      <c r="A220" s="4"/>
      <c r="B220" s="4"/>
      <c r="C220" s="4" t="s">
        <v>293</v>
      </c>
      <c r="D220" s="4">
        <v>30.39</v>
      </c>
      <c r="E220" s="4"/>
      <c r="F220" s="4"/>
      <c r="G220" s="4" t="s">
        <v>148</v>
      </c>
      <c r="H220" s="4" t="s">
        <v>268</v>
      </c>
      <c r="I220" s="4"/>
      <c r="J220" s="4"/>
    </row>
    <row r="221" spans="1:10">
      <c r="A221" s="4"/>
      <c r="B221" s="4"/>
      <c r="C221" s="4"/>
      <c r="D221" s="4">
        <f>SUM(D219:D220)</f>
        <v>53.510000000000005</v>
      </c>
      <c r="E221" s="4"/>
      <c r="F221" s="4"/>
      <c r="G221" s="4"/>
      <c r="H221" s="4"/>
      <c r="I221" s="4"/>
      <c r="J221" s="4"/>
    </row>
    <row r="222" spans="1:10">
      <c r="A222" s="4" t="s">
        <v>294</v>
      </c>
      <c r="B222" s="4"/>
      <c r="C222" s="4" t="s">
        <v>295</v>
      </c>
      <c r="D222" s="4">
        <v>7.62</v>
      </c>
      <c r="E222" s="4"/>
      <c r="F222" s="4"/>
      <c r="G222" s="4" t="s">
        <v>18</v>
      </c>
      <c r="H222" s="4" t="s">
        <v>204</v>
      </c>
      <c r="I222" s="4"/>
      <c r="J222" s="4">
        <v>3.0920000000000001</v>
      </c>
    </row>
    <row r="223" spans="1:10">
      <c r="A223" s="4"/>
      <c r="B223" s="4"/>
      <c r="C223" s="4" t="s">
        <v>296</v>
      </c>
      <c r="D223" s="4">
        <v>10.515000000000001</v>
      </c>
      <c r="E223" s="4"/>
      <c r="F223" s="4"/>
      <c r="G223" s="4" t="s">
        <v>18</v>
      </c>
      <c r="H223" s="4" t="s">
        <v>204</v>
      </c>
      <c r="I223" s="4"/>
      <c r="J223" s="4">
        <v>5.07</v>
      </c>
    </row>
    <row r="224" spans="1:10">
      <c r="A224" s="4"/>
      <c r="B224" s="4"/>
      <c r="C224" s="4" t="s">
        <v>297</v>
      </c>
      <c r="D224" s="4">
        <v>37.090000000000003</v>
      </c>
      <c r="E224" s="4"/>
      <c r="F224" s="4"/>
      <c r="G224" s="4" t="s">
        <v>17</v>
      </c>
      <c r="H224" s="4" t="s">
        <v>204</v>
      </c>
      <c r="I224" s="4"/>
      <c r="J224" s="4"/>
    </row>
    <row r="225" spans="1:10">
      <c r="A225" s="4"/>
      <c r="B225" s="4"/>
      <c r="C225" s="4" t="s">
        <v>298</v>
      </c>
      <c r="D225" s="4">
        <v>45.85</v>
      </c>
      <c r="E225" s="4"/>
      <c r="F225" s="4"/>
      <c r="G225" s="4" t="s">
        <v>17</v>
      </c>
      <c r="H225" s="4" t="s">
        <v>204</v>
      </c>
      <c r="I225" s="4"/>
      <c r="J225" s="4"/>
    </row>
    <row r="226" spans="1:10">
      <c r="A226" s="4"/>
      <c r="B226" s="4"/>
      <c r="C226" s="4" t="s">
        <v>299</v>
      </c>
      <c r="D226" s="4">
        <v>1.57</v>
      </c>
      <c r="E226" s="4"/>
      <c r="F226" s="4"/>
      <c r="G226" s="4" t="s">
        <v>17</v>
      </c>
      <c r="H226" s="4" t="s">
        <v>204</v>
      </c>
      <c r="I226" s="4"/>
      <c r="J226" s="4"/>
    </row>
    <row r="227" spans="1:10">
      <c r="A227" s="4"/>
      <c r="B227" s="4"/>
      <c r="C227" s="4" t="s">
        <v>298</v>
      </c>
      <c r="D227" s="4">
        <v>25.324999999999999</v>
      </c>
      <c r="E227" s="4"/>
      <c r="F227" s="4"/>
      <c r="G227" s="4" t="s">
        <v>139</v>
      </c>
      <c r="H227" s="4" t="s">
        <v>172</v>
      </c>
      <c r="I227" s="4"/>
      <c r="J227" s="4"/>
    </row>
    <row r="228" spans="1:10">
      <c r="A228" s="4"/>
      <c r="B228" s="4"/>
      <c r="C228" s="4"/>
      <c r="D228" s="4">
        <f>SUM(D222:D227)</f>
        <v>127.97000000000001</v>
      </c>
      <c r="E228" s="4"/>
      <c r="F228" s="4"/>
      <c r="G228" s="4"/>
      <c r="H228" s="4"/>
      <c r="I228" s="4"/>
      <c r="J228" s="4"/>
    </row>
    <row r="229" spans="1:10">
      <c r="A229" s="4" t="s">
        <v>309</v>
      </c>
      <c r="B229" s="4"/>
      <c r="C229" s="4" t="s">
        <v>298</v>
      </c>
      <c r="D229" s="4">
        <v>104.76</v>
      </c>
      <c r="E229" s="4"/>
      <c r="F229" s="4"/>
      <c r="G229" s="4" t="s">
        <v>139</v>
      </c>
      <c r="H229" s="4" t="s">
        <v>172</v>
      </c>
      <c r="I229" s="4"/>
      <c r="J229" s="4">
        <f>8.753+6.554</f>
        <v>15.307</v>
      </c>
    </row>
    <row r="230" spans="1:10">
      <c r="A230" s="4"/>
      <c r="B230" s="4"/>
      <c r="C230" s="4" t="s">
        <v>297</v>
      </c>
      <c r="D230" s="4">
        <v>2.7450000000000001</v>
      </c>
      <c r="E230" s="4"/>
      <c r="F230" s="4"/>
      <c r="G230" s="4" t="s">
        <v>139</v>
      </c>
      <c r="H230" s="4" t="s">
        <v>172</v>
      </c>
      <c r="I230" s="4"/>
      <c r="J230" s="4"/>
    </row>
    <row r="231" spans="1:10">
      <c r="A231" s="4"/>
      <c r="B231" s="4"/>
      <c r="C231" s="4"/>
      <c r="D231" s="4">
        <f>SUM(D229:D230)</f>
        <v>107.50500000000001</v>
      </c>
      <c r="E231" s="4"/>
      <c r="F231" s="4"/>
      <c r="G231" s="4"/>
      <c r="H231" s="4"/>
      <c r="I231" s="4"/>
      <c r="J231" s="4"/>
    </row>
    <row r="232" spans="1:10">
      <c r="A232" s="239" t="s">
        <v>300</v>
      </c>
      <c r="B232" s="239"/>
      <c r="C232" s="239"/>
      <c r="D232" s="4"/>
      <c r="E232" s="4"/>
      <c r="F232" s="4"/>
      <c r="G232" s="4"/>
      <c r="H232" s="4"/>
      <c r="I232" s="4"/>
      <c r="J232" s="4"/>
    </row>
    <row r="233" spans="1:10">
      <c r="A233" s="4" t="s">
        <v>301</v>
      </c>
      <c r="B233" s="4"/>
      <c r="C233" s="4" t="s">
        <v>174</v>
      </c>
      <c r="D233" s="4">
        <f>155.38-7.067</f>
        <v>148.31299999999999</v>
      </c>
      <c r="E233" s="4"/>
      <c r="F233" s="4"/>
      <c r="G233" s="4" t="s">
        <v>139</v>
      </c>
      <c r="H233" s="4" t="s">
        <v>172</v>
      </c>
      <c r="I233" s="4"/>
      <c r="J233" s="4"/>
    </row>
    <row r="234" spans="1:10">
      <c r="A234" s="4"/>
      <c r="B234" s="4"/>
      <c r="C234" s="4" t="s">
        <v>173</v>
      </c>
      <c r="D234" s="4">
        <v>51.41</v>
      </c>
      <c r="E234" s="4"/>
      <c r="F234" s="4"/>
      <c r="G234" s="4" t="s">
        <v>139</v>
      </c>
      <c r="H234" s="4" t="s">
        <v>172</v>
      </c>
      <c r="I234" s="4"/>
      <c r="J234" s="4">
        <v>30.08</v>
      </c>
    </row>
    <row r="235" spans="1:10">
      <c r="A235" s="4"/>
      <c r="B235" s="4"/>
      <c r="C235" s="4"/>
      <c r="D235" s="4">
        <f>SUM(D233:D234)</f>
        <v>199.72299999999998</v>
      </c>
      <c r="E235" s="4"/>
      <c r="F235" s="4"/>
      <c r="G235" s="4"/>
      <c r="H235" s="4"/>
      <c r="I235" s="4"/>
      <c r="J235" s="4"/>
    </row>
    <row r="236" spans="1:10">
      <c r="A236" s="4" t="s">
        <v>302</v>
      </c>
      <c r="B236" s="4"/>
      <c r="C236" s="4" t="s">
        <v>173</v>
      </c>
      <c r="D236" s="4">
        <f>83.135</f>
        <v>83.135000000000005</v>
      </c>
      <c r="E236" s="4"/>
      <c r="F236" s="4"/>
      <c r="G236" s="4" t="s">
        <v>139</v>
      </c>
      <c r="H236" s="4" t="s">
        <v>172</v>
      </c>
      <c r="I236" s="4"/>
      <c r="J236" s="4">
        <f>26.443+22.85+0.416</f>
        <v>49.709000000000003</v>
      </c>
    </row>
    <row r="237" spans="1:10">
      <c r="A237" s="4"/>
      <c r="B237" s="4"/>
      <c r="C237" s="4" t="s">
        <v>168</v>
      </c>
      <c r="D237" s="4">
        <f>100.035-8.623</f>
        <v>91.411999999999992</v>
      </c>
      <c r="E237" s="4"/>
      <c r="F237" s="4"/>
      <c r="G237" s="4" t="s">
        <v>139</v>
      </c>
      <c r="H237" s="4" t="s">
        <v>172</v>
      </c>
      <c r="I237" s="4"/>
      <c r="J237" s="4">
        <f>13.186+13.507+29.012</f>
        <v>55.704999999999998</v>
      </c>
    </row>
    <row r="238" spans="1:10">
      <c r="A238" s="4"/>
      <c r="B238" s="4"/>
      <c r="C238" s="4"/>
      <c r="D238" s="4">
        <f>SUM(D236:D237)</f>
        <v>174.547</v>
      </c>
      <c r="E238" s="4"/>
      <c r="F238" s="4"/>
      <c r="G238" s="4"/>
      <c r="H238" s="4"/>
      <c r="I238" s="4"/>
      <c r="J238" s="4"/>
    </row>
    <row r="239" spans="1:10">
      <c r="A239" s="4" t="s">
        <v>303</v>
      </c>
      <c r="B239" s="4"/>
      <c r="C239" s="4" t="s">
        <v>168</v>
      </c>
      <c r="D239" s="4">
        <v>17.585000000000001</v>
      </c>
      <c r="E239" s="4"/>
      <c r="F239" s="4"/>
      <c r="G239" s="4" t="s">
        <v>139</v>
      </c>
      <c r="H239" s="4" t="s">
        <v>172</v>
      </c>
      <c r="I239" s="4"/>
      <c r="J239" s="4"/>
    </row>
    <row r="240" spans="1:10">
      <c r="A240" s="4"/>
      <c r="B240" s="4"/>
      <c r="C240" s="4" t="s">
        <v>169</v>
      </c>
      <c r="D240" s="4">
        <v>99.04</v>
      </c>
      <c r="E240" s="4"/>
      <c r="F240" s="4"/>
      <c r="G240" s="4" t="s">
        <v>139</v>
      </c>
      <c r="H240" s="4" t="s">
        <v>172</v>
      </c>
      <c r="I240" s="4"/>
      <c r="J240" s="4">
        <f>34.429+1.926+7.301+14.276+1.774</f>
        <v>59.706000000000003</v>
      </c>
    </row>
    <row r="241" spans="1:12">
      <c r="A241" s="4"/>
      <c r="B241" s="4"/>
      <c r="C241" s="4"/>
      <c r="D241" s="4">
        <f>SUM(D239:D240)</f>
        <v>116.625</v>
      </c>
      <c r="E241" s="4"/>
      <c r="F241" s="4"/>
      <c r="G241" s="4"/>
      <c r="H241" s="4"/>
      <c r="I241" s="4"/>
      <c r="J241" s="4"/>
    </row>
    <row r="242" spans="1:12">
      <c r="A242" s="4" t="s">
        <v>304</v>
      </c>
      <c r="B242" s="4"/>
      <c r="C242" s="4" t="s">
        <v>154</v>
      </c>
      <c r="D242" s="4">
        <v>127.075</v>
      </c>
      <c r="E242" s="4"/>
      <c r="F242" s="4"/>
      <c r="G242" s="4" t="s">
        <v>139</v>
      </c>
      <c r="H242" s="4" t="s">
        <v>172</v>
      </c>
      <c r="I242" s="4"/>
      <c r="J242" s="4"/>
    </row>
    <row r="243" spans="1:12">
      <c r="A243" s="4"/>
      <c r="B243" s="4"/>
      <c r="C243" s="4" t="s">
        <v>317</v>
      </c>
      <c r="D243" s="4">
        <v>19.035</v>
      </c>
      <c r="E243" s="4"/>
      <c r="F243" s="4"/>
      <c r="G243" s="4" t="s">
        <v>139</v>
      </c>
      <c r="H243" s="4" t="s">
        <v>172</v>
      </c>
      <c r="I243" s="4"/>
      <c r="J243" s="4"/>
    </row>
    <row r="244" spans="1:12">
      <c r="A244" s="4"/>
      <c r="B244" s="4"/>
      <c r="C244" s="4"/>
      <c r="D244" s="4">
        <f>SUM(D242:D243)</f>
        <v>146.11000000000001</v>
      </c>
      <c r="E244" s="4"/>
      <c r="F244" s="4"/>
      <c r="G244" s="4"/>
      <c r="H244" s="4"/>
      <c r="I244" s="4"/>
      <c r="J244" s="4"/>
    </row>
    <row r="245" spans="1:12">
      <c r="A245" s="4" t="s">
        <v>306</v>
      </c>
      <c r="B245" s="4"/>
      <c r="C245" s="4" t="s">
        <v>316</v>
      </c>
      <c r="D245" s="4">
        <v>108.985</v>
      </c>
      <c r="E245" s="4"/>
      <c r="F245" s="4"/>
      <c r="G245" s="4" t="s">
        <v>139</v>
      </c>
      <c r="H245" s="4" t="s">
        <v>172</v>
      </c>
      <c r="I245" s="4"/>
      <c r="J245" s="4">
        <f>16.577+31.59+7.352</f>
        <v>55.519000000000005</v>
      </c>
    </row>
    <row r="246" spans="1:12">
      <c r="A246" s="4"/>
      <c r="B246" s="4"/>
      <c r="C246" s="4" t="s">
        <v>153</v>
      </c>
      <c r="D246" s="4">
        <v>21.84</v>
      </c>
      <c r="E246" s="4"/>
      <c r="F246" s="4"/>
      <c r="G246" s="4" t="s">
        <v>139</v>
      </c>
      <c r="H246" s="4" t="s">
        <v>172</v>
      </c>
      <c r="I246" s="4"/>
      <c r="J246" s="4"/>
    </row>
    <row r="247" spans="1:12">
      <c r="A247" s="4"/>
      <c r="B247" s="4"/>
      <c r="C247" s="4"/>
      <c r="D247" s="4">
        <f>SUM(D245:D246)</f>
        <v>130.82499999999999</v>
      </c>
      <c r="E247" s="4"/>
      <c r="F247" s="4"/>
      <c r="G247" s="4"/>
      <c r="H247" s="4"/>
      <c r="I247" s="4"/>
      <c r="J247" s="4"/>
    </row>
    <row r="248" spans="1:12">
      <c r="A248" s="4" t="s">
        <v>310</v>
      </c>
      <c r="B248" s="4"/>
      <c r="C248" s="4" t="s">
        <v>153</v>
      </c>
      <c r="D248" s="4">
        <f>146.465-5.831</f>
        <v>140.63400000000001</v>
      </c>
      <c r="E248" s="4"/>
      <c r="F248" s="4"/>
      <c r="G248" s="4" t="s">
        <v>139</v>
      </c>
      <c r="H248" s="4" t="s">
        <v>172</v>
      </c>
      <c r="I248" s="4"/>
      <c r="J248" s="4">
        <v>1.677</v>
      </c>
    </row>
    <row r="249" spans="1:12">
      <c r="A249" s="4"/>
      <c r="B249" s="4"/>
      <c r="C249" s="4" t="s">
        <v>311</v>
      </c>
      <c r="D249" s="4">
        <v>5.7</v>
      </c>
      <c r="E249" s="4"/>
      <c r="F249" s="4"/>
      <c r="G249" s="4" t="s">
        <v>139</v>
      </c>
      <c r="H249" s="4" t="s">
        <v>172</v>
      </c>
      <c r="I249" s="4"/>
      <c r="J249" s="4">
        <v>6.0309999999999997</v>
      </c>
    </row>
    <row r="250" spans="1:12">
      <c r="A250" s="4"/>
      <c r="B250" s="4"/>
      <c r="C250" s="4"/>
      <c r="D250" s="4">
        <f>SUM(D248:D249)</f>
        <v>146.334</v>
      </c>
      <c r="E250" s="4"/>
      <c r="F250" s="4"/>
      <c r="G250" s="4"/>
      <c r="H250" s="4"/>
      <c r="I250" s="4"/>
      <c r="J250" s="4"/>
    </row>
    <row r="251" spans="1:12">
      <c r="A251" s="239" t="s">
        <v>312</v>
      </c>
      <c r="B251" s="239"/>
      <c r="C251" s="239"/>
      <c r="D251" s="4"/>
      <c r="E251" s="4"/>
      <c r="F251" s="4"/>
      <c r="G251" s="4"/>
      <c r="H251" s="4"/>
      <c r="I251" s="4"/>
      <c r="J251" s="4"/>
    </row>
    <row r="252" spans="1:12">
      <c r="A252" s="239" t="s">
        <v>318</v>
      </c>
      <c r="B252" s="239"/>
      <c r="C252" s="239"/>
      <c r="D252" s="239"/>
      <c r="E252" s="4"/>
      <c r="F252" s="4"/>
      <c r="G252" s="4"/>
      <c r="H252" s="4"/>
      <c r="I252" s="4"/>
      <c r="J252" s="4" t="s">
        <v>321</v>
      </c>
      <c r="K252" t="s">
        <v>322</v>
      </c>
      <c r="L252" t="s">
        <v>324</v>
      </c>
    </row>
    <row r="253" spans="1:12">
      <c r="A253" s="4" t="s">
        <v>320</v>
      </c>
      <c r="B253" s="4"/>
      <c r="C253" s="4" t="s">
        <v>326</v>
      </c>
      <c r="D253" s="4">
        <f>76.065-16-2+0.4</f>
        <v>58.464999999999996</v>
      </c>
      <c r="E253" s="4"/>
      <c r="F253" s="4"/>
      <c r="G253" s="4" t="s">
        <v>139</v>
      </c>
      <c r="H253" s="4" t="s">
        <v>172</v>
      </c>
      <c r="I253" s="4"/>
      <c r="J253" s="4">
        <f>21.843+8.429+2.418+1.082+2.679+9.746-2.5+9.277</f>
        <v>52.974000000000004</v>
      </c>
      <c r="L253">
        <f>D253-J253-K253</f>
        <v>5.4909999999999926</v>
      </c>
    </row>
    <row r="254" spans="1:12">
      <c r="A254" s="4"/>
      <c r="B254" s="4"/>
      <c r="C254" s="4" t="s">
        <v>327</v>
      </c>
      <c r="D254" s="4">
        <v>16</v>
      </c>
      <c r="E254" s="4"/>
      <c r="F254" s="4"/>
      <c r="G254" s="4" t="s">
        <v>139</v>
      </c>
      <c r="H254" s="4" t="s">
        <v>172</v>
      </c>
      <c r="I254" s="4"/>
      <c r="J254" s="4">
        <f>6.09+7.43+2.5</f>
        <v>16.02</v>
      </c>
      <c r="L254">
        <f>D254-J254-K254</f>
        <v>-1.9999999999999574E-2</v>
      </c>
    </row>
    <row r="255" spans="1:12">
      <c r="A255" s="4"/>
      <c r="B255" s="4"/>
      <c r="C255" s="4" t="s">
        <v>328</v>
      </c>
      <c r="D255" s="4">
        <v>2.4750000000000001</v>
      </c>
      <c r="E255" s="4"/>
      <c r="F255" s="4"/>
      <c r="G255" s="4" t="s">
        <v>139</v>
      </c>
      <c r="H255" s="4" t="s">
        <v>172</v>
      </c>
      <c r="I255" s="4"/>
      <c r="J255" s="4">
        <v>2.4550000000000001</v>
      </c>
      <c r="L255" t="s">
        <v>334</v>
      </c>
    </row>
    <row r="256" spans="1:12">
      <c r="A256" s="4"/>
      <c r="B256" s="4"/>
      <c r="C256" s="4" t="s">
        <v>331</v>
      </c>
      <c r="D256" s="4">
        <v>27</v>
      </c>
      <c r="E256" s="4"/>
      <c r="F256" s="4"/>
      <c r="G256" s="4" t="s">
        <v>139</v>
      </c>
      <c r="H256" s="4" t="s">
        <v>172</v>
      </c>
      <c r="I256" s="4"/>
      <c r="J256" s="4">
        <f>17.646+9.428</f>
        <v>27.074000000000002</v>
      </c>
      <c r="L256" t="s">
        <v>334</v>
      </c>
    </row>
    <row r="257" spans="1:12">
      <c r="A257" s="4"/>
      <c r="B257" s="4"/>
      <c r="C257" s="4" t="s">
        <v>329</v>
      </c>
      <c r="D257" s="4">
        <f>97.685-27</f>
        <v>70.685000000000002</v>
      </c>
      <c r="E257" s="4"/>
      <c r="F257" s="4"/>
      <c r="G257" s="4" t="s">
        <v>139</v>
      </c>
      <c r="H257" s="4" t="s">
        <v>172</v>
      </c>
      <c r="I257" s="4"/>
      <c r="J257" s="4">
        <f>49.77+40.899+11.913+18.595+4.273+1.575+6.388+10.537</f>
        <v>143.95000000000002</v>
      </c>
      <c r="L257">
        <f>D257+D260-J257</f>
        <v>-0.12000000000003297</v>
      </c>
    </row>
    <row r="258" spans="1:12">
      <c r="A258" s="4"/>
      <c r="B258" s="4"/>
      <c r="C258" s="4"/>
      <c r="D258" s="4">
        <f>SUM(D253:D257)</f>
        <v>174.625</v>
      </c>
      <c r="E258" s="4"/>
      <c r="F258" s="4"/>
      <c r="G258" s="4"/>
      <c r="H258" s="4"/>
      <c r="I258" s="4"/>
      <c r="J258" s="4">
        <f>SUM(J253:J257)</f>
        <v>242.47300000000001</v>
      </c>
      <c r="K258">
        <f>SUM(K253:K257)</f>
        <v>0</v>
      </c>
      <c r="L258">
        <f>SUM(L253:L257)</f>
        <v>5.35099999999996</v>
      </c>
    </row>
    <row r="259" spans="1:12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2">
      <c r="A260" s="4" t="s">
        <v>325</v>
      </c>
      <c r="B260" s="4"/>
      <c r="C260" s="4" t="s">
        <v>329</v>
      </c>
      <c r="D260" s="4">
        <f>18.46+19.01+17.04+12.175+6.46</f>
        <v>73.144999999999996</v>
      </c>
      <c r="E260" s="4"/>
      <c r="F260" s="4"/>
      <c r="G260" s="4" t="s">
        <v>139</v>
      </c>
      <c r="H260" s="4" t="s">
        <v>172</v>
      </c>
      <c r="I260" s="4"/>
      <c r="J260" s="4"/>
    </row>
    <row r="261" spans="1:12">
      <c r="A261" s="4"/>
      <c r="B261" s="4"/>
      <c r="C261" s="4" t="s">
        <v>330</v>
      </c>
      <c r="D261" s="4">
        <v>117.045</v>
      </c>
      <c r="E261" s="4"/>
      <c r="F261" s="4"/>
      <c r="G261" s="4" t="s">
        <v>139</v>
      </c>
      <c r="H261" s="4" t="s">
        <v>172</v>
      </c>
      <c r="I261" s="4"/>
      <c r="J261" s="4">
        <f>5.522+23.894+39.408+20.596+15.681+8.616+1.56</f>
        <v>115.277</v>
      </c>
      <c r="L261">
        <f>D261+D269-J261</f>
        <v>132.858</v>
      </c>
    </row>
    <row r="262" spans="1:12">
      <c r="A262" s="4"/>
      <c r="B262" s="4"/>
      <c r="C262" s="4"/>
      <c r="D262" s="4">
        <f>SUM(D260:D261)</f>
        <v>190.19</v>
      </c>
      <c r="E262" s="4"/>
      <c r="F262" s="4"/>
      <c r="G262" s="4"/>
      <c r="H262" s="4"/>
      <c r="I262" s="4"/>
      <c r="J262" s="4">
        <f>SUM(J260:J261)</f>
        <v>115.277</v>
      </c>
      <c r="L262">
        <f>SUM(L260:L261)</f>
        <v>132.858</v>
      </c>
    </row>
    <row r="263" spans="1:12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2">
      <c r="A264" s="4" t="s">
        <v>335</v>
      </c>
      <c r="B264" s="4"/>
      <c r="C264" s="4" t="s">
        <v>336</v>
      </c>
      <c r="D264" s="4">
        <v>3</v>
      </c>
      <c r="E264" s="4"/>
      <c r="F264" s="4"/>
      <c r="G264" s="4" t="s">
        <v>139</v>
      </c>
      <c r="H264" s="4" t="s">
        <v>172</v>
      </c>
      <c r="I264" s="4"/>
      <c r="J264" s="4"/>
    </row>
    <row r="265" spans="1:12">
      <c r="A265" s="4"/>
      <c r="B265" s="4"/>
      <c r="C265" s="4" t="s">
        <v>337</v>
      </c>
      <c r="D265" s="4">
        <f>36.1-3</f>
        <v>33.1</v>
      </c>
      <c r="E265" s="4"/>
      <c r="F265" s="4"/>
      <c r="G265" s="4" t="s">
        <v>139</v>
      </c>
      <c r="H265" s="4" t="s">
        <v>172</v>
      </c>
      <c r="I265" s="4"/>
      <c r="J265" s="4">
        <f>16.822+16.308</f>
        <v>33.129999999999995</v>
      </c>
    </row>
    <row r="266" spans="1:12">
      <c r="A266" s="4"/>
      <c r="B266" s="4"/>
      <c r="C266" s="4" t="s">
        <v>338</v>
      </c>
      <c r="D266" s="4">
        <v>21</v>
      </c>
      <c r="E266" s="4"/>
      <c r="F266" s="4"/>
      <c r="G266" s="4" t="s">
        <v>139</v>
      </c>
      <c r="H266" s="4" t="s">
        <v>172</v>
      </c>
      <c r="I266" s="4"/>
      <c r="J266" s="4">
        <f>13.301+11.413</f>
        <v>24.713999999999999</v>
      </c>
    </row>
    <row r="267" spans="1:12">
      <c r="A267" s="4"/>
      <c r="B267" s="4"/>
      <c r="C267" s="4" t="s">
        <v>339</v>
      </c>
      <c r="D267" s="4">
        <f>64.13-21</f>
        <v>43.129999999999995</v>
      </c>
      <c r="E267" s="4"/>
      <c r="F267" s="4"/>
      <c r="G267" s="4" t="s">
        <v>139</v>
      </c>
      <c r="H267" s="4" t="s">
        <v>172</v>
      </c>
      <c r="I267" s="4"/>
      <c r="J267" s="4">
        <f>6.56+9.954+8.34+11.048</f>
        <v>35.902000000000001</v>
      </c>
    </row>
    <row r="268" spans="1:12">
      <c r="A268" s="4"/>
      <c r="B268" s="4"/>
      <c r="C268" s="4" t="s">
        <v>340</v>
      </c>
      <c r="D268" s="4">
        <v>30.86</v>
      </c>
      <c r="E268" s="4"/>
      <c r="F268" s="4"/>
      <c r="G268" s="4" t="s">
        <v>139</v>
      </c>
      <c r="H268" s="4" t="s">
        <v>172</v>
      </c>
      <c r="I268" s="4"/>
      <c r="J268" s="4"/>
    </row>
    <row r="269" spans="1:12">
      <c r="A269" s="4"/>
      <c r="B269" s="4"/>
      <c r="C269" s="4"/>
      <c r="D269" s="4">
        <f>SUM(D264:D268)</f>
        <v>131.08999999999997</v>
      </c>
      <c r="E269" s="4"/>
      <c r="F269" s="4"/>
      <c r="G269" s="4"/>
      <c r="H269" s="4"/>
      <c r="I269" s="4"/>
      <c r="J269" s="4">
        <f>SUM(J264:J268)</f>
        <v>93.745999999999995</v>
      </c>
    </row>
    <row r="270" spans="1:12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2">
      <c r="A271" s="4" t="s">
        <v>343</v>
      </c>
      <c r="B271" s="4"/>
      <c r="C271" s="4" t="s">
        <v>340</v>
      </c>
      <c r="D271" s="4">
        <f>126.615-61-18.235</f>
        <v>47.379999999999995</v>
      </c>
      <c r="E271" s="4"/>
      <c r="F271" s="4"/>
      <c r="G271" s="4" t="s">
        <v>139</v>
      </c>
      <c r="H271" s="4" t="s">
        <v>172</v>
      </c>
      <c r="I271" s="4"/>
      <c r="J271" s="4">
        <f>26.013+5.522+14.374+23.835+45.469</f>
        <v>115.21299999999999</v>
      </c>
    </row>
    <row r="272" spans="1:12">
      <c r="A272" s="4"/>
      <c r="B272" s="4"/>
      <c r="C272" s="4" t="s">
        <v>345</v>
      </c>
      <c r="D272" s="4">
        <f>48+13</f>
        <v>61</v>
      </c>
      <c r="E272" s="4"/>
      <c r="F272" s="4"/>
      <c r="G272" s="4" t="s">
        <v>139</v>
      </c>
      <c r="H272" s="4" t="s">
        <v>172</v>
      </c>
      <c r="I272" s="4"/>
      <c r="J272" s="4">
        <f>5.499+32.413+26.08</f>
        <v>63.991999999999997</v>
      </c>
    </row>
    <row r="273" spans="1:13">
      <c r="A273" s="4"/>
      <c r="B273" s="4"/>
      <c r="C273" s="4" t="s">
        <v>344</v>
      </c>
      <c r="D273" s="4">
        <v>23.45</v>
      </c>
      <c r="E273" s="4"/>
      <c r="F273" s="4"/>
      <c r="G273" s="4" t="s">
        <v>139</v>
      </c>
      <c r="H273" s="4" t="s">
        <v>172</v>
      </c>
      <c r="I273" s="4"/>
      <c r="J273" s="4">
        <f>8.583+8.941</f>
        <v>17.524000000000001</v>
      </c>
    </row>
    <row r="274" spans="1:13">
      <c r="A274" s="4"/>
      <c r="B274" s="4"/>
      <c r="C274" s="4"/>
      <c r="D274" s="4">
        <f>SUM(D271:D273)</f>
        <v>131.82999999999998</v>
      </c>
      <c r="E274" s="4"/>
      <c r="F274" s="4"/>
      <c r="G274" s="4"/>
      <c r="H274" s="4"/>
      <c r="I274" s="4"/>
      <c r="J274" s="4"/>
    </row>
    <row r="275" spans="1:13">
      <c r="A275" s="4" t="s">
        <v>351</v>
      </c>
      <c r="B275" s="4"/>
      <c r="C275" s="4"/>
      <c r="D275" s="4"/>
      <c r="E275" s="4"/>
      <c r="F275" s="4"/>
      <c r="G275" s="4"/>
      <c r="H275" s="4"/>
      <c r="I275" s="4"/>
      <c r="J275" s="4"/>
    </row>
    <row r="276" spans="1:13">
      <c r="A276" s="4" t="s">
        <v>390</v>
      </c>
      <c r="B276" s="4"/>
      <c r="C276" s="4" t="s">
        <v>344</v>
      </c>
      <c r="D276" s="4">
        <v>65</v>
      </c>
      <c r="E276" s="4"/>
      <c r="F276" s="4"/>
      <c r="G276" s="4" t="s">
        <v>139</v>
      </c>
      <c r="H276" s="4" t="s">
        <v>172</v>
      </c>
      <c r="I276" s="4"/>
      <c r="J276" s="4">
        <f>28.939+5.858+14.53+6.529+11.05+1.663</f>
        <v>68.568999999999988</v>
      </c>
    </row>
    <row r="277" spans="1:13">
      <c r="A277" s="4"/>
      <c r="B277" s="4"/>
      <c r="C277" s="4" t="s">
        <v>389</v>
      </c>
      <c r="D277" s="4">
        <f>102.97-65</f>
        <v>37.97</v>
      </c>
      <c r="E277" s="4"/>
      <c r="F277" s="4"/>
      <c r="G277" s="4" t="s">
        <v>139</v>
      </c>
      <c r="H277" s="4" t="s">
        <v>172</v>
      </c>
      <c r="I277" s="4"/>
      <c r="J277" s="4">
        <f>16.835+21.134</f>
        <v>37.969000000000001</v>
      </c>
    </row>
    <row r="278" spans="1:13">
      <c r="A278" s="4"/>
      <c r="B278" s="4"/>
      <c r="C278" s="4"/>
      <c r="D278" s="4">
        <f>SUM(D276:D277)</f>
        <v>102.97</v>
      </c>
      <c r="E278" s="4"/>
      <c r="F278" s="4"/>
      <c r="G278" s="4"/>
      <c r="H278" s="4"/>
      <c r="I278" s="4"/>
      <c r="J278" s="4">
        <f>SUM(J276:J277)</f>
        <v>106.53799999999998</v>
      </c>
    </row>
    <row r="279" spans="1:13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3">
      <c r="A280" s="4" t="s">
        <v>319</v>
      </c>
      <c r="B280" s="4"/>
      <c r="C280" s="4" t="s">
        <v>393</v>
      </c>
      <c r="D280" s="4">
        <f>122.055-5</f>
        <v>117.05500000000001</v>
      </c>
      <c r="E280" s="4"/>
      <c r="F280" s="4"/>
      <c r="G280" s="4" t="s">
        <v>139</v>
      </c>
      <c r="H280" s="4" t="s">
        <v>172</v>
      </c>
      <c r="I280" s="4"/>
      <c r="J280" s="4">
        <f>34.22+18.538+27.139+2.06+3.075+1.576</f>
        <v>86.60799999999999</v>
      </c>
      <c r="L280">
        <f>2.863+2.863+2.768+2.29+1.77+1.568+1.693+1.749</f>
        <v>17.563999999999997</v>
      </c>
    </row>
    <row r="281" spans="1:13">
      <c r="A281" s="4"/>
      <c r="B281" s="4"/>
      <c r="C281" s="4" t="s">
        <v>392</v>
      </c>
      <c r="D281" s="4">
        <v>5</v>
      </c>
      <c r="E281" s="4"/>
      <c r="F281" s="4"/>
      <c r="G281" s="4" t="s">
        <v>139</v>
      </c>
      <c r="H281" s="4" t="s">
        <v>172</v>
      </c>
      <c r="I281" s="4"/>
      <c r="J281" s="4">
        <f>0.348+1.792+2.676</f>
        <v>4.8160000000000007</v>
      </c>
      <c r="L281">
        <f>1.307+1.46+2.158+1.568+1.725+1.83+1.456+0.493+0.62</f>
        <v>12.616999999999999</v>
      </c>
      <c r="M281">
        <f>1.792+0.859+0.45</f>
        <v>3.101</v>
      </c>
    </row>
    <row r="282" spans="1:13">
      <c r="A282" s="4"/>
      <c r="B282" s="4"/>
      <c r="C282" s="4" t="s">
        <v>394</v>
      </c>
      <c r="D282" s="4">
        <f>38.14-4</f>
        <v>34.14</v>
      </c>
      <c r="E282" s="4"/>
      <c r="F282" s="4"/>
      <c r="G282" s="4" t="s">
        <v>139</v>
      </c>
      <c r="H282" s="4" t="s">
        <v>172</v>
      </c>
      <c r="I282" s="4"/>
      <c r="J282" s="4">
        <f>18.85+14.696+2.177</f>
        <v>35.722999999999999</v>
      </c>
    </row>
    <row r="283" spans="1:13">
      <c r="A283" s="4"/>
      <c r="B283" s="4"/>
      <c r="C283" s="4" t="s">
        <v>395</v>
      </c>
      <c r="D283" s="4">
        <v>4</v>
      </c>
      <c r="E283" s="4"/>
      <c r="F283" s="4"/>
      <c r="G283" s="4" t="s">
        <v>139</v>
      </c>
      <c r="H283" s="4" t="s">
        <v>172</v>
      </c>
      <c r="I283" s="4"/>
      <c r="J283" s="4">
        <v>4.3099999999999996</v>
      </c>
    </row>
    <row r="284" spans="1:13">
      <c r="A284" s="4"/>
      <c r="B284" s="4"/>
      <c r="C284" s="4"/>
      <c r="D284" s="4">
        <f>SUM(D280:D283)</f>
        <v>160.19499999999999</v>
      </c>
      <c r="E284" s="4"/>
      <c r="F284" s="4"/>
      <c r="G284" s="4"/>
      <c r="H284" s="4"/>
      <c r="I284" s="4"/>
      <c r="J284" s="4">
        <f>SUM(J280:J283)</f>
        <v>131.45699999999999</v>
      </c>
    </row>
    <row r="285" spans="1:13">
      <c r="A285" s="4" t="s">
        <v>399</v>
      </c>
      <c r="B285" s="4"/>
      <c r="C285" s="4"/>
      <c r="D285" s="4"/>
      <c r="E285" s="4"/>
      <c r="F285" s="4"/>
      <c r="G285" s="4"/>
      <c r="H285" s="4"/>
      <c r="I285" s="4"/>
      <c r="J285" s="4"/>
    </row>
    <row r="286" spans="1:13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3">
      <c r="A287" s="4" t="s">
        <v>481</v>
      </c>
      <c r="B287" s="4"/>
      <c r="C287" s="4" t="s">
        <v>498</v>
      </c>
      <c r="D287" s="4">
        <f>112.355-3</f>
        <v>109.355</v>
      </c>
      <c r="E287" s="4"/>
      <c r="F287" s="4"/>
      <c r="G287" s="4" t="s">
        <v>139</v>
      </c>
      <c r="H287" s="4" t="s">
        <v>172</v>
      </c>
      <c r="I287" s="4"/>
      <c r="J287" s="4">
        <f>34.267+45.408+25.194+4.355+2.83-3</f>
        <v>109.05400000000002</v>
      </c>
    </row>
    <row r="288" spans="1:13">
      <c r="A288" s="4"/>
      <c r="B288" s="4"/>
      <c r="C288" s="4" t="s">
        <v>497</v>
      </c>
      <c r="D288" s="4">
        <v>3</v>
      </c>
      <c r="E288" s="4"/>
      <c r="F288" s="4"/>
      <c r="G288" s="4"/>
      <c r="H288" s="4"/>
      <c r="I288" s="4"/>
      <c r="J288" s="4">
        <v>3</v>
      </c>
    </row>
    <row r="289" spans="1:10">
      <c r="A289" s="4"/>
      <c r="B289" s="4"/>
      <c r="C289" s="4" t="s">
        <v>482</v>
      </c>
      <c r="D289" s="4">
        <v>20.48</v>
      </c>
      <c r="E289" s="4"/>
      <c r="F289" s="4"/>
      <c r="G289" s="4" t="s">
        <v>139</v>
      </c>
      <c r="H289" s="4" t="s">
        <v>172</v>
      </c>
      <c r="I289" s="4"/>
      <c r="J289" s="4">
        <f>7.672+12.591</f>
        <v>20.262999999999998</v>
      </c>
    </row>
    <row r="290" spans="1:10">
      <c r="A290" s="4"/>
      <c r="B290" s="4"/>
      <c r="C290" s="4" t="s">
        <v>483</v>
      </c>
      <c r="D290" s="4">
        <v>2.0449999999999999</v>
      </c>
      <c r="E290" s="4"/>
      <c r="F290" s="4"/>
      <c r="G290" s="4" t="s">
        <v>139</v>
      </c>
      <c r="H290" s="4" t="s">
        <v>172</v>
      </c>
      <c r="I290" s="4"/>
      <c r="J290" s="4">
        <v>1.3640000000000001</v>
      </c>
    </row>
    <row r="291" spans="1:10">
      <c r="A291" s="4"/>
      <c r="B291" s="4"/>
      <c r="C291" s="4"/>
      <c r="D291" s="4">
        <f>SUM(D287:D290)</f>
        <v>134.88</v>
      </c>
      <c r="E291" s="4"/>
      <c r="F291" s="4"/>
      <c r="G291" s="4"/>
      <c r="H291" s="4"/>
      <c r="I291" s="4"/>
      <c r="J291" s="4">
        <f>SUM(J287:J290)</f>
        <v>133.68100000000001</v>
      </c>
    </row>
    <row r="292" spans="1:10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>
      <c r="A293" s="4" t="s">
        <v>484</v>
      </c>
      <c r="B293" s="4"/>
      <c r="C293" s="4" t="s">
        <v>493</v>
      </c>
      <c r="D293" s="4">
        <f>47.895-5</f>
        <v>42.895000000000003</v>
      </c>
      <c r="E293" s="4"/>
      <c r="F293" s="4"/>
      <c r="G293" s="4" t="s">
        <v>194</v>
      </c>
      <c r="H293" s="4" t="s">
        <v>172</v>
      </c>
      <c r="I293" s="4"/>
      <c r="J293" s="4">
        <f>15.078+11.105+12.112+7.226</f>
        <v>45.521000000000001</v>
      </c>
    </row>
    <row r="294" spans="1:10">
      <c r="A294" s="4"/>
      <c r="B294" s="4"/>
      <c r="C294" s="4" t="s">
        <v>494</v>
      </c>
      <c r="D294" s="4">
        <v>5</v>
      </c>
      <c r="E294" s="4"/>
      <c r="F294" s="4"/>
      <c r="G294" s="4"/>
      <c r="H294" s="4"/>
      <c r="I294" s="4"/>
      <c r="J294" s="4"/>
    </row>
    <row r="295" spans="1:10">
      <c r="A295" s="4"/>
      <c r="B295" s="4"/>
      <c r="C295" s="4" t="s">
        <v>485</v>
      </c>
      <c r="D295" s="4">
        <v>53.884999999999998</v>
      </c>
      <c r="E295" s="4"/>
      <c r="F295" s="4"/>
      <c r="G295" s="4" t="s">
        <v>194</v>
      </c>
      <c r="H295" s="4" t="s">
        <v>172</v>
      </c>
      <c r="I295" s="4"/>
      <c r="J295" s="4">
        <f>18.26+7.516+24.548</f>
        <v>50.323999999999998</v>
      </c>
    </row>
    <row r="296" spans="1:10">
      <c r="A296" s="4"/>
      <c r="B296" s="4"/>
      <c r="C296" s="4" t="s">
        <v>486</v>
      </c>
      <c r="D296" s="4">
        <v>69.775000000000006</v>
      </c>
      <c r="E296" s="4"/>
      <c r="F296" s="4"/>
      <c r="G296" s="4" t="s">
        <v>194</v>
      </c>
      <c r="H296" s="4" t="s">
        <v>172</v>
      </c>
      <c r="I296" s="4"/>
      <c r="J296" s="4">
        <f>20.1+11.281+6.151+25.65</f>
        <v>63.181999999999995</v>
      </c>
    </row>
    <row r="297" spans="1:10">
      <c r="A297" s="4"/>
      <c r="B297" s="4"/>
      <c r="C297" s="4" t="s">
        <v>496</v>
      </c>
      <c r="D297" s="4">
        <v>3.54</v>
      </c>
      <c r="E297" s="4"/>
      <c r="F297" s="4"/>
      <c r="G297" s="4" t="s">
        <v>194</v>
      </c>
      <c r="H297" s="4" t="s">
        <v>172</v>
      </c>
      <c r="I297" s="4"/>
      <c r="J297" s="4">
        <v>15.206</v>
      </c>
    </row>
    <row r="298" spans="1:10">
      <c r="A298" s="4"/>
      <c r="B298" s="4"/>
      <c r="C298" s="4"/>
      <c r="D298" s="4">
        <f>SUM(D293:D297)</f>
        <v>175.095</v>
      </c>
      <c r="E298" s="4"/>
      <c r="F298" s="4"/>
      <c r="G298" s="4"/>
      <c r="H298" s="4"/>
      <c r="I298" s="4"/>
      <c r="J298" s="4">
        <f>SUM(J293:J297)</f>
        <v>174.23299999999998</v>
      </c>
    </row>
    <row r="299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>
      <c r="A300" s="4" t="s">
        <v>487</v>
      </c>
      <c r="B300" s="4"/>
      <c r="C300" s="4" t="s">
        <v>496</v>
      </c>
      <c r="D300" s="4">
        <f>34.045-18</f>
        <v>16.045000000000002</v>
      </c>
      <c r="E300" s="4"/>
      <c r="F300" s="4"/>
      <c r="G300" s="4" t="s">
        <v>194</v>
      </c>
      <c r="H300" s="4" t="s">
        <v>172</v>
      </c>
      <c r="I300" s="4"/>
      <c r="J300" s="4">
        <v>8.6159999999999997</v>
      </c>
    </row>
    <row r="301" spans="1:10">
      <c r="A301" s="4"/>
      <c r="B301" s="4"/>
      <c r="C301" s="4" t="s">
        <v>495</v>
      </c>
      <c r="D301" s="4">
        <v>18</v>
      </c>
      <c r="E301" s="4"/>
      <c r="F301" s="4"/>
      <c r="G301" s="4" t="s">
        <v>194</v>
      </c>
      <c r="H301" s="4" t="s">
        <v>172</v>
      </c>
      <c r="I301" s="4"/>
      <c r="J301" s="4">
        <f>13.172+22.036-17</f>
        <v>18.207999999999998</v>
      </c>
    </row>
    <row r="302" spans="1:10">
      <c r="A302" s="4"/>
      <c r="B302" s="4"/>
      <c r="C302" s="4" t="s">
        <v>488</v>
      </c>
      <c r="D302" s="4">
        <v>60.31</v>
      </c>
      <c r="E302" s="4"/>
      <c r="F302" s="4"/>
      <c r="G302" s="4" t="s">
        <v>194</v>
      </c>
      <c r="H302" s="4" t="s">
        <v>172</v>
      </c>
      <c r="I302" s="4"/>
      <c r="J302" s="4">
        <f>40.372+8.246+8.192+2.305</f>
        <v>59.115000000000002</v>
      </c>
    </row>
    <row r="303" spans="1:10">
      <c r="A303" s="4"/>
      <c r="B303" s="4"/>
      <c r="C303" s="4" t="s">
        <v>489</v>
      </c>
      <c r="D303" s="4">
        <v>8.52</v>
      </c>
      <c r="E303" s="4"/>
      <c r="F303" s="4"/>
      <c r="G303" s="4" t="s">
        <v>194</v>
      </c>
      <c r="H303" s="4" t="s">
        <v>172</v>
      </c>
      <c r="I303" s="4"/>
      <c r="J303" s="4">
        <v>8.407</v>
      </c>
    </row>
    <row r="304" spans="1:10">
      <c r="A304" s="4"/>
      <c r="B304" s="4"/>
      <c r="C304" s="4" t="s">
        <v>490</v>
      </c>
      <c r="D304" s="4">
        <v>59.84</v>
      </c>
      <c r="E304" s="4"/>
      <c r="F304" s="4"/>
      <c r="G304" s="4" t="s">
        <v>194</v>
      </c>
      <c r="H304" s="4" t="s">
        <v>172</v>
      </c>
      <c r="I304" s="4"/>
      <c r="J304" s="4">
        <f>22.007+13.677+5.291+18.508</f>
        <v>59.48299999999999</v>
      </c>
    </row>
    <row r="305" spans="1:10">
      <c r="A305" s="4"/>
      <c r="B305" s="4"/>
      <c r="C305" s="4"/>
      <c r="D305" s="4">
        <f>SUM(D300:D304)</f>
        <v>162.715</v>
      </c>
      <c r="E305" s="4"/>
      <c r="F305" s="4"/>
      <c r="G305" s="4"/>
      <c r="H305" s="4"/>
      <c r="I305" s="4"/>
      <c r="J305" s="4">
        <f>SUM(J300:J304)</f>
        <v>153.82899999999998</v>
      </c>
    </row>
    <row r="306" spans="1:10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>
      <c r="A307" s="4"/>
      <c r="B307" s="4"/>
      <c r="C307" s="4" t="s">
        <v>289</v>
      </c>
      <c r="D307" s="4">
        <f>D210+D213+D218+D221+D228+D231+D235+D238+D241+D244+D247+D250+D258+D262+D269+D274+D278+D284+D291+D298+D305</f>
        <v>2933.0920000000001</v>
      </c>
      <c r="E307" s="4"/>
      <c r="F307" s="4"/>
      <c r="G307" s="4"/>
      <c r="H307" s="4"/>
      <c r="I307" s="4"/>
      <c r="J307" s="4"/>
    </row>
    <row r="308" spans="1:10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>
      <c r="A309" s="4" t="s">
        <v>499</v>
      </c>
      <c r="B309" s="4"/>
      <c r="C309" s="4"/>
      <c r="D309" s="4"/>
      <c r="E309" s="4"/>
      <c r="F309" s="4"/>
      <c r="G309" s="4"/>
      <c r="H309" s="4"/>
      <c r="I309" s="4"/>
      <c r="J309" s="4"/>
    </row>
    <row r="310" spans="1:10">
      <c r="A310" s="4" t="s">
        <v>500</v>
      </c>
      <c r="B310" s="4"/>
      <c r="C310" s="4" t="s">
        <v>501</v>
      </c>
      <c r="D310" s="4">
        <v>15.988</v>
      </c>
      <c r="E310" s="4"/>
      <c r="F310" s="4"/>
      <c r="G310" s="4" t="s">
        <v>194</v>
      </c>
      <c r="H310" s="4" t="s">
        <v>172</v>
      </c>
      <c r="I310" s="4"/>
      <c r="J310" s="4">
        <f>10.116+2.629+4.82</f>
        <v>17.564999999999998</v>
      </c>
    </row>
    <row r="311" spans="1:10">
      <c r="A311" s="4"/>
      <c r="B311" s="4"/>
      <c r="C311" s="4" t="s">
        <v>502</v>
      </c>
      <c r="D311" s="4">
        <v>58.947000000000003</v>
      </c>
      <c r="E311" s="4"/>
      <c r="F311" s="4"/>
      <c r="G311" s="4" t="s">
        <v>194</v>
      </c>
      <c r="H311" s="4" t="s">
        <v>172</v>
      </c>
      <c r="I311" s="4"/>
      <c r="J311" s="4">
        <f>27.738+19.151+3.821+4.623</f>
        <v>55.332999999999991</v>
      </c>
    </row>
    <row r="312" spans="1:10">
      <c r="A312" s="4"/>
      <c r="B312" s="4"/>
      <c r="C312" s="4" t="s">
        <v>505</v>
      </c>
      <c r="D312" s="4">
        <v>18.629000000000001</v>
      </c>
      <c r="E312" s="4"/>
      <c r="F312" s="4"/>
      <c r="G312" s="4" t="s">
        <v>194</v>
      </c>
      <c r="H312" s="4" t="s">
        <v>172</v>
      </c>
      <c r="I312" s="4"/>
      <c r="J312" s="4">
        <v>18.715</v>
      </c>
    </row>
    <row r="313" spans="1:10">
      <c r="A313" s="4"/>
      <c r="B313" s="4"/>
      <c r="C313" s="4" t="s">
        <v>503</v>
      </c>
      <c r="D313" s="4">
        <v>17.815000000000001</v>
      </c>
      <c r="E313" s="4"/>
      <c r="F313" s="4"/>
      <c r="G313" s="4" t="s">
        <v>194</v>
      </c>
      <c r="H313" s="4" t="s">
        <v>172</v>
      </c>
      <c r="I313" s="4"/>
      <c r="J313" s="4">
        <f>11.433+5.72</f>
        <v>17.152999999999999</v>
      </c>
    </row>
    <row r="314" spans="1:10">
      <c r="A314" s="4"/>
      <c r="B314" s="4"/>
      <c r="C314" s="4" t="s">
        <v>504</v>
      </c>
      <c r="D314" s="4">
        <v>22.544</v>
      </c>
      <c r="E314" s="4"/>
      <c r="F314" s="4"/>
      <c r="G314" s="4" t="s">
        <v>194</v>
      </c>
      <c r="H314" s="4" t="s">
        <v>172</v>
      </c>
      <c r="I314" s="4"/>
      <c r="J314" s="4">
        <v>17</v>
      </c>
    </row>
    <row r="315" spans="1:10">
      <c r="A315" s="4"/>
      <c r="B315" s="4"/>
      <c r="C315" s="4"/>
      <c r="D315" s="4">
        <f>SUM(D310:D314)</f>
        <v>133.923</v>
      </c>
      <c r="E315" s="4"/>
      <c r="F315" s="4"/>
      <c r="G315" s="4"/>
      <c r="H315" s="4"/>
      <c r="I315" s="4"/>
      <c r="J315" s="4">
        <f>SUM(J310:J314)</f>
        <v>125.76599999999999</v>
      </c>
    </row>
    <row r="316" spans="1:10">
      <c r="A316" s="4" t="s">
        <v>513</v>
      </c>
      <c r="B316" s="4"/>
      <c r="C316" s="4"/>
      <c r="D316" s="4"/>
      <c r="E316" s="4"/>
      <c r="F316" s="4"/>
      <c r="G316" s="4"/>
      <c r="H316" s="4"/>
      <c r="I316" s="4"/>
      <c r="J316" s="4"/>
    </row>
    <row r="317" spans="1:10">
      <c r="A317" s="4" t="s">
        <v>565</v>
      </c>
      <c r="B317" s="4"/>
      <c r="C317" s="4"/>
      <c r="D317" s="4"/>
      <c r="E317" s="4"/>
      <c r="F317" s="4"/>
      <c r="G317" s="4"/>
      <c r="H317" s="4"/>
      <c r="I317" s="4"/>
      <c r="J317" s="4"/>
    </row>
    <row r="318" spans="1:10">
      <c r="A318" s="4" t="s">
        <v>566</v>
      </c>
      <c r="B318" s="4"/>
      <c r="C318" s="4"/>
      <c r="D318" s="4"/>
      <c r="E318" s="4"/>
      <c r="F318" s="4"/>
      <c r="G318" s="4"/>
      <c r="H318" s="4"/>
      <c r="I318" s="4"/>
      <c r="J318" s="4"/>
    </row>
    <row r="319" spans="1:10">
      <c r="A319" s="4" t="s">
        <v>514</v>
      </c>
      <c r="B319" s="4"/>
      <c r="C319" s="4" t="s">
        <v>504</v>
      </c>
      <c r="D319" s="4">
        <v>142.65</v>
      </c>
      <c r="E319" s="4"/>
      <c r="F319" s="4"/>
      <c r="G319" s="4" t="s">
        <v>194</v>
      </c>
      <c r="H319" s="4" t="s">
        <v>172</v>
      </c>
      <c r="I319" s="4"/>
      <c r="J319" s="4">
        <f>27.158+27.984+18.249+48.954</f>
        <v>122.345</v>
      </c>
    </row>
    <row r="320" spans="1:10">
      <c r="A320" s="4"/>
      <c r="B320" s="4"/>
      <c r="C320" s="4"/>
      <c r="D320" s="4">
        <f>SUM(D319)</f>
        <v>142.65</v>
      </c>
      <c r="E320" s="4"/>
      <c r="F320" s="4"/>
      <c r="G320" s="4"/>
      <c r="H320" s="4"/>
      <c r="I320" s="4"/>
      <c r="J320" s="4">
        <f>SUM(J319)</f>
        <v>122.345</v>
      </c>
    </row>
    <row r="321" spans="1:10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>
      <c r="A322" s="4" t="s">
        <v>523</v>
      </c>
      <c r="B322" s="4"/>
      <c r="C322" s="4" t="s">
        <v>504</v>
      </c>
      <c r="D322" s="4">
        <f>88-7.22</f>
        <v>80.78</v>
      </c>
      <c r="E322" s="4"/>
      <c r="F322" s="4"/>
      <c r="G322" s="4" t="s">
        <v>194</v>
      </c>
      <c r="H322" s="4" t="s">
        <v>172</v>
      </c>
      <c r="I322" s="4"/>
      <c r="J322" s="4">
        <f>21.316+22.742+5.929+4.664+43.74+2.72+8.95</f>
        <v>110.06100000000001</v>
      </c>
    </row>
    <row r="323" spans="1:10">
      <c r="A323" s="4"/>
      <c r="B323" s="4"/>
      <c r="C323" s="4" t="s">
        <v>524</v>
      </c>
      <c r="D323" s="4">
        <f>95.93-88</f>
        <v>7.9300000000000068</v>
      </c>
      <c r="E323" s="4"/>
      <c r="F323" s="4"/>
      <c r="G323" s="4" t="s">
        <v>194</v>
      </c>
      <c r="H323" s="4" t="s">
        <v>172</v>
      </c>
      <c r="I323" s="4"/>
      <c r="J323" s="4">
        <f>2.947+1.081+0.368+0.344+0.642</f>
        <v>5.3820000000000014</v>
      </c>
    </row>
    <row r="324" spans="1:10">
      <c r="A324" s="4"/>
      <c r="B324" s="4"/>
      <c r="C324" s="4" t="s">
        <v>525</v>
      </c>
      <c r="D324" s="4">
        <v>9.36</v>
      </c>
      <c r="E324" s="4"/>
      <c r="F324" s="4"/>
      <c r="G324" s="4" t="s">
        <v>194</v>
      </c>
      <c r="H324" s="4" t="s">
        <v>172</v>
      </c>
      <c r="I324" s="4"/>
      <c r="J324" s="4">
        <v>9.3219999999999992</v>
      </c>
    </row>
    <row r="325" spans="1:10">
      <c r="A325" s="4"/>
      <c r="B325" s="4"/>
      <c r="C325" s="4" t="s">
        <v>526</v>
      </c>
      <c r="D325" s="4">
        <v>54.335000000000001</v>
      </c>
      <c r="E325" s="4"/>
      <c r="F325" s="4"/>
      <c r="G325" s="4" t="s">
        <v>194</v>
      </c>
      <c r="H325" s="4" t="s">
        <v>172</v>
      </c>
      <c r="I325" s="4"/>
      <c r="J325" s="4">
        <f>16.335+2.341+34.14</f>
        <v>52.816000000000003</v>
      </c>
    </row>
    <row r="326" spans="1:10">
      <c r="A326" s="4"/>
      <c r="B326" s="4"/>
      <c r="C326" s="4"/>
      <c r="D326" s="4">
        <f>SUM(D322:D325)</f>
        <v>152.405</v>
      </c>
      <c r="E326" s="4"/>
      <c r="F326" s="4"/>
      <c r="G326" s="4"/>
      <c r="H326" s="4"/>
      <c r="I326" s="4"/>
      <c r="J326" s="4">
        <f>SUM(J322:J325)</f>
        <v>177.58100000000002</v>
      </c>
    </row>
    <row r="327" spans="1:10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>
      <c r="A328" s="4" t="s">
        <v>528</v>
      </c>
      <c r="B328" s="4"/>
      <c r="C328" s="4" t="s">
        <v>529</v>
      </c>
      <c r="D328" s="4">
        <v>46.89</v>
      </c>
      <c r="E328" s="4"/>
      <c r="F328" s="4"/>
      <c r="G328" s="4" t="s">
        <v>194</v>
      </c>
      <c r="H328" s="4" t="s">
        <v>172</v>
      </c>
      <c r="I328" s="4"/>
      <c r="J328" s="4">
        <f>29.342+17.543</f>
        <v>46.884999999999998</v>
      </c>
    </row>
    <row r="329" spans="1:10">
      <c r="A329" s="4"/>
      <c r="B329" s="4"/>
      <c r="C329" s="4" t="s">
        <v>531</v>
      </c>
      <c r="D329" s="4">
        <f>73.865-8</f>
        <v>65.864999999999995</v>
      </c>
      <c r="E329" s="4"/>
      <c r="F329" s="4"/>
      <c r="G329" s="4" t="s">
        <v>194</v>
      </c>
      <c r="H329" s="4" t="s">
        <v>172</v>
      </c>
      <c r="I329" s="4"/>
      <c r="J329" s="4">
        <f>29.405+2.751+27.844+4</f>
        <v>64</v>
      </c>
    </row>
    <row r="330" spans="1:10">
      <c r="A330" s="4"/>
      <c r="B330" s="4"/>
      <c r="C330" s="4" t="s">
        <v>530</v>
      </c>
      <c r="D330" s="4">
        <v>8</v>
      </c>
      <c r="E330" s="4"/>
      <c r="F330" s="4"/>
      <c r="G330" s="4" t="s">
        <v>194</v>
      </c>
      <c r="H330" s="4" t="s">
        <v>172</v>
      </c>
      <c r="I330" s="4"/>
      <c r="J330" s="4">
        <f>12.32-4</f>
        <v>8.32</v>
      </c>
    </row>
    <row r="331" spans="1:10">
      <c r="A331" s="4"/>
      <c r="B331" s="4"/>
      <c r="C331" s="4" t="s">
        <v>532</v>
      </c>
      <c r="D331" s="4">
        <v>6.15</v>
      </c>
      <c r="E331" s="4"/>
      <c r="F331" s="4"/>
      <c r="G331" s="4" t="s">
        <v>194</v>
      </c>
      <c r="H331" s="4" t="s">
        <v>172</v>
      </c>
      <c r="I331" s="4"/>
      <c r="J331" s="4">
        <v>6.27</v>
      </c>
    </row>
    <row r="332" spans="1:10">
      <c r="A332" s="4"/>
      <c r="B332" s="4"/>
      <c r="C332" s="4"/>
      <c r="D332" s="4">
        <f>SUM(D328:D331)</f>
        <v>126.905</v>
      </c>
      <c r="E332" s="4"/>
      <c r="F332" s="4"/>
      <c r="G332" s="4"/>
      <c r="H332" s="4"/>
      <c r="I332" s="4"/>
      <c r="J332" s="4">
        <f>SUM(J328:J331)</f>
        <v>125.47499999999998</v>
      </c>
    </row>
    <row r="333" spans="1:10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>
      <c r="A334" s="4" t="s">
        <v>535</v>
      </c>
      <c r="B334" s="4"/>
      <c r="C334" s="4" t="s">
        <v>533</v>
      </c>
      <c r="D334" s="4">
        <v>135.57</v>
      </c>
      <c r="E334" s="4"/>
      <c r="F334" s="4"/>
      <c r="G334" s="4" t="s">
        <v>18</v>
      </c>
      <c r="H334" s="4" t="s">
        <v>534</v>
      </c>
      <c r="I334" s="4"/>
      <c r="J334" s="4">
        <f>39.162+48.837</f>
        <v>87.998999999999995</v>
      </c>
    </row>
    <row r="335" spans="1:10">
      <c r="A335" s="4"/>
      <c r="B335" s="4"/>
      <c r="C335" s="4"/>
      <c r="D335" s="4">
        <f>SUM(D334)</f>
        <v>135.57</v>
      </c>
      <c r="E335" s="4"/>
      <c r="F335" s="4"/>
      <c r="G335" s="4"/>
      <c r="H335" s="4"/>
      <c r="I335" s="4"/>
      <c r="J335" s="4">
        <f>SUM(J334)</f>
        <v>87.998999999999995</v>
      </c>
    </row>
    <row r="336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>
      <c r="A337" s="4" t="s">
        <v>538</v>
      </c>
      <c r="B337" s="4"/>
      <c r="C337" s="4" t="s">
        <v>533</v>
      </c>
      <c r="D337" s="4">
        <v>130.32</v>
      </c>
      <c r="E337" s="4"/>
      <c r="F337" s="4"/>
      <c r="G337" s="4" t="s">
        <v>18</v>
      </c>
      <c r="H337" s="4" t="s">
        <v>534</v>
      </c>
      <c r="I337" s="4"/>
      <c r="J337" s="4">
        <f>19.487+45.703+38.782+36.977+11.225+15.061+10.484</f>
        <v>177.71899999999999</v>
      </c>
    </row>
    <row r="338" spans="1:10">
      <c r="A338" s="4"/>
      <c r="B338" s="4"/>
      <c r="C338" s="4"/>
      <c r="D338" s="4">
        <f>SUM(D337)</f>
        <v>130.32</v>
      </c>
      <c r="E338" s="4"/>
      <c r="F338" s="4"/>
      <c r="G338" s="4"/>
      <c r="H338" s="4"/>
      <c r="I338" s="4"/>
      <c r="J338" s="4">
        <f>SUM(J337)</f>
        <v>177.71899999999999</v>
      </c>
    </row>
    <row r="339" spans="1:10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>
      <c r="A340" s="4" t="s">
        <v>542</v>
      </c>
      <c r="B340" s="4"/>
      <c r="C340" s="4" t="s">
        <v>539</v>
      </c>
      <c r="D340" s="4">
        <v>49.295000000000002</v>
      </c>
      <c r="E340" s="4"/>
      <c r="F340" s="4"/>
      <c r="G340" s="4" t="s">
        <v>18</v>
      </c>
      <c r="H340" s="4" t="s">
        <v>534</v>
      </c>
      <c r="I340" s="4"/>
      <c r="J340" s="4">
        <f>1.723+9.427+13.181+22.609</f>
        <v>46.94</v>
      </c>
    </row>
    <row r="341" spans="1:10">
      <c r="A341" s="4"/>
      <c r="B341" s="4"/>
      <c r="C341" s="4" t="s">
        <v>540</v>
      </c>
      <c r="D341" s="4">
        <v>6.0250000000000004</v>
      </c>
      <c r="E341" s="4"/>
      <c r="F341" s="4"/>
      <c r="G341" s="4" t="s">
        <v>17</v>
      </c>
      <c r="H341" s="4" t="s">
        <v>534</v>
      </c>
      <c r="I341" s="4"/>
      <c r="J341" s="4">
        <v>5.9619999999999997</v>
      </c>
    </row>
    <row r="342" spans="1:10">
      <c r="A342" s="4"/>
      <c r="B342" s="4"/>
      <c r="C342" s="4" t="s">
        <v>541</v>
      </c>
      <c r="D342" s="4">
        <f>20.125-6.633</f>
        <v>13.492000000000001</v>
      </c>
      <c r="E342" s="4"/>
      <c r="F342" s="4"/>
      <c r="G342" s="4" t="s">
        <v>17</v>
      </c>
      <c r="H342" s="4" t="s">
        <v>534</v>
      </c>
      <c r="I342" s="4"/>
      <c r="J342" s="4">
        <f>9.522+10.449</f>
        <v>19.971</v>
      </c>
    </row>
    <row r="343" spans="1:10">
      <c r="A343" s="4"/>
      <c r="B343" s="4"/>
      <c r="C343" s="4" t="s">
        <v>539</v>
      </c>
      <c r="D343" s="4">
        <v>12.61</v>
      </c>
      <c r="E343" s="4"/>
      <c r="F343" s="4"/>
      <c r="G343" s="4" t="s">
        <v>148</v>
      </c>
      <c r="H343" s="4" t="s">
        <v>268</v>
      </c>
      <c r="I343" s="4"/>
      <c r="J343" s="4">
        <v>10.917999999999999</v>
      </c>
    </row>
    <row r="344" spans="1:10">
      <c r="A344" s="4"/>
      <c r="B344" s="4"/>
      <c r="C344" s="4"/>
      <c r="D344" s="4">
        <f>SUM(D340:D343)</f>
        <v>81.421999999999997</v>
      </c>
      <c r="E344" s="4"/>
      <c r="F344" s="4"/>
      <c r="G344" s="4"/>
      <c r="H344" s="4"/>
      <c r="I344" s="4"/>
      <c r="J344" s="4">
        <f>SUM(J340:J343)</f>
        <v>83.790999999999997</v>
      </c>
    </row>
    <row r="345" spans="1:10">
      <c r="A345" s="4" t="s">
        <v>543</v>
      </c>
      <c r="B345" s="4"/>
      <c r="C345" s="4"/>
      <c r="D345" s="4"/>
      <c r="E345" s="4"/>
      <c r="F345" s="4"/>
      <c r="G345" s="4"/>
      <c r="H345" s="4"/>
      <c r="I345" s="4"/>
      <c r="J345" s="4"/>
    </row>
    <row r="346" spans="1:10">
      <c r="A346" s="4" t="s">
        <v>544</v>
      </c>
      <c r="B346" s="4"/>
      <c r="C346" s="4" t="s">
        <v>545</v>
      </c>
      <c r="D346" s="4">
        <v>101.965</v>
      </c>
      <c r="E346" s="4"/>
      <c r="F346" s="4"/>
      <c r="G346" s="4" t="s">
        <v>18</v>
      </c>
      <c r="H346" s="4" t="s">
        <v>534</v>
      </c>
      <c r="I346" s="4"/>
      <c r="J346" s="4">
        <f>20.262+9.377+18.844+37.201+12.923</f>
        <v>98.606999999999999</v>
      </c>
    </row>
    <row r="347" spans="1:10">
      <c r="A347" s="4"/>
      <c r="B347" s="4"/>
      <c r="C347" s="4" t="s">
        <v>546</v>
      </c>
      <c r="D347" s="4">
        <f>51.845-37</f>
        <v>14.844999999999999</v>
      </c>
      <c r="E347" s="4"/>
      <c r="F347" s="4"/>
      <c r="G347" s="4" t="s">
        <v>139</v>
      </c>
      <c r="H347" s="4" t="s">
        <v>172</v>
      </c>
      <c r="I347" s="4"/>
      <c r="J347" s="4">
        <f>10.31+4.452</f>
        <v>14.762</v>
      </c>
    </row>
    <row r="348" spans="1:10">
      <c r="A348" s="4"/>
      <c r="B348" s="4"/>
      <c r="C348" s="4" t="s">
        <v>547</v>
      </c>
      <c r="D348" s="4">
        <v>37</v>
      </c>
      <c r="E348" s="4"/>
      <c r="F348" s="4"/>
      <c r="G348" s="4" t="s">
        <v>139</v>
      </c>
      <c r="H348" s="4" t="s">
        <v>172</v>
      </c>
      <c r="I348" s="4"/>
      <c r="J348" s="4">
        <f>14.093+19.374</f>
        <v>33.466999999999999</v>
      </c>
    </row>
    <row r="349" spans="1:10">
      <c r="A349" s="4"/>
      <c r="B349" s="4"/>
      <c r="C349" s="4"/>
      <c r="D349" s="4">
        <f>SUM(D346:D348)</f>
        <v>153.81</v>
      </c>
      <c r="E349" s="4"/>
      <c r="F349" s="4"/>
      <c r="G349" s="4"/>
      <c r="H349" s="4"/>
      <c r="I349" s="4"/>
      <c r="J349" s="4">
        <f>SUM(J346:J348)</f>
        <v>146.83600000000001</v>
      </c>
    </row>
    <row r="350" spans="1:1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>
      <c r="A351" s="4" t="s">
        <v>548</v>
      </c>
      <c r="B351" s="4"/>
      <c r="C351" s="4" t="s">
        <v>549</v>
      </c>
      <c r="D351" s="4">
        <v>4.835</v>
      </c>
      <c r="E351" s="4"/>
      <c r="F351" s="4"/>
      <c r="G351" s="4" t="s">
        <v>139</v>
      </c>
      <c r="H351" s="4" t="s">
        <v>172</v>
      </c>
      <c r="I351" s="4"/>
      <c r="J351" s="4">
        <f>2.336+2.411</f>
        <v>4.7469999999999999</v>
      </c>
    </row>
    <row r="352" spans="1:10">
      <c r="A352" s="4"/>
      <c r="B352" s="4"/>
      <c r="C352" s="4" t="s">
        <v>550</v>
      </c>
      <c r="D352" s="4">
        <v>25</v>
      </c>
      <c r="E352" s="4"/>
      <c r="F352" s="4"/>
      <c r="G352" s="4" t="s">
        <v>139</v>
      </c>
      <c r="H352" s="4" t="s">
        <v>172</v>
      </c>
      <c r="I352" s="4"/>
      <c r="J352" s="4">
        <f>9.656+3.627+10.132</f>
        <v>23.414999999999999</v>
      </c>
    </row>
    <row r="353" spans="1:10">
      <c r="A353" s="4"/>
      <c r="B353" s="4"/>
      <c r="C353" s="4" t="s">
        <v>551</v>
      </c>
      <c r="D353" s="4">
        <f>53.6-25</f>
        <v>28.6</v>
      </c>
      <c r="E353" s="4"/>
      <c r="F353" s="4"/>
      <c r="G353" s="4" t="s">
        <v>139</v>
      </c>
      <c r="H353" s="4" t="s">
        <v>172</v>
      </c>
      <c r="I353" s="4"/>
      <c r="J353" s="4">
        <f>18.74+10.58</f>
        <v>29.32</v>
      </c>
    </row>
    <row r="354" spans="1:10">
      <c r="A354" s="4"/>
      <c r="B354" s="4"/>
      <c r="C354" s="4" t="s">
        <v>552</v>
      </c>
      <c r="D354" s="4">
        <v>5.5</v>
      </c>
      <c r="E354" s="4"/>
      <c r="F354" s="4"/>
      <c r="G354" s="4" t="s">
        <v>139</v>
      </c>
      <c r="H354" s="4" t="s">
        <v>172</v>
      </c>
      <c r="I354" s="4"/>
      <c r="J354" s="4">
        <v>6.5830000000000002</v>
      </c>
    </row>
    <row r="355" spans="1:10">
      <c r="A355" s="4"/>
      <c r="B355" s="4"/>
      <c r="C355" s="4" t="s">
        <v>553</v>
      </c>
      <c r="D355" s="4">
        <f>22.775-5.5</f>
        <v>17.274999999999999</v>
      </c>
      <c r="E355" s="4"/>
      <c r="F355" s="4"/>
      <c r="G355" s="4" t="s">
        <v>139</v>
      </c>
      <c r="H355" s="4" t="s">
        <v>172</v>
      </c>
      <c r="I355" s="4"/>
      <c r="J355" s="4">
        <f>11.928+3.985</f>
        <v>15.913</v>
      </c>
    </row>
    <row r="356" spans="1:10">
      <c r="A356" s="4"/>
      <c r="B356" s="4"/>
      <c r="C356" s="4" t="s">
        <v>554</v>
      </c>
      <c r="D356" s="4">
        <v>1</v>
      </c>
      <c r="E356" s="4"/>
      <c r="F356" s="4"/>
      <c r="G356" s="4" t="s">
        <v>139</v>
      </c>
      <c r="H356" s="4" t="s">
        <v>172</v>
      </c>
      <c r="I356" s="4"/>
      <c r="J356" s="4">
        <v>1.272</v>
      </c>
    </row>
    <row r="357" spans="1:10">
      <c r="A357" s="4"/>
      <c r="B357" s="4"/>
      <c r="C357" s="4" t="s">
        <v>555</v>
      </c>
      <c r="D357" s="4">
        <v>4.6749999999999998</v>
      </c>
      <c r="E357" s="4"/>
      <c r="F357" s="4"/>
      <c r="G357" s="4" t="s">
        <v>139</v>
      </c>
      <c r="H357" s="4" t="s">
        <v>172</v>
      </c>
      <c r="I357" s="4"/>
      <c r="J357" s="4">
        <v>4.3529999999999998</v>
      </c>
    </row>
    <row r="358" spans="1:10">
      <c r="A358" s="4"/>
      <c r="B358" s="4"/>
      <c r="C358" s="4"/>
      <c r="D358" s="4">
        <f>SUM(D351:D357)</f>
        <v>86.885000000000005</v>
      </c>
      <c r="E358" s="4"/>
      <c r="F358" s="4"/>
      <c r="G358" s="4"/>
      <c r="H358" s="4"/>
      <c r="I358" s="4"/>
      <c r="J358" s="4">
        <f>SUM(J351:J357)</f>
        <v>85.602999999999994</v>
      </c>
    </row>
    <row r="359" spans="1:10">
      <c r="A359" s="4" t="s">
        <v>558</v>
      </c>
      <c r="B359" s="4"/>
      <c r="C359" s="4"/>
      <c r="D359" s="4"/>
      <c r="E359" s="4"/>
      <c r="F359" s="4"/>
      <c r="G359" s="4"/>
      <c r="H359" s="4"/>
      <c r="I359" s="4"/>
      <c r="J359" s="4"/>
    </row>
    <row r="360" spans="1:10">
      <c r="A360" s="4" t="s">
        <v>564</v>
      </c>
      <c r="B360" s="4"/>
      <c r="C360" s="4" t="s">
        <v>559</v>
      </c>
      <c r="D360" s="4">
        <v>15.305</v>
      </c>
      <c r="E360" s="4"/>
      <c r="F360" s="4"/>
      <c r="G360" s="4" t="s">
        <v>148</v>
      </c>
      <c r="H360" s="4" t="s">
        <v>268</v>
      </c>
      <c r="I360" s="4"/>
      <c r="J360" s="4">
        <v>15.305</v>
      </c>
    </row>
    <row r="361" spans="1:10">
      <c r="A361" s="4"/>
      <c r="B361" s="4"/>
      <c r="C361" s="4" t="s">
        <v>560</v>
      </c>
      <c r="D361" s="4">
        <v>25.11</v>
      </c>
      <c r="E361" s="4"/>
      <c r="F361" s="4"/>
      <c r="G361" s="4" t="s">
        <v>148</v>
      </c>
      <c r="H361" s="4" t="s">
        <v>268</v>
      </c>
      <c r="I361" s="4"/>
      <c r="J361" s="4">
        <v>25.11</v>
      </c>
    </row>
    <row r="362" spans="1:10">
      <c r="A362" s="4"/>
      <c r="B362" s="4"/>
      <c r="C362" s="4" t="s">
        <v>561</v>
      </c>
      <c r="D362" s="4">
        <v>40.395000000000003</v>
      </c>
      <c r="E362" s="4"/>
      <c r="F362" s="4"/>
      <c r="G362" s="4" t="s">
        <v>148</v>
      </c>
      <c r="H362" s="4" t="s">
        <v>268</v>
      </c>
      <c r="I362" s="4"/>
      <c r="J362" s="4">
        <v>40.395000000000003</v>
      </c>
    </row>
    <row r="363" spans="1:10">
      <c r="A363" s="4"/>
      <c r="B363" s="4"/>
      <c r="C363" s="4" t="s">
        <v>562</v>
      </c>
      <c r="D363" s="4">
        <v>44.04</v>
      </c>
      <c r="E363" s="4"/>
      <c r="F363" s="4"/>
      <c r="G363" s="4" t="s">
        <v>148</v>
      </c>
      <c r="H363" s="4" t="s">
        <v>268</v>
      </c>
      <c r="I363" s="4"/>
      <c r="J363" s="4">
        <v>44.04</v>
      </c>
    </row>
    <row r="364" spans="1:10">
      <c r="A364" s="4"/>
      <c r="B364" s="4"/>
      <c r="C364" s="4"/>
      <c r="D364" s="4">
        <f>SUM(D360:D363)</f>
        <v>124.85</v>
      </c>
      <c r="E364" s="4"/>
      <c r="F364" s="4"/>
      <c r="G364" s="4"/>
      <c r="H364" s="4"/>
      <c r="I364" s="4"/>
      <c r="J364" s="4">
        <f>SUM(J360:J363)</f>
        <v>124.85</v>
      </c>
    </row>
    <row r="365" spans="1:10">
      <c r="A365" s="4" t="s">
        <v>580</v>
      </c>
      <c r="B365" s="4"/>
      <c r="C365" s="4"/>
      <c r="D365" s="4"/>
      <c r="E365" s="4"/>
      <c r="F365" s="4"/>
      <c r="G365" s="4"/>
      <c r="H365" s="4"/>
      <c r="I365" s="4"/>
      <c r="J365" s="4"/>
    </row>
    <row r="366" spans="1:10">
      <c r="A366" s="4"/>
      <c r="B366" s="4"/>
      <c r="C366" s="4" t="s">
        <v>506</v>
      </c>
      <c r="D366" s="4">
        <f>+D315+D320+D326+D332+D335+D338+D344+D349+D358+D364</f>
        <v>1268.7399999999998</v>
      </c>
      <c r="E366" s="4"/>
      <c r="F366" s="4"/>
      <c r="G366" s="4"/>
      <c r="H366" s="4"/>
      <c r="I366" s="4"/>
      <c r="J366" s="4">
        <f>+J315+J320+J326+J332+J335+J338+J344+J349+J358+J364</f>
        <v>1257.9649999999999</v>
      </c>
    </row>
    <row r="367" spans="1:10">
      <c r="A367" s="4" t="s">
        <v>581</v>
      </c>
      <c r="B367" s="4"/>
      <c r="C367" s="4"/>
      <c r="D367" s="4"/>
      <c r="E367" s="4"/>
      <c r="F367" s="4"/>
      <c r="G367" s="4"/>
      <c r="H367" s="4"/>
      <c r="I367" s="4"/>
      <c r="J367" s="4"/>
    </row>
    <row r="368" spans="1:10">
      <c r="A368" s="4" t="s">
        <v>583</v>
      </c>
      <c r="B368" s="4"/>
      <c r="C368" s="4" t="s">
        <v>584</v>
      </c>
      <c r="D368" s="4">
        <v>34.542000000000002</v>
      </c>
      <c r="E368" s="4"/>
      <c r="F368" s="4"/>
      <c r="G368" s="4" t="s">
        <v>17</v>
      </c>
      <c r="H368" s="4" t="s">
        <v>534</v>
      </c>
      <c r="I368" s="4"/>
      <c r="J368" s="4">
        <f>18.401+16.085</f>
        <v>34.486000000000004</v>
      </c>
    </row>
    <row r="369" spans="1:10">
      <c r="A369" s="4"/>
      <c r="B369" s="4"/>
      <c r="C369" s="4" t="s">
        <v>585</v>
      </c>
      <c r="D369" s="4">
        <f>12.479+14.96</f>
        <v>27.439</v>
      </c>
      <c r="E369" s="4"/>
      <c r="F369" s="4"/>
      <c r="G369" s="4" t="s">
        <v>18</v>
      </c>
      <c r="H369" s="4" t="s">
        <v>534</v>
      </c>
      <c r="I369" s="4"/>
      <c r="J369" s="4">
        <f>7.297+5.096+12.597</f>
        <v>24.990000000000002</v>
      </c>
    </row>
    <row r="370" spans="1:10">
      <c r="A370" s="4"/>
      <c r="B370" s="4"/>
      <c r="C370" s="4" t="s">
        <v>586</v>
      </c>
      <c r="D370" s="4">
        <v>12.805</v>
      </c>
      <c r="E370" s="4"/>
      <c r="F370" s="4"/>
      <c r="G370" s="4" t="s">
        <v>139</v>
      </c>
      <c r="H370" s="4" t="s">
        <v>172</v>
      </c>
      <c r="I370" s="4"/>
      <c r="J370" s="4">
        <v>2.1589999999999998</v>
      </c>
    </row>
    <row r="371" spans="1:10">
      <c r="A371" s="4"/>
      <c r="B371" s="4"/>
      <c r="C371" s="4"/>
      <c r="D371" s="4">
        <f>SUM(D368:D370)</f>
        <v>74.786000000000001</v>
      </c>
      <c r="E371" s="4"/>
      <c r="F371" s="4"/>
      <c r="G371" s="4"/>
      <c r="H371" s="4"/>
      <c r="I371" s="4"/>
      <c r="J371" s="4">
        <f>SUM(J368:J370)</f>
        <v>61.635000000000005</v>
      </c>
    </row>
    <row r="372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>
      <c r="A373" s="4" t="s">
        <v>591</v>
      </c>
      <c r="B373" s="4"/>
      <c r="C373" s="4" t="s">
        <v>586</v>
      </c>
      <c r="D373" s="4">
        <v>20.481000000000002</v>
      </c>
      <c r="E373" s="4"/>
      <c r="F373" s="4"/>
      <c r="G373" s="4" t="s">
        <v>139</v>
      </c>
      <c r="H373" s="4" t="s">
        <v>172</v>
      </c>
      <c r="I373" s="4"/>
      <c r="J373" s="4">
        <f>13.812+17.569</f>
        <v>31.381</v>
      </c>
    </row>
    <row r="374" spans="1:10">
      <c r="A374" s="4"/>
      <c r="B374" s="4"/>
      <c r="C374" s="4" t="s">
        <v>592</v>
      </c>
      <c r="D374" s="4">
        <v>36.188000000000002</v>
      </c>
      <c r="E374" s="4"/>
      <c r="F374" s="4"/>
      <c r="G374" s="4" t="s">
        <v>139</v>
      </c>
      <c r="H374" s="4" t="s">
        <v>172</v>
      </c>
      <c r="I374" s="4"/>
      <c r="J374" s="4">
        <f>9.486+6.377+3.72+15.724</f>
        <v>35.307000000000002</v>
      </c>
    </row>
    <row r="375" spans="1:10">
      <c r="A375" s="4"/>
      <c r="B375" s="4"/>
      <c r="C375" s="4"/>
      <c r="D375" s="4">
        <f>SUM(D373:D374)</f>
        <v>56.669000000000004</v>
      </c>
      <c r="E375" s="4"/>
      <c r="F375" s="4"/>
      <c r="G375" s="4"/>
      <c r="H375" s="4"/>
      <c r="I375" s="4"/>
      <c r="J375" s="4">
        <f>SUM(J373:J374)</f>
        <v>66.688000000000002</v>
      </c>
    </row>
    <row r="376" spans="1:10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>
      <c r="A377" s="4" t="s">
        <v>594</v>
      </c>
      <c r="B377" s="4"/>
      <c r="C377" s="4" t="s">
        <v>595</v>
      </c>
      <c r="D377" s="4">
        <v>37.750999999999998</v>
      </c>
      <c r="E377" s="4"/>
      <c r="F377" s="4"/>
      <c r="G377" s="4" t="s">
        <v>139</v>
      </c>
      <c r="H377" s="4" t="s">
        <v>172</v>
      </c>
      <c r="I377" s="4"/>
      <c r="J377" s="4">
        <f>12.975+16.932+5.088</f>
        <v>34.994999999999997</v>
      </c>
    </row>
    <row r="378" spans="1:10">
      <c r="A378" s="4"/>
      <c r="B378" s="4"/>
      <c r="C378" s="4" t="s">
        <v>596</v>
      </c>
      <c r="D378" s="4">
        <v>100.6</v>
      </c>
      <c r="E378" s="4"/>
      <c r="F378" s="4"/>
      <c r="G378" s="4" t="s">
        <v>139</v>
      </c>
      <c r="H378" s="4" t="s">
        <v>172</v>
      </c>
      <c r="I378" s="4"/>
      <c r="J378" s="4">
        <f>21.705+8.715+38.681+13.838+16.345</f>
        <v>99.283999999999992</v>
      </c>
    </row>
    <row r="379" spans="1:10">
      <c r="A379" s="4"/>
      <c r="B379" s="4"/>
      <c r="C379" s="4" t="s">
        <v>597</v>
      </c>
      <c r="D379" s="4">
        <v>32.737000000000002</v>
      </c>
      <c r="E379" s="4"/>
      <c r="F379" s="4"/>
      <c r="G379" s="4" t="s">
        <v>139</v>
      </c>
      <c r="H379" s="4" t="s">
        <v>172</v>
      </c>
      <c r="I379" s="4"/>
      <c r="J379" s="4">
        <f>11.988+9.298+11.439</f>
        <v>32.725000000000001</v>
      </c>
    </row>
    <row r="380" spans="1:10">
      <c r="A380" s="4"/>
      <c r="B380" s="4"/>
      <c r="C380" s="4"/>
      <c r="D380" s="4">
        <f>SUM(D377:D379)</f>
        <v>171.08799999999999</v>
      </c>
      <c r="E380" s="4"/>
      <c r="F380" s="4"/>
      <c r="G380" s="4"/>
      <c r="H380" s="4"/>
      <c r="I380" s="4"/>
      <c r="J380" s="4">
        <f>SUM(J377:J379)</f>
        <v>167.00399999999999</v>
      </c>
    </row>
    <row r="381" spans="1:10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>
      <c r="A382" s="4" t="s">
        <v>598</v>
      </c>
      <c r="B382" s="4"/>
      <c r="C382" s="4" t="s">
        <v>599</v>
      </c>
      <c r="D382" s="4">
        <f>55.449-5</f>
        <v>50.448999999999998</v>
      </c>
      <c r="E382" s="4"/>
      <c r="F382" s="4"/>
      <c r="G382" s="4" t="s">
        <v>139</v>
      </c>
      <c r="H382" s="4" t="s">
        <v>172</v>
      </c>
      <c r="I382" s="4"/>
      <c r="J382" s="4">
        <f>19.991+7.31+8.091+7.622+10.232</f>
        <v>53.245999999999995</v>
      </c>
    </row>
    <row r="383" spans="1:10">
      <c r="A383" s="4"/>
      <c r="B383" s="4"/>
      <c r="C383" s="4" t="s">
        <v>600</v>
      </c>
      <c r="D383" s="4">
        <v>70.858000000000004</v>
      </c>
      <c r="E383" s="4"/>
      <c r="F383" s="4"/>
      <c r="G383" s="4" t="s">
        <v>139</v>
      </c>
      <c r="H383" s="4" t="s">
        <v>172</v>
      </c>
      <c r="I383" s="4"/>
      <c r="J383" s="4">
        <f>13.48+19.928+11.975+17.459+5.383</f>
        <v>68.224999999999994</v>
      </c>
    </row>
    <row r="384" spans="1:10">
      <c r="A384" s="4"/>
      <c r="B384" s="4"/>
      <c r="C384" s="4" t="s">
        <v>601</v>
      </c>
      <c r="D384" s="4">
        <v>10.183999999999999</v>
      </c>
      <c r="E384" s="4"/>
      <c r="F384" s="4"/>
      <c r="G384" s="4" t="s">
        <v>139</v>
      </c>
      <c r="H384" s="4" t="s">
        <v>172</v>
      </c>
      <c r="I384" s="4"/>
      <c r="J384" s="4"/>
    </row>
    <row r="385" spans="1:10">
      <c r="A385" s="4"/>
      <c r="B385" s="4"/>
      <c r="C385" s="4"/>
      <c r="D385" s="4">
        <f>SUM(D382:D384)</f>
        <v>131.49100000000001</v>
      </c>
      <c r="E385" s="4"/>
      <c r="F385" s="4"/>
      <c r="G385" s="4"/>
      <c r="H385" s="4"/>
      <c r="I385" s="4"/>
      <c r="J385" s="4">
        <f>SUM(J382:J384)</f>
        <v>121.47099999999999</v>
      </c>
    </row>
    <row r="386" spans="1:10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>
      <c r="A387" s="4" t="s">
        <v>604</v>
      </c>
      <c r="B387" s="4"/>
      <c r="C387" s="4" t="s">
        <v>601</v>
      </c>
      <c r="D387" s="4">
        <v>131.65199999999999</v>
      </c>
      <c r="E387" s="4"/>
      <c r="F387" s="4"/>
      <c r="G387" s="4" t="s">
        <v>139</v>
      </c>
      <c r="H387" s="4" t="s">
        <v>172</v>
      </c>
      <c r="I387" s="4"/>
      <c r="J387" s="4">
        <f>34.218+30.56+1.392+1.473+10.315+11.72+24.221+12.249+9.011</f>
        <v>135.15899999999999</v>
      </c>
    </row>
    <row r="388" spans="1:10">
      <c r="A388" s="4"/>
      <c r="B388" s="4"/>
      <c r="C388" s="4" t="s">
        <v>605</v>
      </c>
      <c r="D388" s="4">
        <v>26.58</v>
      </c>
      <c r="E388" s="4"/>
      <c r="F388" s="4"/>
      <c r="G388" s="4" t="s">
        <v>139</v>
      </c>
      <c r="H388" s="4" t="s">
        <v>172</v>
      </c>
      <c r="I388" s="4"/>
      <c r="J388" s="4">
        <f>10.649+5.242+6.774+3.506</f>
        <v>26.170999999999999</v>
      </c>
    </row>
    <row r="389" spans="1:10">
      <c r="A389" s="4"/>
      <c r="B389" s="4"/>
      <c r="C389" s="4" t="s">
        <v>606</v>
      </c>
      <c r="D389" s="4">
        <v>5.9260000000000002</v>
      </c>
      <c r="E389" s="4"/>
      <c r="F389" s="4"/>
      <c r="G389" s="4" t="s">
        <v>139</v>
      </c>
      <c r="H389" s="4" t="s">
        <v>172</v>
      </c>
      <c r="I389" s="4"/>
      <c r="J389" s="4">
        <f>3.555+2.37</f>
        <v>5.9250000000000007</v>
      </c>
    </row>
    <row r="390" spans="1:10">
      <c r="A390" s="4"/>
      <c r="B390" s="4"/>
      <c r="C390" s="4"/>
      <c r="D390" s="4">
        <f>SUM(D387:D389)</f>
        <v>164.15799999999996</v>
      </c>
      <c r="E390" s="4"/>
      <c r="F390" s="4"/>
      <c r="G390" s="4"/>
      <c r="H390" s="4"/>
      <c r="I390" s="4"/>
      <c r="J390" s="4">
        <f>SUM(J387:J389)</f>
        <v>167.255</v>
      </c>
    </row>
    <row r="391" spans="1:10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>
      <c r="A392" s="4" t="s">
        <v>608</v>
      </c>
      <c r="B392" s="4"/>
      <c r="C392" s="4" t="s">
        <v>344</v>
      </c>
      <c r="D392" s="4">
        <f>95.605-5</f>
        <v>90.605000000000004</v>
      </c>
      <c r="E392" s="4"/>
      <c r="F392" s="4"/>
      <c r="G392" s="4" t="s">
        <v>139</v>
      </c>
      <c r="H392" s="4" t="s">
        <v>172</v>
      </c>
      <c r="I392" s="4"/>
      <c r="J392" s="4">
        <f>20.023+33.863+9.734+21.032</f>
        <v>84.652000000000001</v>
      </c>
    </row>
    <row r="393" spans="1:10">
      <c r="A393" s="4"/>
      <c r="B393" s="4"/>
      <c r="C393" s="4" t="s">
        <v>345</v>
      </c>
      <c r="D393" s="4">
        <v>7.75</v>
      </c>
      <c r="E393" s="4"/>
      <c r="F393" s="4"/>
      <c r="G393" s="4" t="s">
        <v>139</v>
      </c>
      <c r="H393" s="4" t="s">
        <v>172</v>
      </c>
      <c r="I393" s="4"/>
      <c r="J393" s="4">
        <f>22.083+33.386</f>
        <v>55.469000000000001</v>
      </c>
    </row>
    <row r="394" spans="1:10">
      <c r="A394" s="4"/>
      <c r="B394" s="4"/>
      <c r="C394" s="4"/>
      <c r="D394" s="4">
        <f>SUM(D392:D393)</f>
        <v>98.355000000000004</v>
      </c>
      <c r="E394" s="4"/>
      <c r="F394" s="4"/>
      <c r="G394" s="4"/>
      <c r="H394" s="4"/>
      <c r="I394" s="4"/>
      <c r="J394" s="4">
        <f>SUM(J392:J393)</f>
        <v>140.12100000000001</v>
      </c>
    </row>
    <row r="395" spans="1:10">
      <c r="A395" s="4" t="s">
        <v>573</v>
      </c>
      <c r="B395" s="4"/>
      <c r="C395" s="4"/>
      <c r="D395" s="4"/>
      <c r="E395" s="4"/>
      <c r="F395" s="4"/>
      <c r="G395" s="4"/>
      <c r="H395" s="4"/>
      <c r="I395" s="4"/>
      <c r="J395" s="4"/>
    </row>
    <row r="396" spans="1:10">
      <c r="A396" s="4" t="s">
        <v>615</v>
      </c>
      <c r="B396" s="4"/>
      <c r="C396" s="4" t="s">
        <v>345</v>
      </c>
      <c r="D396" s="4">
        <f>63.525-5</f>
        <v>58.524999999999999</v>
      </c>
      <c r="E396" s="4"/>
      <c r="F396" s="4"/>
      <c r="G396" s="4" t="s">
        <v>139</v>
      </c>
      <c r="H396" s="4" t="s">
        <v>172</v>
      </c>
      <c r="I396" s="4"/>
      <c r="J396" s="4">
        <f>7.79+1.913</f>
        <v>9.7029999999999994</v>
      </c>
    </row>
    <row r="397" spans="1:10">
      <c r="A397" s="4"/>
      <c r="B397" s="4"/>
      <c r="C397" s="4" t="s">
        <v>339</v>
      </c>
      <c r="D397" s="4">
        <v>21.050999999999998</v>
      </c>
      <c r="E397" s="4"/>
      <c r="F397" s="4"/>
      <c r="G397" s="4" t="s">
        <v>139</v>
      </c>
      <c r="H397" s="4" t="s">
        <v>172</v>
      </c>
      <c r="I397" s="4"/>
      <c r="J397" s="4">
        <f>6.653+5.162+4.801</f>
        <v>16.616</v>
      </c>
    </row>
    <row r="398" spans="1:10">
      <c r="A398" s="4"/>
      <c r="B398" s="4"/>
      <c r="C398" s="4" t="s">
        <v>336</v>
      </c>
      <c r="D398" s="4">
        <v>3.4649999999999999</v>
      </c>
      <c r="E398" s="4"/>
      <c r="F398" s="4"/>
      <c r="G398" s="4" t="s">
        <v>139</v>
      </c>
      <c r="H398" s="4" t="s">
        <v>172</v>
      </c>
      <c r="I398" s="4"/>
      <c r="J398" s="4">
        <v>3.488</v>
      </c>
    </row>
    <row r="399" spans="1:10">
      <c r="A399" s="4"/>
      <c r="B399" s="4"/>
      <c r="C399" s="4" t="s">
        <v>616</v>
      </c>
      <c r="D399" s="4">
        <v>5.452</v>
      </c>
      <c r="E399" s="4"/>
      <c r="F399" s="4"/>
      <c r="G399" s="4" t="s">
        <v>148</v>
      </c>
      <c r="H399" s="4" t="s">
        <v>268</v>
      </c>
      <c r="I399" s="4"/>
      <c r="J399" s="4">
        <v>5.181</v>
      </c>
    </row>
    <row r="400" spans="1:10">
      <c r="A400" s="4"/>
      <c r="B400" s="4"/>
      <c r="C400" s="4"/>
      <c r="D400" s="4">
        <f>SUM(D396:D399)</f>
        <v>88.492999999999995</v>
      </c>
      <c r="E400" s="4"/>
      <c r="F400" s="4"/>
      <c r="G400" s="4"/>
      <c r="H400" s="4"/>
      <c r="I400" s="4"/>
      <c r="J400" s="4">
        <f>SUM(J396:J399)</f>
        <v>34.988</v>
      </c>
    </row>
    <row r="401" spans="1:10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>
      <c r="A402" s="4" t="s">
        <v>617</v>
      </c>
      <c r="B402" s="4"/>
      <c r="C402" s="4" t="s">
        <v>618</v>
      </c>
      <c r="D402" s="4">
        <v>194.08099999999999</v>
      </c>
      <c r="E402" s="4"/>
      <c r="F402" s="4"/>
      <c r="G402" s="4" t="s">
        <v>139</v>
      </c>
      <c r="H402" s="4" t="s">
        <v>172</v>
      </c>
      <c r="I402" s="4"/>
      <c r="J402" s="4">
        <f>32.698+29.103+33.36+44.469+29.069+10.412+12.015</f>
        <v>191.12599999999998</v>
      </c>
    </row>
    <row r="403" spans="1:10">
      <c r="A403" s="4"/>
      <c r="B403" s="4"/>
      <c r="C403" s="4" t="s">
        <v>619</v>
      </c>
      <c r="D403" s="4">
        <v>2.1640000000000001</v>
      </c>
      <c r="E403" s="4"/>
      <c r="F403" s="4"/>
      <c r="G403" s="4" t="s">
        <v>139</v>
      </c>
      <c r="H403" s="4" t="s">
        <v>172</v>
      </c>
      <c r="I403" s="4"/>
      <c r="J403" s="4">
        <v>2.1629999999999998</v>
      </c>
    </row>
    <row r="404" spans="1:10">
      <c r="A404" s="4"/>
      <c r="B404" s="4"/>
      <c r="C404" s="4" t="s">
        <v>620</v>
      </c>
      <c r="D404" s="4">
        <v>20.574000000000002</v>
      </c>
      <c r="E404" s="4"/>
      <c r="F404" s="4"/>
      <c r="G404" s="4" t="s">
        <v>139</v>
      </c>
      <c r="H404" s="4" t="s">
        <v>172</v>
      </c>
      <c r="I404" s="4"/>
      <c r="J404" s="4">
        <f>9.734+11.592</f>
        <v>21.326000000000001</v>
      </c>
    </row>
    <row r="405" spans="1:10">
      <c r="A405" s="4"/>
      <c r="B405" s="4"/>
      <c r="C405" s="4"/>
      <c r="D405" s="4">
        <f>SUM(D402:D404)</f>
        <v>216.81899999999999</v>
      </c>
      <c r="E405" s="4"/>
      <c r="F405" s="4"/>
      <c r="G405" s="4"/>
      <c r="H405" s="4"/>
      <c r="I405" s="4"/>
      <c r="J405" s="4">
        <f>SUM(J402:J404)</f>
        <v>214.61499999999998</v>
      </c>
    </row>
    <row r="406" spans="1:10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>
      <c r="A407" s="4" t="s">
        <v>621</v>
      </c>
      <c r="B407" s="4"/>
      <c r="C407" s="4" t="s">
        <v>620</v>
      </c>
      <c r="D407" s="4">
        <v>83.433000000000007</v>
      </c>
      <c r="E407" s="4"/>
      <c r="F407" s="4"/>
      <c r="G407" s="4" t="s">
        <v>139</v>
      </c>
      <c r="H407" s="4" t="s">
        <v>172</v>
      </c>
      <c r="I407" s="4"/>
      <c r="J407" s="4">
        <f>30.544+14.342+27.969+7.766</f>
        <v>80.621000000000009</v>
      </c>
    </row>
    <row r="408" spans="1:10">
      <c r="A408" s="4"/>
      <c r="B408" s="4"/>
      <c r="C408" s="4" t="s">
        <v>622</v>
      </c>
      <c r="D408" s="4">
        <v>33.604999999999997</v>
      </c>
      <c r="E408" s="4"/>
      <c r="F408" s="4"/>
      <c r="G408" s="4" t="s">
        <v>139</v>
      </c>
      <c r="H408" s="4" t="s">
        <v>172</v>
      </c>
      <c r="I408" s="4"/>
      <c r="J408" s="4">
        <f>5.322+5.733+19.525</f>
        <v>30.58</v>
      </c>
    </row>
    <row r="409" spans="1:10">
      <c r="A409" s="4"/>
      <c r="B409" s="4"/>
      <c r="C409" s="4"/>
      <c r="D409" s="4">
        <f>SUM(D407:D408)</f>
        <v>117.03800000000001</v>
      </c>
      <c r="E409" s="4"/>
      <c r="F409" s="4"/>
      <c r="G409" s="4"/>
      <c r="H409" s="4"/>
      <c r="I409" s="4"/>
      <c r="J409" s="4">
        <f>SUM(J407:J408)</f>
        <v>111.20100000000001</v>
      </c>
    </row>
    <row r="410" spans="1:10">
      <c r="A410" s="4" t="s">
        <v>626</v>
      </c>
      <c r="B410" s="4"/>
      <c r="C410" s="4"/>
      <c r="D410" s="4"/>
      <c r="E410" s="4"/>
      <c r="F410" s="4"/>
      <c r="G410" s="4"/>
      <c r="H410" s="4"/>
      <c r="I410" s="4"/>
      <c r="J410" s="4"/>
    </row>
    <row r="411" spans="1:10">
      <c r="A411" s="4" t="s">
        <v>627</v>
      </c>
      <c r="B411" s="4"/>
      <c r="C411" s="4" t="s">
        <v>622</v>
      </c>
      <c r="D411" s="4">
        <v>98.561999999999998</v>
      </c>
      <c r="E411" s="4"/>
      <c r="F411" s="4"/>
      <c r="G411" s="4" t="s">
        <v>139</v>
      </c>
      <c r="H411" s="4" t="s">
        <v>172</v>
      </c>
      <c r="I411" s="4"/>
      <c r="J411" s="4">
        <f>46.386+13.744+6.459</f>
        <v>66.588999999999999</v>
      </c>
    </row>
    <row r="412" spans="1:10">
      <c r="A412" s="4"/>
      <c r="B412" s="4"/>
      <c r="C412" s="4" t="s">
        <v>628</v>
      </c>
      <c r="D412" s="4">
        <v>56.228999999999999</v>
      </c>
      <c r="E412" s="4"/>
      <c r="F412" s="4"/>
      <c r="G412" s="4" t="s">
        <v>139</v>
      </c>
      <c r="H412" s="4" t="s">
        <v>172</v>
      </c>
      <c r="I412" s="4"/>
      <c r="J412" s="4">
        <f>34.908+21.637</f>
        <v>56.545000000000002</v>
      </c>
    </row>
    <row r="413" spans="1:10">
      <c r="A413" s="4"/>
      <c r="B413" s="4"/>
      <c r="C413" s="4"/>
      <c r="D413" s="4">
        <f>SUM(D411:D412)</f>
        <v>154.791</v>
      </c>
      <c r="E413" s="4"/>
      <c r="F413" s="4"/>
      <c r="G413" s="4"/>
      <c r="H413" s="4"/>
      <c r="I413" s="4"/>
      <c r="J413" s="4">
        <f>SUM(J411:J412)</f>
        <v>123.134</v>
      </c>
    </row>
    <row r="414" spans="1:10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>
      <c r="A415" s="4" t="s">
        <v>629</v>
      </c>
      <c r="B415" s="4"/>
      <c r="C415" s="4" t="s">
        <v>628</v>
      </c>
      <c r="D415" s="4">
        <v>45.011000000000003</v>
      </c>
      <c r="E415" s="4"/>
      <c r="F415" s="4"/>
      <c r="G415" s="4" t="s">
        <v>139</v>
      </c>
      <c r="H415" s="4" t="s">
        <v>172</v>
      </c>
      <c r="I415" s="4"/>
      <c r="J415" s="4">
        <f>0.605+12.129+10.75+15.164+3.247</f>
        <v>41.895000000000003</v>
      </c>
    </row>
    <row r="416" spans="1:10">
      <c r="A416" s="4"/>
      <c r="B416" s="4"/>
      <c r="C416" s="4" t="s">
        <v>630</v>
      </c>
      <c r="D416" s="4">
        <v>15.664</v>
      </c>
      <c r="E416" s="4"/>
      <c r="F416" s="4"/>
      <c r="G416" s="4" t="s">
        <v>139</v>
      </c>
      <c r="H416" s="4" t="s">
        <v>172</v>
      </c>
      <c r="I416" s="4"/>
      <c r="J416" s="4">
        <v>15.53</v>
      </c>
    </row>
    <row r="417" spans="1:10">
      <c r="A417" s="4"/>
      <c r="B417" s="4"/>
      <c r="C417" s="4" t="s">
        <v>631</v>
      </c>
      <c r="D417" s="4">
        <v>85.828999999999994</v>
      </c>
      <c r="E417" s="4"/>
      <c r="F417" s="4"/>
      <c r="G417" s="4" t="s">
        <v>139</v>
      </c>
      <c r="H417" s="4" t="s">
        <v>172</v>
      </c>
      <c r="I417" s="4"/>
      <c r="J417" s="4">
        <f>18.913+26.766+11.619+11.77+12.437</f>
        <v>81.504999999999995</v>
      </c>
    </row>
    <row r="418" spans="1:10">
      <c r="A418" s="4"/>
      <c r="B418" s="4"/>
      <c r="C418" s="4" t="s">
        <v>632</v>
      </c>
      <c r="D418" s="4">
        <v>34.941000000000003</v>
      </c>
      <c r="E418" s="4"/>
      <c r="F418" s="4"/>
      <c r="G418" s="4" t="s">
        <v>139</v>
      </c>
      <c r="H418" s="4" t="s">
        <v>172</v>
      </c>
      <c r="I418" s="4"/>
      <c r="J418" s="4">
        <f>26.927+7.335</f>
        <v>34.262</v>
      </c>
    </row>
    <row r="419" spans="1:10">
      <c r="A419" s="4"/>
      <c r="B419" s="4"/>
      <c r="C419" s="4"/>
      <c r="D419" s="4">
        <f>SUM(D415:D418)</f>
        <v>181.44499999999999</v>
      </c>
      <c r="E419" s="4"/>
      <c r="F419" s="4"/>
      <c r="G419" s="4"/>
      <c r="H419" s="4"/>
      <c r="I419" s="4"/>
      <c r="J419" s="4">
        <f>SUM(J415:J418)</f>
        <v>173.19200000000001</v>
      </c>
    </row>
    <row r="420" spans="1:10">
      <c r="A420" s="4" t="s">
        <v>574</v>
      </c>
      <c r="B420" s="4"/>
      <c r="C420" s="4"/>
      <c r="D420" s="4"/>
      <c r="E420" s="4"/>
      <c r="F420" s="4"/>
      <c r="G420" s="4"/>
      <c r="H420" s="4"/>
      <c r="I420" s="4"/>
      <c r="J420" s="4"/>
    </row>
    <row r="421" spans="1:10">
      <c r="A421" s="4" t="s">
        <v>633</v>
      </c>
      <c r="B421" s="4"/>
      <c r="C421" s="4"/>
      <c r="D421" s="4"/>
      <c r="E421" s="4"/>
      <c r="F421" s="4"/>
      <c r="G421" s="4"/>
      <c r="H421" s="4"/>
      <c r="I421" s="4"/>
      <c r="J421" s="4"/>
    </row>
    <row r="422" spans="1:10">
      <c r="A422" s="4" t="s">
        <v>575</v>
      </c>
      <c r="B422" s="4"/>
      <c r="C422" s="4" t="s">
        <v>632</v>
      </c>
      <c r="D422" s="4">
        <v>24.228999999999999</v>
      </c>
      <c r="E422" s="4"/>
      <c r="F422" s="4"/>
      <c r="G422" s="4" t="s">
        <v>139</v>
      </c>
      <c r="H422" s="4" t="s">
        <v>172</v>
      </c>
      <c r="I422" s="4"/>
      <c r="J422" s="4">
        <v>21.574999999999999</v>
      </c>
    </row>
    <row r="423" spans="1:10">
      <c r="A423" s="4"/>
      <c r="B423" s="4"/>
      <c r="C423" s="4" t="s">
        <v>635</v>
      </c>
      <c r="D423" s="4">
        <v>72.682000000000002</v>
      </c>
      <c r="E423" s="4"/>
      <c r="F423" s="4"/>
      <c r="G423" s="4" t="s">
        <v>139</v>
      </c>
      <c r="H423" s="4" t="s">
        <v>172</v>
      </c>
      <c r="I423" s="4"/>
      <c r="J423" s="4">
        <f>26.322+14.575+8.817+19.157</f>
        <v>68.870999999999995</v>
      </c>
    </row>
    <row r="424" spans="1:10">
      <c r="A424" s="4"/>
      <c r="B424" s="4"/>
      <c r="C424" s="4" t="s">
        <v>636</v>
      </c>
      <c r="D424" s="4">
        <v>11.763999999999999</v>
      </c>
      <c r="E424" s="4"/>
      <c r="F424" s="4"/>
      <c r="G424" s="4" t="s">
        <v>139</v>
      </c>
      <c r="H424" s="4" t="s">
        <v>172</v>
      </c>
      <c r="I424" s="4"/>
      <c r="J424" s="4">
        <v>11.645</v>
      </c>
    </row>
    <row r="425" spans="1:10">
      <c r="A425" s="4"/>
      <c r="B425" s="4"/>
      <c r="C425" s="4"/>
      <c r="D425" s="4">
        <f>SUM(D422:D424)</f>
        <v>108.675</v>
      </c>
      <c r="E425" s="4"/>
      <c r="F425" s="4"/>
      <c r="G425" s="4"/>
      <c r="H425" s="4"/>
      <c r="I425" s="4"/>
      <c r="J425" s="4">
        <f>SUM(J422:J424)</f>
        <v>102.09099999999999</v>
      </c>
    </row>
    <row r="426" spans="1:10">
      <c r="A426" s="4" t="s">
        <v>637</v>
      </c>
      <c r="B426" s="4"/>
      <c r="C426" s="4"/>
      <c r="D426" s="4"/>
      <c r="E426" s="4"/>
      <c r="F426" s="4"/>
      <c r="G426" s="4"/>
      <c r="H426" s="4"/>
      <c r="I426" s="4"/>
      <c r="J426" s="4"/>
    </row>
    <row r="427" spans="1:10">
      <c r="A427" s="4" t="s">
        <v>638</v>
      </c>
      <c r="B427" s="4"/>
      <c r="C427" s="4" t="s">
        <v>639</v>
      </c>
      <c r="D427" s="4">
        <v>53.564999999999998</v>
      </c>
      <c r="E427" s="4"/>
      <c r="F427" s="4"/>
      <c r="G427" s="4" t="s">
        <v>194</v>
      </c>
      <c r="H427" s="4" t="s">
        <v>172</v>
      </c>
      <c r="I427" s="4"/>
      <c r="J427" s="4">
        <f>23.725+8.455+21.2</f>
        <v>53.379999999999995</v>
      </c>
    </row>
    <row r="428" spans="1:10">
      <c r="A428" s="4"/>
      <c r="B428" s="4"/>
      <c r="C428" s="4" t="s">
        <v>640</v>
      </c>
      <c r="D428" s="4">
        <v>6.5540000000000003</v>
      </c>
      <c r="E428" s="4"/>
      <c r="F428" s="4"/>
      <c r="G428" s="4" t="s">
        <v>194</v>
      </c>
      <c r="H428" s="4" t="s">
        <v>172</v>
      </c>
      <c r="I428" s="4"/>
      <c r="J428" s="4">
        <v>6.407</v>
      </c>
    </row>
    <row r="429" spans="1:10">
      <c r="A429" s="4"/>
      <c r="B429" s="4"/>
      <c r="C429" s="4" t="s">
        <v>641</v>
      </c>
      <c r="D429" s="4">
        <v>7.5839999999999996</v>
      </c>
      <c r="E429" s="4"/>
      <c r="F429" s="4"/>
      <c r="G429" s="4" t="s">
        <v>194</v>
      </c>
      <c r="H429" s="4" t="s">
        <v>172</v>
      </c>
      <c r="I429" s="4"/>
      <c r="J429" s="4">
        <v>7.5090000000000003</v>
      </c>
    </row>
    <row r="430" spans="1:10">
      <c r="A430" s="4"/>
      <c r="B430" s="4"/>
      <c r="C430" s="4" t="s">
        <v>644</v>
      </c>
      <c r="D430" s="4">
        <v>11.627000000000001</v>
      </c>
      <c r="E430" s="4"/>
      <c r="F430" s="4"/>
      <c r="G430" s="4" t="s">
        <v>194</v>
      </c>
      <c r="H430" s="4" t="s">
        <v>172</v>
      </c>
      <c r="I430" s="4"/>
      <c r="J430" s="4">
        <v>11.481999999999999</v>
      </c>
    </row>
    <row r="431" spans="1:10">
      <c r="A431" s="4"/>
      <c r="B431" s="4"/>
      <c r="C431" s="4" t="s">
        <v>642</v>
      </c>
      <c r="D431" s="4">
        <f>61.737-43</f>
        <v>18.737000000000002</v>
      </c>
      <c r="E431" s="4"/>
      <c r="F431" s="4"/>
      <c r="G431" s="4" t="s">
        <v>194</v>
      </c>
      <c r="H431" s="4" t="s">
        <v>172</v>
      </c>
      <c r="I431" s="4"/>
      <c r="J431" s="4">
        <f>8.286+1.838+6.291</f>
        <v>16.414999999999999</v>
      </c>
    </row>
    <row r="432" spans="1:10">
      <c r="A432" s="4"/>
      <c r="B432" s="4"/>
      <c r="C432" s="4" t="s">
        <v>645</v>
      </c>
      <c r="D432" s="4">
        <v>43</v>
      </c>
      <c r="E432" s="4"/>
      <c r="F432" s="4"/>
      <c r="G432" s="4" t="s">
        <v>194</v>
      </c>
      <c r="H432" s="4" t="s">
        <v>172</v>
      </c>
      <c r="I432" s="4"/>
      <c r="J432" s="4">
        <f>7.687-1.838+12.459+16.936+6.251</f>
        <v>41.494999999999997</v>
      </c>
    </row>
    <row r="433" spans="1:10">
      <c r="A433" s="4"/>
      <c r="B433" s="4"/>
      <c r="C433" s="4" t="s">
        <v>532</v>
      </c>
      <c r="D433" s="4">
        <v>14</v>
      </c>
      <c r="E433" s="4"/>
      <c r="F433" s="4"/>
      <c r="G433" s="4" t="s">
        <v>194</v>
      </c>
      <c r="H433" s="4" t="s">
        <v>172</v>
      </c>
      <c r="I433" s="4"/>
      <c r="J433" s="4">
        <f>7.455+6.445</f>
        <v>13.9</v>
      </c>
    </row>
    <row r="434" spans="1:10">
      <c r="A434" s="4"/>
      <c r="B434" s="4"/>
      <c r="C434" s="4" t="s">
        <v>643</v>
      </c>
      <c r="D434" s="4">
        <f>26.682-14</f>
        <v>12.681999999999999</v>
      </c>
      <c r="E434" s="4"/>
      <c r="F434" s="4"/>
      <c r="G434" s="4" t="s">
        <v>194</v>
      </c>
      <c r="H434" s="4" t="s">
        <v>172</v>
      </c>
      <c r="I434" s="4"/>
      <c r="J434" s="4">
        <v>12.499000000000001</v>
      </c>
    </row>
    <row r="435" spans="1:10">
      <c r="A435" s="4"/>
      <c r="B435" s="4"/>
      <c r="C435" s="4"/>
      <c r="D435" s="4">
        <f>SUM(D427:D434)</f>
        <v>167.749</v>
      </c>
      <c r="E435" s="4"/>
      <c r="F435" s="4"/>
      <c r="G435" s="4"/>
      <c r="H435" s="4"/>
      <c r="I435" s="4"/>
      <c r="J435" s="4">
        <f>SUM(J427:J434)</f>
        <v>163.08699999999999</v>
      </c>
    </row>
    <row r="436" spans="1:10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>
      <c r="A437" s="4" t="s">
        <v>646</v>
      </c>
      <c r="B437" s="4"/>
      <c r="C437" s="4" t="s">
        <v>647</v>
      </c>
      <c r="D437" s="4">
        <f>41.473-5</f>
        <v>36.472999999999999</v>
      </c>
      <c r="E437" s="4"/>
      <c r="F437" s="4"/>
      <c r="G437" s="4" t="s">
        <v>139</v>
      </c>
      <c r="H437" s="4" t="s">
        <v>172</v>
      </c>
      <c r="I437" s="4"/>
      <c r="J437" s="4">
        <f>12.77+6.129+20.274</f>
        <v>39.173000000000002</v>
      </c>
    </row>
    <row r="438" spans="1:10">
      <c r="A438" s="4"/>
      <c r="B438" s="4"/>
      <c r="C438" s="4" t="s">
        <v>648</v>
      </c>
      <c r="D438" s="4">
        <v>34.893000000000001</v>
      </c>
      <c r="E438" s="4"/>
      <c r="F438" s="4"/>
      <c r="G438" s="4" t="s">
        <v>139</v>
      </c>
      <c r="H438" s="4" t="s">
        <v>172</v>
      </c>
      <c r="I438" s="4"/>
      <c r="J438" s="4">
        <f>7.255+25.725</f>
        <v>32.980000000000004</v>
      </c>
    </row>
    <row r="439" spans="1:10">
      <c r="A439" s="4"/>
      <c r="B439" s="4"/>
      <c r="C439" s="4"/>
      <c r="D439" s="4">
        <f>SUM(D437:D438)</f>
        <v>71.366</v>
      </c>
      <c r="E439" s="4"/>
      <c r="F439" s="4"/>
      <c r="G439" s="4"/>
      <c r="H439" s="4"/>
      <c r="I439" s="4"/>
      <c r="J439" s="4">
        <f>SUM(J437:J438)</f>
        <v>72.153000000000006</v>
      </c>
    </row>
    <row r="440" spans="1:10">
      <c r="A440" s="4" t="s">
        <v>658</v>
      </c>
      <c r="B440" s="4"/>
      <c r="C440" s="4"/>
      <c r="D440" s="4"/>
      <c r="E440" s="4"/>
      <c r="F440" s="4"/>
      <c r="G440" s="4"/>
      <c r="H440" s="4"/>
      <c r="I440" s="4"/>
      <c r="J440" s="4"/>
    </row>
    <row r="441" spans="1:10">
      <c r="A441" s="4" t="s">
        <v>659</v>
      </c>
      <c r="B441" s="4"/>
      <c r="C441" s="4"/>
      <c r="D441" s="4"/>
      <c r="E441" s="4"/>
      <c r="F441" s="4"/>
      <c r="G441" s="4"/>
      <c r="H441" s="4"/>
      <c r="I441" s="4"/>
      <c r="J441" s="4"/>
    </row>
    <row r="442" spans="1:10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>
      <c r="A443" s="4"/>
      <c r="B443" s="4"/>
      <c r="C443" s="4" t="s">
        <v>593</v>
      </c>
      <c r="D443" s="4">
        <f>+D375+D371+D380+D385+D390+D394+D400+D405+D409+D413+D419+D425+D435+D439</f>
        <v>1802.9229999999998</v>
      </c>
      <c r="E443" s="4">
        <f>D443/0.92</f>
        <v>1959.6989130434779</v>
      </c>
      <c r="F443" s="4"/>
      <c r="G443" s="4"/>
      <c r="H443" s="4"/>
      <c r="I443" s="4"/>
      <c r="J443" s="4"/>
    </row>
    <row r="444" spans="1:10">
      <c r="A444" s="4" t="s">
        <v>676</v>
      </c>
      <c r="B444" s="4"/>
      <c r="C444" s="4"/>
      <c r="D444" s="4"/>
      <c r="E444" s="4"/>
      <c r="F444" s="4"/>
      <c r="G444" s="4"/>
      <c r="H444" s="4"/>
      <c r="I444" s="4"/>
      <c r="J444" s="4"/>
    </row>
    <row r="445" spans="1:10">
      <c r="A445" s="4" t="s">
        <v>673</v>
      </c>
      <c r="B445" s="4"/>
      <c r="C445" s="4" t="s">
        <v>677</v>
      </c>
      <c r="D445" s="4">
        <v>11.842000000000001</v>
      </c>
      <c r="E445" s="4"/>
      <c r="F445" s="4"/>
      <c r="G445" s="4"/>
      <c r="H445" s="4"/>
      <c r="I445" s="4"/>
      <c r="J445" s="4">
        <f>7.838+1.814+3.87</f>
        <v>13.522000000000002</v>
      </c>
    </row>
    <row r="446" spans="1:10">
      <c r="A446" s="4"/>
      <c r="B446" s="4"/>
      <c r="C446" s="4" t="s">
        <v>678</v>
      </c>
      <c r="D446" s="4">
        <v>32.466999999999999</v>
      </c>
      <c r="E446" s="4"/>
      <c r="F446" s="4"/>
      <c r="G446" s="4"/>
      <c r="H446" s="4"/>
      <c r="I446" s="4"/>
      <c r="J446" s="4">
        <f>16.75+13.295</f>
        <v>30.045000000000002</v>
      </c>
    </row>
    <row r="447" spans="1:10">
      <c r="A447" s="4"/>
      <c r="B447" s="4"/>
      <c r="C447" s="4" t="s">
        <v>679</v>
      </c>
      <c r="D447" s="4">
        <f>31.941-3.5</f>
        <v>28.440999999999999</v>
      </c>
      <c r="E447" s="4"/>
      <c r="F447" s="4"/>
      <c r="G447" s="4"/>
      <c r="H447" s="4"/>
      <c r="I447" s="4"/>
      <c r="J447" s="4">
        <f>14.335+12.309+1.32</f>
        <v>27.963999999999999</v>
      </c>
    </row>
    <row r="448" spans="1:10">
      <c r="A448" s="4"/>
      <c r="B448" s="4"/>
      <c r="C448" s="4" t="s">
        <v>684</v>
      </c>
      <c r="D448" s="4">
        <v>3.5</v>
      </c>
      <c r="E448" s="4"/>
      <c r="F448" s="4"/>
      <c r="G448" s="4"/>
      <c r="H448" s="4"/>
      <c r="I448" s="4"/>
      <c r="J448" s="4">
        <v>3.5590000000000002</v>
      </c>
    </row>
    <row r="449" spans="1:11">
      <c r="A449" s="4"/>
      <c r="B449" s="4"/>
      <c r="C449" s="4" t="s">
        <v>680</v>
      </c>
      <c r="D449" s="4">
        <v>10.669</v>
      </c>
      <c r="E449" s="4"/>
      <c r="F449" s="4"/>
      <c r="G449" s="4"/>
      <c r="H449" s="4"/>
      <c r="I449" s="4"/>
      <c r="J449" s="4">
        <v>9.6989999999999998</v>
      </c>
    </row>
    <row r="450" spans="1:11">
      <c r="A450" s="4"/>
      <c r="B450" s="4"/>
      <c r="C450" s="4" t="s">
        <v>678</v>
      </c>
      <c r="D450" s="4">
        <v>7.8879999999999999</v>
      </c>
      <c r="E450" s="4"/>
      <c r="F450" s="4"/>
      <c r="G450" s="4"/>
      <c r="H450" s="4"/>
      <c r="I450" s="4"/>
      <c r="J450" s="4">
        <v>7.9820000000000002</v>
      </c>
    </row>
    <row r="451" spans="1:11">
      <c r="A451" s="4"/>
      <c r="B451" s="4"/>
      <c r="C451" s="4" t="s">
        <v>681</v>
      </c>
      <c r="D451" s="4">
        <v>4.085</v>
      </c>
      <c r="E451" s="4"/>
      <c r="F451" s="4"/>
      <c r="G451" s="4"/>
      <c r="H451" s="4"/>
      <c r="I451" s="4"/>
      <c r="J451" s="4">
        <v>4.08</v>
      </c>
    </row>
    <row r="452" spans="1:11">
      <c r="A452" s="4"/>
      <c r="B452" s="4"/>
      <c r="C452" s="4" t="s">
        <v>682</v>
      </c>
      <c r="D452" s="4">
        <v>36.841999999999999</v>
      </c>
      <c r="E452" s="4"/>
      <c r="F452" s="4"/>
      <c r="G452" s="4"/>
      <c r="H452" s="4"/>
      <c r="I452" s="4"/>
      <c r="J452" s="4">
        <v>30.803999999999998</v>
      </c>
    </row>
    <row r="453" spans="1:11">
      <c r="A453" s="4"/>
      <c r="B453" s="4"/>
      <c r="C453" s="4"/>
      <c r="D453" s="4">
        <f>SUM(D445:D452)</f>
        <v>135.73399999999998</v>
      </c>
      <c r="E453" s="4"/>
      <c r="F453" s="4"/>
      <c r="G453" s="4"/>
      <c r="H453" s="4"/>
      <c r="I453" s="4"/>
      <c r="J453" s="4">
        <f>SUM(J445:J452)</f>
        <v>127.655</v>
      </c>
      <c r="K453">
        <f>SUM(K445:K452)</f>
        <v>0</v>
      </c>
    </row>
    <row r="454" spans="1:1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1">
      <c r="A455" s="4" t="s">
        <v>689</v>
      </c>
      <c r="B455" s="4"/>
      <c r="C455" s="4" t="s">
        <v>686</v>
      </c>
      <c r="D455" s="4">
        <f>41.132-1.5</f>
        <v>39.631999999999998</v>
      </c>
      <c r="E455" s="4"/>
      <c r="F455" s="4"/>
      <c r="G455" s="4"/>
      <c r="H455" s="4"/>
      <c r="I455" s="4"/>
      <c r="J455" s="4">
        <f>25.093+15.595</f>
        <v>40.688000000000002</v>
      </c>
    </row>
    <row r="456" spans="1:11">
      <c r="A456" s="4"/>
      <c r="B456" s="4"/>
      <c r="C456" s="4" t="s">
        <v>687</v>
      </c>
      <c r="D456" s="4">
        <v>1.226</v>
      </c>
      <c r="E456" s="4"/>
      <c r="F456" s="4"/>
      <c r="G456" s="4"/>
      <c r="H456" s="4"/>
      <c r="I456" s="4"/>
      <c r="J456" s="4"/>
    </row>
    <row r="457" spans="1:11">
      <c r="A457" s="4"/>
      <c r="B457" s="4"/>
      <c r="C457" s="4" t="s">
        <v>688</v>
      </c>
      <c r="D457" s="4">
        <v>75.102000000000004</v>
      </c>
      <c r="E457" s="4"/>
      <c r="F457" s="4"/>
      <c r="G457" s="4"/>
      <c r="H457" s="4"/>
      <c r="I457" s="4"/>
      <c r="J457" s="4">
        <f>25.043+2.981</f>
        <v>28.024000000000001</v>
      </c>
    </row>
    <row r="458" spans="1:11">
      <c r="A458" s="4"/>
      <c r="B458" s="4"/>
      <c r="C458" s="4"/>
      <c r="D458" s="4">
        <f>SUM(D455:D457)</f>
        <v>115.96000000000001</v>
      </c>
      <c r="E458" s="4"/>
      <c r="F458" s="4"/>
      <c r="G458" s="4"/>
      <c r="H458" s="4"/>
      <c r="I458" s="4"/>
      <c r="J458" s="4">
        <f>SUM(J455:J457)</f>
        <v>68.712000000000003</v>
      </c>
    </row>
    <row r="459" spans="1:1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1">
      <c r="A460" s="4" t="s">
        <v>690</v>
      </c>
      <c r="B460" s="4"/>
      <c r="C460" s="4" t="s">
        <v>688</v>
      </c>
      <c r="D460" s="4">
        <v>31.408000000000001</v>
      </c>
      <c r="E460" s="4"/>
      <c r="F460" s="4"/>
      <c r="G460" s="4"/>
      <c r="H460" s="4"/>
      <c r="I460" s="4"/>
      <c r="J460" s="4">
        <f>28.377+29.08+10.609+8.074</f>
        <v>76.139999999999986</v>
      </c>
    </row>
    <row r="461" spans="1:11">
      <c r="A461" s="4"/>
      <c r="B461" s="4"/>
      <c r="C461" s="4" t="s">
        <v>691</v>
      </c>
      <c r="D461" s="4">
        <f>85.613-0.7</f>
        <v>84.912999999999997</v>
      </c>
      <c r="E461" s="4"/>
      <c r="F461" s="4"/>
      <c r="G461" s="4"/>
      <c r="H461" s="4"/>
      <c r="I461" s="4"/>
      <c r="J461" s="4">
        <f>20.349+15.684+19.45+10.535+18.83</f>
        <v>84.847999999999999</v>
      </c>
    </row>
    <row r="462" spans="1:11">
      <c r="A462" s="4"/>
      <c r="B462" s="4"/>
      <c r="C462" s="4" t="s">
        <v>692</v>
      </c>
      <c r="D462" s="4">
        <v>14.369</v>
      </c>
      <c r="E462" s="4"/>
      <c r="F462" s="4"/>
      <c r="G462" s="4"/>
      <c r="H462" s="4"/>
      <c r="I462" s="4"/>
      <c r="J462" s="4">
        <f>6.949+7.527</f>
        <v>14.475999999999999</v>
      </c>
    </row>
    <row r="463" spans="1:11">
      <c r="A463" s="4"/>
      <c r="B463" s="4"/>
      <c r="C463" s="4" t="s">
        <v>693</v>
      </c>
      <c r="D463" s="4">
        <v>4.3179999999999996</v>
      </c>
      <c r="E463" s="4"/>
      <c r="F463" s="4"/>
      <c r="G463" s="4"/>
      <c r="H463" s="4"/>
      <c r="I463" s="4"/>
      <c r="J463" s="4">
        <v>4.3250000000000002</v>
      </c>
    </row>
    <row r="464" spans="1:11">
      <c r="A464" s="4"/>
      <c r="B464" s="4"/>
      <c r="C464" s="4"/>
      <c r="D464" s="4">
        <f>SUM(D460:D463)</f>
        <v>135.00800000000001</v>
      </c>
      <c r="E464" s="4"/>
      <c r="F464" s="4"/>
      <c r="G464" s="4"/>
      <c r="H464" s="4"/>
      <c r="I464" s="4"/>
      <c r="J464" s="4">
        <f>SUM(J460:J463)</f>
        <v>179.78899999999999</v>
      </c>
    </row>
    <row r="465" spans="1:10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>
      <c r="A466" s="4" t="s">
        <v>674</v>
      </c>
      <c r="B466" s="4"/>
      <c r="C466" s="4" t="s">
        <v>696</v>
      </c>
      <c r="D466" s="4">
        <v>10.725</v>
      </c>
      <c r="E466" s="4"/>
      <c r="F466" s="4"/>
      <c r="G466" s="4"/>
      <c r="H466" s="4"/>
      <c r="I466" s="4"/>
      <c r="J466" s="4">
        <f>4.978+4.165+1.549</f>
        <v>10.692</v>
      </c>
    </row>
    <row r="467" spans="1:10">
      <c r="A467" s="4"/>
      <c r="B467" s="4"/>
      <c r="C467" s="4" t="s">
        <v>697</v>
      </c>
      <c r="D467" s="4">
        <v>60.274000000000001</v>
      </c>
      <c r="E467" s="4"/>
      <c r="F467" s="4"/>
      <c r="G467" s="4"/>
      <c r="H467" s="4"/>
      <c r="I467" s="4"/>
      <c r="J467" s="4">
        <f>11.017+10.097+38.22</f>
        <v>59.333999999999996</v>
      </c>
    </row>
    <row r="468" spans="1:10">
      <c r="A468" s="4"/>
      <c r="B468" s="4"/>
      <c r="C468" s="4" t="s">
        <v>698</v>
      </c>
      <c r="D468" s="4">
        <v>34.777999999999999</v>
      </c>
      <c r="E468" s="4"/>
      <c r="F468" s="4"/>
      <c r="G468" s="4"/>
      <c r="H468" s="4"/>
      <c r="I468" s="4"/>
      <c r="J468" s="4">
        <f>17.435+8.221+9.09</f>
        <v>34.745999999999995</v>
      </c>
    </row>
    <row r="469" spans="1:10">
      <c r="A469" s="4"/>
      <c r="B469" s="4"/>
      <c r="C469" s="4" t="s">
        <v>699</v>
      </c>
      <c r="D469" s="4">
        <f>33.549-1</f>
        <v>32.548999999999999</v>
      </c>
      <c r="E469" s="4"/>
      <c r="F469" s="4"/>
      <c r="G469" s="4"/>
      <c r="H469" s="4"/>
      <c r="I469" s="4"/>
      <c r="J469" s="4">
        <f>7.454+10.46+14.14</f>
        <v>32.054000000000002</v>
      </c>
    </row>
    <row r="470" spans="1:10">
      <c r="A470" s="4"/>
      <c r="B470" s="4"/>
      <c r="C470" s="4"/>
      <c r="D470" s="4">
        <f>SUM(D466:D469)</f>
        <v>138.32599999999999</v>
      </c>
      <c r="E470" s="4"/>
      <c r="F470" s="4"/>
      <c r="G470" s="4"/>
      <c r="H470" s="4"/>
      <c r="I470" s="4"/>
      <c r="J470" s="4">
        <f>SUM(J466:J469)</f>
        <v>136.82599999999999</v>
      </c>
    </row>
    <row r="471" spans="1:10">
      <c r="A471" s="4" t="s">
        <v>702</v>
      </c>
      <c r="B471" s="4"/>
      <c r="C471" s="4"/>
      <c r="D471" s="4"/>
      <c r="E471" s="4"/>
      <c r="F471" s="4"/>
      <c r="G471" s="4"/>
      <c r="H471" s="4"/>
      <c r="I471" s="4"/>
      <c r="J471" s="4"/>
    </row>
    <row r="472" spans="1:10">
      <c r="A472" s="4" t="s">
        <v>675</v>
      </c>
      <c r="B472" s="4"/>
      <c r="C472" s="4" t="s">
        <v>703</v>
      </c>
      <c r="D472" s="4">
        <f>78.777-1.4-9.5</f>
        <v>67.876999999999995</v>
      </c>
      <c r="E472" s="4"/>
      <c r="F472" s="4"/>
      <c r="G472" s="4"/>
      <c r="H472" s="4"/>
      <c r="I472" s="4"/>
      <c r="J472" s="4">
        <f>23.815+15.975+32.811</f>
        <v>72.600999999999999</v>
      </c>
    </row>
    <row r="473" spans="1:10">
      <c r="A473" s="4"/>
      <c r="B473" s="4"/>
      <c r="C473" s="4" t="s">
        <v>707</v>
      </c>
      <c r="D473" s="4">
        <v>9.5</v>
      </c>
      <c r="E473" s="4"/>
      <c r="F473" s="4"/>
      <c r="G473" s="4"/>
      <c r="H473" s="4"/>
      <c r="I473" s="4"/>
      <c r="J473" s="4">
        <v>3.5510000000000002</v>
      </c>
    </row>
    <row r="474" spans="1:10">
      <c r="A474" s="4"/>
      <c r="B474" s="4"/>
      <c r="C474" s="4" t="s">
        <v>596</v>
      </c>
      <c r="D474" s="4">
        <v>1.4</v>
      </c>
      <c r="E474" s="4"/>
      <c r="F474" s="4"/>
      <c r="G474" s="4"/>
      <c r="H474" s="4"/>
      <c r="I474" s="4"/>
      <c r="J474" s="4"/>
    </row>
    <row r="475" spans="1:10">
      <c r="A475" s="4"/>
      <c r="B475" s="4"/>
      <c r="C475" s="4" t="s">
        <v>704</v>
      </c>
      <c r="D475" s="4">
        <f>28.596-1</f>
        <v>27.596</v>
      </c>
      <c r="E475" s="4"/>
      <c r="F475" s="4"/>
      <c r="G475" s="4"/>
      <c r="H475" s="4"/>
      <c r="I475" s="4"/>
      <c r="J475" s="4">
        <f>12.472+14.481</f>
        <v>26.952999999999999</v>
      </c>
    </row>
    <row r="476" spans="1:10">
      <c r="A476" s="4"/>
      <c r="B476" s="4"/>
      <c r="C476" s="4" t="s">
        <v>595</v>
      </c>
      <c r="D476" s="4">
        <v>1</v>
      </c>
      <c r="E476" s="4"/>
      <c r="F476" s="4"/>
      <c r="G476" s="4"/>
      <c r="H476" s="4"/>
      <c r="I476" s="4"/>
      <c r="J476" s="4">
        <v>1.0660000000000001</v>
      </c>
    </row>
    <row r="477" spans="1:10">
      <c r="A477" s="4"/>
      <c r="B477" s="4"/>
      <c r="C477" s="4" t="s">
        <v>705</v>
      </c>
      <c r="D477" s="4">
        <v>5.1890000000000001</v>
      </c>
      <c r="E477" s="4"/>
      <c r="F477" s="4"/>
      <c r="G477" s="4"/>
      <c r="H477" s="4"/>
      <c r="I477" s="4"/>
      <c r="J477" s="4">
        <f>2.297+2.786</f>
        <v>5.0830000000000002</v>
      </c>
    </row>
    <row r="478" spans="1:10">
      <c r="A478" s="4"/>
      <c r="B478" s="4"/>
      <c r="C478" s="4" t="s">
        <v>706</v>
      </c>
      <c r="D478" s="4">
        <f>32.047-0.45</f>
        <v>31.596999999999998</v>
      </c>
      <c r="E478" s="4"/>
      <c r="F478" s="4"/>
      <c r="G478" s="4"/>
      <c r="H478" s="4"/>
      <c r="I478" s="4"/>
      <c r="J478" s="4">
        <f>12.7+12.48+6.271</f>
        <v>31.451000000000001</v>
      </c>
    </row>
    <row r="479" spans="1:10">
      <c r="A479" s="4"/>
      <c r="B479" s="4"/>
      <c r="C479" s="4"/>
      <c r="D479" s="4">
        <f>SUM(D472:D478)</f>
        <v>144.15900000000002</v>
      </c>
      <c r="E479" s="4"/>
      <c r="F479" s="4"/>
      <c r="G479" s="4"/>
      <c r="H479" s="4"/>
      <c r="I479" s="4"/>
      <c r="J479" s="4">
        <f>SUM(J472:J478)</f>
        <v>140.70500000000001</v>
      </c>
    </row>
    <row r="480" spans="1:1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2">
      <c r="A481" s="4" t="s">
        <v>708</v>
      </c>
      <c r="B481" s="4"/>
      <c r="C481" s="4" t="s">
        <v>709</v>
      </c>
      <c r="D481" s="4">
        <v>40.915999999999997</v>
      </c>
      <c r="E481" s="4"/>
      <c r="F481" s="4"/>
      <c r="G481" s="4"/>
      <c r="H481" s="4"/>
      <c r="I481" s="4"/>
      <c r="J481" s="4">
        <f>8.985+31.845</f>
        <v>40.83</v>
      </c>
      <c r="L481">
        <v>45.402999999999999</v>
      </c>
    </row>
    <row r="482" spans="1:12">
      <c r="A482" s="4"/>
      <c r="B482" s="4"/>
      <c r="C482" s="4" t="s">
        <v>710</v>
      </c>
      <c r="D482" s="4">
        <v>24.927</v>
      </c>
      <c r="E482" s="4"/>
      <c r="F482" s="4"/>
      <c r="G482" s="4"/>
      <c r="H482" s="4"/>
      <c r="I482" s="4"/>
      <c r="J482" s="4">
        <v>24.658999999999999</v>
      </c>
    </row>
    <row r="483" spans="1:12">
      <c r="A483" s="4"/>
      <c r="B483" s="4"/>
      <c r="C483" s="4" t="s">
        <v>711</v>
      </c>
      <c r="D483" s="4">
        <v>5.94</v>
      </c>
      <c r="E483" s="4"/>
      <c r="F483" s="4"/>
      <c r="G483" s="4"/>
      <c r="H483" s="4"/>
      <c r="I483" s="4"/>
      <c r="J483" s="4"/>
    </row>
    <row r="484" spans="1:12">
      <c r="A484" s="4"/>
      <c r="B484" s="4"/>
      <c r="C484" s="4"/>
      <c r="D484" s="4">
        <f>SUM(D481:D483)</f>
        <v>71.782999999999987</v>
      </c>
      <c r="E484" s="4"/>
      <c r="F484" s="4"/>
      <c r="G484" s="4"/>
      <c r="H484" s="4"/>
      <c r="I484" s="4"/>
      <c r="J484" s="4">
        <f>SUM(J481:J483)</f>
        <v>65.489000000000004</v>
      </c>
    </row>
    <row r="485" spans="1:12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2">
      <c r="A486" s="4" t="s">
        <v>715</v>
      </c>
      <c r="B486" s="4"/>
      <c r="C486" s="4" t="s">
        <v>711</v>
      </c>
      <c r="D486" s="4">
        <v>131.34100000000001</v>
      </c>
      <c r="E486" s="4"/>
      <c r="F486" s="4"/>
      <c r="G486" s="4"/>
      <c r="H486" s="4"/>
      <c r="I486" s="4"/>
      <c r="J486" s="4">
        <f>55.012+45.733+31.99</f>
        <v>132.73500000000001</v>
      </c>
    </row>
    <row r="487" spans="1:12">
      <c r="A487" s="4"/>
      <c r="B487" s="4"/>
      <c r="C487" s="4"/>
      <c r="D487" s="4">
        <f>SUM(D486)</f>
        <v>131.34100000000001</v>
      </c>
      <c r="E487" s="4"/>
      <c r="F487" s="4"/>
      <c r="G487" s="4"/>
      <c r="H487" s="4"/>
      <c r="I487" s="4"/>
      <c r="J487" s="4">
        <f>SUM(J486)</f>
        <v>132.73500000000001</v>
      </c>
    </row>
    <row r="488" spans="1:12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2">
      <c r="A489" s="4" t="s">
        <v>716</v>
      </c>
      <c r="B489" s="4"/>
      <c r="C489" s="4" t="s">
        <v>711</v>
      </c>
      <c r="D489" s="4">
        <f>107.298-1.869</f>
        <v>105.429</v>
      </c>
      <c r="E489" s="4"/>
      <c r="F489" s="4"/>
      <c r="G489" s="4"/>
      <c r="H489" s="4"/>
      <c r="I489" s="4"/>
      <c r="J489" s="4">
        <f>17.106+29.505+43.474+6.996+12.462</f>
        <v>109.54300000000001</v>
      </c>
    </row>
    <row r="490" spans="1:12">
      <c r="A490" s="4"/>
      <c r="B490" s="4"/>
      <c r="C490" s="4" t="s">
        <v>717</v>
      </c>
      <c r="D490" s="4">
        <v>11.113</v>
      </c>
      <c r="E490" s="4"/>
      <c r="F490" s="4"/>
      <c r="G490" s="4"/>
      <c r="H490" s="4"/>
      <c r="I490" s="4"/>
      <c r="J490" s="4">
        <f>5.54+5.321</f>
        <v>10.861000000000001</v>
      </c>
    </row>
    <row r="491" spans="1:12">
      <c r="A491" s="4"/>
      <c r="B491" s="4"/>
      <c r="C491" s="4" t="s">
        <v>709</v>
      </c>
      <c r="D491" s="4">
        <v>2.5019999999999998</v>
      </c>
      <c r="E491" s="4"/>
      <c r="F491" s="4"/>
      <c r="G491" s="4"/>
      <c r="H491" s="4"/>
      <c r="I491" s="4"/>
      <c r="J491" s="4">
        <v>2.8980000000000001</v>
      </c>
    </row>
    <row r="492" spans="1:12">
      <c r="A492" s="4"/>
      <c r="B492" s="4"/>
      <c r="C492" s="4"/>
      <c r="D492" s="4">
        <f>SUM(D489:D491)</f>
        <v>119.044</v>
      </c>
      <c r="E492" s="4"/>
      <c r="F492" s="4"/>
      <c r="G492" s="4"/>
      <c r="H492" s="4"/>
      <c r="I492" s="4"/>
      <c r="J492" s="4">
        <f>SUM(J489:J491)</f>
        <v>123.30200000000001</v>
      </c>
    </row>
    <row r="493" spans="1:12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2">
      <c r="A494" s="4" t="s">
        <v>719</v>
      </c>
      <c r="B494" s="4"/>
      <c r="C494" s="4" t="s">
        <v>720</v>
      </c>
      <c r="D494" s="4">
        <v>16.004999999999999</v>
      </c>
      <c r="E494" s="4"/>
      <c r="F494" s="4"/>
      <c r="G494" s="4"/>
      <c r="H494" s="4"/>
      <c r="I494" s="4"/>
      <c r="J494" s="4">
        <v>16.434999999999999</v>
      </c>
    </row>
    <row r="495" spans="1:12">
      <c r="A495" s="4"/>
      <c r="B495" s="4"/>
      <c r="C495" s="4" t="s">
        <v>721</v>
      </c>
      <c r="D495" s="4">
        <v>47.51</v>
      </c>
      <c r="E495" s="4"/>
      <c r="F495" s="4"/>
      <c r="G495" s="4"/>
      <c r="H495" s="4"/>
      <c r="I495" s="4"/>
      <c r="J495" s="4">
        <f>18.14+28.99</f>
        <v>47.129999999999995</v>
      </c>
    </row>
    <row r="496" spans="1:12">
      <c r="A496" s="4"/>
      <c r="B496" s="4"/>
      <c r="C496" s="4" t="s">
        <v>722</v>
      </c>
      <c r="D496" s="4">
        <v>51</v>
      </c>
      <c r="E496" s="4"/>
      <c r="F496" s="4"/>
      <c r="G496" s="4"/>
      <c r="H496" s="4"/>
      <c r="I496" s="4"/>
      <c r="J496" s="4">
        <f>13.474+5.996+19.504+9.27</f>
        <v>48.244</v>
      </c>
    </row>
    <row r="497" spans="1:11">
      <c r="A497" s="4"/>
      <c r="B497" s="4"/>
      <c r="C497" s="4" t="s">
        <v>632</v>
      </c>
      <c r="D497" s="4">
        <f>87.412-51</f>
        <v>36.412000000000006</v>
      </c>
      <c r="E497" s="4"/>
      <c r="F497" s="4"/>
      <c r="G497" s="4"/>
      <c r="H497" s="4"/>
      <c r="I497" s="4"/>
      <c r="J497" s="4">
        <f>12.817+12.183</f>
        <v>25</v>
      </c>
    </row>
    <row r="498" spans="1:11">
      <c r="A498" s="4"/>
      <c r="B498" s="4"/>
      <c r="C498" s="4"/>
      <c r="D498" s="4">
        <f>SUM(D494:D497)</f>
        <v>150.92700000000002</v>
      </c>
      <c r="E498" s="4"/>
      <c r="F498" s="4"/>
      <c r="G498" s="4"/>
      <c r="H498" s="4"/>
      <c r="I498" s="4"/>
      <c r="J498" s="4">
        <f>SUM(J494:J497)</f>
        <v>136.809</v>
      </c>
    </row>
    <row r="499" spans="1:1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1">
      <c r="A500" s="4" t="s">
        <v>723</v>
      </c>
      <c r="B500" s="4"/>
      <c r="C500" s="4" t="s">
        <v>632</v>
      </c>
      <c r="D500" s="4">
        <v>150.655</v>
      </c>
      <c r="E500" s="4"/>
      <c r="F500" s="4"/>
      <c r="G500" s="4"/>
      <c r="H500" s="4"/>
      <c r="I500" s="4"/>
      <c r="J500" s="4">
        <f>60.582+47.557+50.398</f>
        <v>158.53700000000001</v>
      </c>
    </row>
    <row r="501" spans="1:11">
      <c r="A501" s="4"/>
      <c r="B501" s="4"/>
      <c r="C501" s="4" t="s">
        <v>724</v>
      </c>
      <c r="D501" s="4">
        <v>28.38</v>
      </c>
      <c r="E501" s="4"/>
      <c r="F501" s="4"/>
      <c r="G501" s="4"/>
      <c r="H501" s="4"/>
      <c r="I501" s="4"/>
      <c r="J501" s="4"/>
    </row>
    <row r="502" spans="1:11">
      <c r="A502" s="4"/>
      <c r="B502" s="4"/>
      <c r="C502" s="4"/>
      <c r="D502" s="4">
        <f>SUM(D500:D501)</f>
        <v>179.035</v>
      </c>
      <c r="E502" s="4"/>
      <c r="F502" s="4"/>
      <c r="G502" s="4"/>
      <c r="H502" s="4"/>
      <c r="I502" s="4"/>
      <c r="J502" s="4">
        <f>SUM(J500:J501)</f>
        <v>158.53700000000001</v>
      </c>
    </row>
    <row r="503" spans="1:1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1">
      <c r="A505" s="4"/>
      <c r="B505" s="4"/>
      <c r="C505" s="4" t="s">
        <v>683</v>
      </c>
      <c r="D505" s="4">
        <f>+D453+D458+D464+D470+D479+D484+D487+D492+D498+D502</f>
        <v>1321.3170000000002</v>
      </c>
      <c r="E505" s="4"/>
      <c r="F505" s="4"/>
      <c r="G505" s="4"/>
      <c r="H505" s="4"/>
      <c r="I505" s="4"/>
      <c r="J505" s="4">
        <f>+J453+J458+J464+J470+J479+J484+J487+J492+J498+J502</f>
        <v>1270.5590000000002</v>
      </c>
    </row>
    <row r="506" spans="1:11">
      <c r="A506" s="4" t="s">
        <v>750</v>
      </c>
      <c r="B506" s="4"/>
      <c r="C506" s="4"/>
      <c r="D506" s="4"/>
      <c r="E506" s="4"/>
      <c r="F506" s="4"/>
      <c r="G506" s="4"/>
      <c r="H506" s="4"/>
      <c r="I506" s="4"/>
      <c r="J506" s="4"/>
    </row>
    <row r="507" spans="1:1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1">
      <c r="A509" s="4" t="s">
        <v>732</v>
      </c>
      <c r="B509" s="4"/>
      <c r="C509" s="4" t="s">
        <v>733</v>
      </c>
      <c r="D509" s="4">
        <v>65.713999999999999</v>
      </c>
      <c r="E509" s="4"/>
      <c r="F509" s="4"/>
      <c r="G509" s="4"/>
      <c r="H509" s="4"/>
      <c r="I509" s="4"/>
      <c r="J509" s="4">
        <f>41.545+12.253+16.645-5</f>
        <v>65.442999999999998</v>
      </c>
      <c r="K509">
        <f>J509-D509</f>
        <v>-0.2710000000000008</v>
      </c>
    </row>
    <row r="510" spans="1:11">
      <c r="A510" s="4"/>
      <c r="B510" s="4"/>
      <c r="C510" s="4" t="s">
        <v>734</v>
      </c>
      <c r="D510" s="4">
        <v>47.363999999999997</v>
      </c>
      <c r="E510" s="4"/>
      <c r="F510" s="4"/>
      <c r="G510" s="4"/>
      <c r="H510" s="4"/>
      <c r="I510" s="4"/>
      <c r="J510" s="4">
        <v>48.862000000000002</v>
      </c>
      <c r="K510">
        <f>J510-D510</f>
        <v>1.4980000000000047</v>
      </c>
    </row>
    <row r="511" spans="1:11">
      <c r="A511" s="4"/>
      <c r="B511" s="4"/>
      <c r="C511" s="4" t="s">
        <v>733</v>
      </c>
      <c r="D511" s="4">
        <v>44.676000000000002</v>
      </c>
      <c r="E511" s="4"/>
      <c r="F511" s="4"/>
      <c r="G511" s="4"/>
      <c r="H511" s="4"/>
      <c r="I511" s="4"/>
      <c r="J511" s="4">
        <f>39.02+5</f>
        <v>44.02</v>
      </c>
      <c r="K511">
        <f>J511-D511</f>
        <v>-0.65599999999999881</v>
      </c>
    </row>
    <row r="512" spans="1:11">
      <c r="A512" s="4"/>
      <c r="B512" s="4"/>
      <c r="C512" s="4"/>
      <c r="D512" s="4">
        <f>SUM(D509:D511)</f>
        <v>157.75400000000002</v>
      </c>
      <c r="E512" s="4"/>
      <c r="F512" s="4"/>
      <c r="G512" s="4"/>
      <c r="H512" s="4"/>
      <c r="I512" s="4"/>
      <c r="J512" s="4">
        <f>SUM(J509:J511)</f>
        <v>158.32500000000002</v>
      </c>
    </row>
    <row r="513" spans="1:11">
      <c r="A513" s="4" t="s">
        <v>736</v>
      </c>
      <c r="B513" s="4"/>
      <c r="C513" s="4"/>
      <c r="D513" s="4"/>
      <c r="E513" s="4"/>
      <c r="F513" s="4"/>
      <c r="G513" s="4"/>
      <c r="H513" s="4"/>
      <c r="I513" s="4"/>
      <c r="J513" s="4"/>
    </row>
    <row r="514" spans="1:11">
      <c r="A514" s="4" t="s">
        <v>730</v>
      </c>
      <c r="B514" s="4"/>
      <c r="C514" s="4" t="s">
        <v>733</v>
      </c>
      <c r="D514" s="4">
        <v>22.626000000000001</v>
      </c>
      <c r="E514" s="4"/>
      <c r="F514" s="4"/>
      <c r="G514" s="4"/>
      <c r="H514" s="4"/>
      <c r="I514" s="4"/>
      <c r="J514" s="4">
        <f>4.076+18.727+1</f>
        <v>23.803000000000001</v>
      </c>
      <c r="K514">
        <f t="shared" ref="K514:K519" si="0">J514-D514</f>
        <v>1.1769999999999996</v>
      </c>
    </row>
    <row r="515" spans="1:11">
      <c r="A515" s="4"/>
      <c r="B515" s="4"/>
      <c r="C515" s="4" t="s">
        <v>635</v>
      </c>
      <c r="D515" s="4">
        <v>36.156999999999996</v>
      </c>
      <c r="E515" s="4"/>
      <c r="F515" s="4"/>
      <c r="G515" s="4"/>
      <c r="H515" s="4"/>
      <c r="I515" s="4"/>
      <c r="J515" s="4">
        <v>37.779000000000003</v>
      </c>
      <c r="K515">
        <f t="shared" si="0"/>
        <v>1.622000000000007</v>
      </c>
    </row>
    <row r="516" spans="1:11">
      <c r="A516" s="4"/>
      <c r="B516" s="4"/>
      <c r="C516" s="4" t="s">
        <v>632</v>
      </c>
      <c r="D516" s="4">
        <v>3.5579999999999998</v>
      </c>
      <c r="E516" s="4"/>
      <c r="F516" s="4"/>
      <c r="G516" s="4"/>
      <c r="H516" s="4"/>
      <c r="I516" s="4"/>
      <c r="J516" s="4">
        <v>3.4470000000000001</v>
      </c>
      <c r="K516">
        <f t="shared" si="0"/>
        <v>-0.11099999999999977</v>
      </c>
    </row>
    <row r="517" spans="1:11">
      <c r="A517" s="4"/>
      <c r="B517" s="4"/>
      <c r="C517" s="4" t="s">
        <v>631</v>
      </c>
      <c r="D517" s="4">
        <v>3.4359999999999999</v>
      </c>
      <c r="E517" s="4"/>
      <c r="F517" s="4"/>
      <c r="G517" s="4"/>
      <c r="H517" s="4"/>
      <c r="I517" s="4"/>
      <c r="J517" s="4">
        <v>3.5649999999999999</v>
      </c>
      <c r="K517">
        <f t="shared" si="0"/>
        <v>0.129</v>
      </c>
    </row>
    <row r="518" spans="1:11">
      <c r="A518" s="4"/>
      <c r="B518" s="4"/>
      <c r="C518" s="4" t="s">
        <v>737</v>
      </c>
      <c r="D518" s="4">
        <v>47.841000000000001</v>
      </c>
      <c r="E518" s="4"/>
      <c r="F518" s="4"/>
      <c r="G518" s="4"/>
      <c r="H518" s="4"/>
      <c r="I518" s="4"/>
      <c r="J518" s="4">
        <v>47.311</v>
      </c>
      <c r="K518">
        <f t="shared" si="0"/>
        <v>-0.53000000000000114</v>
      </c>
    </row>
    <row r="519" spans="1:11">
      <c r="A519" s="4"/>
      <c r="B519" s="4"/>
      <c r="C519" s="4" t="s">
        <v>628</v>
      </c>
      <c r="D519" s="4">
        <v>1.095</v>
      </c>
      <c r="E519" s="4"/>
      <c r="F519" s="4"/>
      <c r="G519" s="4"/>
      <c r="H519" s="4"/>
      <c r="I519" s="4"/>
      <c r="J519" s="4"/>
      <c r="K519">
        <f t="shared" si="0"/>
        <v>-1.095</v>
      </c>
    </row>
    <row r="520" spans="1:11">
      <c r="A520" s="4"/>
      <c r="B520" s="4"/>
      <c r="C520" s="4"/>
      <c r="D520" s="4">
        <f>SUM(D514:D519)</f>
        <v>114.71299999999999</v>
      </c>
      <c r="E520" s="4"/>
      <c r="F520" s="4"/>
      <c r="G520" s="4"/>
      <c r="H520" s="4"/>
      <c r="I520" s="4"/>
      <c r="J520" s="4">
        <f>SUM(J514:J519)</f>
        <v>115.905</v>
      </c>
    </row>
    <row r="521" spans="1:1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spans="1:11">
      <c r="A522" s="4" t="s">
        <v>731</v>
      </c>
      <c r="B522" s="4"/>
      <c r="C522" s="4" t="s">
        <v>628</v>
      </c>
      <c r="D522" s="4">
        <v>35.18</v>
      </c>
      <c r="E522" s="4"/>
      <c r="F522" s="4"/>
      <c r="G522" s="4"/>
      <c r="H522" s="4"/>
      <c r="I522" s="4"/>
      <c r="J522" s="4">
        <v>36.173999999999999</v>
      </c>
      <c r="K522">
        <f>J522-D522</f>
        <v>0.99399999999999977</v>
      </c>
    </row>
    <row r="523" spans="1:11">
      <c r="A523" s="4"/>
      <c r="B523" s="4"/>
      <c r="C523" s="4" t="s">
        <v>622</v>
      </c>
      <c r="D523" s="4">
        <v>33.533000000000001</v>
      </c>
      <c r="E523" s="4"/>
      <c r="F523" s="4"/>
      <c r="G523" s="4"/>
      <c r="H523" s="4"/>
      <c r="I523" s="4"/>
      <c r="J523" s="4">
        <v>33.344999999999999</v>
      </c>
      <c r="K523">
        <f>J523-D523</f>
        <v>-0.18800000000000239</v>
      </c>
    </row>
    <row r="524" spans="1:11">
      <c r="A524" s="4"/>
      <c r="B524" s="4"/>
      <c r="C524" s="4" t="s">
        <v>681</v>
      </c>
      <c r="D524" s="4">
        <v>4.3360000000000003</v>
      </c>
      <c r="E524" s="4"/>
      <c r="F524" s="4"/>
      <c r="G524" s="4"/>
      <c r="H524" s="4"/>
      <c r="I524" s="4"/>
      <c r="J524" s="4">
        <v>4.4119999999999999</v>
      </c>
      <c r="K524">
        <f>J524-D524</f>
        <v>7.5999999999999623E-2</v>
      </c>
    </row>
    <row r="525" spans="1:11">
      <c r="A525" s="4"/>
      <c r="B525" s="4"/>
      <c r="C525" s="4"/>
      <c r="D525" s="4">
        <f>SUM(D522:D524)</f>
        <v>73.048999999999992</v>
      </c>
      <c r="E525" s="4"/>
      <c r="F525" s="4"/>
      <c r="G525" s="4"/>
      <c r="H525" s="4"/>
      <c r="I525" s="4"/>
      <c r="J525" s="4">
        <f>SUM(J522:J524)</f>
        <v>73.931000000000012</v>
      </c>
    </row>
    <row r="526" spans="1:1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1">
      <c r="A527" s="4" t="s">
        <v>739</v>
      </c>
      <c r="B527" s="4"/>
      <c r="C527" s="4" t="s">
        <v>740</v>
      </c>
      <c r="D527" s="4">
        <v>52.439</v>
      </c>
      <c r="E527" s="4"/>
      <c r="F527" s="4"/>
      <c r="G527" s="4"/>
      <c r="H527" s="4"/>
      <c r="I527" s="4"/>
      <c r="J527" s="4">
        <v>53.223999999999997</v>
      </c>
      <c r="K527">
        <f>J527-D527</f>
        <v>0.78499999999999659</v>
      </c>
    </row>
    <row r="528" spans="1:11">
      <c r="A528" s="4"/>
      <c r="B528" s="4"/>
      <c r="C528" s="4" t="s">
        <v>741</v>
      </c>
      <c r="D528" s="4">
        <v>4.282</v>
      </c>
      <c r="E528" s="4"/>
      <c r="F528" s="4"/>
      <c r="G528" s="4"/>
      <c r="H528" s="4"/>
      <c r="I528" s="4"/>
      <c r="J528" s="4">
        <v>4.2590000000000003</v>
      </c>
      <c r="K528">
        <f>J528-D528</f>
        <v>-2.2999999999999687E-2</v>
      </c>
    </row>
    <row r="529" spans="1:11">
      <c r="A529" s="4"/>
      <c r="B529" s="4"/>
      <c r="C529" s="4" t="s">
        <v>742</v>
      </c>
      <c r="D529" s="4">
        <v>46.98</v>
      </c>
      <c r="E529" s="4"/>
      <c r="F529" s="4"/>
      <c r="G529" s="4"/>
      <c r="H529" s="4"/>
      <c r="I529" s="4"/>
      <c r="J529" s="4">
        <v>47.075000000000003</v>
      </c>
      <c r="K529">
        <f>J529-D529</f>
        <v>9.5000000000005969E-2</v>
      </c>
    </row>
    <row r="530" spans="1:11">
      <c r="A530" s="4"/>
      <c r="B530" s="4"/>
      <c r="C530" s="4" t="s">
        <v>743</v>
      </c>
      <c r="D530" s="4">
        <v>11.359</v>
      </c>
      <c r="E530" s="4"/>
      <c r="F530" s="4"/>
      <c r="G530" s="4"/>
      <c r="H530" s="4"/>
      <c r="I530" s="4"/>
      <c r="J530" s="4">
        <v>11.07</v>
      </c>
      <c r="K530">
        <f>J530-D530</f>
        <v>-0.2889999999999997</v>
      </c>
    </row>
    <row r="531" spans="1:11">
      <c r="A531" s="4"/>
      <c r="B531" s="4"/>
      <c r="C531" s="4"/>
      <c r="D531" s="4">
        <f>SUM(D527:D530)</f>
        <v>115.05999999999999</v>
      </c>
      <c r="E531" s="4"/>
      <c r="F531" s="4"/>
      <c r="G531" s="4"/>
      <c r="H531" s="4"/>
      <c r="I531" s="4"/>
      <c r="J531" s="4">
        <f>SUM(J527:J530)</f>
        <v>115.62799999999999</v>
      </c>
    </row>
    <row r="532" spans="1:11">
      <c r="A532" s="4" t="s">
        <v>751</v>
      </c>
      <c r="B532" s="4"/>
      <c r="C532" s="4"/>
      <c r="D532" s="4"/>
      <c r="E532" s="4"/>
      <c r="F532" s="4"/>
      <c r="G532" s="4"/>
      <c r="H532" s="4"/>
      <c r="I532" s="4"/>
      <c r="J532" s="4"/>
    </row>
    <row r="533" spans="1:1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1">
      <c r="A534" s="4" t="s">
        <v>752</v>
      </c>
      <c r="B534" s="4"/>
      <c r="C534" s="4" t="s">
        <v>753</v>
      </c>
      <c r="D534" s="4">
        <v>7.7169999999999996</v>
      </c>
      <c r="E534" s="4"/>
      <c r="F534" s="4"/>
      <c r="G534" s="4"/>
      <c r="H534" s="4"/>
      <c r="I534" s="4"/>
      <c r="J534" s="4">
        <v>7.2110000000000003</v>
      </c>
      <c r="K534">
        <f t="shared" ref="K534:K540" si="1">J534-D534</f>
        <v>-0.50599999999999934</v>
      </c>
    </row>
    <row r="535" spans="1:11">
      <c r="A535" s="4"/>
      <c r="B535" s="4"/>
      <c r="C535" s="4" t="s">
        <v>754</v>
      </c>
      <c r="D535" s="4">
        <v>9.1549999999999994</v>
      </c>
      <c r="E535" s="4"/>
      <c r="F535" s="4"/>
      <c r="G535" s="4"/>
      <c r="H535" s="4"/>
      <c r="I535" s="4"/>
      <c r="J535" s="4">
        <f>7.051+2.03</f>
        <v>9.0809999999999995</v>
      </c>
      <c r="K535">
        <f t="shared" si="1"/>
        <v>-7.3999999999999844E-2</v>
      </c>
    </row>
    <row r="536" spans="1:11">
      <c r="A536" s="4"/>
      <c r="B536" s="4"/>
      <c r="C536" s="4" t="s">
        <v>755</v>
      </c>
      <c r="D536" s="4">
        <v>9.4909999999999997</v>
      </c>
      <c r="E536" s="4"/>
      <c r="F536" s="4"/>
      <c r="G536" s="4"/>
      <c r="H536" s="4"/>
      <c r="I536" s="4"/>
      <c r="J536" s="4">
        <f>4.851+4.74</f>
        <v>9.5910000000000011</v>
      </c>
      <c r="K536">
        <f t="shared" si="1"/>
        <v>0.10000000000000142</v>
      </c>
    </row>
    <row r="537" spans="1:11">
      <c r="A537" s="4"/>
      <c r="B537" s="4"/>
      <c r="C537" s="4" t="s">
        <v>756</v>
      </c>
      <c r="D537" s="4">
        <v>26.611000000000001</v>
      </c>
      <c r="E537" s="4"/>
      <c r="F537" s="4"/>
      <c r="G537" s="4"/>
      <c r="H537" s="4"/>
      <c r="I537" s="4"/>
      <c r="J537" s="4">
        <f>13.842+12.803</f>
        <v>26.645000000000003</v>
      </c>
      <c r="K537">
        <f t="shared" si="1"/>
        <v>3.4000000000002473E-2</v>
      </c>
    </row>
    <row r="538" spans="1:11">
      <c r="A538" s="4"/>
      <c r="B538" s="4"/>
      <c r="C538" s="4" t="s">
        <v>504</v>
      </c>
      <c r="D538" s="4">
        <f>63.612-26.611</f>
        <v>37.001000000000005</v>
      </c>
      <c r="E538" s="4"/>
      <c r="F538" s="4"/>
      <c r="G538" s="4"/>
      <c r="H538" s="4"/>
      <c r="I538" s="4"/>
      <c r="J538" s="4">
        <v>13.708</v>
      </c>
      <c r="K538">
        <f t="shared" si="1"/>
        <v>-23.293000000000006</v>
      </c>
    </row>
    <row r="539" spans="1:11">
      <c r="A539" s="4"/>
      <c r="B539" s="4"/>
      <c r="C539" s="4" t="s">
        <v>488</v>
      </c>
      <c r="D539" s="4">
        <v>3.4119999999999999</v>
      </c>
      <c r="E539" s="4"/>
      <c r="F539" s="4"/>
      <c r="G539" s="4"/>
      <c r="H539" s="4"/>
      <c r="I539" s="4"/>
      <c r="J539" s="4">
        <v>3.4119999999999999</v>
      </c>
      <c r="K539">
        <f t="shared" si="1"/>
        <v>0</v>
      </c>
    </row>
    <row r="540" spans="1:11">
      <c r="A540" s="4"/>
      <c r="B540" s="4"/>
      <c r="C540" s="4" t="s">
        <v>757</v>
      </c>
      <c r="D540" s="4">
        <v>50.177999999999997</v>
      </c>
      <c r="E540" s="4"/>
      <c r="F540" s="4"/>
      <c r="G540" s="4"/>
      <c r="H540" s="4"/>
      <c r="I540" s="4"/>
      <c r="J540" s="4">
        <f>43.487+7.407</f>
        <v>50.894000000000005</v>
      </c>
      <c r="K540">
        <f t="shared" si="1"/>
        <v>0.71600000000000819</v>
      </c>
    </row>
    <row r="541" spans="1:11">
      <c r="A541" s="4"/>
      <c r="B541" s="4"/>
      <c r="C541" s="4"/>
      <c r="D541" s="4">
        <f>SUM(D534:D540)</f>
        <v>143.565</v>
      </c>
      <c r="E541" s="4"/>
      <c r="F541" s="4"/>
      <c r="G541" s="4"/>
      <c r="H541" s="4"/>
      <c r="I541" s="4"/>
      <c r="J541" s="4">
        <f>SUM(J534:J540)</f>
        <v>120.54200000000002</v>
      </c>
      <c r="K541">
        <f>SUM(K534:K540)</f>
        <v>-23.022999999999993</v>
      </c>
    </row>
    <row r="542" spans="1:1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spans="1:11">
      <c r="A543" s="4" t="s">
        <v>758</v>
      </c>
      <c r="B543" s="4"/>
      <c r="C543" s="4" t="s">
        <v>759</v>
      </c>
      <c r="D543" s="4">
        <v>4.0709999999999997</v>
      </c>
      <c r="E543" s="4"/>
      <c r="F543" s="4"/>
      <c r="G543" s="4"/>
      <c r="H543" s="4"/>
      <c r="I543" s="4"/>
      <c r="J543" s="4">
        <v>4.0739999999999998</v>
      </c>
      <c r="K543">
        <f>J543-D543</f>
        <v>3.0000000000001137E-3</v>
      </c>
    </row>
    <row r="544" spans="1:11">
      <c r="A544" s="4"/>
      <c r="B544" s="4"/>
      <c r="C544" s="4" t="s">
        <v>532</v>
      </c>
      <c r="D544" s="4">
        <f>10.335+11.104</f>
        <v>21.439</v>
      </c>
      <c r="E544" s="4"/>
      <c r="F544" s="4"/>
      <c r="G544" s="4"/>
      <c r="H544" s="4"/>
      <c r="I544" s="4"/>
      <c r="J544" s="4">
        <f>8.872+12.229</f>
        <v>21.100999999999999</v>
      </c>
      <c r="K544">
        <f>J544-D544</f>
        <v>-0.33800000000000097</v>
      </c>
    </row>
    <row r="545" spans="1:13">
      <c r="A545" s="4"/>
      <c r="B545" s="4"/>
      <c r="C545" s="4" t="s">
        <v>760</v>
      </c>
      <c r="D545" s="4">
        <f>27.063+80.47-27.063-4.47</f>
        <v>76</v>
      </c>
      <c r="E545" s="4"/>
      <c r="F545" s="4"/>
      <c r="G545" s="4"/>
      <c r="H545" s="4"/>
      <c r="I545" s="4"/>
      <c r="J545" s="4">
        <f>9.968+32.15+16.101+17.183</f>
        <v>75.401999999999987</v>
      </c>
      <c r="K545">
        <f>J545-D545</f>
        <v>-0.59800000000001319</v>
      </c>
      <c r="M545">
        <v>-4.47</v>
      </c>
    </row>
    <row r="546" spans="1:13">
      <c r="A546" s="4"/>
      <c r="B546" s="4"/>
      <c r="C546" s="4" t="s">
        <v>495</v>
      </c>
      <c r="D546" s="4">
        <v>79.573999999999998</v>
      </c>
      <c r="E546" s="4"/>
      <c r="F546" s="4"/>
      <c r="G546" s="4"/>
      <c r="H546" s="4"/>
      <c r="I546" s="4"/>
      <c r="J546" s="4">
        <f>24.82+11.063+24.05</f>
        <v>59.933000000000007</v>
      </c>
      <c r="K546">
        <f>J546-D546</f>
        <v>-19.640999999999991</v>
      </c>
    </row>
    <row r="547" spans="1:13">
      <c r="A547" s="4"/>
      <c r="B547" s="4"/>
      <c r="C547" s="4"/>
      <c r="D547" s="4">
        <f>SUM(D543:D546)</f>
        <v>181.084</v>
      </c>
      <c r="E547" s="4"/>
      <c r="F547" s="4"/>
      <c r="G547" s="4"/>
      <c r="H547" s="4"/>
      <c r="I547" s="4"/>
      <c r="J547" s="4">
        <f>SUM(J543:J546)</f>
        <v>160.51</v>
      </c>
      <c r="K547">
        <f t="shared" ref="K547" si="2">SUM(K543:K546)</f>
        <v>-20.574000000000005</v>
      </c>
    </row>
    <row r="548" spans="1:13">
      <c r="A548" s="4" t="s">
        <v>762</v>
      </c>
      <c r="B548" s="4"/>
      <c r="C548" s="4"/>
      <c r="D548" s="4"/>
      <c r="E548" s="4"/>
      <c r="F548" s="4"/>
      <c r="G548" s="4"/>
      <c r="H548" s="4"/>
      <c r="I548" s="4"/>
      <c r="J548" s="4"/>
    </row>
    <row r="549" spans="1:13">
      <c r="A549" s="4" t="s">
        <v>763</v>
      </c>
      <c r="B549" s="4"/>
      <c r="C549" s="4" t="s">
        <v>495</v>
      </c>
      <c r="D549" s="4">
        <v>175.31100000000001</v>
      </c>
      <c r="E549" s="4"/>
      <c r="F549" s="4"/>
      <c r="G549" s="4"/>
      <c r="H549" s="4"/>
      <c r="I549" s="4"/>
      <c r="J549" s="4">
        <f>11.644+61.73+26.418+8.543+15.9+10.422+3.68+4.275+6.477+27.552+6.504+12.85+10.198+16.309+4.613+16.584</f>
        <v>243.69900000000001</v>
      </c>
      <c r="K549">
        <f>J549-D549</f>
        <v>68.388000000000005</v>
      </c>
    </row>
    <row r="550" spans="1:13">
      <c r="A550" s="4"/>
      <c r="B550" s="4"/>
      <c r="C550" s="4"/>
      <c r="D550" s="4">
        <f>SUM(D549)</f>
        <v>175.31100000000001</v>
      </c>
      <c r="E550" s="4"/>
      <c r="F550" s="4"/>
      <c r="G550" s="4"/>
      <c r="H550" s="4"/>
      <c r="I550" s="4"/>
      <c r="J550" s="4">
        <f>SUM(J549)</f>
        <v>243.69900000000001</v>
      </c>
    </row>
    <row r="551" spans="1:13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spans="1:13">
      <c r="A552" s="4" t="s">
        <v>764</v>
      </c>
      <c r="B552" s="4"/>
      <c r="C552" s="4" t="s">
        <v>495</v>
      </c>
      <c r="D552" s="4">
        <v>25.552</v>
      </c>
      <c r="E552" s="4"/>
      <c r="F552" s="4"/>
      <c r="G552" s="4"/>
      <c r="H552" s="4"/>
      <c r="I552" s="4"/>
      <c r="J552" s="4">
        <f>21.019+8.197</f>
        <v>29.215999999999998</v>
      </c>
      <c r="K552">
        <f>J552-D552</f>
        <v>3.6639999999999979</v>
      </c>
    </row>
    <row r="553" spans="1:13">
      <c r="A553" s="4"/>
      <c r="B553" s="4"/>
      <c r="C553" s="4" t="s">
        <v>765</v>
      </c>
      <c r="D553" s="4">
        <v>12.641999999999999</v>
      </c>
      <c r="E553" s="4"/>
      <c r="F553" s="4"/>
      <c r="G553" s="4"/>
      <c r="H553" s="4"/>
      <c r="I553" s="4"/>
      <c r="J553" s="4">
        <v>10.795</v>
      </c>
      <c r="K553">
        <f>J553-D553</f>
        <v>-1.8469999999999995</v>
      </c>
    </row>
    <row r="554" spans="1:13">
      <c r="A554" s="4"/>
      <c r="B554" s="4"/>
      <c r="C554" s="4" t="s">
        <v>495</v>
      </c>
      <c r="D554" s="4">
        <v>11.76</v>
      </c>
      <c r="E554" s="4"/>
      <c r="F554" s="4"/>
      <c r="G554" s="4"/>
      <c r="H554" s="4"/>
      <c r="I554" s="4"/>
      <c r="J554" s="4"/>
      <c r="K554">
        <f>J554-D554</f>
        <v>-11.76</v>
      </c>
    </row>
    <row r="555" spans="1:13">
      <c r="A555" s="4"/>
      <c r="B555" s="4"/>
      <c r="C555" s="4" t="s">
        <v>756</v>
      </c>
      <c r="D555" s="4">
        <v>59.024000000000001</v>
      </c>
      <c r="E555" s="4"/>
      <c r="F555" s="4"/>
      <c r="G555" s="4"/>
      <c r="H555" s="4"/>
      <c r="I555" s="4"/>
      <c r="J555" s="4">
        <f>25.309+26.414+2.866</f>
        <v>54.588999999999999</v>
      </c>
      <c r="K555">
        <f>J555-D555</f>
        <v>-4.4350000000000023</v>
      </c>
    </row>
    <row r="556" spans="1:13">
      <c r="A556" s="4"/>
      <c r="B556" s="4"/>
      <c r="C556" s="4"/>
      <c r="D556" s="4">
        <f>SUM(D552:D555)</f>
        <v>108.97800000000001</v>
      </c>
      <c r="E556" s="4"/>
      <c r="F556" s="4"/>
      <c r="G556" s="4"/>
      <c r="H556" s="4"/>
      <c r="I556" s="4"/>
      <c r="J556" s="4">
        <f>SUM(J552:J555)</f>
        <v>94.6</v>
      </c>
    </row>
    <row r="557" spans="1:13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spans="1:13">
      <c r="A558" s="4" t="s">
        <v>775</v>
      </c>
      <c r="B558" s="4"/>
      <c r="C558" s="4" t="s">
        <v>755</v>
      </c>
      <c r="D558" s="4">
        <v>20.600999999999999</v>
      </c>
      <c r="E558" s="4"/>
      <c r="F558" s="4"/>
      <c r="G558" s="4"/>
      <c r="H558" s="4"/>
      <c r="I558" s="4"/>
      <c r="J558" s="4">
        <f>11.334+7.88</f>
        <v>19.213999999999999</v>
      </c>
      <c r="K558">
        <f>J558-D558</f>
        <v>-1.3870000000000005</v>
      </c>
    </row>
    <row r="559" spans="1:13">
      <c r="A559" s="4"/>
      <c r="B559" s="4"/>
      <c r="C559" s="4" t="s">
        <v>488</v>
      </c>
      <c r="D559" s="4">
        <v>11.526</v>
      </c>
      <c r="E559" s="4"/>
      <c r="F559" s="4"/>
      <c r="G559" s="4"/>
      <c r="H559" s="4"/>
      <c r="I559" s="4"/>
      <c r="J559" s="4">
        <f>6.477+3.58</f>
        <v>10.057</v>
      </c>
      <c r="K559">
        <f>J559-D559</f>
        <v>-1.4689999999999994</v>
      </c>
    </row>
    <row r="560" spans="1:13">
      <c r="A560" s="4"/>
      <c r="B560" s="4"/>
      <c r="C560" s="4" t="s">
        <v>757</v>
      </c>
      <c r="D560" s="4">
        <f>119.334-32.127-2.32</f>
        <v>84.887</v>
      </c>
      <c r="E560" s="4"/>
      <c r="F560" s="4"/>
      <c r="G560" s="4"/>
      <c r="H560" s="4"/>
      <c r="I560" s="4"/>
      <c r="J560" s="4">
        <f>11.971+45.753+18.936+8.221</f>
        <v>84.881</v>
      </c>
      <c r="K560">
        <f>J560-D560</f>
        <v>-6.0000000000002274E-3</v>
      </c>
      <c r="M560">
        <v>-2.3199999999999998</v>
      </c>
    </row>
    <row r="561" spans="1:11">
      <c r="A561" s="4"/>
      <c r="B561" s="4"/>
      <c r="C561" s="4"/>
      <c r="D561" s="4">
        <f>SUM(D558:D560)</f>
        <v>117.014</v>
      </c>
      <c r="E561" s="4"/>
      <c r="F561" s="4"/>
      <c r="G561" s="4"/>
      <c r="H561" s="4"/>
      <c r="I561" s="4"/>
      <c r="J561" s="4">
        <f>SUM(J558:J560)</f>
        <v>114.152</v>
      </c>
      <c r="K561">
        <f>SUM(K558:K560)</f>
        <v>-2.8620000000000001</v>
      </c>
    </row>
    <row r="562" spans="1:1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1">
      <c r="A563" s="4" t="s">
        <v>773</v>
      </c>
      <c r="B563" s="4"/>
      <c r="C563" s="4" t="s">
        <v>711</v>
      </c>
      <c r="D563" s="4">
        <v>63.658999999999999</v>
      </c>
      <c r="E563" s="4"/>
      <c r="F563" s="4"/>
      <c r="G563" s="4"/>
      <c r="H563" s="4"/>
      <c r="I563" s="4"/>
      <c r="J563" s="4">
        <f>30.95+13.068+15.589+3.712</f>
        <v>63.319000000000003</v>
      </c>
      <c r="K563">
        <f>J563-D563</f>
        <v>-0.33999999999999631</v>
      </c>
    </row>
    <row r="564" spans="1:11">
      <c r="A564" s="4"/>
      <c r="B564" s="4"/>
      <c r="C564" s="4" t="s">
        <v>717</v>
      </c>
      <c r="D564" s="4">
        <v>2.222</v>
      </c>
      <c r="E564" s="4"/>
      <c r="F564" s="4"/>
      <c r="G564" s="4"/>
      <c r="H564" s="4"/>
      <c r="I564" s="4"/>
      <c r="J564" s="4">
        <v>2.2109999999999999</v>
      </c>
      <c r="K564">
        <f>J564-D564</f>
        <v>-1.1000000000000121E-2</v>
      </c>
    </row>
    <row r="565" spans="1:11">
      <c r="A565" s="4"/>
      <c r="B565" s="4"/>
      <c r="C565" s="4" t="s">
        <v>776</v>
      </c>
      <c r="D565" s="4">
        <v>20.882999999999999</v>
      </c>
      <c r="E565" s="4"/>
      <c r="F565" s="4"/>
      <c r="G565" s="4"/>
      <c r="H565" s="4"/>
      <c r="I565" s="4"/>
      <c r="J565" s="4">
        <f>15.546+14.887</f>
        <v>30.433</v>
      </c>
      <c r="K565">
        <f>J565-D565</f>
        <v>9.5500000000000007</v>
      </c>
    </row>
    <row r="566" spans="1:11">
      <c r="A566" s="4"/>
      <c r="B566" s="4"/>
      <c r="C566" s="4"/>
      <c r="D566" s="4">
        <f>SUM(D563:D565)</f>
        <v>86.763999999999996</v>
      </c>
      <c r="E566" s="4"/>
      <c r="F566" s="4"/>
      <c r="G566" s="4"/>
      <c r="H566" s="4"/>
      <c r="I566" s="4"/>
      <c r="J566" s="4">
        <f>SUM(J563:J565)</f>
        <v>95.962999999999994</v>
      </c>
    </row>
    <row r="567" spans="1:1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1">
      <c r="A568" s="4" t="s">
        <v>778</v>
      </c>
      <c r="B568" s="4"/>
      <c r="C568" s="4" t="s">
        <v>776</v>
      </c>
      <c r="D568" s="4">
        <v>8.6769999999999996</v>
      </c>
      <c r="E568" s="4"/>
      <c r="F568" s="4"/>
      <c r="G568" s="4"/>
      <c r="H568" s="4"/>
      <c r="I568" s="4"/>
      <c r="J568" s="4"/>
    </row>
    <row r="569" spans="1:11">
      <c r="A569" s="4"/>
      <c r="B569" s="4"/>
      <c r="C569" s="4" t="s">
        <v>779</v>
      </c>
      <c r="D569" s="4">
        <v>21.38</v>
      </c>
      <c r="E569" s="4"/>
      <c r="F569" s="4"/>
      <c r="G569" s="4"/>
      <c r="H569" s="4"/>
      <c r="I569" s="4"/>
      <c r="J569" s="4">
        <f>10.724+11.732</f>
        <v>22.456</v>
      </c>
      <c r="K569">
        <f t="shared" ref="K569:K574" si="3">J569-D569</f>
        <v>1.0760000000000005</v>
      </c>
    </row>
    <row r="570" spans="1:11">
      <c r="A570" s="4"/>
      <c r="B570" s="4"/>
      <c r="C570" s="4" t="s">
        <v>780</v>
      </c>
      <c r="D570" s="4">
        <v>10.757999999999999</v>
      </c>
      <c r="E570" s="4"/>
      <c r="F570" s="4"/>
      <c r="G570" s="4"/>
      <c r="H570" s="4"/>
      <c r="I570" s="4"/>
      <c r="J570" s="4">
        <f>5.294+6.099</f>
        <v>11.393000000000001</v>
      </c>
      <c r="K570">
        <f t="shared" si="3"/>
        <v>0.63500000000000156</v>
      </c>
    </row>
    <row r="571" spans="1:11">
      <c r="A571" s="4"/>
      <c r="B571" s="4"/>
      <c r="C571" s="4" t="s">
        <v>781</v>
      </c>
      <c r="D571" s="4">
        <v>4.0380000000000003</v>
      </c>
      <c r="E571" s="4"/>
      <c r="F571" s="4"/>
      <c r="G571" s="4"/>
      <c r="H571" s="4"/>
      <c r="I571" s="4"/>
      <c r="J571" s="4">
        <v>4.1399999999999997</v>
      </c>
      <c r="K571">
        <f t="shared" si="3"/>
        <v>0.10199999999999942</v>
      </c>
    </row>
    <row r="572" spans="1:11">
      <c r="A572" s="4"/>
      <c r="B572" s="4"/>
      <c r="C572" s="4" t="s">
        <v>782</v>
      </c>
      <c r="D572" s="4">
        <v>0.90500000000000003</v>
      </c>
      <c r="E572" s="4"/>
      <c r="F572" s="4"/>
      <c r="G572" s="4"/>
      <c r="H572" s="4"/>
      <c r="I572" s="4"/>
      <c r="J572" s="4">
        <v>0.89100000000000001</v>
      </c>
      <c r="K572">
        <f t="shared" si="3"/>
        <v>-1.4000000000000012E-2</v>
      </c>
    </row>
    <row r="573" spans="1:11">
      <c r="A573" s="4"/>
      <c r="B573" s="4"/>
      <c r="C573" s="4" t="s">
        <v>711</v>
      </c>
      <c r="D573" s="4">
        <v>5.18</v>
      </c>
      <c r="E573" s="4"/>
      <c r="F573" s="4"/>
      <c r="G573" s="4"/>
      <c r="H573" s="4"/>
      <c r="I573" s="4"/>
      <c r="J573" s="4">
        <v>5.0750000000000002</v>
      </c>
      <c r="K573">
        <f t="shared" si="3"/>
        <v>-0.10499999999999954</v>
      </c>
    </row>
    <row r="574" spans="1:11">
      <c r="A574" s="4"/>
      <c r="B574" s="4"/>
      <c r="C574" s="4" t="s">
        <v>783</v>
      </c>
      <c r="D574" s="4">
        <v>11.832000000000001</v>
      </c>
      <c r="E574" s="4"/>
      <c r="F574" s="4"/>
      <c r="G574" s="4"/>
      <c r="H574" s="4"/>
      <c r="I574" s="4"/>
      <c r="J574" s="4">
        <f>4.471+6.215</f>
        <v>10.686</v>
      </c>
      <c r="K574">
        <f t="shared" si="3"/>
        <v>-1.1460000000000008</v>
      </c>
    </row>
    <row r="575" spans="1:11">
      <c r="A575" s="4"/>
      <c r="B575" s="4"/>
      <c r="C575" s="4"/>
      <c r="D575" s="4">
        <f>SUM(D568:D574)</f>
        <v>62.769999999999996</v>
      </c>
      <c r="E575" s="4"/>
      <c r="F575" s="4"/>
      <c r="G575" s="4"/>
      <c r="H575" s="4"/>
      <c r="I575" s="4"/>
      <c r="J575" s="4">
        <f>SUM(J568:J574)</f>
        <v>54.641000000000005</v>
      </c>
      <c r="K575">
        <f>SUM(K568:K574)</f>
        <v>0.54800000000000115</v>
      </c>
    </row>
    <row r="576" spans="1:1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spans="1:10">
      <c r="A577" s="4" t="s">
        <v>774</v>
      </c>
      <c r="B577" s="4"/>
      <c r="C577" s="4" t="s">
        <v>786</v>
      </c>
      <c r="D577" s="4">
        <v>14.17</v>
      </c>
      <c r="E577" s="4"/>
      <c r="F577" s="4"/>
      <c r="G577" s="4"/>
      <c r="H577" s="4"/>
      <c r="I577" s="4"/>
      <c r="J577" s="4">
        <f>5.094+9.095</f>
        <v>14.189</v>
      </c>
    </row>
    <row r="578" spans="1:10">
      <c r="A578" s="4"/>
      <c r="B578" s="4"/>
      <c r="C578" s="4" t="s">
        <v>787</v>
      </c>
      <c r="D578" s="4">
        <v>23.66</v>
      </c>
      <c r="E578" s="4"/>
      <c r="F578" s="4"/>
      <c r="G578" s="4"/>
      <c r="H578" s="4"/>
      <c r="I578" s="4"/>
      <c r="J578" s="4">
        <f>12.273+10.761</f>
        <v>23.033999999999999</v>
      </c>
    </row>
    <row r="579" spans="1:10">
      <c r="A579" s="4"/>
      <c r="B579" s="4"/>
      <c r="C579" s="4" t="s">
        <v>788</v>
      </c>
      <c r="D579" s="4">
        <v>11.95</v>
      </c>
      <c r="E579" s="4"/>
      <c r="F579" s="4"/>
      <c r="G579" s="4"/>
      <c r="H579" s="4"/>
      <c r="I579" s="4"/>
      <c r="J579" s="4">
        <f>5.525+6.439</f>
        <v>11.964</v>
      </c>
    </row>
    <row r="580" spans="1:10">
      <c r="A580" s="4"/>
      <c r="B580" s="4"/>
      <c r="C580" s="4"/>
      <c r="D580" s="4">
        <f>SUM(D577:D579)</f>
        <v>49.78</v>
      </c>
      <c r="E580" s="4"/>
      <c r="F580" s="4"/>
      <c r="G580" s="4"/>
      <c r="H580" s="4"/>
      <c r="I580" s="4"/>
      <c r="J580" s="4">
        <f>SUM(J577:J579)</f>
        <v>49.186999999999998</v>
      </c>
    </row>
    <row r="581" spans="1:10">
      <c r="A581" s="4" t="s">
        <v>789</v>
      </c>
      <c r="B581" s="4"/>
      <c r="C581" s="4"/>
      <c r="D581" s="4"/>
      <c r="E581" s="4"/>
      <c r="F581" s="4"/>
      <c r="G581" s="4"/>
      <c r="H581" s="4"/>
      <c r="I581" s="4"/>
      <c r="J581" s="4"/>
    </row>
    <row r="582" spans="1:10">
      <c r="A582" s="4" t="s">
        <v>790</v>
      </c>
      <c r="B582" s="4"/>
      <c r="C582" s="4" t="s">
        <v>703</v>
      </c>
      <c r="D582" s="4">
        <v>100.38500000000001</v>
      </c>
      <c r="E582" s="4"/>
      <c r="F582" s="4"/>
      <c r="G582" s="4"/>
      <c r="H582" s="4"/>
      <c r="I582" s="4"/>
      <c r="J582" s="4">
        <f>38.72+9.53+10.294+18.689+22.593</f>
        <v>99.826000000000008</v>
      </c>
    </row>
    <row r="583" spans="1:10">
      <c r="A583" s="4"/>
      <c r="B583" s="4"/>
      <c r="C583" s="4" t="s">
        <v>704</v>
      </c>
      <c r="D583" s="4">
        <v>15.177</v>
      </c>
      <c r="E583" s="4"/>
      <c r="F583" s="4"/>
      <c r="G583" s="4"/>
      <c r="H583" s="4"/>
      <c r="I583" s="4"/>
      <c r="J583" s="4">
        <f>9.477+3.459</f>
        <v>12.936</v>
      </c>
    </row>
    <row r="584" spans="1:10">
      <c r="A584" s="4"/>
      <c r="B584" s="4"/>
      <c r="C584" s="4" t="s">
        <v>791</v>
      </c>
      <c r="D584" s="4">
        <v>3.51</v>
      </c>
      <c r="E584" s="4"/>
      <c r="F584" s="4"/>
      <c r="G584" s="4"/>
      <c r="H584" s="4"/>
      <c r="I584" s="4"/>
      <c r="J584" s="4">
        <f>2.993+0.403</f>
        <v>3.3959999999999999</v>
      </c>
    </row>
    <row r="585" spans="1:10">
      <c r="A585" s="4"/>
      <c r="B585" s="4"/>
      <c r="C585" s="4" t="s">
        <v>792</v>
      </c>
      <c r="D585" s="4">
        <v>2.0049999999999999</v>
      </c>
      <c r="E585" s="4"/>
      <c r="F585" s="4"/>
      <c r="G585" s="4"/>
      <c r="H585" s="4"/>
      <c r="I585" s="4"/>
      <c r="J585" s="4">
        <v>2.0059999999999998</v>
      </c>
    </row>
    <row r="586" spans="1:10">
      <c r="A586" s="4"/>
      <c r="B586" s="4"/>
      <c r="C586" s="4" t="s">
        <v>793</v>
      </c>
      <c r="D586" s="4">
        <f>7.113</f>
        <v>7.1130000000000004</v>
      </c>
      <c r="E586" s="4"/>
      <c r="F586" s="4"/>
      <c r="G586" s="4"/>
      <c r="H586" s="4"/>
      <c r="I586" s="4"/>
      <c r="J586" s="4">
        <v>7.1159999999999997</v>
      </c>
    </row>
    <row r="587" spans="1:10">
      <c r="A587" s="4"/>
      <c r="B587" s="4"/>
      <c r="C587" s="4" t="s">
        <v>795</v>
      </c>
      <c r="D587" s="4">
        <f>1.315</f>
        <v>1.3149999999999999</v>
      </c>
      <c r="E587" s="4"/>
      <c r="F587" s="4"/>
      <c r="G587" s="4"/>
      <c r="H587" s="4"/>
      <c r="I587" s="4"/>
      <c r="J587" s="4">
        <v>0.95699999999999996</v>
      </c>
    </row>
    <row r="588" spans="1:10">
      <c r="A588" s="4"/>
      <c r="B588" s="4"/>
      <c r="C588" s="4" t="s">
        <v>794</v>
      </c>
      <c r="D588" s="4">
        <v>8.5120000000000005</v>
      </c>
      <c r="E588" s="4"/>
      <c r="F588" s="4"/>
      <c r="G588" s="4"/>
      <c r="H588" s="4"/>
      <c r="I588" s="4"/>
      <c r="J588" s="4">
        <f>1.652+6.851</f>
        <v>8.5030000000000001</v>
      </c>
    </row>
    <row r="589" spans="1:10">
      <c r="A589" s="4"/>
      <c r="B589" s="4"/>
      <c r="C589" s="4" t="s">
        <v>706</v>
      </c>
      <c r="D589" s="4">
        <v>2.7450000000000001</v>
      </c>
      <c r="E589" s="4"/>
      <c r="F589" s="4"/>
      <c r="G589" s="4"/>
      <c r="H589" s="4"/>
      <c r="I589" s="4"/>
      <c r="J589" s="4">
        <v>2.714</v>
      </c>
    </row>
    <row r="590" spans="1:10">
      <c r="A590" s="4"/>
      <c r="B590" s="4"/>
      <c r="C590" s="4"/>
      <c r="D590" s="4">
        <f>SUM(D582:D589)</f>
        <v>140.76200000000003</v>
      </c>
      <c r="E590" s="4"/>
      <c r="F590" s="4"/>
      <c r="G590" s="4"/>
      <c r="H590" s="4"/>
      <c r="I590" s="4"/>
      <c r="J590" s="4">
        <f>SUM(J582:J589)</f>
        <v>137.45400000000001</v>
      </c>
    </row>
    <row r="591" spans="1:10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spans="1:10">
      <c r="A592" s="4" t="s">
        <v>797</v>
      </c>
      <c r="B592" s="4"/>
      <c r="C592" s="4" t="s">
        <v>696</v>
      </c>
      <c r="D592" s="4">
        <v>28.62</v>
      </c>
      <c r="E592" s="4"/>
      <c r="F592" s="4"/>
      <c r="G592" s="4"/>
      <c r="H592" s="4"/>
      <c r="I592" s="4"/>
      <c r="J592" s="4">
        <f>8.943+11.451+7.756</f>
        <v>28.15</v>
      </c>
    </row>
    <row r="593" spans="1:12">
      <c r="A593" s="4"/>
      <c r="B593" s="4"/>
      <c r="C593" s="4" t="s">
        <v>697</v>
      </c>
      <c r="D593" s="4">
        <v>96.11</v>
      </c>
      <c r="E593" s="4"/>
      <c r="F593" s="4"/>
      <c r="G593" s="4"/>
      <c r="H593" s="4"/>
      <c r="I593" s="4"/>
      <c r="J593" s="4">
        <f>8.446+28.778+2.404+22.62+26.675+12.694</f>
        <v>101.617</v>
      </c>
    </row>
    <row r="594" spans="1:12">
      <c r="A594" s="4"/>
      <c r="B594" s="4"/>
      <c r="C594" s="4"/>
      <c r="D594" s="4">
        <f>SUM(D592:D593)</f>
        <v>124.73</v>
      </c>
      <c r="E594" s="4"/>
      <c r="F594" s="4"/>
      <c r="G594" s="4"/>
      <c r="H594" s="4"/>
      <c r="I594" s="4"/>
      <c r="J594" s="4">
        <f>SUM(J592:J593)</f>
        <v>129.767</v>
      </c>
    </row>
    <row r="595" spans="1:12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2">
      <c r="A596" s="4" t="s">
        <v>799</v>
      </c>
      <c r="B596" s="4"/>
      <c r="C596" s="4" t="s">
        <v>697</v>
      </c>
      <c r="D596" s="4">
        <f>9.485-1</f>
        <v>8.4849999999999994</v>
      </c>
      <c r="E596" s="4"/>
      <c r="F596" s="4"/>
      <c r="G596" s="4"/>
      <c r="H596" s="4"/>
      <c r="I596" s="4"/>
      <c r="J596" s="4"/>
      <c r="L596">
        <v>-1</v>
      </c>
    </row>
    <row r="597" spans="1:12">
      <c r="A597" s="4"/>
      <c r="B597" s="4"/>
      <c r="C597" s="4" t="s">
        <v>698</v>
      </c>
      <c r="D597" s="4">
        <f>66.841-1.8</f>
        <v>65.040999999999997</v>
      </c>
      <c r="E597" s="4"/>
      <c r="F597" s="4"/>
      <c r="G597" s="4"/>
      <c r="H597" s="4"/>
      <c r="I597" s="4"/>
      <c r="J597" s="4">
        <f>16.725+40.178+8.036</f>
        <v>64.938999999999993</v>
      </c>
      <c r="L597">
        <v>-1.8</v>
      </c>
    </row>
    <row r="598" spans="1:12">
      <c r="A598" s="4"/>
      <c r="B598" s="4"/>
      <c r="C598" s="4" t="s">
        <v>699</v>
      </c>
      <c r="D598" s="4">
        <v>14.3</v>
      </c>
      <c r="E598" s="4"/>
      <c r="F598" s="4"/>
      <c r="G598" s="4"/>
      <c r="H598" s="4"/>
      <c r="I598" s="4"/>
      <c r="J598" s="4">
        <f>6.359+6.243</f>
        <v>12.602</v>
      </c>
    </row>
    <row r="599" spans="1:12">
      <c r="A599" s="4"/>
      <c r="B599" s="4"/>
      <c r="C599" s="4"/>
      <c r="D599" s="4">
        <f>SUM(D596:D598)</f>
        <v>87.825999999999993</v>
      </c>
      <c r="E599" s="4"/>
      <c r="F599" s="4"/>
      <c r="G599" s="4"/>
      <c r="H599" s="4"/>
      <c r="I599" s="4"/>
      <c r="J599" s="4">
        <f>SUM(J596:J598)</f>
        <v>77.540999999999997</v>
      </c>
    </row>
    <row r="600" spans="1:12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spans="1:12">
      <c r="A601" s="4" t="s">
        <v>802</v>
      </c>
      <c r="B601" s="4"/>
      <c r="C601" s="4" t="s">
        <v>691</v>
      </c>
      <c r="D601" s="4">
        <v>107.1</v>
      </c>
      <c r="E601" s="4"/>
      <c r="F601" s="4"/>
      <c r="G601" s="4"/>
      <c r="H601" s="4"/>
      <c r="I601" s="4"/>
      <c r="J601" s="4">
        <f>25.092+20.46+27.375+30.977+8.905</f>
        <v>112.809</v>
      </c>
    </row>
    <row r="602" spans="1:12">
      <c r="A602" s="4"/>
      <c r="B602" s="4"/>
      <c r="C602" s="4"/>
      <c r="D602" s="4">
        <f>SUM(D601)</f>
        <v>107.1</v>
      </c>
      <c r="E602" s="4"/>
      <c r="F602" s="4"/>
      <c r="G602" s="4"/>
      <c r="H602" s="4"/>
      <c r="I602" s="4"/>
      <c r="J602" s="4">
        <f>SUM(J601)</f>
        <v>112.809</v>
      </c>
    </row>
    <row r="603" spans="1:12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spans="1:12">
      <c r="A604" s="4" t="s">
        <v>807</v>
      </c>
      <c r="B604" s="4"/>
      <c r="C604" s="4" t="s">
        <v>691</v>
      </c>
      <c r="D604" s="4">
        <f>8.595-1</f>
        <v>7.5950000000000006</v>
      </c>
      <c r="E604" s="4"/>
      <c r="F604" s="4"/>
      <c r="G604" s="4"/>
      <c r="H604" s="4"/>
      <c r="I604" s="4"/>
      <c r="J604" s="4"/>
      <c r="L604">
        <v>-1</v>
      </c>
    </row>
    <row r="605" spans="1:12">
      <c r="A605" s="4"/>
      <c r="B605" s="4"/>
      <c r="C605" s="4" t="s">
        <v>688</v>
      </c>
      <c r="D605" s="4">
        <v>66.58</v>
      </c>
      <c r="E605" s="4"/>
      <c r="F605" s="4"/>
      <c r="G605" s="4"/>
      <c r="H605" s="4"/>
      <c r="I605" s="4"/>
      <c r="J605" s="4">
        <f>11.548+33.563+8.095+4.019+0.992</f>
        <v>58.216999999999999</v>
      </c>
    </row>
    <row r="606" spans="1:12">
      <c r="A606" s="4"/>
      <c r="B606" s="4"/>
      <c r="C606" s="4" t="s">
        <v>686</v>
      </c>
      <c r="D606" s="4">
        <v>42.575000000000003</v>
      </c>
      <c r="E606" s="4"/>
      <c r="F606" s="4"/>
      <c r="G606" s="4"/>
      <c r="H606" s="4"/>
      <c r="I606" s="4"/>
      <c r="J606" s="4">
        <f>2.222+5.096+18.591+11.537+4.173</f>
        <v>41.619</v>
      </c>
    </row>
    <row r="607" spans="1:12">
      <c r="A607" s="4"/>
      <c r="B607" s="4"/>
      <c r="C607" s="4" t="s">
        <v>692</v>
      </c>
      <c r="D607" s="4">
        <v>2.0699999999999998</v>
      </c>
      <c r="E607" s="4"/>
      <c r="F607" s="4"/>
      <c r="G607" s="4"/>
      <c r="H607" s="4"/>
      <c r="I607" s="4"/>
      <c r="J607" s="4">
        <v>2.0840000000000001</v>
      </c>
    </row>
    <row r="608" spans="1:12">
      <c r="A608" s="4"/>
      <c r="B608" s="4"/>
      <c r="C608" s="4" t="s">
        <v>808</v>
      </c>
      <c r="D608" s="4">
        <v>11.11</v>
      </c>
      <c r="E608" s="4"/>
      <c r="F608" s="4"/>
      <c r="G608" s="4"/>
      <c r="H608" s="4"/>
      <c r="I608" s="4"/>
      <c r="J608" s="4">
        <f>5.968+4.763</f>
        <v>10.731</v>
      </c>
    </row>
    <row r="609" spans="1:12">
      <c r="A609" s="4"/>
      <c r="B609" s="4"/>
      <c r="C609" s="4" t="s">
        <v>809</v>
      </c>
      <c r="D609" s="4">
        <v>5.79</v>
      </c>
      <c r="E609" s="4"/>
      <c r="F609" s="4"/>
      <c r="G609" s="4"/>
      <c r="H609" s="4"/>
      <c r="I609" s="4"/>
      <c r="J609" s="4">
        <f>5.35+0.482</f>
        <v>5.8319999999999999</v>
      </c>
    </row>
    <row r="610" spans="1:12">
      <c r="A610" s="4"/>
      <c r="B610" s="4"/>
      <c r="C610" s="4" t="s">
        <v>810</v>
      </c>
      <c r="D610" s="4">
        <v>5.26</v>
      </c>
      <c r="E610" s="4"/>
      <c r="F610" s="4"/>
      <c r="G610" s="4"/>
      <c r="H610" s="4"/>
      <c r="I610" s="4"/>
      <c r="J610" s="4">
        <f>4.138+1.101</f>
        <v>5.2389999999999999</v>
      </c>
    </row>
    <row r="611" spans="1:12">
      <c r="A611" s="4"/>
      <c r="B611" s="4"/>
      <c r="C611" s="4"/>
      <c r="D611" s="4">
        <f>SUM(D604:D610)</f>
        <v>140.97999999999999</v>
      </c>
      <c r="E611" s="4"/>
      <c r="F611" s="4"/>
      <c r="G611" s="4"/>
      <c r="H611" s="4"/>
      <c r="I611" s="4"/>
      <c r="J611" s="4">
        <f>SUM(J604:J610)</f>
        <v>123.72199999999999</v>
      </c>
    </row>
    <row r="612" spans="1:12">
      <c r="A612" s="4" t="s">
        <v>812</v>
      </c>
      <c r="B612" s="4"/>
      <c r="C612" s="4"/>
      <c r="D612" s="4"/>
      <c r="E612" s="4"/>
      <c r="F612" s="4"/>
      <c r="G612" s="4"/>
      <c r="H612" s="4"/>
      <c r="I612" s="4"/>
      <c r="J612" s="4"/>
    </row>
    <row r="613" spans="1:12">
      <c r="A613" s="4" t="s">
        <v>816</v>
      </c>
      <c r="B613" s="4"/>
      <c r="C613" s="4"/>
      <c r="D613" s="4"/>
      <c r="E613" s="4"/>
      <c r="F613" s="4"/>
      <c r="G613" s="4"/>
      <c r="H613" s="4"/>
      <c r="I613" s="4"/>
      <c r="J613" s="4"/>
    </row>
    <row r="614" spans="1:12">
      <c r="A614" s="4" t="s">
        <v>784</v>
      </c>
      <c r="B614" s="4"/>
      <c r="C614" s="4" t="s">
        <v>720</v>
      </c>
      <c r="D614" s="4">
        <v>6.8419999999999996</v>
      </c>
      <c r="E614" s="4"/>
      <c r="F614" s="4"/>
      <c r="G614" s="4"/>
      <c r="H614" s="4"/>
      <c r="I614" s="4"/>
      <c r="J614" s="4">
        <v>6.8220000000000001</v>
      </c>
    </row>
    <row r="615" spans="1:12">
      <c r="A615" s="4"/>
      <c r="B615" s="4"/>
      <c r="C615" s="4" t="s">
        <v>721</v>
      </c>
      <c r="D615" s="4">
        <v>26.381</v>
      </c>
      <c r="E615" s="4"/>
      <c r="F615" s="4"/>
      <c r="G615" s="4"/>
      <c r="H615" s="4"/>
      <c r="I615" s="4"/>
      <c r="J615" s="4">
        <f>10.678+18.046</f>
        <v>28.724</v>
      </c>
    </row>
    <row r="616" spans="1:12">
      <c r="A616" s="4"/>
      <c r="B616" s="4"/>
      <c r="C616" s="4" t="s">
        <v>722</v>
      </c>
      <c r="D616" s="4">
        <f>102.841-2.8</f>
        <v>100.041</v>
      </c>
      <c r="E616" s="4"/>
      <c r="F616" s="4"/>
      <c r="G616" s="4"/>
      <c r="H616" s="4"/>
      <c r="I616" s="4"/>
      <c r="J616" s="4">
        <f>19.029+28.037+12.754+18.433+20.845</f>
        <v>99.097999999999999</v>
      </c>
      <c r="K616">
        <f>J616-D616</f>
        <v>-0.94299999999999784</v>
      </c>
      <c r="L616">
        <v>-2.8</v>
      </c>
    </row>
    <row r="617" spans="1:12">
      <c r="A617" s="4"/>
      <c r="B617" s="4"/>
      <c r="C617" s="4"/>
      <c r="D617" s="4">
        <f>SUM(D614:D616)</f>
        <v>133.26400000000001</v>
      </c>
      <c r="E617" s="4"/>
      <c r="F617" s="4"/>
      <c r="G617" s="4"/>
      <c r="H617" s="4"/>
      <c r="I617" s="4"/>
      <c r="J617" s="4">
        <f>SUM(J614:J616)</f>
        <v>134.64400000000001</v>
      </c>
    </row>
    <row r="618" spans="1:12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2">
      <c r="A619" s="4" t="s">
        <v>796</v>
      </c>
      <c r="B619" s="4"/>
      <c r="C619" s="4" t="s">
        <v>724</v>
      </c>
      <c r="D619" s="4">
        <f>32.67-1</f>
        <v>31.67</v>
      </c>
      <c r="E619" s="4"/>
      <c r="F619" s="4"/>
      <c r="G619" s="4"/>
      <c r="H619" s="4"/>
      <c r="I619" s="4"/>
      <c r="J619" s="4">
        <f>2.616+2.563+1.929+1.837+2.616+2.293+1.128+2.374+2.563+0.517+10.66</f>
        <v>31.095999999999997</v>
      </c>
      <c r="L619">
        <v>-1</v>
      </c>
    </row>
    <row r="620" spans="1:12">
      <c r="A620" s="4"/>
      <c r="B620" s="4"/>
      <c r="C620" s="4" t="s">
        <v>681</v>
      </c>
      <c r="D620" s="4">
        <f>74.095-1</f>
        <v>73.094999999999999</v>
      </c>
      <c r="E620" s="4"/>
      <c r="F620" s="4"/>
      <c r="G620" s="4"/>
      <c r="H620" s="4"/>
      <c r="I620" s="4"/>
      <c r="J620" s="4">
        <f>12.1+2.511+22.928+11.922+15.142+8.643</f>
        <v>73.245999999999995</v>
      </c>
      <c r="L620">
        <v>-1</v>
      </c>
    </row>
    <row r="621" spans="1:12">
      <c r="A621" s="4"/>
      <c r="B621" s="4"/>
      <c r="C621" s="4" t="s">
        <v>819</v>
      </c>
      <c r="D621" s="4">
        <v>7.74</v>
      </c>
      <c r="E621" s="4"/>
      <c r="F621" s="4"/>
      <c r="G621" s="4"/>
      <c r="H621" s="4"/>
      <c r="I621" s="4"/>
      <c r="J621" s="4">
        <v>7.7629999999999999</v>
      </c>
    </row>
    <row r="622" spans="1:12">
      <c r="A622" s="4"/>
      <c r="B622" s="4"/>
      <c r="C622" s="4" t="s">
        <v>680</v>
      </c>
      <c r="D622" s="4">
        <f>59.54-1.8</f>
        <v>57.74</v>
      </c>
      <c r="E622" s="4"/>
      <c r="F622" s="4"/>
      <c r="G622" s="4"/>
      <c r="H622" s="4"/>
      <c r="I622" s="4"/>
      <c r="J622" s="4">
        <f>12.068+7.519+12.468+12.572+13.15</f>
        <v>57.776999999999994</v>
      </c>
      <c r="L622">
        <v>-1.8</v>
      </c>
    </row>
    <row r="623" spans="1:12">
      <c r="A623" s="4"/>
      <c r="B623" s="4"/>
      <c r="C623" s="4" t="s">
        <v>820</v>
      </c>
      <c r="D623" s="4">
        <v>4.0549999999999997</v>
      </c>
      <c r="E623" s="4"/>
      <c r="F623" s="4"/>
      <c r="G623" s="4"/>
      <c r="H623" s="4"/>
      <c r="I623" s="4"/>
      <c r="J623" s="4">
        <v>4.0659999999999998</v>
      </c>
    </row>
    <row r="624" spans="1:12">
      <c r="A624" s="4"/>
      <c r="B624" s="4"/>
      <c r="C624" s="4"/>
      <c r="D624" s="4">
        <f>SUM(D619:D623)</f>
        <v>174.3</v>
      </c>
      <c r="E624" s="4"/>
      <c r="F624" s="4"/>
      <c r="G624" s="4"/>
      <c r="H624" s="4"/>
      <c r="I624" s="4"/>
      <c r="J624" s="4">
        <f>SUM(J619:J623)</f>
        <v>173.94799999999998</v>
      </c>
    </row>
    <row r="625" spans="1:12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spans="1:12">
      <c r="A626" s="4"/>
      <c r="B626" s="4"/>
      <c r="C626" s="4" t="s">
        <v>735</v>
      </c>
      <c r="D626" s="4">
        <f>+D512+D520+D525+D531+D541+D547+D550+D556+D561+D566+D575+D580+D590+D594+D599+D602+D611+D617+D624</f>
        <v>2294.8039999999996</v>
      </c>
      <c r="E626" s="4"/>
      <c r="F626" s="4"/>
      <c r="G626" s="4"/>
      <c r="H626" s="4"/>
      <c r="I626" s="4"/>
      <c r="J626" s="4">
        <f>+J512+J520+J525+J531+J541+J547+J550+J556+J561+J566+J575+J580+J590+J594+J599+J602+J611+J617+J624</f>
        <v>2286.9679999999994</v>
      </c>
      <c r="L626">
        <f>+L512+L520+L525+L531+L541+L547+L550+L556+L561+L566+L575+L580+L590+L594+L599+L602+L611+L617+L624</f>
        <v>0</v>
      </c>
    </row>
    <row r="627" spans="1:12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2">
      <c r="A628" s="4" t="s">
        <v>814</v>
      </c>
      <c r="B628" s="4"/>
      <c r="C628" s="4" t="s">
        <v>742</v>
      </c>
      <c r="D628" s="4">
        <v>91.415000000000006</v>
      </c>
      <c r="E628" s="4"/>
      <c r="F628" s="4"/>
      <c r="G628" s="4"/>
      <c r="H628" s="4"/>
      <c r="I628" s="4"/>
      <c r="J628" s="4">
        <f>10.817+6.917+14.938+20.523+13.616+12.314+8.047+3.155</f>
        <v>90.326999999999998</v>
      </c>
    </row>
    <row r="629" spans="1:12">
      <c r="A629" s="4"/>
      <c r="B629" s="4"/>
      <c r="C629" s="4" t="s">
        <v>743</v>
      </c>
      <c r="D629" s="4">
        <v>30.99</v>
      </c>
      <c r="E629" s="4"/>
      <c r="F629" s="4"/>
      <c r="G629" s="4"/>
      <c r="H629" s="4"/>
      <c r="I629" s="4"/>
      <c r="J629" s="4">
        <f>9.18+6.055+14.184</f>
        <v>29.418999999999997</v>
      </c>
    </row>
    <row r="630" spans="1:12">
      <c r="A630" s="4"/>
      <c r="B630" s="4"/>
      <c r="C630" s="4" t="s">
        <v>823</v>
      </c>
      <c r="D630" s="4">
        <v>24.274999999999999</v>
      </c>
      <c r="E630" s="4"/>
      <c r="F630" s="4"/>
      <c r="G630" s="4"/>
      <c r="H630" s="4"/>
      <c r="I630" s="4"/>
      <c r="J630" s="4">
        <f>2.961+9.505+11.086</f>
        <v>23.552</v>
      </c>
    </row>
    <row r="631" spans="1:12">
      <c r="A631" s="4"/>
      <c r="B631" s="4"/>
      <c r="C631" s="4" t="s">
        <v>824</v>
      </c>
      <c r="D631" s="4">
        <v>8.18</v>
      </c>
      <c r="E631" s="4"/>
      <c r="F631" s="4"/>
      <c r="G631" s="4"/>
      <c r="H631" s="4"/>
      <c r="I631" s="4"/>
      <c r="J631" s="4">
        <f>5.028+3.708</f>
        <v>8.7360000000000007</v>
      </c>
    </row>
    <row r="632" spans="1:12">
      <c r="A632" s="4"/>
      <c r="B632" s="4"/>
      <c r="C632" s="4"/>
      <c r="D632" s="4">
        <f>SUM(D628:D631)</f>
        <v>154.86000000000001</v>
      </c>
      <c r="E632" s="4"/>
      <c r="F632" s="4"/>
      <c r="G632" s="4"/>
      <c r="H632" s="4"/>
      <c r="I632" s="4"/>
      <c r="J632" s="4">
        <f>SUM(J628:J631)</f>
        <v>152.03399999999999</v>
      </c>
    </row>
    <row r="633" spans="1:12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spans="1:12">
      <c r="A634" s="4" t="s">
        <v>828</v>
      </c>
      <c r="B634" s="4"/>
      <c r="C634" s="4" t="s">
        <v>829</v>
      </c>
      <c r="D634" s="4">
        <v>48.95</v>
      </c>
      <c r="E634" s="4"/>
      <c r="F634" s="4"/>
      <c r="G634" s="4"/>
      <c r="H634" s="4"/>
      <c r="I634" s="4"/>
      <c r="J634" s="4">
        <f>30.195+18.902</f>
        <v>49.097000000000001</v>
      </c>
    </row>
    <row r="635" spans="1:12">
      <c r="A635" s="4"/>
      <c r="B635" s="4"/>
      <c r="C635" s="4" t="s">
        <v>830</v>
      </c>
      <c r="D635" s="4">
        <v>18.094999999999999</v>
      </c>
      <c r="E635" s="4"/>
      <c r="F635" s="4"/>
      <c r="G635" s="4"/>
      <c r="H635" s="4"/>
      <c r="I635" s="4"/>
      <c r="J635" s="4">
        <f>5.654+2.298+8.72</f>
        <v>16.672000000000001</v>
      </c>
    </row>
    <row r="636" spans="1:12">
      <c r="A636" s="4"/>
      <c r="B636" s="4"/>
      <c r="C636" s="4" t="s">
        <v>779</v>
      </c>
      <c r="D636" s="4">
        <v>14.42</v>
      </c>
      <c r="E636" s="4"/>
      <c r="F636" s="4"/>
      <c r="G636" s="4"/>
      <c r="H636" s="4"/>
      <c r="I636" s="4"/>
      <c r="J636" s="4">
        <v>13.054</v>
      </c>
    </row>
    <row r="637" spans="1:12">
      <c r="A637" s="4"/>
      <c r="B637" s="4"/>
      <c r="C637" s="4" t="s">
        <v>776</v>
      </c>
      <c r="D637" s="4">
        <v>6.16</v>
      </c>
      <c r="E637" s="4"/>
      <c r="F637" s="4"/>
      <c r="G637" s="4"/>
      <c r="H637" s="4"/>
      <c r="I637" s="4"/>
      <c r="J637" s="4">
        <v>4.3970000000000002</v>
      </c>
    </row>
    <row r="638" spans="1:12">
      <c r="A638" s="4"/>
      <c r="B638" s="4"/>
      <c r="C638" s="4"/>
      <c r="D638" s="4">
        <f>SUM(D634:D637)</f>
        <v>87.625</v>
      </c>
      <c r="E638" s="4"/>
      <c r="F638" s="4"/>
      <c r="G638" s="4"/>
      <c r="H638" s="4"/>
      <c r="I638" s="4"/>
      <c r="J638" s="4">
        <f>SUM(J634:J637)</f>
        <v>83.220000000000013</v>
      </c>
    </row>
    <row r="639" spans="1:12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spans="1:12">
      <c r="A640" s="4" t="s">
        <v>831</v>
      </c>
      <c r="B640" s="4"/>
      <c r="C640" s="4" t="s">
        <v>776</v>
      </c>
      <c r="D640" s="4">
        <v>51.81</v>
      </c>
      <c r="E640" s="4"/>
      <c r="F640" s="4"/>
      <c r="G640" s="4"/>
      <c r="H640" s="4"/>
      <c r="I640" s="4"/>
      <c r="J640" s="4">
        <f>27.698+25.711</f>
        <v>53.408999999999999</v>
      </c>
    </row>
    <row r="641" spans="1:10">
      <c r="A641" s="4"/>
      <c r="B641" s="4"/>
      <c r="C641" s="4" t="s">
        <v>779</v>
      </c>
      <c r="D641" s="4">
        <v>47.92</v>
      </c>
      <c r="E641" s="4"/>
      <c r="F641" s="4"/>
      <c r="G641" s="4"/>
      <c r="H641" s="4"/>
      <c r="I641" s="4"/>
      <c r="J641" s="4">
        <f>7.624+5.195+3.857+4.723+16.825+8.352</f>
        <v>46.575999999999993</v>
      </c>
    </row>
    <row r="642" spans="1:10">
      <c r="A642" s="4"/>
      <c r="B642" s="4"/>
      <c r="C642" s="4" t="s">
        <v>832</v>
      </c>
      <c r="D642" s="4">
        <v>12.24</v>
      </c>
      <c r="E642" s="4"/>
      <c r="F642" s="4"/>
      <c r="G642" s="4"/>
      <c r="H642" s="4"/>
      <c r="I642" s="4"/>
      <c r="J642" s="4">
        <f>8.853+2.551</f>
        <v>11.404</v>
      </c>
    </row>
    <row r="643" spans="1:10">
      <c r="A643" s="4"/>
      <c r="B643" s="4"/>
      <c r="C643" s="4" t="s">
        <v>833</v>
      </c>
      <c r="D643" s="4">
        <v>12.074999999999999</v>
      </c>
      <c r="E643" s="4"/>
      <c r="F643" s="4"/>
      <c r="G643" s="4"/>
      <c r="H643" s="4"/>
      <c r="I643" s="4"/>
      <c r="J643" s="4">
        <f>4.117+7.643</f>
        <v>11.76</v>
      </c>
    </row>
    <row r="644" spans="1:10">
      <c r="A644" s="4"/>
      <c r="B644" s="4"/>
      <c r="C644" s="4"/>
      <c r="D644" s="4">
        <f>SUM(D640:D643)</f>
        <v>124.045</v>
      </c>
      <c r="E644" s="4"/>
      <c r="F644" s="4"/>
      <c r="G644" s="4"/>
      <c r="H644" s="4"/>
      <c r="I644" s="4"/>
      <c r="J644" s="4">
        <f>SUM(J640:J643)</f>
        <v>123.14899999999999</v>
      </c>
    </row>
    <row r="645" spans="1:10">
      <c r="A645" s="4" t="s">
        <v>835</v>
      </c>
      <c r="B645" s="4"/>
      <c r="C645" s="4"/>
      <c r="D645" s="4"/>
      <c r="E645" s="4"/>
      <c r="F645" s="4"/>
      <c r="G645" s="4"/>
      <c r="H645" s="4"/>
      <c r="I645" s="4"/>
      <c r="J645" s="4"/>
    </row>
    <row r="646" spans="1:10">
      <c r="A646" s="4" t="s">
        <v>854</v>
      </c>
      <c r="B646" s="4"/>
      <c r="C646" s="4"/>
      <c r="D646" s="4"/>
      <c r="E646" s="4"/>
      <c r="F646" s="4"/>
      <c r="G646" s="4"/>
      <c r="H646" s="4"/>
      <c r="I646" s="4"/>
      <c r="J646" s="4"/>
    </row>
    <row r="647" spans="1:10">
      <c r="A647" s="4" t="s">
        <v>855</v>
      </c>
      <c r="B647" s="4"/>
      <c r="C647" s="4"/>
      <c r="D647" s="4"/>
      <c r="E647" s="4"/>
      <c r="F647" s="4"/>
      <c r="G647" s="4"/>
      <c r="H647" s="4"/>
      <c r="I647" s="4"/>
      <c r="J647" s="4"/>
    </row>
    <row r="648" spans="1:10">
      <c r="A648" s="4" t="s">
        <v>870</v>
      </c>
      <c r="B648" s="4"/>
      <c r="C648" s="4"/>
      <c r="D648" s="4"/>
      <c r="E648" s="4"/>
      <c r="F648" s="4"/>
      <c r="G648" s="4"/>
      <c r="H648" s="4"/>
      <c r="I648" s="4"/>
      <c r="J648" s="4"/>
    </row>
    <row r="649" spans="1:10">
      <c r="A649" s="4" t="s">
        <v>856</v>
      </c>
      <c r="B649" s="4"/>
      <c r="C649" s="4" t="s">
        <v>857</v>
      </c>
      <c r="D649" s="4">
        <v>117.03</v>
      </c>
      <c r="E649" s="4"/>
      <c r="F649" s="4"/>
      <c r="G649" s="4"/>
      <c r="H649" s="4"/>
      <c r="I649" s="4"/>
      <c r="J649" s="4">
        <f>33.3+35.173+41.583+6.381+6.381</f>
        <v>122.818</v>
      </c>
    </row>
    <row r="650" spans="1:10">
      <c r="A650" s="4"/>
      <c r="B650" s="4"/>
      <c r="C650" s="4" t="s">
        <v>705</v>
      </c>
      <c r="D650" s="4">
        <v>4.1500000000000004</v>
      </c>
      <c r="E650" s="4"/>
      <c r="F650" s="4"/>
      <c r="G650" s="4"/>
      <c r="H650" s="4"/>
      <c r="I650" s="4"/>
      <c r="J650" s="4">
        <v>4.1449999999999996</v>
      </c>
    </row>
    <row r="651" spans="1:10">
      <c r="A651" s="4"/>
      <c r="B651" s="4"/>
      <c r="C651" s="4" t="s">
        <v>858</v>
      </c>
      <c r="D651" s="4">
        <v>4.22</v>
      </c>
      <c r="E651" s="4"/>
      <c r="F651" s="4"/>
      <c r="G651" s="4"/>
      <c r="H651" s="4"/>
      <c r="I651" s="4"/>
      <c r="J651" s="4">
        <v>4.0720000000000001</v>
      </c>
    </row>
    <row r="652" spans="1:10">
      <c r="A652" s="4"/>
      <c r="B652" s="4"/>
      <c r="C652" s="4" t="s">
        <v>859</v>
      </c>
      <c r="D652" s="4">
        <v>9.24</v>
      </c>
      <c r="E652" s="4"/>
      <c r="F652" s="4"/>
      <c r="G652" s="4"/>
      <c r="H652" s="4"/>
      <c r="I652" s="4"/>
      <c r="J652" s="4">
        <f>6.281+2.855</f>
        <v>9.1359999999999992</v>
      </c>
    </row>
    <row r="653" spans="1:10">
      <c r="A653" s="4"/>
      <c r="B653" s="4"/>
      <c r="C653" s="4"/>
      <c r="D653" s="4">
        <f>SUM(D649:D652)</f>
        <v>134.64000000000001</v>
      </c>
      <c r="E653" s="4"/>
      <c r="F653" s="4"/>
      <c r="G653" s="4"/>
      <c r="H653" s="4"/>
      <c r="I653" s="4"/>
      <c r="J653" s="4">
        <f>SUM(J649:J652)</f>
        <v>140.17099999999999</v>
      </c>
    </row>
    <row r="654" spans="1:10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>
      <c r="A655" s="4" t="s">
        <v>860</v>
      </c>
      <c r="B655" s="4"/>
      <c r="C655" s="4" t="s">
        <v>861</v>
      </c>
      <c r="D655" s="4">
        <v>15.78</v>
      </c>
      <c r="E655" s="4"/>
      <c r="F655" s="4"/>
      <c r="G655" s="4"/>
      <c r="H655" s="4"/>
      <c r="I655" s="4"/>
      <c r="J655" s="4">
        <f>6.391+9.541</f>
        <v>15.932</v>
      </c>
    </row>
    <row r="656" spans="1:10">
      <c r="A656" s="4"/>
      <c r="B656" s="4"/>
      <c r="C656" s="4" t="s">
        <v>862</v>
      </c>
      <c r="D656" s="4">
        <v>4.09</v>
      </c>
      <c r="E656" s="4"/>
      <c r="F656" s="4"/>
      <c r="G656" s="4"/>
      <c r="H656" s="4"/>
      <c r="I656" s="4"/>
      <c r="J656" s="4">
        <v>4.2389999999999999</v>
      </c>
    </row>
    <row r="657" spans="1:10">
      <c r="A657" s="4"/>
      <c r="B657" s="4"/>
      <c r="C657" s="4" t="s">
        <v>703</v>
      </c>
      <c r="D657" s="4">
        <v>87.01</v>
      </c>
      <c r="E657" s="4"/>
      <c r="F657" s="4"/>
      <c r="G657" s="4"/>
      <c r="H657" s="4"/>
      <c r="I657" s="4"/>
      <c r="J657" s="4">
        <f>41.397+14.146+7.968+9.541+17.756-9.541+5.021</f>
        <v>86.287999999999997</v>
      </c>
    </row>
    <row r="658" spans="1:10">
      <c r="A658" s="4"/>
      <c r="B658" s="4"/>
      <c r="C658" s="4"/>
      <c r="D658" s="4">
        <f>SUM(D655:D657)</f>
        <v>106.88</v>
      </c>
      <c r="E658" s="4"/>
      <c r="F658" s="4"/>
      <c r="G658" s="4"/>
      <c r="H658" s="4"/>
      <c r="I658" s="4"/>
      <c r="J658" s="4">
        <f>SUM(J655:J657)</f>
        <v>106.459</v>
      </c>
    </row>
    <row r="659" spans="1:10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spans="1:10">
      <c r="A660" s="4" t="s">
        <v>864</v>
      </c>
      <c r="B660" s="4"/>
      <c r="C660" s="4" t="s">
        <v>865</v>
      </c>
      <c r="D660" s="4">
        <v>17.07</v>
      </c>
      <c r="E660" s="4"/>
      <c r="F660" s="4"/>
      <c r="G660" s="4"/>
      <c r="H660" s="4"/>
      <c r="I660" s="4"/>
      <c r="J660" s="4">
        <f>7.491+9.658</f>
        <v>17.149000000000001</v>
      </c>
    </row>
    <row r="661" spans="1:10">
      <c r="A661" s="4"/>
      <c r="B661" s="4"/>
      <c r="C661" s="4" t="s">
        <v>866</v>
      </c>
      <c r="D661" s="4">
        <v>7.54</v>
      </c>
      <c r="E661" s="4"/>
      <c r="F661" s="4"/>
      <c r="G661" s="4"/>
      <c r="H661" s="4"/>
      <c r="I661" s="4"/>
      <c r="J661" s="4">
        <f>0.292+7.135</f>
        <v>7.4269999999999996</v>
      </c>
    </row>
    <row r="662" spans="1:10">
      <c r="A662" s="4"/>
      <c r="B662" s="4"/>
      <c r="C662" s="4" t="s">
        <v>704</v>
      </c>
      <c r="D662" s="4">
        <v>41.49</v>
      </c>
      <c r="E662" s="4"/>
      <c r="F662" s="4"/>
      <c r="G662" s="4"/>
      <c r="H662" s="4"/>
      <c r="I662" s="4"/>
      <c r="J662" s="4">
        <f>13.984+10.393+6.772+9.675</f>
        <v>40.823999999999998</v>
      </c>
    </row>
    <row r="663" spans="1:10">
      <c r="A663" s="4"/>
      <c r="B663" s="4"/>
      <c r="C663" s="4" t="s">
        <v>867</v>
      </c>
      <c r="D663" s="4">
        <v>5.585</v>
      </c>
      <c r="E663" s="4"/>
      <c r="F663" s="4"/>
      <c r="G663" s="4"/>
      <c r="H663" s="4"/>
      <c r="I663" s="4"/>
      <c r="J663" s="4">
        <v>5.62</v>
      </c>
    </row>
    <row r="664" spans="1:10">
      <c r="A664" s="4"/>
      <c r="B664" s="4"/>
      <c r="C664" s="4"/>
      <c r="D664" s="4">
        <f>SUM(D660:D663)</f>
        <v>71.684999999999988</v>
      </c>
      <c r="E664" s="4"/>
      <c r="F664" s="4"/>
      <c r="G664" s="4"/>
      <c r="H664" s="4"/>
      <c r="I664" s="4"/>
      <c r="J664" s="4"/>
    </row>
    <row r="665" spans="1:10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>
      <c r="A666" s="4" t="s">
        <v>869</v>
      </c>
      <c r="B666" s="4"/>
      <c r="C666" s="4" t="s">
        <v>692</v>
      </c>
      <c r="D666" s="4">
        <v>78.760000000000005</v>
      </c>
      <c r="E666" s="4"/>
      <c r="F666" s="4"/>
      <c r="G666" s="4"/>
      <c r="H666" s="4"/>
      <c r="I666" s="4"/>
      <c r="J666" s="4">
        <f>40.184+38.246</f>
        <v>78.430000000000007</v>
      </c>
    </row>
    <row r="667" spans="1:10">
      <c r="A667" s="4"/>
      <c r="B667" s="4"/>
      <c r="C667" s="4" t="s">
        <v>691</v>
      </c>
      <c r="D667" s="4">
        <v>92.784999999999997</v>
      </c>
      <c r="E667" s="4"/>
      <c r="F667" s="4"/>
      <c r="G667" s="4"/>
      <c r="H667" s="4"/>
      <c r="I667" s="4"/>
      <c r="J667" s="4">
        <f>5.612+7.014+44.464+24.062+10.958</f>
        <v>92.11</v>
      </c>
    </row>
    <row r="668" spans="1:10">
      <c r="A668" s="4"/>
      <c r="B668" s="4"/>
      <c r="C668" s="4"/>
      <c r="D668" s="4">
        <f>SUM(D666:D667)</f>
        <v>171.54500000000002</v>
      </c>
      <c r="E668" s="4"/>
      <c r="F668" s="4"/>
      <c r="G668" s="4"/>
      <c r="H668" s="4"/>
      <c r="I668" s="4"/>
      <c r="J668" s="4">
        <f>SUM(J666:J667)</f>
        <v>170.54000000000002</v>
      </c>
    </row>
    <row r="669" spans="1:10">
      <c r="A669" s="4" t="s">
        <v>850</v>
      </c>
      <c r="B669" s="4"/>
      <c r="C669" s="4"/>
      <c r="D669" s="4"/>
      <c r="E669" s="4"/>
      <c r="F669" s="4"/>
      <c r="G669" s="4"/>
      <c r="H669" s="4"/>
      <c r="I669" s="4"/>
      <c r="J669" s="4"/>
    </row>
    <row r="670" spans="1:10">
      <c r="A670" s="4" t="s">
        <v>871</v>
      </c>
      <c r="B670" s="4"/>
      <c r="C670" s="4"/>
      <c r="D670" s="4"/>
      <c r="E670" s="4"/>
      <c r="F670" s="4"/>
      <c r="G670" s="4"/>
      <c r="H670" s="4"/>
      <c r="I670" s="4"/>
      <c r="J670" s="4"/>
    </row>
    <row r="671" spans="1:10">
      <c r="A671" s="4" t="s">
        <v>872</v>
      </c>
      <c r="B671" s="4"/>
      <c r="C671" s="4" t="s">
        <v>691</v>
      </c>
      <c r="D671" s="4">
        <v>31.23</v>
      </c>
      <c r="E671" s="4"/>
      <c r="F671" s="4"/>
      <c r="G671" s="4"/>
      <c r="H671" s="4"/>
      <c r="I671" s="4"/>
      <c r="J671" s="4">
        <f>14.409+17.714</f>
        <v>32.122999999999998</v>
      </c>
    </row>
    <row r="672" spans="1:10">
      <c r="A672" s="4"/>
      <c r="B672" s="4"/>
      <c r="C672" s="4" t="s">
        <v>688</v>
      </c>
      <c r="D672" s="4">
        <v>68.430000000000007</v>
      </c>
      <c r="E672" s="4"/>
      <c r="F672" s="4"/>
      <c r="G672" s="4"/>
      <c r="H672" s="4"/>
      <c r="I672" s="4"/>
      <c r="J672" s="4">
        <f>28.41+9.294+26.385</f>
        <v>64.088999999999999</v>
      </c>
    </row>
    <row r="673" spans="1:10">
      <c r="A673" s="4"/>
      <c r="B673" s="4"/>
      <c r="C673" s="4" t="s">
        <v>686</v>
      </c>
      <c r="D673" s="4">
        <v>31.19</v>
      </c>
      <c r="E673" s="4"/>
      <c r="F673" s="4"/>
      <c r="G673" s="4"/>
      <c r="H673" s="4"/>
      <c r="I673" s="4"/>
      <c r="J673" s="4">
        <f>11.68+12.344+1.484</f>
        <v>25.508000000000003</v>
      </c>
    </row>
    <row r="674" spans="1:10">
      <c r="A674" s="4"/>
      <c r="B674" s="4"/>
      <c r="C674" s="4"/>
      <c r="D674" s="4">
        <f>SUM(D671:D673)</f>
        <v>130.85000000000002</v>
      </c>
      <c r="E674" s="4"/>
      <c r="F674" s="4"/>
      <c r="G674" s="4"/>
      <c r="H674" s="4"/>
      <c r="I674" s="4"/>
      <c r="J674" s="4">
        <f>SUM(J671:J673)</f>
        <v>121.72</v>
      </c>
    </row>
    <row r="675" spans="1:10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spans="1:10">
      <c r="A676" s="4" t="s">
        <v>873</v>
      </c>
      <c r="B676" s="4"/>
      <c r="C676" s="4" t="s">
        <v>686</v>
      </c>
      <c r="D676" s="4">
        <v>51.36</v>
      </c>
      <c r="E676" s="4"/>
      <c r="F676" s="4"/>
      <c r="G676" s="4"/>
      <c r="H676" s="4"/>
      <c r="I676" s="4"/>
      <c r="J676" s="4">
        <f>24.326+26.13</f>
        <v>50.456000000000003</v>
      </c>
    </row>
    <row r="677" spans="1:10">
      <c r="A677" s="4"/>
      <c r="B677" s="4"/>
      <c r="C677" s="4" t="s">
        <v>808</v>
      </c>
      <c r="D677" s="4">
        <v>6.92</v>
      </c>
      <c r="E677" s="4"/>
      <c r="F677" s="4"/>
      <c r="G677" s="4"/>
      <c r="H677" s="4"/>
      <c r="I677" s="4"/>
      <c r="J677" s="4">
        <v>6.8209999999999997</v>
      </c>
    </row>
    <row r="678" spans="1:10">
      <c r="A678" s="4"/>
      <c r="B678" s="4"/>
      <c r="C678" s="4" t="s">
        <v>809</v>
      </c>
      <c r="D678" s="4">
        <v>5.0049999999999999</v>
      </c>
      <c r="E678" s="4"/>
      <c r="F678" s="4"/>
      <c r="G678" s="4"/>
      <c r="H678" s="4"/>
      <c r="I678" s="4"/>
      <c r="J678" s="4">
        <v>5.0069999999999997</v>
      </c>
    </row>
    <row r="679" spans="1:10">
      <c r="A679" s="4"/>
      <c r="B679" s="4"/>
      <c r="C679" s="4" t="s">
        <v>810</v>
      </c>
      <c r="D679" s="4">
        <v>17.649999999999999</v>
      </c>
      <c r="E679" s="4"/>
      <c r="F679" s="4"/>
      <c r="G679" s="4"/>
      <c r="H679" s="4"/>
      <c r="I679" s="4"/>
      <c r="J679" s="4">
        <f>7.017+10.357</f>
        <v>17.373999999999999</v>
      </c>
    </row>
    <row r="680" spans="1:10">
      <c r="A680" s="4"/>
      <c r="B680" s="4"/>
      <c r="C680" s="4"/>
      <c r="D680" s="4">
        <f>SUM(D676:D679)</f>
        <v>80.935000000000002</v>
      </c>
      <c r="E680" s="4"/>
      <c r="F680" s="4"/>
      <c r="G680" s="4"/>
      <c r="H680" s="4"/>
      <c r="I680" s="4"/>
      <c r="J680" s="4">
        <f>SUM(J676:J679)</f>
        <v>79.658000000000001</v>
      </c>
    </row>
    <row r="681" spans="1:10">
      <c r="A681" s="4" t="s">
        <v>875</v>
      </c>
      <c r="B681" s="4"/>
      <c r="C681" s="4"/>
      <c r="D681" s="4"/>
      <c r="E681" s="4"/>
      <c r="F681" s="4"/>
      <c r="G681" s="4"/>
      <c r="H681" s="4"/>
      <c r="I681" s="4"/>
      <c r="J681" s="4"/>
    </row>
    <row r="682" spans="1:10">
      <c r="A682" s="4" t="s">
        <v>853</v>
      </c>
      <c r="B682" s="4"/>
      <c r="C682" s="4" t="s">
        <v>876</v>
      </c>
      <c r="D682" s="4">
        <v>9.9</v>
      </c>
      <c r="E682" s="4"/>
      <c r="F682" s="4"/>
      <c r="G682" s="4"/>
      <c r="H682" s="4"/>
      <c r="I682" s="4"/>
      <c r="J682" s="4">
        <v>9.5020000000000007</v>
      </c>
    </row>
    <row r="683" spans="1:10">
      <c r="A683" s="4"/>
      <c r="B683" s="4"/>
      <c r="C683" s="4" t="s">
        <v>877</v>
      </c>
      <c r="D683" s="4">
        <v>27.44</v>
      </c>
      <c r="E683" s="4"/>
      <c r="F683" s="4"/>
      <c r="G683" s="4"/>
      <c r="H683" s="4"/>
      <c r="I683" s="4"/>
      <c r="J683" s="4">
        <v>27.164999999999999</v>
      </c>
    </row>
    <row r="684" spans="1:10">
      <c r="A684" s="4"/>
      <c r="B684" s="4"/>
      <c r="C684" s="4" t="s">
        <v>878</v>
      </c>
      <c r="D684" s="4">
        <v>38.76</v>
      </c>
      <c r="E684" s="4"/>
      <c r="F684" s="4"/>
      <c r="G684" s="4"/>
      <c r="H684" s="4"/>
      <c r="I684" s="4"/>
      <c r="J684" s="4">
        <f>3.258+13.923+21.124</f>
        <v>38.305</v>
      </c>
    </row>
    <row r="685" spans="1:10">
      <c r="A685" s="4"/>
      <c r="B685" s="4"/>
      <c r="C685" s="4" t="s">
        <v>879</v>
      </c>
      <c r="D685" s="4">
        <v>6</v>
      </c>
      <c r="E685" s="4"/>
      <c r="F685" s="4"/>
      <c r="G685" s="4"/>
      <c r="H685" s="4"/>
      <c r="I685" s="4"/>
      <c r="J685" s="4">
        <v>5.9779999999999998</v>
      </c>
    </row>
    <row r="686" spans="1:10">
      <c r="A686" s="4"/>
      <c r="B686" s="4"/>
      <c r="C686" s="4" t="s">
        <v>880</v>
      </c>
      <c r="D686" s="4">
        <v>6.57</v>
      </c>
      <c r="E686" s="4"/>
      <c r="F686" s="4"/>
      <c r="G686" s="4"/>
      <c r="H686" s="4"/>
      <c r="I686" s="4"/>
      <c r="J686" s="4">
        <v>6.5209999999999999</v>
      </c>
    </row>
    <row r="687" spans="1:10">
      <c r="A687" s="4"/>
      <c r="B687" s="4"/>
      <c r="C687" s="4" t="s">
        <v>881</v>
      </c>
      <c r="D687" s="4">
        <v>9.2100000000000009</v>
      </c>
      <c r="E687" s="4"/>
      <c r="F687" s="4"/>
      <c r="G687" s="4"/>
      <c r="H687" s="4"/>
      <c r="I687" s="4"/>
      <c r="J687" s="4">
        <f>7.141+2.075</f>
        <v>9.2160000000000011</v>
      </c>
    </row>
    <row r="688" spans="1:10">
      <c r="A688" s="4"/>
      <c r="B688" s="4"/>
      <c r="C688" s="4" t="s">
        <v>691</v>
      </c>
      <c r="D688" s="4">
        <v>43.34</v>
      </c>
      <c r="E688" s="4"/>
      <c r="F688" s="4"/>
      <c r="G688" s="4"/>
      <c r="H688" s="4"/>
      <c r="I688" s="4"/>
      <c r="J688" s="4">
        <f>24.758+18.068</f>
        <v>42.826000000000001</v>
      </c>
    </row>
    <row r="689" spans="1:12">
      <c r="A689" s="4"/>
      <c r="B689" s="4"/>
      <c r="C689" s="4"/>
      <c r="D689" s="4">
        <f>SUM(D682:D688)</f>
        <v>141.22</v>
      </c>
      <c r="E689" s="4"/>
      <c r="F689" s="4"/>
      <c r="G689" s="4"/>
      <c r="H689" s="4"/>
      <c r="I689" s="4"/>
      <c r="J689" s="4">
        <f>SUM(J682:J688)</f>
        <v>139.51300000000001</v>
      </c>
    </row>
    <row r="690" spans="1:12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2">
      <c r="A691" s="4" t="s">
        <v>883</v>
      </c>
      <c r="B691" s="4"/>
      <c r="C691" s="4" t="s">
        <v>696</v>
      </c>
      <c r="D691" s="4">
        <v>64.94</v>
      </c>
      <c r="E691" s="4"/>
      <c r="F691" s="4"/>
      <c r="G691" s="4"/>
      <c r="H691" s="4"/>
      <c r="I691" s="4"/>
      <c r="J691" s="4">
        <f>32.265+31.123</f>
        <v>63.388000000000005</v>
      </c>
    </row>
    <row r="692" spans="1:12">
      <c r="A692" s="4"/>
      <c r="B692" s="4"/>
      <c r="C692" s="4" t="s">
        <v>884</v>
      </c>
      <c r="D692" s="4">
        <v>6.88</v>
      </c>
      <c r="E692" s="4"/>
      <c r="F692" s="4"/>
      <c r="G692" s="4"/>
      <c r="H692" s="4"/>
      <c r="I692" s="4"/>
      <c r="J692" s="4">
        <v>6.5460000000000003</v>
      </c>
    </row>
    <row r="693" spans="1:12">
      <c r="A693" s="4"/>
      <c r="B693" s="4"/>
      <c r="C693" s="4" t="s">
        <v>697</v>
      </c>
      <c r="D693" s="4">
        <v>37.880000000000003</v>
      </c>
      <c r="E693" s="4"/>
      <c r="F693" s="4"/>
      <c r="G693" s="4"/>
      <c r="H693" s="4"/>
      <c r="I693" s="4"/>
      <c r="J693" s="4">
        <f>12.986+13.697+10.644</f>
        <v>37.326999999999998</v>
      </c>
    </row>
    <row r="694" spans="1:12">
      <c r="A694" s="4"/>
      <c r="B694" s="4"/>
      <c r="C694" s="4" t="s">
        <v>698</v>
      </c>
      <c r="D694" s="4">
        <v>5.93</v>
      </c>
      <c r="E694" s="4"/>
      <c r="F694" s="4"/>
      <c r="G694" s="4"/>
      <c r="H694" s="4"/>
      <c r="I694" s="4"/>
      <c r="J694" s="4">
        <v>5.94</v>
      </c>
    </row>
    <row r="695" spans="1:12">
      <c r="A695" s="4"/>
      <c r="B695" s="4"/>
      <c r="C695" s="4" t="s">
        <v>699</v>
      </c>
      <c r="D695" s="4">
        <v>40.92</v>
      </c>
      <c r="E695" s="4"/>
      <c r="F695" s="4"/>
      <c r="G695" s="4"/>
      <c r="H695" s="4"/>
      <c r="I695" s="4"/>
      <c r="J695" s="4">
        <v>34.265000000000001</v>
      </c>
    </row>
    <row r="696" spans="1:12">
      <c r="A696" s="4"/>
      <c r="B696" s="4"/>
      <c r="C696" s="4"/>
      <c r="D696" s="4">
        <f>SUM(D691:D695)</f>
        <v>156.55000000000001</v>
      </c>
      <c r="E696" s="4"/>
      <c r="F696" s="4"/>
      <c r="G696" s="4"/>
      <c r="H696" s="4"/>
      <c r="I696" s="4"/>
      <c r="J696" s="4">
        <f>SUM(J691:J695)</f>
        <v>147.46600000000001</v>
      </c>
    </row>
    <row r="697" spans="1:12">
      <c r="A697" s="4" t="s">
        <v>851</v>
      </c>
      <c r="B697" s="4"/>
      <c r="C697" s="4"/>
      <c r="D697" s="4"/>
      <c r="E697" s="4"/>
      <c r="F697" s="4"/>
      <c r="G697" s="4"/>
      <c r="H697" s="4"/>
      <c r="I697" s="4"/>
      <c r="J697" s="4"/>
    </row>
    <row r="698" spans="1:12">
      <c r="A698" s="4" t="s">
        <v>888</v>
      </c>
      <c r="B698" s="4"/>
      <c r="C698" s="4" t="s">
        <v>699</v>
      </c>
      <c r="D698" s="4">
        <v>67.25</v>
      </c>
      <c r="E698" s="4"/>
      <c r="F698" s="4"/>
      <c r="G698" s="4"/>
      <c r="H698" s="4"/>
      <c r="I698" s="4"/>
      <c r="J698" s="4">
        <f>31.717+37.981</f>
        <v>69.698000000000008</v>
      </c>
      <c r="L698">
        <v>-4</v>
      </c>
    </row>
    <row r="699" spans="1:12">
      <c r="A699" s="4"/>
      <c r="B699" s="4"/>
      <c r="C699" s="4" t="s">
        <v>889</v>
      </c>
      <c r="D699" s="4">
        <v>3.4</v>
      </c>
      <c r="E699" s="4"/>
      <c r="F699" s="4"/>
      <c r="G699" s="4"/>
      <c r="H699" s="4"/>
      <c r="I699" s="4"/>
      <c r="J699" s="4">
        <v>2.6539999999999999</v>
      </c>
    </row>
    <row r="700" spans="1:12">
      <c r="A700" s="4"/>
      <c r="B700" s="4"/>
      <c r="C700" s="4" t="s">
        <v>890</v>
      </c>
      <c r="D700" s="4">
        <v>15.4</v>
      </c>
      <c r="E700" s="4"/>
      <c r="F700" s="4"/>
      <c r="G700" s="4"/>
      <c r="H700" s="4"/>
      <c r="I700" s="4"/>
      <c r="J700" s="4">
        <f>7.799+7.601</f>
        <v>15.4</v>
      </c>
    </row>
    <row r="701" spans="1:12">
      <c r="A701" s="4"/>
      <c r="B701" s="4"/>
      <c r="C701" s="4" t="s">
        <v>891</v>
      </c>
      <c r="D701" s="4">
        <v>8.8699999999999992</v>
      </c>
      <c r="E701" s="4"/>
      <c r="F701" s="4"/>
      <c r="G701" s="4"/>
      <c r="H701" s="4"/>
      <c r="I701" s="4"/>
      <c r="J701" s="4">
        <f>4.067+4.417</f>
        <v>8.484</v>
      </c>
    </row>
    <row r="702" spans="1:12">
      <c r="A702" s="4"/>
      <c r="B702" s="4"/>
      <c r="C702" s="4" t="s">
        <v>892</v>
      </c>
      <c r="D702" s="4">
        <v>2.92</v>
      </c>
      <c r="E702" s="4"/>
      <c r="F702" s="4"/>
      <c r="G702" s="4"/>
      <c r="H702" s="4"/>
      <c r="I702" s="4"/>
      <c r="J702" s="4">
        <f>0.7+2.039</f>
        <v>2.7389999999999999</v>
      </c>
    </row>
    <row r="703" spans="1:12">
      <c r="A703" s="4"/>
      <c r="B703" s="4"/>
      <c r="C703" s="4" t="s">
        <v>894</v>
      </c>
      <c r="D703" s="4">
        <v>7.49</v>
      </c>
      <c r="E703" s="4"/>
      <c r="F703" s="4"/>
      <c r="G703" s="4"/>
      <c r="H703" s="4"/>
      <c r="I703" s="4"/>
      <c r="J703" s="4">
        <v>7.327</v>
      </c>
    </row>
    <row r="704" spans="1:12">
      <c r="A704" s="4"/>
      <c r="B704" s="4"/>
      <c r="C704" s="4" t="s">
        <v>895</v>
      </c>
      <c r="D704" s="4">
        <v>29.68</v>
      </c>
      <c r="E704" s="4"/>
      <c r="F704" s="4"/>
      <c r="G704" s="4"/>
      <c r="H704" s="4"/>
      <c r="I704" s="4"/>
      <c r="J704" s="4">
        <f>19.187+10.17</f>
        <v>29.356999999999999</v>
      </c>
    </row>
    <row r="705" spans="1:10">
      <c r="A705" s="4"/>
      <c r="B705" s="4"/>
      <c r="C705" s="4" t="s">
        <v>896</v>
      </c>
      <c r="D705" s="4">
        <v>22.62</v>
      </c>
      <c r="E705" s="4"/>
      <c r="F705" s="4"/>
      <c r="G705" s="4"/>
      <c r="H705" s="4"/>
      <c r="I705" s="4"/>
      <c r="J705" s="4">
        <f>2.733+10.233+8.783</f>
        <v>21.749000000000002</v>
      </c>
    </row>
    <row r="706" spans="1:10">
      <c r="A706" s="4"/>
      <c r="B706" s="4"/>
      <c r="C706" s="4" t="s">
        <v>897</v>
      </c>
      <c r="D706" s="4">
        <v>4.8600000000000003</v>
      </c>
      <c r="E706" s="4"/>
      <c r="F706" s="4"/>
      <c r="G706" s="4"/>
      <c r="H706" s="4"/>
      <c r="I706" s="4"/>
      <c r="J706" s="4">
        <v>4.859</v>
      </c>
    </row>
    <row r="707" spans="1:10">
      <c r="A707" s="4"/>
      <c r="B707" s="4"/>
      <c r="C707" s="4" t="s">
        <v>898</v>
      </c>
      <c r="D707" s="4">
        <v>5.96</v>
      </c>
      <c r="E707" s="4"/>
      <c r="F707" s="4"/>
      <c r="G707" s="4"/>
      <c r="H707" s="4"/>
      <c r="I707" s="4"/>
      <c r="J707" s="4">
        <v>5.9660000000000002</v>
      </c>
    </row>
    <row r="708" spans="1:10">
      <c r="A708" s="4"/>
      <c r="B708" s="4"/>
      <c r="C708" s="4" t="s">
        <v>893</v>
      </c>
      <c r="D708" s="4">
        <v>4.41</v>
      </c>
      <c r="E708" s="4"/>
      <c r="F708" s="4"/>
      <c r="G708" s="4"/>
      <c r="H708" s="4"/>
      <c r="I708" s="4"/>
      <c r="J708" s="4">
        <v>3.512</v>
      </c>
    </row>
    <row r="709" spans="1:10">
      <c r="A709" s="4"/>
      <c r="B709" s="4"/>
      <c r="C709" s="4"/>
      <c r="D709" s="4">
        <f>SUM(D698:D708)</f>
        <v>172.86000000000004</v>
      </c>
      <c r="E709" s="4"/>
      <c r="F709" s="4"/>
      <c r="G709" s="4"/>
      <c r="H709" s="4"/>
      <c r="I709" s="4"/>
      <c r="J709" s="4">
        <f>SUM(J698:J708)</f>
        <v>171.745</v>
      </c>
    </row>
    <row r="710" spans="1: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>
      <c r="A711" s="4" t="s">
        <v>899</v>
      </c>
      <c r="B711" s="4"/>
      <c r="C711" s="4" t="s">
        <v>721</v>
      </c>
      <c r="D711" s="4">
        <v>161.96</v>
      </c>
      <c r="E711" s="4"/>
      <c r="F711" s="4"/>
      <c r="G711" s="4"/>
      <c r="H711" s="4"/>
      <c r="I711" s="4"/>
      <c r="J711" s="4">
        <f>34.538+28.213+21.619+18.016+21.183+25.433+3.05+0.227+0.136+0.151+0.158+0.198+9.027</f>
        <v>161.94899999999998</v>
      </c>
    </row>
    <row r="712" spans="1:10">
      <c r="A712" s="4"/>
      <c r="B712" s="4"/>
      <c r="C712" s="4" t="s">
        <v>722</v>
      </c>
      <c r="D712" s="4">
        <v>25.64</v>
      </c>
      <c r="E712" s="4"/>
      <c r="F712" s="4"/>
      <c r="G712" s="4"/>
      <c r="H712" s="4"/>
      <c r="I712" s="4"/>
      <c r="J712" s="4">
        <v>16.686</v>
      </c>
    </row>
    <row r="713" spans="1:10">
      <c r="A713" s="4"/>
      <c r="B713" s="4"/>
      <c r="C713" s="4"/>
      <c r="D713" s="4">
        <f>SUM(D711:D712)</f>
        <v>187.60000000000002</v>
      </c>
      <c r="E713" s="4"/>
      <c r="F713" s="4"/>
      <c r="G713" s="4"/>
      <c r="H713" s="4"/>
      <c r="I713" s="4"/>
      <c r="J713" s="4">
        <f>SUM(J711:J712)</f>
        <v>178.63499999999999</v>
      </c>
    </row>
    <row r="714" spans="1:10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spans="1:10">
      <c r="A715" s="4" t="s">
        <v>901</v>
      </c>
      <c r="B715" s="4"/>
      <c r="C715" s="4" t="s">
        <v>722</v>
      </c>
      <c r="D715" s="4">
        <v>9.06</v>
      </c>
      <c r="E715" s="4"/>
      <c r="F715" s="4"/>
      <c r="G715" s="4"/>
      <c r="H715" s="4"/>
      <c r="I715" s="4"/>
      <c r="J715" s="4">
        <v>16.120999999999999</v>
      </c>
    </row>
    <row r="716" spans="1:10">
      <c r="A716" s="4"/>
      <c r="B716" s="4"/>
      <c r="C716" s="4" t="s">
        <v>724</v>
      </c>
      <c r="D716" s="4">
        <v>65.34</v>
      </c>
      <c r="E716" s="4"/>
      <c r="F716" s="4"/>
      <c r="G716" s="4"/>
      <c r="H716" s="4"/>
      <c r="I716" s="4"/>
      <c r="J716" s="4">
        <f>9.382+24.873+10.17+17.54+11.329</f>
        <v>73.294000000000011</v>
      </c>
    </row>
    <row r="717" spans="1:10">
      <c r="A717" s="4"/>
      <c r="B717" s="4"/>
      <c r="C717" s="4" t="s">
        <v>902</v>
      </c>
      <c r="D717" s="4">
        <v>24.2</v>
      </c>
      <c r="E717" s="4"/>
      <c r="F717" s="4"/>
      <c r="G717" s="4"/>
      <c r="H717" s="4"/>
      <c r="I717" s="4"/>
      <c r="J717" s="4">
        <v>24.001000000000001</v>
      </c>
    </row>
    <row r="718" spans="1:10">
      <c r="A718" s="4"/>
      <c r="B718" s="4"/>
      <c r="C718" s="4" t="s">
        <v>903</v>
      </c>
      <c r="D718" s="4">
        <v>31.49</v>
      </c>
      <c r="E718" s="4"/>
      <c r="F718" s="4"/>
      <c r="G718" s="4"/>
      <c r="H718" s="4"/>
      <c r="I718" s="4"/>
      <c r="J718" s="4">
        <v>31.469000000000001</v>
      </c>
    </row>
    <row r="719" spans="1:10">
      <c r="A719" s="4"/>
      <c r="B719" s="4"/>
      <c r="C719" s="4" t="s">
        <v>904</v>
      </c>
      <c r="D719" s="4">
        <v>23.66</v>
      </c>
      <c r="E719" s="4"/>
      <c r="F719" s="4"/>
      <c r="G719" s="4"/>
      <c r="H719" s="4"/>
      <c r="I719" s="4"/>
      <c r="J719" s="4">
        <f>15.08+9.231</f>
        <v>24.311</v>
      </c>
    </row>
    <row r="720" spans="1:10">
      <c r="A720" s="4"/>
      <c r="B720" s="4"/>
      <c r="C720" s="4"/>
      <c r="D720" s="4">
        <f>SUM(D715:D719)</f>
        <v>153.75</v>
      </c>
      <c r="E720" s="4"/>
      <c r="F720" s="4"/>
      <c r="G720" s="4"/>
      <c r="H720" s="4"/>
      <c r="I720" s="4"/>
      <c r="J720" s="4">
        <f>SUM(J715:J719)</f>
        <v>169.19600000000003</v>
      </c>
    </row>
    <row r="721" spans="1:10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>
      <c r="A722" s="4" t="s">
        <v>852</v>
      </c>
      <c r="B722" s="4"/>
      <c r="C722" s="4" t="s">
        <v>681</v>
      </c>
      <c r="D722" s="4">
        <v>60.36</v>
      </c>
      <c r="E722" s="4"/>
      <c r="F722" s="4"/>
      <c r="G722" s="4"/>
      <c r="H722" s="4"/>
      <c r="I722" s="4"/>
      <c r="J722" s="4">
        <f>7.734+12.439+18.882+21.054</f>
        <v>60.109000000000009</v>
      </c>
    </row>
    <row r="723" spans="1:10">
      <c r="A723" s="4"/>
      <c r="B723" s="4"/>
      <c r="C723" s="4" t="s">
        <v>819</v>
      </c>
      <c r="D723" s="4">
        <v>11.68</v>
      </c>
      <c r="E723" s="4"/>
      <c r="F723" s="4"/>
      <c r="G723" s="4"/>
      <c r="H723" s="4"/>
      <c r="I723" s="4"/>
      <c r="J723" s="4">
        <v>11.672000000000001</v>
      </c>
    </row>
    <row r="724" spans="1:10">
      <c r="A724" s="4"/>
      <c r="B724" s="4"/>
      <c r="C724" s="4" t="s">
        <v>680</v>
      </c>
      <c r="D724" s="4">
        <v>37.61</v>
      </c>
      <c r="E724" s="4"/>
      <c r="F724" s="4"/>
      <c r="G724" s="4"/>
      <c r="H724" s="4"/>
      <c r="I724" s="4"/>
      <c r="J724" s="4">
        <f>17.391+26.576</f>
        <v>43.966999999999999</v>
      </c>
    </row>
    <row r="725" spans="1:10">
      <c r="A725" s="4"/>
      <c r="B725" s="4"/>
      <c r="C725" s="4"/>
      <c r="D725" s="4">
        <f>SUM(D722:D724)</f>
        <v>109.64999999999999</v>
      </c>
      <c r="E725" s="4"/>
      <c r="F725" s="4"/>
      <c r="G725" s="4"/>
      <c r="H725" s="4"/>
      <c r="I725" s="4"/>
      <c r="J725" s="4">
        <f>SUM(J722:J724)</f>
        <v>115.748</v>
      </c>
    </row>
    <row r="726" spans="1:10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spans="1:10">
      <c r="A727" s="4" t="s">
        <v>907</v>
      </c>
      <c r="B727" s="4"/>
      <c r="C727" s="4" t="s">
        <v>680</v>
      </c>
      <c r="D727" s="4">
        <v>6.72</v>
      </c>
      <c r="E727" s="4"/>
      <c r="F727" s="4"/>
      <c r="G727" s="4"/>
      <c r="H727" s="4"/>
      <c r="I727" s="4"/>
      <c r="J727" s="4"/>
    </row>
    <row r="728" spans="1:10">
      <c r="A728" s="4"/>
      <c r="B728" s="4"/>
      <c r="C728" s="4" t="s">
        <v>908</v>
      </c>
      <c r="D728" s="4">
        <v>28.024999999999999</v>
      </c>
      <c r="E728" s="4"/>
      <c r="F728" s="4"/>
      <c r="G728" s="4"/>
      <c r="H728" s="4"/>
      <c r="I728" s="4"/>
      <c r="J728" s="4">
        <f>8.657+19.123</f>
        <v>27.78</v>
      </c>
    </row>
    <row r="729" spans="1:10">
      <c r="A729" s="4"/>
      <c r="B729" s="4"/>
      <c r="C729" s="4" t="s">
        <v>909</v>
      </c>
      <c r="D729" s="4">
        <v>15.41</v>
      </c>
      <c r="E729" s="4"/>
      <c r="F729" s="4"/>
      <c r="G729" s="4"/>
      <c r="H729" s="4"/>
      <c r="I729" s="4"/>
      <c r="J729" s="4">
        <v>15.406000000000001</v>
      </c>
    </row>
    <row r="730" spans="1:10">
      <c r="A730" s="4"/>
      <c r="B730" s="4"/>
      <c r="C730" s="4" t="s">
        <v>910</v>
      </c>
      <c r="D730" s="4">
        <v>42.844999999999999</v>
      </c>
      <c r="E730" s="4"/>
      <c r="F730" s="4"/>
      <c r="G730" s="4"/>
      <c r="H730" s="4"/>
      <c r="I730" s="4"/>
      <c r="J730" s="4">
        <f>21.668+7.102+14.142</f>
        <v>42.911999999999999</v>
      </c>
    </row>
    <row r="731" spans="1:10">
      <c r="A731" s="4"/>
      <c r="B731" s="4"/>
      <c r="C731" s="4"/>
      <c r="D731" s="4">
        <f>SUM(D727:D730)</f>
        <v>93</v>
      </c>
      <c r="E731" s="4"/>
      <c r="F731" s="4"/>
      <c r="G731" s="4"/>
      <c r="H731" s="4"/>
      <c r="I731" s="4"/>
      <c r="J731" s="4">
        <f>SUM(J727:J730)</f>
        <v>86.097999999999999</v>
      </c>
    </row>
    <row r="732" spans="1:10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>
      <c r="A733" s="4" t="s">
        <v>911</v>
      </c>
      <c r="B733" s="4"/>
      <c r="C733" s="4" t="s">
        <v>753</v>
      </c>
      <c r="D733" s="4">
        <v>18.774999999999999</v>
      </c>
      <c r="E733" s="4"/>
      <c r="F733" s="4"/>
      <c r="G733" s="4"/>
      <c r="H733" s="4"/>
      <c r="I733" s="4"/>
      <c r="J733" s="4">
        <v>17.399000000000001</v>
      </c>
    </row>
    <row r="734" spans="1:10">
      <c r="A734" s="4"/>
      <c r="B734" s="4"/>
      <c r="C734" s="4" t="s">
        <v>754</v>
      </c>
      <c r="D734" s="4">
        <v>121.505</v>
      </c>
      <c r="E734" s="4"/>
      <c r="F734" s="4"/>
      <c r="G734" s="4"/>
      <c r="H734" s="4"/>
      <c r="I734" s="4"/>
      <c r="J734" s="4">
        <f>29.172+22.486+27.708+29.511+12.873</f>
        <v>121.75</v>
      </c>
    </row>
    <row r="735" spans="1:10">
      <c r="A735" s="4"/>
      <c r="B735" s="4"/>
      <c r="C735" s="4" t="s">
        <v>755</v>
      </c>
      <c r="D735" s="4">
        <v>36.328000000000003</v>
      </c>
      <c r="E735" s="4"/>
      <c r="F735" s="4"/>
      <c r="G735" s="4"/>
      <c r="H735" s="4"/>
      <c r="I735" s="4"/>
      <c r="J735" s="4">
        <f>16.011+6.052+6.424+5.594</f>
        <v>34.080999999999996</v>
      </c>
    </row>
    <row r="736" spans="1:10">
      <c r="A736" s="4"/>
      <c r="B736" s="4"/>
      <c r="C736" s="4"/>
      <c r="D736" s="4">
        <f>SUM(D733:D735)</f>
        <v>176.608</v>
      </c>
      <c r="E736" s="4"/>
      <c r="F736" s="4"/>
      <c r="G736" s="4"/>
      <c r="H736" s="4"/>
      <c r="I736" s="4"/>
      <c r="J736" s="4">
        <f>SUM(J733:J735)</f>
        <v>173.23</v>
      </c>
    </row>
    <row r="737" spans="1:13">
      <c r="A737" s="4" t="s">
        <v>914</v>
      </c>
      <c r="B737" s="4"/>
      <c r="C737" s="4"/>
      <c r="D737" s="4"/>
      <c r="E737" s="4"/>
      <c r="F737" s="4"/>
      <c r="G737" s="4"/>
      <c r="H737" s="4"/>
      <c r="I737" s="4"/>
      <c r="J737" s="4"/>
    </row>
    <row r="738" spans="1:13">
      <c r="A738" s="4" t="s">
        <v>916</v>
      </c>
      <c r="B738" s="4"/>
      <c r="C738" s="4"/>
      <c r="D738" s="4"/>
      <c r="E738" s="4"/>
      <c r="F738" s="4"/>
      <c r="G738" s="4"/>
      <c r="H738" s="4"/>
      <c r="I738" s="4"/>
      <c r="J738" s="4"/>
    </row>
    <row r="739" spans="1:13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spans="1:13">
      <c r="A740" s="4" t="s">
        <v>917</v>
      </c>
      <c r="B740" s="4"/>
      <c r="C740" s="4" t="s">
        <v>486</v>
      </c>
      <c r="D740" s="4">
        <f>22.56+9.43</f>
        <v>31.99</v>
      </c>
      <c r="E740" s="4"/>
      <c r="F740" s="4"/>
      <c r="G740" s="4"/>
      <c r="H740" s="4"/>
      <c r="I740" s="4"/>
      <c r="J740" s="4">
        <v>31.11</v>
      </c>
    </row>
    <row r="741" spans="1:13">
      <c r="A741" s="4"/>
      <c r="B741" s="4"/>
      <c r="C741" s="4" t="s">
        <v>918</v>
      </c>
      <c r="D741" s="4">
        <v>124.19499999999999</v>
      </c>
      <c r="E741" s="4"/>
      <c r="F741" s="4"/>
      <c r="G741" s="4"/>
      <c r="H741" s="4"/>
      <c r="I741" s="4"/>
      <c r="J741" s="4">
        <f>9.757+44.696+11.825+16.758+18.165</f>
        <v>101.20099999999999</v>
      </c>
      <c r="M741">
        <v>11.824999999999999</v>
      </c>
    </row>
    <row r="742" spans="1:13">
      <c r="A742" s="4"/>
      <c r="B742" s="4"/>
      <c r="C742" s="4"/>
      <c r="D742" s="4">
        <f>SUM(D740:D741)</f>
        <v>156.185</v>
      </c>
      <c r="E742" s="4"/>
      <c r="F742" s="4"/>
      <c r="G742" s="4"/>
      <c r="H742" s="4"/>
      <c r="I742" s="4"/>
      <c r="J742" s="4">
        <f>SUM(J740:J741)</f>
        <v>132.31099999999998</v>
      </c>
    </row>
    <row r="743" spans="1:1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spans="1:13">
      <c r="A744" s="4" t="s">
        <v>922</v>
      </c>
      <c r="B744" s="4"/>
      <c r="C744" s="4" t="s">
        <v>918</v>
      </c>
      <c r="D744" s="4">
        <v>29.41</v>
      </c>
      <c r="E744" s="4"/>
      <c r="F744" s="4"/>
      <c r="G744" s="4"/>
      <c r="H744" s="4"/>
      <c r="I744" s="4"/>
      <c r="J744" s="4">
        <f>17.072+22.157+15.324</f>
        <v>54.552999999999997</v>
      </c>
      <c r="M744">
        <v>15.324</v>
      </c>
    </row>
    <row r="745" spans="1:13">
      <c r="A745" s="4"/>
      <c r="B745" s="4"/>
      <c r="C745" s="4" t="s">
        <v>504</v>
      </c>
      <c r="D745" s="4">
        <f>132.5-29.41</f>
        <v>103.09</v>
      </c>
      <c r="E745" s="4"/>
      <c r="F745" s="4"/>
      <c r="G745" s="4"/>
      <c r="H745" s="4"/>
      <c r="I745" s="4"/>
      <c r="J745" s="4">
        <f>20.983+6.49+15.381+14.576+11.631+4.655+11.657+4.999+12.991</f>
        <v>103.363</v>
      </c>
      <c r="M745">
        <f>4.655+11.657+4.999+12.991</f>
        <v>34.302</v>
      </c>
    </row>
    <row r="746" spans="1:13">
      <c r="A746" s="4"/>
      <c r="B746" s="4"/>
      <c r="C746" s="4" t="s">
        <v>923</v>
      </c>
      <c r="D746" s="4">
        <f>77.785+8.266</f>
        <v>86.051000000000002</v>
      </c>
      <c r="E746" s="4"/>
      <c r="F746" s="4"/>
      <c r="G746" s="4"/>
      <c r="H746" s="4"/>
      <c r="I746" s="4"/>
      <c r="J746" s="4">
        <f>17.106+45.671+14.964+4.445</f>
        <v>82.186000000000007</v>
      </c>
      <c r="M746">
        <v>14.964</v>
      </c>
    </row>
    <row r="747" spans="1:13">
      <c r="A747" s="4"/>
      <c r="B747" s="4"/>
      <c r="C747" s="4"/>
      <c r="D747" s="4">
        <f>SUM(D744:D746)</f>
        <v>218.55099999999999</v>
      </c>
      <c r="E747" s="4"/>
      <c r="F747" s="4"/>
      <c r="G747" s="4"/>
      <c r="H747" s="4"/>
      <c r="I747" s="4"/>
      <c r="J747" s="4">
        <f>SUM(J744:J746)</f>
        <v>240.102</v>
      </c>
    </row>
    <row r="748" spans="1:13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spans="1:13">
      <c r="A749" s="4" t="s">
        <v>929</v>
      </c>
      <c r="B749" s="4"/>
      <c r="C749" s="4" t="s">
        <v>923</v>
      </c>
      <c r="D749" s="4">
        <v>29.93</v>
      </c>
      <c r="E749" s="4"/>
      <c r="F749" s="4"/>
      <c r="G749" s="4"/>
      <c r="H749" s="4"/>
      <c r="I749" s="4"/>
      <c r="J749" s="4">
        <f>20.925+11.737</f>
        <v>32.661999999999999</v>
      </c>
      <c r="L749">
        <f>20.925+11.737</f>
        <v>32.661999999999999</v>
      </c>
    </row>
    <row r="750" spans="1:13">
      <c r="A750" s="4"/>
      <c r="B750" s="4"/>
      <c r="C750" s="4" t="s">
        <v>930</v>
      </c>
      <c r="D750" s="4">
        <v>31.824999999999999</v>
      </c>
      <c r="E750" s="4"/>
      <c r="F750" s="4"/>
      <c r="G750" s="4"/>
      <c r="H750" s="4"/>
      <c r="I750" s="4"/>
      <c r="J750" s="4">
        <f>18.277+14.828</f>
        <v>33.105000000000004</v>
      </c>
      <c r="L750">
        <v>18.277000000000001</v>
      </c>
    </row>
    <row r="751" spans="1:13">
      <c r="A751" s="4"/>
      <c r="B751" s="4"/>
      <c r="C751" s="4" t="s">
        <v>490</v>
      </c>
      <c r="D751" s="4">
        <f>41.065+16.795</f>
        <v>57.86</v>
      </c>
      <c r="E751" s="4"/>
      <c r="F751" s="4"/>
      <c r="G751" s="4"/>
      <c r="H751" s="4"/>
      <c r="I751" s="4"/>
      <c r="J751" s="4">
        <f>28.275+4.837+22.512</f>
        <v>55.623999999999995</v>
      </c>
      <c r="L751">
        <f>28.275+4.837</f>
        <v>33.111999999999995</v>
      </c>
    </row>
    <row r="752" spans="1:13">
      <c r="A752" s="4"/>
      <c r="B752" s="4"/>
      <c r="C752" s="4" t="s">
        <v>645</v>
      </c>
      <c r="D752" s="4">
        <v>21.664999999999999</v>
      </c>
      <c r="E752" s="4"/>
      <c r="F752" s="4"/>
      <c r="G752" s="4"/>
      <c r="H752" s="4"/>
      <c r="I752" s="4"/>
      <c r="J752" s="4">
        <f>8.309+13.748</f>
        <v>22.056999999999999</v>
      </c>
      <c r="L752">
        <v>8.3089999999999993</v>
      </c>
    </row>
    <row r="753" spans="1:13">
      <c r="A753" s="4"/>
      <c r="B753" s="4"/>
      <c r="C753" s="4" t="s">
        <v>931</v>
      </c>
      <c r="D753" s="4">
        <v>30.38</v>
      </c>
      <c r="E753" s="4"/>
      <c r="F753" s="4"/>
      <c r="G753" s="4"/>
      <c r="H753" s="4"/>
      <c r="I753" s="4"/>
      <c r="J753" s="4">
        <f>13.494+10.282+5.804</f>
        <v>29.58</v>
      </c>
      <c r="L753">
        <v>13.494</v>
      </c>
    </row>
    <row r="754" spans="1:13">
      <c r="A754" s="4"/>
      <c r="B754" s="4"/>
      <c r="C754" s="4" t="s">
        <v>932</v>
      </c>
      <c r="D754" s="4">
        <f>18.37-8</f>
        <v>10.370000000000001</v>
      </c>
      <c r="E754" s="4"/>
      <c r="F754" s="4"/>
      <c r="G754" s="4"/>
      <c r="H754" s="4"/>
      <c r="I754" s="4"/>
      <c r="J754" s="4">
        <v>10.337999999999999</v>
      </c>
    </row>
    <row r="755" spans="1:13">
      <c r="A755" s="4"/>
      <c r="B755" s="4"/>
      <c r="C755" s="4" t="s">
        <v>503</v>
      </c>
      <c r="D755" s="4">
        <v>8</v>
      </c>
      <c r="E755" s="4"/>
      <c r="F755" s="4"/>
      <c r="G755" s="4"/>
      <c r="H755" s="4"/>
      <c r="I755" s="4"/>
      <c r="J755" s="4">
        <v>7.66</v>
      </c>
      <c r="L755">
        <v>7.66</v>
      </c>
    </row>
    <row r="756" spans="1:13">
      <c r="A756" s="4"/>
      <c r="B756" s="4"/>
      <c r="C756" s="4"/>
      <c r="D756" s="4">
        <f>SUM(D749:D755)</f>
        <v>190.03</v>
      </c>
      <c r="E756" s="4"/>
      <c r="F756" s="4"/>
      <c r="G756" s="4"/>
      <c r="H756" s="4"/>
      <c r="I756" s="4"/>
      <c r="J756" s="4">
        <f>SUM(J749:J755)</f>
        <v>191.02599999999995</v>
      </c>
      <c r="L756">
        <f>SUM(L749:L755)</f>
        <v>113.51399999999998</v>
      </c>
    </row>
    <row r="757" spans="1:13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spans="1:13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spans="1:13">
      <c r="A759" s="4"/>
      <c r="B759" s="4"/>
      <c r="C759" s="4" t="s">
        <v>822</v>
      </c>
      <c r="D759" s="4">
        <f>+D632+D638+D644+D653+D658+D664+D668+D674+D680+D689+D696+D709+D713+D720+D725+D731+D736+D742+D747+D756</f>
        <v>2819.0690000000004</v>
      </c>
      <c r="E759" s="4"/>
      <c r="F759" s="4"/>
      <c r="G759" s="4"/>
      <c r="H759" s="4"/>
      <c r="I759" s="4"/>
      <c r="J759" s="4">
        <f>+J632+J638+J644+J653+J658+J664+J668+J674+J680+J689+J696+J709+J713+J720+J725+J731+J736+J742+J747</f>
        <v>2530.9950000000003</v>
      </c>
    </row>
    <row r="760" spans="1:13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3">
      <c r="A761" s="4" t="s">
        <v>934</v>
      </c>
      <c r="B761" s="4"/>
      <c r="C761" s="4" t="s">
        <v>935</v>
      </c>
      <c r="D761" s="4">
        <f>45.25-6.9</f>
        <v>38.35</v>
      </c>
      <c r="E761" s="4"/>
      <c r="F761" s="4"/>
      <c r="G761" s="4"/>
      <c r="H761" s="4"/>
      <c r="I761" s="4"/>
      <c r="J761" s="4">
        <f>12.119+18.615+6.388</f>
        <v>37.122</v>
      </c>
      <c r="M761">
        <f>12.119+18.615</f>
        <v>30.733999999999998</v>
      </c>
    </row>
    <row r="762" spans="1:13">
      <c r="A762" s="4"/>
      <c r="B762" s="4"/>
      <c r="C762" s="4" t="s">
        <v>721</v>
      </c>
      <c r="D762" s="4">
        <f>79.97-45.25+6.9</f>
        <v>41.62</v>
      </c>
      <c r="E762" s="4"/>
      <c r="F762" s="4"/>
      <c r="G762" s="4"/>
      <c r="H762" s="4"/>
      <c r="I762" s="4"/>
      <c r="J762" s="4">
        <f>18.656+20.875</f>
        <v>39.530999999999999</v>
      </c>
      <c r="M762">
        <v>18.655999999999999</v>
      </c>
    </row>
    <row r="763" spans="1:13">
      <c r="A763" s="4"/>
      <c r="B763" s="4"/>
      <c r="C763" s="4" t="s">
        <v>497</v>
      </c>
      <c r="D763" s="4">
        <v>11.5</v>
      </c>
      <c r="E763" s="4"/>
      <c r="F763" s="4"/>
      <c r="G763" s="4"/>
      <c r="H763" s="4"/>
      <c r="I763" s="4"/>
      <c r="J763" s="4">
        <v>10.989000000000001</v>
      </c>
      <c r="M763">
        <v>10.989000000000001</v>
      </c>
    </row>
    <row r="764" spans="1:13">
      <c r="A764" s="4"/>
      <c r="B764" s="4"/>
      <c r="C764" s="4" t="s">
        <v>722</v>
      </c>
      <c r="D764" s="4">
        <f>16.31-11.5</f>
        <v>4.8099999999999987</v>
      </c>
      <c r="E764" s="4"/>
      <c r="F764" s="4"/>
      <c r="G764" s="4"/>
      <c r="H764" s="4"/>
      <c r="I764" s="4"/>
      <c r="J764" s="4">
        <v>5.3170000000000002</v>
      </c>
      <c r="M764">
        <v>5.3170000000000002</v>
      </c>
    </row>
    <row r="765" spans="1:13">
      <c r="A765" s="4"/>
      <c r="B765" s="4"/>
      <c r="C765" s="4" t="s">
        <v>936</v>
      </c>
      <c r="D765" s="4">
        <v>24</v>
      </c>
      <c r="E765" s="4"/>
      <c r="F765" s="4"/>
      <c r="G765" s="4"/>
      <c r="H765" s="4"/>
      <c r="I765" s="4"/>
      <c r="J765" s="4">
        <f>6.793+17.35</f>
        <v>24.143000000000001</v>
      </c>
      <c r="M765">
        <f>6.793+17.35</f>
        <v>24.143000000000001</v>
      </c>
    </row>
    <row r="766" spans="1:13">
      <c r="A766" s="4"/>
      <c r="B766" s="4"/>
      <c r="C766" s="4" t="s">
        <v>724</v>
      </c>
      <c r="D766" s="4">
        <f>73.53-24</f>
        <v>49.53</v>
      </c>
      <c r="E766" s="4"/>
      <c r="F766" s="4"/>
      <c r="G766" s="4"/>
      <c r="H766" s="4"/>
      <c r="I766" s="4"/>
      <c r="J766" s="4">
        <f>2.822+20.05+25.971</f>
        <v>48.843000000000004</v>
      </c>
      <c r="M766">
        <f>2.822+20.05+25.971</f>
        <v>48.843000000000004</v>
      </c>
    </row>
    <row r="767" spans="1:13">
      <c r="A767" s="4"/>
      <c r="B767" s="4"/>
      <c r="C767" s="4" t="s">
        <v>902</v>
      </c>
      <c r="D767" s="4">
        <v>23.85</v>
      </c>
      <c r="E767" s="4"/>
      <c r="F767" s="4"/>
      <c r="G767" s="4"/>
      <c r="H767" s="4"/>
      <c r="I767" s="4"/>
      <c r="J767" s="4">
        <f>10.989+13.637</f>
        <v>24.626000000000001</v>
      </c>
      <c r="M767">
        <f>10.989+13.637</f>
        <v>24.626000000000001</v>
      </c>
    </row>
    <row r="768" spans="1:13">
      <c r="A768" s="4"/>
      <c r="B768" s="4"/>
      <c r="C768" s="4"/>
      <c r="D768" s="4">
        <f>SUM(D761:D767)</f>
        <v>193.66</v>
      </c>
      <c r="E768" s="4"/>
      <c r="F768" s="4"/>
      <c r="G768" s="4"/>
      <c r="H768" s="4"/>
      <c r="I768" s="4"/>
      <c r="J768" s="4">
        <f>SUM(J761:J767)</f>
        <v>190.571</v>
      </c>
      <c r="M768">
        <f>SUM(M761:M767)</f>
        <v>163.30800000000002</v>
      </c>
    </row>
    <row r="769" spans="1:10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spans="1:10">
      <c r="A770" s="4" t="s">
        <v>941</v>
      </c>
      <c r="B770" s="4"/>
      <c r="C770" s="4"/>
      <c r="D770" s="4"/>
      <c r="E770" s="4"/>
      <c r="F770" s="4"/>
      <c r="G770" s="4"/>
      <c r="H770" s="4"/>
      <c r="I770" s="4"/>
      <c r="J770" s="4"/>
    </row>
    <row r="771" spans="1:10">
      <c r="A771" s="4" t="s">
        <v>942</v>
      </c>
      <c r="B771" s="4"/>
      <c r="C771" s="4" t="s">
        <v>940</v>
      </c>
      <c r="D771" s="4">
        <v>7.8550000000000004</v>
      </c>
      <c r="E771" s="4"/>
      <c r="F771" s="4"/>
      <c r="G771" s="4"/>
      <c r="H771" s="4"/>
      <c r="I771" s="4"/>
      <c r="J771" s="4">
        <v>7.851</v>
      </c>
    </row>
    <row r="772" spans="1:10">
      <c r="A772" s="4"/>
      <c r="B772" s="4"/>
      <c r="C772" s="4" t="s">
        <v>943</v>
      </c>
      <c r="D772" s="4">
        <v>12.755000000000001</v>
      </c>
      <c r="E772" s="4"/>
      <c r="F772" s="4"/>
      <c r="G772" s="4"/>
      <c r="H772" s="4"/>
      <c r="I772" s="4"/>
      <c r="J772" s="4">
        <f>9.133+4.069</f>
        <v>13.201999999999998</v>
      </c>
    </row>
    <row r="773" spans="1:10">
      <c r="A773" s="4"/>
      <c r="B773" s="4"/>
      <c r="C773" s="4" t="s">
        <v>944</v>
      </c>
      <c r="D773" s="4">
        <v>32.225000000000001</v>
      </c>
      <c r="E773" s="4"/>
      <c r="F773" s="4"/>
      <c r="G773" s="4"/>
      <c r="H773" s="4"/>
      <c r="I773" s="4"/>
      <c r="J773" s="4">
        <f>19.512+12.548</f>
        <v>32.06</v>
      </c>
    </row>
    <row r="774" spans="1:10">
      <c r="A774" s="4"/>
      <c r="B774" s="4"/>
      <c r="C774" s="4" t="s">
        <v>945</v>
      </c>
      <c r="D774" s="4">
        <v>61.2</v>
      </c>
      <c r="E774" s="4"/>
      <c r="F774" s="4"/>
      <c r="G774" s="4"/>
      <c r="H774" s="4"/>
      <c r="I774" s="4"/>
      <c r="J774" s="4">
        <f>22.165+8.23+20.578+10.768</f>
        <v>61.741</v>
      </c>
    </row>
    <row r="775" spans="1:10">
      <c r="A775" s="4"/>
      <c r="B775" s="4"/>
      <c r="C775" s="4" t="s">
        <v>946</v>
      </c>
      <c r="D775" s="4">
        <v>19.774999999999999</v>
      </c>
      <c r="E775" s="4"/>
      <c r="F775" s="4"/>
      <c r="G775" s="4"/>
      <c r="H775" s="4"/>
      <c r="I775" s="4"/>
      <c r="J775" s="4">
        <f>15.28+4.171</f>
        <v>19.451000000000001</v>
      </c>
    </row>
    <row r="776" spans="1:10">
      <c r="A776" s="4"/>
      <c r="B776" s="4"/>
      <c r="C776" s="4" t="s">
        <v>947</v>
      </c>
      <c r="D776" s="4">
        <v>6.31</v>
      </c>
      <c r="E776" s="4"/>
      <c r="F776" s="4"/>
      <c r="G776" s="4"/>
      <c r="H776" s="4"/>
      <c r="I776" s="4"/>
      <c r="J776" s="4">
        <v>4.101</v>
      </c>
    </row>
    <row r="777" spans="1:10">
      <c r="A777" s="4"/>
      <c r="B777" s="4"/>
      <c r="C777" s="4" t="s">
        <v>948</v>
      </c>
      <c r="D777" s="4">
        <v>5.96</v>
      </c>
      <c r="E777" s="4"/>
      <c r="F777" s="4"/>
      <c r="G777" s="4"/>
      <c r="H777" s="4"/>
      <c r="I777" s="4"/>
      <c r="J777" s="4">
        <v>5.96</v>
      </c>
    </row>
    <row r="778" spans="1:10">
      <c r="A778" s="4"/>
      <c r="B778" s="4"/>
      <c r="C778" s="4" t="s">
        <v>949</v>
      </c>
      <c r="D778" s="4">
        <v>5.3849999999999998</v>
      </c>
      <c r="E778" s="4"/>
      <c r="F778" s="4"/>
      <c r="G778" s="4"/>
      <c r="H778" s="4"/>
      <c r="I778" s="4"/>
      <c r="J778" s="4">
        <v>5.3540000000000001</v>
      </c>
    </row>
    <row r="779" spans="1:10">
      <c r="A779" s="4"/>
      <c r="B779" s="4"/>
      <c r="C779" s="4" t="s">
        <v>950</v>
      </c>
      <c r="D779" s="4">
        <v>5.4950000000000001</v>
      </c>
      <c r="E779" s="4"/>
      <c r="F779" s="4"/>
      <c r="G779" s="4"/>
      <c r="H779" s="4"/>
      <c r="I779" s="4"/>
      <c r="J779" s="4">
        <v>5.4740000000000002</v>
      </c>
    </row>
    <row r="780" spans="1:10">
      <c r="A780" s="4"/>
      <c r="B780" s="4"/>
      <c r="C780" s="4"/>
      <c r="D780" s="4">
        <f>SUM(D771:D779)</f>
        <v>156.96</v>
      </c>
      <c r="E780" s="4"/>
      <c r="F780" s="4"/>
      <c r="G780" s="4"/>
      <c r="H780" s="4"/>
      <c r="I780" s="4"/>
      <c r="J780" s="4">
        <f>SUM(J771:J779)</f>
        <v>155.19400000000002</v>
      </c>
    </row>
    <row r="781" spans="1:10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spans="1:10">
      <c r="A782" s="4" t="s">
        <v>957</v>
      </c>
      <c r="B782" s="4"/>
      <c r="C782" s="4" t="s">
        <v>681</v>
      </c>
      <c r="D782" s="4">
        <v>152.18</v>
      </c>
      <c r="E782" s="4"/>
      <c r="F782" s="4"/>
      <c r="G782" s="4"/>
      <c r="H782" s="4"/>
      <c r="I782" s="4"/>
      <c r="J782" s="4">
        <f>45.024+67.578+13.168+0.846+21.47</f>
        <v>148.08600000000001</v>
      </c>
    </row>
    <row r="783" spans="1:10">
      <c r="A783" s="4"/>
      <c r="B783" s="4"/>
      <c r="C783" s="4"/>
      <c r="D783" s="4">
        <f>SUM(D782)</f>
        <v>152.18</v>
      </c>
      <c r="E783" s="4"/>
      <c r="F783" s="4"/>
      <c r="G783" s="4"/>
      <c r="H783" s="4"/>
      <c r="I783" s="4"/>
      <c r="J783" s="4">
        <f>SUM(J782)</f>
        <v>148.08600000000001</v>
      </c>
    </row>
    <row r="784" spans="1:10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spans="1:10">
      <c r="A785" s="4" t="s">
        <v>962</v>
      </c>
      <c r="B785" s="4"/>
      <c r="C785" s="4" t="s">
        <v>681</v>
      </c>
      <c r="D785" s="4">
        <v>11.04</v>
      </c>
      <c r="E785" s="4"/>
      <c r="F785" s="4"/>
      <c r="G785" s="4"/>
      <c r="H785" s="4"/>
      <c r="I785" s="4"/>
      <c r="J785" s="4">
        <v>14.618</v>
      </c>
    </row>
    <row r="786" spans="1:10">
      <c r="A786" s="4"/>
      <c r="B786" s="4"/>
      <c r="C786" s="4" t="s">
        <v>680</v>
      </c>
      <c r="D786" s="4">
        <v>21.61</v>
      </c>
      <c r="E786" s="4"/>
      <c r="F786" s="4"/>
      <c r="G786" s="4"/>
      <c r="H786" s="4"/>
      <c r="I786" s="4"/>
      <c r="J786" s="4">
        <f>18.52+2.928</f>
        <v>21.448</v>
      </c>
    </row>
    <row r="787" spans="1:10">
      <c r="A787" s="4"/>
      <c r="B787" s="4"/>
      <c r="C787" s="4" t="s">
        <v>963</v>
      </c>
      <c r="D787" s="4">
        <f>58.79-D786</f>
        <v>37.18</v>
      </c>
      <c r="E787" s="4"/>
      <c r="F787" s="4"/>
      <c r="G787" s="4"/>
      <c r="H787" s="4"/>
      <c r="I787" s="4"/>
      <c r="J787" s="4">
        <f>22.03+11.02+3.769</f>
        <v>36.818999999999996</v>
      </c>
    </row>
    <row r="788" spans="1:10">
      <c r="A788" s="4"/>
      <c r="B788" s="4"/>
      <c r="C788" s="4" t="s">
        <v>964</v>
      </c>
      <c r="D788" s="4">
        <f>37.04-3</f>
        <v>34.04</v>
      </c>
      <c r="E788" s="4"/>
      <c r="F788" s="4"/>
      <c r="G788" s="4"/>
      <c r="H788" s="4"/>
      <c r="I788" s="4"/>
      <c r="J788" s="4">
        <f>21.97+14.829</f>
        <v>36.798999999999999</v>
      </c>
    </row>
    <row r="789" spans="1:10">
      <c r="A789" s="4"/>
      <c r="B789" s="4"/>
      <c r="C789" s="4" t="s">
        <v>908</v>
      </c>
      <c r="D789" s="4">
        <v>3</v>
      </c>
      <c r="E789" s="4"/>
      <c r="F789" s="4"/>
      <c r="G789" s="4"/>
      <c r="H789" s="4"/>
      <c r="I789" s="4"/>
      <c r="J789" s="4">
        <v>3.2080000000000002</v>
      </c>
    </row>
    <row r="790" spans="1:10">
      <c r="A790" s="4"/>
      <c r="B790" s="4"/>
      <c r="C790" s="4" t="s">
        <v>910</v>
      </c>
      <c r="D790" s="4">
        <v>5.65</v>
      </c>
      <c r="E790" s="4"/>
      <c r="F790" s="4"/>
      <c r="G790" s="4"/>
      <c r="H790" s="4"/>
      <c r="I790" s="4"/>
      <c r="J790" s="4">
        <v>5.6470000000000002</v>
      </c>
    </row>
    <row r="791" spans="1:10">
      <c r="A791" s="4"/>
      <c r="B791" s="4"/>
      <c r="C791" s="4" t="s">
        <v>820</v>
      </c>
      <c r="D791" s="4">
        <v>17.445</v>
      </c>
      <c r="E791" s="4"/>
      <c r="F791" s="4"/>
      <c r="G791" s="4"/>
      <c r="H791" s="4"/>
      <c r="I791" s="4"/>
      <c r="J791" s="4">
        <v>17.399000000000001</v>
      </c>
    </row>
    <row r="792" spans="1:10">
      <c r="A792" s="4"/>
      <c r="B792" s="4"/>
      <c r="C792" s="4" t="s">
        <v>965</v>
      </c>
      <c r="D792" s="4">
        <v>19.97</v>
      </c>
      <c r="E792" s="4"/>
      <c r="F792" s="4"/>
      <c r="G792" s="4"/>
      <c r="H792" s="4"/>
      <c r="I792" s="4"/>
      <c r="J792" s="4"/>
    </row>
    <row r="793" spans="1:10">
      <c r="A793" s="4"/>
      <c r="B793" s="4"/>
      <c r="C793" s="4" t="s">
        <v>966</v>
      </c>
      <c r="D793" s="4">
        <v>38.354999999999997</v>
      </c>
      <c r="E793" s="4"/>
      <c r="F793" s="4"/>
      <c r="G793" s="4"/>
      <c r="H793" s="4"/>
      <c r="I793" s="4"/>
      <c r="J793" s="4">
        <f>25.985+13.788</f>
        <v>39.772999999999996</v>
      </c>
    </row>
    <row r="794" spans="1:10">
      <c r="A794" s="4"/>
      <c r="B794" s="4"/>
      <c r="C794" s="4"/>
      <c r="D794" s="4">
        <f>SUM(D785:D793)</f>
        <v>188.29</v>
      </c>
      <c r="E794" s="4"/>
      <c r="F794" s="4"/>
      <c r="G794" s="4"/>
      <c r="H794" s="4"/>
      <c r="I794" s="4"/>
      <c r="J794" s="4">
        <f>SUM(J785:J793)</f>
        <v>175.71099999999998</v>
      </c>
    </row>
    <row r="795" spans="1:10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spans="1:10">
      <c r="A796" s="4" t="s">
        <v>971</v>
      </c>
      <c r="B796" s="4"/>
      <c r="C796" s="4" t="s">
        <v>972</v>
      </c>
      <c r="D796" s="4">
        <v>29.65</v>
      </c>
      <c r="E796" s="4"/>
      <c r="F796" s="4"/>
      <c r="G796" s="4"/>
      <c r="H796" s="4"/>
      <c r="I796" s="4"/>
      <c r="J796" s="4">
        <f>16.352+13.256</f>
        <v>29.608000000000001</v>
      </c>
    </row>
    <row r="797" spans="1:10">
      <c r="A797" s="4"/>
      <c r="B797" s="4"/>
      <c r="C797" s="4" t="s">
        <v>973</v>
      </c>
      <c r="D797" s="4">
        <v>72.905000000000001</v>
      </c>
      <c r="E797" s="4"/>
      <c r="F797" s="4"/>
      <c r="G797" s="4"/>
      <c r="H797" s="4"/>
      <c r="I797" s="4"/>
      <c r="J797" s="4">
        <f>15.96+24.84+31.81</f>
        <v>72.61</v>
      </c>
    </row>
    <row r="798" spans="1:10">
      <c r="A798" s="4"/>
      <c r="B798" s="4"/>
      <c r="C798" s="4" t="s">
        <v>974</v>
      </c>
      <c r="D798" s="4">
        <v>62.35</v>
      </c>
      <c r="E798" s="4"/>
      <c r="F798" s="4"/>
      <c r="G798" s="4"/>
      <c r="H798" s="4"/>
      <c r="I798" s="4"/>
      <c r="J798" s="4">
        <f>25.372+11.094+24.757</f>
        <v>61.222999999999999</v>
      </c>
    </row>
    <row r="799" spans="1:10">
      <c r="A799" s="4"/>
      <c r="B799" s="4"/>
      <c r="C799" s="4"/>
      <c r="D799" s="4">
        <f>SUM(D796:D798)</f>
        <v>164.905</v>
      </c>
      <c r="E799" s="4"/>
      <c r="F799" s="4"/>
      <c r="G799" s="4"/>
      <c r="H799" s="4"/>
      <c r="I799" s="4"/>
      <c r="J799" s="4">
        <f>SUM(J796:J798)</f>
        <v>163.441</v>
      </c>
    </row>
    <row r="800" spans="1:1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spans="1:1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spans="1:11">
      <c r="A802" s="4" t="s">
        <v>980</v>
      </c>
      <c r="B802" s="4"/>
      <c r="C802" s="4" t="s">
        <v>709</v>
      </c>
      <c r="D802" s="4">
        <v>71.680000000000007</v>
      </c>
      <c r="E802" s="4"/>
      <c r="F802" s="4"/>
      <c r="G802" s="4"/>
      <c r="H802" s="4"/>
      <c r="I802" s="4"/>
      <c r="J802" s="4">
        <f>22.559+18.351+30.35</f>
        <v>71.259999999999991</v>
      </c>
    </row>
    <row r="803" spans="1:11">
      <c r="A803" s="4"/>
      <c r="B803" s="4"/>
      <c r="C803" s="4" t="s">
        <v>981</v>
      </c>
      <c r="D803" s="4">
        <v>10.085000000000001</v>
      </c>
      <c r="E803" s="4"/>
      <c r="F803" s="4"/>
      <c r="G803" s="4"/>
      <c r="H803" s="4"/>
      <c r="I803" s="4"/>
      <c r="J803" s="4">
        <f>7.764+2.411</f>
        <v>10.175000000000001</v>
      </c>
    </row>
    <row r="804" spans="1:11">
      <c r="A804" s="4"/>
      <c r="B804" s="4"/>
      <c r="C804" s="4" t="s">
        <v>982</v>
      </c>
      <c r="D804" s="4">
        <v>76.135000000000005</v>
      </c>
      <c r="E804" s="4"/>
      <c r="F804" s="4"/>
      <c r="G804" s="4"/>
      <c r="H804" s="4"/>
      <c r="I804" s="4"/>
      <c r="J804" s="4">
        <f>19.716+23.558+22.289+26.711</f>
        <v>92.274000000000001</v>
      </c>
    </row>
    <row r="805" spans="1:11">
      <c r="A805" s="4"/>
      <c r="B805" s="4"/>
      <c r="C805" s="4"/>
      <c r="D805" s="4">
        <f>SUM(D802:D804)</f>
        <v>157.90000000000003</v>
      </c>
      <c r="E805" s="4"/>
      <c r="F805" s="4"/>
      <c r="G805" s="4"/>
      <c r="H805" s="4"/>
      <c r="I805" s="4"/>
      <c r="J805" s="4">
        <f>SUM(J802:J804)</f>
        <v>173.709</v>
      </c>
    </row>
    <row r="806" spans="1:1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spans="1:11">
      <c r="A807" s="4" t="s">
        <v>984</v>
      </c>
      <c r="B807" s="4"/>
      <c r="C807" s="4" t="s">
        <v>982</v>
      </c>
      <c r="D807" s="4">
        <v>19.844999999999999</v>
      </c>
      <c r="E807" s="4"/>
      <c r="F807" s="4"/>
      <c r="G807" s="4"/>
      <c r="H807" s="4"/>
      <c r="I807" s="4"/>
      <c r="J807" s="4"/>
    </row>
    <row r="808" spans="1:11">
      <c r="A808" s="4"/>
      <c r="B808" s="4"/>
      <c r="C808" s="4" t="s">
        <v>592</v>
      </c>
      <c r="D808" s="4">
        <f>5.69-1.39</f>
        <v>4.3000000000000007</v>
      </c>
      <c r="E808" s="4"/>
      <c r="F808" s="4"/>
      <c r="G808" s="4"/>
      <c r="H808" s="4"/>
      <c r="I808" s="4"/>
      <c r="J808" s="4">
        <f>1.903+1.724</f>
        <v>3.6269999999999998</v>
      </c>
    </row>
    <row r="809" spans="1:11">
      <c r="A809" s="4"/>
      <c r="B809" s="4"/>
      <c r="C809" s="4" t="s">
        <v>779</v>
      </c>
      <c r="D809" s="4">
        <f>41.415+1.39</f>
        <v>42.805</v>
      </c>
      <c r="E809" s="4"/>
      <c r="F809" s="4"/>
      <c r="G809" s="4"/>
      <c r="H809" s="4"/>
      <c r="I809" s="4"/>
      <c r="J809" s="4">
        <f>8.992+31.578</f>
        <v>40.57</v>
      </c>
      <c r="K809">
        <v>17.073</v>
      </c>
    </row>
    <row r="810" spans="1:11">
      <c r="A810" s="4"/>
      <c r="B810" s="4"/>
      <c r="C810" s="4" t="s">
        <v>832</v>
      </c>
      <c r="D810" s="4">
        <v>14.744999999999999</v>
      </c>
      <c r="E810" s="4"/>
      <c r="F810" s="4"/>
      <c r="G810" s="4"/>
      <c r="H810" s="4"/>
      <c r="I810" s="4"/>
      <c r="J810" s="4">
        <f>4.396+2.43</f>
        <v>6.8260000000000005</v>
      </c>
    </row>
    <row r="811" spans="1:11">
      <c r="A811" s="4"/>
      <c r="B811" s="4"/>
      <c r="C811" s="4" t="s">
        <v>1034</v>
      </c>
      <c r="D811" s="4">
        <v>3.7349999999999999</v>
      </c>
      <c r="E811" s="4"/>
      <c r="F811" s="4"/>
      <c r="G811" s="4"/>
      <c r="H811" s="4"/>
      <c r="I811" s="4"/>
      <c r="J811" s="4">
        <v>3.984</v>
      </c>
    </row>
    <row r="812" spans="1:11">
      <c r="A812" s="4"/>
      <c r="B812" s="4"/>
      <c r="C812" s="4" t="s">
        <v>1035</v>
      </c>
      <c r="D812" s="4">
        <v>3.9609999999999999</v>
      </c>
      <c r="E812" s="4"/>
      <c r="F812" s="4"/>
      <c r="G812" s="4"/>
      <c r="H812" s="4"/>
      <c r="I812" s="4"/>
      <c r="J812" s="4">
        <v>3.875</v>
      </c>
    </row>
    <row r="813" spans="1:11">
      <c r="A813" s="4"/>
      <c r="B813" s="4"/>
      <c r="C813" s="4" t="s">
        <v>985</v>
      </c>
      <c r="D813" s="4">
        <v>30.55</v>
      </c>
      <c r="E813" s="4"/>
      <c r="F813" s="4"/>
      <c r="G813" s="4"/>
      <c r="H813" s="4"/>
      <c r="I813" s="4"/>
      <c r="J813" s="4">
        <f>9.986+2.019+9.829+4.158</f>
        <v>25.992000000000004</v>
      </c>
    </row>
    <row r="814" spans="1:11">
      <c r="A814" s="4"/>
      <c r="B814" s="4"/>
      <c r="C814" s="4" t="s">
        <v>986</v>
      </c>
      <c r="D814" s="4">
        <v>18.309999999999999</v>
      </c>
      <c r="E814" s="4"/>
      <c r="F814" s="4"/>
      <c r="G814" s="4"/>
      <c r="H814" s="4"/>
      <c r="I814" s="4"/>
      <c r="J814" s="4">
        <f>8.31+9.371</f>
        <v>17.681000000000001</v>
      </c>
    </row>
    <row r="815" spans="1:11">
      <c r="A815" s="4"/>
      <c r="B815" s="4"/>
      <c r="C815" s="4"/>
      <c r="D815" s="4">
        <f>SUM(D807:D814)</f>
        <v>138.251</v>
      </c>
      <c r="E815" s="4"/>
      <c r="F815" s="4"/>
      <c r="G815" s="4"/>
      <c r="H815" s="4"/>
      <c r="I815" s="4"/>
      <c r="J815" s="4">
        <f>SUM(J807:J814)</f>
        <v>102.55500000000001</v>
      </c>
    </row>
    <row r="816" spans="1:11">
      <c r="A816" s="4" t="s">
        <v>960</v>
      </c>
      <c r="B816" s="4"/>
      <c r="C816" s="4"/>
      <c r="D816" s="4"/>
      <c r="E816" s="4"/>
      <c r="F816" s="4"/>
      <c r="G816" s="4"/>
      <c r="H816" s="4"/>
      <c r="I816" s="4"/>
      <c r="J816" s="4"/>
    </row>
    <row r="817" spans="1:12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spans="1:12">
      <c r="A818" s="4" t="s">
        <v>987</v>
      </c>
      <c r="B818" s="4"/>
      <c r="C818" s="4" t="s">
        <v>742</v>
      </c>
      <c r="D818" s="4">
        <v>110.235</v>
      </c>
      <c r="E818" s="4"/>
      <c r="F818" s="4"/>
      <c r="G818" s="4"/>
      <c r="H818" s="4"/>
      <c r="I818" s="4"/>
      <c r="J818" s="4">
        <f>16.805+35.139+12.679+31.578+10.1+14.333-10.1</f>
        <v>110.53400000000001</v>
      </c>
    </row>
    <row r="819" spans="1:12">
      <c r="A819" s="4"/>
      <c r="B819" s="4"/>
      <c r="C819" s="4" t="s">
        <v>988</v>
      </c>
      <c r="D819" s="4">
        <v>89.325000000000003</v>
      </c>
      <c r="E819" s="4"/>
      <c r="F819" s="4"/>
      <c r="G819" s="4"/>
      <c r="H819" s="4"/>
      <c r="I819" s="4"/>
      <c r="J819" s="4">
        <f>16.153+31.335+10.1</f>
        <v>57.588000000000001</v>
      </c>
    </row>
    <row r="820" spans="1:12">
      <c r="A820" s="4"/>
      <c r="B820" s="4"/>
      <c r="C820" s="4"/>
      <c r="D820" s="4">
        <f>SUM(D818:D819)</f>
        <v>199.56</v>
      </c>
      <c r="E820" s="4"/>
      <c r="F820" s="4"/>
      <c r="G820" s="4"/>
      <c r="H820" s="4"/>
      <c r="I820" s="4"/>
      <c r="J820" s="4">
        <f>SUM(J818:J819)</f>
        <v>168.12200000000001</v>
      </c>
      <c r="L820">
        <f>D820-J820</f>
        <v>31.437999999999988</v>
      </c>
    </row>
    <row r="821" spans="1:12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spans="1:12">
      <c r="A822" s="4" t="s">
        <v>989</v>
      </c>
      <c r="B822" s="4"/>
      <c r="C822" s="4" t="s">
        <v>988</v>
      </c>
      <c r="D822" s="4">
        <v>48.45</v>
      </c>
      <c r="E822" s="4"/>
      <c r="F822" s="4"/>
      <c r="G822" s="4"/>
      <c r="H822" s="4"/>
      <c r="I822" s="4"/>
      <c r="J822" s="4">
        <f>40.201+34.676</f>
        <v>74.87700000000001</v>
      </c>
    </row>
    <row r="823" spans="1:12">
      <c r="A823" s="4"/>
      <c r="B823" s="4"/>
      <c r="C823" s="4" t="s">
        <v>990</v>
      </c>
      <c r="D823" s="4">
        <v>25.978999999999999</v>
      </c>
      <c r="E823" s="4"/>
      <c r="F823" s="4"/>
      <c r="G823" s="4"/>
      <c r="H823" s="4"/>
      <c r="I823" s="4"/>
      <c r="J823" s="4">
        <f>13.448+12.321</f>
        <v>25.768999999999998</v>
      </c>
    </row>
    <row r="824" spans="1:12">
      <c r="A824" s="4"/>
      <c r="B824" s="4"/>
      <c r="C824" s="4" t="s">
        <v>993</v>
      </c>
      <c r="D824" s="4">
        <f>39.795-25.979</f>
        <v>13.816000000000003</v>
      </c>
      <c r="E824" s="4"/>
      <c r="F824" s="4"/>
      <c r="G824" s="4"/>
      <c r="H824" s="4"/>
      <c r="I824" s="4"/>
      <c r="J824" s="4">
        <v>12.329000000000001</v>
      </c>
    </row>
    <row r="825" spans="1:12">
      <c r="A825" s="4"/>
      <c r="B825" s="4"/>
      <c r="C825" s="4" t="s">
        <v>992</v>
      </c>
      <c r="D825" s="4">
        <v>0.51800000000000002</v>
      </c>
      <c r="E825" s="4"/>
      <c r="F825" s="4"/>
      <c r="G825" s="4"/>
      <c r="H825" s="4"/>
      <c r="I825" s="4"/>
      <c r="J825" s="4"/>
    </row>
    <row r="826" spans="1:12">
      <c r="A826" s="4"/>
      <c r="B826" s="4"/>
      <c r="C826" s="4" t="s">
        <v>991</v>
      </c>
      <c r="D826" s="4">
        <f>3.905-0.518</f>
        <v>3.3869999999999996</v>
      </c>
      <c r="E826" s="4"/>
      <c r="F826" s="4"/>
      <c r="G826" s="4"/>
      <c r="H826" s="4"/>
      <c r="I826" s="4"/>
      <c r="J826" s="4">
        <v>3.63</v>
      </c>
    </row>
    <row r="827" spans="1:12">
      <c r="A827" s="4"/>
      <c r="B827" s="4"/>
      <c r="C827" s="4" t="s">
        <v>994</v>
      </c>
      <c r="D827" s="4">
        <v>3.5150000000000001</v>
      </c>
      <c r="E827" s="4"/>
      <c r="F827" s="4"/>
      <c r="G827" s="4"/>
      <c r="H827" s="4"/>
      <c r="I827" s="4"/>
      <c r="J827" s="4">
        <v>3.528</v>
      </c>
    </row>
    <row r="828" spans="1:12">
      <c r="A828" s="4"/>
      <c r="B828" s="4"/>
      <c r="C828" s="4" t="s">
        <v>995</v>
      </c>
      <c r="D828" s="4">
        <v>7.86</v>
      </c>
      <c r="E828" s="4"/>
      <c r="F828" s="4"/>
      <c r="G828" s="4"/>
      <c r="H828" s="4"/>
      <c r="I828" s="4"/>
      <c r="J828" s="4">
        <f>4.503+3.362</f>
        <v>7.8650000000000002</v>
      </c>
    </row>
    <row r="829" spans="1:12">
      <c r="A829" s="4"/>
      <c r="B829" s="4"/>
      <c r="C829" s="4" t="s">
        <v>996</v>
      </c>
      <c r="D829" s="4">
        <v>5.23</v>
      </c>
      <c r="E829" s="4"/>
      <c r="F829" s="4"/>
      <c r="G829" s="4"/>
      <c r="H829" s="4"/>
      <c r="I829" s="4"/>
      <c r="J829" s="4">
        <f>4.77+1.892</f>
        <v>6.661999999999999</v>
      </c>
    </row>
    <row r="830" spans="1:12">
      <c r="A830" s="4"/>
      <c r="B830" s="4"/>
      <c r="C830" s="4" t="s">
        <v>997</v>
      </c>
      <c r="D830" s="4">
        <v>21.76</v>
      </c>
      <c r="E830" s="4"/>
      <c r="F830" s="4"/>
      <c r="G830" s="4"/>
      <c r="H830" s="4"/>
      <c r="I830" s="4"/>
      <c r="J830" s="4">
        <f>13.104+7.524</f>
        <v>20.628</v>
      </c>
    </row>
    <row r="831" spans="1:12">
      <c r="A831" s="4"/>
      <c r="B831" s="4"/>
      <c r="C831" s="4" t="s">
        <v>998</v>
      </c>
      <c r="D831" s="4">
        <v>2.25</v>
      </c>
      <c r="E831" s="4"/>
      <c r="F831" s="4"/>
      <c r="G831" s="4"/>
      <c r="H831" s="4"/>
      <c r="I831" s="4"/>
      <c r="J831" s="4">
        <v>1.8919999999999999</v>
      </c>
    </row>
    <row r="832" spans="1:12">
      <c r="A832" s="4"/>
      <c r="B832" s="4"/>
      <c r="C832" s="4"/>
      <c r="D832" s="4">
        <f>SUM(D822:D831)</f>
        <v>132.76500000000001</v>
      </c>
      <c r="E832" s="4"/>
      <c r="F832" s="4"/>
      <c r="G832" s="4"/>
      <c r="H832" s="4"/>
      <c r="I832" s="4"/>
      <c r="J832" s="4">
        <f>SUM(J822:J831)</f>
        <v>157.18</v>
      </c>
      <c r="L832">
        <f>D832-J832</f>
        <v>-24.414999999999992</v>
      </c>
    </row>
    <row r="833" spans="1:12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spans="1:12">
      <c r="A834" s="4" t="s">
        <v>999</v>
      </c>
      <c r="B834" s="4"/>
      <c r="C834" s="4" t="s">
        <v>1000</v>
      </c>
      <c r="D834" s="4">
        <v>65.295000000000002</v>
      </c>
      <c r="E834" s="4"/>
      <c r="F834" s="4"/>
      <c r="G834" s="4"/>
      <c r="H834" s="4"/>
      <c r="I834" s="4"/>
      <c r="J834" s="4">
        <f>39.038+24.388</f>
        <v>63.426000000000002</v>
      </c>
    </row>
    <row r="835" spans="1:12">
      <c r="A835" s="4"/>
      <c r="B835" s="4"/>
      <c r="C835" s="4" t="s">
        <v>1001</v>
      </c>
      <c r="D835" s="4">
        <v>122.11</v>
      </c>
      <c r="E835" s="4"/>
      <c r="F835" s="4"/>
      <c r="G835" s="4"/>
      <c r="H835" s="4"/>
      <c r="I835" s="4"/>
      <c r="J835" s="4">
        <f>50.913+53.539+22.625</f>
        <v>127.077</v>
      </c>
    </row>
    <row r="836" spans="1:12">
      <c r="A836" s="4"/>
      <c r="B836" s="4"/>
      <c r="C836" s="4"/>
      <c r="D836" s="4">
        <f>SUM(D834:D835)</f>
        <v>187.405</v>
      </c>
      <c r="E836" s="4"/>
      <c r="F836" s="4"/>
      <c r="G836" s="4"/>
      <c r="H836" s="4"/>
      <c r="I836" s="4"/>
      <c r="J836" s="4">
        <f>SUM(J834:J835)</f>
        <v>190.50299999999999</v>
      </c>
      <c r="L836">
        <f>D836-J836</f>
        <v>-3.0979999999999848</v>
      </c>
    </row>
    <row r="837" spans="1:12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spans="1:12">
      <c r="A838" s="4" t="s">
        <v>1002</v>
      </c>
      <c r="B838" s="4"/>
      <c r="C838" s="4" t="s">
        <v>1001</v>
      </c>
      <c r="D838" s="4">
        <v>17.009</v>
      </c>
      <c r="E838" s="4"/>
      <c r="F838" s="4"/>
      <c r="G838" s="4"/>
      <c r="H838" s="4"/>
      <c r="I838" s="4"/>
      <c r="J838" s="4">
        <v>17.106000000000002</v>
      </c>
    </row>
    <row r="839" spans="1:12">
      <c r="A839" s="4"/>
      <c r="B839" s="4"/>
      <c r="C839" s="4" t="s">
        <v>1003</v>
      </c>
      <c r="D839" s="4">
        <v>110.021</v>
      </c>
      <c r="E839" s="4"/>
      <c r="F839" s="4"/>
      <c r="G839" s="4"/>
      <c r="H839" s="4"/>
      <c r="I839" s="4"/>
      <c r="J839" s="4">
        <f>38.211-2.211+31.388+15.375+21.582</f>
        <v>104.345</v>
      </c>
    </row>
    <row r="840" spans="1:12">
      <c r="A840" s="4"/>
      <c r="B840" s="4"/>
      <c r="C840" s="4" t="s">
        <v>1004</v>
      </c>
      <c r="D840" s="4">
        <v>15.086</v>
      </c>
      <c r="E840" s="4"/>
      <c r="F840" s="4"/>
      <c r="G840" s="4"/>
      <c r="H840" s="4"/>
      <c r="I840" s="4"/>
      <c r="J840" s="4">
        <f>2.211+3.269+9.456</f>
        <v>14.936</v>
      </c>
    </row>
    <row r="841" spans="1:12">
      <c r="A841" s="4"/>
      <c r="B841" s="4"/>
      <c r="C841" s="4"/>
      <c r="D841" s="4">
        <f>SUM(D838:D840)</f>
        <v>142.11600000000001</v>
      </c>
      <c r="E841" s="4"/>
      <c r="F841" s="4"/>
      <c r="G841" s="4"/>
      <c r="H841" s="4"/>
      <c r="I841" s="4"/>
      <c r="J841" s="4">
        <f>SUM(J838:J840)</f>
        <v>136.387</v>
      </c>
      <c r="L841">
        <f>D841-J841</f>
        <v>5.7290000000000134</v>
      </c>
    </row>
    <row r="842" spans="1:1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spans="1:12">
      <c r="A843" s="4" t="s">
        <v>1005</v>
      </c>
      <c r="B843" s="4"/>
      <c r="C843" s="4" t="s">
        <v>1008</v>
      </c>
      <c r="D843" s="4">
        <v>16</v>
      </c>
      <c r="E843" s="4"/>
      <c r="F843" s="4"/>
      <c r="G843" s="4"/>
      <c r="H843" s="4"/>
      <c r="I843" s="4"/>
      <c r="J843" s="4">
        <f>9.452+6.697</f>
        <v>16.149000000000001</v>
      </c>
    </row>
    <row r="844" spans="1:12">
      <c r="A844" s="4"/>
      <c r="B844" s="4"/>
      <c r="C844" s="4" t="s">
        <v>791</v>
      </c>
      <c r="D844" s="4">
        <f>34.09-16</f>
        <v>18.090000000000003</v>
      </c>
      <c r="E844" s="4"/>
      <c r="F844" s="4"/>
      <c r="G844" s="4"/>
      <c r="H844" s="4"/>
      <c r="I844" s="4"/>
      <c r="J844" s="4">
        <f>8.92+8.056</f>
        <v>16.975999999999999</v>
      </c>
    </row>
    <row r="845" spans="1:12">
      <c r="A845" s="4"/>
      <c r="B845" s="4"/>
      <c r="C845" s="4" t="s">
        <v>1006</v>
      </c>
      <c r="D845" s="4">
        <v>5.17</v>
      </c>
      <c r="E845" s="4"/>
      <c r="F845" s="4"/>
      <c r="G845" s="4"/>
      <c r="H845" s="4"/>
      <c r="I845" s="4"/>
      <c r="J845" s="4">
        <v>5.1239999999999997</v>
      </c>
    </row>
    <row r="846" spans="1:12">
      <c r="A846" s="4"/>
      <c r="B846" s="4"/>
      <c r="C846" s="4" t="s">
        <v>1007</v>
      </c>
      <c r="D846" s="4">
        <f>80.39+4.94</f>
        <v>85.33</v>
      </c>
      <c r="E846" s="4"/>
      <c r="F846" s="4"/>
      <c r="G846" s="4"/>
      <c r="H846" s="4"/>
      <c r="I846" s="4"/>
      <c r="J846" s="4">
        <f>35.706+37.978+7.47+4.542</f>
        <v>85.695999999999998</v>
      </c>
    </row>
    <row r="847" spans="1:12">
      <c r="A847" s="4"/>
      <c r="B847" s="4"/>
      <c r="C847" s="4"/>
      <c r="D847" s="4">
        <f>SUM(D843:D846)</f>
        <v>124.59</v>
      </c>
      <c r="E847" s="4"/>
      <c r="F847" s="4"/>
      <c r="G847" s="4"/>
      <c r="H847" s="4"/>
      <c r="I847" s="4"/>
      <c r="J847" s="4">
        <f>SUM(J843:J846)</f>
        <v>123.94499999999999</v>
      </c>
    </row>
    <row r="848" spans="1:12">
      <c r="A848" s="4" t="s">
        <v>1099</v>
      </c>
      <c r="B848" s="4"/>
      <c r="C848" s="4" t="s">
        <v>1010</v>
      </c>
      <c r="D848" s="4"/>
      <c r="E848" s="4"/>
      <c r="F848" s="4"/>
      <c r="G848" s="4"/>
      <c r="H848" s="4"/>
      <c r="I848" s="4"/>
      <c r="J848" s="4"/>
    </row>
    <row r="849" spans="1:10">
      <c r="A849" s="4" t="s">
        <v>1100</v>
      </c>
      <c r="B849" s="4"/>
      <c r="C849" s="4" t="s">
        <v>1011</v>
      </c>
      <c r="D849" s="4"/>
      <c r="E849" s="4"/>
      <c r="F849" s="4"/>
      <c r="G849" s="4"/>
      <c r="H849" s="4"/>
      <c r="I849" s="4"/>
      <c r="J849" s="4"/>
    </row>
    <row r="850" spans="1:10">
      <c r="A850" s="4" t="s">
        <v>1009</v>
      </c>
      <c r="B850" s="4"/>
      <c r="C850" s="4" t="s">
        <v>1014</v>
      </c>
      <c r="D850" s="4">
        <v>2.25</v>
      </c>
      <c r="E850" s="4"/>
      <c r="F850" s="4"/>
      <c r="G850" s="4"/>
      <c r="H850" s="4"/>
      <c r="I850" s="4"/>
      <c r="J850" s="4">
        <v>1.95</v>
      </c>
    </row>
    <row r="851" spans="1:10">
      <c r="A851" s="4"/>
      <c r="B851" s="4"/>
      <c r="C851" s="4" t="s">
        <v>1015</v>
      </c>
      <c r="D851" s="4">
        <v>72.78</v>
      </c>
      <c r="E851" s="4"/>
      <c r="F851" s="4"/>
      <c r="G851" s="4"/>
      <c r="H851" s="4"/>
      <c r="I851" s="4"/>
      <c r="J851" s="4">
        <f>17.052+18.014+19.461+17.17</f>
        <v>71.697000000000003</v>
      </c>
    </row>
    <row r="852" spans="1:10">
      <c r="A852" s="4"/>
      <c r="B852" s="4"/>
      <c r="C852" s="4" t="s">
        <v>1016</v>
      </c>
      <c r="D852" s="4">
        <v>3.718</v>
      </c>
      <c r="E852" s="4"/>
      <c r="F852" s="4"/>
      <c r="G852" s="4"/>
      <c r="H852" s="4"/>
      <c r="I852" s="4"/>
      <c r="J852" s="4">
        <v>3.351</v>
      </c>
    </row>
    <row r="853" spans="1:10">
      <c r="A853" s="4"/>
      <c r="B853" s="4"/>
      <c r="C853" s="4"/>
      <c r="D853" s="4">
        <f>SUM(D850:D852)</f>
        <v>78.748000000000005</v>
      </c>
      <c r="E853" s="4"/>
      <c r="F853" s="4"/>
      <c r="G853" s="4"/>
      <c r="H853" s="4"/>
      <c r="I853" s="4"/>
      <c r="J853" s="4">
        <f>SUM(J850:J852)</f>
        <v>76.998000000000005</v>
      </c>
    </row>
    <row r="854" spans="1:10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spans="1:10">
      <c r="A855" s="4" t="s">
        <v>1013</v>
      </c>
      <c r="B855" s="4"/>
      <c r="C855" s="4" t="s">
        <v>1017</v>
      </c>
      <c r="D855" s="4">
        <v>39.44</v>
      </c>
      <c r="E855" s="4"/>
      <c r="F855" s="4"/>
      <c r="G855" s="4"/>
      <c r="H855" s="4"/>
      <c r="I855" s="4"/>
      <c r="J855" s="4">
        <f>19.669+19.049</f>
        <v>38.718000000000004</v>
      </c>
    </row>
    <row r="856" spans="1:10">
      <c r="A856" s="4"/>
      <c r="B856" s="4"/>
      <c r="C856" s="4" t="s">
        <v>1018</v>
      </c>
      <c r="D856" s="4">
        <v>11.039</v>
      </c>
      <c r="E856" s="4"/>
      <c r="F856" s="4"/>
      <c r="G856" s="4"/>
      <c r="H856" s="4"/>
      <c r="I856" s="4"/>
      <c r="J856" s="4">
        <f>5.678+5.032</f>
        <v>10.71</v>
      </c>
    </row>
    <row r="857" spans="1:10">
      <c r="A857" s="4"/>
      <c r="B857" s="4"/>
      <c r="C857" s="4"/>
      <c r="D857" s="4">
        <f>SUM(D855:D856)</f>
        <v>50.478999999999999</v>
      </c>
      <c r="E857" s="4"/>
      <c r="F857" s="4"/>
      <c r="G857" s="4"/>
      <c r="H857" s="4"/>
      <c r="I857" s="4"/>
      <c r="J857" s="4">
        <f>SUM(J855:J856)</f>
        <v>49.428000000000004</v>
      </c>
    </row>
    <row r="858" spans="1:10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spans="1:10">
      <c r="A859" s="4" t="s">
        <v>1030</v>
      </c>
      <c r="B859" s="4"/>
      <c r="C859" s="4" t="s">
        <v>494</v>
      </c>
      <c r="D859" s="4">
        <v>32.46</v>
      </c>
      <c r="E859" s="4"/>
      <c r="F859" s="4"/>
      <c r="G859" s="4"/>
      <c r="H859" s="4"/>
      <c r="I859" s="4"/>
      <c r="J859" s="4">
        <v>31.748999999999999</v>
      </c>
    </row>
    <row r="860" spans="1:10">
      <c r="A860" s="4"/>
      <c r="B860" s="4"/>
      <c r="C860" s="4" t="s">
        <v>1031</v>
      </c>
      <c r="D860" s="4">
        <v>38.590000000000003</v>
      </c>
      <c r="E860" s="4"/>
      <c r="F860" s="4"/>
      <c r="G860" s="4"/>
      <c r="H860" s="4"/>
      <c r="I860" s="4"/>
      <c r="J860" s="4">
        <f>3.584+4.033+20.871+9.614</f>
        <v>38.102000000000004</v>
      </c>
    </row>
    <row r="861" spans="1:10">
      <c r="A861" s="4"/>
      <c r="B861" s="4"/>
      <c r="C861" s="4" t="s">
        <v>1032</v>
      </c>
      <c r="D861" s="4">
        <v>17.61</v>
      </c>
      <c r="E861" s="4"/>
      <c r="F861" s="4"/>
      <c r="G861" s="4"/>
      <c r="H861" s="4"/>
      <c r="I861" s="4"/>
      <c r="J861" s="4">
        <v>18.134</v>
      </c>
    </row>
    <row r="862" spans="1:10">
      <c r="A862" s="4"/>
      <c r="B862" s="4"/>
      <c r="C862" s="4" t="s">
        <v>1033</v>
      </c>
      <c r="D862" s="4">
        <v>51.25</v>
      </c>
      <c r="E862" s="4"/>
      <c r="F862" s="4"/>
      <c r="G862" s="4"/>
      <c r="H862" s="4"/>
      <c r="I862" s="4"/>
      <c r="J862" s="4">
        <v>37.524000000000001</v>
      </c>
    </row>
    <row r="863" spans="1:10">
      <c r="A863" s="4"/>
      <c r="B863" s="4"/>
      <c r="C863" s="4"/>
      <c r="D863" s="4">
        <f>SUM(D859:D862)</f>
        <v>139.91000000000003</v>
      </c>
      <c r="E863" s="4"/>
      <c r="F863" s="4"/>
      <c r="G863" s="4"/>
      <c r="H863" s="4"/>
      <c r="I863" s="4"/>
      <c r="J863" s="4">
        <f>SUM(J859:J862)</f>
        <v>125.509</v>
      </c>
    </row>
    <row r="864" spans="1:10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1">
      <c r="A865" s="4" t="s">
        <v>1036</v>
      </c>
      <c r="B865" s="4"/>
      <c r="C865" s="4" t="s">
        <v>1033</v>
      </c>
      <c r="D865" s="4">
        <v>72.11</v>
      </c>
      <c r="E865" s="4"/>
      <c r="F865" s="4"/>
      <c r="G865" s="4"/>
      <c r="H865" s="4"/>
      <c r="I865" s="4"/>
      <c r="J865" s="4">
        <f>22.126+33.57</f>
        <v>55.695999999999998</v>
      </c>
    </row>
    <row r="866" spans="1:11">
      <c r="A866" s="4"/>
      <c r="B866" s="4"/>
      <c r="C866" s="4" t="s">
        <v>1037</v>
      </c>
      <c r="D866" s="4">
        <v>17.22</v>
      </c>
      <c r="E866" s="4"/>
      <c r="F866" s="4"/>
      <c r="G866" s="4"/>
      <c r="H866" s="4"/>
      <c r="I866" s="4"/>
      <c r="J866" s="4">
        <v>16.998000000000001</v>
      </c>
    </row>
    <row r="867" spans="1:11">
      <c r="A867" s="4"/>
      <c r="B867" s="4"/>
      <c r="C867" s="4" t="s">
        <v>645</v>
      </c>
      <c r="D867" s="4">
        <v>42.1</v>
      </c>
      <c r="E867" s="4"/>
      <c r="F867" s="4"/>
      <c r="G867" s="4"/>
      <c r="H867" s="4"/>
      <c r="I867" s="4"/>
      <c r="J867" s="4">
        <f>35.357+6.237</f>
        <v>41.594000000000001</v>
      </c>
    </row>
    <row r="868" spans="1:11">
      <c r="A868" s="4"/>
      <c r="B868" s="4"/>
      <c r="C868" s="4" t="s">
        <v>757</v>
      </c>
      <c r="D868" s="4">
        <f>14.81+24.27+7.65</f>
        <v>46.73</v>
      </c>
      <c r="E868" s="4"/>
      <c r="F868" s="4"/>
      <c r="G868" s="4"/>
      <c r="H868" s="4"/>
      <c r="I868" s="4"/>
      <c r="J868" s="4">
        <v>32.222000000000001</v>
      </c>
    </row>
    <row r="869" spans="1:11">
      <c r="A869" s="4"/>
      <c r="B869" s="4"/>
      <c r="C869" s="4"/>
      <c r="D869" s="4">
        <f>SUM(D865:D868)</f>
        <v>178.16</v>
      </c>
      <c r="E869" s="4"/>
      <c r="F869" s="4"/>
      <c r="G869" s="4"/>
      <c r="H869" s="4"/>
      <c r="I869" s="4"/>
      <c r="J869" s="4">
        <f>SUM(J865:J868)</f>
        <v>146.51000000000002</v>
      </c>
    </row>
    <row r="870" spans="1:1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spans="1:11">
      <c r="A871" s="4" t="s">
        <v>1038</v>
      </c>
      <c r="B871" s="4"/>
      <c r="C871" s="4" t="s">
        <v>757</v>
      </c>
      <c r="D871" s="4">
        <v>183.55</v>
      </c>
      <c r="E871" s="4"/>
      <c r="F871" s="4"/>
      <c r="G871" s="4"/>
      <c r="H871" s="4"/>
      <c r="I871" s="4"/>
      <c r="J871" s="4">
        <f>78.227+79.271+31.215</f>
        <v>188.71299999999999</v>
      </c>
    </row>
    <row r="872" spans="1:11">
      <c r="A872" s="4"/>
      <c r="B872" s="4"/>
      <c r="C872" s="4" t="s">
        <v>757</v>
      </c>
      <c r="D872" s="4">
        <v>18.559999999999999</v>
      </c>
      <c r="E872" s="4"/>
      <c r="F872" s="4"/>
      <c r="G872" s="4"/>
      <c r="H872" s="4"/>
      <c r="I872" s="4"/>
      <c r="J872" s="4">
        <v>20.462</v>
      </c>
    </row>
    <row r="873" spans="1:11">
      <c r="A873" s="4"/>
      <c r="B873" s="4"/>
      <c r="C873" s="4"/>
      <c r="D873" s="4">
        <f>SUM(D871:D872)</f>
        <v>202.11</v>
      </c>
      <c r="E873" s="4"/>
      <c r="F873" s="4"/>
      <c r="G873" s="4"/>
      <c r="H873" s="4"/>
      <c r="I873" s="4"/>
      <c r="J873" s="4">
        <f>SUM(J871:J872)</f>
        <v>209.17499999999998</v>
      </c>
    </row>
    <row r="874" spans="1:1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spans="1:11">
      <c r="A875" s="4" t="s">
        <v>1042</v>
      </c>
      <c r="B875" s="4"/>
      <c r="C875" s="4" t="s">
        <v>757</v>
      </c>
      <c r="D875" s="4">
        <v>22.4</v>
      </c>
      <c r="E875" s="4"/>
      <c r="F875" s="4"/>
      <c r="G875" s="4"/>
      <c r="H875" s="4"/>
      <c r="I875" s="4"/>
      <c r="J875" s="4">
        <v>26.244</v>
      </c>
    </row>
    <row r="876" spans="1:11">
      <c r="A876" s="4"/>
      <c r="B876" s="4"/>
      <c r="C876" s="4" t="s">
        <v>1043</v>
      </c>
      <c r="D876" s="4">
        <v>5.93</v>
      </c>
      <c r="E876" s="4"/>
      <c r="F876" s="4"/>
      <c r="G876" s="4"/>
      <c r="H876" s="4"/>
      <c r="I876" s="4"/>
      <c r="J876" s="4">
        <v>5.6970000000000001</v>
      </c>
    </row>
    <row r="877" spans="1:11">
      <c r="A877" s="4"/>
      <c r="B877" s="4"/>
      <c r="C877" s="4" t="s">
        <v>532</v>
      </c>
      <c r="D877" s="4">
        <v>21.83</v>
      </c>
      <c r="E877" s="4"/>
      <c r="F877" s="4"/>
      <c r="G877" s="4"/>
      <c r="H877" s="4"/>
      <c r="I877" s="4"/>
      <c r="J877" s="4">
        <v>21.89</v>
      </c>
    </row>
    <row r="878" spans="1:11">
      <c r="A878" s="4"/>
      <c r="B878" s="4"/>
      <c r="C878" s="4" t="s">
        <v>1033</v>
      </c>
      <c r="D878" s="4">
        <v>107.24</v>
      </c>
      <c r="E878" s="4"/>
      <c r="F878" s="4"/>
      <c r="G878" s="4"/>
      <c r="H878" s="4"/>
      <c r="I878" s="4"/>
      <c r="J878" s="4">
        <f>22.321+58.212+54.944</f>
        <v>135.477</v>
      </c>
      <c r="K878" t="s">
        <v>1044</v>
      </c>
    </row>
    <row r="879" spans="1:11">
      <c r="A879" s="4"/>
      <c r="B879" s="4"/>
      <c r="C879" s="4"/>
      <c r="D879" s="4">
        <f>SUM(D875:D878)</f>
        <v>157.39999999999998</v>
      </c>
      <c r="E879" s="4"/>
      <c r="F879" s="4"/>
      <c r="G879" s="4"/>
      <c r="H879" s="4"/>
      <c r="I879" s="4"/>
      <c r="J879" s="4">
        <f>SUM(J875:J878)</f>
        <v>189.30799999999999</v>
      </c>
    </row>
    <row r="880" spans="1:11">
      <c r="A880" s="4" t="s">
        <v>1052</v>
      </c>
      <c r="B880" s="4"/>
      <c r="C880" s="4"/>
      <c r="D880" s="4"/>
      <c r="E880" s="4"/>
      <c r="F880" s="4"/>
      <c r="G880" s="4"/>
      <c r="H880" s="4"/>
      <c r="I880" s="4"/>
      <c r="J880" s="4"/>
    </row>
    <row r="881" spans="1:10">
      <c r="A881" s="4" t="s">
        <v>1025</v>
      </c>
      <c r="B881" s="4"/>
      <c r="C881" s="4" t="s">
        <v>692</v>
      </c>
      <c r="D881" s="4">
        <v>32.924999999999997</v>
      </c>
      <c r="E881" s="4"/>
      <c r="F881" s="4"/>
      <c r="G881" s="4"/>
      <c r="H881" s="4"/>
      <c r="I881" s="4"/>
      <c r="J881" s="4">
        <f>12.557+5.932+11.964+2.405</f>
        <v>32.858000000000004</v>
      </c>
    </row>
    <row r="882" spans="1:10">
      <c r="A882" s="4"/>
      <c r="B882" s="4"/>
      <c r="C882" s="4" t="s">
        <v>1053</v>
      </c>
      <c r="D882" s="4">
        <v>2.48</v>
      </c>
      <c r="E882" s="4"/>
      <c r="F882" s="4"/>
      <c r="G882" s="4"/>
      <c r="H882" s="4"/>
      <c r="I882" s="4"/>
      <c r="J882" s="4">
        <v>2.387</v>
      </c>
    </row>
    <row r="883" spans="1:10">
      <c r="A883" s="4"/>
      <c r="B883" s="4"/>
      <c r="C883" s="4" t="s">
        <v>691</v>
      </c>
      <c r="D883" s="4">
        <v>42.97</v>
      </c>
      <c r="E883" s="4"/>
      <c r="F883" s="4"/>
      <c r="G883" s="4"/>
      <c r="H883" s="4"/>
      <c r="I883" s="4"/>
      <c r="J883" s="4">
        <f>9.521+4.947+10.435+17.34</f>
        <v>42.242999999999995</v>
      </c>
    </row>
    <row r="884" spans="1:10">
      <c r="A884" s="4"/>
      <c r="B884" s="4"/>
      <c r="C884" s="4" t="s">
        <v>688</v>
      </c>
      <c r="D884" s="4">
        <v>7.72</v>
      </c>
      <c r="E884" s="4"/>
      <c r="F884" s="4"/>
      <c r="G884" s="4"/>
      <c r="H884" s="4"/>
      <c r="I884" s="4"/>
      <c r="J884" s="4">
        <f>2.301+4.596</f>
        <v>6.8970000000000002</v>
      </c>
    </row>
    <row r="885" spans="1:10">
      <c r="A885" s="4"/>
      <c r="B885" s="4"/>
      <c r="C885" s="4" t="s">
        <v>686</v>
      </c>
      <c r="D885" s="4">
        <v>19</v>
      </c>
      <c r="E885" s="4"/>
      <c r="F885" s="4"/>
      <c r="G885" s="4"/>
      <c r="H885" s="4"/>
      <c r="I885" s="4"/>
      <c r="J885" s="4">
        <f>8.767+10.526</f>
        <v>19.292999999999999</v>
      </c>
    </row>
    <row r="886" spans="1:10">
      <c r="A886" s="4"/>
      <c r="B886" s="4"/>
      <c r="C886" s="4" t="s">
        <v>1054</v>
      </c>
      <c r="D886" s="4">
        <f>27.61-19</f>
        <v>8.61</v>
      </c>
      <c r="E886" s="4"/>
      <c r="F886" s="4"/>
      <c r="G886" s="4"/>
      <c r="H886" s="4"/>
      <c r="I886" s="4"/>
      <c r="J886" s="4">
        <f>3.329+4.672</f>
        <v>8.0009999999999994</v>
      </c>
    </row>
    <row r="887" spans="1:10">
      <c r="A887" s="4"/>
      <c r="B887" s="4"/>
      <c r="C887" s="4" t="s">
        <v>878</v>
      </c>
      <c r="D887" s="4">
        <v>8.6300000000000008</v>
      </c>
      <c r="E887" s="4"/>
      <c r="F887" s="4"/>
      <c r="G887" s="4"/>
      <c r="H887" s="4"/>
      <c r="I887" s="4"/>
      <c r="J887" s="4">
        <v>8.4749999999999996</v>
      </c>
    </row>
    <row r="888" spans="1:10">
      <c r="A888" s="4"/>
      <c r="B888" s="4"/>
      <c r="C888" s="4" t="s">
        <v>877</v>
      </c>
      <c r="D888" s="4">
        <v>10.535</v>
      </c>
      <c r="E888" s="4"/>
      <c r="F888" s="4"/>
      <c r="G888" s="4"/>
      <c r="H888" s="4"/>
      <c r="I888" s="4"/>
      <c r="J888" s="4">
        <v>10.529</v>
      </c>
    </row>
    <row r="889" spans="1:10">
      <c r="A889" s="4"/>
      <c r="B889" s="4"/>
      <c r="C889" s="4" t="s">
        <v>876</v>
      </c>
      <c r="D889" s="4">
        <v>10.52</v>
      </c>
      <c r="E889" s="4"/>
      <c r="F889" s="4"/>
      <c r="G889" s="4"/>
      <c r="H889" s="4"/>
      <c r="I889" s="4"/>
      <c r="J889" s="4">
        <v>10.832000000000001</v>
      </c>
    </row>
    <row r="890" spans="1:10">
      <c r="A890" s="4"/>
      <c r="B890" s="4"/>
      <c r="C890" s="4" t="s">
        <v>879</v>
      </c>
      <c r="D890" s="4">
        <v>29.59</v>
      </c>
      <c r="E890" s="4"/>
      <c r="F890" s="4"/>
      <c r="G890" s="4"/>
      <c r="H890" s="4"/>
      <c r="I890" s="4"/>
      <c r="J890" s="4">
        <v>29.283999999999999</v>
      </c>
    </row>
    <row r="891" spans="1:10">
      <c r="A891" s="4"/>
      <c r="B891" s="4"/>
      <c r="C891" s="4"/>
      <c r="D891" s="4">
        <f>SUM(D881:D890)</f>
        <v>172.98000000000002</v>
      </c>
      <c r="E891" s="4"/>
      <c r="F891" s="4"/>
      <c r="G891" s="4"/>
      <c r="H891" s="4"/>
      <c r="I891" s="4"/>
      <c r="J891" s="4">
        <f>SUM(J881:J890)</f>
        <v>170.79899999999998</v>
      </c>
    </row>
    <row r="892" spans="1:10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spans="1:10">
      <c r="A893" s="4" t="s">
        <v>1055</v>
      </c>
      <c r="B893" s="4"/>
      <c r="C893" s="4" t="s">
        <v>699</v>
      </c>
      <c r="D893" s="4">
        <f>153.2-2</f>
        <v>151.19999999999999</v>
      </c>
      <c r="E893" s="4"/>
      <c r="F893" s="4"/>
      <c r="G893" s="4"/>
      <c r="H893" s="4"/>
      <c r="I893" s="4"/>
      <c r="J893" s="4">
        <f>28.893+27.947+40.258+29.965+9.327+12.48</f>
        <v>148.87</v>
      </c>
    </row>
    <row r="894" spans="1:10">
      <c r="A894" s="4"/>
      <c r="B894" s="4"/>
      <c r="C894" s="4" t="s">
        <v>1056</v>
      </c>
      <c r="D894" s="4">
        <f>9.13+13.49+2</f>
        <v>24.62</v>
      </c>
      <c r="E894" s="4"/>
      <c r="F894" s="4"/>
      <c r="G894" s="4"/>
      <c r="H894" s="4"/>
      <c r="I894" s="4"/>
      <c r="J894" s="4">
        <f>12.292+11.956</f>
        <v>24.247999999999998</v>
      </c>
    </row>
    <row r="895" spans="1:10">
      <c r="A895" s="4"/>
      <c r="B895" s="4"/>
      <c r="C895" s="4" t="s">
        <v>697</v>
      </c>
      <c r="D895" s="4">
        <v>58.68</v>
      </c>
      <c r="E895" s="4"/>
      <c r="F895" s="4"/>
      <c r="G895" s="4"/>
      <c r="H895" s="4"/>
      <c r="I895" s="4"/>
      <c r="J895" s="4">
        <f>16.013+30.91</f>
        <v>46.923000000000002</v>
      </c>
    </row>
    <row r="896" spans="1:10">
      <c r="A896" s="4"/>
      <c r="B896" s="4"/>
      <c r="C896" s="4"/>
      <c r="D896" s="4">
        <f>SUM(D893:D895)</f>
        <v>234.5</v>
      </c>
      <c r="E896" s="4"/>
      <c r="F896" s="4"/>
      <c r="G896" s="4"/>
      <c r="H896" s="4"/>
      <c r="I896" s="4"/>
      <c r="J896" s="4">
        <f>SUM(J893:J895)</f>
        <v>220.041</v>
      </c>
    </row>
    <row r="897" spans="1:10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spans="1:10">
      <c r="A898" s="4" t="s">
        <v>1058</v>
      </c>
      <c r="B898" s="4"/>
      <c r="C898" s="4" t="s">
        <v>697</v>
      </c>
      <c r="D898" s="4">
        <f>44.99-3.5</f>
        <v>41.49</v>
      </c>
      <c r="E898" s="4"/>
      <c r="F898" s="4"/>
      <c r="G898" s="4"/>
      <c r="H898" s="4"/>
      <c r="I898" s="4"/>
      <c r="J898" s="4">
        <f>24.258-9.9+12.889+11.332+13.777</f>
        <v>52.356000000000002</v>
      </c>
    </row>
    <row r="899" spans="1:10">
      <c r="A899" s="4"/>
      <c r="B899" s="4"/>
      <c r="C899" s="4" t="s">
        <v>1059</v>
      </c>
      <c r="D899" s="4">
        <f>20.38+2.59+3.5</f>
        <v>26.47</v>
      </c>
      <c r="E899" s="4"/>
      <c r="F899" s="4"/>
      <c r="G899" s="4"/>
      <c r="H899" s="4"/>
      <c r="I899" s="4"/>
      <c r="J899" s="4">
        <f>11.126+14.531</f>
        <v>25.657</v>
      </c>
    </row>
    <row r="900" spans="1:10">
      <c r="A900" s="4"/>
      <c r="B900" s="4"/>
      <c r="C900" s="4" t="s">
        <v>696</v>
      </c>
      <c r="D900" s="4">
        <v>6.37</v>
      </c>
      <c r="E900" s="4"/>
      <c r="F900" s="4"/>
      <c r="G900" s="4"/>
      <c r="H900" s="4"/>
      <c r="I900" s="4"/>
      <c r="J900" s="4">
        <v>5.9219999999999997</v>
      </c>
    </row>
    <row r="901" spans="1:10">
      <c r="A901" s="4"/>
      <c r="B901" s="4"/>
      <c r="C901" s="4" t="s">
        <v>884</v>
      </c>
      <c r="D901" s="4">
        <v>16.11</v>
      </c>
      <c r="E901" s="4"/>
      <c r="F901" s="4"/>
      <c r="G901" s="4"/>
      <c r="H901" s="4"/>
      <c r="I901" s="4"/>
      <c r="J901" s="4">
        <f>10.101+3.06+2.325</f>
        <v>15.486000000000001</v>
      </c>
    </row>
    <row r="902" spans="1:10">
      <c r="A902" s="4"/>
      <c r="B902" s="4"/>
      <c r="C902" s="4" t="s">
        <v>895</v>
      </c>
      <c r="D902" s="4">
        <v>17.600000000000001</v>
      </c>
      <c r="E902" s="4"/>
      <c r="F902" s="4"/>
      <c r="G902" s="4"/>
      <c r="H902" s="4"/>
      <c r="I902" s="4"/>
      <c r="J902" s="4">
        <f>6.359+10.542</f>
        <v>16.901</v>
      </c>
    </row>
    <row r="903" spans="1:10">
      <c r="A903" s="4"/>
      <c r="B903" s="4"/>
      <c r="C903" s="4" t="s">
        <v>894</v>
      </c>
      <c r="D903" s="4">
        <v>11.4</v>
      </c>
      <c r="E903" s="4"/>
      <c r="F903" s="4"/>
      <c r="G903" s="4"/>
      <c r="H903" s="4"/>
      <c r="I903" s="4"/>
      <c r="J903" s="4">
        <v>11</v>
      </c>
    </row>
    <row r="904" spans="1:10">
      <c r="A904" s="4"/>
      <c r="B904" s="4"/>
      <c r="C904" s="4" t="s">
        <v>896</v>
      </c>
      <c r="D904" s="4">
        <v>32.68</v>
      </c>
      <c r="E904" s="4"/>
      <c r="F904" s="4"/>
      <c r="G904" s="4"/>
      <c r="H904" s="4"/>
      <c r="I904" s="4"/>
      <c r="J904" s="4">
        <f>25.328+7.338</f>
        <v>32.665999999999997</v>
      </c>
    </row>
    <row r="905" spans="1:10">
      <c r="A905" s="4"/>
      <c r="B905" s="4"/>
      <c r="C905" s="4" t="s">
        <v>1060</v>
      </c>
      <c r="D905" s="4">
        <v>33.54</v>
      </c>
      <c r="E905" s="4"/>
      <c r="F905" s="4"/>
      <c r="G905" s="4"/>
      <c r="H905" s="4"/>
      <c r="I905" s="4"/>
      <c r="J905" s="4">
        <v>32.418999999999997</v>
      </c>
    </row>
    <row r="906" spans="1:10">
      <c r="A906" s="4"/>
      <c r="B906" s="4"/>
      <c r="C906" s="4" t="s">
        <v>893</v>
      </c>
      <c r="D906" s="4">
        <v>6.19</v>
      </c>
      <c r="E906" s="4"/>
      <c r="F906" s="4"/>
      <c r="G906" s="4"/>
      <c r="H906" s="4"/>
      <c r="I906" s="4"/>
      <c r="J906" s="4">
        <v>5.6959999999999997</v>
      </c>
    </row>
    <row r="907" spans="1:10">
      <c r="A907" s="4"/>
      <c r="B907" s="4"/>
      <c r="C907" s="4"/>
      <c r="D907" s="4">
        <f>SUM(D898:D906)</f>
        <v>191.85000000000002</v>
      </c>
      <c r="E907" s="4"/>
      <c r="F907" s="4"/>
      <c r="G907" s="4"/>
      <c r="H907" s="4"/>
      <c r="I907" s="4"/>
      <c r="J907" s="4">
        <f>SUM(J898:J906)</f>
        <v>198.10299999999998</v>
      </c>
    </row>
    <row r="908" spans="1:10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spans="1:10">
      <c r="A909" s="4" t="s">
        <v>1026</v>
      </c>
      <c r="B909" s="4"/>
      <c r="C909" s="4" t="s">
        <v>1062</v>
      </c>
      <c r="D909" s="4">
        <v>31.114999999999998</v>
      </c>
      <c r="E909" s="4"/>
      <c r="F909" s="4"/>
      <c r="G909" s="4"/>
      <c r="H909" s="4"/>
      <c r="I909" s="4"/>
      <c r="J909" s="4">
        <f>14.446-3.619+12.754+6.608</f>
        <v>30.189</v>
      </c>
    </row>
    <row r="910" spans="1:10">
      <c r="A910" s="4"/>
      <c r="B910" s="4"/>
      <c r="C910" s="4" t="s">
        <v>1063</v>
      </c>
      <c r="D910" s="4">
        <v>5.5250000000000004</v>
      </c>
      <c r="E910" s="4"/>
      <c r="F910" s="4"/>
      <c r="G910" s="4"/>
      <c r="H910" s="4"/>
      <c r="I910" s="4"/>
      <c r="J910" s="4">
        <f>2.957+0.046+0.045+0.04+0.038+0.032+0.036+0.374+0.051</f>
        <v>3.6189999999999998</v>
      </c>
    </row>
    <row r="911" spans="1:10">
      <c r="A911" s="4"/>
      <c r="B911" s="4"/>
      <c r="C911" s="4" t="s">
        <v>1064</v>
      </c>
      <c r="D911" s="4">
        <v>38.244999999999997</v>
      </c>
      <c r="E911" s="4"/>
      <c r="F911" s="4"/>
      <c r="G911" s="4"/>
      <c r="H911" s="4"/>
      <c r="I911" s="4"/>
      <c r="J911" s="4">
        <f>2.735+15.574+18.061</f>
        <v>36.370000000000005</v>
      </c>
    </row>
    <row r="912" spans="1:10">
      <c r="A912" s="4"/>
      <c r="B912" s="4"/>
      <c r="C912" s="4" t="s">
        <v>1065</v>
      </c>
      <c r="D912" s="4">
        <v>69.41</v>
      </c>
      <c r="E912" s="4"/>
      <c r="F912" s="4"/>
      <c r="G912" s="4"/>
      <c r="H912" s="4"/>
      <c r="I912" s="4"/>
      <c r="J912" s="4">
        <f>17.081+5.322+19.956+29.77</f>
        <v>72.128999999999991</v>
      </c>
    </row>
    <row r="913" spans="1:10">
      <c r="A913" s="4"/>
      <c r="B913" s="4"/>
      <c r="C913" s="4"/>
      <c r="D913" s="4">
        <f>SUM(D909:D912)</f>
        <v>144.29499999999999</v>
      </c>
      <c r="E913" s="4"/>
      <c r="F913" s="4"/>
      <c r="G913" s="4"/>
      <c r="H913" s="4"/>
      <c r="I913" s="4"/>
      <c r="J913" s="4">
        <f>SUM(J909:J912)</f>
        <v>142.30699999999999</v>
      </c>
    </row>
    <row r="914" spans="1:10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spans="1:10">
      <c r="A915" s="4" t="s">
        <v>1027</v>
      </c>
      <c r="B915" s="4"/>
      <c r="C915" s="4" t="s">
        <v>1068</v>
      </c>
      <c r="D915" s="4">
        <v>37.71</v>
      </c>
      <c r="E915" s="4"/>
      <c r="F915" s="4"/>
      <c r="G915" s="4"/>
      <c r="H915" s="4"/>
      <c r="I915" s="4"/>
      <c r="J915" s="4">
        <f>14.898+17.203+5.138</f>
        <v>37.238999999999997</v>
      </c>
    </row>
    <row r="916" spans="1:10">
      <c r="A916" s="4"/>
      <c r="B916" s="4"/>
      <c r="C916" s="4" t="s">
        <v>1069</v>
      </c>
      <c r="D916" s="4">
        <v>39.200000000000003</v>
      </c>
      <c r="E916" s="4"/>
      <c r="F916" s="4"/>
      <c r="G916" s="4"/>
      <c r="H916" s="4"/>
      <c r="I916" s="4"/>
      <c r="J916" s="4">
        <f>32.446+11.48</f>
        <v>43.926000000000002</v>
      </c>
    </row>
    <row r="917" spans="1:10">
      <c r="A917" s="4"/>
      <c r="B917" s="4"/>
      <c r="C917" s="4" t="s">
        <v>985</v>
      </c>
      <c r="D917" s="4">
        <v>30.4</v>
      </c>
      <c r="E917" s="4"/>
      <c r="F917" s="4"/>
      <c r="G917" s="4"/>
      <c r="H917" s="4"/>
      <c r="I917" s="4"/>
      <c r="J917" s="4">
        <f>14.058+15.783</f>
        <v>29.841000000000001</v>
      </c>
    </row>
    <row r="918" spans="1:10">
      <c r="A918" s="4"/>
      <c r="B918" s="4"/>
      <c r="C918" s="4" t="s">
        <v>711</v>
      </c>
      <c r="D918" s="4">
        <v>47.58</v>
      </c>
      <c r="E918" s="4"/>
      <c r="F918" s="4"/>
      <c r="G918" s="4"/>
      <c r="H918" s="4"/>
      <c r="I918" s="4"/>
      <c r="J918" s="4">
        <f>9.18+11.557+4.219+22.42</f>
        <v>47.376000000000005</v>
      </c>
    </row>
    <row r="919" spans="1:10">
      <c r="A919" s="4"/>
      <c r="B919" s="4"/>
      <c r="C919" s="4" t="s">
        <v>717</v>
      </c>
      <c r="D919" s="4">
        <v>6.87</v>
      </c>
      <c r="E919" s="4"/>
      <c r="F919" s="4"/>
      <c r="G919" s="4"/>
      <c r="H919" s="4"/>
      <c r="I919" s="4"/>
      <c r="J919" s="4">
        <f>4.386+2.265</f>
        <v>6.6509999999999998</v>
      </c>
    </row>
    <row r="920" spans="1:10">
      <c r="A920" s="4"/>
      <c r="B920" s="4"/>
      <c r="C920" s="4"/>
      <c r="D920" s="4">
        <f>SUM(D915:D919)</f>
        <v>161.76</v>
      </c>
      <c r="E920" s="4"/>
      <c r="F920" s="4"/>
      <c r="G920" s="4"/>
      <c r="H920" s="4"/>
      <c r="I920" s="4"/>
      <c r="J920" s="4">
        <f>SUM(J915:J919)</f>
        <v>165.03300000000002</v>
      </c>
    </row>
    <row r="921" spans="1:10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spans="1:10">
      <c r="A922" s="4" t="s">
        <v>958</v>
      </c>
      <c r="B922" s="4"/>
      <c r="C922" s="4" t="s">
        <v>1073</v>
      </c>
      <c r="D922" s="4">
        <v>99.7</v>
      </c>
      <c r="E922" s="4"/>
      <c r="F922" s="4"/>
      <c r="G922" s="4"/>
      <c r="H922" s="4"/>
      <c r="I922" s="4"/>
      <c r="J922" s="4">
        <f>23.79+24.2+25.436+17.604+2.175+4.235+2.096</f>
        <v>99.535999999999987</v>
      </c>
    </row>
    <row r="923" spans="1:10">
      <c r="A923" s="4"/>
      <c r="B923" s="4"/>
      <c r="C923" s="4" t="s">
        <v>1074</v>
      </c>
      <c r="D923" s="4">
        <v>51.18</v>
      </c>
      <c r="E923" s="4"/>
      <c r="F923" s="4"/>
      <c r="G923" s="4"/>
      <c r="H923" s="4"/>
      <c r="I923" s="4"/>
      <c r="J923" s="4">
        <f>25.438+24.373</f>
        <v>49.811</v>
      </c>
    </row>
    <row r="924" spans="1:10">
      <c r="A924" s="4"/>
      <c r="B924" s="4"/>
      <c r="C924" s="4"/>
      <c r="D924" s="4">
        <f>SUM(D922:D923)</f>
        <v>150.88</v>
      </c>
      <c r="E924" s="4"/>
      <c r="F924" s="4"/>
      <c r="G924" s="4"/>
      <c r="H924" s="4"/>
      <c r="I924" s="4"/>
      <c r="J924" s="4">
        <f>SUM(J922:J923)</f>
        <v>149.34699999999998</v>
      </c>
    </row>
    <row r="925" spans="1:10">
      <c r="A925" s="4" t="s">
        <v>933</v>
      </c>
      <c r="B925" s="4"/>
      <c r="C925" s="4"/>
      <c r="D925" s="4"/>
      <c r="E925" s="4"/>
      <c r="F925" s="4"/>
      <c r="G925" s="4"/>
      <c r="H925" s="4"/>
      <c r="I925" s="4"/>
      <c r="J925" s="4"/>
    </row>
    <row r="926" spans="1:10">
      <c r="A926" s="4" t="s">
        <v>1057</v>
      </c>
      <c r="B926" s="4"/>
      <c r="C926" s="4" t="s">
        <v>720</v>
      </c>
      <c r="D926" s="4">
        <v>59.52</v>
      </c>
      <c r="E926" s="4"/>
      <c r="F926" s="4"/>
      <c r="G926" s="4"/>
      <c r="H926" s="4"/>
      <c r="I926" s="4"/>
      <c r="J926" s="4">
        <f>34.176+25.22</f>
        <v>59.396000000000001</v>
      </c>
    </row>
    <row r="927" spans="1:10">
      <c r="A927" s="4"/>
      <c r="B927" s="4"/>
      <c r="C927" s="4" t="s">
        <v>1078</v>
      </c>
      <c r="D927" s="4">
        <v>18.84</v>
      </c>
      <c r="E927" s="4"/>
      <c r="F927" s="4"/>
      <c r="G927" s="4"/>
      <c r="H927" s="4"/>
      <c r="I927" s="4"/>
      <c r="J927" s="4">
        <v>18.387</v>
      </c>
    </row>
    <row r="928" spans="1:10">
      <c r="A928" s="4"/>
      <c r="B928" s="4"/>
      <c r="C928" s="4" t="s">
        <v>1079</v>
      </c>
      <c r="D928" s="4">
        <v>8.06</v>
      </c>
      <c r="E928" s="4"/>
      <c r="F928" s="4"/>
      <c r="G928" s="4"/>
      <c r="H928" s="4"/>
      <c r="I928" s="4"/>
      <c r="J928" s="4">
        <v>7.7859999999999996</v>
      </c>
    </row>
    <row r="929" spans="1:10">
      <c r="A929" s="4"/>
      <c r="B929" s="4"/>
      <c r="C929" s="4" t="s">
        <v>1080</v>
      </c>
      <c r="D929" s="4">
        <v>53.78</v>
      </c>
      <c r="E929" s="4"/>
      <c r="F929" s="4"/>
      <c r="G929" s="4"/>
      <c r="H929" s="4"/>
      <c r="I929" s="4"/>
      <c r="J929" s="4">
        <f>12.333+23.107+17.026</f>
        <v>52.465999999999994</v>
      </c>
    </row>
    <row r="930" spans="1:10">
      <c r="A930" s="4"/>
      <c r="B930" s="4"/>
      <c r="C930" s="4" t="s">
        <v>1081</v>
      </c>
      <c r="D930" s="4">
        <f>27.38-1.2</f>
        <v>26.18</v>
      </c>
      <c r="E930" s="4"/>
      <c r="F930" s="4"/>
      <c r="G930" s="4"/>
      <c r="H930" s="4"/>
      <c r="I930" s="4"/>
      <c r="J930" s="4">
        <v>29.513000000000002</v>
      </c>
    </row>
    <row r="931" spans="1:10">
      <c r="A931" s="4"/>
      <c r="B931" s="4"/>
      <c r="C931" s="4" t="s">
        <v>1082</v>
      </c>
      <c r="D931" s="4">
        <v>1.2</v>
      </c>
      <c r="E931" s="4"/>
      <c r="F931" s="4"/>
      <c r="G931" s="4"/>
      <c r="H931" s="4"/>
      <c r="I931" s="4"/>
      <c r="J931" s="4">
        <v>1.5649999999999999</v>
      </c>
    </row>
    <row r="932" spans="1:10">
      <c r="A932" s="4"/>
      <c r="B932" s="4"/>
      <c r="C932" s="4" t="s">
        <v>1083</v>
      </c>
      <c r="D932" s="4">
        <v>54.92</v>
      </c>
      <c r="E932" s="4"/>
      <c r="F932" s="4"/>
      <c r="G932" s="4"/>
      <c r="H932" s="4"/>
      <c r="I932" s="4"/>
      <c r="J932" s="4">
        <f>10.276+22.45+13.526+6.482</f>
        <v>52.733999999999995</v>
      </c>
    </row>
    <row r="933" spans="1:10">
      <c r="A933" s="4"/>
      <c r="B933" s="4"/>
      <c r="C933" s="4"/>
      <c r="D933" s="4">
        <f>SUM(D926:D932)</f>
        <v>222.5</v>
      </c>
      <c r="E933" s="4"/>
      <c r="F933" s="4"/>
      <c r="G933" s="4"/>
      <c r="H933" s="4"/>
      <c r="I933" s="4"/>
      <c r="J933" s="4">
        <f>SUM(J926:J932)</f>
        <v>221.84699999999998</v>
      </c>
    </row>
    <row r="934" spans="1:10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spans="1:10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spans="1:10">
      <c r="A936" s="4"/>
      <c r="B936" s="4"/>
      <c r="C936" s="4" t="s">
        <v>937</v>
      </c>
      <c r="D936" s="4">
        <f>+D768+D780+D783+D794+D799+D805+D815+D820+D832+D836+D841+D847+D853+D857+D863+D869+D873+D879+D891+D896+D907+D913+D920+D924+D933</f>
        <v>4024.1539999999995</v>
      </c>
      <c r="E936" s="4"/>
      <c r="F936" s="4"/>
      <c r="G936" s="4"/>
      <c r="H936" s="4"/>
      <c r="I936" s="4"/>
      <c r="J936" s="4">
        <f>+J768+J780+J783+J794+J799+J805+J815+J820+J832+J836+J841+J847+J853+J857+J863+J869+J873+J879+J891+J896+J907+J913+J920+J924+J933</f>
        <v>3949.8090000000002</v>
      </c>
    </row>
    <row r="937" spans="1:10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spans="1:10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spans="1:10">
      <c r="A939" s="4" t="s">
        <v>1084</v>
      </c>
      <c r="B939" s="4"/>
      <c r="C939" s="4" t="s">
        <v>504</v>
      </c>
      <c r="D939" s="4">
        <v>119.83</v>
      </c>
      <c r="E939" s="4"/>
      <c r="F939" s="4"/>
      <c r="G939" s="4"/>
      <c r="H939" s="4"/>
      <c r="I939" s="4"/>
      <c r="J939" s="4">
        <f>49.191+10.928+17.766+30.844+11.62</f>
        <v>120.34899999999999</v>
      </c>
    </row>
    <row r="940" spans="1:10">
      <c r="A940" s="4"/>
      <c r="B940" s="4"/>
      <c r="C940" s="4" t="s">
        <v>645</v>
      </c>
      <c r="D940" s="4">
        <v>32.58</v>
      </c>
      <c r="E940" s="4"/>
      <c r="F940" s="4"/>
      <c r="G940" s="4"/>
      <c r="H940" s="4"/>
      <c r="I940" s="4"/>
      <c r="J940" s="4">
        <f>15.829+18.158</f>
        <v>33.987000000000002</v>
      </c>
    </row>
    <row r="941" spans="1:10">
      <c r="A941" s="4"/>
      <c r="B941" s="4"/>
      <c r="C941" s="4"/>
      <c r="D941" s="4">
        <f>SUM(D939:D940)</f>
        <v>152.41</v>
      </c>
      <c r="E941" s="4"/>
      <c r="F941" s="4"/>
      <c r="G941" s="4"/>
      <c r="H941" s="4"/>
      <c r="I941" s="4"/>
      <c r="J941" s="4">
        <f>SUM(J939:J940)</f>
        <v>154.33599999999998</v>
      </c>
    </row>
    <row r="942" spans="1:10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spans="1:10">
      <c r="A943" s="4" t="s">
        <v>1092</v>
      </c>
      <c r="B943" s="4"/>
      <c r="C943" s="4" t="s">
        <v>645</v>
      </c>
      <c r="D943" s="4">
        <v>14.15</v>
      </c>
      <c r="E943" s="4"/>
      <c r="F943" s="4"/>
      <c r="G943" s="4"/>
      <c r="H943" s="4"/>
      <c r="I943" s="4"/>
      <c r="J943" s="4">
        <v>7.4180000000000001</v>
      </c>
    </row>
    <row r="944" spans="1:10">
      <c r="A944" s="4"/>
      <c r="B944" s="4"/>
      <c r="C944" s="4" t="s">
        <v>757</v>
      </c>
      <c r="D944" s="4">
        <v>35.479999999999997</v>
      </c>
      <c r="E944" s="4"/>
      <c r="F944" s="4"/>
      <c r="G944" s="4"/>
      <c r="H944" s="4"/>
      <c r="I944" s="4"/>
      <c r="J944" s="4">
        <v>35.837000000000003</v>
      </c>
    </row>
    <row r="945" spans="1:12">
      <c r="A945" s="4"/>
      <c r="B945" s="4"/>
      <c r="C945" s="4" t="s">
        <v>1093</v>
      </c>
      <c r="D945" s="4">
        <v>64.02</v>
      </c>
      <c r="E945" s="4"/>
      <c r="F945" s="4"/>
      <c r="G945" s="4"/>
      <c r="H945" s="4"/>
      <c r="I945" s="4"/>
      <c r="J945" s="4">
        <f>5.372+15.55+42.64</f>
        <v>63.561999999999998</v>
      </c>
      <c r="L945">
        <f>J945-D945</f>
        <v>-0.45799999999999841</v>
      </c>
    </row>
    <row r="946" spans="1:12">
      <c r="A946" s="4"/>
      <c r="B946" s="4"/>
      <c r="C946" s="4" t="s">
        <v>1094</v>
      </c>
      <c r="D946" s="4">
        <v>19.010000000000002</v>
      </c>
      <c r="E946" s="4"/>
      <c r="F946" s="4"/>
      <c r="G946" s="4"/>
      <c r="H946" s="4"/>
      <c r="I946" s="4"/>
      <c r="J946" s="4">
        <v>18.914000000000001</v>
      </c>
    </row>
    <row r="947" spans="1:12">
      <c r="A947" s="4"/>
      <c r="B947" s="4"/>
      <c r="C947" s="4" t="s">
        <v>1095</v>
      </c>
      <c r="D947" s="4">
        <v>51.99</v>
      </c>
      <c r="E947" s="4"/>
      <c r="F947" s="4"/>
      <c r="G947" s="4"/>
      <c r="H947" s="4"/>
      <c r="I947" s="4"/>
      <c r="J947" s="4">
        <f>33.942+3.564+12.994</f>
        <v>50.5</v>
      </c>
    </row>
    <row r="948" spans="1:12">
      <c r="A948" s="4"/>
      <c r="B948" s="4"/>
      <c r="C948" s="4" t="s">
        <v>1096</v>
      </c>
      <c r="D948" s="4">
        <v>10.52</v>
      </c>
      <c r="E948" s="4"/>
      <c r="F948" s="4"/>
      <c r="G948" s="4"/>
      <c r="H948" s="4"/>
      <c r="I948" s="4"/>
      <c r="J948" s="4">
        <f>3.21+4.259</f>
        <v>7.4690000000000003</v>
      </c>
      <c r="L948">
        <f>J948-D948</f>
        <v>-3.0509999999999993</v>
      </c>
    </row>
    <row r="949" spans="1:12">
      <c r="A949" s="4"/>
      <c r="B949" s="4"/>
      <c r="C949" s="4" t="s">
        <v>1097</v>
      </c>
      <c r="D949" s="4">
        <v>46.52</v>
      </c>
      <c r="E949" s="4"/>
      <c r="F949" s="4"/>
      <c r="G949" s="4"/>
      <c r="H949" s="4"/>
      <c r="I949" s="4"/>
      <c r="J949" s="4">
        <f>6.04+20.694+10.279+8.56</f>
        <v>45.573</v>
      </c>
      <c r="L949">
        <f>J949-D949</f>
        <v>-0.94700000000000273</v>
      </c>
    </row>
    <row r="950" spans="1:12">
      <c r="A950" s="4"/>
      <c r="B950" s="4"/>
      <c r="C950" s="4"/>
      <c r="D950" s="4">
        <f>SUM(D943:D949)</f>
        <v>241.69000000000003</v>
      </c>
      <c r="E950" s="4"/>
      <c r="F950" s="4"/>
      <c r="G950" s="4"/>
      <c r="H950" s="4"/>
      <c r="I950" s="4"/>
      <c r="J950" s="4">
        <f>SUM(J943:J949)</f>
        <v>229.273</v>
      </c>
      <c r="L950">
        <f>SUM(L943:L949)</f>
        <v>-4.4560000000000004</v>
      </c>
    </row>
    <row r="951" spans="1:12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spans="1:12">
      <c r="A952" s="4" t="s">
        <v>1098</v>
      </c>
      <c r="B952" s="4"/>
      <c r="C952" s="4" t="s">
        <v>894</v>
      </c>
      <c r="D952" s="4">
        <v>25.88</v>
      </c>
      <c r="E952" s="4"/>
      <c r="F952" s="4"/>
      <c r="G952" s="4"/>
      <c r="H952" s="4"/>
      <c r="I952" s="4"/>
      <c r="J952" s="4">
        <f>9.134+13.428</f>
        <v>22.562000000000001</v>
      </c>
      <c r="L952" t="s">
        <v>204</v>
      </c>
    </row>
    <row r="953" spans="1:12">
      <c r="A953" s="4"/>
      <c r="B953" s="4"/>
      <c r="C953" s="4" t="s">
        <v>894</v>
      </c>
      <c r="D953" s="4">
        <f>13.2+12</f>
        <v>25.2</v>
      </c>
      <c r="E953" s="4"/>
      <c r="F953" s="4"/>
      <c r="G953" s="4"/>
      <c r="H953" s="4"/>
      <c r="I953" s="4"/>
      <c r="J953" s="4">
        <f>10.86+11.643</f>
        <v>22.503</v>
      </c>
      <c r="L953" t="s">
        <v>370</v>
      </c>
    </row>
    <row r="954" spans="1:12">
      <c r="A954" s="4"/>
      <c r="B954" s="4"/>
      <c r="C954" s="4" t="s">
        <v>894</v>
      </c>
      <c r="D954" s="4">
        <f>15.09</f>
        <v>15.09</v>
      </c>
      <c r="E954" s="4"/>
      <c r="F954" s="4"/>
      <c r="G954" s="4"/>
      <c r="H954" s="4"/>
      <c r="I954" s="4"/>
      <c r="J954" s="4">
        <f>8.179+12.8</f>
        <v>20.978999999999999</v>
      </c>
      <c r="L954" t="s">
        <v>172</v>
      </c>
    </row>
    <row r="955" spans="1:12">
      <c r="A955" s="4"/>
      <c r="B955" s="4"/>
      <c r="C955" s="4" t="s">
        <v>896</v>
      </c>
      <c r="D955" s="4">
        <v>96.7</v>
      </c>
      <c r="E955" s="4"/>
      <c r="F955" s="4"/>
      <c r="G955" s="4"/>
      <c r="H955" s="4"/>
      <c r="I955" s="4"/>
      <c r="J955" s="4">
        <f>27.998+1.768+34.093+7.338</f>
        <v>71.197000000000003</v>
      </c>
    </row>
    <row r="956" spans="1:12">
      <c r="A956" s="4"/>
      <c r="B956" s="4"/>
      <c r="C956" s="4"/>
      <c r="D956" s="4">
        <f>SUM(D952:D955)</f>
        <v>162.87</v>
      </c>
      <c r="E956" s="4"/>
      <c r="F956" s="4"/>
      <c r="G956" s="4"/>
      <c r="H956" s="4"/>
      <c r="I956" s="4"/>
      <c r="J956" s="4">
        <f>SUM(J952:J955)</f>
        <v>137.24099999999999</v>
      </c>
    </row>
    <row r="957" spans="1:12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spans="1:12">
      <c r="A958" s="4" t="s">
        <v>1047</v>
      </c>
      <c r="B958" s="4"/>
      <c r="C958" s="4" t="s">
        <v>896</v>
      </c>
      <c r="D958" s="4">
        <v>26.94</v>
      </c>
      <c r="E958" s="4"/>
      <c r="F958" s="4"/>
      <c r="G958" s="4"/>
      <c r="H958" s="4"/>
      <c r="I958" s="4"/>
      <c r="J958" s="4">
        <f>19.46+41.587</f>
        <v>61.047000000000004</v>
      </c>
    </row>
    <row r="959" spans="1:12">
      <c r="A959" s="4"/>
      <c r="B959" s="4"/>
      <c r="C959" s="4" t="s">
        <v>895</v>
      </c>
      <c r="D959" s="4">
        <v>154.16999999999999</v>
      </c>
      <c r="E959" s="4"/>
      <c r="F959" s="4"/>
      <c r="G959" s="4"/>
      <c r="H959" s="4"/>
      <c r="I959" s="4"/>
      <c r="J959" s="4">
        <f>38.931+30.815+33.929+24.49+24.447+0.386</f>
        <v>152.99799999999999</v>
      </c>
    </row>
    <row r="960" spans="1:12">
      <c r="A960" s="4"/>
      <c r="B960" s="4"/>
      <c r="C960" s="4" t="s">
        <v>894</v>
      </c>
      <c r="D960" s="4">
        <v>20.190000000000001</v>
      </c>
      <c r="E960" s="4"/>
      <c r="F960" s="4"/>
      <c r="G960" s="4"/>
      <c r="H960" s="4"/>
      <c r="I960" s="4"/>
      <c r="J960" s="4"/>
    </row>
    <row r="961" spans="1:10">
      <c r="A961" s="4"/>
      <c r="B961" s="4"/>
      <c r="C961" s="4"/>
      <c r="D961" s="4">
        <f>SUM(D958:D960)</f>
        <v>201.29999999999998</v>
      </c>
      <c r="E961" s="4"/>
      <c r="F961" s="4"/>
      <c r="G961" s="4"/>
      <c r="H961" s="4"/>
      <c r="I961" s="4"/>
      <c r="J961" s="4">
        <f>SUM(J958:J960)</f>
        <v>214.04499999999999</v>
      </c>
    </row>
    <row r="962" spans="1:10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spans="1:10">
      <c r="A963" s="4" t="s">
        <v>1048</v>
      </c>
      <c r="B963" s="4"/>
      <c r="C963" s="4" t="s">
        <v>894</v>
      </c>
      <c r="D963" s="4">
        <v>58.36</v>
      </c>
      <c r="E963" s="4"/>
      <c r="F963" s="4"/>
      <c r="G963" s="4"/>
      <c r="H963" s="4"/>
      <c r="I963" s="4"/>
      <c r="J963" s="4">
        <f>33.055+5.394+40.38</f>
        <v>78.829000000000008</v>
      </c>
    </row>
    <row r="964" spans="1:10">
      <c r="A964" s="4"/>
      <c r="B964" s="4"/>
      <c r="C964" s="4" t="s">
        <v>897</v>
      </c>
      <c r="D964" s="4">
        <v>18.64</v>
      </c>
      <c r="E964" s="4"/>
      <c r="F964" s="4"/>
      <c r="G964" s="4"/>
      <c r="H964" s="4"/>
      <c r="I964" s="4"/>
      <c r="J964" s="4">
        <f>7.948+10.933</f>
        <v>18.881</v>
      </c>
    </row>
    <row r="965" spans="1:10">
      <c r="A965" s="4"/>
      <c r="B965" s="4"/>
      <c r="C965" s="4" t="s">
        <v>893</v>
      </c>
      <c r="D965" s="4">
        <v>65.39</v>
      </c>
      <c r="E965" s="4"/>
      <c r="F965" s="4"/>
      <c r="G965" s="4"/>
      <c r="H965" s="4"/>
      <c r="I965" s="4"/>
      <c r="J965" s="4">
        <f>10.854+20.306+18.898+6.637+7.362+3.155</f>
        <v>67.212000000000003</v>
      </c>
    </row>
    <row r="966" spans="1:10">
      <c r="A966" s="4"/>
      <c r="B966" s="4"/>
      <c r="C966" s="4" t="s">
        <v>1101</v>
      </c>
      <c r="D966" s="4">
        <v>2.97</v>
      </c>
      <c r="E966" s="4"/>
      <c r="F966" s="4"/>
      <c r="G966" s="4"/>
      <c r="H966" s="4"/>
      <c r="I966" s="4"/>
      <c r="J966" s="4">
        <v>2.7839999999999998</v>
      </c>
    </row>
    <row r="967" spans="1:10">
      <c r="A967" s="4"/>
      <c r="B967" s="4"/>
      <c r="C967" s="4" t="s">
        <v>1102</v>
      </c>
      <c r="D967" s="4">
        <v>3.38</v>
      </c>
      <c r="E967" s="4"/>
      <c r="F967" s="4"/>
      <c r="G967" s="4"/>
      <c r="H967" s="4"/>
      <c r="I967" s="4"/>
      <c r="J967" s="4">
        <v>3.3780000000000001</v>
      </c>
    </row>
    <row r="968" spans="1:10">
      <c r="A968" s="4"/>
      <c r="B968" s="4"/>
      <c r="C968" s="4"/>
      <c r="D968" s="4">
        <f>SUM(D963:D967)</f>
        <v>148.73999999999998</v>
      </c>
      <c r="E968" s="4"/>
      <c r="F968" s="4"/>
      <c r="G968" s="4"/>
      <c r="H968" s="4"/>
      <c r="I968" s="4"/>
      <c r="J968" s="4">
        <f>SUM(J963:J967)</f>
        <v>171.084</v>
      </c>
    </row>
    <row r="969" spans="1:10">
      <c r="A969" s="4" t="s">
        <v>1029</v>
      </c>
      <c r="B969" s="4"/>
      <c r="C969" s="4"/>
      <c r="D969" s="4"/>
      <c r="E969" s="4"/>
      <c r="F969" s="4"/>
      <c r="G969" s="4"/>
      <c r="H969" s="4"/>
      <c r="I969" s="4"/>
      <c r="J969" s="4"/>
    </row>
    <row r="970" spans="1:10">
      <c r="A970" s="4" t="s">
        <v>1087</v>
      </c>
      <c r="B970" s="4"/>
      <c r="C970" s="4" t="s">
        <v>1103</v>
      </c>
      <c r="D970" s="4">
        <v>94.415000000000006</v>
      </c>
      <c r="E970" s="4"/>
      <c r="F970" s="4"/>
      <c r="G970" s="4"/>
      <c r="H970" s="4"/>
      <c r="I970" s="4"/>
      <c r="J970" s="4">
        <f>26.187+31.098+23.068+15.078</f>
        <v>95.430999999999997</v>
      </c>
    </row>
    <row r="971" spans="1:10">
      <c r="A971" s="4"/>
      <c r="B971" s="4"/>
      <c r="C971" s="4" t="s">
        <v>867</v>
      </c>
      <c r="D971" s="4">
        <v>7.2</v>
      </c>
      <c r="E971" s="4"/>
      <c r="F971" s="4"/>
      <c r="G971" s="4"/>
      <c r="H971" s="4"/>
      <c r="I971" s="4"/>
      <c r="J971" s="4">
        <v>7.2279999999999998</v>
      </c>
    </row>
    <row r="972" spans="1:10">
      <c r="A972" s="4"/>
      <c r="B972" s="4"/>
      <c r="C972" s="4" t="s">
        <v>1104</v>
      </c>
      <c r="D972" s="4">
        <v>4.09</v>
      </c>
      <c r="E972" s="4"/>
      <c r="F972" s="4"/>
      <c r="G972" s="4"/>
      <c r="H972" s="4"/>
      <c r="I972" s="4"/>
      <c r="J972" s="4">
        <v>4.1550000000000002</v>
      </c>
    </row>
    <row r="973" spans="1:10">
      <c r="A973" s="4"/>
      <c r="B973" s="4"/>
      <c r="C973" s="4" t="s">
        <v>1105</v>
      </c>
      <c r="D973" s="4">
        <v>1.21</v>
      </c>
      <c r="E973" s="4"/>
      <c r="F973" s="4"/>
      <c r="G973" s="4"/>
      <c r="H973" s="4"/>
      <c r="I973" s="4"/>
      <c r="J973" s="4">
        <v>1.1990000000000001</v>
      </c>
    </row>
    <row r="974" spans="1:10">
      <c r="A974" s="4"/>
      <c r="B974" s="4"/>
      <c r="C974" s="4" t="s">
        <v>1106</v>
      </c>
      <c r="D974" s="4">
        <v>6.87</v>
      </c>
      <c r="E974" s="4"/>
      <c r="F974" s="4"/>
      <c r="G974" s="4"/>
      <c r="H974" s="4"/>
      <c r="I974" s="4"/>
      <c r="J974" s="4">
        <v>6.7119999999999997</v>
      </c>
    </row>
    <row r="975" spans="1:10">
      <c r="A975" s="4"/>
      <c r="B975" s="4"/>
      <c r="C975" s="4" t="s">
        <v>1107</v>
      </c>
      <c r="D975" s="4">
        <v>2.82</v>
      </c>
      <c r="E975" s="4"/>
      <c r="F975" s="4"/>
      <c r="G975" s="4"/>
      <c r="H975" s="4"/>
      <c r="I975" s="4"/>
      <c r="J975" s="4">
        <v>2.4580000000000002</v>
      </c>
    </row>
    <row r="976" spans="1:10">
      <c r="A976" s="4"/>
      <c r="B976" s="4"/>
      <c r="C976" s="4" t="s">
        <v>707</v>
      </c>
      <c r="D976" s="4">
        <f>15.87+4.83</f>
        <v>20.7</v>
      </c>
      <c r="E976" s="4"/>
      <c r="F976" s="4"/>
      <c r="G976" s="4"/>
      <c r="H976" s="4"/>
      <c r="I976" s="4"/>
      <c r="J976" s="4">
        <f>9.305+11.494</f>
        <v>20.798999999999999</v>
      </c>
    </row>
    <row r="977" spans="1:10">
      <c r="A977" s="4"/>
      <c r="B977" s="4"/>
      <c r="C977" s="4" t="s">
        <v>1007</v>
      </c>
      <c r="D977" s="4">
        <v>5.42</v>
      </c>
      <c r="E977" s="4"/>
      <c r="F977" s="4"/>
      <c r="G977" s="4"/>
      <c r="H977" s="4"/>
      <c r="I977" s="4"/>
      <c r="J977" s="4">
        <v>5.2640000000000002</v>
      </c>
    </row>
    <row r="978" spans="1:10">
      <c r="A978" s="4"/>
      <c r="B978" s="4"/>
      <c r="C978" s="4" t="s">
        <v>1006</v>
      </c>
      <c r="D978" s="4">
        <v>7.44</v>
      </c>
      <c r="E978" s="4"/>
      <c r="F978" s="4"/>
      <c r="G978" s="4"/>
      <c r="H978" s="4"/>
      <c r="I978" s="4"/>
      <c r="J978" s="4">
        <f>2.708+4.202</f>
        <v>6.91</v>
      </c>
    </row>
    <row r="979" spans="1:10">
      <c r="A979" s="4"/>
      <c r="B979" s="4"/>
      <c r="C979" s="4"/>
      <c r="D979" s="4">
        <f>SUM(D970:D978)</f>
        <v>150.16499999999999</v>
      </c>
      <c r="E979" s="4"/>
      <c r="F979" s="4"/>
      <c r="G979" s="4"/>
      <c r="H979" s="4"/>
      <c r="I979" s="4"/>
      <c r="J979" s="4">
        <f>SUM(J970:J978)</f>
        <v>150.15600000000001</v>
      </c>
    </row>
    <row r="980" spans="1:1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spans="1:10">
      <c r="A981" s="4" t="s">
        <v>1088</v>
      </c>
      <c r="B981" s="4"/>
      <c r="C981" s="4" t="s">
        <v>1108</v>
      </c>
      <c r="D981" s="4">
        <v>0.76</v>
      </c>
      <c r="E981" s="4"/>
      <c r="F981" s="4"/>
      <c r="G981" s="4"/>
      <c r="H981" s="4"/>
      <c r="I981" s="4"/>
      <c r="J981" s="4"/>
    </row>
    <row r="982" spans="1:10">
      <c r="A982" s="4"/>
      <c r="B982" s="4"/>
      <c r="C982" s="4"/>
      <c r="D982" s="4">
        <f>SUM(D981)</f>
        <v>0.76</v>
      </c>
      <c r="E982" s="4" t="s">
        <v>1111</v>
      </c>
      <c r="F982" s="4"/>
      <c r="G982" s="4"/>
      <c r="H982" s="4"/>
      <c r="I982" s="4"/>
      <c r="J982" s="4"/>
    </row>
    <row r="983" spans="1:10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spans="1:10">
      <c r="A984" s="4" t="s">
        <v>1049</v>
      </c>
      <c r="B984" s="4"/>
      <c r="C984" s="4" t="s">
        <v>1108</v>
      </c>
      <c r="D984" s="4">
        <v>31.64</v>
      </c>
      <c r="E984" s="4"/>
      <c r="F984" s="4"/>
      <c r="G984" s="4"/>
      <c r="H984" s="4"/>
      <c r="I984" s="4"/>
      <c r="J984" s="4">
        <f>19.681+14.241</f>
        <v>33.921999999999997</v>
      </c>
    </row>
    <row r="985" spans="1:10">
      <c r="A985" s="4"/>
      <c r="B985" s="4"/>
      <c r="C985" s="4" t="s">
        <v>998</v>
      </c>
      <c r="D985" s="4">
        <v>15.22</v>
      </c>
      <c r="E985" s="4"/>
      <c r="F985" s="4"/>
      <c r="G985" s="4"/>
      <c r="H985" s="4"/>
      <c r="I985" s="4"/>
      <c r="J985" s="4">
        <f>7.242+9.146</f>
        <v>16.388000000000002</v>
      </c>
    </row>
    <row r="986" spans="1:10">
      <c r="A986" s="4"/>
      <c r="B986" s="4"/>
      <c r="C986" s="4" t="s">
        <v>997</v>
      </c>
      <c r="D986" s="4">
        <v>10.67</v>
      </c>
      <c r="E986" s="4"/>
      <c r="F986" s="4"/>
      <c r="G986" s="4"/>
      <c r="H986" s="4"/>
      <c r="I986" s="4"/>
      <c r="J986" s="4">
        <f>5.587+6.071</f>
        <v>11.657999999999999</v>
      </c>
    </row>
    <row r="987" spans="1:10">
      <c r="A987" s="4"/>
      <c r="B987" s="4"/>
      <c r="C987" s="4" t="s">
        <v>1112</v>
      </c>
      <c r="D987" s="4">
        <v>1.06</v>
      </c>
      <c r="E987" s="4"/>
      <c r="F987" s="4"/>
      <c r="G987" s="4"/>
      <c r="H987" s="4"/>
      <c r="I987" s="4"/>
      <c r="J987" s="4">
        <v>1.056</v>
      </c>
    </row>
    <row r="988" spans="1:10">
      <c r="A988" s="4"/>
      <c r="B988" s="4"/>
      <c r="C988" s="4" t="s">
        <v>1113</v>
      </c>
      <c r="D988" s="4">
        <f>4.26+0.8</f>
        <v>5.0599999999999996</v>
      </c>
      <c r="E988" s="4"/>
      <c r="F988" s="4"/>
      <c r="G988" s="4"/>
      <c r="H988" s="4"/>
      <c r="I988" s="4"/>
      <c r="J988" s="4">
        <v>5.4210000000000003</v>
      </c>
    </row>
    <row r="989" spans="1:10">
      <c r="A989" s="4"/>
      <c r="B989" s="4"/>
      <c r="C989" s="4" t="s">
        <v>1114</v>
      </c>
      <c r="D989" s="4">
        <v>2.8</v>
      </c>
      <c r="E989" s="4"/>
      <c r="F989" s="4"/>
      <c r="G989" s="4"/>
      <c r="H989" s="4"/>
      <c r="I989" s="4"/>
      <c r="J989" s="4">
        <v>3.2429999999999999</v>
      </c>
    </row>
    <row r="990" spans="1:10">
      <c r="A990" s="4"/>
      <c r="B990" s="4"/>
      <c r="C990" s="4" t="s">
        <v>1115</v>
      </c>
      <c r="D990" s="4">
        <v>21.63</v>
      </c>
      <c r="E990" s="4"/>
      <c r="F990" s="4"/>
      <c r="G990" s="4"/>
      <c r="H990" s="4"/>
      <c r="I990" s="4"/>
      <c r="J990" s="4">
        <f>7.998+13.891</f>
        <v>21.888999999999999</v>
      </c>
    </row>
    <row r="991" spans="1:10">
      <c r="A991" s="4"/>
      <c r="B991" s="4"/>
      <c r="C991" s="4" t="s">
        <v>996</v>
      </c>
      <c r="D991" s="4">
        <v>16.64</v>
      </c>
      <c r="E991" s="4"/>
      <c r="F991" s="4"/>
      <c r="G991" s="4"/>
      <c r="H991" s="4"/>
      <c r="I991" s="4"/>
      <c r="J991" s="4">
        <f>7.965+8.206</f>
        <v>16.170999999999999</v>
      </c>
    </row>
    <row r="992" spans="1:10">
      <c r="A992" s="4"/>
      <c r="B992" s="4"/>
      <c r="C992" s="4" t="s">
        <v>995</v>
      </c>
      <c r="D992" s="4">
        <v>15.85</v>
      </c>
      <c r="E992" s="4"/>
      <c r="F992" s="4"/>
      <c r="G992" s="4"/>
      <c r="H992" s="4"/>
      <c r="I992" s="4"/>
      <c r="J992" s="4">
        <f>6.887+9.705</f>
        <v>16.591999999999999</v>
      </c>
    </row>
    <row r="993" spans="1:12">
      <c r="A993" s="4"/>
      <c r="B993" s="4"/>
      <c r="C993" s="4" t="s">
        <v>740</v>
      </c>
      <c r="D993" s="4">
        <v>13.65</v>
      </c>
      <c r="E993" s="4"/>
      <c r="F993" s="4"/>
      <c r="G993" s="4"/>
      <c r="H993" s="4"/>
      <c r="I993" s="4"/>
      <c r="J993" s="4">
        <f>7.617+5.526</f>
        <v>13.143000000000001</v>
      </c>
    </row>
    <row r="994" spans="1:12">
      <c r="A994" s="4"/>
      <c r="B994" s="4"/>
      <c r="C994" s="4"/>
      <c r="D994" s="4">
        <f>SUM(D984:D993)</f>
        <v>134.22</v>
      </c>
      <c r="E994" s="4"/>
      <c r="F994" s="4"/>
      <c r="G994" s="4"/>
      <c r="H994" s="4"/>
      <c r="I994" s="4"/>
      <c r="J994" s="4">
        <f>SUM(J984:J993)</f>
        <v>139.483</v>
      </c>
    </row>
    <row r="995" spans="1:12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spans="1:12">
      <c r="A996" s="4" t="s">
        <v>1050</v>
      </c>
      <c r="B996" s="4"/>
      <c r="C996" s="4" t="s">
        <v>1117</v>
      </c>
      <c r="D996" s="4">
        <v>49.64</v>
      </c>
      <c r="E996" s="4"/>
      <c r="F996" s="4"/>
      <c r="G996" s="4"/>
      <c r="H996" s="4"/>
      <c r="I996" s="4"/>
      <c r="J996" s="4">
        <f>30.605+21.056</f>
        <v>51.661000000000001</v>
      </c>
    </row>
    <row r="997" spans="1:12">
      <c r="A997" s="4"/>
      <c r="B997" s="4"/>
      <c r="C997" s="4" t="s">
        <v>1118</v>
      </c>
      <c r="D997" s="4">
        <v>47.95</v>
      </c>
      <c r="E997" s="4"/>
      <c r="F997" s="4"/>
      <c r="G997" s="4"/>
      <c r="H997" s="4"/>
      <c r="I997" s="4"/>
      <c r="J997" s="4">
        <f>24.035+20.828+1.102</f>
        <v>45.964999999999996</v>
      </c>
    </row>
    <row r="998" spans="1:12">
      <c r="A998" s="4"/>
      <c r="B998" s="4"/>
      <c r="C998" s="4" t="s">
        <v>879</v>
      </c>
      <c r="D998" s="4">
        <v>36.950000000000003</v>
      </c>
      <c r="E998" s="4"/>
      <c r="F998" s="4"/>
      <c r="G998" s="4"/>
      <c r="H998" s="4"/>
      <c r="I998" s="4"/>
      <c r="J998" s="4">
        <v>35.064</v>
      </c>
    </row>
    <row r="999" spans="1:12">
      <c r="A999" s="4"/>
      <c r="B999" s="4"/>
      <c r="C999" s="4" t="s">
        <v>1119</v>
      </c>
      <c r="D999" s="4">
        <v>5.0599999999999996</v>
      </c>
      <c r="E999" s="4"/>
      <c r="F999" s="4"/>
      <c r="G999" s="4"/>
      <c r="H999" s="4"/>
      <c r="I999" s="4"/>
      <c r="J999" s="4">
        <f>2.714+2.268</f>
        <v>4.9819999999999993</v>
      </c>
    </row>
    <row r="1000" spans="1:12">
      <c r="A1000" s="4"/>
      <c r="B1000" s="4"/>
      <c r="C1000" s="4" t="s">
        <v>1120</v>
      </c>
      <c r="D1000" s="4">
        <v>4.93</v>
      </c>
      <c r="E1000" s="4"/>
      <c r="F1000" s="4"/>
      <c r="G1000" s="4"/>
      <c r="H1000" s="4"/>
      <c r="I1000" s="4"/>
      <c r="J1000" s="4">
        <f>4.9+0.468</f>
        <v>5.3680000000000003</v>
      </c>
    </row>
    <row r="1001" spans="1:12">
      <c r="A1001" s="4"/>
      <c r="B1001" s="4"/>
      <c r="C1001" s="4" t="s">
        <v>1121</v>
      </c>
      <c r="D1001" s="4">
        <v>6.2</v>
      </c>
      <c r="E1001" s="4"/>
      <c r="F1001" s="4"/>
      <c r="G1001" s="4"/>
      <c r="H1001" s="4"/>
      <c r="I1001" s="4"/>
      <c r="J1001" s="4">
        <v>6.0890000000000004</v>
      </c>
    </row>
    <row r="1002" spans="1:12">
      <c r="A1002" s="4"/>
      <c r="B1002" s="4"/>
      <c r="C1002" s="4" t="s">
        <v>878</v>
      </c>
      <c r="D1002" s="4">
        <v>32.29</v>
      </c>
      <c r="E1002" s="4"/>
      <c r="F1002" s="4"/>
      <c r="G1002" s="4"/>
      <c r="H1002" s="4"/>
      <c r="I1002" s="4"/>
      <c r="J1002" s="4">
        <f>20.448+11.265</f>
        <v>31.713000000000001</v>
      </c>
    </row>
    <row r="1003" spans="1:12">
      <c r="A1003" s="4"/>
      <c r="B1003" s="4"/>
      <c r="C1003" s="4"/>
      <c r="D1003" s="4">
        <f>SUM(D996:D1002)</f>
        <v>183.02</v>
      </c>
      <c r="E1003" s="4"/>
      <c r="F1003" s="4"/>
      <c r="G1003" s="4"/>
      <c r="H1003" s="4"/>
      <c r="I1003" s="4"/>
      <c r="J1003" s="4">
        <f>SUM(J996:J1002)</f>
        <v>180.84199999999998</v>
      </c>
    </row>
    <row r="1004" spans="1:12">
      <c r="A1004" s="4"/>
      <c r="B1004" s="4"/>
      <c r="C1004" s="4"/>
      <c r="D1004" s="4"/>
      <c r="E1004" s="4"/>
      <c r="F1004" s="4"/>
      <c r="G1004" s="4"/>
      <c r="H1004" s="4"/>
      <c r="I1004" s="4"/>
      <c r="J1004" s="4"/>
    </row>
    <row r="1005" spans="1:12">
      <c r="A1005" s="4" t="s">
        <v>1051</v>
      </c>
      <c r="B1005" s="4"/>
      <c r="C1005" s="4" t="s">
        <v>963</v>
      </c>
      <c r="D1005" s="4">
        <v>161.54</v>
      </c>
      <c r="E1005" s="4"/>
      <c r="F1005" s="4"/>
      <c r="G1005" s="4"/>
      <c r="H1005" s="4"/>
      <c r="I1005" s="4"/>
      <c r="J1005" s="4">
        <f>21.752+70.822+52.373+9.228+41.928+7.251+9.228+6.152+0.659+0.231+0.213</f>
        <v>219.83699999999999</v>
      </c>
      <c r="L1005">
        <v>83</v>
      </c>
    </row>
    <row r="1006" spans="1:12">
      <c r="A1006" s="4"/>
      <c r="B1006" s="4"/>
      <c r="C1006" s="4" t="s">
        <v>963</v>
      </c>
      <c r="D1006" s="4">
        <f>7.91+18.46+12.53</f>
        <v>38.9</v>
      </c>
      <c r="E1006" s="4"/>
      <c r="F1006" s="4"/>
      <c r="G1006" s="4"/>
      <c r="H1006" s="4"/>
      <c r="I1006" s="4"/>
      <c r="J1006" s="4"/>
      <c r="L1006">
        <v>112</v>
      </c>
    </row>
    <row r="1007" spans="1:12">
      <c r="A1007" s="4"/>
      <c r="B1007" s="4"/>
      <c r="C1007" s="4"/>
      <c r="D1007" s="4">
        <f>SUM(D1005:D1006)</f>
        <v>200.44</v>
      </c>
      <c r="E1007" s="4"/>
      <c r="F1007" s="4"/>
      <c r="G1007" s="4"/>
      <c r="H1007" s="4"/>
      <c r="I1007" s="4"/>
      <c r="J1007" s="4">
        <f>SUM(J1005:J1006)</f>
        <v>219.83699999999999</v>
      </c>
    </row>
    <row r="1008" spans="1:12">
      <c r="A1008" s="4"/>
      <c r="B1008" s="4"/>
      <c r="C1008" s="4"/>
      <c r="D1008" s="4"/>
      <c r="E1008" s="4"/>
      <c r="F1008" s="4"/>
      <c r="G1008" s="4"/>
      <c r="H1008" s="4"/>
      <c r="I1008" s="4"/>
      <c r="J1008" s="4"/>
    </row>
    <row r="1009" spans="1:10">
      <c r="A1009" s="4" t="s">
        <v>1124</v>
      </c>
      <c r="B1009" s="4"/>
      <c r="C1009" s="4" t="s">
        <v>963</v>
      </c>
      <c r="D1009" s="4">
        <v>21.75</v>
      </c>
      <c r="E1009" s="4"/>
      <c r="F1009" s="4"/>
      <c r="G1009" s="4"/>
      <c r="H1009" s="4"/>
      <c r="I1009" s="4"/>
      <c r="J1009" s="4">
        <v>3.0640000000000001</v>
      </c>
    </row>
    <row r="1010" spans="1:10">
      <c r="A1010" s="4"/>
      <c r="B1010" s="4"/>
      <c r="C1010" s="4" t="s">
        <v>964</v>
      </c>
      <c r="D1010" s="4">
        <v>26.79</v>
      </c>
      <c r="E1010" s="4"/>
      <c r="F1010" s="4"/>
      <c r="G1010" s="4"/>
      <c r="H1010" s="4"/>
      <c r="I1010" s="4"/>
      <c r="J1010" s="4">
        <v>26.193999999999999</v>
      </c>
    </row>
    <row r="1011" spans="1:10">
      <c r="A1011" s="4"/>
      <c r="B1011" s="4"/>
      <c r="C1011" s="4" t="s">
        <v>1125</v>
      </c>
      <c r="D1011" s="4">
        <v>4.41</v>
      </c>
      <c r="E1011" s="4"/>
      <c r="F1011" s="4"/>
      <c r="G1011" s="4"/>
      <c r="H1011" s="4"/>
      <c r="I1011" s="4"/>
      <c r="J1011" s="4">
        <f>1.713+2.054</f>
        <v>3.7669999999999999</v>
      </c>
    </row>
    <row r="1012" spans="1:10">
      <c r="A1012" s="4"/>
      <c r="B1012" s="4"/>
      <c r="C1012" s="4" t="s">
        <v>1126</v>
      </c>
      <c r="D1012" s="4">
        <v>7.76</v>
      </c>
      <c r="E1012" s="4"/>
      <c r="F1012" s="4"/>
      <c r="G1012" s="4"/>
      <c r="H1012" s="4"/>
      <c r="I1012" s="4"/>
      <c r="J1012" s="4">
        <v>7.5819999999999999</v>
      </c>
    </row>
    <row r="1013" spans="1:10">
      <c r="A1013" s="4"/>
      <c r="B1013" s="4"/>
      <c r="C1013" s="4" t="s">
        <v>1127</v>
      </c>
      <c r="D1013" s="4">
        <v>3.96</v>
      </c>
      <c r="E1013" s="4"/>
      <c r="F1013" s="4"/>
      <c r="G1013" s="4"/>
      <c r="H1013" s="4"/>
      <c r="I1013" s="4"/>
      <c r="J1013" s="4">
        <v>3.9510000000000001</v>
      </c>
    </row>
    <row r="1014" spans="1:10">
      <c r="A1014" s="4"/>
      <c r="B1014" s="4"/>
      <c r="C1014" s="4" t="s">
        <v>1128</v>
      </c>
      <c r="D1014" s="4">
        <v>11.33</v>
      </c>
      <c r="E1014" s="4"/>
      <c r="F1014" s="4"/>
      <c r="G1014" s="4"/>
      <c r="H1014" s="4"/>
      <c r="I1014" s="4"/>
      <c r="J1014" s="4">
        <v>10.706</v>
      </c>
    </row>
    <row r="1015" spans="1:10">
      <c r="A1015" s="4"/>
      <c r="B1015" s="4"/>
      <c r="C1015" s="4" t="s">
        <v>1129</v>
      </c>
      <c r="D1015" s="4">
        <v>15.15</v>
      </c>
      <c r="E1015" s="4"/>
      <c r="F1015" s="4"/>
      <c r="G1015" s="4"/>
      <c r="H1015" s="4"/>
      <c r="I1015" s="4"/>
      <c r="J1015" s="4">
        <f>4.935+10.23</f>
        <v>15.164999999999999</v>
      </c>
    </row>
    <row r="1016" spans="1:10">
      <c r="A1016" s="4"/>
      <c r="B1016" s="4"/>
      <c r="C1016" s="4" t="s">
        <v>1130</v>
      </c>
      <c r="D1016" s="4">
        <v>3.81</v>
      </c>
      <c r="E1016" s="4"/>
      <c r="F1016" s="4"/>
      <c r="G1016" s="4"/>
      <c r="H1016" s="4"/>
      <c r="I1016" s="4"/>
      <c r="J1016" s="4">
        <v>3.714</v>
      </c>
    </row>
    <row r="1017" spans="1:10">
      <c r="A1017" s="4"/>
      <c r="B1017" s="4"/>
      <c r="C1017" s="4" t="s">
        <v>972</v>
      </c>
      <c r="D1017" s="4">
        <v>12.54</v>
      </c>
      <c r="E1017" s="4"/>
      <c r="F1017" s="4"/>
      <c r="G1017" s="4"/>
      <c r="H1017" s="4"/>
      <c r="I1017" s="4"/>
      <c r="J1017" s="4">
        <v>12.507</v>
      </c>
    </row>
    <row r="1018" spans="1:10">
      <c r="A1018" s="4"/>
      <c r="B1018" s="4"/>
      <c r="C1018" s="4" t="s">
        <v>973</v>
      </c>
      <c r="D1018" s="4">
        <v>16.32</v>
      </c>
      <c r="E1018" s="4"/>
      <c r="F1018" s="4"/>
      <c r="G1018" s="4"/>
      <c r="H1018" s="4"/>
      <c r="I1018" s="4"/>
      <c r="J1018" s="4">
        <f>9.532+6.652</f>
        <v>16.184000000000001</v>
      </c>
    </row>
    <row r="1019" spans="1:10">
      <c r="A1019" s="4"/>
      <c r="B1019" s="4"/>
      <c r="C1019" s="4"/>
      <c r="D1019" s="4">
        <f>SUM(D1009:D1018)</f>
        <v>123.82</v>
      </c>
      <c r="E1019" s="4"/>
      <c r="F1019" s="4"/>
      <c r="G1019" s="4"/>
      <c r="H1019" s="4"/>
      <c r="I1019" s="4"/>
      <c r="J1019" s="4">
        <f>SUM(J1009:J1018)</f>
        <v>102.834</v>
      </c>
    </row>
    <row r="1020" spans="1:10">
      <c r="A1020" s="4" t="s">
        <v>1131</v>
      </c>
      <c r="B1020" s="4"/>
      <c r="C1020" s="4"/>
      <c r="D1020" s="4"/>
      <c r="E1020" s="4"/>
      <c r="F1020" s="4"/>
      <c r="G1020" s="4"/>
      <c r="H1020" s="4"/>
      <c r="I1020" s="4"/>
      <c r="J1020" s="4"/>
    </row>
    <row r="1021" spans="1:10">
      <c r="A1021" s="4" t="s">
        <v>1132</v>
      </c>
      <c r="B1021" s="4"/>
      <c r="C1021" s="4" t="s">
        <v>631</v>
      </c>
      <c r="D1021" s="4">
        <v>81.260000000000005</v>
      </c>
      <c r="E1021" s="4"/>
      <c r="F1021" s="4"/>
      <c r="G1021" s="4"/>
      <c r="H1021" s="4"/>
      <c r="I1021" s="4"/>
      <c r="J1021" s="4">
        <f>14.53+21.091+32.466+13.19</f>
        <v>81.277000000000001</v>
      </c>
    </row>
    <row r="1022" spans="1:10">
      <c r="A1022" s="4"/>
      <c r="B1022" s="4"/>
      <c r="C1022" s="4" t="s">
        <v>632</v>
      </c>
      <c r="D1022" s="4">
        <v>41.74</v>
      </c>
      <c r="E1022" s="4"/>
      <c r="F1022" s="4"/>
      <c r="G1022" s="4"/>
      <c r="H1022" s="4"/>
      <c r="I1022" s="4"/>
      <c r="J1022" s="4">
        <f>4.127+7.92+18.125+9.613</f>
        <v>39.784999999999997</v>
      </c>
    </row>
    <row r="1023" spans="1:10">
      <c r="A1023" s="4"/>
      <c r="B1023" s="4"/>
      <c r="C1023" s="4" t="s">
        <v>635</v>
      </c>
      <c r="D1023" s="4">
        <v>109.98</v>
      </c>
      <c r="E1023" s="4"/>
      <c r="F1023" s="4"/>
      <c r="G1023" s="4"/>
      <c r="H1023" s="4"/>
      <c r="I1023" s="4"/>
      <c r="J1023" s="4">
        <f>46.192+31.312+2.175+20.232+11.832</f>
        <v>111.74299999999999</v>
      </c>
    </row>
    <row r="1024" spans="1:10">
      <c r="A1024" s="4"/>
      <c r="B1024" s="4"/>
      <c r="C1024" s="4" t="s">
        <v>1133</v>
      </c>
      <c r="D1024" s="4">
        <v>91.47</v>
      </c>
      <c r="E1024" s="4"/>
      <c r="F1024" s="4"/>
      <c r="G1024" s="4"/>
      <c r="H1024" s="4"/>
      <c r="I1024" s="4"/>
      <c r="J1024" s="4">
        <v>18.55</v>
      </c>
    </row>
    <row r="1025" spans="1:10">
      <c r="A1025" s="4"/>
      <c r="B1025" s="4"/>
      <c r="C1025" s="4"/>
      <c r="D1025" s="4">
        <f>SUM(D1021:D1024)</f>
        <v>324.45000000000005</v>
      </c>
      <c r="E1025" s="4"/>
      <c r="F1025" s="4"/>
      <c r="G1025" s="4"/>
      <c r="H1025" s="4"/>
      <c r="I1025" s="4"/>
      <c r="J1025" s="4">
        <f>SUM(J1021:J1024)</f>
        <v>251.35500000000002</v>
      </c>
    </row>
    <row r="1026" spans="1:10">
      <c r="A1026" s="4" t="s">
        <v>1134</v>
      </c>
      <c r="B1026" s="4"/>
      <c r="C1026" s="4"/>
      <c r="D1026" s="4"/>
      <c r="E1026" s="4"/>
      <c r="F1026" s="4"/>
      <c r="G1026" s="4"/>
      <c r="H1026" s="4"/>
      <c r="I1026" s="4"/>
      <c r="J1026" s="4"/>
    </row>
    <row r="1027" spans="1:10">
      <c r="A1027" s="4" t="s">
        <v>1135</v>
      </c>
      <c r="B1027" s="4"/>
      <c r="C1027" s="4" t="s">
        <v>1133</v>
      </c>
      <c r="D1027" s="4">
        <v>65.239999999999995</v>
      </c>
      <c r="E1027" s="4"/>
      <c r="F1027" s="4"/>
      <c r="G1027" s="4"/>
      <c r="H1027" s="4"/>
      <c r="I1027" s="4"/>
      <c r="J1027" s="4">
        <f>58.069+51.633+21.977</f>
        <v>131.679</v>
      </c>
    </row>
    <row r="1028" spans="1:10">
      <c r="A1028" s="4"/>
      <c r="B1028" s="4"/>
      <c r="C1028" s="4" t="s">
        <v>1136</v>
      </c>
      <c r="D1028" s="4">
        <v>3.11</v>
      </c>
      <c r="E1028" s="4"/>
      <c r="F1028" s="4"/>
      <c r="G1028" s="4"/>
      <c r="H1028" s="4"/>
      <c r="I1028" s="4"/>
      <c r="J1028" s="4">
        <v>3.0939999999999999</v>
      </c>
    </row>
    <row r="1029" spans="1:10">
      <c r="A1029" s="4"/>
      <c r="B1029" s="4"/>
      <c r="C1029" s="4" t="s">
        <v>948</v>
      </c>
      <c r="D1029" s="4">
        <v>10.49</v>
      </c>
      <c r="E1029" s="4"/>
      <c r="F1029" s="4"/>
      <c r="G1029" s="4"/>
      <c r="H1029" s="4"/>
      <c r="I1029" s="4"/>
      <c r="J1029" s="4">
        <f>6.677+3.381</f>
        <v>10.058</v>
      </c>
    </row>
    <row r="1030" spans="1:10">
      <c r="A1030" s="4"/>
      <c r="B1030" s="4"/>
      <c r="C1030" s="4" t="s">
        <v>949</v>
      </c>
      <c r="D1030" s="4">
        <v>5.65</v>
      </c>
      <c r="E1030" s="4"/>
      <c r="F1030" s="4"/>
      <c r="G1030" s="4"/>
      <c r="H1030" s="4"/>
      <c r="I1030" s="4"/>
      <c r="J1030" s="4">
        <v>5.1680000000000001</v>
      </c>
    </row>
    <row r="1031" spans="1:10">
      <c r="A1031" s="4"/>
      <c r="B1031" s="4"/>
      <c r="C1031" s="4" t="s">
        <v>1133</v>
      </c>
      <c r="D1031" s="4">
        <v>44.03</v>
      </c>
      <c r="E1031" s="4"/>
      <c r="F1031" s="4"/>
      <c r="G1031" s="4"/>
      <c r="H1031" s="4"/>
      <c r="I1031" s="4"/>
      <c r="J1031" s="4">
        <f>15.997+26.002</f>
        <v>41.998999999999995</v>
      </c>
    </row>
    <row r="1032" spans="1:10">
      <c r="A1032" s="4"/>
      <c r="B1032" s="4"/>
      <c r="C1032" s="4"/>
      <c r="D1032" s="4">
        <f>SUM(D1027:D1031)</f>
        <v>128.51999999999998</v>
      </c>
      <c r="E1032" s="4"/>
      <c r="F1032" s="4"/>
      <c r="G1032" s="4"/>
      <c r="H1032" s="4"/>
      <c r="I1032" s="4"/>
      <c r="J1032" s="4">
        <f>SUM(J1027:J1031)</f>
        <v>191.99799999999999</v>
      </c>
    </row>
    <row r="1033" spans="1:10">
      <c r="A1033" s="4" t="s">
        <v>1137</v>
      </c>
      <c r="B1033" s="4"/>
      <c r="C1033" s="4"/>
      <c r="D1033" s="4"/>
      <c r="E1033" s="4"/>
      <c r="F1033" s="4"/>
      <c r="G1033" s="4"/>
      <c r="H1033" s="4"/>
      <c r="I1033" s="4"/>
      <c r="J1033" s="4"/>
    </row>
    <row r="1034" spans="1:10">
      <c r="A1034" s="4" t="s">
        <v>1138</v>
      </c>
      <c r="B1034" s="4"/>
      <c r="C1034" s="4" t="s">
        <v>1139</v>
      </c>
      <c r="D1034" s="4">
        <v>182.45</v>
      </c>
      <c r="E1034" s="4"/>
      <c r="F1034" s="4"/>
      <c r="G1034" s="4"/>
      <c r="H1034" s="4"/>
      <c r="I1034" s="4"/>
      <c r="J1034" s="4">
        <f>43.478+62.999+31.581+44.87</f>
        <v>182.928</v>
      </c>
    </row>
    <row r="1035" spans="1:10">
      <c r="A1035" s="4"/>
      <c r="B1035" s="4"/>
      <c r="C1035" s="4"/>
      <c r="D1035" s="4">
        <f>SUM(D1034)</f>
        <v>182.45</v>
      </c>
      <c r="E1035" s="4"/>
      <c r="F1035" s="4"/>
      <c r="G1035" s="4"/>
      <c r="H1035" s="4"/>
      <c r="I1035" s="4"/>
      <c r="J1035" s="4">
        <f>SUM(J1034)</f>
        <v>182.928</v>
      </c>
    </row>
    <row r="1036" spans="1:10">
      <c r="A1036" s="4"/>
      <c r="B1036" s="4"/>
      <c r="C1036" s="4"/>
      <c r="D1036" s="4"/>
      <c r="E1036" s="4"/>
      <c r="F1036" s="4"/>
      <c r="G1036" s="4"/>
      <c r="H1036" s="4"/>
      <c r="I1036" s="4"/>
      <c r="J1036" s="4"/>
    </row>
    <row r="1037" spans="1:10">
      <c r="A1037" s="4" t="s">
        <v>1144</v>
      </c>
      <c r="B1037" s="4"/>
      <c r="C1037" s="4" t="s">
        <v>1139</v>
      </c>
      <c r="D1037" s="4">
        <f>111.7+4.99</f>
        <v>116.69</v>
      </c>
      <c r="E1037" s="4"/>
      <c r="F1037" s="4"/>
      <c r="G1037" s="4"/>
      <c r="H1037" s="4"/>
      <c r="I1037" s="4"/>
      <c r="J1037" s="4">
        <f>65.289+3.011+38.571+2.939</f>
        <v>109.81</v>
      </c>
    </row>
    <row r="1038" spans="1:10">
      <c r="A1038" s="4"/>
      <c r="B1038" s="4"/>
      <c r="C1038" s="4" t="s">
        <v>1145</v>
      </c>
      <c r="D1038" s="4">
        <f>12.83+24.67+19.73+14.8+9.19</f>
        <v>81.22</v>
      </c>
      <c r="E1038" s="4"/>
      <c r="F1038" s="4"/>
      <c r="G1038" s="4"/>
      <c r="H1038" s="4"/>
      <c r="I1038" s="4"/>
      <c r="J1038" s="4">
        <f>20.725+17.76+41.702</f>
        <v>80.186999999999998</v>
      </c>
    </row>
    <row r="1039" spans="1:10">
      <c r="A1039" s="4"/>
      <c r="B1039" s="4"/>
      <c r="C1039" s="4" t="s">
        <v>1146</v>
      </c>
      <c r="D1039" s="4">
        <v>3.18</v>
      </c>
      <c r="E1039" s="4"/>
      <c r="F1039" s="4"/>
      <c r="G1039" s="4"/>
      <c r="H1039" s="4"/>
      <c r="I1039" s="4"/>
      <c r="J1039" s="4">
        <v>3.2069999999999999</v>
      </c>
    </row>
    <row r="1040" spans="1:10">
      <c r="A1040" s="4"/>
      <c r="B1040" s="4"/>
      <c r="C1040" s="4" t="s">
        <v>1147</v>
      </c>
      <c r="D1040" s="4">
        <v>3.79</v>
      </c>
      <c r="E1040" s="4"/>
      <c r="F1040" s="4"/>
      <c r="G1040" s="4"/>
      <c r="H1040" s="4"/>
      <c r="I1040" s="4"/>
      <c r="J1040" s="4">
        <v>3.8210000000000002</v>
      </c>
    </row>
    <row r="1041" spans="1:10">
      <c r="A1041" s="4"/>
      <c r="B1041" s="4"/>
      <c r="C1041" s="4" t="s">
        <v>1148</v>
      </c>
      <c r="D1041" s="4">
        <v>21.8</v>
      </c>
      <c r="E1041" s="4"/>
      <c r="F1041" s="4"/>
      <c r="G1041" s="4"/>
      <c r="H1041" s="4"/>
      <c r="I1041" s="4"/>
      <c r="J1041" s="4">
        <v>21.532</v>
      </c>
    </row>
    <row r="1042" spans="1:10">
      <c r="A1042" s="4"/>
      <c r="B1042" s="4"/>
      <c r="C1042" s="4"/>
      <c r="D1042" s="4">
        <f>SUM(D1037:D1041)</f>
        <v>226.68</v>
      </c>
      <c r="E1042" s="4"/>
      <c r="F1042" s="4"/>
      <c r="G1042" s="4"/>
      <c r="H1042" s="4"/>
      <c r="I1042" s="4"/>
      <c r="J1042" s="4">
        <f>SUM(J1037:J1041)</f>
        <v>218.55700000000002</v>
      </c>
    </row>
    <row r="1043" spans="1:10">
      <c r="A1043" s="4" t="s">
        <v>1109</v>
      </c>
      <c r="B1043" s="4"/>
      <c r="C1043" s="4"/>
      <c r="D1043" s="4"/>
      <c r="E1043" s="4"/>
      <c r="F1043" s="4"/>
      <c r="G1043" s="4"/>
      <c r="H1043" s="4"/>
      <c r="I1043" s="4"/>
      <c r="J1043" s="4"/>
    </row>
    <row r="1044" spans="1:10">
      <c r="A1044" s="4" t="s">
        <v>1160</v>
      </c>
      <c r="B1044" s="4"/>
      <c r="C1044" s="4"/>
      <c r="D1044" s="4"/>
      <c r="E1044" s="4"/>
      <c r="F1044" s="4"/>
      <c r="G1044" s="4"/>
      <c r="H1044" s="4"/>
      <c r="I1044" s="4"/>
      <c r="J1044" s="4"/>
    </row>
    <row r="1045" spans="1:10">
      <c r="A1045" s="4" t="s">
        <v>1158</v>
      </c>
      <c r="B1045" s="4"/>
      <c r="C1045" s="4" t="s">
        <v>1161</v>
      </c>
      <c r="D1045" s="4">
        <v>24.27</v>
      </c>
      <c r="E1045" s="4"/>
      <c r="F1045" s="4"/>
      <c r="G1045" s="4"/>
      <c r="H1045" s="4"/>
      <c r="I1045" s="4"/>
      <c r="J1045" s="4">
        <f>20.175+3.98</f>
        <v>24.155000000000001</v>
      </c>
    </row>
    <row r="1046" spans="1:10">
      <c r="A1046" s="4"/>
      <c r="B1046" s="4"/>
      <c r="C1046" s="4" t="s">
        <v>757</v>
      </c>
      <c r="D1046" s="4">
        <f>8.68+10.42+15.54</f>
        <v>34.64</v>
      </c>
      <c r="E1046" s="4"/>
      <c r="F1046" s="4"/>
      <c r="G1046" s="4"/>
      <c r="H1046" s="4"/>
      <c r="I1046" s="4"/>
      <c r="J1046" s="4">
        <f>52.519-18</f>
        <v>34.518999999999998</v>
      </c>
    </row>
    <row r="1047" spans="1:10">
      <c r="A1047" s="4"/>
      <c r="B1047" s="4"/>
      <c r="C1047" s="4" t="s">
        <v>1162</v>
      </c>
      <c r="D1047" s="4">
        <v>4.1500000000000004</v>
      </c>
      <c r="E1047" s="4"/>
      <c r="F1047" s="4"/>
      <c r="G1047" s="4"/>
      <c r="H1047" s="4"/>
      <c r="I1047" s="4"/>
      <c r="J1047" s="4">
        <v>4.1909999999999998</v>
      </c>
    </row>
    <row r="1048" spans="1:10">
      <c r="A1048" s="4"/>
      <c r="B1048" s="4"/>
      <c r="C1048" s="4" t="s">
        <v>1163</v>
      </c>
      <c r="D1048" s="4">
        <v>13.16</v>
      </c>
      <c r="E1048" s="4"/>
      <c r="F1048" s="4"/>
      <c r="G1048" s="4"/>
      <c r="H1048" s="4"/>
      <c r="I1048" s="4"/>
      <c r="J1048" s="4">
        <f>11.362+3.374</f>
        <v>14.736000000000001</v>
      </c>
    </row>
    <row r="1049" spans="1:10">
      <c r="A1049" s="4"/>
      <c r="B1049" s="4"/>
      <c r="C1049" s="4" t="s">
        <v>759</v>
      </c>
      <c r="D1049" s="4">
        <v>1.45</v>
      </c>
      <c r="E1049" s="4"/>
      <c r="F1049" s="4"/>
      <c r="G1049" s="4"/>
      <c r="H1049" s="4"/>
      <c r="I1049" s="4"/>
      <c r="J1049" s="4">
        <v>1.4530000000000001</v>
      </c>
    </row>
    <row r="1050" spans="1:10">
      <c r="A1050" s="4"/>
      <c r="B1050" s="4"/>
      <c r="C1050" s="4" t="s">
        <v>1139</v>
      </c>
      <c r="D1050" s="4">
        <v>16.690000000000001</v>
      </c>
      <c r="E1050" s="4"/>
      <c r="F1050" s="4"/>
      <c r="G1050" s="4"/>
      <c r="H1050" s="4"/>
      <c r="I1050" s="4"/>
      <c r="J1050" s="4">
        <v>11.497</v>
      </c>
    </row>
    <row r="1051" spans="1:10">
      <c r="A1051" s="4"/>
      <c r="B1051" s="4"/>
      <c r="C1051" s="4" t="s">
        <v>1164</v>
      </c>
      <c r="D1051" s="4">
        <v>5.79</v>
      </c>
      <c r="E1051" s="4"/>
      <c r="F1051" s="4"/>
      <c r="G1051" s="4"/>
      <c r="H1051" s="4"/>
      <c r="I1051" s="4"/>
      <c r="J1051" s="4">
        <v>5.5369999999999999</v>
      </c>
    </row>
    <row r="1052" spans="1:10">
      <c r="A1052" s="4"/>
      <c r="B1052" s="4"/>
      <c r="C1052" s="4" t="s">
        <v>754</v>
      </c>
      <c r="D1052" s="4">
        <v>5.83</v>
      </c>
      <c r="E1052" s="4"/>
      <c r="F1052" s="4"/>
      <c r="G1052" s="4"/>
      <c r="H1052" s="4"/>
      <c r="I1052" s="4"/>
      <c r="J1052" s="4"/>
    </row>
    <row r="1053" spans="1:10">
      <c r="A1053" s="4"/>
      <c r="B1053" s="4"/>
      <c r="C1053" s="4" t="s">
        <v>1165</v>
      </c>
      <c r="D1053" s="4">
        <v>5.35</v>
      </c>
      <c r="E1053" s="4"/>
      <c r="F1053" s="4"/>
      <c r="G1053" s="4"/>
      <c r="H1053" s="4"/>
      <c r="I1053" s="4"/>
      <c r="J1053" s="4">
        <v>6.04</v>
      </c>
    </row>
    <row r="1054" spans="1:10">
      <c r="A1054" s="4"/>
      <c r="B1054" s="4"/>
      <c r="C1054" s="4" t="s">
        <v>753</v>
      </c>
      <c r="D1054" s="4">
        <v>0.73</v>
      </c>
      <c r="E1054" s="4"/>
      <c r="F1054" s="4"/>
      <c r="G1054" s="4"/>
      <c r="H1054" s="4"/>
      <c r="I1054" s="4"/>
      <c r="J1054" s="4"/>
    </row>
    <row r="1055" spans="1:10">
      <c r="A1055" s="4"/>
      <c r="B1055" s="4"/>
      <c r="C1055" s="4" t="s">
        <v>1093</v>
      </c>
      <c r="D1055" s="4">
        <v>10.17</v>
      </c>
      <c r="E1055" s="4"/>
      <c r="F1055" s="4"/>
      <c r="G1055" s="4"/>
      <c r="H1055" s="4"/>
      <c r="I1055" s="4"/>
      <c r="J1055" s="4">
        <v>10.138</v>
      </c>
    </row>
    <row r="1056" spans="1:10">
      <c r="A1056" s="4"/>
      <c r="B1056" s="4"/>
      <c r="C1056" s="4" t="s">
        <v>1096</v>
      </c>
      <c r="D1056" s="4">
        <v>11.89</v>
      </c>
      <c r="E1056" s="4"/>
      <c r="F1056" s="4"/>
      <c r="G1056" s="4"/>
      <c r="H1056" s="4"/>
      <c r="I1056" s="4"/>
      <c r="J1056" s="4">
        <v>12</v>
      </c>
    </row>
    <row r="1057" spans="1:10">
      <c r="A1057" s="4"/>
      <c r="B1057" s="4"/>
      <c r="C1057" s="4" t="s">
        <v>1097</v>
      </c>
      <c r="D1057" s="4">
        <v>31.07</v>
      </c>
      <c r="E1057" s="4"/>
      <c r="F1057" s="4"/>
      <c r="G1057" s="4"/>
      <c r="H1057" s="4"/>
      <c r="I1057" s="4"/>
      <c r="J1057" s="4">
        <f>15.66+14.264</f>
        <v>29.923999999999999</v>
      </c>
    </row>
    <row r="1058" spans="1:10">
      <c r="A1058" s="4"/>
      <c r="B1058" s="4"/>
      <c r="C1058" s="4" t="s">
        <v>1166</v>
      </c>
      <c r="D1058" s="4">
        <v>8.25</v>
      </c>
      <c r="E1058" s="4"/>
      <c r="F1058" s="4"/>
      <c r="G1058" s="4"/>
      <c r="H1058" s="4"/>
      <c r="I1058" s="4"/>
      <c r="J1058" s="4">
        <f>7.492+1.287</f>
        <v>8.7789999999999999</v>
      </c>
    </row>
    <row r="1059" spans="1:10">
      <c r="A1059" s="4"/>
      <c r="B1059" s="4"/>
      <c r="C1059" s="4" t="s">
        <v>1167</v>
      </c>
      <c r="D1059" s="4">
        <v>2.4500000000000002</v>
      </c>
      <c r="E1059" s="4"/>
      <c r="F1059" s="4"/>
      <c r="G1059" s="4"/>
      <c r="H1059" s="4"/>
      <c r="I1059" s="4"/>
      <c r="J1059" s="4"/>
    </row>
    <row r="1060" spans="1:10">
      <c r="A1060" s="4"/>
      <c r="B1060" s="4"/>
      <c r="C1060" s="4"/>
      <c r="D1060" s="4">
        <f>SUM(D1045:D1059)</f>
        <v>175.89</v>
      </c>
      <c r="E1060" s="4"/>
      <c r="F1060" s="4"/>
      <c r="G1060" s="4"/>
      <c r="H1060" s="4"/>
      <c r="I1060" s="4"/>
      <c r="J1060" s="4">
        <f>SUM(J1045:J1059)</f>
        <v>162.96900000000002</v>
      </c>
    </row>
    <row r="1061" spans="1:10">
      <c r="A1061" s="4"/>
      <c r="B1061" s="4"/>
      <c r="C1061" s="4"/>
      <c r="D1061" s="4"/>
      <c r="E1061" s="4"/>
      <c r="F1061" s="4"/>
      <c r="G1061" s="4"/>
      <c r="H1061" s="4"/>
      <c r="I1061" s="4"/>
      <c r="J1061" s="4"/>
    </row>
    <row r="1062" spans="1:10">
      <c r="A1062" s="4" t="s">
        <v>1159</v>
      </c>
      <c r="B1062" s="4"/>
      <c r="C1062" s="4" t="s">
        <v>1167</v>
      </c>
      <c r="D1062" s="4">
        <v>43.41</v>
      </c>
      <c r="E1062" s="4"/>
      <c r="F1062" s="4"/>
      <c r="G1062" s="4"/>
      <c r="H1062" s="4"/>
      <c r="I1062" s="4"/>
      <c r="J1062" s="4">
        <f>20.489+18+7.745</f>
        <v>46.234000000000002</v>
      </c>
    </row>
    <row r="1063" spans="1:10">
      <c r="A1063" s="4"/>
      <c r="B1063" s="4"/>
      <c r="C1063" s="4" t="s">
        <v>1168</v>
      </c>
      <c r="D1063" s="4">
        <f>52.68+11.21</f>
        <v>63.89</v>
      </c>
      <c r="E1063" s="4"/>
      <c r="F1063" s="4"/>
      <c r="G1063" s="4"/>
      <c r="H1063" s="4"/>
      <c r="I1063" s="4"/>
      <c r="J1063" s="4">
        <f>19.188+6.894+36.036</f>
        <v>62.118000000000002</v>
      </c>
    </row>
    <row r="1064" spans="1:10">
      <c r="A1064" s="4"/>
      <c r="B1064" s="4"/>
      <c r="C1064" s="4" t="s">
        <v>1169</v>
      </c>
      <c r="D1064" s="4">
        <f>10.91+6.82</f>
        <v>17.73</v>
      </c>
      <c r="E1064" s="4"/>
      <c r="F1064" s="4"/>
      <c r="G1064" s="4"/>
      <c r="H1064" s="4"/>
      <c r="I1064" s="4"/>
      <c r="J1064" s="4">
        <v>22.425000000000001</v>
      </c>
    </row>
    <row r="1065" spans="1:10">
      <c r="A1065" s="4"/>
      <c r="B1065" s="4"/>
      <c r="C1065" s="4" t="s">
        <v>1170</v>
      </c>
      <c r="D1065" s="4">
        <v>23.21</v>
      </c>
      <c r="E1065" s="4"/>
      <c r="F1065" s="4"/>
      <c r="G1065" s="4"/>
      <c r="H1065" s="4"/>
      <c r="I1065" s="4"/>
      <c r="J1065" s="4">
        <v>22.736999999999998</v>
      </c>
    </row>
    <row r="1066" spans="1:10">
      <c r="A1066" s="4"/>
      <c r="B1066" s="4"/>
      <c r="C1066" s="4" t="s">
        <v>1171</v>
      </c>
      <c r="D1066" s="4">
        <v>7.88</v>
      </c>
      <c r="E1066" s="4"/>
      <c r="F1066" s="4"/>
      <c r="G1066" s="4"/>
      <c r="H1066" s="4"/>
      <c r="I1066" s="4"/>
      <c r="J1066" s="4">
        <f>3.75+4.018</f>
        <v>7.7679999999999998</v>
      </c>
    </row>
    <row r="1067" spans="1:10">
      <c r="A1067" s="4"/>
      <c r="B1067" s="4"/>
      <c r="C1067" s="4" t="s">
        <v>1172</v>
      </c>
      <c r="D1067" s="4">
        <v>9.25</v>
      </c>
      <c r="E1067" s="4"/>
      <c r="F1067" s="4"/>
      <c r="G1067" s="4"/>
      <c r="H1067" s="4"/>
      <c r="I1067" s="4"/>
      <c r="J1067" s="4">
        <v>9.1609999999999996</v>
      </c>
    </row>
    <row r="1068" spans="1:10">
      <c r="A1068" s="4"/>
      <c r="B1068" s="4"/>
      <c r="C1068" s="4" t="s">
        <v>1094</v>
      </c>
      <c r="D1068" s="4">
        <v>10.82</v>
      </c>
      <c r="E1068" s="4"/>
      <c r="F1068" s="4"/>
      <c r="G1068" s="4"/>
      <c r="H1068" s="4"/>
      <c r="I1068" s="4"/>
      <c r="J1068" s="4">
        <v>10.74</v>
      </c>
    </row>
    <row r="1069" spans="1:10">
      <c r="A1069" s="4"/>
      <c r="B1069" s="4"/>
      <c r="C1069" s="4" t="s">
        <v>1095</v>
      </c>
      <c r="D1069" s="4">
        <v>15.13</v>
      </c>
      <c r="E1069" s="4"/>
      <c r="F1069" s="4"/>
      <c r="G1069" s="4"/>
      <c r="H1069" s="4"/>
      <c r="I1069" s="4"/>
      <c r="J1069" s="4">
        <v>15.106</v>
      </c>
    </row>
    <row r="1070" spans="1:10">
      <c r="A1070" s="4"/>
      <c r="B1070" s="4"/>
      <c r="C1070" s="4" t="s">
        <v>1173</v>
      </c>
      <c r="D1070" s="4">
        <v>9.4700000000000006</v>
      </c>
      <c r="E1070" s="4"/>
      <c r="F1070" s="4"/>
      <c r="G1070" s="4"/>
      <c r="H1070" s="4"/>
      <c r="I1070" s="4"/>
      <c r="J1070" s="4">
        <v>10.614000000000001</v>
      </c>
    </row>
    <row r="1071" spans="1:10">
      <c r="A1071" s="4"/>
      <c r="B1071" s="4"/>
      <c r="C1071" s="4" t="s">
        <v>1096</v>
      </c>
      <c r="D1071" s="4">
        <v>8.84</v>
      </c>
      <c r="E1071" s="4"/>
      <c r="F1071" s="4"/>
      <c r="G1071" s="4"/>
      <c r="H1071" s="4"/>
      <c r="I1071" s="4"/>
      <c r="J1071" s="4">
        <v>7.0910000000000002</v>
      </c>
    </row>
    <row r="1072" spans="1:10">
      <c r="A1072" s="4"/>
      <c r="B1072" s="4"/>
      <c r="C1072" s="4" t="s">
        <v>1097</v>
      </c>
      <c r="D1072" s="4">
        <v>15.04</v>
      </c>
      <c r="E1072" s="4"/>
      <c r="F1072" s="4"/>
      <c r="G1072" s="4"/>
      <c r="H1072" s="4"/>
      <c r="I1072" s="4"/>
      <c r="J1072" s="4">
        <f>11.22+4.903</f>
        <v>16.123000000000001</v>
      </c>
    </row>
    <row r="1073" spans="1:10">
      <c r="A1073" s="4"/>
      <c r="B1073" s="4"/>
      <c r="C1073" s="4"/>
      <c r="D1073" s="4">
        <f>SUM(D1062:D1072)</f>
        <v>224.67</v>
      </c>
      <c r="E1073" s="4"/>
      <c r="F1073" s="4"/>
      <c r="G1073" s="4"/>
      <c r="H1073" s="4"/>
      <c r="I1073" s="4"/>
      <c r="J1073" s="4">
        <f>SUM(J1062:J1072)</f>
        <v>230.11700000000002</v>
      </c>
    </row>
    <row r="1074" spans="1:10">
      <c r="A1074" s="4" t="s">
        <v>1176</v>
      </c>
      <c r="B1074" s="4"/>
      <c r="C1074" s="4"/>
      <c r="D1074" s="4"/>
      <c r="E1074" s="4"/>
      <c r="F1074" s="4"/>
      <c r="G1074" s="4"/>
      <c r="H1074" s="4"/>
      <c r="I1074" s="4"/>
      <c r="J1074" s="4"/>
    </row>
    <row r="1075" spans="1:10">
      <c r="A1075" s="4" t="s">
        <v>1177</v>
      </c>
      <c r="B1075" s="4"/>
      <c r="C1075" s="4"/>
      <c r="D1075" s="4"/>
      <c r="E1075" s="4"/>
      <c r="F1075" s="4"/>
      <c r="G1075" s="4"/>
      <c r="H1075" s="4"/>
      <c r="I1075" s="4"/>
      <c r="J1075" s="4"/>
    </row>
    <row r="1076" spans="1:10">
      <c r="A1076" s="4"/>
      <c r="B1076" s="4"/>
      <c r="C1076" s="4"/>
      <c r="D1076" s="4"/>
      <c r="E1076" s="4"/>
      <c r="F1076" s="4"/>
      <c r="G1076" s="4"/>
      <c r="H1076" s="4"/>
      <c r="I1076" s="4"/>
      <c r="J1076" s="4"/>
    </row>
    <row r="1077" spans="1:10">
      <c r="A1077" s="4"/>
      <c r="B1077" s="4"/>
      <c r="C1077" s="4" t="s">
        <v>1085</v>
      </c>
      <c r="D1077" s="4">
        <f>+D941+D950+D956+D961+D968+D979+D982+D994+D1003+D1007+D1019+D1025+D1032+D1035+D1042+D1060+D1073</f>
        <v>2962.0949999999993</v>
      </c>
      <c r="E1077" s="4"/>
      <c r="F1077" s="4"/>
      <c r="G1077" s="4"/>
      <c r="H1077" s="4"/>
      <c r="I1077" s="4"/>
      <c r="J1077" s="4">
        <f>+J941+J950+J956+J961+J968+J979+J982+J994+J1003+J1007+J1019+J1025+J1032+J1035+J1042</f>
        <v>2543.9689999999991</v>
      </c>
    </row>
    <row r="1078" spans="1:10">
      <c r="A1078" s="4"/>
      <c r="B1078" s="4"/>
      <c r="C1078" s="4"/>
      <c r="D1078" s="4"/>
      <c r="E1078" s="4"/>
      <c r="F1078" s="4"/>
      <c r="G1078" s="4"/>
      <c r="H1078" s="4"/>
      <c r="I1078" s="4"/>
      <c r="J1078" s="4"/>
    </row>
    <row r="1079" spans="1:10">
      <c r="A1079" s="4" t="s">
        <v>1178</v>
      </c>
      <c r="B1079" s="4"/>
      <c r="C1079" s="4" t="s">
        <v>1179</v>
      </c>
      <c r="D1079" s="4">
        <v>19.72</v>
      </c>
      <c r="E1079" s="4"/>
      <c r="F1079" s="4"/>
      <c r="G1079" s="4"/>
      <c r="H1079" s="4"/>
      <c r="I1079" s="4"/>
      <c r="J1079" s="4">
        <f>11.553+9.085</f>
        <v>20.638000000000002</v>
      </c>
    </row>
    <row r="1080" spans="1:10">
      <c r="A1080" s="4"/>
      <c r="B1080" s="4"/>
      <c r="C1080" s="4" t="s">
        <v>1180</v>
      </c>
      <c r="D1080" s="4">
        <v>6.59</v>
      </c>
      <c r="E1080" s="4"/>
      <c r="F1080" s="4"/>
      <c r="G1080" s="4"/>
      <c r="H1080" s="4"/>
      <c r="I1080" s="4"/>
      <c r="J1080" s="4">
        <v>6.3460000000000001</v>
      </c>
    </row>
    <row r="1081" spans="1:10">
      <c r="A1081" s="4"/>
      <c r="B1081" s="4"/>
      <c r="C1081" s="4" t="s">
        <v>1181</v>
      </c>
      <c r="D1081" s="4">
        <v>5.62</v>
      </c>
      <c r="E1081" s="4"/>
      <c r="F1081" s="4"/>
      <c r="G1081" s="4"/>
      <c r="H1081" s="4"/>
      <c r="I1081" s="4"/>
      <c r="J1081" s="4">
        <v>5.8680000000000003</v>
      </c>
    </row>
    <row r="1082" spans="1:10">
      <c r="A1082" s="4"/>
      <c r="B1082" s="4"/>
      <c r="C1082" s="4" t="s">
        <v>1069</v>
      </c>
      <c r="D1082" s="4">
        <v>15.03</v>
      </c>
      <c r="E1082" s="4"/>
      <c r="F1082" s="4"/>
      <c r="G1082" s="4"/>
      <c r="H1082" s="4"/>
      <c r="I1082" s="4"/>
      <c r="J1082" s="4">
        <f>8.983+4.624</f>
        <v>13.606999999999999</v>
      </c>
    </row>
    <row r="1083" spans="1:10">
      <c r="A1083" s="4"/>
      <c r="B1083" s="4"/>
      <c r="C1083" s="4" t="s">
        <v>1068</v>
      </c>
      <c r="D1083" s="4">
        <v>5.42</v>
      </c>
      <c r="E1083" s="4"/>
      <c r="F1083" s="4"/>
      <c r="G1083" s="4"/>
      <c r="H1083" s="4"/>
      <c r="I1083" s="4"/>
      <c r="J1083" s="4">
        <f>2.688+2.131</f>
        <v>4.819</v>
      </c>
    </row>
    <row r="1084" spans="1:10">
      <c r="A1084" s="4"/>
      <c r="B1084" s="4"/>
      <c r="C1084" s="4" t="s">
        <v>1182</v>
      </c>
      <c r="D1084" s="4">
        <v>28.67</v>
      </c>
      <c r="E1084" s="4"/>
      <c r="F1084" s="4"/>
      <c r="G1084" s="4"/>
      <c r="H1084" s="4"/>
      <c r="I1084" s="4"/>
      <c r="J1084" s="4">
        <f>17.224+11.396</f>
        <v>28.62</v>
      </c>
    </row>
    <row r="1085" spans="1:10">
      <c r="A1085" s="4"/>
      <c r="B1085" s="4"/>
      <c r="C1085" s="4" t="s">
        <v>1183</v>
      </c>
      <c r="D1085" s="4">
        <v>28.46</v>
      </c>
      <c r="E1085" s="4"/>
      <c r="F1085" s="4"/>
      <c r="G1085" s="4"/>
      <c r="H1085" s="4"/>
      <c r="I1085" s="4"/>
      <c r="J1085" s="4">
        <f>13.809+14.357</f>
        <v>28.165999999999997</v>
      </c>
    </row>
    <row r="1086" spans="1:10">
      <c r="A1086" s="4"/>
      <c r="B1086" s="4"/>
      <c r="C1086" s="4" t="s">
        <v>985</v>
      </c>
      <c r="D1086" s="4">
        <v>21.34</v>
      </c>
      <c r="E1086" s="4"/>
      <c r="F1086" s="4"/>
      <c r="G1086" s="4"/>
      <c r="H1086" s="4"/>
      <c r="I1086" s="4"/>
      <c r="J1086" s="4">
        <f>12.531+6.39+2.42</f>
        <v>21.341000000000001</v>
      </c>
    </row>
    <row r="1087" spans="1:10">
      <c r="A1087" s="4"/>
      <c r="B1087" s="4"/>
      <c r="C1087" s="4" t="s">
        <v>1184</v>
      </c>
      <c r="D1087" s="4">
        <v>10.31</v>
      </c>
      <c r="E1087" s="4"/>
      <c r="F1087" s="4"/>
      <c r="G1087" s="4"/>
      <c r="H1087" s="4"/>
      <c r="I1087" s="4"/>
      <c r="J1087" s="4">
        <f>5.27+4.7</f>
        <v>9.9699999999999989</v>
      </c>
    </row>
    <row r="1088" spans="1:10">
      <c r="A1088" s="4"/>
      <c r="B1088" s="4"/>
      <c r="C1088" s="4" t="s">
        <v>711</v>
      </c>
      <c r="D1088" s="4">
        <v>20.45</v>
      </c>
      <c r="E1088" s="4"/>
      <c r="F1088" s="4"/>
      <c r="G1088" s="4"/>
      <c r="H1088" s="4"/>
      <c r="I1088" s="4"/>
      <c r="J1088" s="4">
        <f>13.158+7.85</f>
        <v>21.007999999999999</v>
      </c>
    </row>
    <row r="1089" spans="1:10">
      <c r="A1089" s="4"/>
      <c r="B1089" s="4"/>
      <c r="C1089" s="4"/>
      <c r="D1089" s="4">
        <f>SUM(D1079:D1088)</f>
        <v>161.61000000000001</v>
      </c>
      <c r="E1089" s="4"/>
      <c r="F1089" s="4"/>
      <c r="G1089" s="4"/>
      <c r="H1089" s="4"/>
      <c r="I1089" s="4"/>
      <c r="J1089" s="4">
        <f>SUM(J1079:J1088)</f>
        <v>160.38300000000001</v>
      </c>
    </row>
    <row r="1090" spans="1:10">
      <c r="A1090" s="4"/>
      <c r="B1090" s="4"/>
      <c r="C1090" s="4"/>
      <c r="D1090" s="4"/>
      <c r="E1090" s="4"/>
      <c r="F1090" s="4"/>
      <c r="G1090" s="4"/>
      <c r="H1090" s="4"/>
      <c r="I1090" s="4"/>
      <c r="J1090" s="4"/>
    </row>
    <row r="1091" spans="1:10">
      <c r="A1091" s="4" t="s">
        <v>1186</v>
      </c>
      <c r="B1091" s="4"/>
      <c r="C1091" s="4" t="s">
        <v>1018</v>
      </c>
      <c r="D1091" s="4">
        <v>46.26</v>
      </c>
      <c r="E1091" s="4"/>
      <c r="F1091" s="4"/>
      <c r="G1091" s="4"/>
      <c r="H1091" s="4"/>
      <c r="I1091" s="4"/>
      <c r="J1091" s="4">
        <f>19.201+9.533+11.129+5.824</f>
        <v>45.686999999999998</v>
      </c>
    </row>
    <row r="1092" spans="1:10">
      <c r="A1092" s="4"/>
      <c r="B1092" s="4"/>
      <c r="C1092" s="4" t="s">
        <v>1187</v>
      </c>
      <c r="D1092" s="4">
        <v>21.57</v>
      </c>
      <c r="E1092" s="4"/>
      <c r="F1092" s="4"/>
      <c r="G1092" s="4"/>
      <c r="H1092" s="4"/>
      <c r="I1092" s="4"/>
      <c r="J1092" s="4">
        <f>7.019+14.069</f>
        <v>21.088000000000001</v>
      </c>
    </row>
    <row r="1093" spans="1:10">
      <c r="A1093" s="4"/>
      <c r="B1093" s="4"/>
      <c r="C1093" s="4" t="s">
        <v>1017</v>
      </c>
      <c r="D1093" s="4">
        <v>17.940000000000001</v>
      </c>
      <c r="E1093" s="4"/>
      <c r="F1093" s="4"/>
      <c r="G1093" s="4"/>
      <c r="H1093" s="4"/>
      <c r="I1093" s="4"/>
      <c r="J1093" s="4">
        <v>18.53</v>
      </c>
    </row>
    <row r="1094" spans="1:10">
      <c r="A1094" s="4"/>
      <c r="B1094" s="4"/>
      <c r="C1094" s="4" t="s">
        <v>706</v>
      </c>
      <c r="D1094" s="4">
        <v>23.17</v>
      </c>
      <c r="E1094" s="4"/>
      <c r="F1094" s="4"/>
      <c r="G1094" s="4"/>
      <c r="H1094" s="4"/>
      <c r="I1094" s="4"/>
      <c r="J1094" s="4">
        <f>11.379+12.692</f>
        <v>24.070999999999998</v>
      </c>
    </row>
    <row r="1095" spans="1:10">
      <c r="A1095" s="4"/>
      <c r="B1095" s="4"/>
      <c r="C1095" s="4" t="s">
        <v>794</v>
      </c>
      <c r="D1095" s="4">
        <v>8.67</v>
      </c>
      <c r="E1095" s="4"/>
      <c r="F1095" s="4"/>
      <c r="G1095" s="4"/>
      <c r="H1095" s="4"/>
      <c r="I1095" s="4"/>
      <c r="J1095" s="4">
        <f>3.33+4.925</f>
        <v>8.254999999999999</v>
      </c>
    </row>
    <row r="1096" spans="1:10">
      <c r="A1096" s="4"/>
      <c r="B1096" s="4"/>
      <c r="C1096" s="4" t="s">
        <v>1006</v>
      </c>
      <c r="D1096" s="4">
        <v>34.31</v>
      </c>
      <c r="E1096" s="4"/>
      <c r="F1096" s="4"/>
      <c r="G1096" s="4"/>
      <c r="H1096" s="4"/>
      <c r="I1096" s="4"/>
      <c r="J1096" s="4">
        <v>2.8849999999999998</v>
      </c>
    </row>
    <row r="1097" spans="1:10">
      <c r="A1097" s="4"/>
      <c r="B1097" s="4"/>
      <c r="C1097" s="4"/>
      <c r="D1097" s="4">
        <f>SUM(D1091:D1096)</f>
        <v>151.92000000000002</v>
      </c>
      <c r="E1097" s="4"/>
      <c r="F1097" s="4"/>
      <c r="G1097" s="4"/>
      <c r="H1097" s="4"/>
      <c r="I1097" s="4"/>
      <c r="J1097" s="4">
        <f>SUM(J1091:J1096)</f>
        <v>120.51600000000001</v>
      </c>
    </row>
    <row r="1098" spans="1:10">
      <c r="A1098" s="4"/>
      <c r="B1098" s="4"/>
      <c r="C1098" s="4"/>
      <c r="D1098" s="4"/>
      <c r="E1098" s="4"/>
      <c r="F1098" s="4"/>
      <c r="G1098" s="4"/>
      <c r="H1098" s="4"/>
      <c r="I1098" s="4"/>
      <c r="J1098" s="4"/>
    </row>
    <row r="1099" spans="1:10">
      <c r="A1099" s="4" t="s">
        <v>1188</v>
      </c>
      <c r="B1099" s="4"/>
      <c r="C1099" s="4" t="s">
        <v>1006</v>
      </c>
      <c r="D1099" s="4">
        <v>9.1199999999999992</v>
      </c>
      <c r="E1099" s="4"/>
      <c r="F1099" s="4"/>
      <c r="G1099" s="4"/>
      <c r="H1099" s="4"/>
      <c r="I1099" s="4"/>
      <c r="J1099" s="4">
        <f>26.064+7.491+10.538</f>
        <v>44.093000000000004</v>
      </c>
    </row>
    <row r="1100" spans="1:10">
      <c r="A1100" s="4"/>
      <c r="B1100" s="4"/>
      <c r="C1100" s="4" t="s">
        <v>1007</v>
      </c>
      <c r="D1100" s="4">
        <f>41.92</f>
        <v>41.92</v>
      </c>
      <c r="E1100" s="4"/>
      <c r="F1100" s="4"/>
      <c r="G1100" s="4"/>
      <c r="H1100" s="4"/>
      <c r="I1100" s="4"/>
      <c r="J1100" s="4">
        <f>35.67+7.752</f>
        <v>43.422000000000004</v>
      </c>
    </row>
    <row r="1101" spans="1:10">
      <c r="A1101" s="4"/>
      <c r="B1101" s="4"/>
      <c r="C1101" s="4" t="s">
        <v>1007</v>
      </c>
      <c r="D1101" s="4">
        <f>3.59+13.65+13.73+15.22-1</f>
        <v>45.190000000000005</v>
      </c>
      <c r="E1101" s="4"/>
      <c r="F1101" s="4"/>
      <c r="G1101" s="4"/>
      <c r="H1101" s="4"/>
      <c r="I1101" s="4"/>
      <c r="J1101" s="4">
        <f>36.664+2.918+1.268+4.785</f>
        <v>45.635000000000005</v>
      </c>
    </row>
    <row r="1102" spans="1:10">
      <c r="A1102" s="4"/>
      <c r="B1102" s="4"/>
      <c r="C1102" s="4" t="s">
        <v>596</v>
      </c>
      <c r="D1102" s="4">
        <v>1</v>
      </c>
      <c r="E1102" s="4"/>
      <c r="F1102" s="4"/>
      <c r="G1102" s="4"/>
      <c r="H1102" s="4"/>
      <c r="I1102" s="4"/>
      <c r="J1102" s="4">
        <v>1.048</v>
      </c>
    </row>
    <row r="1103" spans="1:10">
      <c r="A1103" s="4"/>
      <c r="B1103" s="4"/>
      <c r="C1103" s="4" t="s">
        <v>1189</v>
      </c>
      <c r="D1103" s="4">
        <v>7.26</v>
      </c>
      <c r="E1103" s="4"/>
      <c r="F1103" s="4"/>
      <c r="G1103" s="4"/>
      <c r="H1103" s="4"/>
      <c r="I1103" s="4"/>
      <c r="J1103" s="4">
        <v>7.2140000000000004</v>
      </c>
    </row>
    <row r="1104" spans="1:10">
      <c r="A1104" s="4"/>
      <c r="B1104" s="4"/>
      <c r="C1104" s="4" t="s">
        <v>1191</v>
      </c>
      <c r="D1104" s="4">
        <v>7.28</v>
      </c>
      <c r="E1104" s="4"/>
      <c r="F1104" s="4"/>
      <c r="G1104" s="4"/>
      <c r="H1104" s="4"/>
      <c r="I1104" s="4"/>
      <c r="J1104" s="4">
        <v>7.5510000000000002</v>
      </c>
    </row>
    <row r="1105" spans="1:10">
      <c r="A1105" s="4"/>
      <c r="B1105" s="4"/>
      <c r="C1105" s="4" t="s">
        <v>1000</v>
      </c>
      <c r="D1105" s="4">
        <v>62.69</v>
      </c>
      <c r="E1105" s="4"/>
      <c r="F1105" s="4"/>
      <c r="G1105" s="4"/>
      <c r="H1105" s="4"/>
      <c r="I1105" s="4"/>
      <c r="J1105" s="4">
        <f>31.112+11.241+18.938</f>
        <v>61.290999999999997</v>
      </c>
    </row>
    <row r="1106" spans="1:10">
      <c r="A1106" s="4"/>
      <c r="B1106" s="4"/>
      <c r="C1106" s="4" t="s">
        <v>1190</v>
      </c>
      <c r="D1106" s="4">
        <v>5.31</v>
      </c>
      <c r="E1106" s="4"/>
      <c r="F1106" s="4"/>
      <c r="G1106" s="4"/>
      <c r="H1106" s="4"/>
      <c r="I1106" s="4"/>
      <c r="J1106" s="4">
        <f>4.53+0.817</f>
        <v>5.3470000000000004</v>
      </c>
    </row>
    <row r="1107" spans="1:10">
      <c r="A1107" s="4"/>
      <c r="B1107" s="4"/>
      <c r="C1107" s="4" t="s">
        <v>1192</v>
      </c>
      <c r="D1107" s="4">
        <v>6.84</v>
      </c>
      <c r="E1107" s="4"/>
      <c r="F1107" s="4"/>
      <c r="G1107" s="4"/>
      <c r="H1107" s="4"/>
      <c r="I1107" s="4"/>
      <c r="J1107" s="4">
        <v>6.306</v>
      </c>
    </row>
    <row r="1108" spans="1:10">
      <c r="A1108" s="4"/>
      <c r="B1108" s="4"/>
      <c r="C1108" s="4"/>
      <c r="D1108" s="4">
        <f>SUM(D1099:D1107)</f>
        <v>186.61</v>
      </c>
      <c r="E1108" s="4"/>
      <c r="F1108" s="4"/>
      <c r="G1108" s="4"/>
      <c r="H1108" s="4"/>
      <c r="I1108" s="4"/>
      <c r="J1108" s="4">
        <f>SUM(J1099:J1107)</f>
        <v>221.90700000000004</v>
      </c>
    </row>
    <row r="1109" spans="1:10">
      <c r="A1109" s="4"/>
      <c r="B1109" s="4"/>
      <c r="C1109" s="4"/>
      <c r="D1109" s="4"/>
      <c r="E1109" s="4"/>
      <c r="F1109" s="4"/>
      <c r="G1109" s="4"/>
      <c r="H1109" s="4"/>
      <c r="I1109" s="4"/>
      <c r="J1109" s="4"/>
    </row>
    <row r="1110" spans="1:10">
      <c r="A1110" s="4" t="s">
        <v>1193</v>
      </c>
      <c r="B1110" s="4"/>
      <c r="C1110" s="4" t="s">
        <v>699</v>
      </c>
      <c r="D1110" s="4">
        <f>88.06-0.3</f>
        <v>87.76</v>
      </c>
      <c r="E1110" s="4"/>
      <c r="F1110" s="4"/>
      <c r="G1110" s="4"/>
      <c r="H1110" s="4"/>
      <c r="I1110" s="4"/>
      <c r="J1110" s="4">
        <f>20.704+14.542+10.864+16.052+8.604+15.915</f>
        <v>86.680999999999983</v>
      </c>
    </row>
    <row r="1111" spans="1:10">
      <c r="A1111" s="4"/>
      <c r="B1111" s="4"/>
      <c r="C1111" s="4" t="s">
        <v>1194</v>
      </c>
      <c r="D1111" s="4">
        <v>0.3</v>
      </c>
      <c r="E1111" s="4"/>
      <c r="F1111" s="4"/>
      <c r="G1111" s="4"/>
      <c r="H1111" s="4"/>
      <c r="I1111" s="4"/>
      <c r="J1111" s="4"/>
    </row>
    <row r="1112" spans="1:10">
      <c r="A1112" s="4"/>
      <c r="B1112" s="4"/>
      <c r="C1112" s="4" t="s">
        <v>697</v>
      </c>
      <c r="D1112" s="4">
        <f>24.97-1.7</f>
        <v>23.27</v>
      </c>
      <c r="E1112" s="4"/>
      <c r="F1112" s="4"/>
      <c r="G1112" s="4"/>
      <c r="H1112" s="4"/>
      <c r="I1112" s="4"/>
      <c r="J1112" s="4">
        <f>13.621+8.676</f>
        <v>22.297000000000001</v>
      </c>
    </row>
    <row r="1113" spans="1:10">
      <c r="A1113" s="4"/>
      <c r="B1113" s="4"/>
      <c r="C1113" s="4" t="s">
        <v>1059</v>
      </c>
      <c r="D1113" s="4">
        <v>1.7</v>
      </c>
      <c r="E1113" s="4"/>
      <c r="F1113" s="4"/>
      <c r="G1113" s="4"/>
      <c r="H1113" s="4"/>
      <c r="I1113" s="4"/>
      <c r="J1113" s="4">
        <v>1.903</v>
      </c>
    </row>
    <row r="1114" spans="1:10">
      <c r="A1114" s="4"/>
      <c r="B1114" s="4"/>
      <c r="C1114" s="4" t="s">
        <v>896</v>
      </c>
      <c r="D1114" s="4">
        <v>32.22</v>
      </c>
      <c r="E1114" s="4"/>
      <c r="F1114" s="4"/>
      <c r="G1114" s="4"/>
      <c r="H1114" s="4"/>
      <c r="I1114" s="4"/>
      <c r="J1114" s="4">
        <v>15.558</v>
      </c>
    </row>
    <row r="1115" spans="1:10">
      <c r="A1115" s="4"/>
      <c r="B1115" s="4"/>
      <c r="C1115" s="4"/>
      <c r="D1115" s="4">
        <f>SUM(D1110:D1114)</f>
        <v>145.25</v>
      </c>
      <c r="E1115" s="4"/>
      <c r="F1115" s="4"/>
      <c r="G1115" s="4"/>
      <c r="H1115" s="4"/>
      <c r="I1115" s="4"/>
      <c r="J1115" s="4">
        <f>SUM(J1110:J1114)</f>
        <v>126.43899999999999</v>
      </c>
    </row>
    <row r="1116" spans="1:10">
      <c r="A1116" s="4"/>
      <c r="B1116" s="4"/>
      <c r="C1116" s="4"/>
      <c r="D1116" s="4"/>
      <c r="E1116" s="4"/>
      <c r="F1116" s="4"/>
      <c r="G1116" s="4"/>
      <c r="H1116" s="4"/>
      <c r="I1116" s="4"/>
      <c r="J1116" s="4"/>
    </row>
    <row r="1117" spans="1:10">
      <c r="A1117" s="4" t="s">
        <v>1196</v>
      </c>
      <c r="B1117" s="4"/>
      <c r="C1117" s="4" t="s">
        <v>896</v>
      </c>
      <c r="D1117" s="4">
        <v>15.12</v>
      </c>
      <c r="E1117" s="4"/>
      <c r="F1117" s="4"/>
      <c r="G1117" s="4"/>
      <c r="H1117" s="4"/>
      <c r="I1117" s="4"/>
      <c r="J1117" s="4">
        <f>21.401+14.304</f>
        <v>35.704999999999998</v>
      </c>
    </row>
    <row r="1118" spans="1:10">
      <c r="A1118" s="4"/>
      <c r="B1118" s="4"/>
      <c r="C1118" s="4" t="s">
        <v>895</v>
      </c>
      <c r="D1118" s="4">
        <v>27.41</v>
      </c>
      <c r="E1118" s="4"/>
      <c r="F1118" s="4"/>
      <c r="G1118" s="4"/>
      <c r="H1118" s="4"/>
      <c r="I1118" s="4"/>
      <c r="J1118" s="4">
        <f>13.344+10.106+4.15</f>
        <v>27.6</v>
      </c>
    </row>
    <row r="1119" spans="1:10">
      <c r="A1119" s="4"/>
      <c r="B1119" s="4"/>
      <c r="C1119" s="4" t="s">
        <v>894</v>
      </c>
      <c r="D1119" s="4">
        <v>18.68</v>
      </c>
      <c r="E1119" s="4"/>
      <c r="F1119" s="4"/>
      <c r="G1119" s="4"/>
      <c r="H1119" s="4"/>
      <c r="I1119" s="4"/>
      <c r="J1119" s="4">
        <v>18.516999999999999</v>
      </c>
    </row>
    <row r="1120" spans="1:10">
      <c r="A1120" s="4"/>
      <c r="B1120" s="4"/>
      <c r="C1120" s="4" t="s">
        <v>1198</v>
      </c>
      <c r="D1120" s="4">
        <v>36.04</v>
      </c>
      <c r="E1120" s="4"/>
      <c r="F1120" s="4"/>
      <c r="G1120" s="4"/>
      <c r="H1120" s="4"/>
      <c r="I1120" s="4"/>
      <c r="J1120" s="4">
        <f>11.148+7.943+5.222+10.777</f>
        <v>35.090000000000003</v>
      </c>
    </row>
    <row r="1121" spans="1:10">
      <c r="A1121" s="4"/>
      <c r="B1121" s="4"/>
      <c r="C1121" s="4" t="s">
        <v>1199</v>
      </c>
      <c r="D1121" s="4">
        <v>6.2</v>
      </c>
      <c r="E1121" s="4"/>
      <c r="F1121" s="4"/>
      <c r="G1121" s="4"/>
      <c r="H1121" s="4"/>
      <c r="I1121" s="4"/>
      <c r="J1121" s="4">
        <v>6.2409999999999997</v>
      </c>
    </row>
    <row r="1122" spans="1:10">
      <c r="A1122" s="4"/>
      <c r="B1122" s="4"/>
      <c r="C1122" s="4" t="s">
        <v>893</v>
      </c>
      <c r="D1122" s="4">
        <v>10.18</v>
      </c>
      <c r="E1122" s="4"/>
      <c r="F1122" s="4"/>
      <c r="G1122" s="4"/>
      <c r="H1122" s="4"/>
      <c r="I1122" s="4"/>
      <c r="J1122" s="4">
        <f>3.542+6.796</f>
        <v>10.338000000000001</v>
      </c>
    </row>
    <row r="1123" spans="1:10">
      <c r="A1123" s="4"/>
      <c r="B1123" s="4"/>
      <c r="C1123" s="4" t="s">
        <v>1102</v>
      </c>
      <c r="D1123" s="4">
        <v>43.82</v>
      </c>
      <c r="E1123" s="4"/>
      <c r="F1123" s="4"/>
      <c r="G1123" s="4"/>
      <c r="H1123" s="4"/>
      <c r="I1123" s="4"/>
      <c r="J1123" s="4">
        <f>23.077+23.114+2.588</f>
        <v>48.779000000000003</v>
      </c>
    </row>
    <row r="1124" spans="1:10">
      <c r="A1124" s="4"/>
      <c r="B1124" s="4"/>
      <c r="C1124" s="4"/>
      <c r="D1124" s="4">
        <f>SUM(D1117:D1123)</f>
        <v>157.44999999999999</v>
      </c>
      <c r="E1124" s="4"/>
      <c r="F1124" s="4"/>
      <c r="G1124" s="4"/>
      <c r="H1124" s="4"/>
      <c r="I1124" s="4"/>
      <c r="J1124" s="4">
        <f>SUM(J1117:J1123)</f>
        <v>182.27</v>
      </c>
    </row>
    <row r="1125" spans="1:10">
      <c r="A1125" s="4"/>
      <c r="B1125" s="4"/>
      <c r="C1125" s="4"/>
      <c r="D1125" s="4"/>
      <c r="E1125" s="4"/>
      <c r="F1125" s="4"/>
      <c r="G1125" s="4"/>
      <c r="H1125" s="4"/>
      <c r="I1125" s="4"/>
      <c r="J1125" s="4"/>
    </row>
    <row r="1126" spans="1:10">
      <c r="A1126" s="4" t="s">
        <v>1201</v>
      </c>
      <c r="B1126" s="4"/>
      <c r="C1126" s="4" t="s">
        <v>878</v>
      </c>
      <c r="D1126" s="4">
        <v>148.02000000000001</v>
      </c>
      <c r="E1126" s="4"/>
      <c r="F1126" s="4"/>
      <c r="G1126" s="4"/>
      <c r="H1126" s="4"/>
      <c r="I1126" s="4"/>
      <c r="J1126" s="4">
        <f>40.389+14.851+29.691+39.319+7.542+19.595+2.885</f>
        <v>154.27199999999999</v>
      </c>
    </row>
    <row r="1127" spans="1:10">
      <c r="A1127" s="4"/>
      <c r="B1127" s="4"/>
      <c r="C1127" s="4"/>
      <c r="D1127" s="4">
        <f>SUM(D1126)</f>
        <v>148.02000000000001</v>
      </c>
      <c r="E1127" s="4"/>
      <c r="F1127" s="4"/>
      <c r="G1127" s="4"/>
      <c r="H1127" s="4"/>
      <c r="I1127" s="4"/>
      <c r="J1127" s="4">
        <f>SUM(J1126)</f>
        <v>154.27199999999999</v>
      </c>
    </row>
    <row r="1128" spans="1:10">
      <c r="A1128" s="4"/>
      <c r="B1128" s="4"/>
      <c r="C1128" s="4"/>
      <c r="D1128" s="4"/>
      <c r="E1128" s="4"/>
      <c r="F1128" s="4"/>
      <c r="G1128" s="4"/>
      <c r="H1128" s="4"/>
      <c r="I1128" s="4"/>
      <c r="J1128" s="4"/>
    </row>
    <row r="1129" spans="1:10">
      <c r="A1129" s="4" t="s">
        <v>1203</v>
      </c>
      <c r="B1129" s="4"/>
      <c r="C1129" s="4" t="s">
        <v>878</v>
      </c>
      <c r="D1129" s="4">
        <v>37.92</v>
      </c>
      <c r="E1129" s="4"/>
      <c r="F1129" s="4"/>
      <c r="G1129" s="4"/>
      <c r="H1129" s="4"/>
      <c r="I1129" s="4"/>
      <c r="J1129" s="4">
        <f>16.018+9.016+6.451+5.209</f>
        <v>36.694000000000003</v>
      </c>
    </row>
    <row r="1130" spans="1:10">
      <c r="A1130" s="4"/>
      <c r="B1130" s="4"/>
      <c r="C1130" s="4" t="s">
        <v>877</v>
      </c>
      <c r="D1130" s="4">
        <v>89.82</v>
      </c>
      <c r="E1130" s="4"/>
      <c r="F1130" s="4"/>
      <c r="G1130" s="4"/>
      <c r="H1130" s="4"/>
      <c r="I1130" s="4"/>
      <c r="J1130" s="4">
        <f>11.866+28.286+35.664+3.85+1.636</f>
        <v>81.301999999999992</v>
      </c>
    </row>
    <row r="1131" spans="1:10">
      <c r="A1131" s="4"/>
      <c r="B1131" s="4"/>
      <c r="C1131" s="4"/>
      <c r="D1131" s="4">
        <f>SUM(D1129:D1130)</f>
        <v>127.74</v>
      </c>
      <c r="E1131" s="4"/>
      <c r="F1131" s="4"/>
      <c r="G1131" s="4"/>
      <c r="H1131" s="4"/>
      <c r="I1131" s="4"/>
      <c r="J1131" s="4">
        <f>SUM(J1129:J1130)</f>
        <v>117.996</v>
      </c>
    </row>
    <row r="1132" spans="1:10">
      <c r="A1132" s="4"/>
      <c r="B1132" s="4"/>
      <c r="C1132" s="4"/>
      <c r="D1132" s="4"/>
      <c r="E1132" s="4"/>
      <c r="F1132" s="4"/>
      <c r="G1132" s="4"/>
      <c r="H1132" s="4"/>
      <c r="I1132" s="4"/>
      <c r="J1132" s="4"/>
    </row>
    <row r="1133" spans="1:10">
      <c r="A1133" s="4" t="s">
        <v>1207</v>
      </c>
      <c r="B1133" s="4"/>
      <c r="C1133" s="4" t="s">
        <v>877</v>
      </c>
      <c r="D1133" s="4">
        <v>13.19</v>
      </c>
      <c r="E1133" s="4"/>
      <c r="F1133" s="4"/>
      <c r="G1133" s="4"/>
      <c r="H1133" s="4"/>
      <c r="I1133" s="4"/>
      <c r="J1133" s="4">
        <f>26.232+4.567</f>
        <v>30.798999999999999</v>
      </c>
    </row>
    <row r="1134" spans="1:10">
      <c r="A1134" s="4"/>
      <c r="B1134" s="4"/>
      <c r="C1134" s="4" t="s">
        <v>876</v>
      </c>
      <c r="D1134" s="4">
        <v>35.39</v>
      </c>
      <c r="E1134" s="4"/>
      <c r="F1134" s="4"/>
      <c r="G1134" s="4"/>
      <c r="H1134" s="4"/>
      <c r="I1134" s="4"/>
      <c r="J1134" s="4">
        <f>20.033+15.196</f>
        <v>35.228999999999999</v>
      </c>
    </row>
    <row r="1135" spans="1:10">
      <c r="A1135" s="4"/>
      <c r="B1135" s="4"/>
      <c r="C1135" s="4" t="s">
        <v>1208</v>
      </c>
      <c r="D1135" s="4">
        <v>3.15</v>
      </c>
      <c r="E1135" s="4"/>
      <c r="F1135" s="4"/>
      <c r="G1135" s="4"/>
      <c r="H1135" s="4"/>
      <c r="I1135" s="4"/>
      <c r="J1135" s="4">
        <v>3.0329999999999999</v>
      </c>
    </row>
    <row r="1136" spans="1:10">
      <c r="A1136" s="4"/>
      <c r="B1136" s="4"/>
      <c r="C1136" s="4" t="s">
        <v>880</v>
      </c>
      <c r="D1136" s="4">
        <v>9.32</v>
      </c>
      <c r="E1136" s="4"/>
      <c r="F1136" s="4"/>
      <c r="G1136" s="4"/>
      <c r="H1136" s="4"/>
      <c r="I1136" s="4"/>
      <c r="J1136" s="4">
        <f>5.217+4.118</f>
        <v>9.3350000000000009</v>
      </c>
    </row>
    <row r="1137" spans="1:10">
      <c r="A1137" s="4"/>
      <c r="B1137" s="4"/>
      <c r="C1137" s="4" t="s">
        <v>1209</v>
      </c>
      <c r="D1137" s="4">
        <v>22.37</v>
      </c>
      <c r="E1137" s="4"/>
      <c r="F1137" s="4"/>
      <c r="G1137" s="4"/>
      <c r="H1137" s="4"/>
      <c r="I1137" s="4"/>
      <c r="J1137" s="4">
        <f>10.232+12.569</f>
        <v>22.801000000000002</v>
      </c>
    </row>
    <row r="1138" spans="1:10">
      <c r="A1138" s="4"/>
      <c r="B1138" s="4"/>
      <c r="C1138" s="4" t="s">
        <v>879</v>
      </c>
      <c r="D1138" s="4">
        <v>72.69</v>
      </c>
      <c r="E1138" s="4"/>
      <c r="F1138" s="4"/>
      <c r="G1138" s="4"/>
      <c r="H1138" s="4"/>
      <c r="I1138" s="4"/>
      <c r="J1138" s="4">
        <f>40.286+29.502</f>
        <v>69.787999999999997</v>
      </c>
    </row>
    <row r="1139" spans="1:10">
      <c r="A1139" s="4"/>
      <c r="B1139" s="4"/>
      <c r="C1139" s="4"/>
      <c r="D1139" s="4">
        <f>SUM(D1133:D1138)</f>
        <v>156.11000000000001</v>
      </c>
      <c r="E1139" s="4"/>
      <c r="F1139" s="4"/>
      <c r="G1139" s="4"/>
      <c r="H1139" s="4"/>
      <c r="I1139" s="4"/>
      <c r="J1139" s="4">
        <f>SUM(J1133:J1138)</f>
        <v>170.98499999999999</v>
      </c>
    </row>
    <row r="1140" spans="1:10">
      <c r="A1140" s="4"/>
      <c r="B1140" s="4"/>
      <c r="C1140" s="4"/>
      <c r="D1140" s="4"/>
      <c r="E1140" s="4"/>
      <c r="F1140" s="4"/>
      <c r="G1140" s="4"/>
      <c r="H1140" s="4"/>
      <c r="I1140" s="4"/>
      <c r="J1140" s="4"/>
    </row>
    <row r="1141" spans="1:10">
      <c r="A1141" s="4" t="s">
        <v>1216</v>
      </c>
      <c r="B1141" s="4"/>
      <c r="C1141" s="4" t="s">
        <v>562</v>
      </c>
      <c r="D1141" s="4">
        <v>27.17</v>
      </c>
      <c r="E1141" s="4"/>
      <c r="F1141" s="4"/>
      <c r="G1141" s="4"/>
      <c r="H1141" s="4"/>
      <c r="I1141" s="4"/>
      <c r="J1141" s="4">
        <f>14.783+14.408</f>
        <v>29.190999999999999</v>
      </c>
    </row>
    <row r="1142" spans="1:10">
      <c r="A1142" s="4"/>
      <c r="B1142" s="4"/>
      <c r="C1142" s="4" t="s">
        <v>561</v>
      </c>
      <c r="D1142" s="4">
        <v>24.11</v>
      </c>
      <c r="E1142" s="4"/>
      <c r="F1142" s="4"/>
      <c r="G1142" s="4"/>
      <c r="H1142" s="4"/>
      <c r="I1142" s="4"/>
      <c r="J1142" s="4">
        <f>10.919+13.583</f>
        <v>24.502000000000002</v>
      </c>
    </row>
    <row r="1143" spans="1:10">
      <c r="A1143" s="4"/>
      <c r="B1143" s="4"/>
      <c r="C1143" s="4" t="s">
        <v>560</v>
      </c>
      <c r="D1143" s="4">
        <v>65.92</v>
      </c>
      <c r="E1143" s="4"/>
      <c r="F1143" s="4"/>
      <c r="G1143" s="4"/>
      <c r="H1143" s="4"/>
      <c r="I1143" s="4"/>
      <c r="J1143" s="4">
        <f>4.707+6.313+21.2+31.341</f>
        <v>63.561</v>
      </c>
    </row>
    <row r="1144" spans="1:10">
      <c r="A1144" s="4"/>
      <c r="B1144" s="4"/>
      <c r="C1144" s="4" t="s">
        <v>1211</v>
      </c>
      <c r="D1144" s="4">
        <v>2.67</v>
      </c>
      <c r="E1144" s="4"/>
      <c r="F1144" s="4"/>
      <c r="G1144" s="4"/>
      <c r="H1144" s="4"/>
      <c r="I1144" s="4"/>
      <c r="J1144" s="4">
        <v>3.1280000000000001</v>
      </c>
    </row>
    <row r="1145" spans="1:10">
      <c r="A1145" s="4"/>
      <c r="B1145" s="4"/>
      <c r="C1145" s="4" t="s">
        <v>1212</v>
      </c>
      <c r="D1145" s="4">
        <v>8.5449999999999999</v>
      </c>
      <c r="E1145" s="4"/>
      <c r="F1145" s="4"/>
      <c r="G1145" s="4"/>
      <c r="H1145" s="4"/>
      <c r="I1145" s="4"/>
      <c r="J1145" s="4">
        <v>8.3070000000000004</v>
      </c>
    </row>
    <row r="1146" spans="1:10">
      <c r="A1146" s="4"/>
      <c r="B1146" s="4"/>
      <c r="C1146" s="4" t="s">
        <v>1213</v>
      </c>
      <c r="D1146" s="4">
        <v>22.105</v>
      </c>
      <c r="E1146" s="4"/>
      <c r="F1146" s="4"/>
      <c r="G1146" s="4"/>
      <c r="H1146" s="4"/>
      <c r="I1146" s="4"/>
      <c r="J1146" s="4">
        <f>11.213+9.242</f>
        <v>20.454999999999998</v>
      </c>
    </row>
    <row r="1147" spans="1:10">
      <c r="A1147" s="4"/>
      <c r="B1147" s="4"/>
      <c r="C1147" s="4" t="s">
        <v>552</v>
      </c>
      <c r="D1147" s="4">
        <v>0.41499999999999998</v>
      </c>
      <c r="E1147" s="4"/>
      <c r="F1147" s="4"/>
      <c r="G1147" s="4"/>
      <c r="H1147" s="4"/>
      <c r="I1147" s="4"/>
      <c r="J1147" s="4"/>
    </row>
    <row r="1148" spans="1:10">
      <c r="A1148" s="4"/>
      <c r="B1148" s="4"/>
      <c r="C1148" s="4" t="s">
        <v>1214</v>
      </c>
      <c r="D1148" s="4">
        <v>7.98</v>
      </c>
      <c r="E1148" s="4"/>
      <c r="F1148" s="4"/>
      <c r="G1148" s="4"/>
      <c r="H1148" s="4"/>
      <c r="I1148" s="4"/>
      <c r="J1148" s="4">
        <v>7.9139999999999997</v>
      </c>
    </row>
    <row r="1149" spans="1:10">
      <c r="A1149" s="4"/>
      <c r="B1149" s="4"/>
      <c r="C1149" s="4" t="s">
        <v>551</v>
      </c>
      <c r="D1149" s="4">
        <v>1.5449999999999999</v>
      </c>
      <c r="E1149" s="4"/>
      <c r="F1149" s="4"/>
      <c r="G1149" s="4"/>
      <c r="H1149" s="4"/>
      <c r="I1149" s="4"/>
      <c r="J1149" s="4">
        <v>1.5349999999999999</v>
      </c>
    </row>
    <row r="1150" spans="1:10">
      <c r="A1150" s="4"/>
      <c r="B1150" s="4"/>
      <c r="C1150" s="4" t="s">
        <v>1220</v>
      </c>
      <c r="D1150" s="4">
        <v>2.3149999999999999</v>
      </c>
      <c r="E1150" s="4"/>
      <c r="F1150" s="4"/>
      <c r="G1150" s="4"/>
      <c r="H1150" s="4"/>
      <c r="I1150" s="4"/>
      <c r="J1150" s="4">
        <v>2.1520000000000001</v>
      </c>
    </row>
    <row r="1151" spans="1:10">
      <c r="A1151" s="4"/>
      <c r="B1151" s="4"/>
      <c r="C1151" s="4" t="s">
        <v>878</v>
      </c>
      <c r="D1151" s="4">
        <v>6.52</v>
      </c>
      <c r="E1151" s="4"/>
      <c r="F1151" s="4"/>
      <c r="G1151" s="4"/>
      <c r="H1151" s="4"/>
      <c r="I1151" s="4"/>
      <c r="J1151" s="4"/>
    </row>
    <row r="1152" spans="1:10">
      <c r="A1152" s="4"/>
      <c r="B1152" s="4"/>
      <c r="C1152" s="4" t="s">
        <v>1215</v>
      </c>
      <c r="D1152" s="4">
        <v>4.0650000000000004</v>
      </c>
      <c r="E1152" s="4"/>
      <c r="F1152" s="4"/>
      <c r="G1152" s="4"/>
      <c r="H1152" s="4"/>
      <c r="I1152" s="4"/>
      <c r="J1152" s="4">
        <v>3.7829999999999999</v>
      </c>
    </row>
    <row r="1153" spans="1:10">
      <c r="A1153" s="4"/>
      <c r="B1153" s="4"/>
      <c r="C1153" s="4" t="s">
        <v>1217</v>
      </c>
      <c r="D1153" s="4">
        <v>5.1749999999999998</v>
      </c>
      <c r="E1153" s="4"/>
      <c r="F1153" s="4"/>
      <c r="G1153" s="4"/>
      <c r="H1153" s="4"/>
      <c r="I1153" s="4"/>
      <c r="J1153" s="4">
        <v>5.1589999999999998</v>
      </c>
    </row>
    <row r="1154" spans="1:10">
      <c r="A1154" s="4"/>
      <c r="B1154" s="4"/>
      <c r="C1154" s="4" t="s">
        <v>1218</v>
      </c>
      <c r="D1154" s="4">
        <v>6.0149999999999997</v>
      </c>
      <c r="E1154" s="4"/>
      <c r="F1154" s="4"/>
      <c r="G1154" s="4"/>
      <c r="H1154" s="4"/>
      <c r="I1154" s="4"/>
      <c r="J1154" s="4">
        <v>6.024</v>
      </c>
    </row>
    <row r="1155" spans="1:10">
      <c r="A1155" s="4"/>
      <c r="B1155" s="4"/>
      <c r="C1155" s="4"/>
      <c r="D1155" s="4">
        <f>SUM(D1141:D1154)</f>
        <v>184.54999999999995</v>
      </c>
      <c r="E1155" s="4"/>
      <c r="F1155" s="4"/>
      <c r="G1155" s="4"/>
      <c r="H1155" s="4"/>
      <c r="I1155" s="4"/>
      <c r="J1155" s="4">
        <f>SUM(J1141:J1154)</f>
        <v>175.71099999999996</v>
      </c>
    </row>
    <row r="1156" spans="1:10">
      <c r="A1156" s="4"/>
      <c r="B1156" s="4"/>
      <c r="C1156" s="4"/>
      <c r="D1156" s="4"/>
      <c r="E1156" s="4"/>
      <c r="F1156" s="4"/>
      <c r="G1156" s="4"/>
      <c r="H1156" s="4"/>
      <c r="I1156" s="4"/>
      <c r="J1156" s="4"/>
    </row>
    <row r="1157" spans="1:10">
      <c r="A1157" s="4" t="s">
        <v>1206</v>
      </c>
      <c r="B1157" s="4"/>
      <c r="C1157" s="4" t="s">
        <v>711</v>
      </c>
      <c r="D1157" s="4">
        <v>138.79</v>
      </c>
      <c r="E1157" s="4"/>
      <c r="F1157" s="4"/>
      <c r="G1157" s="4"/>
      <c r="H1157" s="4"/>
      <c r="I1157" s="4"/>
      <c r="J1157" s="4">
        <f>45.501+13.563+43.324+4.268+26.808</f>
        <v>133.464</v>
      </c>
    </row>
    <row r="1158" spans="1:10">
      <c r="A1158" s="4"/>
      <c r="B1158" s="4"/>
      <c r="C1158" s="4" t="s">
        <v>717</v>
      </c>
      <c r="D1158" s="4">
        <v>13.14</v>
      </c>
      <c r="E1158" s="4"/>
      <c r="F1158" s="4"/>
      <c r="G1158" s="4"/>
      <c r="H1158" s="4"/>
      <c r="I1158" s="4"/>
      <c r="J1158" s="4">
        <f>5.553+6.9</f>
        <v>12.452999999999999</v>
      </c>
    </row>
    <row r="1159" spans="1:10">
      <c r="A1159" s="4"/>
      <c r="B1159" s="4"/>
      <c r="C1159" s="4" t="s">
        <v>981</v>
      </c>
      <c r="D1159" s="4">
        <f>3+1</f>
        <v>4</v>
      </c>
      <c r="E1159" s="4"/>
      <c r="F1159" s="4"/>
      <c r="G1159" s="4"/>
      <c r="H1159" s="4"/>
      <c r="I1159" s="4"/>
      <c r="J1159" s="4">
        <f>2.534+0.195+0.616+0.226+0.315+0.085</f>
        <v>3.9709999999999996</v>
      </c>
    </row>
    <row r="1160" spans="1:10">
      <c r="A1160" s="4"/>
      <c r="B1160" s="4"/>
      <c r="C1160" s="4" t="s">
        <v>1219</v>
      </c>
      <c r="D1160" s="4">
        <f>31.22-3-1</f>
        <v>27.22</v>
      </c>
      <c r="E1160" s="4"/>
      <c r="F1160" s="4"/>
      <c r="G1160" s="4"/>
      <c r="H1160" s="4"/>
      <c r="I1160" s="4"/>
      <c r="J1160" s="4">
        <f>9.679+13.09+4.715</f>
        <v>27.483999999999998</v>
      </c>
    </row>
    <row r="1161" spans="1:10">
      <c r="A1161" s="4"/>
      <c r="B1161" s="4"/>
      <c r="C1161" s="4" t="s">
        <v>1062</v>
      </c>
      <c r="D1161" s="4">
        <v>24.32</v>
      </c>
      <c r="E1161" s="4"/>
      <c r="F1161" s="4"/>
      <c r="G1161" s="4"/>
      <c r="H1161" s="4"/>
      <c r="I1161" s="4"/>
      <c r="J1161" s="4">
        <f>14.325+9.865</f>
        <v>24.189999999999998</v>
      </c>
    </row>
    <row r="1162" spans="1:10">
      <c r="A1162" s="4"/>
      <c r="B1162" s="4"/>
      <c r="C1162" s="4"/>
      <c r="D1162" s="4">
        <f>SUM(D1157:D1161)</f>
        <v>207.47</v>
      </c>
      <c r="E1162" s="4"/>
      <c r="F1162" s="4"/>
      <c r="G1162" s="4"/>
      <c r="H1162" s="4"/>
      <c r="I1162" s="4"/>
      <c r="J1162" s="4">
        <f>SUM(J1157:J1161)</f>
        <v>201.56200000000001</v>
      </c>
    </row>
    <row r="1163" spans="1:10">
      <c r="A1163" s="4" t="s">
        <v>1221</v>
      </c>
      <c r="B1163" s="4"/>
      <c r="C1163" s="4"/>
      <c r="D1163" s="4"/>
      <c r="E1163" s="4"/>
      <c r="F1163" s="4"/>
      <c r="G1163" s="4"/>
      <c r="H1163" s="4"/>
      <c r="I1163" s="4"/>
      <c r="J1163" s="4"/>
    </row>
    <row r="1164" spans="1:10">
      <c r="A1164" s="4" t="s">
        <v>1222</v>
      </c>
      <c r="B1164" s="4"/>
      <c r="C1164" s="4" t="s">
        <v>681</v>
      </c>
      <c r="D1164" s="4">
        <v>109.94</v>
      </c>
      <c r="E1164" s="4"/>
      <c r="F1164" s="4"/>
      <c r="G1164" s="4"/>
      <c r="H1164" s="4"/>
      <c r="I1164" s="4"/>
      <c r="J1164" s="4">
        <f>65.417+44.386</f>
        <v>109.803</v>
      </c>
    </row>
    <row r="1165" spans="1:10">
      <c r="A1165" s="4"/>
      <c r="B1165" s="4"/>
      <c r="C1165" s="4" t="s">
        <v>680</v>
      </c>
      <c r="D1165" s="4">
        <f>67.03-8.14</f>
        <v>58.89</v>
      </c>
      <c r="E1165" s="4"/>
      <c r="F1165" s="4"/>
      <c r="G1165" s="4"/>
      <c r="H1165" s="4"/>
      <c r="I1165" s="4"/>
      <c r="J1165" s="4">
        <f>14.782+49.414-5.52</f>
        <v>58.676000000000002</v>
      </c>
    </row>
    <row r="1166" spans="1:10">
      <c r="A1166" s="4"/>
      <c r="B1166" s="4"/>
      <c r="C1166" s="4" t="s">
        <v>963</v>
      </c>
      <c r="D1166" s="4">
        <v>8.14</v>
      </c>
      <c r="E1166" s="4"/>
      <c r="F1166" s="4"/>
      <c r="G1166" s="4"/>
      <c r="H1166" s="4"/>
      <c r="I1166" s="4"/>
      <c r="J1166" s="4">
        <v>7.2119999999999997</v>
      </c>
    </row>
    <row r="1167" spans="1:10">
      <c r="A1167" s="4"/>
      <c r="B1167" s="4"/>
      <c r="C1167" s="4" t="s">
        <v>908</v>
      </c>
      <c r="D1167" s="4">
        <v>29.44</v>
      </c>
      <c r="E1167" s="4"/>
      <c r="F1167" s="4"/>
      <c r="G1167" s="4"/>
      <c r="H1167" s="4"/>
      <c r="I1167" s="4"/>
      <c r="J1167" s="4">
        <v>5.52</v>
      </c>
    </row>
    <row r="1168" spans="1:10">
      <c r="A1168" s="4"/>
      <c r="B1168" s="4"/>
      <c r="C1168" s="4"/>
      <c r="D1168" s="4">
        <f>SUM(D1164:D1167)</f>
        <v>206.40999999999997</v>
      </c>
      <c r="E1168" s="4"/>
      <c r="F1168" s="4"/>
      <c r="G1168" s="4"/>
      <c r="H1168" s="4"/>
      <c r="I1168" s="4"/>
      <c r="J1168" s="4">
        <f>SUM(J1164:J1167)</f>
        <v>181.21099999999998</v>
      </c>
    </row>
    <row r="1169" spans="1:10">
      <c r="A1169" s="4"/>
      <c r="B1169" s="4"/>
      <c r="C1169" s="4"/>
      <c r="D1169" s="4"/>
      <c r="E1169" s="4"/>
      <c r="F1169" s="4"/>
      <c r="G1169" s="4"/>
      <c r="H1169" s="4"/>
      <c r="I1169" s="4"/>
      <c r="J1169" s="4"/>
    </row>
    <row r="1170" spans="1:10">
      <c r="A1170" s="4" t="s">
        <v>1223</v>
      </c>
      <c r="B1170" s="4"/>
      <c r="C1170" s="4" t="s">
        <v>908</v>
      </c>
      <c r="D1170" s="4">
        <f>150.91-5+1.5</f>
        <v>147.41</v>
      </c>
      <c r="E1170" s="4"/>
      <c r="F1170" s="4"/>
      <c r="G1170" s="4"/>
      <c r="H1170" s="4"/>
      <c r="I1170" s="4"/>
      <c r="J1170" s="4">
        <f>14.962+69.528+59.732+13.417+10.691+5.028+3.971</f>
        <v>177.32900000000001</v>
      </c>
    </row>
    <row r="1171" spans="1:10">
      <c r="A1171" s="4"/>
      <c r="B1171" s="4"/>
      <c r="C1171" s="4" t="s">
        <v>964</v>
      </c>
      <c r="D1171" s="4">
        <f>5-1.5</f>
        <v>3.5</v>
      </c>
      <c r="E1171" s="4"/>
      <c r="F1171" s="4"/>
      <c r="G1171" s="4"/>
      <c r="H1171" s="4"/>
      <c r="I1171" s="4"/>
      <c r="J1171" s="4">
        <v>3.5720000000000001</v>
      </c>
    </row>
    <row r="1172" spans="1:10">
      <c r="A1172" s="4"/>
      <c r="B1172" s="4"/>
      <c r="C1172" s="4" t="s">
        <v>1125</v>
      </c>
      <c r="D1172" s="4">
        <v>5.32</v>
      </c>
      <c r="E1172" s="4"/>
      <c r="F1172" s="4"/>
      <c r="G1172" s="4"/>
      <c r="H1172" s="4"/>
      <c r="I1172" s="4"/>
      <c r="J1172" s="4">
        <v>5.1340000000000003</v>
      </c>
    </row>
    <row r="1173" spans="1:10">
      <c r="A1173" s="4"/>
      <c r="B1173" s="4"/>
      <c r="C1173" s="4"/>
      <c r="D1173" s="4">
        <f>SUM(D1170:D1172)</f>
        <v>156.22999999999999</v>
      </c>
      <c r="E1173" s="4"/>
      <c r="F1173" s="4"/>
      <c r="G1173" s="4"/>
      <c r="H1173" s="4"/>
      <c r="I1173" s="4"/>
      <c r="J1173" s="4">
        <f>SUM(J1170:J1172)</f>
        <v>186.03500000000003</v>
      </c>
    </row>
    <row r="1174" spans="1:10">
      <c r="A1174" s="4"/>
      <c r="B1174" s="4"/>
      <c r="C1174" s="4"/>
      <c r="D1174" s="4"/>
      <c r="E1174" s="4"/>
      <c r="F1174" s="4"/>
      <c r="G1174" s="4"/>
      <c r="H1174" s="4"/>
      <c r="I1174" s="4"/>
      <c r="J1174" s="4"/>
    </row>
    <row r="1175" spans="1:10">
      <c r="A1175" s="4" t="s">
        <v>1226</v>
      </c>
      <c r="B1175" s="4"/>
      <c r="C1175" s="4" t="s">
        <v>1227</v>
      </c>
      <c r="D1175" s="4">
        <v>52.72</v>
      </c>
      <c r="E1175" s="4"/>
      <c r="F1175" s="4"/>
      <c r="G1175" s="4"/>
      <c r="H1175" s="4"/>
      <c r="I1175" s="4"/>
      <c r="J1175" s="4">
        <f>29.278+24.537</f>
        <v>53.814999999999998</v>
      </c>
    </row>
    <row r="1176" spans="1:10">
      <c r="A1176" s="4"/>
      <c r="B1176" s="4"/>
      <c r="C1176" s="4" t="s">
        <v>742</v>
      </c>
      <c r="D1176" s="4">
        <v>55.39</v>
      </c>
      <c r="E1176" s="4"/>
      <c r="F1176" s="4"/>
      <c r="G1176" s="4"/>
      <c r="H1176" s="4"/>
      <c r="I1176" s="4"/>
      <c r="J1176" s="4">
        <f>8.566+18.199+19.933+7.547+1.85</f>
        <v>56.094999999999999</v>
      </c>
    </row>
    <row r="1177" spans="1:10">
      <c r="A1177" s="4"/>
      <c r="B1177" s="4"/>
      <c r="C1177" s="4" t="s">
        <v>743</v>
      </c>
      <c r="D1177" s="4">
        <v>19.760000000000002</v>
      </c>
      <c r="E1177" s="4"/>
      <c r="F1177" s="4"/>
      <c r="G1177" s="4"/>
      <c r="H1177" s="4"/>
      <c r="I1177" s="4"/>
      <c r="J1177" s="4">
        <f>8.933+7.889+1.451</f>
        <v>18.273</v>
      </c>
    </row>
    <row r="1178" spans="1:10">
      <c r="A1178" s="4"/>
      <c r="B1178" s="4"/>
      <c r="C1178" s="4" t="s">
        <v>996</v>
      </c>
      <c r="D1178" s="4">
        <v>34.14</v>
      </c>
      <c r="E1178" s="4"/>
      <c r="F1178" s="4"/>
      <c r="G1178" s="4"/>
      <c r="H1178" s="4"/>
      <c r="I1178" s="4"/>
      <c r="J1178" s="4">
        <f>12.661+7.215+5.922+5.66+2.278</f>
        <v>33.735999999999997</v>
      </c>
    </row>
    <row r="1179" spans="1:10">
      <c r="A1179" s="4"/>
      <c r="B1179" s="4"/>
      <c r="C1179" s="4" t="s">
        <v>995</v>
      </c>
      <c r="D1179" s="4">
        <v>16.07</v>
      </c>
      <c r="E1179" s="4"/>
      <c r="F1179" s="4"/>
      <c r="G1179" s="4"/>
      <c r="H1179" s="4"/>
      <c r="I1179" s="4"/>
      <c r="J1179" s="4">
        <v>25.501000000000001</v>
      </c>
    </row>
    <row r="1180" spans="1:10">
      <c r="A1180" s="4"/>
      <c r="B1180" s="4"/>
      <c r="C1180" s="4"/>
      <c r="D1180" s="4">
        <f>SUM(D1175:D1179)</f>
        <v>178.07999999999998</v>
      </c>
      <c r="E1180" s="4"/>
      <c r="F1180" s="4"/>
      <c r="G1180" s="4"/>
      <c r="H1180" s="4"/>
      <c r="I1180" s="4"/>
      <c r="J1180" s="4">
        <f>SUM(J1175:J1179)</f>
        <v>187.42</v>
      </c>
    </row>
    <row r="1181" spans="1:10">
      <c r="A1181" s="4"/>
      <c r="B1181" s="4"/>
      <c r="C1181" s="4"/>
      <c r="D1181" s="4"/>
      <c r="E1181" s="4"/>
      <c r="F1181" s="4"/>
      <c r="G1181" s="4"/>
      <c r="H1181" s="4"/>
      <c r="I1181" s="4"/>
      <c r="J1181" s="4"/>
    </row>
    <row r="1182" spans="1:10">
      <c r="A1182" s="4" t="s">
        <v>1228</v>
      </c>
      <c r="B1182" s="4"/>
      <c r="C1182" s="4" t="s">
        <v>995</v>
      </c>
      <c r="D1182" s="4">
        <v>45.6</v>
      </c>
      <c r="E1182" s="4"/>
      <c r="F1182" s="4"/>
      <c r="G1182" s="4"/>
      <c r="H1182" s="4"/>
      <c r="I1182" s="4"/>
      <c r="J1182" s="4">
        <v>34.6</v>
      </c>
    </row>
    <row r="1183" spans="1:10">
      <c r="A1183" s="4"/>
      <c r="B1183" s="4"/>
      <c r="C1183" s="4" t="s">
        <v>1229</v>
      </c>
      <c r="D1183" s="4">
        <v>2.4700000000000002</v>
      </c>
      <c r="E1183" s="4"/>
      <c r="F1183" s="4"/>
      <c r="G1183" s="4"/>
      <c r="H1183" s="4"/>
      <c r="I1183" s="4"/>
      <c r="J1183" s="4">
        <v>2.488</v>
      </c>
    </row>
    <row r="1184" spans="1:10">
      <c r="A1184" s="4"/>
      <c r="B1184" s="4"/>
      <c r="C1184" s="4" t="s">
        <v>998</v>
      </c>
      <c r="D1184" s="4">
        <v>13.74</v>
      </c>
      <c r="E1184" s="4"/>
      <c r="F1184" s="4"/>
      <c r="G1184" s="4"/>
      <c r="H1184" s="4"/>
      <c r="I1184" s="4"/>
      <c r="J1184" s="4">
        <f>8.712+4.93</f>
        <v>13.641999999999999</v>
      </c>
    </row>
    <row r="1185" spans="1:10">
      <c r="A1185" s="4"/>
      <c r="B1185" s="4"/>
      <c r="C1185" s="4" t="s">
        <v>997</v>
      </c>
      <c r="D1185" s="4">
        <v>15.46</v>
      </c>
      <c r="E1185" s="4"/>
      <c r="F1185" s="4"/>
      <c r="G1185" s="4"/>
      <c r="H1185" s="4"/>
      <c r="I1185" s="4"/>
      <c r="J1185" s="4">
        <f>7.358+6.895</f>
        <v>14.253</v>
      </c>
    </row>
    <row r="1186" spans="1:10">
      <c r="A1186" s="4"/>
      <c r="B1186" s="4"/>
      <c r="C1186" s="4" t="s">
        <v>1114</v>
      </c>
      <c r="D1186" s="4">
        <v>125.43</v>
      </c>
      <c r="E1186" s="4"/>
      <c r="F1186" s="4"/>
      <c r="G1186" s="4"/>
      <c r="H1186" s="4"/>
      <c r="I1186" s="4"/>
      <c r="J1186" s="4">
        <f>64.159+54.157+3.038+8.098</f>
        <v>129.452</v>
      </c>
    </row>
    <row r="1187" spans="1:10">
      <c r="A1187" s="4"/>
      <c r="B1187" s="4"/>
      <c r="C1187" s="4"/>
      <c r="D1187" s="4">
        <f>SUM(D1182:D1186)</f>
        <v>202.70000000000002</v>
      </c>
      <c r="E1187" s="4"/>
      <c r="F1187" s="4"/>
      <c r="G1187" s="4"/>
      <c r="H1187" s="4"/>
      <c r="I1187" s="4"/>
      <c r="J1187" s="4">
        <f>SUM(J1182:J1186)</f>
        <v>194.435</v>
      </c>
    </row>
    <row r="1188" spans="1:10">
      <c r="A1188" s="4"/>
      <c r="B1188" s="4"/>
      <c r="C1188" s="4"/>
      <c r="D1188" s="4"/>
      <c r="E1188" s="4"/>
      <c r="F1188" s="4"/>
      <c r="G1188" s="4"/>
      <c r="H1188" s="4"/>
      <c r="I1188" s="4"/>
      <c r="J1188" s="4"/>
    </row>
    <row r="1189" spans="1:10">
      <c r="A1189" s="4" t="s">
        <v>1230</v>
      </c>
      <c r="B1189" s="4"/>
      <c r="C1189" s="4" t="s">
        <v>1231</v>
      </c>
      <c r="D1189" s="4">
        <v>66.31</v>
      </c>
      <c r="E1189" s="4"/>
      <c r="F1189" s="4"/>
      <c r="G1189" s="4"/>
      <c r="H1189" s="4"/>
      <c r="I1189" s="4"/>
      <c r="J1189" s="4">
        <f>32.631+32.612</f>
        <v>65.242999999999995</v>
      </c>
    </row>
    <row r="1190" spans="1:10">
      <c r="A1190" s="4"/>
      <c r="B1190" s="4"/>
      <c r="C1190" s="4" t="s">
        <v>1232</v>
      </c>
      <c r="D1190" s="4">
        <f>10.63+2.76</f>
        <v>13.39</v>
      </c>
      <c r="E1190" s="4"/>
      <c r="F1190" s="4"/>
      <c r="G1190" s="4"/>
      <c r="H1190" s="4"/>
      <c r="I1190" s="4"/>
      <c r="J1190" s="4">
        <f>9.573+3.491</f>
        <v>13.064</v>
      </c>
    </row>
    <row r="1191" spans="1:10">
      <c r="A1191" s="4"/>
      <c r="B1191" s="4"/>
      <c r="C1191" s="4" t="s">
        <v>1233</v>
      </c>
      <c r="D1191" s="4">
        <v>9.94</v>
      </c>
      <c r="E1191" s="4"/>
      <c r="F1191" s="4"/>
      <c r="G1191" s="4"/>
      <c r="H1191" s="4"/>
      <c r="I1191" s="4"/>
      <c r="J1191" s="4">
        <f>3.007+6.999</f>
        <v>10.006</v>
      </c>
    </row>
    <row r="1192" spans="1:10">
      <c r="A1192" s="4"/>
      <c r="B1192" s="4"/>
      <c r="C1192" s="4" t="s">
        <v>1234</v>
      </c>
      <c r="D1192" s="4">
        <f>52.13-9.94</f>
        <v>42.190000000000005</v>
      </c>
      <c r="E1192" s="4"/>
      <c r="F1192" s="4"/>
      <c r="G1192" s="4"/>
      <c r="H1192" s="4"/>
      <c r="I1192" s="4"/>
      <c r="J1192" s="4">
        <f>2.346+20.385+12.594+7.041</f>
        <v>42.366</v>
      </c>
    </row>
    <row r="1193" spans="1:10">
      <c r="A1193" s="4"/>
      <c r="B1193" s="4"/>
      <c r="C1193" s="4" t="s">
        <v>1006</v>
      </c>
      <c r="D1193" s="4">
        <v>27.37</v>
      </c>
      <c r="E1193" s="4"/>
      <c r="F1193" s="4"/>
      <c r="G1193" s="4"/>
      <c r="H1193" s="4"/>
      <c r="I1193" s="4"/>
      <c r="J1193" s="4">
        <f>12.425+13.667</f>
        <v>26.091999999999999</v>
      </c>
    </row>
    <row r="1194" spans="1:10">
      <c r="A1194" s="4"/>
      <c r="B1194" s="4"/>
      <c r="C1194" s="4" t="s">
        <v>1007</v>
      </c>
      <c r="D1194" s="4">
        <v>29.05</v>
      </c>
      <c r="E1194" s="4"/>
      <c r="F1194" s="4"/>
      <c r="G1194" s="4"/>
      <c r="H1194" s="4"/>
      <c r="I1194" s="4"/>
      <c r="J1194" s="4">
        <f>9.085+26.835</f>
        <v>35.92</v>
      </c>
    </row>
    <row r="1195" spans="1:10">
      <c r="A1195" s="4"/>
      <c r="B1195" s="4"/>
      <c r="C1195" s="4"/>
      <c r="D1195" s="4">
        <f>SUM(D1189:D1194)</f>
        <v>188.25000000000003</v>
      </c>
      <c r="E1195" s="4"/>
      <c r="F1195" s="4"/>
      <c r="G1195" s="4"/>
      <c r="H1195" s="4"/>
      <c r="I1195" s="4"/>
      <c r="J1195" s="4">
        <f>SUM(J1189:J1194)</f>
        <v>192.69099999999997</v>
      </c>
    </row>
    <row r="1196" spans="1:10">
      <c r="A1196" s="4"/>
      <c r="B1196" s="4"/>
      <c r="C1196" s="4"/>
      <c r="D1196" s="4"/>
      <c r="E1196" s="4"/>
      <c r="F1196" s="4"/>
      <c r="G1196" s="4"/>
      <c r="H1196" s="4"/>
      <c r="I1196" s="4"/>
      <c r="J1196" s="4"/>
    </row>
    <row r="1197" spans="1:10">
      <c r="A1197" s="4" t="s">
        <v>1235</v>
      </c>
      <c r="B1197" s="4"/>
      <c r="C1197" s="4" t="s">
        <v>1007</v>
      </c>
      <c r="D1197" s="4">
        <v>82.61</v>
      </c>
      <c r="E1197" s="4"/>
      <c r="F1197" s="4"/>
      <c r="G1197" s="4"/>
      <c r="H1197" s="4"/>
      <c r="I1197" s="4"/>
      <c r="J1197" s="4">
        <f>31.985+14.602+2.662+1.65+19.806</f>
        <v>70.704999999999998</v>
      </c>
    </row>
    <row r="1198" spans="1:10">
      <c r="A1198" s="4"/>
      <c r="B1198" s="4"/>
      <c r="C1198" s="4" t="s">
        <v>1189</v>
      </c>
      <c r="D1198" s="4">
        <v>23.11</v>
      </c>
      <c r="E1198" s="4"/>
      <c r="F1198" s="4"/>
      <c r="G1198" s="4"/>
      <c r="H1198" s="4"/>
      <c r="I1198" s="4"/>
      <c r="J1198" s="4">
        <f>8.672+13.211</f>
        <v>21.883000000000003</v>
      </c>
    </row>
    <row r="1199" spans="1:10">
      <c r="A1199" s="4"/>
      <c r="B1199" s="4"/>
      <c r="C1199" s="4" t="s">
        <v>1236</v>
      </c>
      <c r="D1199" s="4">
        <v>6.83</v>
      </c>
      <c r="E1199" s="4"/>
      <c r="F1199" s="4"/>
      <c r="G1199" s="4"/>
      <c r="H1199" s="4"/>
      <c r="I1199" s="4"/>
      <c r="J1199" s="4">
        <f>2.463+4.365</f>
        <v>6.8280000000000003</v>
      </c>
    </row>
    <row r="1200" spans="1:10">
      <c r="A1200" s="4"/>
      <c r="B1200" s="4"/>
      <c r="C1200" s="4" t="s">
        <v>1018</v>
      </c>
      <c r="D1200" s="4">
        <v>74.55</v>
      </c>
      <c r="E1200" s="4"/>
      <c r="F1200" s="4"/>
      <c r="G1200" s="4"/>
      <c r="H1200" s="4"/>
      <c r="I1200" s="4"/>
      <c r="J1200" s="4">
        <f>25.381+13.287+12.107+23.121</f>
        <v>73.896000000000001</v>
      </c>
    </row>
    <row r="1201" spans="1:10">
      <c r="A1201" s="4"/>
      <c r="B1201" s="4"/>
      <c r="C1201" s="4" t="s">
        <v>1017</v>
      </c>
      <c r="D1201" s="4">
        <v>28.07</v>
      </c>
      <c r="E1201" s="4"/>
      <c r="F1201" s="4"/>
      <c r="G1201" s="4"/>
      <c r="H1201" s="4"/>
      <c r="I1201" s="4"/>
      <c r="J1201" s="4">
        <f>16.592+10.545</f>
        <v>27.137</v>
      </c>
    </row>
    <row r="1202" spans="1:10">
      <c r="A1202" s="4"/>
      <c r="B1202" s="4"/>
      <c r="C1202" s="4"/>
      <c r="D1202" s="4">
        <f>SUM(D1197:D1201)</f>
        <v>215.17</v>
      </c>
      <c r="E1202" s="4"/>
      <c r="F1202" s="4"/>
      <c r="G1202" s="4"/>
      <c r="H1202" s="4"/>
      <c r="I1202" s="4"/>
      <c r="J1202" s="4">
        <f>SUM(J1197:J1201)</f>
        <v>200.44900000000001</v>
      </c>
    </row>
    <row r="1203" spans="1:10">
      <c r="A1203" s="4" t="s">
        <v>1248</v>
      </c>
      <c r="B1203" s="4"/>
      <c r="C1203" s="4"/>
      <c r="D1203" s="4"/>
      <c r="E1203" s="4"/>
      <c r="F1203" s="4"/>
      <c r="G1203" s="4"/>
      <c r="H1203" s="4"/>
      <c r="I1203" s="4"/>
      <c r="J1203" s="4"/>
    </row>
    <row r="1204" spans="1:10">
      <c r="A1204" s="4" t="s">
        <v>1255</v>
      </c>
      <c r="B1204" s="4"/>
      <c r="C1204" s="4"/>
      <c r="D1204" s="4"/>
      <c r="E1204" s="4"/>
      <c r="F1204" s="4"/>
      <c r="G1204" s="4"/>
      <c r="H1204" s="4"/>
      <c r="I1204" s="4"/>
      <c r="J1204" s="4"/>
    </row>
    <row r="1205" spans="1:10">
      <c r="A1205" s="4" t="s">
        <v>1256</v>
      </c>
      <c r="B1205" s="4"/>
      <c r="C1205" s="4"/>
      <c r="D1205" s="4"/>
      <c r="E1205" s="4"/>
      <c r="F1205" s="4"/>
      <c r="G1205" s="4"/>
      <c r="H1205" s="4"/>
      <c r="I1205" s="4"/>
      <c r="J1205" s="4"/>
    </row>
    <row r="1206" spans="1:10">
      <c r="A1206" s="4" t="s">
        <v>1257</v>
      </c>
      <c r="B1206" s="4"/>
      <c r="C1206" s="4"/>
      <c r="D1206" s="4"/>
      <c r="E1206" s="4"/>
      <c r="F1206" s="4"/>
      <c r="G1206" s="4"/>
      <c r="H1206" s="4"/>
      <c r="I1206" s="4"/>
      <c r="J1206" s="4"/>
    </row>
    <row r="1207" spans="1:10">
      <c r="A1207" s="4" t="s">
        <v>1254</v>
      </c>
      <c r="B1207" s="4"/>
      <c r="C1207" s="4" t="s">
        <v>879</v>
      </c>
      <c r="D1207" s="4">
        <v>25.31</v>
      </c>
      <c r="E1207" s="4"/>
      <c r="F1207" s="4"/>
      <c r="G1207" s="4"/>
      <c r="H1207" s="4"/>
      <c r="I1207" s="4"/>
      <c r="J1207" s="4">
        <f>13.091+11.075</f>
        <v>24.165999999999997</v>
      </c>
    </row>
    <row r="1208" spans="1:10">
      <c r="A1208" s="4"/>
      <c r="B1208" s="4"/>
      <c r="C1208" s="4" t="s">
        <v>878</v>
      </c>
      <c r="D1208" s="4">
        <v>28.51</v>
      </c>
      <c r="E1208" s="4"/>
      <c r="F1208" s="4"/>
      <c r="G1208" s="4"/>
      <c r="H1208" s="4"/>
      <c r="I1208" s="4"/>
      <c r="J1208" s="4">
        <f>10.18+14.918+3.333</f>
        <v>28.430999999999997</v>
      </c>
    </row>
    <row r="1209" spans="1:10">
      <c r="A1209" s="4"/>
      <c r="B1209" s="4"/>
      <c r="C1209" s="4" t="s">
        <v>877</v>
      </c>
      <c r="D1209" s="4">
        <v>16.95</v>
      </c>
      <c r="E1209" s="4"/>
      <c r="F1209" s="4"/>
      <c r="G1209" s="4"/>
      <c r="H1209" s="4"/>
      <c r="I1209" s="4"/>
      <c r="J1209" s="4">
        <f>4.938+10.594+1.341</f>
        <v>16.873000000000001</v>
      </c>
    </row>
    <row r="1210" spans="1:10">
      <c r="A1210" s="4"/>
      <c r="B1210" s="4"/>
      <c r="C1210" s="4" t="s">
        <v>876</v>
      </c>
      <c r="D1210" s="4">
        <v>6.43</v>
      </c>
      <c r="E1210" s="4"/>
      <c r="F1210" s="4"/>
      <c r="G1210" s="4"/>
      <c r="H1210" s="4"/>
      <c r="I1210" s="4"/>
      <c r="J1210" s="4">
        <v>6.415</v>
      </c>
    </row>
    <row r="1211" spans="1:10">
      <c r="A1211" s="4"/>
      <c r="B1211" s="4"/>
      <c r="C1211" s="4" t="s">
        <v>1213</v>
      </c>
      <c r="D1211" s="4">
        <v>30.24</v>
      </c>
      <c r="E1211" s="4"/>
      <c r="F1211" s="4"/>
      <c r="G1211" s="4"/>
      <c r="H1211" s="4"/>
      <c r="I1211" s="4"/>
      <c r="J1211" s="4">
        <f>13.51+15.862+0.358</f>
        <v>29.73</v>
      </c>
    </row>
    <row r="1212" spans="1:10">
      <c r="A1212" s="4"/>
      <c r="B1212" s="4"/>
      <c r="C1212" s="4" t="s">
        <v>1258</v>
      </c>
      <c r="D1212" s="4">
        <v>3.31</v>
      </c>
      <c r="E1212" s="4"/>
      <c r="F1212" s="4"/>
      <c r="G1212" s="4"/>
      <c r="H1212" s="4"/>
      <c r="I1212" s="4"/>
      <c r="J1212" s="4">
        <f>2.481+1.103</f>
        <v>3.5839999999999996</v>
      </c>
    </row>
    <row r="1213" spans="1:10">
      <c r="A1213" s="4"/>
      <c r="B1213" s="4"/>
      <c r="C1213" s="4" t="s">
        <v>1212</v>
      </c>
      <c r="D1213" s="4">
        <v>7.72</v>
      </c>
      <c r="E1213" s="4"/>
      <c r="F1213" s="4"/>
      <c r="G1213" s="4"/>
      <c r="H1213" s="4"/>
      <c r="I1213" s="4"/>
      <c r="J1213" s="4">
        <v>7.617</v>
      </c>
    </row>
    <row r="1214" spans="1:10">
      <c r="A1214" s="4"/>
      <c r="B1214" s="4"/>
      <c r="C1214" s="4" t="s">
        <v>1054</v>
      </c>
      <c r="D1214" s="4">
        <v>2.2949999999999999</v>
      </c>
      <c r="E1214" s="4"/>
      <c r="F1214" s="4"/>
      <c r="G1214" s="4"/>
      <c r="H1214" s="4"/>
      <c r="I1214" s="4"/>
      <c r="J1214" s="4">
        <v>1.944</v>
      </c>
    </row>
    <row r="1215" spans="1:10">
      <c r="A1215" s="4"/>
      <c r="B1215" s="4"/>
      <c r="C1215" s="4" t="s">
        <v>1259</v>
      </c>
      <c r="D1215" s="4">
        <v>7.85</v>
      </c>
      <c r="E1215" s="4"/>
      <c r="F1215" s="4"/>
      <c r="G1215" s="4"/>
      <c r="H1215" s="4"/>
      <c r="I1215" s="4"/>
      <c r="J1215" s="4">
        <f>5.29+2.816</f>
        <v>8.1059999999999999</v>
      </c>
    </row>
    <row r="1216" spans="1:10">
      <c r="A1216" s="4"/>
      <c r="B1216" s="4"/>
      <c r="C1216" s="4" t="s">
        <v>1260</v>
      </c>
      <c r="D1216" s="4">
        <v>12.83</v>
      </c>
      <c r="E1216" s="4"/>
      <c r="F1216" s="4"/>
      <c r="G1216" s="4"/>
      <c r="H1216" s="4"/>
      <c r="I1216" s="4"/>
      <c r="J1216" s="4">
        <f>6.232+8.762</f>
        <v>14.994</v>
      </c>
    </row>
    <row r="1217" spans="1:10">
      <c r="A1217" s="4"/>
      <c r="B1217" s="4"/>
      <c r="C1217" s="4"/>
      <c r="D1217" s="4">
        <f>SUM(D1207:D1216)</f>
        <v>141.44499999999999</v>
      </c>
      <c r="E1217" s="4"/>
      <c r="F1217" s="4"/>
      <c r="G1217" s="4"/>
      <c r="H1217" s="4"/>
      <c r="I1217" s="4"/>
      <c r="J1217" s="4">
        <f>SUM(J1207:J1216)</f>
        <v>141.86000000000001</v>
      </c>
    </row>
    <row r="1218" spans="1:10">
      <c r="A1218" s="4"/>
      <c r="B1218" s="4"/>
      <c r="C1218" s="4"/>
      <c r="D1218" s="4"/>
      <c r="E1218" s="4"/>
      <c r="F1218" s="4"/>
      <c r="G1218" s="4"/>
      <c r="H1218" s="4"/>
      <c r="I1218" s="4"/>
      <c r="J1218" s="4"/>
    </row>
    <row r="1219" spans="1:10">
      <c r="A1219" s="4" t="s">
        <v>1261</v>
      </c>
      <c r="B1219" s="4"/>
      <c r="C1219" s="4" t="s">
        <v>1219</v>
      </c>
      <c r="D1219" s="4">
        <v>36.15</v>
      </c>
      <c r="E1219" s="4"/>
      <c r="F1219" s="4"/>
      <c r="G1219" s="4"/>
      <c r="H1219" s="4"/>
      <c r="I1219" s="4"/>
      <c r="J1219" s="4">
        <f>16.039+19.182</f>
        <v>35.221000000000004</v>
      </c>
    </row>
    <row r="1220" spans="1:10">
      <c r="A1220" s="4"/>
      <c r="B1220" s="4"/>
      <c r="C1220" s="4" t="s">
        <v>1262</v>
      </c>
      <c r="D1220" s="4">
        <v>76.36</v>
      </c>
      <c r="E1220" s="4"/>
      <c r="F1220" s="4"/>
      <c r="G1220" s="4"/>
      <c r="H1220" s="4"/>
      <c r="I1220" s="4"/>
      <c r="J1220" s="4">
        <f>10.041+3.394+9.576+20.369+5.682+25.062</f>
        <v>74.124000000000009</v>
      </c>
    </row>
    <row r="1221" spans="1:10">
      <c r="A1221" s="4"/>
      <c r="B1221" s="4"/>
      <c r="C1221" s="4" t="s">
        <v>1263</v>
      </c>
      <c r="D1221" s="4">
        <v>85.04</v>
      </c>
      <c r="E1221" s="4"/>
      <c r="F1221" s="4"/>
      <c r="G1221" s="4"/>
      <c r="H1221" s="4"/>
      <c r="I1221" s="4"/>
      <c r="J1221" s="4">
        <f>5.007+21.836</f>
        <v>26.842999999999996</v>
      </c>
    </row>
    <row r="1222" spans="1:10">
      <c r="A1222" s="4"/>
      <c r="B1222" s="4"/>
      <c r="C1222" s="4"/>
      <c r="D1222" s="4">
        <f>SUM(D1219:D1221)</f>
        <v>197.55</v>
      </c>
      <c r="E1222" s="4"/>
      <c r="F1222" s="4"/>
      <c r="G1222" s="4"/>
      <c r="H1222" s="4"/>
      <c r="I1222" s="4"/>
      <c r="J1222" s="4">
        <f>SUM(J1219:J1221)</f>
        <v>136.18800000000002</v>
      </c>
    </row>
    <row r="1223" spans="1:10">
      <c r="A1223" s="4"/>
      <c r="B1223" s="4"/>
      <c r="C1223" s="4"/>
      <c r="D1223" s="4"/>
      <c r="E1223" s="4"/>
      <c r="F1223" s="4"/>
      <c r="G1223" s="4"/>
      <c r="H1223" s="4"/>
      <c r="I1223" s="4"/>
      <c r="J1223" s="4"/>
    </row>
    <row r="1224" spans="1:10">
      <c r="A1224" s="4" t="s">
        <v>1264</v>
      </c>
      <c r="B1224" s="4"/>
      <c r="C1224" s="4" t="s">
        <v>1263</v>
      </c>
      <c r="D1224" s="4">
        <v>49.935000000000002</v>
      </c>
      <c r="E1224" s="4"/>
      <c r="F1224" s="4"/>
      <c r="G1224" s="4"/>
      <c r="H1224" s="4"/>
      <c r="I1224" s="4"/>
      <c r="J1224" s="4">
        <f>3.255+38.19+42.628+6.968+13.056+1.426</f>
        <v>105.52300000000001</v>
      </c>
    </row>
    <row r="1225" spans="1:10">
      <c r="A1225" s="4"/>
      <c r="B1225" s="4"/>
      <c r="C1225" s="4" t="s">
        <v>1265</v>
      </c>
      <c r="D1225" s="4">
        <v>27.31</v>
      </c>
      <c r="E1225" s="4"/>
      <c r="F1225" s="4"/>
      <c r="G1225" s="4"/>
      <c r="H1225" s="4"/>
      <c r="I1225" s="4"/>
      <c r="J1225" s="4">
        <f>23.926+3.109</f>
        <v>27.034999999999997</v>
      </c>
    </row>
    <row r="1226" spans="1:10">
      <c r="A1226" s="4"/>
      <c r="B1226" s="4"/>
      <c r="C1226" s="4" t="s">
        <v>1068</v>
      </c>
      <c r="D1226" s="4">
        <v>53.29</v>
      </c>
      <c r="E1226" s="4"/>
      <c r="F1226" s="4"/>
      <c r="G1226" s="4"/>
      <c r="H1226" s="4"/>
      <c r="I1226" s="4"/>
      <c r="J1226" s="4">
        <f>21.734+15.083+14.257</f>
        <v>51.073999999999998</v>
      </c>
    </row>
    <row r="1227" spans="1:10">
      <c r="A1227" s="4"/>
      <c r="B1227" s="4"/>
      <c r="C1227" s="4" t="s">
        <v>1184</v>
      </c>
      <c r="D1227" s="4">
        <v>16.600000000000001</v>
      </c>
      <c r="E1227" s="4"/>
      <c r="F1227" s="4"/>
      <c r="G1227" s="4"/>
      <c r="H1227" s="4"/>
      <c r="I1227" s="4"/>
      <c r="J1227" s="4">
        <f>8.469+8.206</f>
        <v>16.674999999999997</v>
      </c>
    </row>
    <row r="1228" spans="1:10">
      <c r="A1228" s="4"/>
      <c r="B1228" s="4"/>
      <c r="C1228" s="4" t="s">
        <v>985</v>
      </c>
      <c r="D1228" s="4">
        <v>8.5299999999999994</v>
      </c>
      <c r="E1228" s="4"/>
      <c r="F1228" s="4"/>
      <c r="G1228" s="4"/>
      <c r="H1228" s="4"/>
      <c r="I1228" s="4"/>
      <c r="J1228" s="4">
        <f>4.175+2.826+1.501</f>
        <v>8.5019999999999989</v>
      </c>
    </row>
    <row r="1229" spans="1:10">
      <c r="A1229" s="4"/>
      <c r="B1229" s="4"/>
      <c r="C1229" s="4" t="s">
        <v>711</v>
      </c>
      <c r="D1229" s="4">
        <v>16.2</v>
      </c>
      <c r="E1229" s="4"/>
      <c r="F1229" s="4"/>
      <c r="G1229" s="4"/>
      <c r="H1229" s="4"/>
      <c r="I1229" s="4"/>
      <c r="J1229" s="4">
        <f>8.739+6.742</f>
        <v>15.481000000000002</v>
      </c>
    </row>
    <row r="1230" spans="1:10">
      <c r="A1230" s="4"/>
      <c r="B1230" s="4"/>
      <c r="C1230" s="4"/>
      <c r="D1230" s="4">
        <f>SUM(D1224:D1229)</f>
        <v>171.86499999999998</v>
      </c>
      <c r="E1230" s="4"/>
      <c r="F1230" s="4"/>
      <c r="G1230" s="4"/>
      <c r="H1230" s="4"/>
      <c r="I1230" s="4"/>
      <c r="J1230" s="4">
        <f>SUM(J1224:J1229)</f>
        <v>224.29000000000002</v>
      </c>
    </row>
    <row r="1231" spans="1:10">
      <c r="A1231" s="4"/>
      <c r="B1231" s="4"/>
      <c r="C1231" s="4"/>
      <c r="D1231" s="4"/>
      <c r="E1231" s="4"/>
      <c r="F1231" s="4"/>
      <c r="G1231" s="4"/>
      <c r="H1231" s="4"/>
      <c r="I1231" s="4"/>
      <c r="J1231" s="4"/>
    </row>
    <row r="1232" spans="1:10">
      <c r="A1232" s="4" t="s">
        <v>1268</v>
      </c>
      <c r="B1232" s="4"/>
      <c r="C1232" s="4" t="s">
        <v>1269</v>
      </c>
      <c r="D1232" s="4">
        <v>148.25</v>
      </c>
      <c r="E1232" s="4"/>
      <c r="F1232" s="4"/>
      <c r="G1232" s="4"/>
      <c r="H1232" s="4"/>
      <c r="I1232" s="4"/>
      <c r="J1232" s="4">
        <f>41.065+60.831+26.911+21.23</f>
        <v>150.03700000000001</v>
      </c>
    </row>
    <row r="1233" spans="1:10">
      <c r="A1233" s="4"/>
      <c r="B1233" s="4"/>
      <c r="C1233" s="4" t="s">
        <v>1270</v>
      </c>
      <c r="D1233" s="4">
        <v>8.6199999999999992</v>
      </c>
      <c r="E1233" s="4"/>
      <c r="F1233" s="4"/>
      <c r="G1233" s="4"/>
      <c r="H1233" s="4"/>
      <c r="I1233" s="4"/>
      <c r="J1233" s="4">
        <f>3.984+4.213</f>
        <v>8.1969999999999992</v>
      </c>
    </row>
    <row r="1234" spans="1:10">
      <c r="A1234" s="4"/>
      <c r="B1234" s="4"/>
      <c r="C1234" s="4" t="s">
        <v>1271</v>
      </c>
      <c r="D1234" s="4">
        <v>43.25</v>
      </c>
      <c r="E1234" s="4"/>
      <c r="F1234" s="4"/>
      <c r="G1234" s="4"/>
      <c r="H1234" s="4"/>
      <c r="I1234" s="4"/>
      <c r="J1234" s="4">
        <f>12.62+2.993+4.047</f>
        <v>19.66</v>
      </c>
    </row>
    <row r="1235" spans="1:10">
      <c r="A1235" s="4"/>
      <c r="B1235" s="4"/>
      <c r="C1235" s="4"/>
      <c r="D1235" s="4">
        <f>SUM(D1232:D1234)</f>
        <v>200.12</v>
      </c>
      <c r="E1235" s="4"/>
      <c r="F1235" s="4"/>
      <c r="G1235" s="4"/>
      <c r="H1235" s="4"/>
      <c r="I1235" s="4"/>
      <c r="J1235" s="4">
        <f>SUM(J1232:J1234)</f>
        <v>177.89400000000001</v>
      </c>
    </row>
    <row r="1236" spans="1:10">
      <c r="A1236" s="4"/>
      <c r="B1236" s="4"/>
      <c r="C1236" s="4"/>
      <c r="D1236" s="4"/>
      <c r="E1236" s="4"/>
      <c r="F1236" s="4"/>
      <c r="G1236" s="4"/>
      <c r="H1236" s="4"/>
      <c r="I1236" s="4"/>
      <c r="J1236" s="4"/>
    </row>
    <row r="1237" spans="1:10">
      <c r="A1237" s="4" t="s">
        <v>1272</v>
      </c>
      <c r="B1237" s="4"/>
      <c r="C1237" s="4" t="s">
        <v>1271</v>
      </c>
      <c r="D1237" s="4">
        <v>37.36</v>
      </c>
      <c r="E1237" s="4"/>
      <c r="F1237" s="4"/>
      <c r="G1237" s="4"/>
      <c r="H1237" s="4"/>
      <c r="I1237" s="4"/>
      <c r="J1237" s="4">
        <f>28.426+21.126+10.948</f>
        <v>60.5</v>
      </c>
    </row>
    <row r="1238" spans="1:10">
      <c r="A1238" s="4"/>
      <c r="B1238" s="4"/>
      <c r="C1238" s="4" t="s">
        <v>1273</v>
      </c>
      <c r="D1238" s="4">
        <v>26.1</v>
      </c>
      <c r="E1238" s="4"/>
      <c r="F1238" s="4"/>
      <c r="G1238" s="4"/>
      <c r="H1238" s="4"/>
      <c r="I1238" s="4"/>
      <c r="J1238" s="4">
        <f>13.125+12.572</f>
        <v>25.696999999999999</v>
      </c>
    </row>
    <row r="1239" spans="1:10">
      <c r="A1239" s="4"/>
      <c r="B1239" s="4"/>
      <c r="C1239" s="4" t="s">
        <v>894</v>
      </c>
      <c r="D1239" s="4">
        <v>8.58</v>
      </c>
      <c r="E1239" s="4"/>
      <c r="F1239" s="4"/>
      <c r="G1239" s="4"/>
      <c r="H1239" s="4"/>
      <c r="I1239" s="4"/>
      <c r="J1239" s="4">
        <v>8.0739999999999998</v>
      </c>
    </row>
    <row r="1240" spans="1:10">
      <c r="A1240" s="4"/>
      <c r="B1240" s="4"/>
      <c r="C1240" s="4" t="s">
        <v>895</v>
      </c>
      <c r="D1240" s="4">
        <v>40.700000000000003</v>
      </c>
      <c r="E1240" s="4"/>
      <c r="F1240" s="4"/>
      <c r="G1240" s="4"/>
      <c r="H1240" s="4"/>
      <c r="I1240" s="4"/>
      <c r="J1240" s="4">
        <f>8.67+18.51+13.078</f>
        <v>40.257999999999996</v>
      </c>
    </row>
    <row r="1241" spans="1:10">
      <c r="A1241" s="4"/>
      <c r="B1241" s="4"/>
      <c r="C1241" s="4" t="s">
        <v>896</v>
      </c>
      <c r="D1241" s="4">
        <v>21.9</v>
      </c>
      <c r="E1241" s="4"/>
      <c r="F1241" s="4"/>
      <c r="G1241" s="4"/>
      <c r="H1241" s="4"/>
      <c r="I1241" s="4"/>
      <c r="J1241" s="4">
        <v>19.600000000000001</v>
      </c>
    </row>
    <row r="1242" spans="1:10">
      <c r="A1242" s="4"/>
      <c r="B1242" s="4"/>
      <c r="C1242" s="4" t="s">
        <v>897</v>
      </c>
      <c r="D1242" s="4">
        <v>8.11</v>
      </c>
      <c r="E1242" s="4"/>
      <c r="F1242" s="4"/>
      <c r="G1242" s="4"/>
      <c r="H1242" s="4"/>
      <c r="I1242" s="4"/>
      <c r="J1242" s="4">
        <v>8.3109999999999999</v>
      </c>
    </row>
    <row r="1243" spans="1:10">
      <c r="A1243" s="4"/>
      <c r="B1243" s="4"/>
      <c r="C1243" s="4" t="s">
        <v>898</v>
      </c>
      <c r="D1243" s="4">
        <v>4.1150000000000002</v>
      </c>
      <c r="E1243" s="4"/>
      <c r="F1243" s="4"/>
      <c r="G1243" s="4"/>
      <c r="H1243" s="4"/>
      <c r="I1243" s="4"/>
      <c r="J1243" s="4">
        <v>4.1159999999999997</v>
      </c>
    </row>
    <row r="1244" spans="1:10">
      <c r="A1244" s="4"/>
      <c r="B1244" s="4"/>
      <c r="C1244" s="4" t="s">
        <v>1102</v>
      </c>
      <c r="D1244" s="4">
        <v>4.5250000000000004</v>
      </c>
      <c r="E1244" s="4"/>
      <c r="F1244" s="4"/>
      <c r="G1244" s="4"/>
      <c r="H1244" s="4"/>
      <c r="I1244" s="4"/>
      <c r="J1244" s="4">
        <v>4.4820000000000002</v>
      </c>
    </row>
    <row r="1245" spans="1:10">
      <c r="A1245" s="4"/>
      <c r="B1245" s="4"/>
      <c r="C1245" s="4" t="s">
        <v>893</v>
      </c>
      <c r="D1245" s="4">
        <v>9.6750000000000007</v>
      </c>
      <c r="E1245" s="4"/>
      <c r="F1245" s="4"/>
      <c r="G1245" s="4"/>
      <c r="H1245" s="4"/>
      <c r="I1245" s="4"/>
      <c r="J1245" s="4">
        <v>9.6769999999999996</v>
      </c>
    </row>
    <row r="1246" spans="1:10">
      <c r="A1246" s="4"/>
      <c r="B1246" s="4"/>
      <c r="C1246" s="4"/>
      <c r="D1246" s="4">
        <f>SUM(D1237:D1245)</f>
        <v>161.06500000000003</v>
      </c>
      <c r="E1246" s="4"/>
      <c r="F1246" s="4"/>
      <c r="G1246" s="4"/>
      <c r="H1246" s="4"/>
      <c r="I1246" s="4"/>
      <c r="J1246" s="4">
        <f>SUM(J1237:J1245)</f>
        <v>180.71499999999997</v>
      </c>
    </row>
    <row r="1247" spans="1:10">
      <c r="A1247" s="4"/>
      <c r="B1247" s="4"/>
      <c r="C1247" s="4"/>
      <c r="D1247" s="4"/>
      <c r="E1247" s="4"/>
      <c r="F1247" s="4"/>
      <c r="G1247" s="4"/>
      <c r="H1247" s="4"/>
      <c r="I1247" s="4"/>
      <c r="J1247" s="4"/>
    </row>
    <row r="1248" spans="1:10">
      <c r="A1248" s="4" t="s">
        <v>1276</v>
      </c>
      <c r="B1248" s="4"/>
      <c r="C1248" s="4" t="s">
        <v>757</v>
      </c>
      <c r="D1248" s="4">
        <v>301.51</v>
      </c>
      <c r="E1248" s="4"/>
      <c r="F1248" s="4"/>
      <c r="G1248" s="4"/>
      <c r="H1248" s="4"/>
      <c r="I1248" s="4"/>
      <c r="J1248" s="4">
        <f>18.387+79.286+15.745+36.351+11.247+26.87+17.229+14.605+45.785+16.165+8.757</f>
        <v>290.42700000000002</v>
      </c>
    </row>
    <row r="1249" spans="1:10">
      <c r="A1249" s="4"/>
      <c r="B1249" s="4"/>
      <c r="C1249" s="4"/>
      <c r="D1249" s="4">
        <f>SUM(D1248)</f>
        <v>301.51</v>
      </c>
      <c r="E1249" s="4"/>
      <c r="F1249" s="4"/>
      <c r="G1249" s="4"/>
      <c r="H1249" s="4"/>
      <c r="I1249" s="4"/>
      <c r="J1249" s="4">
        <f>SUM(J1248)</f>
        <v>290.42700000000002</v>
      </c>
    </row>
    <row r="1250" spans="1:10">
      <c r="A1250" s="4"/>
      <c r="B1250" s="4"/>
      <c r="C1250" s="4"/>
      <c r="D1250" s="4"/>
      <c r="E1250" s="4"/>
      <c r="F1250" s="4"/>
      <c r="G1250" s="4"/>
      <c r="H1250" s="4"/>
      <c r="I1250" s="4"/>
      <c r="J1250" s="4"/>
    </row>
    <row r="1251" spans="1:10">
      <c r="A1251" s="4"/>
      <c r="B1251" s="4"/>
      <c r="C1251" s="4"/>
      <c r="D1251" s="4"/>
      <c r="E1251" s="4"/>
      <c r="F1251" s="4"/>
      <c r="G1251" s="4"/>
      <c r="H1251" s="4"/>
      <c r="I1251" s="4"/>
      <c r="J1251" s="4"/>
    </row>
    <row r="1252" spans="1:10">
      <c r="A1252" s="4"/>
      <c r="B1252" s="4"/>
      <c r="C1252" s="4" t="s">
        <v>1185</v>
      </c>
      <c r="D1252" s="4">
        <f>+D1089+D1097+D1115+D1108+D1124+D1127+D1131+D1139+D1155+D1162+D1168+D1173+D1180+D1187+D1195+D1202+D1217+D1222+D1230+D1235+D1246+D1249</f>
        <v>3947.125</v>
      </c>
      <c r="E1252" s="4"/>
      <c r="F1252" s="4"/>
      <c r="G1252" s="4"/>
      <c r="H1252" s="4"/>
      <c r="I1252" s="4"/>
      <c r="J1252" s="4">
        <f>+J1089+J1097+J1115+J1108+J1124+J1127+J1131+J1139+J1155+J1162+J1168+J1173+J1180+J1187+J1195+J1202+J1217+J1222+J1230+J1235+J1246+J1249</f>
        <v>3925.6560000000004</v>
      </c>
    </row>
    <row r="1253" spans="1:10">
      <c r="A1253" s="4" t="s">
        <v>1280</v>
      </c>
      <c r="B1253" s="4"/>
      <c r="C1253" s="4"/>
      <c r="D1253" s="4"/>
      <c r="E1253" s="4"/>
      <c r="F1253" s="4"/>
      <c r="G1253" s="4"/>
      <c r="H1253" s="4"/>
      <c r="I1253" s="4"/>
      <c r="J1253" s="4"/>
    </row>
    <row r="1254" spans="1:10">
      <c r="A1254" s="4"/>
      <c r="B1254" s="4"/>
      <c r="C1254" s="4"/>
      <c r="D1254" s="4"/>
      <c r="E1254" s="4"/>
      <c r="F1254" s="4"/>
      <c r="G1254" s="4"/>
      <c r="H1254" s="4"/>
      <c r="I1254" s="4"/>
      <c r="J1254" s="4"/>
    </row>
    <row r="1255" spans="1:10">
      <c r="A1255" s="4" t="s">
        <v>1282</v>
      </c>
      <c r="B1255" s="4"/>
      <c r="C1255" s="4" t="s">
        <v>757</v>
      </c>
      <c r="D1255" s="4">
        <v>67.44</v>
      </c>
      <c r="E1255" s="4"/>
      <c r="F1255" s="4"/>
      <c r="G1255" s="4"/>
      <c r="H1255" s="4"/>
      <c r="I1255" s="4"/>
      <c r="J1255" s="4">
        <v>60.356000000000002</v>
      </c>
    </row>
    <row r="1256" spans="1:10">
      <c r="A1256" s="4"/>
      <c r="B1256" s="4"/>
      <c r="C1256" s="4" t="s">
        <v>1283</v>
      </c>
      <c r="D1256" s="4">
        <v>12.43</v>
      </c>
      <c r="E1256" s="4"/>
      <c r="F1256" s="4"/>
      <c r="G1256" s="4"/>
      <c r="H1256" s="4"/>
      <c r="I1256" s="4"/>
      <c r="J1256" s="4">
        <f>11.554+0.302+0.289+0.294</f>
        <v>12.439</v>
      </c>
    </row>
    <row r="1257" spans="1:10">
      <c r="A1257" s="4"/>
      <c r="B1257" s="4"/>
      <c r="C1257" s="4" t="s">
        <v>1284</v>
      </c>
      <c r="D1257" s="4">
        <v>9.2200000000000006</v>
      </c>
      <c r="E1257" s="4"/>
      <c r="F1257" s="4"/>
      <c r="G1257" s="4"/>
      <c r="H1257" s="4"/>
      <c r="I1257" s="4"/>
      <c r="J1257" s="4">
        <f>7.84+0.307+0.252+0.282+0.808</f>
        <v>9.4890000000000008</v>
      </c>
    </row>
    <row r="1258" spans="1:10">
      <c r="A1258" s="4"/>
      <c r="B1258" s="4"/>
      <c r="C1258" s="4" t="s">
        <v>503</v>
      </c>
      <c r="D1258" s="4">
        <v>30.895</v>
      </c>
      <c r="E1258" s="4"/>
      <c r="F1258" s="4"/>
      <c r="G1258" s="4"/>
      <c r="H1258" s="4"/>
      <c r="I1258" s="4"/>
      <c r="J1258" s="4">
        <v>31.431000000000001</v>
      </c>
    </row>
    <row r="1259" spans="1:10">
      <c r="A1259" s="4"/>
      <c r="B1259" s="4"/>
      <c r="C1259" s="4" t="s">
        <v>756</v>
      </c>
      <c r="D1259" s="4">
        <v>12.285</v>
      </c>
      <c r="E1259" s="4"/>
      <c r="F1259" s="4"/>
      <c r="G1259" s="4"/>
      <c r="H1259" s="4"/>
      <c r="I1259" s="4"/>
      <c r="J1259" s="4">
        <v>10.32</v>
      </c>
    </row>
    <row r="1260" spans="1:10">
      <c r="A1260" s="4"/>
      <c r="B1260" s="4"/>
      <c r="C1260" s="4" t="s">
        <v>755</v>
      </c>
      <c r="D1260" s="4">
        <v>10.105</v>
      </c>
      <c r="E1260" s="4"/>
      <c r="F1260" s="4"/>
      <c r="G1260" s="4"/>
      <c r="H1260" s="4"/>
      <c r="I1260" s="4"/>
      <c r="J1260" s="4">
        <f>2.952+2.952+1.744+0.29+0.306+0.33+3.198</f>
        <v>11.772</v>
      </c>
    </row>
    <row r="1261" spans="1:10">
      <c r="A1261" s="4"/>
      <c r="B1261" s="4"/>
      <c r="C1261" s="4" t="s">
        <v>1032</v>
      </c>
      <c r="D1261" s="4">
        <v>17.27</v>
      </c>
      <c r="E1261" s="4"/>
      <c r="F1261" s="4"/>
      <c r="G1261" s="4"/>
      <c r="H1261" s="4"/>
      <c r="I1261" s="4"/>
      <c r="J1261" s="4">
        <f>3.479+3.198+3.479+3.198+2.952+0.412+0.832</f>
        <v>17.549999999999997</v>
      </c>
    </row>
    <row r="1262" spans="1:10">
      <c r="A1262" s="4"/>
      <c r="B1262" s="4"/>
      <c r="C1262" s="4" t="s">
        <v>1170</v>
      </c>
      <c r="D1262" s="4">
        <v>51.65</v>
      </c>
      <c r="E1262" s="4"/>
      <c r="F1262" s="4"/>
      <c r="G1262" s="4"/>
      <c r="H1262" s="4"/>
      <c r="I1262" s="4"/>
      <c r="J1262" s="4">
        <f>15.065+19.872+15.905+1.102</f>
        <v>51.943999999999996</v>
      </c>
    </row>
    <row r="1263" spans="1:10">
      <c r="A1263" s="4"/>
      <c r="B1263" s="4"/>
      <c r="C1263" s="4"/>
      <c r="D1263" s="4">
        <f>SUM(D1255:D1262)</f>
        <v>211.29500000000002</v>
      </c>
      <c r="E1263" s="4"/>
      <c r="F1263" s="4"/>
      <c r="G1263" s="4"/>
      <c r="H1263" s="4"/>
      <c r="I1263" s="4"/>
      <c r="J1263" s="4">
        <f>SUM(J1255:J1262)</f>
        <v>205.30099999999996</v>
      </c>
    </row>
    <row r="1264" spans="1:10">
      <c r="A1264" s="4"/>
      <c r="B1264" s="4"/>
      <c r="C1264" s="4"/>
      <c r="D1264" s="4"/>
      <c r="E1264" s="4"/>
      <c r="F1264" s="4"/>
      <c r="G1264" s="4"/>
      <c r="H1264" s="4"/>
      <c r="I1264" s="4"/>
      <c r="J1264" s="4"/>
    </row>
    <row r="1265" spans="1:10">
      <c r="A1265" s="4" t="s">
        <v>1290</v>
      </c>
      <c r="B1265" s="4"/>
      <c r="C1265" s="4" t="s">
        <v>1171</v>
      </c>
      <c r="D1265" s="4">
        <v>36.32</v>
      </c>
      <c r="E1265" s="4"/>
      <c r="F1265" s="4"/>
      <c r="G1265" s="4"/>
      <c r="H1265" s="4"/>
      <c r="I1265" s="4"/>
      <c r="J1265" s="4">
        <f>28.52+8.033</f>
        <v>36.552999999999997</v>
      </c>
    </row>
    <row r="1266" spans="1:10">
      <c r="A1266" s="4"/>
      <c r="B1266" s="4"/>
      <c r="C1266" s="4" t="s">
        <v>1093</v>
      </c>
      <c r="D1266" s="4">
        <v>5.25</v>
      </c>
      <c r="E1266" s="4"/>
      <c r="F1266" s="4"/>
      <c r="G1266" s="4"/>
      <c r="H1266" s="4"/>
      <c r="I1266" s="4"/>
      <c r="J1266" s="4">
        <v>5.0860000000000003</v>
      </c>
    </row>
    <row r="1267" spans="1:10">
      <c r="A1267" s="4"/>
      <c r="B1267" s="4"/>
      <c r="C1267" s="4" t="s">
        <v>1172</v>
      </c>
      <c r="D1267" s="4">
        <v>27.475000000000001</v>
      </c>
      <c r="E1267" s="4"/>
      <c r="F1267" s="4"/>
      <c r="G1267" s="4"/>
      <c r="H1267" s="4"/>
      <c r="I1267" s="4"/>
      <c r="J1267" s="4">
        <f>22.287+6.247</f>
        <v>28.533999999999999</v>
      </c>
    </row>
    <row r="1268" spans="1:10">
      <c r="A1268" s="4"/>
      <c r="B1268" s="4"/>
      <c r="C1268" s="4" t="s">
        <v>1094</v>
      </c>
      <c r="D1268" s="4">
        <v>16.795000000000002</v>
      </c>
      <c r="E1268" s="4"/>
      <c r="F1268" s="4"/>
      <c r="G1268" s="4"/>
      <c r="H1268" s="4"/>
      <c r="I1268" s="4"/>
      <c r="J1268" s="4">
        <v>16.59</v>
      </c>
    </row>
    <row r="1269" spans="1:10">
      <c r="A1269" s="4"/>
      <c r="B1269" s="4"/>
      <c r="C1269" s="4" t="s">
        <v>1095</v>
      </c>
      <c r="D1269" s="4">
        <v>5.95</v>
      </c>
      <c r="E1269" s="4"/>
      <c r="F1269" s="4"/>
      <c r="G1269" s="4"/>
      <c r="H1269" s="4"/>
      <c r="I1269" s="4"/>
      <c r="J1269" s="4">
        <v>5.8319999999999999</v>
      </c>
    </row>
    <row r="1270" spans="1:10">
      <c r="A1270" s="4"/>
      <c r="B1270" s="4"/>
      <c r="C1270" s="4" t="s">
        <v>1173</v>
      </c>
      <c r="D1270" s="4">
        <v>28.315000000000001</v>
      </c>
      <c r="E1270" s="4"/>
      <c r="F1270" s="4"/>
      <c r="G1270" s="4"/>
      <c r="H1270" s="4"/>
      <c r="I1270" s="4"/>
      <c r="J1270" s="4">
        <f>15.722+9.16</f>
        <v>24.881999999999998</v>
      </c>
    </row>
    <row r="1271" spans="1:10">
      <c r="A1271" s="4"/>
      <c r="B1271" s="4"/>
      <c r="C1271" s="4" t="s">
        <v>1096</v>
      </c>
      <c r="D1271" s="4">
        <v>13.95</v>
      </c>
      <c r="E1271" s="4"/>
      <c r="F1271" s="4"/>
      <c r="G1271" s="4"/>
      <c r="H1271" s="4"/>
      <c r="I1271" s="4"/>
      <c r="J1271" s="4">
        <f>3.467+6.054+4.243</f>
        <v>13.764000000000001</v>
      </c>
    </row>
    <row r="1272" spans="1:10">
      <c r="A1272" s="4"/>
      <c r="B1272" s="4"/>
      <c r="C1272" s="4" t="s">
        <v>1097</v>
      </c>
      <c r="D1272" s="4">
        <v>22.824999999999999</v>
      </c>
      <c r="E1272" s="4"/>
      <c r="F1272" s="4"/>
      <c r="G1272" s="4"/>
      <c r="H1272" s="4"/>
      <c r="I1272" s="4"/>
      <c r="J1272" s="4">
        <f>7.897+14.243</f>
        <v>22.14</v>
      </c>
    </row>
    <row r="1273" spans="1:10">
      <c r="A1273" s="4"/>
      <c r="B1273" s="4"/>
      <c r="C1273" s="4" t="s">
        <v>1166</v>
      </c>
      <c r="D1273" s="4">
        <v>19.265000000000001</v>
      </c>
      <c r="E1273" s="4"/>
      <c r="F1273" s="4"/>
      <c r="G1273" s="4"/>
      <c r="H1273" s="4"/>
      <c r="I1273" s="4"/>
      <c r="J1273" s="4">
        <f>7.686+11.485</f>
        <v>19.170999999999999</v>
      </c>
    </row>
    <row r="1274" spans="1:10">
      <c r="A1274" s="4"/>
      <c r="B1274" s="4"/>
      <c r="C1274" s="4" t="s">
        <v>1291</v>
      </c>
      <c r="D1274" s="4">
        <v>63.36</v>
      </c>
      <c r="E1274" s="4"/>
      <c r="F1274" s="4"/>
      <c r="G1274" s="4"/>
      <c r="H1274" s="4"/>
      <c r="I1274" s="4"/>
      <c r="J1274" s="4">
        <f>6.575+22.656+20.104+13.239</f>
        <v>62.573999999999998</v>
      </c>
    </row>
    <row r="1275" spans="1:10">
      <c r="A1275" s="4"/>
      <c r="B1275" s="4"/>
      <c r="C1275" s="4"/>
      <c r="D1275" s="4">
        <f>SUM(D1265:D1274)</f>
        <v>239.505</v>
      </c>
      <c r="E1275" s="4"/>
      <c r="F1275" s="4"/>
      <c r="G1275" s="4"/>
      <c r="H1275" s="4"/>
      <c r="I1275" s="4"/>
      <c r="J1275" s="4">
        <f>SUM(J1265:J1274)</f>
        <v>235.12600000000003</v>
      </c>
    </row>
    <row r="1276" spans="1:10">
      <c r="A1276" s="4"/>
      <c r="B1276" s="4"/>
      <c r="C1276" s="4"/>
      <c r="D1276" s="4"/>
      <c r="E1276" s="4"/>
      <c r="F1276" s="4"/>
      <c r="G1276" s="4"/>
      <c r="H1276" s="4"/>
      <c r="I1276" s="4"/>
      <c r="J1276" s="4"/>
    </row>
    <row r="1277" spans="1:10">
      <c r="A1277" s="4" t="s">
        <v>1295</v>
      </c>
      <c r="B1277" s="4"/>
      <c r="C1277" s="4" t="s">
        <v>876</v>
      </c>
      <c r="D1277" s="4">
        <v>19.34</v>
      </c>
      <c r="E1277" s="4"/>
      <c r="F1277" s="4"/>
      <c r="G1277" s="4"/>
      <c r="H1277" s="4"/>
      <c r="I1277" s="4"/>
      <c r="J1277" s="4">
        <f>8.525+10.91</f>
        <v>19.435000000000002</v>
      </c>
    </row>
    <row r="1278" spans="1:10">
      <c r="A1278" s="4"/>
      <c r="B1278" s="4"/>
      <c r="C1278" s="4" t="s">
        <v>877</v>
      </c>
      <c r="D1278" s="4">
        <v>67.23</v>
      </c>
      <c r="E1278" s="4"/>
      <c r="F1278" s="4"/>
      <c r="G1278" s="4"/>
      <c r="H1278" s="4"/>
      <c r="I1278" s="4"/>
      <c r="J1278" s="4">
        <f>10.5+5.039+29.265+14.779+6.575</f>
        <v>66.158000000000001</v>
      </c>
    </row>
    <row r="1279" spans="1:10">
      <c r="A1279" s="4"/>
      <c r="B1279" s="4"/>
      <c r="C1279" s="4" t="s">
        <v>878</v>
      </c>
      <c r="D1279" s="4">
        <v>45.79</v>
      </c>
      <c r="E1279" s="4"/>
      <c r="F1279" s="4"/>
      <c r="G1279" s="4"/>
      <c r="H1279" s="4"/>
      <c r="I1279" s="4"/>
      <c r="J1279" s="4">
        <f>18.078+25.541</f>
        <v>43.619</v>
      </c>
    </row>
    <row r="1280" spans="1:10">
      <c r="A1280" s="4"/>
      <c r="B1280" s="4"/>
      <c r="C1280" s="4" t="s">
        <v>1296</v>
      </c>
      <c r="D1280" s="4">
        <v>42.95</v>
      </c>
      <c r="E1280" s="4"/>
      <c r="F1280" s="4"/>
      <c r="G1280" s="4"/>
      <c r="H1280" s="4"/>
      <c r="I1280" s="4"/>
      <c r="J1280" s="4">
        <f>11.855+22.787+10.433</f>
        <v>45.074999999999996</v>
      </c>
    </row>
    <row r="1281" spans="1:10">
      <c r="A1281" s="4"/>
      <c r="B1281" s="4"/>
      <c r="C1281" s="4"/>
      <c r="D1281" s="4">
        <f>SUM(D1277:D1280)</f>
        <v>175.31</v>
      </c>
      <c r="E1281" s="4"/>
      <c r="F1281" s="4"/>
      <c r="G1281" s="4"/>
      <c r="H1281" s="4"/>
      <c r="I1281" s="4"/>
      <c r="J1281" s="4">
        <f>SUM(J1277:J1280)</f>
        <v>174.28699999999998</v>
      </c>
    </row>
    <row r="1282" spans="1:10">
      <c r="A1282" s="4"/>
      <c r="B1282" s="4"/>
      <c r="C1282" s="4"/>
      <c r="D1282" s="4"/>
      <c r="E1282" s="4"/>
      <c r="F1282" s="4"/>
      <c r="G1282" s="4"/>
      <c r="H1282" s="4"/>
      <c r="I1282" s="4"/>
      <c r="J1282" s="4"/>
    </row>
    <row r="1283" spans="1:10">
      <c r="A1283" s="4" t="s">
        <v>1299</v>
      </c>
      <c r="B1283" s="4"/>
      <c r="C1283" s="4" t="s">
        <v>1296</v>
      </c>
      <c r="D1283" s="4">
        <v>3.2749999999999999</v>
      </c>
      <c r="E1283" s="4"/>
      <c r="F1283" s="4"/>
      <c r="G1283" s="4"/>
      <c r="H1283" s="4"/>
      <c r="I1283" s="4"/>
      <c r="J1283" s="4"/>
    </row>
    <row r="1284" spans="1:10">
      <c r="A1284" s="4"/>
      <c r="B1284" s="4"/>
      <c r="C1284" s="4" t="s">
        <v>1214</v>
      </c>
      <c r="D1284" s="4">
        <v>139.13</v>
      </c>
      <c r="E1284" s="4"/>
      <c r="F1284" s="4"/>
      <c r="G1284" s="4"/>
      <c r="H1284" s="4"/>
      <c r="I1284" s="4"/>
      <c r="J1284" s="4">
        <f>40.253+30.08+32.983+33.016+6.713+4.403</f>
        <v>147.44799999999998</v>
      </c>
    </row>
    <row r="1285" spans="1:10">
      <c r="A1285" s="4"/>
      <c r="B1285" s="4"/>
      <c r="C1285" s="4"/>
      <c r="D1285" s="4">
        <f>SUM(D1283:D1284)</f>
        <v>142.405</v>
      </c>
      <c r="E1285" s="4"/>
      <c r="F1285" s="4"/>
      <c r="G1285" s="4"/>
      <c r="H1285" s="4"/>
      <c r="I1285" s="4"/>
      <c r="J1285" s="4">
        <f>SUM(J1283:J1284)</f>
        <v>147.44799999999998</v>
      </c>
    </row>
    <row r="1286" spans="1:10">
      <c r="A1286" s="4"/>
      <c r="B1286" s="4"/>
      <c r="C1286" s="4"/>
      <c r="D1286" s="4"/>
      <c r="E1286" s="4"/>
      <c r="F1286" s="4"/>
      <c r="G1286" s="4"/>
      <c r="H1286" s="4"/>
      <c r="I1286" s="4"/>
      <c r="J1286" s="4"/>
    </row>
    <row r="1287" spans="1:10">
      <c r="A1287" s="4" t="s">
        <v>1300</v>
      </c>
      <c r="B1287" s="4"/>
      <c r="C1287" s="4" t="s">
        <v>1214</v>
      </c>
      <c r="D1287" s="4">
        <v>11.164999999999999</v>
      </c>
      <c r="E1287" s="4"/>
      <c r="F1287" s="4"/>
      <c r="G1287" s="4"/>
      <c r="H1287" s="4"/>
      <c r="I1287" s="4"/>
      <c r="J1287" s="4"/>
    </row>
    <row r="1288" spans="1:10">
      <c r="A1288" s="4"/>
      <c r="B1288" s="4"/>
      <c r="C1288" s="4" t="s">
        <v>1213</v>
      </c>
      <c r="D1288" s="4">
        <v>123.2</v>
      </c>
      <c r="E1288" s="4"/>
      <c r="F1288" s="4"/>
      <c r="G1288" s="4"/>
      <c r="H1288" s="4"/>
      <c r="I1288" s="4"/>
      <c r="J1288" s="4">
        <f>40.344+22.949+17.124+19.909+6.276+16.361</f>
        <v>122.96299999999999</v>
      </c>
    </row>
    <row r="1289" spans="1:10">
      <c r="A1289" s="4"/>
      <c r="B1289" s="4"/>
      <c r="C1289" s="4" t="s">
        <v>1258</v>
      </c>
      <c r="D1289" s="4">
        <v>9.42</v>
      </c>
      <c r="E1289" s="4"/>
      <c r="F1289" s="4"/>
      <c r="G1289" s="4"/>
      <c r="H1289" s="4"/>
      <c r="I1289" s="4"/>
      <c r="J1289" s="4">
        <v>9.4149999999999991</v>
      </c>
    </row>
    <row r="1290" spans="1:10">
      <c r="A1290" s="4"/>
      <c r="B1290" s="4"/>
      <c r="C1290" s="4"/>
      <c r="D1290" s="4">
        <f>SUM(D1287:D1289)</f>
        <v>143.785</v>
      </c>
      <c r="E1290" s="4"/>
      <c r="F1290" s="4"/>
      <c r="G1290" s="4"/>
      <c r="H1290" s="4"/>
      <c r="I1290" s="4"/>
      <c r="J1290" s="4">
        <f>SUM(J1287:J1289)</f>
        <v>132.37799999999999</v>
      </c>
    </row>
    <row r="1291" spans="1:10">
      <c r="A1291" s="4"/>
      <c r="B1291" s="4"/>
      <c r="C1291" s="4"/>
      <c r="D1291" s="4"/>
      <c r="E1291" s="4"/>
      <c r="F1291" s="4"/>
      <c r="G1291" s="4"/>
      <c r="H1291" s="4"/>
      <c r="I1291" s="4"/>
      <c r="J1291" s="4"/>
    </row>
    <row r="1292" spans="1:10">
      <c r="A1292" s="4" t="s">
        <v>1301</v>
      </c>
      <c r="B1292" s="4"/>
      <c r="C1292" s="4" t="s">
        <v>560</v>
      </c>
      <c r="D1292" s="4">
        <v>7.51</v>
      </c>
      <c r="E1292" s="4"/>
      <c r="F1292" s="4"/>
      <c r="G1292" s="4"/>
      <c r="H1292" s="4"/>
      <c r="I1292" s="4"/>
      <c r="J1292" s="4">
        <f>6.714+0.78</f>
        <v>7.4940000000000007</v>
      </c>
    </row>
    <row r="1293" spans="1:10">
      <c r="A1293" s="4"/>
      <c r="B1293" s="4"/>
      <c r="C1293" s="4" t="s">
        <v>561</v>
      </c>
      <c r="D1293" s="4">
        <v>10.635</v>
      </c>
      <c r="E1293" s="4"/>
      <c r="F1293" s="4"/>
      <c r="G1293" s="4"/>
      <c r="H1293" s="4"/>
      <c r="I1293" s="4"/>
      <c r="J1293" s="4">
        <f>5.557+5.062</f>
        <v>10.619</v>
      </c>
    </row>
    <row r="1294" spans="1:10">
      <c r="A1294" s="4"/>
      <c r="B1294" s="4"/>
      <c r="C1294" s="4" t="s">
        <v>562</v>
      </c>
      <c r="D1294" s="4">
        <v>79.084999999999994</v>
      </c>
      <c r="E1294" s="4"/>
      <c r="F1294" s="4"/>
      <c r="G1294" s="4"/>
      <c r="H1294" s="4"/>
      <c r="I1294" s="4"/>
      <c r="J1294" s="4">
        <f>26.14+14.187+10.609+26.518</f>
        <v>77.454000000000008</v>
      </c>
    </row>
    <row r="1295" spans="1:10">
      <c r="A1295" s="4"/>
      <c r="B1295" s="4"/>
      <c r="C1295" s="4" t="s">
        <v>879</v>
      </c>
      <c r="D1295" s="4">
        <v>9.7100000000000009</v>
      </c>
      <c r="E1295" s="4"/>
      <c r="F1295" s="4"/>
      <c r="G1295" s="4"/>
      <c r="H1295" s="4"/>
      <c r="I1295" s="4"/>
      <c r="J1295" s="4">
        <f>2.663+6.948</f>
        <v>9.6110000000000007</v>
      </c>
    </row>
    <row r="1296" spans="1:10">
      <c r="A1296" s="4"/>
      <c r="B1296" s="4"/>
      <c r="C1296" s="4" t="s">
        <v>1209</v>
      </c>
      <c r="D1296" s="4">
        <v>6.49</v>
      </c>
      <c r="E1296" s="4"/>
      <c r="F1296" s="4"/>
      <c r="G1296" s="4"/>
      <c r="H1296" s="4"/>
      <c r="I1296" s="4"/>
      <c r="J1296" s="4">
        <v>6.5090000000000003</v>
      </c>
    </row>
    <row r="1297" spans="1:10">
      <c r="A1297" s="4"/>
      <c r="B1297" s="4"/>
      <c r="C1297" s="4" t="s">
        <v>880</v>
      </c>
      <c r="D1297" s="4">
        <v>5.74</v>
      </c>
      <c r="E1297" s="4"/>
      <c r="F1297" s="4"/>
      <c r="G1297" s="4"/>
      <c r="H1297" s="4"/>
      <c r="I1297" s="4"/>
      <c r="J1297" s="4">
        <v>6.1890000000000001</v>
      </c>
    </row>
    <row r="1298" spans="1:10">
      <c r="A1298" s="4"/>
      <c r="B1298" s="4"/>
      <c r="C1298" s="4" t="s">
        <v>881</v>
      </c>
      <c r="D1298" s="4">
        <v>3.2450000000000001</v>
      </c>
      <c r="E1298" s="4"/>
      <c r="F1298" s="4"/>
      <c r="G1298" s="4"/>
      <c r="H1298" s="4"/>
      <c r="I1298" s="4"/>
      <c r="J1298" s="4">
        <v>3.202</v>
      </c>
    </row>
    <row r="1299" spans="1:10">
      <c r="A1299" s="4"/>
      <c r="B1299" s="4"/>
      <c r="C1299" s="4" t="s">
        <v>1214</v>
      </c>
      <c r="D1299" s="4">
        <v>7.99</v>
      </c>
      <c r="E1299" s="4"/>
      <c r="F1299" s="4"/>
      <c r="G1299" s="4"/>
      <c r="H1299" s="4"/>
      <c r="I1299" s="4"/>
      <c r="J1299" s="4">
        <v>7.96</v>
      </c>
    </row>
    <row r="1300" spans="1:10">
      <c r="A1300" s="4"/>
      <c r="B1300" s="4"/>
      <c r="C1300" s="4"/>
      <c r="D1300" s="4">
        <f>SUM(D1292:D1299)</f>
        <v>130.405</v>
      </c>
      <c r="E1300" s="4"/>
      <c r="F1300" s="4"/>
      <c r="G1300" s="4"/>
      <c r="H1300" s="4"/>
      <c r="I1300" s="4"/>
      <c r="J1300" s="4">
        <f>SUM(J1292:J1299)</f>
        <v>129.03800000000001</v>
      </c>
    </row>
    <row r="1301" spans="1:10">
      <c r="A1301" s="4" t="s">
        <v>1267</v>
      </c>
      <c r="B1301" s="4"/>
      <c r="C1301" s="4"/>
      <c r="D1301" s="4"/>
      <c r="E1301" s="4"/>
      <c r="F1301" s="4"/>
      <c r="G1301" s="4"/>
      <c r="H1301" s="4"/>
      <c r="I1301" s="4"/>
      <c r="J1301" s="4"/>
    </row>
    <row r="1302" spans="1:10">
      <c r="A1302" s="4" t="s">
        <v>1304</v>
      </c>
      <c r="B1302" s="4"/>
      <c r="C1302" s="4" t="s">
        <v>1015</v>
      </c>
      <c r="D1302" s="4">
        <v>34.340000000000003</v>
      </c>
      <c r="E1302" s="4"/>
      <c r="F1302" s="4"/>
      <c r="G1302" s="4"/>
      <c r="H1302" s="4"/>
      <c r="I1302" s="4"/>
      <c r="J1302" s="4">
        <f>19.043+14.776</f>
        <v>33.819000000000003</v>
      </c>
    </row>
    <row r="1303" spans="1:10">
      <c r="A1303" s="4"/>
      <c r="B1303" s="4"/>
      <c r="C1303" s="4" t="s">
        <v>1016</v>
      </c>
      <c r="D1303" s="4">
        <v>27.045000000000002</v>
      </c>
      <c r="E1303" s="4"/>
      <c r="F1303" s="4"/>
      <c r="G1303" s="4"/>
      <c r="H1303" s="4"/>
      <c r="I1303" s="4"/>
      <c r="J1303" s="4">
        <f>15.404+12.754</f>
        <v>28.158000000000001</v>
      </c>
    </row>
    <row r="1304" spans="1:10">
      <c r="A1304" s="4"/>
      <c r="B1304" s="4"/>
      <c r="C1304" s="4" t="s">
        <v>1305</v>
      </c>
      <c r="D1304" s="4">
        <v>23.73</v>
      </c>
      <c r="E1304" s="4"/>
      <c r="F1304" s="4"/>
      <c r="G1304" s="4"/>
      <c r="H1304" s="4"/>
      <c r="I1304" s="4"/>
      <c r="J1304" s="4">
        <f>3.161+2.037+2.8+6.24+9.491</f>
        <v>23.728999999999999</v>
      </c>
    </row>
    <row r="1305" spans="1:10">
      <c r="A1305" s="4"/>
      <c r="B1305" s="4"/>
      <c r="C1305" s="4" t="s">
        <v>1306</v>
      </c>
      <c r="D1305" s="4">
        <v>40.774999999999999</v>
      </c>
      <c r="E1305" s="4"/>
      <c r="F1305" s="4"/>
      <c r="G1305" s="4"/>
      <c r="H1305" s="4"/>
      <c r="I1305" s="4"/>
      <c r="J1305" s="4">
        <f>18.824+18.078</f>
        <v>36.902000000000001</v>
      </c>
    </row>
    <row r="1306" spans="1:10">
      <c r="A1306" s="4"/>
      <c r="B1306" s="4"/>
      <c r="C1306" s="4" t="s">
        <v>1307</v>
      </c>
      <c r="D1306" s="4">
        <v>14.685</v>
      </c>
      <c r="E1306" s="4"/>
      <c r="F1306" s="4"/>
      <c r="G1306" s="4"/>
      <c r="H1306" s="4"/>
      <c r="I1306" s="4"/>
      <c r="J1306" s="4">
        <f>8.614+6.49</f>
        <v>15.104000000000001</v>
      </c>
    </row>
    <row r="1307" spans="1:10">
      <c r="A1307" s="4"/>
      <c r="B1307" s="4"/>
      <c r="C1307" s="4" t="s">
        <v>1006</v>
      </c>
      <c r="D1307" s="4">
        <v>45.865000000000002</v>
      </c>
      <c r="E1307" s="4"/>
      <c r="F1307" s="4"/>
      <c r="G1307" s="4"/>
      <c r="H1307" s="4"/>
      <c r="I1307" s="4"/>
      <c r="J1307" s="4">
        <f>9.017+20.922+6.44+3.327</f>
        <v>39.705999999999996</v>
      </c>
    </row>
    <row r="1308" spans="1:10">
      <c r="A1308" s="4"/>
      <c r="B1308" s="4"/>
      <c r="C1308" s="4"/>
      <c r="D1308" s="4">
        <f>SUM(D1302:D1307)</f>
        <v>186.44000000000003</v>
      </c>
      <c r="E1308" s="4"/>
      <c r="F1308" s="4"/>
      <c r="G1308" s="4"/>
      <c r="H1308" s="4"/>
      <c r="I1308" s="4"/>
      <c r="J1308" s="4">
        <f>SUM(J1302:J1307)</f>
        <v>177.41800000000001</v>
      </c>
    </row>
    <row r="1309" spans="1:10">
      <c r="A1309" s="4"/>
      <c r="B1309" s="4"/>
      <c r="C1309" s="4"/>
      <c r="D1309" s="4"/>
      <c r="E1309" s="4"/>
      <c r="F1309" s="4"/>
      <c r="G1309" s="4"/>
      <c r="H1309" s="4"/>
      <c r="I1309" s="4"/>
      <c r="J1309" s="4"/>
    </row>
    <row r="1310" spans="1:10">
      <c r="A1310" s="4" t="s">
        <v>1309</v>
      </c>
      <c r="B1310" s="4"/>
      <c r="C1310" s="4" t="s">
        <v>1007</v>
      </c>
      <c r="D1310" s="4">
        <v>112.825</v>
      </c>
      <c r="E1310" s="4"/>
      <c r="F1310" s="4"/>
      <c r="G1310" s="4"/>
      <c r="H1310" s="4"/>
      <c r="I1310" s="4"/>
      <c r="J1310" s="4">
        <f>28.547+12.836+3.266+23.551+13.965+25.162+7.601</f>
        <v>114.928</v>
      </c>
    </row>
    <row r="1311" spans="1:10">
      <c r="A1311" s="4"/>
      <c r="B1311" s="4"/>
      <c r="C1311" s="4" t="s">
        <v>1189</v>
      </c>
      <c r="D1311" s="4">
        <v>26.54</v>
      </c>
      <c r="E1311" s="4"/>
      <c r="F1311" s="4"/>
      <c r="G1311" s="4"/>
      <c r="H1311" s="4"/>
      <c r="I1311" s="4"/>
      <c r="J1311" s="4">
        <f>10.769+15.431</f>
        <v>26.2</v>
      </c>
    </row>
    <row r="1312" spans="1:10">
      <c r="A1312" s="4"/>
      <c r="B1312" s="4"/>
      <c r="C1312" s="4" t="s">
        <v>1310</v>
      </c>
      <c r="D1312" s="4">
        <v>3.2250000000000001</v>
      </c>
      <c r="E1312" s="4"/>
      <c r="F1312" s="4"/>
      <c r="G1312" s="4"/>
      <c r="H1312" s="4"/>
      <c r="I1312" s="4"/>
      <c r="J1312" s="4">
        <v>3.1890000000000001</v>
      </c>
    </row>
    <row r="1313" spans="1:10">
      <c r="A1313" s="4"/>
      <c r="B1313" s="4"/>
      <c r="C1313" s="4" t="s">
        <v>1018</v>
      </c>
      <c r="D1313" s="4">
        <v>16.245000000000001</v>
      </c>
      <c r="E1313" s="4"/>
      <c r="F1313" s="4"/>
      <c r="G1313" s="4"/>
      <c r="H1313" s="4"/>
      <c r="I1313" s="4"/>
      <c r="J1313" s="4">
        <f>7.501+8.704</f>
        <v>16.205000000000002</v>
      </c>
    </row>
    <row r="1314" spans="1:10">
      <c r="A1314" s="4"/>
      <c r="B1314" s="4"/>
      <c r="C1314" s="4"/>
      <c r="D1314" s="4">
        <f>SUM(D1310:D1313)</f>
        <v>158.83500000000001</v>
      </c>
      <c r="E1314" s="4"/>
      <c r="F1314" s="4"/>
      <c r="G1314" s="4"/>
      <c r="H1314" s="4"/>
      <c r="I1314" s="4"/>
      <c r="J1314" s="4">
        <f>SUM(J1310:J1313)</f>
        <v>160.52199999999999</v>
      </c>
    </row>
    <row r="1315" spans="1:10">
      <c r="A1315" s="4"/>
      <c r="B1315" s="4"/>
      <c r="C1315" s="4"/>
      <c r="D1315" s="4"/>
      <c r="E1315" s="4"/>
      <c r="F1315" s="4"/>
      <c r="G1315" s="4"/>
      <c r="H1315" s="4"/>
      <c r="I1315" s="4"/>
      <c r="J1315" s="4"/>
    </row>
    <row r="1316" spans="1:10">
      <c r="A1316" s="4" t="s">
        <v>1312</v>
      </c>
      <c r="B1316" s="4"/>
      <c r="C1316" s="4" t="s">
        <v>1313</v>
      </c>
      <c r="D1316" s="4">
        <v>65.510000000000005</v>
      </c>
      <c r="E1316" s="4"/>
      <c r="F1316" s="4"/>
      <c r="G1316" s="4"/>
      <c r="H1316" s="4"/>
      <c r="I1316" s="4"/>
      <c r="J1316" s="4">
        <f>27.351+36.372</f>
        <v>63.722999999999999</v>
      </c>
    </row>
    <row r="1317" spans="1:10">
      <c r="A1317" s="4"/>
      <c r="B1317" s="4"/>
      <c r="C1317" s="4" t="s">
        <v>935</v>
      </c>
      <c r="D1317" s="4">
        <v>6.95</v>
      </c>
      <c r="E1317" s="4"/>
      <c r="F1317" s="4"/>
      <c r="G1317" s="4"/>
      <c r="H1317" s="4"/>
      <c r="I1317" s="4"/>
      <c r="J1317" s="4">
        <v>6.9160000000000004</v>
      </c>
    </row>
    <row r="1318" spans="1:10">
      <c r="A1318" s="4"/>
      <c r="B1318" s="4"/>
      <c r="C1318" s="4" t="s">
        <v>1315</v>
      </c>
      <c r="D1318" s="4">
        <v>6.41</v>
      </c>
      <c r="E1318" s="4"/>
      <c r="F1318" s="4"/>
      <c r="G1318" s="4"/>
      <c r="H1318" s="4"/>
      <c r="I1318" s="4"/>
      <c r="J1318" s="4">
        <v>6.391</v>
      </c>
    </row>
    <row r="1319" spans="1:10">
      <c r="A1319" s="4"/>
      <c r="B1319" s="4"/>
      <c r="C1319" s="4" t="s">
        <v>1314</v>
      </c>
      <c r="D1319" s="4">
        <v>135.47</v>
      </c>
      <c r="E1319" s="4"/>
      <c r="F1319" s="4"/>
      <c r="G1319" s="4"/>
      <c r="H1319" s="4"/>
      <c r="I1319" s="4"/>
      <c r="J1319" s="4">
        <f>14.525+36.63+25.682+28.235+27.98+2.568</f>
        <v>135.62</v>
      </c>
    </row>
    <row r="1320" spans="1:10">
      <c r="A1320" s="4"/>
      <c r="B1320" s="4"/>
      <c r="C1320" s="4"/>
      <c r="D1320" s="4">
        <f>SUM(D1316:D1319)</f>
        <v>214.34</v>
      </c>
      <c r="E1320" s="4"/>
      <c r="F1320" s="4"/>
      <c r="G1320" s="4"/>
      <c r="H1320" s="4"/>
      <c r="I1320" s="4"/>
      <c r="J1320" s="4">
        <f>SUM(J1316:J1319)</f>
        <v>212.65</v>
      </c>
    </row>
    <row r="1321" spans="1:10">
      <c r="A1321" s="4" t="s">
        <v>1317</v>
      </c>
      <c r="B1321" s="4"/>
      <c r="C1321" s="4"/>
      <c r="D1321" s="4"/>
      <c r="E1321" s="4"/>
      <c r="F1321" s="4"/>
      <c r="G1321" s="4"/>
      <c r="H1321" s="4"/>
      <c r="I1321" s="4"/>
      <c r="J1321" s="4"/>
    </row>
    <row r="1322" spans="1:10">
      <c r="A1322" s="4" t="s">
        <v>1316</v>
      </c>
      <c r="B1322" s="4"/>
      <c r="C1322" s="4" t="s">
        <v>497</v>
      </c>
      <c r="D1322" s="4">
        <v>8.83</v>
      </c>
      <c r="E1322" s="4"/>
      <c r="F1322" s="4"/>
      <c r="G1322" s="4"/>
      <c r="H1322" s="4"/>
      <c r="I1322" s="4"/>
      <c r="J1322" s="4">
        <f>7.981+2.381</f>
        <v>10.362</v>
      </c>
    </row>
    <row r="1323" spans="1:10">
      <c r="A1323" s="4"/>
      <c r="B1323" s="4"/>
      <c r="C1323" s="4" t="s">
        <v>1318</v>
      </c>
      <c r="D1323" s="4">
        <v>35.630000000000003</v>
      </c>
      <c r="E1323" s="4"/>
      <c r="F1323" s="4"/>
      <c r="G1323" s="4"/>
      <c r="H1323" s="4"/>
      <c r="I1323" s="4"/>
      <c r="J1323" s="4">
        <f>19.432+11.597+7.941</f>
        <v>38.97</v>
      </c>
    </row>
    <row r="1324" spans="1:10">
      <c r="A1324" s="4"/>
      <c r="B1324" s="4"/>
      <c r="C1324" s="4" t="s">
        <v>1319</v>
      </c>
      <c r="D1324" s="4">
        <f>6.71+26.36+9.89</f>
        <v>42.96</v>
      </c>
      <c r="E1324" s="4"/>
      <c r="F1324" s="4"/>
      <c r="G1324" s="4"/>
      <c r="H1324" s="4"/>
      <c r="I1324" s="4"/>
      <c r="J1324" s="4">
        <f>22.029+18.381</f>
        <v>40.409999999999997</v>
      </c>
    </row>
    <row r="1325" spans="1:10">
      <c r="A1325" s="4"/>
      <c r="B1325" s="4"/>
      <c r="C1325" s="4" t="s">
        <v>1320</v>
      </c>
      <c r="D1325" s="4">
        <v>23.324999999999999</v>
      </c>
      <c r="E1325" s="4"/>
      <c r="F1325" s="4"/>
      <c r="G1325" s="4"/>
      <c r="H1325" s="4"/>
      <c r="I1325" s="4"/>
      <c r="J1325" s="4">
        <f>6.113+9.276+7.82</f>
        <v>23.209</v>
      </c>
    </row>
    <row r="1326" spans="1:10">
      <c r="A1326" s="4"/>
      <c r="B1326" s="4"/>
      <c r="C1326" s="4" t="s">
        <v>1321</v>
      </c>
      <c r="D1326" s="4">
        <v>18.864999999999998</v>
      </c>
      <c r="E1326" s="4"/>
      <c r="F1326" s="4"/>
      <c r="G1326" s="4"/>
      <c r="H1326" s="4"/>
      <c r="I1326" s="4"/>
      <c r="J1326" s="4">
        <v>25.73</v>
      </c>
    </row>
    <row r="1327" spans="1:10">
      <c r="A1327" s="4"/>
      <c r="B1327" s="4"/>
      <c r="C1327" s="4"/>
      <c r="D1327" s="4">
        <f>SUM(D1322:D1326)</f>
        <v>129.61000000000001</v>
      </c>
      <c r="E1327" s="4"/>
      <c r="F1327" s="4"/>
      <c r="G1327" s="4"/>
      <c r="H1327" s="4"/>
      <c r="I1327" s="4"/>
      <c r="J1327" s="4">
        <f>SUM(J1322:J1326)</f>
        <v>138.68099999999998</v>
      </c>
    </row>
    <row r="1328" spans="1:10">
      <c r="A1328" s="4"/>
      <c r="B1328" s="4"/>
      <c r="C1328" s="4"/>
      <c r="D1328" s="4"/>
      <c r="E1328" s="4"/>
      <c r="F1328" s="4"/>
      <c r="G1328" s="4"/>
      <c r="H1328" s="4"/>
      <c r="I1328" s="4"/>
      <c r="J1328" s="4"/>
    </row>
    <row r="1329" spans="1:12">
      <c r="A1329" s="4" t="s">
        <v>1323</v>
      </c>
      <c r="B1329" s="4"/>
      <c r="C1329" s="4" t="s">
        <v>1321</v>
      </c>
      <c r="D1329" s="4">
        <v>34.200000000000003</v>
      </c>
      <c r="E1329" s="4"/>
      <c r="F1329" s="4"/>
      <c r="G1329" s="4"/>
      <c r="H1329" s="4"/>
      <c r="I1329" s="4"/>
      <c r="J1329" s="4">
        <v>28.388999999999999</v>
      </c>
    </row>
    <row r="1330" spans="1:12">
      <c r="A1330" s="4"/>
      <c r="B1330" s="4"/>
      <c r="C1330" s="4" t="s">
        <v>944</v>
      </c>
      <c r="D1330" s="4">
        <v>4.47</v>
      </c>
      <c r="E1330" s="4"/>
      <c r="F1330" s="4"/>
      <c r="G1330" s="4"/>
      <c r="H1330" s="4"/>
      <c r="I1330" s="4"/>
      <c r="J1330" s="4">
        <v>4.4539999999999997</v>
      </c>
    </row>
    <row r="1331" spans="1:12">
      <c r="A1331" s="4"/>
      <c r="B1331" s="4"/>
      <c r="C1331" s="4" t="s">
        <v>943</v>
      </c>
      <c r="D1331" s="4">
        <v>5.99</v>
      </c>
      <c r="E1331" s="4"/>
      <c r="F1331" s="4"/>
      <c r="G1331" s="4"/>
      <c r="H1331" s="4"/>
      <c r="I1331" s="4"/>
      <c r="J1331" s="4">
        <v>5.9909999999999997</v>
      </c>
    </row>
    <row r="1332" spans="1:12">
      <c r="A1332" s="4"/>
      <c r="B1332" s="4"/>
      <c r="C1332" s="4" t="s">
        <v>940</v>
      </c>
      <c r="D1332" s="4">
        <v>11.4</v>
      </c>
      <c r="E1332" s="4"/>
      <c r="F1332" s="4"/>
      <c r="G1332" s="4"/>
      <c r="H1332" s="4"/>
      <c r="I1332" s="4"/>
      <c r="J1332" s="4">
        <f>4.916+6.509</f>
        <v>11.425000000000001</v>
      </c>
    </row>
    <row r="1333" spans="1:12">
      <c r="A1333" s="4"/>
      <c r="B1333" s="4"/>
      <c r="C1333" s="4" t="s">
        <v>1324</v>
      </c>
      <c r="D1333" s="4">
        <v>5.89</v>
      </c>
      <c r="E1333" s="4"/>
      <c r="F1333" s="4"/>
      <c r="G1333" s="4"/>
      <c r="H1333" s="4"/>
      <c r="I1333" s="4"/>
      <c r="J1333" s="4">
        <v>5.8869999999999996</v>
      </c>
    </row>
    <row r="1334" spans="1:12">
      <c r="A1334" s="4"/>
      <c r="B1334" s="4"/>
      <c r="C1334" s="4" t="s">
        <v>1314</v>
      </c>
      <c r="D1334" s="4">
        <v>68.569999999999993</v>
      </c>
      <c r="E1334" s="4"/>
      <c r="F1334" s="4"/>
      <c r="G1334" s="4"/>
      <c r="H1334" s="4"/>
      <c r="I1334" s="4"/>
      <c r="J1334" s="4">
        <f>27.222+41.225</f>
        <v>68.447000000000003</v>
      </c>
    </row>
    <row r="1335" spans="1:12">
      <c r="A1335" s="4"/>
      <c r="B1335" s="4"/>
      <c r="C1335" s="4"/>
      <c r="D1335" s="4">
        <f>SUM(D1329:D1334)</f>
        <v>130.51999999999998</v>
      </c>
      <c r="E1335" s="4"/>
      <c r="F1335" s="4"/>
      <c r="G1335" s="4"/>
      <c r="H1335" s="4"/>
      <c r="I1335" s="4"/>
      <c r="J1335" s="4">
        <f>SUM(J1329:J1334)</f>
        <v>124.593</v>
      </c>
    </row>
    <row r="1336" spans="1:12">
      <c r="A1336" s="4"/>
      <c r="B1336" s="4"/>
      <c r="C1336" s="4"/>
      <c r="D1336" s="4"/>
      <c r="E1336" s="4"/>
      <c r="F1336" s="4"/>
      <c r="G1336" s="4"/>
      <c r="H1336" s="4"/>
      <c r="I1336" s="4"/>
      <c r="J1336" s="4"/>
    </row>
    <row r="1337" spans="1:12">
      <c r="A1337" s="4" t="s">
        <v>1325</v>
      </c>
      <c r="B1337" s="4"/>
      <c r="C1337" s="4" t="s">
        <v>618</v>
      </c>
      <c r="D1337" s="4">
        <v>32.020000000000003</v>
      </c>
      <c r="E1337" s="4"/>
      <c r="F1337" s="4"/>
      <c r="G1337" s="4"/>
      <c r="H1337" s="4"/>
      <c r="I1337" s="4"/>
      <c r="J1337" s="4">
        <f>14.13+8.003+3.079+3.285+3.49</f>
        <v>31.987000000000002</v>
      </c>
    </row>
    <row r="1338" spans="1:12">
      <c r="A1338" s="4"/>
      <c r="B1338" s="4"/>
      <c r="C1338" s="4" t="s">
        <v>1326</v>
      </c>
      <c r="D1338" s="4">
        <f>101.23-32.02</f>
        <v>69.210000000000008</v>
      </c>
      <c r="E1338" s="4"/>
      <c r="F1338" s="4"/>
      <c r="G1338" s="4"/>
      <c r="H1338" s="4"/>
      <c r="I1338" s="4"/>
      <c r="J1338" s="4">
        <f>26.505+10.552+27.976+3.68</f>
        <v>68.713000000000008</v>
      </c>
      <c r="L1338">
        <f>3.19+3.19+3.19+3.19+3.19+3.19+3.19+3.19+2.456</f>
        <v>27.976000000000003</v>
      </c>
    </row>
    <row r="1339" spans="1:12">
      <c r="A1339" s="4"/>
      <c r="B1339" s="4"/>
      <c r="C1339" s="4" t="s">
        <v>1126</v>
      </c>
      <c r="D1339" s="4">
        <v>76.715000000000003</v>
      </c>
      <c r="E1339" s="4"/>
      <c r="F1339" s="4"/>
      <c r="G1339" s="4"/>
      <c r="H1339" s="4"/>
      <c r="I1339" s="4"/>
      <c r="J1339" s="4">
        <f>2.567+41.62+21.626+11.544</f>
        <v>77.356999999999999</v>
      </c>
    </row>
    <row r="1340" spans="1:12">
      <c r="A1340" s="4"/>
      <c r="B1340" s="4"/>
      <c r="C1340" s="4" t="s">
        <v>1327</v>
      </c>
      <c r="D1340" s="4">
        <v>28.17</v>
      </c>
      <c r="E1340" s="4"/>
      <c r="F1340" s="4"/>
      <c r="G1340" s="4"/>
      <c r="H1340" s="4"/>
      <c r="I1340" s="4"/>
      <c r="J1340" s="4">
        <f>27.143+4.002</f>
        <v>31.145</v>
      </c>
    </row>
    <row r="1341" spans="1:12">
      <c r="A1341" s="4"/>
      <c r="B1341" s="4"/>
      <c r="C1341" s="4" t="s">
        <v>963</v>
      </c>
      <c r="D1341" s="4">
        <v>39.994999999999997</v>
      </c>
      <c r="E1341" s="4"/>
      <c r="F1341" s="4"/>
      <c r="G1341" s="4"/>
      <c r="H1341" s="4"/>
      <c r="I1341" s="4"/>
      <c r="J1341" s="4">
        <f>20.204+19.905</f>
        <v>40.109000000000002</v>
      </c>
    </row>
    <row r="1342" spans="1:12">
      <c r="A1342" s="4"/>
      <c r="B1342" s="4"/>
      <c r="C1342" s="4"/>
      <c r="D1342" s="4">
        <f>SUM(D1337:D1341)</f>
        <v>246.11</v>
      </c>
      <c r="E1342" s="4"/>
      <c r="F1342" s="4"/>
      <c r="G1342" s="4"/>
      <c r="H1342" s="4"/>
      <c r="I1342" s="4"/>
      <c r="J1342" s="4">
        <f>SUM(J1337:J1341)</f>
        <v>249.31100000000004</v>
      </c>
    </row>
    <row r="1343" spans="1:12">
      <c r="A1343" s="4"/>
      <c r="B1343" s="4"/>
      <c r="C1343" s="4"/>
      <c r="D1343" s="4"/>
      <c r="E1343" s="4"/>
      <c r="F1343" s="4"/>
      <c r="G1343" s="4"/>
      <c r="H1343" s="4"/>
      <c r="I1343" s="4"/>
      <c r="J1343" s="4"/>
    </row>
    <row r="1344" spans="1:12">
      <c r="A1344" s="4" t="s">
        <v>1328</v>
      </c>
      <c r="B1344" s="4"/>
      <c r="C1344" s="4" t="s">
        <v>963</v>
      </c>
      <c r="D1344" s="4">
        <v>13.175000000000001</v>
      </c>
      <c r="E1344" s="4"/>
      <c r="F1344" s="4"/>
      <c r="G1344" s="4"/>
      <c r="H1344" s="4"/>
      <c r="I1344" s="4"/>
      <c r="J1344" s="4">
        <f>12.541</f>
        <v>12.541</v>
      </c>
    </row>
    <row r="1345" spans="1:10">
      <c r="A1345" s="4"/>
      <c r="B1345" s="4"/>
      <c r="C1345" s="4" t="s">
        <v>1331</v>
      </c>
      <c r="D1345" s="4">
        <v>50.704999999999998</v>
      </c>
      <c r="E1345" s="4"/>
      <c r="F1345" s="4"/>
      <c r="G1345" s="4"/>
      <c r="H1345" s="4"/>
      <c r="I1345" s="4"/>
      <c r="J1345" s="4">
        <f>10.34+14.722+13.482+2.737+1.692+2.48+3.61</f>
        <v>49.062999999999995</v>
      </c>
    </row>
    <row r="1346" spans="1:10">
      <c r="A1346" s="4"/>
      <c r="B1346" s="4"/>
      <c r="C1346" s="4" t="s">
        <v>964</v>
      </c>
      <c r="D1346" s="4">
        <v>35.79</v>
      </c>
      <c r="E1346" s="4"/>
      <c r="F1346" s="4"/>
      <c r="G1346" s="4"/>
      <c r="H1346" s="4"/>
      <c r="I1346" s="4"/>
      <c r="J1346" s="4">
        <f>6.192+18.463+9.236+1.466</f>
        <v>35.357000000000006</v>
      </c>
    </row>
    <row r="1347" spans="1:10">
      <c r="A1347" s="4"/>
      <c r="B1347" s="4"/>
      <c r="C1347" s="4" t="s">
        <v>1125</v>
      </c>
      <c r="D1347" s="4">
        <v>27.6</v>
      </c>
      <c r="E1347" s="4"/>
      <c r="F1347" s="4"/>
      <c r="G1347" s="4"/>
      <c r="H1347" s="4"/>
      <c r="I1347" s="4"/>
      <c r="J1347" s="4">
        <f>11.886+15.88</f>
        <v>27.765999999999998</v>
      </c>
    </row>
    <row r="1348" spans="1:10">
      <c r="A1348" s="4"/>
      <c r="B1348" s="4"/>
      <c r="C1348" s="4" t="s">
        <v>972</v>
      </c>
      <c r="D1348" s="4">
        <v>14.9</v>
      </c>
      <c r="E1348" s="4"/>
      <c r="F1348" s="4"/>
      <c r="G1348" s="4"/>
      <c r="H1348" s="4"/>
      <c r="I1348" s="4"/>
      <c r="J1348" s="4">
        <f>8.738+7.543</f>
        <v>16.280999999999999</v>
      </c>
    </row>
    <row r="1349" spans="1:10">
      <c r="A1349" s="4"/>
      <c r="B1349" s="4"/>
      <c r="C1349" s="4" t="s">
        <v>966</v>
      </c>
      <c r="D1349" s="4">
        <v>23.684999999999999</v>
      </c>
      <c r="E1349" s="4"/>
      <c r="F1349" s="4"/>
      <c r="G1349" s="4"/>
      <c r="H1349" s="4"/>
      <c r="I1349" s="4"/>
      <c r="J1349" s="4">
        <f>18.071+5.832</f>
        <v>23.903000000000002</v>
      </c>
    </row>
    <row r="1350" spans="1:10">
      <c r="A1350" s="4"/>
      <c r="B1350" s="4"/>
      <c r="C1350" s="4" t="s">
        <v>965</v>
      </c>
      <c r="D1350" s="4">
        <v>11.38</v>
      </c>
      <c r="E1350" s="4"/>
      <c r="F1350" s="4"/>
      <c r="G1350" s="4"/>
      <c r="H1350" s="4"/>
      <c r="I1350" s="4"/>
      <c r="J1350" s="4">
        <f>5.79+5.319</f>
        <v>11.109</v>
      </c>
    </row>
    <row r="1351" spans="1:10">
      <c r="A1351" s="4"/>
      <c r="B1351" s="4"/>
      <c r="C1351" s="4" t="s">
        <v>1332</v>
      </c>
      <c r="D1351" s="4">
        <v>5.9</v>
      </c>
      <c r="E1351" s="4"/>
      <c r="F1351" s="4"/>
      <c r="G1351" s="4"/>
      <c r="H1351" s="4"/>
      <c r="I1351" s="4"/>
      <c r="J1351" s="4">
        <v>6.1669999999999998</v>
      </c>
    </row>
    <row r="1352" spans="1:10">
      <c r="A1352" s="4"/>
      <c r="B1352" s="4"/>
      <c r="C1352" s="4" t="s">
        <v>1130</v>
      </c>
      <c r="D1352" s="4">
        <v>5.38</v>
      </c>
      <c r="E1352" s="4"/>
      <c r="F1352" s="4"/>
      <c r="G1352" s="4"/>
      <c r="H1352" s="4"/>
      <c r="I1352" s="4"/>
      <c r="J1352" s="4">
        <f>1.36+4.002</f>
        <v>5.3620000000000001</v>
      </c>
    </row>
    <row r="1353" spans="1:10">
      <c r="A1353" s="4"/>
      <c r="B1353" s="4"/>
      <c r="C1353" s="4" t="s">
        <v>1333</v>
      </c>
      <c r="D1353" s="4">
        <v>4.7</v>
      </c>
      <c r="E1353" s="4"/>
      <c r="F1353" s="4"/>
      <c r="G1353" s="4"/>
      <c r="H1353" s="4"/>
      <c r="I1353" s="4"/>
      <c r="J1353" s="4">
        <v>4.7030000000000003</v>
      </c>
    </row>
    <row r="1354" spans="1:10">
      <c r="A1354" s="4"/>
      <c r="B1354" s="4"/>
      <c r="C1354" s="4"/>
      <c r="D1354" s="4">
        <f>SUM(D1344:D1353)</f>
        <v>193.21499999999997</v>
      </c>
      <c r="E1354" s="4"/>
      <c r="F1354" s="4"/>
      <c r="G1354" s="4"/>
      <c r="H1354" s="4"/>
      <c r="I1354" s="4"/>
      <c r="J1354" s="4">
        <f>SUM(J1344:J1353)</f>
        <v>192.25200000000001</v>
      </c>
    </row>
    <row r="1355" spans="1:10">
      <c r="A1355" s="4"/>
      <c r="B1355" s="4"/>
      <c r="C1355" s="4"/>
      <c r="D1355" s="4"/>
      <c r="E1355" s="4"/>
      <c r="F1355" s="4"/>
      <c r="G1355" s="4"/>
      <c r="H1355" s="4"/>
      <c r="I1355" s="4"/>
      <c r="J1355" s="4"/>
    </row>
    <row r="1356" spans="1:10">
      <c r="A1356" s="4" t="s">
        <v>1334</v>
      </c>
      <c r="B1356" s="4"/>
      <c r="C1356" s="4" t="s">
        <v>995</v>
      </c>
      <c r="D1356" s="4">
        <v>45.4</v>
      </c>
      <c r="E1356" s="4"/>
      <c r="F1356" s="4"/>
      <c r="G1356" s="4"/>
      <c r="H1356" s="4"/>
      <c r="I1356" s="4"/>
      <c r="J1356" s="4">
        <f>21.759+22.16</f>
        <v>43.918999999999997</v>
      </c>
    </row>
    <row r="1357" spans="1:10">
      <c r="A1357" s="4"/>
      <c r="B1357" s="4"/>
      <c r="C1357" s="4" t="s">
        <v>996</v>
      </c>
      <c r="D1357" s="4">
        <v>58.064999999999998</v>
      </c>
      <c r="E1357" s="4"/>
      <c r="F1357" s="4"/>
      <c r="G1357" s="4"/>
      <c r="H1357" s="4"/>
      <c r="I1357" s="4"/>
      <c r="J1357" s="4">
        <f>29.657+27.543</f>
        <v>57.2</v>
      </c>
    </row>
    <row r="1358" spans="1:10">
      <c r="A1358" s="4"/>
      <c r="B1358" s="4"/>
      <c r="C1358" s="4" t="s">
        <v>1335</v>
      </c>
      <c r="D1358" s="4">
        <v>35.125</v>
      </c>
      <c r="E1358" s="4"/>
      <c r="F1358" s="4"/>
      <c r="G1358" s="4"/>
      <c r="H1358" s="4"/>
      <c r="I1358" s="4"/>
      <c r="J1358" s="4">
        <f>2.739+19.072+12.62</f>
        <v>34.430999999999997</v>
      </c>
    </row>
    <row r="1359" spans="1:10">
      <c r="A1359" s="4"/>
      <c r="B1359" s="4"/>
      <c r="C1359" s="4" t="s">
        <v>1336</v>
      </c>
      <c r="D1359" s="4">
        <v>17.8</v>
      </c>
      <c r="E1359" s="4"/>
      <c r="F1359" s="4"/>
      <c r="G1359" s="4"/>
      <c r="H1359" s="4"/>
      <c r="I1359" s="4"/>
      <c r="J1359" s="4">
        <f>5.343+25.832</f>
        <v>31.175000000000001</v>
      </c>
    </row>
    <row r="1360" spans="1:10">
      <c r="A1360" s="4"/>
      <c r="B1360" s="4"/>
      <c r="C1360" s="4"/>
      <c r="D1360" s="4">
        <f>SUM(D1356:D1359)</f>
        <v>156.39000000000001</v>
      </c>
      <c r="E1360" s="4"/>
      <c r="F1360" s="4"/>
      <c r="G1360" s="4"/>
      <c r="H1360" s="4"/>
      <c r="I1360" s="4"/>
      <c r="J1360" s="4">
        <f>SUM(J1356:J1359)</f>
        <v>166.72500000000002</v>
      </c>
    </row>
    <row r="1361" spans="1:10">
      <c r="A1361" s="4"/>
      <c r="B1361" s="4"/>
      <c r="C1361" s="4"/>
      <c r="D1361" s="4"/>
      <c r="E1361" s="4"/>
      <c r="F1361" s="4"/>
      <c r="G1361" s="4"/>
      <c r="H1361" s="4"/>
      <c r="I1361" s="4"/>
      <c r="J1361" s="4"/>
    </row>
    <row r="1362" spans="1:10">
      <c r="A1362" s="4" t="s">
        <v>1341</v>
      </c>
      <c r="B1362" s="4"/>
      <c r="C1362" s="4" t="s">
        <v>1336</v>
      </c>
      <c r="D1362" s="4">
        <v>34.299999999999997</v>
      </c>
      <c r="E1362" s="4"/>
      <c r="F1362" s="4"/>
      <c r="G1362" s="4"/>
      <c r="H1362" s="4"/>
      <c r="I1362" s="4"/>
      <c r="J1362" s="4">
        <f>2.096+18.316</f>
        <v>20.411999999999999</v>
      </c>
    </row>
    <row r="1363" spans="1:10">
      <c r="A1363" s="4"/>
      <c r="B1363" s="4"/>
      <c r="C1363" s="4" t="s">
        <v>997</v>
      </c>
      <c r="D1363" s="4">
        <v>3.39</v>
      </c>
      <c r="E1363" s="4"/>
      <c r="F1363" s="4"/>
      <c r="G1363" s="4"/>
      <c r="H1363" s="4"/>
      <c r="I1363" s="4"/>
      <c r="J1363" s="4">
        <f>1.08+2.305</f>
        <v>3.3850000000000002</v>
      </c>
    </row>
    <row r="1364" spans="1:10">
      <c r="A1364" s="4"/>
      <c r="B1364" s="4"/>
      <c r="C1364" s="4" t="s">
        <v>998</v>
      </c>
      <c r="D1364" s="4">
        <v>9.09</v>
      </c>
      <c r="E1364" s="4"/>
      <c r="F1364" s="4"/>
      <c r="G1364" s="4"/>
      <c r="H1364" s="4"/>
      <c r="I1364" s="4"/>
      <c r="J1364" s="4">
        <f>4.879+4.35</f>
        <v>9.2289999999999992</v>
      </c>
    </row>
    <row r="1365" spans="1:10">
      <c r="A1365" s="4"/>
      <c r="B1365" s="4"/>
      <c r="C1365" s="4" t="s">
        <v>1342</v>
      </c>
      <c r="D1365" s="4">
        <v>3.36</v>
      </c>
      <c r="E1365" s="4"/>
      <c r="F1365" s="4"/>
      <c r="G1365" s="4"/>
      <c r="H1365" s="4"/>
      <c r="I1365" s="4"/>
      <c r="J1365" s="4">
        <v>3.2120000000000002</v>
      </c>
    </row>
    <row r="1366" spans="1:10">
      <c r="A1366" s="4"/>
      <c r="B1366" s="4"/>
      <c r="C1366" s="4" t="s">
        <v>1343</v>
      </c>
      <c r="D1366" s="4">
        <v>3.83</v>
      </c>
      <c r="E1366" s="4"/>
      <c r="F1366" s="4"/>
      <c r="G1366" s="4"/>
      <c r="H1366" s="4"/>
      <c r="I1366" s="4"/>
      <c r="J1366" s="4">
        <v>3.8090000000000002</v>
      </c>
    </row>
    <row r="1367" spans="1:10">
      <c r="A1367" s="4"/>
      <c r="B1367" s="4"/>
      <c r="C1367" s="4" t="s">
        <v>1344</v>
      </c>
      <c r="D1367" s="4">
        <v>62.12</v>
      </c>
      <c r="E1367" s="4"/>
      <c r="F1367" s="4"/>
      <c r="G1367" s="4"/>
      <c r="H1367" s="4"/>
      <c r="I1367" s="4"/>
      <c r="J1367" s="4">
        <f>24.64+20.184+13.499+3.42</f>
        <v>61.743000000000002</v>
      </c>
    </row>
    <row r="1368" spans="1:10">
      <c r="A1368" s="4"/>
      <c r="B1368" s="4"/>
      <c r="C1368" s="4" t="s">
        <v>1345</v>
      </c>
      <c r="D1368" s="4">
        <v>48.085999999999999</v>
      </c>
      <c r="E1368" s="4"/>
      <c r="F1368" s="4"/>
      <c r="G1368" s="4"/>
      <c r="H1368" s="4"/>
      <c r="I1368" s="4"/>
      <c r="J1368" s="4">
        <f>17.224+15.177+15.4</f>
        <v>47.800999999999995</v>
      </c>
    </row>
    <row r="1369" spans="1:10">
      <c r="A1369" s="4"/>
      <c r="B1369" s="4"/>
      <c r="C1369" s="4"/>
      <c r="D1369" s="4">
        <f>SUM(D1362:D1368)</f>
        <v>164.17599999999999</v>
      </c>
      <c r="E1369" s="4"/>
      <c r="F1369" s="4"/>
      <c r="G1369" s="4"/>
      <c r="H1369" s="4"/>
      <c r="I1369" s="4"/>
      <c r="J1369" s="4">
        <f>SUM(J1362:J1368)</f>
        <v>149.59099999999998</v>
      </c>
    </row>
    <row r="1370" spans="1:10">
      <c r="A1370" s="4"/>
      <c r="B1370" s="4"/>
      <c r="C1370" s="4"/>
      <c r="D1370" s="4"/>
      <c r="E1370" s="4"/>
      <c r="F1370" s="4"/>
      <c r="G1370" s="4"/>
      <c r="H1370" s="4"/>
      <c r="I1370" s="4"/>
      <c r="J1370" s="4"/>
    </row>
    <row r="1371" spans="1:10">
      <c r="A1371" s="4" t="s">
        <v>1303</v>
      </c>
      <c r="B1371" s="4"/>
      <c r="C1371" s="4" t="s">
        <v>1346</v>
      </c>
      <c r="D1371" s="4">
        <v>35.326999999999998</v>
      </c>
      <c r="E1371" s="4"/>
      <c r="F1371" s="4"/>
      <c r="G1371" s="4"/>
      <c r="H1371" s="4"/>
      <c r="I1371" s="4"/>
      <c r="J1371" s="4">
        <f>12.614+19.882+2.001</f>
        <v>34.497</v>
      </c>
    </row>
    <row r="1372" spans="1:10">
      <c r="A1372" s="4"/>
      <c r="B1372" s="4"/>
      <c r="C1372" s="4" t="s">
        <v>1346</v>
      </c>
      <c r="D1372" s="4">
        <v>5.2</v>
      </c>
      <c r="E1372" s="4"/>
      <c r="F1372" s="4"/>
      <c r="G1372" s="4"/>
      <c r="H1372" s="4"/>
      <c r="I1372" s="4"/>
      <c r="J1372" s="4">
        <v>5.13</v>
      </c>
    </row>
    <row r="1373" spans="1:10">
      <c r="A1373" s="4"/>
      <c r="B1373" s="4"/>
      <c r="C1373" s="4" t="s">
        <v>1347</v>
      </c>
      <c r="D1373" s="4">
        <f>11.97+3.83</f>
        <v>15.8</v>
      </c>
      <c r="E1373" s="4"/>
      <c r="F1373" s="4"/>
      <c r="G1373" s="4"/>
      <c r="H1373" s="4"/>
      <c r="I1373" s="4"/>
      <c r="J1373" s="4">
        <f>6.584+8.684</f>
        <v>15.267999999999999</v>
      </c>
    </row>
    <row r="1374" spans="1:10">
      <c r="A1374" s="4"/>
      <c r="B1374" s="4"/>
      <c r="C1374" s="4" t="s">
        <v>1069</v>
      </c>
      <c r="D1374" s="4">
        <v>84.474000000000004</v>
      </c>
      <c r="E1374" s="4"/>
      <c r="F1374" s="4"/>
      <c r="G1374" s="4"/>
      <c r="H1374" s="4"/>
      <c r="I1374" s="4"/>
      <c r="J1374" s="4">
        <f>2.908+24.246+14.562+16.83+6.268+12.393+9.82+1.025-4.987</f>
        <v>83.064999999999998</v>
      </c>
    </row>
    <row r="1375" spans="1:10">
      <c r="A1375" s="4"/>
      <c r="B1375" s="4"/>
      <c r="C1375" s="4" t="s">
        <v>985</v>
      </c>
      <c r="D1375" s="4">
        <v>4.6440000000000001</v>
      </c>
      <c r="E1375" s="4"/>
      <c r="F1375" s="4"/>
      <c r="G1375" s="4"/>
      <c r="H1375" s="4"/>
      <c r="I1375" s="4"/>
      <c r="J1375" s="4">
        <f>1.92+2.738</f>
        <v>4.6579999999999995</v>
      </c>
    </row>
    <row r="1376" spans="1:10">
      <c r="A1376" s="4"/>
      <c r="B1376" s="4"/>
      <c r="C1376" s="4" t="s">
        <v>1184</v>
      </c>
      <c r="D1376" s="4">
        <v>9.3930000000000007</v>
      </c>
      <c r="E1376" s="4"/>
      <c r="F1376" s="4"/>
      <c r="G1376" s="4"/>
      <c r="H1376" s="4"/>
      <c r="I1376" s="4"/>
      <c r="J1376" s="4">
        <f>5.005+4.595</f>
        <v>9.6</v>
      </c>
    </row>
    <row r="1377" spans="1:10">
      <c r="A1377" s="4"/>
      <c r="B1377" s="4"/>
      <c r="C1377" s="4"/>
      <c r="D1377" s="4">
        <f>SUM(D1371:D1376)</f>
        <v>154.83799999999999</v>
      </c>
      <c r="E1377" s="4"/>
      <c r="F1377" s="4"/>
      <c r="G1377" s="4"/>
      <c r="H1377" s="4"/>
      <c r="I1377" s="4"/>
      <c r="J1377" s="4">
        <f>SUM(J1371:J1376)</f>
        <v>152.21799999999999</v>
      </c>
    </row>
    <row r="1378" spans="1:10">
      <c r="A1378" s="4" t="s">
        <v>1356</v>
      </c>
      <c r="B1378" s="4"/>
      <c r="C1378" s="4"/>
      <c r="D1378" s="4"/>
      <c r="E1378" s="4"/>
      <c r="F1378" s="4"/>
      <c r="G1378" s="4"/>
      <c r="H1378" s="4"/>
      <c r="I1378" s="4"/>
      <c r="J1378" s="4"/>
    </row>
    <row r="1379" spans="1:10">
      <c r="A1379" s="4" t="s">
        <v>1329</v>
      </c>
      <c r="B1379" s="4"/>
      <c r="C1379" s="4" t="s">
        <v>1357</v>
      </c>
      <c r="D1379" s="4">
        <v>96.51</v>
      </c>
      <c r="E1379" s="4"/>
      <c r="F1379" s="4"/>
      <c r="G1379" s="4"/>
      <c r="H1379" s="4"/>
      <c r="I1379" s="4"/>
      <c r="J1379" s="4">
        <f>24.224+24.43+38.642+7.587</f>
        <v>94.882999999999996</v>
      </c>
    </row>
    <row r="1380" spans="1:10">
      <c r="A1380" s="4"/>
      <c r="B1380" s="4"/>
      <c r="C1380" s="4" t="s">
        <v>1358</v>
      </c>
      <c r="D1380" s="4">
        <v>87.58</v>
      </c>
      <c r="E1380" s="4"/>
      <c r="F1380" s="4"/>
      <c r="G1380" s="4"/>
      <c r="H1380" s="4"/>
      <c r="I1380" s="4"/>
      <c r="J1380" s="4">
        <f>22.892+32.231+2.168+31.01</f>
        <v>88.301000000000002</v>
      </c>
    </row>
    <row r="1381" spans="1:10">
      <c r="A1381" s="4"/>
      <c r="B1381" s="4"/>
      <c r="C1381" s="4"/>
      <c r="D1381" s="4">
        <f>SUM(D1379:D1380)</f>
        <v>184.09</v>
      </c>
      <c r="E1381" s="4"/>
      <c r="F1381" s="4"/>
      <c r="G1381" s="4"/>
      <c r="H1381" s="4"/>
      <c r="I1381" s="4"/>
      <c r="J1381" s="4">
        <f>SUM(J1379:J1380)</f>
        <v>183.184</v>
      </c>
    </row>
    <row r="1382" spans="1:10">
      <c r="A1382" s="4"/>
      <c r="B1382" s="4"/>
      <c r="C1382" s="4"/>
      <c r="D1382" s="4"/>
      <c r="E1382" s="4"/>
      <c r="F1382" s="4"/>
      <c r="G1382" s="4"/>
      <c r="H1382" s="4"/>
      <c r="I1382" s="4"/>
      <c r="J1382" s="4"/>
    </row>
    <row r="1383" spans="1:10">
      <c r="A1383" s="4" t="s">
        <v>1364</v>
      </c>
      <c r="B1383" s="4"/>
      <c r="C1383" s="34" t="s">
        <v>1365</v>
      </c>
      <c r="D1383" s="4">
        <v>174.61</v>
      </c>
      <c r="E1383" s="4"/>
      <c r="F1383" s="4"/>
      <c r="G1383" s="4"/>
      <c r="H1383" s="4"/>
      <c r="I1383" s="4"/>
      <c r="J1383" s="4">
        <f>68.402+59.875+40.441+4.989</f>
        <v>173.70699999999999</v>
      </c>
    </row>
    <row r="1384" spans="1:10">
      <c r="A1384" s="4"/>
      <c r="B1384" s="4"/>
      <c r="C1384" s="4"/>
      <c r="D1384" s="4">
        <f>SUM(D1383)</f>
        <v>174.61</v>
      </c>
      <c r="E1384" s="4"/>
      <c r="F1384" s="4"/>
      <c r="G1384" s="4"/>
      <c r="H1384" s="4"/>
      <c r="I1384" s="4"/>
      <c r="J1384" s="4">
        <f>SUM(J1383)</f>
        <v>173.70699999999999</v>
      </c>
    </row>
    <row r="1385" spans="1:10">
      <c r="A1385" s="4"/>
      <c r="B1385" s="4"/>
      <c r="C1385" s="4"/>
      <c r="D1385" s="4"/>
      <c r="E1385" s="4"/>
      <c r="F1385" s="4"/>
      <c r="G1385" s="4"/>
      <c r="H1385" s="4"/>
      <c r="I1385" s="4"/>
      <c r="J1385" s="4"/>
    </row>
    <row r="1386" spans="1:10">
      <c r="A1386" s="4" t="s">
        <v>1366</v>
      </c>
      <c r="B1386" s="4"/>
      <c r="C1386" s="34" t="s">
        <v>1367</v>
      </c>
      <c r="D1386" s="4">
        <v>98.54</v>
      </c>
      <c r="E1386" s="4"/>
      <c r="F1386" s="4"/>
      <c r="G1386" s="4"/>
      <c r="H1386" s="4"/>
      <c r="I1386" s="4"/>
      <c r="J1386" s="4">
        <f>83.08+12.255</f>
        <v>95.334999999999994</v>
      </c>
    </row>
    <row r="1387" spans="1:10">
      <c r="A1387" s="4"/>
      <c r="B1387" s="4"/>
      <c r="C1387" s="34" t="s">
        <v>1368</v>
      </c>
      <c r="D1387" s="4">
        <v>19.71</v>
      </c>
      <c r="E1387" s="4"/>
      <c r="F1387" s="4"/>
      <c r="G1387" s="4"/>
      <c r="H1387" s="4"/>
      <c r="I1387" s="4"/>
      <c r="J1387" s="4">
        <v>13.394</v>
      </c>
    </row>
    <row r="1388" spans="1:10">
      <c r="A1388" s="4"/>
      <c r="B1388" s="4"/>
      <c r="C1388" s="4"/>
      <c r="D1388" s="4">
        <f>SUM(D1386:D1387)</f>
        <v>118.25</v>
      </c>
      <c r="E1388" s="4"/>
      <c r="F1388" s="4"/>
      <c r="G1388" s="4"/>
      <c r="H1388" s="4"/>
      <c r="I1388" s="4"/>
      <c r="J1388" s="4">
        <f>SUM(J1386:J1387)</f>
        <v>108.729</v>
      </c>
    </row>
    <row r="1389" spans="1:10">
      <c r="A1389" s="4"/>
      <c r="B1389" s="4"/>
      <c r="C1389" s="4"/>
      <c r="D1389" s="4"/>
      <c r="E1389" s="4"/>
      <c r="F1389" s="4"/>
      <c r="G1389" s="4"/>
      <c r="H1389" s="4"/>
      <c r="I1389" s="4"/>
      <c r="J1389" s="4"/>
    </row>
    <row r="1390" spans="1:10">
      <c r="A1390" s="4" t="s">
        <v>1371</v>
      </c>
      <c r="B1390" s="4"/>
      <c r="C1390" s="34" t="s">
        <v>1368</v>
      </c>
      <c r="D1390" s="4">
        <v>205.72499999999999</v>
      </c>
      <c r="E1390" s="4"/>
      <c r="F1390" s="4"/>
      <c r="G1390" s="4"/>
      <c r="H1390" s="4"/>
      <c r="I1390" s="4"/>
      <c r="J1390" s="4">
        <f>66.426+74.205+35.493+40.353</f>
        <v>216.477</v>
      </c>
    </row>
    <row r="1391" spans="1:10">
      <c r="A1391" s="4"/>
      <c r="B1391" s="4"/>
      <c r="C1391" s="4"/>
      <c r="D1391" s="4">
        <f>SUM(D1390)</f>
        <v>205.72499999999999</v>
      </c>
      <c r="E1391" s="4"/>
      <c r="F1391" s="4"/>
      <c r="G1391" s="4"/>
      <c r="H1391" s="4"/>
      <c r="I1391" s="4"/>
      <c r="J1391" s="4">
        <f>SUM(J1390)</f>
        <v>216.477</v>
      </c>
    </row>
    <row r="1392" spans="1:10">
      <c r="A1392" s="4"/>
      <c r="B1392" s="4"/>
      <c r="C1392" s="4"/>
      <c r="D1392" s="4"/>
      <c r="E1392" s="4"/>
      <c r="F1392" s="4"/>
      <c r="G1392" s="4"/>
      <c r="H1392" s="4"/>
      <c r="I1392" s="4"/>
      <c r="J1392" s="4"/>
    </row>
    <row r="1393" spans="1:10">
      <c r="A1393" s="4" t="s">
        <v>1372</v>
      </c>
      <c r="B1393" s="4"/>
      <c r="C1393" s="34" t="s">
        <v>1368</v>
      </c>
      <c r="D1393" s="4">
        <v>19.850000000000001</v>
      </c>
      <c r="E1393" s="4"/>
      <c r="F1393" s="4"/>
      <c r="G1393" s="4"/>
      <c r="H1393" s="4"/>
      <c r="I1393" s="4"/>
      <c r="J1393" s="4">
        <f>13.879+11.785</f>
        <v>25.664000000000001</v>
      </c>
    </row>
    <row r="1394" spans="1:10">
      <c r="A1394" s="4"/>
      <c r="B1394" s="4"/>
      <c r="C1394" s="34" t="s">
        <v>1291</v>
      </c>
      <c r="D1394" s="4">
        <v>133.85499999999999</v>
      </c>
      <c r="E1394" s="4"/>
      <c r="F1394" s="4"/>
      <c r="G1394" s="4"/>
      <c r="H1394" s="4"/>
      <c r="I1394" s="4"/>
      <c r="J1394" s="4">
        <f>25.884+72.702+6.942+25.666+8.518</f>
        <v>139.71199999999999</v>
      </c>
    </row>
    <row r="1395" spans="1:10">
      <c r="A1395" s="4"/>
      <c r="B1395" s="4"/>
      <c r="C1395" s="4" t="s">
        <v>1373</v>
      </c>
      <c r="D1395" s="4">
        <v>101.55</v>
      </c>
      <c r="E1395" s="4"/>
      <c r="F1395" s="4"/>
      <c r="G1395" s="4"/>
      <c r="H1395" s="4"/>
      <c r="I1395" s="4"/>
      <c r="J1395" s="4">
        <f>43.571+8.75+11.29+11.823+11.968</f>
        <v>87.402000000000001</v>
      </c>
    </row>
    <row r="1396" spans="1:10">
      <c r="A1396" s="4"/>
      <c r="B1396" s="4"/>
      <c r="C1396" s="34" t="s">
        <v>1374</v>
      </c>
      <c r="D1396" s="4">
        <v>3.12</v>
      </c>
      <c r="E1396" s="4"/>
      <c r="F1396" s="4"/>
      <c r="G1396" s="4"/>
      <c r="H1396" s="4"/>
      <c r="I1396" s="4"/>
      <c r="J1396" s="4">
        <v>3.1219999999999999</v>
      </c>
    </row>
    <row r="1397" spans="1:10">
      <c r="A1397" s="4"/>
      <c r="B1397" s="4"/>
      <c r="C1397" s="4"/>
      <c r="D1397" s="4">
        <f>SUM(D1393:D1396)</f>
        <v>258.375</v>
      </c>
      <c r="E1397" s="4"/>
      <c r="F1397" s="4"/>
      <c r="G1397" s="4"/>
      <c r="H1397" s="4"/>
      <c r="I1397" s="4"/>
      <c r="J1397" s="4">
        <f>SUM(J1393:J1396)</f>
        <v>255.89999999999998</v>
      </c>
    </row>
    <row r="1398" spans="1:10">
      <c r="A1398" s="4"/>
      <c r="B1398" s="4"/>
      <c r="C1398" s="4"/>
      <c r="D1398" s="4"/>
      <c r="E1398" s="4"/>
      <c r="F1398" s="4"/>
      <c r="G1398" s="4"/>
      <c r="H1398" s="4"/>
      <c r="I1398" s="4"/>
      <c r="J1398" s="4"/>
    </row>
    <row r="1399" spans="1:10">
      <c r="A1399" s="4" t="s">
        <v>1376</v>
      </c>
      <c r="B1399" s="4"/>
      <c r="C1399" s="4" t="s">
        <v>1213</v>
      </c>
      <c r="D1399" s="4">
        <v>201.33</v>
      </c>
      <c r="E1399" s="4"/>
      <c r="F1399" s="4"/>
      <c r="G1399" s="4"/>
      <c r="H1399" s="4"/>
      <c r="I1399" s="4"/>
      <c r="J1399" s="4">
        <f>33.907+55.268+47.355+41.654+13.397</f>
        <v>191.58099999999999</v>
      </c>
    </row>
    <row r="1400" spans="1:10">
      <c r="A1400" s="4"/>
      <c r="B1400" s="4"/>
      <c r="C1400" s="4"/>
      <c r="D1400" s="4">
        <f>SUM(D1399)</f>
        <v>201.33</v>
      </c>
      <c r="E1400" s="4"/>
      <c r="F1400" s="4"/>
      <c r="G1400" s="4"/>
      <c r="H1400" s="4"/>
      <c r="I1400" s="4"/>
      <c r="J1400" s="4">
        <f>SUM(J1399)</f>
        <v>191.58099999999999</v>
      </c>
    </row>
    <row r="1401" spans="1:10">
      <c r="A1401" s="4" t="s">
        <v>1377</v>
      </c>
      <c r="B1401" s="4"/>
      <c r="C1401" s="4"/>
      <c r="D1401" s="4"/>
      <c r="E1401" s="4"/>
      <c r="F1401" s="4"/>
      <c r="G1401" s="4"/>
      <c r="H1401" s="4"/>
      <c r="I1401" s="4"/>
      <c r="J1401" s="4"/>
    </row>
    <row r="1402" spans="1:10">
      <c r="A1402" s="4" t="s">
        <v>1378</v>
      </c>
      <c r="B1402" s="4"/>
      <c r="C1402" s="4" t="s">
        <v>1213</v>
      </c>
      <c r="D1402" s="4">
        <v>96.7</v>
      </c>
      <c r="E1402" s="4"/>
      <c r="F1402" s="4"/>
      <c r="G1402" s="4"/>
      <c r="H1402" s="4"/>
      <c r="I1402" s="4"/>
      <c r="J1402" s="4">
        <f>52.502+53.802</f>
        <v>106.304</v>
      </c>
    </row>
    <row r="1403" spans="1:10">
      <c r="A1403" s="4"/>
      <c r="B1403" s="4"/>
      <c r="C1403" s="4" t="s">
        <v>1214</v>
      </c>
      <c r="D1403" s="4">
        <v>120.11499999999999</v>
      </c>
      <c r="E1403" s="4"/>
      <c r="F1403" s="4"/>
      <c r="G1403" s="4"/>
      <c r="H1403" s="4"/>
      <c r="I1403" s="4"/>
      <c r="J1403" s="4">
        <f>5.041+5.786+52.817+32.029+35.638</f>
        <v>131.31100000000001</v>
      </c>
    </row>
    <row r="1404" spans="1:10">
      <c r="A1404" s="4"/>
      <c r="B1404" s="4"/>
      <c r="C1404" s="4"/>
      <c r="D1404" s="4">
        <f>SUM(D1402:D1403)</f>
        <v>216.815</v>
      </c>
      <c r="E1404" s="4"/>
      <c r="F1404" s="4"/>
      <c r="G1404" s="4"/>
      <c r="H1404" s="4"/>
      <c r="I1404" s="4"/>
      <c r="J1404" s="4">
        <f>SUM(J1402:J1403)</f>
        <v>237.61500000000001</v>
      </c>
    </row>
    <row r="1405" spans="1:10">
      <c r="A1405" s="4"/>
      <c r="B1405" s="4"/>
      <c r="C1405" s="4"/>
      <c r="D1405" s="4"/>
      <c r="E1405" s="4"/>
      <c r="F1405" s="4"/>
      <c r="G1405" s="4"/>
      <c r="H1405" s="4"/>
      <c r="I1405" s="4"/>
      <c r="J1405" s="4"/>
    </row>
    <row r="1406" spans="1:10">
      <c r="A1406" s="4"/>
      <c r="B1406" s="4"/>
      <c r="C1406" s="4"/>
      <c r="D1406" s="4"/>
      <c r="E1406" s="4"/>
      <c r="F1406" s="4"/>
      <c r="G1406" s="4"/>
      <c r="H1406" s="4"/>
      <c r="I1406" s="4"/>
      <c r="J1406" s="4"/>
    </row>
    <row r="1407" spans="1:10">
      <c r="A1407" s="4"/>
      <c r="B1407" s="4"/>
      <c r="C1407" s="4" t="s">
        <v>1281</v>
      </c>
      <c r="D1407" s="4">
        <f>+D1263+D1275+D1281+D1285+D1290+D1300+D1308+D1314+D1327+D1320+D1335+D1342+D1354+D1360+D1369+D1377+D1381+D1384+D1388+D1391+D1397+D1400+D1404</f>
        <v>4136.3739999999998</v>
      </c>
      <c r="E1407" s="4"/>
      <c r="F1407" s="4"/>
      <c r="G1407" s="4"/>
      <c r="H1407" s="4"/>
      <c r="I1407" s="4"/>
      <c r="J1407" s="4">
        <f>+J1263+J1275+J1281+J1285+J1290+J1300+J1308+J1314+J1327+J1320+J1335+J1342+J1354+J1360+J1369+J1377+J1381+J1384+J1388+J1391+J1397+J1400+J1404</f>
        <v>4114.732</v>
      </c>
    </row>
    <row r="1408" spans="1:10">
      <c r="A1408" s="4"/>
      <c r="B1408" s="4"/>
      <c r="C1408" s="4"/>
      <c r="D1408" s="4"/>
      <c r="E1408" s="4" t="s">
        <v>1311</v>
      </c>
      <c r="F1408" s="4"/>
      <c r="G1408" s="4"/>
      <c r="H1408" s="4"/>
      <c r="I1408" s="4"/>
      <c r="J1408" s="4"/>
    </row>
    <row r="1409" spans="1:10">
      <c r="A1409" s="4" t="s">
        <v>1383</v>
      </c>
      <c r="B1409" s="4"/>
      <c r="C1409" s="4" t="s">
        <v>1214</v>
      </c>
      <c r="D1409" s="4">
        <v>47.28</v>
      </c>
      <c r="E1409" s="4"/>
      <c r="F1409" s="4"/>
      <c r="G1409" s="4"/>
      <c r="H1409" s="4"/>
      <c r="I1409" s="4"/>
      <c r="J1409" s="4">
        <v>40.627000000000002</v>
      </c>
    </row>
    <row r="1410" spans="1:10">
      <c r="A1410" s="4"/>
      <c r="B1410" s="4"/>
      <c r="C1410" s="4" t="s">
        <v>1296</v>
      </c>
      <c r="D1410" s="4">
        <v>67.435000000000002</v>
      </c>
      <c r="E1410" s="4"/>
      <c r="F1410" s="4"/>
      <c r="G1410" s="4"/>
      <c r="H1410" s="4"/>
      <c r="I1410" s="4"/>
      <c r="J1410" s="4">
        <f>16.795+6.002+29.422+14.231</f>
        <v>66.45</v>
      </c>
    </row>
    <row r="1411" spans="1:10">
      <c r="A1411" s="4"/>
      <c r="B1411" s="4"/>
      <c r="C1411" s="4" t="s">
        <v>562</v>
      </c>
      <c r="D1411" s="4">
        <v>86.81</v>
      </c>
      <c r="E1411" s="4"/>
      <c r="F1411" s="4"/>
      <c r="G1411" s="4"/>
      <c r="H1411" s="4"/>
      <c r="I1411" s="4"/>
      <c r="J1411" s="4">
        <f>13.751+14.801+47.355+1.713</f>
        <v>77.61999999999999</v>
      </c>
    </row>
    <row r="1412" spans="1:10">
      <c r="A1412" s="4"/>
      <c r="B1412" s="4"/>
      <c r="C1412" s="4"/>
      <c r="D1412" s="4">
        <f>SUM(D1409:D1411)</f>
        <v>201.52500000000001</v>
      </c>
      <c r="E1412" s="4"/>
      <c r="F1412" s="4"/>
      <c r="G1412" s="4"/>
      <c r="H1412" s="4"/>
      <c r="I1412" s="4"/>
      <c r="J1412" s="4">
        <f>SUM(J1409:J1411)</f>
        <v>184.697</v>
      </c>
    </row>
    <row r="1413" spans="1:10">
      <c r="A1413" s="4"/>
      <c r="B1413" s="4"/>
      <c r="C1413" s="4"/>
      <c r="D1413" s="4"/>
      <c r="E1413" s="4"/>
      <c r="F1413" s="4"/>
      <c r="G1413" s="4"/>
      <c r="H1413" s="4"/>
      <c r="I1413" s="4"/>
      <c r="J1413" s="4"/>
    </row>
    <row r="1414" spans="1:10">
      <c r="A1414" s="4" t="s">
        <v>1387</v>
      </c>
      <c r="B1414" s="4"/>
      <c r="C1414" s="4" t="s">
        <v>562</v>
      </c>
      <c r="D1414" s="4">
        <v>73.555000000000007</v>
      </c>
      <c r="E1414" s="4"/>
      <c r="F1414" s="4"/>
      <c r="G1414" s="4"/>
      <c r="H1414" s="4"/>
      <c r="I1414" s="4"/>
      <c r="J1414" s="4">
        <f>43.909+30.25+2.773</f>
        <v>76.931999999999988</v>
      </c>
    </row>
    <row r="1415" spans="1:10">
      <c r="A1415" s="4"/>
      <c r="B1415" s="4"/>
      <c r="C1415" s="4" t="s">
        <v>561</v>
      </c>
      <c r="D1415" s="4">
        <v>43.05</v>
      </c>
      <c r="E1415" s="4"/>
      <c r="F1415" s="4"/>
      <c r="G1415" s="4"/>
      <c r="H1415" s="4"/>
      <c r="I1415" s="4"/>
      <c r="J1415" s="4">
        <f>16.791+27.58</f>
        <v>44.370999999999995</v>
      </c>
    </row>
    <row r="1416" spans="1:10">
      <c r="A1416" s="4"/>
      <c r="B1416" s="4"/>
      <c r="C1416" s="4" t="s">
        <v>560</v>
      </c>
      <c r="D1416" s="4">
        <v>20.77</v>
      </c>
      <c r="E1416" s="4"/>
      <c r="F1416" s="4"/>
      <c r="G1416" s="4"/>
      <c r="H1416" s="4"/>
      <c r="I1416" s="4"/>
      <c r="J1416" s="4">
        <f>7.764+11.375</f>
        <v>19.138999999999999</v>
      </c>
    </row>
    <row r="1417" spans="1:10">
      <c r="A1417" s="4"/>
      <c r="B1417" s="4"/>
      <c r="C1417" s="4"/>
      <c r="D1417" s="4">
        <f>SUM(D1414:D1416)</f>
        <v>137.375</v>
      </c>
      <c r="E1417" s="4"/>
      <c r="F1417" s="4"/>
      <c r="G1417" s="4"/>
      <c r="H1417" s="4"/>
      <c r="I1417" s="4"/>
      <c r="J1417" s="4">
        <f>SUM(J1414:J1416)</f>
        <v>140.44199999999998</v>
      </c>
    </row>
    <row r="1418" spans="1:10">
      <c r="A1418" s="4"/>
      <c r="B1418" s="4"/>
      <c r="C1418" s="4"/>
      <c r="D1418" s="4"/>
      <c r="E1418" s="4"/>
      <c r="F1418" s="4"/>
      <c r="G1418" s="4"/>
      <c r="H1418" s="4"/>
      <c r="I1418" s="4"/>
      <c r="J1418" s="4"/>
    </row>
    <row r="1419" spans="1:10">
      <c r="A1419" s="4" t="s">
        <v>1390</v>
      </c>
      <c r="B1419" s="4"/>
      <c r="C1419" s="4" t="s">
        <v>1305</v>
      </c>
      <c r="D1419" s="4">
        <v>86.26</v>
      </c>
      <c r="E1419" s="4"/>
      <c r="F1419" s="4"/>
      <c r="G1419" s="4"/>
      <c r="H1419" s="4"/>
      <c r="I1419" s="4"/>
      <c r="J1419" s="4">
        <f>13.895+46.363+26.144</f>
        <v>86.401999999999987</v>
      </c>
    </row>
    <row r="1420" spans="1:10">
      <c r="A1420" s="4"/>
      <c r="B1420" s="4"/>
      <c r="C1420" s="4" t="s">
        <v>1306</v>
      </c>
      <c r="D1420" s="4">
        <v>109.86</v>
      </c>
      <c r="E1420" s="4"/>
      <c r="F1420" s="4"/>
      <c r="G1420" s="4"/>
      <c r="H1420" s="4"/>
      <c r="I1420" s="4"/>
      <c r="J1420" s="4">
        <f>27.354+28.894</f>
        <v>56.247999999999998</v>
      </c>
    </row>
    <row r="1421" spans="1:10">
      <c r="A1421" s="4"/>
      <c r="B1421" s="4"/>
      <c r="C1421" s="4"/>
      <c r="D1421" s="4">
        <f>SUM(D1419:D1420)</f>
        <v>196.12</v>
      </c>
      <c r="E1421" s="4"/>
      <c r="F1421" s="4"/>
      <c r="G1421" s="4"/>
      <c r="H1421" s="4"/>
      <c r="I1421" s="4"/>
      <c r="J1421" s="4">
        <f>SUM(J1419:J1420)</f>
        <v>142.64999999999998</v>
      </c>
    </row>
    <row r="1422" spans="1:10">
      <c r="A1422" s="4"/>
      <c r="B1422" s="4"/>
      <c r="C1422" s="4"/>
      <c r="D1422" s="4"/>
      <c r="E1422" s="4"/>
      <c r="F1422" s="4"/>
      <c r="G1422" s="4"/>
      <c r="H1422" s="4"/>
      <c r="I1422" s="4"/>
      <c r="J1422" s="4"/>
    </row>
    <row r="1423" spans="1:10">
      <c r="A1423" s="4" t="s">
        <v>1391</v>
      </c>
      <c r="B1423" s="4"/>
      <c r="C1423" s="4" t="s">
        <v>1306</v>
      </c>
      <c r="D1423" s="4">
        <v>73.44</v>
      </c>
      <c r="E1423" s="4"/>
      <c r="F1423" s="4"/>
      <c r="G1423" s="4"/>
      <c r="H1423" s="4"/>
      <c r="I1423" s="4"/>
      <c r="J1423" s="4">
        <f>44.849+48.06+8.355+29.138</f>
        <v>130.40199999999999</v>
      </c>
    </row>
    <row r="1424" spans="1:10">
      <c r="A1424" s="4"/>
      <c r="B1424" s="4"/>
      <c r="C1424" s="4" t="s">
        <v>1392</v>
      </c>
      <c r="D1424" s="4">
        <v>4.78</v>
      </c>
      <c r="E1424" s="4"/>
      <c r="F1424" s="4"/>
      <c r="G1424" s="4"/>
      <c r="H1424" s="4"/>
      <c r="I1424" s="4"/>
      <c r="J1424" s="4">
        <v>4.1589999999999998</v>
      </c>
    </row>
    <row r="1425" spans="1:10">
      <c r="A1425" s="4"/>
      <c r="B1425" s="4"/>
      <c r="C1425" s="4" t="s">
        <v>1307</v>
      </c>
      <c r="D1425" s="4">
        <v>68.7</v>
      </c>
      <c r="E1425" s="4"/>
      <c r="F1425" s="4"/>
      <c r="G1425" s="4"/>
      <c r="H1425" s="4"/>
      <c r="I1425" s="4"/>
      <c r="J1425" s="4">
        <f>19.66+8.781</f>
        <v>28.441000000000003</v>
      </c>
    </row>
    <row r="1426" spans="1:10">
      <c r="A1426" s="4"/>
      <c r="B1426" s="4"/>
      <c r="C1426" s="4"/>
      <c r="D1426" s="4">
        <f>SUM(D1423:D1425)</f>
        <v>146.92000000000002</v>
      </c>
      <c r="E1426" s="4"/>
      <c r="F1426" s="4"/>
      <c r="G1426" s="4"/>
      <c r="H1426" s="4"/>
      <c r="I1426" s="4"/>
      <c r="J1426" s="4">
        <f>SUM(J1423:J1425)</f>
        <v>163.00199999999998</v>
      </c>
    </row>
    <row r="1427" spans="1:10">
      <c r="A1427" s="4"/>
      <c r="B1427" s="4"/>
      <c r="C1427" s="4"/>
      <c r="D1427" s="4"/>
      <c r="E1427" s="4"/>
      <c r="F1427" s="4"/>
      <c r="G1427" s="4"/>
      <c r="H1427" s="4"/>
      <c r="I1427" s="4"/>
      <c r="J1427" s="4"/>
    </row>
    <row r="1428" spans="1:10">
      <c r="A1428" s="4" t="s">
        <v>1393</v>
      </c>
      <c r="B1428" s="4"/>
      <c r="C1428" s="4" t="s">
        <v>1307</v>
      </c>
      <c r="D1428" s="4">
        <v>30.1</v>
      </c>
      <c r="E1428" s="4"/>
      <c r="F1428" s="4"/>
      <c r="G1428" s="4"/>
      <c r="H1428" s="4"/>
      <c r="I1428" s="4"/>
      <c r="J1428" s="4">
        <f>51.313+15.829</f>
        <v>67.141999999999996</v>
      </c>
    </row>
    <row r="1429" spans="1:10">
      <c r="A1429" s="4"/>
      <c r="B1429" s="4"/>
      <c r="C1429" s="4" t="s">
        <v>1014</v>
      </c>
      <c r="D1429" s="4">
        <v>6.16</v>
      </c>
      <c r="E1429" s="4"/>
      <c r="F1429" s="4"/>
      <c r="G1429" s="4"/>
      <c r="H1429" s="4"/>
      <c r="I1429" s="4"/>
      <c r="J1429" s="4">
        <f>5.137+0.878</f>
        <v>6.0149999999999997</v>
      </c>
    </row>
    <row r="1430" spans="1:10">
      <c r="A1430" s="4"/>
      <c r="B1430" s="4"/>
      <c r="C1430" s="4" t="s">
        <v>1015</v>
      </c>
      <c r="D1430" s="4">
        <v>79.239999999999995</v>
      </c>
      <c r="E1430" s="4"/>
      <c r="F1430" s="4"/>
      <c r="G1430" s="4"/>
      <c r="H1430" s="4"/>
      <c r="I1430" s="4"/>
      <c r="J1430" s="4">
        <f>29.827+27.308+2.8787+19.657</f>
        <v>79.670700000000011</v>
      </c>
    </row>
    <row r="1431" spans="1:10">
      <c r="A1431" s="4"/>
      <c r="B1431" s="4"/>
      <c r="C1431" s="4" t="s">
        <v>1016</v>
      </c>
      <c r="D1431" s="4">
        <v>49.16</v>
      </c>
      <c r="E1431" s="4"/>
      <c r="F1431" s="4"/>
      <c r="G1431" s="4"/>
      <c r="H1431" s="4"/>
      <c r="I1431" s="4"/>
      <c r="J1431" s="4">
        <f>11.76+30.122+7.413</f>
        <v>49.295000000000002</v>
      </c>
    </row>
    <row r="1432" spans="1:10">
      <c r="A1432" s="4"/>
      <c r="B1432" s="4"/>
      <c r="C1432" s="4"/>
      <c r="D1432" s="4">
        <f>SUM(D1428:D1431)</f>
        <v>164.66</v>
      </c>
      <c r="E1432" s="4"/>
      <c r="F1432" s="4"/>
      <c r="G1432" s="4"/>
      <c r="H1432" s="4"/>
      <c r="I1432" s="4"/>
      <c r="J1432" s="4">
        <f>SUM(J1428:J1431)</f>
        <v>202.12270000000001</v>
      </c>
    </row>
    <row r="1433" spans="1:10">
      <c r="A1433" s="4" t="s">
        <v>1363</v>
      </c>
      <c r="B1433" s="4"/>
      <c r="C1433" s="4"/>
      <c r="D1433" s="4"/>
      <c r="E1433" s="4"/>
      <c r="F1433" s="4"/>
      <c r="G1433" s="4"/>
      <c r="H1433" s="4"/>
      <c r="I1433" s="4"/>
      <c r="J1433" s="4"/>
    </row>
    <row r="1434" spans="1:10">
      <c r="A1434" s="4" t="s">
        <v>1398</v>
      </c>
      <c r="B1434" s="4"/>
      <c r="C1434" s="4" t="s">
        <v>1344</v>
      </c>
      <c r="D1434" s="4">
        <v>147.36000000000001</v>
      </c>
      <c r="E1434" s="4"/>
      <c r="F1434" s="4"/>
      <c r="G1434" s="4"/>
      <c r="H1434" s="4"/>
      <c r="I1434" s="4"/>
      <c r="J1434" s="4">
        <f>39.417+38.532+20.274+44.351</f>
        <v>142.57400000000001</v>
      </c>
    </row>
    <row r="1435" spans="1:10">
      <c r="A1435" s="4"/>
      <c r="B1435" s="4"/>
      <c r="C1435" s="4" t="s">
        <v>1114</v>
      </c>
      <c r="D1435" s="4">
        <v>5.81</v>
      </c>
      <c r="E1435" s="4"/>
      <c r="F1435" s="4"/>
      <c r="G1435" s="4"/>
      <c r="H1435" s="4"/>
      <c r="I1435" s="4"/>
      <c r="J1435" s="4">
        <v>5.7859999999999996</v>
      </c>
    </row>
    <row r="1436" spans="1:10">
      <c r="A1436" s="4"/>
      <c r="B1436" s="4"/>
      <c r="C1436" s="4" t="s">
        <v>1115</v>
      </c>
      <c r="D1436" s="4">
        <v>1.33</v>
      </c>
      <c r="E1436" s="4"/>
      <c r="F1436" s="4"/>
      <c r="G1436" s="4"/>
      <c r="H1436" s="4"/>
      <c r="I1436" s="4"/>
      <c r="J1436" s="4">
        <v>1.1639999999999999</v>
      </c>
    </row>
    <row r="1437" spans="1:10">
      <c r="A1437" s="4"/>
      <c r="B1437" s="4"/>
      <c r="C1437" s="4" t="s">
        <v>1345</v>
      </c>
      <c r="D1437" s="4">
        <f>9.18+19.99</f>
        <v>29.169999999999998</v>
      </c>
      <c r="E1437" s="4"/>
      <c r="F1437" s="4"/>
      <c r="G1437" s="4"/>
      <c r="H1437" s="4"/>
      <c r="I1437" s="4"/>
      <c r="J1437" s="4">
        <v>7.7729999999999997</v>
      </c>
    </row>
    <row r="1438" spans="1:10">
      <c r="A1438" s="4"/>
      <c r="B1438" s="4"/>
      <c r="C1438" s="4"/>
      <c r="D1438" s="4">
        <f>SUM(D1434:D1437)</f>
        <v>183.67000000000002</v>
      </c>
      <c r="E1438" s="4"/>
      <c r="F1438" s="4"/>
      <c r="G1438" s="4"/>
      <c r="H1438" s="4"/>
      <c r="I1438" s="4"/>
      <c r="J1438" s="4">
        <f>SUM(J1434:J1437)</f>
        <v>157.297</v>
      </c>
    </row>
    <row r="1439" spans="1:10">
      <c r="A1439" s="4"/>
      <c r="B1439" s="4"/>
      <c r="C1439" s="4"/>
      <c r="D1439" s="4"/>
      <c r="E1439" s="4"/>
      <c r="F1439" s="4"/>
      <c r="G1439" s="4"/>
      <c r="H1439" s="4"/>
      <c r="I1439" s="4"/>
      <c r="J1439" s="4"/>
    </row>
    <row r="1440" spans="1:10">
      <c r="A1440" s="4" t="s">
        <v>1401</v>
      </c>
      <c r="B1440" s="4"/>
      <c r="C1440" s="4" t="s">
        <v>1345</v>
      </c>
      <c r="D1440" s="4">
        <v>36.655000000000001</v>
      </c>
      <c r="E1440" s="4"/>
      <c r="F1440" s="4"/>
      <c r="G1440" s="4"/>
      <c r="H1440" s="4"/>
      <c r="I1440" s="4"/>
      <c r="J1440" s="4">
        <f>37.081+24.97</f>
        <v>62.051000000000002</v>
      </c>
    </row>
    <row r="1441" spans="1:12">
      <c r="A1441" s="4"/>
      <c r="B1441" s="4"/>
      <c r="C1441" s="4" t="s">
        <v>740</v>
      </c>
      <c r="D1441" s="4">
        <v>36.094999999999999</v>
      </c>
      <c r="E1441" s="4"/>
      <c r="F1441" s="4"/>
      <c r="G1441" s="4"/>
      <c r="H1441" s="4"/>
      <c r="I1441" s="4"/>
      <c r="J1441" s="4">
        <f>14.41+14.376+8.795</f>
        <v>37.581000000000003</v>
      </c>
    </row>
    <row r="1442" spans="1:12">
      <c r="A1442" s="4"/>
      <c r="B1442" s="4"/>
      <c r="C1442" s="4" t="s">
        <v>995</v>
      </c>
      <c r="D1442" s="4">
        <v>58.744999999999997</v>
      </c>
      <c r="E1442" s="4"/>
      <c r="F1442" s="4"/>
      <c r="G1442" s="4"/>
      <c r="H1442" s="4"/>
      <c r="I1442" s="4"/>
      <c r="J1442" s="4">
        <f>2.653+25.372+30.387</f>
        <v>58.411999999999999</v>
      </c>
    </row>
    <row r="1443" spans="1:12">
      <c r="A1443" s="4"/>
      <c r="B1443" s="4"/>
      <c r="C1443" s="4" t="s">
        <v>996</v>
      </c>
      <c r="D1443" s="4">
        <v>38.274999999999999</v>
      </c>
      <c r="E1443" s="4"/>
      <c r="F1443" s="4"/>
      <c r="G1443" s="4"/>
      <c r="H1443" s="4"/>
      <c r="I1443" s="4"/>
      <c r="J1443" s="4">
        <f>14.446+9.416+11.496</f>
        <v>35.358000000000004</v>
      </c>
    </row>
    <row r="1444" spans="1:12">
      <c r="A1444" s="4"/>
      <c r="B1444" s="4"/>
      <c r="C1444" s="4" t="s">
        <v>997</v>
      </c>
      <c r="D1444" s="4">
        <v>11.23</v>
      </c>
      <c r="E1444" s="4"/>
      <c r="F1444" s="4"/>
      <c r="G1444" s="4"/>
      <c r="H1444" s="4"/>
      <c r="I1444" s="4"/>
      <c r="J1444" s="4">
        <f>6.076+5.117</f>
        <v>11.193</v>
      </c>
    </row>
    <row r="1445" spans="1:12">
      <c r="A1445" s="4"/>
      <c r="B1445" s="4"/>
      <c r="C1445" s="4" t="s">
        <v>1335</v>
      </c>
      <c r="D1445" s="4">
        <v>5.7</v>
      </c>
      <c r="E1445" s="4"/>
      <c r="F1445" s="4"/>
      <c r="G1445" s="4"/>
      <c r="H1445" s="4"/>
      <c r="I1445" s="4"/>
      <c r="J1445" s="4">
        <v>5.5090000000000003</v>
      </c>
    </row>
    <row r="1446" spans="1:12">
      <c r="A1446" s="4"/>
      <c r="B1446" s="4"/>
      <c r="C1446" s="4"/>
      <c r="D1446" s="4">
        <f>SUM(D1440:D1445)</f>
        <v>186.7</v>
      </c>
      <c r="E1446" s="4"/>
      <c r="F1446" s="4"/>
      <c r="G1446" s="4"/>
      <c r="H1446" s="4"/>
      <c r="I1446" s="4"/>
      <c r="J1446" s="4">
        <f>SUM(J1440:J1445)</f>
        <v>210.10400000000004</v>
      </c>
    </row>
    <row r="1447" spans="1:12">
      <c r="A1447" s="4"/>
      <c r="B1447" s="4"/>
      <c r="C1447" s="4"/>
      <c r="D1447" s="4"/>
      <c r="E1447" s="4"/>
      <c r="F1447" s="4"/>
      <c r="G1447" s="4"/>
      <c r="H1447" s="4"/>
      <c r="I1447" s="4"/>
      <c r="J1447" s="4"/>
    </row>
    <row r="1448" spans="1:12">
      <c r="A1448" s="4" t="s">
        <v>1403</v>
      </c>
      <c r="B1448" s="4"/>
      <c r="C1448" s="4" t="s">
        <v>711</v>
      </c>
      <c r="D1448" s="4">
        <v>116.53</v>
      </c>
      <c r="E1448" s="4"/>
      <c r="F1448" s="4"/>
      <c r="G1448" s="4"/>
      <c r="H1448" s="4"/>
      <c r="I1448" s="4"/>
      <c r="J1448" s="4">
        <f>18.571+41.123+12.144+38.702</f>
        <v>110.54</v>
      </c>
    </row>
    <row r="1449" spans="1:12">
      <c r="A1449" s="4"/>
      <c r="B1449" s="4"/>
      <c r="C1449" s="4" t="s">
        <v>717</v>
      </c>
      <c r="D1449" s="4">
        <v>8.48</v>
      </c>
      <c r="E1449" s="4"/>
      <c r="F1449" s="4"/>
      <c r="G1449" s="4"/>
      <c r="H1449" s="4"/>
      <c r="I1449" s="4"/>
      <c r="J1449" s="4">
        <f>5.103+3.076</f>
        <v>8.1790000000000003</v>
      </c>
    </row>
    <row r="1450" spans="1:12">
      <c r="A1450" s="4"/>
      <c r="B1450" s="4"/>
      <c r="C1450" s="4" t="s">
        <v>1404</v>
      </c>
      <c r="D1450" s="4">
        <v>13.3</v>
      </c>
      <c r="E1450" s="4"/>
      <c r="F1450" s="4"/>
      <c r="G1450" s="4"/>
      <c r="H1450" s="4"/>
      <c r="I1450" s="4"/>
      <c r="J1450" s="4">
        <f>7.25+9.358</f>
        <v>16.608000000000001</v>
      </c>
    </row>
    <row r="1451" spans="1:12">
      <c r="A1451" s="4"/>
      <c r="B1451" s="4"/>
      <c r="C1451" s="4" t="s">
        <v>1347</v>
      </c>
      <c r="D1451" s="4">
        <f>18.09-6</f>
        <v>12.09</v>
      </c>
      <c r="E1451" s="4"/>
      <c r="F1451" s="4"/>
      <c r="G1451" s="4"/>
      <c r="H1451" s="4"/>
      <c r="I1451" s="4"/>
      <c r="J1451" s="4"/>
    </row>
    <row r="1452" spans="1:12">
      <c r="A1452" s="4"/>
      <c r="B1452" s="4"/>
      <c r="C1452" s="4" t="s">
        <v>1347</v>
      </c>
      <c r="D1452" s="4">
        <f>28.4+20.915+6+5</f>
        <v>60.314999999999998</v>
      </c>
      <c r="E1452" s="4"/>
      <c r="F1452" s="4"/>
      <c r="G1452" s="4"/>
      <c r="H1452" s="4"/>
      <c r="I1452" s="4"/>
      <c r="J1452" s="4">
        <f>29.836+5.608+33.645</f>
        <v>69.088999999999999</v>
      </c>
      <c r="L1452">
        <v>5</v>
      </c>
    </row>
    <row r="1453" spans="1:12">
      <c r="A1453" s="4"/>
      <c r="B1453" s="4"/>
      <c r="C1453" s="4"/>
      <c r="D1453" s="4">
        <f>SUM(D1448:D1452)</f>
        <v>210.715</v>
      </c>
      <c r="E1453" s="4"/>
      <c r="F1453" s="4"/>
      <c r="G1453" s="4"/>
      <c r="H1453" s="4"/>
      <c r="I1453" s="4"/>
      <c r="J1453" s="4">
        <f>SUM(J1448:J1452)</f>
        <v>204.416</v>
      </c>
    </row>
    <row r="1454" spans="1:12">
      <c r="A1454" s="4"/>
      <c r="B1454" s="4"/>
      <c r="C1454" s="4"/>
      <c r="D1454" s="4"/>
      <c r="E1454" s="4"/>
      <c r="F1454" s="4"/>
      <c r="G1454" s="4"/>
      <c r="H1454" s="4"/>
      <c r="I1454" s="4"/>
      <c r="J1454" s="4"/>
    </row>
    <row r="1455" spans="1:12">
      <c r="A1455" s="4" t="s">
        <v>1405</v>
      </c>
      <c r="B1455" s="4"/>
      <c r="C1455" s="4" t="s">
        <v>1406</v>
      </c>
      <c r="D1455" s="4">
        <f>96.045+10</f>
        <v>106.045</v>
      </c>
      <c r="E1455" s="4"/>
      <c r="F1455" s="4"/>
      <c r="G1455" s="4"/>
      <c r="H1455" s="4"/>
      <c r="I1455" s="4"/>
      <c r="J1455" s="4">
        <f>37.763+24.836+37.066+6.346</f>
        <v>106.011</v>
      </c>
      <c r="L1455">
        <v>10</v>
      </c>
    </row>
    <row r="1456" spans="1:12">
      <c r="A1456" s="4"/>
      <c r="B1456" s="4"/>
      <c r="C1456" s="4" t="s">
        <v>1346</v>
      </c>
      <c r="D1456" s="4">
        <v>2.42</v>
      </c>
      <c r="E1456" s="4"/>
      <c r="F1456" s="4"/>
      <c r="G1456" s="4"/>
      <c r="H1456" s="4"/>
      <c r="I1456" s="4"/>
      <c r="J1456" s="4">
        <v>3.1709999999999998</v>
      </c>
    </row>
    <row r="1457" spans="1:10">
      <c r="A1457" s="4"/>
      <c r="B1457" s="4"/>
      <c r="C1457" s="4" t="s">
        <v>1407</v>
      </c>
      <c r="D1457" s="4">
        <v>8.7799999999999994</v>
      </c>
      <c r="E1457" s="4"/>
      <c r="F1457" s="4"/>
      <c r="G1457" s="4"/>
      <c r="H1457" s="4"/>
      <c r="I1457" s="4"/>
      <c r="J1457" s="4">
        <f>2.744+5.808</f>
        <v>8.5519999999999996</v>
      </c>
    </row>
    <row r="1458" spans="1:10">
      <c r="A1458" s="4"/>
      <c r="B1458" s="4"/>
      <c r="C1458" s="4" t="s">
        <v>985</v>
      </c>
      <c r="D1458" s="4">
        <v>24.934999999999999</v>
      </c>
      <c r="E1458" s="4"/>
      <c r="F1458" s="4"/>
      <c r="G1458" s="4"/>
      <c r="H1458" s="4"/>
      <c r="I1458" s="4"/>
      <c r="J1458" s="4">
        <f>11.076+12.988</f>
        <v>24.064</v>
      </c>
    </row>
    <row r="1459" spans="1:10">
      <c r="A1459" s="4"/>
      <c r="B1459" s="4"/>
      <c r="C1459" s="4" t="s">
        <v>1406</v>
      </c>
      <c r="D1459" s="4">
        <v>7.6150000000000002</v>
      </c>
      <c r="E1459" s="4"/>
      <c r="F1459" s="4"/>
      <c r="G1459" s="4"/>
      <c r="H1459" s="4"/>
      <c r="I1459" s="4"/>
      <c r="J1459" s="4">
        <f>4.959+2.575</f>
        <v>7.5339999999999998</v>
      </c>
    </row>
    <row r="1460" spans="1:10">
      <c r="A1460" s="4"/>
      <c r="B1460" s="4"/>
      <c r="C1460" s="4"/>
      <c r="D1460" s="4">
        <f>SUM(D1455:D1459)</f>
        <v>149.79500000000002</v>
      </c>
      <c r="E1460" s="4"/>
      <c r="F1460" s="4"/>
      <c r="G1460" s="4"/>
      <c r="H1460" s="4"/>
      <c r="I1460" s="4"/>
      <c r="J1460" s="4">
        <f>SUM(J1455:J1459)</f>
        <v>149.33199999999999</v>
      </c>
    </row>
    <row r="1461" spans="1:10">
      <c r="A1461" s="4"/>
      <c r="B1461" s="4"/>
      <c r="C1461" s="4"/>
      <c r="D1461" s="4"/>
      <c r="E1461" s="4"/>
      <c r="F1461" s="4"/>
      <c r="G1461" s="4"/>
      <c r="H1461" s="4"/>
      <c r="I1461" s="4"/>
      <c r="J1461" s="4"/>
    </row>
    <row r="1462" spans="1:10">
      <c r="A1462" s="4" t="s">
        <v>1408</v>
      </c>
      <c r="B1462" s="4"/>
      <c r="C1462" s="4" t="s">
        <v>1313</v>
      </c>
      <c r="D1462" s="4">
        <f>8.26+11.36+21.69</f>
        <v>41.31</v>
      </c>
      <c r="E1462" s="4"/>
      <c r="F1462" s="4"/>
      <c r="G1462" s="4"/>
      <c r="H1462" s="4"/>
      <c r="I1462" s="4"/>
      <c r="J1462" s="4">
        <f>24.719+16.453</f>
        <v>41.171999999999997</v>
      </c>
    </row>
    <row r="1463" spans="1:10">
      <c r="A1463" s="4"/>
      <c r="B1463" s="4"/>
      <c r="C1463" s="4" t="s">
        <v>947</v>
      </c>
      <c r="D1463" s="4">
        <v>9.0050000000000008</v>
      </c>
      <c r="E1463" s="4"/>
      <c r="F1463" s="4"/>
      <c r="G1463" s="4"/>
      <c r="H1463" s="4"/>
      <c r="I1463" s="4"/>
      <c r="J1463" s="4">
        <f>2.319+6.665</f>
        <v>8.984</v>
      </c>
    </row>
    <row r="1464" spans="1:10">
      <c r="A1464" s="4"/>
      <c r="B1464" s="4"/>
      <c r="C1464" s="4" t="s">
        <v>935</v>
      </c>
      <c r="D1464" s="4">
        <v>9.4350000000000005</v>
      </c>
      <c r="E1464" s="4"/>
      <c r="F1464" s="4"/>
      <c r="G1464" s="4"/>
      <c r="H1464" s="4"/>
      <c r="I1464" s="4"/>
      <c r="J1464" s="4">
        <f>5.503+3.94</f>
        <v>9.4429999999999996</v>
      </c>
    </row>
    <row r="1465" spans="1:10">
      <c r="A1465" s="4"/>
      <c r="B1465" s="4"/>
      <c r="C1465" s="4" t="s">
        <v>1315</v>
      </c>
      <c r="D1465" s="4">
        <v>13.05</v>
      </c>
      <c r="E1465" s="4"/>
      <c r="F1465" s="4"/>
      <c r="G1465" s="4"/>
      <c r="H1465" s="4"/>
      <c r="I1465" s="4"/>
      <c r="J1465" s="4">
        <f>7.295+5.311</f>
        <v>12.606</v>
      </c>
    </row>
    <row r="1466" spans="1:10">
      <c r="A1466" s="4"/>
      <c r="B1466" s="4"/>
      <c r="C1466" s="4" t="s">
        <v>1314</v>
      </c>
      <c r="D1466" s="4">
        <v>111.19</v>
      </c>
      <c r="E1466" s="4"/>
      <c r="F1466" s="4"/>
      <c r="G1466" s="4"/>
      <c r="H1466" s="4"/>
      <c r="I1466" s="4"/>
      <c r="J1466" s="4">
        <f>10.741+49.248+24.693</f>
        <v>84.682000000000002</v>
      </c>
    </row>
    <row r="1467" spans="1:10">
      <c r="A1467" s="4"/>
      <c r="B1467" s="4"/>
      <c r="C1467" s="4"/>
      <c r="D1467" s="4">
        <f>SUM(D1462:D1466)</f>
        <v>183.99</v>
      </c>
      <c r="E1467" s="4"/>
      <c r="F1467" s="4"/>
      <c r="G1467" s="4"/>
      <c r="H1467" s="4"/>
      <c r="I1467" s="4"/>
      <c r="J1467" s="4">
        <f>SUM(J1462:J1466)</f>
        <v>156.887</v>
      </c>
    </row>
    <row r="1468" spans="1:10">
      <c r="A1468" s="4"/>
      <c r="B1468" s="4"/>
      <c r="C1468" s="4"/>
      <c r="D1468" s="4"/>
      <c r="E1468" s="4"/>
      <c r="F1468" s="4"/>
      <c r="G1468" s="4"/>
      <c r="H1468" s="4"/>
      <c r="I1468" s="4"/>
      <c r="J1468" s="4"/>
    </row>
    <row r="1469" spans="1:10">
      <c r="A1469" s="4" t="s">
        <v>1410</v>
      </c>
      <c r="B1469" s="4"/>
      <c r="C1469" s="4" t="s">
        <v>1314</v>
      </c>
      <c r="D1469" s="4">
        <v>58.475000000000001</v>
      </c>
      <c r="E1469" s="4"/>
      <c r="F1469" s="4"/>
      <c r="G1469" s="4"/>
      <c r="H1469" s="4"/>
      <c r="I1469" s="4"/>
      <c r="J1469" s="4">
        <f>48.92+32.915</f>
        <v>81.835000000000008</v>
      </c>
    </row>
    <row r="1470" spans="1:10">
      <c r="A1470" s="4"/>
      <c r="B1470" s="4"/>
      <c r="C1470" s="4" t="s">
        <v>498</v>
      </c>
      <c r="D1470" s="4">
        <v>2.57</v>
      </c>
      <c r="E1470" s="4"/>
      <c r="F1470" s="4"/>
      <c r="G1470" s="4"/>
      <c r="H1470" s="4"/>
      <c r="I1470" s="4"/>
      <c r="J1470" s="4">
        <v>2.2869999999999999</v>
      </c>
    </row>
    <row r="1471" spans="1:10">
      <c r="A1471" s="4"/>
      <c r="B1471" s="4"/>
      <c r="C1471" s="4" t="s">
        <v>1319</v>
      </c>
      <c r="D1471" s="4">
        <v>96.355000000000004</v>
      </c>
      <c r="E1471" s="4"/>
      <c r="F1471" s="4"/>
      <c r="G1471" s="4"/>
      <c r="H1471" s="4"/>
      <c r="I1471" s="4"/>
      <c r="J1471" s="4">
        <f>12.664+21.108+28.724+14.571+23.7</f>
        <v>100.767</v>
      </c>
    </row>
    <row r="1472" spans="1:10">
      <c r="A1472" s="4"/>
      <c r="B1472" s="4"/>
      <c r="C1472" s="4" t="s">
        <v>946</v>
      </c>
      <c r="D1472" s="4">
        <v>46.57</v>
      </c>
      <c r="E1472" s="4"/>
      <c r="F1472" s="4"/>
      <c r="G1472" s="4"/>
      <c r="H1472" s="4"/>
      <c r="I1472" s="4"/>
      <c r="J1472" s="4">
        <f>17.92+11.99+17.12</f>
        <v>47.03</v>
      </c>
    </row>
    <row r="1473" spans="1:10">
      <c r="A1473" s="4"/>
      <c r="B1473" s="4"/>
      <c r="C1473" s="4"/>
      <c r="D1473" s="4">
        <f>SUM(D1469:D1472)</f>
        <v>203.97</v>
      </c>
      <c r="E1473" s="4"/>
      <c r="F1473" s="4"/>
      <c r="G1473" s="4"/>
      <c r="H1473" s="4"/>
      <c r="I1473" s="4"/>
      <c r="J1473" s="4">
        <f>SUM(J1469:J1472)</f>
        <v>231.91900000000001</v>
      </c>
    </row>
    <row r="1474" spans="1:10">
      <c r="A1474" s="4" t="s">
        <v>1416</v>
      </c>
      <c r="B1474" s="4"/>
      <c r="C1474" s="4"/>
      <c r="D1474" s="4"/>
      <c r="E1474" s="4"/>
      <c r="F1474" s="4"/>
      <c r="G1474" s="4"/>
      <c r="H1474" s="4"/>
      <c r="I1474" s="4"/>
      <c r="J1474" s="4"/>
    </row>
    <row r="1475" spans="1:10">
      <c r="A1475" s="4" t="s">
        <v>1411</v>
      </c>
      <c r="B1475" s="4"/>
      <c r="C1475" s="4" t="s">
        <v>936</v>
      </c>
      <c r="D1475" s="4">
        <v>23.524999999999999</v>
      </c>
      <c r="E1475" s="4"/>
      <c r="F1475" s="4"/>
      <c r="G1475" s="4"/>
      <c r="H1475" s="4"/>
      <c r="I1475" s="4"/>
      <c r="J1475" s="4">
        <f>14.288+10.054</f>
        <v>24.341999999999999</v>
      </c>
    </row>
    <row r="1476" spans="1:10">
      <c r="A1476" s="4"/>
      <c r="B1476" s="4"/>
      <c r="C1476" s="4" t="s">
        <v>1320</v>
      </c>
      <c r="D1476" s="4">
        <v>56.44</v>
      </c>
      <c r="E1476" s="4"/>
      <c r="F1476" s="4"/>
      <c r="G1476" s="4"/>
      <c r="H1476" s="4"/>
      <c r="I1476" s="4"/>
      <c r="J1476" s="4">
        <f>26.395+29.73</f>
        <v>56.125</v>
      </c>
    </row>
    <row r="1477" spans="1:10">
      <c r="A1477" s="4"/>
      <c r="B1477" s="4"/>
      <c r="C1477" s="4" t="s">
        <v>1321</v>
      </c>
      <c r="D1477" s="4">
        <v>25.82</v>
      </c>
      <c r="E1477" s="4"/>
      <c r="F1477" s="4"/>
      <c r="G1477" s="4"/>
      <c r="H1477" s="4"/>
      <c r="I1477" s="4"/>
      <c r="J1477" s="4">
        <f>2.515+10.201+13.409</f>
        <v>26.125</v>
      </c>
    </row>
    <row r="1478" spans="1:10">
      <c r="A1478" s="4"/>
      <c r="B1478" s="4"/>
      <c r="C1478" s="4" t="s">
        <v>945</v>
      </c>
      <c r="D1478" s="4">
        <v>37.965000000000003</v>
      </c>
      <c r="E1478" s="4"/>
      <c r="F1478" s="4"/>
      <c r="G1478" s="4"/>
      <c r="H1478" s="4"/>
      <c r="I1478" s="4"/>
      <c r="J1478" s="4">
        <f>14.832+22.255</f>
        <v>37.087000000000003</v>
      </c>
    </row>
    <row r="1479" spans="1:10">
      <c r="A1479" s="4"/>
      <c r="B1479" s="4"/>
      <c r="C1479" s="4" t="s">
        <v>944</v>
      </c>
      <c r="D1479" s="4">
        <v>25.495000000000001</v>
      </c>
      <c r="E1479" s="4"/>
      <c r="F1479" s="4"/>
      <c r="G1479" s="4"/>
      <c r="H1479" s="4"/>
      <c r="I1479" s="4"/>
      <c r="J1479" s="4">
        <f>7.77+17.671</f>
        <v>25.440999999999999</v>
      </c>
    </row>
    <row r="1480" spans="1:10">
      <c r="A1480" s="4"/>
      <c r="B1480" s="4"/>
      <c r="C1480" s="4" t="s">
        <v>943</v>
      </c>
      <c r="D1480" s="4">
        <v>11.51</v>
      </c>
      <c r="E1480" s="4"/>
      <c r="F1480" s="4"/>
      <c r="G1480" s="4"/>
      <c r="H1480" s="4"/>
      <c r="I1480" s="4"/>
      <c r="J1480" s="4">
        <f>5.866+5.395</f>
        <v>11.260999999999999</v>
      </c>
    </row>
    <row r="1481" spans="1:10">
      <c r="A1481" s="4"/>
      <c r="B1481" s="4"/>
      <c r="C1481" s="4" t="s">
        <v>940</v>
      </c>
      <c r="D1481" s="4">
        <v>23.74</v>
      </c>
      <c r="E1481" s="4"/>
      <c r="F1481" s="4"/>
      <c r="G1481" s="4"/>
      <c r="H1481" s="4"/>
      <c r="I1481" s="4"/>
      <c r="J1481" s="4">
        <f>9.939+13.226</f>
        <v>23.164999999999999</v>
      </c>
    </row>
    <row r="1482" spans="1:10">
      <c r="A1482" s="4"/>
      <c r="B1482" s="4"/>
      <c r="C1482" s="4"/>
      <c r="D1482" s="4">
        <f>SUM(D1475:D1481)</f>
        <v>204.495</v>
      </c>
      <c r="E1482" s="4"/>
      <c r="F1482" s="4"/>
      <c r="G1482" s="4"/>
      <c r="H1482" s="4"/>
      <c r="I1482" s="4"/>
      <c r="J1482" s="4">
        <f>SUM(J1475:J1481)</f>
        <v>203.54599999999999</v>
      </c>
    </row>
    <row r="1483" spans="1:10">
      <c r="A1483" s="4"/>
      <c r="B1483" s="4"/>
      <c r="C1483" s="4"/>
      <c r="D1483" s="4"/>
      <c r="E1483" s="4"/>
      <c r="F1483" s="4"/>
      <c r="G1483" s="4"/>
      <c r="H1483" s="4"/>
      <c r="I1483" s="4"/>
      <c r="J1483" s="4"/>
    </row>
    <row r="1484" spans="1:10">
      <c r="A1484" s="4" t="s">
        <v>1375</v>
      </c>
      <c r="B1484" s="4"/>
      <c r="C1484" s="4" t="s">
        <v>1327</v>
      </c>
      <c r="D1484" s="4">
        <v>40.215000000000003</v>
      </c>
      <c r="E1484" s="4"/>
      <c r="F1484" s="4"/>
      <c r="G1484" s="4"/>
      <c r="H1484" s="4"/>
      <c r="I1484" s="4"/>
      <c r="J1484" s="4">
        <f>17.979+5.878+5.678+9.68</f>
        <v>39.215000000000003</v>
      </c>
    </row>
    <row r="1485" spans="1:10">
      <c r="A1485" s="4"/>
      <c r="B1485" s="4"/>
      <c r="C1485" s="4" t="s">
        <v>1433</v>
      </c>
      <c r="D1485" s="4">
        <v>6.08</v>
      </c>
      <c r="E1485" s="4"/>
      <c r="F1485" s="4"/>
      <c r="G1485" s="4"/>
      <c r="H1485" s="4"/>
      <c r="I1485" s="4"/>
      <c r="J1485" s="4">
        <v>6.0339999999999998</v>
      </c>
    </row>
    <row r="1486" spans="1:10">
      <c r="A1486" s="4"/>
      <c r="B1486" s="4"/>
      <c r="C1486" s="4" t="s">
        <v>1434</v>
      </c>
      <c r="D1486" s="4">
        <v>7.2149999999999999</v>
      </c>
      <c r="E1486" s="4"/>
      <c r="F1486" s="4"/>
      <c r="G1486" s="4"/>
      <c r="H1486" s="4"/>
      <c r="I1486" s="4"/>
      <c r="J1486" s="4">
        <v>7.4560000000000004</v>
      </c>
    </row>
    <row r="1487" spans="1:10">
      <c r="A1487" s="4"/>
      <c r="B1487" s="4"/>
      <c r="C1487" s="4" t="s">
        <v>1331</v>
      </c>
      <c r="D1487" s="4">
        <v>121.565</v>
      </c>
      <c r="E1487" s="4"/>
      <c r="F1487" s="4"/>
      <c r="G1487" s="4"/>
      <c r="H1487" s="4"/>
      <c r="I1487" s="4"/>
      <c r="J1487" s="4">
        <f>20.518+47.864+23.68+32.148</f>
        <v>124.21000000000001</v>
      </c>
    </row>
    <row r="1488" spans="1:10">
      <c r="A1488" s="4"/>
      <c r="B1488" s="4"/>
      <c r="C1488" s="4" t="s">
        <v>973</v>
      </c>
      <c r="D1488" s="4">
        <v>24.24</v>
      </c>
      <c r="E1488" s="4"/>
      <c r="F1488" s="4"/>
      <c r="G1488" s="4"/>
      <c r="H1488" s="4"/>
      <c r="I1488" s="4"/>
      <c r="J1488" s="4">
        <v>24.233000000000001</v>
      </c>
    </row>
    <row r="1489" spans="1:10">
      <c r="A1489" s="4"/>
      <c r="B1489" s="4"/>
      <c r="C1489" s="4"/>
      <c r="D1489" s="4">
        <f>SUM(D1484:D1488)</f>
        <v>199.315</v>
      </c>
      <c r="E1489" s="4"/>
      <c r="F1489" s="4"/>
      <c r="G1489" s="4"/>
      <c r="H1489" s="4"/>
      <c r="I1489" s="4"/>
      <c r="J1489" s="4">
        <f>SUM(J1484:J1488)</f>
        <v>201.14800000000002</v>
      </c>
    </row>
    <row r="1490" spans="1:10">
      <c r="A1490" s="4"/>
      <c r="B1490" s="4"/>
      <c r="C1490" s="4"/>
      <c r="D1490" s="4"/>
      <c r="E1490" s="4"/>
      <c r="F1490" s="4"/>
      <c r="G1490" s="4"/>
      <c r="H1490" s="4"/>
      <c r="I1490" s="4"/>
      <c r="J1490" s="4"/>
    </row>
    <row r="1491" spans="1:10">
      <c r="A1491" s="4" t="s">
        <v>1396</v>
      </c>
      <c r="B1491" s="4"/>
      <c r="C1491" s="34" t="s">
        <v>1452</v>
      </c>
      <c r="D1491" s="4">
        <v>52.91</v>
      </c>
      <c r="E1491" s="4"/>
      <c r="F1491" s="4"/>
      <c r="G1491" s="4"/>
      <c r="H1491" s="4"/>
      <c r="I1491" s="4"/>
      <c r="J1491" s="4">
        <f>41.105+14.511</f>
        <v>55.616</v>
      </c>
    </row>
    <row r="1492" spans="1:10">
      <c r="A1492" s="4"/>
      <c r="B1492" s="4"/>
      <c r="C1492" s="34" t="s">
        <v>1453</v>
      </c>
      <c r="D1492" s="4">
        <v>42.924999999999997</v>
      </c>
      <c r="E1492" s="4"/>
      <c r="F1492" s="4"/>
      <c r="G1492" s="4"/>
      <c r="H1492" s="4"/>
      <c r="I1492" s="4"/>
      <c r="J1492" s="4">
        <f>22.148+8.445+11.923</f>
        <v>42.515999999999998</v>
      </c>
    </row>
    <row r="1493" spans="1:10">
      <c r="A1493" s="4"/>
      <c r="B1493" s="4"/>
      <c r="C1493" s="34" t="s">
        <v>1358</v>
      </c>
      <c r="D1493" s="4">
        <v>11.715</v>
      </c>
      <c r="E1493" s="4"/>
      <c r="F1493" s="4"/>
      <c r="G1493" s="4"/>
      <c r="H1493" s="4"/>
      <c r="I1493" s="4"/>
      <c r="J1493" s="4">
        <f>3.907+7.833</f>
        <v>11.74</v>
      </c>
    </row>
    <row r="1494" spans="1:10">
      <c r="A1494" s="4"/>
      <c r="B1494" s="4"/>
      <c r="C1494" s="34" t="s">
        <v>1454</v>
      </c>
      <c r="D1494" s="4">
        <v>3.9249999999999998</v>
      </c>
      <c r="E1494" s="4"/>
      <c r="F1494" s="4"/>
      <c r="G1494" s="4"/>
      <c r="H1494" s="4"/>
      <c r="I1494" s="4"/>
      <c r="J1494" s="4">
        <v>3.9060000000000001</v>
      </c>
    </row>
    <row r="1495" spans="1:10">
      <c r="A1495" s="4"/>
      <c r="B1495" s="4"/>
      <c r="C1495" s="34" t="s">
        <v>896</v>
      </c>
      <c r="D1495" s="4">
        <v>36.585000000000001</v>
      </c>
      <c r="E1495" s="4"/>
      <c r="F1495" s="4"/>
      <c r="G1495" s="4"/>
      <c r="H1495" s="4"/>
      <c r="I1495" s="4"/>
      <c r="J1495" s="4">
        <f>16.761+19.193</f>
        <v>35.954000000000001</v>
      </c>
    </row>
    <row r="1496" spans="1:10">
      <c r="A1496" s="4"/>
      <c r="B1496" s="4"/>
      <c r="C1496" s="34" t="s">
        <v>895</v>
      </c>
      <c r="D1496" s="4">
        <v>40.155000000000001</v>
      </c>
      <c r="E1496" s="4"/>
      <c r="F1496" s="4"/>
      <c r="G1496" s="4"/>
      <c r="H1496" s="4"/>
      <c r="I1496" s="4"/>
      <c r="J1496" s="4">
        <f>19.461+20.835</f>
        <v>40.295999999999999</v>
      </c>
    </row>
    <row r="1497" spans="1:10">
      <c r="A1497" s="4"/>
      <c r="B1497" s="4"/>
      <c r="C1497" s="34" t="s">
        <v>894</v>
      </c>
      <c r="D1497" s="4">
        <v>22.475000000000001</v>
      </c>
      <c r="E1497" s="4"/>
      <c r="F1497" s="4"/>
      <c r="G1497" s="4"/>
      <c r="H1497" s="4"/>
      <c r="I1497" s="4"/>
      <c r="J1497" s="4">
        <f>3.102+8.125+10.96</f>
        <v>22.187000000000001</v>
      </c>
    </row>
    <row r="1498" spans="1:10">
      <c r="A1498" s="4"/>
      <c r="B1498" s="4"/>
      <c r="C1498" s="4"/>
      <c r="D1498" s="3">
        <f>SUM(D1491:D1497)</f>
        <v>210.69</v>
      </c>
      <c r="E1498" s="4"/>
      <c r="F1498" s="4"/>
      <c r="G1498" s="4"/>
      <c r="H1498" s="4"/>
      <c r="I1498" s="4"/>
      <c r="J1498" s="4">
        <f>SUM(J1491:J1497)</f>
        <v>212.215</v>
      </c>
    </row>
    <row r="1499" spans="1:10">
      <c r="A1499" s="4"/>
      <c r="B1499" s="4"/>
      <c r="C1499" s="4"/>
      <c r="D1499" s="4"/>
      <c r="E1499" s="4"/>
      <c r="F1499" s="4"/>
      <c r="G1499" s="4"/>
      <c r="H1499" s="4"/>
      <c r="I1499" s="4"/>
      <c r="J1499" s="4"/>
    </row>
    <row r="1500" spans="1:10">
      <c r="A1500" s="4" t="s">
        <v>1457</v>
      </c>
      <c r="B1500" s="35"/>
      <c r="C1500" s="34" t="s">
        <v>562</v>
      </c>
      <c r="D1500" s="4">
        <v>73.459999999999994</v>
      </c>
      <c r="E1500" s="4"/>
      <c r="F1500" s="4"/>
      <c r="G1500" s="4"/>
      <c r="H1500" s="4"/>
      <c r="I1500" s="4"/>
      <c r="J1500" s="4">
        <f>38.931+34.407</f>
        <v>73.337999999999994</v>
      </c>
    </row>
    <row r="1501" spans="1:10">
      <c r="A1501" s="4"/>
      <c r="B1501" s="35"/>
      <c r="C1501" s="34" t="s">
        <v>561</v>
      </c>
      <c r="D1501" s="4">
        <v>7</v>
      </c>
      <c r="E1501" s="4"/>
      <c r="F1501" s="4"/>
      <c r="G1501" s="4"/>
      <c r="H1501" s="4"/>
      <c r="I1501" s="4"/>
      <c r="J1501" s="4">
        <f>3.877+3.154</f>
        <v>7.0309999999999997</v>
      </c>
    </row>
    <row r="1502" spans="1:10">
      <c r="A1502" s="4"/>
      <c r="B1502" s="35"/>
      <c r="C1502" s="34" t="s">
        <v>879</v>
      </c>
      <c r="D1502" s="4">
        <v>45.09</v>
      </c>
      <c r="E1502" s="4"/>
      <c r="F1502" s="4"/>
      <c r="G1502" s="4"/>
      <c r="H1502" s="4"/>
      <c r="I1502" s="4"/>
      <c r="J1502" s="4">
        <f>2.791+16.245+15.906+11.833</f>
        <v>46.774999999999999</v>
      </c>
    </row>
    <row r="1503" spans="1:10">
      <c r="A1503" s="4"/>
      <c r="B1503" s="35"/>
      <c r="C1503" s="34" t="s">
        <v>1296</v>
      </c>
      <c r="D1503" s="4">
        <v>60.52</v>
      </c>
      <c r="E1503" s="4"/>
      <c r="F1503" s="4"/>
      <c r="G1503" s="4"/>
      <c r="H1503" s="4"/>
      <c r="I1503" s="4"/>
      <c r="J1503" s="4">
        <f>29.576+30.958</f>
        <v>60.533999999999999</v>
      </c>
    </row>
    <row r="1504" spans="1:10">
      <c r="A1504" s="4"/>
      <c r="B1504" s="35"/>
      <c r="C1504" s="34" t="s">
        <v>1214</v>
      </c>
      <c r="D1504" s="4">
        <v>18.91</v>
      </c>
      <c r="E1504" s="4"/>
      <c r="F1504" s="4"/>
      <c r="G1504" s="4"/>
      <c r="H1504" s="4"/>
      <c r="I1504" s="4"/>
      <c r="J1504" s="4">
        <f>7.113+3.615+7.757</f>
        <v>18.484999999999999</v>
      </c>
    </row>
    <row r="1505" spans="1:10">
      <c r="A1505" s="4"/>
      <c r="B1505" s="4"/>
      <c r="C1505" s="4"/>
      <c r="D1505" s="3">
        <f>SUM(D1500:D1504)</f>
        <v>204.98</v>
      </c>
      <c r="E1505" s="4"/>
      <c r="F1505" s="4"/>
      <c r="G1505" s="4"/>
      <c r="H1505" s="4"/>
      <c r="I1505" s="4"/>
      <c r="J1505" s="4">
        <f>SUM(J1500:J1504)</f>
        <v>206.16300000000001</v>
      </c>
    </row>
    <row r="1506" spans="1:10">
      <c r="A1506" s="4"/>
      <c r="B1506" s="4"/>
      <c r="C1506" s="4"/>
      <c r="D1506" s="4"/>
      <c r="E1506" s="4"/>
      <c r="F1506" s="4"/>
      <c r="G1506" s="4"/>
      <c r="H1506" s="4"/>
      <c r="I1506" s="4"/>
      <c r="J1506" s="4"/>
    </row>
    <row r="1507" spans="1:10" s="5" customFormat="1">
      <c r="A1507" s="32" t="s">
        <v>1462</v>
      </c>
      <c r="B1507" s="35"/>
      <c r="C1507" s="36" t="s">
        <v>1213</v>
      </c>
      <c r="D1507" s="17">
        <v>11.32</v>
      </c>
      <c r="E1507" s="14"/>
      <c r="F1507" s="14"/>
      <c r="G1507" s="14"/>
      <c r="H1507" s="14"/>
      <c r="I1507" s="14"/>
      <c r="J1507" s="14">
        <f>6.456+4.439</f>
        <v>10.895</v>
      </c>
    </row>
    <row r="1508" spans="1:10" s="5" customFormat="1">
      <c r="A1508" s="14"/>
      <c r="B1508" s="35"/>
      <c r="C1508" s="36" t="s">
        <v>876</v>
      </c>
      <c r="D1508" s="17">
        <v>37.03</v>
      </c>
      <c r="E1508" s="14"/>
      <c r="F1508" s="14"/>
      <c r="G1508" s="14"/>
      <c r="H1508" s="14"/>
      <c r="I1508" s="14"/>
      <c r="J1508" s="14">
        <v>36.173000000000002</v>
      </c>
    </row>
    <row r="1509" spans="1:10" s="5" customFormat="1">
      <c r="A1509" s="14"/>
      <c r="B1509" s="35"/>
      <c r="C1509" s="36" t="s">
        <v>877</v>
      </c>
      <c r="D1509" s="17">
        <v>141.53</v>
      </c>
      <c r="E1509" s="14"/>
      <c r="F1509" s="14"/>
      <c r="G1509" s="14"/>
      <c r="H1509" s="14"/>
      <c r="I1509" s="14"/>
      <c r="J1509" s="14">
        <f>21.999+20.806+55.694+49.055</f>
        <v>147.554</v>
      </c>
    </row>
    <row r="1510" spans="1:10" s="5" customFormat="1">
      <c r="A1510" s="14"/>
      <c r="B1510" s="35"/>
      <c r="C1510" s="36" t="s">
        <v>878</v>
      </c>
      <c r="D1510" s="17">
        <v>15.13</v>
      </c>
      <c r="E1510" s="14"/>
      <c r="F1510" s="14"/>
      <c r="G1510" s="14"/>
      <c r="H1510" s="14"/>
      <c r="I1510" s="14"/>
      <c r="J1510" s="14">
        <v>7.24</v>
      </c>
    </row>
    <row r="1511" spans="1:10" s="5" customFormat="1">
      <c r="A1511" s="14"/>
      <c r="B1511" s="14"/>
      <c r="C1511" s="14"/>
      <c r="D1511" s="33">
        <f>SUM(D1507:D1510)</f>
        <v>205.01</v>
      </c>
      <c r="E1511" s="14"/>
      <c r="F1511" s="14"/>
      <c r="G1511" s="14"/>
      <c r="H1511" s="14"/>
      <c r="I1511" s="14"/>
      <c r="J1511" s="33">
        <f>SUM(J1507:J1510)</f>
        <v>201.86200000000002</v>
      </c>
    </row>
    <row r="1512" spans="1:10" s="5" customFormat="1">
      <c r="A1512" s="14"/>
      <c r="B1512" s="14"/>
      <c r="C1512" s="14"/>
      <c r="D1512" s="14"/>
      <c r="E1512" s="14"/>
      <c r="F1512" s="14"/>
      <c r="G1512" s="14"/>
      <c r="H1512" s="14"/>
      <c r="I1512" s="14"/>
      <c r="J1512" s="14"/>
    </row>
    <row r="1513" spans="1:10" s="29" customFormat="1">
      <c r="A1513" s="53" t="s">
        <v>1464</v>
      </c>
      <c r="B1513" s="35"/>
      <c r="C1513" s="36" t="s">
        <v>878</v>
      </c>
      <c r="D1513" s="17">
        <v>193.6</v>
      </c>
      <c r="E1513" s="31"/>
      <c r="F1513" s="31"/>
      <c r="G1513" s="31"/>
      <c r="H1513" s="31"/>
      <c r="I1513" s="31"/>
      <c r="J1513" s="31">
        <f>51.035+60.291+47.318+20.613+23.997</f>
        <v>203.25400000000002</v>
      </c>
    </row>
    <row r="1514" spans="1:10" s="29" customFormat="1">
      <c r="A1514" s="31"/>
      <c r="B1514" s="31"/>
      <c r="C1514" s="31"/>
      <c r="D1514" s="33">
        <f>SUM(D1513)</f>
        <v>193.6</v>
      </c>
      <c r="E1514" s="31"/>
      <c r="F1514" s="31"/>
      <c r="G1514" s="31"/>
      <c r="H1514" s="31"/>
      <c r="I1514" s="31"/>
      <c r="J1514" s="44">
        <f>SUM(J1513)</f>
        <v>203.25400000000002</v>
      </c>
    </row>
    <row r="1515" spans="1:10" s="29" customFormat="1">
      <c r="A1515" s="55" t="s">
        <v>1397</v>
      </c>
      <c r="B1515" s="55"/>
      <c r="C1515" s="31"/>
      <c r="D1515" s="31"/>
      <c r="E1515" s="31"/>
      <c r="F1515" s="31"/>
      <c r="G1515" s="31"/>
      <c r="H1515" s="31"/>
      <c r="I1515" s="31"/>
      <c r="J1515" s="31"/>
    </row>
    <row r="1516" spans="1:10" s="57" customFormat="1">
      <c r="A1516" s="67" t="s">
        <v>1465</v>
      </c>
      <c r="B1516" s="79"/>
      <c r="C1516" s="68" t="s">
        <v>622</v>
      </c>
      <c r="D1516" s="59">
        <v>54.935000000000002</v>
      </c>
      <c r="E1516" s="59"/>
      <c r="F1516" s="59"/>
      <c r="G1516" s="59"/>
      <c r="H1516" s="59"/>
      <c r="I1516" s="59"/>
      <c r="J1516" s="59">
        <f>27.683+26.588</f>
        <v>54.271000000000001</v>
      </c>
    </row>
    <row r="1517" spans="1:10" s="57" customFormat="1">
      <c r="A1517" s="58"/>
      <c r="B1517" s="79"/>
      <c r="C1517" s="68" t="s">
        <v>618</v>
      </c>
      <c r="D1517" s="59">
        <v>167.02</v>
      </c>
      <c r="E1517" s="59"/>
      <c r="F1517" s="59"/>
      <c r="G1517" s="59"/>
      <c r="H1517" s="59"/>
      <c r="I1517" s="59"/>
      <c r="J1517" s="59">
        <f>46.972+83.831+12.188+16.35+6.792</f>
        <v>166.13299999999998</v>
      </c>
    </row>
    <row r="1518" spans="1:10" s="57" customFormat="1">
      <c r="A1518" s="58"/>
      <c r="B1518" s="58"/>
      <c r="C1518" s="59"/>
      <c r="D1518" s="58">
        <f>SUM(D1516:D1517)</f>
        <v>221.95500000000001</v>
      </c>
      <c r="E1518" s="59"/>
      <c r="F1518" s="59"/>
      <c r="G1518" s="59"/>
      <c r="H1518" s="59"/>
      <c r="I1518" s="59"/>
      <c r="J1518" s="58">
        <f>SUM(J1516:J1517)</f>
        <v>220.404</v>
      </c>
    </row>
    <row r="1519" spans="1:10" s="57" customFormat="1">
      <c r="A1519" s="58"/>
      <c r="B1519" s="58"/>
      <c r="C1519" s="59"/>
      <c r="D1519" s="59"/>
      <c r="E1519" s="59"/>
      <c r="F1519" s="59"/>
      <c r="G1519" s="59"/>
      <c r="H1519" s="59"/>
      <c r="I1519" s="59"/>
      <c r="J1519" s="59"/>
    </row>
    <row r="1520" spans="1:10" s="57" customFormat="1">
      <c r="A1520" s="74" t="s">
        <v>1466</v>
      </c>
      <c r="B1520" s="80"/>
      <c r="C1520" s="76" t="s">
        <v>1326</v>
      </c>
      <c r="D1520" s="18">
        <v>40.765000000000001</v>
      </c>
      <c r="E1520" s="59"/>
      <c r="F1520" s="59"/>
      <c r="G1520" s="59"/>
      <c r="H1520" s="59"/>
      <c r="I1520" s="59"/>
      <c r="J1520" s="59">
        <v>40.710999999999999</v>
      </c>
    </row>
    <row r="1521" spans="1:10" s="57" customFormat="1">
      <c r="A1521" s="58"/>
      <c r="B1521" s="80"/>
      <c r="C1521" s="76" t="s">
        <v>965</v>
      </c>
      <c r="D1521" s="18">
        <v>29.03</v>
      </c>
      <c r="E1521" s="59"/>
      <c r="F1521" s="59"/>
      <c r="G1521" s="59"/>
      <c r="H1521" s="59"/>
      <c r="I1521" s="59"/>
      <c r="J1521" s="59">
        <f>16.723+12.04</f>
        <v>28.762999999999998</v>
      </c>
    </row>
    <row r="1522" spans="1:10" s="57" customFormat="1">
      <c r="A1522" s="58"/>
      <c r="B1522" s="80"/>
      <c r="C1522" s="76" t="s">
        <v>966</v>
      </c>
      <c r="D1522" s="18">
        <v>20.274999999999999</v>
      </c>
      <c r="E1522" s="59"/>
      <c r="F1522" s="59"/>
      <c r="G1522" s="59"/>
      <c r="H1522" s="59"/>
      <c r="I1522" s="59"/>
      <c r="J1522" s="59">
        <v>19.651</v>
      </c>
    </row>
    <row r="1523" spans="1:10" s="29" customFormat="1">
      <c r="A1523" s="31"/>
      <c r="B1523" s="35"/>
      <c r="C1523" s="76" t="s">
        <v>972</v>
      </c>
      <c r="D1523" s="18">
        <v>38.034999999999997</v>
      </c>
      <c r="E1523" s="31"/>
      <c r="F1523" s="31"/>
      <c r="G1523" s="31"/>
      <c r="H1523" s="31"/>
      <c r="I1523" s="31"/>
      <c r="J1523" s="31">
        <f>19.179+18.831</f>
        <v>38.01</v>
      </c>
    </row>
    <row r="1524" spans="1:10" s="65" customFormat="1">
      <c r="A1524" s="66"/>
      <c r="B1524" s="35"/>
      <c r="C1524" s="76" t="s">
        <v>973</v>
      </c>
      <c r="D1524" s="18">
        <v>25.24</v>
      </c>
      <c r="E1524" s="66"/>
      <c r="F1524" s="66"/>
      <c r="G1524" s="66"/>
      <c r="H1524" s="66"/>
      <c r="I1524" s="66"/>
      <c r="J1524" s="66">
        <f>16.963+8.246</f>
        <v>25.209000000000003</v>
      </c>
    </row>
    <row r="1525" spans="1:10" s="65" customFormat="1">
      <c r="A1525" s="66"/>
      <c r="B1525" s="35"/>
      <c r="C1525" s="76" t="s">
        <v>974</v>
      </c>
      <c r="D1525" s="18">
        <v>42.67</v>
      </c>
      <c r="E1525" s="66"/>
      <c r="F1525" s="66"/>
      <c r="G1525" s="66"/>
      <c r="H1525" s="66"/>
      <c r="I1525" s="66"/>
      <c r="J1525" s="66">
        <f>28.559+14.113+0.356</f>
        <v>43.027999999999999</v>
      </c>
    </row>
    <row r="1526" spans="1:10" s="65" customFormat="1">
      <c r="A1526" s="66"/>
      <c r="B1526" s="66"/>
      <c r="C1526" s="76" t="s">
        <v>1129</v>
      </c>
      <c r="D1526" s="18">
        <v>11.945</v>
      </c>
      <c r="E1526" s="66"/>
      <c r="F1526" s="66"/>
      <c r="G1526" s="66"/>
      <c r="H1526" s="66"/>
      <c r="I1526" s="66"/>
      <c r="J1526" s="66">
        <v>10.221</v>
      </c>
    </row>
    <row r="1527" spans="1:10" s="65" customFormat="1">
      <c r="A1527" s="66"/>
      <c r="B1527" s="66"/>
      <c r="C1527" s="74"/>
      <c r="D1527" s="75">
        <f>SUM(D1520:D1526)</f>
        <v>207.95999999999998</v>
      </c>
      <c r="E1527" s="66"/>
      <c r="F1527" s="66"/>
      <c r="G1527" s="66"/>
      <c r="H1527" s="66"/>
      <c r="I1527" s="66"/>
      <c r="J1527" s="19">
        <f>SUM(J1520:J1526)</f>
        <v>205.59299999999999</v>
      </c>
    </row>
    <row r="1528" spans="1:10" s="72" customFormat="1">
      <c r="A1528" s="73"/>
      <c r="B1528" s="73"/>
      <c r="C1528" s="74"/>
      <c r="D1528" s="75"/>
      <c r="E1528" s="73"/>
      <c r="F1528" s="73"/>
      <c r="G1528" s="73"/>
      <c r="H1528" s="73"/>
      <c r="I1528" s="73"/>
      <c r="J1528" s="19"/>
    </row>
    <row r="1529" spans="1:10" s="72" customFormat="1">
      <c r="A1529" s="83" t="s">
        <v>1412</v>
      </c>
      <c r="B1529" s="35"/>
      <c r="C1529" s="86" t="s">
        <v>943</v>
      </c>
      <c r="D1529" s="84">
        <v>109.65</v>
      </c>
      <c r="E1529" s="73"/>
      <c r="F1529" s="73"/>
      <c r="G1529" s="73"/>
      <c r="H1529" s="73"/>
      <c r="I1529" s="73"/>
      <c r="J1529" s="85">
        <f>39.063+45.201+16.782+7.537</f>
        <v>108.58300000000001</v>
      </c>
    </row>
    <row r="1530" spans="1:10" s="72" customFormat="1">
      <c r="A1530" s="73"/>
      <c r="B1530" s="35"/>
      <c r="C1530" s="86" t="s">
        <v>944</v>
      </c>
      <c r="D1530" s="84">
        <v>30.06</v>
      </c>
      <c r="E1530" s="73"/>
      <c r="F1530" s="73"/>
      <c r="G1530" s="73"/>
      <c r="H1530" s="73"/>
      <c r="I1530" s="73"/>
      <c r="J1530" s="85">
        <f>13.619+16.311</f>
        <v>29.93</v>
      </c>
    </row>
    <row r="1531" spans="1:10" s="72" customFormat="1">
      <c r="A1531" s="73"/>
      <c r="B1531" s="35"/>
      <c r="C1531" s="86" t="s">
        <v>1318</v>
      </c>
      <c r="D1531" s="84">
        <v>60.994999999999997</v>
      </c>
      <c r="E1531" s="73"/>
      <c r="F1531" s="73"/>
      <c r="G1531" s="73"/>
      <c r="H1531" s="73"/>
      <c r="I1531" s="73"/>
      <c r="J1531" s="85">
        <f>23.785+25.905+10.819</f>
        <v>60.509</v>
      </c>
    </row>
    <row r="1532" spans="1:10" s="72" customFormat="1">
      <c r="A1532" s="73"/>
      <c r="B1532" s="35"/>
      <c r="C1532" s="86" t="s">
        <v>1469</v>
      </c>
      <c r="D1532" s="84">
        <v>15.25</v>
      </c>
      <c r="E1532" s="73"/>
      <c r="F1532" s="73"/>
      <c r="G1532" s="73"/>
      <c r="H1532" s="73"/>
      <c r="I1532" s="73"/>
      <c r="J1532" s="19">
        <v>14.829000000000001</v>
      </c>
    </row>
    <row r="1533" spans="1:10" s="72" customFormat="1">
      <c r="A1533" s="73"/>
      <c r="B1533" s="73"/>
      <c r="C1533" s="74"/>
      <c r="D1533" s="75">
        <f>SUM(D1529:D1532)</f>
        <v>215.95500000000001</v>
      </c>
      <c r="E1533" s="73"/>
      <c r="F1533" s="73"/>
      <c r="G1533" s="73"/>
      <c r="H1533" s="73"/>
      <c r="I1533" s="73"/>
      <c r="J1533" s="75">
        <f>SUM(J1529:J1532)</f>
        <v>213.851</v>
      </c>
    </row>
    <row r="1534" spans="1:10" s="81" customFormat="1">
      <c r="A1534" s="82"/>
      <c r="B1534" s="82"/>
      <c r="C1534" s="74"/>
      <c r="D1534" s="75"/>
      <c r="E1534" s="82"/>
      <c r="F1534" s="82"/>
      <c r="G1534" s="82"/>
      <c r="H1534" s="82"/>
      <c r="I1534" s="82"/>
      <c r="J1534" s="75"/>
    </row>
    <row r="1535" spans="1:10" s="81" customFormat="1">
      <c r="A1535" s="91" t="s">
        <v>1472</v>
      </c>
      <c r="B1535" s="35"/>
      <c r="C1535" s="93" t="s">
        <v>1357</v>
      </c>
      <c r="D1535" s="92">
        <v>49.69</v>
      </c>
      <c r="E1535" s="82"/>
      <c r="F1535" s="82"/>
      <c r="G1535" s="82"/>
      <c r="H1535" s="82"/>
      <c r="I1535" s="82"/>
      <c r="J1535" s="92">
        <f>15.522+3.981+20.929+9.201</f>
        <v>49.633000000000003</v>
      </c>
    </row>
    <row r="1536" spans="1:10" s="81" customFormat="1">
      <c r="A1536" s="82"/>
      <c r="B1536" s="35"/>
      <c r="C1536" s="93" t="s">
        <v>896</v>
      </c>
      <c r="D1536" s="92">
        <v>141.47999999999999</v>
      </c>
      <c r="E1536" s="82"/>
      <c r="F1536" s="82"/>
      <c r="G1536" s="82"/>
      <c r="H1536" s="82"/>
      <c r="I1536" s="82"/>
      <c r="J1536" s="92">
        <f>36.593+62.146+36.305+5.943</f>
        <v>140.98700000000002</v>
      </c>
    </row>
    <row r="1537" spans="1:10" s="81" customFormat="1">
      <c r="A1537" s="82"/>
      <c r="B1537" s="131"/>
      <c r="C1537" s="93" t="s">
        <v>895</v>
      </c>
      <c r="D1537" s="92">
        <v>11.895</v>
      </c>
      <c r="E1537" s="82"/>
      <c r="F1537" s="82"/>
      <c r="G1537" s="82"/>
      <c r="H1537" s="82"/>
      <c r="I1537" s="82"/>
      <c r="J1537" s="75">
        <v>11.648999999999999</v>
      </c>
    </row>
    <row r="1538" spans="1:10" s="72" customFormat="1">
      <c r="A1538" s="73"/>
      <c r="B1538" s="73"/>
      <c r="C1538" s="74"/>
      <c r="D1538" s="75">
        <f>SUM(D1535:D1537)</f>
        <v>203.065</v>
      </c>
      <c r="E1538" s="73"/>
      <c r="F1538" s="73"/>
      <c r="G1538" s="73"/>
      <c r="H1538" s="73"/>
      <c r="I1538" s="73"/>
      <c r="J1538" s="75">
        <f>SUM(J1535:J1537)</f>
        <v>202.26900000000003</v>
      </c>
    </row>
    <row r="1539" spans="1:10" s="72" customFormat="1">
      <c r="A1539" s="73"/>
      <c r="B1539" s="73"/>
      <c r="C1539" s="74"/>
      <c r="D1539" s="75"/>
      <c r="E1539" s="73"/>
      <c r="F1539" s="73"/>
      <c r="G1539" s="73"/>
      <c r="H1539" s="73"/>
      <c r="I1539" s="73"/>
      <c r="J1539" s="19"/>
    </row>
    <row r="1540" spans="1:10" s="89" customFormat="1">
      <c r="A1540" s="98" t="s">
        <v>1476</v>
      </c>
      <c r="B1540" s="131"/>
      <c r="C1540" s="93" t="s">
        <v>895</v>
      </c>
      <c r="D1540" s="99">
        <v>26.234999999999999</v>
      </c>
      <c r="E1540" s="90"/>
      <c r="F1540" s="90"/>
      <c r="G1540" s="90"/>
      <c r="H1540" s="90"/>
      <c r="I1540" s="90"/>
      <c r="J1540" s="101">
        <f>8.698+15.506+2.198</f>
        <v>26.402000000000001</v>
      </c>
    </row>
    <row r="1541" spans="1:10" s="89" customFormat="1">
      <c r="A1541" s="90"/>
      <c r="B1541" s="35"/>
      <c r="C1541" s="107" t="s">
        <v>894</v>
      </c>
      <c r="D1541" s="134">
        <v>92.44</v>
      </c>
      <c r="E1541" s="90"/>
      <c r="F1541" s="90"/>
      <c r="G1541" s="90"/>
      <c r="H1541" s="90"/>
      <c r="I1541" s="90"/>
      <c r="J1541" s="101">
        <f>15.104+19.592+9.792+24.001+8.437+11.604+3.032+0.598</f>
        <v>92.16</v>
      </c>
    </row>
    <row r="1542" spans="1:10" s="89" customFormat="1">
      <c r="A1542" s="90"/>
      <c r="B1542" s="35"/>
      <c r="C1542" s="107" t="s">
        <v>893</v>
      </c>
      <c r="D1542" s="99">
        <v>76.025000000000006</v>
      </c>
      <c r="E1542" s="90"/>
      <c r="F1542" s="90"/>
      <c r="G1542" s="90"/>
      <c r="H1542" s="90"/>
      <c r="I1542" s="90"/>
      <c r="J1542" s="101">
        <f>37.253+16.585+21.899</f>
        <v>75.736999999999995</v>
      </c>
    </row>
    <row r="1543" spans="1:10" s="89" customFormat="1">
      <c r="A1543" s="90"/>
      <c r="B1543" s="90"/>
      <c r="C1543" s="74"/>
      <c r="D1543" s="75">
        <f>SUM(D1540:D1542)</f>
        <v>194.7</v>
      </c>
      <c r="E1543" s="90"/>
      <c r="F1543" s="90"/>
      <c r="G1543" s="90"/>
      <c r="H1543" s="90"/>
      <c r="I1543" s="90"/>
      <c r="J1543" s="75">
        <f>SUM(J1540:J1542)</f>
        <v>194.29899999999998</v>
      </c>
    </row>
    <row r="1544" spans="1:10" s="89" customFormat="1">
      <c r="A1544" s="90"/>
      <c r="B1544" s="90"/>
      <c r="C1544" s="74"/>
      <c r="D1544" s="75"/>
      <c r="E1544" s="90"/>
      <c r="F1544" s="90"/>
      <c r="G1544" s="90"/>
      <c r="H1544" s="90"/>
      <c r="I1544" s="90"/>
      <c r="J1544" s="19"/>
    </row>
    <row r="1545" spans="1:10" s="96" customFormat="1">
      <c r="A1545" s="104" t="s">
        <v>1477</v>
      </c>
      <c r="B1545" s="155"/>
      <c r="C1545" s="108" t="s">
        <v>1018</v>
      </c>
      <c r="D1545" s="133">
        <v>80.819999999999993</v>
      </c>
      <c r="E1545" s="97"/>
      <c r="F1545" s="97"/>
      <c r="G1545" s="97"/>
      <c r="H1545" s="97"/>
      <c r="I1545" s="97"/>
      <c r="J1545" s="106">
        <f>26.132+25.078+10.857+4.673+8.448</f>
        <v>75.187999999999988</v>
      </c>
    </row>
    <row r="1546" spans="1:10" s="96" customFormat="1">
      <c r="A1546" s="97"/>
      <c r="B1546" s="35"/>
      <c r="C1546" s="108" t="s">
        <v>1310</v>
      </c>
      <c r="D1546" s="105">
        <v>5.46</v>
      </c>
      <c r="E1546" s="97"/>
      <c r="F1546" s="97"/>
      <c r="G1546" s="97"/>
      <c r="H1546" s="97"/>
      <c r="I1546" s="97"/>
      <c r="J1546" s="132">
        <v>5.3659999999999997</v>
      </c>
    </row>
    <row r="1547" spans="1:10" s="96" customFormat="1">
      <c r="A1547" s="97"/>
      <c r="B1547" s="35"/>
      <c r="C1547" s="108" t="s">
        <v>1017</v>
      </c>
      <c r="D1547" s="105">
        <v>52.02</v>
      </c>
      <c r="E1547" s="97"/>
      <c r="F1547" s="97"/>
      <c r="G1547" s="97"/>
      <c r="H1547" s="97"/>
      <c r="I1547" s="97"/>
      <c r="J1547" s="106">
        <f>27.787+24.77</f>
        <v>52.557000000000002</v>
      </c>
    </row>
    <row r="1548" spans="1:10" s="96" customFormat="1">
      <c r="A1548" s="97"/>
      <c r="B1548" s="157"/>
      <c r="C1548" s="108" t="s">
        <v>1307</v>
      </c>
      <c r="D1548" s="105">
        <v>11.33</v>
      </c>
      <c r="E1548" s="97"/>
      <c r="F1548" s="97"/>
      <c r="G1548" s="97"/>
      <c r="H1548" s="97"/>
      <c r="I1548" s="97"/>
      <c r="J1548" s="106">
        <f>3.448+5.126</f>
        <v>8.5739999999999998</v>
      </c>
    </row>
    <row r="1549" spans="1:10" s="72" customFormat="1">
      <c r="A1549" s="73"/>
      <c r="B1549" s="35"/>
      <c r="C1549" s="108" t="s">
        <v>1478</v>
      </c>
      <c r="D1549" s="105">
        <v>13.13</v>
      </c>
      <c r="E1549" s="73"/>
      <c r="F1549" s="73"/>
      <c r="G1549" s="73"/>
      <c r="H1549" s="73"/>
      <c r="I1549" s="73"/>
      <c r="J1549" s="106">
        <f>5.152+8.018+0.236</f>
        <v>13.406000000000002</v>
      </c>
    </row>
    <row r="1550" spans="1:10" s="96" customFormat="1">
      <c r="A1550" s="97"/>
      <c r="B1550" s="35"/>
      <c r="C1550" s="108" t="s">
        <v>1479</v>
      </c>
      <c r="D1550" s="105">
        <f>6.83+11.68</f>
        <v>18.509999999999998</v>
      </c>
      <c r="E1550" s="97"/>
      <c r="F1550" s="97"/>
      <c r="G1550" s="97"/>
      <c r="H1550" s="97"/>
      <c r="I1550" s="97"/>
      <c r="J1550" s="109">
        <f>8.45+6.35+4.29</f>
        <v>19.09</v>
      </c>
    </row>
    <row r="1551" spans="1:10" s="96" customFormat="1">
      <c r="A1551" s="97"/>
      <c r="B1551" s="35"/>
      <c r="C1551" s="108" t="s">
        <v>1189</v>
      </c>
      <c r="D1551" s="105">
        <v>10.37</v>
      </c>
      <c r="E1551" s="97"/>
      <c r="F1551" s="97"/>
      <c r="G1551" s="97"/>
      <c r="H1551" s="97"/>
      <c r="I1551" s="97"/>
      <c r="J1551" s="109">
        <f>5.509+4.472+0.879</f>
        <v>10.860000000000001</v>
      </c>
    </row>
    <row r="1552" spans="1:10" s="96" customFormat="1">
      <c r="A1552" s="97"/>
      <c r="B1552" s="35"/>
      <c r="C1552" s="108" t="s">
        <v>1007</v>
      </c>
      <c r="D1552" s="104">
        <v>92.02</v>
      </c>
      <c r="E1552" s="97"/>
      <c r="F1552" s="97"/>
      <c r="G1552" s="97"/>
      <c r="H1552" s="97"/>
      <c r="I1552" s="97"/>
      <c r="J1552" s="106">
        <f>18.133+9.044+16.46+24.583+22.257</f>
        <v>90.477000000000004</v>
      </c>
    </row>
    <row r="1553" spans="1:10" s="96" customFormat="1">
      <c r="A1553" s="97"/>
      <c r="B1553" s="97"/>
      <c r="C1553" s="104"/>
      <c r="D1553" s="75">
        <f>SUM(D1545:D1552)</f>
        <v>283.65999999999997</v>
      </c>
      <c r="E1553" s="97"/>
      <c r="F1553" s="97"/>
      <c r="G1553" s="97"/>
      <c r="H1553" s="97"/>
      <c r="I1553" s="97"/>
      <c r="J1553" s="75">
        <f>SUM(J1545:J1552)</f>
        <v>275.51800000000003</v>
      </c>
    </row>
    <row r="1554" spans="1:10">
      <c r="A1554" s="135" t="s">
        <v>1495</v>
      </c>
      <c r="B1554" s="4"/>
      <c r="C1554" s="4"/>
      <c r="D1554" s="18"/>
      <c r="E1554" s="4"/>
      <c r="F1554" s="4"/>
      <c r="G1554" s="4"/>
      <c r="H1554" s="4"/>
      <c r="I1554" s="4"/>
      <c r="J1554" s="4"/>
    </row>
    <row r="1555" spans="1:10">
      <c r="A1555" s="145" t="s">
        <v>1502</v>
      </c>
      <c r="B1555" s="128"/>
      <c r="C1555" s="128"/>
      <c r="D1555" s="75"/>
      <c r="E1555" s="4"/>
      <c r="F1555" s="4"/>
      <c r="G1555" s="4"/>
      <c r="H1555" s="4"/>
      <c r="I1555" s="4"/>
      <c r="J1555" s="4"/>
    </row>
    <row r="1556" spans="1:10" s="144" customFormat="1">
      <c r="A1556" s="150" t="s">
        <v>1503</v>
      </c>
      <c r="B1556" s="80"/>
      <c r="C1556" s="108" t="s">
        <v>1007</v>
      </c>
      <c r="D1556" s="151">
        <v>109.36499999999999</v>
      </c>
      <c r="E1556" s="146"/>
      <c r="F1556" s="146"/>
      <c r="G1556" s="146"/>
      <c r="H1556" s="146"/>
      <c r="I1556" s="146"/>
      <c r="J1556" s="146">
        <f>24.796+19.098+35.853+28.823</f>
        <v>108.57</v>
      </c>
    </row>
    <row r="1557" spans="1:10" s="144" customFormat="1">
      <c r="A1557" s="145"/>
      <c r="B1557" s="80"/>
      <c r="C1557" s="185" t="s">
        <v>1006</v>
      </c>
      <c r="D1557" s="151">
        <v>23.16</v>
      </c>
      <c r="E1557" s="146"/>
      <c r="F1557" s="146"/>
      <c r="G1557" s="146"/>
      <c r="H1557" s="146"/>
      <c r="I1557" s="146"/>
      <c r="J1557" s="146">
        <f>9.268+7.459+2.331</f>
        <v>19.058</v>
      </c>
    </row>
    <row r="1558" spans="1:10" s="144" customFormat="1">
      <c r="A1558" s="145"/>
      <c r="B1558" s="145"/>
      <c r="C1558" s="145"/>
      <c r="D1558" s="75">
        <f>SUM(D1556:D1557)</f>
        <v>132.52500000000001</v>
      </c>
      <c r="E1558" s="146"/>
      <c r="F1558" s="146"/>
      <c r="G1558" s="146"/>
      <c r="H1558" s="146"/>
      <c r="I1558" s="146"/>
      <c r="J1558" s="75">
        <f>SUM(J1556:J1557)</f>
        <v>127.62799999999999</v>
      </c>
    </row>
    <row r="1559" spans="1:10" s="152" customFormat="1">
      <c r="A1559" s="153"/>
      <c r="B1559" s="153"/>
      <c r="C1559" s="153"/>
      <c r="D1559" s="75"/>
      <c r="E1559" s="154"/>
      <c r="F1559" s="154"/>
      <c r="G1559" s="154"/>
      <c r="H1559" s="154"/>
      <c r="I1559" s="154"/>
      <c r="J1559" s="75"/>
    </row>
    <row r="1560" spans="1:10" s="144" customFormat="1">
      <c r="A1560" s="145"/>
      <c r="B1560" s="145"/>
      <c r="C1560" s="145"/>
      <c r="D1560" s="75"/>
      <c r="E1560" s="146"/>
      <c r="F1560" s="146"/>
      <c r="G1560" s="146"/>
      <c r="H1560" s="146"/>
      <c r="I1560" s="146"/>
      <c r="J1560" s="146"/>
    </row>
    <row r="1561" spans="1:10">
      <c r="A1561" s="4"/>
      <c r="B1561" s="4"/>
      <c r="C1561" s="3" t="s">
        <v>1384</v>
      </c>
      <c r="D1561" s="75">
        <f>+D1412+D1417+D1421+D1426+D1432+D1438+D1446+D1453+D1460+D1467+D1473+D1482+D1489+D1498+D1505+D1511+D1514+D1518+D1527+D1533+D1538+D1543+D1553+D1558</f>
        <v>4643.3499999999995</v>
      </c>
      <c r="E1561" s="3"/>
      <c r="F1561" s="3"/>
      <c r="G1561" s="3"/>
      <c r="H1561" s="3"/>
      <c r="I1561" s="3"/>
      <c r="J1561" s="75">
        <f>+J1412+J1417+J1421+J1426+J1432+J1438+J1446+J1453+J1460+J1467+J1473+J1482+J1489+J1498+J1505+J1511+J1514+J1518+J1527+J1533+J1538+J1543+J1553+J1558</f>
        <v>4610.6187</v>
      </c>
    </row>
    <row r="1562" spans="1:10">
      <c r="A1562" s="153"/>
      <c r="B1562" s="153"/>
      <c r="C1562" s="153"/>
      <c r="D1562" s="75"/>
      <c r="E1562" s="154"/>
      <c r="F1562" s="154"/>
      <c r="G1562" s="154"/>
      <c r="H1562" s="154"/>
      <c r="I1562" s="154"/>
      <c r="J1562" s="154"/>
    </row>
    <row r="1563" spans="1:10" s="152" customFormat="1">
      <c r="A1563" s="153"/>
      <c r="B1563" s="153"/>
      <c r="C1563" s="153"/>
      <c r="D1563" s="75"/>
      <c r="E1563" s="154"/>
      <c r="F1563" s="154"/>
      <c r="G1563" s="154"/>
      <c r="H1563" s="154"/>
      <c r="I1563" s="154"/>
      <c r="J1563" s="154"/>
    </row>
    <row r="1564" spans="1:10" s="152" customFormat="1">
      <c r="A1564" s="153"/>
      <c r="B1564" s="153"/>
      <c r="C1564" s="153"/>
      <c r="D1564" s="75"/>
      <c r="E1564" s="154"/>
      <c r="F1564" s="154"/>
      <c r="G1564" s="154"/>
      <c r="H1564" s="154"/>
      <c r="I1564" s="154"/>
      <c r="J1564" s="154"/>
    </row>
    <row r="1565" spans="1:10" s="152" customFormat="1">
      <c r="A1565" s="183" t="s">
        <v>1509</v>
      </c>
      <c r="B1565" s="80"/>
      <c r="C1565" s="185" t="s">
        <v>1006</v>
      </c>
      <c r="D1565" s="184">
        <v>151.13499999999999</v>
      </c>
      <c r="E1565" s="154"/>
      <c r="F1565" s="154"/>
      <c r="G1565" s="154"/>
      <c r="H1565" s="154"/>
      <c r="I1565" s="154"/>
      <c r="J1565" s="154">
        <f>40.819+39.239+38.484+36.533</f>
        <v>155.07499999999999</v>
      </c>
    </row>
    <row r="1566" spans="1:10" s="152" customFormat="1">
      <c r="A1566" s="153"/>
      <c r="B1566" s="80"/>
      <c r="C1566" s="193" t="s">
        <v>794</v>
      </c>
      <c r="D1566" s="184">
        <v>9</v>
      </c>
      <c r="E1566" s="154"/>
      <c r="F1566" s="154"/>
      <c r="G1566" s="154"/>
      <c r="H1566" s="154"/>
      <c r="I1566" s="154"/>
      <c r="J1566" s="154">
        <v>8.6180000000000003</v>
      </c>
    </row>
    <row r="1567" spans="1:10" s="152" customFormat="1">
      <c r="A1567" s="153"/>
      <c r="B1567" s="153"/>
      <c r="C1567" s="153"/>
      <c r="D1567" s="75">
        <f>SUM(D1565:D1566)</f>
        <v>160.13499999999999</v>
      </c>
      <c r="E1567" s="154"/>
      <c r="F1567" s="154"/>
      <c r="G1567" s="154"/>
      <c r="H1567" s="154"/>
      <c r="I1567" s="154"/>
      <c r="J1567" s="75">
        <f>SUM(J1565:J1566)</f>
        <v>163.69299999999998</v>
      </c>
    </row>
    <row r="1568" spans="1:10" s="152" customFormat="1">
      <c r="A1568" s="153"/>
      <c r="B1568" s="153"/>
      <c r="C1568" s="153"/>
      <c r="D1568" s="75"/>
      <c r="E1568" s="154"/>
      <c r="F1568" s="154"/>
      <c r="G1568" s="154"/>
      <c r="H1568" s="154"/>
      <c r="I1568" s="154"/>
      <c r="J1568" s="154"/>
    </row>
    <row r="1569" spans="1:10" s="180" customFormat="1">
      <c r="A1569" s="190" t="s">
        <v>1501</v>
      </c>
      <c r="B1569" s="79"/>
      <c r="C1569" s="192" t="s">
        <v>1073</v>
      </c>
      <c r="D1569" s="191">
        <v>85.67</v>
      </c>
      <c r="E1569" s="182"/>
      <c r="F1569" s="182"/>
      <c r="G1569" s="182"/>
      <c r="H1569" s="182"/>
      <c r="I1569" s="182"/>
      <c r="J1569" s="182">
        <f>13.397+39.869-0.918-1.99+29.215</f>
        <v>79.572999999999993</v>
      </c>
    </row>
    <row r="1570" spans="1:10" s="180" customFormat="1">
      <c r="A1570" s="181"/>
      <c r="B1570" s="79"/>
      <c r="C1570" s="192" t="s">
        <v>1511</v>
      </c>
      <c r="D1570" s="191">
        <v>8.4849999999999994</v>
      </c>
      <c r="E1570" s="182"/>
      <c r="F1570" s="182"/>
      <c r="G1570" s="182"/>
      <c r="H1570" s="182"/>
      <c r="I1570" s="182"/>
      <c r="J1570" s="182">
        <f>3.059+0.918+1.99+2.877</f>
        <v>8.8440000000000012</v>
      </c>
    </row>
    <row r="1571" spans="1:10" s="180" customFormat="1">
      <c r="A1571" s="181"/>
      <c r="B1571" s="79"/>
      <c r="C1571" s="192" t="s">
        <v>1512</v>
      </c>
      <c r="D1571" s="191">
        <f>17.205-2.515</f>
        <v>14.689999999999998</v>
      </c>
      <c r="E1571" s="182"/>
      <c r="F1571" s="182"/>
      <c r="G1571" s="182"/>
      <c r="H1571" s="182"/>
      <c r="I1571" s="182"/>
      <c r="J1571" s="182">
        <f>5.634+8.633</f>
        <v>14.266999999999999</v>
      </c>
    </row>
    <row r="1572" spans="1:10" s="180" customFormat="1">
      <c r="A1572" s="181"/>
      <c r="B1572" s="79"/>
      <c r="C1572" s="192" t="s">
        <v>1074</v>
      </c>
      <c r="D1572" s="191">
        <v>2.5150000000000001</v>
      </c>
      <c r="E1572" s="182"/>
      <c r="F1572" s="182"/>
      <c r="G1572" s="182"/>
      <c r="H1572" s="182"/>
      <c r="I1572" s="182"/>
      <c r="J1572" s="182">
        <f>0.365+2.179</f>
        <v>2.5439999999999996</v>
      </c>
    </row>
    <row r="1573" spans="1:10" s="180" customFormat="1">
      <c r="A1573" s="181"/>
      <c r="B1573" s="79"/>
      <c r="C1573" s="192" t="s">
        <v>1513</v>
      </c>
      <c r="D1573" s="191">
        <v>27.39</v>
      </c>
      <c r="E1573" s="182"/>
      <c r="F1573" s="182"/>
      <c r="G1573" s="182"/>
      <c r="H1573" s="182"/>
      <c r="I1573" s="182"/>
      <c r="J1573" s="182">
        <f>14.085+13.048</f>
        <v>27.133000000000003</v>
      </c>
    </row>
    <row r="1574" spans="1:10" s="180" customFormat="1">
      <c r="A1574" s="181"/>
      <c r="B1574" s="80"/>
      <c r="C1574" s="192" t="s">
        <v>1514</v>
      </c>
      <c r="D1574" s="191">
        <v>7.61</v>
      </c>
      <c r="E1574" s="182"/>
      <c r="F1574" s="182"/>
      <c r="G1574" s="182"/>
      <c r="H1574" s="182"/>
      <c r="I1574" s="182"/>
      <c r="J1574" s="182">
        <v>7.6210000000000004</v>
      </c>
    </row>
    <row r="1575" spans="1:10" s="180" customFormat="1">
      <c r="A1575" s="181"/>
      <c r="B1575" s="80"/>
      <c r="C1575" s="192" t="s">
        <v>1515</v>
      </c>
      <c r="D1575" s="191">
        <v>7.79</v>
      </c>
      <c r="E1575" s="182"/>
      <c r="F1575" s="182"/>
      <c r="G1575" s="182"/>
      <c r="H1575" s="182"/>
      <c r="I1575" s="182"/>
      <c r="J1575" s="182">
        <f>5.516+1.903</f>
        <v>7.4190000000000005</v>
      </c>
    </row>
    <row r="1576" spans="1:10" s="180" customFormat="1">
      <c r="A1576" s="181"/>
      <c r="B1576" s="181"/>
      <c r="C1576" s="181"/>
      <c r="D1576" s="75">
        <f>SUM(D1569:D1575)</f>
        <v>154.15</v>
      </c>
      <c r="E1576" s="182"/>
      <c r="F1576" s="182"/>
      <c r="G1576" s="182"/>
      <c r="H1576" s="182"/>
      <c r="I1576" s="182"/>
      <c r="J1576" s="75">
        <f>SUM(J1569:J1575)</f>
        <v>147.40100000000001</v>
      </c>
    </row>
    <row r="1577" spans="1:10" s="180" customFormat="1">
      <c r="A1577" s="203" t="s">
        <v>1528</v>
      </c>
      <c r="B1577" s="181"/>
      <c r="C1577" s="181"/>
      <c r="D1577" s="75"/>
      <c r="E1577" s="182"/>
      <c r="F1577" s="182"/>
      <c r="G1577" s="182"/>
      <c r="H1577" s="182"/>
      <c r="I1577" s="182"/>
      <c r="J1577" s="182"/>
    </row>
    <row r="1578" spans="1:10" s="202" customFormat="1">
      <c r="A1578" s="223" t="s">
        <v>1529</v>
      </c>
      <c r="B1578" s="203"/>
      <c r="C1578" s="223" t="s">
        <v>529</v>
      </c>
      <c r="D1578" s="224">
        <v>30.83</v>
      </c>
      <c r="E1578" s="204"/>
      <c r="F1578" s="204"/>
      <c r="G1578" s="204"/>
      <c r="H1578" s="204"/>
      <c r="I1578" s="204"/>
      <c r="J1578" s="204">
        <v>25.169</v>
      </c>
    </row>
    <row r="1579" spans="1:10" s="202" customFormat="1">
      <c r="A1579" s="203"/>
      <c r="B1579" s="79"/>
      <c r="C1579" s="225" t="s">
        <v>526</v>
      </c>
      <c r="D1579" s="224">
        <v>19.68</v>
      </c>
      <c r="E1579" s="204"/>
      <c r="F1579" s="204"/>
      <c r="G1579" s="204"/>
      <c r="H1579" s="204"/>
      <c r="I1579" s="204"/>
      <c r="J1579" s="204">
        <v>19.393000000000001</v>
      </c>
    </row>
    <row r="1580" spans="1:10" s="202" customFormat="1">
      <c r="A1580" s="203"/>
      <c r="B1580" s="203"/>
      <c r="C1580" s="223" t="s">
        <v>525</v>
      </c>
      <c r="D1580" s="224">
        <v>5.43</v>
      </c>
      <c r="E1580" s="204"/>
      <c r="F1580" s="204"/>
      <c r="G1580" s="204"/>
      <c r="H1580" s="204"/>
      <c r="I1580" s="204"/>
      <c r="J1580" s="204"/>
    </row>
    <row r="1581" spans="1:10" s="202" customFormat="1">
      <c r="A1581" s="203"/>
      <c r="B1581" s="203"/>
      <c r="C1581" s="225" t="s">
        <v>524</v>
      </c>
      <c r="D1581" s="224">
        <f>52.31-5.5</f>
        <v>46.81</v>
      </c>
      <c r="E1581" s="204"/>
      <c r="F1581" s="204"/>
      <c r="G1581" s="204"/>
      <c r="H1581" s="204"/>
      <c r="I1581" s="204"/>
      <c r="J1581" s="204">
        <f>18.566+10.665</f>
        <v>29.230999999999998</v>
      </c>
    </row>
    <row r="1582" spans="1:10" s="202" customFormat="1">
      <c r="A1582" s="203"/>
      <c r="B1582" s="79"/>
      <c r="C1582" s="225" t="s">
        <v>504</v>
      </c>
      <c r="D1582" s="224">
        <v>5.5</v>
      </c>
      <c r="E1582" s="204"/>
      <c r="F1582" s="204"/>
      <c r="G1582" s="204"/>
      <c r="H1582" s="204"/>
      <c r="I1582" s="204"/>
      <c r="J1582" s="204">
        <v>5.4640000000000004</v>
      </c>
    </row>
    <row r="1583" spans="1:10" s="202" customFormat="1">
      <c r="A1583" s="203"/>
      <c r="B1583" s="203"/>
      <c r="C1583" s="223" t="s">
        <v>644</v>
      </c>
      <c r="D1583" s="224">
        <v>20.995000000000001</v>
      </c>
      <c r="E1583" s="204"/>
      <c r="F1583" s="204"/>
      <c r="G1583" s="204"/>
      <c r="H1583" s="204"/>
      <c r="I1583" s="204"/>
      <c r="J1583" s="204">
        <f>1.592+6.773</f>
        <v>8.3650000000000002</v>
      </c>
    </row>
    <row r="1584" spans="1:10" s="202" customFormat="1">
      <c r="A1584" s="203"/>
      <c r="B1584" s="203"/>
      <c r="C1584" s="225" t="s">
        <v>530</v>
      </c>
      <c r="D1584" s="224">
        <v>35.119999999999997</v>
      </c>
      <c r="E1584" s="204"/>
      <c r="F1584" s="204"/>
      <c r="G1584" s="204"/>
      <c r="H1584" s="204"/>
      <c r="I1584" s="204"/>
      <c r="J1584" s="204">
        <v>34.168999999999997</v>
      </c>
    </row>
    <row r="1585" spans="1:10" s="202" customFormat="1">
      <c r="A1585" s="203"/>
      <c r="B1585" s="203"/>
      <c r="C1585" s="223" t="s">
        <v>505</v>
      </c>
      <c r="D1585" s="224">
        <v>11.72</v>
      </c>
      <c r="E1585" s="204"/>
      <c r="F1585" s="204"/>
      <c r="G1585" s="204"/>
      <c r="H1585" s="204"/>
      <c r="I1585" s="204"/>
      <c r="J1585" s="204"/>
    </row>
    <row r="1586" spans="1:10" s="152" customFormat="1">
      <c r="A1586" s="153"/>
      <c r="B1586" s="153"/>
      <c r="C1586" s="223" t="s">
        <v>1097</v>
      </c>
      <c r="D1586" s="224">
        <v>42.265000000000001</v>
      </c>
      <c r="E1586" s="154"/>
      <c r="F1586" s="154"/>
      <c r="G1586" s="154"/>
      <c r="H1586" s="154"/>
      <c r="I1586" s="154"/>
      <c r="J1586" s="226">
        <v>13.5</v>
      </c>
    </row>
    <row r="1587" spans="1:10" s="202" customFormat="1">
      <c r="A1587" s="203"/>
      <c r="B1587" s="203"/>
      <c r="C1587" s="223"/>
      <c r="D1587" s="75">
        <f>SUM(D1578:D1586)</f>
        <v>218.35000000000002</v>
      </c>
      <c r="E1587" s="204"/>
      <c r="F1587" s="204"/>
      <c r="G1587" s="204"/>
      <c r="H1587" s="204"/>
      <c r="I1587" s="204"/>
      <c r="J1587" s="75">
        <f>SUM(J1578:J1586)</f>
        <v>135.291</v>
      </c>
    </row>
    <row r="1588" spans="1:10" s="202" customFormat="1">
      <c r="A1588" s="203"/>
      <c r="B1588" s="203"/>
      <c r="C1588" s="223"/>
      <c r="D1588" s="224"/>
      <c r="E1588" s="204"/>
      <c r="F1588" s="204"/>
      <c r="G1588" s="204"/>
      <c r="H1588" s="204"/>
      <c r="I1588" s="204"/>
      <c r="J1588" s="204"/>
    </row>
    <row r="1589" spans="1:10" s="220" customFormat="1">
      <c r="A1589" s="231" t="s">
        <v>1533</v>
      </c>
      <c r="B1589" s="221"/>
      <c r="C1589" s="223" t="s">
        <v>1097</v>
      </c>
      <c r="D1589" s="224">
        <v>49.69</v>
      </c>
      <c r="E1589" s="222"/>
      <c r="F1589" s="222"/>
      <c r="G1589" s="222"/>
      <c r="H1589" s="222"/>
      <c r="I1589" s="222"/>
      <c r="J1589" s="222">
        <v>43.103999999999999</v>
      </c>
    </row>
    <row r="1590" spans="1:10" s="220" customFormat="1">
      <c r="A1590" s="221"/>
      <c r="B1590" s="221"/>
      <c r="C1590" s="231" t="s">
        <v>1096</v>
      </c>
      <c r="D1590" s="224">
        <v>24.71</v>
      </c>
      <c r="E1590" s="222"/>
      <c r="F1590" s="222"/>
      <c r="G1590" s="222"/>
      <c r="H1590" s="222"/>
      <c r="I1590" s="222"/>
      <c r="J1590" s="222">
        <v>8.6219999999999999</v>
      </c>
    </row>
    <row r="1591" spans="1:10" s="220" customFormat="1">
      <c r="A1591" s="221"/>
      <c r="B1591" s="221"/>
      <c r="C1591" s="231" t="s">
        <v>1095</v>
      </c>
      <c r="D1591" s="224">
        <v>69.739999999999995</v>
      </c>
      <c r="E1591" s="222"/>
      <c r="F1591" s="222"/>
      <c r="G1591" s="222"/>
      <c r="H1591" s="222"/>
      <c r="I1591" s="222"/>
      <c r="J1591" s="222">
        <f>22.292+10.945</f>
        <v>33.237000000000002</v>
      </c>
    </row>
    <row r="1592" spans="1:10" s="220" customFormat="1">
      <c r="A1592" s="221"/>
      <c r="B1592" s="221"/>
      <c r="C1592" s="231" t="s">
        <v>1094</v>
      </c>
      <c r="D1592" s="224">
        <v>8.83</v>
      </c>
      <c r="E1592" s="222"/>
      <c r="F1592" s="222"/>
      <c r="G1592" s="222"/>
      <c r="H1592" s="222"/>
      <c r="I1592" s="222"/>
      <c r="J1592" s="222"/>
    </row>
    <row r="1593" spans="1:10" s="220" customFormat="1">
      <c r="A1593" s="221"/>
      <c r="B1593" s="221"/>
      <c r="C1593" s="232" t="s">
        <v>1093</v>
      </c>
      <c r="D1593" s="224">
        <v>75.305000000000007</v>
      </c>
      <c r="E1593" s="222"/>
      <c r="F1593" s="222"/>
      <c r="G1593" s="222"/>
      <c r="H1593" s="222"/>
      <c r="I1593" s="222"/>
      <c r="J1593" s="222">
        <v>75.775999999999996</v>
      </c>
    </row>
    <row r="1594" spans="1:10" s="220" customFormat="1">
      <c r="A1594" s="221"/>
      <c r="B1594" s="221"/>
      <c r="C1594" s="232" t="s">
        <v>1171</v>
      </c>
      <c r="D1594" s="224">
        <v>6.69</v>
      </c>
      <c r="E1594" s="222"/>
      <c r="F1594" s="222"/>
      <c r="G1594" s="222"/>
      <c r="H1594" s="222"/>
      <c r="I1594" s="222"/>
      <c r="J1594" s="222">
        <v>6.6479999999999997</v>
      </c>
    </row>
    <row r="1595" spans="1:10" s="220" customFormat="1">
      <c r="A1595" s="221"/>
      <c r="B1595" s="221"/>
      <c r="C1595" s="223"/>
      <c r="D1595" s="75">
        <f>SUM(D1589:D1594)</f>
        <v>234.965</v>
      </c>
      <c r="E1595" s="222"/>
      <c r="F1595" s="222"/>
      <c r="G1595" s="222"/>
      <c r="H1595" s="222"/>
      <c r="I1595" s="222"/>
      <c r="J1595" s="75">
        <f>SUM(J1589:J1594)</f>
        <v>167.38699999999997</v>
      </c>
    </row>
    <row r="1596" spans="1:10" s="220" customFormat="1">
      <c r="A1596" s="221"/>
      <c r="B1596" s="221"/>
      <c r="C1596" s="223"/>
      <c r="D1596" s="75"/>
      <c r="E1596" s="222"/>
      <c r="F1596" s="222"/>
      <c r="G1596" s="222"/>
      <c r="H1596" s="222"/>
      <c r="I1596" s="222"/>
      <c r="J1596" s="222"/>
    </row>
    <row r="1597" spans="1:10" s="220" customFormat="1">
      <c r="A1597" s="221"/>
      <c r="B1597" s="221"/>
      <c r="C1597" s="223"/>
      <c r="D1597" s="75"/>
      <c r="E1597" s="222"/>
      <c r="F1597" s="222"/>
      <c r="G1597" s="222"/>
      <c r="H1597" s="222"/>
      <c r="I1597" s="222"/>
      <c r="J1597" s="222"/>
    </row>
    <row r="1598" spans="1:10" s="152" customFormat="1">
      <c r="A1598" s="153"/>
      <c r="B1598" s="153"/>
      <c r="C1598" s="153"/>
      <c r="D1598" s="75"/>
      <c r="E1598" s="154"/>
      <c r="F1598" s="154"/>
      <c r="G1598" s="154"/>
      <c r="H1598" s="154"/>
      <c r="I1598" s="154"/>
      <c r="J1598" s="154"/>
    </row>
    <row r="1599" spans="1:10" s="144" customFormat="1">
      <c r="A1599" s="153"/>
      <c r="B1599" s="153"/>
      <c r="C1599" s="153" t="s">
        <v>1510</v>
      </c>
      <c r="D1599" s="75">
        <f>+D1567+D1576+D1587+D1595</f>
        <v>767.6</v>
      </c>
      <c r="E1599" s="154"/>
      <c r="F1599" s="154"/>
      <c r="G1599" s="154"/>
      <c r="H1599" s="154"/>
      <c r="I1599" s="154"/>
      <c r="J1599" s="75">
        <f>+J1567+J1576+J1587</f>
        <v>446.38499999999999</v>
      </c>
    </row>
    <row r="1600" spans="1:10" s="144" customFormat="1">
      <c r="A1600" s="153"/>
      <c r="B1600" s="153"/>
      <c r="C1600" s="153"/>
      <c r="D1600" s="75"/>
      <c r="E1600" s="154"/>
      <c r="F1600" s="154"/>
      <c r="G1600" s="154"/>
      <c r="H1600" s="154"/>
      <c r="I1600" s="154"/>
      <c r="J1600" s="154"/>
    </row>
    <row r="1601" spans="1:10" s="144" customFormat="1">
      <c r="A1601" s="153"/>
      <c r="B1601" s="153"/>
      <c r="C1601" s="153"/>
      <c r="D1601" s="75"/>
      <c r="E1601" s="154"/>
      <c r="F1601" s="154"/>
      <c r="G1601" s="154"/>
      <c r="H1601" s="154"/>
      <c r="I1601" s="154"/>
      <c r="J1601" s="154"/>
    </row>
    <row r="1602" spans="1:10" s="144" customFormat="1">
      <c r="A1602" s="153"/>
      <c r="B1602" s="153"/>
      <c r="C1602" s="153"/>
      <c r="D1602" s="75"/>
      <c r="E1602" s="154"/>
      <c r="F1602" s="154"/>
      <c r="G1602" s="154"/>
      <c r="H1602" s="154"/>
      <c r="I1602" s="154"/>
      <c r="J1602" s="154"/>
    </row>
    <row r="1603" spans="1:10" s="144" customFormat="1">
      <c r="A1603" s="153"/>
      <c r="B1603" s="153"/>
      <c r="C1603" s="153"/>
      <c r="D1603" s="75"/>
      <c r="E1603" s="154"/>
      <c r="F1603" s="154"/>
      <c r="G1603" s="154"/>
      <c r="H1603" s="154"/>
      <c r="I1603" s="154"/>
      <c r="J1603" s="154"/>
    </row>
    <row r="1604" spans="1:10">
      <c r="A1604" s="153"/>
      <c r="B1604" s="153"/>
      <c r="C1604" s="153"/>
      <c r="D1604" s="75"/>
      <c r="E1604" s="154"/>
      <c r="F1604" s="154"/>
      <c r="G1604" s="154"/>
      <c r="H1604" s="154"/>
      <c r="I1604" s="154"/>
      <c r="J1604" s="154"/>
    </row>
    <row r="1606" spans="1:10">
      <c r="A1606" s="238" t="s">
        <v>223</v>
      </c>
      <c r="B1606" s="238"/>
      <c r="C1606" s="238"/>
      <c r="D1606" s="41">
        <f>D33+D120+D206+D307+D366+D371+D375+D380+D385+D390+D394+D405+D400+D409+D419+D413+D425+D439+D435+D505+D626+D759+D936+D1077+D1252+D1407+D1561+D1599</f>
        <v>38969.663</v>
      </c>
    </row>
  </sheetData>
  <mergeCells count="27">
    <mergeCell ref="A13:C13"/>
    <mergeCell ref="A32:C32"/>
    <mergeCell ref="A35:C35"/>
    <mergeCell ref="A38:C38"/>
    <mergeCell ref="A50:C50"/>
    <mergeCell ref="A207:C207"/>
    <mergeCell ref="A132:C132"/>
    <mergeCell ref="A232:C232"/>
    <mergeCell ref="A58:C58"/>
    <mergeCell ref="A59:C59"/>
    <mergeCell ref="A67:C67"/>
    <mergeCell ref="A252:D252"/>
    <mergeCell ref="A251:C251"/>
    <mergeCell ref="A1606:C1606"/>
    <mergeCell ref="A71:C71"/>
    <mergeCell ref="A88:C88"/>
    <mergeCell ref="A110:C110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87:C187"/>
    <mergeCell ref="A188:C188"/>
  </mergeCells>
  <pageMargins left="0.24" right="0.16" top="0.75" bottom="0.75" header="0.3" footer="0.3"/>
  <pageSetup paperSize="9" scale="110" fitToHeight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5"/>
  <dimension ref="A1:F305"/>
  <sheetViews>
    <sheetView topLeftCell="A3" workbookViewId="0">
      <pane ySplit="4" topLeftCell="A294" activePane="bottomLeft" state="frozen"/>
      <selection activeCell="A3" sqref="A3"/>
      <selection pane="bottomLeft" activeCell="G311" sqref="G311"/>
    </sheetView>
  </sheetViews>
  <sheetFormatPr defaultRowHeight="14.4"/>
  <cols>
    <col min="1" max="1" width="8.44140625" style="7" customWidth="1"/>
    <col min="2" max="2" width="12.5546875" style="7" customWidth="1"/>
    <col min="3" max="3" width="8.5546875" bestFit="1" customWidth="1"/>
    <col min="4" max="4" width="7.5546875" bestFit="1" customWidth="1"/>
    <col min="5" max="5" width="8.5546875" bestFit="1" customWidth="1"/>
    <col min="6" max="6" width="9.5546875" bestFit="1" customWidth="1"/>
    <col min="7" max="7" width="30.33203125" customWidth="1"/>
  </cols>
  <sheetData>
    <row r="1" spans="1:6" hidden="1">
      <c r="B1" s="7" t="s">
        <v>272</v>
      </c>
      <c r="C1">
        <f>SUM(C47:C77)</f>
        <v>2006.9090000000001</v>
      </c>
      <c r="E1">
        <f>SUM(E47:E77)</f>
        <v>481.64599999999996</v>
      </c>
      <c r="F1">
        <f>SUM(F47:F77)</f>
        <v>2488.5550000000003</v>
      </c>
    </row>
    <row r="2" spans="1:6" hidden="1">
      <c r="B2" s="7" t="s">
        <v>285</v>
      </c>
      <c r="C2">
        <f>SUM(C78:C105)</f>
        <v>2644.6370300000003</v>
      </c>
      <c r="D2">
        <f>SUM(D78:D105)</f>
        <v>0</v>
      </c>
      <c r="E2">
        <f>SUM(E78:E105)</f>
        <v>462.16408000000001</v>
      </c>
      <c r="F2">
        <f>SUM(F78:F105)</f>
        <v>3106.8011099999999</v>
      </c>
    </row>
    <row r="3" spans="1:6">
      <c r="A3" s="12"/>
      <c r="B3" s="12" t="s">
        <v>512</v>
      </c>
      <c r="C3" s="1">
        <f>SUM(C106:C135)</f>
        <v>3083.0609879999993</v>
      </c>
      <c r="D3" s="1">
        <f t="shared" ref="D3:F3" si="0">SUM(D106:D135)</f>
        <v>0</v>
      </c>
      <c r="E3" s="1">
        <f t="shared" si="0"/>
        <v>0</v>
      </c>
      <c r="F3" s="1">
        <f t="shared" si="0"/>
        <v>3083.0609879999993</v>
      </c>
    </row>
    <row r="4" spans="1:6">
      <c r="A4" s="12" t="s">
        <v>207</v>
      </c>
      <c r="B4" s="12"/>
      <c r="C4" s="1"/>
      <c r="D4" s="1"/>
      <c r="E4" s="1"/>
      <c r="F4" s="1"/>
    </row>
    <row r="5" spans="1:6">
      <c r="A5" s="12"/>
      <c r="B5" s="12"/>
      <c r="C5" s="1">
        <f>SUM(C7:C1048576)</f>
        <v>28123.355131000015</v>
      </c>
      <c r="D5" s="1">
        <f>SUM(D7:D1048576)</f>
        <v>0</v>
      </c>
      <c r="E5" s="1">
        <f>SUM(E7:E1048576)</f>
        <v>9533.0281424999976</v>
      </c>
      <c r="F5" s="1">
        <f>SUM(F7:F1048576)</f>
        <v>37656.383273499996</v>
      </c>
    </row>
    <row r="6" spans="1:6">
      <c r="A6" s="6" t="s">
        <v>7</v>
      </c>
      <c r="B6" s="6" t="s">
        <v>6</v>
      </c>
      <c r="C6" s="3" t="s">
        <v>8</v>
      </c>
      <c r="D6" s="3" t="s">
        <v>16</v>
      </c>
      <c r="E6" s="3" t="s">
        <v>9</v>
      </c>
      <c r="F6" s="3" t="s">
        <v>1</v>
      </c>
    </row>
    <row r="7" spans="1:6">
      <c r="A7" s="8">
        <v>44887</v>
      </c>
      <c r="B7" s="8" t="s">
        <v>67</v>
      </c>
      <c r="C7" s="4">
        <v>110.35599999999999</v>
      </c>
      <c r="D7" s="4"/>
      <c r="E7" s="4"/>
      <c r="F7" s="4">
        <f t="shared" ref="F7:F15" si="1">SUM(C7:E7)</f>
        <v>110.35599999999999</v>
      </c>
    </row>
    <row r="8" spans="1:6">
      <c r="A8" s="8">
        <v>44887</v>
      </c>
      <c r="B8" s="8" t="s">
        <v>84</v>
      </c>
      <c r="C8" s="4"/>
      <c r="D8" s="4"/>
      <c r="E8" s="4"/>
      <c r="F8" s="4">
        <f t="shared" si="1"/>
        <v>0</v>
      </c>
    </row>
    <row r="9" spans="1:6">
      <c r="A9" s="8">
        <v>44887</v>
      </c>
      <c r="B9" s="8" t="s">
        <v>69</v>
      </c>
      <c r="C9" s="4">
        <v>100.464</v>
      </c>
      <c r="D9" s="4"/>
      <c r="E9" s="4"/>
      <c r="F9" s="4">
        <f t="shared" si="1"/>
        <v>100.464</v>
      </c>
    </row>
    <row r="10" spans="1:6">
      <c r="A10" s="8">
        <v>44887</v>
      </c>
      <c r="B10" s="8" t="s">
        <v>71</v>
      </c>
      <c r="C10" s="4"/>
      <c r="D10" s="4"/>
      <c r="E10" s="4"/>
      <c r="F10" s="4">
        <f t="shared" si="1"/>
        <v>0</v>
      </c>
    </row>
    <row r="11" spans="1:6">
      <c r="A11" s="8">
        <v>44887</v>
      </c>
      <c r="B11" s="8" t="s">
        <v>73</v>
      </c>
      <c r="C11" s="4"/>
      <c r="D11" s="4"/>
      <c r="E11" s="4"/>
      <c r="F11" s="4">
        <f t="shared" si="1"/>
        <v>0</v>
      </c>
    </row>
    <row r="12" spans="1:6">
      <c r="A12" s="8">
        <v>44887</v>
      </c>
      <c r="B12" s="8" t="s">
        <v>74</v>
      </c>
      <c r="C12" s="4"/>
      <c r="D12" s="4"/>
      <c r="E12" s="4"/>
      <c r="F12" s="4">
        <f t="shared" si="1"/>
        <v>0</v>
      </c>
    </row>
    <row r="13" spans="1:6">
      <c r="A13" s="8">
        <v>44887</v>
      </c>
      <c r="B13" s="8" t="s">
        <v>75</v>
      </c>
      <c r="C13" s="4">
        <v>110.706</v>
      </c>
      <c r="D13" s="4"/>
      <c r="E13" s="4"/>
      <c r="F13" s="4">
        <f t="shared" si="1"/>
        <v>110.706</v>
      </c>
    </row>
    <row r="14" spans="1:6">
      <c r="A14" s="8">
        <v>44887</v>
      </c>
      <c r="B14" s="8" t="s">
        <v>76</v>
      </c>
      <c r="C14" s="4">
        <v>123.024</v>
      </c>
      <c r="D14" s="4"/>
      <c r="E14" s="4"/>
      <c r="F14" s="4">
        <f t="shared" si="1"/>
        <v>123.024</v>
      </c>
    </row>
    <row r="15" spans="1:6">
      <c r="A15" s="8">
        <v>44887</v>
      </c>
      <c r="B15" s="8" t="s">
        <v>81</v>
      </c>
      <c r="C15" s="4"/>
      <c r="D15" s="4"/>
      <c r="E15" s="4"/>
      <c r="F15" s="4">
        <f t="shared" si="1"/>
        <v>0</v>
      </c>
    </row>
    <row r="16" spans="1:6">
      <c r="A16" s="8">
        <v>44917</v>
      </c>
      <c r="B16" s="8">
        <v>44896</v>
      </c>
      <c r="C16" s="4"/>
      <c r="D16" s="4"/>
      <c r="E16" s="4"/>
      <c r="F16" s="4">
        <f t="shared" ref="F16:F35" si="2">SUM(C16:E16)</f>
        <v>0</v>
      </c>
    </row>
    <row r="17" spans="1:6">
      <c r="A17" s="8">
        <v>44917</v>
      </c>
      <c r="B17" s="8">
        <v>44897</v>
      </c>
      <c r="C17" s="4">
        <v>138.994</v>
      </c>
      <c r="D17" s="4"/>
      <c r="E17" s="4"/>
      <c r="F17" s="4">
        <f t="shared" si="2"/>
        <v>138.994</v>
      </c>
    </row>
    <row r="18" spans="1:6">
      <c r="A18" s="8">
        <v>44917</v>
      </c>
      <c r="B18" s="8">
        <v>44898</v>
      </c>
      <c r="C18" s="4">
        <v>54.927</v>
      </c>
      <c r="D18" s="4"/>
      <c r="E18" s="4"/>
      <c r="F18" s="4">
        <f t="shared" si="2"/>
        <v>54.927</v>
      </c>
    </row>
    <row r="19" spans="1:6">
      <c r="A19" s="8">
        <v>44917</v>
      </c>
      <c r="B19" s="8">
        <v>44899</v>
      </c>
      <c r="C19" s="4">
        <v>73.373999999999995</v>
      </c>
      <c r="D19" s="4"/>
      <c r="E19" s="4">
        <v>34.305</v>
      </c>
      <c r="F19" s="4">
        <f t="shared" si="2"/>
        <v>107.679</v>
      </c>
    </row>
    <row r="20" spans="1:6">
      <c r="A20" s="8">
        <v>44917</v>
      </c>
      <c r="B20" s="8">
        <v>44900</v>
      </c>
      <c r="C20" s="4"/>
      <c r="D20" s="4"/>
      <c r="E20" s="4"/>
      <c r="F20" s="4">
        <f t="shared" si="2"/>
        <v>0</v>
      </c>
    </row>
    <row r="21" spans="1:6">
      <c r="A21" s="8">
        <v>44917</v>
      </c>
      <c r="B21" s="8">
        <v>44901</v>
      </c>
      <c r="C21" s="4">
        <v>117.294</v>
      </c>
      <c r="D21" s="4"/>
      <c r="E21" s="4">
        <v>30.007999999999999</v>
      </c>
      <c r="F21" s="4">
        <f t="shared" si="2"/>
        <v>147.30199999999999</v>
      </c>
    </row>
    <row r="22" spans="1:6">
      <c r="A22" s="8">
        <v>44917</v>
      </c>
      <c r="B22" s="8">
        <v>44902</v>
      </c>
      <c r="C22" s="4"/>
      <c r="D22" s="4"/>
      <c r="E22" s="4"/>
      <c r="F22" s="4">
        <f t="shared" si="2"/>
        <v>0</v>
      </c>
    </row>
    <row r="23" spans="1:6">
      <c r="A23" s="8">
        <v>44917</v>
      </c>
      <c r="B23" s="8">
        <v>44903</v>
      </c>
      <c r="C23" s="4">
        <v>72.465000000000003</v>
      </c>
      <c r="D23" s="4"/>
      <c r="E23" s="4">
        <v>45.887999999999998</v>
      </c>
      <c r="F23" s="4">
        <f t="shared" si="2"/>
        <v>118.35300000000001</v>
      </c>
    </row>
    <row r="24" spans="1:6">
      <c r="A24" s="8">
        <v>44917</v>
      </c>
      <c r="B24" s="8">
        <v>44904</v>
      </c>
      <c r="C24" s="4"/>
      <c r="D24" s="4"/>
      <c r="E24" s="4"/>
      <c r="F24" s="4">
        <f>SUM(C24:E24)</f>
        <v>0</v>
      </c>
    </row>
    <row r="25" spans="1:6">
      <c r="A25" s="8">
        <v>44917</v>
      </c>
      <c r="B25" s="8">
        <v>44905</v>
      </c>
      <c r="C25" s="4">
        <f>219.549</f>
        <v>219.54900000000001</v>
      </c>
      <c r="D25" s="4"/>
      <c r="E25" s="4">
        <v>38.098999999999997</v>
      </c>
      <c r="F25" s="4">
        <f t="shared" si="2"/>
        <v>257.64800000000002</v>
      </c>
    </row>
    <row r="26" spans="1:6">
      <c r="A26" s="8">
        <v>44917</v>
      </c>
      <c r="B26" s="8">
        <v>44906</v>
      </c>
      <c r="C26" s="4">
        <v>0.16500000000000001</v>
      </c>
      <c r="D26" s="4"/>
      <c r="E26" s="4">
        <v>70.230999999999995</v>
      </c>
      <c r="F26" s="4">
        <f t="shared" si="2"/>
        <v>70.396000000000001</v>
      </c>
    </row>
    <row r="27" spans="1:6">
      <c r="A27" s="8">
        <v>44917</v>
      </c>
      <c r="B27" s="8">
        <v>44907</v>
      </c>
      <c r="C27" s="4">
        <v>146.029</v>
      </c>
      <c r="D27" s="4"/>
      <c r="E27" s="4">
        <v>34.1</v>
      </c>
      <c r="F27" s="4">
        <f t="shared" si="2"/>
        <v>180.12899999999999</v>
      </c>
    </row>
    <row r="28" spans="1:6">
      <c r="A28" s="8">
        <v>44917</v>
      </c>
      <c r="B28" s="8">
        <v>44908</v>
      </c>
      <c r="C28" s="4">
        <v>101.04</v>
      </c>
      <c r="D28" s="4"/>
      <c r="E28" s="4"/>
      <c r="F28" s="4">
        <f t="shared" si="2"/>
        <v>101.04</v>
      </c>
    </row>
    <row r="29" spans="1:6">
      <c r="A29" s="8">
        <v>44917</v>
      </c>
      <c r="B29" s="8">
        <v>44909</v>
      </c>
      <c r="C29" s="4"/>
      <c r="D29" s="4"/>
      <c r="E29" s="4"/>
      <c r="F29" s="4">
        <f t="shared" si="2"/>
        <v>0</v>
      </c>
    </row>
    <row r="30" spans="1:6">
      <c r="A30" s="8">
        <v>44917</v>
      </c>
      <c r="B30" s="8">
        <v>44910</v>
      </c>
      <c r="C30" s="4">
        <v>113.31</v>
      </c>
      <c r="D30" s="4"/>
      <c r="E30" s="4">
        <v>4.9489999999999998</v>
      </c>
      <c r="F30" s="4">
        <f t="shared" si="2"/>
        <v>118.259</v>
      </c>
    </row>
    <row r="31" spans="1:6">
      <c r="A31" s="8">
        <v>44917</v>
      </c>
      <c r="B31" s="8">
        <v>44911</v>
      </c>
      <c r="C31" s="4"/>
      <c r="D31" s="4"/>
      <c r="E31" s="4"/>
      <c r="F31" s="4">
        <f t="shared" si="2"/>
        <v>0</v>
      </c>
    </row>
    <row r="32" spans="1:6">
      <c r="A32" s="8">
        <v>44917</v>
      </c>
      <c r="B32" s="8">
        <v>44912</v>
      </c>
      <c r="C32" s="4"/>
      <c r="D32" s="4"/>
      <c r="E32" s="4"/>
      <c r="F32" s="4">
        <f t="shared" si="2"/>
        <v>0</v>
      </c>
    </row>
    <row r="33" spans="1:6">
      <c r="A33" s="8">
        <v>44917</v>
      </c>
      <c r="B33" s="8">
        <v>44913</v>
      </c>
      <c r="C33" s="4">
        <v>204.608</v>
      </c>
      <c r="D33" s="4"/>
      <c r="E33" s="4"/>
      <c r="F33" s="4">
        <f t="shared" si="2"/>
        <v>204.608</v>
      </c>
    </row>
    <row r="34" spans="1:6">
      <c r="A34" s="8">
        <v>44917</v>
      </c>
      <c r="B34" s="8">
        <v>44914</v>
      </c>
      <c r="C34" s="4"/>
      <c r="D34" s="4"/>
      <c r="E34" s="4"/>
      <c r="F34" s="4">
        <f t="shared" si="2"/>
        <v>0</v>
      </c>
    </row>
    <row r="35" spans="1:6">
      <c r="A35" s="8">
        <v>44917</v>
      </c>
      <c r="B35" s="8">
        <v>44915</v>
      </c>
      <c r="C35" s="4"/>
      <c r="D35" s="4"/>
      <c r="E35" s="4"/>
      <c r="F35" s="4">
        <f t="shared" si="2"/>
        <v>0</v>
      </c>
    </row>
    <row r="36" spans="1:6">
      <c r="A36" s="8">
        <v>44917</v>
      </c>
      <c r="B36" s="8">
        <v>44916</v>
      </c>
      <c r="C36" s="4">
        <v>220.929</v>
      </c>
      <c r="D36" s="4"/>
      <c r="E36" s="4"/>
      <c r="F36" s="4">
        <f t="shared" ref="F36:F77" si="3">SUM(C36:E36)</f>
        <v>220.929</v>
      </c>
    </row>
    <row r="37" spans="1:6">
      <c r="A37" s="8">
        <v>44917</v>
      </c>
      <c r="B37" s="8">
        <v>44917</v>
      </c>
      <c r="C37" s="4">
        <v>107.337</v>
      </c>
      <c r="D37" s="4"/>
      <c r="E37" s="4"/>
      <c r="F37" s="4">
        <f t="shared" si="3"/>
        <v>107.337</v>
      </c>
    </row>
    <row r="38" spans="1:6">
      <c r="A38" s="8">
        <v>44917</v>
      </c>
      <c r="B38" s="8">
        <v>44918</v>
      </c>
      <c r="C38" s="4"/>
      <c r="D38" s="4"/>
      <c r="E38" s="4"/>
      <c r="F38" s="4">
        <f t="shared" si="3"/>
        <v>0</v>
      </c>
    </row>
    <row r="39" spans="1:6">
      <c r="A39" s="8">
        <v>44917</v>
      </c>
      <c r="B39" s="8">
        <v>44919</v>
      </c>
      <c r="C39" s="4"/>
      <c r="D39" s="4"/>
      <c r="E39" s="4"/>
      <c r="F39" s="4">
        <f t="shared" si="3"/>
        <v>0</v>
      </c>
    </row>
    <row r="40" spans="1:6">
      <c r="A40" s="8">
        <v>44917</v>
      </c>
      <c r="B40" s="8">
        <v>44920</v>
      </c>
      <c r="C40" s="4">
        <v>101.268</v>
      </c>
      <c r="D40" s="4"/>
      <c r="E40" s="4">
        <v>73.893000000000001</v>
      </c>
      <c r="F40" s="4">
        <f t="shared" si="3"/>
        <v>175.161</v>
      </c>
    </row>
    <row r="41" spans="1:6">
      <c r="A41" s="8">
        <v>44917</v>
      </c>
      <c r="B41" s="8">
        <v>44921</v>
      </c>
      <c r="C41" s="4"/>
      <c r="D41" s="4"/>
      <c r="E41" s="4"/>
      <c r="F41" s="4">
        <f t="shared" si="3"/>
        <v>0</v>
      </c>
    </row>
    <row r="42" spans="1:6">
      <c r="A42" s="8">
        <v>44917</v>
      </c>
      <c r="B42" s="8">
        <v>44922</v>
      </c>
      <c r="C42" s="4">
        <v>261.92399999999998</v>
      </c>
      <c r="D42" s="4"/>
      <c r="E42" s="4">
        <v>1.7290000000000001</v>
      </c>
      <c r="F42" s="4">
        <f t="shared" si="3"/>
        <v>263.65299999999996</v>
      </c>
    </row>
    <row r="43" spans="1:6">
      <c r="A43" s="8">
        <v>44917</v>
      </c>
      <c r="B43" s="8">
        <v>44923</v>
      </c>
      <c r="C43" s="4"/>
      <c r="D43" s="4"/>
      <c r="E43" s="4"/>
      <c r="F43" s="4">
        <f t="shared" si="3"/>
        <v>0</v>
      </c>
    </row>
    <row r="44" spans="1:6">
      <c r="A44" s="8">
        <v>44917</v>
      </c>
      <c r="B44" s="8">
        <v>44924</v>
      </c>
      <c r="C44" s="4"/>
      <c r="D44" s="4"/>
      <c r="E44" s="4"/>
      <c r="F44" s="4">
        <f t="shared" si="3"/>
        <v>0</v>
      </c>
    </row>
    <row r="45" spans="1:6">
      <c r="A45" s="8">
        <v>44917</v>
      </c>
      <c r="B45" s="8">
        <v>44925</v>
      </c>
      <c r="C45" s="4"/>
      <c r="D45" s="4"/>
      <c r="E45" s="4"/>
      <c r="F45" s="4">
        <f t="shared" si="3"/>
        <v>0</v>
      </c>
    </row>
    <row r="46" spans="1:6">
      <c r="A46" s="8">
        <v>44917</v>
      </c>
      <c r="B46" s="8">
        <v>44926</v>
      </c>
      <c r="C46" s="4">
        <v>289.60000000000002</v>
      </c>
      <c r="D46" s="4"/>
      <c r="E46" s="4"/>
      <c r="F46" s="4">
        <f t="shared" si="3"/>
        <v>289.60000000000002</v>
      </c>
    </row>
    <row r="47" spans="1:6">
      <c r="A47" s="8">
        <v>44949</v>
      </c>
      <c r="B47" s="8">
        <v>44927</v>
      </c>
      <c r="C47" s="4">
        <v>0</v>
      </c>
      <c r="D47" s="4"/>
      <c r="E47" s="4"/>
      <c r="F47" s="4">
        <f t="shared" si="3"/>
        <v>0</v>
      </c>
    </row>
    <row r="48" spans="1:6">
      <c r="A48" s="8">
        <v>44949</v>
      </c>
      <c r="B48" s="8">
        <v>44928</v>
      </c>
      <c r="C48" s="4">
        <v>0</v>
      </c>
      <c r="D48" s="4"/>
      <c r="E48" s="4"/>
      <c r="F48" s="4">
        <f t="shared" si="3"/>
        <v>0</v>
      </c>
    </row>
    <row r="49" spans="1:6">
      <c r="A49" s="8">
        <v>44949</v>
      </c>
      <c r="B49" s="8">
        <v>44929</v>
      </c>
      <c r="C49" s="4">
        <v>366.44600000000003</v>
      </c>
      <c r="D49" s="4"/>
      <c r="E49" s="4"/>
      <c r="F49" s="4">
        <f t="shared" si="3"/>
        <v>366.44600000000003</v>
      </c>
    </row>
    <row r="50" spans="1:6">
      <c r="A50" s="8">
        <v>44949</v>
      </c>
      <c r="B50" s="8">
        <v>44930</v>
      </c>
      <c r="C50" s="4">
        <v>0</v>
      </c>
      <c r="D50" s="4"/>
      <c r="E50" s="4"/>
      <c r="F50" s="4">
        <f t="shared" si="3"/>
        <v>0</v>
      </c>
    </row>
    <row r="51" spans="1:6">
      <c r="A51" s="8">
        <v>44949</v>
      </c>
      <c r="B51" s="8">
        <v>44931</v>
      </c>
      <c r="C51" s="4">
        <v>0</v>
      </c>
      <c r="D51" s="4"/>
      <c r="E51" s="4"/>
      <c r="F51" s="4">
        <f t="shared" si="3"/>
        <v>0</v>
      </c>
    </row>
    <row r="52" spans="1:6">
      <c r="A52" s="8">
        <v>44949</v>
      </c>
      <c r="B52" s="8">
        <v>44932</v>
      </c>
      <c r="C52" s="4">
        <f>97.776+266.146</f>
        <v>363.92200000000003</v>
      </c>
      <c r="D52" s="4"/>
      <c r="E52" s="4"/>
      <c r="F52" s="4">
        <f t="shared" si="3"/>
        <v>363.92200000000003</v>
      </c>
    </row>
    <row r="53" spans="1:6">
      <c r="A53" s="8">
        <v>44949</v>
      </c>
      <c r="B53" s="8">
        <v>44933</v>
      </c>
      <c r="C53" s="4">
        <v>0</v>
      </c>
      <c r="D53" s="4"/>
      <c r="E53" s="4"/>
      <c r="F53" s="4">
        <f t="shared" si="3"/>
        <v>0</v>
      </c>
    </row>
    <row r="54" spans="1:6">
      <c r="A54" s="8">
        <v>44949</v>
      </c>
      <c r="B54" s="8">
        <v>44934</v>
      </c>
      <c r="C54" s="4">
        <v>161.13399999999999</v>
      </c>
      <c r="D54" s="4"/>
      <c r="E54" s="4"/>
      <c r="F54" s="4">
        <f t="shared" si="3"/>
        <v>161.13399999999999</v>
      </c>
    </row>
    <row r="55" spans="1:6">
      <c r="A55" s="8">
        <v>44949</v>
      </c>
      <c r="B55" s="8">
        <v>44935</v>
      </c>
      <c r="C55" s="4">
        <v>0</v>
      </c>
      <c r="D55" s="4"/>
      <c r="E55" s="4"/>
      <c r="F55" s="4">
        <f>SUM(C55:E55)</f>
        <v>0</v>
      </c>
    </row>
    <row r="56" spans="1:6">
      <c r="A56" s="8">
        <v>44949</v>
      </c>
      <c r="B56" s="8">
        <v>44936</v>
      </c>
      <c r="C56" s="4">
        <v>0</v>
      </c>
      <c r="D56" s="4"/>
      <c r="E56" s="4"/>
      <c r="F56" s="4">
        <f t="shared" si="3"/>
        <v>0</v>
      </c>
    </row>
    <row r="57" spans="1:6">
      <c r="A57" s="8">
        <v>44949</v>
      </c>
      <c r="B57" s="8">
        <v>44937</v>
      </c>
      <c r="C57" s="4">
        <v>0</v>
      </c>
      <c r="D57" s="4"/>
      <c r="E57" s="4"/>
      <c r="F57" s="4">
        <f t="shared" si="3"/>
        <v>0</v>
      </c>
    </row>
    <row r="58" spans="1:6">
      <c r="A58" s="8">
        <v>44949</v>
      </c>
      <c r="B58" s="8">
        <v>44938</v>
      </c>
      <c r="C58" s="4">
        <v>426.37700000000001</v>
      </c>
      <c r="D58" s="4"/>
      <c r="E58" s="4"/>
      <c r="F58" s="4">
        <f t="shared" si="3"/>
        <v>426.37700000000001</v>
      </c>
    </row>
    <row r="59" spans="1:6">
      <c r="A59" s="8">
        <v>44949</v>
      </c>
      <c r="B59" s="8">
        <v>44939</v>
      </c>
      <c r="C59" s="4">
        <v>80.950999999999993</v>
      </c>
      <c r="D59" s="4"/>
      <c r="E59" s="4"/>
      <c r="F59" s="4">
        <f t="shared" si="3"/>
        <v>80.950999999999993</v>
      </c>
    </row>
    <row r="60" spans="1:6">
      <c r="A60" s="8">
        <v>44949</v>
      </c>
      <c r="B60" s="8">
        <v>44940</v>
      </c>
      <c r="C60" s="4">
        <v>0</v>
      </c>
      <c r="D60" s="4"/>
      <c r="E60" s="4"/>
      <c r="F60" s="4">
        <f t="shared" si="3"/>
        <v>0</v>
      </c>
    </row>
    <row r="61" spans="1:6">
      <c r="A61" s="8">
        <v>44949</v>
      </c>
      <c r="B61" s="8">
        <v>44941</v>
      </c>
      <c r="C61" s="4">
        <v>0</v>
      </c>
      <c r="D61" s="4"/>
      <c r="E61" s="4"/>
      <c r="F61" s="4">
        <f t="shared" si="3"/>
        <v>0</v>
      </c>
    </row>
    <row r="62" spans="1:6">
      <c r="A62" s="8">
        <v>44949</v>
      </c>
      <c r="B62" s="8">
        <v>44942</v>
      </c>
      <c r="C62" s="4">
        <v>0</v>
      </c>
      <c r="D62" s="4"/>
      <c r="E62" s="4"/>
      <c r="F62" s="4">
        <f t="shared" si="3"/>
        <v>0</v>
      </c>
    </row>
    <row r="63" spans="1:6">
      <c r="A63" s="8">
        <v>44949</v>
      </c>
      <c r="B63" s="8">
        <v>44943</v>
      </c>
      <c r="C63" s="4">
        <v>0</v>
      </c>
      <c r="D63" s="4"/>
      <c r="E63" s="4"/>
      <c r="F63" s="4">
        <f t="shared" si="3"/>
        <v>0</v>
      </c>
    </row>
    <row r="64" spans="1:6">
      <c r="A64" s="8">
        <v>44949</v>
      </c>
      <c r="B64" s="8">
        <v>44944</v>
      </c>
      <c r="C64" s="4">
        <v>0</v>
      </c>
      <c r="D64" s="4"/>
      <c r="E64" s="4"/>
      <c r="F64" s="4">
        <f t="shared" si="3"/>
        <v>0</v>
      </c>
    </row>
    <row r="65" spans="1:6">
      <c r="A65" s="8">
        <v>44949</v>
      </c>
      <c r="B65" s="8">
        <v>44945</v>
      </c>
      <c r="C65" s="4">
        <v>0</v>
      </c>
      <c r="D65" s="4"/>
      <c r="E65" s="4"/>
      <c r="F65" s="4">
        <f t="shared" si="3"/>
        <v>0</v>
      </c>
    </row>
    <row r="66" spans="1:6">
      <c r="A66" s="8">
        <v>44949</v>
      </c>
      <c r="B66" s="8">
        <v>44946</v>
      </c>
      <c r="C66" s="4">
        <v>0</v>
      </c>
      <c r="D66" s="4"/>
      <c r="E66" s="4"/>
      <c r="F66" s="4">
        <f t="shared" si="3"/>
        <v>0</v>
      </c>
    </row>
    <row r="67" spans="1:6">
      <c r="A67" s="8">
        <v>44949</v>
      </c>
      <c r="B67" s="8">
        <v>44947</v>
      </c>
      <c r="C67" s="4">
        <v>0</v>
      </c>
      <c r="D67" s="4"/>
      <c r="E67" s="4"/>
      <c r="F67" s="4">
        <f t="shared" si="3"/>
        <v>0</v>
      </c>
    </row>
    <row r="68" spans="1:6">
      <c r="A68" s="8">
        <v>44949</v>
      </c>
      <c r="B68" s="8">
        <v>44948</v>
      </c>
      <c r="C68" s="4">
        <v>0</v>
      </c>
      <c r="D68" s="4"/>
      <c r="E68" s="4"/>
      <c r="F68" s="4">
        <f t="shared" si="3"/>
        <v>0</v>
      </c>
    </row>
    <row r="69" spans="1:6">
      <c r="A69" s="8">
        <v>44949</v>
      </c>
      <c r="B69" s="8">
        <v>44949</v>
      </c>
      <c r="C69" s="4">
        <v>24.518000000000001</v>
      </c>
      <c r="D69" s="4"/>
      <c r="E69" s="4">
        <v>264.89299999999997</v>
      </c>
      <c r="F69" s="4">
        <f t="shared" si="3"/>
        <v>289.41099999999994</v>
      </c>
    </row>
    <row r="70" spans="1:6">
      <c r="A70" s="8">
        <v>44949</v>
      </c>
      <c r="B70" s="8">
        <v>44950</v>
      </c>
      <c r="C70" s="4"/>
      <c r="D70" s="4"/>
      <c r="E70" s="4"/>
      <c r="F70" s="4">
        <f t="shared" si="3"/>
        <v>0</v>
      </c>
    </row>
    <row r="71" spans="1:6">
      <c r="A71" s="8">
        <v>44949</v>
      </c>
      <c r="B71" s="8">
        <v>44951</v>
      </c>
      <c r="C71" s="4"/>
      <c r="D71" s="4"/>
      <c r="E71" s="4"/>
      <c r="F71" s="4">
        <f t="shared" si="3"/>
        <v>0</v>
      </c>
    </row>
    <row r="72" spans="1:6">
      <c r="A72" s="8">
        <v>44949</v>
      </c>
      <c r="B72" s="8">
        <v>44952</v>
      </c>
      <c r="C72" s="4"/>
      <c r="D72" s="4"/>
      <c r="E72" s="4"/>
      <c r="F72" s="4">
        <f t="shared" si="3"/>
        <v>0</v>
      </c>
    </row>
    <row r="73" spans="1:6">
      <c r="A73" s="8">
        <v>44949</v>
      </c>
      <c r="B73" s="8">
        <v>44953</v>
      </c>
      <c r="C73" s="4"/>
      <c r="D73" s="4"/>
      <c r="E73" s="4"/>
      <c r="F73" s="4">
        <f t="shared" si="3"/>
        <v>0</v>
      </c>
    </row>
    <row r="74" spans="1:6">
      <c r="A74" s="8">
        <v>44949</v>
      </c>
      <c r="B74" s="8">
        <v>44954</v>
      </c>
      <c r="C74" s="4">
        <v>156.28</v>
      </c>
      <c r="D74" s="4"/>
      <c r="E74" s="4">
        <v>167.19499999999999</v>
      </c>
      <c r="F74" s="4">
        <f t="shared" si="3"/>
        <v>323.47500000000002</v>
      </c>
    </row>
    <row r="75" spans="1:6">
      <c r="A75" s="8">
        <v>44949</v>
      </c>
      <c r="B75" s="8">
        <v>44955</v>
      </c>
      <c r="C75" s="4">
        <v>238.31</v>
      </c>
      <c r="D75" s="4"/>
      <c r="E75" s="4">
        <v>15.164</v>
      </c>
      <c r="F75" s="4">
        <f t="shared" si="3"/>
        <v>253.47399999999999</v>
      </c>
    </row>
    <row r="76" spans="1:6">
      <c r="A76" s="8">
        <v>44949</v>
      </c>
      <c r="B76" s="8">
        <v>44956</v>
      </c>
      <c r="C76" s="4"/>
      <c r="D76" s="4"/>
      <c r="E76" s="4"/>
      <c r="F76" s="4">
        <f t="shared" si="3"/>
        <v>0</v>
      </c>
    </row>
    <row r="77" spans="1:6">
      <c r="A77" s="8">
        <v>44949</v>
      </c>
      <c r="B77" s="8">
        <v>44957</v>
      </c>
      <c r="C77" s="4">
        <v>188.971</v>
      </c>
      <c r="D77" s="4"/>
      <c r="E77" s="4">
        <v>34.393999999999998</v>
      </c>
      <c r="F77" s="4">
        <f t="shared" si="3"/>
        <v>223.36500000000001</v>
      </c>
    </row>
    <row r="78" spans="1:6">
      <c r="A78" s="8">
        <v>44980</v>
      </c>
      <c r="B78" s="8">
        <v>44958</v>
      </c>
      <c r="C78" s="4">
        <f>179.511</f>
        <v>179.511</v>
      </c>
      <c r="D78" s="4"/>
      <c r="E78" s="4">
        <v>16.318999999999999</v>
      </c>
      <c r="F78" s="4">
        <f t="shared" ref="F78" si="4">SUM(C78:E78)</f>
        <v>195.82999999999998</v>
      </c>
    </row>
    <row r="79" spans="1:6">
      <c r="A79" s="8">
        <v>44980</v>
      </c>
      <c r="B79" s="8">
        <v>44959</v>
      </c>
      <c r="C79" s="4"/>
      <c r="D79" s="4"/>
      <c r="E79" s="4"/>
      <c r="F79" s="4">
        <f t="shared" ref="F79:F104" si="5">SUM(C79:E79)</f>
        <v>0</v>
      </c>
    </row>
    <row r="80" spans="1:6">
      <c r="A80" s="8">
        <v>44980</v>
      </c>
      <c r="B80" s="8">
        <v>44960</v>
      </c>
      <c r="C80" s="4">
        <f>143.024+8.838</f>
        <v>151.86199999999999</v>
      </c>
      <c r="D80" s="4"/>
      <c r="E80" s="4">
        <f>93.502+59.089</f>
        <v>152.59100000000001</v>
      </c>
      <c r="F80" s="4">
        <f t="shared" si="5"/>
        <v>304.45299999999997</v>
      </c>
    </row>
    <row r="81" spans="1:6">
      <c r="A81" s="8">
        <v>44980</v>
      </c>
      <c r="B81" s="8">
        <v>44961</v>
      </c>
      <c r="C81" s="4"/>
      <c r="D81" s="4"/>
      <c r="E81" s="4"/>
      <c r="F81" s="4">
        <f t="shared" si="5"/>
        <v>0</v>
      </c>
    </row>
    <row r="82" spans="1:6">
      <c r="A82" s="8">
        <v>44980</v>
      </c>
      <c r="B82" s="8">
        <v>44962</v>
      </c>
      <c r="C82" s="4">
        <v>114.917</v>
      </c>
      <c r="D82" s="4"/>
      <c r="E82" s="4">
        <v>52.283999999999999</v>
      </c>
      <c r="F82" s="4">
        <f t="shared" si="5"/>
        <v>167.20099999999999</v>
      </c>
    </row>
    <row r="83" spans="1:6">
      <c r="A83" s="8">
        <v>44980</v>
      </c>
      <c r="B83" s="8">
        <v>44963</v>
      </c>
      <c r="C83" s="4">
        <v>7.2110000000000003</v>
      </c>
      <c r="D83" s="4"/>
      <c r="E83" s="4">
        <v>57.993000000000002</v>
      </c>
      <c r="F83" s="4">
        <f t="shared" si="5"/>
        <v>65.204000000000008</v>
      </c>
    </row>
    <row r="84" spans="1:6">
      <c r="A84" s="8">
        <v>44980</v>
      </c>
      <c r="B84" s="8">
        <v>44964</v>
      </c>
      <c r="C84" s="4"/>
      <c r="D84" s="4"/>
      <c r="E84" s="4"/>
      <c r="F84" s="4">
        <f t="shared" si="5"/>
        <v>0</v>
      </c>
    </row>
    <row r="85" spans="1:6">
      <c r="A85" s="8">
        <v>44980</v>
      </c>
      <c r="B85" s="8">
        <v>44965</v>
      </c>
      <c r="C85" s="4"/>
      <c r="D85" s="4"/>
      <c r="E85" s="4"/>
      <c r="F85" s="4">
        <f t="shared" si="5"/>
        <v>0</v>
      </c>
    </row>
    <row r="86" spans="1:6">
      <c r="A86" s="8">
        <v>44980</v>
      </c>
      <c r="B86" s="8">
        <v>44966</v>
      </c>
      <c r="C86" s="4">
        <v>124.456</v>
      </c>
      <c r="D86" s="4"/>
      <c r="E86" s="4">
        <v>99.938999999999993</v>
      </c>
      <c r="F86" s="4">
        <f t="shared" si="5"/>
        <v>224.39499999999998</v>
      </c>
    </row>
    <row r="87" spans="1:6">
      <c r="A87" s="8">
        <v>44980</v>
      </c>
      <c r="B87" s="8">
        <v>44967</v>
      </c>
      <c r="C87" s="4"/>
      <c r="D87" s="4"/>
      <c r="E87" s="4"/>
      <c r="F87" s="4">
        <f t="shared" si="5"/>
        <v>0</v>
      </c>
    </row>
    <row r="88" spans="1:6">
      <c r="A88" s="8">
        <v>44980</v>
      </c>
      <c r="B88" s="8">
        <v>44968</v>
      </c>
      <c r="C88" s="4">
        <v>193.774</v>
      </c>
      <c r="D88" s="4"/>
      <c r="E88" s="4"/>
      <c r="F88" s="4">
        <f t="shared" si="5"/>
        <v>193.774</v>
      </c>
    </row>
    <row r="89" spans="1:6">
      <c r="A89" s="8">
        <v>44980</v>
      </c>
      <c r="B89" s="8">
        <v>44969</v>
      </c>
      <c r="C89" s="4"/>
      <c r="D89" s="4"/>
      <c r="E89" s="4"/>
      <c r="F89" s="4">
        <f t="shared" si="5"/>
        <v>0</v>
      </c>
    </row>
    <row r="90" spans="1:6">
      <c r="A90" s="8">
        <v>44980</v>
      </c>
      <c r="B90" s="8">
        <v>44970</v>
      </c>
      <c r="C90" s="4">
        <f>203.547</f>
        <v>203.547</v>
      </c>
      <c r="D90" s="4"/>
      <c r="E90" s="4">
        <f>9.576</f>
        <v>9.5760000000000005</v>
      </c>
      <c r="F90" s="4">
        <f t="shared" si="5"/>
        <v>213.12299999999999</v>
      </c>
    </row>
    <row r="91" spans="1:6">
      <c r="A91" s="8">
        <v>44980</v>
      </c>
      <c r="B91" s="8">
        <v>44971</v>
      </c>
      <c r="C91" s="4">
        <v>32.521999999999998</v>
      </c>
      <c r="D91" s="4"/>
      <c r="E91" s="4"/>
      <c r="F91" s="4">
        <f t="shared" si="5"/>
        <v>32.521999999999998</v>
      </c>
    </row>
    <row r="92" spans="1:6">
      <c r="A92" s="8">
        <v>44980</v>
      </c>
      <c r="B92" s="8">
        <v>44972</v>
      </c>
      <c r="C92" s="4"/>
      <c r="D92" s="4"/>
      <c r="E92" s="4"/>
      <c r="F92" s="4">
        <f t="shared" si="5"/>
        <v>0</v>
      </c>
    </row>
    <row r="93" spans="1:6">
      <c r="A93" s="8">
        <v>44980</v>
      </c>
      <c r="B93" s="8">
        <v>44973</v>
      </c>
      <c r="C93" s="4">
        <v>225.99600000000001</v>
      </c>
      <c r="D93" s="4"/>
      <c r="E93" s="4">
        <v>44.497</v>
      </c>
      <c r="F93" s="4">
        <f t="shared" si="5"/>
        <v>270.49299999999999</v>
      </c>
    </row>
    <row r="94" spans="1:6">
      <c r="A94" s="8">
        <v>44980</v>
      </c>
      <c r="B94" s="8">
        <v>44974</v>
      </c>
      <c r="C94" s="4">
        <v>90.388419999999996</v>
      </c>
      <c r="D94" s="4"/>
      <c r="E94" s="4">
        <v>15.44608</v>
      </c>
      <c r="F94" s="4">
        <f t="shared" si="5"/>
        <v>105.83449999999999</v>
      </c>
    </row>
    <row r="95" spans="1:6">
      <c r="A95" s="8">
        <v>44980</v>
      </c>
      <c r="B95" s="8">
        <v>44975</v>
      </c>
      <c r="C95" s="4">
        <v>106.9</v>
      </c>
      <c r="D95" s="4"/>
      <c r="E95" s="4"/>
      <c r="F95" s="4">
        <f t="shared" si="5"/>
        <v>106.9</v>
      </c>
    </row>
    <row r="96" spans="1:6">
      <c r="A96" s="8">
        <v>44980</v>
      </c>
      <c r="B96" s="8">
        <v>44976</v>
      </c>
      <c r="C96" s="4">
        <v>98.01</v>
      </c>
      <c r="D96" s="4"/>
      <c r="E96" s="4">
        <v>2.698</v>
      </c>
      <c r="F96" s="4">
        <f t="shared" si="5"/>
        <v>100.708</v>
      </c>
    </row>
    <row r="97" spans="1:6">
      <c r="A97" s="8">
        <v>44980</v>
      </c>
      <c r="B97" s="8">
        <v>44977</v>
      </c>
      <c r="C97" s="4">
        <v>212.97800000000001</v>
      </c>
      <c r="D97" s="4"/>
      <c r="E97" s="4">
        <v>10.821</v>
      </c>
      <c r="F97" s="4">
        <f t="shared" si="5"/>
        <v>223.79900000000001</v>
      </c>
    </row>
    <row r="98" spans="1:6">
      <c r="A98" s="8">
        <v>44980</v>
      </c>
      <c r="B98" s="8">
        <v>44978</v>
      </c>
      <c r="C98" s="4">
        <v>155.34413999999998</v>
      </c>
      <c r="D98" s="4"/>
      <c r="E98" s="4"/>
      <c r="F98" s="4">
        <f>SUM(C98:E98)</f>
        <v>155.34413999999998</v>
      </c>
    </row>
    <row r="99" spans="1:6">
      <c r="A99" s="8">
        <v>44980</v>
      </c>
      <c r="B99" s="8">
        <v>44979</v>
      </c>
      <c r="C99" s="4">
        <v>148.63048999999998</v>
      </c>
      <c r="D99" s="4"/>
      <c r="E99" s="4"/>
      <c r="F99" s="4">
        <f>SUM(C99:E99)</f>
        <v>148.63048999999998</v>
      </c>
    </row>
    <row r="100" spans="1:6">
      <c r="A100" s="8">
        <v>44980</v>
      </c>
      <c r="B100" s="8">
        <v>44980</v>
      </c>
      <c r="C100" s="4">
        <v>47.224980000000002</v>
      </c>
      <c r="D100" s="4"/>
      <c r="E100" s="4"/>
      <c r="F100" s="4">
        <f>SUM(C100:E100)</f>
        <v>47.224980000000002</v>
      </c>
    </row>
    <row r="101" spans="1:6">
      <c r="A101" s="8">
        <v>44980</v>
      </c>
      <c r="B101" s="8">
        <v>44981</v>
      </c>
      <c r="C101" s="4">
        <v>87.34</v>
      </c>
      <c r="D101" s="4"/>
      <c r="E101" s="4"/>
      <c r="F101" s="4">
        <f>SUM(C101:E101)</f>
        <v>87.34</v>
      </c>
    </row>
    <row r="102" spans="1:6">
      <c r="A102" s="8">
        <v>44980</v>
      </c>
      <c r="B102" s="8">
        <v>44982</v>
      </c>
      <c r="C102" s="4">
        <v>152.40899999999999</v>
      </c>
      <c r="D102" s="4"/>
      <c r="E102" s="4"/>
      <c r="F102" s="4">
        <f>SUM(C102:E102)</f>
        <v>152.40899999999999</v>
      </c>
    </row>
    <row r="103" spans="1:6">
      <c r="A103" s="8">
        <v>44980</v>
      </c>
      <c r="B103" s="8">
        <v>44983</v>
      </c>
      <c r="C103" s="4">
        <v>34.298000000000002</v>
      </c>
      <c r="D103" s="4"/>
      <c r="E103" s="4"/>
      <c r="F103" s="4">
        <f t="shared" si="5"/>
        <v>34.298000000000002</v>
      </c>
    </row>
    <row r="104" spans="1:6">
      <c r="A104" s="8">
        <v>44980</v>
      </c>
      <c r="B104" s="8">
        <v>44984</v>
      </c>
      <c r="C104" s="4">
        <v>106.73399999999999</v>
      </c>
      <c r="D104" s="4"/>
      <c r="E104" s="4"/>
      <c r="F104" s="4">
        <f t="shared" si="5"/>
        <v>106.73399999999999</v>
      </c>
    </row>
    <row r="105" spans="1:6">
      <c r="A105" s="8">
        <v>44980</v>
      </c>
      <c r="B105" s="8">
        <v>44985</v>
      </c>
      <c r="C105" s="4">
        <v>170.584</v>
      </c>
      <c r="D105" s="4"/>
      <c r="E105" s="4"/>
      <c r="F105" s="4">
        <f t="shared" ref="F105" si="6">SUM(C105:E105)</f>
        <v>170.584</v>
      </c>
    </row>
    <row r="106" spans="1:6">
      <c r="A106" s="8">
        <v>45008</v>
      </c>
      <c r="B106" s="8">
        <v>44988</v>
      </c>
      <c r="C106" s="4">
        <v>226.41300000000001</v>
      </c>
      <c r="D106" s="4"/>
      <c r="E106" s="4"/>
      <c r="F106" s="4">
        <f t="shared" ref="F106:F110" si="7">SUM(C106:E106)</f>
        <v>226.41300000000001</v>
      </c>
    </row>
    <row r="107" spans="1:6">
      <c r="A107" s="8">
        <v>45008</v>
      </c>
      <c r="B107" s="8">
        <v>44989</v>
      </c>
      <c r="C107" s="4">
        <v>32.649000000000001</v>
      </c>
      <c r="D107" s="4"/>
      <c r="E107" s="4"/>
      <c r="F107" s="4">
        <f t="shared" si="7"/>
        <v>32.649000000000001</v>
      </c>
    </row>
    <row r="108" spans="1:6">
      <c r="A108" s="8">
        <v>45008</v>
      </c>
      <c r="B108" s="8">
        <v>44990</v>
      </c>
      <c r="C108" s="4">
        <v>18.937579999999997</v>
      </c>
      <c r="D108" s="4"/>
      <c r="E108" s="4"/>
      <c r="F108" s="4">
        <f t="shared" si="7"/>
        <v>18.937579999999997</v>
      </c>
    </row>
    <row r="109" spans="1:6">
      <c r="A109" s="8">
        <v>45008</v>
      </c>
      <c r="B109" s="8">
        <v>44995</v>
      </c>
      <c r="C109" s="4">
        <v>100.08199999999999</v>
      </c>
      <c r="D109" s="4"/>
      <c r="E109" s="4"/>
      <c r="F109" s="4">
        <f t="shared" si="7"/>
        <v>100.08199999999999</v>
      </c>
    </row>
    <row r="110" spans="1:6">
      <c r="A110" s="8">
        <v>45008</v>
      </c>
      <c r="B110" s="8">
        <v>44996</v>
      </c>
      <c r="C110" s="4">
        <v>95.926000000000002</v>
      </c>
      <c r="D110" s="4"/>
      <c r="E110" s="4"/>
      <c r="F110" s="4">
        <f t="shared" si="7"/>
        <v>95.926000000000002</v>
      </c>
    </row>
    <row r="111" spans="1:6">
      <c r="A111" s="8">
        <v>45008</v>
      </c>
      <c r="B111" s="8">
        <v>44997</v>
      </c>
      <c r="C111" s="4">
        <v>113.28362</v>
      </c>
      <c r="D111" s="4"/>
      <c r="E111" s="4"/>
      <c r="F111" s="4">
        <f t="shared" ref="F111:F115" si="8">SUM(C111:E111)</f>
        <v>113.28362</v>
      </c>
    </row>
    <row r="112" spans="1:6">
      <c r="A112" s="8">
        <v>45008</v>
      </c>
      <c r="B112" s="8">
        <v>44998</v>
      </c>
      <c r="C112" s="4">
        <v>140.94200000000001</v>
      </c>
      <c r="D112" s="4"/>
      <c r="E112" s="4"/>
      <c r="F112" s="4">
        <f t="shared" si="8"/>
        <v>140.94200000000001</v>
      </c>
    </row>
    <row r="113" spans="1:6">
      <c r="A113" s="8">
        <v>45008</v>
      </c>
      <c r="B113" s="8">
        <v>44999</v>
      </c>
      <c r="C113" s="4">
        <v>167.49</v>
      </c>
      <c r="D113" s="4"/>
      <c r="E113" s="4"/>
      <c r="F113" s="4">
        <f t="shared" si="8"/>
        <v>167.49</v>
      </c>
    </row>
    <row r="114" spans="1:6">
      <c r="A114" s="8">
        <v>45008</v>
      </c>
      <c r="B114" s="8">
        <v>45000</v>
      </c>
      <c r="C114" s="4">
        <v>149.94841600000001</v>
      </c>
      <c r="D114" s="4"/>
      <c r="E114" s="4"/>
      <c r="F114" s="4">
        <f t="shared" si="8"/>
        <v>149.94841600000001</v>
      </c>
    </row>
    <row r="115" spans="1:6">
      <c r="A115" s="8">
        <v>45008</v>
      </c>
      <c r="B115" s="8">
        <v>45002</v>
      </c>
      <c r="C115" s="4">
        <v>150.727</v>
      </c>
      <c r="D115" s="4"/>
      <c r="E115" s="4"/>
      <c r="F115" s="4">
        <f t="shared" si="8"/>
        <v>150.727</v>
      </c>
    </row>
    <row r="116" spans="1:6">
      <c r="A116" s="8">
        <v>45008</v>
      </c>
      <c r="B116" s="8">
        <v>45003</v>
      </c>
      <c r="C116" s="4">
        <v>40.117371999999996</v>
      </c>
      <c r="D116" s="4"/>
      <c r="E116" s="4"/>
      <c r="F116" s="4">
        <f t="shared" ref="F116:F121" si="9">SUM(C116:E116)</f>
        <v>40.117371999999996</v>
      </c>
    </row>
    <row r="117" spans="1:6">
      <c r="A117" s="8">
        <v>45008</v>
      </c>
      <c r="B117" s="8">
        <v>45004</v>
      </c>
      <c r="C117" s="4">
        <v>55.204000000000001</v>
      </c>
      <c r="D117" s="4"/>
      <c r="E117" s="4"/>
      <c r="F117" s="4">
        <f t="shared" si="9"/>
        <v>55.204000000000001</v>
      </c>
    </row>
    <row r="118" spans="1:6">
      <c r="A118" s="8">
        <v>45008</v>
      </c>
      <c r="B118" s="8">
        <v>45009</v>
      </c>
      <c r="C118" s="4">
        <v>114.27500000000001</v>
      </c>
      <c r="D118" s="4"/>
      <c r="E118" s="4"/>
      <c r="F118" s="4">
        <f t="shared" si="9"/>
        <v>114.27500000000001</v>
      </c>
    </row>
    <row r="119" spans="1:6">
      <c r="A119" s="8">
        <v>45039</v>
      </c>
      <c r="B119" s="8">
        <v>45023</v>
      </c>
      <c r="C119" s="4">
        <v>64.239000000000004</v>
      </c>
      <c r="D119" s="4"/>
      <c r="E119" s="4"/>
      <c r="F119" s="4">
        <f t="shared" si="9"/>
        <v>64.239000000000004</v>
      </c>
    </row>
    <row r="120" spans="1:6">
      <c r="A120" s="8">
        <v>45039</v>
      </c>
      <c r="B120" s="8">
        <v>45024</v>
      </c>
      <c r="C120" s="4">
        <v>71.331000000000003</v>
      </c>
      <c r="D120" s="4"/>
      <c r="E120" s="4"/>
      <c r="F120" s="4">
        <f t="shared" si="9"/>
        <v>71.331000000000003</v>
      </c>
    </row>
    <row r="121" spans="1:6">
      <c r="A121" s="8">
        <v>45039</v>
      </c>
      <c r="B121" s="8">
        <v>45025</v>
      </c>
      <c r="C121" s="4">
        <v>102.377</v>
      </c>
      <c r="D121" s="4"/>
      <c r="E121" s="4"/>
      <c r="F121" s="4">
        <f t="shared" si="9"/>
        <v>102.377</v>
      </c>
    </row>
    <row r="122" spans="1:6">
      <c r="A122" s="8">
        <v>45039</v>
      </c>
      <c r="B122" s="8">
        <v>45026</v>
      </c>
      <c r="C122" s="4">
        <v>134.53100000000001</v>
      </c>
      <c r="D122" s="4"/>
      <c r="E122" s="4"/>
      <c r="F122" s="4">
        <f t="shared" ref="F122:F125" si="10">SUM(C122:E122)</f>
        <v>134.53100000000001</v>
      </c>
    </row>
    <row r="123" spans="1:6">
      <c r="A123" s="8">
        <v>45039</v>
      </c>
      <c r="B123" s="8">
        <v>45027</v>
      </c>
      <c r="C123" s="4">
        <v>69.843000000000004</v>
      </c>
      <c r="D123" s="4"/>
      <c r="E123" s="4"/>
      <c r="F123" s="4">
        <f t="shared" si="10"/>
        <v>69.843000000000004</v>
      </c>
    </row>
    <row r="124" spans="1:6">
      <c r="A124" s="8">
        <v>45039</v>
      </c>
      <c r="B124" s="8">
        <v>45028</v>
      </c>
      <c r="C124" s="4">
        <v>122.523</v>
      </c>
      <c r="D124" s="4"/>
      <c r="E124" s="4"/>
      <c r="F124" s="4">
        <f t="shared" si="10"/>
        <v>122.523</v>
      </c>
    </row>
    <row r="125" spans="1:6">
      <c r="A125" s="8">
        <v>45039</v>
      </c>
      <c r="B125" s="8">
        <v>45029</v>
      </c>
      <c r="C125" s="4">
        <v>139.87700000000001</v>
      </c>
      <c r="D125" s="4"/>
      <c r="E125" s="4"/>
      <c r="F125" s="4">
        <f t="shared" si="10"/>
        <v>139.87700000000001</v>
      </c>
    </row>
    <row r="126" spans="1:6">
      <c r="A126" s="8">
        <v>45039</v>
      </c>
      <c r="B126" s="8">
        <v>45031</v>
      </c>
      <c r="C126" s="4">
        <v>133.696</v>
      </c>
      <c r="D126" s="4"/>
      <c r="E126" s="4"/>
      <c r="F126" s="4">
        <f>SUM(C126:E126)</f>
        <v>133.696</v>
      </c>
    </row>
    <row r="127" spans="1:6">
      <c r="A127" s="8">
        <v>45039</v>
      </c>
      <c r="B127" s="8">
        <v>45032</v>
      </c>
      <c r="C127" s="4">
        <v>141.02799999999999</v>
      </c>
      <c r="D127" s="4"/>
      <c r="E127" s="4"/>
      <c r="F127" s="4">
        <f>SUM(C127:E127)</f>
        <v>141.02799999999999</v>
      </c>
    </row>
    <row r="128" spans="1:6">
      <c r="A128" s="8">
        <v>45039</v>
      </c>
      <c r="B128" s="8">
        <v>45034</v>
      </c>
      <c r="C128" s="4">
        <v>113.461</v>
      </c>
      <c r="D128" s="4"/>
      <c r="E128" s="4"/>
      <c r="F128" s="4">
        <f>SUM(C128:E128)</f>
        <v>113.461</v>
      </c>
    </row>
    <row r="129" spans="1:6">
      <c r="A129" s="8">
        <v>45039</v>
      </c>
      <c r="B129" s="8">
        <v>45035</v>
      </c>
      <c r="C129" s="4">
        <v>141.41</v>
      </c>
      <c r="D129" s="4"/>
      <c r="E129" s="4"/>
      <c r="F129" s="4">
        <f t="shared" ref="F129:F137" si="11">SUM(C129:E129)</f>
        <v>141.41</v>
      </c>
    </row>
    <row r="130" spans="1:6">
      <c r="A130" s="8">
        <v>45039</v>
      </c>
      <c r="B130" s="8">
        <v>45037</v>
      </c>
      <c r="C130" s="4">
        <v>117.63500000000001</v>
      </c>
      <c r="D130" s="4"/>
      <c r="E130" s="4"/>
      <c r="F130" s="4">
        <f t="shared" si="11"/>
        <v>117.63500000000001</v>
      </c>
    </row>
    <row r="131" spans="1:6">
      <c r="A131" s="8">
        <v>45039</v>
      </c>
      <c r="B131" s="8">
        <v>45038</v>
      </c>
      <c r="C131" s="4">
        <v>59.677</v>
      </c>
      <c r="D131" s="4"/>
      <c r="E131" s="4"/>
      <c r="F131" s="4">
        <f t="shared" si="11"/>
        <v>59.677</v>
      </c>
    </row>
    <row r="132" spans="1:6">
      <c r="A132" s="8">
        <v>45039</v>
      </c>
      <c r="B132" s="8">
        <v>45039</v>
      </c>
      <c r="C132" s="4">
        <v>73.215999999999994</v>
      </c>
      <c r="D132" s="4"/>
      <c r="E132" s="4"/>
      <c r="F132" s="4">
        <f t="shared" si="11"/>
        <v>73.215999999999994</v>
      </c>
    </row>
    <row r="133" spans="1:6" ht="10.5" customHeight="1">
      <c r="A133" s="8">
        <v>45039</v>
      </c>
      <c r="B133" s="8">
        <v>45041</v>
      </c>
      <c r="C133" s="4">
        <v>92.808000000000007</v>
      </c>
      <c r="D133" s="4"/>
      <c r="E133" s="4"/>
      <c r="F133" s="4">
        <f t="shared" si="11"/>
        <v>92.808000000000007</v>
      </c>
    </row>
    <row r="134" spans="1:6">
      <c r="A134" s="8">
        <v>45039</v>
      </c>
      <c r="B134" s="8">
        <v>45043</v>
      </c>
      <c r="C134" s="4">
        <v>85.325000000000003</v>
      </c>
      <c r="D134" s="4"/>
      <c r="E134" s="4"/>
      <c r="F134" s="4">
        <f t="shared" si="11"/>
        <v>85.325000000000003</v>
      </c>
    </row>
    <row r="135" spans="1:6">
      <c r="A135" s="8">
        <v>45039</v>
      </c>
      <c r="B135" s="8">
        <v>45046</v>
      </c>
      <c r="C135" s="4">
        <v>14.089</v>
      </c>
      <c r="D135" s="4"/>
      <c r="E135" s="4"/>
      <c r="F135" s="4">
        <f t="shared" si="11"/>
        <v>14.089</v>
      </c>
    </row>
    <row r="136" spans="1:6">
      <c r="A136" s="8">
        <v>45069</v>
      </c>
      <c r="B136" s="8">
        <v>45048</v>
      </c>
      <c r="C136" s="4">
        <v>65.031000000000006</v>
      </c>
      <c r="D136" s="4"/>
      <c r="E136" s="4"/>
      <c r="F136" s="4">
        <f t="shared" si="11"/>
        <v>65.031000000000006</v>
      </c>
    </row>
    <row r="137" spans="1:6">
      <c r="A137" s="8">
        <v>45069</v>
      </c>
      <c r="B137" s="8">
        <v>45051</v>
      </c>
      <c r="C137" s="4">
        <v>42.834000000000003</v>
      </c>
      <c r="D137" s="4"/>
      <c r="E137" s="4"/>
      <c r="F137" s="4">
        <f t="shared" si="11"/>
        <v>42.834000000000003</v>
      </c>
    </row>
    <row r="138" spans="1:6">
      <c r="A138" s="8">
        <v>45069</v>
      </c>
      <c r="B138" s="8">
        <v>45058</v>
      </c>
      <c r="C138" s="4">
        <v>51.462000000000003</v>
      </c>
      <c r="D138" s="4"/>
      <c r="E138" s="4"/>
      <c r="F138" s="4">
        <f t="shared" ref="F138" si="12">SUM(C138:E138)</f>
        <v>51.462000000000003</v>
      </c>
    </row>
    <row r="139" spans="1:6">
      <c r="A139" s="8">
        <v>45069</v>
      </c>
      <c r="B139" s="8">
        <v>45063</v>
      </c>
      <c r="C139" s="4">
        <v>31.991</v>
      </c>
      <c r="D139" s="4"/>
      <c r="E139" s="4"/>
      <c r="F139" s="4">
        <f t="shared" ref="F139:F140" si="13">SUM(C139:E139)</f>
        <v>31.991</v>
      </c>
    </row>
    <row r="140" spans="1:6">
      <c r="A140" s="8">
        <v>45069</v>
      </c>
      <c r="B140" s="8">
        <v>45068</v>
      </c>
      <c r="C140" s="4">
        <v>172.21799999999999</v>
      </c>
      <c r="D140" s="4"/>
      <c r="E140" s="4"/>
      <c r="F140" s="4">
        <f t="shared" si="13"/>
        <v>172.21799999999999</v>
      </c>
    </row>
    <row r="141" spans="1:6">
      <c r="A141" s="8">
        <v>45069</v>
      </c>
      <c r="B141" s="8">
        <v>45069</v>
      </c>
      <c r="C141" s="4">
        <v>146.18100000000001</v>
      </c>
      <c r="D141" s="4"/>
      <c r="E141" s="4"/>
      <c r="F141" s="4">
        <f t="shared" ref="F141:F154" si="14">SUM(C141:E141)</f>
        <v>146.18100000000001</v>
      </c>
    </row>
    <row r="142" spans="1:6">
      <c r="A142" s="8">
        <v>45069</v>
      </c>
      <c r="B142" s="8">
        <v>45070</v>
      </c>
      <c r="C142" s="4">
        <v>151.28200000000001</v>
      </c>
      <c r="D142" s="4"/>
      <c r="E142" s="4"/>
      <c r="F142" s="4">
        <f t="shared" si="14"/>
        <v>151.28200000000001</v>
      </c>
    </row>
    <row r="143" spans="1:6">
      <c r="A143" s="8">
        <v>45069</v>
      </c>
      <c r="B143" s="8">
        <v>45072</v>
      </c>
      <c r="C143" s="4">
        <v>125.40600000000001</v>
      </c>
      <c r="D143" s="4"/>
      <c r="E143" s="4"/>
      <c r="F143" s="4">
        <f t="shared" si="14"/>
        <v>125.40600000000001</v>
      </c>
    </row>
    <row r="144" spans="1:6">
      <c r="A144" s="8">
        <v>45069</v>
      </c>
      <c r="B144" s="8">
        <v>45073</v>
      </c>
      <c r="C144" s="4">
        <v>76.010000000000005</v>
      </c>
      <c r="D144" s="4"/>
      <c r="E144" s="4">
        <v>30.850999999999999</v>
      </c>
      <c r="F144" s="4">
        <f t="shared" si="14"/>
        <v>106.861</v>
      </c>
    </row>
    <row r="145" spans="1:6">
      <c r="A145" s="8">
        <v>45069</v>
      </c>
      <c r="B145" s="8">
        <v>45075</v>
      </c>
      <c r="C145" s="4">
        <v>23.555</v>
      </c>
      <c r="D145" s="4"/>
      <c r="E145" s="4">
        <v>254.352</v>
      </c>
      <c r="F145" s="4">
        <f t="shared" si="14"/>
        <v>277.90699999999998</v>
      </c>
    </row>
    <row r="146" spans="1:6">
      <c r="A146" s="8">
        <v>45069</v>
      </c>
      <c r="B146" s="8">
        <v>45076</v>
      </c>
      <c r="C146" s="4">
        <v>115.685</v>
      </c>
      <c r="D146" s="4"/>
      <c r="E146" s="4"/>
      <c r="F146" s="4">
        <f t="shared" si="14"/>
        <v>115.685</v>
      </c>
    </row>
    <row r="147" spans="1:6">
      <c r="A147" s="8"/>
      <c r="B147" s="8"/>
      <c r="C147" s="4"/>
      <c r="D147" s="4"/>
      <c r="E147" s="4"/>
      <c r="F147" s="4"/>
    </row>
    <row r="148" spans="1:6">
      <c r="A148" s="8">
        <v>45100</v>
      </c>
      <c r="B148" s="8">
        <v>45078</v>
      </c>
      <c r="C148" s="4">
        <v>182.267</v>
      </c>
      <c r="D148" s="4"/>
      <c r="E148" s="4"/>
      <c r="F148" s="4">
        <f t="shared" si="14"/>
        <v>182.267</v>
      </c>
    </row>
    <row r="149" spans="1:6">
      <c r="A149" s="8">
        <v>45100</v>
      </c>
      <c r="B149" s="8">
        <v>45079</v>
      </c>
      <c r="C149" s="4">
        <v>26.52</v>
      </c>
      <c r="D149" s="4"/>
      <c r="E149" s="4"/>
      <c r="F149" s="4">
        <f t="shared" si="14"/>
        <v>26.52</v>
      </c>
    </row>
    <row r="150" spans="1:6">
      <c r="A150" s="8">
        <v>45100</v>
      </c>
      <c r="B150" s="8">
        <v>45085</v>
      </c>
      <c r="C150" s="4">
        <v>78.563000000000002</v>
      </c>
      <c r="D150" s="4"/>
      <c r="E150" s="4"/>
      <c r="F150" s="4">
        <f t="shared" si="14"/>
        <v>78.563000000000002</v>
      </c>
    </row>
    <row r="151" spans="1:6">
      <c r="A151" s="8">
        <v>45100</v>
      </c>
      <c r="B151" s="8">
        <v>45086</v>
      </c>
      <c r="C151" s="4">
        <v>141.203</v>
      </c>
      <c r="D151" s="4"/>
      <c r="E151" s="4"/>
      <c r="F151" s="4">
        <f t="shared" si="14"/>
        <v>141.203</v>
      </c>
    </row>
    <row r="152" spans="1:6">
      <c r="A152" s="8">
        <v>45100</v>
      </c>
      <c r="B152" s="8">
        <v>45088</v>
      </c>
      <c r="C152" s="4">
        <v>56.191000000000003</v>
      </c>
      <c r="D152" s="4"/>
      <c r="E152" s="4">
        <v>56.39</v>
      </c>
      <c r="F152" s="4">
        <f t="shared" si="14"/>
        <v>112.581</v>
      </c>
    </row>
    <row r="153" spans="1:6">
      <c r="A153" s="8">
        <v>45100</v>
      </c>
      <c r="B153" s="8">
        <v>45090</v>
      </c>
      <c r="C153" s="4">
        <v>59.110999999999997</v>
      </c>
      <c r="D153" s="4"/>
      <c r="E153" s="4"/>
      <c r="F153" s="4">
        <f t="shared" si="14"/>
        <v>59.110999999999997</v>
      </c>
    </row>
    <row r="154" spans="1:6">
      <c r="A154" s="8">
        <v>45100</v>
      </c>
      <c r="B154" s="8">
        <v>45091</v>
      </c>
      <c r="C154" s="4">
        <v>26.614999999999998</v>
      </c>
      <c r="D154" s="4"/>
      <c r="E154" s="4">
        <v>0.65500000000000003</v>
      </c>
      <c r="F154" s="4">
        <f t="shared" si="14"/>
        <v>27.27</v>
      </c>
    </row>
    <row r="155" spans="1:6">
      <c r="A155" s="8">
        <v>45100</v>
      </c>
      <c r="B155" s="8">
        <v>45092</v>
      </c>
      <c r="C155" s="4">
        <v>22.824000000000002</v>
      </c>
      <c r="D155" s="4"/>
      <c r="E155" s="4"/>
      <c r="F155" s="4">
        <f t="shared" ref="F155:F157" si="15">SUM(C155:E155)</f>
        <v>22.824000000000002</v>
      </c>
    </row>
    <row r="156" spans="1:6">
      <c r="A156" s="8">
        <v>45100</v>
      </c>
      <c r="B156" s="8">
        <v>45093</v>
      </c>
      <c r="C156" s="4">
        <v>238.56299999999999</v>
      </c>
      <c r="D156" s="4"/>
      <c r="E156" s="4"/>
      <c r="F156" s="4">
        <f t="shared" si="15"/>
        <v>238.56299999999999</v>
      </c>
    </row>
    <row r="157" spans="1:6">
      <c r="A157" s="8">
        <v>45100</v>
      </c>
      <c r="B157" s="8">
        <v>45094</v>
      </c>
      <c r="C157" s="4">
        <v>42.335999999999999</v>
      </c>
      <c r="D157" s="4"/>
      <c r="E157" s="4"/>
      <c r="F157" s="4">
        <f t="shared" si="15"/>
        <v>42.335999999999999</v>
      </c>
    </row>
    <row r="158" spans="1:6">
      <c r="A158" s="8">
        <v>45100</v>
      </c>
      <c r="B158" s="8">
        <v>45095</v>
      </c>
      <c r="C158" s="4">
        <v>96.206999999999994</v>
      </c>
      <c r="D158" s="4"/>
      <c r="E158" s="4"/>
      <c r="F158" s="4">
        <f t="shared" ref="F158:F165" si="16">SUM(C158:E158)</f>
        <v>96.206999999999994</v>
      </c>
    </row>
    <row r="159" spans="1:6">
      <c r="A159" s="8">
        <v>45100</v>
      </c>
      <c r="B159" s="8">
        <v>45096</v>
      </c>
      <c r="C159" s="4">
        <f>75.964-55.854</f>
        <v>20.11</v>
      </c>
      <c r="D159" s="4"/>
      <c r="E159" s="4">
        <v>55.853999999999999</v>
      </c>
      <c r="F159" s="4">
        <f t="shared" si="16"/>
        <v>75.963999999999999</v>
      </c>
    </row>
    <row r="160" spans="1:6">
      <c r="A160" s="8">
        <v>45100</v>
      </c>
      <c r="B160" s="8">
        <v>45097</v>
      </c>
      <c r="C160" s="4">
        <f>191.93-17.031</f>
        <v>174.899</v>
      </c>
      <c r="D160" s="4"/>
      <c r="E160" s="4">
        <v>17.030999999999999</v>
      </c>
      <c r="F160" s="4">
        <f t="shared" si="16"/>
        <v>191.93</v>
      </c>
    </row>
    <row r="161" spans="1:6">
      <c r="A161" s="8">
        <v>45100</v>
      </c>
      <c r="B161" s="8">
        <v>45098</v>
      </c>
      <c r="C161" s="4">
        <f>47.269-2.968</f>
        <v>44.301000000000002</v>
      </c>
      <c r="D161" s="4"/>
      <c r="E161" s="4">
        <v>2.968</v>
      </c>
      <c r="F161" s="4">
        <f t="shared" si="16"/>
        <v>47.269000000000005</v>
      </c>
    </row>
    <row r="162" spans="1:6">
      <c r="A162" s="8">
        <v>45100</v>
      </c>
      <c r="B162" s="8">
        <v>45099</v>
      </c>
      <c r="C162" s="4">
        <v>81.012</v>
      </c>
      <c r="D162" s="4"/>
      <c r="E162" s="4"/>
      <c r="F162" s="4">
        <f t="shared" si="16"/>
        <v>81.012</v>
      </c>
    </row>
    <row r="163" spans="1:6">
      <c r="A163" s="8">
        <v>45100</v>
      </c>
      <c r="B163" s="8">
        <v>45100</v>
      </c>
      <c r="C163" s="4">
        <f>102.397-6.556</f>
        <v>95.841000000000008</v>
      </c>
      <c r="D163" s="4"/>
      <c r="E163" s="4">
        <v>6.556</v>
      </c>
      <c r="F163" s="4">
        <f t="shared" si="16"/>
        <v>102.39700000000001</v>
      </c>
    </row>
    <row r="164" spans="1:6">
      <c r="A164" s="8">
        <v>45100</v>
      </c>
      <c r="B164" s="8">
        <v>45101</v>
      </c>
      <c r="C164" s="4">
        <v>70.614999999999995</v>
      </c>
      <c r="D164" s="4"/>
      <c r="E164" s="4">
        <v>22.262</v>
      </c>
      <c r="F164" s="4">
        <f t="shared" si="16"/>
        <v>92.876999999999995</v>
      </c>
    </row>
    <row r="165" spans="1:6">
      <c r="A165" s="8">
        <v>45100</v>
      </c>
      <c r="B165" s="8">
        <v>45102</v>
      </c>
      <c r="C165" s="4">
        <v>145.578</v>
      </c>
      <c r="D165" s="4"/>
      <c r="E165" s="4">
        <v>6.8280000000000003</v>
      </c>
      <c r="F165" s="4">
        <f t="shared" si="16"/>
        <v>152.40600000000001</v>
      </c>
    </row>
    <row r="166" spans="1:6">
      <c r="A166" s="8">
        <v>45100</v>
      </c>
      <c r="B166" s="8">
        <v>45103</v>
      </c>
      <c r="C166" s="4">
        <v>69.561000000000007</v>
      </c>
      <c r="D166" s="4"/>
      <c r="E166" s="4">
        <v>6.94</v>
      </c>
      <c r="F166" s="4">
        <f>SUM(C166:E166)</f>
        <v>76.501000000000005</v>
      </c>
    </row>
    <row r="167" spans="1:6">
      <c r="A167" s="8">
        <v>45100</v>
      </c>
      <c r="B167" s="8">
        <v>45104</v>
      </c>
      <c r="C167" s="4">
        <v>107.461</v>
      </c>
      <c r="D167" s="4"/>
      <c r="E167" s="4">
        <v>4.5549999999999997</v>
      </c>
      <c r="F167" s="4">
        <f>SUM(C167:E167)</f>
        <v>112.01599999999999</v>
      </c>
    </row>
    <row r="168" spans="1:6">
      <c r="A168" s="8">
        <v>45100</v>
      </c>
      <c r="B168" s="8">
        <v>45107</v>
      </c>
      <c r="C168" s="4">
        <v>125.11</v>
      </c>
      <c r="D168" s="4"/>
      <c r="E168" s="4">
        <v>5.4850000000000003</v>
      </c>
      <c r="F168" s="4">
        <f>SUM(C168:E168)</f>
        <v>130.595</v>
      </c>
    </row>
    <row r="169" spans="1:6">
      <c r="A169" s="8"/>
      <c r="B169" s="8"/>
      <c r="C169" s="4"/>
      <c r="D169" s="4"/>
      <c r="E169" s="4"/>
      <c r="F169" s="4"/>
    </row>
    <row r="170" spans="1:6">
      <c r="A170" s="8">
        <v>45130</v>
      </c>
      <c r="B170" s="8">
        <v>45109</v>
      </c>
      <c r="C170" s="4">
        <v>119.51600000000001</v>
      </c>
      <c r="D170" s="4"/>
      <c r="E170" s="4">
        <v>23.035</v>
      </c>
      <c r="F170" s="4">
        <f t="shared" ref="F170:F181" si="17">SUM(C170:E170)</f>
        <v>142.55100000000002</v>
      </c>
    </row>
    <row r="171" spans="1:6">
      <c r="A171" s="8">
        <v>45130</v>
      </c>
      <c r="B171" s="8">
        <v>45110</v>
      </c>
      <c r="C171" s="4">
        <v>103.074</v>
      </c>
      <c r="D171" s="4"/>
      <c r="E171" s="4"/>
      <c r="F171" s="4">
        <f t="shared" si="17"/>
        <v>103.074</v>
      </c>
    </row>
    <row r="172" spans="1:6">
      <c r="A172" s="8">
        <v>45130</v>
      </c>
      <c r="B172" s="8">
        <v>45111</v>
      </c>
      <c r="C172" s="4">
        <v>148.75899999999999</v>
      </c>
      <c r="D172" s="4"/>
      <c r="E172" s="4">
        <v>34.816000000000003</v>
      </c>
      <c r="F172" s="4">
        <f t="shared" si="17"/>
        <v>183.57499999999999</v>
      </c>
    </row>
    <row r="173" spans="1:6">
      <c r="A173" s="8">
        <v>45130</v>
      </c>
      <c r="B173" s="8">
        <v>45116</v>
      </c>
      <c r="C173" s="4">
        <v>109.31399999999999</v>
      </c>
      <c r="D173" s="4"/>
      <c r="E173" s="4">
        <v>14.319000000000001</v>
      </c>
      <c r="F173" s="4">
        <f t="shared" si="17"/>
        <v>123.633</v>
      </c>
    </row>
    <row r="174" spans="1:6">
      <c r="A174" s="8">
        <v>45130</v>
      </c>
      <c r="B174" s="8">
        <v>45117</v>
      </c>
      <c r="C174" s="4">
        <v>85.429000000000002</v>
      </c>
      <c r="D174" s="4"/>
      <c r="E174" s="4">
        <v>30.966999999999999</v>
      </c>
      <c r="F174" s="4">
        <f t="shared" si="17"/>
        <v>116.396</v>
      </c>
    </row>
    <row r="175" spans="1:6">
      <c r="A175" s="8">
        <v>45130</v>
      </c>
      <c r="B175" s="8">
        <v>45118</v>
      </c>
      <c r="C175" s="4">
        <v>66.564999999999998</v>
      </c>
      <c r="D175" s="4"/>
      <c r="E175" s="4"/>
      <c r="F175" s="4">
        <f t="shared" si="17"/>
        <v>66.564999999999998</v>
      </c>
    </row>
    <row r="176" spans="1:6">
      <c r="A176" s="8">
        <v>45130</v>
      </c>
      <c r="B176" s="8">
        <v>45119</v>
      </c>
      <c r="C176" s="4">
        <v>145.364</v>
      </c>
      <c r="D176" s="4"/>
      <c r="E176" s="4">
        <v>6.3</v>
      </c>
      <c r="F176" s="4">
        <f t="shared" si="17"/>
        <v>151.66400000000002</v>
      </c>
    </row>
    <row r="177" spans="1:6">
      <c r="A177" s="8">
        <v>45130</v>
      </c>
      <c r="B177" s="8">
        <v>45122</v>
      </c>
      <c r="C177" s="4">
        <v>92.44</v>
      </c>
      <c r="D177" s="4"/>
      <c r="E177" s="4"/>
      <c r="F177" s="4">
        <f t="shared" si="17"/>
        <v>92.44</v>
      </c>
    </row>
    <row r="178" spans="1:6">
      <c r="A178" s="8">
        <v>45130</v>
      </c>
      <c r="B178" s="8">
        <v>45123</v>
      </c>
      <c r="C178" s="4">
        <v>80.763999999999996</v>
      </c>
      <c r="D178" s="4"/>
      <c r="E178" s="4">
        <v>54.24</v>
      </c>
      <c r="F178" s="4">
        <f t="shared" si="17"/>
        <v>135.00399999999999</v>
      </c>
    </row>
    <row r="179" spans="1:6">
      <c r="A179" s="8">
        <v>45130</v>
      </c>
      <c r="B179" s="8">
        <v>45125</v>
      </c>
      <c r="C179" s="4">
        <v>95.637</v>
      </c>
      <c r="D179" s="4"/>
      <c r="E179" s="4">
        <v>21.039000000000001</v>
      </c>
      <c r="F179" s="4">
        <f t="shared" si="17"/>
        <v>116.676</v>
      </c>
    </row>
    <row r="180" spans="1:6">
      <c r="A180" s="8">
        <v>45130</v>
      </c>
      <c r="B180" s="8">
        <v>45127</v>
      </c>
      <c r="C180" s="4">
        <v>113.378</v>
      </c>
      <c r="D180" s="4"/>
      <c r="E180" s="4">
        <v>28.869</v>
      </c>
      <c r="F180" s="4">
        <f t="shared" si="17"/>
        <v>142.24700000000001</v>
      </c>
    </row>
    <row r="181" spans="1:6">
      <c r="A181" s="8">
        <v>45130</v>
      </c>
      <c r="B181" s="8">
        <v>45128</v>
      </c>
      <c r="C181" s="4">
        <v>92.381</v>
      </c>
      <c r="D181" s="4"/>
      <c r="E181" s="4">
        <v>7.6310000000000002</v>
      </c>
      <c r="F181" s="4">
        <f t="shared" si="17"/>
        <v>100.012</v>
      </c>
    </row>
    <row r="182" spans="1:6">
      <c r="A182" s="8">
        <v>45130</v>
      </c>
      <c r="B182" s="8">
        <v>45129</v>
      </c>
      <c r="C182" s="4">
        <v>194.227</v>
      </c>
      <c r="D182" s="4"/>
      <c r="E182" s="4">
        <v>0.44600000000000001</v>
      </c>
      <c r="F182" s="4">
        <f t="shared" ref="F182:F188" si="18">SUM(C182:E182)</f>
        <v>194.673</v>
      </c>
    </row>
    <row r="183" spans="1:6">
      <c r="A183" s="8">
        <v>45130</v>
      </c>
      <c r="B183" s="8">
        <v>45130</v>
      </c>
      <c r="C183" s="4">
        <v>119.015</v>
      </c>
      <c r="D183" s="4"/>
      <c r="E183" s="4">
        <v>26.47</v>
      </c>
      <c r="F183" s="4">
        <f t="shared" si="18"/>
        <v>145.48500000000001</v>
      </c>
    </row>
    <row r="184" spans="1:6">
      <c r="A184" s="8">
        <v>45130</v>
      </c>
      <c r="B184" s="8">
        <v>45131</v>
      </c>
      <c r="C184" s="4">
        <v>106.21299999999999</v>
      </c>
      <c r="D184" s="4"/>
      <c r="E184" s="4">
        <v>8.4689999999999994</v>
      </c>
      <c r="F184" s="4">
        <f t="shared" si="18"/>
        <v>114.68199999999999</v>
      </c>
    </row>
    <row r="185" spans="1:6">
      <c r="A185" s="8">
        <v>45130</v>
      </c>
      <c r="B185" s="8">
        <v>45132</v>
      </c>
      <c r="C185" s="4">
        <v>146.12899999999999</v>
      </c>
      <c r="D185" s="4"/>
      <c r="E185" s="4"/>
      <c r="F185" s="4">
        <f t="shared" si="18"/>
        <v>146.12899999999999</v>
      </c>
    </row>
    <row r="186" spans="1:6">
      <c r="A186" s="8">
        <v>45130</v>
      </c>
      <c r="B186" s="8">
        <v>45135</v>
      </c>
      <c r="C186" s="4">
        <v>135.91499999999999</v>
      </c>
      <c r="D186" s="4"/>
      <c r="E186" s="4">
        <v>0.247</v>
      </c>
      <c r="F186" s="4">
        <f t="shared" si="18"/>
        <v>136.16200000000001</v>
      </c>
    </row>
    <row r="187" spans="1:6">
      <c r="A187" s="8">
        <v>45130</v>
      </c>
      <c r="B187" s="8">
        <v>45137</v>
      </c>
      <c r="C187" s="4">
        <v>110.958</v>
      </c>
      <c r="D187" s="4"/>
      <c r="E187" s="4">
        <v>9.5350000000000001</v>
      </c>
      <c r="F187" s="4">
        <f t="shared" si="18"/>
        <v>120.49299999999999</v>
      </c>
    </row>
    <row r="188" spans="1:6">
      <c r="A188" s="8">
        <v>45130</v>
      </c>
      <c r="B188" s="8">
        <v>45138</v>
      </c>
      <c r="C188" s="4">
        <v>331.81700000000001</v>
      </c>
      <c r="D188" s="4"/>
      <c r="E188" s="4">
        <v>3.7919999999999998</v>
      </c>
      <c r="F188" s="4">
        <f t="shared" si="18"/>
        <v>335.60899999999998</v>
      </c>
    </row>
    <row r="189" spans="1:6">
      <c r="A189" s="8">
        <v>45161</v>
      </c>
      <c r="B189" s="8">
        <v>45141</v>
      </c>
      <c r="C189" s="4">
        <v>216.88499999999999</v>
      </c>
      <c r="D189" s="4"/>
      <c r="E189" s="4">
        <v>43.055</v>
      </c>
      <c r="F189" s="4">
        <f t="shared" ref="F189:F193" si="19">SUM(C189:E189)</f>
        <v>259.94</v>
      </c>
    </row>
    <row r="190" spans="1:6">
      <c r="A190" s="8">
        <v>45161</v>
      </c>
      <c r="B190" s="8">
        <v>45142</v>
      </c>
      <c r="C190" s="4">
        <v>29.356000000000002</v>
      </c>
      <c r="D190" s="4"/>
      <c r="E190" s="4">
        <v>99.340999999999994</v>
      </c>
      <c r="F190" s="4">
        <f t="shared" si="19"/>
        <v>128.697</v>
      </c>
    </row>
    <row r="191" spans="1:6">
      <c r="A191" s="8">
        <v>45161</v>
      </c>
      <c r="B191" s="8">
        <v>45143</v>
      </c>
      <c r="C191" s="4">
        <v>157.43100000000001</v>
      </c>
      <c r="D191" s="4"/>
      <c r="E191" s="4">
        <v>18.077000000000002</v>
      </c>
      <c r="F191" s="4">
        <f t="shared" si="19"/>
        <v>175.50800000000001</v>
      </c>
    </row>
    <row r="192" spans="1:6">
      <c r="A192" s="8">
        <v>45161</v>
      </c>
      <c r="B192" s="8">
        <v>45144</v>
      </c>
      <c r="C192" s="4">
        <v>103.071</v>
      </c>
      <c r="D192" s="4"/>
      <c r="E192" s="4">
        <v>25.317</v>
      </c>
      <c r="F192" s="4">
        <f t="shared" si="19"/>
        <v>128.38800000000001</v>
      </c>
    </row>
    <row r="193" spans="1:6">
      <c r="A193" s="8">
        <v>45161</v>
      </c>
      <c r="B193" s="8">
        <v>45145</v>
      </c>
      <c r="C193" s="4">
        <v>57.554000000000002</v>
      </c>
      <c r="D193" s="4"/>
      <c r="E193" s="4">
        <v>2.9940000000000002</v>
      </c>
      <c r="F193" s="4">
        <f t="shared" si="19"/>
        <v>60.548000000000002</v>
      </c>
    </row>
    <row r="194" spans="1:6">
      <c r="A194" s="8">
        <v>45161</v>
      </c>
      <c r="B194" s="8">
        <v>45146</v>
      </c>
      <c r="C194" s="4">
        <v>228.82900000000001</v>
      </c>
      <c r="D194" s="4"/>
      <c r="E194" s="4">
        <v>170.946</v>
      </c>
      <c r="F194" s="4">
        <f t="shared" ref="F194:F212" si="20">SUM(C194:E194)</f>
        <v>399.77499999999998</v>
      </c>
    </row>
    <row r="195" spans="1:6">
      <c r="A195" s="8">
        <v>45161</v>
      </c>
      <c r="B195" s="8">
        <v>45147</v>
      </c>
      <c r="C195" s="4">
        <v>66.52</v>
      </c>
      <c r="D195" s="4"/>
      <c r="E195" s="4">
        <v>8.9760000000000009</v>
      </c>
      <c r="F195" s="4">
        <f t="shared" si="20"/>
        <v>75.495999999999995</v>
      </c>
    </row>
    <row r="196" spans="1:6">
      <c r="A196" s="8">
        <v>45161</v>
      </c>
      <c r="B196" s="8">
        <v>45149</v>
      </c>
      <c r="C196" s="4">
        <v>104.739</v>
      </c>
      <c r="D196" s="4"/>
      <c r="E196" s="4">
        <v>4.3920000000000003</v>
      </c>
      <c r="F196" s="4">
        <f t="shared" si="20"/>
        <v>109.131</v>
      </c>
    </row>
    <row r="197" spans="1:6">
      <c r="A197" s="8">
        <v>45161</v>
      </c>
      <c r="B197" s="8">
        <v>45150</v>
      </c>
      <c r="C197" s="4">
        <v>146.41900000000001</v>
      </c>
      <c r="D197" s="4"/>
      <c r="E197" s="4">
        <v>8.9510000000000005</v>
      </c>
      <c r="F197" s="4">
        <f t="shared" si="20"/>
        <v>155.37</v>
      </c>
    </row>
    <row r="198" spans="1:6">
      <c r="A198" s="8">
        <v>45161</v>
      </c>
      <c r="B198" s="8">
        <v>45151</v>
      </c>
      <c r="C198" s="4">
        <v>199.47399999999999</v>
      </c>
      <c r="D198" s="4"/>
      <c r="E198" s="4">
        <v>1.845</v>
      </c>
      <c r="F198" s="4">
        <f t="shared" si="20"/>
        <v>201.31899999999999</v>
      </c>
    </row>
    <row r="199" spans="1:6">
      <c r="A199" s="8">
        <v>45161</v>
      </c>
      <c r="B199" s="8">
        <v>45152</v>
      </c>
      <c r="C199" s="4">
        <v>167.128533</v>
      </c>
      <c r="D199" s="4"/>
      <c r="E199" s="4">
        <v>50.473450499999984</v>
      </c>
      <c r="F199" s="4">
        <f t="shared" si="20"/>
        <v>217.60198349999999</v>
      </c>
    </row>
    <row r="200" spans="1:6">
      <c r="A200" s="8">
        <v>45161</v>
      </c>
      <c r="B200" s="8">
        <v>45155</v>
      </c>
      <c r="C200" s="4">
        <v>97.603999999999999</v>
      </c>
      <c r="D200" s="4"/>
      <c r="E200" s="4">
        <v>25.821999999999999</v>
      </c>
      <c r="F200" s="4">
        <f t="shared" si="20"/>
        <v>123.426</v>
      </c>
    </row>
    <row r="201" spans="1:6">
      <c r="A201" s="8">
        <v>45161</v>
      </c>
      <c r="B201" s="8">
        <v>45156</v>
      </c>
      <c r="C201" s="4">
        <v>65.260000000000005</v>
      </c>
      <c r="D201" s="4"/>
      <c r="E201" s="4">
        <v>8.2550000000000008</v>
      </c>
      <c r="F201" s="4">
        <f t="shared" si="20"/>
        <v>73.515000000000001</v>
      </c>
    </row>
    <row r="202" spans="1:6">
      <c r="A202" s="8">
        <v>45161</v>
      </c>
      <c r="B202" s="8">
        <v>45157</v>
      </c>
      <c r="C202" s="4">
        <v>9.7159999999999993</v>
      </c>
      <c r="D202" s="4"/>
      <c r="E202" s="4">
        <v>39.137999999999998</v>
      </c>
      <c r="F202" s="4">
        <f t="shared" si="20"/>
        <v>48.853999999999999</v>
      </c>
    </row>
    <row r="203" spans="1:6">
      <c r="A203" s="8">
        <v>45161</v>
      </c>
      <c r="B203" s="8">
        <v>45158</v>
      </c>
      <c r="C203" s="4">
        <v>133.31800000000001</v>
      </c>
      <c r="D203" s="4"/>
      <c r="E203" s="4"/>
      <c r="F203" s="4">
        <f t="shared" si="20"/>
        <v>133.31800000000001</v>
      </c>
    </row>
    <row r="204" spans="1:6">
      <c r="A204" s="8">
        <v>45161</v>
      </c>
      <c r="B204" s="8">
        <v>45159</v>
      </c>
      <c r="C204" s="4">
        <v>150.47999999999999</v>
      </c>
      <c r="D204" s="4"/>
      <c r="E204" s="4"/>
      <c r="F204" s="4">
        <f t="shared" si="20"/>
        <v>150.47999999999999</v>
      </c>
    </row>
    <row r="205" spans="1:6">
      <c r="A205" s="8">
        <v>45161</v>
      </c>
      <c r="B205" s="8">
        <v>45160</v>
      </c>
      <c r="C205" s="4">
        <v>243.785</v>
      </c>
      <c r="D205" s="4"/>
      <c r="E205" s="4"/>
      <c r="F205" s="4">
        <f t="shared" si="20"/>
        <v>243.785</v>
      </c>
    </row>
    <row r="206" spans="1:6">
      <c r="A206" s="8">
        <v>45161</v>
      </c>
      <c r="B206" s="8">
        <v>45161</v>
      </c>
      <c r="C206" s="4">
        <v>105.33799999999999</v>
      </c>
      <c r="D206" s="4"/>
      <c r="E206" s="4"/>
      <c r="F206" s="4">
        <f t="shared" si="20"/>
        <v>105.33799999999999</v>
      </c>
    </row>
    <row r="207" spans="1:6">
      <c r="A207" s="8">
        <v>45161</v>
      </c>
      <c r="B207" s="8">
        <v>45162</v>
      </c>
      <c r="C207" s="4">
        <v>20.762</v>
      </c>
      <c r="D207" s="4"/>
      <c r="E207" s="4"/>
      <c r="F207" s="4">
        <f t="shared" si="20"/>
        <v>20.762</v>
      </c>
    </row>
    <row r="208" spans="1:6">
      <c r="A208" s="8">
        <v>45161</v>
      </c>
      <c r="B208" s="8">
        <v>45163</v>
      </c>
      <c r="C208" s="4">
        <v>51.539000000000001</v>
      </c>
      <c r="D208" s="4"/>
      <c r="E208" s="4">
        <v>30.988</v>
      </c>
      <c r="F208" s="4">
        <f t="shared" si="20"/>
        <v>82.527000000000001</v>
      </c>
    </row>
    <row r="209" spans="1:6">
      <c r="A209" s="8">
        <v>45161</v>
      </c>
      <c r="B209" s="8">
        <v>45164</v>
      </c>
      <c r="C209" s="4">
        <v>171.256</v>
      </c>
      <c r="D209" s="4"/>
      <c r="E209" s="4">
        <v>3.9790000000000001</v>
      </c>
      <c r="F209" s="4">
        <f t="shared" si="20"/>
        <v>175.23500000000001</v>
      </c>
    </row>
    <row r="210" spans="1:6">
      <c r="A210" s="8">
        <v>45161</v>
      </c>
      <c r="B210" s="8">
        <v>45165</v>
      </c>
      <c r="C210" s="4">
        <f>93.055+0.15</f>
        <v>93.205000000000013</v>
      </c>
      <c r="D210" s="4"/>
      <c r="E210" s="4">
        <v>13.186</v>
      </c>
      <c r="F210" s="4">
        <f t="shared" si="20"/>
        <v>106.39100000000002</v>
      </c>
    </row>
    <row r="211" spans="1:6">
      <c r="A211" s="8">
        <v>45161</v>
      </c>
      <c r="B211" s="8">
        <v>45166</v>
      </c>
      <c r="C211" s="4">
        <v>34.133000000000003</v>
      </c>
      <c r="D211" s="4"/>
      <c r="E211" s="4">
        <v>46.287999999999997</v>
      </c>
      <c r="F211" s="4">
        <f t="shared" si="20"/>
        <v>80.420999999999992</v>
      </c>
    </row>
    <row r="212" spans="1:6">
      <c r="A212" s="8">
        <v>45161</v>
      </c>
      <c r="B212" s="8">
        <v>45167</v>
      </c>
      <c r="C212" s="4">
        <v>138.89500000000001</v>
      </c>
      <c r="D212" s="4"/>
      <c r="E212" s="4">
        <v>82.587999999999994</v>
      </c>
      <c r="F212" s="4">
        <f t="shared" si="20"/>
        <v>221.483</v>
      </c>
    </row>
    <row r="213" spans="1:6">
      <c r="A213" s="8">
        <v>45161</v>
      </c>
      <c r="B213" s="8">
        <v>45168</v>
      </c>
      <c r="C213" s="4">
        <v>145.13999999999999</v>
      </c>
      <c r="D213" s="4"/>
      <c r="E213" s="4">
        <v>59.627000000000002</v>
      </c>
      <c r="F213" s="4">
        <f t="shared" ref="F213:F222" si="21">SUM(C213:E213)</f>
        <v>204.767</v>
      </c>
    </row>
    <row r="214" spans="1:6">
      <c r="A214" s="8">
        <v>45161</v>
      </c>
      <c r="B214" s="8">
        <v>45169</v>
      </c>
      <c r="C214" s="4">
        <v>72.625</v>
      </c>
      <c r="D214" s="4"/>
      <c r="E214" s="4">
        <v>34.89</v>
      </c>
      <c r="F214" s="4">
        <f t="shared" si="21"/>
        <v>107.515</v>
      </c>
    </row>
    <row r="215" spans="1:6">
      <c r="A215" s="8">
        <v>45192</v>
      </c>
      <c r="B215" s="8">
        <v>45170</v>
      </c>
      <c r="C215" s="4">
        <v>163.255</v>
      </c>
      <c r="D215" s="4"/>
      <c r="E215" s="4"/>
      <c r="F215" s="4">
        <f t="shared" si="21"/>
        <v>163.255</v>
      </c>
    </row>
    <row r="216" spans="1:6">
      <c r="A216" s="8">
        <v>45192</v>
      </c>
      <c r="B216" s="8">
        <v>45171</v>
      </c>
      <c r="C216" s="4">
        <v>109.65300000000001</v>
      </c>
      <c r="D216" s="4"/>
      <c r="E216" s="4"/>
      <c r="F216" s="4">
        <f t="shared" si="21"/>
        <v>109.65300000000001</v>
      </c>
    </row>
    <row r="217" spans="1:6">
      <c r="A217" s="8">
        <v>45192</v>
      </c>
      <c r="B217" s="8">
        <v>45172</v>
      </c>
      <c r="C217" s="4">
        <v>55.095999999999997</v>
      </c>
      <c r="D217" s="4"/>
      <c r="E217" s="4">
        <v>34.378999999999998</v>
      </c>
      <c r="F217" s="4">
        <f t="shared" si="21"/>
        <v>89.474999999999994</v>
      </c>
    </row>
    <row r="218" spans="1:6">
      <c r="A218" s="8">
        <v>45192</v>
      </c>
      <c r="B218" s="8">
        <v>45174</v>
      </c>
      <c r="C218" s="4">
        <v>143.29057999999998</v>
      </c>
      <c r="D218" s="4"/>
      <c r="E218" s="4">
        <v>204.98345</v>
      </c>
      <c r="F218" s="4">
        <f t="shared" si="21"/>
        <v>348.27402999999998</v>
      </c>
    </row>
    <row r="219" spans="1:6">
      <c r="A219" s="8">
        <v>45192</v>
      </c>
      <c r="B219" s="8">
        <v>45175</v>
      </c>
      <c r="C219" s="4">
        <v>113.746</v>
      </c>
      <c r="D219" s="4"/>
      <c r="E219" s="4">
        <v>49.078000000000003</v>
      </c>
      <c r="F219" s="4">
        <f t="shared" si="21"/>
        <v>162.82400000000001</v>
      </c>
    </row>
    <row r="220" spans="1:6">
      <c r="A220" s="8">
        <v>45192</v>
      </c>
      <c r="B220" s="8">
        <v>45176</v>
      </c>
      <c r="C220" s="4">
        <v>59.982999999999997</v>
      </c>
      <c r="D220" s="4"/>
      <c r="E220" s="4">
        <v>26.792000000000002</v>
      </c>
      <c r="F220" s="4">
        <f t="shared" si="21"/>
        <v>86.775000000000006</v>
      </c>
    </row>
    <row r="221" spans="1:6">
      <c r="A221" s="8">
        <v>45192</v>
      </c>
      <c r="B221" s="8">
        <v>45177</v>
      </c>
      <c r="C221" s="4">
        <v>179.30099999999999</v>
      </c>
      <c r="D221" s="4"/>
      <c r="E221" s="4">
        <v>2.371</v>
      </c>
      <c r="F221" s="4">
        <f t="shared" si="21"/>
        <v>181.672</v>
      </c>
    </row>
    <row r="222" spans="1:6">
      <c r="A222" s="8">
        <v>45192</v>
      </c>
      <c r="B222" s="8">
        <v>45178</v>
      </c>
      <c r="C222" s="4">
        <v>145.733</v>
      </c>
      <c r="D222" s="4"/>
      <c r="E222" s="4">
        <v>21.163</v>
      </c>
      <c r="F222" s="4">
        <f t="shared" si="21"/>
        <v>166.89600000000002</v>
      </c>
    </row>
    <row r="223" spans="1:6">
      <c r="A223" s="8">
        <v>45192</v>
      </c>
      <c r="B223" s="8">
        <v>45179</v>
      </c>
      <c r="C223" s="4">
        <v>78.671999999999997</v>
      </c>
      <c r="D223" s="4"/>
      <c r="E223" s="4">
        <v>56.366</v>
      </c>
      <c r="F223" s="4">
        <f t="shared" ref="F223:F231" si="22">SUM(C223:E223)</f>
        <v>135.03800000000001</v>
      </c>
    </row>
    <row r="224" spans="1:6">
      <c r="A224" s="8">
        <v>45192</v>
      </c>
      <c r="B224" s="8">
        <v>45180</v>
      </c>
      <c r="C224" s="4">
        <v>120.435</v>
      </c>
      <c r="D224" s="4"/>
      <c r="E224" s="4">
        <v>63.207000000000001</v>
      </c>
      <c r="F224" s="4">
        <f t="shared" si="22"/>
        <v>183.642</v>
      </c>
    </row>
    <row r="225" spans="1:6">
      <c r="A225" s="8">
        <v>45192</v>
      </c>
      <c r="B225" s="8">
        <v>45181</v>
      </c>
      <c r="C225" s="4">
        <v>221.70400000000001</v>
      </c>
      <c r="D225" s="4"/>
      <c r="E225" s="4"/>
      <c r="F225" s="4">
        <f t="shared" si="22"/>
        <v>221.70400000000001</v>
      </c>
    </row>
    <row r="226" spans="1:6">
      <c r="A226" s="8">
        <v>45192</v>
      </c>
      <c r="B226" s="8">
        <v>45182</v>
      </c>
      <c r="C226" s="4">
        <v>41.664999999999999</v>
      </c>
      <c r="D226" s="4"/>
      <c r="E226" s="4"/>
      <c r="F226" s="4">
        <f t="shared" si="22"/>
        <v>41.664999999999999</v>
      </c>
    </row>
    <row r="227" spans="1:6">
      <c r="A227" s="8">
        <v>45192</v>
      </c>
      <c r="B227" s="8">
        <v>45184</v>
      </c>
      <c r="C227" s="4">
        <v>147.423</v>
      </c>
      <c r="D227" s="4"/>
      <c r="E227" s="4"/>
      <c r="F227" s="4">
        <f t="shared" si="22"/>
        <v>147.423</v>
      </c>
    </row>
    <row r="228" spans="1:6">
      <c r="A228" s="8">
        <v>45192</v>
      </c>
      <c r="B228" s="8">
        <v>45186</v>
      </c>
      <c r="C228" s="4">
        <v>249.32</v>
      </c>
      <c r="D228" s="4"/>
      <c r="E228" s="4"/>
      <c r="F228" s="4">
        <f t="shared" si="22"/>
        <v>249.32</v>
      </c>
    </row>
    <row r="229" spans="1:6">
      <c r="A229" s="8">
        <v>45192</v>
      </c>
      <c r="B229" s="8">
        <v>45188</v>
      </c>
      <c r="C229" s="4">
        <v>162.495</v>
      </c>
      <c r="D229" s="4"/>
      <c r="E229" s="4">
        <v>47.948</v>
      </c>
      <c r="F229" s="4">
        <f t="shared" si="22"/>
        <v>210.44300000000001</v>
      </c>
    </row>
    <row r="230" spans="1:6">
      <c r="A230" s="8">
        <v>45192</v>
      </c>
      <c r="B230" s="8">
        <v>45189</v>
      </c>
      <c r="C230" s="4">
        <v>117.756</v>
      </c>
      <c r="D230" s="4"/>
      <c r="E230" s="4"/>
      <c r="F230" s="4">
        <f t="shared" si="22"/>
        <v>117.756</v>
      </c>
    </row>
    <row r="231" spans="1:6">
      <c r="A231" s="8">
        <v>45192</v>
      </c>
      <c r="B231" s="8">
        <v>45192</v>
      </c>
      <c r="C231" s="4">
        <v>42.503999999999998</v>
      </c>
      <c r="D231" s="4"/>
      <c r="E231" s="4"/>
      <c r="F231" s="4">
        <f t="shared" si="22"/>
        <v>42.503999999999998</v>
      </c>
    </row>
    <row r="232" spans="1:6">
      <c r="A232" s="8">
        <v>45192</v>
      </c>
      <c r="B232" s="8">
        <v>45193</v>
      </c>
      <c r="C232" s="4">
        <v>114.85899999999999</v>
      </c>
      <c r="D232" s="4"/>
      <c r="E232" s="4"/>
      <c r="F232" s="4">
        <f t="shared" ref="F232:F251" si="23">SUM(C232:E232)</f>
        <v>114.85899999999999</v>
      </c>
    </row>
    <row r="233" spans="1:6">
      <c r="A233" s="8">
        <v>45192</v>
      </c>
      <c r="B233" s="8">
        <v>45194</v>
      </c>
      <c r="C233" s="4">
        <v>78.700999999999993</v>
      </c>
      <c r="D233" s="4"/>
      <c r="E233" s="4"/>
      <c r="F233" s="4">
        <f t="shared" si="23"/>
        <v>78.700999999999993</v>
      </c>
    </row>
    <row r="234" spans="1:6">
      <c r="A234" s="8">
        <v>45192</v>
      </c>
      <c r="B234" s="8">
        <v>45197</v>
      </c>
      <c r="C234" s="4">
        <v>75.299000000000007</v>
      </c>
      <c r="D234" s="4"/>
      <c r="E234" s="4">
        <v>5.1710000000000003</v>
      </c>
      <c r="F234" s="4">
        <f t="shared" si="23"/>
        <v>80.470000000000013</v>
      </c>
    </row>
    <row r="235" spans="1:6">
      <c r="A235" s="8">
        <v>45222</v>
      </c>
      <c r="B235" s="8">
        <v>45200</v>
      </c>
      <c r="C235" s="4">
        <v>92.186000000000007</v>
      </c>
      <c r="D235" s="4"/>
      <c r="E235" s="4">
        <v>137.30500000000001</v>
      </c>
      <c r="F235" s="4">
        <f t="shared" si="23"/>
        <v>229.49100000000001</v>
      </c>
    </row>
    <row r="236" spans="1:6">
      <c r="A236" s="8">
        <v>45222</v>
      </c>
      <c r="B236" s="8">
        <v>45201</v>
      </c>
      <c r="C236" s="4">
        <v>74.2</v>
      </c>
      <c r="D236" s="4"/>
      <c r="E236" s="4">
        <v>16.898</v>
      </c>
      <c r="F236" s="4">
        <f t="shared" si="23"/>
        <v>91.097999999999999</v>
      </c>
    </row>
    <row r="237" spans="1:6">
      <c r="A237" s="8">
        <v>45222</v>
      </c>
      <c r="B237" s="8">
        <v>45202</v>
      </c>
      <c r="C237" s="4">
        <v>21.29</v>
      </c>
      <c r="D237" s="4"/>
      <c r="E237" s="4">
        <v>129.98599999999999</v>
      </c>
      <c r="F237" s="4">
        <f t="shared" si="23"/>
        <v>151.27599999999998</v>
      </c>
    </row>
    <row r="238" spans="1:6">
      <c r="A238" s="8">
        <v>45222</v>
      </c>
      <c r="B238" s="8">
        <v>45204</v>
      </c>
      <c r="C238" s="4">
        <v>85.123999999999995</v>
      </c>
      <c r="D238" s="4"/>
      <c r="E238" s="4">
        <v>215.00399999999999</v>
      </c>
      <c r="F238" s="4">
        <f t="shared" si="23"/>
        <v>300.12799999999999</v>
      </c>
    </row>
    <row r="239" spans="1:6">
      <c r="A239" s="8">
        <v>45222</v>
      </c>
      <c r="B239" s="8">
        <v>45205</v>
      </c>
      <c r="C239" s="4">
        <v>61.003</v>
      </c>
      <c r="D239" s="4"/>
      <c r="E239" s="4">
        <v>166.59800000000001</v>
      </c>
      <c r="F239" s="4">
        <f t="shared" si="23"/>
        <v>227.601</v>
      </c>
    </row>
    <row r="240" spans="1:6">
      <c r="A240" s="8">
        <v>45222</v>
      </c>
      <c r="B240" s="8">
        <v>45208</v>
      </c>
      <c r="C240" s="4">
        <v>35.853999999999999</v>
      </c>
      <c r="D240" s="4"/>
      <c r="E240" s="4">
        <v>5.13</v>
      </c>
      <c r="F240" s="4">
        <f t="shared" si="23"/>
        <v>40.984000000000002</v>
      </c>
    </row>
    <row r="241" spans="1:6">
      <c r="A241" s="8">
        <v>45222</v>
      </c>
      <c r="B241" s="8">
        <v>45209</v>
      </c>
      <c r="C241" s="4">
        <v>125.676</v>
      </c>
      <c r="D241" s="4"/>
      <c r="E241" s="4">
        <v>429.81299999999999</v>
      </c>
      <c r="F241" s="4">
        <f t="shared" si="23"/>
        <v>555.48900000000003</v>
      </c>
    </row>
    <row r="242" spans="1:6">
      <c r="A242" s="8">
        <v>45222</v>
      </c>
      <c r="B242" s="8">
        <v>45210</v>
      </c>
      <c r="C242" s="4">
        <v>4.359</v>
      </c>
      <c r="D242" s="4"/>
      <c r="E242" s="4">
        <v>177.20699999999999</v>
      </c>
      <c r="F242" s="4">
        <f t="shared" si="23"/>
        <v>181.566</v>
      </c>
    </row>
    <row r="243" spans="1:6">
      <c r="A243" s="8">
        <v>45222</v>
      </c>
      <c r="B243" s="8">
        <v>45211</v>
      </c>
      <c r="C243" s="4">
        <v>54.603999999999999</v>
      </c>
      <c r="D243" s="4"/>
      <c r="E243" s="4">
        <v>36.764000000000003</v>
      </c>
      <c r="F243" s="4">
        <f t="shared" si="23"/>
        <v>91.367999999999995</v>
      </c>
    </row>
    <row r="244" spans="1:6">
      <c r="A244" s="8">
        <v>45222</v>
      </c>
      <c r="B244" s="8">
        <v>45212</v>
      </c>
      <c r="C244" s="4">
        <v>139.97399999999999</v>
      </c>
      <c r="D244" s="4"/>
      <c r="E244" s="4"/>
      <c r="F244" s="4">
        <f t="shared" si="23"/>
        <v>139.97399999999999</v>
      </c>
    </row>
    <row r="245" spans="1:6">
      <c r="A245" s="8">
        <v>45222</v>
      </c>
      <c r="B245" s="8">
        <v>45213</v>
      </c>
      <c r="C245" s="4">
        <v>135.59899999999999</v>
      </c>
      <c r="D245" s="4"/>
      <c r="E245" s="4"/>
      <c r="F245" s="4">
        <f t="shared" si="23"/>
        <v>135.59899999999999</v>
      </c>
    </row>
    <row r="246" spans="1:6">
      <c r="A246" s="8">
        <v>45222</v>
      </c>
      <c r="B246" s="8">
        <v>45214</v>
      </c>
      <c r="C246" s="4">
        <v>116.42400000000001</v>
      </c>
      <c r="D246" s="4"/>
      <c r="E246" s="4">
        <v>53.463000000000001</v>
      </c>
      <c r="F246" s="4">
        <f t="shared" si="23"/>
        <v>169.887</v>
      </c>
    </row>
    <row r="247" spans="1:6">
      <c r="A247" s="8">
        <v>45222</v>
      </c>
      <c r="B247" s="8">
        <v>45215</v>
      </c>
      <c r="C247" s="4">
        <v>135.86199999999999</v>
      </c>
      <c r="D247" s="4"/>
      <c r="E247" s="4">
        <v>1.2210000000000001</v>
      </c>
      <c r="F247" s="4">
        <f t="shared" si="23"/>
        <v>137.083</v>
      </c>
    </row>
    <row r="248" spans="1:6">
      <c r="A248" s="8">
        <v>45222</v>
      </c>
      <c r="B248" s="8">
        <v>45216</v>
      </c>
      <c r="C248" s="4">
        <v>201.79</v>
      </c>
      <c r="D248" s="4"/>
      <c r="E248" s="4">
        <v>17.047000000000001</v>
      </c>
      <c r="F248" s="4">
        <f t="shared" si="23"/>
        <v>218.83699999999999</v>
      </c>
    </row>
    <row r="249" spans="1:6">
      <c r="A249" s="8">
        <v>45222</v>
      </c>
      <c r="B249" s="8">
        <v>45218</v>
      </c>
      <c r="C249" s="4">
        <v>150.61099999999999</v>
      </c>
      <c r="D249" s="4"/>
      <c r="E249" s="4">
        <v>123.973</v>
      </c>
      <c r="F249" s="4">
        <f t="shared" si="23"/>
        <v>274.584</v>
      </c>
    </row>
    <row r="250" spans="1:6">
      <c r="A250" s="8">
        <v>45222</v>
      </c>
      <c r="B250" s="8">
        <v>45220</v>
      </c>
      <c r="C250" s="4">
        <v>27.933</v>
      </c>
      <c r="D250" s="4"/>
      <c r="E250" s="4"/>
      <c r="F250" s="4">
        <f t="shared" si="23"/>
        <v>27.933</v>
      </c>
    </row>
    <row r="251" spans="1:6">
      <c r="A251" s="8">
        <v>45222</v>
      </c>
      <c r="B251" s="8">
        <v>45226</v>
      </c>
      <c r="C251" s="4">
        <v>38.682000000000002</v>
      </c>
      <c r="D251" s="4"/>
      <c r="E251" s="4">
        <v>73.319000000000003</v>
      </c>
      <c r="F251" s="4">
        <f t="shared" si="23"/>
        <v>112.001</v>
      </c>
    </row>
    <row r="252" spans="1:6">
      <c r="A252" s="8">
        <v>45222</v>
      </c>
      <c r="B252" s="8">
        <v>45227</v>
      </c>
      <c r="C252" s="4">
        <v>100.764</v>
      </c>
      <c r="D252" s="4"/>
      <c r="E252" s="4">
        <v>34.390999999999998</v>
      </c>
      <c r="F252" s="4">
        <f t="shared" ref="F252:F265" si="24">SUM(C252:E252)</f>
        <v>135.155</v>
      </c>
    </row>
    <row r="253" spans="1:6">
      <c r="A253" s="8">
        <v>45222</v>
      </c>
      <c r="B253" s="8">
        <v>45228</v>
      </c>
      <c r="C253" s="4">
        <v>125.955</v>
      </c>
      <c r="D253" s="4"/>
      <c r="E253" s="4">
        <v>76.695999999999998</v>
      </c>
      <c r="F253" s="4">
        <f t="shared" si="24"/>
        <v>202.65100000000001</v>
      </c>
    </row>
    <row r="254" spans="1:6">
      <c r="A254" s="8">
        <v>45222</v>
      </c>
      <c r="B254" s="8">
        <v>45229</v>
      </c>
      <c r="C254" s="4">
        <v>22.282</v>
      </c>
      <c r="D254" s="4"/>
      <c r="E254" s="4">
        <v>163.78100000000001</v>
      </c>
      <c r="F254" s="4">
        <f t="shared" si="24"/>
        <v>186.06300000000002</v>
      </c>
    </row>
    <row r="255" spans="1:6">
      <c r="A255" s="8">
        <v>45222</v>
      </c>
      <c r="B255" s="8">
        <v>45230</v>
      </c>
      <c r="C255" s="4">
        <v>26.771999999999998</v>
      </c>
      <c r="D255" s="4"/>
      <c r="E255" s="4">
        <v>160.63300000000001</v>
      </c>
      <c r="F255" s="4">
        <f t="shared" si="24"/>
        <v>187.405</v>
      </c>
    </row>
    <row r="256" spans="1:6">
      <c r="A256" s="8">
        <v>45253</v>
      </c>
      <c r="B256" s="8">
        <v>45232</v>
      </c>
      <c r="C256" s="4">
        <v>104.872</v>
      </c>
      <c r="D256" s="4"/>
      <c r="E256" s="4">
        <v>55.8</v>
      </c>
      <c r="F256" s="4">
        <f t="shared" si="24"/>
        <v>160.672</v>
      </c>
    </row>
    <row r="257" spans="1:6">
      <c r="A257" s="8">
        <v>45253</v>
      </c>
      <c r="B257" s="8">
        <v>45233</v>
      </c>
      <c r="C257" s="4">
        <v>63.484000000000002</v>
      </c>
      <c r="D257" s="4"/>
      <c r="E257" s="4">
        <v>35.064999999999998</v>
      </c>
      <c r="F257" s="4">
        <f t="shared" si="24"/>
        <v>98.549000000000007</v>
      </c>
    </row>
    <row r="258" spans="1:6">
      <c r="A258" s="8">
        <v>45253</v>
      </c>
      <c r="B258" s="8">
        <v>45234</v>
      </c>
      <c r="C258" s="4">
        <v>31.271000000000001</v>
      </c>
      <c r="D258" s="4"/>
      <c r="E258" s="4">
        <v>8.4220000000000006</v>
      </c>
      <c r="F258" s="4">
        <f t="shared" si="24"/>
        <v>39.692999999999998</v>
      </c>
    </row>
    <row r="259" spans="1:6">
      <c r="A259" s="8">
        <v>45253</v>
      </c>
      <c r="B259" s="8">
        <v>45235</v>
      </c>
      <c r="C259" s="4">
        <v>29.193999999999999</v>
      </c>
      <c r="D259" s="4"/>
      <c r="E259" s="4">
        <v>49.582000000000001</v>
      </c>
      <c r="F259" s="4">
        <f t="shared" si="24"/>
        <v>78.775999999999996</v>
      </c>
    </row>
    <row r="260" spans="1:6">
      <c r="A260" s="8">
        <v>45253</v>
      </c>
      <c r="B260" s="8">
        <v>45236</v>
      </c>
      <c r="C260" s="4">
        <v>213.88900000000001</v>
      </c>
      <c r="D260" s="4"/>
      <c r="E260" s="4"/>
      <c r="F260" s="4">
        <f t="shared" ref="F260" si="25">SUM(C260:E260)</f>
        <v>213.88900000000001</v>
      </c>
    </row>
    <row r="261" spans="1:6">
      <c r="A261" s="8">
        <v>45253</v>
      </c>
      <c r="B261" s="8">
        <v>45237</v>
      </c>
      <c r="C261" s="4">
        <v>380.327</v>
      </c>
      <c r="D261" s="4"/>
      <c r="E261" s="4">
        <v>45.012</v>
      </c>
      <c r="F261" s="4">
        <f t="shared" si="24"/>
        <v>425.339</v>
      </c>
    </row>
    <row r="262" spans="1:6">
      <c r="A262" s="8">
        <v>45253</v>
      </c>
      <c r="B262" s="8">
        <v>45238</v>
      </c>
      <c r="C262" s="4">
        <v>125.907</v>
      </c>
      <c r="D262" s="4"/>
      <c r="E262" s="4">
        <v>53.584000000000003</v>
      </c>
      <c r="F262" s="4">
        <f t="shared" si="24"/>
        <v>179.49099999999999</v>
      </c>
    </row>
    <row r="263" spans="1:6">
      <c r="A263" s="8">
        <v>45253</v>
      </c>
      <c r="B263" s="8">
        <v>45240</v>
      </c>
      <c r="C263" s="4">
        <v>109.732</v>
      </c>
      <c r="D263" s="4"/>
      <c r="E263" s="4">
        <v>30.468</v>
      </c>
      <c r="F263" s="4">
        <f t="shared" si="24"/>
        <v>140.19999999999999</v>
      </c>
    </row>
    <row r="264" spans="1:6">
      <c r="A264" s="8">
        <v>45253</v>
      </c>
      <c r="B264" s="8">
        <v>45241</v>
      </c>
      <c r="C264" s="4">
        <v>154.893</v>
      </c>
      <c r="D264" s="4"/>
      <c r="E264" s="4">
        <v>4.4939999999999998</v>
      </c>
      <c r="F264" s="4">
        <f t="shared" si="24"/>
        <v>159.387</v>
      </c>
    </row>
    <row r="265" spans="1:6">
      <c r="A265" s="8">
        <v>45253</v>
      </c>
      <c r="B265" s="8">
        <v>45245</v>
      </c>
      <c r="C265" s="4">
        <v>185.04499999999999</v>
      </c>
      <c r="D265" s="4"/>
      <c r="E265" s="4">
        <v>0.2</v>
      </c>
      <c r="F265" s="4">
        <f t="shared" si="24"/>
        <v>185.24499999999998</v>
      </c>
    </row>
    <row r="266" spans="1:6">
      <c r="A266" s="8">
        <v>45253</v>
      </c>
      <c r="B266" s="8">
        <v>45246</v>
      </c>
      <c r="C266" s="4">
        <v>84.135999999999996</v>
      </c>
      <c r="D266" s="4"/>
      <c r="E266" s="4">
        <v>56.503999999999998</v>
      </c>
      <c r="F266" s="4">
        <f t="shared" ref="F266:F302" si="26">SUM(C266:E266)</f>
        <v>140.63999999999999</v>
      </c>
    </row>
    <row r="267" spans="1:6">
      <c r="A267" s="8">
        <v>45253</v>
      </c>
      <c r="B267" s="8">
        <v>45247</v>
      </c>
      <c r="C267" s="4">
        <v>195.893</v>
      </c>
      <c r="D267" s="4"/>
      <c r="E267" s="4">
        <v>78.799000000000007</v>
      </c>
      <c r="F267" s="4">
        <f t="shared" si="26"/>
        <v>274.69200000000001</v>
      </c>
    </row>
    <row r="268" spans="1:6">
      <c r="A268" s="8">
        <v>45253</v>
      </c>
      <c r="B268" s="8">
        <v>45248</v>
      </c>
      <c r="C268" s="4">
        <v>201.53800000000001</v>
      </c>
      <c r="D268" s="4"/>
      <c r="E268" s="4">
        <v>48.146000000000001</v>
      </c>
      <c r="F268" s="4">
        <f t="shared" si="26"/>
        <v>249.68400000000003</v>
      </c>
    </row>
    <row r="269" spans="1:6">
      <c r="A269" s="8">
        <v>45253</v>
      </c>
      <c r="B269" s="8">
        <v>45249</v>
      </c>
      <c r="C269" s="4">
        <v>125.333</v>
      </c>
      <c r="D269" s="4"/>
      <c r="E269" s="4">
        <v>49.741</v>
      </c>
      <c r="F269" s="4">
        <f t="shared" si="26"/>
        <v>175.07400000000001</v>
      </c>
    </row>
    <row r="270" spans="1:6">
      <c r="A270" s="8">
        <v>45253</v>
      </c>
      <c r="B270" s="8">
        <v>45250</v>
      </c>
      <c r="C270" s="4">
        <v>105.738</v>
      </c>
      <c r="D270" s="4"/>
      <c r="E270" s="4">
        <v>2.1230000000000002</v>
      </c>
      <c r="F270" s="4">
        <f t="shared" si="26"/>
        <v>107.861</v>
      </c>
    </row>
    <row r="271" spans="1:6">
      <c r="A271" s="8">
        <v>45253</v>
      </c>
      <c r="B271" s="8">
        <v>45251</v>
      </c>
      <c r="C271" s="4">
        <v>136.80099999999999</v>
      </c>
      <c r="D271" s="4"/>
      <c r="E271" s="4">
        <v>78.272999999999996</v>
      </c>
      <c r="F271" s="4">
        <f t="shared" si="26"/>
        <v>215.07399999999998</v>
      </c>
    </row>
    <row r="272" spans="1:6">
      <c r="A272" s="8">
        <v>45253</v>
      </c>
      <c r="B272" s="8">
        <v>45252</v>
      </c>
      <c r="C272" s="4">
        <v>56.996000000000002</v>
      </c>
      <c r="D272" s="4"/>
      <c r="E272" s="4">
        <v>45.088999999999999</v>
      </c>
      <c r="F272" s="4">
        <f t="shared" si="26"/>
        <v>102.08500000000001</v>
      </c>
    </row>
    <row r="273" spans="1:6">
      <c r="A273" s="8">
        <v>45253</v>
      </c>
      <c r="B273" s="8">
        <v>45254</v>
      </c>
      <c r="C273" s="4">
        <v>166.50399999999999</v>
      </c>
      <c r="D273" s="4"/>
      <c r="E273" s="4">
        <v>107.511</v>
      </c>
      <c r="F273" s="4">
        <f t="shared" si="26"/>
        <v>274.01499999999999</v>
      </c>
    </row>
    <row r="274" spans="1:6">
      <c r="A274" s="8">
        <v>45253</v>
      </c>
      <c r="B274" s="8">
        <v>45255</v>
      </c>
      <c r="C274" s="4"/>
      <c r="D274" s="4"/>
      <c r="E274" s="4">
        <v>171.285</v>
      </c>
      <c r="F274" s="4">
        <f t="shared" si="26"/>
        <v>171.285</v>
      </c>
    </row>
    <row r="275" spans="1:6">
      <c r="A275" s="8">
        <v>45253</v>
      </c>
      <c r="B275" s="8">
        <v>45257</v>
      </c>
      <c r="C275" s="4">
        <v>356.64699999999999</v>
      </c>
      <c r="D275" s="4"/>
      <c r="E275" s="4">
        <v>11.401999999999999</v>
      </c>
      <c r="F275" s="4">
        <f t="shared" si="26"/>
        <v>368.04899999999998</v>
      </c>
    </row>
    <row r="276" spans="1:6">
      <c r="A276" s="8">
        <v>45253</v>
      </c>
      <c r="B276" s="8">
        <v>45258</v>
      </c>
      <c r="C276" s="4">
        <v>236.25899999999999</v>
      </c>
      <c r="D276" s="4"/>
      <c r="E276" s="4"/>
      <c r="F276" s="4">
        <f t="shared" si="26"/>
        <v>236.25899999999999</v>
      </c>
    </row>
    <row r="277" spans="1:6">
      <c r="A277" s="8">
        <v>45253</v>
      </c>
      <c r="B277" s="8">
        <v>45259</v>
      </c>
      <c r="C277" s="4">
        <v>198.714</v>
      </c>
      <c r="D277" s="4"/>
      <c r="E277" s="4">
        <v>0.29299999999999998</v>
      </c>
      <c r="F277" s="4">
        <f t="shared" si="26"/>
        <v>199.00700000000001</v>
      </c>
    </row>
    <row r="278" spans="1:6">
      <c r="A278" s="8">
        <v>45253</v>
      </c>
      <c r="B278" s="8">
        <v>45260</v>
      </c>
      <c r="C278" s="4">
        <v>97.92</v>
      </c>
      <c r="D278" s="4"/>
      <c r="E278" s="4"/>
      <c r="F278" s="4">
        <f t="shared" si="26"/>
        <v>97.92</v>
      </c>
    </row>
    <row r="279" spans="1:6">
      <c r="A279" s="8">
        <v>45283</v>
      </c>
      <c r="B279" s="8">
        <v>45261</v>
      </c>
      <c r="C279" s="4">
        <v>170.96899999999999</v>
      </c>
      <c r="D279" s="4"/>
      <c r="E279" s="4">
        <v>6.4000000000000001E-2</v>
      </c>
      <c r="F279" s="4">
        <f t="shared" ref="F279" si="27">SUM(C279:E279)</f>
        <v>171.03299999999999</v>
      </c>
    </row>
    <row r="280" spans="1:6">
      <c r="A280" s="8">
        <v>45283</v>
      </c>
      <c r="B280" s="8">
        <v>45262</v>
      </c>
      <c r="C280" s="4">
        <v>71.144000000000005</v>
      </c>
      <c r="D280" s="4"/>
      <c r="E280" s="4">
        <v>0.29599999999999999</v>
      </c>
      <c r="F280" s="4">
        <f t="shared" si="26"/>
        <v>71.440000000000012</v>
      </c>
    </row>
    <row r="281" spans="1:6">
      <c r="A281" s="8">
        <v>45283</v>
      </c>
      <c r="B281" s="8">
        <v>45263</v>
      </c>
      <c r="C281" s="4">
        <v>166.56899999999999</v>
      </c>
      <c r="D281" s="4"/>
      <c r="E281" s="4">
        <v>41.920999999999999</v>
      </c>
      <c r="F281" s="4">
        <f t="shared" si="26"/>
        <v>208.48999999999998</v>
      </c>
    </row>
    <row r="282" spans="1:6">
      <c r="A282" s="8">
        <v>45283</v>
      </c>
      <c r="B282" s="8">
        <v>45264</v>
      </c>
      <c r="C282" s="4">
        <v>100.992</v>
      </c>
      <c r="D282" s="4"/>
      <c r="E282" s="4">
        <v>92.117000000000004</v>
      </c>
      <c r="F282" s="4">
        <f t="shared" si="26"/>
        <v>193.10900000000001</v>
      </c>
    </row>
    <row r="283" spans="1:6">
      <c r="A283" s="8">
        <v>45283</v>
      </c>
      <c r="B283" s="8">
        <v>45265</v>
      </c>
      <c r="C283" s="4">
        <v>43.015999999999998</v>
      </c>
      <c r="D283" s="4"/>
      <c r="E283" s="4">
        <v>159.91300000000001</v>
      </c>
      <c r="F283" s="4">
        <f t="shared" si="26"/>
        <v>202.929</v>
      </c>
    </row>
    <row r="284" spans="1:6">
      <c r="A284" s="8">
        <v>45283</v>
      </c>
      <c r="B284" s="8">
        <v>45266</v>
      </c>
      <c r="C284" s="4">
        <v>127.377</v>
      </c>
      <c r="D284" s="4"/>
      <c r="E284" s="4">
        <v>7.7640000000000002</v>
      </c>
      <c r="F284" s="4">
        <f t="shared" si="26"/>
        <v>135.14099999999999</v>
      </c>
    </row>
    <row r="285" spans="1:6">
      <c r="A285" s="8">
        <v>45283</v>
      </c>
      <c r="B285" s="8">
        <v>45268</v>
      </c>
      <c r="C285" s="103">
        <v>44.366999999999997</v>
      </c>
      <c r="D285" s="103"/>
      <c r="E285" s="103">
        <v>175.59899999999999</v>
      </c>
      <c r="F285" s="103">
        <f t="shared" si="26"/>
        <v>219.96599999999998</v>
      </c>
    </row>
    <row r="286" spans="1:6">
      <c r="A286" s="8">
        <v>45283</v>
      </c>
      <c r="B286" s="8">
        <v>45269</v>
      </c>
      <c r="C286" s="103">
        <v>0.57099999999999995</v>
      </c>
      <c r="D286" s="103"/>
      <c r="E286" s="103">
        <v>146.98400000000001</v>
      </c>
      <c r="F286" s="103">
        <f t="shared" si="26"/>
        <v>147.55500000000001</v>
      </c>
    </row>
    <row r="287" spans="1:6">
      <c r="A287" s="8">
        <v>45283</v>
      </c>
      <c r="B287" s="8">
        <v>45270</v>
      </c>
      <c r="C287" s="103"/>
      <c r="D287" s="103"/>
      <c r="E287" s="103">
        <v>184.92400000000001</v>
      </c>
      <c r="F287" s="103">
        <f t="shared" si="26"/>
        <v>184.92400000000001</v>
      </c>
    </row>
    <row r="288" spans="1:6">
      <c r="A288" s="8">
        <v>45283</v>
      </c>
      <c r="B288" s="8">
        <v>45271</v>
      </c>
      <c r="C288" s="103">
        <v>17.663</v>
      </c>
      <c r="D288" s="103"/>
      <c r="E288" s="103">
        <v>144.48599999999999</v>
      </c>
      <c r="F288" s="103">
        <f t="shared" si="26"/>
        <v>162.149</v>
      </c>
    </row>
    <row r="289" spans="1:6">
      <c r="A289" s="8">
        <v>45283</v>
      </c>
      <c r="B289" s="8">
        <v>45272</v>
      </c>
      <c r="C289" s="103">
        <v>234.38499999999999</v>
      </c>
      <c r="D289" s="103"/>
      <c r="E289" s="103">
        <v>14.343</v>
      </c>
      <c r="F289" s="103">
        <f t="shared" si="26"/>
        <v>248.72799999999998</v>
      </c>
    </row>
    <row r="290" spans="1:6">
      <c r="A290" s="8">
        <v>45283</v>
      </c>
      <c r="B290" s="8">
        <v>45273</v>
      </c>
      <c r="C290" s="103">
        <v>61.115000000000002</v>
      </c>
      <c r="D290" s="103"/>
      <c r="E290" s="103">
        <v>89.194000000000003</v>
      </c>
      <c r="F290" s="103">
        <f t="shared" si="26"/>
        <v>150.309</v>
      </c>
    </row>
    <row r="291" spans="1:6">
      <c r="A291" s="8">
        <v>45283</v>
      </c>
      <c r="B291" s="8">
        <v>45274</v>
      </c>
      <c r="C291" s="103">
        <v>55.026000000000003</v>
      </c>
      <c r="D291" s="103"/>
      <c r="E291" s="103">
        <v>1.1499999999999999</v>
      </c>
      <c r="F291" s="103">
        <f t="shared" si="26"/>
        <v>56.176000000000002</v>
      </c>
    </row>
    <row r="292" spans="1:6">
      <c r="A292" s="8">
        <v>45283</v>
      </c>
      <c r="B292" s="8">
        <v>45275</v>
      </c>
      <c r="C292" s="143">
        <v>0.436</v>
      </c>
      <c r="D292" s="143"/>
      <c r="E292" s="143">
        <v>167.836162</v>
      </c>
      <c r="F292" s="143">
        <f t="shared" si="26"/>
        <v>168.27216200000001</v>
      </c>
    </row>
    <row r="293" spans="1:6">
      <c r="A293" s="8">
        <v>45283</v>
      </c>
      <c r="B293" s="8">
        <v>45276</v>
      </c>
      <c r="C293" s="143">
        <v>17.321000000000002</v>
      </c>
      <c r="D293" s="143"/>
      <c r="E293" s="143">
        <v>184.09200000000001</v>
      </c>
      <c r="F293" s="143">
        <f t="shared" si="26"/>
        <v>201.41300000000001</v>
      </c>
    </row>
    <row r="294" spans="1:6">
      <c r="A294" s="8">
        <v>45283</v>
      </c>
      <c r="B294" s="8">
        <v>45277</v>
      </c>
      <c r="C294" s="143">
        <v>9.3719999999999999</v>
      </c>
      <c r="D294" s="143"/>
      <c r="E294" s="143">
        <v>208.917</v>
      </c>
      <c r="F294" s="143">
        <f t="shared" si="26"/>
        <v>218.28899999999999</v>
      </c>
    </row>
    <row r="295" spans="1:6">
      <c r="A295" s="48">
        <v>45283</v>
      </c>
      <c r="B295" s="70">
        <v>45278</v>
      </c>
      <c r="C295" s="50">
        <v>0.17699999999999999</v>
      </c>
      <c r="D295" s="51"/>
      <c r="E295" s="50">
        <v>192.596</v>
      </c>
      <c r="F295" s="49">
        <f t="shared" si="26"/>
        <v>192.773</v>
      </c>
    </row>
    <row r="296" spans="1:6">
      <c r="A296" s="48">
        <v>45283</v>
      </c>
      <c r="B296" s="70">
        <v>45279</v>
      </c>
      <c r="C296" s="143"/>
      <c r="D296" s="143"/>
      <c r="E296" s="143">
        <v>215.82</v>
      </c>
      <c r="F296" s="49">
        <f t="shared" si="26"/>
        <v>215.82</v>
      </c>
    </row>
    <row r="297" spans="1:6">
      <c r="A297" s="48">
        <v>45283</v>
      </c>
      <c r="B297" s="70">
        <v>45282</v>
      </c>
      <c r="C297" s="143">
        <v>270.68599999999998</v>
      </c>
      <c r="D297" s="143"/>
      <c r="E297" s="143">
        <v>6.6150000000000002</v>
      </c>
      <c r="F297" s="49">
        <f t="shared" si="26"/>
        <v>277.30099999999999</v>
      </c>
    </row>
    <row r="298" spans="1:6">
      <c r="A298" s="48">
        <v>45283</v>
      </c>
      <c r="B298" s="70">
        <v>45283</v>
      </c>
      <c r="C298" s="143">
        <v>1.8029999999999999</v>
      </c>
      <c r="D298" s="143"/>
      <c r="E298" s="143">
        <v>123.658</v>
      </c>
      <c r="F298" s="49">
        <f t="shared" si="26"/>
        <v>125.461</v>
      </c>
    </row>
    <row r="299" spans="1:6">
      <c r="A299" s="48">
        <v>45283</v>
      </c>
      <c r="B299" s="70">
        <v>45284</v>
      </c>
      <c r="C299" s="143">
        <v>79.581000000000003</v>
      </c>
      <c r="D299" s="143"/>
      <c r="E299" s="143">
        <v>167.79300000000001</v>
      </c>
      <c r="F299" s="49">
        <f t="shared" si="26"/>
        <v>247.37400000000002</v>
      </c>
    </row>
    <row r="300" spans="1:6" s="89" customFormat="1">
      <c r="A300" s="48">
        <v>45283</v>
      </c>
      <c r="B300" s="70">
        <v>45285</v>
      </c>
      <c r="C300" s="143"/>
      <c r="D300" s="143"/>
      <c r="E300" s="143">
        <v>175.929</v>
      </c>
      <c r="F300" s="49">
        <f t="shared" ref="F300" si="28">SUM(C300:E300)</f>
        <v>175.929</v>
      </c>
    </row>
    <row r="301" spans="1:6">
      <c r="A301" s="48">
        <v>45283</v>
      </c>
      <c r="B301" s="70">
        <v>45286</v>
      </c>
      <c r="C301" s="143">
        <v>3.0880000000000001</v>
      </c>
      <c r="D301" s="143"/>
      <c r="E301" s="143">
        <v>171.125</v>
      </c>
      <c r="F301" s="49">
        <f t="shared" si="26"/>
        <v>174.21299999999999</v>
      </c>
    </row>
    <row r="302" spans="1:6">
      <c r="A302" s="48">
        <v>45283</v>
      </c>
      <c r="B302" s="70">
        <v>45289</v>
      </c>
      <c r="C302" s="143">
        <f>61.214+23.311</f>
        <v>84.525000000000006</v>
      </c>
      <c r="D302" s="143"/>
      <c r="E302" s="143">
        <v>254.89500000000001</v>
      </c>
      <c r="F302" s="143">
        <f t="shared" si="26"/>
        <v>339.42</v>
      </c>
    </row>
    <row r="303" spans="1:6">
      <c r="A303" s="187">
        <v>45315</v>
      </c>
      <c r="B303" s="187">
        <v>45293</v>
      </c>
      <c r="C303" s="183">
        <v>1.641</v>
      </c>
      <c r="D303" s="183"/>
      <c r="E303" s="183">
        <v>293.24</v>
      </c>
      <c r="F303" s="183">
        <f t="shared" ref="F303:F305" si="29">C303+D303+E303</f>
        <v>294.88100000000003</v>
      </c>
    </row>
    <row r="304" spans="1:6">
      <c r="A304" s="187">
        <v>45315</v>
      </c>
      <c r="B304" s="187">
        <v>45294</v>
      </c>
      <c r="C304">
        <v>117.568</v>
      </c>
      <c r="E304">
        <v>39.625</v>
      </c>
      <c r="F304" s="183">
        <f t="shared" si="29"/>
        <v>157.19299999999998</v>
      </c>
    </row>
    <row r="305" spans="1:6">
      <c r="A305" s="187">
        <v>45315</v>
      </c>
      <c r="B305" s="187">
        <v>45296</v>
      </c>
      <c r="C305">
        <v>169.16499999999999</v>
      </c>
      <c r="E305">
        <v>12.609</v>
      </c>
      <c r="F305" s="183">
        <f t="shared" si="29"/>
        <v>181.774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K357"/>
  <sheetViews>
    <sheetView topLeftCell="A2" workbookViewId="0">
      <pane xSplit="1" ySplit="80" topLeftCell="B346" activePane="bottomRight" state="frozen"/>
      <selection activeCell="A2" sqref="A2"/>
      <selection pane="topRight" activeCell="B2" sqref="B2"/>
      <selection pane="bottomLeft" activeCell="A79" sqref="A79"/>
      <selection pane="bottomRight" activeCell="A357" sqref="A357:E357"/>
    </sheetView>
  </sheetViews>
  <sheetFormatPr defaultRowHeight="14.4"/>
  <cols>
    <col min="1" max="1" width="13.5546875" style="7" customWidth="1"/>
    <col min="2" max="2" width="10.33203125" bestFit="1" customWidth="1"/>
    <col min="3" max="3" width="10.5546875" customWidth="1"/>
    <col min="4" max="4" width="11.109375" customWidth="1"/>
    <col min="5" max="5" width="12.6640625" bestFit="1" customWidth="1"/>
    <col min="10" max="10" width="17.33203125" bestFit="1" customWidth="1"/>
  </cols>
  <sheetData>
    <row r="1" spans="1:11" hidden="1">
      <c r="A1" s="7" t="s">
        <v>272</v>
      </c>
      <c r="B1">
        <f>SUM(B51:B81)</f>
        <v>860.41099999999994</v>
      </c>
      <c r="C1">
        <f>SUM(C51:C81)</f>
        <v>1839.4</v>
      </c>
      <c r="E1">
        <f>SUM(E51:E81)</f>
        <v>2699.8110000000001</v>
      </c>
    </row>
    <row r="2" spans="1:11" hidden="1">
      <c r="A2" s="7" t="s">
        <v>285</v>
      </c>
      <c r="B2">
        <f>SUM(B82:B109)</f>
        <v>1362.0220000000004</v>
      </c>
      <c r="C2">
        <f>SUM(C82:C109)</f>
        <v>1551.4849999999997</v>
      </c>
      <c r="E2">
        <f>SUM(E82:E109)</f>
        <v>2913.5070000000001</v>
      </c>
    </row>
    <row r="3" spans="1:11">
      <c r="A3" s="7" t="s">
        <v>512</v>
      </c>
      <c r="B3">
        <f>SUM(B110:B140)</f>
        <v>874.92700000000013</v>
      </c>
      <c r="C3">
        <f t="shared" ref="C3" si="0">SUM(C110:C140)</f>
        <v>1277.1339999999998</v>
      </c>
      <c r="E3">
        <f>SUM(E110:E140)</f>
        <v>2435.7050000000004</v>
      </c>
    </row>
    <row r="6" spans="1:11">
      <c r="A6" s="12" t="s">
        <v>129</v>
      </c>
      <c r="B6" s="1"/>
      <c r="C6" s="1"/>
      <c r="D6" s="1"/>
      <c r="E6" s="1"/>
    </row>
    <row r="7" spans="1:11">
      <c r="A7" s="12"/>
      <c r="B7" s="1">
        <f>SUM(B9:B1048576)</f>
        <v>14274.026999999996</v>
      </c>
      <c r="C7" s="1">
        <f>SUM(C9:C1048576)</f>
        <v>14965.074000000002</v>
      </c>
      <c r="D7" s="1"/>
      <c r="E7" s="1">
        <f>SUM(E9:E1048576)</f>
        <v>38402.663000000008</v>
      </c>
    </row>
    <row r="8" spans="1:11">
      <c r="A8" s="6" t="s">
        <v>6</v>
      </c>
      <c r="B8" s="3" t="s">
        <v>130</v>
      </c>
      <c r="C8" s="3" t="s">
        <v>131</v>
      </c>
      <c r="D8" s="3" t="s">
        <v>607</v>
      </c>
      <c r="E8" s="3" t="s">
        <v>132</v>
      </c>
    </row>
    <row r="9" spans="1:11" hidden="1">
      <c r="A9" s="8">
        <v>44885</v>
      </c>
      <c r="B9" s="4">
        <v>22.814</v>
      </c>
      <c r="C9" s="4"/>
      <c r="D9" s="4"/>
      <c r="E9" s="4">
        <f t="shared" ref="E9:E19" si="1">B9+C9</f>
        <v>22.814</v>
      </c>
      <c r="J9" t="s">
        <v>945</v>
      </c>
      <c r="K9">
        <v>61.2</v>
      </c>
    </row>
    <row r="10" spans="1:11" hidden="1">
      <c r="A10" s="8">
        <v>44886</v>
      </c>
      <c r="B10" s="4">
        <v>23.72</v>
      </c>
      <c r="C10" s="4"/>
      <c r="D10" s="4"/>
      <c r="E10" s="4">
        <f t="shared" si="1"/>
        <v>23.72</v>
      </c>
      <c r="J10" t="s">
        <v>946</v>
      </c>
      <c r="K10">
        <v>19.774999999999999</v>
      </c>
    </row>
    <row r="11" spans="1:11" hidden="1">
      <c r="A11" s="8">
        <v>44887</v>
      </c>
      <c r="B11" s="4">
        <f>43.186</f>
        <v>43.186</v>
      </c>
      <c r="C11" s="4">
        <v>11.689</v>
      </c>
      <c r="D11" s="4"/>
      <c r="E11" s="4">
        <f t="shared" si="1"/>
        <v>54.875</v>
      </c>
      <c r="J11" t="s">
        <v>947</v>
      </c>
      <c r="K11">
        <v>6.31</v>
      </c>
    </row>
    <row r="12" spans="1:11" hidden="1">
      <c r="A12" s="8">
        <v>44888</v>
      </c>
      <c r="B12" s="4">
        <v>24.792000000000002</v>
      </c>
      <c r="C12" s="4">
        <f>10.099+23.6</f>
        <v>33.698999999999998</v>
      </c>
      <c r="D12" s="4"/>
      <c r="E12" s="4">
        <f t="shared" si="1"/>
        <v>58.491</v>
      </c>
      <c r="J12" t="s">
        <v>948</v>
      </c>
      <c r="K12">
        <v>5.96</v>
      </c>
    </row>
    <row r="13" spans="1:11" hidden="1">
      <c r="A13" s="8">
        <v>44889</v>
      </c>
      <c r="B13" s="4">
        <v>28.736000000000001</v>
      </c>
      <c r="C13" s="4">
        <v>26.5</v>
      </c>
      <c r="D13" s="4"/>
      <c r="E13" s="4">
        <f t="shared" si="1"/>
        <v>55.236000000000004</v>
      </c>
      <c r="J13" t="s">
        <v>949</v>
      </c>
      <c r="K13">
        <v>5.3849999999999998</v>
      </c>
    </row>
    <row r="14" spans="1:11" hidden="1">
      <c r="A14" s="8">
        <v>44890</v>
      </c>
      <c r="B14" s="4">
        <v>33.384999999999998</v>
      </c>
      <c r="C14" s="4">
        <v>22.2</v>
      </c>
      <c r="D14" s="4"/>
      <c r="E14" s="4">
        <f t="shared" si="1"/>
        <v>55.584999999999994</v>
      </c>
      <c r="J14" t="s">
        <v>950</v>
      </c>
      <c r="K14">
        <v>5.4950000000000001</v>
      </c>
    </row>
    <row r="15" spans="1:11" hidden="1">
      <c r="A15" s="8">
        <v>44891</v>
      </c>
      <c r="B15" s="4">
        <v>36.106000000000002</v>
      </c>
      <c r="C15" s="4">
        <f>10+12.5</f>
        <v>22.5</v>
      </c>
      <c r="D15" s="4"/>
      <c r="E15" s="4">
        <f t="shared" si="1"/>
        <v>58.606000000000002</v>
      </c>
      <c r="K15">
        <f>SUM(K6:K14)</f>
        <v>104.125</v>
      </c>
    </row>
    <row r="16" spans="1:11" hidden="1">
      <c r="A16" s="8">
        <v>44892</v>
      </c>
      <c r="B16" s="4">
        <v>28.36</v>
      </c>
      <c r="C16" s="4">
        <v>30.6</v>
      </c>
      <c r="D16" s="4"/>
      <c r="E16" s="4">
        <f t="shared" si="1"/>
        <v>58.96</v>
      </c>
    </row>
    <row r="17" spans="1:5" hidden="1">
      <c r="A17" s="8">
        <v>44893</v>
      </c>
      <c r="B17" s="4">
        <v>36.704999999999998</v>
      </c>
      <c r="C17" s="4">
        <v>25.125</v>
      </c>
      <c r="D17" s="4"/>
      <c r="E17" s="4">
        <f t="shared" si="1"/>
        <v>61.83</v>
      </c>
    </row>
    <row r="18" spans="1:5" hidden="1">
      <c r="A18" s="8">
        <v>44894</v>
      </c>
      <c r="B18" s="4">
        <v>34.091999999999999</v>
      </c>
      <c r="C18" s="4">
        <v>25.15</v>
      </c>
      <c r="D18" s="4"/>
      <c r="E18" s="4">
        <f t="shared" si="1"/>
        <v>59.241999999999997</v>
      </c>
    </row>
    <row r="19" spans="1:5" hidden="1">
      <c r="A19" s="8">
        <v>44895</v>
      </c>
      <c r="B19" s="4">
        <f>29.377</f>
        <v>29.376999999999999</v>
      </c>
      <c r="C19" s="4">
        <v>32.231000000000002</v>
      </c>
      <c r="D19" s="4"/>
      <c r="E19" s="4">
        <f t="shared" si="1"/>
        <v>61.608000000000004</v>
      </c>
    </row>
    <row r="20" spans="1:5" hidden="1">
      <c r="A20" s="8">
        <v>44896</v>
      </c>
      <c r="B20" s="4">
        <v>26.95</v>
      </c>
      <c r="C20" s="4">
        <f>25.25+27.236</f>
        <v>52.486000000000004</v>
      </c>
      <c r="D20" s="4"/>
      <c r="E20" s="4">
        <f>B20+C20</f>
        <v>79.436000000000007</v>
      </c>
    </row>
    <row r="21" spans="1:5" hidden="1">
      <c r="A21" s="8">
        <v>44897</v>
      </c>
      <c r="B21" s="4">
        <v>77.835999999999999</v>
      </c>
      <c r="C21" s="4">
        <v>31.15</v>
      </c>
      <c r="D21" s="4"/>
      <c r="E21" s="4">
        <f t="shared" ref="E21:E50" si="2">B21+C21</f>
        <v>108.98599999999999</v>
      </c>
    </row>
    <row r="22" spans="1:5" hidden="1">
      <c r="A22" s="8">
        <v>44898</v>
      </c>
      <c r="B22" s="4">
        <v>29.166</v>
      </c>
      <c r="C22" s="4">
        <v>51.67</v>
      </c>
      <c r="D22" s="4"/>
      <c r="E22" s="4">
        <f t="shared" si="2"/>
        <v>80.835999999999999</v>
      </c>
    </row>
    <row r="23" spans="1:5" hidden="1">
      <c r="A23" s="8">
        <v>44899</v>
      </c>
      <c r="B23" s="4">
        <v>40</v>
      </c>
      <c r="C23" s="4">
        <v>31.15</v>
      </c>
      <c r="D23" s="4"/>
      <c r="E23" s="4">
        <f t="shared" si="2"/>
        <v>71.150000000000006</v>
      </c>
    </row>
    <row r="24" spans="1:5" hidden="1">
      <c r="A24" s="8">
        <v>44900</v>
      </c>
      <c r="B24" s="4">
        <v>26.5</v>
      </c>
      <c r="C24" s="4">
        <v>43.427999999999997</v>
      </c>
      <c r="D24" s="4"/>
      <c r="E24" s="4">
        <f t="shared" si="2"/>
        <v>69.927999999999997</v>
      </c>
    </row>
    <row r="25" spans="1:5" hidden="1">
      <c r="A25" s="8">
        <v>44901</v>
      </c>
      <c r="B25" s="4">
        <v>41.35</v>
      </c>
      <c r="C25" s="4">
        <v>27.254000000000001</v>
      </c>
      <c r="D25" s="4"/>
      <c r="E25" s="4">
        <f t="shared" si="2"/>
        <v>68.603999999999999</v>
      </c>
    </row>
    <row r="26" spans="1:5" hidden="1">
      <c r="A26" s="8">
        <v>44902</v>
      </c>
      <c r="B26" s="4">
        <v>43.228999999999999</v>
      </c>
      <c r="C26" s="4">
        <v>33.19</v>
      </c>
      <c r="D26" s="4"/>
      <c r="E26" s="4">
        <f t="shared" si="2"/>
        <v>76.418999999999997</v>
      </c>
    </row>
    <row r="27" spans="1:5" hidden="1">
      <c r="A27" s="8">
        <v>44903</v>
      </c>
      <c r="B27" s="4">
        <v>24.5</v>
      </c>
      <c r="C27" s="4">
        <f>14.28+23.5</f>
        <v>37.78</v>
      </c>
      <c r="D27" s="4"/>
      <c r="E27" s="4">
        <f t="shared" si="2"/>
        <v>62.28</v>
      </c>
    </row>
    <row r="28" spans="1:5" hidden="1">
      <c r="A28" s="8">
        <v>44904</v>
      </c>
      <c r="B28" s="4">
        <v>29.7</v>
      </c>
      <c r="C28" s="4">
        <v>28.4</v>
      </c>
      <c r="D28" s="4"/>
      <c r="E28" s="4">
        <f t="shared" si="2"/>
        <v>58.099999999999994</v>
      </c>
    </row>
    <row r="29" spans="1:5" hidden="1">
      <c r="A29" s="8">
        <v>44905</v>
      </c>
      <c r="B29" s="4">
        <f>36.772+37.486+17.186+32.737</f>
        <v>124.18099999999998</v>
      </c>
      <c r="C29" s="4">
        <f>52.55+34.349</f>
        <v>86.899000000000001</v>
      </c>
      <c r="D29" s="4"/>
      <c r="E29" s="4">
        <f t="shared" si="2"/>
        <v>211.07999999999998</v>
      </c>
    </row>
    <row r="30" spans="1:5" hidden="1">
      <c r="A30" s="8">
        <v>44906</v>
      </c>
      <c r="B30" s="4">
        <f>9.698+41.695</f>
        <v>51.393000000000001</v>
      </c>
      <c r="C30" s="4">
        <f>33.81</f>
        <v>33.81</v>
      </c>
      <c r="D30" s="4"/>
      <c r="E30" s="4">
        <f t="shared" si="2"/>
        <v>85.203000000000003</v>
      </c>
    </row>
    <row r="31" spans="1:5" hidden="1">
      <c r="A31" s="8">
        <v>44907</v>
      </c>
      <c r="B31" s="4">
        <v>31.02</v>
      </c>
      <c r="C31" s="4">
        <f>13.17</f>
        <v>13.17</v>
      </c>
      <c r="D31" s="4"/>
      <c r="E31" s="4">
        <f t="shared" si="2"/>
        <v>44.19</v>
      </c>
    </row>
    <row r="32" spans="1:5" hidden="1">
      <c r="A32" s="8">
        <v>44908</v>
      </c>
      <c r="B32" s="4">
        <v>18.25</v>
      </c>
      <c r="C32" s="4">
        <v>25.763999999999999</v>
      </c>
      <c r="D32" s="4"/>
      <c r="E32" s="4">
        <f t="shared" si="2"/>
        <v>44.013999999999996</v>
      </c>
    </row>
    <row r="33" spans="1:5" hidden="1">
      <c r="A33" s="8">
        <v>44909</v>
      </c>
      <c r="B33" s="4">
        <v>28.177</v>
      </c>
      <c r="C33" s="4">
        <v>10.255000000000001</v>
      </c>
      <c r="D33" s="4"/>
      <c r="E33" s="4">
        <f t="shared" si="2"/>
        <v>38.432000000000002</v>
      </c>
    </row>
    <row r="34" spans="1:5" hidden="1">
      <c r="A34" s="8">
        <v>44910</v>
      </c>
      <c r="B34" s="4">
        <v>48.08</v>
      </c>
      <c r="C34" s="4">
        <v>46.81</v>
      </c>
      <c r="D34" s="4"/>
      <c r="E34" s="4">
        <f t="shared" si="2"/>
        <v>94.89</v>
      </c>
    </row>
    <row r="35" spans="1:5" hidden="1">
      <c r="A35" s="8">
        <v>44911</v>
      </c>
      <c r="B35" s="4">
        <v>26.084</v>
      </c>
      <c r="C35" s="4">
        <v>25.81</v>
      </c>
      <c r="D35" s="4"/>
      <c r="E35" s="4">
        <f t="shared" si="2"/>
        <v>51.893999999999998</v>
      </c>
    </row>
    <row r="36" spans="1:5" hidden="1">
      <c r="A36" s="8">
        <v>44912</v>
      </c>
      <c r="B36" s="4"/>
      <c r="C36" s="4">
        <f>48.073+36.27</f>
        <v>84.343000000000004</v>
      </c>
      <c r="D36" s="4"/>
      <c r="E36" s="4">
        <f t="shared" si="2"/>
        <v>84.343000000000004</v>
      </c>
    </row>
    <row r="37" spans="1:5" hidden="1">
      <c r="A37" s="8">
        <v>44913</v>
      </c>
      <c r="B37" s="4"/>
      <c r="C37" s="4">
        <f>38.801+12.5</f>
        <v>51.301000000000002</v>
      </c>
      <c r="D37" s="4"/>
      <c r="E37" s="4">
        <f t="shared" si="2"/>
        <v>51.301000000000002</v>
      </c>
    </row>
    <row r="38" spans="1:5" hidden="1">
      <c r="A38" s="8">
        <v>44914</v>
      </c>
      <c r="B38" s="4"/>
      <c r="C38" s="4">
        <f>63.017+29.165</f>
        <v>92.182000000000002</v>
      </c>
      <c r="D38" s="4"/>
      <c r="E38" s="4">
        <f t="shared" si="2"/>
        <v>92.182000000000002</v>
      </c>
    </row>
    <row r="39" spans="1:5" hidden="1">
      <c r="A39" s="8">
        <v>44915</v>
      </c>
      <c r="B39" s="4">
        <f>34.98+44.9</f>
        <v>79.88</v>
      </c>
      <c r="C39" s="4">
        <v>28.786000000000001</v>
      </c>
      <c r="D39" s="4"/>
      <c r="E39" s="4">
        <f t="shared" si="2"/>
        <v>108.666</v>
      </c>
    </row>
    <row r="40" spans="1:5" hidden="1">
      <c r="A40" s="8">
        <v>44916</v>
      </c>
      <c r="B40" s="4">
        <v>24.9</v>
      </c>
      <c r="C40" s="4">
        <v>20.13</v>
      </c>
      <c r="D40" s="4"/>
      <c r="E40" s="4">
        <f t="shared" si="2"/>
        <v>45.03</v>
      </c>
    </row>
    <row r="41" spans="1:5" hidden="1">
      <c r="A41" s="8">
        <v>44917</v>
      </c>
      <c r="B41" s="4">
        <f>8.22+6.08</f>
        <v>14.3</v>
      </c>
      <c r="C41" s="4">
        <f>8.02+14.86+21.5</f>
        <v>44.379999999999995</v>
      </c>
      <c r="D41" s="4"/>
      <c r="E41" s="4">
        <f t="shared" si="2"/>
        <v>58.679999999999993</v>
      </c>
    </row>
    <row r="42" spans="1:5" hidden="1">
      <c r="A42" s="8">
        <v>44918</v>
      </c>
      <c r="B42" s="4">
        <f>38.06+3.8</f>
        <v>41.86</v>
      </c>
      <c r="C42" s="4">
        <f>33.795+4.75+24.55+8.92</f>
        <v>72.015000000000001</v>
      </c>
      <c r="D42" s="4"/>
      <c r="E42" s="4">
        <f t="shared" si="2"/>
        <v>113.875</v>
      </c>
    </row>
    <row r="43" spans="1:5" hidden="1">
      <c r="A43" s="8">
        <v>44919</v>
      </c>
      <c r="B43" s="4">
        <f>21.58+19.5</f>
        <v>41.08</v>
      </c>
      <c r="C43" s="4">
        <f>39.46+16.5</f>
        <v>55.96</v>
      </c>
      <c r="D43" s="4"/>
      <c r="E43" s="4">
        <f t="shared" si="2"/>
        <v>97.039999999999992</v>
      </c>
    </row>
    <row r="44" spans="1:5" hidden="1">
      <c r="A44" s="8">
        <v>44920</v>
      </c>
      <c r="B44" s="4">
        <f>47.292</f>
        <v>47.292000000000002</v>
      </c>
      <c r="C44" s="4">
        <f>30.075+30.37</f>
        <v>60.445</v>
      </c>
      <c r="D44" s="4"/>
      <c r="E44" s="4">
        <f t="shared" si="2"/>
        <v>107.73699999999999</v>
      </c>
    </row>
    <row r="45" spans="1:5" hidden="1">
      <c r="A45" s="8">
        <v>44921</v>
      </c>
      <c r="B45" s="4">
        <v>32.28</v>
      </c>
      <c r="C45" s="4">
        <f>27.884+47.98</f>
        <v>75.864000000000004</v>
      </c>
      <c r="D45" s="4"/>
      <c r="E45" s="4">
        <f t="shared" si="2"/>
        <v>108.14400000000001</v>
      </c>
    </row>
    <row r="46" spans="1:5" hidden="1">
      <c r="A46" s="8">
        <v>44922</v>
      </c>
      <c r="B46" s="4">
        <f>28.4</f>
        <v>28.4</v>
      </c>
      <c r="C46" s="4">
        <f>30.273</f>
        <v>30.273</v>
      </c>
      <c r="D46" s="4"/>
      <c r="E46" s="4">
        <f t="shared" si="2"/>
        <v>58.673000000000002</v>
      </c>
    </row>
    <row r="47" spans="1:5" hidden="1">
      <c r="A47" s="8">
        <v>44923</v>
      </c>
      <c r="B47" s="4">
        <f>17.595+6.734+9.311</f>
        <v>33.64</v>
      </c>
      <c r="C47" s="4">
        <f>30.105+24.15</f>
        <v>54.254999999999995</v>
      </c>
      <c r="D47" s="4"/>
      <c r="E47" s="4">
        <f t="shared" si="2"/>
        <v>87.894999999999996</v>
      </c>
    </row>
    <row r="48" spans="1:5" hidden="1">
      <c r="A48" s="8">
        <v>44924</v>
      </c>
      <c r="B48" s="4">
        <v>34.222999999999999</v>
      </c>
      <c r="C48" s="4">
        <v>40.47</v>
      </c>
      <c r="D48" s="4"/>
      <c r="E48" s="4">
        <f t="shared" si="2"/>
        <v>74.692999999999998</v>
      </c>
    </row>
    <row r="49" spans="1:5" hidden="1">
      <c r="A49" s="8">
        <v>44925</v>
      </c>
      <c r="B49" s="4">
        <f>55.664+2.456</f>
        <v>58.120000000000005</v>
      </c>
      <c r="C49" s="4">
        <f>68.415</f>
        <v>68.415000000000006</v>
      </c>
      <c r="D49" s="4"/>
      <c r="E49" s="4">
        <f t="shared" si="2"/>
        <v>126.53500000000001</v>
      </c>
    </row>
    <row r="50" spans="1:5" hidden="1">
      <c r="A50" s="8">
        <v>44926</v>
      </c>
      <c r="B50" s="4">
        <v>69.816000000000003</v>
      </c>
      <c r="C50" s="4">
        <v>56.16</v>
      </c>
      <c r="D50" s="4"/>
      <c r="E50" s="4">
        <f t="shared" si="2"/>
        <v>125.976</v>
      </c>
    </row>
    <row r="51" spans="1:5" hidden="1">
      <c r="A51" s="8">
        <v>44927</v>
      </c>
      <c r="B51" s="4">
        <v>56.92</v>
      </c>
      <c r="C51" s="4">
        <f>68.109+29.908</f>
        <v>98.016999999999996</v>
      </c>
      <c r="D51" s="4"/>
      <c r="E51" s="4">
        <f>B51+C51</f>
        <v>154.93700000000001</v>
      </c>
    </row>
    <row r="52" spans="1:5" hidden="1">
      <c r="A52" s="8">
        <v>44928</v>
      </c>
      <c r="B52" s="4">
        <v>56.395000000000003</v>
      </c>
      <c r="C52" s="4">
        <f>63.2+48.233</f>
        <v>111.43299999999999</v>
      </c>
      <c r="D52" s="4"/>
      <c r="E52" s="4">
        <f t="shared" ref="E52:E81" si="3">B52+C52</f>
        <v>167.828</v>
      </c>
    </row>
    <row r="53" spans="1:5" hidden="1">
      <c r="A53" s="8">
        <v>44929</v>
      </c>
      <c r="B53" s="4">
        <f>28.673+2.248+16.184+12.334</f>
        <v>59.439000000000007</v>
      </c>
      <c r="C53" s="4">
        <f>36.293+14.505+12.262</f>
        <v>63.06</v>
      </c>
      <c r="D53" s="4"/>
      <c r="E53" s="4">
        <f t="shared" si="3"/>
        <v>122.49900000000001</v>
      </c>
    </row>
    <row r="54" spans="1:5" hidden="1">
      <c r="A54" s="8">
        <v>44930</v>
      </c>
      <c r="B54" s="4">
        <v>37.46</v>
      </c>
      <c r="C54" s="4">
        <v>24.64</v>
      </c>
      <c r="D54" s="4"/>
      <c r="E54" s="4">
        <f t="shared" si="3"/>
        <v>62.1</v>
      </c>
    </row>
    <row r="55" spans="1:5" hidden="1">
      <c r="A55" s="8">
        <v>44931</v>
      </c>
      <c r="B55" s="4">
        <f>63.833</f>
        <v>63.832999999999998</v>
      </c>
      <c r="C55" s="4">
        <f>10.611+41.294+16.634+3.527+23.744</f>
        <v>95.81</v>
      </c>
      <c r="D55" s="4"/>
      <c r="E55" s="4">
        <f t="shared" si="3"/>
        <v>159.643</v>
      </c>
    </row>
    <row r="56" spans="1:5" hidden="1">
      <c r="A56" s="8">
        <v>44932</v>
      </c>
      <c r="B56" s="4">
        <f>51.049</f>
        <v>51.048999999999999</v>
      </c>
      <c r="C56" s="4">
        <f>8.14+3.14+23.196+27.177+8.368+7.457</f>
        <v>77.477999999999994</v>
      </c>
      <c r="D56" s="4"/>
      <c r="E56" s="4">
        <f t="shared" si="3"/>
        <v>128.52699999999999</v>
      </c>
    </row>
    <row r="57" spans="1:5" hidden="1">
      <c r="A57" s="8">
        <v>44933</v>
      </c>
      <c r="B57" s="4">
        <v>28.588999999999999</v>
      </c>
      <c r="C57" s="4">
        <f>59.648+34.093</f>
        <v>93.741000000000014</v>
      </c>
      <c r="D57" s="4"/>
      <c r="E57" s="4">
        <f t="shared" si="3"/>
        <v>122.33000000000001</v>
      </c>
    </row>
    <row r="58" spans="1:5" hidden="1">
      <c r="A58" s="8">
        <v>44934</v>
      </c>
      <c r="B58" s="4">
        <v>0</v>
      </c>
      <c r="C58" s="4">
        <f>96.18+24.573</f>
        <v>120.75300000000001</v>
      </c>
      <c r="D58" s="4"/>
      <c r="E58" s="4">
        <f t="shared" si="3"/>
        <v>120.75300000000001</v>
      </c>
    </row>
    <row r="59" spans="1:5" hidden="1">
      <c r="A59" s="8">
        <v>44935</v>
      </c>
      <c r="B59" s="4">
        <v>0</v>
      </c>
      <c r="C59" s="4">
        <f>34.002+51.554</f>
        <v>85.556000000000012</v>
      </c>
      <c r="D59" s="4"/>
      <c r="E59" s="4">
        <f t="shared" si="3"/>
        <v>85.556000000000012</v>
      </c>
    </row>
    <row r="60" spans="1:5" hidden="1">
      <c r="A60" s="8">
        <v>44936</v>
      </c>
      <c r="B60" s="4">
        <v>0</v>
      </c>
      <c r="C60" s="4">
        <f>41.068+39.729</f>
        <v>80.796999999999997</v>
      </c>
      <c r="D60" s="4"/>
      <c r="E60" s="4">
        <f t="shared" si="3"/>
        <v>80.796999999999997</v>
      </c>
    </row>
    <row r="61" spans="1:5" hidden="1">
      <c r="A61" s="8">
        <v>44937</v>
      </c>
      <c r="B61" s="4">
        <v>0</v>
      </c>
      <c r="C61" s="4">
        <v>28.27</v>
      </c>
      <c r="D61" s="4"/>
      <c r="E61" s="4">
        <f t="shared" si="3"/>
        <v>28.27</v>
      </c>
    </row>
    <row r="62" spans="1:5" hidden="1">
      <c r="A62" s="8">
        <v>44938</v>
      </c>
      <c r="B62" s="4">
        <v>0</v>
      </c>
      <c r="C62" s="4">
        <f>30.44+13.581+9.008+22.508</f>
        <v>75.536999999999992</v>
      </c>
      <c r="D62" s="4"/>
      <c r="E62" s="4">
        <f t="shared" si="3"/>
        <v>75.536999999999992</v>
      </c>
    </row>
    <row r="63" spans="1:5" hidden="1">
      <c r="A63" s="8">
        <v>44939</v>
      </c>
      <c r="B63" s="4">
        <v>0</v>
      </c>
      <c r="C63" s="4">
        <v>50.353999999999999</v>
      </c>
      <c r="D63" s="4"/>
      <c r="E63" s="4">
        <f t="shared" si="3"/>
        <v>50.353999999999999</v>
      </c>
    </row>
    <row r="64" spans="1:5" hidden="1">
      <c r="A64" s="8">
        <v>44940</v>
      </c>
      <c r="B64" s="4">
        <v>0</v>
      </c>
      <c r="C64" s="4">
        <v>0</v>
      </c>
      <c r="D64" s="4"/>
      <c r="E64" s="4">
        <f t="shared" si="3"/>
        <v>0</v>
      </c>
    </row>
    <row r="65" spans="1:5" hidden="1">
      <c r="A65" s="8">
        <v>44941</v>
      </c>
      <c r="B65" s="4">
        <v>0</v>
      </c>
      <c r="C65" s="4">
        <v>0</v>
      </c>
      <c r="D65" s="4"/>
      <c r="E65" s="4">
        <f t="shared" si="3"/>
        <v>0</v>
      </c>
    </row>
    <row r="66" spans="1:5" hidden="1">
      <c r="A66" s="8">
        <v>44942</v>
      </c>
      <c r="B66" s="4">
        <v>0</v>
      </c>
      <c r="C66" s="4">
        <v>0</v>
      </c>
      <c r="D66" s="4"/>
      <c r="E66" s="4">
        <f t="shared" si="3"/>
        <v>0</v>
      </c>
    </row>
    <row r="67" spans="1:5" hidden="1">
      <c r="A67" s="8">
        <v>44943</v>
      </c>
      <c r="B67" s="4">
        <v>0</v>
      </c>
      <c r="C67" s="4">
        <v>0</v>
      </c>
      <c r="D67" s="4"/>
      <c r="E67" s="4">
        <f t="shared" si="3"/>
        <v>0</v>
      </c>
    </row>
    <row r="68" spans="1:5" hidden="1">
      <c r="A68" s="8">
        <v>44944</v>
      </c>
      <c r="B68" s="4">
        <v>0</v>
      </c>
      <c r="C68" s="4">
        <v>0</v>
      </c>
      <c r="D68" s="4"/>
      <c r="E68" s="4">
        <f t="shared" si="3"/>
        <v>0</v>
      </c>
    </row>
    <row r="69" spans="1:5" hidden="1">
      <c r="A69" s="8">
        <v>44945</v>
      </c>
      <c r="B69" s="4">
        <v>0</v>
      </c>
      <c r="C69" s="4">
        <f>19.344+46.326</f>
        <v>65.67</v>
      </c>
      <c r="D69" s="4"/>
      <c r="E69" s="4">
        <f t="shared" si="3"/>
        <v>65.67</v>
      </c>
    </row>
    <row r="70" spans="1:5" hidden="1">
      <c r="A70" s="8">
        <v>44946</v>
      </c>
      <c r="B70" s="4">
        <v>0</v>
      </c>
      <c r="C70" s="4">
        <f>53.876+20.988</f>
        <v>74.864000000000004</v>
      </c>
      <c r="D70" s="4"/>
      <c r="E70" s="4">
        <f t="shared" si="3"/>
        <v>74.864000000000004</v>
      </c>
    </row>
    <row r="71" spans="1:5" hidden="1">
      <c r="A71" s="8">
        <v>44947</v>
      </c>
      <c r="B71" s="4">
        <v>0</v>
      </c>
      <c r="C71" s="4">
        <f>40.984+44.17</f>
        <v>85.153999999999996</v>
      </c>
      <c r="D71" s="4"/>
      <c r="E71" s="4">
        <f t="shared" si="3"/>
        <v>85.153999999999996</v>
      </c>
    </row>
    <row r="72" spans="1:5" hidden="1">
      <c r="A72" s="8">
        <v>44948</v>
      </c>
      <c r="B72" s="4">
        <v>27.102</v>
      </c>
      <c r="C72" s="4">
        <f>43.762+13.924</f>
        <v>57.686</v>
      </c>
      <c r="D72" s="4"/>
      <c r="E72" s="4">
        <f t="shared" si="3"/>
        <v>84.787999999999997</v>
      </c>
    </row>
    <row r="73" spans="1:5" hidden="1">
      <c r="A73" s="8">
        <v>44949</v>
      </c>
      <c r="B73" s="4">
        <f>36.297+27.5</f>
        <v>63.796999999999997</v>
      </c>
      <c r="C73" s="4">
        <v>42.168999999999997</v>
      </c>
      <c r="D73" s="4"/>
      <c r="E73" s="4">
        <f t="shared" si="3"/>
        <v>105.96599999999999</v>
      </c>
    </row>
    <row r="74" spans="1:5" hidden="1">
      <c r="A74" s="8">
        <v>44950</v>
      </c>
      <c r="B74" s="4">
        <f>48.1+20.5</f>
        <v>68.599999999999994</v>
      </c>
      <c r="C74" s="4">
        <f>36.268+37.254</f>
        <v>73.521999999999991</v>
      </c>
      <c r="D74" s="4"/>
      <c r="E74" s="4">
        <f t="shared" si="3"/>
        <v>142.12199999999999</v>
      </c>
    </row>
    <row r="75" spans="1:5" hidden="1">
      <c r="A75" s="8">
        <v>44951</v>
      </c>
      <c r="B75" s="4">
        <f>10.626+30.5</f>
        <v>41.125999999999998</v>
      </c>
      <c r="C75" s="4">
        <f>27.984+31.5</f>
        <v>59.484000000000002</v>
      </c>
      <c r="D75" s="4"/>
      <c r="E75" s="4">
        <f t="shared" si="3"/>
        <v>100.61</v>
      </c>
    </row>
    <row r="76" spans="1:5" hidden="1">
      <c r="A76" s="8">
        <v>44952</v>
      </c>
      <c r="B76" s="4">
        <v>0</v>
      </c>
      <c r="C76" s="4">
        <v>0</v>
      </c>
      <c r="D76" s="4"/>
      <c r="E76" s="4">
        <f t="shared" si="3"/>
        <v>0</v>
      </c>
    </row>
    <row r="77" spans="1:5" hidden="1">
      <c r="A77" s="8">
        <v>44953</v>
      </c>
      <c r="B77" s="4">
        <f>60.185+10.126+9.025+7.276+11.739</f>
        <v>98.351000000000013</v>
      </c>
      <c r="C77" s="4">
        <f>28.813+17.454</f>
        <v>46.266999999999996</v>
      </c>
      <c r="D77" s="4"/>
      <c r="E77" s="4">
        <f t="shared" si="3"/>
        <v>144.61799999999999</v>
      </c>
    </row>
    <row r="78" spans="1:5" hidden="1">
      <c r="A78" s="8">
        <v>44954</v>
      </c>
      <c r="B78" s="4">
        <f>13.712+25.5</f>
        <v>39.212000000000003</v>
      </c>
      <c r="C78" s="4">
        <f>25.771+14.573+13.528+12.449+10.703</f>
        <v>77.024000000000001</v>
      </c>
      <c r="D78" s="4"/>
      <c r="E78" s="4">
        <f t="shared" si="3"/>
        <v>116.236</v>
      </c>
    </row>
    <row r="79" spans="1:5" hidden="1">
      <c r="A79" s="8">
        <v>44955</v>
      </c>
      <c r="B79" s="4">
        <f>17.399+1.745+26.702</f>
        <v>45.846000000000004</v>
      </c>
      <c r="C79" s="4">
        <f>44.085+44.18</f>
        <v>88.265000000000001</v>
      </c>
      <c r="D79" s="4"/>
      <c r="E79" s="4">
        <f t="shared" si="3"/>
        <v>134.11099999999999</v>
      </c>
    </row>
    <row r="80" spans="1:5" hidden="1">
      <c r="A80" s="8">
        <v>44956</v>
      </c>
      <c r="B80" s="4">
        <f>34.008</f>
        <v>34.008000000000003</v>
      </c>
      <c r="C80" s="4">
        <f>39.342+5.658+30.55</f>
        <v>75.55</v>
      </c>
      <c r="D80" s="4"/>
      <c r="E80" s="4">
        <f t="shared" si="3"/>
        <v>109.55799999999999</v>
      </c>
    </row>
    <row r="81" spans="1:5" hidden="1">
      <c r="A81" s="8">
        <v>44957</v>
      </c>
      <c r="B81" s="4">
        <f>40.895+17.683+30.106</f>
        <v>88.683999999999997</v>
      </c>
      <c r="C81" s="4">
        <f>46.63+6.956+34.713</f>
        <v>88.299000000000007</v>
      </c>
      <c r="D81" s="4"/>
      <c r="E81" s="4">
        <f t="shared" si="3"/>
        <v>176.983</v>
      </c>
    </row>
    <row r="82" spans="1:5">
      <c r="A82" s="8">
        <v>44958</v>
      </c>
      <c r="B82" s="4">
        <v>15.381</v>
      </c>
      <c r="C82" s="4">
        <f>6.683</f>
        <v>6.6829999999999998</v>
      </c>
      <c r="D82" s="4"/>
      <c r="E82" s="4">
        <f t="shared" ref="E82" si="4">B82+C82</f>
        <v>22.064</v>
      </c>
    </row>
    <row r="83" spans="1:5">
      <c r="A83" s="8">
        <v>44959</v>
      </c>
      <c r="B83" s="4">
        <f>34.101+29.453</f>
        <v>63.554000000000002</v>
      </c>
      <c r="C83" s="4">
        <f>17.613</f>
        <v>17.613</v>
      </c>
      <c r="D83" s="4"/>
      <c r="E83" s="4">
        <f t="shared" ref="E83:E109" si="5">B83+C83</f>
        <v>81.167000000000002</v>
      </c>
    </row>
    <row r="84" spans="1:5">
      <c r="A84" s="8">
        <v>44960</v>
      </c>
      <c r="B84" s="4">
        <f>40.814+30.377</f>
        <v>71.191000000000003</v>
      </c>
      <c r="C84" s="4">
        <f>18.224</f>
        <v>18.224</v>
      </c>
      <c r="D84" s="4"/>
      <c r="E84" s="4">
        <f t="shared" si="5"/>
        <v>89.415000000000006</v>
      </c>
    </row>
    <row r="85" spans="1:5">
      <c r="A85" s="8">
        <v>44961</v>
      </c>
      <c r="B85" s="4">
        <f>38.031+32.909</f>
        <v>70.94</v>
      </c>
      <c r="C85" s="4">
        <v>27.795999999999999</v>
      </c>
      <c r="D85" s="4"/>
      <c r="E85" s="4">
        <f t="shared" si="5"/>
        <v>98.73599999999999</v>
      </c>
    </row>
    <row r="86" spans="1:5">
      <c r="A86" s="8">
        <v>44962</v>
      </c>
      <c r="B86" s="4">
        <f>22.046+10.819+25.311</f>
        <v>58.176000000000002</v>
      </c>
      <c r="C86" s="4">
        <v>21.446999999999999</v>
      </c>
      <c r="D86" s="4"/>
      <c r="E86" s="4">
        <f t="shared" si="5"/>
        <v>79.623000000000005</v>
      </c>
    </row>
    <row r="87" spans="1:5">
      <c r="A87" s="8">
        <v>44963</v>
      </c>
      <c r="B87" s="4">
        <f>29.666+29.449</f>
        <v>59.115000000000002</v>
      </c>
      <c r="C87" s="4">
        <f>20.704</f>
        <v>20.704000000000001</v>
      </c>
      <c r="D87" s="4"/>
      <c r="E87" s="4">
        <f t="shared" si="5"/>
        <v>79.819000000000003</v>
      </c>
    </row>
    <row r="88" spans="1:5">
      <c r="A88" s="8">
        <v>44964</v>
      </c>
      <c r="B88" s="4">
        <f>26.908+9.35+33.528</f>
        <v>69.786000000000001</v>
      </c>
      <c r="C88" s="4">
        <f>21.341</f>
        <v>21.341000000000001</v>
      </c>
      <c r="D88" s="4"/>
      <c r="E88" s="4">
        <f t="shared" si="5"/>
        <v>91.12700000000001</v>
      </c>
    </row>
    <row r="89" spans="1:5">
      <c r="A89" s="8">
        <v>44965</v>
      </c>
      <c r="B89" s="4">
        <f>22.616+12.77</f>
        <v>35.385999999999996</v>
      </c>
      <c r="C89" s="4"/>
      <c r="D89" s="4"/>
      <c r="E89" s="4">
        <f t="shared" si="5"/>
        <v>35.385999999999996</v>
      </c>
    </row>
    <row r="90" spans="1:5">
      <c r="A90" s="8">
        <v>44966</v>
      </c>
      <c r="B90" s="4">
        <f>22.789+4.624</f>
        <v>27.413</v>
      </c>
      <c r="C90" s="4">
        <f>18.806+37.884+34.601</f>
        <v>91.290999999999997</v>
      </c>
      <c r="D90" s="4"/>
      <c r="E90" s="4">
        <f t="shared" si="5"/>
        <v>118.70399999999999</v>
      </c>
    </row>
    <row r="91" spans="1:5">
      <c r="A91" s="8">
        <v>44967</v>
      </c>
      <c r="B91" s="4">
        <f>23.192</f>
        <v>23.192</v>
      </c>
      <c r="C91" s="4">
        <f>11.904+24.113+14.195+40.565</f>
        <v>90.776999999999987</v>
      </c>
      <c r="D91" s="4"/>
      <c r="E91" s="4">
        <f t="shared" si="5"/>
        <v>113.96899999999999</v>
      </c>
    </row>
    <row r="92" spans="1:5">
      <c r="A92" s="8">
        <v>44968</v>
      </c>
      <c r="B92" s="4">
        <f>15.845</f>
        <v>15.845000000000001</v>
      </c>
      <c r="C92" s="4">
        <f>38.651+20.939</f>
        <v>59.59</v>
      </c>
      <c r="D92" s="4"/>
      <c r="E92" s="4">
        <f t="shared" si="5"/>
        <v>75.435000000000002</v>
      </c>
    </row>
    <row r="93" spans="1:5">
      <c r="A93" s="8">
        <v>44969</v>
      </c>
      <c r="B93" s="4">
        <f>6.306+13.325</f>
        <v>19.631</v>
      </c>
      <c r="C93" s="4">
        <f>18.21+17.417+41.258</f>
        <v>76.885000000000005</v>
      </c>
      <c r="D93" s="4"/>
      <c r="E93" s="4">
        <f t="shared" si="5"/>
        <v>96.516000000000005</v>
      </c>
    </row>
    <row r="94" spans="1:5">
      <c r="A94" s="8">
        <v>44970</v>
      </c>
      <c r="B94" s="4">
        <f>6.703+22.427</f>
        <v>29.13</v>
      </c>
      <c r="C94" s="4">
        <f>21.882+33.729</f>
        <v>55.611000000000004</v>
      </c>
      <c r="D94" s="4"/>
      <c r="E94" s="4">
        <f t="shared" si="5"/>
        <v>84.741</v>
      </c>
    </row>
    <row r="95" spans="1:5">
      <c r="A95" s="8">
        <v>44971</v>
      </c>
      <c r="B95" s="4">
        <f>6.507+1.136+23.51+21.742</f>
        <v>52.895000000000003</v>
      </c>
      <c r="C95" s="4">
        <f>13.207+23.999+24.632</f>
        <v>61.838000000000008</v>
      </c>
      <c r="D95" s="4"/>
      <c r="E95" s="4">
        <f t="shared" si="5"/>
        <v>114.733</v>
      </c>
    </row>
    <row r="96" spans="1:5">
      <c r="A96" s="8">
        <v>44972</v>
      </c>
      <c r="B96" s="4">
        <f>0.788+0.355+2.465+0.798+1.07+0.838+1.093+0.996+0.194+1.718+1.425+0.946+0.869+2.29+2.863+2.625+1.294+1.658+0.423+0.784+1.369+1.328+1.406+0.3+0.836+18.989</f>
        <v>49.72</v>
      </c>
      <c r="C96" s="4">
        <f>70.33+46.223</f>
        <v>116.553</v>
      </c>
      <c r="D96" s="4"/>
      <c r="E96" s="4">
        <f t="shared" si="5"/>
        <v>166.273</v>
      </c>
    </row>
    <row r="97" spans="1:5">
      <c r="A97" s="8">
        <v>44973</v>
      </c>
      <c r="B97" s="4">
        <f>45.29+24.217</f>
        <v>69.507000000000005</v>
      </c>
      <c r="C97" s="4">
        <f>35.143+36.01</f>
        <v>71.152999999999992</v>
      </c>
      <c r="D97" s="4"/>
      <c r="E97" s="4">
        <f t="shared" si="5"/>
        <v>140.66</v>
      </c>
    </row>
    <row r="98" spans="1:5">
      <c r="A98" s="8">
        <v>44974</v>
      </c>
      <c r="B98" s="4">
        <f>44.254+28.422</f>
        <v>72.676000000000002</v>
      </c>
      <c r="C98" s="4">
        <f>52.3+34.229</f>
        <v>86.528999999999996</v>
      </c>
      <c r="D98" s="4"/>
      <c r="E98" s="4">
        <f t="shared" si="5"/>
        <v>159.20499999999998</v>
      </c>
    </row>
    <row r="99" spans="1:5">
      <c r="A99" s="8">
        <v>44975</v>
      </c>
      <c r="B99" s="4">
        <f>22.618+19.088</f>
        <v>41.706000000000003</v>
      </c>
      <c r="C99" s="4">
        <f>51.62+49.977</f>
        <v>101.59699999999999</v>
      </c>
      <c r="D99" s="4"/>
      <c r="E99" s="4">
        <f t="shared" si="5"/>
        <v>143.303</v>
      </c>
    </row>
    <row r="100" spans="1:5">
      <c r="A100" s="8">
        <v>44976</v>
      </c>
      <c r="B100" s="4">
        <f>41.52+46.421</f>
        <v>87.941000000000003</v>
      </c>
      <c r="C100" s="4">
        <f>44.209+39.408</f>
        <v>83.617000000000004</v>
      </c>
      <c r="D100" s="4"/>
      <c r="E100" s="4">
        <f t="shared" si="5"/>
        <v>171.55799999999999</v>
      </c>
    </row>
    <row r="101" spans="1:5">
      <c r="A101" s="8">
        <v>44977</v>
      </c>
      <c r="B101" s="4">
        <f>43.978+41.484</f>
        <v>85.462000000000003</v>
      </c>
      <c r="C101" s="4">
        <f>41.943+43.269</f>
        <v>85.211999999999989</v>
      </c>
      <c r="D101" s="4"/>
      <c r="E101" s="4">
        <f t="shared" si="5"/>
        <v>170.67399999999998</v>
      </c>
    </row>
    <row r="102" spans="1:5">
      <c r="A102" s="8">
        <v>44978</v>
      </c>
      <c r="B102" s="4">
        <f>45.469+40.817</f>
        <v>86.286000000000001</v>
      </c>
      <c r="C102" s="4">
        <f>40.128+51.121</f>
        <v>91.248999999999995</v>
      </c>
      <c r="D102" s="4"/>
      <c r="E102" s="4">
        <f t="shared" si="5"/>
        <v>177.535</v>
      </c>
    </row>
    <row r="103" spans="1:5">
      <c r="A103" s="8">
        <v>44979</v>
      </c>
      <c r="B103" s="4">
        <v>18.106000000000002</v>
      </c>
      <c r="C103" s="4">
        <v>13.507</v>
      </c>
      <c r="D103" s="4"/>
      <c r="E103" s="4">
        <f t="shared" si="5"/>
        <v>31.613</v>
      </c>
    </row>
    <row r="104" spans="1:5">
      <c r="A104" s="8">
        <v>44980</v>
      </c>
      <c r="B104" s="4">
        <f>28.939+30.925</f>
        <v>59.864000000000004</v>
      </c>
      <c r="C104" s="4">
        <v>29.012</v>
      </c>
      <c r="D104" s="4"/>
      <c r="E104" s="4">
        <f t="shared" si="5"/>
        <v>88.876000000000005</v>
      </c>
    </row>
    <row r="105" spans="1:5">
      <c r="A105" s="8">
        <v>44981</v>
      </c>
      <c r="B105" s="4">
        <f>35.372+35.02</f>
        <v>70.391999999999996</v>
      </c>
      <c r="C105" s="4">
        <f>31.006+34.22</f>
        <v>65.225999999999999</v>
      </c>
      <c r="D105" s="4"/>
      <c r="E105" s="4">
        <f t="shared" si="5"/>
        <v>135.61799999999999</v>
      </c>
    </row>
    <row r="106" spans="1:5">
      <c r="A106" s="8">
        <v>44982</v>
      </c>
      <c r="B106" s="4">
        <v>21.134</v>
      </c>
      <c r="C106" s="4">
        <v>27.36</v>
      </c>
      <c r="D106" s="4"/>
      <c r="E106" s="4">
        <f t="shared" si="5"/>
        <v>48.494</v>
      </c>
    </row>
    <row r="107" spans="1:5">
      <c r="A107" s="8">
        <v>44983</v>
      </c>
      <c r="B107" s="4">
        <f>20.447+36.312</f>
        <v>56.759</v>
      </c>
      <c r="C107" s="4">
        <f>45.408+34.267</f>
        <v>79.675000000000011</v>
      </c>
      <c r="D107" s="4"/>
      <c r="E107" s="4">
        <f t="shared" si="5"/>
        <v>136.43400000000003</v>
      </c>
    </row>
    <row r="108" spans="1:5">
      <c r="A108" s="8">
        <v>44984</v>
      </c>
      <c r="B108" s="4">
        <f>26.479+4.355</f>
        <v>30.834</v>
      </c>
      <c r="C108" s="4">
        <f>24.114+38.36</f>
        <v>62.474000000000004</v>
      </c>
      <c r="D108" s="4"/>
      <c r="E108" s="4">
        <f t="shared" si="5"/>
        <v>93.308000000000007</v>
      </c>
    </row>
    <row r="109" spans="1:5">
      <c r="A109" s="8">
        <v>44985</v>
      </c>
      <c r="B109" s="4"/>
      <c r="C109" s="4">
        <f>40.372+28.149</f>
        <v>68.521000000000001</v>
      </c>
      <c r="D109" s="4"/>
      <c r="E109" s="4">
        <f t="shared" si="5"/>
        <v>68.521000000000001</v>
      </c>
    </row>
    <row r="110" spans="1:5">
      <c r="A110" s="8">
        <v>44986</v>
      </c>
      <c r="B110" s="4"/>
      <c r="C110" s="4">
        <f>3.239+8.192</f>
        <v>11.431000000000001</v>
      </c>
      <c r="D110" s="4"/>
      <c r="E110" s="4">
        <f t="shared" ref="E110:E115" si="6">B110+C110</f>
        <v>11.431000000000001</v>
      </c>
    </row>
    <row r="111" spans="1:5">
      <c r="A111" s="8">
        <v>44987</v>
      </c>
      <c r="B111" s="4"/>
      <c r="C111" s="4">
        <f>77.338+1.725</f>
        <v>79.062999999999988</v>
      </c>
      <c r="D111" s="4"/>
      <c r="E111" s="4">
        <f t="shared" si="6"/>
        <v>79.062999999999988</v>
      </c>
    </row>
    <row r="112" spans="1:5">
      <c r="A112" s="8">
        <v>44988</v>
      </c>
      <c r="B112" s="4"/>
      <c r="C112" s="4">
        <f>34.222+31.687</f>
        <v>65.909000000000006</v>
      </c>
      <c r="D112" s="4"/>
      <c r="E112" s="4">
        <f t="shared" si="6"/>
        <v>65.909000000000006</v>
      </c>
    </row>
    <row r="113" spans="1:5">
      <c r="A113" s="8">
        <v>44989</v>
      </c>
      <c r="B113" s="4"/>
      <c r="C113" s="4">
        <f>43.393+47.212</f>
        <v>90.605000000000004</v>
      </c>
      <c r="D113" s="4"/>
      <c r="E113" s="4">
        <f t="shared" si="6"/>
        <v>90.605000000000004</v>
      </c>
    </row>
    <row r="114" spans="1:5">
      <c r="A114" s="8">
        <v>44990</v>
      </c>
      <c r="B114" s="4"/>
      <c r="C114" s="4">
        <f>33.166+54.991</f>
        <v>88.156999999999996</v>
      </c>
      <c r="D114" s="4"/>
      <c r="E114" s="4">
        <f t="shared" si="6"/>
        <v>88.156999999999996</v>
      </c>
    </row>
    <row r="115" spans="1:5">
      <c r="A115" s="8">
        <v>44994</v>
      </c>
      <c r="B115" s="4"/>
      <c r="C115" s="4">
        <f>27.984+27.158</f>
        <v>55.142000000000003</v>
      </c>
      <c r="D115" s="4"/>
      <c r="E115" s="4">
        <f t="shared" si="6"/>
        <v>55.142000000000003</v>
      </c>
    </row>
    <row r="116" spans="1:5">
      <c r="A116" s="8">
        <v>44995</v>
      </c>
      <c r="B116" s="4"/>
      <c r="C116" s="4">
        <f>48.954+39.966</f>
        <v>88.92</v>
      </c>
      <c r="D116" s="4"/>
      <c r="E116" s="4">
        <f>B116+C116</f>
        <v>88.92</v>
      </c>
    </row>
    <row r="117" spans="1:5">
      <c r="A117" s="8">
        <v>44996</v>
      </c>
      <c r="B117" s="4"/>
      <c r="C117" s="4">
        <f>38.016+32.093</f>
        <v>70.109000000000009</v>
      </c>
      <c r="D117" s="4"/>
      <c r="E117" s="4">
        <f>B117+C117</f>
        <v>70.109000000000009</v>
      </c>
    </row>
    <row r="118" spans="1:5">
      <c r="A118" s="8">
        <v>44997</v>
      </c>
      <c r="B118" s="4">
        <f>39.162+48.837</f>
        <v>87.998999999999995</v>
      </c>
      <c r="C118" s="4">
        <v>53.38</v>
      </c>
      <c r="D118" s="4"/>
      <c r="E118" s="4">
        <f>B118+C118</f>
        <v>141.37899999999999</v>
      </c>
    </row>
    <row r="119" spans="1:5">
      <c r="A119" s="8">
        <v>44998</v>
      </c>
      <c r="B119" s="4">
        <f>2.614+2.614+2.614+3.054+2.614+2.838+2.838+2.158+1.892+2.838+1.612+1.892+1.723+2.838+2.838+45.703</f>
        <v>82.68</v>
      </c>
      <c r="C119" s="4">
        <f>24.151+44.709</f>
        <v>68.86</v>
      </c>
      <c r="D119" s="4"/>
      <c r="E119" s="4">
        <f>B119+C119</f>
        <v>151.54000000000002</v>
      </c>
    </row>
    <row r="120" spans="1:5">
      <c r="A120" s="8">
        <v>44999</v>
      </c>
      <c r="B120" s="4">
        <f>9.427+39.467</f>
        <v>48.893999999999998</v>
      </c>
      <c r="C120" s="4">
        <f>54.985+41.775</f>
        <v>96.759999999999991</v>
      </c>
      <c r="D120" s="4"/>
      <c r="E120" s="4">
        <f>B120+C120</f>
        <v>145.654</v>
      </c>
    </row>
    <row r="121" spans="1:5">
      <c r="A121" s="8">
        <v>45000</v>
      </c>
      <c r="B121" s="4">
        <v>21.367000000000001</v>
      </c>
      <c r="C121" s="4">
        <v>26.492999999999999</v>
      </c>
      <c r="D121" s="4"/>
      <c r="E121" s="4">
        <f t="shared" ref="E121:E122" si="7">B121+C121</f>
        <v>47.86</v>
      </c>
    </row>
    <row r="122" spans="1:5">
      <c r="A122" s="8">
        <v>45001</v>
      </c>
      <c r="B122" s="4">
        <f>37.201+33.782</f>
        <v>70.983000000000004</v>
      </c>
      <c r="C122" s="4">
        <f>20.262+18.844</f>
        <v>39.106000000000002</v>
      </c>
      <c r="D122" s="4"/>
      <c r="E122" s="4">
        <f t="shared" si="7"/>
        <v>110.089</v>
      </c>
    </row>
    <row r="123" spans="1:5">
      <c r="A123" s="8">
        <v>45002</v>
      </c>
      <c r="B123" s="4">
        <f>24.915+41.741</f>
        <v>66.656000000000006</v>
      </c>
      <c r="C123" s="4">
        <f>46.46+27.844</f>
        <v>74.304000000000002</v>
      </c>
      <c r="D123" s="4"/>
      <c r="E123" s="4">
        <f t="shared" ref="E123:E124" si="8">B123+C123</f>
        <v>140.96</v>
      </c>
    </row>
    <row r="124" spans="1:5">
      <c r="A124" s="8">
        <v>45003</v>
      </c>
      <c r="B124" s="4">
        <v>18.791</v>
      </c>
      <c r="C124" s="4">
        <v>20.712</v>
      </c>
      <c r="D124" s="4"/>
      <c r="E124" s="4">
        <f t="shared" si="8"/>
        <v>39.503</v>
      </c>
    </row>
    <row r="125" spans="1:5">
      <c r="A125" s="8">
        <v>45004</v>
      </c>
      <c r="B125" s="4"/>
      <c r="C125" s="4">
        <v>16.193000000000001</v>
      </c>
      <c r="D125" s="4"/>
      <c r="E125" s="4">
        <f t="shared" ref="E125:E128" si="9">SUM(B125:D125)</f>
        <v>16.193000000000001</v>
      </c>
    </row>
    <row r="126" spans="1:5">
      <c r="A126" s="8">
        <v>45007</v>
      </c>
      <c r="B126" s="4">
        <v>16.23</v>
      </c>
      <c r="C126" s="4">
        <f>30.298+14.598</f>
        <v>44.896000000000001</v>
      </c>
      <c r="D126" s="4"/>
      <c r="E126" s="4">
        <f t="shared" si="9"/>
        <v>61.126000000000005</v>
      </c>
    </row>
    <row r="127" spans="1:5">
      <c r="A127" s="8">
        <v>45009</v>
      </c>
      <c r="B127" s="4">
        <v>20.925999999999998</v>
      </c>
      <c r="C127" s="4"/>
      <c r="D127" s="4"/>
      <c r="E127" s="4">
        <f t="shared" si="9"/>
        <v>20.925999999999998</v>
      </c>
    </row>
    <row r="128" spans="1:5">
      <c r="A128" s="8">
        <v>45010</v>
      </c>
      <c r="B128" s="4">
        <v>38.103999999999999</v>
      </c>
      <c r="C128" s="4"/>
      <c r="D128" s="4"/>
      <c r="E128" s="4">
        <f t="shared" si="9"/>
        <v>38.103999999999999</v>
      </c>
    </row>
    <row r="129" spans="1:5">
      <c r="A129" s="8">
        <v>45022</v>
      </c>
      <c r="B129" s="4">
        <v>25.655999999999999</v>
      </c>
      <c r="C129" s="4"/>
      <c r="D129" s="4">
        <v>16.085000000000001</v>
      </c>
      <c r="E129" s="4">
        <f t="shared" ref="E129:E137" si="10">SUM(B129:D129)</f>
        <v>41.741</v>
      </c>
    </row>
    <row r="130" spans="1:5">
      <c r="A130" s="8">
        <v>45023</v>
      </c>
      <c r="B130" s="4">
        <v>33.395000000000003</v>
      </c>
      <c r="C130" s="4"/>
      <c r="D130" s="4">
        <v>30.166</v>
      </c>
      <c r="E130" s="4">
        <f t="shared" si="10"/>
        <v>63.561000000000007</v>
      </c>
    </row>
    <row r="131" spans="1:5">
      <c r="A131" s="8">
        <v>45024</v>
      </c>
      <c r="B131" s="4">
        <v>43.395000000000003</v>
      </c>
      <c r="C131" s="4"/>
      <c r="D131" s="4">
        <v>15.724</v>
      </c>
      <c r="E131" s="4">
        <f t="shared" si="10"/>
        <v>59.119</v>
      </c>
    </row>
    <row r="132" spans="1:5">
      <c r="A132" s="8">
        <v>45025</v>
      </c>
      <c r="B132" s="4">
        <v>46.817</v>
      </c>
      <c r="C132" s="4"/>
      <c r="D132" s="4">
        <v>55.613</v>
      </c>
      <c r="E132" s="4">
        <f t="shared" si="10"/>
        <v>102.43</v>
      </c>
    </row>
    <row r="133" spans="1:5">
      <c r="A133" s="8">
        <v>45026</v>
      </c>
      <c r="B133" s="4">
        <v>21.102</v>
      </c>
      <c r="C133" s="4"/>
      <c r="D133" s="4">
        <f>24.699+5.088+27.784</f>
        <v>57.570999999999998</v>
      </c>
      <c r="E133" s="4">
        <f t="shared" si="10"/>
        <v>78.673000000000002</v>
      </c>
    </row>
    <row r="134" spans="1:5">
      <c r="A134" s="8">
        <v>45027</v>
      </c>
      <c r="B134" s="4">
        <v>49.685000000000002</v>
      </c>
      <c r="C134" s="4"/>
      <c r="D134" s="4">
        <f>26.179+33.863</f>
        <v>60.042000000000002</v>
      </c>
      <c r="E134" s="4">
        <f t="shared" si="10"/>
        <v>109.727</v>
      </c>
    </row>
    <row r="135" spans="1:5">
      <c r="A135" s="8">
        <v>45028</v>
      </c>
      <c r="B135" s="4">
        <v>34.218000000000004</v>
      </c>
      <c r="C135" s="4"/>
      <c r="D135" s="4">
        <f>21.002</f>
        <v>21.001999999999999</v>
      </c>
      <c r="E135" s="4">
        <f t="shared" si="10"/>
        <v>55.22</v>
      </c>
    </row>
    <row r="136" spans="1:5">
      <c r="A136" s="8">
        <v>45029</v>
      </c>
      <c r="B136" s="4">
        <f>22.083+33.425</f>
        <v>55.507999999999996</v>
      </c>
      <c r="C136" s="4">
        <v>33.386000000000003</v>
      </c>
      <c r="D136" s="4"/>
      <c r="E136" s="4">
        <f t="shared" si="10"/>
        <v>88.894000000000005</v>
      </c>
    </row>
    <row r="137" spans="1:5">
      <c r="A137" s="8">
        <v>45030</v>
      </c>
      <c r="B137" s="4">
        <v>40.176000000000002</v>
      </c>
      <c r="C137" s="4">
        <v>49.665999999999997</v>
      </c>
      <c r="D137" s="4"/>
      <c r="E137" s="4">
        <f t="shared" si="10"/>
        <v>89.841999999999999</v>
      </c>
    </row>
    <row r="138" spans="1:5">
      <c r="A138" s="8">
        <v>45031</v>
      </c>
      <c r="B138" s="4">
        <f>28.504+11.592</f>
        <v>40.096000000000004</v>
      </c>
      <c r="C138" s="4">
        <v>38.838000000000001</v>
      </c>
      <c r="D138" s="4"/>
      <c r="E138" s="4">
        <f t="shared" ref="E138" si="11">SUM(B138:D138)</f>
        <v>78.933999999999997</v>
      </c>
    </row>
    <row r="139" spans="1:5">
      <c r="A139" s="8">
        <v>45032</v>
      </c>
      <c r="B139" s="4">
        <v>12.249000000000001</v>
      </c>
      <c r="C139" s="4">
        <f>30.544+47.633</f>
        <v>78.177000000000007</v>
      </c>
      <c r="D139" s="4">
        <v>27.440999999999999</v>
      </c>
      <c r="E139" s="4">
        <f t="shared" ref="E139:E152" si="12">SUM(B139:D139)</f>
        <v>117.867</v>
      </c>
    </row>
    <row r="140" spans="1:5">
      <c r="A140" s="8">
        <v>45033</v>
      </c>
      <c r="B140" s="4"/>
      <c r="C140" s="4">
        <f>46.386+40.641</f>
        <v>87.027000000000001</v>
      </c>
      <c r="D140" s="4"/>
      <c r="E140" s="4">
        <f t="shared" si="12"/>
        <v>87.027000000000001</v>
      </c>
    </row>
    <row r="141" spans="1:5">
      <c r="A141" s="8">
        <v>45034</v>
      </c>
      <c r="B141" s="4"/>
      <c r="C141" s="4">
        <f>41.155+26.766</f>
        <v>67.920999999999992</v>
      </c>
      <c r="D141" s="4"/>
      <c r="E141" s="4">
        <f t="shared" si="12"/>
        <v>67.920999999999992</v>
      </c>
    </row>
    <row r="142" spans="1:5">
      <c r="A142" s="8">
        <v>45035</v>
      </c>
      <c r="B142" s="4"/>
      <c r="C142" s="4">
        <v>44.978999999999999</v>
      </c>
      <c r="D142" s="4">
        <v>14.394</v>
      </c>
      <c r="E142" s="4">
        <f t="shared" si="12"/>
        <v>59.372999999999998</v>
      </c>
    </row>
    <row r="143" spans="1:5">
      <c r="A143" s="8">
        <v>45036</v>
      </c>
      <c r="B143" s="4"/>
      <c r="C143" s="4">
        <f>44.469+29.069</f>
        <v>73.537999999999997</v>
      </c>
      <c r="D143" s="4"/>
      <c r="E143" s="4">
        <f t="shared" si="12"/>
        <v>73.537999999999997</v>
      </c>
    </row>
    <row r="144" spans="1:5">
      <c r="A144" s="8">
        <v>45037</v>
      </c>
      <c r="B144" s="4"/>
      <c r="C144" s="4">
        <v>38.697000000000003</v>
      </c>
      <c r="D144" s="4"/>
      <c r="E144" s="4">
        <f t="shared" si="12"/>
        <v>38.697000000000003</v>
      </c>
    </row>
    <row r="145" spans="1:5">
      <c r="A145" s="8">
        <v>45038</v>
      </c>
      <c r="B145" s="4"/>
      <c r="C145" s="4">
        <f>36.734+17.998</f>
        <v>54.731999999999999</v>
      </c>
      <c r="D145" s="4"/>
      <c r="E145" s="4">
        <f t="shared" si="12"/>
        <v>54.731999999999999</v>
      </c>
    </row>
    <row r="146" spans="1:5">
      <c r="A146" s="8">
        <v>45039</v>
      </c>
      <c r="B146" s="4">
        <v>30.518000000000001</v>
      </c>
      <c r="C146" s="4">
        <f>22.995+12.129</f>
        <v>35.124000000000002</v>
      </c>
      <c r="D146" s="4"/>
      <c r="E146" s="4">
        <f t="shared" si="12"/>
        <v>65.641999999999996</v>
      </c>
    </row>
    <row r="147" spans="1:5">
      <c r="A147" s="8">
        <v>45040</v>
      </c>
      <c r="B147" s="4">
        <f>23.725+22.202</f>
        <v>45.927000000000007</v>
      </c>
      <c r="C147" s="4"/>
      <c r="D147" s="4"/>
      <c r="E147" s="4">
        <f t="shared" si="12"/>
        <v>45.927000000000007</v>
      </c>
    </row>
    <row r="148" spans="1:5">
      <c r="A148" s="8">
        <v>45041</v>
      </c>
      <c r="B148" s="4">
        <v>26.492000000000001</v>
      </c>
      <c r="C148" s="4"/>
      <c r="D148" s="4"/>
      <c r="E148" s="4">
        <f t="shared" si="12"/>
        <v>26.492000000000001</v>
      </c>
    </row>
    <row r="149" spans="1:5">
      <c r="A149" s="8">
        <v>45042</v>
      </c>
      <c r="B149" s="4">
        <v>21.574999999999999</v>
      </c>
      <c r="C149" s="4">
        <v>20.457000000000001</v>
      </c>
      <c r="D149" s="4">
        <v>12.77</v>
      </c>
      <c r="E149" s="4">
        <f t="shared" si="12"/>
        <v>54.801999999999992</v>
      </c>
    </row>
    <row r="150" spans="1:5">
      <c r="A150" s="8">
        <v>45043</v>
      </c>
      <c r="B150" s="4">
        <v>11.645</v>
      </c>
      <c r="C150" s="4"/>
      <c r="D150" s="4">
        <v>13.384</v>
      </c>
      <c r="E150" s="4">
        <f t="shared" si="12"/>
        <v>25.029</v>
      </c>
    </row>
    <row r="151" spans="1:5">
      <c r="A151" s="8">
        <v>45044</v>
      </c>
      <c r="B151" s="4">
        <v>26.28</v>
      </c>
      <c r="C151" s="4"/>
      <c r="D151" s="4">
        <v>25.725000000000001</v>
      </c>
      <c r="E151" s="4">
        <f t="shared" si="12"/>
        <v>52.005000000000003</v>
      </c>
    </row>
    <row r="152" spans="1:5">
      <c r="A152" s="8">
        <v>45045</v>
      </c>
      <c r="B152" s="4">
        <v>15.164</v>
      </c>
      <c r="C152" s="4"/>
      <c r="D152" s="4">
        <v>20.274000000000001</v>
      </c>
      <c r="E152" s="4">
        <f t="shared" si="12"/>
        <v>35.438000000000002</v>
      </c>
    </row>
    <row r="153" spans="1:5">
      <c r="A153" s="8">
        <v>45046</v>
      </c>
      <c r="B153" s="4"/>
      <c r="C153" s="4">
        <v>22.771999999999998</v>
      </c>
      <c r="D153" s="4"/>
      <c r="E153" s="4">
        <f t="shared" ref="E153:E164" si="13">SUM(B153:D153)</f>
        <v>22.771999999999998</v>
      </c>
    </row>
    <row r="154" spans="1:5">
      <c r="A154" s="8">
        <v>45048</v>
      </c>
      <c r="B154" s="4"/>
      <c r="C154" s="4">
        <v>13.744</v>
      </c>
      <c r="D154" s="4"/>
      <c r="E154" s="4">
        <f t="shared" si="13"/>
        <v>13.744</v>
      </c>
    </row>
    <row r="155" spans="1:5">
      <c r="A155" s="8">
        <v>45049</v>
      </c>
      <c r="B155" s="4"/>
      <c r="C155" s="4">
        <v>32.244</v>
      </c>
      <c r="D155" s="4"/>
      <c r="E155" s="4">
        <f t="shared" si="13"/>
        <v>32.244</v>
      </c>
    </row>
    <row r="156" spans="1:5">
      <c r="A156" s="8">
        <v>45051</v>
      </c>
      <c r="B156" s="4"/>
      <c r="C156" s="4">
        <f>23.395+18.75</f>
        <v>42.144999999999996</v>
      </c>
      <c r="D156" s="4"/>
      <c r="E156" s="4">
        <f t="shared" si="13"/>
        <v>42.144999999999996</v>
      </c>
    </row>
    <row r="157" spans="1:5">
      <c r="A157" s="8">
        <v>45052</v>
      </c>
      <c r="B157" s="4"/>
      <c r="C157" s="4">
        <f>17.733+8.455</f>
        <v>26.188000000000002</v>
      </c>
      <c r="D157" s="4"/>
      <c r="E157" s="4">
        <f t="shared" si="13"/>
        <v>26.188000000000002</v>
      </c>
    </row>
    <row r="158" spans="1:5">
      <c r="A158" s="8">
        <v>45053</v>
      </c>
      <c r="B158" s="4"/>
      <c r="C158" s="4">
        <v>27.646999999999998</v>
      </c>
      <c r="D158" s="4"/>
      <c r="E158" s="4">
        <f t="shared" si="13"/>
        <v>27.646999999999998</v>
      </c>
    </row>
    <row r="159" spans="1:5">
      <c r="A159" s="8">
        <v>45054</v>
      </c>
      <c r="B159" s="4"/>
      <c r="C159" s="4">
        <v>19.954000000000001</v>
      </c>
      <c r="D159" s="4"/>
      <c r="E159" s="4">
        <f t="shared" si="13"/>
        <v>19.954000000000001</v>
      </c>
    </row>
    <row r="160" spans="1:5">
      <c r="A160" s="8">
        <v>45066</v>
      </c>
      <c r="B160" s="4"/>
      <c r="C160" s="4">
        <v>73.457999999999998</v>
      </c>
      <c r="D160" s="4"/>
      <c r="E160" s="4">
        <f t="shared" si="13"/>
        <v>73.457999999999998</v>
      </c>
    </row>
    <row r="161" spans="1:5">
      <c r="A161" s="8">
        <v>45067</v>
      </c>
      <c r="B161" s="4">
        <f>25.093+15.595</f>
        <v>40.688000000000002</v>
      </c>
      <c r="C161" s="4">
        <f>32.618+12.309</f>
        <v>44.927</v>
      </c>
      <c r="D161" s="4"/>
      <c r="E161" s="4">
        <f t="shared" si="13"/>
        <v>85.615000000000009</v>
      </c>
    </row>
    <row r="162" spans="1:5">
      <c r="A162" s="8">
        <v>45068</v>
      </c>
      <c r="B162" s="4">
        <f>28.377+20.349+19.45</f>
        <v>68.176000000000002</v>
      </c>
      <c r="C162" s="4">
        <f>29.08+9.27+15.684+10.535</f>
        <v>64.568999999999988</v>
      </c>
      <c r="D162" s="4"/>
      <c r="E162" s="4">
        <f t="shared" si="13"/>
        <v>132.745</v>
      </c>
    </row>
    <row r="163" spans="1:5">
      <c r="A163" s="8">
        <v>45069</v>
      </c>
      <c r="B163" s="4">
        <f>42.131+18.681</f>
        <v>60.811999999999998</v>
      </c>
      <c r="C163" s="4">
        <f>69.63+24.886</f>
        <v>94.515999999999991</v>
      </c>
      <c r="D163" s="4"/>
      <c r="E163" s="4">
        <f t="shared" si="13"/>
        <v>155.32799999999997</v>
      </c>
    </row>
    <row r="164" spans="1:5">
      <c r="A164" s="8">
        <v>45070</v>
      </c>
      <c r="B164" s="4">
        <v>9.6229999999999993</v>
      </c>
      <c r="C164" s="4">
        <v>29.071999999999999</v>
      </c>
      <c r="D164" s="4"/>
      <c r="E164" s="4">
        <f t="shared" si="13"/>
        <v>38.695</v>
      </c>
    </row>
    <row r="165" spans="1:5">
      <c r="A165" s="8">
        <v>45071</v>
      </c>
      <c r="B165" s="4">
        <v>32.811</v>
      </c>
      <c r="C165" s="4"/>
      <c r="D165" s="4">
        <f>15.975+23.815+25.043</f>
        <v>64.832999999999998</v>
      </c>
      <c r="E165" s="4">
        <f t="shared" ref="E165:E168" si="14">SUM(B165:D165)</f>
        <v>97.644000000000005</v>
      </c>
    </row>
    <row r="166" spans="1:5">
      <c r="A166" s="8">
        <v>45072</v>
      </c>
      <c r="B166" s="4">
        <f>31.02+8.985</f>
        <v>40.004999999999995</v>
      </c>
      <c r="C166" s="4"/>
      <c r="D166" s="4">
        <f>38.116+30.813</f>
        <v>68.929000000000002</v>
      </c>
      <c r="E166" s="4">
        <f t="shared" si="14"/>
        <v>108.934</v>
      </c>
    </row>
    <row r="167" spans="1:5">
      <c r="A167" s="8">
        <v>45073</v>
      </c>
      <c r="B167" s="4">
        <v>55.012</v>
      </c>
      <c r="C167" s="4"/>
      <c r="D167" s="4">
        <f>45.733+56.649</f>
        <v>102.38200000000001</v>
      </c>
      <c r="E167" s="4">
        <f t="shared" si="14"/>
        <v>157.39400000000001</v>
      </c>
    </row>
    <row r="168" spans="1:5">
      <c r="A168" s="8">
        <v>45074</v>
      </c>
      <c r="B168" s="4">
        <v>43.473999999999997</v>
      </c>
      <c r="C168" s="4"/>
      <c r="D168" s="4">
        <f>17.106+29.505+6.996+29.202</f>
        <v>82.809000000000012</v>
      </c>
      <c r="E168" s="4">
        <f t="shared" si="14"/>
        <v>126.28300000000002</v>
      </c>
    </row>
    <row r="169" spans="1:5">
      <c r="A169" s="8">
        <v>45075</v>
      </c>
      <c r="B169" s="4">
        <f>37.644+18.179</f>
        <v>55.822999999999993</v>
      </c>
      <c r="C169" s="4">
        <f>54.695+26.291</f>
        <v>80.986000000000004</v>
      </c>
      <c r="D169" s="4"/>
      <c r="E169" s="4">
        <f t="shared" ref="E169:E174" si="15">SUM(B169:D169)</f>
        <v>136.809</v>
      </c>
    </row>
    <row r="170" spans="1:5">
      <c r="A170" s="8">
        <v>45076</v>
      </c>
      <c r="B170" s="4">
        <v>50.398000000000003</v>
      </c>
      <c r="C170" s="4">
        <f>60.582+47.557</f>
        <v>108.13900000000001</v>
      </c>
      <c r="D170" s="4"/>
      <c r="E170" s="4">
        <f t="shared" si="15"/>
        <v>158.53700000000001</v>
      </c>
    </row>
    <row r="171" spans="1:5">
      <c r="A171" s="8">
        <v>45078</v>
      </c>
      <c r="B171" s="4">
        <v>27.260999999999999</v>
      </c>
      <c r="C171" s="4"/>
      <c r="D171" s="4"/>
      <c r="E171" s="4">
        <f t="shared" si="15"/>
        <v>27.260999999999999</v>
      </c>
    </row>
    <row r="172" spans="1:5">
      <c r="A172" s="8">
        <v>45083</v>
      </c>
      <c r="B172" s="4">
        <f>39.02+41.545</f>
        <v>80.564999999999998</v>
      </c>
      <c r="C172" s="4">
        <v>32.817</v>
      </c>
      <c r="D172" s="4"/>
      <c r="E172" s="4">
        <f t="shared" si="15"/>
        <v>113.38200000000001</v>
      </c>
    </row>
    <row r="173" spans="1:5">
      <c r="A173" s="8">
        <v>45084</v>
      </c>
      <c r="B173" s="4">
        <v>12.253</v>
      </c>
      <c r="C173" s="4">
        <v>32.825000000000003</v>
      </c>
      <c r="D173" s="4"/>
      <c r="E173" s="4">
        <f t="shared" si="15"/>
        <v>45.078000000000003</v>
      </c>
    </row>
    <row r="174" spans="1:5">
      <c r="A174" s="8">
        <v>45085</v>
      </c>
      <c r="B174" s="4">
        <f>31.149+12.567</f>
        <v>43.716000000000001</v>
      </c>
      <c r="C174" s="4">
        <f>22.865+24.43</f>
        <v>47.295000000000002</v>
      </c>
      <c r="D174" s="4"/>
      <c r="E174" s="4">
        <f t="shared" si="15"/>
        <v>91.010999999999996</v>
      </c>
    </row>
    <row r="175" spans="1:5">
      <c r="A175" s="8">
        <v>45086</v>
      </c>
      <c r="B175" s="4">
        <v>23.858000000000001</v>
      </c>
      <c r="C175" s="4">
        <f>33.982+33.745</f>
        <v>67.727000000000004</v>
      </c>
      <c r="D175" s="4"/>
      <c r="E175" s="4">
        <f t="shared" ref="E175:E180" si="16">SUM(B175:D175)</f>
        <v>91.585000000000008</v>
      </c>
    </row>
    <row r="176" spans="1:5">
      <c r="A176" s="8">
        <v>45087</v>
      </c>
      <c r="B176" s="4">
        <v>32.052</v>
      </c>
      <c r="C176" s="4">
        <v>35.880000000000003</v>
      </c>
      <c r="D176" s="4">
        <v>31.983000000000001</v>
      </c>
      <c r="E176" s="4">
        <f t="shared" si="16"/>
        <v>99.915000000000006</v>
      </c>
    </row>
    <row r="177" spans="1:5">
      <c r="A177" s="8">
        <v>45088</v>
      </c>
      <c r="B177" s="4"/>
      <c r="C177" s="4">
        <v>14.816000000000001</v>
      </c>
      <c r="D177" s="4"/>
      <c r="E177" s="4">
        <f t="shared" si="16"/>
        <v>14.816000000000001</v>
      </c>
    </row>
    <row r="178" spans="1:5">
      <c r="A178" s="8">
        <v>45089</v>
      </c>
      <c r="B178" s="4"/>
      <c r="C178" s="4">
        <f>46.663+43.487+7.407</f>
        <v>97.557000000000002</v>
      </c>
      <c r="D178" s="4"/>
      <c r="E178" s="4">
        <f t="shared" si="16"/>
        <v>97.557000000000002</v>
      </c>
    </row>
    <row r="179" spans="1:5">
      <c r="A179" s="8">
        <v>45090</v>
      </c>
      <c r="B179" s="4"/>
      <c r="C179" s="4">
        <f>40.987+34.788</f>
        <v>75.775000000000006</v>
      </c>
      <c r="D179" s="4"/>
      <c r="E179" s="4">
        <f t="shared" si="16"/>
        <v>75.775000000000006</v>
      </c>
    </row>
    <row r="180" spans="1:5">
      <c r="A180" s="8">
        <v>45091</v>
      </c>
      <c r="B180" s="4"/>
      <c r="C180" s="4">
        <f>30.636+4.074</f>
        <v>34.71</v>
      </c>
      <c r="D180" s="4"/>
      <c r="E180" s="4">
        <f t="shared" si="16"/>
        <v>34.71</v>
      </c>
    </row>
    <row r="181" spans="1:5">
      <c r="A181" s="8">
        <v>45092</v>
      </c>
      <c r="B181" s="4"/>
      <c r="C181" s="4">
        <f>91.012+73.374</f>
        <v>164.386</v>
      </c>
      <c r="D181" s="4"/>
      <c r="E181" s="4">
        <f t="shared" ref="E181:E197" si="17">SUM(B181:D181)</f>
        <v>164.386</v>
      </c>
    </row>
    <row r="182" spans="1:5">
      <c r="A182" s="8">
        <v>45093</v>
      </c>
      <c r="B182" s="4"/>
      <c r="C182" s="4">
        <f>54.525+28.309</f>
        <v>82.834000000000003</v>
      </c>
      <c r="D182" s="4"/>
      <c r="E182" s="4">
        <f t="shared" si="17"/>
        <v>82.834000000000003</v>
      </c>
    </row>
    <row r="183" spans="1:5">
      <c r="A183" s="8">
        <v>45094</v>
      </c>
      <c r="B183" s="4"/>
      <c r="C183" s="4">
        <f>45.753+11.971+28.304</f>
        <v>86.028000000000006</v>
      </c>
      <c r="D183" s="4"/>
      <c r="E183" s="4">
        <f t="shared" si="17"/>
        <v>86.028000000000006</v>
      </c>
    </row>
    <row r="184" spans="1:5">
      <c r="A184" s="8">
        <v>45095</v>
      </c>
      <c r="B184" s="4">
        <f>13.068+15.589</f>
        <v>28.657</v>
      </c>
      <c r="C184" s="4">
        <f>8.221+48.348</f>
        <v>56.569000000000003</v>
      </c>
      <c r="D184" s="4">
        <v>30.95</v>
      </c>
      <c r="E184" s="4">
        <f t="shared" si="17"/>
        <v>116.176</v>
      </c>
    </row>
    <row r="185" spans="1:5">
      <c r="A185" s="8">
        <v>45096</v>
      </c>
      <c r="B185" s="4">
        <v>31.913</v>
      </c>
      <c r="C185" s="4">
        <v>34.055999999999997</v>
      </c>
      <c r="D185" s="4">
        <f>29.908+6.099</f>
        <v>36.007000000000005</v>
      </c>
      <c r="E185" s="4">
        <f t="shared" si="17"/>
        <v>101.976</v>
      </c>
    </row>
    <row r="186" spans="1:5">
      <c r="A186" s="8">
        <v>45097</v>
      </c>
      <c r="B186" s="4">
        <v>35.457999999999998</v>
      </c>
      <c r="C186" s="4">
        <v>49.462000000000003</v>
      </c>
      <c r="D186" s="4">
        <v>30.292999999999999</v>
      </c>
      <c r="E186" s="4">
        <f t="shared" si="17"/>
        <v>115.21299999999999</v>
      </c>
    </row>
    <row r="187" spans="1:5">
      <c r="A187" s="8">
        <v>45098</v>
      </c>
      <c r="B187" s="4"/>
      <c r="C187" s="4"/>
      <c r="D187" s="4">
        <v>40.372</v>
      </c>
      <c r="E187" s="4">
        <f t="shared" si="17"/>
        <v>40.372</v>
      </c>
    </row>
    <row r="188" spans="1:5">
      <c r="A188" s="8">
        <v>45099</v>
      </c>
      <c r="B188" s="4">
        <v>18.689</v>
      </c>
      <c r="C188" s="4">
        <v>11.46</v>
      </c>
      <c r="D188" s="4">
        <f>26.063+38.72</f>
        <v>64.783000000000001</v>
      </c>
      <c r="E188" s="4">
        <f t="shared" si="17"/>
        <v>94.932000000000002</v>
      </c>
    </row>
    <row r="189" spans="1:5">
      <c r="A189" s="8">
        <v>45100</v>
      </c>
      <c r="B189" s="4">
        <v>44.142000000000003</v>
      </c>
      <c r="C189" s="4">
        <v>28.786000000000001</v>
      </c>
      <c r="D189" s="4">
        <v>30.27</v>
      </c>
      <c r="E189" s="4">
        <f t="shared" si="17"/>
        <v>103.19799999999999</v>
      </c>
    </row>
    <row r="190" spans="1:5">
      <c r="A190" s="8">
        <v>45101</v>
      </c>
      <c r="B190" s="4">
        <v>43.4</v>
      </c>
      <c r="C190" s="4">
        <v>46.536999999999999</v>
      </c>
      <c r="D190" s="4">
        <v>32.78</v>
      </c>
      <c r="E190" s="4">
        <f t="shared" si="17"/>
        <v>122.717</v>
      </c>
    </row>
    <row r="191" spans="1:5">
      <c r="A191" s="8">
        <v>45102</v>
      </c>
      <c r="B191" s="4">
        <v>39.371000000000002</v>
      </c>
      <c r="C191" s="4"/>
      <c r="D191" s="4">
        <f>34.491+33.158</f>
        <v>67.649000000000001</v>
      </c>
      <c r="E191" s="4">
        <f t="shared" si="17"/>
        <v>107.02000000000001</v>
      </c>
    </row>
    <row r="192" spans="1:5">
      <c r="A192" s="8">
        <v>45103</v>
      </c>
      <c r="B192" s="4">
        <v>39.072000000000003</v>
      </c>
      <c r="C192" s="4"/>
      <c r="D192" s="4">
        <f>27.986+35.785</f>
        <v>63.771000000000001</v>
      </c>
      <c r="E192" s="4">
        <f t="shared" si="17"/>
        <v>102.843</v>
      </c>
    </row>
    <row r="193" spans="1:5">
      <c r="A193" s="8">
        <v>45104</v>
      </c>
      <c r="B193" s="4">
        <v>9.5269999999999992</v>
      </c>
      <c r="C193" s="4"/>
      <c r="D193" s="4">
        <f>23.354+19.221</f>
        <v>42.575000000000003</v>
      </c>
      <c r="E193" s="4">
        <f t="shared" si="17"/>
        <v>52.102000000000004</v>
      </c>
    </row>
    <row r="194" spans="1:5">
      <c r="A194" s="8">
        <v>45106</v>
      </c>
      <c r="B194" s="4">
        <f>18.046+18.433+28.037</f>
        <v>64.515999999999991</v>
      </c>
      <c r="C194" s="4">
        <f>12.754+48.066</f>
        <v>60.82</v>
      </c>
      <c r="D194" s="4"/>
      <c r="E194" s="4">
        <f t="shared" si="17"/>
        <v>125.33599999999998</v>
      </c>
    </row>
    <row r="195" spans="1:5">
      <c r="A195" s="8">
        <v>45107</v>
      </c>
      <c r="B195" s="4">
        <v>20.436</v>
      </c>
      <c r="C195" s="4">
        <f>43.773+31.687</f>
        <v>75.460000000000008</v>
      </c>
      <c r="D195" s="4">
        <v>4.173</v>
      </c>
      <c r="E195" s="4">
        <f t="shared" si="17"/>
        <v>100.06900000000002</v>
      </c>
    </row>
    <row r="196" spans="1:5">
      <c r="A196" s="8">
        <v>45108</v>
      </c>
      <c r="B196" s="4">
        <v>44.798999999999999</v>
      </c>
      <c r="C196" s="4">
        <f>12.468+19.685</f>
        <v>32.152999999999999</v>
      </c>
      <c r="D196" s="4">
        <f>27.406+26.914</f>
        <v>54.32</v>
      </c>
      <c r="E196" s="4">
        <f t="shared" si="17"/>
        <v>131.27199999999999</v>
      </c>
    </row>
    <row r="197" spans="1:5">
      <c r="A197" s="8">
        <v>45109</v>
      </c>
      <c r="B197" s="4">
        <v>38.241999999999997</v>
      </c>
      <c r="C197" s="4">
        <v>40.011000000000003</v>
      </c>
      <c r="D197" s="4">
        <v>39.720999999999997</v>
      </c>
      <c r="E197" s="4">
        <f t="shared" si="17"/>
        <v>117.97399999999999</v>
      </c>
    </row>
    <row r="198" spans="1:5">
      <c r="A198" s="8">
        <v>45110</v>
      </c>
      <c r="B198" s="4">
        <v>49.237000000000002</v>
      </c>
      <c r="C198" s="4">
        <v>17.216000000000001</v>
      </c>
      <c r="D198" s="4">
        <f>38.418+13.054</f>
        <v>51.472000000000001</v>
      </c>
      <c r="E198" s="4">
        <f t="shared" ref="E198:E199" si="18">SUM(B198:D198)</f>
        <v>117.92500000000001</v>
      </c>
    </row>
    <row r="199" spans="1:5">
      <c r="A199" s="8">
        <v>45111</v>
      </c>
      <c r="B199" s="4">
        <v>34.823</v>
      </c>
      <c r="C199" s="4"/>
      <c r="D199" s="4">
        <f>21.254+14.241</f>
        <v>35.495000000000005</v>
      </c>
      <c r="E199" s="4">
        <f t="shared" si="18"/>
        <v>70.318000000000012</v>
      </c>
    </row>
    <row r="200" spans="1:5">
      <c r="A200" s="8">
        <v>45115</v>
      </c>
      <c r="B200" s="4">
        <v>35.173000000000002</v>
      </c>
      <c r="C200" s="4"/>
      <c r="D200" s="4">
        <f>41.583+37.448</f>
        <v>79.031000000000006</v>
      </c>
      <c r="E200" s="4">
        <f t="shared" ref="E200:E208" si="19">SUM(B200:D200)</f>
        <v>114.20400000000001</v>
      </c>
    </row>
    <row r="201" spans="1:5">
      <c r="A201" s="8">
        <v>45116</v>
      </c>
      <c r="B201" s="4">
        <v>40.334000000000003</v>
      </c>
      <c r="C201" s="4"/>
      <c r="D201" s="4">
        <f>44.317+41.397</f>
        <v>85.713999999999999</v>
      </c>
      <c r="E201" s="4">
        <f t="shared" si="19"/>
        <v>126.048</v>
      </c>
    </row>
    <row r="202" spans="1:5">
      <c r="A202" s="8">
        <v>45117</v>
      </c>
      <c r="B202" s="4">
        <f>15.295+23.565</f>
        <v>38.86</v>
      </c>
      <c r="C202" s="4"/>
      <c r="D202" s="4">
        <v>32.159999999999997</v>
      </c>
      <c r="E202" s="4">
        <f t="shared" si="19"/>
        <v>71.02</v>
      </c>
    </row>
    <row r="203" spans="1:5">
      <c r="A203" s="8">
        <v>45118</v>
      </c>
      <c r="B203" s="4">
        <f>44.464+45.26</f>
        <v>89.72399999999999</v>
      </c>
      <c r="C203" s="4">
        <v>45.795999999999999</v>
      </c>
      <c r="D203" s="4"/>
      <c r="E203" s="4">
        <f t="shared" si="19"/>
        <v>135.51999999999998</v>
      </c>
    </row>
    <row r="204" spans="1:5">
      <c r="A204" s="8">
        <v>45119</v>
      </c>
      <c r="B204" s="4">
        <v>24.062000000000001</v>
      </c>
      <c r="C204" s="4"/>
      <c r="D204" s="4">
        <v>10.958</v>
      </c>
      <c r="E204" s="4">
        <f t="shared" si="19"/>
        <v>35.020000000000003</v>
      </c>
    </row>
    <row r="205" spans="1:5">
      <c r="A205" s="8">
        <v>45121</v>
      </c>
      <c r="B205" s="4">
        <f>17.714+28.41</f>
        <v>46.123999999999995</v>
      </c>
      <c r="C205" s="4"/>
      <c r="D205" s="4">
        <v>23.702999999999999</v>
      </c>
      <c r="E205" s="4">
        <f t="shared" si="19"/>
        <v>69.826999999999998</v>
      </c>
    </row>
    <row r="206" spans="1:5">
      <c r="A206" s="8">
        <v>45122</v>
      </c>
      <c r="B206" s="4">
        <v>37.81</v>
      </c>
      <c r="C206" s="4"/>
      <c r="D206" s="4">
        <f>38.729+44.655</f>
        <v>83.384</v>
      </c>
      <c r="E206" s="4">
        <f t="shared" si="19"/>
        <v>121.194</v>
      </c>
    </row>
    <row r="207" spans="1:5">
      <c r="A207" s="8">
        <v>45123</v>
      </c>
      <c r="B207" s="4"/>
      <c r="C207" s="4"/>
      <c r="D207" s="4">
        <v>11.092000000000001</v>
      </c>
      <c r="E207" s="4">
        <f t="shared" si="19"/>
        <v>11.092000000000001</v>
      </c>
    </row>
    <row r="208" spans="1:5">
      <c r="A208" s="8">
        <v>45124</v>
      </c>
      <c r="B208" s="4">
        <f>24.758+39.821</f>
        <v>64.578999999999994</v>
      </c>
      <c r="C208" s="4"/>
      <c r="D208" s="4">
        <f>21.326+36.657</f>
        <v>57.982999999999997</v>
      </c>
      <c r="E208" s="4">
        <f t="shared" si="19"/>
        <v>122.56199999999998</v>
      </c>
    </row>
    <row r="209" spans="1:5">
      <c r="A209" s="8">
        <v>45125</v>
      </c>
      <c r="B209" s="4">
        <v>50.982999999999997</v>
      </c>
      <c r="C209" s="4"/>
      <c r="D209" s="4">
        <f>52.621+53.902</f>
        <v>106.523</v>
      </c>
      <c r="E209" s="4">
        <f t="shared" ref="E209:E227" si="20">SUM(B209:D209)</f>
        <v>157.506</v>
      </c>
    </row>
    <row r="210" spans="1:5">
      <c r="A210" s="8">
        <v>45127</v>
      </c>
      <c r="B210" s="4">
        <v>52.506</v>
      </c>
      <c r="C210" s="4">
        <v>45.582000000000001</v>
      </c>
      <c r="D210" s="4">
        <v>26.687000000000001</v>
      </c>
      <c r="E210" s="4">
        <f t="shared" si="20"/>
        <v>124.77499999999999</v>
      </c>
    </row>
    <row r="211" spans="1:5">
      <c r="A211" s="8">
        <v>45128</v>
      </c>
      <c r="B211" s="4">
        <f>60.689+34.558</f>
        <v>95.247</v>
      </c>
      <c r="C211" s="4">
        <v>28.213000000000001</v>
      </c>
      <c r="D211" s="4">
        <v>55.399000000000001</v>
      </c>
      <c r="E211" s="4">
        <f t="shared" si="20"/>
        <v>178.85900000000001</v>
      </c>
    </row>
    <row r="212" spans="1:5">
      <c r="A212" s="8">
        <v>45129</v>
      </c>
      <c r="B212" s="4">
        <f>46.444+17.54</f>
        <v>63.984000000000002</v>
      </c>
      <c r="C212" s="4">
        <v>31.469000000000001</v>
      </c>
      <c r="D212" s="4">
        <v>44.043999999999997</v>
      </c>
      <c r="E212" s="4">
        <f t="shared" si="20"/>
        <v>139.49700000000001</v>
      </c>
    </row>
    <row r="213" spans="1:5">
      <c r="A213" s="8">
        <v>45130</v>
      </c>
      <c r="B213" s="4">
        <v>39.066000000000003</v>
      </c>
      <c r="C213" s="4">
        <f>41.995+46.641</f>
        <v>88.635999999999996</v>
      </c>
      <c r="D213" s="4"/>
      <c r="E213" s="4">
        <f t="shared" si="20"/>
        <v>127.702</v>
      </c>
    </row>
    <row r="214" spans="1:5">
      <c r="A214" s="8">
        <v>45131</v>
      </c>
      <c r="B214" s="4">
        <v>38.491999999999997</v>
      </c>
      <c r="C214" s="4">
        <f>46.234+38.248</f>
        <v>84.481999999999999</v>
      </c>
      <c r="D214" s="4"/>
      <c r="E214" s="4">
        <f t="shared" si="20"/>
        <v>122.97399999999999</v>
      </c>
    </row>
    <row r="215" spans="1:5">
      <c r="A215" s="8">
        <v>45132</v>
      </c>
      <c r="B215" s="4">
        <v>33.262</v>
      </c>
      <c r="C215" s="4">
        <f>39.885+45.183</f>
        <v>85.067999999999998</v>
      </c>
      <c r="D215" s="4"/>
      <c r="E215" s="4">
        <f t="shared" si="20"/>
        <v>118.33</v>
      </c>
    </row>
    <row r="216" spans="1:5">
      <c r="A216" s="8">
        <v>45134</v>
      </c>
      <c r="B216" s="4"/>
      <c r="C216" s="4">
        <f>29.511+27.708</f>
        <v>57.218999999999994</v>
      </c>
      <c r="D216" s="4"/>
      <c r="E216" s="4">
        <f t="shared" si="20"/>
        <v>57.218999999999994</v>
      </c>
    </row>
    <row r="217" spans="1:5">
      <c r="A217" s="8">
        <v>45135</v>
      </c>
      <c r="B217" s="4"/>
      <c r="C217" s="4">
        <v>18.925000000000001</v>
      </c>
      <c r="D217" s="4"/>
      <c r="E217" s="4">
        <f t="shared" si="20"/>
        <v>18.925000000000001</v>
      </c>
    </row>
    <row r="218" spans="1:5">
      <c r="A218" s="8">
        <v>45136</v>
      </c>
      <c r="B218" s="4"/>
      <c r="C218" s="4">
        <f>40.867+44.696</f>
        <v>85.562999999999988</v>
      </c>
      <c r="D218" s="4"/>
      <c r="E218" s="4">
        <f t="shared" si="20"/>
        <v>85.562999999999988</v>
      </c>
    </row>
    <row r="219" spans="1:5">
      <c r="A219" s="8">
        <v>45137</v>
      </c>
      <c r="B219" s="4"/>
      <c r="C219" s="4">
        <f>103.239+67.828</f>
        <v>171.06700000000001</v>
      </c>
      <c r="D219" s="4"/>
      <c r="E219" s="4">
        <f t="shared" si="20"/>
        <v>171.06700000000001</v>
      </c>
    </row>
    <row r="220" spans="1:5">
      <c r="A220" s="8">
        <v>45138</v>
      </c>
      <c r="B220" s="4"/>
      <c r="C220" s="4">
        <f>82.801+46.031</f>
        <v>128.83199999999999</v>
      </c>
      <c r="D220" s="4"/>
      <c r="E220" s="4">
        <f t="shared" si="20"/>
        <v>128.83199999999999</v>
      </c>
    </row>
    <row r="221" spans="1:5">
      <c r="A221" s="8">
        <v>45139</v>
      </c>
      <c r="B221" s="4">
        <v>39.219000000000001</v>
      </c>
      <c r="C221" s="4">
        <f>51.056+42.055</f>
        <v>93.11099999999999</v>
      </c>
      <c r="D221" s="4"/>
      <c r="E221" s="4">
        <f t="shared" si="20"/>
        <v>132.32999999999998</v>
      </c>
    </row>
    <row r="222" spans="1:5">
      <c r="A222" s="8">
        <v>45140</v>
      </c>
      <c r="B222" s="4">
        <v>39.607999999999997</v>
      </c>
      <c r="C222" s="4">
        <v>41.472000000000001</v>
      </c>
      <c r="D222" s="4">
        <v>10.989000000000001</v>
      </c>
      <c r="E222" s="4">
        <f t="shared" si="20"/>
        <v>92.069000000000003</v>
      </c>
    </row>
    <row r="223" spans="1:5">
      <c r="A223" s="8">
        <v>45141</v>
      </c>
      <c r="B223" s="4">
        <v>58.07</v>
      </c>
      <c r="C223" s="4">
        <f>35.149+23.126</f>
        <v>58.275000000000006</v>
      </c>
      <c r="D223" s="4">
        <f>27.742+37.445</f>
        <v>65.186999999999998</v>
      </c>
      <c r="E223" s="4">
        <f t="shared" si="20"/>
        <v>181.53199999999998</v>
      </c>
    </row>
    <row r="224" spans="1:5">
      <c r="A224" s="8">
        <v>45142</v>
      </c>
      <c r="B224" s="4">
        <v>20.413</v>
      </c>
      <c r="C224" s="4">
        <f>77.639+55.306</f>
        <v>132.94499999999999</v>
      </c>
      <c r="D224" s="4"/>
      <c r="E224" s="4">
        <f t="shared" si="20"/>
        <v>153.358</v>
      </c>
    </row>
    <row r="225" spans="1:5">
      <c r="A225" s="8">
        <v>45143</v>
      </c>
      <c r="B225" s="4">
        <v>27.324000000000002</v>
      </c>
      <c r="C225" s="4">
        <f>66.188+62.316</f>
        <v>128.50400000000002</v>
      </c>
      <c r="D225" s="4"/>
      <c r="E225" s="4">
        <f t="shared" si="20"/>
        <v>155.82800000000003</v>
      </c>
    </row>
    <row r="226" spans="1:5">
      <c r="A226" s="8">
        <v>45144</v>
      </c>
      <c r="B226" s="4">
        <v>55.494</v>
      </c>
      <c r="C226" s="4">
        <f>72.771+48.674</f>
        <v>121.44499999999999</v>
      </c>
      <c r="D226" s="4"/>
      <c r="E226" s="4">
        <f t="shared" si="20"/>
        <v>176.93899999999999</v>
      </c>
    </row>
    <row r="227" spans="1:5">
      <c r="A227" s="8">
        <v>45145</v>
      </c>
      <c r="B227" s="4">
        <f>47.931+41.909</f>
        <v>89.84</v>
      </c>
      <c r="C227" s="4">
        <f>21.47+18.245+21</f>
        <v>60.715000000000003</v>
      </c>
      <c r="D227" s="4">
        <f>30.35+27.48</f>
        <v>57.83</v>
      </c>
      <c r="E227" s="4">
        <f t="shared" si="20"/>
        <v>208.38499999999999</v>
      </c>
    </row>
    <row r="228" spans="1:5">
      <c r="A228" s="8">
        <v>45146</v>
      </c>
      <c r="B228" s="4">
        <f>45.687+25.406</f>
        <v>71.092999999999989</v>
      </c>
      <c r="C228" s="4">
        <v>27.045999999999999</v>
      </c>
      <c r="D228" s="4">
        <f>38.689+17.425</f>
        <v>56.114000000000004</v>
      </c>
      <c r="E228" s="4">
        <f t="shared" ref="E228:E229" si="21">SUM(B228:D228)</f>
        <v>154.25299999999999</v>
      </c>
    </row>
    <row r="229" spans="1:5">
      <c r="A229" s="8">
        <v>45147</v>
      </c>
      <c r="B229" s="4">
        <v>24.757000000000001</v>
      </c>
      <c r="C229" s="4"/>
      <c r="D229" s="4">
        <v>18.138999999999999</v>
      </c>
      <c r="E229" s="4">
        <f t="shared" si="21"/>
        <v>42.896000000000001</v>
      </c>
    </row>
    <row r="230" spans="1:5">
      <c r="A230" s="8">
        <v>45148</v>
      </c>
      <c r="B230" s="4">
        <f>43.36+12.679</f>
        <v>56.039000000000001</v>
      </c>
      <c r="C230" s="4"/>
      <c r="D230" s="4">
        <f>39.014+32.958</f>
        <v>71.972000000000008</v>
      </c>
      <c r="E230" s="4">
        <f t="shared" ref="E230:E242" si="22">SUM(B230:D230)</f>
        <v>128.01100000000002</v>
      </c>
    </row>
    <row r="231" spans="1:5">
      <c r="A231" s="8">
        <v>45149</v>
      </c>
      <c r="B231" s="4">
        <f>38.689+31.022</f>
        <v>69.710999999999999</v>
      </c>
      <c r="C231" s="4"/>
      <c r="D231" s="4">
        <f>45.668+40.201</f>
        <v>85.869</v>
      </c>
      <c r="E231" s="4">
        <f t="shared" si="22"/>
        <v>155.57999999999998</v>
      </c>
    </row>
    <row r="232" spans="1:5">
      <c r="A232" s="8">
        <v>45150</v>
      </c>
      <c r="B232" s="4">
        <f>46.562+50.913</f>
        <v>97.474999999999994</v>
      </c>
      <c r="C232" s="4"/>
      <c r="D232" s="4">
        <f>39.636+53.519</f>
        <v>93.155000000000001</v>
      </c>
      <c r="E232" s="4">
        <f t="shared" si="22"/>
        <v>190.63</v>
      </c>
    </row>
    <row r="233" spans="1:5">
      <c r="A233" s="8">
        <v>45151</v>
      </c>
      <c r="B233" s="4">
        <f>44.207+31.388</f>
        <v>75.594999999999999</v>
      </c>
      <c r="C233" s="4"/>
      <c r="D233" s="4">
        <f>56.869+38.211</f>
        <v>95.08</v>
      </c>
      <c r="E233" s="4">
        <f t="shared" si="22"/>
        <v>170.67500000000001</v>
      </c>
    </row>
    <row r="234" spans="1:5">
      <c r="A234" s="8">
        <v>45152</v>
      </c>
      <c r="B234" s="4">
        <f>42.323+35.706</f>
        <v>78.028999999999996</v>
      </c>
      <c r="C234" s="4"/>
      <c r="D234" s="4">
        <f>34.235+37.972</f>
        <v>72.206999999999994</v>
      </c>
      <c r="E234" s="4">
        <f t="shared" si="22"/>
        <v>150.23599999999999</v>
      </c>
    </row>
    <row r="235" spans="1:5">
      <c r="A235" s="8">
        <v>45155</v>
      </c>
      <c r="B235" s="4">
        <f>19.461+21.371</f>
        <v>40.831999999999994</v>
      </c>
      <c r="C235" s="4"/>
      <c r="D235" s="4">
        <f>19.12+17.052</f>
        <v>36.171999999999997</v>
      </c>
      <c r="E235" s="4">
        <f t="shared" si="22"/>
        <v>77.003999999999991</v>
      </c>
    </row>
    <row r="236" spans="1:5">
      <c r="A236" s="8">
        <v>45156</v>
      </c>
      <c r="B236" s="4">
        <f>19.669+5.678</f>
        <v>25.347000000000001</v>
      </c>
      <c r="C236" s="4"/>
      <c r="D236" s="4">
        <v>19.048999999999999</v>
      </c>
      <c r="E236" s="4">
        <f t="shared" si="22"/>
        <v>44.396000000000001</v>
      </c>
    </row>
    <row r="237" spans="1:5">
      <c r="A237" s="8">
        <v>45157</v>
      </c>
      <c r="B237" s="4"/>
      <c r="C237" s="4">
        <f>59.582+63.275</f>
        <v>122.857</v>
      </c>
      <c r="D237" s="4"/>
      <c r="E237" s="4">
        <f t="shared" si="22"/>
        <v>122.857</v>
      </c>
    </row>
    <row r="238" spans="1:5">
      <c r="A238" s="8">
        <v>45158</v>
      </c>
      <c r="B238" s="4"/>
      <c r="C238" s="4">
        <f>82.308+67.579</f>
        <v>149.887</v>
      </c>
      <c r="D238" s="4"/>
      <c r="E238" s="4">
        <f t="shared" si="22"/>
        <v>149.887</v>
      </c>
    </row>
    <row r="239" spans="1:5">
      <c r="A239" s="8">
        <v>45159</v>
      </c>
      <c r="B239" s="4"/>
      <c r="C239" s="4">
        <f>79.271+84.465</f>
        <v>163.73599999999999</v>
      </c>
      <c r="D239" s="4"/>
      <c r="E239" s="4">
        <f t="shared" si="22"/>
        <v>163.73599999999999</v>
      </c>
    </row>
    <row r="240" spans="1:5">
      <c r="A240" s="8">
        <v>45160</v>
      </c>
      <c r="B240" s="4"/>
      <c r="C240" s="4">
        <f>53.536+79.342</f>
        <v>132.87799999999999</v>
      </c>
      <c r="D240" s="4"/>
      <c r="E240" s="4">
        <f t="shared" si="22"/>
        <v>132.87799999999999</v>
      </c>
    </row>
    <row r="241" spans="1:5">
      <c r="A241" s="8">
        <v>45161</v>
      </c>
      <c r="B241" s="4">
        <v>21.617000000000001</v>
      </c>
      <c r="C241" s="4"/>
      <c r="D241" s="4">
        <v>41.780999999999999</v>
      </c>
      <c r="E241" s="4">
        <f t="shared" si="22"/>
        <v>63.397999999999996</v>
      </c>
    </row>
    <row r="242" spans="1:5">
      <c r="A242" s="8">
        <v>45162</v>
      </c>
      <c r="B242" s="4">
        <f>21.617+33.869</f>
        <v>55.486000000000004</v>
      </c>
      <c r="C242" s="4"/>
      <c r="D242" s="4">
        <f>41.781+47.173</f>
        <v>88.954000000000008</v>
      </c>
      <c r="E242" s="4">
        <f t="shared" si="22"/>
        <v>144.44</v>
      </c>
    </row>
    <row r="243" spans="1:5">
      <c r="A243" s="8">
        <v>45163</v>
      </c>
      <c r="B243" s="4">
        <f>39.911+41.185</f>
        <v>81.096000000000004</v>
      </c>
      <c r="C243" s="4">
        <v>42.162999999999997</v>
      </c>
      <c r="D243" s="4">
        <v>44.853999999999999</v>
      </c>
      <c r="E243" s="4">
        <f t="shared" ref="E243:E253" si="23">SUM(B243:D243)</f>
        <v>168.113</v>
      </c>
    </row>
    <row r="244" spans="1:5">
      <c r="A244" s="8">
        <v>45164</v>
      </c>
      <c r="B244" s="4">
        <f>24.258</f>
        <v>24.257999999999999</v>
      </c>
      <c r="C244" s="4">
        <f>21.283+54.944</f>
        <v>76.227000000000004</v>
      </c>
      <c r="D244" s="4">
        <f>30.91+16.013</f>
        <v>46.923000000000002</v>
      </c>
      <c r="E244" s="4">
        <f t="shared" si="23"/>
        <v>147.40800000000002</v>
      </c>
    </row>
    <row r="245" spans="1:5">
      <c r="A245" s="8">
        <v>45165</v>
      </c>
      <c r="B245" s="4">
        <f>21.252+32.655</f>
        <v>53.906999999999996</v>
      </c>
      <c r="C245" s="4">
        <v>28.277000000000001</v>
      </c>
      <c r="D245" s="4">
        <f>24.686+38.129</f>
        <v>62.814999999999998</v>
      </c>
      <c r="E245" s="4">
        <f t="shared" si="23"/>
        <v>144.999</v>
      </c>
    </row>
    <row r="246" spans="1:5">
      <c r="A246" s="8">
        <v>45166</v>
      </c>
      <c r="B246" s="4">
        <f>34.854+37.365</f>
        <v>72.218999999999994</v>
      </c>
      <c r="C246" s="4"/>
      <c r="D246" s="4">
        <f>46.993+48.126</f>
        <v>95.119</v>
      </c>
      <c r="E246" s="4">
        <f t="shared" si="23"/>
        <v>167.33799999999999</v>
      </c>
    </row>
    <row r="247" spans="1:5">
      <c r="A247" s="8">
        <v>45167</v>
      </c>
      <c r="B247" s="4">
        <f>42.685+24</f>
        <v>66.685000000000002</v>
      </c>
      <c r="C247" s="4"/>
      <c r="D247" s="4">
        <f>44.827+38.568</f>
        <v>83.394999999999996</v>
      </c>
      <c r="E247" s="4">
        <f t="shared" si="23"/>
        <v>150.07999999999998</v>
      </c>
    </row>
    <row r="248" spans="1:5">
      <c r="A248" s="8">
        <v>45168</v>
      </c>
      <c r="B248" s="4">
        <f>28.308+24.373</f>
        <v>52.680999999999997</v>
      </c>
      <c r="C248" s="4"/>
      <c r="D248" s="4">
        <f>31.223+25.438</f>
        <v>56.661000000000001</v>
      </c>
      <c r="E248" s="4">
        <f t="shared" si="23"/>
        <v>109.342</v>
      </c>
    </row>
    <row r="249" spans="1:5">
      <c r="A249" s="8">
        <v>45169</v>
      </c>
      <c r="B249" s="4">
        <f>55.764+48.585</f>
        <v>104.349</v>
      </c>
      <c r="C249" s="4">
        <f>63.729+37.066</f>
        <v>100.795</v>
      </c>
      <c r="D249" s="4"/>
      <c r="E249" s="4">
        <f t="shared" si="23"/>
        <v>205.14400000000001</v>
      </c>
    </row>
    <row r="250" spans="1:5">
      <c r="A250" s="8">
        <v>45170</v>
      </c>
      <c r="B250" s="4">
        <f>29.513+11.246</f>
        <v>40.759</v>
      </c>
      <c r="C250" s="4">
        <f>35.148+49.191</f>
        <v>84.338999999999999</v>
      </c>
      <c r="D250" s="4">
        <f>6.482+13.526</f>
        <v>20.007999999999999</v>
      </c>
      <c r="E250" s="4">
        <f t="shared" si="23"/>
        <v>145.10599999999999</v>
      </c>
    </row>
    <row r="251" spans="1:5">
      <c r="A251" s="8">
        <v>45171</v>
      </c>
      <c r="B251" s="4"/>
      <c r="C251" s="4">
        <f>69.751+55.535</f>
        <v>125.286</v>
      </c>
      <c r="D251" s="4"/>
      <c r="E251" s="4">
        <f t="shared" si="23"/>
        <v>125.286</v>
      </c>
    </row>
    <row r="252" spans="1:5">
      <c r="A252" s="8">
        <v>45172</v>
      </c>
      <c r="B252" s="4">
        <f>19.994+37.945</f>
        <v>57.939</v>
      </c>
      <c r="C252" s="4">
        <f>20.694+46.893</f>
        <v>67.587000000000003</v>
      </c>
      <c r="D252" s="4">
        <v>31.678999999999998</v>
      </c>
      <c r="E252" s="4">
        <f t="shared" si="23"/>
        <v>157.20500000000001</v>
      </c>
    </row>
    <row r="253" spans="1:5">
      <c r="A253" s="8">
        <v>45173</v>
      </c>
      <c r="B253" s="4">
        <f>53.389+30.815</f>
        <v>84.204000000000008</v>
      </c>
      <c r="C253" s="4">
        <v>18.158000000000001</v>
      </c>
      <c r="D253" s="4">
        <f>66.077+38.931</f>
        <v>105.008</v>
      </c>
      <c r="E253" s="4">
        <f t="shared" si="23"/>
        <v>207.37</v>
      </c>
    </row>
    <row r="254" spans="1:5">
      <c r="A254" s="8">
        <v>45174</v>
      </c>
      <c r="B254" s="4">
        <f>42.566+10.854</f>
        <v>53.42</v>
      </c>
      <c r="C254" s="4">
        <v>29.977</v>
      </c>
      <c r="D254" s="4">
        <f>60.685+40.38</f>
        <v>101.065</v>
      </c>
      <c r="E254" s="4">
        <f t="shared" ref="E254:E259" si="24">SUM(B254:D254)</f>
        <v>184.46199999999999</v>
      </c>
    </row>
    <row r="255" spans="1:5">
      <c r="A255" s="8">
        <v>45175</v>
      </c>
      <c r="B255" s="4">
        <v>23.366</v>
      </c>
      <c r="C255" s="4">
        <v>25.632999999999999</v>
      </c>
      <c r="D255" s="4"/>
      <c r="E255" s="4">
        <f t="shared" si="24"/>
        <v>48.998999999999995</v>
      </c>
    </row>
    <row r="256" spans="1:5">
      <c r="A256" s="8">
        <v>45176</v>
      </c>
      <c r="B256" s="4">
        <f>39.345+21.79</f>
        <v>61.134999999999998</v>
      </c>
      <c r="C256" s="4">
        <f>29.107+10.279</f>
        <v>39.385999999999996</v>
      </c>
      <c r="D256" s="4">
        <f>45.085+42.387</f>
        <v>87.472000000000008</v>
      </c>
      <c r="E256" s="4">
        <f t="shared" si="24"/>
        <v>187.99299999999999</v>
      </c>
    </row>
    <row r="257" spans="1:5">
      <c r="A257" s="8">
        <v>45177</v>
      </c>
      <c r="B257" s="4">
        <v>15.676</v>
      </c>
      <c r="C257" s="4">
        <f>14.64+42.64</f>
        <v>57.28</v>
      </c>
      <c r="D257" s="4">
        <v>33.642000000000003</v>
      </c>
      <c r="E257" s="4">
        <f t="shared" si="24"/>
        <v>106.59800000000001</v>
      </c>
    </row>
    <row r="258" spans="1:5">
      <c r="A258" s="8">
        <v>45178</v>
      </c>
      <c r="B258" s="4">
        <f>40.699+23.435</f>
        <v>64.134</v>
      </c>
      <c r="C258" s="4"/>
      <c r="D258" s="4">
        <f>39.848+42.837</f>
        <v>82.685000000000002</v>
      </c>
      <c r="E258" s="4">
        <f t="shared" si="24"/>
        <v>146.81900000000002</v>
      </c>
    </row>
    <row r="259" spans="1:5">
      <c r="A259" s="8">
        <v>45179</v>
      </c>
      <c r="B259" s="4">
        <f>41.884+31.726</f>
        <v>73.61</v>
      </c>
      <c r="C259" s="4"/>
      <c r="D259" s="4">
        <f>54.64+50.227</f>
        <v>104.86699999999999</v>
      </c>
      <c r="E259" s="4">
        <f t="shared" si="24"/>
        <v>178.47699999999998</v>
      </c>
    </row>
    <row r="260" spans="1:5">
      <c r="A260" s="8">
        <v>45180</v>
      </c>
      <c r="B260" s="4">
        <f>21.752+61.601</f>
        <v>83.352999999999994</v>
      </c>
      <c r="C260" s="4">
        <f>70.822+41.928</f>
        <v>112.75</v>
      </c>
      <c r="D260" s="4"/>
      <c r="E260" s="4">
        <f t="shared" ref="E260:E264" si="25">SUM(B260:D260)</f>
        <v>196.10300000000001</v>
      </c>
    </row>
    <row r="261" spans="1:5">
      <c r="A261" s="8">
        <v>45181</v>
      </c>
      <c r="B261" s="4">
        <f>33.445+20.238</f>
        <v>53.683</v>
      </c>
      <c r="C261" s="4">
        <v>12.507</v>
      </c>
      <c r="D261" s="4"/>
      <c r="E261" s="4">
        <f t="shared" si="25"/>
        <v>66.19</v>
      </c>
    </row>
    <row r="262" spans="1:5">
      <c r="A262" s="8">
        <v>45183</v>
      </c>
      <c r="B262" s="4">
        <f>32.7+51.039</f>
        <v>83.739000000000004</v>
      </c>
      <c r="C262" s="4">
        <v>7.2549999999999999</v>
      </c>
      <c r="D262" s="4">
        <v>33.493000000000002</v>
      </c>
      <c r="E262" s="4">
        <f t="shared" si="25"/>
        <v>124.48699999999999</v>
      </c>
    </row>
    <row r="263" spans="1:5">
      <c r="A263" s="8">
        <v>45184</v>
      </c>
      <c r="B263" s="4">
        <v>18.555</v>
      </c>
      <c r="C263" s="4"/>
      <c r="D263" s="4">
        <v>20.231999999999999</v>
      </c>
      <c r="E263" s="4">
        <f t="shared" si="25"/>
        <v>38.786999999999999</v>
      </c>
    </row>
    <row r="264" spans="1:5">
      <c r="A264" s="8">
        <v>45185</v>
      </c>
      <c r="B264" s="4">
        <f>51.633+47.093</f>
        <v>98.725999999999999</v>
      </c>
      <c r="C264" s="4">
        <v>32.466000000000001</v>
      </c>
      <c r="D264" s="4">
        <f>58.069+43.142</f>
        <v>101.21100000000001</v>
      </c>
      <c r="E264" s="4">
        <f t="shared" si="25"/>
        <v>232.40300000000002</v>
      </c>
    </row>
    <row r="265" spans="1:5">
      <c r="A265" s="8">
        <v>45187</v>
      </c>
      <c r="B265" s="4">
        <f>37.942+34.572</f>
        <v>72.51400000000001</v>
      </c>
      <c r="C265" s="4">
        <f>55.011+62.999</f>
        <v>118.01</v>
      </c>
      <c r="D265" s="4"/>
      <c r="E265" s="4">
        <f t="shared" ref="E265:E277" si="26">SUM(B265:D265)</f>
        <v>190.524</v>
      </c>
    </row>
    <row r="266" spans="1:5">
      <c r="A266" s="8">
        <v>45188</v>
      </c>
      <c r="B266" s="4"/>
      <c r="C266" s="4">
        <f>20.771+86.014</f>
        <v>106.785</v>
      </c>
      <c r="D266" s="4"/>
      <c r="E266" s="4">
        <f t="shared" si="26"/>
        <v>106.785</v>
      </c>
    </row>
    <row r="267" spans="1:5">
      <c r="A267" s="8">
        <v>45190</v>
      </c>
      <c r="B267" s="4"/>
      <c r="C267" s="4">
        <v>31.581</v>
      </c>
      <c r="D267" s="4"/>
      <c r="E267" s="4">
        <f t="shared" si="26"/>
        <v>31.581</v>
      </c>
    </row>
    <row r="268" spans="1:5">
      <c r="A268" s="8">
        <v>45191</v>
      </c>
      <c r="B268" s="4"/>
      <c r="C268" s="4">
        <f>41.778+30</f>
        <v>71.777999999999992</v>
      </c>
      <c r="D268" s="4"/>
      <c r="E268" s="4">
        <f t="shared" si="26"/>
        <v>71.777999999999992</v>
      </c>
    </row>
    <row r="269" spans="1:5">
      <c r="A269" s="8">
        <v>45192</v>
      </c>
      <c r="B269" s="4"/>
      <c r="C269" s="4">
        <f>44.87+44.641</f>
        <v>89.510999999999996</v>
      </c>
      <c r="D269" s="4"/>
      <c r="E269" s="4">
        <f t="shared" si="26"/>
        <v>89.510999999999996</v>
      </c>
    </row>
    <row r="270" spans="1:5">
      <c r="A270" s="8">
        <v>45194</v>
      </c>
      <c r="B270" s="4"/>
      <c r="C270" s="4">
        <f>54.237+51.825</f>
        <v>106.06200000000001</v>
      </c>
      <c r="D270" s="4"/>
      <c r="E270" s="4">
        <f t="shared" si="26"/>
        <v>106.06200000000001</v>
      </c>
    </row>
    <row r="271" spans="1:5">
      <c r="A271" s="8">
        <v>45195</v>
      </c>
      <c r="B271" s="4"/>
      <c r="C271" s="4">
        <f>51.174+33.381</f>
        <v>84.555000000000007</v>
      </c>
      <c r="D271" s="4"/>
      <c r="E271" s="4">
        <f t="shared" si="26"/>
        <v>84.555000000000007</v>
      </c>
    </row>
    <row r="272" spans="1:5">
      <c r="A272" s="8">
        <v>45198</v>
      </c>
      <c r="B272" s="4"/>
      <c r="C272" s="4">
        <v>71.61</v>
      </c>
      <c r="D272" s="4"/>
      <c r="E272" s="4">
        <f t="shared" si="26"/>
        <v>71.61</v>
      </c>
    </row>
    <row r="273" spans="1:5">
      <c r="A273" s="8">
        <v>45199</v>
      </c>
      <c r="B273" s="4"/>
      <c r="C273" s="4">
        <f>44.259+65.859</f>
        <v>110.11799999999999</v>
      </c>
      <c r="D273" s="4"/>
      <c r="E273" s="4">
        <f t="shared" si="26"/>
        <v>110.11799999999999</v>
      </c>
    </row>
    <row r="274" spans="1:5">
      <c r="A274" s="8">
        <v>45200</v>
      </c>
      <c r="B274" s="4">
        <f>37.995+37.995</f>
        <v>75.989999999999995</v>
      </c>
      <c r="C274" s="4">
        <v>10.74</v>
      </c>
      <c r="D274" s="4">
        <f>28.639+17.899</f>
        <v>46.537999999999997</v>
      </c>
      <c r="E274" s="4">
        <f t="shared" si="26"/>
        <v>133.26799999999997</v>
      </c>
    </row>
    <row r="275" spans="1:5">
      <c r="A275" s="8">
        <v>45201</v>
      </c>
      <c r="B275" s="4">
        <f>43.221+17.617</f>
        <v>60.837999999999994</v>
      </c>
      <c r="C275" s="4">
        <v>6.04</v>
      </c>
      <c r="D275" s="4">
        <f>45.058+53.132</f>
        <v>98.19</v>
      </c>
      <c r="E275" s="4">
        <f t="shared" si="26"/>
        <v>165.06799999999998</v>
      </c>
    </row>
    <row r="276" spans="1:5">
      <c r="A276" s="8">
        <v>45202</v>
      </c>
      <c r="B276" s="4">
        <f>44.153+12.648</f>
        <v>56.801000000000002</v>
      </c>
      <c r="C276" s="4"/>
      <c r="D276" s="4">
        <f>61.734+47.126</f>
        <v>108.86</v>
      </c>
      <c r="E276" s="4">
        <f t="shared" si="26"/>
        <v>165.661</v>
      </c>
    </row>
    <row r="277" spans="1:5">
      <c r="A277" s="8">
        <v>45203</v>
      </c>
      <c r="B277" s="4">
        <f>29.179+14.542+15.551</f>
        <v>59.271999999999998</v>
      </c>
      <c r="C277" s="4">
        <v>20.704000000000001</v>
      </c>
      <c r="D277" s="4"/>
      <c r="E277" s="4">
        <f t="shared" si="26"/>
        <v>79.975999999999999</v>
      </c>
    </row>
    <row r="278" spans="1:5">
      <c r="A278" s="8">
        <v>45204</v>
      </c>
      <c r="B278" s="4">
        <f>33.606+58.478</f>
        <v>92.084000000000003</v>
      </c>
      <c r="C278" s="4"/>
      <c r="D278" s="4">
        <f>76.452+49.943</f>
        <v>126.395</v>
      </c>
      <c r="E278" s="4">
        <f t="shared" ref="E278" si="27">SUM(B278:D278)</f>
        <v>218.47899999999998</v>
      </c>
    </row>
    <row r="279" spans="1:5">
      <c r="A279" s="8">
        <v>45205</v>
      </c>
      <c r="B279" s="4">
        <f>14.815+39.319</f>
        <v>54.134</v>
      </c>
      <c r="C279" s="4"/>
      <c r="D279" s="4">
        <f>52.76+29.691</f>
        <v>82.450999999999993</v>
      </c>
      <c r="E279" s="4">
        <f t="shared" ref="E279:E296" si="28">SUM(B279:D279)</f>
        <v>136.58499999999998</v>
      </c>
    </row>
    <row r="280" spans="1:5">
      <c r="A280" s="8">
        <v>45206</v>
      </c>
      <c r="B280" s="4">
        <f>26.281+19.408</f>
        <v>45.689</v>
      </c>
      <c r="C280" s="4">
        <f>25+8.604</f>
        <v>33.603999999999999</v>
      </c>
      <c r="D280" s="4">
        <f>16.018+47.893</f>
        <v>63.911000000000001</v>
      </c>
      <c r="E280" s="4">
        <f t="shared" si="28"/>
        <v>143.20400000000001</v>
      </c>
    </row>
    <row r="281" spans="1:5">
      <c r="A281" s="8">
        <v>45207</v>
      </c>
      <c r="B281" s="4">
        <f>23.467+32.406</f>
        <v>55.872999999999998</v>
      </c>
      <c r="C281" s="4"/>
      <c r="D281" s="4">
        <f>60.914+50.518</f>
        <v>111.432</v>
      </c>
      <c r="E281" s="4">
        <f t="shared" si="28"/>
        <v>167.30500000000001</v>
      </c>
    </row>
    <row r="282" spans="1:5">
      <c r="A282" s="8">
        <v>45208</v>
      </c>
      <c r="B282" s="4">
        <f>30.409+47.609</f>
        <v>78.018000000000001</v>
      </c>
      <c r="C282" s="4"/>
      <c r="D282" s="4">
        <f>49.584+48.497</f>
        <v>98.081000000000003</v>
      </c>
      <c r="E282" s="4">
        <f t="shared" si="28"/>
        <v>176.09899999999999</v>
      </c>
    </row>
    <row r="283" spans="1:5">
      <c r="A283" s="8">
        <v>45209</v>
      </c>
      <c r="B283" s="4">
        <f>64.382+45.732</f>
        <v>110.114</v>
      </c>
      <c r="C283" s="4"/>
      <c r="D283" s="4">
        <f>64.46+55.671</f>
        <v>120.131</v>
      </c>
      <c r="E283" s="4">
        <f t="shared" si="28"/>
        <v>230.245</v>
      </c>
    </row>
    <row r="284" spans="1:5">
      <c r="A284" s="8">
        <v>45210</v>
      </c>
      <c r="B284" s="4">
        <v>13.618</v>
      </c>
      <c r="C284" s="4">
        <v>14.331</v>
      </c>
      <c r="D284" s="4"/>
      <c r="E284" s="4">
        <f t="shared" si="28"/>
        <v>27.948999999999998</v>
      </c>
    </row>
    <row r="285" spans="1:5">
      <c r="A285" s="8">
        <v>45211</v>
      </c>
      <c r="B285" s="4">
        <v>0</v>
      </c>
      <c r="C285" s="4">
        <v>139.953</v>
      </c>
      <c r="D285" s="4">
        <v>48.654000000000003</v>
      </c>
      <c r="E285" s="4">
        <f t="shared" si="28"/>
        <v>188.607</v>
      </c>
    </row>
    <row r="286" spans="1:5">
      <c r="A286" s="8">
        <v>45212</v>
      </c>
      <c r="B286" s="4"/>
      <c r="C286" s="4">
        <f>69.528+74.693</f>
        <v>144.221</v>
      </c>
      <c r="D286" s="4"/>
      <c r="E286" s="4">
        <f t="shared" si="28"/>
        <v>144.221</v>
      </c>
    </row>
    <row r="287" spans="1:5">
      <c r="A287" s="8">
        <v>45213</v>
      </c>
      <c r="B287" s="4">
        <f>42.736+33.342</f>
        <v>76.078000000000003</v>
      </c>
      <c r="C287" s="4"/>
      <c r="D287" s="4">
        <f>51.261+41.527</f>
        <v>92.788000000000011</v>
      </c>
      <c r="E287" s="4">
        <f t="shared" si="28"/>
        <v>168.86600000000001</v>
      </c>
    </row>
    <row r="288" spans="1:5">
      <c r="A288" s="8">
        <v>45214</v>
      </c>
      <c r="B288" s="4">
        <f>31.423+56.007</f>
        <v>87.429999999999993</v>
      </c>
      <c r="C288" s="4"/>
      <c r="D288" s="4">
        <f>52.01+64.159</f>
        <v>116.16900000000001</v>
      </c>
      <c r="E288" s="4">
        <f t="shared" si="28"/>
        <v>203.59899999999999</v>
      </c>
    </row>
    <row r="289" spans="1:5">
      <c r="A289" s="8">
        <v>45215</v>
      </c>
      <c r="B289" s="4">
        <f>56.007+32.622</f>
        <v>88.628999999999991</v>
      </c>
      <c r="C289" s="4"/>
      <c r="D289" s="4">
        <f>64.159+55.655</f>
        <v>119.81400000000001</v>
      </c>
      <c r="E289" s="4">
        <f t="shared" si="28"/>
        <v>208.44299999999998</v>
      </c>
    </row>
    <row r="290" spans="1:5">
      <c r="A290" s="8">
        <v>45216</v>
      </c>
      <c r="B290" s="4">
        <f>20.314+24.771</f>
        <v>45.085000000000001</v>
      </c>
      <c r="C290" s="4"/>
      <c r="D290" s="4">
        <f>55.657+28.699</f>
        <v>84.355999999999995</v>
      </c>
      <c r="E290" s="4">
        <f t="shared" si="28"/>
        <v>129.441</v>
      </c>
    </row>
    <row r="291" spans="1:5">
      <c r="A291" s="8">
        <v>45217</v>
      </c>
      <c r="B291" s="4">
        <v>24.771000000000001</v>
      </c>
      <c r="C291" s="4"/>
      <c r="D291" s="4">
        <v>28.699000000000002</v>
      </c>
      <c r="E291" s="4">
        <f t="shared" si="28"/>
        <v>53.47</v>
      </c>
    </row>
    <row r="292" spans="1:5">
      <c r="A292" s="8">
        <v>45218</v>
      </c>
      <c r="B292" s="4">
        <f>26.835+28.227</f>
        <v>55.061999999999998</v>
      </c>
      <c r="C292" s="4"/>
      <c r="D292" s="4">
        <v>19.821999999999999</v>
      </c>
      <c r="E292" s="4">
        <f t="shared" si="28"/>
        <v>74.884</v>
      </c>
    </row>
    <row r="293" spans="1:5">
      <c r="A293" s="8">
        <v>45219</v>
      </c>
      <c r="B293" s="4"/>
      <c r="C293" s="4"/>
      <c r="D293" s="4">
        <f>26.261+15.387</f>
        <v>41.647999999999996</v>
      </c>
      <c r="E293" s="4">
        <f t="shared" si="28"/>
        <v>41.647999999999996</v>
      </c>
    </row>
    <row r="294" spans="1:5">
      <c r="A294" s="8">
        <v>45225</v>
      </c>
      <c r="B294" s="4">
        <f>14.405+37.341</f>
        <v>51.746000000000002</v>
      </c>
      <c r="C294" s="4"/>
      <c r="D294" s="4">
        <f>28.009+48.264</f>
        <v>76.272999999999996</v>
      </c>
      <c r="E294" s="4">
        <f t="shared" si="28"/>
        <v>128.01900000000001</v>
      </c>
    </row>
    <row r="295" spans="1:5">
      <c r="A295" s="8">
        <v>45226</v>
      </c>
      <c r="B295" s="4">
        <f>34.207+34.481</f>
        <v>68.688000000000002</v>
      </c>
      <c r="C295" s="4"/>
      <c r="D295" s="4">
        <f>49.926+31.412</f>
        <v>81.337999999999994</v>
      </c>
      <c r="E295" s="4">
        <f t="shared" si="28"/>
        <v>150.02600000000001</v>
      </c>
    </row>
    <row r="296" spans="1:5">
      <c r="A296" s="8">
        <v>45227</v>
      </c>
      <c r="B296" s="4">
        <f>38.19+34.378</f>
        <v>72.567999999999998</v>
      </c>
      <c r="C296" s="4"/>
      <c r="D296" s="4">
        <f>42.628+42.264</f>
        <v>84.891999999999996</v>
      </c>
      <c r="E296" s="4">
        <f t="shared" si="28"/>
        <v>157.45999999999998</v>
      </c>
    </row>
    <row r="297" spans="1:5">
      <c r="A297" s="8">
        <v>45228</v>
      </c>
      <c r="B297" s="4">
        <f>71.071+36.458</f>
        <v>107.529</v>
      </c>
      <c r="C297" s="4"/>
      <c r="D297" s="4">
        <f>66.354+53.25</f>
        <v>119.604</v>
      </c>
      <c r="E297" s="4">
        <f t="shared" ref="E297:E320" si="29">SUM(B297:D297)</f>
        <v>227.13299999999998</v>
      </c>
    </row>
    <row r="298" spans="1:5">
      <c r="A298" s="8">
        <v>45229</v>
      </c>
      <c r="B298" s="4">
        <f>34.856+45.105</f>
        <v>79.960999999999999</v>
      </c>
      <c r="C298" s="4"/>
      <c r="D298" s="4">
        <f>44.107+39.636</f>
        <v>83.742999999999995</v>
      </c>
      <c r="E298" s="4">
        <f t="shared" si="29"/>
        <v>163.70400000000001</v>
      </c>
    </row>
    <row r="299" spans="1:5">
      <c r="A299" s="8">
        <v>45230</v>
      </c>
      <c r="B299" s="4"/>
      <c r="C299" s="4">
        <f>79.286+18.387</f>
        <v>97.673000000000002</v>
      </c>
      <c r="D299" s="4">
        <v>23.658999999999999</v>
      </c>
      <c r="E299" s="4">
        <f t="shared" si="29"/>
        <v>121.33199999999999</v>
      </c>
    </row>
    <row r="300" spans="1:5">
      <c r="A300" s="8">
        <v>45231</v>
      </c>
      <c r="B300" s="4"/>
      <c r="C300" s="4">
        <f>36.351+15.745</f>
        <v>52.095999999999997</v>
      </c>
      <c r="D300" s="4">
        <v>10.948</v>
      </c>
      <c r="E300" s="4">
        <f t="shared" si="29"/>
        <v>63.043999999999997</v>
      </c>
    </row>
    <row r="301" spans="1:5">
      <c r="A301" s="8">
        <v>45232</v>
      </c>
      <c r="B301" s="4"/>
      <c r="C301" s="4">
        <f>69.421+51.769</f>
        <v>121.19</v>
      </c>
      <c r="D301" s="4"/>
      <c r="E301" s="4">
        <f t="shared" si="29"/>
        <v>121.19</v>
      </c>
    </row>
    <row r="302" spans="1:5">
      <c r="A302" s="8">
        <v>45233</v>
      </c>
      <c r="B302" s="4"/>
      <c r="C302" s="4">
        <f>62.777+50.134</f>
        <v>112.911</v>
      </c>
      <c r="D302" s="4"/>
      <c r="E302" s="4">
        <f t="shared" si="29"/>
        <v>112.911</v>
      </c>
    </row>
    <row r="303" spans="1:5">
      <c r="A303" s="8">
        <v>45234</v>
      </c>
      <c r="B303" s="4">
        <f>32.264+42.091</f>
        <v>74.355000000000004</v>
      </c>
      <c r="C303" s="4"/>
      <c r="D303" s="4">
        <f>40.988+42.435</f>
        <v>83.423000000000002</v>
      </c>
      <c r="E303" s="4">
        <f t="shared" si="29"/>
        <v>157.77800000000002</v>
      </c>
    </row>
    <row r="304" spans="1:5">
      <c r="A304" s="8">
        <v>45235</v>
      </c>
      <c r="B304" s="4">
        <f>52.867+32.983</f>
        <v>85.85</v>
      </c>
      <c r="C304" s="4">
        <v>22.655999999999999</v>
      </c>
      <c r="D304" s="4">
        <f>50.686+33.016</f>
        <v>83.701999999999998</v>
      </c>
      <c r="E304" s="4">
        <f t="shared" si="29"/>
        <v>192.208</v>
      </c>
    </row>
    <row r="305" spans="1:5">
      <c r="A305" s="8">
        <v>45236</v>
      </c>
      <c r="B305" s="4">
        <v>44.747</v>
      </c>
      <c r="C305" s="4">
        <f>20.104+35.015</f>
        <v>55.119</v>
      </c>
      <c r="D305" s="4">
        <f>46.758+19.909</f>
        <v>66.667000000000002</v>
      </c>
      <c r="E305" s="4">
        <f t="shared" si="29"/>
        <v>166.53300000000002</v>
      </c>
    </row>
    <row r="306" spans="1:5">
      <c r="A306" s="8">
        <v>45237</v>
      </c>
      <c r="B306" s="4">
        <f>14.187+46.708</f>
        <v>60.894999999999996</v>
      </c>
      <c r="C306" s="4">
        <f>30.833+46.225</f>
        <v>77.057999999999993</v>
      </c>
      <c r="D306" s="4">
        <f>38.411+10.609</f>
        <v>49.02</v>
      </c>
      <c r="E306" s="4">
        <f t="shared" si="29"/>
        <v>186.97299999999998</v>
      </c>
    </row>
    <row r="307" spans="1:5">
      <c r="A307" s="8">
        <v>45238</v>
      </c>
      <c r="B307" s="4">
        <v>24.32</v>
      </c>
      <c r="C307" s="4">
        <v>20.751999999999999</v>
      </c>
      <c r="D307" s="4">
        <v>13.457000000000001</v>
      </c>
      <c r="E307" s="4">
        <f t="shared" si="29"/>
        <v>58.529000000000003</v>
      </c>
    </row>
    <row r="308" spans="1:5">
      <c r="A308" s="8">
        <v>45239</v>
      </c>
      <c r="B308" s="4">
        <f>43.727+25.064</f>
        <v>68.790999999999997</v>
      </c>
      <c r="C308" s="4">
        <v>22.731999999999999</v>
      </c>
      <c r="D308" s="4">
        <f>39.645+27.569</f>
        <v>67.213999999999999</v>
      </c>
      <c r="E308" s="4">
        <f t="shared" si="29"/>
        <v>158.73699999999999</v>
      </c>
    </row>
    <row r="309" spans="1:5">
      <c r="A309" s="8">
        <v>45240</v>
      </c>
      <c r="B309" s="4">
        <v>37.564</v>
      </c>
      <c r="C309" s="4">
        <v>30.135999999999999</v>
      </c>
      <c r="D309" s="4">
        <f>42.372+23.551</f>
        <v>65.923000000000002</v>
      </c>
      <c r="E309" s="4">
        <f t="shared" si="29"/>
        <v>133.62299999999999</v>
      </c>
    </row>
    <row r="310" spans="1:5">
      <c r="A310" s="8">
        <v>45241</v>
      </c>
      <c r="B310" s="4">
        <f>64.852+25.682</f>
        <v>90.534000000000006</v>
      </c>
      <c r="C310" s="4">
        <f>57.887+51.235</f>
        <v>109.122</v>
      </c>
      <c r="D310" s="4">
        <v>25.161999999999999</v>
      </c>
      <c r="E310" s="4">
        <f t="shared" si="29"/>
        <v>224.81800000000001</v>
      </c>
    </row>
    <row r="311" spans="1:5">
      <c r="A311" s="8">
        <v>45245</v>
      </c>
      <c r="B311" s="4">
        <f>28.235+34.927</f>
        <v>63.161999999999999</v>
      </c>
      <c r="C311" s="4">
        <f>35.961</f>
        <v>35.960999999999999</v>
      </c>
      <c r="D311" s="4">
        <v>47.573999999999998</v>
      </c>
      <c r="E311" s="4">
        <f t="shared" si="29"/>
        <v>146.697</v>
      </c>
    </row>
    <row r="312" spans="1:5">
      <c r="A312" s="8">
        <v>45246</v>
      </c>
      <c r="B312" s="4">
        <f>47.863+45.492</f>
        <v>93.35499999999999</v>
      </c>
      <c r="C312" s="4">
        <v>48.405000000000001</v>
      </c>
      <c r="D312" s="4">
        <v>40.662999999999997</v>
      </c>
      <c r="E312" s="4">
        <f t="shared" si="29"/>
        <v>182.423</v>
      </c>
    </row>
    <row r="313" spans="1:5">
      <c r="A313" s="8">
        <v>45247</v>
      </c>
      <c r="B313" s="4">
        <v>20.530999999999999</v>
      </c>
      <c r="C313" s="4">
        <f>69.919+48.129</f>
        <v>118.048</v>
      </c>
      <c r="D313" s="4">
        <v>18.62</v>
      </c>
      <c r="E313" s="4">
        <f t="shared" si="29"/>
        <v>157.19900000000001</v>
      </c>
    </row>
    <row r="314" spans="1:5">
      <c r="A314" s="8">
        <v>45248</v>
      </c>
      <c r="B314" s="4">
        <f>47.022+39.995</f>
        <v>87.016999999999996</v>
      </c>
      <c r="C314" s="4">
        <f>34.622+49.047</f>
        <v>83.668999999999997</v>
      </c>
      <c r="D314" s="4"/>
      <c r="E314" s="4">
        <f t="shared" si="29"/>
        <v>170.68599999999998</v>
      </c>
    </row>
    <row r="315" spans="1:5">
      <c r="A315" s="8">
        <v>45249</v>
      </c>
      <c r="B315" s="4">
        <f>35.769+30.282</f>
        <v>66.051000000000002</v>
      </c>
      <c r="C315" s="4"/>
      <c r="D315" s="4">
        <f>51.866+35.447</f>
        <v>87.313000000000002</v>
      </c>
      <c r="E315" s="4">
        <f t="shared" si="29"/>
        <v>153.364</v>
      </c>
    </row>
    <row r="316" spans="1:5">
      <c r="A316" s="8">
        <v>45250</v>
      </c>
      <c r="B316" s="4">
        <f>38.452+34.827</f>
        <v>73.278999999999996</v>
      </c>
      <c r="C316" s="4"/>
      <c r="D316" s="4">
        <f>24.415+42.85</f>
        <v>67.265000000000001</v>
      </c>
      <c r="E316" s="4">
        <f t="shared" si="29"/>
        <v>140.54399999999998</v>
      </c>
    </row>
    <row r="317" spans="1:5">
      <c r="A317" s="8">
        <v>45251</v>
      </c>
      <c r="B317" s="4">
        <f>19.706+29.886</f>
        <v>49.591999999999999</v>
      </c>
      <c r="C317" s="4">
        <v>38.944000000000003</v>
      </c>
      <c r="D317" s="4">
        <f>28.676+34.734</f>
        <v>63.41</v>
      </c>
      <c r="E317" s="4">
        <f t="shared" si="29"/>
        <v>151.946</v>
      </c>
    </row>
    <row r="318" spans="1:5">
      <c r="A318" s="8">
        <v>45252</v>
      </c>
      <c r="B318" s="4">
        <v>24.245999999999999</v>
      </c>
      <c r="C318" s="4">
        <v>23.548999999999999</v>
      </c>
      <c r="D318" s="4">
        <v>16.722000000000001</v>
      </c>
      <c r="E318" s="4">
        <f t="shared" si="29"/>
        <v>64.516999999999996</v>
      </c>
    </row>
    <row r="319" spans="1:5">
      <c r="A319" s="8">
        <v>45253</v>
      </c>
      <c r="B319" s="4">
        <v>16.829999999999998</v>
      </c>
      <c r="C319" s="4">
        <v>37.83</v>
      </c>
      <c r="D319" s="4">
        <f>38.786+47.322</f>
        <v>86.108000000000004</v>
      </c>
      <c r="E319" s="4">
        <f t="shared" si="29"/>
        <v>140.768</v>
      </c>
    </row>
    <row r="320" spans="1:5">
      <c r="A320" s="8">
        <v>45254</v>
      </c>
      <c r="B320" s="4">
        <f>31.01+40.81</f>
        <v>71.820000000000007</v>
      </c>
      <c r="C320" s="4">
        <f>59.825+74.67</f>
        <v>134.495</v>
      </c>
      <c r="D320" s="4">
        <v>44.624000000000002</v>
      </c>
      <c r="E320" s="4">
        <f t="shared" si="29"/>
        <v>250.93899999999999</v>
      </c>
    </row>
    <row r="321" spans="1:5">
      <c r="A321" s="8">
        <v>45255</v>
      </c>
      <c r="B321" s="4">
        <f>25.387+25.562</f>
        <v>50.948999999999998</v>
      </c>
      <c r="C321" s="4">
        <f>66.09+83.08</f>
        <v>149.17000000000002</v>
      </c>
      <c r="D321" s="4"/>
      <c r="E321" s="4">
        <f t="shared" ref="E321:E341" si="30">SUM(B321:D321)</f>
        <v>200.11900000000003</v>
      </c>
    </row>
    <row r="322" spans="1:5">
      <c r="A322" s="8">
        <v>45256</v>
      </c>
      <c r="B322" s="4">
        <f>44.988+27.62</f>
        <v>72.608000000000004</v>
      </c>
      <c r="C322" s="4">
        <f>79.284+66.426</f>
        <v>145.71</v>
      </c>
      <c r="D322" s="4"/>
      <c r="E322" s="4">
        <f t="shared" si="30"/>
        <v>218.31800000000001</v>
      </c>
    </row>
    <row r="323" spans="1:5">
      <c r="A323" s="8">
        <v>45257</v>
      </c>
      <c r="B323" s="4"/>
      <c r="C323" s="4">
        <f>108.195+69.455</f>
        <v>177.64999999999998</v>
      </c>
      <c r="D323" s="4"/>
      <c r="E323" s="4">
        <f t="shared" si="30"/>
        <v>177.64999999999998</v>
      </c>
    </row>
    <row r="324" spans="1:5">
      <c r="A324" s="8">
        <v>45258</v>
      </c>
      <c r="B324" s="4">
        <f>33.907+41.654</f>
        <v>75.561000000000007</v>
      </c>
      <c r="C324" s="4">
        <v>25.666</v>
      </c>
      <c r="D324" s="4">
        <f>62.21+47.355</f>
        <v>109.565</v>
      </c>
      <c r="E324" s="4">
        <f t="shared" si="30"/>
        <v>210.792</v>
      </c>
    </row>
    <row r="325" spans="1:5">
      <c r="A325" s="8">
        <v>45259</v>
      </c>
      <c r="B325" s="4">
        <v>13.397</v>
      </c>
      <c r="C325" s="4">
        <v>48.871000000000002</v>
      </c>
      <c r="D325" s="4"/>
      <c r="E325" s="4">
        <f t="shared" si="30"/>
        <v>62.268000000000001</v>
      </c>
    </row>
    <row r="326" spans="1:5">
      <c r="A326" s="8">
        <v>45260</v>
      </c>
      <c r="B326" s="4">
        <f>57.543+32.029</f>
        <v>89.572000000000003</v>
      </c>
      <c r="C326" s="4">
        <v>20.535</v>
      </c>
      <c r="D326" s="4">
        <f>73.167+52.817</f>
        <v>125.98400000000001</v>
      </c>
      <c r="E326" s="4">
        <f t="shared" si="30"/>
        <v>236.09100000000001</v>
      </c>
    </row>
    <row r="327" spans="1:5">
      <c r="A327" s="8">
        <v>45261</v>
      </c>
      <c r="B327" s="4">
        <f>63.723+29.032</f>
        <v>92.754999999999995</v>
      </c>
      <c r="C327" s="4">
        <v>11.823</v>
      </c>
      <c r="D327" s="4">
        <f>46.629+43.173</f>
        <v>89.801999999999992</v>
      </c>
      <c r="E327" s="4">
        <f t="shared" si="30"/>
        <v>194.38</v>
      </c>
    </row>
    <row r="328" spans="1:5">
      <c r="A328" s="8">
        <v>45262</v>
      </c>
      <c r="B328" s="4">
        <f>43.909+26.268</f>
        <v>70.176999999999992</v>
      </c>
      <c r="C328" s="4"/>
      <c r="D328" s="4">
        <f>30.25+47.355</f>
        <v>77.60499999999999</v>
      </c>
      <c r="E328" s="4">
        <f t="shared" si="30"/>
        <v>147.78199999999998</v>
      </c>
    </row>
    <row r="329" spans="1:5">
      <c r="A329" s="8">
        <v>45263</v>
      </c>
      <c r="B329" s="4">
        <f>46.363+27.354</f>
        <v>73.716999999999999</v>
      </c>
      <c r="C329" s="4"/>
      <c r="D329" s="4">
        <f>58.745+55.038</f>
        <v>113.78299999999999</v>
      </c>
      <c r="E329" s="4">
        <f t="shared" si="30"/>
        <v>187.5</v>
      </c>
    </row>
    <row r="330" spans="1:5">
      <c r="A330" s="8">
        <v>45264</v>
      </c>
      <c r="B330" s="4">
        <f>48.06+39.983</f>
        <v>88.043000000000006</v>
      </c>
      <c r="C330" s="4"/>
      <c r="D330" s="4">
        <f>44.849+42.079</f>
        <v>86.927999999999997</v>
      </c>
      <c r="E330" s="4">
        <f t="shared" si="30"/>
        <v>174.971</v>
      </c>
    </row>
    <row r="331" spans="1:5">
      <c r="A331" s="8">
        <v>45265</v>
      </c>
      <c r="B331" s="4">
        <f>50.793+39.068</f>
        <v>89.86099999999999</v>
      </c>
      <c r="C331" s="4"/>
      <c r="D331" s="4">
        <v>51.313000000000002</v>
      </c>
      <c r="E331" s="4">
        <f t="shared" si="30"/>
        <v>141.17399999999998</v>
      </c>
    </row>
    <row r="332" spans="1:5">
      <c r="A332" s="8">
        <v>45266</v>
      </c>
      <c r="B332" s="4">
        <v>30.122</v>
      </c>
      <c r="C332" s="4">
        <v>6.5579999999999998</v>
      </c>
      <c r="D332" s="4"/>
      <c r="E332" s="4">
        <f t="shared" si="30"/>
        <v>36.68</v>
      </c>
    </row>
    <row r="333" spans="1:5">
      <c r="A333" s="8">
        <v>45267</v>
      </c>
      <c r="B333" s="4">
        <f>46.83+34.997</f>
        <v>81.826999999999998</v>
      </c>
      <c r="C333" s="4"/>
      <c r="D333" s="4">
        <f>58.189+45.229</f>
        <v>103.41800000000001</v>
      </c>
      <c r="E333" s="4">
        <f t="shared" si="30"/>
        <v>185.245</v>
      </c>
    </row>
    <row r="334" spans="1:5">
      <c r="A334" s="8">
        <v>45268</v>
      </c>
      <c r="B334" s="4">
        <f>41.969+39.818</f>
        <v>81.787000000000006</v>
      </c>
      <c r="C334" s="4"/>
      <c r="D334" s="4">
        <f>51.491+48.598</f>
        <v>100.089</v>
      </c>
      <c r="E334" s="4">
        <f t="shared" si="30"/>
        <v>181.876</v>
      </c>
    </row>
    <row r="335" spans="1:5">
      <c r="A335" s="8">
        <v>45269</v>
      </c>
      <c r="B335" s="4">
        <f>51.749+41.98</f>
        <v>93.728999999999999</v>
      </c>
      <c r="C335" s="4"/>
      <c r="D335" s="4">
        <f>36.143+46.881</f>
        <v>83.024000000000001</v>
      </c>
      <c r="E335" s="4">
        <f t="shared" si="30"/>
        <v>176.75299999999999</v>
      </c>
    </row>
    <row r="336" spans="1:5">
      <c r="A336" s="8">
        <v>45270</v>
      </c>
      <c r="B336" s="4">
        <f>42.674+40.109</f>
        <v>82.783000000000001</v>
      </c>
      <c r="C336" s="4"/>
      <c r="D336" s="4">
        <f>47.241+37.763</f>
        <v>85.003999999999991</v>
      </c>
      <c r="E336" s="4">
        <f t="shared" si="30"/>
        <v>167.78699999999998</v>
      </c>
    </row>
    <row r="337" spans="1:5">
      <c r="A337" s="8">
        <v>45271</v>
      </c>
      <c r="B337" s="4">
        <f>44.083+24.693</f>
        <v>68.775999999999996</v>
      </c>
      <c r="C337" s="4"/>
      <c r="D337" s="4">
        <f>64.293+55.913</f>
        <v>120.206</v>
      </c>
      <c r="E337" s="4">
        <f t="shared" si="30"/>
        <v>188.982</v>
      </c>
    </row>
    <row r="338" spans="1:5">
      <c r="A338" s="8">
        <v>45272</v>
      </c>
      <c r="B338" s="4">
        <f>56.31+40.82</f>
        <v>97.13</v>
      </c>
      <c r="C338" s="4"/>
      <c r="D338" s="4">
        <f>61.584+73.025</f>
        <v>134.60900000000001</v>
      </c>
      <c r="E338" s="4">
        <f t="shared" si="30"/>
        <v>231.739</v>
      </c>
    </row>
    <row r="339" spans="1:5">
      <c r="A339" s="8">
        <v>45274</v>
      </c>
      <c r="B339" s="4">
        <f>39.784+53.919</f>
        <v>93.703000000000003</v>
      </c>
      <c r="C339" s="4"/>
      <c r="D339" s="4">
        <f>43.198+58.73</f>
        <v>101.928</v>
      </c>
      <c r="E339" s="4">
        <f t="shared" si="30"/>
        <v>195.631</v>
      </c>
    </row>
    <row r="340" spans="1:5">
      <c r="A340" s="8">
        <v>45275</v>
      </c>
      <c r="B340" s="4">
        <f>47.864+47.913</f>
        <v>95.776999999999987</v>
      </c>
      <c r="C340" s="4">
        <v>19.367999999999999</v>
      </c>
      <c r="D340" s="4">
        <f>51.723</f>
        <v>51.722999999999999</v>
      </c>
      <c r="E340" s="4">
        <f t="shared" si="30"/>
        <v>166.86799999999999</v>
      </c>
    </row>
    <row r="341" spans="1:5">
      <c r="A341" s="8">
        <v>45276</v>
      </c>
      <c r="B341" s="59">
        <f>62.697+53.831</f>
        <v>116.52800000000001</v>
      </c>
      <c r="C341" s="59"/>
      <c r="D341" s="59">
        <f>49.55+57.146</f>
        <v>106.696</v>
      </c>
      <c r="E341" s="59">
        <f t="shared" si="30"/>
        <v>223.22399999999999</v>
      </c>
    </row>
    <row r="342" spans="1:5">
      <c r="A342" s="48">
        <v>45277</v>
      </c>
      <c r="B342" s="51">
        <f>60.332+49.904</f>
        <v>110.236</v>
      </c>
      <c r="C342" s="51"/>
      <c r="D342" s="51">
        <f>52.682+59.993</f>
        <v>112.67500000000001</v>
      </c>
      <c r="E342" s="52">
        <f t="shared" ref="E342:E343" si="31">SUM(B342:D342)</f>
        <v>222.911</v>
      </c>
    </row>
    <row r="343" spans="1:5">
      <c r="A343" s="48">
        <v>45278</v>
      </c>
      <c r="B343" s="90">
        <f>44.269+60.133</f>
        <v>104.402</v>
      </c>
      <c r="C343" s="90"/>
      <c r="D343" s="90">
        <f>57.031+56.24</f>
        <v>113.271</v>
      </c>
      <c r="E343" s="52">
        <f t="shared" si="31"/>
        <v>217.673</v>
      </c>
    </row>
    <row r="344" spans="1:5">
      <c r="A344" s="48">
        <v>45279</v>
      </c>
      <c r="B344" s="51">
        <f>60.291+20.613</f>
        <v>80.903999999999996</v>
      </c>
      <c r="C344" s="51"/>
      <c r="D344" s="51">
        <f>47.318+51.035</f>
        <v>98.352999999999994</v>
      </c>
      <c r="E344" s="52">
        <f t="shared" ref="E344:E354" si="32">SUM(B344:D344)</f>
        <v>179.25700000000001</v>
      </c>
    </row>
    <row r="345" spans="1:5">
      <c r="A345" s="48">
        <v>45281</v>
      </c>
      <c r="B345" s="90">
        <v>51.68</v>
      </c>
      <c r="C345" s="90">
        <f>73.56+83.831</f>
        <v>157.39100000000002</v>
      </c>
      <c r="D345" s="90"/>
      <c r="E345" s="52">
        <f t="shared" si="32"/>
        <v>209.07100000000003</v>
      </c>
    </row>
    <row r="346" spans="1:5">
      <c r="A346" s="48">
        <v>45282</v>
      </c>
      <c r="B346" s="90">
        <f>19.179+47.39</f>
        <v>66.569000000000003</v>
      </c>
      <c r="C346" s="90">
        <f>47.717+47.118</f>
        <v>94.835000000000008</v>
      </c>
      <c r="D346" s="90"/>
      <c r="E346" s="52">
        <f t="shared" si="32"/>
        <v>161.404</v>
      </c>
    </row>
    <row r="347" spans="1:5">
      <c r="A347" s="48">
        <v>45283</v>
      </c>
      <c r="B347" s="90">
        <f>59.314+61.904</f>
        <v>121.218</v>
      </c>
      <c r="C347" s="90">
        <v>65.506</v>
      </c>
      <c r="D347" s="90">
        <v>16.782</v>
      </c>
      <c r="E347" s="52">
        <f t="shared" si="32"/>
        <v>203.506</v>
      </c>
    </row>
    <row r="348" spans="1:5">
      <c r="A348" s="48">
        <v>45284</v>
      </c>
      <c r="B348" s="146">
        <f>70.487+51.827</f>
        <v>122.31399999999999</v>
      </c>
      <c r="C348" s="146"/>
      <c r="D348" s="146">
        <f>42.216+62.146</f>
        <v>104.36199999999999</v>
      </c>
      <c r="E348" s="52">
        <f t="shared" si="32"/>
        <v>226.67599999999999</v>
      </c>
    </row>
    <row r="349" spans="1:5">
      <c r="A349" s="48">
        <v>45285</v>
      </c>
      <c r="B349" s="146">
        <f>39.432+48.045</f>
        <v>87.477000000000004</v>
      </c>
      <c r="C349" s="146"/>
      <c r="D349" s="146">
        <f>41.041+40.586</f>
        <v>81.626999999999995</v>
      </c>
      <c r="E349" s="52">
        <f t="shared" si="32"/>
        <v>169.10399999999998</v>
      </c>
    </row>
    <row r="350" spans="1:5">
      <c r="A350" s="48">
        <v>45286</v>
      </c>
      <c r="B350" s="146">
        <f>34.569+47.576</f>
        <v>82.14500000000001</v>
      </c>
      <c r="C350" s="146"/>
      <c r="D350" s="146">
        <f>46.977+47.244</f>
        <v>94.221000000000004</v>
      </c>
      <c r="E350" s="52">
        <f t="shared" si="32"/>
        <v>176.36600000000001</v>
      </c>
    </row>
    <row r="351" spans="1:5">
      <c r="A351" s="48">
        <v>45287</v>
      </c>
      <c r="B351" s="146">
        <v>16.46</v>
      </c>
      <c r="C351" s="146"/>
      <c r="D351" s="146">
        <v>23.003</v>
      </c>
      <c r="E351" s="52">
        <f t="shared" si="32"/>
        <v>39.463000000000001</v>
      </c>
    </row>
    <row r="352" spans="1:5">
      <c r="A352" s="48">
        <v>45288</v>
      </c>
      <c r="B352" s="146">
        <f>39.037+33.966</f>
        <v>73.003</v>
      </c>
      <c r="C352" s="146"/>
      <c r="D352" s="146">
        <f>33.784+20.929</f>
        <v>54.712999999999994</v>
      </c>
      <c r="E352" s="52">
        <f t="shared" si="32"/>
        <v>127.71599999999999</v>
      </c>
    </row>
    <row r="353" spans="1:5">
      <c r="A353" s="48">
        <v>45289</v>
      </c>
      <c r="B353" s="146">
        <v>20.452999999999999</v>
      </c>
      <c r="C353" s="146"/>
      <c r="D353" s="146"/>
      <c r="E353" s="52">
        <f t="shared" si="32"/>
        <v>20.452999999999999</v>
      </c>
    </row>
    <row r="354" spans="1:5">
      <c r="A354" s="48">
        <v>45291</v>
      </c>
      <c r="B354" s="204">
        <f>39.05+28.366</f>
        <v>67.415999999999997</v>
      </c>
      <c r="C354" s="204"/>
      <c r="D354" s="204">
        <f>28.823+32.255</f>
        <v>61.078000000000003</v>
      </c>
      <c r="E354" s="52">
        <f t="shared" si="32"/>
        <v>128.494</v>
      </c>
    </row>
    <row r="355" spans="1:5">
      <c r="A355" s="48">
        <v>45292</v>
      </c>
      <c r="B355" s="204">
        <f>39.239+40.698</f>
        <v>79.936999999999998</v>
      </c>
      <c r="C355" s="204"/>
      <c r="D355" s="204">
        <f>40.819+38.484</f>
        <v>79.302999999999997</v>
      </c>
      <c r="E355" s="52">
        <f t="shared" ref="E355:E357" si="33">SUM(B355:D355)</f>
        <v>159.24</v>
      </c>
    </row>
    <row r="356" spans="1:5">
      <c r="A356" s="48">
        <v>45293</v>
      </c>
      <c r="B356" s="204">
        <f>39.869+34.812</f>
        <v>74.680999999999997</v>
      </c>
      <c r="C356" s="204"/>
      <c r="D356" s="204">
        <f>38.071+36.837</f>
        <v>74.908000000000001</v>
      </c>
      <c r="E356" s="52">
        <f t="shared" si="33"/>
        <v>149.589</v>
      </c>
    </row>
    <row r="357" spans="1:5">
      <c r="A357" s="48">
        <v>45295</v>
      </c>
      <c r="B357" s="204"/>
      <c r="C357" s="204">
        <f>70.184+53.342</f>
        <v>123.526</v>
      </c>
      <c r="D357" s="204">
        <v>6.2629999999999999</v>
      </c>
      <c r="E357" s="52">
        <f t="shared" si="33"/>
        <v>129.78899999999999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O261"/>
  <sheetViews>
    <sheetView workbookViewId="0">
      <pane xSplit="1" ySplit="2" topLeftCell="B63" activePane="bottomRight" state="frozen"/>
      <selection pane="topRight" activeCell="B1" sqref="B1"/>
      <selection pane="bottomLeft" activeCell="A3" sqref="A3"/>
      <selection pane="bottomRight" activeCell="K79" sqref="K79"/>
    </sheetView>
  </sheetViews>
  <sheetFormatPr defaultRowHeight="14.4"/>
  <cols>
    <col min="1" max="1" width="15.6640625" customWidth="1"/>
    <col min="2" max="2" width="6.88671875" style="11" bestFit="1" customWidth="1"/>
    <col min="3" max="3" width="5.44140625" bestFit="1" customWidth="1"/>
    <col min="4" max="4" width="7.88671875" bestFit="1" customWidth="1"/>
    <col min="5" max="5" width="6.88671875" bestFit="1" customWidth="1"/>
    <col min="6" max="6" width="8.5546875" style="7" customWidth="1"/>
    <col min="7" max="7" width="8.44140625" bestFit="1" customWidth="1"/>
    <col min="8" max="8" width="12.33203125" customWidth="1"/>
    <col min="9" max="9" width="4.5546875" customWidth="1"/>
    <col min="10" max="10" width="13" customWidth="1"/>
    <col min="11" max="11" width="9.5546875" style="11" bestFit="1" customWidth="1"/>
    <col min="12" max="12" width="17.88671875" bestFit="1" customWidth="1"/>
    <col min="13" max="13" width="22" customWidth="1"/>
    <col min="14" max="14" width="39.33203125" customWidth="1"/>
    <col min="15" max="15" width="7" customWidth="1"/>
  </cols>
  <sheetData>
    <row r="2" spans="1:15">
      <c r="A2" s="159" t="s">
        <v>218</v>
      </c>
      <c r="B2" s="160" t="s">
        <v>1266</v>
      </c>
      <c r="C2" s="159" t="s">
        <v>25</v>
      </c>
      <c r="D2" s="159" t="s">
        <v>26</v>
      </c>
      <c r="E2" s="159" t="s">
        <v>1075</v>
      </c>
      <c r="F2" s="161" t="s">
        <v>11</v>
      </c>
      <c r="G2" s="159" t="s">
        <v>29</v>
      </c>
      <c r="H2" s="159" t="s">
        <v>30</v>
      </c>
      <c r="I2" s="159" t="s">
        <v>31</v>
      </c>
      <c r="J2" s="159" t="s">
        <v>32</v>
      </c>
      <c r="K2" s="160" t="s">
        <v>33</v>
      </c>
      <c r="L2" s="159" t="s">
        <v>959</v>
      </c>
      <c r="M2" s="159" t="s">
        <v>511</v>
      </c>
      <c r="N2" s="159" t="s">
        <v>1072</v>
      </c>
    </row>
    <row r="3" spans="1:15">
      <c r="A3" s="112"/>
      <c r="B3" s="118"/>
      <c r="C3" s="112"/>
      <c r="D3" s="112"/>
      <c r="E3" s="112"/>
      <c r="F3" s="113"/>
      <c r="G3" s="112"/>
      <c r="H3" s="112"/>
      <c r="I3" s="112"/>
      <c r="J3" s="112"/>
      <c r="K3" s="118"/>
      <c r="L3" s="112"/>
      <c r="M3" s="112"/>
      <c r="N3" s="112"/>
    </row>
    <row r="4" spans="1:15" s="65" customFormat="1">
      <c r="A4" s="167"/>
      <c r="B4" s="118"/>
      <c r="C4" s="112"/>
      <c r="D4" s="113"/>
      <c r="E4" s="112"/>
      <c r="F4" s="113"/>
      <c r="G4" s="112"/>
      <c r="H4" s="112"/>
      <c r="I4" s="112"/>
      <c r="J4" s="112"/>
      <c r="K4" s="165"/>
      <c r="L4" s="112"/>
      <c r="M4" s="112"/>
      <c r="N4" s="112"/>
    </row>
    <row r="5" spans="1:15" s="130" customFormat="1">
      <c r="A5" s="168"/>
      <c r="B5" s="118">
        <v>3</v>
      </c>
      <c r="C5" s="112"/>
      <c r="D5" s="113"/>
      <c r="E5" s="112"/>
      <c r="F5" s="113"/>
      <c r="G5" s="112"/>
      <c r="H5" s="166"/>
      <c r="I5" s="114"/>
      <c r="J5" s="178"/>
      <c r="K5" s="164"/>
      <c r="L5" s="114"/>
      <c r="M5" s="114"/>
      <c r="N5" s="119"/>
    </row>
    <row r="6" spans="1:15" s="142" customFormat="1">
      <c r="A6" s="248" t="s">
        <v>1532</v>
      </c>
      <c r="B6" s="118">
        <v>3</v>
      </c>
      <c r="C6" s="112"/>
      <c r="D6" s="113"/>
      <c r="E6" s="112"/>
      <c r="F6" s="113"/>
      <c r="G6" s="114"/>
      <c r="H6" s="114"/>
      <c r="I6" s="112"/>
      <c r="J6" s="149"/>
      <c r="K6" s="200"/>
      <c r="L6" s="114"/>
      <c r="M6" s="114"/>
      <c r="N6" s="114"/>
      <c r="O6" s="122" t="s">
        <v>334</v>
      </c>
    </row>
    <row r="7" spans="1:15" s="21" customFormat="1">
      <c r="A7" s="248"/>
      <c r="B7" s="118">
        <v>3</v>
      </c>
      <c r="C7" s="112">
        <v>1358</v>
      </c>
      <c r="D7" s="113">
        <v>45275</v>
      </c>
      <c r="E7" s="112" t="s">
        <v>333</v>
      </c>
      <c r="F7" s="113">
        <v>45306</v>
      </c>
      <c r="G7" s="112" t="s">
        <v>43</v>
      </c>
      <c r="H7" s="123" t="s">
        <v>1028</v>
      </c>
      <c r="I7" s="114" t="s">
        <v>2</v>
      </c>
      <c r="J7" s="174" t="s">
        <v>449</v>
      </c>
      <c r="K7" s="163">
        <v>100</v>
      </c>
      <c r="L7" s="112" t="s">
        <v>411</v>
      </c>
      <c r="M7" s="112" t="s">
        <v>961</v>
      </c>
      <c r="N7" s="123"/>
      <c r="O7" s="122" t="s">
        <v>334</v>
      </c>
    </row>
    <row r="8" spans="1:15" s="21" customFormat="1">
      <c r="A8" s="248"/>
      <c r="B8" s="118">
        <v>3</v>
      </c>
      <c r="C8" s="112">
        <v>1452</v>
      </c>
      <c r="D8" s="113">
        <v>45294</v>
      </c>
      <c r="E8" s="112" t="s">
        <v>225</v>
      </c>
      <c r="F8" s="113">
        <v>45306</v>
      </c>
      <c r="G8" s="112" t="s">
        <v>43</v>
      </c>
      <c r="H8" s="123" t="s">
        <v>94</v>
      </c>
      <c r="I8" s="112" t="s">
        <v>2</v>
      </c>
      <c r="J8" s="149" t="s">
        <v>518</v>
      </c>
      <c r="K8" s="198">
        <v>88.256084999999999</v>
      </c>
      <c r="L8" s="51" t="s">
        <v>341</v>
      </c>
      <c r="M8" s="112" t="s">
        <v>961</v>
      </c>
      <c r="N8" s="112"/>
      <c r="O8" s="122" t="s">
        <v>334</v>
      </c>
    </row>
    <row r="9" spans="1:15" s="21" customFormat="1">
      <c r="A9" s="248"/>
      <c r="B9" s="118">
        <v>3</v>
      </c>
      <c r="C9" s="112">
        <v>1452</v>
      </c>
      <c r="D9" s="113">
        <v>45294</v>
      </c>
      <c r="E9" s="112" t="s">
        <v>225</v>
      </c>
      <c r="F9" s="113">
        <v>45306</v>
      </c>
      <c r="G9" s="112" t="s">
        <v>43</v>
      </c>
      <c r="H9" s="123" t="s">
        <v>94</v>
      </c>
      <c r="I9" s="112" t="s">
        <v>2</v>
      </c>
      <c r="J9" s="149" t="s">
        <v>517</v>
      </c>
      <c r="K9" s="198">
        <v>1.125</v>
      </c>
      <c r="L9" s="51" t="s">
        <v>341</v>
      </c>
      <c r="M9" s="112" t="s">
        <v>961</v>
      </c>
      <c r="N9" s="112"/>
      <c r="O9" s="122" t="s">
        <v>334</v>
      </c>
    </row>
    <row r="10" spans="1:15" s="21" customFormat="1">
      <c r="A10" s="248"/>
      <c r="B10" s="118">
        <v>3</v>
      </c>
      <c r="C10" s="112">
        <v>1452</v>
      </c>
      <c r="D10" s="113">
        <v>45294</v>
      </c>
      <c r="E10" s="112" t="s">
        <v>225</v>
      </c>
      <c r="F10" s="113">
        <v>45306</v>
      </c>
      <c r="G10" s="112" t="s">
        <v>43</v>
      </c>
      <c r="H10" s="123" t="s">
        <v>94</v>
      </c>
      <c r="I10" s="112" t="s">
        <v>2</v>
      </c>
      <c r="J10" s="149" t="s">
        <v>519</v>
      </c>
      <c r="K10" s="198">
        <v>12.558</v>
      </c>
      <c r="L10" s="51" t="s">
        <v>341</v>
      </c>
      <c r="M10" s="112" t="s">
        <v>961</v>
      </c>
      <c r="N10" s="112"/>
      <c r="O10" s="122" t="s">
        <v>334</v>
      </c>
    </row>
    <row r="11" spans="1:15">
      <c r="A11" s="248"/>
      <c r="B11" s="118">
        <v>3</v>
      </c>
      <c r="C11" s="112"/>
      <c r="D11" s="113"/>
      <c r="E11" s="112"/>
      <c r="F11" s="113"/>
      <c r="G11" s="112"/>
      <c r="H11" s="162"/>
      <c r="I11" s="114"/>
      <c r="J11" s="175"/>
      <c r="K11" s="163"/>
      <c r="L11" s="112"/>
      <c r="M11" s="112"/>
      <c r="N11" s="123"/>
      <c r="O11" s="122" t="s">
        <v>334</v>
      </c>
    </row>
    <row r="12" spans="1:15" s="130" customFormat="1">
      <c r="A12" s="248"/>
      <c r="B12" s="118">
        <v>3</v>
      </c>
      <c r="C12" s="112"/>
      <c r="D12" s="113"/>
      <c r="E12" s="112"/>
      <c r="F12" s="113"/>
      <c r="G12" s="112"/>
      <c r="H12" s="162"/>
      <c r="I12" s="112"/>
      <c r="J12" s="114"/>
      <c r="K12" s="164"/>
      <c r="L12" s="114"/>
      <c r="M12" s="114"/>
      <c r="N12" s="114"/>
      <c r="O12" s="122"/>
    </row>
    <row r="13" spans="1:15">
      <c r="A13" s="112"/>
      <c r="B13" s="118"/>
      <c r="C13" s="112"/>
      <c r="D13" s="113"/>
      <c r="E13" s="112"/>
      <c r="F13" s="113"/>
      <c r="G13" s="112"/>
      <c r="H13" s="112"/>
      <c r="I13" s="112"/>
      <c r="J13" s="112"/>
      <c r="K13" s="165">
        <f>SUM(K5:K12)</f>
        <v>201.93908499999998</v>
      </c>
      <c r="L13" s="112"/>
      <c r="M13" s="112"/>
      <c r="N13" s="112"/>
    </row>
    <row r="14" spans="1:15">
      <c r="A14" s="112"/>
      <c r="B14" s="118"/>
      <c r="C14" s="112"/>
      <c r="D14" s="113"/>
      <c r="E14" s="112"/>
      <c r="F14" s="113"/>
      <c r="G14" s="112"/>
      <c r="H14" s="112"/>
      <c r="I14" s="112"/>
      <c r="J14" s="112"/>
      <c r="K14" s="115"/>
      <c r="L14" s="112"/>
      <c r="M14" s="112"/>
      <c r="N14" s="112"/>
    </row>
    <row r="15" spans="1:15">
      <c r="A15" s="241" t="s">
        <v>1516</v>
      </c>
      <c r="B15" s="118">
        <v>4</v>
      </c>
      <c r="C15" s="112">
        <v>1228</v>
      </c>
      <c r="D15" s="113">
        <v>45265</v>
      </c>
      <c r="E15" s="112" t="s">
        <v>9</v>
      </c>
      <c r="F15" s="113">
        <v>45291</v>
      </c>
      <c r="G15" s="112" t="s">
        <v>840</v>
      </c>
      <c r="H15" s="162" t="s">
        <v>1394</v>
      </c>
      <c r="I15" s="112" t="s">
        <v>2</v>
      </c>
      <c r="J15" s="112" t="s">
        <v>435</v>
      </c>
      <c r="K15" s="163">
        <v>3.1608060000000004</v>
      </c>
      <c r="L15" s="112" t="s">
        <v>841</v>
      </c>
      <c r="M15" s="112" t="s">
        <v>924</v>
      </c>
      <c r="N15" s="112"/>
      <c r="O15" s="122" t="s">
        <v>334</v>
      </c>
    </row>
    <row r="16" spans="1:15">
      <c r="A16" s="241"/>
      <c r="B16" s="118">
        <v>4</v>
      </c>
      <c r="C16" s="112">
        <v>1229</v>
      </c>
      <c r="D16" s="113">
        <v>45265</v>
      </c>
      <c r="E16" s="112" t="s">
        <v>9</v>
      </c>
      <c r="F16" s="113">
        <v>45298</v>
      </c>
      <c r="G16" s="112" t="s">
        <v>840</v>
      </c>
      <c r="H16" s="162" t="s">
        <v>1394</v>
      </c>
      <c r="I16" s="112" t="s">
        <v>2</v>
      </c>
      <c r="J16" s="112" t="s">
        <v>435</v>
      </c>
      <c r="K16" s="163">
        <v>40.673884402519178</v>
      </c>
      <c r="L16" s="112" t="s">
        <v>841</v>
      </c>
      <c r="M16" s="112" t="s">
        <v>924</v>
      </c>
      <c r="N16" s="112"/>
      <c r="O16" s="122" t="s">
        <v>334</v>
      </c>
    </row>
    <row r="17" spans="1:15">
      <c r="A17" s="241"/>
      <c r="B17" s="118">
        <v>4</v>
      </c>
      <c r="C17" s="112">
        <v>1228</v>
      </c>
      <c r="D17" s="113">
        <v>45265</v>
      </c>
      <c r="E17" s="112" t="s">
        <v>9</v>
      </c>
      <c r="F17" s="113">
        <v>45291</v>
      </c>
      <c r="G17" s="112" t="s">
        <v>840</v>
      </c>
      <c r="H17" s="162" t="s">
        <v>1394</v>
      </c>
      <c r="I17" s="112" t="s">
        <v>2</v>
      </c>
      <c r="J17" s="112" t="s">
        <v>432</v>
      </c>
      <c r="K17" s="163">
        <v>5.2135999999999996</v>
      </c>
      <c r="L17" s="112" t="s">
        <v>841</v>
      </c>
      <c r="M17" s="112" t="s">
        <v>924</v>
      </c>
      <c r="N17" s="112"/>
      <c r="O17" s="122" t="s">
        <v>334</v>
      </c>
    </row>
    <row r="18" spans="1:15">
      <c r="A18" s="241"/>
      <c r="B18" s="118">
        <v>4</v>
      </c>
      <c r="C18" s="112">
        <v>1229</v>
      </c>
      <c r="D18" s="113">
        <v>45265</v>
      </c>
      <c r="E18" s="112" t="s">
        <v>9</v>
      </c>
      <c r="F18" s="113">
        <v>45298</v>
      </c>
      <c r="G18" s="112" t="s">
        <v>840</v>
      </c>
      <c r="H18" s="162" t="s">
        <v>1394</v>
      </c>
      <c r="I18" s="112" t="s">
        <v>2</v>
      </c>
      <c r="J18" s="112" t="s">
        <v>432</v>
      </c>
      <c r="K18" s="163">
        <v>24.229520000000001</v>
      </c>
      <c r="L18" s="112" t="s">
        <v>841</v>
      </c>
      <c r="M18" s="112" t="s">
        <v>924</v>
      </c>
      <c r="N18" s="112"/>
      <c r="O18" s="122" t="s">
        <v>334</v>
      </c>
    </row>
    <row r="19" spans="1:15">
      <c r="A19" s="241"/>
      <c r="B19" s="118">
        <v>4</v>
      </c>
      <c r="C19" s="112">
        <v>1340</v>
      </c>
      <c r="D19" s="113">
        <v>45275</v>
      </c>
      <c r="E19" s="112" t="s">
        <v>9</v>
      </c>
      <c r="F19" s="113">
        <v>45298</v>
      </c>
      <c r="G19" s="112" t="s">
        <v>43</v>
      </c>
      <c r="H19" s="162" t="s">
        <v>44</v>
      </c>
      <c r="I19" s="112" t="s">
        <v>2</v>
      </c>
      <c r="J19" s="112" t="s">
        <v>472</v>
      </c>
      <c r="K19" s="163">
        <v>1.3963399999999999</v>
      </c>
      <c r="L19" s="112" t="s">
        <v>451</v>
      </c>
      <c r="M19" s="112" t="s">
        <v>924</v>
      </c>
      <c r="N19" s="112"/>
      <c r="O19" s="122" t="s">
        <v>334</v>
      </c>
    </row>
    <row r="20" spans="1:15">
      <c r="A20" s="241"/>
      <c r="B20" s="118">
        <v>4</v>
      </c>
      <c r="C20" s="112">
        <v>1340</v>
      </c>
      <c r="D20" s="113">
        <v>45275</v>
      </c>
      <c r="E20" s="112" t="s">
        <v>9</v>
      </c>
      <c r="F20" s="113">
        <v>45298</v>
      </c>
      <c r="G20" s="112" t="s">
        <v>43</v>
      </c>
      <c r="H20" s="162" t="s">
        <v>44</v>
      </c>
      <c r="I20" s="112" t="s">
        <v>2</v>
      </c>
      <c r="J20" s="112" t="s">
        <v>473</v>
      </c>
      <c r="K20" s="163">
        <v>2.312506</v>
      </c>
      <c r="L20" s="112" t="s">
        <v>451</v>
      </c>
      <c r="M20" s="112" t="s">
        <v>924</v>
      </c>
      <c r="N20" s="112"/>
      <c r="O20" s="122" t="s">
        <v>334</v>
      </c>
    </row>
    <row r="21" spans="1:15" s="81" customFormat="1">
      <c r="A21" s="241"/>
      <c r="B21" s="118">
        <v>4</v>
      </c>
      <c r="C21" s="120">
        <v>1334</v>
      </c>
      <c r="D21" s="170">
        <v>45275</v>
      </c>
      <c r="E21" s="120" t="s">
        <v>333</v>
      </c>
      <c r="F21" s="170">
        <v>45298</v>
      </c>
      <c r="G21" s="120" t="s">
        <v>43</v>
      </c>
      <c r="H21" s="166" t="s">
        <v>60</v>
      </c>
      <c r="I21" s="120" t="s">
        <v>2</v>
      </c>
      <c r="J21" s="120" t="s">
        <v>472</v>
      </c>
      <c r="K21" s="158">
        <v>0.13950000000000001</v>
      </c>
      <c r="L21" s="120" t="s">
        <v>1348</v>
      </c>
      <c r="M21" s="123"/>
      <c r="N21" s="120" t="s">
        <v>1473</v>
      </c>
      <c r="O21" s="122" t="s">
        <v>334</v>
      </c>
    </row>
    <row r="22" spans="1:15" s="81" customFormat="1">
      <c r="A22" s="241"/>
      <c r="B22" s="118">
        <v>4</v>
      </c>
      <c r="C22" s="120">
        <v>1334</v>
      </c>
      <c r="D22" s="170">
        <v>45275</v>
      </c>
      <c r="E22" s="120" t="s">
        <v>333</v>
      </c>
      <c r="F22" s="170">
        <v>45298</v>
      </c>
      <c r="G22" s="120" t="s">
        <v>43</v>
      </c>
      <c r="H22" s="166" t="s">
        <v>60</v>
      </c>
      <c r="I22" s="120" t="s">
        <v>2</v>
      </c>
      <c r="J22" s="120" t="s">
        <v>473</v>
      </c>
      <c r="K22" s="158">
        <v>0.47949999999999998</v>
      </c>
      <c r="L22" s="120" t="s">
        <v>1348</v>
      </c>
      <c r="M22" s="123"/>
      <c r="N22" s="120" t="s">
        <v>1473</v>
      </c>
      <c r="O22" s="122" t="s">
        <v>334</v>
      </c>
    </row>
    <row r="23" spans="1:15" s="142" customFormat="1">
      <c r="A23" s="241"/>
      <c r="B23" s="118">
        <v>4</v>
      </c>
      <c r="C23" s="112">
        <v>1399</v>
      </c>
      <c r="D23" s="113">
        <v>45288</v>
      </c>
      <c r="E23" s="112" t="s">
        <v>9</v>
      </c>
      <c r="F23" s="113">
        <v>45329</v>
      </c>
      <c r="G23" s="114" t="s">
        <v>43</v>
      </c>
      <c r="H23" s="119" t="s">
        <v>1142</v>
      </c>
      <c r="I23" s="114" t="s">
        <v>3</v>
      </c>
      <c r="J23" s="149" t="s">
        <v>472</v>
      </c>
      <c r="K23" s="141">
        <v>4.7024999999999997E-2</v>
      </c>
      <c r="L23" s="139" t="s">
        <v>23</v>
      </c>
      <c r="M23" s="112"/>
      <c r="N23" s="112"/>
      <c r="O23" s="122" t="s">
        <v>334</v>
      </c>
    </row>
    <row r="24" spans="1:15" s="142" customFormat="1">
      <c r="A24" s="241"/>
      <c r="B24" s="118">
        <v>4</v>
      </c>
      <c r="C24" s="112">
        <v>1395</v>
      </c>
      <c r="D24" s="113">
        <v>45288</v>
      </c>
      <c r="E24" s="112" t="s">
        <v>333</v>
      </c>
      <c r="F24" s="113">
        <v>45329</v>
      </c>
      <c r="G24" s="112" t="s">
        <v>43</v>
      </c>
      <c r="H24" s="116" t="s">
        <v>51</v>
      </c>
      <c r="I24" s="114" t="s">
        <v>3</v>
      </c>
      <c r="J24" s="149" t="s">
        <v>473</v>
      </c>
      <c r="K24" s="141">
        <v>0.97920000000000007</v>
      </c>
      <c r="L24" s="112" t="s">
        <v>1485</v>
      </c>
      <c r="M24" s="112" t="s">
        <v>1459</v>
      </c>
      <c r="N24" s="112"/>
      <c r="O24" s="122" t="s">
        <v>334</v>
      </c>
    </row>
    <row r="25" spans="1:15">
      <c r="A25" s="241"/>
      <c r="B25" s="118">
        <v>4</v>
      </c>
      <c r="C25" s="112"/>
      <c r="D25" s="113"/>
      <c r="E25" s="112"/>
      <c r="F25" s="113"/>
      <c r="G25" s="112"/>
      <c r="H25" s="112"/>
      <c r="I25" s="112"/>
      <c r="J25" s="112"/>
      <c r="K25" s="115"/>
      <c r="L25" s="112"/>
      <c r="M25" s="112"/>
      <c r="N25" s="112"/>
    </row>
    <row r="26" spans="1:15">
      <c r="A26" s="241"/>
      <c r="B26" s="118">
        <v>4</v>
      </c>
      <c r="C26" s="112">
        <v>1338</v>
      </c>
      <c r="D26" s="113">
        <v>45275</v>
      </c>
      <c r="E26" s="112" t="s">
        <v>9</v>
      </c>
      <c r="F26" s="113">
        <v>45298</v>
      </c>
      <c r="G26" s="112" t="s">
        <v>43</v>
      </c>
      <c r="H26" s="166" t="s">
        <v>1142</v>
      </c>
      <c r="I26" s="112" t="s">
        <v>3</v>
      </c>
      <c r="J26" s="112" t="s">
        <v>472</v>
      </c>
      <c r="K26" s="163">
        <v>0.1026</v>
      </c>
      <c r="L26" s="112" t="s">
        <v>23</v>
      </c>
      <c r="M26" s="112" t="s">
        <v>924</v>
      </c>
      <c r="N26" s="112"/>
      <c r="O26" s="122" t="s">
        <v>334</v>
      </c>
    </row>
    <row r="27" spans="1:15" s="142" customFormat="1">
      <c r="A27" s="241"/>
      <c r="B27" s="118">
        <v>4</v>
      </c>
      <c r="C27" s="112">
        <v>1229</v>
      </c>
      <c r="D27" s="113">
        <v>45265</v>
      </c>
      <c r="E27" s="112" t="s">
        <v>9</v>
      </c>
      <c r="F27" s="113">
        <v>45298</v>
      </c>
      <c r="G27" s="112" t="s">
        <v>840</v>
      </c>
      <c r="H27" s="162" t="s">
        <v>1395</v>
      </c>
      <c r="I27" s="112" t="s">
        <v>3</v>
      </c>
      <c r="J27" s="112" t="s">
        <v>472</v>
      </c>
      <c r="K27" s="163">
        <v>3.51</v>
      </c>
      <c r="L27" s="112" t="s">
        <v>841</v>
      </c>
      <c r="M27" s="112" t="s">
        <v>924</v>
      </c>
      <c r="N27" s="112"/>
      <c r="O27" s="122"/>
    </row>
    <row r="28" spans="1:15">
      <c r="A28" s="241"/>
      <c r="B28" s="118">
        <v>4</v>
      </c>
      <c r="C28" s="112">
        <v>1340</v>
      </c>
      <c r="D28" s="113">
        <v>45275</v>
      </c>
      <c r="E28" s="112" t="s">
        <v>9</v>
      </c>
      <c r="F28" s="113">
        <v>45298</v>
      </c>
      <c r="G28" s="112" t="s">
        <v>43</v>
      </c>
      <c r="H28" s="162" t="s">
        <v>1395</v>
      </c>
      <c r="I28" s="112" t="s">
        <v>3</v>
      </c>
      <c r="J28" s="112" t="s">
        <v>472</v>
      </c>
      <c r="K28" s="163">
        <v>2.2629999999999999</v>
      </c>
      <c r="L28" s="112" t="s">
        <v>451</v>
      </c>
      <c r="M28" s="112" t="s">
        <v>924</v>
      </c>
      <c r="N28" s="112"/>
      <c r="O28" s="122" t="s">
        <v>334</v>
      </c>
    </row>
    <row r="29" spans="1:15">
      <c r="A29" s="241"/>
      <c r="B29" s="118">
        <v>4</v>
      </c>
      <c r="C29" s="112">
        <v>1336</v>
      </c>
      <c r="D29" s="113">
        <v>45275</v>
      </c>
      <c r="E29" s="112" t="s">
        <v>9</v>
      </c>
      <c r="F29" s="113">
        <v>45298</v>
      </c>
      <c r="G29" s="112" t="s">
        <v>43</v>
      </c>
      <c r="H29" s="162" t="s">
        <v>1395</v>
      </c>
      <c r="I29" s="112" t="s">
        <v>3</v>
      </c>
      <c r="J29" s="112" t="s">
        <v>432</v>
      </c>
      <c r="K29" s="163">
        <v>0.54879999999999995</v>
      </c>
      <c r="L29" s="112" t="s">
        <v>1432</v>
      </c>
      <c r="M29" s="112" t="s">
        <v>924</v>
      </c>
      <c r="N29" s="112"/>
      <c r="O29" s="122" t="s">
        <v>334</v>
      </c>
    </row>
    <row r="30" spans="1:15">
      <c r="A30" s="241"/>
      <c r="B30" s="118">
        <v>4</v>
      </c>
      <c r="C30" s="112">
        <v>1338</v>
      </c>
      <c r="D30" s="113">
        <v>45275</v>
      </c>
      <c r="E30" s="112" t="s">
        <v>9</v>
      </c>
      <c r="F30" s="113">
        <v>45298</v>
      </c>
      <c r="G30" s="112" t="s">
        <v>43</v>
      </c>
      <c r="H30" s="166" t="s">
        <v>1142</v>
      </c>
      <c r="I30" s="112" t="s">
        <v>3</v>
      </c>
      <c r="J30" s="112" t="s">
        <v>473</v>
      </c>
      <c r="K30" s="163">
        <v>0.16319999999999998</v>
      </c>
      <c r="L30" s="112" t="s">
        <v>23</v>
      </c>
      <c r="M30" s="112"/>
      <c r="N30" s="112"/>
      <c r="O30" s="122"/>
    </row>
    <row r="31" spans="1:15">
      <c r="A31" s="241"/>
      <c r="B31" s="118">
        <v>4</v>
      </c>
      <c r="C31" s="112">
        <v>1340</v>
      </c>
      <c r="D31" s="113">
        <v>45275</v>
      </c>
      <c r="E31" s="112" t="s">
        <v>9</v>
      </c>
      <c r="F31" s="113">
        <v>45298</v>
      </c>
      <c r="G31" s="112" t="s">
        <v>43</v>
      </c>
      <c r="H31" s="162" t="s">
        <v>1395</v>
      </c>
      <c r="I31" s="112" t="s">
        <v>3</v>
      </c>
      <c r="J31" s="112" t="s">
        <v>473</v>
      </c>
      <c r="K31" s="163">
        <v>0.71344000000000007</v>
      </c>
      <c r="L31" s="112" t="s">
        <v>451</v>
      </c>
      <c r="M31" s="112" t="s">
        <v>924</v>
      </c>
      <c r="N31" s="112"/>
      <c r="O31" s="122" t="s">
        <v>334</v>
      </c>
    </row>
    <row r="32" spans="1:15">
      <c r="A32" s="241"/>
      <c r="B32" s="118">
        <v>4</v>
      </c>
      <c r="C32" s="112">
        <v>1335</v>
      </c>
      <c r="D32" s="113">
        <v>45275</v>
      </c>
      <c r="E32" s="112" t="s">
        <v>9</v>
      </c>
      <c r="F32" s="113">
        <v>45298</v>
      </c>
      <c r="G32" s="112" t="s">
        <v>43</v>
      </c>
      <c r="H32" s="162" t="s">
        <v>1395</v>
      </c>
      <c r="I32" s="112" t="s">
        <v>3</v>
      </c>
      <c r="J32" s="112" t="s">
        <v>671</v>
      </c>
      <c r="K32" s="163">
        <v>58.216999999999999</v>
      </c>
      <c r="L32" s="112" t="s">
        <v>826</v>
      </c>
      <c r="M32" s="112" t="s">
        <v>924</v>
      </c>
      <c r="N32" s="112"/>
      <c r="O32" s="122" t="s">
        <v>334</v>
      </c>
    </row>
    <row r="33" spans="1:15">
      <c r="A33" s="241"/>
      <c r="B33" s="118">
        <v>4</v>
      </c>
      <c r="C33" s="112">
        <v>1336</v>
      </c>
      <c r="D33" s="113">
        <v>45275</v>
      </c>
      <c r="E33" s="112" t="s">
        <v>9</v>
      </c>
      <c r="F33" s="113">
        <v>45298</v>
      </c>
      <c r="G33" s="112" t="s">
        <v>43</v>
      </c>
      <c r="H33" s="162" t="s">
        <v>1395</v>
      </c>
      <c r="I33" s="112" t="s">
        <v>3</v>
      </c>
      <c r="J33" s="112" t="s">
        <v>671</v>
      </c>
      <c r="K33" s="163">
        <v>22.594999999999999</v>
      </c>
      <c r="L33" s="112" t="s">
        <v>826</v>
      </c>
      <c r="M33" s="112" t="s">
        <v>924</v>
      </c>
      <c r="N33" s="112"/>
      <c r="O33" s="122" t="s">
        <v>334</v>
      </c>
    </row>
    <row r="34" spans="1:15" s="142" customFormat="1">
      <c r="A34" s="241"/>
      <c r="B34" s="118">
        <v>4</v>
      </c>
      <c r="C34" s="112">
        <v>1335</v>
      </c>
      <c r="D34" s="113">
        <v>45275</v>
      </c>
      <c r="E34" s="112" t="s">
        <v>9</v>
      </c>
      <c r="F34" s="113">
        <v>45298</v>
      </c>
      <c r="G34" s="112" t="s">
        <v>43</v>
      </c>
      <c r="H34" s="162" t="s">
        <v>1395</v>
      </c>
      <c r="I34" s="112" t="s">
        <v>3</v>
      </c>
      <c r="J34" s="112" t="s">
        <v>432</v>
      </c>
      <c r="K34" s="163">
        <v>4.1479999999999996E-2</v>
      </c>
      <c r="L34" s="112" t="s">
        <v>826</v>
      </c>
      <c r="M34" s="112" t="s">
        <v>924</v>
      </c>
      <c r="N34" s="112" t="s">
        <v>1430</v>
      </c>
      <c r="O34" s="122" t="s">
        <v>334</v>
      </c>
    </row>
    <row r="35" spans="1:15" s="142" customFormat="1">
      <c r="A35" s="241"/>
      <c r="B35" s="118">
        <v>4</v>
      </c>
      <c r="C35" s="112">
        <v>1336</v>
      </c>
      <c r="D35" s="113">
        <v>45275</v>
      </c>
      <c r="E35" s="112" t="s">
        <v>9</v>
      </c>
      <c r="F35" s="113">
        <v>45298</v>
      </c>
      <c r="G35" s="112" t="s">
        <v>43</v>
      </c>
      <c r="H35" s="162" t="s">
        <v>1395</v>
      </c>
      <c r="I35" s="112" t="s">
        <v>3</v>
      </c>
      <c r="J35" s="112" t="s">
        <v>432</v>
      </c>
      <c r="K35" s="163">
        <v>8.2959999999999992E-2</v>
      </c>
      <c r="L35" s="112" t="s">
        <v>826</v>
      </c>
      <c r="M35" s="112" t="s">
        <v>924</v>
      </c>
      <c r="N35" s="112" t="s">
        <v>1430</v>
      </c>
      <c r="O35" s="122" t="s">
        <v>334</v>
      </c>
    </row>
    <row r="36" spans="1:15" s="102" customFormat="1">
      <c r="A36" s="241"/>
      <c r="B36" s="118">
        <v>4</v>
      </c>
      <c r="C36" s="112">
        <v>1401</v>
      </c>
      <c r="D36" s="113">
        <v>45288</v>
      </c>
      <c r="E36" s="112" t="s">
        <v>9</v>
      </c>
      <c r="F36" s="113">
        <v>45314</v>
      </c>
      <c r="G36" s="114" t="s">
        <v>43</v>
      </c>
      <c r="H36" s="114" t="s">
        <v>51</v>
      </c>
      <c r="I36" s="112" t="s">
        <v>3</v>
      </c>
      <c r="J36" s="120" t="s">
        <v>432</v>
      </c>
      <c r="K36" s="141">
        <v>6.8000000000000005E-2</v>
      </c>
      <c r="L36" s="112" t="s">
        <v>826</v>
      </c>
      <c r="M36" s="112" t="s">
        <v>924</v>
      </c>
      <c r="N36" s="112"/>
      <c r="O36" s="122" t="s">
        <v>334</v>
      </c>
    </row>
    <row r="37" spans="1:15" s="102" customFormat="1">
      <c r="A37" s="241"/>
      <c r="B37" s="118">
        <v>4</v>
      </c>
      <c r="C37" s="112">
        <v>1402</v>
      </c>
      <c r="D37" s="113">
        <v>45288</v>
      </c>
      <c r="E37" s="112" t="s">
        <v>9</v>
      </c>
      <c r="F37" s="113">
        <v>45329</v>
      </c>
      <c r="G37" s="114" t="s">
        <v>43</v>
      </c>
      <c r="H37" s="114" t="s">
        <v>51</v>
      </c>
      <c r="I37" s="112" t="s">
        <v>3</v>
      </c>
      <c r="J37" s="120" t="s">
        <v>473</v>
      </c>
      <c r="K37" s="148">
        <v>2.5489999999999999</v>
      </c>
      <c r="L37" s="112" t="s">
        <v>826</v>
      </c>
      <c r="M37" s="112" t="s">
        <v>924</v>
      </c>
      <c r="N37" s="112"/>
      <c r="O37" s="122" t="s">
        <v>334</v>
      </c>
    </row>
    <row r="38" spans="1:15">
      <c r="A38" s="241"/>
      <c r="B38" s="118">
        <v>4</v>
      </c>
      <c r="C38" s="112">
        <v>1336</v>
      </c>
      <c r="D38" s="113">
        <v>45275</v>
      </c>
      <c r="E38" s="112" t="s">
        <v>9</v>
      </c>
      <c r="F38" s="113">
        <v>45298</v>
      </c>
      <c r="G38" s="112" t="s">
        <v>43</v>
      </c>
      <c r="H38" s="162" t="s">
        <v>1395</v>
      </c>
      <c r="I38" s="112" t="s">
        <v>3</v>
      </c>
      <c r="J38" s="112" t="s">
        <v>671</v>
      </c>
      <c r="K38" s="163">
        <v>2.16</v>
      </c>
      <c r="L38" s="112" t="s">
        <v>1432</v>
      </c>
      <c r="M38" s="112" t="s">
        <v>924</v>
      </c>
      <c r="N38" s="112"/>
      <c r="O38" s="122" t="s">
        <v>334</v>
      </c>
    </row>
    <row r="39" spans="1:15">
      <c r="A39" s="241"/>
      <c r="B39" s="118"/>
      <c r="C39" s="112"/>
      <c r="D39" s="113"/>
      <c r="E39" s="112"/>
      <c r="F39" s="113"/>
      <c r="G39" s="112"/>
      <c r="H39" s="112"/>
      <c r="I39" s="112"/>
      <c r="J39" s="112"/>
      <c r="K39" s="165">
        <f>SUM(K15:K38)</f>
        <v>171.64636140251923</v>
      </c>
      <c r="L39" s="112"/>
      <c r="M39" s="112"/>
      <c r="N39" s="112"/>
    </row>
    <row r="40" spans="1:15">
      <c r="A40" s="241"/>
      <c r="B40" s="118"/>
      <c r="C40" s="112"/>
      <c r="D40" s="113"/>
      <c r="E40" s="112"/>
      <c r="F40" s="113"/>
      <c r="G40" s="112"/>
      <c r="H40" s="112"/>
      <c r="I40" s="112"/>
      <c r="J40" s="112"/>
      <c r="K40" s="115"/>
      <c r="L40" s="112"/>
      <c r="M40" s="112"/>
      <c r="N40" s="112"/>
    </row>
    <row r="41" spans="1:15">
      <c r="A41" s="159"/>
      <c r="B41" s="160"/>
      <c r="C41" s="112"/>
      <c r="D41" s="113"/>
      <c r="E41" s="112"/>
      <c r="F41" s="113"/>
      <c r="G41" s="112"/>
      <c r="H41" s="112"/>
      <c r="I41" s="112"/>
      <c r="J41" s="112"/>
      <c r="K41" s="115"/>
      <c r="L41" s="112"/>
      <c r="M41" s="112"/>
      <c r="N41" s="112"/>
    </row>
    <row r="42" spans="1:15" s="102" customFormat="1">
      <c r="A42" s="241" t="s">
        <v>1517</v>
      </c>
      <c r="B42" s="118">
        <v>5</v>
      </c>
      <c r="C42" s="112">
        <v>1131</v>
      </c>
      <c r="D42" s="113">
        <v>45252</v>
      </c>
      <c r="E42" s="112" t="s">
        <v>333</v>
      </c>
      <c r="F42" s="113">
        <v>45267</v>
      </c>
      <c r="G42" s="112" t="s">
        <v>43</v>
      </c>
      <c r="H42" s="166" t="s">
        <v>1070</v>
      </c>
      <c r="I42" s="112" t="s">
        <v>2</v>
      </c>
      <c r="J42" s="112" t="s">
        <v>434</v>
      </c>
      <c r="K42" s="163">
        <v>2.8479199999999998</v>
      </c>
      <c r="L42" s="112" t="s">
        <v>85</v>
      </c>
      <c r="M42" s="112" t="s">
        <v>1402</v>
      </c>
      <c r="N42" s="112"/>
      <c r="O42" s="122" t="s">
        <v>334</v>
      </c>
    </row>
    <row r="43" spans="1:15">
      <c r="A43" s="241"/>
      <c r="B43" s="118">
        <v>5</v>
      </c>
      <c r="C43" s="112">
        <v>1137</v>
      </c>
      <c r="D43" s="113">
        <v>45252</v>
      </c>
      <c r="E43" s="112" t="s">
        <v>9</v>
      </c>
      <c r="F43" s="113">
        <v>45291</v>
      </c>
      <c r="G43" s="112" t="s">
        <v>43</v>
      </c>
      <c r="H43" s="166" t="s">
        <v>126</v>
      </c>
      <c r="I43" s="112" t="s">
        <v>2</v>
      </c>
      <c r="J43" s="112" t="s">
        <v>434</v>
      </c>
      <c r="K43" s="163">
        <v>4.3799999999999999E-2</v>
      </c>
      <c r="L43" s="112" t="s">
        <v>23</v>
      </c>
      <c r="M43" s="112" t="s">
        <v>1402</v>
      </c>
      <c r="N43" s="112"/>
      <c r="O43" s="122" t="s">
        <v>334</v>
      </c>
    </row>
    <row r="44" spans="1:15">
      <c r="A44" s="241"/>
      <c r="B44" s="118">
        <v>5</v>
      </c>
      <c r="C44" s="112">
        <v>1138</v>
      </c>
      <c r="D44" s="113">
        <v>45252</v>
      </c>
      <c r="E44" s="112" t="s">
        <v>1354</v>
      </c>
      <c r="F44" s="113">
        <v>45267</v>
      </c>
      <c r="G44" s="112" t="s">
        <v>43</v>
      </c>
      <c r="H44" s="166" t="s">
        <v>1070</v>
      </c>
      <c r="I44" s="112" t="s">
        <v>2</v>
      </c>
      <c r="J44" s="112" t="s">
        <v>434</v>
      </c>
      <c r="K44" s="163">
        <v>6.1105499999999999</v>
      </c>
      <c r="L44" s="112" t="s">
        <v>85</v>
      </c>
      <c r="M44" s="112" t="s">
        <v>1402</v>
      </c>
      <c r="N44" s="112"/>
      <c r="O44" s="122" t="s">
        <v>334</v>
      </c>
    </row>
    <row r="45" spans="1:15">
      <c r="A45" s="241"/>
      <c r="B45" s="118">
        <v>5</v>
      </c>
      <c r="C45" s="112">
        <v>1338</v>
      </c>
      <c r="D45" s="113">
        <v>45275</v>
      </c>
      <c r="E45" s="112" t="s">
        <v>9</v>
      </c>
      <c r="F45" s="113">
        <v>45298</v>
      </c>
      <c r="G45" s="112" t="s">
        <v>43</v>
      </c>
      <c r="H45" s="166" t="s">
        <v>126</v>
      </c>
      <c r="I45" s="112" t="s">
        <v>2</v>
      </c>
      <c r="J45" s="112" t="s">
        <v>235</v>
      </c>
      <c r="K45" s="163">
        <v>0.61319999999999997</v>
      </c>
      <c r="L45" s="112" t="s">
        <v>23</v>
      </c>
      <c r="M45" s="112" t="s">
        <v>1402</v>
      </c>
      <c r="N45" s="112" t="s">
        <v>1253</v>
      </c>
      <c r="O45" s="122" t="s">
        <v>334</v>
      </c>
    </row>
    <row r="46" spans="1:15">
      <c r="A46" s="241"/>
      <c r="B46" s="118">
        <v>5</v>
      </c>
      <c r="C46" s="112">
        <v>1334</v>
      </c>
      <c r="D46" s="113">
        <v>45275</v>
      </c>
      <c r="E46" s="112" t="s">
        <v>333</v>
      </c>
      <c r="F46" s="113">
        <v>45298</v>
      </c>
      <c r="G46" s="112" t="s">
        <v>43</v>
      </c>
      <c r="H46" s="166" t="s">
        <v>60</v>
      </c>
      <c r="I46" s="112" t="s">
        <v>2</v>
      </c>
      <c r="J46" s="112" t="s">
        <v>235</v>
      </c>
      <c r="K46" s="163">
        <v>0.5651799999999999</v>
      </c>
      <c r="L46" s="112" t="s">
        <v>1348</v>
      </c>
      <c r="M46" s="112" t="s">
        <v>1402</v>
      </c>
      <c r="N46" s="112" t="s">
        <v>634</v>
      </c>
      <c r="O46" s="122" t="s">
        <v>334</v>
      </c>
    </row>
    <row r="47" spans="1:15">
      <c r="A47" s="241"/>
      <c r="B47" s="118">
        <v>5</v>
      </c>
      <c r="C47" s="112">
        <v>1341</v>
      </c>
      <c r="D47" s="113">
        <v>45275</v>
      </c>
      <c r="E47" s="112" t="s">
        <v>1354</v>
      </c>
      <c r="F47" s="113">
        <v>45306</v>
      </c>
      <c r="G47" s="112" t="s">
        <v>43</v>
      </c>
      <c r="H47" s="162" t="s">
        <v>44</v>
      </c>
      <c r="I47" s="112" t="s">
        <v>2</v>
      </c>
      <c r="J47" s="112" t="s">
        <v>474</v>
      </c>
      <c r="K47" s="163">
        <v>7.0060349999999998</v>
      </c>
      <c r="L47" s="112" t="s">
        <v>466</v>
      </c>
      <c r="M47" s="112" t="s">
        <v>924</v>
      </c>
      <c r="N47" s="112"/>
      <c r="O47" s="122" t="s">
        <v>334</v>
      </c>
    </row>
    <row r="48" spans="1:15">
      <c r="A48" s="241"/>
      <c r="B48" s="118">
        <v>5</v>
      </c>
      <c r="C48" s="112">
        <v>1229</v>
      </c>
      <c r="D48" s="113">
        <v>45262</v>
      </c>
      <c r="E48" s="112" t="s">
        <v>9</v>
      </c>
      <c r="F48" s="113">
        <v>45306</v>
      </c>
      <c r="G48" s="112" t="s">
        <v>840</v>
      </c>
      <c r="H48" s="162" t="s">
        <v>44</v>
      </c>
      <c r="I48" s="112" t="s">
        <v>2</v>
      </c>
      <c r="J48" s="112" t="s">
        <v>474</v>
      </c>
      <c r="K48" s="163">
        <f>21.65</f>
        <v>21.65</v>
      </c>
      <c r="L48" s="112" t="s">
        <v>841</v>
      </c>
      <c r="M48" s="112" t="s">
        <v>924</v>
      </c>
      <c r="N48" s="112"/>
      <c r="O48" s="122" t="s">
        <v>334</v>
      </c>
    </row>
    <row r="49" spans="1:15">
      <c r="A49" s="241"/>
      <c r="B49" s="118">
        <v>5</v>
      </c>
      <c r="C49" s="112">
        <v>1229</v>
      </c>
      <c r="D49" s="113">
        <v>45262</v>
      </c>
      <c r="E49" s="112" t="s">
        <v>9</v>
      </c>
      <c r="F49" s="113">
        <v>45306</v>
      </c>
      <c r="G49" s="112" t="s">
        <v>840</v>
      </c>
      <c r="H49" s="162" t="s">
        <v>44</v>
      </c>
      <c r="I49" s="112" t="s">
        <v>2</v>
      </c>
      <c r="J49" s="112" t="s">
        <v>434</v>
      </c>
      <c r="K49" s="163">
        <f>46.13+1.97</f>
        <v>48.1</v>
      </c>
      <c r="L49" s="112" t="s">
        <v>841</v>
      </c>
      <c r="M49" s="112" t="s">
        <v>924</v>
      </c>
      <c r="N49" s="112"/>
      <c r="O49" s="122" t="s">
        <v>334</v>
      </c>
    </row>
    <row r="50" spans="1:15">
      <c r="A50" s="241"/>
      <c r="B50" s="118">
        <v>5</v>
      </c>
      <c r="C50" s="112">
        <v>1331</v>
      </c>
      <c r="D50" s="113">
        <v>45275</v>
      </c>
      <c r="E50" s="112" t="s">
        <v>333</v>
      </c>
      <c r="F50" s="113">
        <v>45298</v>
      </c>
      <c r="G50" s="112" t="s">
        <v>43</v>
      </c>
      <c r="H50" s="162" t="s">
        <v>44</v>
      </c>
      <c r="I50" s="112" t="s">
        <v>2</v>
      </c>
      <c r="J50" s="112" t="s">
        <v>434</v>
      </c>
      <c r="K50" s="163">
        <v>0.36799999999999999</v>
      </c>
      <c r="L50" s="112" t="s">
        <v>425</v>
      </c>
      <c r="M50" s="112" t="s">
        <v>924</v>
      </c>
      <c r="N50" s="112"/>
      <c r="O50" s="122" t="s">
        <v>334</v>
      </c>
    </row>
    <row r="51" spans="1:15" s="102" customFormat="1">
      <c r="A51" s="241"/>
      <c r="B51" s="118">
        <v>5</v>
      </c>
      <c r="C51" s="112">
        <v>1136</v>
      </c>
      <c r="D51" s="113">
        <v>45252</v>
      </c>
      <c r="E51" s="112" t="s">
        <v>9</v>
      </c>
      <c r="F51" s="113">
        <v>45291</v>
      </c>
      <c r="G51" s="112" t="s">
        <v>43</v>
      </c>
      <c r="H51" s="162" t="s">
        <v>44</v>
      </c>
      <c r="I51" s="112" t="s">
        <v>2</v>
      </c>
      <c r="J51" s="112" t="s">
        <v>434</v>
      </c>
      <c r="K51" s="163">
        <v>0.14599999999999999</v>
      </c>
      <c r="L51" s="112" t="s">
        <v>23</v>
      </c>
      <c r="M51" s="112" t="s">
        <v>924</v>
      </c>
      <c r="N51" s="112"/>
      <c r="O51" s="122" t="s">
        <v>334</v>
      </c>
    </row>
    <row r="52" spans="1:15">
      <c r="A52" s="241"/>
      <c r="B52" s="118">
        <v>5</v>
      </c>
      <c r="C52" s="112">
        <v>1337</v>
      </c>
      <c r="D52" s="113">
        <v>45275</v>
      </c>
      <c r="E52" s="112" t="s">
        <v>9</v>
      </c>
      <c r="F52" s="113">
        <v>45298</v>
      </c>
      <c r="G52" s="112" t="s">
        <v>43</v>
      </c>
      <c r="H52" s="162" t="s">
        <v>44</v>
      </c>
      <c r="I52" s="112" t="s">
        <v>2</v>
      </c>
      <c r="J52" s="112" t="s">
        <v>434</v>
      </c>
      <c r="K52" s="163">
        <v>4.4159999999999998E-2</v>
      </c>
      <c r="L52" s="112" t="s">
        <v>1435</v>
      </c>
      <c r="M52" s="112" t="s">
        <v>924</v>
      </c>
      <c r="N52" s="112"/>
      <c r="O52" s="122" t="s">
        <v>334</v>
      </c>
    </row>
    <row r="53" spans="1:15">
      <c r="A53" s="241"/>
      <c r="B53" s="118">
        <v>5</v>
      </c>
      <c r="C53" s="112">
        <v>1340</v>
      </c>
      <c r="D53" s="113">
        <v>45275</v>
      </c>
      <c r="E53" s="112" t="s">
        <v>9</v>
      </c>
      <c r="F53" s="113">
        <v>45298</v>
      </c>
      <c r="G53" s="112" t="s">
        <v>43</v>
      </c>
      <c r="H53" s="162" t="s">
        <v>44</v>
      </c>
      <c r="I53" s="112" t="s">
        <v>2</v>
      </c>
      <c r="J53" s="112" t="s">
        <v>235</v>
      </c>
      <c r="K53" s="163">
        <v>2.8151999999999999</v>
      </c>
      <c r="L53" s="112" t="s">
        <v>451</v>
      </c>
      <c r="M53" s="112" t="s">
        <v>924</v>
      </c>
      <c r="N53" s="112"/>
      <c r="O53" s="122" t="s">
        <v>334</v>
      </c>
    </row>
    <row r="54" spans="1:15">
      <c r="A54" s="241"/>
      <c r="B54" s="118"/>
      <c r="C54" s="112"/>
      <c r="D54" s="113"/>
      <c r="E54" s="112"/>
      <c r="F54" s="113"/>
      <c r="G54" s="112"/>
      <c r="H54" s="112"/>
      <c r="I54" s="112"/>
      <c r="J54" s="112"/>
      <c r="K54" s="115"/>
      <c r="L54" s="112"/>
      <c r="M54" s="112"/>
      <c r="N54" s="112"/>
    </row>
    <row r="55" spans="1:15">
      <c r="A55" s="241"/>
      <c r="B55" s="118">
        <v>5</v>
      </c>
      <c r="C55" s="112">
        <v>1331</v>
      </c>
      <c r="D55" s="113">
        <v>45275</v>
      </c>
      <c r="E55" s="112" t="s">
        <v>333</v>
      </c>
      <c r="F55" s="113">
        <v>45298</v>
      </c>
      <c r="G55" s="112" t="s">
        <v>43</v>
      </c>
      <c r="H55" s="162" t="s">
        <v>51</v>
      </c>
      <c r="I55" s="112" t="s">
        <v>3</v>
      </c>
      <c r="J55" s="112" t="s">
        <v>434</v>
      </c>
      <c r="K55" s="163">
        <v>0.54096</v>
      </c>
      <c r="L55" s="112" t="s">
        <v>425</v>
      </c>
      <c r="M55" s="112" t="s">
        <v>924</v>
      </c>
      <c r="N55" s="112" t="s">
        <v>1253</v>
      </c>
      <c r="O55" s="122" t="s">
        <v>334</v>
      </c>
    </row>
    <row r="56" spans="1:15">
      <c r="A56" s="241"/>
      <c r="B56" s="118">
        <v>5</v>
      </c>
      <c r="C56" s="112">
        <v>1331</v>
      </c>
      <c r="D56" s="113">
        <v>45275</v>
      </c>
      <c r="E56" s="112" t="s">
        <v>333</v>
      </c>
      <c r="F56" s="113">
        <v>45298</v>
      </c>
      <c r="G56" s="112" t="s">
        <v>43</v>
      </c>
      <c r="H56" s="162" t="s">
        <v>51</v>
      </c>
      <c r="I56" s="112" t="s">
        <v>3</v>
      </c>
      <c r="J56" s="112" t="s">
        <v>434</v>
      </c>
      <c r="K56" s="163">
        <v>0.30912000000000001</v>
      </c>
      <c r="L56" s="112" t="s">
        <v>425</v>
      </c>
      <c r="M56" s="112" t="s">
        <v>924</v>
      </c>
      <c r="N56" s="112" t="s">
        <v>1253</v>
      </c>
      <c r="O56" s="122" t="s">
        <v>334</v>
      </c>
    </row>
    <row r="57" spans="1:15">
      <c r="A57" s="241"/>
      <c r="B57" s="118">
        <v>5</v>
      </c>
      <c r="C57" s="112">
        <v>1338</v>
      </c>
      <c r="D57" s="113">
        <v>45275</v>
      </c>
      <c r="E57" s="112" t="s">
        <v>9</v>
      </c>
      <c r="F57" s="113">
        <v>45298</v>
      </c>
      <c r="G57" s="112" t="s">
        <v>43</v>
      </c>
      <c r="H57" s="166" t="s">
        <v>1142</v>
      </c>
      <c r="I57" s="112" t="s">
        <v>3</v>
      </c>
      <c r="J57" s="112" t="s">
        <v>235</v>
      </c>
      <c r="K57" s="163">
        <v>0.1898</v>
      </c>
      <c r="L57" s="112" t="s">
        <v>23</v>
      </c>
      <c r="M57" s="112"/>
      <c r="N57" s="112" t="s">
        <v>1442</v>
      </c>
      <c r="O57" s="122" t="s">
        <v>334</v>
      </c>
    </row>
    <row r="58" spans="1:15">
      <c r="A58" s="241"/>
      <c r="B58" s="118">
        <v>5</v>
      </c>
      <c r="C58" s="112">
        <v>1340</v>
      </c>
      <c r="D58" s="113">
        <v>45275</v>
      </c>
      <c r="E58" s="112" t="s">
        <v>9</v>
      </c>
      <c r="F58" s="113">
        <v>45298</v>
      </c>
      <c r="G58" s="112" t="s">
        <v>43</v>
      </c>
      <c r="H58" s="162" t="s">
        <v>1395</v>
      </c>
      <c r="I58" s="112" t="s">
        <v>3</v>
      </c>
      <c r="J58" s="112" t="s">
        <v>235</v>
      </c>
      <c r="K58" s="163">
        <v>4.1510400000000001</v>
      </c>
      <c r="L58" s="112" t="s">
        <v>451</v>
      </c>
      <c r="M58" s="112" t="s">
        <v>924</v>
      </c>
      <c r="N58" s="112"/>
      <c r="O58" s="122" t="s">
        <v>334</v>
      </c>
    </row>
    <row r="59" spans="1:15">
      <c r="A59" s="241"/>
      <c r="B59" s="118">
        <v>5</v>
      </c>
      <c r="C59" s="112">
        <v>1335</v>
      </c>
      <c r="D59" s="113">
        <v>45275</v>
      </c>
      <c r="E59" s="112" t="s">
        <v>9</v>
      </c>
      <c r="F59" s="113">
        <v>45298</v>
      </c>
      <c r="G59" s="112" t="s">
        <v>43</v>
      </c>
      <c r="H59" s="162" t="s">
        <v>1395</v>
      </c>
      <c r="I59" s="112" t="s">
        <v>3</v>
      </c>
      <c r="J59" s="112" t="s">
        <v>729</v>
      </c>
      <c r="K59" s="163">
        <v>3.4367999999999999</v>
      </c>
      <c r="L59" s="112" t="s">
        <v>826</v>
      </c>
      <c r="M59" s="112" t="s">
        <v>924</v>
      </c>
      <c r="N59" s="112"/>
      <c r="O59" s="122" t="s">
        <v>334</v>
      </c>
    </row>
    <row r="60" spans="1:15">
      <c r="A60" s="241"/>
      <c r="B60" s="118">
        <v>5</v>
      </c>
      <c r="C60" s="112">
        <v>1336</v>
      </c>
      <c r="D60" s="113">
        <v>45275</v>
      </c>
      <c r="E60" s="112" t="s">
        <v>9</v>
      </c>
      <c r="F60" s="113">
        <v>45298</v>
      </c>
      <c r="G60" s="112" t="s">
        <v>43</v>
      </c>
      <c r="H60" s="162" t="s">
        <v>1395</v>
      </c>
      <c r="I60" s="112" t="s">
        <v>3</v>
      </c>
      <c r="J60" s="112" t="s">
        <v>729</v>
      </c>
      <c r="K60" s="163">
        <v>2.4480000000000004</v>
      </c>
      <c r="L60" s="112" t="s">
        <v>826</v>
      </c>
      <c r="M60" s="112" t="s">
        <v>924</v>
      </c>
      <c r="N60" s="112"/>
      <c r="O60" s="122" t="s">
        <v>334</v>
      </c>
    </row>
    <row r="61" spans="1:15">
      <c r="A61" s="241"/>
      <c r="B61" s="118">
        <v>5</v>
      </c>
      <c r="C61" s="112">
        <v>1341</v>
      </c>
      <c r="D61" s="113">
        <v>45275</v>
      </c>
      <c r="E61" s="112" t="s">
        <v>1354</v>
      </c>
      <c r="F61" s="113">
        <v>45306</v>
      </c>
      <c r="G61" s="112" t="s">
        <v>43</v>
      </c>
      <c r="H61" s="162" t="s">
        <v>51</v>
      </c>
      <c r="I61" s="112" t="s">
        <v>3</v>
      </c>
      <c r="J61" s="112" t="s">
        <v>474</v>
      </c>
      <c r="K61" s="163">
        <v>6.9594519999999997</v>
      </c>
      <c r="L61" s="112" t="s">
        <v>466</v>
      </c>
      <c r="M61" s="112" t="s">
        <v>924</v>
      </c>
      <c r="N61" s="112"/>
      <c r="O61" s="122" t="s">
        <v>334</v>
      </c>
    </row>
    <row r="62" spans="1:15">
      <c r="A62" s="241"/>
      <c r="B62" s="118">
        <v>5</v>
      </c>
      <c r="C62" s="112">
        <v>1229</v>
      </c>
      <c r="D62" s="113">
        <v>45262</v>
      </c>
      <c r="E62" s="112" t="s">
        <v>9</v>
      </c>
      <c r="F62" s="113">
        <v>45306</v>
      </c>
      <c r="G62" s="112" t="s">
        <v>840</v>
      </c>
      <c r="H62" s="162" t="s">
        <v>51</v>
      </c>
      <c r="I62" s="112" t="s">
        <v>3</v>
      </c>
      <c r="J62" s="112" t="s">
        <v>474</v>
      </c>
      <c r="K62" s="163">
        <v>16.05</v>
      </c>
      <c r="L62" s="112" t="s">
        <v>841</v>
      </c>
      <c r="M62" s="112" t="s">
        <v>924</v>
      </c>
      <c r="N62" s="112"/>
      <c r="O62" s="122" t="s">
        <v>334</v>
      </c>
    </row>
    <row r="63" spans="1:15">
      <c r="A63" s="241"/>
      <c r="B63" s="118">
        <v>5</v>
      </c>
      <c r="C63" s="112">
        <v>1229</v>
      </c>
      <c r="D63" s="113">
        <v>45262</v>
      </c>
      <c r="E63" s="112" t="s">
        <v>9</v>
      </c>
      <c r="F63" s="113">
        <v>45306</v>
      </c>
      <c r="G63" s="112" t="s">
        <v>840</v>
      </c>
      <c r="H63" s="162" t="s">
        <v>51</v>
      </c>
      <c r="I63" s="112" t="s">
        <v>3</v>
      </c>
      <c r="J63" s="112" t="s">
        <v>434</v>
      </c>
      <c r="K63" s="163">
        <v>0.08</v>
      </c>
      <c r="L63" s="112" t="s">
        <v>841</v>
      </c>
      <c r="M63" s="112" t="s">
        <v>924</v>
      </c>
      <c r="N63" s="112"/>
      <c r="O63" s="122" t="s">
        <v>334</v>
      </c>
    </row>
    <row r="64" spans="1:15">
      <c r="A64" s="112"/>
      <c r="B64" s="118"/>
      <c r="C64" s="112"/>
      <c r="D64" s="113"/>
      <c r="E64" s="112"/>
      <c r="F64" s="113"/>
      <c r="G64" s="112"/>
      <c r="H64" s="112"/>
      <c r="I64" s="112"/>
      <c r="J64" s="112"/>
      <c r="K64" s="165">
        <f>SUM(K42:K63)</f>
        <v>124.47521699999999</v>
      </c>
      <c r="L64" s="112"/>
      <c r="M64" s="112"/>
      <c r="N64" s="112"/>
    </row>
    <row r="65" spans="1:15">
      <c r="A65" s="112"/>
      <c r="B65" s="118"/>
      <c r="C65" s="112"/>
      <c r="D65" s="113"/>
      <c r="E65" s="112"/>
      <c r="F65" s="113"/>
      <c r="G65" s="112"/>
      <c r="H65" s="112"/>
      <c r="I65" s="112"/>
      <c r="J65" s="112"/>
      <c r="K65" s="115"/>
      <c r="L65" s="112"/>
      <c r="M65" s="112"/>
      <c r="N65" s="112"/>
    </row>
    <row r="66" spans="1:15" s="21" customFormat="1">
      <c r="A66" s="242" t="s">
        <v>1517</v>
      </c>
      <c r="B66" s="118">
        <v>6</v>
      </c>
      <c r="C66" s="112">
        <v>1359</v>
      </c>
      <c r="D66" s="113">
        <v>45275</v>
      </c>
      <c r="E66" s="112" t="s">
        <v>9</v>
      </c>
      <c r="F66" s="113">
        <v>45329</v>
      </c>
      <c r="G66" s="112" t="s">
        <v>43</v>
      </c>
      <c r="H66" s="162" t="s">
        <v>44</v>
      </c>
      <c r="I66" s="114" t="s">
        <v>2</v>
      </c>
      <c r="J66" s="174" t="s">
        <v>235</v>
      </c>
      <c r="K66" s="163">
        <v>1.4904000000000002</v>
      </c>
      <c r="L66" s="112" t="s">
        <v>23</v>
      </c>
      <c r="M66" s="112" t="s">
        <v>924</v>
      </c>
      <c r="N66" s="123"/>
      <c r="O66" s="122" t="s">
        <v>334</v>
      </c>
    </row>
    <row r="67" spans="1:15" s="21" customFormat="1">
      <c r="A67" s="242"/>
      <c r="B67" s="118">
        <v>6</v>
      </c>
      <c r="C67" s="112">
        <v>1357</v>
      </c>
      <c r="D67" s="113">
        <v>45275</v>
      </c>
      <c r="E67" s="112" t="s">
        <v>333</v>
      </c>
      <c r="F67" s="113">
        <v>45306</v>
      </c>
      <c r="G67" s="112" t="s">
        <v>43</v>
      </c>
      <c r="H67" s="123" t="s">
        <v>93</v>
      </c>
      <c r="I67" s="114" t="s">
        <v>2</v>
      </c>
      <c r="J67" s="174" t="s">
        <v>235</v>
      </c>
      <c r="K67" s="163">
        <v>9.7130219999999987</v>
      </c>
      <c r="L67" s="112" t="s">
        <v>189</v>
      </c>
      <c r="M67" s="112" t="s">
        <v>924</v>
      </c>
      <c r="N67" s="123"/>
      <c r="O67" s="122" t="s">
        <v>334</v>
      </c>
    </row>
    <row r="68" spans="1:15" s="21" customFormat="1">
      <c r="A68" s="242"/>
      <c r="B68" s="118">
        <v>6</v>
      </c>
      <c r="C68" s="112">
        <v>1358</v>
      </c>
      <c r="D68" s="113">
        <v>45275</v>
      </c>
      <c r="E68" s="112" t="s">
        <v>333</v>
      </c>
      <c r="F68" s="113">
        <v>45306</v>
      </c>
      <c r="G68" s="112" t="s">
        <v>43</v>
      </c>
      <c r="H68" s="123" t="s">
        <v>1028</v>
      </c>
      <c r="I68" s="114" t="s">
        <v>2</v>
      </c>
      <c r="J68" s="174" t="s">
        <v>235</v>
      </c>
      <c r="K68" s="163">
        <v>23.341200000000001</v>
      </c>
      <c r="L68" s="112" t="s">
        <v>411</v>
      </c>
      <c r="M68" s="112" t="s">
        <v>924</v>
      </c>
      <c r="N68" s="123"/>
      <c r="O68" s="122" t="s">
        <v>334</v>
      </c>
    </row>
    <row r="69" spans="1:15" s="21" customFormat="1">
      <c r="A69" s="242"/>
      <c r="B69" s="118">
        <v>6</v>
      </c>
      <c r="C69" s="112">
        <v>1358</v>
      </c>
      <c r="D69" s="113">
        <v>45275</v>
      </c>
      <c r="E69" s="112" t="s">
        <v>333</v>
      </c>
      <c r="F69" s="113">
        <v>45306</v>
      </c>
      <c r="G69" s="112" t="s">
        <v>43</v>
      </c>
      <c r="H69" s="123" t="s">
        <v>1028</v>
      </c>
      <c r="I69" s="114" t="s">
        <v>2</v>
      </c>
      <c r="J69" s="174" t="s">
        <v>1289</v>
      </c>
      <c r="K69" s="163">
        <v>0.62656200000000006</v>
      </c>
      <c r="L69" s="112" t="s">
        <v>411</v>
      </c>
      <c r="M69" s="112" t="s">
        <v>924</v>
      </c>
      <c r="N69" s="140" t="s">
        <v>634</v>
      </c>
      <c r="O69" s="122" t="s">
        <v>334</v>
      </c>
    </row>
    <row r="70" spans="1:15" s="102" customFormat="1">
      <c r="A70" s="242"/>
      <c r="B70" s="118">
        <v>6</v>
      </c>
      <c r="C70" s="112">
        <v>1398</v>
      </c>
      <c r="D70" s="113">
        <v>45288</v>
      </c>
      <c r="E70" s="112" t="s">
        <v>9</v>
      </c>
      <c r="F70" s="113">
        <v>45329</v>
      </c>
      <c r="G70" s="114" t="s">
        <v>43</v>
      </c>
      <c r="H70" s="114" t="s">
        <v>44</v>
      </c>
      <c r="I70" s="112" t="s">
        <v>2</v>
      </c>
      <c r="J70" s="120" t="s">
        <v>235</v>
      </c>
      <c r="K70" s="141">
        <v>1.8322999999999999E-2</v>
      </c>
      <c r="L70" s="112" t="s">
        <v>23</v>
      </c>
      <c r="M70" s="112" t="s">
        <v>924</v>
      </c>
      <c r="N70" s="112"/>
      <c r="O70" s="122" t="s">
        <v>334</v>
      </c>
    </row>
    <row r="71" spans="1:15" s="102" customFormat="1">
      <c r="A71" s="242"/>
      <c r="B71" s="118">
        <v>6</v>
      </c>
      <c r="C71" s="112">
        <v>1399</v>
      </c>
      <c r="D71" s="113">
        <v>45288</v>
      </c>
      <c r="E71" s="112" t="s">
        <v>9</v>
      </c>
      <c r="F71" s="113">
        <v>45329</v>
      </c>
      <c r="G71" s="114" t="s">
        <v>43</v>
      </c>
      <c r="H71" s="119" t="s">
        <v>126</v>
      </c>
      <c r="I71" s="112" t="s">
        <v>2</v>
      </c>
      <c r="J71" s="120" t="s">
        <v>235</v>
      </c>
      <c r="K71" s="141">
        <v>7.3000000000000001E-3</v>
      </c>
      <c r="L71" s="112" t="s">
        <v>23</v>
      </c>
      <c r="M71" s="112" t="s">
        <v>1402</v>
      </c>
      <c r="N71" s="112"/>
      <c r="O71" s="122" t="s">
        <v>334</v>
      </c>
    </row>
    <row r="72" spans="1:15" s="102" customFormat="1">
      <c r="A72" s="242"/>
      <c r="B72" s="118">
        <v>6</v>
      </c>
      <c r="C72" s="112">
        <v>1396</v>
      </c>
      <c r="D72" s="113">
        <v>45288</v>
      </c>
      <c r="E72" s="112" t="s">
        <v>333</v>
      </c>
      <c r="F72" s="113">
        <v>45306</v>
      </c>
      <c r="G72" s="114" t="s">
        <v>43</v>
      </c>
      <c r="H72" s="119" t="s">
        <v>20</v>
      </c>
      <c r="I72" s="112" t="s">
        <v>2</v>
      </c>
      <c r="J72" s="120" t="s">
        <v>235</v>
      </c>
      <c r="K72" s="141">
        <v>2.202</v>
      </c>
      <c r="L72" s="112" t="s">
        <v>1487</v>
      </c>
      <c r="M72" s="112" t="s">
        <v>1402</v>
      </c>
      <c r="N72" s="112"/>
      <c r="O72" s="122" t="s">
        <v>334</v>
      </c>
    </row>
    <row r="73" spans="1:15" s="102" customFormat="1">
      <c r="A73" s="242"/>
      <c r="B73" s="118">
        <v>6</v>
      </c>
      <c r="C73" s="112">
        <v>1397</v>
      </c>
      <c r="D73" s="113">
        <v>45288</v>
      </c>
      <c r="E73" s="112" t="s">
        <v>333</v>
      </c>
      <c r="F73" s="113">
        <v>45329</v>
      </c>
      <c r="G73" s="114" t="s">
        <v>43</v>
      </c>
      <c r="H73" s="119" t="s">
        <v>19</v>
      </c>
      <c r="I73" s="112" t="s">
        <v>2</v>
      </c>
      <c r="J73" s="120" t="s">
        <v>235</v>
      </c>
      <c r="K73" s="141">
        <v>1.4936900000000002</v>
      </c>
      <c r="L73" s="112" t="s">
        <v>189</v>
      </c>
      <c r="M73" s="112" t="s">
        <v>924</v>
      </c>
      <c r="N73" s="112"/>
      <c r="O73" s="122" t="s">
        <v>334</v>
      </c>
    </row>
    <row r="74" spans="1:15" s="21" customFormat="1" ht="13.8">
      <c r="A74" s="242"/>
      <c r="B74" s="118">
        <v>6</v>
      </c>
      <c r="C74" s="112"/>
      <c r="D74" s="112"/>
      <c r="E74" s="112"/>
      <c r="F74" s="113"/>
      <c r="G74" s="173"/>
      <c r="H74" s="112"/>
      <c r="I74" s="114"/>
      <c r="J74" s="174"/>
      <c r="K74" s="165">
        <f>SUM(K66:K73)</f>
        <v>38.892497000000006</v>
      </c>
      <c r="L74" s="112"/>
      <c r="M74" s="112"/>
      <c r="N74" s="112"/>
    </row>
    <row r="75" spans="1:15" s="21" customFormat="1">
      <c r="A75" s="242"/>
      <c r="B75" s="118">
        <v>6</v>
      </c>
      <c r="C75" s="112">
        <v>1358</v>
      </c>
      <c r="D75" s="113">
        <v>45275</v>
      </c>
      <c r="E75" s="112" t="s">
        <v>333</v>
      </c>
      <c r="F75" s="113">
        <v>45306</v>
      </c>
      <c r="G75" s="112" t="s">
        <v>43</v>
      </c>
      <c r="H75" s="123" t="s">
        <v>1409</v>
      </c>
      <c r="I75" s="114" t="s">
        <v>3</v>
      </c>
      <c r="J75" s="174" t="s">
        <v>237</v>
      </c>
      <c r="K75" s="163">
        <v>37.70487</v>
      </c>
      <c r="L75" s="112" t="s">
        <v>411</v>
      </c>
      <c r="M75" s="112" t="s">
        <v>924</v>
      </c>
      <c r="N75" s="123"/>
      <c r="O75" s="122" t="s">
        <v>334</v>
      </c>
    </row>
    <row r="76" spans="1:15" s="21" customFormat="1">
      <c r="A76" s="242"/>
      <c r="B76" s="118">
        <v>6</v>
      </c>
      <c r="C76" s="112">
        <v>1358</v>
      </c>
      <c r="D76" s="113">
        <v>45275</v>
      </c>
      <c r="E76" s="112" t="s">
        <v>333</v>
      </c>
      <c r="F76" s="113">
        <v>45306</v>
      </c>
      <c r="G76" s="112" t="s">
        <v>43</v>
      </c>
      <c r="H76" s="123" t="s">
        <v>1409</v>
      </c>
      <c r="I76" s="114" t="s">
        <v>3</v>
      </c>
      <c r="J76" s="174" t="s">
        <v>235</v>
      </c>
      <c r="K76" s="163">
        <v>22.240199999999998</v>
      </c>
      <c r="L76" s="112" t="s">
        <v>411</v>
      </c>
      <c r="M76" s="112" t="s">
        <v>924</v>
      </c>
      <c r="N76" s="123"/>
      <c r="O76" s="122" t="s">
        <v>334</v>
      </c>
    </row>
    <row r="77" spans="1:15" s="102" customFormat="1">
      <c r="A77" s="242"/>
      <c r="B77" s="118">
        <v>6</v>
      </c>
      <c r="C77" s="112">
        <v>1402</v>
      </c>
      <c r="D77" s="113">
        <v>45288</v>
      </c>
      <c r="E77" s="112" t="s">
        <v>9</v>
      </c>
      <c r="F77" s="113">
        <v>45329</v>
      </c>
      <c r="G77" s="114" t="s">
        <v>43</v>
      </c>
      <c r="H77" s="114" t="s">
        <v>51</v>
      </c>
      <c r="I77" s="112" t="s">
        <v>3</v>
      </c>
      <c r="J77" s="120" t="s">
        <v>235</v>
      </c>
      <c r="K77" s="158">
        <v>8.0299999999999996E-2</v>
      </c>
      <c r="L77" s="112" t="s">
        <v>826</v>
      </c>
      <c r="M77" s="112"/>
      <c r="N77" s="140" t="s">
        <v>634</v>
      </c>
      <c r="O77" s="122" t="s">
        <v>334</v>
      </c>
    </row>
    <row r="78" spans="1:15" s="102" customFormat="1">
      <c r="A78" s="242"/>
      <c r="B78" s="118">
        <v>6</v>
      </c>
      <c r="C78" s="112">
        <v>1395</v>
      </c>
      <c r="D78" s="113">
        <v>45288</v>
      </c>
      <c r="E78" s="112" t="s">
        <v>333</v>
      </c>
      <c r="F78" s="113">
        <v>45329</v>
      </c>
      <c r="G78" s="112" t="s">
        <v>43</v>
      </c>
      <c r="H78" s="116" t="s">
        <v>51</v>
      </c>
      <c r="I78" s="112" t="s">
        <v>3</v>
      </c>
      <c r="J78" s="120" t="s">
        <v>235</v>
      </c>
      <c r="K78" s="141">
        <v>0.67159999999999997</v>
      </c>
      <c r="L78" s="112" t="s">
        <v>1485</v>
      </c>
      <c r="M78" s="112" t="s">
        <v>924</v>
      </c>
      <c r="N78" s="112"/>
      <c r="O78" s="122" t="s">
        <v>334</v>
      </c>
    </row>
    <row r="79" spans="1:15" s="21" customFormat="1" ht="13.8">
      <c r="A79" s="242"/>
      <c r="B79" s="118">
        <v>6</v>
      </c>
      <c r="C79" s="112"/>
      <c r="D79" s="112"/>
      <c r="E79" s="112"/>
      <c r="F79" s="113"/>
      <c r="G79" s="173"/>
      <c r="H79" s="112"/>
      <c r="I79" s="114"/>
      <c r="J79" s="174"/>
      <c r="K79" s="165">
        <f>SUM(K75:K78)</f>
        <v>60.69697</v>
      </c>
      <c r="L79" s="112"/>
      <c r="M79" s="112"/>
      <c r="N79" s="112"/>
    </row>
    <row r="80" spans="1:15" s="21" customFormat="1" ht="13.8">
      <c r="A80" s="242"/>
      <c r="B80" s="118"/>
      <c r="C80" s="112"/>
      <c r="D80" s="112"/>
      <c r="E80" s="112"/>
      <c r="F80" s="113"/>
      <c r="G80" s="173"/>
      <c r="H80" s="112"/>
      <c r="I80" s="114"/>
      <c r="J80" s="174"/>
      <c r="K80" s="165">
        <f>SUM(K79,K74)</f>
        <v>99.589467000000013</v>
      </c>
      <c r="L80" s="112"/>
      <c r="M80" s="139" t="s">
        <v>1481</v>
      </c>
      <c r="N80" s="139"/>
    </row>
    <row r="81" spans="1:15" s="21" customFormat="1" ht="13.8">
      <c r="A81" s="176" t="s">
        <v>1482</v>
      </c>
      <c r="B81" s="120"/>
      <c r="C81" s="112"/>
      <c r="D81" s="112"/>
      <c r="E81" s="112"/>
      <c r="F81" s="113"/>
      <c r="G81" s="173"/>
      <c r="H81" s="112"/>
      <c r="I81" s="114"/>
      <c r="J81" s="174"/>
      <c r="K81" s="165"/>
      <c r="L81" s="112"/>
      <c r="M81" s="112"/>
      <c r="N81" s="112"/>
    </row>
    <row r="82" spans="1:15" s="21" customFormat="1" ht="13.8">
      <c r="A82" s="242" t="s">
        <v>1518</v>
      </c>
      <c r="B82" s="169"/>
      <c r="C82" s="112"/>
      <c r="D82" s="113"/>
      <c r="E82" s="112"/>
      <c r="F82" s="113"/>
      <c r="G82" s="112"/>
      <c r="H82" s="112"/>
      <c r="I82" s="114"/>
      <c r="J82" s="174"/>
      <c r="K82" s="115"/>
      <c r="L82" s="112"/>
      <c r="M82" s="123"/>
      <c r="N82" s="123"/>
    </row>
    <row r="83" spans="1:15" s="21" customFormat="1">
      <c r="A83" s="242"/>
      <c r="B83" s="169">
        <v>7</v>
      </c>
      <c r="C83" s="112">
        <v>1359</v>
      </c>
      <c r="D83" s="113">
        <v>45275</v>
      </c>
      <c r="E83" s="112" t="s">
        <v>9</v>
      </c>
      <c r="F83" s="113">
        <v>45329</v>
      </c>
      <c r="G83" s="112" t="s">
        <v>43</v>
      </c>
      <c r="H83" s="162" t="s">
        <v>44</v>
      </c>
      <c r="I83" s="114" t="s">
        <v>2</v>
      </c>
      <c r="J83" s="174" t="s">
        <v>100</v>
      </c>
      <c r="K83" s="163">
        <v>2.0716800000000002</v>
      </c>
      <c r="L83" s="112" t="s">
        <v>23</v>
      </c>
      <c r="M83" s="112" t="s">
        <v>924</v>
      </c>
      <c r="N83" s="123"/>
      <c r="O83" s="122" t="s">
        <v>334</v>
      </c>
    </row>
    <row r="84" spans="1:15" s="21" customFormat="1">
      <c r="A84" s="242"/>
      <c r="B84" s="169">
        <v>7</v>
      </c>
      <c r="C84" s="112">
        <v>1357</v>
      </c>
      <c r="D84" s="113">
        <v>45275</v>
      </c>
      <c r="E84" s="112" t="s">
        <v>333</v>
      </c>
      <c r="F84" s="113">
        <v>45306</v>
      </c>
      <c r="G84" s="112" t="s">
        <v>43</v>
      </c>
      <c r="H84" s="123" t="s">
        <v>93</v>
      </c>
      <c r="I84" s="114" t="s">
        <v>2</v>
      </c>
      <c r="J84" s="174" t="s">
        <v>100</v>
      </c>
      <c r="K84" s="163">
        <v>18.394045000000002</v>
      </c>
      <c r="L84" s="112" t="s">
        <v>189</v>
      </c>
      <c r="M84" s="112" t="s">
        <v>924</v>
      </c>
      <c r="N84" s="123"/>
      <c r="O84" s="122" t="s">
        <v>334</v>
      </c>
    </row>
    <row r="85" spans="1:15" s="21" customFormat="1">
      <c r="A85" s="242"/>
      <c r="B85" s="169">
        <v>7</v>
      </c>
      <c r="C85" s="112">
        <v>1358</v>
      </c>
      <c r="D85" s="113">
        <v>45275</v>
      </c>
      <c r="E85" s="112" t="s">
        <v>333</v>
      </c>
      <c r="F85" s="113">
        <v>45306</v>
      </c>
      <c r="G85" s="112" t="s">
        <v>43</v>
      </c>
      <c r="H85" s="123" t="s">
        <v>1028</v>
      </c>
      <c r="I85" s="114" t="s">
        <v>2</v>
      </c>
      <c r="J85" s="174" t="s">
        <v>100</v>
      </c>
      <c r="K85" s="163">
        <v>40.188600000000001</v>
      </c>
      <c r="L85" s="112" t="s">
        <v>411</v>
      </c>
      <c r="M85" s="112" t="s">
        <v>924</v>
      </c>
      <c r="N85" s="123"/>
      <c r="O85" s="122" t="s">
        <v>334</v>
      </c>
    </row>
    <row r="86" spans="1:15" s="21" customFormat="1">
      <c r="A86" s="242"/>
      <c r="B86" s="169">
        <v>7</v>
      </c>
      <c r="C86" s="112">
        <v>1359</v>
      </c>
      <c r="D86" s="113">
        <v>45275</v>
      </c>
      <c r="E86" s="112" t="s">
        <v>9</v>
      </c>
      <c r="F86" s="113">
        <v>45329</v>
      </c>
      <c r="G86" s="112" t="s">
        <v>43</v>
      </c>
      <c r="H86" s="162" t="s">
        <v>44</v>
      </c>
      <c r="I86" s="114" t="s">
        <v>2</v>
      </c>
      <c r="J86" s="174" t="s">
        <v>96</v>
      </c>
      <c r="K86" s="163">
        <v>3.4559999999999995</v>
      </c>
      <c r="L86" s="112" t="s">
        <v>23</v>
      </c>
      <c r="M86" s="112" t="s">
        <v>924</v>
      </c>
      <c r="N86" s="123"/>
      <c r="O86" s="122" t="s">
        <v>334</v>
      </c>
    </row>
    <row r="87" spans="1:15" s="21" customFormat="1">
      <c r="A87" s="242"/>
      <c r="B87" s="169">
        <v>7</v>
      </c>
      <c r="C87" s="112">
        <v>1357</v>
      </c>
      <c r="D87" s="113">
        <v>45275</v>
      </c>
      <c r="E87" s="112" t="s">
        <v>333</v>
      </c>
      <c r="F87" s="113">
        <v>45306</v>
      </c>
      <c r="G87" s="112" t="s">
        <v>43</v>
      </c>
      <c r="H87" s="123" t="s">
        <v>93</v>
      </c>
      <c r="I87" s="114" t="s">
        <v>2</v>
      </c>
      <c r="J87" s="174" t="s">
        <v>96</v>
      </c>
      <c r="K87" s="163">
        <v>1.256988</v>
      </c>
      <c r="L87" s="112" t="s">
        <v>189</v>
      </c>
      <c r="M87" s="112" t="s">
        <v>924</v>
      </c>
      <c r="N87" s="123"/>
      <c r="O87" s="122" t="s">
        <v>334</v>
      </c>
    </row>
    <row r="88" spans="1:15" s="102" customFormat="1">
      <c r="A88" s="242"/>
      <c r="B88" s="169">
        <v>7</v>
      </c>
      <c r="C88" s="112">
        <v>1397</v>
      </c>
      <c r="D88" s="113">
        <v>45288</v>
      </c>
      <c r="E88" s="112" t="s">
        <v>333</v>
      </c>
      <c r="F88" s="113">
        <v>45329</v>
      </c>
      <c r="G88" s="114" t="s">
        <v>43</v>
      </c>
      <c r="H88" s="119" t="s">
        <v>19</v>
      </c>
      <c r="I88" s="112" t="s">
        <v>2</v>
      </c>
      <c r="J88" s="120" t="s">
        <v>96</v>
      </c>
      <c r="K88" s="141">
        <v>2.7369279999999998</v>
      </c>
      <c r="L88" s="112" t="s">
        <v>189</v>
      </c>
      <c r="M88" s="112" t="s">
        <v>924</v>
      </c>
      <c r="N88" s="112"/>
      <c r="O88" s="122" t="s">
        <v>334</v>
      </c>
    </row>
    <row r="89" spans="1:15" s="21" customFormat="1">
      <c r="A89" s="242"/>
      <c r="B89" s="169">
        <v>7</v>
      </c>
      <c r="C89" s="112">
        <v>1358</v>
      </c>
      <c r="D89" s="113">
        <v>45275</v>
      </c>
      <c r="E89" s="112" t="s">
        <v>333</v>
      </c>
      <c r="F89" s="113">
        <v>45306</v>
      </c>
      <c r="G89" s="112" t="s">
        <v>43</v>
      </c>
      <c r="H89" s="123" t="s">
        <v>1028</v>
      </c>
      <c r="I89" s="114" t="s">
        <v>2</v>
      </c>
      <c r="J89" s="174" t="s">
        <v>96</v>
      </c>
      <c r="K89" s="163">
        <v>33.846419999999995</v>
      </c>
      <c r="L89" s="112" t="s">
        <v>411</v>
      </c>
      <c r="M89" s="112" t="s">
        <v>924</v>
      </c>
      <c r="N89" s="123"/>
      <c r="O89" s="122" t="s">
        <v>334</v>
      </c>
    </row>
    <row r="90" spans="1:15" s="102" customFormat="1">
      <c r="A90" s="242"/>
      <c r="B90" s="169">
        <v>7</v>
      </c>
      <c r="C90" s="112">
        <v>1399</v>
      </c>
      <c r="D90" s="113">
        <v>45288</v>
      </c>
      <c r="E90" s="112" t="s">
        <v>9</v>
      </c>
      <c r="F90" s="113">
        <v>45329</v>
      </c>
      <c r="G90" s="114" t="s">
        <v>43</v>
      </c>
      <c r="H90" s="119" t="s">
        <v>126</v>
      </c>
      <c r="I90" s="112" t="s">
        <v>2</v>
      </c>
      <c r="J90" s="120" t="s">
        <v>100</v>
      </c>
      <c r="K90" s="141">
        <v>1.23E-2</v>
      </c>
      <c r="L90" s="112" t="s">
        <v>23</v>
      </c>
      <c r="M90" s="112" t="s">
        <v>1402</v>
      </c>
      <c r="N90" s="112"/>
      <c r="O90" s="122" t="s">
        <v>334</v>
      </c>
    </row>
    <row r="91" spans="1:15" s="102" customFormat="1">
      <c r="A91" s="242"/>
      <c r="B91" s="169">
        <v>7</v>
      </c>
      <c r="C91" s="112">
        <v>1396</v>
      </c>
      <c r="D91" s="113">
        <v>45288</v>
      </c>
      <c r="E91" s="112" t="s">
        <v>333</v>
      </c>
      <c r="F91" s="113">
        <v>45306</v>
      </c>
      <c r="G91" s="114" t="s">
        <v>43</v>
      </c>
      <c r="H91" s="119" t="s">
        <v>20</v>
      </c>
      <c r="I91" s="112" t="s">
        <v>2</v>
      </c>
      <c r="J91" s="120" t="s">
        <v>100</v>
      </c>
      <c r="K91" s="141">
        <v>1.2948</v>
      </c>
      <c r="L91" s="112" t="s">
        <v>1487</v>
      </c>
      <c r="M91" s="112" t="s">
        <v>1402</v>
      </c>
      <c r="N91" s="112"/>
      <c r="O91" s="122" t="s">
        <v>334</v>
      </c>
    </row>
    <row r="92" spans="1:15" s="102" customFormat="1">
      <c r="A92" s="242"/>
      <c r="B92" s="169">
        <v>7</v>
      </c>
      <c r="C92" s="112">
        <v>1397</v>
      </c>
      <c r="D92" s="113">
        <v>45288</v>
      </c>
      <c r="E92" s="112" t="s">
        <v>333</v>
      </c>
      <c r="F92" s="113">
        <v>45329</v>
      </c>
      <c r="G92" s="114" t="s">
        <v>43</v>
      </c>
      <c r="H92" s="119" t="s">
        <v>19</v>
      </c>
      <c r="I92" s="112" t="s">
        <v>2</v>
      </c>
      <c r="J92" s="120" t="s">
        <v>100</v>
      </c>
      <c r="K92" s="141">
        <v>5.3053599999999985</v>
      </c>
      <c r="L92" s="112" t="s">
        <v>189</v>
      </c>
      <c r="M92" s="112" t="s">
        <v>924</v>
      </c>
      <c r="N92" s="112"/>
      <c r="O92" s="122" t="s">
        <v>334</v>
      </c>
    </row>
    <row r="93" spans="1:15" s="21" customFormat="1" ht="13.8">
      <c r="A93" s="242"/>
      <c r="B93" s="169"/>
      <c r="C93" s="112"/>
      <c r="D93" s="112"/>
      <c r="E93" s="112"/>
      <c r="F93" s="113"/>
      <c r="G93" s="173"/>
      <c r="H93" s="112"/>
      <c r="I93" s="114"/>
      <c r="J93" s="174"/>
      <c r="K93" s="165">
        <f>SUM(K82:K92)</f>
        <v>108.563121</v>
      </c>
      <c r="L93" s="112"/>
      <c r="M93" s="112"/>
      <c r="N93" s="112"/>
    </row>
    <row r="94" spans="1:15" s="21" customFormat="1">
      <c r="A94" s="242"/>
      <c r="B94" s="169">
        <v>7</v>
      </c>
      <c r="C94" s="112">
        <v>1359</v>
      </c>
      <c r="D94" s="113">
        <v>45275</v>
      </c>
      <c r="E94" s="112" t="s">
        <v>9</v>
      </c>
      <c r="F94" s="113">
        <v>45329</v>
      </c>
      <c r="G94" s="112" t="s">
        <v>43</v>
      </c>
      <c r="H94" s="162" t="s">
        <v>51</v>
      </c>
      <c r="I94" s="114" t="s">
        <v>3</v>
      </c>
      <c r="J94" s="174" t="s">
        <v>100</v>
      </c>
      <c r="K94" s="163">
        <v>0.47673600000000005</v>
      </c>
      <c r="L94" s="112" t="s">
        <v>23</v>
      </c>
      <c r="M94" s="112" t="s">
        <v>924</v>
      </c>
      <c r="N94" s="123"/>
      <c r="O94" s="122" t="s">
        <v>334</v>
      </c>
    </row>
    <row r="95" spans="1:15" s="21" customFormat="1">
      <c r="A95" s="242"/>
      <c r="B95" s="169">
        <v>7</v>
      </c>
      <c r="C95" s="112">
        <v>1358</v>
      </c>
      <c r="D95" s="113">
        <v>45275</v>
      </c>
      <c r="E95" s="112" t="s">
        <v>333</v>
      </c>
      <c r="F95" s="113">
        <v>45306</v>
      </c>
      <c r="G95" s="112" t="s">
        <v>43</v>
      </c>
      <c r="H95" s="123" t="s">
        <v>1409</v>
      </c>
      <c r="I95" s="114" t="s">
        <v>3</v>
      </c>
      <c r="J95" s="174" t="s">
        <v>100</v>
      </c>
      <c r="K95" s="163">
        <v>48.156600000000005</v>
      </c>
      <c r="L95" s="112" t="s">
        <v>411</v>
      </c>
      <c r="M95" s="112" t="s">
        <v>924</v>
      </c>
      <c r="N95" s="123"/>
      <c r="O95" s="122" t="s">
        <v>334</v>
      </c>
    </row>
    <row r="96" spans="1:15" s="21" customFormat="1">
      <c r="A96" s="242"/>
      <c r="B96" s="169">
        <v>7</v>
      </c>
      <c r="C96" s="112">
        <v>1359</v>
      </c>
      <c r="D96" s="113">
        <v>45275</v>
      </c>
      <c r="E96" s="112" t="s">
        <v>9</v>
      </c>
      <c r="F96" s="113">
        <v>45329</v>
      </c>
      <c r="G96" s="112" t="s">
        <v>43</v>
      </c>
      <c r="H96" s="162" t="s">
        <v>51</v>
      </c>
      <c r="I96" s="114" t="s">
        <v>3</v>
      </c>
      <c r="J96" s="174" t="s">
        <v>96</v>
      </c>
      <c r="K96" s="163">
        <v>0.30720000000000003</v>
      </c>
      <c r="L96" s="112" t="s">
        <v>23</v>
      </c>
      <c r="M96" s="112" t="s">
        <v>924</v>
      </c>
      <c r="N96" s="123"/>
      <c r="O96" s="122" t="s">
        <v>334</v>
      </c>
    </row>
    <row r="97" spans="1:15" s="21" customFormat="1">
      <c r="A97" s="242"/>
      <c r="B97" s="169">
        <v>7</v>
      </c>
      <c r="C97" s="112">
        <v>1358</v>
      </c>
      <c r="D97" s="113">
        <v>45275</v>
      </c>
      <c r="E97" s="112" t="s">
        <v>333</v>
      </c>
      <c r="F97" s="113">
        <v>45306</v>
      </c>
      <c r="G97" s="112" t="s">
        <v>43</v>
      </c>
      <c r="H97" s="123" t="s">
        <v>1409</v>
      </c>
      <c r="I97" s="114" t="s">
        <v>3</v>
      </c>
      <c r="J97" s="174" t="s">
        <v>96</v>
      </c>
      <c r="K97" s="163">
        <v>29.867879999999996</v>
      </c>
      <c r="L97" s="112" t="s">
        <v>411</v>
      </c>
      <c r="M97" s="112" t="s">
        <v>924</v>
      </c>
      <c r="N97" s="123"/>
      <c r="O97" s="122" t="s">
        <v>334</v>
      </c>
    </row>
    <row r="98" spans="1:15" s="102" customFormat="1">
      <c r="A98" s="242"/>
      <c r="B98" s="169">
        <v>7</v>
      </c>
      <c r="C98" s="112">
        <v>1395</v>
      </c>
      <c r="D98" s="113">
        <v>45288</v>
      </c>
      <c r="E98" s="112" t="s">
        <v>333</v>
      </c>
      <c r="F98" s="113">
        <v>45329</v>
      </c>
      <c r="G98" s="112" t="s">
        <v>43</v>
      </c>
      <c r="H98" s="116" t="s">
        <v>51</v>
      </c>
      <c r="I98" s="112" t="s">
        <v>3</v>
      </c>
      <c r="J98" s="120" t="s">
        <v>89</v>
      </c>
      <c r="K98" s="141">
        <v>8.3199999999999996E-2</v>
      </c>
      <c r="L98" s="112" t="s">
        <v>436</v>
      </c>
      <c r="M98" s="112" t="s">
        <v>924</v>
      </c>
      <c r="N98" s="112"/>
      <c r="O98" s="122" t="s">
        <v>334</v>
      </c>
    </row>
    <row r="99" spans="1:15" s="102" customFormat="1">
      <c r="A99" s="242"/>
      <c r="B99" s="169">
        <v>7</v>
      </c>
      <c r="C99" s="112">
        <v>1400</v>
      </c>
      <c r="D99" s="113">
        <v>45288</v>
      </c>
      <c r="E99" s="112" t="s">
        <v>9</v>
      </c>
      <c r="F99" s="113">
        <v>45329</v>
      </c>
      <c r="G99" s="114" t="s">
        <v>43</v>
      </c>
      <c r="H99" s="114" t="s">
        <v>51</v>
      </c>
      <c r="I99" s="112" t="s">
        <v>3</v>
      </c>
      <c r="J99" s="120" t="s">
        <v>100</v>
      </c>
      <c r="K99" s="141">
        <v>8.2000000000000003E-2</v>
      </c>
      <c r="L99" s="112" t="s">
        <v>427</v>
      </c>
      <c r="M99" s="112" t="s">
        <v>924</v>
      </c>
      <c r="N99" s="112"/>
      <c r="O99" s="122" t="s">
        <v>334</v>
      </c>
    </row>
    <row r="100" spans="1:15" s="102" customFormat="1">
      <c r="A100" s="242"/>
      <c r="B100" s="169">
        <v>7</v>
      </c>
      <c r="C100" s="112">
        <v>1402</v>
      </c>
      <c r="D100" s="113">
        <v>45288</v>
      </c>
      <c r="E100" s="112" t="s">
        <v>9</v>
      </c>
      <c r="F100" s="113">
        <v>45329</v>
      </c>
      <c r="G100" s="114" t="s">
        <v>43</v>
      </c>
      <c r="H100" s="114" t="s">
        <v>51</v>
      </c>
      <c r="I100" s="112" t="s">
        <v>3</v>
      </c>
      <c r="J100" s="120" t="s">
        <v>100</v>
      </c>
      <c r="K100" s="148">
        <v>0.28399999999999997</v>
      </c>
      <c r="L100" s="112" t="s">
        <v>826</v>
      </c>
      <c r="M100" s="112"/>
      <c r="N100" s="140" t="s">
        <v>634</v>
      </c>
      <c r="O100" s="122" t="s">
        <v>334</v>
      </c>
    </row>
    <row r="101" spans="1:15" s="102" customFormat="1">
      <c r="A101" s="242"/>
      <c r="B101" s="169">
        <v>7</v>
      </c>
      <c r="C101" s="112">
        <v>1395</v>
      </c>
      <c r="D101" s="113">
        <v>45288</v>
      </c>
      <c r="E101" s="112" t="s">
        <v>333</v>
      </c>
      <c r="F101" s="113">
        <v>45329</v>
      </c>
      <c r="G101" s="112" t="s">
        <v>43</v>
      </c>
      <c r="H101" s="116" t="s">
        <v>51</v>
      </c>
      <c r="I101" s="112" t="s">
        <v>3</v>
      </c>
      <c r="J101" s="120" t="s">
        <v>97</v>
      </c>
      <c r="K101" s="141">
        <v>0.74520000000000008</v>
      </c>
      <c r="L101" s="112" t="s">
        <v>1485</v>
      </c>
      <c r="M101" s="112" t="s">
        <v>924</v>
      </c>
      <c r="N101" s="112"/>
    </row>
    <row r="102" spans="1:15" s="21" customFormat="1" ht="13.8">
      <c r="A102" s="242"/>
      <c r="B102" s="120"/>
      <c r="C102" s="112"/>
      <c r="D102" s="112"/>
      <c r="E102" s="112"/>
      <c r="F102" s="113"/>
      <c r="G102" s="173"/>
      <c r="H102" s="112"/>
      <c r="I102" s="114"/>
      <c r="J102" s="174"/>
      <c r="K102" s="165">
        <f>SUM(K94:K101)</f>
        <v>80.00281600000001</v>
      </c>
      <c r="L102" s="112"/>
      <c r="M102" s="112"/>
      <c r="N102" s="112"/>
    </row>
    <row r="103" spans="1:15" s="21" customFormat="1" ht="13.8">
      <c r="A103" s="120"/>
      <c r="B103" s="120"/>
      <c r="C103" s="112"/>
      <c r="D103" s="112"/>
      <c r="E103" s="112"/>
      <c r="F103" s="113"/>
      <c r="G103" s="112"/>
      <c r="H103" s="112"/>
      <c r="I103" s="112"/>
      <c r="J103" s="112"/>
      <c r="K103" s="165">
        <f>SUM(K102,K93)</f>
        <v>188.56593700000002</v>
      </c>
      <c r="L103" s="112"/>
      <c r="M103" s="112"/>
      <c r="N103" s="112"/>
    </row>
    <row r="104" spans="1:15" s="21" customFormat="1" ht="13.8">
      <c r="A104" s="176"/>
      <c r="B104" s="120"/>
      <c r="C104" s="112"/>
      <c r="D104" s="112"/>
      <c r="E104" s="112"/>
      <c r="F104" s="113"/>
      <c r="G104" s="112"/>
      <c r="H104" s="112"/>
      <c r="I104" s="112"/>
      <c r="J104" s="112"/>
      <c r="K104" s="165"/>
      <c r="L104" s="112"/>
      <c r="M104" s="112"/>
      <c r="N104" s="112"/>
    </row>
    <row r="105" spans="1:15" s="21" customFormat="1">
      <c r="A105" s="242" t="s">
        <v>1519</v>
      </c>
      <c r="B105" s="169">
        <v>8</v>
      </c>
      <c r="C105" s="112">
        <v>1359</v>
      </c>
      <c r="D105" s="113">
        <v>45275</v>
      </c>
      <c r="E105" s="112" t="s">
        <v>9</v>
      </c>
      <c r="F105" s="113">
        <v>45329</v>
      </c>
      <c r="G105" s="112" t="s">
        <v>43</v>
      </c>
      <c r="H105" s="162" t="s">
        <v>44</v>
      </c>
      <c r="I105" s="114" t="s">
        <v>2</v>
      </c>
      <c r="J105" s="174" t="s">
        <v>54</v>
      </c>
      <c r="K105" s="158">
        <v>2.5650200000000001</v>
      </c>
      <c r="L105" s="112" t="s">
        <v>23</v>
      </c>
      <c r="M105" s="116" t="s">
        <v>1507</v>
      </c>
      <c r="N105" s="123"/>
      <c r="O105" s="122" t="s">
        <v>334</v>
      </c>
    </row>
    <row r="106" spans="1:15" s="21" customFormat="1">
      <c r="A106" s="242"/>
      <c r="B106" s="169">
        <v>8</v>
      </c>
      <c r="C106" s="112">
        <v>1357</v>
      </c>
      <c r="D106" s="113">
        <v>45275</v>
      </c>
      <c r="E106" s="112" t="s">
        <v>333</v>
      </c>
      <c r="F106" s="113">
        <v>45306</v>
      </c>
      <c r="G106" s="112" t="s">
        <v>43</v>
      </c>
      <c r="H106" s="123" t="s">
        <v>93</v>
      </c>
      <c r="I106" s="114" t="s">
        <v>2</v>
      </c>
      <c r="J106" s="174" t="s">
        <v>54</v>
      </c>
      <c r="K106" s="163">
        <v>5.4634</v>
      </c>
      <c r="L106" s="112" t="s">
        <v>189</v>
      </c>
      <c r="M106" s="116" t="s">
        <v>1507</v>
      </c>
      <c r="N106" s="123"/>
      <c r="O106" s="122" t="s">
        <v>334</v>
      </c>
    </row>
    <row r="107" spans="1:15" s="21" customFormat="1">
      <c r="A107" s="242"/>
      <c r="B107" s="169">
        <v>8</v>
      </c>
      <c r="C107" s="112">
        <v>1358</v>
      </c>
      <c r="D107" s="113">
        <v>45275</v>
      </c>
      <c r="E107" s="112" t="s">
        <v>333</v>
      </c>
      <c r="F107" s="113">
        <v>45306</v>
      </c>
      <c r="G107" s="112" t="s">
        <v>43</v>
      </c>
      <c r="H107" s="123" t="s">
        <v>1028</v>
      </c>
      <c r="I107" s="114" t="s">
        <v>2</v>
      </c>
      <c r="J107" s="174" t="s">
        <v>54</v>
      </c>
      <c r="K107" s="163">
        <v>37.744686000000002</v>
      </c>
      <c r="L107" s="112" t="s">
        <v>411</v>
      </c>
      <c r="M107" s="116" t="s">
        <v>1507</v>
      </c>
      <c r="N107" s="123"/>
      <c r="O107" s="122" t="s">
        <v>334</v>
      </c>
    </row>
    <row r="108" spans="1:15" s="21" customFormat="1">
      <c r="A108" s="242"/>
      <c r="B108" s="169">
        <v>8</v>
      </c>
      <c r="C108" s="112">
        <v>1359</v>
      </c>
      <c r="D108" s="113">
        <v>45275</v>
      </c>
      <c r="E108" s="112" t="s">
        <v>9</v>
      </c>
      <c r="F108" s="113">
        <v>45329</v>
      </c>
      <c r="G108" s="112" t="s">
        <v>43</v>
      </c>
      <c r="H108" s="162" t="s">
        <v>44</v>
      </c>
      <c r="I108" s="114" t="s">
        <v>2</v>
      </c>
      <c r="J108" s="174" t="s">
        <v>56</v>
      </c>
      <c r="K108" s="158">
        <v>2.3927900000000002</v>
      </c>
      <c r="L108" s="112" t="s">
        <v>23</v>
      </c>
      <c r="M108" s="116" t="s">
        <v>1507</v>
      </c>
      <c r="N108" s="123"/>
      <c r="O108" s="122" t="s">
        <v>334</v>
      </c>
    </row>
    <row r="109" spans="1:15" s="21" customFormat="1">
      <c r="A109" s="242"/>
      <c r="B109" s="169">
        <v>8</v>
      </c>
      <c r="C109" s="112">
        <v>1356</v>
      </c>
      <c r="D109" s="113">
        <v>45275</v>
      </c>
      <c r="E109" s="112" t="s">
        <v>333</v>
      </c>
      <c r="F109" s="113">
        <v>45298</v>
      </c>
      <c r="G109" s="112" t="s">
        <v>43</v>
      </c>
      <c r="H109" s="166" t="s">
        <v>1070</v>
      </c>
      <c r="I109" s="114" t="s">
        <v>2</v>
      </c>
      <c r="J109" s="174" t="s">
        <v>56</v>
      </c>
      <c r="K109" s="163">
        <v>6.5270000000000009E-2</v>
      </c>
      <c r="L109" s="112" t="s">
        <v>85</v>
      </c>
      <c r="M109" s="112" t="s">
        <v>1402</v>
      </c>
      <c r="N109" s="112"/>
      <c r="O109" s="122" t="s">
        <v>334</v>
      </c>
    </row>
    <row r="110" spans="1:15" s="21" customFormat="1">
      <c r="A110" s="242"/>
      <c r="B110" s="169">
        <v>8</v>
      </c>
      <c r="C110" s="112">
        <v>1357</v>
      </c>
      <c r="D110" s="113">
        <v>45275</v>
      </c>
      <c r="E110" s="112" t="s">
        <v>333</v>
      </c>
      <c r="F110" s="113">
        <v>45306</v>
      </c>
      <c r="G110" s="112" t="s">
        <v>43</v>
      </c>
      <c r="H110" s="123" t="s">
        <v>93</v>
      </c>
      <c r="I110" s="114" t="s">
        <v>2</v>
      </c>
      <c r="J110" s="174" t="s">
        <v>56</v>
      </c>
      <c r="K110" s="163">
        <v>6.6032419999999998</v>
      </c>
      <c r="L110" s="112" t="s">
        <v>189</v>
      </c>
      <c r="M110" s="116" t="s">
        <v>1507</v>
      </c>
      <c r="N110" s="123"/>
      <c r="O110" s="122" t="s">
        <v>334</v>
      </c>
    </row>
    <row r="111" spans="1:15" s="21" customFormat="1">
      <c r="A111" s="242"/>
      <c r="B111" s="169">
        <v>8</v>
      </c>
      <c r="C111" s="112">
        <v>1358</v>
      </c>
      <c r="D111" s="113">
        <v>45275</v>
      </c>
      <c r="E111" s="112" t="s">
        <v>333</v>
      </c>
      <c r="F111" s="113">
        <v>45306</v>
      </c>
      <c r="G111" s="112" t="s">
        <v>43</v>
      </c>
      <c r="H111" s="123" t="s">
        <v>1028</v>
      </c>
      <c r="I111" s="114" t="s">
        <v>2</v>
      </c>
      <c r="J111" s="174" t="s">
        <v>56</v>
      </c>
      <c r="K111" s="163">
        <v>217.08159999999998</v>
      </c>
      <c r="L111" s="112" t="s">
        <v>411</v>
      </c>
      <c r="M111" s="116" t="s">
        <v>1507</v>
      </c>
      <c r="N111" s="123"/>
      <c r="O111" s="122" t="s">
        <v>334</v>
      </c>
    </row>
    <row r="112" spans="1:15" s="21" customFormat="1">
      <c r="A112" s="242"/>
      <c r="B112" s="169">
        <v>8</v>
      </c>
      <c r="C112" s="112">
        <v>1356</v>
      </c>
      <c r="D112" s="113">
        <v>45275</v>
      </c>
      <c r="E112" s="112" t="s">
        <v>333</v>
      </c>
      <c r="F112" s="113">
        <v>45298</v>
      </c>
      <c r="G112" s="112" t="s">
        <v>43</v>
      </c>
      <c r="H112" s="166" t="s">
        <v>1070</v>
      </c>
      <c r="I112" s="114" t="s">
        <v>2</v>
      </c>
      <c r="J112" s="174" t="s">
        <v>48</v>
      </c>
      <c r="K112" s="163">
        <v>0.14884</v>
      </c>
      <c r="L112" s="112" t="s">
        <v>85</v>
      </c>
      <c r="M112" s="112" t="s">
        <v>1402</v>
      </c>
      <c r="N112" s="112"/>
      <c r="O112" s="122" t="s">
        <v>334</v>
      </c>
    </row>
    <row r="113" spans="1:15" s="21" customFormat="1">
      <c r="A113" s="242"/>
      <c r="B113" s="169">
        <v>8</v>
      </c>
      <c r="C113" s="112">
        <v>1357</v>
      </c>
      <c r="D113" s="113">
        <v>45275</v>
      </c>
      <c r="E113" s="112" t="s">
        <v>333</v>
      </c>
      <c r="F113" s="113">
        <v>45306</v>
      </c>
      <c r="G113" s="112" t="s">
        <v>43</v>
      </c>
      <c r="H113" s="123" t="s">
        <v>93</v>
      </c>
      <c r="I113" s="114" t="s">
        <v>2</v>
      </c>
      <c r="J113" s="174" t="s">
        <v>48</v>
      </c>
      <c r="K113" s="163">
        <v>8.3344300000000011</v>
      </c>
      <c r="L113" s="112" t="s">
        <v>189</v>
      </c>
      <c r="M113" s="116" t="s">
        <v>1507</v>
      </c>
      <c r="N113" s="123"/>
      <c r="O113" s="122" t="s">
        <v>334</v>
      </c>
    </row>
    <row r="114" spans="1:15" s="21" customFormat="1">
      <c r="A114" s="242"/>
      <c r="B114" s="169">
        <v>8</v>
      </c>
      <c r="C114" s="112">
        <v>1358</v>
      </c>
      <c r="D114" s="113">
        <v>45275</v>
      </c>
      <c r="E114" s="112" t="s">
        <v>333</v>
      </c>
      <c r="F114" s="113">
        <v>45306</v>
      </c>
      <c r="G114" s="112" t="s">
        <v>43</v>
      </c>
      <c r="H114" s="123" t="s">
        <v>1028</v>
      </c>
      <c r="I114" s="114" t="s">
        <v>2</v>
      </c>
      <c r="J114" s="174" t="s">
        <v>48</v>
      </c>
      <c r="K114" s="163">
        <v>182.22408000000001</v>
      </c>
      <c r="L114" s="112" t="s">
        <v>411</v>
      </c>
      <c r="M114" s="116" t="s">
        <v>1507</v>
      </c>
      <c r="N114" s="123"/>
      <c r="O114" s="122" t="s">
        <v>334</v>
      </c>
    </row>
    <row r="115" spans="1:15" s="21" customFormat="1">
      <c r="A115" s="242"/>
      <c r="B115" s="169">
        <v>8</v>
      </c>
      <c r="C115" s="112">
        <v>1358</v>
      </c>
      <c r="D115" s="113">
        <v>45275</v>
      </c>
      <c r="E115" s="112" t="s">
        <v>333</v>
      </c>
      <c r="F115" s="113">
        <v>45306</v>
      </c>
      <c r="G115" s="112" t="s">
        <v>43</v>
      </c>
      <c r="H115" s="123" t="s">
        <v>1028</v>
      </c>
      <c r="I115" s="114" t="s">
        <v>2</v>
      </c>
      <c r="J115" s="174" t="s">
        <v>516</v>
      </c>
      <c r="K115" s="163">
        <v>8.5516800000000011</v>
      </c>
      <c r="L115" s="112" t="s">
        <v>411</v>
      </c>
      <c r="M115" s="116" t="s">
        <v>1507</v>
      </c>
      <c r="N115" s="123"/>
      <c r="O115" s="122" t="s">
        <v>334</v>
      </c>
    </row>
    <row r="116" spans="1:15" s="102" customFormat="1">
      <c r="A116" s="242"/>
      <c r="B116" s="169">
        <v>8</v>
      </c>
      <c r="C116" s="112">
        <v>1396</v>
      </c>
      <c r="D116" s="113">
        <v>45288</v>
      </c>
      <c r="E116" s="112" t="s">
        <v>333</v>
      </c>
      <c r="F116" s="113">
        <v>45306</v>
      </c>
      <c r="G116" s="114" t="s">
        <v>43</v>
      </c>
      <c r="H116" s="119" t="s">
        <v>20</v>
      </c>
      <c r="I116" s="112" t="s">
        <v>2</v>
      </c>
      <c r="J116" s="120" t="s">
        <v>57</v>
      </c>
      <c r="K116" s="141">
        <v>0.72</v>
      </c>
      <c r="L116" s="112" t="s">
        <v>1487</v>
      </c>
      <c r="M116" s="112"/>
      <c r="N116" s="112" t="s">
        <v>634</v>
      </c>
    </row>
    <row r="117" spans="1:15" s="102" customFormat="1">
      <c r="A117" s="242"/>
      <c r="B117" s="169">
        <v>8</v>
      </c>
      <c r="C117" s="112">
        <v>1397</v>
      </c>
      <c r="D117" s="113">
        <v>45288</v>
      </c>
      <c r="E117" s="112" t="s">
        <v>333</v>
      </c>
      <c r="F117" s="11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c>
      <c r="K117" s="141">
        <v>0.20100000000000001</v>
      </c>
      <c r="L117" s="112" t="s">
        <v>189</v>
      </c>
      <c r="M117" s="112"/>
      <c r="N117" s="112" t="s">
        <v>634</v>
      </c>
    </row>
    <row r="118" spans="1:15" s="102" customFormat="1">
      <c r="A118" s="242"/>
      <c r="B118" s="169">
        <v>8</v>
      </c>
      <c r="C118" s="112">
        <v>1398</v>
      </c>
      <c r="D118" s="113">
        <v>45288</v>
      </c>
      <c r="E118" s="112" t="s">
        <v>9</v>
      </c>
      <c r="F118" s="113">
        <v>45329</v>
      </c>
      <c r="G118" s="114" t="s">
        <v>43</v>
      </c>
      <c r="H118" s="114" t="s">
        <v>44</v>
      </c>
      <c r="I118" s="112" t="s">
        <v>2</v>
      </c>
      <c r="J118" s="120" t="s">
        <v>54</v>
      </c>
      <c r="K118" s="141">
        <v>5.0599999999999999E-2</v>
      </c>
      <c r="L118" s="112" t="s">
        <v>23</v>
      </c>
      <c r="M118" s="116" t="s">
        <v>1507</v>
      </c>
      <c r="N118" s="112"/>
      <c r="O118" s="122" t="s">
        <v>334</v>
      </c>
    </row>
    <row r="119" spans="1:15" s="102" customFormat="1">
      <c r="A119" s="242"/>
      <c r="B119" s="169">
        <v>8</v>
      </c>
      <c r="C119" s="112">
        <v>1396</v>
      </c>
      <c r="D119" s="113">
        <v>45288</v>
      </c>
      <c r="E119" s="112" t="s">
        <v>333</v>
      </c>
      <c r="F119" s="113">
        <v>45306</v>
      </c>
      <c r="G119" s="114" t="s">
        <v>43</v>
      </c>
      <c r="H119" s="119" t="s">
        <v>20</v>
      </c>
      <c r="I119" s="112" t="s">
        <v>2</v>
      </c>
      <c r="J119" s="120" t="s">
        <v>54</v>
      </c>
      <c r="K119" s="141">
        <v>1.4445599999999998</v>
      </c>
      <c r="L119" s="112" t="s">
        <v>1487</v>
      </c>
      <c r="M119" s="112"/>
      <c r="N119" s="112"/>
      <c r="O119" s="122" t="s">
        <v>334</v>
      </c>
    </row>
    <row r="120" spans="1:15" s="102" customFormat="1">
      <c r="A120" s="242"/>
      <c r="B120" s="169">
        <v>8</v>
      </c>
      <c r="C120" s="112">
        <v>1397</v>
      </c>
      <c r="D120" s="113">
        <v>45288</v>
      </c>
      <c r="E120" s="112" t="s">
        <v>333</v>
      </c>
      <c r="F120" s="113">
        <v>45329</v>
      </c>
      <c r="G120" s="114" t="s">
        <v>43</v>
      </c>
      <c r="H120" s="119" t="s">
        <v>19</v>
      </c>
      <c r="I120" s="112" t="s">
        <v>2</v>
      </c>
      <c r="J120" s="120" t="s">
        <v>54</v>
      </c>
      <c r="K120" s="141">
        <v>1.5464200000000001</v>
      </c>
      <c r="L120" s="112" t="s">
        <v>189</v>
      </c>
      <c r="M120" s="116" t="s">
        <v>1507</v>
      </c>
      <c r="N120" s="112"/>
      <c r="O120" s="122" t="s">
        <v>334</v>
      </c>
    </row>
    <row r="121" spans="1:15" s="102" customFormat="1">
      <c r="A121" s="242"/>
      <c r="B121" s="169">
        <v>8</v>
      </c>
      <c r="C121" s="112">
        <v>1396</v>
      </c>
      <c r="D121" s="113">
        <v>45288</v>
      </c>
      <c r="E121" s="112" t="s">
        <v>333</v>
      </c>
      <c r="F121" s="113">
        <v>45306</v>
      </c>
      <c r="G121" s="114" t="s">
        <v>43</v>
      </c>
      <c r="H121" s="119" t="s">
        <v>20</v>
      </c>
      <c r="I121" s="112" t="s">
        <v>2</v>
      </c>
      <c r="J121" s="120" t="s">
        <v>56</v>
      </c>
      <c r="K121" s="141">
        <v>1.1588399999999999</v>
      </c>
      <c r="L121" s="112" t="s">
        <v>1487</v>
      </c>
      <c r="M121" s="112"/>
      <c r="N121" s="112"/>
      <c r="O121" s="122" t="s">
        <v>334</v>
      </c>
    </row>
    <row r="122" spans="1:15" s="102" customFormat="1">
      <c r="A122" s="242"/>
      <c r="B122" s="169">
        <v>8</v>
      </c>
      <c r="C122" s="112">
        <v>1397</v>
      </c>
      <c r="D122" s="113">
        <v>45288</v>
      </c>
      <c r="E122" s="112" t="s">
        <v>333</v>
      </c>
      <c r="F122" s="113">
        <v>45329</v>
      </c>
      <c r="G122" s="114" t="s">
        <v>43</v>
      </c>
      <c r="H122" s="119" t="s">
        <v>19</v>
      </c>
      <c r="I122" s="112" t="s">
        <v>2</v>
      </c>
      <c r="J122" s="120" t="s">
        <v>56</v>
      </c>
      <c r="K122" s="141">
        <v>0.61804799999999993</v>
      </c>
      <c r="L122" s="112" t="s">
        <v>189</v>
      </c>
      <c r="M122" s="116" t="s">
        <v>1507</v>
      </c>
      <c r="N122" s="112"/>
      <c r="O122" s="122" t="s">
        <v>334</v>
      </c>
    </row>
    <row r="123" spans="1:15" s="102" customFormat="1">
      <c r="A123" s="242"/>
      <c r="B123" s="169">
        <v>8</v>
      </c>
      <c r="C123" s="112">
        <v>1398</v>
      </c>
      <c r="D123" s="113">
        <v>45288</v>
      </c>
      <c r="E123" s="112" t="s">
        <v>9</v>
      </c>
      <c r="F123" s="113">
        <v>45329</v>
      </c>
      <c r="G123" s="114" t="s">
        <v>43</v>
      </c>
      <c r="H123" s="114" t="s">
        <v>44</v>
      </c>
      <c r="I123" s="112" t="s">
        <v>2</v>
      </c>
      <c r="J123" s="120" t="s">
        <v>48</v>
      </c>
      <c r="K123" s="141">
        <v>1.21E-2</v>
      </c>
      <c r="L123" s="112" t="s">
        <v>23</v>
      </c>
      <c r="M123" s="116" t="s">
        <v>1507</v>
      </c>
      <c r="N123" s="112"/>
      <c r="O123" s="122" t="s">
        <v>334</v>
      </c>
    </row>
    <row r="124" spans="1:15" s="102" customFormat="1">
      <c r="A124" s="242"/>
      <c r="B124" s="169">
        <v>8</v>
      </c>
      <c r="C124" s="112">
        <v>1399</v>
      </c>
      <c r="D124" s="113">
        <v>45288</v>
      </c>
      <c r="E124" s="112" t="s">
        <v>9</v>
      </c>
      <c r="F124" s="113">
        <v>45329</v>
      </c>
      <c r="G124" s="114" t="s">
        <v>43</v>
      </c>
      <c r="H124" s="119" t="s">
        <v>126</v>
      </c>
      <c r="I124" s="112" t="s">
        <v>2</v>
      </c>
      <c r="J124" s="120" t="s">
        <v>48</v>
      </c>
      <c r="K124" s="141">
        <v>1.21E-2</v>
      </c>
      <c r="L124" s="112" t="s">
        <v>23</v>
      </c>
      <c r="M124" s="112"/>
      <c r="N124" s="112"/>
      <c r="O124" s="122" t="s">
        <v>334</v>
      </c>
    </row>
    <row r="125" spans="1:15" s="102" customFormat="1">
      <c r="A125" s="242"/>
      <c r="B125" s="169">
        <v>8</v>
      </c>
      <c r="C125" s="112">
        <v>1396</v>
      </c>
      <c r="D125" s="113">
        <v>45288</v>
      </c>
      <c r="E125" s="112" t="s">
        <v>333</v>
      </c>
      <c r="F125" s="113">
        <v>45306</v>
      </c>
      <c r="G125" s="114" t="s">
        <v>43</v>
      </c>
      <c r="H125" s="119" t="s">
        <v>20</v>
      </c>
      <c r="I125" s="112" t="s">
        <v>2</v>
      </c>
      <c r="J125" s="120" t="s">
        <v>48</v>
      </c>
      <c r="K125" s="141">
        <v>2.4888000000000003</v>
      </c>
      <c r="L125" s="112" t="s">
        <v>1487</v>
      </c>
      <c r="M125" s="112"/>
      <c r="N125" s="112"/>
      <c r="O125" s="122" t="s">
        <v>334</v>
      </c>
    </row>
    <row r="126" spans="1:15" s="102" customFormat="1">
      <c r="A126" s="242"/>
      <c r="B126" s="169">
        <v>8</v>
      </c>
      <c r="C126" s="112">
        <v>1397</v>
      </c>
      <c r="D126" s="113">
        <v>45288</v>
      </c>
      <c r="E126" s="112" t="s">
        <v>333</v>
      </c>
      <c r="F126" s="113">
        <v>45329</v>
      </c>
      <c r="G126" s="114" t="s">
        <v>43</v>
      </c>
      <c r="H126" s="119" t="s">
        <v>19</v>
      </c>
      <c r="I126" s="112" t="s">
        <v>2</v>
      </c>
      <c r="J126" s="120" t="s">
        <v>48</v>
      </c>
      <c r="K126" s="141">
        <v>0.15128</v>
      </c>
      <c r="L126" s="112" t="s">
        <v>189</v>
      </c>
      <c r="M126" s="116" t="s">
        <v>1507</v>
      </c>
      <c r="N126" s="112"/>
      <c r="O126" s="122" t="s">
        <v>334</v>
      </c>
    </row>
    <row r="127" spans="1:15" s="21" customFormat="1" ht="13.8">
      <c r="A127" s="242"/>
      <c r="B127" s="169">
        <v>8</v>
      </c>
      <c r="C127" s="112"/>
      <c r="D127" s="112"/>
      <c r="E127" s="112"/>
      <c r="F127" s="113"/>
      <c r="G127" s="173"/>
      <c r="H127" s="112"/>
      <c r="I127" s="114"/>
      <c r="J127" s="174"/>
      <c r="K127" s="165">
        <f>SUM(K105:K126)</f>
        <v>479.57878599999998</v>
      </c>
      <c r="L127" s="112"/>
      <c r="M127" s="112"/>
      <c r="N127" s="112"/>
    </row>
    <row r="128" spans="1:15" s="21" customFormat="1">
      <c r="A128" s="242"/>
      <c r="B128" s="169">
        <v>8</v>
      </c>
      <c r="C128" s="112">
        <v>1359</v>
      </c>
      <c r="D128" s="113">
        <v>45275</v>
      </c>
      <c r="E128" s="112" t="s">
        <v>9</v>
      </c>
      <c r="F128" s="113">
        <v>45329</v>
      </c>
      <c r="G128" s="112" t="s">
        <v>43</v>
      </c>
      <c r="H128" s="162" t="s">
        <v>51</v>
      </c>
      <c r="I128" s="114" t="s">
        <v>3</v>
      </c>
      <c r="J128" s="174" t="s">
        <v>54</v>
      </c>
      <c r="K128" s="163">
        <v>0.17594000000000001</v>
      </c>
      <c r="L128" s="112" t="s">
        <v>23</v>
      </c>
      <c r="M128" s="112" t="s">
        <v>1461</v>
      </c>
      <c r="N128" s="112"/>
      <c r="O128" s="122" t="s">
        <v>334</v>
      </c>
    </row>
    <row r="129" spans="1:15" s="21" customFormat="1">
      <c r="A129" s="242"/>
      <c r="B129" s="169">
        <v>8</v>
      </c>
      <c r="C129" s="112">
        <v>1358</v>
      </c>
      <c r="D129" s="113">
        <v>45275</v>
      </c>
      <c r="E129" s="112" t="s">
        <v>333</v>
      </c>
      <c r="F129" s="113">
        <v>45306</v>
      </c>
      <c r="G129" s="112" t="s">
        <v>43</v>
      </c>
      <c r="H129" s="123" t="s">
        <v>1409</v>
      </c>
      <c r="I129" s="114" t="s">
        <v>3</v>
      </c>
      <c r="J129" s="174" t="s">
        <v>98</v>
      </c>
      <c r="K129" s="163">
        <v>83.784480000000002</v>
      </c>
      <c r="L129" s="112" t="s">
        <v>411</v>
      </c>
      <c r="M129" s="112" t="s">
        <v>1461</v>
      </c>
      <c r="N129" s="112"/>
      <c r="O129" s="122" t="s">
        <v>334</v>
      </c>
    </row>
    <row r="130" spans="1:15" s="21" customFormat="1">
      <c r="A130" s="242"/>
      <c r="B130" s="169">
        <v>8</v>
      </c>
      <c r="C130" s="112">
        <v>1359</v>
      </c>
      <c r="D130" s="113">
        <v>45275</v>
      </c>
      <c r="E130" s="112" t="s">
        <v>9</v>
      </c>
      <c r="F130" s="113">
        <v>45329</v>
      </c>
      <c r="G130" s="112" t="s">
        <v>43</v>
      </c>
      <c r="H130" s="162" t="s">
        <v>51</v>
      </c>
      <c r="I130" s="114" t="s">
        <v>3</v>
      </c>
      <c r="J130" s="174" t="s">
        <v>56</v>
      </c>
      <c r="K130" s="163">
        <v>0.79831200000000002</v>
      </c>
      <c r="L130" s="112" t="s">
        <v>23</v>
      </c>
      <c r="M130" s="112" t="s">
        <v>1461</v>
      </c>
      <c r="N130" s="112"/>
      <c r="O130" s="122" t="s">
        <v>334</v>
      </c>
    </row>
    <row r="131" spans="1:15" s="21" customFormat="1">
      <c r="A131" s="242"/>
      <c r="B131" s="169">
        <v>8</v>
      </c>
      <c r="C131" s="112">
        <v>1358</v>
      </c>
      <c r="D131" s="113">
        <v>45275</v>
      </c>
      <c r="E131" s="112" t="s">
        <v>333</v>
      </c>
      <c r="F131" s="113">
        <v>45306</v>
      </c>
      <c r="G131" s="112" t="s">
        <v>43</v>
      </c>
      <c r="H131" s="123" t="s">
        <v>1409</v>
      </c>
      <c r="I131" s="114" t="s">
        <v>3</v>
      </c>
      <c r="J131" s="174" t="s">
        <v>56</v>
      </c>
      <c r="K131" s="163">
        <v>16.563599999999997</v>
      </c>
      <c r="L131" s="112" t="s">
        <v>411</v>
      </c>
      <c r="M131" s="112" t="s">
        <v>1461</v>
      </c>
      <c r="N131" s="112"/>
      <c r="O131" s="122" t="s">
        <v>334</v>
      </c>
    </row>
    <row r="132" spans="1:15" s="21" customFormat="1">
      <c r="A132" s="242"/>
      <c r="B132" s="169">
        <v>8</v>
      </c>
      <c r="C132" s="112">
        <v>1357</v>
      </c>
      <c r="D132" s="113">
        <v>45275</v>
      </c>
      <c r="E132" s="112" t="s">
        <v>333</v>
      </c>
      <c r="F132" s="113">
        <v>45306</v>
      </c>
      <c r="G132" s="112" t="s">
        <v>43</v>
      </c>
      <c r="H132" s="123" t="s">
        <v>190</v>
      </c>
      <c r="I132" s="114" t="s">
        <v>3</v>
      </c>
      <c r="J132" s="174" t="s">
        <v>48</v>
      </c>
      <c r="K132" s="163">
        <v>9.6990000000000007E-2</v>
      </c>
      <c r="L132" s="112" t="s">
        <v>189</v>
      </c>
      <c r="M132" s="112" t="s">
        <v>1461</v>
      </c>
      <c r="N132" s="112"/>
      <c r="O132" s="122" t="s">
        <v>334</v>
      </c>
    </row>
    <row r="133" spans="1:15" s="21" customFormat="1">
      <c r="A133" s="242"/>
      <c r="B133" s="169">
        <v>8</v>
      </c>
      <c r="C133" s="112">
        <v>1358</v>
      </c>
      <c r="D133" s="113">
        <v>45275</v>
      </c>
      <c r="E133" s="112" t="s">
        <v>333</v>
      </c>
      <c r="F133" s="113">
        <v>45306</v>
      </c>
      <c r="G133" s="112" t="s">
        <v>43</v>
      </c>
      <c r="H133" s="123" t="s">
        <v>1409</v>
      </c>
      <c r="I133" s="114" t="s">
        <v>3</v>
      </c>
      <c r="J133" s="174" t="s">
        <v>101</v>
      </c>
      <c r="K133" s="163">
        <v>11.6388</v>
      </c>
      <c r="L133" s="112" t="s">
        <v>411</v>
      </c>
      <c r="M133" s="112" t="s">
        <v>1461</v>
      </c>
      <c r="N133" s="112"/>
      <c r="O133" s="122" t="s">
        <v>334</v>
      </c>
    </row>
    <row r="134" spans="1:15" s="102" customFormat="1">
      <c r="A134" s="242"/>
      <c r="B134" s="169">
        <v>8</v>
      </c>
      <c r="C134" s="112">
        <v>1399</v>
      </c>
      <c r="D134" s="113">
        <v>45288</v>
      </c>
      <c r="E134" s="112" t="s">
        <v>9</v>
      </c>
      <c r="F134" s="113">
        <v>45329</v>
      </c>
      <c r="G134" s="114" t="s">
        <v>43</v>
      </c>
      <c r="H134" s="119" t="s">
        <v>1142</v>
      </c>
      <c r="I134" s="112" t="s">
        <v>3</v>
      </c>
      <c r="J134" s="120" t="s">
        <v>57</v>
      </c>
      <c r="K134" s="141">
        <v>5.96E-2</v>
      </c>
      <c r="L134" s="112" t="s">
        <v>23</v>
      </c>
      <c r="M134" s="112"/>
      <c r="N134" s="112" t="s">
        <v>634</v>
      </c>
    </row>
    <row r="135" spans="1:15" s="102" customFormat="1">
      <c r="A135" s="242"/>
      <c r="B135" s="169">
        <v>8</v>
      </c>
      <c r="C135" s="112">
        <v>1395</v>
      </c>
      <c r="D135" s="113">
        <v>45288</v>
      </c>
      <c r="E135" s="112" t="s">
        <v>333</v>
      </c>
      <c r="F135" s="113">
        <v>45329</v>
      </c>
      <c r="G135" s="112" t="s">
        <v>43</v>
      </c>
      <c r="H135" s="116" t="s">
        <v>51</v>
      </c>
      <c r="I135" s="112" t="s">
        <v>3</v>
      </c>
      <c r="J135" s="120" t="s">
        <v>57</v>
      </c>
      <c r="K135" s="141">
        <v>1.1174999999999999</v>
      </c>
      <c r="L135" s="112" t="s">
        <v>1485</v>
      </c>
      <c r="M135" s="112"/>
      <c r="N135" s="112" t="s">
        <v>634</v>
      </c>
    </row>
    <row r="136" spans="1:15" s="102" customFormat="1">
      <c r="A136" s="242"/>
      <c r="B136" s="169">
        <v>8</v>
      </c>
      <c r="C136" s="112">
        <v>1399</v>
      </c>
      <c r="D136" s="113">
        <v>45288</v>
      </c>
      <c r="E136" s="112" t="s">
        <v>9</v>
      </c>
      <c r="F136" s="113">
        <v>45329</v>
      </c>
      <c r="G136" s="114" t="s">
        <v>43</v>
      </c>
      <c r="H136" s="119" t="s">
        <v>1142</v>
      </c>
      <c r="I136" s="112" t="s">
        <v>3</v>
      </c>
      <c r="J136" s="120" t="s">
        <v>54</v>
      </c>
      <c r="K136" s="141">
        <v>9.1999999999999998E-3</v>
      </c>
      <c r="L136" s="112" t="s">
        <v>23</v>
      </c>
      <c r="M136" s="112" t="s">
        <v>1461</v>
      </c>
      <c r="N136" s="112"/>
      <c r="O136" s="122"/>
    </row>
    <row r="137" spans="1:15" s="102" customFormat="1">
      <c r="A137" s="242"/>
      <c r="B137" s="169">
        <v>8</v>
      </c>
      <c r="C137" s="112">
        <v>1395</v>
      </c>
      <c r="D137" s="113">
        <v>45288</v>
      </c>
      <c r="E137" s="112" t="s">
        <v>333</v>
      </c>
      <c r="F137" s="113">
        <v>45329</v>
      </c>
      <c r="G137" s="112" t="s">
        <v>43</v>
      </c>
      <c r="H137" s="116" t="s">
        <v>51</v>
      </c>
      <c r="I137" s="112" t="s">
        <v>3</v>
      </c>
      <c r="J137" s="120" t="s">
        <v>54</v>
      </c>
      <c r="K137" s="141">
        <v>0.40848000000000001</v>
      </c>
      <c r="L137" s="112" t="s">
        <v>436</v>
      </c>
      <c r="M137" s="112" t="s">
        <v>1461</v>
      </c>
      <c r="N137" s="112"/>
      <c r="O137" s="122" t="s">
        <v>334</v>
      </c>
    </row>
    <row r="138" spans="1:15" s="102" customFormat="1">
      <c r="A138" s="242"/>
      <c r="B138" s="169">
        <v>8</v>
      </c>
      <c r="C138" s="112">
        <v>1399</v>
      </c>
      <c r="D138" s="113">
        <v>45288</v>
      </c>
      <c r="E138" s="112" t="s">
        <v>9</v>
      </c>
      <c r="F138" s="113">
        <v>45329</v>
      </c>
      <c r="G138" s="114" t="s">
        <v>43</v>
      </c>
      <c r="H138" s="119" t="s">
        <v>1142</v>
      </c>
      <c r="I138" s="112" t="s">
        <v>3</v>
      </c>
      <c r="J138" s="120" t="s">
        <v>56</v>
      </c>
      <c r="K138" s="141">
        <v>7.7040000000000011E-2</v>
      </c>
      <c r="L138" s="112" t="s">
        <v>23</v>
      </c>
      <c r="M138" s="112"/>
      <c r="N138" s="112"/>
    </row>
    <row r="139" spans="1:15" s="102" customFormat="1">
      <c r="A139" s="242"/>
      <c r="B139" s="169">
        <v>8</v>
      </c>
      <c r="C139" s="112">
        <v>1402</v>
      </c>
      <c r="D139" s="113">
        <v>45288</v>
      </c>
      <c r="E139" s="112" t="s">
        <v>9</v>
      </c>
      <c r="F139" s="113">
        <v>45329</v>
      </c>
      <c r="G139" s="114" t="s">
        <v>43</v>
      </c>
      <c r="H139" s="114" t="s">
        <v>51</v>
      </c>
      <c r="I139" s="112" t="s">
        <v>3</v>
      </c>
      <c r="J139" s="120" t="s">
        <v>54</v>
      </c>
      <c r="K139" s="148">
        <v>0.14399999999999999</v>
      </c>
      <c r="L139" s="112" t="s">
        <v>826</v>
      </c>
      <c r="M139" s="112" t="s">
        <v>1461</v>
      </c>
      <c r="N139" s="112" t="s">
        <v>634</v>
      </c>
      <c r="O139" s="122" t="s">
        <v>334</v>
      </c>
    </row>
    <row r="140" spans="1:15" s="102" customFormat="1">
      <c r="A140" s="242"/>
      <c r="B140" s="169">
        <v>8</v>
      </c>
      <c r="C140" s="112">
        <v>1402</v>
      </c>
      <c r="D140" s="113">
        <v>45288</v>
      </c>
      <c r="E140" s="112" t="s">
        <v>9</v>
      </c>
      <c r="F140" s="113">
        <v>45329</v>
      </c>
      <c r="G140" s="114" t="s">
        <v>43</v>
      </c>
      <c r="H140" s="114" t="s">
        <v>51</v>
      </c>
      <c r="I140" s="112" t="s">
        <v>3</v>
      </c>
      <c r="J140" s="120" t="s">
        <v>48</v>
      </c>
      <c r="K140" s="148">
        <v>7.2220000000000004</v>
      </c>
      <c r="L140" s="112" t="s">
        <v>826</v>
      </c>
      <c r="M140" s="112" t="s">
        <v>1461</v>
      </c>
      <c r="N140" s="112"/>
      <c r="O140" s="122" t="s">
        <v>334</v>
      </c>
    </row>
    <row r="141" spans="1:15" s="21" customFormat="1" ht="13.8">
      <c r="A141" s="242"/>
      <c r="B141" s="169"/>
      <c r="C141" s="112"/>
      <c r="D141" s="112"/>
      <c r="E141" s="112"/>
      <c r="F141" s="113"/>
      <c r="G141" s="173"/>
      <c r="H141" s="112"/>
      <c r="I141" s="114"/>
      <c r="J141" s="174"/>
      <c r="K141" s="165">
        <f>SUM(K128:K140)</f>
        <v>122.09594200000001</v>
      </c>
      <c r="L141" s="112"/>
      <c r="M141" s="112"/>
      <c r="N141" s="112"/>
    </row>
    <row r="142" spans="1:15" s="21" customFormat="1" ht="13.8">
      <c r="A142" s="120"/>
      <c r="B142" s="169"/>
      <c r="C142" s="112"/>
      <c r="D142" s="112"/>
      <c r="E142" s="112"/>
      <c r="F142" s="113"/>
      <c r="G142" s="173"/>
      <c r="H142" s="112"/>
      <c r="I142" s="114"/>
      <c r="J142" s="174"/>
      <c r="K142" s="165">
        <f>SUM(K141,K127)</f>
        <v>601.67472799999996</v>
      </c>
      <c r="L142" s="112"/>
      <c r="M142" s="112"/>
      <c r="N142" s="112"/>
    </row>
    <row r="143" spans="1:15" s="21" customFormat="1" ht="13.8">
      <c r="A143" s="176"/>
      <c r="B143" s="176"/>
      <c r="C143" s="159"/>
      <c r="D143" s="112"/>
      <c r="E143" s="112"/>
      <c r="F143" s="113"/>
      <c r="G143" s="173"/>
      <c r="H143" s="112"/>
      <c r="I143" s="114"/>
      <c r="J143" s="174"/>
      <c r="K143" s="165"/>
      <c r="L143" s="112"/>
      <c r="M143" s="112"/>
      <c r="N143" s="112"/>
    </row>
    <row r="144" spans="1:15" s="21" customFormat="1">
      <c r="A144" s="250" t="s">
        <v>1520</v>
      </c>
      <c r="B144" s="169">
        <v>9</v>
      </c>
      <c r="C144" s="112">
        <v>1340</v>
      </c>
      <c r="D144" s="113">
        <v>45275</v>
      </c>
      <c r="E144" s="112" t="s">
        <v>9</v>
      </c>
      <c r="F144" s="113">
        <v>45298</v>
      </c>
      <c r="G144" s="112" t="s">
        <v>43</v>
      </c>
      <c r="H144" s="162" t="s">
        <v>44</v>
      </c>
      <c r="I144" s="112" t="s">
        <v>2</v>
      </c>
      <c r="J144" s="174" t="s">
        <v>49</v>
      </c>
      <c r="K144" s="163">
        <v>4.6740000000000004</v>
      </c>
      <c r="L144" s="112" t="s">
        <v>451</v>
      </c>
      <c r="M144" s="116" t="s">
        <v>1507</v>
      </c>
      <c r="N144" s="112"/>
      <c r="O144" s="122" t="s">
        <v>334</v>
      </c>
    </row>
    <row r="145" spans="1:15" s="21" customFormat="1">
      <c r="A145" s="251"/>
      <c r="B145" s="169">
        <v>9</v>
      </c>
      <c r="C145" s="112">
        <v>1359</v>
      </c>
      <c r="D145" s="113">
        <v>45275</v>
      </c>
      <c r="E145" s="112" t="s">
        <v>9</v>
      </c>
      <c r="F145" s="113">
        <v>45329</v>
      </c>
      <c r="G145" s="112" t="s">
        <v>43</v>
      </c>
      <c r="H145" s="162" t="s">
        <v>44</v>
      </c>
      <c r="I145" s="114" t="s">
        <v>2</v>
      </c>
      <c r="J145" s="174" t="s">
        <v>49</v>
      </c>
      <c r="K145" s="163">
        <v>1.6915799999999996</v>
      </c>
      <c r="L145" s="112" t="s">
        <v>23</v>
      </c>
      <c r="M145" s="116" t="s">
        <v>1507</v>
      </c>
      <c r="N145" s="123"/>
      <c r="O145" s="122" t="s">
        <v>334</v>
      </c>
    </row>
    <row r="146" spans="1:15" s="21" customFormat="1">
      <c r="A146" s="251"/>
      <c r="B146" s="169">
        <v>9</v>
      </c>
      <c r="C146" s="112">
        <v>1357</v>
      </c>
      <c r="D146" s="113">
        <v>45275</v>
      </c>
      <c r="E146" s="112" t="s">
        <v>333</v>
      </c>
      <c r="F146" s="113">
        <v>45306</v>
      </c>
      <c r="G146" s="112" t="s">
        <v>43</v>
      </c>
      <c r="H146" s="123" t="s">
        <v>93</v>
      </c>
      <c r="I146" s="114" t="s">
        <v>2</v>
      </c>
      <c r="J146" s="174" t="s">
        <v>49</v>
      </c>
      <c r="K146" s="163">
        <v>13.003900000000002</v>
      </c>
      <c r="L146" s="112" t="s">
        <v>189</v>
      </c>
      <c r="M146" s="116" t="s">
        <v>1507</v>
      </c>
      <c r="N146" s="123"/>
      <c r="O146" s="122" t="s">
        <v>334</v>
      </c>
    </row>
    <row r="147" spans="1:15" s="21" customFormat="1">
      <c r="A147" s="251"/>
      <c r="B147" s="169">
        <v>9</v>
      </c>
      <c r="C147" s="112">
        <v>1358</v>
      </c>
      <c r="D147" s="113">
        <v>45275</v>
      </c>
      <c r="E147" s="112" t="s">
        <v>333</v>
      </c>
      <c r="F147" s="113">
        <v>45306</v>
      </c>
      <c r="G147" s="112" t="s">
        <v>43</v>
      </c>
      <c r="H147" s="123" t="s">
        <v>1028</v>
      </c>
      <c r="I147" s="114" t="s">
        <v>2</v>
      </c>
      <c r="J147" s="174" t="s">
        <v>49</v>
      </c>
      <c r="K147" s="163">
        <v>24.788400000000003</v>
      </c>
      <c r="L147" s="112" t="s">
        <v>411</v>
      </c>
      <c r="M147" s="116" t="s">
        <v>1507</v>
      </c>
      <c r="N147" s="123"/>
      <c r="O147" s="122" t="s">
        <v>334</v>
      </c>
    </row>
    <row r="148" spans="1:15" s="21" customFormat="1">
      <c r="A148" s="251"/>
      <c r="B148" s="169">
        <v>9</v>
      </c>
      <c r="C148" s="112">
        <v>1358</v>
      </c>
      <c r="D148" s="113">
        <v>45275</v>
      </c>
      <c r="E148" s="112" t="s">
        <v>333</v>
      </c>
      <c r="F148" s="113">
        <v>45306</v>
      </c>
      <c r="G148" s="112" t="s">
        <v>43</v>
      </c>
      <c r="H148" s="123" t="s">
        <v>1028</v>
      </c>
      <c r="I148" s="114" t="s">
        <v>2</v>
      </c>
      <c r="J148" s="174" t="s">
        <v>1288</v>
      </c>
      <c r="K148" s="163">
        <v>8.4057600000000008</v>
      </c>
      <c r="L148" s="112" t="s">
        <v>411</v>
      </c>
      <c r="M148" s="116" t="s">
        <v>1507</v>
      </c>
      <c r="N148" s="123"/>
      <c r="O148" s="122" t="s">
        <v>334</v>
      </c>
    </row>
    <row r="149" spans="1:15" s="21" customFormat="1">
      <c r="A149" s="251"/>
      <c r="B149" s="169">
        <v>9</v>
      </c>
      <c r="C149" s="112">
        <v>1359</v>
      </c>
      <c r="D149" s="113">
        <v>45275</v>
      </c>
      <c r="E149" s="112" t="s">
        <v>9</v>
      </c>
      <c r="F149" s="113">
        <v>45329</v>
      </c>
      <c r="G149" s="112" t="s">
        <v>43</v>
      </c>
      <c r="H149" s="162" t="s">
        <v>44</v>
      </c>
      <c r="I149" s="114" t="s">
        <v>2</v>
      </c>
      <c r="J149" s="174" t="s">
        <v>50</v>
      </c>
      <c r="K149" s="163">
        <v>1.8764799999999999</v>
      </c>
      <c r="L149" s="112" t="s">
        <v>23</v>
      </c>
      <c r="M149" s="116" t="s">
        <v>1507</v>
      </c>
      <c r="N149" s="123"/>
      <c r="O149" s="122" t="s">
        <v>334</v>
      </c>
    </row>
    <row r="150" spans="1:15" s="21" customFormat="1">
      <c r="A150" s="251"/>
      <c r="B150" s="169">
        <v>9</v>
      </c>
      <c r="C150" s="112">
        <v>1357</v>
      </c>
      <c r="D150" s="113">
        <v>45275</v>
      </c>
      <c r="E150" s="112" t="s">
        <v>333</v>
      </c>
      <c r="F150" s="113">
        <v>45306</v>
      </c>
      <c r="G150" s="112" t="s">
        <v>43</v>
      </c>
      <c r="H150" s="123" t="s">
        <v>93</v>
      </c>
      <c r="I150" s="114" t="s">
        <v>2</v>
      </c>
      <c r="J150" s="174" t="s">
        <v>50</v>
      </c>
      <c r="K150" s="163">
        <v>1.6769400000000001</v>
      </c>
      <c r="L150" s="112" t="s">
        <v>189</v>
      </c>
      <c r="M150" s="116" t="s">
        <v>1507</v>
      </c>
      <c r="N150" s="123"/>
      <c r="O150" s="122" t="s">
        <v>334</v>
      </c>
    </row>
    <row r="151" spans="1:15" s="21" customFormat="1">
      <c r="A151" s="251"/>
      <c r="B151" s="169">
        <v>9</v>
      </c>
      <c r="C151" s="112">
        <v>1358</v>
      </c>
      <c r="D151" s="113">
        <v>45275</v>
      </c>
      <c r="E151" s="112" t="s">
        <v>333</v>
      </c>
      <c r="F151" s="113">
        <v>45306</v>
      </c>
      <c r="G151" s="112" t="s">
        <v>43</v>
      </c>
      <c r="H151" s="123" t="s">
        <v>1028</v>
      </c>
      <c r="I151" s="114" t="s">
        <v>2</v>
      </c>
      <c r="J151" s="174" t="s">
        <v>50</v>
      </c>
      <c r="K151" s="163">
        <v>7.5410999999999984</v>
      </c>
      <c r="L151" s="112" t="s">
        <v>411</v>
      </c>
      <c r="M151" s="116" t="s">
        <v>1507</v>
      </c>
      <c r="N151" s="123"/>
      <c r="O151" s="122" t="s">
        <v>334</v>
      </c>
    </row>
    <row r="152" spans="1:15" s="21" customFormat="1">
      <c r="A152" s="251"/>
      <c r="B152" s="169">
        <v>9</v>
      </c>
      <c r="C152" s="112">
        <v>1358</v>
      </c>
      <c r="D152" s="113">
        <v>45275</v>
      </c>
      <c r="E152" s="112" t="s">
        <v>333</v>
      </c>
      <c r="F152" s="113">
        <v>45306</v>
      </c>
      <c r="G152" s="112" t="s">
        <v>43</v>
      </c>
      <c r="H152" s="123" t="s">
        <v>1028</v>
      </c>
      <c r="I152" s="114" t="s">
        <v>2</v>
      </c>
      <c r="J152" s="174" t="s">
        <v>588</v>
      </c>
      <c r="K152" s="163">
        <v>153.43020000000001</v>
      </c>
      <c r="L152" s="112" t="s">
        <v>411</v>
      </c>
      <c r="M152" s="116" t="s">
        <v>1526</v>
      </c>
      <c r="N152" s="123"/>
      <c r="O152" s="122" t="s">
        <v>334</v>
      </c>
    </row>
    <row r="153" spans="1:15" s="21" customFormat="1">
      <c r="A153" s="251"/>
      <c r="B153" s="169">
        <v>9</v>
      </c>
      <c r="C153" s="112">
        <v>1441</v>
      </c>
      <c r="D153" s="113">
        <v>45288</v>
      </c>
      <c r="E153" s="112" t="s">
        <v>225</v>
      </c>
      <c r="F153" s="113">
        <v>45298</v>
      </c>
      <c r="G153" s="112" t="s">
        <v>43</v>
      </c>
      <c r="H153" s="123" t="s">
        <v>94</v>
      </c>
      <c r="I153" s="114" t="s">
        <v>2</v>
      </c>
      <c r="J153" s="120" t="s">
        <v>49</v>
      </c>
      <c r="K153" s="141">
        <v>26.872299999999999</v>
      </c>
      <c r="L153" s="112"/>
      <c r="M153" s="112" t="s">
        <v>1461</v>
      </c>
      <c r="N153" s="123"/>
      <c r="O153" s="122" t="s">
        <v>334</v>
      </c>
    </row>
    <row r="154" spans="1:15" s="102" customFormat="1">
      <c r="A154" s="251"/>
      <c r="B154" s="169">
        <v>9</v>
      </c>
      <c r="C154" s="112">
        <v>1398</v>
      </c>
      <c r="D154" s="113">
        <v>45288</v>
      </c>
      <c r="E154" s="112" t="s">
        <v>9</v>
      </c>
      <c r="F154" s="113">
        <v>45329</v>
      </c>
      <c r="G154" s="114" t="s">
        <v>43</v>
      </c>
      <c r="H154" s="114" t="s">
        <v>44</v>
      </c>
      <c r="I154" s="112" t="s">
        <v>2</v>
      </c>
      <c r="J154" s="120" t="s">
        <v>49</v>
      </c>
      <c r="K154" s="141">
        <v>1.8200000000000001E-2</v>
      </c>
      <c r="L154" s="112" t="s">
        <v>23</v>
      </c>
      <c r="M154" s="116" t="s">
        <v>1526</v>
      </c>
      <c r="N154" s="112"/>
      <c r="O154" s="122" t="s">
        <v>334</v>
      </c>
    </row>
    <row r="155" spans="1:15" s="102" customFormat="1">
      <c r="A155" s="251"/>
      <c r="B155" s="169">
        <v>9</v>
      </c>
      <c r="C155" s="112">
        <v>1397</v>
      </c>
      <c r="D155" s="113">
        <v>45288</v>
      </c>
      <c r="E155" s="112" t="s">
        <v>333</v>
      </c>
      <c r="F155" s="113">
        <v>45329</v>
      </c>
      <c r="G155" s="114" t="s">
        <v>43</v>
      </c>
      <c r="H155" s="119" t="s">
        <v>19</v>
      </c>
      <c r="I155" s="112" t="s">
        <v>2</v>
      </c>
      <c r="J155" s="120" t="s">
        <v>49</v>
      </c>
      <c r="K155" s="141">
        <v>0.90089999999999992</v>
      </c>
      <c r="L155" s="112" t="s">
        <v>189</v>
      </c>
      <c r="M155" s="116" t="s">
        <v>1526</v>
      </c>
      <c r="N155" s="112"/>
      <c r="O155" s="122" t="s">
        <v>334</v>
      </c>
    </row>
    <row r="156" spans="1:15" s="102" customFormat="1">
      <c r="A156" s="251"/>
      <c r="B156" s="169">
        <v>9</v>
      </c>
      <c r="C156" s="112">
        <v>1399</v>
      </c>
      <c r="D156" s="113">
        <v>45288</v>
      </c>
      <c r="E156" s="112" t="s">
        <v>9</v>
      </c>
      <c r="F156" s="113">
        <v>45329</v>
      </c>
      <c r="G156" s="114" t="s">
        <v>43</v>
      </c>
      <c r="H156" s="119" t="s">
        <v>126</v>
      </c>
      <c r="I156" s="112" t="s">
        <v>2</v>
      </c>
      <c r="J156" s="120" t="s">
        <v>50</v>
      </c>
      <c r="K156" s="141">
        <v>1.47E-2</v>
      </c>
      <c r="L156" s="112" t="s">
        <v>23</v>
      </c>
      <c r="M156" s="112" t="s">
        <v>1461</v>
      </c>
      <c r="N156" s="112"/>
      <c r="O156" s="122" t="s">
        <v>334</v>
      </c>
    </row>
    <row r="157" spans="1:15" s="102" customFormat="1">
      <c r="A157" s="251"/>
      <c r="B157" s="169">
        <v>9</v>
      </c>
      <c r="C157" s="112">
        <v>1396</v>
      </c>
      <c r="D157" s="113">
        <v>45288</v>
      </c>
      <c r="E157" s="112" t="s">
        <v>333</v>
      </c>
      <c r="F157" s="113">
        <v>45306</v>
      </c>
      <c r="G157" s="114" t="s">
        <v>43</v>
      </c>
      <c r="H157" s="119" t="s">
        <v>20</v>
      </c>
      <c r="I157" s="112" t="s">
        <v>2</v>
      </c>
      <c r="J157" s="120" t="s">
        <v>50</v>
      </c>
      <c r="K157" s="141">
        <v>0.35304000000000002</v>
      </c>
      <c r="L157" s="112" t="s">
        <v>1487</v>
      </c>
      <c r="M157" s="112" t="s">
        <v>1461</v>
      </c>
      <c r="N157" s="112"/>
      <c r="O157" s="122" t="s">
        <v>334</v>
      </c>
    </row>
    <row r="158" spans="1:15" s="102" customFormat="1">
      <c r="A158" s="251"/>
      <c r="B158" s="169">
        <v>9</v>
      </c>
      <c r="C158" s="112">
        <v>1400</v>
      </c>
      <c r="D158" s="113">
        <v>45288</v>
      </c>
      <c r="E158" s="112" t="s">
        <v>9</v>
      </c>
      <c r="F158" s="113">
        <v>45329</v>
      </c>
      <c r="G158" s="114" t="s">
        <v>43</v>
      </c>
      <c r="H158" s="114" t="s">
        <v>51</v>
      </c>
      <c r="I158" s="112" t="s">
        <v>3</v>
      </c>
      <c r="J158" s="120" t="s">
        <v>49</v>
      </c>
      <c r="K158" s="141">
        <v>0.10920000000000001</v>
      </c>
      <c r="L158" s="112" t="s">
        <v>427</v>
      </c>
      <c r="M158" s="112"/>
      <c r="N158" s="139" t="s">
        <v>634</v>
      </c>
    </row>
    <row r="159" spans="1:15" s="21" customFormat="1" ht="13.8">
      <c r="A159" s="251"/>
      <c r="B159" s="169">
        <v>9</v>
      </c>
      <c r="C159" s="112">
        <v>1340</v>
      </c>
      <c r="D159" s="113">
        <v>45275</v>
      </c>
      <c r="E159" s="112" t="s">
        <v>9</v>
      </c>
      <c r="F159" s="113">
        <v>45298</v>
      </c>
      <c r="G159" s="112" t="s">
        <v>43</v>
      </c>
      <c r="H159" s="162" t="s">
        <v>51</v>
      </c>
      <c r="I159" s="114" t="s">
        <v>3</v>
      </c>
      <c r="J159" s="174" t="s">
        <v>50</v>
      </c>
      <c r="K159" s="163">
        <v>2.6240000000000001</v>
      </c>
      <c r="L159" s="112" t="s">
        <v>451</v>
      </c>
      <c r="M159" s="112" t="s">
        <v>1461</v>
      </c>
      <c r="N159" s="112"/>
    </row>
    <row r="160" spans="1:15" s="102" customFormat="1">
      <c r="A160" s="251"/>
      <c r="B160" s="169">
        <v>9</v>
      </c>
      <c r="C160" s="123">
        <v>1395</v>
      </c>
      <c r="D160" s="124">
        <v>45288</v>
      </c>
      <c r="E160" s="123" t="s">
        <v>333</v>
      </c>
      <c r="F160" s="124">
        <v>45329</v>
      </c>
      <c r="G160" s="123" t="s">
        <v>43</v>
      </c>
      <c r="H160" s="123" t="s">
        <v>51</v>
      </c>
      <c r="I160" s="123" t="s">
        <v>3</v>
      </c>
      <c r="J160" s="123" t="s">
        <v>423</v>
      </c>
      <c r="K160" s="125">
        <v>1.5422400000000001</v>
      </c>
      <c r="L160" s="123" t="s">
        <v>1485</v>
      </c>
      <c r="M160" s="123"/>
      <c r="N160" s="123" t="s">
        <v>1489</v>
      </c>
      <c r="O160" s="126" t="s">
        <v>1490</v>
      </c>
    </row>
    <row r="161" spans="1:15" s="202" customFormat="1">
      <c r="A161" s="251"/>
      <c r="B161" s="169"/>
      <c r="C161" s="123"/>
      <c r="D161" s="124"/>
      <c r="E161" s="123"/>
      <c r="F161" s="124"/>
      <c r="G161" s="123"/>
      <c r="H161" s="123"/>
      <c r="I161" s="123"/>
      <c r="J161" s="123"/>
      <c r="K161" s="125"/>
      <c r="L161" s="123"/>
      <c r="M161" s="123"/>
      <c r="N161" s="123"/>
      <c r="O161" s="126"/>
    </row>
    <row r="162" spans="1:15" s="188" customFormat="1">
      <c r="A162" s="251"/>
      <c r="B162" s="169">
        <v>9</v>
      </c>
      <c r="C162" s="112" t="s">
        <v>444</v>
      </c>
      <c r="D162" s="113">
        <v>45294</v>
      </c>
      <c r="E162" s="112" t="s">
        <v>1354</v>
      </c>
      <c r="F162" s="113">
        <v>45306</v>
      </c>
      <c r="G162" s="114" t="s">
        <v>43</v>
      </c>
      <c r="H162" s="119" t="s">
        <v>59</v>
      </c>
      <c r="I162" s="112" t="s">
        <v>3</v>
      </c>
      <c r="J162" s="120" t="s">
        <v>49</v>
      </c>
      <c r="K162" s="197">
        <v>0.11</v>
      </c>
      <c r="L162" s="112"/>
      <c r="M162" s="112" t="s">
        <v>1461</v>
      </c>
      <c r="N162" s="139" t="s">
        <v>634</v>
      </c>
      <c r="O162" s="122" t="s">
        <v>334</v>
      </c>
    </row>
    <row r="163" spans="1:15" s="188" customFormat="1">
      <c r="A163" s="251"/>
      <c r="B163" s="169">
        <v>9</v>
      </c>
      <c r="C163" s="112" t="s">
        <v>444</v>
      </c>
      <c r="D163" s="113">
        <v>45294</v>
      </c>
      <c r="E163" s="112" t="s">
        <v>1354</v>
      </c>
      <c r="F163" s="113">
        <v>45306</v>
      </c>
      <c r="G163" s="114" t="s">
        <v>43</v>
      </c>
      <c r="H163" s="162" t="s">
        <v>51</v>
      </c>
      <c r="I163" s="112" t="s">
        <v>3</v>
      </c>
      <c r="J163" s="120" t="s">
        <v>49</v>
      </c>
      <c r="K163" s="197">
        <v>1</v>
      </c>
      <c r="L163" s="112"/>
      <c r="M163" s="112" t="s">
        <v>1461</v>
      </c>
      <c r="N163" s="139" t="s">
        <v>634</v>
      </c>
      <c r="O163" s="122" t="s">
        <v>334</v>
      </c>
    </row>
    <row r="164" spans="1:15" s="188" customFormat="1">
      <c r="A164" s="251"/>
      <c r="B164" s="169">
        <v>9</v>
      </c>
      <c r="C164" s="112" t="s">
        <v>444</v>
      </c>
      <c r="D164" s="113">
        <v>45294</v>
      </c>
      <c r="E164" s="112" t="s">
        <v>1354</v>
      </c>
      <c r="F164" s="113">
        <v>45306</v>
      </c>
      <c r="G164" s="114" t="s">
        <v>43</v>
      </c>
      <c r="H164" s="162" t="s">
        <v>51</v>
      </c>
      <c r="I164" s="112" t="s">
        <v>3</v>
      </c>
      <c r="J164" s="120" t="s">
        <v>50</v>
      </c>
      <c r="K164" s="197">
        <v>0.81</v>
      </c>
      <c r="L164" s="112"/>
      <c r="M164" s="112" t="s">
        <v>1461</v>
      </c>
      <c r="N164" s="123"/>
      <c r="O164" s="126"/>
    </row>
    <row r="165" spans="1:15" s="188" customFormat="1">
      <c r="A165" s="251"/>
      <c r="B165" s="169">
        <v>9</v>
      </c>
      <c r="C165" s="112" t="s">
        <v>444</v>
      </c>
      <c r="D165" s="113">
        <v>45294</v>
      </c>
      <c r="E165" s="112" t="s">
        <v>1354</v>
      </c>
      <c r="F165" s="113">
        <v>45306</v>
      </c>
      <c r="G165" s="112" t="s">
        <v>840</v>
      </c>
      <c r="H165" s="162" t="s">
        <v>51</v>
      </c>
      <c r="I165" s="112" t="s">
        <v>3</v>
      </c>
      <c r="J165" s="120" t="s">
        <v>50</v>
      </c>
      <c r="K165" s="197">
        <v>1.74</v>
      </c>
      <c r="L165" s="112"/>
      <c r="M165" s="112" t="s">
        <v>1461</v>
      </c>
      <c r="N165" s="123"/>
      <c r="O165" s="122" t="s">
        <v>334</v>
      </c>
    </row>
    <row r="166" spans="1:15" s="188" customFormat="1">
      <c r="A166" s="251"/>
      <c r="B166" s="169">
        <v>9</v>
      </c>
      <c r="C166" s="112" t="s">
        <v>444</v>
      </c>
      <c r="D166" s="113">
        <v>45294</v>
      </c>
      <c r="E166" s="112" t="s">
        <v>1354</v>
      </c>
      <c r="F166" s="113">
        <v>45306</v>
      </c>
      <c r="G166" s="114" t="s">
        <v>43</v>
      </c>
      <c r="H166" s="119" t="s">
        <v>20</v>
      </c>
      <c r="I166" s="114" t="s">
        <v>2</v>
      </c>
      <c r="J166" s="120" t="s">
        <v>49</v>
      </c>
      <c r="K166" s="197">
        <v>2.12</v>
      </c>
      <c r="L166" s="112"/>
      <c r="M166" s="112" t="s">
        <v>1461</v>
      </c>
      <c r="N166" s="123"/>
      <c r="O166" s="122" t="s">
        <v>334</v>
      </c>
    </row>
    <row r="167" spans="1:15" s="188" customFormat="1">
      <c r="A167" s="251"/>
      <c r="B167" s="169">
        <v>9</v>
      </c>
      <c r="C167" s="112" t="s">
        <v>444</v>
      </c>
      <c r="D167" s="113">
        <v>45294</v>
      </c>
      <c r="E167" s="112" t="s">
        <v>1354</v>
      </c>
      <c r="F167" s="113">
        <v>45306</v>
      </c>
      <c r="G167" s="114" t="s">
        <v>43</v>
      </c>
      <c r="H167" s="114" t="s">
        <v>44</v>
      </c>
      <c r="I167" s="112" t="s">
        <v>2</v>
      </c>
      <c r="J167" s="120" t="s">
        <v>49</v>
      </c>
      <c r="K167" s="200">
        <v>4.03</v>
      </c>
      <c r="L167" s="112"/>
      <c r="M167" s="116" t="s">
        <v>1526</v>
      </c>
      <c r="N167" s="123"/>
      <c r="O167" s="122" t="s">
        <v>334</v>
      </c>
    </row>
    <row r="168" spans="1:15" s="188" customFormat="1">
      <c r="A168" s="251"/>
      <c r="B168" s="169">
        <v>9</v>
      </c>
      <c r="C168" s="112" t="s">
        <v>444</v>
      </c>
      <c r="D168" s="113">
        <v>45294</v>
      </c>
      <c r="E168" s="112" t="s">
        <v>1354</v>
      </c>
      <c r="F168" s="113">
        <v>45306</v>
      </c>
      <c r="G168" s="114" t="s">
        <v>43</v>
      </c>
      <c r="H168" s="119" t="s">
        <v>20</v>
      </c>
      <c r="I168" s="112" t="s">
        <v>2</v>
      </c>
      <c r="J168" s="120" t="s">
        <v>50</v>
      </c>
      <c r="K168" s="200">
        <v>0.51</v>
      </c>
      <c r="L168" s="112"/>
      <c r="M168" s="112" t="s">
        <v>1461</v>
      </c>
      <c r="N168" s="123"/>
      <c r="O168" s="122" t="s">
        <v>334</v>
      </c>
    </row>
    <row r="169" spans="1:15" s="188" customFormat="1">
      <c r="A169" s="251"/>
      <c r="B169" s="169">
        <v>9</v>
      </c>
      <c r="C169" s="112" t="s">
        <v>444</v>
      </c>
      <c r="D169" s="113">
        <v>45294</v>
      </c>
      <c r="E169" s="112" t="s">
        <v>1354</v>
      </c>
      <c r="F169" s="113">
        <v>45306</v>
      </c>
      <c r="G169" s="114" t="s">
        <v>43</v>
      </c>
      <c r="H169" s="114" t="s">
        <v>44</v>
      </c>
      <c r="I169" s="112" t="s">
        <v>2</v>
      </c>
      <c r="J169" s="120" t="s">
        <v>50</v>
      </c>
      <c r="K169" s="200">
        <v>14.87</v>
      </c>
      <c r="L169" s="112"/>
      <c r="M169" s="116" t="s">
        <v>1526</v>
      </c>
      <c r="N169" s="123"/>
      <c r="O169" s="122" t="s">
        <v>334</v>
      </c>
    </row>
    <row r="170" spans="1:15" s="188" customFormat="1">
      <c r="A170" s="251"/>
      <c r="B170" s="169">
        <v>9</v>
      </c>
      <c r="C170" s="112" t="s">
        <v>444</v>
      </c>
      <c r="D170" s="113">
        <v>45294</v>
      </c>
      <c r="E170" s="112" t="s">
        <v>1354</v>
      </c>
      <c r="F170" s="113">
        <v>45306</v>
      </c>
      <c r="G170" s="114" t="s">
        <v>43</v>
      </c>
      <c r="H170" s="114" t="s">
        <v>44</v>
      </c>
      <c r="I170" s="112" t="s">
        <v>2</v>
      </c>
      <c r="J170" s="120" t="s">
        <v>588</v>
      </c>
      <c r="K170" s="200">
        <v>7.19</v>
      </c>
      <c r="L170" s="112"/>
      <c r="M170" s="116" t="s">
        <v>1526</v>
      </c>
      <c r="N170" s="123"/>
      <c r="O170" s="122" t="s">
        <v>334</v>
      </c>
    </row>
    <row r="171" spans="1:15" s="188" customFormat="1">
      <c r="A171" s="251"/>
      <c r="B171" s="169">
        <v>9</v>
      </c>
      <c r="C171" s="112"/>
      <c r="D171" s="113"/>
      <c r="E171" s="112"/>
      <c r="F171" s="113"/>
      <c r="G171" s="114"/>
      <c r="H171" s="114"/>
      <c r="I171" s="112"/>
      <c r="J171" s="120"/>
      <c r="K171" s="200"/>
      <c r="L171" s="112"/>
      <c r="M171" s="123"/>
      <c r="N171" s="123"/>
      <c r="O171" s="126"/>
    </row>
    <row r="172" spans="1:15" s="188" customFormat="1">
      <c r="A172" s="251"/>
      <c r="B172" s="169">
        <v>9</v>
      </c>
      <c r="C172" s="112" t="s">
        <v>444</v>
      </c>
      <c r="D172" s="113">
        <v>45294</v>
      </c>
      <c r="E172" s="112" t="s">
        <v>1354</v>
      </c>
      <c r="F172" s="113">
        <v>45306</v>
      </c>
      <c r="G172" s="112" t="s">
        <v>840</v>
      </c>
      <c r="H172" s="114" t="s">
        <v>44</v>
      </c>
      <c r="I172" s="112" t="s">
        <v>2</v>
      </c>
      <c r="J172" s="120" t="s">
        <v>50</v>
      </c>
      <c r="K172" s="197">
        <v>60.25</v>
      </c>
      <c r="L172" s="112"/>
      <c r="M172" s="116" t="s">
        <v>1526</v>
      </c>
      <c r="N172" s="123"/>
      <c r="O172" s="122" t="s">
        <v>334</v>
      </c>
    </row>
    <row r="173" spans="1:15" s="188" customFormat="1">
      <c r="A173" s="251"/>
      <c r="B173" s="169">
        <v>9</v>
      </c>
      <c r="C173" s="112" t="s">
        <v>444</v>
      </c>
      <c r="D173" s="113">
        <v>45294</v>
      </c>
      <c r="E173" s="112" t="s">
        <v>1354</v>
      </c>
      <c r="F173" s="113">
        <v>45306</v>
      </c>
      <c r="G173" s="112" t="s">
        <v>840</v>
      </c>
      <c r="H173" s="114" t="s">
        <v>44</v>
      </c>
      <c r="I173" s="112" t="s">
        <v>2</v>
      </c>
      <c r="J173" s="120" t="s">
        <v>588</v>
      </c>
      <c r="K173" s="197">
        <v>9.75</v>
      </c>
      <c r="L173" s="112"/>
      <c r="M173" s="116" t="s">
        <v>1526</v>
      </c>
      <c r="N173" s="123"/>
      <c r="O173" s="122" t="s">
        <v>334</v>
      </c>
    </row>
    <row r="174" spans="1:15" s="21" customFormat="1" ht="13.8">
      <c r="A174" s="251"/>
      <c r="B174" s="169">
        <v>9</v>
      </c>
      <c r="C174" s="112"/>
      <c r="D174" s="112"/>
      <c r="E174" s="112"/>
      <c r="F174" s="113"/>
      <c r="G174" s="173"/>
      <c r="H174" s="112"/>
      <c r="I174" s="114"/>
      <c r="J174" s="174"/>
      <c r="K174" s="165">
        <f>SUM(K144:K173)</f>
        <v>351.90294</v>
      </c>
      <c r="L174" s="112"/>
      <c r="M174" s="114"/>
      <c r="N174" s="112"/>
    </row>
    <row r="175" spans="1:15" s="21" customFormat="1" ht="13.8">
      <c r="A175" s="176" t="s">
        <v>1499</v>
      </c>
      <c r="B175" s="169"/>
      <c r="C175" s="112"/>
      <c r="D175" s="112"/>
      <c r="E175" s="112"/>
      <c r="F175" s="113"/>
      <c r="G175" s="173"/>
      <c r="H175" s="112"/>
      <c r="I175" s="114"/>
      <c r="J175" s="174"/>
      <c r="K175" s="165"/>
      <c r="L175" s="112"/>
      <c r="M175" s="114"/>
      <c r="N175" s="112"/>
    </row>
    <row r="176" spans="1:15" s="21" customFormat="1">
      <c r="A176" s="250" t="s">
        <v>1521</v>
      </c>
      <c r="B176" s="169">
        <v>12</v>
      </c>
      <c r="C176" s="112">
        <v>1443</v>
      </c>
      <c r="D176" s="113">
        <v>45288</v>
      </c>
      <c r="E176" s="112" t="s">
        <v>225</v>
      </c>
      <c r="F176" s="113">
        <v>45298</v>
      </c>
      <c r="G176" s="112" t="s">
        <v>43</v>
      </c>
      <c r="H176" s="123" t="s">
        <v>94</v>
      </c>
      <c r="I176" s="114" t="s">
        <v>2</v>
      </c>
      <c r="J176" s="120" t="s">
        <v>407</v>
      </c>
      <c r="K176" s="186">
        <v>6.1181999999999999</v>
      </c>
      <c r="L176" s="112"/>
      <c r="M176" s="112" t="s">
        <v>1484</v>
      </c>
      <c r="N176" s="112"/>
      <c r="O176" s="122" t="s">
        <v>334</v>
      </c>
    </row>
    <row r="177" spans="1:15" s="21" customFormat="1">
      <c r="A177" s="251"/>
      <c r="B177" s="169">
        <v>12</v>
      </c>
      <c r="C177" s="112">
        <v>1443</v>
      </c>
      <c r="D177" s="113">
        <v>45288</v>
      </c>
      <c r="E177" s="112" t="s">
        <v>225</v>
      </c>
      <c r="F177" s="113">
        <v>45298</v>
      </c>
      <c r="G177" s="112" t="s">
        <v>43</v>
      </c>
      <c r="H177" s="123" t="s">
        <v>94</v>
      </c>
      <c r="I177" s="114" t="s">
        <v>2</v>
      </c>
      <c r="J177" s="120" t="s">
        <v>409</v>
      </c>
      <c r="K177" s="186">
        <v>24.164040000000004</v>
      </c>
      <c r="L177" s="112"/>
      <c r="M177" s="112" t="s">
        <v>1484</v>
      </c>
      <c r="N177" s="112"/>
      <c r="O177" s="122" t="s">
        <v>334</v>
      </c>
    </row>
    <row r="178" spans="1:15" s="21" customFormat="1">
      <c r="A178" s="251"/>
      <c r="B178" s="169">
        <v>12</v>
      </c>
      <c r="C178" s="112">
        <v>1443</v>
      </c>
      <c r="D178" s="113">
        <v>45288</v>
      </c>
      <c r="E178" s="112" t="s">
        <v>225</v>
      </c>
      <c r="F178" s="113">
        <v>45298</v>
      </c>
      <c r="G178" s="112" t="s">
        <v>43</v>
      </c>
      <c r="H178" s="123" t="s">
        <v>94</v>
      </c>
      <c r="I178" s="114" t="s">
        <v>2</v>
      </c>
      <c r="J178" s="120" t="s">
        <v>47</v>
      </c>
      <c r="K178" s="186">
        <v>3.9952799999999997</v>
      </c>
      <c r="L178" s="112"/>
      <c r="M178" s="112" t="s">
        <v>1484</v>
      </c>
      <c r="N178" s="112"/>
      <c r="O178" s="122" t="s">
        <v>334</v>
      </c>
    </row>
    <row r="179" spans="1:15" s="142" customFormat="1">
      <c r="A179" s="251"/>
      <c r="B179" s="169">
        <v>12</v>
      </c>
      <c r="C179" s="112">
        <v>1398</v>
      </c>
      <c r="D179" s="113">
        <v>45288</v>
      </c>
      <c r="E179" s="112" t="s">
        <v>9</v>
      </c>
      <c r="F179" s="113">
        <v>45329</v>
      </c>
      <c r="G179" s="114" t="s">
        <v>43</v>
      </c>
      <c r="H179" s="114" t="s">
        <v>44</v>
      </c>
      <c r="I179" s="112" t="s">
        <v>2</v>
      </c>
      <c r="J179" s="120" t="s">
        <v>407</v>
      </c>
      <c r="K179" s="141">
        <v>1.9699999999999999E-2</v>
      </c>
      <c r="L179" s="112" t="s">
        <v>23</v>
      </c>
      <c r="M179" s="116" t="s">
        <v>1526</v>
      </c>
      <c r="N179" s="112"/>
      <c r="O179" s="122" t="s">
        <v>334</v>
      </c>
    </row>
    <row r="180" spans="1:15" s="142" customFormat="1">
      <c r="A180" s="251"/>
      <c r="B180" s="169">
        <v>12</v>
      </c>
      <c r="C180" s="112">
        <v>1399</v>
      </c>
      <c r="D180" s="113">
        <v>45288</v>
      </c>
      <c r="E180" s="112" t="s">
        <v>9</v>
      </c>
      <c r="F180" s="113">
        <v>45329</v>
      </c>
      <c r="G180" s="114" t="s">
        <v>43</v>
      </c>
      <c r="H180" s="119" t="s">
        <v>126</v>
      </c>
      <c r="I180" s="112" t="s">
        <v>2</v>
      </c>
      <c r="J180" s="120" t="s">
        <v>407</v>
      </c>
      <c r="K180" s="141">
        <v>1.9699999999999999E-2</v>
      </c>
      <c r="L180" s="112" t="s">
        <v>23</v>
      </c>
      <c r="M180" s="112" t="s">
        <v>1484</v>
      </c>
      <c r="N180" s="112"/>
      <c r="O180" s="122" t="s">
        <v>334</v>
      </c>
    </row>
    <row r="181" spans="1:15" s="142" customFormat="1">
      <c r="A181" s="251"/>
      <c r="B181" s="169">
        <v>12</v>
      </c>
      <c r="C181" s="112">
        <v>1396</v>
      </c>
      <c r="D181" s="113">
        <v>45288</v>
      </c>
      <c r="E181" s="112" t="s">
        <v>333</v>
      </c>
      <c r="F181" s="113">
        <v>45306</v>
      </c>
      <c r="G181" s="114" t="s">
        <v>43</v>
      </c>
      <c r="H181" s="119" t="s">
        <v>20</v>
      </c>
      <c r="I181" s="112" t="s">
        <v>2</v>
      </c>
      <c r="J181" s="120" t="s">
        <v>407</v>
      </c>
      <c r="K181" s="141">
        <v>0.9456</v>
      </c>
      <c r="L181" s="112" t="s">
        <v>1487</v>
      </c>
      <c r="M181" s="112" t="s">
        <v>1484</v>
      </c>
      <c r="N181" s="112"/>
      <c r="O181" s="122" t="s">
        <v>334</v>
      </c>
    </row>
    <row r="182" spans="1:15" s="142" customFormat="1">
      <c r="A182" s="251"/>
      <c r="B182" s="169">
        <v>12</v>
      </c>
      <c r="C182" s="112">
        <v>1397</v>
      </c>
      <c r="D182" s="113">
        <v>45288</v>
      </c>
      <c r="E182" s="112" t="s">
        <v>333</v>
      </c>
      <c r="F182" s="113">
        <v>45329</v>
      </c>
      <c r="G182" s="114" t="s">
        <v>43</v>
      </c>
      <c r="H182" s="119" t="s">
        <v>19</v>
      </c>
      <c r="I182" s="112" t="s">
        <v>2</v>
      </c>
      <c r="J182" s="120" t="s">
        <v>407</v>
      </c>
      <c r="K182" s="141">
        <v>4.2680050000000005</v>
      </c>
      <c r="L182" s="112" t="s">
        <v>189</v>
      </c>
      <c r="M182" s="116" t="s">
        <v>1526</v>
      </c>
      <c r="N182" s="112"/>
      <c r="O182" s="122" t="s">
        <v>334</v>
      </c>
    </row>
    <row r="183" spans="1:15" s="142" customFormat="1">
      <c r="A183" s="251"/>
      <c r="B183" s="169">
        <v>12</v>
      </c>
      <c r="C183" s="112">
        <v>1397</v>
      </c>
      <c r="D183" s="113">
        <v>45288</v>
      </c>
      <c r="E183" s="112" t="s">
        <v>333</v>
      </c>
      <c r="F183" s="113">
        <v>45329</v>
      </c>
      <c r="G183" s="114" t="s">
        <v>43</v>
      </c>
      <c r="H183" s="119" t="s">
        <v>19</v>
      </c>
      <c r="I183" s="112" t="s">
        <v>2</v>
      </c>
      <c r="J183" s="120" t="s">
        <v>409</v>
      </c>
      <c r="K183" s="141">
        <v>4.9548199999999998</v>
      </c>
      <c r="L183" s="112" t="s">
        <v>189</v>
      </c>
      <c r="M183" s="116" t="s">
        <v>1526</v>
      </c>
      <c r="N183" s="112"/>
      <c r="O183" s="122" t="s">
        <v>334</v>
      </c>
    </row>
    <row r="184" spans="1:15" s="202" customFormat="1">
      <c r="A184" s="251"/>
      <c r="B184" s="169"/>
      <c r="C184" s="112">
        <v>1357</v>
      </c>
      <c r="D184" s="113">
        <v>45275</v>
      </c>
      <c r="E184" s="112" t="s">
        <v>333</v>
      </c>
      <c r="F184" s="113">
        <v>45306</v>
      </c>
      <c r="G184" s="112" t="s">
        <v>43</v>
      </c>
      <c r="H184" s="123" t="s">
        <v>93</v>
      </c>
      <c r="I184" s="114" t="s">
        <v>2</v>
      </c>
      <c r="J184" s="120" t="s">
        <v>408</v>
      </c>
      <c r="K184" s="163">
        <v>5.5170000000000003</v>
      </c>
      <c r="L184" s="112" t="s">
        <v>189</v>
      </c>
      <c r="M184" s="116" t="s">
        <v>1526</v>
      </c>
      <c r="N184" s="112"/>
      <c r="O184" s="122"/>
    </row>
    <row r="185" spans="1:15" s="142" customFormat="1">
      <c r="A185" s="251"/>
      <c r="B185" s="169">
        <v>12</v>
      </c>
      <c r="C185" s="112">
        <v>1396</v>
      </c>
      <c r="D185" s="113">
        <v>45288</v>
      </c>
      <c r="E185" s="112" t="s">
        <v>333</v>
      </c>
      <c r="F185" s="113">
        <v>45306</v>
      </c>
      <c r="G185" s="114" t="s">
        <v>43</v>
      </c>
      <c r="H185" s="119" t="s">
        <v>20</v>
      </c>
      <c r="I185" s="112" t="s">
        <v>2</v>
      </c>
      <c r="J185" s="120" t="s">
        <v>47</v>
      </c>
      <c r="K185" s="141">
        <v>0.71599999999999997</v>
      </c>
      <c r="L185" s="112" t="s">
        <v>1487</v>
      </c>
      <c r="M185" s="112" t="s">
        <v>1484</v>
      </c>
      <c r="N185" s="112"/>
      <c r="O185" s="122" t="s">
        <v>334</v>
      </c>
    </row>
    <row r="186" spans="1:15" s="142" customFormat="1">
      <c r="A186" s="251"/>
      <c r="B186" s="169">
        <v>12</v>
      </c>
      <c r="C186" s="112">
        <v>1400</v>
      </c>
      <c r="D186" s="113">
        <v>45288</v>
      </c>
      <c r="E186" s="112" t="s">
        <v>9</v>
      </c>
      <c r="F186" s="113">
        <v>45329</v>
      </c>
      <c r="G186" s="114" t="s">
        <v>43</v>
      </c>
      <c r="H186" s="114" t="s">
        <v>51</v>
      </c>
      <c r="I186" s="112" t="s">
        <v>3</v>
      </c>
      <c r="J186" s="120" t="s">
        <v>407</v>
      </c>
      <c r="K186" s="141">
        <v>0.25610000000000005</v>
      </c>
      <c r="L186" s="112" t="s">
        <v>427</v>
      </c>
      <c r="M186" s="112"/>
      <c r="N186" s="112" t="s">
        <v>634</v>
      </c>
      <c r="O186" s="122"/>
    </row>
    <row r="187" spans="1:15" s="188" customFormat="1">
      <c r="A187" s="251"/>
      <c r="B187" s="169"/>
      <c r="C187" s="112"/>
      <c r="D187" s="113"/>
      <c r="E187" s="112"/>
      <c r="F187" s="113"/>
      <c r="G187" s="114"/>
      <c r="H187" s="114"/>
      <c r="I187" s="112"/>
      <c r="J187" s="120"/>
      <c r="K187" s="200"/>
      <c r="L187" s="112"/>
      <c r="M187" s="112"/>
      <c r="N187" s="112"/>
      <c r="O187" s="122"/>
    </row>
    <row r="188" spans="1:15" s="188" customFormat="1">
      <c r="A188" s="252"/>
      <c r="B188" s="169">
        <v>12</v>
      </c>
      <c r="C188" s="112">
        <v>1452</v>
      </c>
      <c r="D188" s="113">
        <v>45294</v>
      </c>
      <c r="E188" s="112" t="s">
        <v>225</v>
      </c>
      <c r="F188" s="113">
        <v>45306</v>
      </c>
      <c r="G188" s="112" t="s">
        <v>43</v>
      </c>
      <c r="H188" s="123" t="s">
        <v>94</v>
      </c>
      <c r="I188" s="112" t="s">
        <v>2</v>
      </c>
      <c r="J188" s="120" t="s">
        <v>407</v>
      </c>
      <c r="K188" s="199">
        <v>6.6112200000000003</v>
      </c>
      <c r="L188" s="51" t="s">
        <v>341</v>
      </c>
      <c r="M188" s="112" t="s">
        <v>1484</v>
      </c>
      <c r="N188" s="112"/>
      <c r="O188" s="122"/>
    </row>
    <row r="189" spans="1:15" s="21" customFormat="1" ht="13.8">
      <c r="A189" s="120"/>
      <c r="B189" s="120"/>
      <c r="C189" s="112"/>
      <c r="D189" s="112"/>
      <c r="E189" s="112"/>
      <c r="F189" s="113"/>
      <c r="G189" s="173"/>
      <c r="H189" s="112"/>
      <c r="I189" s="114"/>
      <c r="J189" s="174"/>
      <c r="K189" s="165">
        <f>SUM(K176:K188)</f>
        <v>57.585665000000013</v>
      </c>
      <c r="L189" s="112"/>
      <c r="M189" s="139" t="s">
        <v>1522</v>
      </c>
      <c r="N189" s="112"/>
    </row>
    <row r="190" spans="1:15" s="21" customFormat="1" ht="13.8">
      <c r="A190" s="177"/>
      <c r="B190" s="120"/>
      <c r="C190" s="112"/>
      <c r="D190" s="112"/>
      <c r="E190" s="112"/>
      <c r="F190" s="113"/>
      <c r="G190" s="173"/>
      <c r="H190" s="112"/>
      <c r="I190" s="114"/>
      <c r="J190" s="174"/>
      <c r="K190" s="165"/>
      <c r="L190" s="112"/>
      <c r="M190" s="114"/>
      <c r="N190" s="112"/>
    </row>
    <row r="191" spans="1:15" s="21" customFormat="1" ht="13.8">
      <c r="A191" s="249" t="s">
        <v>1523</v>
      </c>
      <c r="B191" s="120"/>
      <c r="C191" s="112"/>
      <c r="D191" s="112"/>
      <c r="E191" s="112"/>
      <c r="F191" s="113"/>
      <c r="G191" s="173"/>
      <c r="H191" s="112"/>
      <c r="I191" s="114"/>
      <c r="J191" s="174"/>
      <c r="K191" s="115"/>
      <c r="L191" s="112"/>
      <c r="M191" s="112"/>
      <c r="N191" s="112"/>
    </row>
    <row r="192" spans="1:15" s="21" customFormat="1">
      <c r="A192" s="243"/>
      <c r="B192" s="169">
        <v>13</v>
      </c>
      <c r="C192" s="112">
        <v>1359</v>
      </c>
      <c r="D192" s="113">
        <v>45275</v>
      </c>
      <c r="E192" s="112" t="s">
        <v>9</v>
      </c>
      <c r="F192" s="113">
        <v>45329</v>
      </c>
      <c r="G192" s="112" t="s">
        <v>43</v>
      </c>
      <c r="H192" s="162" t="s">
        <v>44</v>
      </c>
      <c r="I192" s="114" t="s">
        <v>2</v>
      </c>
      <c r="J192" s="178" t="s">
        <v>517</v>
      </c>
      <c r="K192" s="163">
        <v>4.7484600000000006</v>
      </c>
      <c r="L192" s="112" t="s">
        <v>23</v>
      </c>
      <c r="M192" s="123" t="s">
        <v>1460</v>
      </c>
      <c r="N192" s="123"/>
      <c r="O192" s="122" t="s">
        <v>334</v>
      </c>
    </row>
    <row r="193" spans="1:15" s="21" customFormat="1">
      <c r="A193" s="243"/>
      <c r="B193" s="169">
        <v>13</v>
      </c>
      <c r="C193" s="112">
        <v>1358</v>
      </c>
      <c r="D193" s="113">
        <v>45275</v>
      </c>
      <c r="E193" s="112" t="s">
        <v>333</v>
      </c>
      <c r="F193" s="113">
        <v>45306</v>
      </c>
      <c r="G193" s="112" t="s">
        <v>43</v>
      </c>
      <c r="H193" s="123" t="s">
        <v>1028</v>
      </c>
      <c r="I193" s="114" t="s">
        <v>2</v>
      </c>
      <c r="J193" s="174" t="s">
        <v>837</v>
      </c>
      <c r="K193" s="163">
        <v>42.7986</v>
      </c>
      <c r="L193" s="112" t="s">
        <v>411</v>
      </c>
      <c r="M193" s="123" t="s">
        <v>1460</v>
      </c>
      <c r="N193" s="123"/>
      <c r="O193" s="122" t="s">
        <v>334</v>
      </c>
    </row>
    <row r="194" spans="1:15" s="21" customFormat="1">
      <c r="A194" s="243"/>
      <c r="B194" s="169">
        <v>13</v>
      </c>
      <c r="C194" s="112">
        <v>1359</v>
      </c>
      <c r="D194" s="113">
        <v>45275</v>
      </c>
      <c r="E194" s="112" t="s">
        <v>9</v>
      </c>
      <c r="F194" s="113">
        <v>45329</v>
      </c>
      <c r="G194" s="112" t="s">
        <v>43</v>
      </c>
      <c r="H194" s="162" t="s">
        <v>44</v>
      </c>
      <c r="I194" s="114" t="s">
        <v>2</v>
      </c>
      <c r="J194" s="178" t="s">
        <v>579</v>
      </c>
      <c r="K194" s="163">
        <v>0.1578</v>
      </c>
      <c r="L194" s="112" t="s">
        <v>23</v>
      </c>
      <c r="M194" s="123" t="s">
        <v>1460</v>
      </c>
      <c r="N194" s="123"/>
      <c r="O194" s="122" t="s">
        <v>334</v>
      </c>
    </row>
    <row r="195" spans="1:15" s="21" customFormat="1">
      <c r="A195" s="243"/>
      <c r="B195" s="169">
        <v>13</v>
      </c>
      <c r="C195" s="112">
        <v>1359</v>
      </c>
      <c r="D195" s="113">
        <v>45275</v>
      </c>
      <c r="E195" s="112" t="s">
        <v>9</v>
      </c>
      <c r="F195" s="113">
        <v>45329</v>
      </c>
      <c r="G195" s="112" t="s">
        <v>43</v>
      </c>
      <c r="H195" s="162" t="s">
        <v>44</v>
      </c>
      <c r="I195" s="114" t="s">
        <v>2</v>
      </c>
      <c r="J195" s="178" t="s">
        <v>579</v>
      </c>
      <c r="K195" s="163">
        <v>2.0198399999999999</v>
      </c>
      <c r="L195" s="112" t="s">
        <v>23</v>
      </c>
      <c r="M195" s="123" t="s">
        <v>1460</v>
      </c>
      <c r="N195" s="123"/>
      <c r="O195" s="122" t="s">
        <v>334</v>
      </c>
    </row>
    <row r="196" spans="1:15" s="21" customFormat="1">
      <c r="A196" s="243"/>
      <c r="B196" s="169">
        <v>13</v>
      </c>
      <c r="C196" s="112">
        <v>1357</v>
      </c>
      <c r="D196" s="113">
        <v>45275</v>
      </c>
      <c r="E196" s="112" t="s">
        <v>333</v>
      </c>
      <c r="F196" s="113">
        <v>45306</v>
      </c>
      <c r="G196" s="112" t="s">
        <v>43</v>
      </c>
      <c r="H196" s="123" t="s">
        <v>93</v>
      </c>
      <c r="I196" s="114" t="s">
        <v>2</v>
      </c>
      <c r="J196" s="174" t="s">
        <v>579</v>
      </c>
      <c r="K196" s="163">
        <v>2.3283899999999997</v>
      </c>
      <c r="L196" s="112" t="s">
        <v>189</v>
      </c>
      <c r="M196" s="123" t="s">
        <v>1460</v>
      </c>
      <c r="N196" s="123"/>
      <c r="O196" s="122" t="s">
        <v>334</v>
      </c>
    </row>
    <row r="197" spans="1:15" s="21" customFormat="1">
      <c r="A197" s="243"/>
      <c r="B197" s="169">
        <v>13</v>
      </c>
      <c r="C197" s="112">
        <v>1358</v>
      </c>
      <c r="D197" s="113">
        <v>45275</v>
      </c>
      <c r="E197" s="112" t="s">
        <v>333</v>
      </c>
      <c r="F197" s="113">
        <v>45306</v>
      </c>
      <c r="G197" s="112" t="s">
        <v>43</v>
      </c>
      <c r="H197" s="123" t="s">
        <v>1028</v>
      </c>
      <c r="I197" s="114" t="s">
        <v>2</v>
      </c>
      <c r="J197" s="174" t="s">
        <v>579</v>
      </c>
      <c r="K197" s="163">
        <v>85.69919999999999</v>
      </c>
      <c r="L197" s="112" t="s">
        <v>411</v>
      </c>
      <c r="M197" s="123" t="s">
        <v>1460</v>
      </c>
      <c r="N197" s="123"/>
      <c r="O197" s="122" t="s">
        <v>334</v>
      </c>
    </row>
    <row r="198" spans="1:15" s="21" customFormat="1">
      <c r="A198" s="243"/>
      <c r="B198" s="169">
        <v>13</v>
      </c>
      <c r="C198" s="112">
        <v>1359</v>
      </c>
      <c r="D198" s="113">
        <v>45275</v>
      </c>
      <c r="E198" s="112" t="s">
        <v>9</v>
      </c>
      <c r="F198" s="113">
        <v>45329</v>
      </c>
      <c r="G198" s="112" t="s">
        <v>43</v>
      </c>
      <c r="H198" s="162" t="s">
        <v>44</v>
      </c>
      <c r="I198" s="114" t="s">
        <v>2</v>
      </c>
      <c r="J198" s="178" t="s">
        <v>448</v>
      </c>
      <c r="K198" s="163">
        <v>2.4683039999999998</v>
      </c>
      <c r="L198" s="112" t="s">
        <v>23</v>
      </c>
      <c r="M198" s="123" t="s">
        <v>1460</v>
      </c>
      <c r="N198" s="123"/>
      <c r="O198" s="122" t="s">
        <v>334</v>
      </c>
    </row>
    <row r="199" spans="1:15" s="21" customFormat="1">
      <c r="A199" s="243"/>
      <c r="B199" s="169">
        <v>13</v>
      </c>
      <c r="C199" s="112">
        <v>1357</v>
      </c>
      <c r="D199" s="113">
        <v>45275</v>
      </c>
      <c r="E199" s="112" t="s">
        <v>333</v>
      </c>
      <c r="F199" s="113">
        <v>45306</v>
      </c>
      <c r="G199" s="112" t="s">
        <v>43</v>
      </c>
      <c r="H199" s="123" t="s">
        <v>93</v>
      </c>
      <c r="I199" s="114" t="s">
        <v>2</v>
      </c>
      <c r="J199" s="174" t="s">
        <v>448</v>
      </c>
      <c r="K199" s="163">
        <v>14.74694</v>
      </c>
      <c r="L199" s="112" t="s">
        <v>189</v>
      </c>
      <c r="M199" s="123" t="s">
        <v>1460</v>
      </c>
      <c r="N199" s="123"/>
      <c r="O199" s="122" t="s">
        <v>334</v>
      </c>
    </row>
    <row r="200" spans="1:15" s="21" customFormat="1">
      <c r="A200" s="243"/>
      <c r="B200" s="169">
        <v>13</v>
      </c>
      <c r="C200" s="112">
        <v>1358</v>
      </c>
      <c r="D200" s="113">
        <v>45275</v>
      </c>
      <c r="E200" s="112" t="s">
        <v>333</v>
      </c>
      <c r="F200" s="113">
        <v>45306</v>
      </c>
      <c r="G200" s="112" t="s">
        <v>43</v>
      </c>
      <c r="H200" s="123" t="s">
        <v>1028</v>
      </c>
      <c r="I200" s="114" t="s">
        <v>2</v>
      </c>
      <c r="J200" s="174" t="s">
        <v>448</v>
      </c>
      <c r="K200" s="163">
        <v>113.08128000000001</v>
      </c>
      <c r="L200" s="112" t="s">
        <v>411</v>
      </c>
      <c r="M200" s="123" t="s">
        <v>1460</v>
      </c>
      <c r="N200" s="123"/>
      <c r="O200" s="122" t="s">
        <v>334</v>
      </c>
    </row>
    <row r="201" spans="1:15" s="21" customFormat="1">
      <c r="A201" s="243"/>
      <c r="B201" s="169">
        <v>13</v>
      </c>
      <c r="C201" s="112">
        <v>1358</v>
      </c>
      <c r="D201" s="113">
        <v>45275</v>
      </c>
      <c r="E201" s="112" t="s">
        <v>333</v>
      </c>
      <c r="F201" s="113">
        <v>45306</v>
      </c>
      <c r="G201" s="112" t="s">
        <v>43</v>
      </c>
      <c r="H201" s="123" t="s">
        <v>1028</v>
      </c>
      <c r="I201" s="114" t="s">
        <v>2</v>
      </c>
      <c r="J201" s="174" t="s">
        <v>449</v>
      </c>
      <c r="K201" s="163">
        <f>142.54095-100</f>
        <v>42.540950000000009</v>
      </c>
      <c r="L201" s="112" t="s">
        <v>411</v>
      </c>
      <c r="M201" s="123" t="s">
        <v>1460</v>
      </c>
      <c r="N201" s="123"/>
      <c r="O201" s="122" t="s">
        <v>334</v>
      </c>
    </row>
    <row r="202" spans="1:15" s="130" customFormat="1">
      <c r="A202" s="243"/>
      <c r="B202" s="118"/>
      <c r="C202" s="112"/>
      <c r="D202" s="113"/>
      <c r="E202" s="112"/>
      <c r="F202" s="113"/>
      <c r="G202" s="114"/>
      <c r="H202" s="114"/>
      <c r="I202" s="112"/>
      <c r="J202" s="120"/>
      <c r="K202" s="121"/>
      <c r="L202" s="112"/>
      <c r="M202" s="123"/>
      <c r="N202" s="112"/>
      <c r="O202" s="122"/>
    </row>
    <row r="203" spans="1:15" s="102" customFormat="1">
      <c r="A203" s="243"/>
      <c r="B203" s="118"/>
      <c r="C203" s="112">
        <v>1397</v>
      </c>
      <c r="D203" s="113">
        <v>45288</v>
      </c>
      <c r="E203" s="112" t="s">
        <v>333</v>
      </c>
      <c r="F203" s="113">
        <v>45329</v>
      </c>
      <c r="G203" s="114" t="s">
        <v>43</v>
      </c>
      <c r="H203" s="119" t="s">
        <v>19</v>
      </c>
      <c r="I203" s="112" t="s">
        <v>2</v>
      </c>
      <c r="J203" s="120" t="s">
        <v>448</v>
      </c>
      <c r="K203" s="141">
        <v>5.1612600000000004</v>
      </c>
      <c r="L203" s="112" t="s">
        <v>189</v>
      </c>
      <c r="M203" s="123" t="s">
        <v>1460</v>
      </c>
      <c r="N203" s="112"/>
      <c r="O203" s="122" t="s">
        <v>334</v>
      </c>
    </row>
    <row r="204" spans="1:15" s="102" customFormat="1">
      <c r="A204" s="244"/>
      <c r="B204" s="118"/>
      <c r="C204" s="123">
        <v>1397</v>
      </c>
      <c r="D204" s="124">
        <v>45288</v>
      </c>
      <c r="E204" s="123" t="s">
        <v>333</v>
      </c>
      <c r="F204" s="124">
        <v>45329</v>
      </c>
      <c r="G204" s="119" t="s">
        <v>43</v>
      </c>
      <c r="H204" s="119" t="s">
        <v>19</v>
      </c>
      <c r="I204" s="123" t="s">
        <v>2</v>
      </c>
      <c r="J204" s="123" t="s">
        <v>1488</v>
      </c>
      <c r="K204" s="125">
        <v>0.36231799999999997</v>
      </c>
      <c r="L204" s="123" t="s">
        <v>189</v>
      </c>
      <c r="M204" s="123"/>
      <c r="N204" s="123" t="s">
        <v>1491</v>
      </c>
      <c r="O204" s="126" t="s">
        <v>1490</v>
      </c>
    </row>
    <row r="205" spans="1:15" s="21" customFormat="1" ht="13.8">
      <c r="A205" s="120"/>
      <c r="B205" s="120"/>
      <c r="C205" s="112"/>
      <c r="D205" s="112"/>
      <c r="E205" s="112"/>
      <c r="F205" s="113"/>
      <c r="G205" s="173"/>
      <c r="H205" s="112"/>
      <c r="I205" s="114"/>
      <c r="J205" s="174"/>
      <c r="K205" s="165">
        <f>SUM(K192:K204)</f>
        <v>316.11334200000005</v>
      </c>
      <c r="L205" s="112"/>
      <c r="M205" s="112"/>
      <c r="N205" s="112"/>
    </row>
    <row r="206" spans="1:15" s="21" customFormat="1" ht="13.8">
      <c r="A206" s="176"/>
      <c r="B206" s="176"/>
      <c r="C206" s="159"/>
      <c r="D206" s="112"/>
      <c r="E206" s="112"/>
      <c r="F206" s="113"/>
      <c r="G206" s="173"/>
      <c r="H206" s="112"/>
      <c r="I206" s="114"/>
      <c r="J206" s="174"/>
      <c r="K206" s="165"/>
      <c r="L206" s="112"/>
      <c r="M206" s="112"/>
      <c r="N206" s="112"/>
    </row>
    <row r="207" spans="1:15" s="21" customFormat="1" ht="13.8">
      <c r="A207" s="120"/>
      <c r="B207" s="120"/>
      <c r="C207" s="112"/>
      <c r="D207" s="112"/>
      <c r="E207" s="112"/>
      <c r="F207" s="113"/>
      <c r="G207" s="173"/>
      <c r="H207" s="112"/>
      <c r="I207" s="114"/>
      <c r="J207" s="174"/>
      <c r="K207" s="165"/>
      <c r="L207" s="112"/>
      <c r="M207" s="112"/>
      <c r="N207" s="112"/>
    </row>
    <row r="208" spans="1:15" s="21" customFormat="1">
      <c r="A208" s="242" t="s">
        <v>1524</v>
      </c>
      <c r="B208" s="120"/>
      <c r="C208" s="112">
        <v>1359</v>
      </c>
      <c r="D208" s="113">
        <v>45275</v>
      </c>
      <c r="E208" s="112" t="s">
        <v>9</v>
      </c>
      <c r="F208" s="113">
        <v>45329</v>
      </c>
      <c r="G208" s="112" t="s">
        <v>43</v>
      </c>
      <c r="H208" s="162" t="s">
        <v>44</v>
      </c>
      <c r="I208" s="114" t="s">
        <v>2</v>
      </c>
      <c r="J208" s="174" t="s">
        <v>472</v>
      </c>
      <c r="K208" s="163">
        <v>0.70624799999999999</v>
      </c>
      <c r="L208" s="112" t="s">
        <v>23</v>
      </c>
      <c r="M208" s="112" t="s">
        <v>1459</v>
      </c>
      <c r="N208" s="123"/>
      <c r="O208" s="122" t="s">
        <v>334</v>
      </c>
    </row>
    <row r="209" spans="1:15" s="21" customFormat="1">
      <c r="A209" s="242"/>
      <c r="B209" s="120"/>
      <c r="C209" s="112">
        <v>1357</v>
      </c>
      <c r="D209" s="113">
        <v>45275</v>
      </c>
      <c r="E209" s="112" t="s">
        <v>333</v>
      </c>
      <c r="F209" s="113">
        <v>45306</v>
      </c>
      <c r="G209" s="112" t="s">
        <v>43</v>
      </c>
      <c r="H209" s="123" t="s">
        <v>93</v>
      </c>
      <c r="I209" s="114" t="s">
        <v>2</v>
      </c>
      <c r="J209" s="174" t="s">
        <v>472</v>
      </c>
      <c r="K209" s="163">
        <v>4.4392319999999996</v>
      </c>
      <c r="L209" s="112" t="s">
        <v>189</v>
      </c>
      <c r="M209" s="112" t="s">
        <v>1459</v>
      </c>
      <c r="N209" s="123"/>
      <c r="O209" s="122" t="s">
        <v>334</v>
      </c>
    </row>
    <row r="210" spans="1:15" s="21" customFormat="1">
      <c r="A210" s="242"/>
      <c r="B210" s="120"/>
      <c r="C210" s="112">
        <v>1359</v>
      </c>
      <c r="D210" s="113">
        <v>45275</v>
      </c>
      <c r="E210" s="112" t="s">
        <v>9</v>
      </c>
      <c r="F210" s="113">
        <v>45329</v>
      </c>
      <c r="G210" s="112" t="s">
        <v>43</v>
      </c>
      <c r="H210" s="162" t="s">
        <v>44</v>
      </c>
      <c r="I210" s="114" t="s">
        <v>2</v>
      </c>
      <c r="J210" s="174" t="s">
        <v>473</v>
      </c>
      <c r="K210" s="163">
        <v>0.78204000000000007</v>
      </c>
      <c r="L210" s="112" t="s">
        <v>23</v>
      </c>
      <c r="M210" s="112" t="s">
        <v>1459</v>
      </c>
      <c r="N210" s="123"/>
      <c r="O210" s="122" t="s">
        <v>334</v>
      </c>
    </row>
    <row r="211" spans="1:15" s="21" customFormat="1">
      <c r="A211" s="242"/>
      <c r="B211" s="120"/>
      <c r="C211" s="112">
        <v>1357</v>
      </c>
      <c r="D211" s="113">
        <v>45275</v>
      </c>
      <c r="E211" s="112" t="s">
        <v>333</v>
      </c>
      <c r="F211" s="113">
        <v>45306</v>
      </c>
      <c r="G211" s="112" t="s">
        <v>43</v>
      </c>
      <c r="H211" s="123" t="s">
        <v>93</v>
      </c>
      <c r="I211" s="114" t="s">
        <v>2</v>
      </c>
      <c r="J211" s="174" t="s">
        <v>473</v>
      </c>
      <c r="K211" s="163">
        <v>5.7814000000000005</v>
      </c>
      <c r="L211" s="112" t="s">
        <v>189</v>
      </c>
      <c r="M211" s="112" t="s">
        <v>1459</v>
      </c>
      <c r="N211" s="123"/>
      <c r="O211" s="122" t="s">
        <v>334</v>
      </c>
    </row>
    <row r="212" spans="1:15" s="21" customFormat="1">
      <c r="A212" s="242"/>
      <c r="B212" s="120"/>
      <c r="C212" s="112">
        <v>1358</v>
      </c>
      <c r="D212" s="113">
        <v>45275</v>
      </c>
      <c r="E212" s="112" t="s">
        <v>333</v>
      </c>
      <c r="F212" s="113">
        <v>45306</v>
      </c>
      <c r="G212" s="112" t="s">
        <v>43</v>
      </c>
      <c r="H212" s="123" t="s">
        <v>1028</v>
      </c>
      <c r="I212" s="114" t="s">
        <v>2</v>
      </c>
      <c r="J212" s="174" t="s">
        <v>473</v>
      </c>
      <c r="K212" s="163">
        <v>6.4116</v>
      </c>
      <c r="L212" s="112" t="s">
        <v>411</v>
      </c>
      <c r="M212" s="112" t="s">
        <v>1459</v>
      </c>
      <c r="N212" s="123"/>
      <c r="O212" s="122" t="s">
        <v>334</v>
      </c>
    </row>
    <row r="213" spans="1:15" s="102" customFormat="1">
      <c r="A213" s="242"/>
      <c r="B213" s="118"/>
      <c r="C213" s="112">
        <v>1396</v>
      </c>
      <c r="D213" s="113">
        <v>45288</v>
      </c>
      <c r="E213" s="112" t="s">
        <v>333</v>
      </c>
      <c r="F213" s="113">
        <v>45306</v>
      </c>
      <c r="G213" s="114" t="s">
        <v>43</v>
      </c>
      <c r="H213" s="119" t="s">
        <v>20</v>
      </c>
      <c r="I213" s="112" t="s">
        <v>2</v>
      </c>
      <c r="J213" s="120" t="s">
        <v>472</v>
      </c>
      <c r="K213" s="141">
        <v>0.69120000000000004</v>
      </c>
      <c r="L213" s="112" t="s">
        <v>1487</v>
      </c>
      <c r="M213" s="112" t="s">
        <v>1459</v>
      </c>
      <c r="N213" s="112"/>
      <c r="O213" s="122" t="s">
        <v>334</v>
      </c>
    </row>
    <row r="214" spans="1:15" s="102" customFormat="1">
      <c r="A214" s="242"/>
      <c r="B214" s="118"/>
      <c r="C214" s="112">
        <v>1397</v>
      </c>
      <c r="D214" s="113">
        <v>45288</v>
      </c>
      <c r="E214" s="112" t="s">
        <v>333</v>
      </c>
      <c r="F214" s="113">
        <v>45329</v>
      </c>
      <c r="G214" s="114" t="s">
        <v>43</v>
      </c>
      <c r="H214" s="119" t="s">
        <v>19</v>
      </c>
      <c r="I214" s="112" t="s">
        <v>2</v>
      </c>
      <c r="J214" s="120" t="s">
        <v>472</v>
      </c>
      <c r="K214" s="141">
        <v>0.66239999999999999</v>
      </c>
      <c r="L214" s="112" t="s">
        <v>189</v>
      </c>
      <c r="M214" s="112" t="s">
        <v>1459</v>
      </c>
      <c r="N214" s="112"/>
      <c r="O214" s="122" t="s">
        <v>334</v>
      </c>
    </row>
    <row r="215" spans="1:15" s="102" customFormat="1">
      <c r="A215" s="242"/>
      <c r="B215" s="118"/>
      <c r="C215" s="112">
        <v>1396</v>
      </c>
      <c r="D215" s="113">
        <v>45288</v>
      </c>
      <c r="E215" s="112" t="s">
        <v>333</v>
      </c>
      <c r="F215" s="113">
        <v>45306</v>
      </c>
      <c r="G215" s="114" t="s">
        <v>43</v>
      </c>
      <c r="H215" s="119" t="s">
        <v>20</v>
      </c>
      <c r="I215" s="112" t="s">
        <v>2</v>
      </c>
      <c r="J215" s="120" t="s">
        <v>473</v>
      </c>
      <c r="K215" s="141">
        <v>1.7262</v>
      </c>
      <c r="L215" s="112" t="s">
        <v>1487</v>
      </c>
      <c r="M215" s="112"/>
      <c r="N215" s="112"/>
      <c r="O215" s="122" t="s">
        <v>334</v>
      </c>
    </row>
    <row r="216" spans="1:15" s="102" customFormat="1">
      <c r="A216" s="242"/>
      <c r="B216" s="118"/>
      <c r="C216" s="112">
        <v>1397</v>
      </c>
      <c r="D216" s="113">
        <v>45288</v>
      </c>
      <c r="E216" s="112" t="s">
        <v>333</v>
      </c>
      <c r="F216" s="113">
        <v>45329</v>
      </c>
      <c r="G216" s="114" t="s">
        <v>43</v>
      </c>
      <c r="H216" s="119" t="s">
        <v>19</v>
      </c>
      <c r="I216" s="112" t="s">
        <v>2</v>
      </c>
      <c r="J216" s="120" t="s">
        <v>473</v>
      </c>
      <c r="K216" s="141">
        <v>3.5126799999999996</v>
      </c>
      <c r="L216" s="112" t="s">
        <v>189</v>
      </c>
      <c r="M216" s="112" t="s">
        <v>1459</v>
      </c>
      <c r="N216" s="112"/>
      <c r="O216" s="122" t="s">
        <v>334</v>
      </c>
    </row>
    <row r="217" spans="1:15" s="21" customFormat="1" ht="13.8">
      <c r="A217" s="242"/>
      <c r="B217" s="120"/>
      <c r="C217" s="112"/>
      <c r="D217" s="113"/>
      <c r="E217" s="112"/>
      <c r="F217" s="113"/>
      <c r="G217" s="173"/>
      <c r="H217" s="112"/>
      <c r="I217" s="114"/>
      <c r="J217" s="174"/>
      <c r="K217" s="165">
        <f>SUM(K208:K216)</f>
        <v>24.712999999999997</v>
      </c>
      <c r="L217" s="112"/>
      <c r="M217" s="112"/>
      <c r="N217" s="112"/>
    </row>
    <row r="218" spans="1:15" s="102" customFormat="1">
      <c r="A218" s="242"/>
      <c r="B218" s="118"/>
      <c r="C218" s="112">
        <v>1395</v>
      </c>
      <c r="D218" s="113">
        <v>45288</v>
      </c>
      <c r="E218" s="112" t="s">
        <v>333</v>
      </c>
      <c r="F218" s="113">
        <v>45329</v>
      </c>
      <c r="G218" s="112" t="s">
        <v>43</v>
      </c>
      <c r="H218" s="116" t="s">
        <v>51</v>
      </c>
      <c r="I218" s="112" t="s">
        <v>3</v>
      </c>
      <c r="J218" s="120" t="s">
        <v>671</v>
      </c>
      <c r="K218" s="141">
        <v>3.4710000000000001</v>
      </c>
      <c r="L218" s="112" t="s">
        <v>1485</v>
      </c>
      <c r="M218" s="112" t="s">
        <v>1459</v>
      </c>
      <c r="N218" s="112"/>
      <c r="O218" s="122" t="s">
        <v>334</v>
      </c>
    </row>
    <row r="219" spans="1:15" s="21" customFormat="1">
      <c r="A219" s="242"/>
      <c r="B219" s="120"/>
      <c r="C219" s="112">
        <v>1359</v>
      </c>
      <c r="D219" s="113">
        <v>45275</v>
      </c>
      <c r="E219" s="112" t="s">
        <v>9</v>
      </c>
      <c r="F219" s="113">
        <v>45329</v>
      </c>
      <c r="G219" s="112" t="s">
        <v>43</v>
      </c>
      <c r="H219" s="162" t="s">
        <v>51</v>
      </c>
      <c r="I219" s="114" t="s">
        <v>3</v>
      </c>
      <c r="J219" s="174" t="s">
        <v>472</v>
      </c>
      <c r="K219" s="163">
        <v>0.90588999999999986</v>
      </c>
      <c r="L219" s="112" t="s">
        <v>23</v>
      </c>
      <c r="M219" s="112" t="s">
        <v>1459</v>
      </c>
      <c r="N219" s="112"/>
      <c r="O219" s="122" t="s">
        <v>334</v>
      </c>
    </row>
    <row r="220" spans="1:15" s="21" customFormat="1">
      <c r="A220" s="242"/>
      <c r="B220" s="120"/>
      <c r="C220" s="112">
        <v>1358</v>
      </c>
      <c r="D220" s="113">
        <v>45275</v>
      </c>
      <c r="E220" s="112" t="s">
        <v>333</v>
      </c>
      <c r="F220" s="113">
        <v>45306</v>
      </c>
      <c r="G220" s="112" t="s">
        <v>43</v>
      </c>
      <c r="H220" s="123" t="s">
        <v>1409</v>
      </c>
      <c r="I220" s="114" t="s">
        <v>3</v>
      </c>
      <c r="J220" s="174" t="s">
        <v>472</v>
      </c>
      <c r="K220" s="163">
        <v>29.387520000000002</v>
      </c>
      <c r="L220" s="112" t="s">
        <v>411</v>
      </c>
      <c r="M220" s="112" t="s">
        <v>1459</v>
      </c>
      <c r="N220" s="112"/>
      <c r="O220" s="122" t="s">
        <v>334</v>
      </c>
    </row>
    <row r="221" spans="1:15" s="21" customFormat="1" ht="13.8">
      <c r="A221" s="120"/>
      <c r="B221" s="120"/>
      <c r="C221" s="112"/>
      <c r="D221" s="112"/>
      <c r="E221" s="112"/>
      <c r="F221" s="113"/>
      <c r="G221" s="173"/>
      <c r="H221" s="112"/>
      <c r="I221" s="114"/>
      <c r="J221" s="174"/>
      <c r="K221" s="165">
        <f>SUM(K218:K220)</f>
        <v>33.764409999999998</v>
      </c>
      <c r="L221" s="112"/>
      <c r="M221" s="112"/>
      <c r="N221" s="112"/>
    </row>
    <row r="222" spans="1:15" s="21" customFormat="1" ht="13.8">
      <c r="A222" s="120"/>
      <c r="B222" s="120"/>
      <c r="C222" s="112"/>
      <c r="D222" s="112"/>
      <c r="E222" s="112"/>
      <c r="F222" s="113"/>
      <c r="G222" s="173"/>
      <c r="H222" s="112"/>
      <c r="I222" s="114"/>
      <c r="J222" s="174"/>
      <c r="K222" s="165">
        <f>SUM(K221,K217)</f>
        <v>58.477409999999992</v>
      </c>
      <c r="L222" s="112"/>
      <c r="M222" s="139" t="s">
        <v>1500</v>
      </c>
      <c r="N222" s="112"/>
    </row>
    <row r="223" spans="1:15" s="21" customFormat="1" ht="13.8">
      <c r="A223" s="120"/>
      <c r="B223" s="120"/>
      <c r="C223" s="112"/>
      <c r="D223" s="112"/>
      <c r="E223" s="112"/>
      <c r="F223" s="113"/>
      <c r="G223" s="173"/>
      <c r="H223" s="112"/>
      <c r="I223" s="114"/>
      <c r="J223" s="174"/>
      <c r="K223" s="165"/>
      <c r="L223" s="112"/>
      <c r="M223" s="112"/>
      <c r="N223" s="112"/>
    </row>
    <row r="224" spans="1:15" s="102" customFormat="1">
      <c r="A224" s="243" t="s">
        <v>1525</v>
      </c>
      <c r="B224" s="118"/>
      <c r="C224" s="123">
        <v>1396</v>
      </c>
      <c r="D224" s="124">
        <v>45288</v>
      </c>
      <c r="E224" s="123" t="s">
        <v>333</v>
      </c>
      <c r="F224" s="124">
        <v>45306</v>
      </c>
      <c r="G224" s="119" t="s">
        <v>43</v>
      </c>
      <c r="H224" s="119" t="s">
        <v>20</v>
      </c>
      <c r="I224" s="123" t="s">
        <v>2</v>
      </c>
      <c r="J224" s="123" t="s">
        <v>1486</v>
      </c>
      <c r="K224" s="125">
        <v>8.3599999999999994E-2</v>
      </c>
      <c r="L224" s="123" t="s">
        <v>1487</v>
      </c>
      <c r="M224" s="123"/>
      <c r="N224" s="123" t="s">
        <v>1489</v>
      </c>
      <c r="O224" s="126" t="s">
        <v>1490</v>
      </c>
    </row>
    <row r="225" spans="1:15" s="21" customFormat="1" ht="13.8">
      <c r="A225" s="243"/>
      <c r="B225" s="120"/>
      <c r="C225" s="112"/>
      <c r="D225" s="112"/>
      <c r="E225" s="112"/>
      <c r="F225" s="113"/>
      <c r="G225" s="173"/>
      <c r="H225" s="112"/>
      <c r="I225" s="114"/>
      <c r="J225" s="174"/>
      <c r="K225" s="165">
        <f>SUM(K224:K224)</f>
        <v>8.3599999999999994E-2</v>
      </c>
      <c r="L225" s="112"/>
      <c r="M225" s="112"/>
      <c r="N225" s="112"/>
    </row>
    <row r="226" spans="1:15" s="21" customFormat="1">
      <c r="A226" s="243"/>
      <c r="B226" s="120"/>
      <c r="C226" s="112">
        <v>1358</v>
      </c>
      <c r="D226" s="113">
        <v>45275</v>
      </c>
      <c r="E226" s="112" t="s">
        <v>333</v>
      </c>
      <c r="F226" s="113">
        <v>45306</v>
      </c>
      <c r="G226" s="112" t="s">
        <v>43</v>
      </c>
      <c r="H226" s="123" t="s">
        <v>1409</v>
      </c>
      <c r="I226" s="114" t="s">
        <v>3</v>
      </c>
      <c r="J226" s="174" t="s">
        <v>95</v>
      </c>
      <c r="K226" s="163">
        <f>46.709334-1.452</f>
        <v>45.257334</v>
      </c>
      <c r="L226" s="112" t="s">
        <v>411</v>
      </c>
      <c r="M226" s="112" t="s">
        <v>1508</v>
      </c>
      <c r="N226" s="112"/>
      <c r="O226" s="122" t="s">
        <v>334</v>
      </c>
    </row>
    <row r="227" spans="1:15" s="21" customFormat="1" ht="13.8">
      <c r="A227" s="243"/>
      <c r="B227" s="120"/>
      <c r="C227" s="112"/>
      <c r="D227" s="112"/>
      <c r="E227" s="112"/>
      <c r="F227" s="113"/>
      <c r="G227" s="173"/>
      <c r="H227" s="112"/>
      <c r="I227" s="114"/>
      <c r="J227" s="174"/>
      <c r="K227" s="165">
        <f>SUM(K226:K226)</f>
        <v>45.257334</v>
      </c>
      <c r="L227" s="112"/>
      <c r="M227" s="112"/>
      <c r="N227" s="112"/>
    </row>
    <row r="228" spans="1:15" s="21" customFormat="1" ht="13.8">
      <c r="A228" s="244"/>
      <c r="B228" s="120"/>
      <c r="C228" s="112"/>
      <c r="D228" s="112"/>
      <c r="E228" s="112"/>
      <c r="F228" s="113"/>
      <c r="G228" s="173"/>
      <c r="H228" s="112"/>
      <c r="I228" s="114"/>
      <c r="J228" s="174"/>
      <c r="K228" s="165">
        <f>SUM(K227,K225)</f>
        <v>45.340933999999997</v>
      </c>
      <c r="L228" s="112"/>
      <c r="M228" s="139" t="s">
        <v>1500</v>
      </c>
      <c r="N228" s="112"/>
    </row>
    <row r="229" spans="1:15" s="21" customFormat="1" ht="13.8">
      <c r="A229" s="179"/>
      <c r="B229" s="120"/>
      <c r="C229" s="112"/>
      <c r="D229" s="112"/>
      <c r="E229" s="112"/>
      <c r="F229" s="113"/>
      <c r="G229" s="173"/>
      <c r="H229" s="112"/>
      <c r="I229" s="114"/>
      <c r="J229" s="174"/>
      <c r="K229" s="165"/>
      <c r="L229" s="112"/>
      <c r="M229" s="114"/>
      <c r="N229" s="112"/>
    </row>
    <row r="230" spans="1:15" s="21" customFormat="1" ht="13.8">
      <c r="A230" s="120"/>
      <c r="B230" s="120"/>
      <c r="C230" s="112"/>
      <c r="D230" s="112"/>
      <c r="E230" s="112"/>
      <c r="F230" s="113"/>
      <c r="G230" s="173"/>
      <c r="H230" s="112"/>
      <c r="I230" s="114"/>
      <c r="J230" s="174"/>
      <c r="K230" s="115"/>
      <c r="L230" s="112"/>
      <c r="M230" s="112"/>
      <c r="N230" s="112"/>
    </row>
    <row r="231" spans="1:15" s="21" customFormat="1" ht="13.8">
      <c r="A231" s="120"/>
      <c r="B231" s="120"/>
      <c r="C231" s="112"/>
      <c r="D231" s="112"/>
      <c r="E231" s="112"/>
      <c r="F231" s="113"/>
      <c r="G231" s="173"/>
      <c r="H231" s="112"/>
      <c r="I231" s="114"/>
      <c r="J231" s="174"/>
      <c r="K231" s="115"/>
      <c r="L231" s="112"/>
      <c r="M231" s="112"/>
      <c r="N231" s="112"/>
    </row>
    <row r="232" spans="1:15" s="21" customFormat="1" ht="13.8">
      <c r="A232" s="253"/>
      <c r="B232" s="120"/>
      <c r="C232" s="112">
        <v>1459</v>
      </c>
      <c r="D232" s="113">
        <v>45288</v>
      </c>
      <c r="E232" s="112" t="s">
        <v>333</v>
      </c>
      <c r="F232" s="113">
        <v>45329</v>
      </c>
      <c r="G232" s="114" t="s">
        <v>43</v>
      </c>
      <c r="H232" s="119" t="s">
        <v>20</v>
      </c>
      <c r="I232" s="112" t="s">
        <v>2</v>
      </c>
      <c r="J232" s="120" t="s">
        <v>1496</v>
      </c>
      <c r="K232" s="121">
        <v>101.944</v>
      </c>
      <c r="L232" s="112" t="s">
        <v>1497</v>
      </c>
      <c r="M232" s="112" t="s">
        <v>1498</v>
      </c>
      <c r="N232" s="112"/>
    </row>
    <row r="233" spans="1:15" s="21" customFormat="1" ht="13.8">
      <c r="A233" s="254"/>
      <c r="B233" s="120"/>
      <c r="C233" s="112"/>
      <c r="D233" s="112"/>
      <c r="E233" s="112"/>
      <c r="F233" s="113"/>
      <c r="G233" s="173"/>
      <c r="H233" s="112"/>
      <c r="I233" s="114"/>
      <c r="J233" s="174"/>
      <c r="K233" s="165">
        <f>SUM(K232)</f>
        <v>101.944</v>
      </c>
      <c r="L233" s="112"/>
      <c r="M233" s="112"/>
      <c r="N233" s="112"/>
    </row>
    <row r="234" spans="1:15" s="21" customFormat="1" ht="13.8">
      <c r="A234" s="120"/>
      <c r="B234" s="120"/>
      <c r="C234" s="112"/>
      <c r="D234" s="112"/>
      <c r="E234" s="112"/>
      <c r="F234" s="113"/>
      <c r="G234" s="173"/>
      <c r="H234" s="112"/>
      <c r="I234" s="114"/>
      <c r="J234" s="174"/>
      <c r="K234" s="165"/>
      <c r="L234" s="112"/>
      <c r="M234" s="112"/>
      <c r="N234" s="112"/>
    </row>
    <row r="235" spans="1:15" s="102" customFormat="1">
      <c r="A235" s="245"/>
      <c r="B235" s="118"/>
      <c r="C235" s="112">
        <v>1396</v>
      </c>
      <c r="D235" s="113">
        <v>45288</v>
      </c>
      <c r="E235" s="112" t="s">
        <v>333</v>
      </c>
      <c r="F235" s="113">
        <v>45306</v>
      </c>
      <c r="G235" s="114" t="s">
        <v>43</v>
      </c>
      <c r="H235" s="119" t="s">
        <v>20</v>
      </c>
      <c r="I235" s="112" t="s">
        <v>2</v>
      </c>
      <c r="J235" s="120" t="s">
        <v>403</v>
      </c>
      <c r="K235" s="141">
        <v>0.39912000000000003</v>
      </c>
      <c r="L235" s="112" t="s">
        <v>1487</v>
      </c>
      <c r="M235" s="112"/>
      <c r="N235" s="112" t="s">
        <v>634</v>
      </c>
    </row>
    <row r="236" spans="1:15" s="102" customFormat="1">
      <c r="A236" s="246"/>
      <c r="B236" s="118"/>
      <c r="C236" s="112">
        <v>1396</v>
      </c>
      <c r="D236" s="113">
        <v>45288</v>
      </c>
      <c r="E236" s="112" t="s">
        <v>333</v>
      </c>
      <c r="F236" s="113">
        <v>45306</v>
      </c>
      <c r="G236" s="114" t="s">
        <v>43</v>
      </c>
      <c r="H236" s="119" t="s">
        <v>20</v>
      </c>
      <c r="I236" s="112" t="s">
        <v>2</v>
      </c>
      <c r="J236" s="120" t="s">
        <v>844</v>
      </c>
      <c r="K236" s="141">
        <v>0.47232000000000002</v>
      </c>
      <c r="L236" s="112" t="s">
        <v>1487</v>
      </c>
      <c r="M236" s="112"/>
      <c r="N236" s="112" t="s">
        <v>634</v>
      </c>
    </row>
    <row r="237" spans="1:15" s="102" customFormat="1">
      <c r="A237" s="246"/>
      <c r="B237" s="118"/>
      <c r="C237" s="112">
        <v>1398</v>
      </c>
      <c r="D237" s="113">
        <v>45288</v>
      </c>
      <c r="E237" s="112" t="s">
        <v>9</v>
      </c>
      <c r="F237" s="113">
        <v>45329</v>
      </c>
      <c r="G237" s="114" t="s">
        <v>43</v>
      </c>
      <c r="H237" s="114" t="s">
        <v>44</v>
      </c>
      <c r="I237" s="112" t="s">
        <v>2</v>
      </c>
      <c r="J237" s="120" t="s">
        <v>46</v>
      </c>
      <c r="K237" s="141">
        <v>0.1608</v>
      </c>
      <c r="L237" s="112" t="s">
        <v>23</v>
      </c>
      <c r="M237" s="112"/>
      <c r="N237" s="112" t="s">
        <v>634</v>
      </c>
    </row>
    <row r="238" spans="1:15" s="102" customFormat="1">
      <c r="A238" s="246"/>
      <c r="B238" s="118"/>
      <c r="C238" s="112">
        <v>1396</v>
      </c>
      <c r="D238" s="113">
        <v>45288</v>
      </c>
      <c r="E238" s="112" t="s">
        <v>333</v>
      </c>
      <c r="F238" s="113">
        <v>45306</v>
      </c>
      <c r="G238" s="114" t="s">
        <v>43</v>
      </c>
      <c r="H238" s="119" t="s">
        <v>20</v>
      </c>
      <c r="I238" s="112" t="s">
        <v>2</v>
      </c>
      <c r="J238" s="120" t="s">
        <v>46</v>
      </c>
      <c r="K238" s="141">
        <v>0.32256000000000001</v>
      </c>
      <c r="L238" s="112" t="s">
        <v>1487</v>
      </c>
      <c r="M238" s="112"/>
      <c r="N238" s="112" t="s">
        <v>634</v>
      </c>
    </row>
    <row r="239" spans="1:15" s="102" customFormat="1">
      <c r="A239" s="247"/>
      <c r="B239" s="118"/>
      <c r="C239" s="112">
        <v>1397</v>
      </c>
      <c r="D239" s="113">
        <v>45288</v>
      </c>
      <c r="E239" s="112" t="s">
        <v>333</v>
      </c>
      <c r="F239" s="113">
        <v>45329</v>
      </c>
      <c r="G239" s="114" t="s">
        <v>43</v>
      </c>
      <c r="H239" s="119" t="s">
        <v>19</v>
      </c>
      <c r="I239" s="112" t="s">
        <v>2</v>
      </c>
      <c r="J239" s="120" t="s">
        <v>46</v>
      </c>
      <c r="K239" s="141">
        <v>0.38303999999999999</v>
      </c>
      <c r="L239" s="112" t="s">
        <v>189</v>
      </c>
      <c r="M239" s="112"/>
      <c r="N239" s="112" t="s">
        <v>634</v>
      </c>
    </row>
    <row r="240" spans="1:15" s="21" customFormat="1" ht="13.8">
      <c r="A240" s="120"/>
      <c r="B240" s="120"/>
      <c r="C240" s="112"/>
      <c r="D240" s="112"/>
      <c r="E240" s="112"/>
      <c r="F240" s="113"/>
      <c r="G240" s="173"/>
      <c r="H240" s="112"/>
      <c r="I240" s="114"/>
      <c r="J240" s="174"/>
      <c r="K240" s="165">
        <f>SUM(K235:K239)</f>
        <v>1.7378400000000001</v>
      </c>
      <c r="L240" s="112"/>
      <c r="M240" s="112"/>
      <c r="N240" s="112"/>
    </row>
    <row r="241" spans="1:14" s="21" customFormat="1" ht="13.8">
      <c r="A241" s="120"/>
      <c r="B241" s="120"/>
      <c r="C241" s="112"/>
      <c r="D241" s="112"/>
      <c r="E241" s="112"/>
      <c r="F241" s="113"/>
      <c r="G241" s="173"/>
      <c r="H241" s="112"/>
      <c r="I241" s="114"/>
      <c r="J241" s="174"/>
      <c r="K241" s="165"/>
      <c r="L241" s="112"/>
      <c r="M241" s="112"/>
      <c r="N241" s="112"/>
    </row>
    <row r="242" spans="1:14" s="21" customFormat="1" ht="13.8">
      <c r="A242" s="120"/>
      <c r="B242" s="120"/>
      <c r="C242" s="112"/>
      <c r="D242" s="112"/>
      <c r="E242" s="112"/>
      <c r="F242" s="113"/>
      <c r="G242" s="173"/>
      <c r="H242" s="112"/>
      <c r="I242" s="114"/>
      <c r="J242" s="174"/>
      <c r="K242" s="165"/>
      <c r="L242" s="112"/>
      <c r="M242" s="112"/>
      <c r="N242" s="112"/>
    </row>
    <row r="243" spans="1:14">
      <c r="A243" s="112"/>
      <c r="B243" s="118"/>
      <c r="C243" s="112"/>
      <c r="D243" s="113"/>
      <c r="E243" s="112"/>
      <c r="F243" s="113"/>
      <c r="G243" s="112"/>
      <c r="H243" s="112"/>
      <c r="I243" s="112"/>
      <c r="J243" s="112"/>
      <c r="K243" s="115"/>
      <c r="L243" s="112"/>
      <c r="M243" s="112"/>
      <c r="N243" s="112"/>
    </row>
    <row r="244" spans="1:14">
      <c r="A244" s="240" t="s">
        <v>1046</v>
      </c>
      <c r="B244" s="118"/>
      <c r="C244" s="123">
        <v>1333</v>
      </c>
      <c r="D244" s="124">
        <v>45275</v>
      </c>
      <c r="E244" s="123" t="s">
        <v>333</v>
      </c>
      <c r="F244" s="124">
        <v>45298</v>
      </c>
      <c r="G244" s="123" t="s">
        <v>43</v>
      </c>
      <c r="H244" s="171" t="s">
        <v>874</v>
      </c>
      <c r="I244" s="123" t="s">
        <v>2</v>
      </c>
      <c r="J244" s="123" t="s">
        <v>57</v>
      </c>
      <c r="K244" s="172">
        <v>0.09</v>
      </c>
      <c r="L244" s="123" t="s">
        <v>411</v>
      </c>
      <c r="M244" s="123"/>
      <c r="N244" s="123" t="s">
        <v>1422</v>
      </c>
    </row>
    <row r="245" spans="1:14">
      <c r="A245" s="240"/>
      <c r="B245" s="118"/>
      <c r="C245" s="123">
        <v>1333</v>
      </c>
      <c r="D245" s="124">
        <v>45275</v>
      </c>
      <c r="E245" s="123" t="s">
        <v>333</v>
      </c>
      <c r="F245" s="124">
        <v>45298</v>
      </c>
      <c r="G245" s="123" t="s">
        <v>43</v>
      </c>
      <c r="H245" s="171" t="s">
        <v>874</v>
      </c>
      <c r="I245" s="123" t="s">
        <v>2</v>
      </c>
      <c r="J245" s="123" t="s">
        <v>235</v>
      </c>
      <c r="K245" s="172">
        <v>0.51379999999999992</v>
      </c>
      <c r="L245" s="123" t="s">
        <v>411</v>
      </c>
      <c r="M245" s="123"/>
      <c r="N245" s="123" t="s">
        <v>1424</v>
      </c>
    </row>
    <row r="246" spans="1:14">
      <c r="A246" s="240"/>
      <c r="B246" s="118"/>
      <c r="C246" s="123">
        <v>1333</v>
      </c>
      <c r="D246" s="124">
        <v>45275</v>
      </c>
      <c r="E246" s="123" t="s">
        <v>333</v>
      </c>
      <c r="F246" s="124">
        <v>45298</v>
      </c>
      <c r="G246" s="123" t="s">
        <v>43</v>
      </c>
      <c r="H246" s="171" t="s">
        <v>874</v>
      </c>
      <c r="I246" s="123" t="s">
        <v>2</v>
      </c>
      <c r="J246" s="123" t="s">
        <v>96</v>
      </c>
      <c r="K246" s="172">
        <v>0.10571</v>
      </c>
      <c r="L246" s="123" t="s">
        <v>411</v>
      </c>
      <c r="M246" s="123"/>
      <c r="N246" s="123" t="s">
        <v>1424</v>
      </c>
    </row>
    <row r="247" spans="1:14">
      <c r="A247" s="112"/>
      <c r="B247" s="118"/>
      <c r="C247" s="112"/>
      <c r="D247" s="113"/>
      <c r="E247" s="112"/>
      <c r="F247" s="113"/>
      <c r="G247" s="112"/>
      <c r="H247" s="112"/>
      <c r="I247" s="112"/>
      <c r="J247" s="112"/>
      <c r="K247" s="165">
        <f>SUM(K244:K246)</f>
        <v>0.70950999999999986</v>
      </c>
      <c r="L247" s="112"/>
      <c r="M247" s="112"/>
      <c r="N247" s="112"/>
    </row>
    <row r="248" spans="1:14">
      <c r="A248" s="240" t="s">
        <v>1067</v>
      </c>
      <c r="B248" s="118"/>
      <c r="C248" s="112"/>
      <c r="D248" s="113"/>
      <c r="E248" s="112"/>
      <c r="F248" s="113"/>
      <c r="G248" s="112"/>
      <c r="H248" s="112"/>
      <c r="I248" s="112"/>
      <c r="J248" s="112"/>
      <c r="K248" s="115"/>
      <c r="L248" s="112"/>
      <c r="M248" s="112"/>
      <c r="N248" s="112"/>
    </row>
    <row r="249" spans="1:14">
      <c r="A249" s="240"/>
      <c r="B249" s="118"/>
      <c r="C249" s="112">
        <v>1025</v>
      </c>
      <c r="D249" s="113">
        <v>45227</v>
      </c>
      <c r="E249" s="112" t="s">
        <v>9</v>
      </c>
      <c r="F249" s="113">
        <v>45245</v>
      </c>
      <c r="G249" s="112" t="s">
        <v>43</v>
      </c>
      <c r="H249" s="123" t="s">
        <v>93</v>
      </c>
      <c r="I249" s="112" t="s">
        <v>2</v>
      </c>
      <c r="J249" s="112" t="s">
        <v>577</v>
      </c>
      <c r="K249" s="115">
        <v>1.3324799999999999</v>
      </c>
      <c r="L249" s="112" t="s">
        <v>415</v>
      </c>
      <c r="M249" s="123"/>
      <c r="N249" s="112"/>
    </row>
    <row r="250" spans="1:14">
      <c r="A250" s="240"/>
      <c r="B250" s="118"/>
      <c r="C250" s="112">
        <v>1025</v>
      </c>
      <c r="D250" s="113">
        <v>45227</v>
      </c>
      <c r="E250" s="112" t="s">
        <v>9</v>
      </c>
      <c r="F250" s="113">
        <v>45245</v>
      </c>
      <c r="G250" s="112" t="s">
        <v>43</v>
      </c>
      <c r="H250" s="123" t="s">
        <v>93</v>
      </c>
      <c r="I250" s="112" t="s">
        <v>2</v>
      </c>
      <c r="J250" s="112" t="s">
        <v>89</v>
      </c>
      <c r="K250" s="115">
        <v>2.3904000000000001</v>
      </c>
      <c r="L250" s="112" t="s">
        <v>415</v>
      </c>
      <c r="M250" s="123"/>
      <c r="N250" s="112"/>
    </row>
    <row r="251" spans="1:14">
      <c r="A251" s="240"/>
      <c r="B251" s="118"/>
      <c r="C251" s="112">
        <v>1025</v>
      </c>
      <c r="D251" s="113">
        <v>45227</v>
      </c>
      <c r="E251" s="112" t="s">
        <v>9</v>
      </c>
      <c r="F251" s="113">
        <v>45245</v>
      </c>
      <c r="G251" s="112" t="s">
        <v>43</v>
      </c>
      <c r="H251" s="123" t="s">
        <v>93</v>
      </c>
      <c r="I251" s="112" t="s">
        <v>2</v>
      </c>
      <c r="J251" s="112" t="s">
        <v>87</v>
      </c>
      <c r="K251" s="115">
        <v>0.88412000000000002</v>
      </c>
      <c r="L251" s="112" t="s">
        <v>415</v>
      </c>
      <c r="M251" s="123"/>
      <c r="N251" s="112"/>
    </row>
    <row r="252" spans="1:14">
      <c r="A252" s="240"/>
      <c r="B252" s="118"/>
      <c r="C252" s="112">
        <v>1025</v>
      </c>
      <c r="D252" s="113">
        <v>45227</v>
      </c>
      <c r="E252" s="112" t="s">
        <v>9</v>
      </c>
      <c r="F252" s="113">
        <v>45245</v>
      </c>
      <c r="G252" s="112" t="s">
        <v>43</v>
      </c>
      <c r="H252" s="123" t="s">
        <v>190</v>
      </c>
      <c r="I252" s="112" t="s">
        <v>3</v>
      </c>
      <c r="J252" s="112" t="s">
        <v>577</v>
      </c>
      <c r="K252" s="115">
        <v>0.24984000000000001</v>
      </c>
      <c r="L252" s="112" t="s">
        <v>415</v>
      </c>
      <c r="M252" s="112"/>
      <c r="N252" s="112"/>
    </row>
    <row r="253" spans="1:14">
      <c r="A253" s="240"/>
      <c r="B253" s="118"/>
      <c r="C253" s="112">
        <v>1025</v>
      </c>
      <c r="D253" s="113">
        <v>45227</v>
      </c>
      <c r="E253" s="112" t="s">
        <v>9</v>
      </c>
      <c r="F253" s="113">
        <v>45245</v>
      </c>
      <c r="G253" s="112" t="s">
        <v>43</v>
      </c>
      <c r="H253" s="123" t="s">
        <v>93</v>
      </c>
      <c r="I253" s="112" t="s">
        <v>2</v>
      </c>
      <c r="J253" s="112" t="s">
        <v>409</v>
      </c>
      <c r="K253" s="115">
        <v>0.50268000000000002</v>
      </c>
      <c r="L253" s="112" t="s">
        <v>415</v>
      </c>
      <c r="M253" s="123"/>
      <c r="N253" s="112"/>
    </row>
    <row r="254" spans="1:14">
      <c r="A254" s="240"/>
      <c r="B254" s="118"/>
      <c r="C254" s="112">
        <v>1025</v>
      </c>
      <c r="D254" s="113">
        <v>45227</v>
      </c>
      <c r="E254" s="112" t="s">
        <v>9</v>
      </c>
      <c r="F254" s="113">
        <v>45245</v>
      </c>
      <c r="G254" s="112" t="s">
        <v>43</v>
      </c>
      <c r="H254" s="123" t="s">
        <v>93</v>
      </c>
      <c r="I254" s="112" t="s">
        <v>2</v>
      </c>
      <c r="J254" s="112" t="s">
        <v>474</v>
      </c>
      <c r="K254" s="115">
        <v>1.8111499999999996</v>
      </c>
      <c r="L254" s="112" t="s">
        <v>415</v>
      </c>
      <c r="M254" s="123"/>
      <c r="N254" s="112"/>
    </row>
    <row r="255" spans="1:14">
      <c r="A255" s="240"/>
      <c r="B255" s="118"/>
      <c r="C255" s="112">
        <v>1025</v>
      </c>
      <c r="D255" s="113">
        <v>45227</v>
      </c>
      <c r="E255" s="112" t="s">
        <v>9</v>
      </c>
      <c r="F255" s="113">
        <v>45245</v>
      </c>
      <c r="G255" s="112" t="s">
        <v>43</v>
      </c>
      <c r="H255" s="123" t="s">
        <v>93</v>
      </c>
      <c r="I255" s="112" t="s">
        <v>2</v>
      </c>
      <c r="J255" s="112" t="s">
        <v>434</v>
      </c>
      <c r="K255" s="115">
        <v>0.93952000000000002</v>
      </c>
      <c r="L255" s="112" t="s">
        <v>415</v>
      </c>
      <c r="M255" s="123"/>
      <c r="N255" s="112"/>
    </row>
    <row r="256" spans="1:14">
      <c r="A256" s="240"/>
      <c r="B256" s="118"/>
      <c r="C256" s="112">
        <v>1025</v>
      </c>
      <c r="D256" s="113">
        <v>45227</v>
      </c>
      <c r="E256" s="112" t="s">
        <v>9</v>
      </c>
      <c r="F256" s="113">
        <v>45245</v>
      </c>
      <c r="G256" s="112" t="s">
        <v>43</v>
      </c>
      <c r="H256" s="123" t="s">
        <v>190</v>
      </c>
      <c r="I256" s="112" t="s">
        <v>3</v>
      </c>
      <c r="J256" s="112" t="s">
        <v>474</v>
      </c>
      <c r="K256" s="115">
        <v>0.35952000000000001</v>
      </c>
      <c r="L256" s="112" t="s">
        <v>415</v>
      </c>
      <c r="M256" s="112"/>
      <c r="N256" s="112"/>
    </row>
    <row r="257" spans="1:14">
      <c r="A257" s="240"/>
      <c r="B257" s="118"/>
      <c r="C257" s="112">
        <v>1025</v>
      </c>
      <c r="D257" s="113">
        <v>45227</v>
      </c>
      <c r="E257" s="112" t="s">
        <v>9</v>
      </c>
      <c r="F257" s="113">
        <v>45245</v>
      </c>
      <c r="G257" s="112" t="s">
        <v>43</v>
      </c>
      <c r="H257" s="123" t="s">
        <v>190</v>
      </c>
      <c r="I257" s="112" t="s">
        <v>3</v>
      </c>
      <c r="J257" s="112" t="s">
        <v>435</v>
      </c>
      <c r="K257" s="115">
        <v>0.1152</v>
      </c>
      <c r="L257" s="112" t="s">
        <v>415</v>
      </c>
      <c r="M257" s="112"/>
      <c r="N257" s="112"/>
    </row>
    <row r="258" spans="1:14">
      <c r="A258" s="112"/>
      <c r="B258" s="118"/>
      <c r="C258" s="112"/>
      <c r="D258" s="113"/>
      <c r="E258" s="112"/>
      <c r="F258" s="113"/>
      <c r="G258" s="112"/>
      <c r="H258" s="112"/>
      <c r="I258" s="112"/>
      <c r="J258" s="112"/>
      <c r="K258" s="165">
        <f>SUM(K248:K257)</f>
        <v>8.5849099999999989</v>
      </c>
      <c r="L258" s="112"/>
      <c r="M258" s="112"/>
      <c r="N258" s="112"/>
    </row>
    <row r="259" spans="1:14">
      <c r="A259" s="112"/>
      <c r="B259" s="118"/>
      <c r="C259" s="112"/>
      <c r="D259" s="113"/>
      <c r="E259" s="112"/>
      <c r="F259" s="113"/>
      <c r="G259" s="112"/>
      <c r="H259" s="112"/>
      <c r="I259" s="112"/>
      <c r="J259" s="112"/>
      <c r="K259" s="115"/>
      <c r="L259" s="112"/>
      <c r="M259" s="112"/>
      <c r="N259" s="112"/>
    </row>
    <row r="260" spans="1:14">
      <c r="A260" s="112"/>
      <c r="B260" s="118"/>
      <c r="C260" s="112"/>
      <c r="D260" s="113"/>
      <c r="E260" s="112"/>
      <c r="F260" s="113"/>
      <c r="G260" s="112"/>
      <c r="H260" s="112"/>
      <c r="I260" s="112"/>
      <c r="J260" s="112"/>
      <c r="K260" s="115"/>
      <c r="L260" s="112"/>
      <c r="M260" s="112"/>
      <c r="N260" s="112"/>
    </row>
    <row r="261" spans="1:14">
      <c r="A261" s="112"/>
      <c r="B261" s="118"/>
      <c r="C261" s="112"/>
      <c r="D261" s="113"/>
      <c r="E261" s="112"/>
      <c r="F261" s="113"/>
      <c r="G261" s="112"/>
      <c r="H261" s="112"/>
      <c r="I261" s="112"/>
      <c r="J261" s="112"/>
      <c r="K261" s="165">
        <f>+K258+K39+K64+K13+K247+K222+K228+K205+K174+K103+K142+K80+K240+K233+K189</f>
        <v>2330.2873464025188</v>
      </c>
      <c r="L261" s="112"/>
      <c r="M261" s="112"/>
      <c r="N261" s="112"/>
    </row>
  </sheetData>
  <sortState ref="B59:N73">
    <sortCondition ref="J59:J73"/>
  </sortState>
  <mergeCells count="15">
    <mergeCell ref="A6:A12"/>
    <mergeCell ref="A191:A204"/>
    <mergeCell ref="A144:A174"/>
    <mergeCell ref="A176:A188"/>
    <mergeCell ref="A232:A233"/>
    <mergeCell ref="A248:A257"/>
    <mergeCell ref="A42:A63"/>
    <mergeCell ref="A15:A40"/>
    <mergeCell ref="A244:A246"/>
    <mergeCell ref="A66:A80"/>
    <mergeCell ref="A224:A228"/>
    <mergeCell ref="A208:A220"/>
    <mergeCell ref="A82:A102"/>
    <mergeCell ref="A105:A141"/>
    <mergeCell ref="A235:A239"/>
  </mergeCells>
  <pageMargins left="0.16" right="0.12" top="0.16" bottom="0.37" header="0.3" footer="0.24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2:S54"/>
  <sheetViews>
    <sheetView workbookViewId="0">
      <pane xSplit="2" ySplit="5" topLeftCell="C18" activePane="bottomRight" state="frozen"/>
      <selection pane="topRight" activeCell="C1" sqref="C1"/>
      <selection pane="bottomLeft" activeCell="A6" sqref="A6"/>
      <selection pane="bottomRight" activeCell="A38" sqref="A38:A39"/>
    </sheetView>
  </sheetViews>
  <sheetFormatPr defaultColWidth="15.88671875" defaultRowHeight="14.4"/>
  <cols>
    <col min="2" max="2" width="23.109375" customWidth="1"/>
    <col min="3" max="3" width="12.6640625" customWidth="1"/>
    <col min="4" max="4" width="14.33203125" customWidth="1"/>
    <col min="5" max="5" width="7.88671875" customWidth="1"/>
    <col min="6" max="6" width="13" customWidth="1"/>
    <col min="7" max="7" width="12.109375" customWidth="1"/>
    <col min="8" max="8" width="12.5546875" customWidth="1"/>
    <col min="9" max="9" width="10.88671875" customWidth="1"/>
    <col min="10" max="10" width="10.44140625" customWidth="1"/>
    <col min="11" max="11" width="15.5546875" customWidth="1"/>
    <col min="12" max="12" width="11.88671875" customWidth="1"/>
    <col min="13" max="13" width="15" customWidth="1"/>
    <col min="14" max="14" width="6.109375" customWidth="1"/>
    <col min="15" max="15" width="8.5546875" customWidth="1"/>
    <col min="16" max="16" width="14.109375" customWidth="1"/>
    <col min="17" max="17" width="9.33203125" customWidth="1"/>
    <col min="18" max="18" width="12.88671875" customWidth="1"/>
    <col min="19" max="19" width="9.33203125" customWidth="1"/>
  </cols>
  <sheetData>
    <row r="2" spans="1:19">
      <c r="A2" t="s">
        <v>354</v>
      </c>
    </row>
    <row r="3" spans="1:19">
      <c r="A3" t="s">
        <v>355</v>
      </c>
    </row>
    <row r="4" spans="1:19">
      <c r="H4" s="236"/>
      <c r="I4" s="236"/>
      <c r="J4" s="236"/>
      <c r="M4" s="236"/>
      <c r="N4" s="236"/>
    </row>
    <row r="5" spans="1:19" ht="54" customHeight="1">
      <c r="A5" s="3" t="s">
        <v>356</v>
      </c>
      <c r="B5" s="3" t="s">
        <v>0</v>
      </c>
      <c r="C5" s="3" t="s">
        <v>357</v>
      </c>
      <c r="D5" s="3" t="s">
        <v>358</v>
      </c>
      <c r="E5" s="3" t="s">
        <v>359</v>
      </c>
      <c r="F5" s="3" t="s">
        <v>360</v>
      </c>
      <c r="G5" s="3" t="s">
        <v>361</v>
      </c>
      <c r="H5" s="3" t="s">
        <v>362</v>
      </c>
      <c r="I5" s="3" t="s">
        <v>363</v>
      </c>
      <c r="J5" s="3"/>
      <c r="K5" s="3" t="s">
        <v>364</v>
      </c>
      <c r="L5" s="3"/>
      <c r="M5" s="3" t="s">
        <v>365</v>
      </c>
      <c r="N5" s="3"/>
      <c r="O5" s="3" t="s">
        <v>1386</v>
      </c>
      <c r="P5" s="3" t="s">
        <v>366</v>
      </c>
      <c r="Q5" s="3" t="s">
        <v>13</v>
      </c>
      <c r="R5" s="3"/>
      <c r="S5" s="4"/>
    </row>
    <row r="6" spans="1:19">
      <c r="A6" s="4" t="s">
        <v>140</v>
      </c>
      <c r="B6" s="4" t="s">
        <v>367</v>
      </c>
      <c r="C6" s="4">
        <f>35.5458695652174-17.5</f>
        <v>18.045869565217401</v>
      </c>
      <c r="D6" s="4" t="s">
        <v>368</v>
      </c>
      <c r="E6" s="4"/>
      <c r="F6" s="4">
        <f t="shared" ref="F6:F21" si="0">E6/0.92</f>
        <v>0</v>
      </c>
      <c r="G6" s="4">
        <f>35.5458695652174-17.5</f>
        <v>18.045869565217401</v>
      </c>
      <c r="H6" s="4"/>
      <c r="I6" s="4">
        <f>C6-F6-H6-G6</f>
        <v>0</v>
      </c>
      <c r="J6" s="4"/>
      <c r="K6" s="4"/>
      <c r="L6" s="4"/>
      <c r="M6" s="4">
        <f t="shared" ref="M6:M30" si="1">I6+K6</f>
        <v>0</v>
      </c>
      <c r="N6" s="4"/>
      <c r="O6" s="4"/>
      <c r="P6" s="4"/>
      <c r="Q6" s="4"/>
      <c r="R6" s="4"/>
      <c r="S6" s="4"/>
    </row>
    <row r="7" spans="1:19">
      <c r="A7" s="4" t="s">
        <v>172</v>
      </c>
      <c r="B7" s="4" t="s">
        <v>1012</v>
      </c>
      <c r="C7" s="4">
        <v>9.9049999999999994</v>
      </c>
      <c r="D7" s="4" t="s">
        <v>568</v>
      </c>
      <c r="E7" s="4"/>
      <c r="F7" s="4">
        <f t="shared" si="0"/>
        <v>0</v>
      </c>
      <c r="G7" s="4">
        <v>9.9049999999999994</v>
      </c>
      <c r="H7" s="4"/>
      <c r="I7" s="4">
        <f>C7-F7-H7-G7</f>
        <v>0</v>
      </c>
      <c r="J7" s="4"/>
      <c r="K7" s="4"/>
      <c r="L7" s="4"/>
      <c r="M7" s="4">
        <f>I7+K7</f>
        <v>0</v>
      </c>
      <c r="N7" s="4"/>
      <c r="O7" s="4"/>
      <c r="P7" s="4">
        <f t="shared" ref="P7" si="2">O7/0.92</f>
        <v>0</v>
      </c>
      <c r="Q7" s="4">
        <f t="shared" ref="Q7:Q12" si="3">M7-P7</f>
        <v>0</v>
      </c>
      <c r="R7" s="4"/>
      <c r="S7" s="4"/>
    </row>
    <row r="8" spans="1:19">
      <c r="A8" s="4" t="s">
        <v>61</v>
      </c>
      <c r="B8" s="4" t="s">
        <v>369</v>
      </c>
      <c r="C8" s="4">
        <f>69.8663043478261+23.423-63.034-3.261-6.5+14.726+30+195.9+586.7-53.657</f>
        <v>794.16330434782606</v>
      </c>
      <c r="D8" s="4" t="s">
        <v>568</v>
      </c>
      <c r="E8" s="4">
        <f>33.73+11.16+437.08+0.725-181.09-107.11-49.364-126.39+47.954-1.65-5.451</f>
        <v>59.593999999999987</v>
      </c>
      <c r="F8" s="4">
        <f t="shared" si="0"/>
        <v>64.776086956521723</v>
      </c>
      <c r="G8" s="4">
        <v>30</v>
      </c>
      <c r="H8" s="4"/>
      <c r="I8" s="4">
        <f t="shared" ref="I8:I30" si="4">C8-F8-H8-G8</f>
        <v>699.38721739130438</v>
      </c>
      <c r="J8" s="4"/>
      <c r="K8" s="4"/>
      <c r="L8" s="4"/>
      <c r="M8" s="4">
        <f>I8+K8</f>
        <v>699.38721739130438</v>
      </c>
      <c r="N8" s="4"/>
      <c r="O8" s="4">
        <f>2.38+44</f>
        <v>46.38</v>
      </c>
      <c r="P8" s="4">
        <f t="shared" ref="P8:P23" si="5">O8/0.92</f>
        <v>50.413043478260867</v>
      </c>
      <c r="Q8" s="4">
        <f t="shared" si="3"/>
        <v>648.9741739130435</v>
      </c>
      <c r="R8" s="4"/>
      <c r="S8" s="4"/>
    </row>
    <row r="9" spans="1:19">
      <c r="A9" s="4" t="s">
        <v>713</v>
      </c>
      <c r="B9" s="4" t="s">
        <v>977</v>
      </c>
      <c r="C9" s="4">
        <v>5.1589999999999998</v>
      </c>
      <c r="D9" s="4" t="s">
        <v>1339</v>
      </c>
      <c r="E9" s="4"/>
      <c r="F9" s="4">
        <f t="shared" si="0"/>
        <v>0</v>
      </c>
      <c r="G9" s="4">
        <v>5.1589999999999998</v>
      </c>
      <c r="H9" s="4"/>
      <c r="I9" s="4">
        <f t="shared" si="4"/>
        <v>0</v>
      </c>
      <c r="J9" s="4"/>
      <c r="K9" s="4"/>
      <c r="L9" s="4"/>
      <c r="M9" s="4">
        <f>I9+K9</f>
        <v>0</v>
      </c>
      <c r="N9" s="4"/>
      <c r="O9" s="4"/>
      <c r="P9" s="4">
        <f t="shared" si="5"/>
        <v>0</v>
      </c>
      <c r="Q9" s="4">
        <f t="shared" si="3"/>
        <v>0</v>
      </c>
      <c r="R9" s="4"/>
      <c r="S9" s="4"/>
    </row>
    <row r="10" spans="1:19">
      <c r="A10" s="4" t="s">
        <v>172</v>
      </c>
      <c r="B10" s="4" t="s">
        <v>367</v>
      </c>
      <c r="C10" s="4">
        <f>17.8957391304349+470.028-32.147+297.984-197.321-44.228-189.095-65.913-202.109-17.54+503.41+231.64+7.418-104.608+235.841-425.472+2.13-31.739-57.304-111.543+298.54-44.923-27.51+27.62+34.022+74.36-170.51-19.9+374.541+8.579+192.11-241.451+447.1+124.515-112.07-60.152-243.679</f>
        <v>948.51973913043469</v>
      </c>
      <c r="D10" s="4" t="s">
        <v>863</v>
      </c>
      <c r="E10" s="4">
        <f>523.913-156.87-18.35+582.07+40.258-222.135-44.91-437.08-0.725-103.105+15+181.09+107.11-55.34+126.39+11.107-224.185+5.451</f>
        <v>329.68900000000002</v>
      </c>
      <c r="F10" s="4">
        <f t="shared" si="0"/>
        <v>358.35760869565217</v>
      </c>
      <c r="G10" s="4">
        <v>17.895739130434947</v>
      </c>
      <c r="H10" s="4"/>
      <c r="I10" s="4">
        <f t="shared" si="4"/>
        <v>572.26639130434751</v>
      </c>
      <c r="J10" s="4"/>
      <c r="K10" s="4"/>
      <c r="L10" s="4"/>
      <c r="M10" s="4">
        <f t="shared" si="1"/>
        <v>572.26639130434751</v>
      </c>
      <c r="N10" s="4"/>
      <c r="O10" s="4">
        <v>1.37</v>
      </c>
      <c r="P10" s="4">
        <f t="shared" si="5"/>
        <v>1.4891304347826086</v>
      </c>
      <c r="Q10" s="4">
        <f t="shared" si="3"/>
        <v>570.77726086956488</v>
      </c>
      <c r="R10" s="4"/>
      <c r="S10" s="4"/>
    </row>
    <row r="11" spans="1:19">
      <c r="A11" s="4" t="s">
        <v>370</v>
      </c>
      <c r="B11" s="4" t="s">
        <v>371</v>
      </c>
      <c r="C11" s="4">
        <f>54.772</f>
        <v>54.771999999999998</v>
      </c>
      <c r="D11" s="4" t="s">
        <v>372</v>
      </c>
      <c r="E11" s="4"/>
      <c r="F11" s="4">
        <f t="shared" si="0"/>
        <v>0</v>
      </c>
      <c r="G11" s="4"/>
      <c r="H11" s="4"/>
      <c r="I11" s="4">
        <f t="shared" si="4"/>
        <v>54.771999999999998</v>
      </c>
      <c r="J11" s="4"/>
      <c r="K11" s="4"/>
      <c r="L11" s="4"/>
      <c r="M11" s="4">
        <f t="shared" si="1"/>
        <v>54.771999999999998</v>
      </c>
      <c r="N11" s="4"/>
      <c r="O11" s="4"/>
      <c r="P11" s="4">
        <f t="shared" si="5"/>
        <v>0</v>
      </c>
      <c r="Q11" s="4">
        <f t="shared" si="3"/>
        <v>54.771999999999998</v>
      </c>
      <c r="R11" s="4"/>
      <c r="S11" s="4"/>
    </row>
    <row r="12" spans="1:19">
      <c r="A12" s="4" t="s">
        <v>140</v>
      </c>
      <c r="B12" s="4" t="s">
        <v>373</v>
      </c>
      <c r="C12" s="4">
        <f>150.003-0.984-7.5+16+1.5</f>
        <v>159.01899999999998</v>
      </c>
      <c r="D12" s="4"/>
      <c r="E12" s="4"/>
      <c r="F12" s="4">
        <f t="shared" si="0"/>
        <v>0</v>
      </c>
      <c r="G12" s="4"/>
      <c r="H12" s="4">
        <f>150.003-0.984-7.5+16+1.5</f>
        <v>159.01899999999998</v>
      </c>
      <c r="I12" s="4">
        <f t="shared" si="4"/>
        <v>0</v>
      </c>
      <c r="J12" s="4"/>
      <c r="K12" s="4"/>
      <c r="L12" s="4"/>
      <c r="M12" s="4">
        <f t="shared" si="1"/>
        <v>0</v>
      </c>
      <c r="N12" s="4"/>
      <c r="O12" s="4"/>
      <c r="P12" s="4">
        <f t="shared" si="5"/>
        <v>0</v>
      </c>
      <c r="Q12" s="4">
        <f t="shared" si="3"/>
        <v>0</v>
      </c>
      <c r="R12" s="4"/>
      <c r="S12" s="4"/>
    </row>
    <row r="13" spans="1:19">
      <c r="A13" s="4"/>
      <c r="B13" s="4"/>
      <c r="C13" s="4">
        <f>SUM(C6:C12)</f>
        <v>1989.5839130434781</v>
      </c>
      <c r="D13" s="4"/>
      <c r="E13" s="4">
        <f>SUM(E6:E12)</f>
        <v>389.28300000000002</v>
      </c>
      <c r="F13" s="4">
        <f t="shared" ref="F13:P13" si="6">SUM(F6:F12)</f>
        <v>423.13369565217391</v>
      </c>
      <c r="G13" s="4">
        <f t="shared" si="6"/>
        <v>81.005608695652342</v>
      </c>
      <c r="H13" s="4">
        <f t="shared" si="6"/>
        <v>159.01899999999998</v>
      </c>
      <c r="I13" s="4"/>
      <c r="J13" s="4">
        <f t="shared" si="6"/>
        <v>0</v>
      </c>
      <c r="K13" s="4">
        <f>SUM(K6:K12)</f>
        <v>0</v>
      </c>
      <c r="L13" s="4">
        <f t="shared" si="6"/>
        <v>0</v>
      </c>
      <c r="M13" s="4"/>
      <c r="N13" s="4">
        <f t="shared" si="6"/>
        <v>0</v>
      </c>
      <c r="O13" s="4">
        <f>SUM(O6:O12)</f>
        <v>47.75</v>
      </c>
      <c r="P13" s="4">
        <f t="shared" si="6"/>
        <v>51.902173913043477</v>
      </c>
      <c r="Q13" s="4"/>
      <c r="R13" s="4"/>
      <c r="S13" s="4"/>
    </row>
    <row r="14" spans="1:19">
      <c r="A14" s="4" t="s">
        <v>140</v>
      </c>
      <c r="B14" s="4" t="s">
        <v>222</v>
      </c>
      <c r="C14" s="4">
        <v>37.643999999999998</v>
      </c>
      <c r="D14" s="4" t="s">
        <v>571</v>
      </c>
      <c r="E14" s="4"/>
      <c r="F14" s="4">
        <f t="shared" si="0"/>
        <v>0</v>
      </c>
      <c r="G14" s="4">
        <v>37.643999999999998</v>
      </c>
      <c r="H14" s="4"/>
      <c r="I14" s="4">
        <f t="shared" si="4"/>
        <v>0</v>
      </c>
      <c r="J14" s="4"/>
      <c r="K14" s="4"/>
      <c r="L14" s="4"/>
      <c r="M14" s="4">
        <f t="shared" si="1"/>
        <v>0</v>
      </c>
      <c r="N14" s="4"/>
      <c r="O14" s="4"/>
      <c r="P14" s="4">
        <f t="shared" si="5"/>
        <v>0</v>
      </c>
      <c r="Q14" s="4">
        <f t="shared" ref="Q14:Q23" si="7">M14-P14</f>
        <v>0</v>
      </c>
      <c r="R14" s="4"/>
      <c r="S14" s="4"/>
    </row>
    <row r="15" spans="1:19">
      <c r="A15" s="4" t="s">
        <v>374</v>
      </c>
      <c r="B15" s="4" t="s">
        <v>375</v>
      </c>
      <c r="C15" s="4">
        <f>519.932468580163-179.577-142.522-124.489-31.822+23.821-27.173-26.086+460.3+93.827-8.278+32.073-213.174+164.742</f>
        <v>541.57446858016294</v>
      </c>
      <c r="D15" s="4" t="s">
        <v>569</v>
      </c>
      <c r="E15" s="4">
        <f>7+870.11+7.358-72.72-7.616+5.262-40.92-196.12</f>
        <v>572.35399999999993</v>
      </c>
      <c r="F15" s="4">
        <f t="shared" si="0"/>
        <v>622.12391304347818</v>
      </c>
      <c r="G15" s="4">
        <f>519.932468580163-179.577-142.522-124.489-31.822+23.821-27.173-26.086</f>
        <v>12.084468580163005</v>
      </c>
      <c r="H15" s="4"/>
      <c r="I15" s="4">
        <f t="shared" si="4"/>
        <v>-92.633913043478245</v>
      </c>
      <c r="J15" s="4"/>
      <c r="K15" s="4">
        <f>+I40</f>
        <v>223.05800000000002</v>
      </c>
      <c r="L15" s="4"/>
      <c r="M15" s="4">
        <f t="shared" si="1"/>
        <v>130.42408695652176</v>
      </c>
      <c r="N15" s="4"/>
      <c r="O15" s="4">
        <f>4.82+92.96</f>
        <v>97.78</v>
      </c>
      <c r="P15" s="4">
        <f t="shared" si="5"/>
        <v>106.28260869565217</v>
      </c>
      <c r="Q15" s="4">
        <f t="shared" si="7"/>
        <v>24.14147826086959</v>
      </c>
      <c r="R15" s="4"/>
      <c r="S15" s="4"/>
    </row>
    <row r="16" spans="1:19">
      <c r="A16" s="4" t="s">
        <v>172</v>
      </c>
      <c r="B16" s="4" t="s">
        <v>1197</v>
      </c>
      <c r="C16" s="4">
        <v>3.7090000000000001</v>
      </c>
      <c r="D16" s="4" t="s">
        <v>569</v>
      </c>
      <c r="E16" s="4"/>
      <c r="F16" s="4">
        <f t="shared" si="0"/>
        <v>0</v>
      </c>
      <c r="G16" s="4">
        <v>3.7090000000000001</v>
      </c>
      <c r="H16" s="4"/>
      <c r="I16" s="4">
        <f>C16-F16-H16-G16</f>
        <v>0</v>
      </c>
      <c r="J16" s="4"/>
      <c r="K16" s="4"/>
      <c r="L16" s="4"/>
      <c r="M16" s="4">
        <f t="shared" si="1"/>
        <v>0</v>
      </c>
      <c r="N16" s="4"/>
      <c r="O16" s="4"/>
      <c r="P16" s="4">
        <f t="shared" si="5"/>
        <v>0</v>
      </c>
      <c r="Q16" s="4">
        <f t="shared" si="7"/>
        <v>0</v>
      </c>
      <c r="R16" s="4"/>
      <c r="S16" s="4"/>
    </row>
    <row r="17" spans="1:19">
      <c r="A17" s="4" t="s">
        <v>370</v>
      </c>
      <c r="B17" s="4" t="s">
        <v>376</v>
      </c>
      <c r="C17" s="4">
        <v>53.322000000000003</v>
      </c>
      <c r="D17" s="4" t="s">
        <v>377</v>
      </c>
      <c r="E17" s="4"/>
      <c r="F17" s="4">
        <f t="shared" si="0"/>
        <v>0</v>
      </c>
      <c r="G17" s="4"/>
      <c r="H17" s="4"/>
      <c r="I17" s="4">
        <f t="shared" si="4"/>
        <v>53.322000000000003</v>
      </c>
      <c r="J17" s="4"/>
      <c r="K17" s="4"/>
      <c r="L17" s="4"/>
      <c r="M17" s="4">
        <f t="shared" si="1"/>
        <v>53.322000000000003</v>
      </c>
      <c r="N17" s="4"/>
      <c r="O17" s="4"/>
      <c r="P17" s="4">
        <f t="shared" si="5"/>
        <v>0</v>
      </c>
      <c r="Q17" s="4">
        <f t="shared" si="7"/>
        <v>53.322000000000003</v>
      </c>
      <c r="R17" s="4"/>
      <c r="S17" s="4"/>
    </row>
    <row r="18" spans="1:19">
      <c r="A18" s="4" t="s">
        <v>378</v>
      </c>
      <c r="B18" s="4" t="s">
        <v>379</v>
      </c>
      <c r="C18" s="4">
        <v>10.785</v>
      </c>
      <c r="D18" s="4" t="s">
        <v>570</v>
      </c>
      <c r="E18" s="4"/>
      <c r="F18" s="4">
        <f t="shared" si="0"/>
        <v>0</v>
      </c>
      <c r="G18" s="4">
        <v>10.785</v>
      </c>
      <c r="H18" s="4"/>
      <c r="I18" s="4">
        <f t="shared" si="4"/>
        <v>0</v>
      </c>
      <c r="J18" s="4"/>
      <c r="K18" s="4"/>
      <c r="L18" s="4"/>
      <c r="M18" s="4">
        <f t="shared" si="1"/>
        <v>0</v>
      </c>
      <c r="N18" s="4"/>
      <c r="O18" s="4"/>
      <c r="P18" s="4">
        <f t="shared" si="5"/>
        <v>0</v>
      </c>
      <c r="Q18" s="4">
        <f t="shared" si="7"/>
        <v>0</v>
      </c>
      <c r="R18" s="4"/>
      <c r="S18" s="4"/>
    </row>
    <row r="19" spans="1:19">
      <c r="A19" s="4" t="s">
        <v>378</v>
      </c>
      <c r="B19" s="4" t="s">
        <v>221</v>
      </c>
      <c r="C19" s="4">
        <v>8.8330000000000002</v>
      </c>
      <c r="D19" s="4" t="s">
        <v>377</v>
      </c>
      <c r="E19" s="4"/>
      <c r="F19" s="4">
        <f t="shared" si="0"/>
        <v>0</v>
      </c>
      <c r="G19" s="4"/>
      <c r="H19" s="4"/>
      <c r="I19" s="4">
        <f t="shared" si="4"/>
        <v>8.8330000000000002</v>
      </c>
      <c r="J19" s="4"/>
      <c r="K19" s="4"/>
      <c r="L19" s="4"/>
      <c r="M19" s="4">
        <f t="shared" si="1"/>
        <v>8.8330000000000002</v>
      </c>
      <c r="N19" s="4"/>
      <c r="O19" s="4"/>
      <c r="P19" s="4">
        <f t="shared" si="5"/>
        <v>0</v>
      </c>
      <c r="Q19" s="4">
        <f t="shared" si="7"/>
        <v>8.8330000000000002</v>
      </c>
      <c r="R19" s="4"/>
      <c r="S19" s="4"/>
    </row>
    <row r="20" spans="1:19">
      <c r="A20" s="4" t="s">
        <v>370</v>
      </c>
      <c r="B20" s="4" t="s">
        <v>669</v>
      </c>
      <c r="C20" s="4">
        <v>33.887</v>
      </c>
      <c r="D20" s="4" t="s">
        <v>571</v>
      </c>
      <c r="E20" s="4"/>
      <c r="F20" s="4">
        <f t="shared" si="0"/>
        <v>0</v>
      </c>
      <c r="G20" s="4">
        <v>33.887</v>
      </c>
      <c r="H20" s="4"/>
      <c r="I20" s="4">
        <f>C20-F20-H20-G20</f>
        <v>0</v>
      </c>
      <c r="J20" s="4"/>
      <c r="K20" s="4"/>
      <c r="L20" s="4"/>
      <c r="M20" s="4">
        <f t="shared" si="1"/>
        <v>0</v>
      </c>
      <c r="N20" s="4"/>
      <c r="O20" s="4"/>
      <c r="P20" s="4">
        <f t="shared" si="5"/>
        <v>0</v>
      </c>
      <c r="Q20" s="4">
        <f t="shared" si="7"/>
        <v>0</v>
      </c>
      <c r="R20" s="4"/>
      <c r="S20" s="4"/>
    </row>
    <row r="21" spans="1:19">
      <c r="A21" s="4" t="s">
        <v>378</v>
      </c>
      <c r="B21" s="4" t="s">
        <v>669</v>
      </c>
      <c r="C21" s="4"/>
      <c r="D21" s="4" t="s">
        <v>571</v>
      </c>
      <c r="E21" s="4">
        <f>606.567+9</f>
        <v>615.56700000000001</v>
      </c>
      <c r="F21" s="17">
        <f t="shared" si="0"/>
        <v>669.09456521739128</v>
      </c>
      <c r="G21" s="4"/>
      <c r="H21" s="4"/>
      <c r="I21" s="4">
        <f>C21-F21-H21-G21</f>
        <v>-669.09456521739128</v>
      </c>
      <c r="J21" s="4"/>
      <c r="K21" s="4">
        <v>2088.7199999999998</v>
      </c>
      <c r="L21" s="4"/>
      <c r="M21" s="4">
        <f t="shared" ref="M21" si="8">I21+K21</f>
        <v>1419.6254347826084</v>
      </c>
      <c r="N21" s="4"/>
      <c r="O21" s="4">
        <f>223.52+67.78</f>
        <v>291.3</v>
      </c>
      <c r="P21" s="4">
        <f t="shared" ref="P21" si="9">O21/0.92</f>
        <v>316.63043478260869</v>
      </c>
      <c r="Q21" s="4">
        <f t="shared" si="7"/>
        <v>1102.9949999999997</v>
      </c>
      <c r="R21" s="4"/>
      <c r="S21" s="4"/>
    </row>
    <row r="22" spans="1:19">
      <c r="A22" s="4" t="s">
        <v>172</v>
      </c>
      <c r="B22" s="4" t="s">
        <v>380</v>
      </c>
      <c r="C22" s="4">
        <f>464.238+9.096-340.315-120.565+1013.01+438.82-294.543+48+40.18-160.89-66.532-138.847+176.31+794.679-105.304+31.6+7.09-52.25-136.26-158.597-215.51-122.336-179.26+630.6-57.923-203.625-101.26+27.46+130.138-202.173+71.905+491.87+31.76-1095.201+152.574-432.429+826.99+209.34-424.765-454.5-124.69</f>
        <v>407.88499999999948</v>
      </c>
      <c r="D22" s="4" t="s">
        <v>571</v>
      </c>
      <c r="E22" s="4">
        <f>88.306+49.12+170.596+2287.987-53.29-24-187.335-93.16-186+1758.44-1007.585-7-870.11-1064.96-7.358-0.703-397.835+1138-390.784-239.2+104.815+239.2-606.567-418.145-114.715-9</f>
        <v>158.71700000000024</v>
      </c>
      <c r="F22" s="17">
        <f>E22/0.92</f>
        <v>172.51847826086981</v>
      </c>
      <c r="G22" s="4">
        <v>30</v>
      </c>
      <c r="H22" s="4"/>
      <c r="I22" s="4">
        <f t="shared" ref="I22:I26" si="10">C22-F22-H22-G22</f>
        <v>205.36652173912967</v>
      </c>
      <c r="J22" s="4"/>
      <c r="K22" s="4"/>
      <c r="L22" s="4"/>
      <c r="M22" s="4">
        <f t="shared" si="1"/>
        <v>205.36652173912967</v>
      </c>
      <c r="N22" s="4"/>
      <c r="O22" s="4"/>
      <c r="P22" s="4">
        <f t="shared" si="5"/>
        <v>0</v>
      </c>
      <c r="Q22" s="4">
        <f t="shared" si="7"/>
        <v>205.36652173912967</v>
      </c>
      <c r="R22" s="4"/>
      <c r="S22" s="4"/>
    </row>
    <row r="23" spans="1:19">
      <c r="A23" s="4" t="s">
        <v>172</v>
      </c>
      <c r="B23" s="4" t="s">
        <v>938</v>
      </c>
      <c r="C23" s="4">
        <f>1087.86-302.26-82.755-31.76-233.353-31.81-95.24-207.179-26.554-21.435+9.782-57.108+352.96+86.95+29.83-136.336+23.74-25.358-39.293-2.49-40</f>
        <v>258.1909999999998</v>
      </c>
      <c r="D23" s="4"/>
      <c r="E23" s="4">
        <f>82.888+1.148</f>
        <v>84.036000000000001</v>
      </c>
      <c r="F23" s="17">
        <f>E23/0.92</f>
        <v>91.34347826086956</v>
      </c>
      <c r="G23" s="4">
        <f>1087.86-302.26-82.755-31.76-233.353-31.81-95.24-207.179-26.554-21.435+9.782-57.108</f>
        <v>8.1879999999998958</v>
      </c>
      <c r="H23" s="4"/>
      <c r="I23" s="4">
        <f>C23-F23-H23-G23</f>
        <v>158.65952173913033</v>
      </c>
      <c r="J23" s="4"/>
      <c r="K23" s="4"/>
      <c r="L23" s="4"/>
      <c r="M23" s="4">
        <f>I23+K23</f>
        <v>158.65952173913033</v>
      </c>
      <c r="N23" s="4"/>
      <c r="O23" s="4">
        <v>1.1499999999999999</v>
      </c>
      <c r="P23" s="4">
        <f t="shared" si="5"/>
        <v>1.2499999999999998</v>
      </c>
      <c r="Q23" s="4">
        <f t="shared" si="7"/>
        <v>157.40952173913033</v>
      </c>
      <c r="R23" s="4"/>
      <c r="S23" s="4"/>
    </row>
    <row r="24" spans="1:19">
      <c r="A24" s="4" t="s">
        <v>713</v>
      </c>
      <c r="B24" s="4" t="s">
        <v>975</v>
      </c>
      <c r="C24" s="4">
        <v>14.387</v>
      </c>
      <c r="D24" s="4" t="s">
        <v>1154</v>
      </c>
      <c r="E24" s="4"/>
      <c r="F24" s="17">
        <f>E24/0.92</f>
        <v>0</v>
      </c>
      <c r="G24" s="4">
        <v>14.387</v>
      </c>
      <c r="H24" s="4"/>
      <c r="I24" s="4">
        <f t="shared" si="10"/>
        <v>0</v>
      </c>
      <c r="J24" s="4"/>
      <c r="K24" s="4"/>
      <c r="L24" s="4"/>
      <c r="M24" s="4">
        <f t="shared" si="1"/>
        <v>0</v>
      </c>
      <c r="N24" s="4"/>
      <c r="O24" s="4"/>
      <c r="P24" s="4">
        <f t="shared" ref="P24:P28" si="11">O24/0.92</f>
        <v>0</v>
      </c>
      <c r="Q24" s="4">
        <f t="shared" ref="Q24:Q26" si="12">M24-P24</f>
        <v>0</v>
      </c>
      <c r="R24" s="4"/>
      <c r="S24" s="4"/>
    </row>
    <row r="25" spans="1:19">
      <c r="A25" s="4" t="s">
        <v>172</v>
      </c>
      <c r="B25" s="4" t="s">
        <v>920</v>
      </c>
      <c r="C25" s="4">
        <f>402.129-80.272-10.085+51-4.674-113.728-207.87-3.261+8.867-7.418-3.709-7.9-8.847+10.535+350.22+111.02+188.304-55.88-244.886</f>
        <v>373.54500000000007</v>
      </c>
      <c r="D25" s="4" t="s">
        <v>571</v>
      </c>
      <c r="E25" s="4">
        <f>1.081+31.237</f>
        <v>32.317999999999998</v>
      </c>
      <c r="F25" s="17">
        <f>E25/0.92</f>
        <v>35.12826086956521</v>
      </c>
      <c r="G25" s="4">
        <f>402.129-80.272-10.085+51-4.674-113.728-207.87-3.261+8.867-7.418-3.709-7.9-8.847</f>
        <v>14.232000000000051</v>
      </c>
      <c r="H25" s="4"/>
      <c r="I25" s="4">
        <f t="shared" si="10"/>
        <v>324.18473913043482</v>
      </c>
      <c r="J25" s="4"/>
      <c r="K25" s="4"/>
      <c r="L25" s="4"/>
      <c r="M25" s="4">
        <f t="shared" si="1"/>
        <v>324.18473913043482</v>
      </c>
      <c r="N25" s="4"/>
      <c r="O25" s="4"/>
      <c r="P25" s="4">
        <f t="shared" si="11"/>
        <v>0</v>
      </c>
      <c r="Q25" s="4">
        <f t="shared" si="12"/>
        <v>324.18473913043482</v>
      </c>
      <c r="R25" s="4"/>
      <c r="S25" s="4"/>
    </row>
    <row r="26" spans="1:19">
      <c r="A26" s="4" t="s">
        <v>713</v>
      </c>
      <c r="B26" s="4" t="s">
        <v>919</v>
      </c>
      <c r="C26" s="4">
        <f>418-77.713-55.533+50.862-95.674-179.967-45.37+3.105-11.217</f>
        <v>6.4930000000000252</v>
      </c>
      <c r="D26" s="4" t="s">
        <v>1154</v>
      </c>
      <c r="E26" s="4"/>
      <c r="F26" s="17">
        <f t="shared" ref="F26:F28" si="13">E26/0.92</f>
        <v>0</v>
      </c>
      <c r="G26" s="4">
        <f>418-77.713-55.533+50.862-95.674-179.967-45.37+3.105-11.217</f>
        <v>6.4930000000000252</v>
      </c>
      <c r="H26" s="4"/>
      <c r="I26" s="4">
        <f t="shared" si="10"/>
        <v>0</v>
      </c>
      <c r="J26" s="4"/>
      <c r="K26" s="4"/>
      <c r="L26" s="4"/>
      <c r="M26" s="4">
        <f t="shared" si="1"/>
        <v>0</v>
      </c>
      <c r="N26" s="4"/>
      <c r="O26" s="4"/>
      <c r="P26" s="4">
        <f t="shared" si="11"/>
        <v>0</v>
      </c>
      <c r="Q26" s="4">
        <f t="shared" si="12"/>
        <v>0</v>
      </c>
      <c r="R26" s="4"/>
      <c r="S26" s="4"/>
    </row>
    <row r="27" spans="1:19">
      <c r="A27" s="4" t="s">
        <v>712</v>
      </c>
      <c r="B27" s="4" t="s">
        <v>1225</v>
      </c>
      <c r="C27" s="4">
        <f>15.719+64.66-60.86</f>
        <v>19.518999999999991</v>
      </c>
      <c r="D27" s="4" t="s">
        <v>381</v>
      </c>
      <c r="E27" s="4"/>
      <c r="F27" s="17">
        <f t="shared" si="13"/>
        <v>0</v>
      </c>
      <c r="G27" s="4">
        <f>15.719+64.66-60.86</f>
        <v>19.518999999999991</v>
      </c>
      <c r="H27" s="4"/>
      <c r="I27" s="4">
        <f>C27-F27-H27-G27</f>
        <v>0</v>
      </c>
      <c r="J27" s="4"/>
      <c r="K27" s="4"/>
      <c r="L27" s="4"/>
      <c r="M27" s="4">
        <f t="shared" si="1"/>
        <v>0</v>
      </c>
      <c r="N27" s="4"/>
      <c r="O27" s="4"/>
      <c r="P27" s="4">
        <f t="shared" si="11"/>
        <v>0</v>
      </c>
      <c r="Q27" s="4">
        <f>M27-P27</f>
        <v>0</v>
      </c>
      <c r="R27" s="4"/>
      <c r="S27" s="4"/>
    </row>
    <row r="28" spans="1:19">
      <c r="A28" s="4" t="s">
        <v>204</v>
      </c>
      <c r="B28" s="4" t="s">
        <v>1338</v>
      </c>
      <c r="C28" s="4">
        <f>259.83-246.83+188.9</f>
        <v>201.89999999999998</v>
      </c>
      <c r="D28" s="4" t="s">
        <v>381</v>
      </c>
      <c r="E28" s="4"/>
      <c r="F28" s="17">
        <f t="shared" si="13"/>
        <v>0</v>
      </c>
      <c r="G28" s="4">
        <f>259.83-246.83</f>
        <v>12.999999999999972</v>
      </c>
      <c r="H28" s="4"/>
      <c r="I28" s="4">
        <f>C28-F28-H28-G28</f>
        <v>188.9</v>
      </c>
      <c r="J28" s="4"/>
      <c r="K28" s="4">
        <f>+I43</f>
        <v>124.9</v>
      </c>
      <c r="L28" s="4"/>
      <c r="M28" s="4">
        <f t="shared" ref="M28" si="14">I28+K28</f>
        <v>313.8</v>
      </c>
      <c r="N28" s="4"/>
      <c r="O28" s="4"/>
      <c r="P28" s="4">
        <f t="shared" si="11"/>
        <v>0</v>
      </c>
      <c r="Q28" s="4">
        <f>M28-P28</f>
        <v>313.8</v>
      </c>
      <c r="R28" s="4"/>
      <c r="S28" s="4"/>
    </row>
    <row r="29" spans="1:19">
      <c r="A29" s="4" t="s">
        <v>713</v>
      </c>
      <c r="B29" s="4" t="s">
        <v>976</v>
      </c>
      <c r="C29" s="4">
        <f>197.09+144.5+3.755+484.516+118.92+40.92-327.728-180.022-479.054</f>
        <v>2.8969999999999914</v>
      </c>
      <c r="D29" s="4" t="s">
        <v>381</v>
      </c>
      <c r="E29" s="4"/>
      <c r="F29" s="17">
        <f t="shared" ref="F29" si="15">E29/0.92</f>
        <v>0</v>
      </c>
      <c r="G29" s="4">
        <f>197.09+144.5+3.755+484.516+118.92+40.92-327.728-180.022-479.054</f>
        <v>2.8969999999999914</v>
      </c>
      <c r="H29" s="4"/>
      <c r="I29" s="4">
        <f>C29-F29-H29-G29</f>
        <v>0</v>
      </c>
      <c r="J29" s="4"/>
      <c r="K29" s="4"/>
      <c r="L29" s="4"/>
      <c r="M29" s="4">
        <f t="shared" ref="M29" si="16">I29+K29</f>
        <v>0</v>
      </c>
      <c r="N29" s="4"/>
      <c r="O29" s="4"/>
      <c r="P29" s="4">
        <f t="shared" ref="P29" si="17">O29/0.92</f>
        <v>0</v>
      </c>
      <c r="Q29" s="4">
        <f>M29-P29</f>
        <v>0</v>
      </c>
      <c r="R29" s="4"/>
      <c r="S29" s="4"/>
    </row>
    <row r="30" spans="1:19">
      <c r="A30" s="4" t="s">
        <v>172</v>
      </c>
      <c r="B30" s="4" t="s">
        <v>1252</v>
      </c>
      <c r="C30" s="4">
        <f>2.487+360.41+150.425+427.675+210.66+139.15-247.603-318.326-25.4</f>
        <v>699.47800000000018</v>
      </c>
      <c r="D30" s="4" t="s">
        <v>381</v>
      </c>
      <c r="E30" s="4">
        <v>55.473999999999997</v>
      </c>
      <c r="F30" s="17">
        <f>E30/0.92</f>
        <v>60.297826086956519</v>
      </c>
      <c r="G30" s="4">
        <v>2.4870000000000001</v>
      </c>
      <c r="H30" s="4"/>
      <c r="I30" s="4">
        <f t="shared" si="4"/>
        <v>636.69317391304367</v>
      </c>
      <c r="J30" s="4"/>
      <c r="K30" s="4"/>
      <c r="L30" s="4"/>
      <c r="M30" s="4">
        <f t="shared" si="1"/>
        <v>636.69317391304367</v>
      </c>
      <c r="N30" s="4"/>
      <c r="O30" s="4"/>
      <c r="P30" s="4">
        <f>O30/0.92</f>
        <v>0</v>
      </c>
      <c r="Q30" s="4">
        <f>M30-P30</f>
        <v>636.69317391304367</v>
      </c>
      <c r="R30" s="4"/>
      <c r="S30" s="4"/>
    </row>
    <row r="31" spans="1:19">
      <c r="A31" s="4"/>
      <c r="B31" s="4"/>
      <c r="C31" s="4">
        <f>SUM(C14:C30)</f>
        <v>2674.0494685801623</v>
      </c>
      <c r="D31" s="4"/>
      <c r="E31" s="4">
        <f>SUM(E14:E30)</f>
        <v>1518.4660000000001</v>
      </c>
      <c r="F31" s="17">
        <f>SUM(F14:F30)</f>
        <v>1650.5065217391304</v>
      </c>
      <c r="G31" s="4">
        <f>SUM(G14:G30)</f>
        <v>209.31246858016294</v>
      </c>
      <c r="H31" s="4">
        <f>SUM(H14:H30)</f>
        <v>0</v>
      </c>
      <c r="I31" s="4"/>
      <c r="J31" s="4">
        <f>SUM(J14:J30)</f>
        <v>0</v>
      </c>
      <c r="K31" s="4">
        <f>SUM(K14:K30)</f>
        <v>2436.6779999999999</v>
      </c>
      <c r="L31" s="4">
        <f>SUM(L14:L30)</f>
        <v>0</v>
      </c>
      <c r="M31" s="4"/>
      <c r="N31" s="4">
        <f>SUM(N14:N30)</f>
        <v>0</v>
      </c>
      <c r="O31" s="4">
        <f>SUM(O14:O30)</f>
        <v>390.23</v>
      </c>
      <c r="P31" s="4">
        <f>SUM(P14:P30)</f>
        <v>424.16304347826087</v>
      </c>
      <c r="Q31" s="4"/>
      <c r="R31" s="4"/>
      <c r="S31" s="4"/>
    </row>
    <row r="32" spans="1:19">
      <c r="A32" s="4"/>
      <c r="B32" s="4"/>
      <c r="C32" s="4"/>
      <c r="D32" s="4"/>
      <c r="E32" s="4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>
      <c r="A33" s="4"/>
      <c r="B33" s="4"/>
      <c r="C33" s="4">
        <f>+C31+C13</f>
        <v>4663.6333816236402</v>
      </c>
      <c r="D33" s="4"/>
      <c r="E33" s="4">
        <f>+E31+E13</f>
        <v>1907.7490000000003</v>
      </c>
      <c r="F33" s="17">
        <f>+F31+F13</f>
        <v>2073.6402173913043</v>
      </c>
      <c r="G33" s="4">
        <f>+G31+G13</f>
        <v>290.31807727581531</v>
      </c>
      <c r="H33" s="4">
        <f>+H31+H13</f>
        <v>159.01899999999998</v>
      </c>
      <c r="I33" s="4"/>
      <c r="J33" s="4"/>
      <c r="K33" s="4">
        <f>+K31+K13</f>
        <v>2436.6779999999999</v>
      </c>
      <c r="L33" s="4"/>
      <c r="M33" s="4"/>
      <c r="N33" s="4">
        <f>+N31+N13</f>
        <v>0</v>
      </c>
      <c r="O33" s="4">
        <f>+O31+O13</f>
        <v>437.98</v>
      </c>
      <c r="P33" s="4">
        <f>+P31+P13</f>
        <v>476.06521739130437</v>
      </c>
      <c r="Q33" s="4"/>
      <c r="R33" s="4"/>
      <c r="S33" s="4"/>
    </row>
    <row r="34" spans="1:19">
      <c r="A34" s="4"/>
      <c r="B34" s="4"/>
      <c r="C34" s="4"/>
      <c r="D34" s="4"/>
      <c r="E34" s="4"/>
      <c r="F34" s="4"/>
      <c r="G34" s="239">
        <f>+H33+G33</f>
        <v>449.33707727581532</v>
      </c>
      <c r="H34" s="239"/>
      <c r="I34" s="4"/>
      <c r="J34" s="4"/>
      <c r="K34" s="4"/>
      <c r="L34" s="4"/>
      <c r="M34" s="4"/>
      <c r="N34" s="4"/>
      <c r="O34" s="4"/>
      <c r="P34" s="4" t="s">
        <v>912</v>
      </c>
      <c r="Q34" s="4"/>
      <c r="R34" s="4"/>
      <c r="S34" s="4"/>
    </row>
    <row r="35" spans="1:19">
      <c r="A35" s="4"/>
      <c r="B35" s="4"/>
      <c r="C35" s="4"/>
      <c r="D35" s="4"/>
      <c r="E35" s="4"/>
      <c r="F35" s="4" t="s">
        <v>382</v>
      </c>
      <c r="G35" s="4"/>
      <c r="H35" s="4"/>
      <c r="I35" s="4">
        <f>+I21+I15</f>
        <v>-761.72847826086957</v>
      </c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>
      <c r="A36" s="4"/>
      <c r="B36" s="4"/>
      <c r="C36" s="4"/>
      <c r="D36" s="4"/>
      <c r="E36" s="4"/>
      <c r="F36" s="4" t="s">
        <v>383</v>
      </c>
      <c r="G36" s="4"/>
      <c r="H36" s="4"/>
      <c r="I36" s="4">
        <f>+I30+I25+I23+I19+I17+I11+I10+I8+I22</f>
        <v>2713.4845652173908</v>
      </c>
      <c r="J36" s="4"/>
      <c r="K36" s="4"/>
      <c r="L36" s="4"/>
      <c r="M36" s="4"/>
      <c r="N36" s="4"/>
      <c r="O36" s="4"/>
      <c r="P36" s="4"/>
      <c r="Q36" s="4">
        <f>+Q30+Q28+Q25+Q23+Q19+Q17+Q15+Q11+Q10+Q8+Q21+Q22</f>
        <v>4101.2688695652159</v>
      </c>
      <c r="R36" s="4"/>
      <c r="S36" s="4"/>
    </row>
    <row r="38" spans="1:19">
      <c r="P38" t="s">
        <v>384</v>
      </c>
      <c r="Q38" t="s">
        <v>385</v>
      </c>
    </row>
    <row r="39" spans="1:19">
      <c r="H39" t="s">
        <v>1359</v>
      </c>
      <c r="I39" t="s">
        <v>1360</v>
      </c>
      <c r="J39" t="s">
        <v>1361</v>
      </c>
      <c r="K39" t="s">
        <v>1362</v>
      </c>
      <c r="P39" t="s">
        <v>1151</v>
      </c>
      <c r="Q39">
        <f>+Q28</f>
        <v>313.8</v>
      </c>
      <c r="R39" t="s">
        <v>1205</v>
      </c>
      <c r="S39" t="s">
        <v>204</v>
      </c>
    </row>
    <row r="40" spans="1:19">
      <c r="F40" t="s">
        <v>204</v>
      </c>
      <c r="G40" t="s">
        <v>1322</v>
      </c>
      <c r="H40">
        <v>1000</v>
      </c>
      <c r="I40">
        <f>387.8-164.742</f>
        <v>223.05800000000002</v>
      </c>
      <c r="J40">
        <f>460.3+93.827+32.073+164.742</f>
        <v>750.94199999999989</v>
      </c>
      <c r="K40">
        <f>H40-J40</f>
        <v>249.05800000000011</v>
      </c>
      <c r="P40" t="s">
        <v>139</v>
      </c>
      <c r="Q40">
        <f>+Q21</f>
        <v>1102.9949999999997</v>
      </c>
      <c r="R40" t="s">
        <v>1205</v>
      </c>
      <c r="S40" t="s">
        <v>204</v>
      </c>
    </row>
    <row r="41" spans="1:19">
      <c r="G41" t="s">
        <v>1152</v>
      </c>
      <c r="H41">
        <v>800</v>
      </c>
      <c r="J41">
        <f>195.9+586.7</f>
        <v>782.6</v>
      </c>
      <c r="K41">
        <f>H41-J41</f>
        <v>17.399999999999977</v>
      </c>
      <c r="P41" t="s">
        <v>139</v>
      </c>
      <c r="Q41">
        <f>+Q22</f>
        <v>205.36652173912967</v>
      </c>
      <c r="R41" t="s">
        <v>921</v>
      </c>
      <c r="S41" t="s">
        <v>172</v>
      </c>
    </row>
    <row r="42" spans="1:19">
      <c r="G42" t="s">
        <v>222</v>
      </c>
      <c r="H42">
        <v>1900</v>
      </c>
      <c r="I42">
        <v>2088.7199999999998</v>
      </c>
      <c r="K42">
        <f>H42-J42</f>
        <v>1900</v>
      </c>
      <c r="P42" t="s">
        <v>387</v>
      </c>
      <c r="Q42">
        <f>+Q17+Q19</f>
        <v>62.155000000000001</v>
      </c>
      <c r="R42" t="s">
        <v>921</v>
      </c>
      <c r="S42" t="s">
        <v>370</v>
      </c>
    </row>
    <row r="43" spans="1:19">
      <c r="G43" t="s">
        <v>1151</v>
      </c>
      <c r="H43">
        <v>300</v>
      </c>
      <c r="I43">
        <f>124.9</f>
        <v>124.9</v>
      </c>
      <c r="J43">
        <v>188.9</v>
      </c>
      <c r="K43">
        <f>H43-J43</f>
        <v>111.1</v>
      </c>
      <c r="P43" t="s">
        <v>139</v>
      </c>
      <c r="Q43">
        <f>+Q25</f>
        <v>324.18473913043482</v>
      </c>
      <c r="R43" t="s">
        <v>1275</v>
      </c>
      <c r="S43" t="s">
        <v>172</v>
      </c>
    </row>
    <row r="44" spans="1:19">
      <c r="H44">
        <f>SUM(H40:H43)</f>
        <v>4000</v>
      </c>
      <c r="I44">
        <f>SUM(I40:I43)</f>
        <v>2436.6779999999999</v>
      </c>
      <c r="J44">
        <f>SUM(J40:J43)</f>
        <v>1722.442</v>
      </c>
      <c r="K44">
        <f>SUM(K40:K43)</f>
        <v>2277.558</v>
      </c>
      <c r="P44" t="s">
        <v>928</v>
      </c>
      <c r="Q44">
        <f>+Q23</f>
        <v>157.40952173913033</v>
      </c>
      <c r="R44" t="s">
        <v>939</v>
      </c>
      <c r="S44" t="s">
        <v>172</v>
      </c>
    </row>
    <row r="45" spans="1:19">
      <c r="P45" t="s">
        <v>17</v>
      </c>
      <c r="Q45">
        <f>+Q15</f>
        <v>24.14147826086959</v>
      </c>
      <c r="R45" t="s">
        <v>1205</v>
      </c>
      <c r="S45" t="s">
        <v>204</v>
      </c>
    </row>
    <row r="46" spans="1:19">
      <c r="P46" t="s">
        <v>194</v>
      </c>
      <c r="Q46">
        <f>+Q30</f>
        <v>636.69317391304367</v>
      </c>
      <c r="R46" t="s">
        <v>1340</v>
      </c>
      <c r="S46" t="s">
        <v>172</v>
      </c>
    </row>
    <row r="47" spans="1:19">
      <c r="Q47">
        <f>SUM(Q39:Q46)</f>
        <v>2826.7454347826074</v>
      </c>
    </row>
    <row r="48" spans="1:19">
      <c r="P48" t="s">
        <v>388</v>
      </c>
      <c r="Q48">
        <f>+Q11</f>
        <v>54.771999999999998</v>
      </c>
      <c r="R48" t="s">
        <v>386</v>
      </c>
      <c r="S48" t="s">
        <v>370</v>
      </c>
    </row>
    <row r="49" spans="16:19">
      <c r="P49" t="s">
        <v>148</v>
      </c>
      <c r="Q49">
        <f>+Q10</f>
        <v>570.77726086956488</v>
      </c>
      <c r="R49" t="s">
        <v>921</v>
      </c>
      <c r="S49" t="s">
        <v>172</v>
      </c>
    </row>
    <row r="52" spans="16:19">
      <c r="P52" t="s">
        <v>18</v>
      </c>
      <c r="Q52">
        <f>+Q8</f>
        <v>648.9741739130435</v>
      </c>
      <c r="R52" t="s">
        <v>1205</v>
      </c>
      <c r="S52" t="s">
        <v>534</v>
      </c>
    </row>
    <row r="53" spans="16:19">
      <c r="Q53">
        <f>SUM(Q48:Q52)</f>
        <v>1274.5234347826085</v>
      </c>
    </row>
    <row r="54" spans="16:19">
      <c r="Q54">
        <f>+Q53+Q47</f>
        <v>4101.2688695652159</v>
      </c>
    </row>
  </sheetData>
  <mergeCells count="3">
    <mergeCell ref="H4:J4"/>
    <mergeCell ref="M4:N4"/>
    <mergeCell ref="G34:H34"/>
  </mergeCells>
  <pageMargins left="0.24" right="0.28000000000000003" top="0.35" bottom="0.2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PO - BUB  </vt:lpstr>
      <vt:lpstr>PO - JAIPUR</vt:lpstr>
      <vt:lpstr>PO - Dubai </vt:lpstr>
      <vt:lpstr>PO- JBP</vt:lpstr>
      <vt:lpstr>Dispatched</vt:lpstr>
      <vt:lpstr>Production</vt:lpstr>
      <vt:lpstr>Offered</vt:lpstr>
      <vt:lpstr>Straightening</vt:lpstr>
      <vt:lpstr>POWISE ROLLING</vt:lpstr>
      <vt:lpstr>free billet-UPDATE</vt:lpstr>
      <vt:lpstr>'free billet-UPDATE'!Print_Area</vt:lpstr>
      <vt:lpstr>'PO - BUB  '!Print_Area</vt:lpstr>
      <vt:lpstr>'PO - Dubai '!Print_Area</vt:lpstr>
      <vt:lpstr>'PO - JAIPUR'!Print_Area</vt:lpstr>
      <vt:lpstr>'PO- JBP'!Print_Area</vt:lpstr>
      <vt:lpstr>'POWISE ROLLING'!Print_Area</vt:lpstr>
      <vt:lpstr>Production!Print_Area</vt:lpstr>
      <vt:lpstr>'PO - BUB  '!Print_Titles</vt:lpstr>
      <vt:lpstr>'PO - Dubai '!Print_Titles</vt:lpstr>
      <vt:lpstr>'PO - JAIPUR'!Print_Titles</vt:lpstr>
      <vt:lpstr>'PO- JBP'!Print_Titles</vt:lpstr>
      <vt:lpstr>'POWISE ROLLING'!Print_Titles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vermavp</dc:creator>
  <cp:lastModifiedBy>LENOVO</cp:lastModifiedBy>
  <cp:lastPrinted>2024-01-06T05:54:20Z</cp:lastPrinted>
  <dcterms:created xsi:type="dcterms:W3CDTF">2017-04-28T05:31:11Z</dcterms:created>
  <dcterms:modified xsi:type="dcterms:W3CDTF">2024-01-06T12:30:23Z</dcterms:modified>
</cp:coreProperties>
</file>