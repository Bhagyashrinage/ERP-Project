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firstSheet="47" activeTab="48"/>
  </bookViews>
  <sheets>
    <sheet name="JBP-(1774)" sheetId="1" r:id="rId1"/>
    <sheet name="JBP-(1775)" sheetId="2" r:id="rId2"/>
    <sheet name="JBP-(1776)" sheetId="3" r:id="rId3"/>
    <sheet name="JBP-(1777)" sheetId="4" r:id="rId4"/>
    <sheet name="JBP-(1778)" sheetId="5" r:id="rId5"/>
    <sheet name="JBP-(1779)" sheetId="6" r:id="rId6"/>
    <sheet name="JBP-(1780)" sheetId="7" r:id="rId7"/>
    <sheet name="JBP-(1781)" sheetId="8" r:id="rId8"/>
    <sheet name="BB-(1782)" sheetId="9" r:id="rId9"/>
    <sheet name="JBP-(1783)" sheetId="11" r:id="rId10"/>
    <sheet name="JBP-(1784)" sheetId="12" r:id="rId11"/>
    <sheet name="BB-(1785)" sheetId="13" r:id="rId12"/>
    <sheet name="JBP-(1786)" sheetId="14" r:id="rId13"/>
    <sheet name="JBP-(1787)" sheetId="15" r:id="rId14"/>
    <sheet name="JBP-(1788)" sheetId="16" r:id="rId15"/>
    <sheet name="JBP-(1789)" sheetId="17" r:id="rId16"/>
    <sheet name="JBP-(1790)" sheetId="18" r:id="rId17"/>
    <sheet name="JBP-(1791)" sheetId="19" r:id="rId18"/>
    <sheet name="JBP-(1792)" sheetId="20" r:id="rId19"/>
    <sheet name="BB-(1793)" sheetId="21" r:id="rId20"/>
    <sheet name="BB-(1794)" sheetId="22" r:id="rId21"/>
    <sheet name="BB-(1795)" sheetId="23" r:id="rId22"/>
    <sheet name="BB-(1796)" sheetId="24" r:id="rId23"/>
    <sheet name="BB-(1797)" sheetId="25" r:id="rId24"/>
    <sheet name="BB-(1798)" sheetId="26" r:id="rId25"/>
    <sheet name="BB-(1799)" sheetId="27" r:id="rId26"/>
    <sheet name="JBP-(1800)" sheetId="28" r:id="rId27"/>
    <sheet name="JBP-(1801)" sheetId="29" r:id="rId28"/>
    <sheet name="BB-(1802)" sheetId="30" r:id="rId29"/>
    <sheet name="BB-(1803)" sheetId="31" r:id="rId30"/>
    <sheet name="JBP-(1804)" sheetId="33" r:id="rId31"/>
    <sheet name="JBP-(1805)" sheetId="34" r:id="rId32"/>
    <sheet name="JBP-(1806)" sheetId="35" r:id="rId33"/>
    <sheet name="JBP-(1807)" sheetId="36" r:id="rId34"/>
    <sheet name="BB-(1808)" sheetId="37" r:id="rId35"/>
    <sheet name="BB-(1809)" sheetId="38" r:id="rId36"/>
    <sheet name="BB-(1810)" sheetId="39" r:id="rId37"/>
    <sheet name="BB-(1811)" sheetId="40" r:id="rId38"/>
    <sheet name="BB-(1812)" sheetId="41" r:id="rId39"/>
    <sheet name="BB-(1813)" sheetId="42" r:id="rId40"/>
    <sheet name="BB-(1814)" sheetId="43" r:id="rId41"/>
    <sheet name="JBP-(1815)" sheetId="44" r:id="rId42"/>
    <sheet name="JBP-(1816)" sheetId="45" r:id="rId43"/>
    <sheet name="JBP-(1817)" sheetId="46" r:id="rId44"/>
    <sheet name="JBP-(1818)" sheetId="47" r:id="rId45"/>
    <sheet name="JBP-(1819)" sheetId="48" r:id="rId46"/>
    <sheet name="BB-(1820)" sheetId="49" r:id="rId47"/>
    <sheet name="JBP-(1821)" sheetId="50" r:id="rId48"/>
    <sheet name="JBP-(1822)" sheetId="51" r:id="rId49"/>
    <sheet name="BB-(1823)" sheetId="52" r:id="rId50"/>
    <sheet name="BB-(1824)" sheetId="53" r:id="rId51"/>
    <sheet name="BB-(1825)" sheetId="54" r:id="rId52"/>
    <sheet name="BB-(1826)" sheetId="55" r:id="rId53"/>
    <sheet name="BB-(1827)" sheetId="56" r:id="rId54"/>
    <sheet name="BB-(1828)" sheetId="57" r:id="rId55"/>
    <sheet name="BB-(1829)" sheetId="58" r:id="rId56"/>
  </sheets>
  <definedNames>
    <definedName name="_xlnm.Print_Area" localSheetId="8">'BB-(1782)'!$A$1:$E$41</definedName>
    <definedName name="_xlnm.Print_Area" localSheetId="11">'BB-(1785)'!$A$1:$E$41</definedName>
    <definedName name="_xlnm.Print_Area" localSheetId="19">'BB-(1793)'!$A$1:$E$41</definedName>
    <definedName name="_xlnm.Print_Area" localSheetId="20">'BB-(1794)'!$A$1:$E$41</definedName>
    <definedName name="_xlnm.Print_Area" localSheetId="21">'BB-(1795)'!$A$1:$E$41</definedName>
    <definedName name="_xlnm.Print_Area" localSheetId="22">'BB-(1796)'!$A$1:$E$41</definedName>
    <definedName name="_xlnm.Print_Area" localSheetId="23">'BB-(1797)'!$A$1:$E$41</definedName>
    <definedName name="_xlnm.Print_Area" localSheetId="24">'BB-(1798)'!$A$1:$E$41</definedName>
    <definedName name="_xlnm.Print_Area" localSheetId="25">'BB-(1799)'!$A$1:$E$41</definedName>
    <definedName name="_xlnm.Print_Area" localSheetId="28">'BB-(1802)'!$A$1:$E$41</definedName>
    <definedName name="_xlnm.Print_Area" localSheetId="29">'BB-(1803)'!$A$1:$E$41</definedName>
    <definedName name="_xlnm.Print_Area" localSheetId="34">'BB-(1808)'!$A$1:$E$41</definedName>
    <definedName name="_xlnm.Print_Area" localSheetId="35">'BB-(1809)'!$A$1:$E$41</definedName>
    <definedName name="_xlnm.Print_Area" localSheetId="36">'BB-(1810)'!$A$1:$E$41</definedName>
    <definedName name="_xlnm.Print_Area" localSheetId="37">'BB-(1811)'!$A$1:$E$41</definedName>
    <definedName name="_xlnm.Print_Area" localSheetId="38">'BB-(1812)'!$A$1:$E$41</definedName>
    <definedName name="_xlnm.Print_Area" localSheetId="39">'BB-(1813)'!$A$1:$E$41</definedName>
    <definedName name="_xlnm.Print_Area" localSheetId="40">'BB-(1814)'!$A$1:$E$41</definedName>
    <definedName name="_xlnm.Print_Area" localSheetId="46">'BB-(1820)'!$A$1:$E$41</definedName>
    <definedName name="_xlnm.Print_Area" localSheetId="49">'BB-(1823)'!$A$1:$E$41</definedName>
    <definedName name="_xlnm.Print_Area" localSheetId="50">'BB-(1824)'!$A$1:$E$41</definedName>
    <definedName name="_xlnm.Print_Area" localSheetId="51">'BB-(1825)'!$A$1:$E$41</definedName>
    <definedName name="_xlnm.Print_Area" localSheetId="52">'BB-(1826)'!$A$1:$E$41</definedName>
    <definedName name="_xlnm.Print_Area" localSheetId="53">'BB-(1827)'!$A$1:$E$41</definedName>
    <definedName name="_xlnm.Print_Area" localSheetId="54">'BB-(1828)'!$A$1:$E$41</definedName>
    <definedName name="_xlnm.Print_Area" localSheetId="55">'BB-(1829)'!$A$1:$E$41</definedName>
    <definedName name="_xlnm.Print_Area" localSheetId="0">'JBP-(1774)'!$A$1:$E$41</definedName>
    <definedName name="_xlnm.Print_Area" localSheetId="1">'JBP-(1775)'!$A$1:$E$41</definedName>
    <definedName name="_xlnm.Print_Area" localSheetId="2">'JBP-(1776)'!$A$1:$E$41</definedName>
    <definedName name="_xlnm.Print_Area" localSheetId="3">'JBP-(1777)'!$A$1:$E$41</definedName>
    <definedName name="_xlnm.Print_Area" localSheetId="4">'JBP-(1778)'!$A$1:$E$41</definedName>
    <definedName name="_xlnm.Print_Area" localSheetId="5">'JBP-(1779)'!$A$1:$E$41</definedName>
    <definedName name="_xlnm.Print_Area" localSheetId="6">'JBP-(1780)'!$A$1:$E$41</definedName>
    <definedName name="_xlnm.Print_Area" localSheetId="7">'JBP-(1781)'!$A$1:$E$41</definedName>
    <definedName name="_xlnm.Print_Area" localSheetId="9">'JBP-(1783)'!$A$1:$E$41</definedName>
    <definedName name="_xlnm.Print_Area" localSheetId="10">'JBP-(1784)'!$A$1:$E$41</definedName>
    <definedName name="_xlnm.Print_Area" localSheetId="12">'JBP-(1786)'!$A$1:$E$41</definedName>
    <definedName name="_xlnm.Print_Area" localSheetId="13">'JBP-(1787)'!$A$1:$E$41</definedName>
    <definedName name="_xlnm.Print_Area" localSheetId="14">'JBP-(1788)'!$A$1:$E$41</definedName>
    <definedName name="_xlnm.Print_Area" localSheetId="15">'JBP-(1789)'!$A$1:$E$41</definedName>
    <definedName name="_xlnm.Print_Area" localSheetId="16">'JBP-(1790)'!$A$1:$E$41</definedName>
    <definedName name="_xlnm.Print_Area" localSheetId="17">'JBP-(1791)'!$A$1:$E$41</definedName>
    <definedName name="_xlnm.Print_Area" localSheetId="18">'JBP-(1792)'!$A$1:$E$41</definedName>
    <definedName name="_xlnm.Print_Area" localSheetId="26">'JBP-(1800)'!$A$1:$E$41</definedName>
    <definedName name="_xlnm.Print_Area" localSheetId="27">'JBP-(1801)'!$A$1:$E$41</definedName>
    <definedName name="_xlnm.Print_Area" localSheetId="30">'JBP-(1804)'!$A$1:$E$41</definedName>
    <definedName name="_xlnm.Print_Area" localSheetId="31">'JBP-(1805)'!$A$1:$E$41</definedName>
    <definedName name="_xlnm.Print_Area" localSheetId="32">'JBP-(1806)'!$A$1:$E$41</definedName>
    <definedName name="_xlnm.Print_Area" localSheetId="33">'JBP-(1807)'!$A$1:$E$41</definedName>
    <definedName name="_xlnm.Print_Area" localSheetId="41">'JBP-(1815)'!$A$1:$E$41</definedName>
    <definedName name="_xlnm.Print_Area" localSheetId="42">'JBP-(1816)'!$A$1:$E$41</definedName>
    <definedName name="_xlnm.Print_Area" localSheetId="43">'JBP-(1817)'!$A$1:$E$41</definedName>
    <definedName name="_xlnm.Print_Area" localSheetId="44">'JBP-(1818)'!$A$1:$E$41</definedName>
    <definedName name="_xlnm.Print_Area" localSheetId="45">'JBP-(1819)'!$A$1:$E$41</definedName>
    <definedName name="_xlnm.Print_Area" localSheetId="47">'JBP-(1821)'!$A$1:$E$41</definedName>
    <definedName name="_xlnm.Print_Area" localSheetId="48">'JBP-(1822)'!$A$1:$E$41</definedName>
  </definedNames>
  <calcPr calcId="124519"/>
</workbook>
</file>

<file path=xl/calcChain.xml><?xml version="1.0" encoding="utf-8"?>
<calcChain xmlns="http://schemas.openxmlformats.org/spreadsheetml/2006/main">
  <c r="N17" i="51"/>
  <c r="N25" i="58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57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56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55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54" l="1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53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52"/>
  <c r="N28" s="1"/>
  <c r="M24"/>
  <c r="O24" s="1"/>
  <c r="I24"/>
  <c r="O23"/>
  <c r="M23"/>
  <c r="O22"/>
  <c r="M22"/>
  <c r="O21"/>
  <c r="M21"/>
  <c r="M18"/>
  <c r="O18" s="1"/>
  <c r="M17"/>
  <c r="O17" s="1"/>
  <c r="M16"/>
  <c r="O16" s="1"/>
  <c r="M15"/>
  <c r="O15" s="1"/>
  <c r="O25" s="1"/>
  <c r="I25" s="1"/>
  <c r="I26" s="1"/>
  <c r="C21" s="1"/>
  <c r="O24" i="51" l="1"/>
  <c r="M24"/>
  <c r="I24"/>
  <c r="M23"/>
  <c r="O23" s="1"/>
  <c r="O22"/>
  <c r="M22"/>
  <c r="O21"/>
  <c r="M21"/>
  <c r="M18"/>
  <c r="O18" s="1"/>
  <c r="M17"/>
  <c r="O17" s="1"/>
  <c r="M16"/>
  <c r="O16" s="1"/>
  <c r="M15"/>
  <c r="O15" s="1"/>
  <c r="N22" i="50"/>
  <c r="N25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O25" i="51" l="1"/>
  <c r="I25" s="1"/>
  <c r="I26" s="1"/>
  <c r="C21" s="1"/>
  <c r="N25"/>
  <c r="N28" s="1"/>
  <c r="N15" i="49" l="1"/>
  <c r="N16"/>
  <c r="N17"/>
  <c r="N25"/>
  <c r="N28" s="1"/>
  <c r="M24"/>
  <c r="O24" s="1"/>
  <c r="I24"/>
  <c r="O23"/>
  <c r="M23"/>
  <c r="O22"/>
  <c r="M22"/>
  <c r="O21"/>
  <c r="M21"/>
  <c r="M18"/>
  <c r="O18" s="1"/>
  <c r="M17"/>
  <c r="O17" s="1"/>
  <c r="M16"/>
  <c r="O16" s="1"/>
  <c r="M15"/>
  <c r="O15" s="1"/>
  <c r="O25" l="1"/>
  <c r="I25" s="1"/>
  <c r="I26" s="1"/>
  <c r="C21" s="1"/>
  <c r="N25" i="48" l="1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47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46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45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44"/>
  <c r="N28" s="1"/>
  <c r="M24"/>
  <c r="O24" s="1"/>
  <c r="I24"/>
  <c r="O23"/>
  <c r="M23"/>
  <c r="O22"/>
  <c r="M22"/>
  <c r="O21"/>
  <c r="M21"/>
  <c r="M18"/>
  <c r="O18" s="1"/>
  <c r="M17"/>
  <c r="O17" s="1"/>
  <c r="M16"/>
  <c r="O16" s="1"/>
  <c r="M15"/>
  <c r="O15" s="1"/>
  <c r="N25" i="43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M15"/>
  <c r="O24" i="42"/>
  <c r="M24"/>
  <c r="I24"/>
  <c r="M23"/>
  <c r="O23" s="1"/>
  <c r="M22"/>
  <c r="O22" s="1"/>
  <c r="M21"/>
  <c r="O21" s="1"/>
  <c r="O18"/>
  <c r="M18"/>
  <c r="O17"/>
  <c r="M17"/>
  <c r="N25"/>
  <c r="N28" s="1"/>
  <c r="M16"/>
  <c r="O15"/>
  <c r="M15"/>
  <c r="N16" i="41"/>
  <c r="N17"/>
  <c r="N25"/>
  <c r="N28" s="1"/>
  <c r="O24"/>
  <c r="M24"/>
  <c r="I24"/>
  <c r="M23"/>
  <c r="O23" s="1"/>
  <c r="M22"/>
  <c r="O22" s="1"/>
  <c r="M21"/>
  <c r="O21" s="1"/>
  <c r="O18"/>
  <c r="M18"/>
  <c r="O17"/>
  <c r="M17"/>
  <c r="M16"/>
  <c r="O16" s="1"/>
  <c r="M15"/>
  <c r="O15" s="1"/>
  <c r="N16" i="40"/>
  <c r="N25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O25" i="44" l="1"/>
  <c r="I25" s="1"/>
  <c r="I26" s="1"/>
  <c r="C21" s="1"/>
  <c r="I26" i="43"/>
  <c r="C21" s="1"/>
  <c r="O16" i="42"/>
  <c r="O25" s="1"/>
  <c r="I25" s="1"/>
  <c r="I26" s="1"/>
  <c r="C21" s="1"/>
  <c r="O25" i="41"/>
  <c r="I25" s="1"/>
  <c r="I26" s="1"/>
  <c r="C21" s="1"/>
  <c r="O24" i="39" l="1"/>
  <c r="M24"/>
  <c r="I24"/>
  <c r="M23"/>
  <c r="O23" s="1"/>
  <c r="O22"/>
  <c r="M22"/>
  <c r="O21"/>
  <c r="M21"/>
  <c r="M18"/>
  <c r="O18" s="1"/>
  <c r="M17"/>
  <c r="O17" s="1"/>
  <c r="N25"/>
  <c r="N28" s="1"/>
  <c r="M16"/>
  <c r="O15"/>
  <c r="M15"/>
  <c r="N16" i="38"/>
  <c r="N22"/>
  <c r="N25"/>
  <c r="N28" s="1"/>
  <c r="O24"/>
  <c r="M24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5" i="37"/>
  <c r="N28" s="1"/>
  <c r="O24"/>
  <c r="M24"/>
  <c r="I24"/>
  <c r="M23"/>
  <c r="O23" s="1"/>
  <c r="M22"/>
  <c r="O22" s="1"/>
  <c r="M21"/>
  <c r="O21" s="1"/>
  <c r="O18"/>
  <c r="M18"/>
  <c r="O17"/>
  <c r="M17"/>
  <c r="M16"/>
  <c r="O16" s="1"/>
  <c r="M15"/>
  <c r="O15" s="1"/>
  <c r="O16" i="39" l="1"/>
  <c r="O25" s="1"/>
  <c r="I25" s="1"/>
  <c r="I26" s="1"/>
  <c r="C21" s="1"/>
  <c r="O25" i="37"/>
  <c r="I25" s="1"/>
  <c r="I26" s="1"/>
  <c r="C21" s="1"/>
  <c r="N25" i="36" l="1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N25" i="35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5" s="1"/>
  <c r="I25" s="1"/>
  <c r="I26" s="1"/>
  <c r="C21" s="1"/>
  <c r="N25" i="34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C33" i="33"/>
  <c r="N25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N16" i="31"/>
  <c r="N25" s="1"/>
  <c r="N28" s="1"/>
  <c r="N16" i="30"/>
  <c r="N17"/>
  <c r="N25" s="1"/>
  <c r="N28" s="1"/>
  <c r="M24" i="31"/>
  <c r="O24" s="1"/>
  <c r="I24"/>
  <c r="M23"/>
  <c r="O23" s="1"/>
  <c r="M22"/>
  <c r="O22" s="1"/>
  <c r="M21"/>
  <c r="O21" s="1"/>
  <c r="M18"/>
  <c r="O18" s="1"/>
  <c r="M17"/>
  <c r="O17" s="1"/>
  <c r="M16"/>
  <c r="M15"/>
  <c r="O15" s="1"/>
  <c r="M24" i="30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5" s="1"/>
  <c r="I25" s="1"/>
  <c r="I26" s="1"/>
  <c r="C21" s="1"/>
  <c r="N18" i="29"/>
  <c r="N25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N16" i="28"/>
  <c r="N25" s="1"/>
  <c r="N28" s="1"/>
  <c r="M24"/>
  <c r="O24" s="1"/>
  <c r="I24"/>
  <c r="M23"/>
  <c r="O23" s="1"/>
  <c r="M22"/>
  <c r="O22" s="1"/>
  <c r="M21"/>
  <c r="O21" s="1"/>
  <c r="M18"/>
  <c r="O18" s="1"/>
  <c r="M17"/>
  <c r="O17" s="1"/>
  <c r="M16"/>
  <c r="M15"/>
  <c r="O15" s="1"/>
  <c r="O16" l="1"/>
  <c r="O25" s="1"/>
  <c r="I25" s="1"/>
  <c r="I26" s="1"/>
  <c r="C21" s="1"/>
  <c r="O16" i="31"/>
  <c r="O25" s="1"/>
  <c r="I25" s="1"/>
  <c r="I26" s="1"/>
  <c r="C21" s="1"/>
  <c r="O25" i="33"/>
  <c r="I25" s="1"/>
  <c r="I26" s="1"/>
  <c r="C21" s="1"/>
  <c r="O25" i="36"/>
  <c r="I25" s="1"/>
  <c r="I26" s="1"/>
  <c r="C21" s="1"/>
  <c r="O25" i="34"/>
  <c r="I25" s="1"/>
  <c r="I26" s="1"/>
  <c r="C21" s="1"/>
  <c r="O25" i="29"/>
  <c r="I25" s="1"/>
  <c r="I26" s="1"/>
  <c r="C21" s="1"/>
  <c r="N25" i="27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N25" i="26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N25" i="25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5" s="1"/>
  <c r="I25" s="1"/>
  <c r="I26" s="1"/>
  <c r="C21" s="1"/>
  <c r="N25" i="24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5" s="1"/>
  <c r="I25" s="1"/>
  <c r="I26" s="1"/>
  <c r="C21" s="1"/>
  <c r="O25" i="26" l="1"/>
  <c r="I25" s="1"/>
  <c r="I26" s="1"/>
  <c r="C21" s="1"/>
  <c r="O25" i="27"/>
  <c r="I25" s="1"/>
  <c r="I26" s="1"/>
  <c r="C21" s="1"/>
  <c r="N25" i="23" l="1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N25" i="22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4" i="21"/>
  <c r="M24"/>
  <c r="I24"/>
  <c r="M23"/>
  <c r="O23" s="1"/>
  <c r="M22"/>
  <c r="O22" s="1"/>
  <c r="M21"/>
  <c r="O21" s="1"/>
  <c r="M18"/>
  <c r="O18" s="1"/>
  <c r="M17"/>
  <c r="O17" s="1"/>
  <c r="O16"/>
  <c r="M16"/>
  <c r="O15"/>
  <c r="M15"/>
  <c r="O25" i="22" l="1"/>
  <c r="I25" s="1"/>
  <c r="I26" s="1"/>
  <c r="C21" s="1"/>
  <c r="O25" i="23"/>
  <c r="I25" s="1"/>
  <c r="I26" s="1"/>
  <c r="C21" s="1"/>
  <c r="O25" i="21"/>
  <c r="I25" s="1"/>
  <c r="I26" s="1"/>
  <c r="C21" s="1"/>
  <c r="N25"/>
  <c r="N28" s="1"/>
  <c r="N25" i="20" l="1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N16" i="19"/>
  <c r="N25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N25" i="18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5" s="1"/>
  <c r="I25" s="1"/>
  <c r="I26" s="1"/>
  <c r="C21" s="1"/>
  <c r="N25" i="17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4" i="16"/>
  <c r="M24"/>
  <c r="I24"/>
  <c r="M23"/>
  <c r="O23" s="1"/>
  <c r="N25"/>
  <c r="N28" s="1"/>
  <c r="M22"/>
  <c r="O21"/>
  <c r="M21"/>
  <c r="M18"/>
  <c r="O18" s="1"/>
  <c r="M17"/>
  <c r="O17" s="1"/>
  <c r="M16"/>
  <c r="O16" s="1"/>
  <c r="M15"/>
  <c r="O15" s="1"/>
  <c r="O25" i="19" l="1"/>
  <c r="I25" s="1"/>
  <c r="I26" s="1"/>
  <c r="C21" s="1"/>
  <c r="O25" i="20"/>
  <c r="I25" s="1"/>
  <c r="I26" s="1"/>
  <c r="C21" s="1"/>
  <c r="O25" i="17"/>
  <c r="I25" s="1"/>
  <c r="I26" s="1"/>
  <c r="C21" s="1"/>
  <c r="O22" i="16"/>
  <c r="O25" s="1"/>
  <c r="I25" s="1"/>
  <c r="I26" s="1"/>
  <c r="C21" s="1"/>
  <c r="N22" i="15" l="1"/>
  <c r="N25"/>
  <c r="N28" s="1"/>
  <c r="M24"/>
  <c r="O24" s="1"/>
  <c r="I24"/>
  <c r="M23"/>
  <c r="O23" s="1"/>
  <c r="M22"/>
  <c r="O22" s="1"/>
  <c r="M21"/>
  <c r="O21" s="1"/>
  <c r="M18"/>
  <c r="O18" s="1"/>
  <c r="M17"/>
  <c r="O17" s="1"/>
  <c r="O16"/>
  <c r="M16"/>
  <c r="O15"/>
  <c r="O25" s="1"/>
  <c r="I25" s="1"/>
  <c r="I26" s="1"/>
  <c r="C21" s="1"/>
  <c r="M15"/>
  <c r="O24" i="14"/>
  <c r="M24"/>
  <c r="I24"/>
  <c r="M23"/>
  <c r="O23" s="1"/>
  <c r="M22"/>
  <c r="O22" s="1"/>
  <c r="M21"/>
  <c r="O21" s="1"/>
  <c r="O18"/>
  <c r="M18"/>
  <c r="O17"/>
  <c r="M17"/>
  <c r="N25"/>
  <c r="N28" s="1"/>
  <c r="M16"/>
  <c r="O16" s="1"/>
  <c r="M15"/>
  <c r="O15" s="1"/>
  <c r="O25" s="1"/>
  <c r="I25" s="1"/>
  <c r="I26" s="1"/>
  <c r="C21" s="1"/>
  <c r="N23" i="13" l="1"/>
  <c r="O23" s="1"/>
  <c r="N22"/>
  <c r="O24"/>
  <c r="M24"/>
  <c r="I24"/>
  <c r="M23"/>
  <c r="O22"/>
  <c r="M22"/>
  <c r="O21"/>
  <c r="M21"/>
  <c r="M18"/>
  <c r="O18" s="1"/>
  <c r="N25"/>
  <c r="N28" s="1"/>
  <c r="M17"/>
  <c r="M16"/>
  <c r="O16" s="1"/>
  <c r="M15"/>
  <c r="O15" s="1"/>
  <c r="O25" l="1"/>
  <c r="I25" s="1"/>
  <c r="I26" s="1"/>
  <c r="C21" s="1"/>
  <c r="O17"/>
  <c r="N16" i="12" l="1"/>
  <c r="N25" s="1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O15"/>
  <c r="M15"/>
  <c r="N25" i="11"/>
  <c r="N28" s="1"/>
  <c r="M24"/>
  <c r="O24" s="1"/>
  <c r="I24"/>
  <c r="M23"/>
  <c r="O23" s="1"/>
  <c r="M22"/>
  <c r="O22" s="1"/>
  <c r="M21"/>
  <c r="O21" s="1"/>
  <c r="O18"/>
  <c r="M18"/>
  <c r="O17"/>
  <c r="M17"/>
  <c r="O16"/>
  <c r="M16"/>
  <c r="O15"/>
  <c r="O25" s="1"/>
  <c r="I25" s="1"/>
  <c r="I26" s="1"/>
  <c r="C21" s="1"/>
  <c r="M15"/>
  <c r="N23" i="9"/>
  <c r="N16"/>
  <c r="N17"/>
  <c r="N25" s="1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5" i="12" l="1"/>
  <c r="I25" s="1"/>
  <c r="I26" s="1"/>
  <c r="C21" s="1"/>
  <c r="O25" i="9"/>
  <c r="I25" s="1"/>
  <c r="I26" s="1"/>
  <c r="C21" s="1"/>
  <c r="N25" i="6" l="1"/>
  <c r="N28" s="1"/>
  <c r="M24"/>
  <c r="O24" s="1"/>
  <c r="I24"/>
  <c r="M23"/>
  <c r="O23" s="1"/>
  <c r="M22"/>
  <c r="O22" s="1"/>
  <c r="M21"/>
  <c r="O21" s="1"/>
  <c r="M18"/>
  <c r="O18" s="1"/>
  <c r="M17"/>
  <c r="O17" s="1"/>
  <c r="O16"/>
  <c r="M16"/>
  <c r="O15"/>
  <c r="M15"/>
  <c r="N25" i="5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N25" i="4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4" i="3"/>
  <c r="M24"/>
  <c r="I24"/>
  <c r="M23"/>
  <c r="O23" s="1"/>
  <c r="N22"/>
  <c r="O22" s="1"/>
  <c r="M22"/>
  <c r="O21"/>
  <c r="M21"/>
  <c r="M18"/>
  <c r="O18" s="1"/>
  <c r="M17"/>
  <c r="O17" s="1"/>
  <c r="N16"/>
  <c r="N25" s="1"/>
  <c r="N28" s="1"/>
  <c r="M16"/>
  <c r="O15"/>
  <c r="M15"/>
  <c r="M24" i="2"/>
  <c r="O24" s="1"/>
  <c r="I24"/>
  <c r="M23"/>
  <c r="O23" s="1"/>
  <c r="M22"/>
  <c r="O22" s="1"/>
  <c r="M21"/>
  <c r="O21" s="1"/>
  <c r="M18"/>
  <c r="O18" s="1"/>
  <c r="N17"/>
  <c r="O17" s="1"/>
  <c r="M17"/>
  <c r="M16"/>
  <c r="O16" s="1"/>
  <c r="M15"/>
  <c r="O15" s="1"/>
  <c r="N25" i="1"/>
  <c r="N28" s="1"/>
  <c r="M24"/>
  <c r="O24" s="1"/>
  <c r="I24"/>
  <c r="M23"/>
  <c r="O23" s="1"/>
  <c r="O22"/>
  <c r="M22"/>
  <c r="O21"/>
  <c r="M21"/>
  <c r="M18"/>
  <c r="O18" s="1"/>
  <c r="M17"/>
  <c r="O17" s="1"/>
  <c r="M16"/>
  <c r="O16" s="1"/>
  <c r="M15"/>
  <c r="O15" s="1"/>
  <c r="N25" i="8"/>
  <c r="N28" s="1"/>
  <c r="M24"/>
  <c r="O24" s="1"/>
  <c r="I24"/>
  <c r="M23"/>
  <c r="O23" s="1"/>
  <c r="M22"/>
  <c r="O22" s="1"/>
  <c r="M21"/>
  <c r="O21" s="1"/>
  <c r="O18"/>
  <c r="M18"/>
  <c r="O17"/>
  <c r="M17"/>
  <c r="O16"/>
  <c r="M16"/>
  <c r="O15"/>
  <c r="M15"/>
  <c r="N25" i="7"/>
  <c r="N28" s="1"/>
  <c r="M24"/>
  <c r="O24" s="1"/>
  <c r="I24"/>
  <c r="M23"/>
  <c r="O23" s="1"/>
  <c r="M22"/>
  <c r="O22" s="1"/>
  <c r="M21"/>
  <c r="O21" s="1"/>
  <c r="M18"/>
  <c r="O18" s="1"/>
  <c r="M17"/>
  <c r="O17" s="1"/>
  <c r="M16"/>
  <c r="O16" s="1"/>
  <c r="M15"/>
  <c r="O15" s="1"/>
  <c r="O25" i="5" l="1"/>
  <c r="I25" s="1"/>
  <c r="I26" s="1"/>
  <c r="C21" s="1"/>
  <c r="O25" i="7"/>
  <c r="I25" s="1"/>
  <c r="I26" s="1"/>
  <c r="C21" s="1"/>
  <c r="N25" i="2"/>
  <c r="N28" s="1"/>
  <c r="O25" i="8"/>
  <c r="I25" s="1"/>
  <c r="I26" s="1"/>
  <c r="C21" s="1"/>
  <c r="O25" i="2"/>
  <c r="I25" s="1"/>
  <c r="I26" s="1"/>
  <c r="C21" s="1"/>
  <c r="O25" i="4"/>
  <c r="I25" s="1"/>
  <c r="I26" s="1"/>
  <c r="C21" s="1"/>
  <c r="O25" i="6"/>
  <c r="I25" s="1"/>
  <c r="I26" s="1"/>
  <c r="C21" s="1"/>
  <c r="O16" i="3"/>
  <c r="O25" s="1"/>
  <c r="I25" s="1"/>
  <c r="I26" s="1"/>
  <c r="C21" s="1"/>
  <c r="O25" i="1"/>
  <c r="I25" s="1"/>
  <c r="I26" s="1"/>
  <c r="C21" s="1"/>
</calcChain>
</file>

<file path=xl/sharedStrings.xml><?xml version="1.0" encoding="utf-8"?>
<sst xmlns="http://schemas.openxmlformats.org/spreadsheetml/2006/main" count="3916" uniqueCount="171">
  <si>
    <t>ORIGINAL FOR CONSIGNEE</t>
  </si>
  <si>
    <t>DUPLICATE FOR TRANSPORTOR</t>
  </si>
  <si>
    <t>TRIPLICATE FOR CONSIGNOR</t>
  </si>
  <si>
    <t xml:space="preserve">DELIVERY CHALLAN FOR JOB WORK </t>
  </si>
  <si>
    <t>SR. NO</t>
  </si>
  <si>
    <t>PARTICULARS</t>
  </si>
  <si>
    <t xml:space="preserve">DELIVERY CHALLAN NO                        </t>
  </si>
  <si>
    <t>against KEC JBP main challan no.</t>
  </si>
  <si>
    <t>377  DT. 03.12.2023</t>
  </si>
  <si>
    <t xml:space="preserve">DELIVERY CHALLAN DATE                     </t>
  </si>
  <si>
    <t>VEHICLE NO.</t>
  </si>
  <si>
    <t xml:space="preserve">GSTIN OF CONSIGNER                            </t>
  </si>
  <si>
    <t>27AAACV6647F1Z6</t>
  </si>
  <si>
    <t>HT</t>
  </si>
  <si>
    <t>RATE</t>
  </si>
  <si>
    <t>QTY</t>
  </si>
  <si>
    <t>AMOUNT</t>
  </si>
  <si>
    <t xml:space="preserve">NAME &amp; ADDRESS OF CONSIGNER      </t>
  </si>
  <si>
    <t>VINAR ISPAT LTD. , PLOT NO J-3, MIDC IND.AREA, BUTIBORI</t>
  </si>
  <si>
    <t>45 TO 70</t>
  </si>
  <si>
    <t xml:space="preserve">GSTIN/UIN OF CONSIGNEE                     </t>
  </si>
  <si>
    <t>23AACCK5599H1ZA</t>
  </si>
  <si>
    <t>75 TO 100</t>
  </si>
  <si>
    <t xml:space="preserve">NAME &amp; ADDRESS OF CONSIGNEE       </t>
  </si>
  <si>
    <t>KEC INTERNATIONAL LTD</t>
  </si>
  <si>
    <t>110 TO 130</t>
  </si>
  <si>
    <t>Deori, P.O. Panagar Jabalpur (MP)</t>
  </si>
  <si>
    <t>150 TO 150</t>
  </si>
  <si>
    <t xml:space="preserve">HSN CODE &amp; DESCRIPTION OF GOODS </t>
  </si>
  <si>
    <t xml:space="preserve">QUANTITY   (MT)                                              </t>
  </si>
  <si>
    <t>MS</t>
  </si>
  <si>
    <t>TAXABLE VALUE</t>
  </si>
  <si>
    <t xml:space="preserve"> JOB WORK </t>
  </si>
  <si>
    <t>CHALLAN RATE</t>
  </si>
  <si>
    <t>TAX RATE</t>
  </si>
  <si>
    <t>CGST @9%</t>
  </si>
  <si>
    <t>-</t>
  </si>
  <si>
    <t>JOB CHALLAN AMOUNT</t>
  </si>
  <si>
    <t>SGST @9%</t>
  </si>
  <si>
    <t>JOB WORK  CHARGES</t>
  </si>
  <si>
    <t>IGST @18%</t>
  </si>
  <si>
    <t>TOTAL TAXBLE AMOUNT</t>
  </si>
  <si>
    <t>NATURE OF PROCESSING</t>
  </si>
  <si>
    <t>Rolling</t>
  </si>
  <si>
    <t>EXPECTED DURATION OF PROCESSING</t>
  </si>
  <si>
    <t>PROCESS LOSS</t>
  </si>
  <si>
    <t xml:space="preserve">Waste &amp; Scrap </t>
  </si>
  <si>
    <t>Burning loss</t>
  </si>
  <si>
    <t>QUANTITY LEFT IN BALANCE (MT)</t>
  </si>
  <si>
    <t>PLACE OF SUPPLY (IN CASE OF INTERSTATE MOVEMENT)</t>
  </si>
  <si>
    <t>FOR VINAR ISPAT LTD</t>
  </si>
  <si>
    <t>AUTHORISED SIGNATORY</t>
  </si>
  <si>
    <t>BB-1774</t>
  </si>
  <si>
    <t>01.01.24</t>
  </si>
  <si>
    <t>MH49AT3048</t>
  </si>
  <si>
    <t>BB-1775</t>
  </si>
  <si>
    <t>378  DT. 03.12.2023</t>
  </si>
  <si>
    <t>BB-1776</t>
  </si>
  <si>
    <t>MH40BG0308</t>
  </si>
  <si>
    <t>BB-1777</t>
  </si>
  <si>
    <t>379  DT. 03.12.2023</t>
  </si>
  <si>
    <t>BB-1778</t>
  </si>
  <si>
    <t>MH40BG0310</t>
  </si>
  <si>
    <t>BB-1779</t>
  </si>
  <si>
    <t>380  DT. 03.12.2023</t>
  </si>
  <si>
    <t>BB-1780</t>
  </si>
  <si>
    <t>02.01.24</t>
  </si>
  <si>
    <t>MH49AT0508</t>
  </si>
  <si>
    <t>BB-1781</t>
  </si>
  <si>
    <t>381  DT. 03.12.2023</t>
  </si>
  <si>
    <t xml:space="preserve"> </t>
  </si>
  <si>
    <t>against KEC BUB main challan no.</t>
  </si>
  <si>
    <t>27AACCK5599H1Z2</t>
  </si>
  <si>
    <t xml:space="preserve">B-190 MIDC Industrial Area, Butibori ,Nagpur </t>
  </si>
  <si>
    <t>`</t>
  </si>
  <si>
    <t>BB-1782</t>
  </si>
  <si>
    <t>662 DT. 01.12.2023</t>
  </si>
  <si>
    <t>MH40Y4944</t>
  </si>
  <si>
    <t>BB-1783</t>
  </si>
  <si>
    <t>MH40BG0311</t>
  </si>
  <si>
    <t>BB-1784</t>
  </si>
  <si>
    <t>382  DT. 03.12.2023</t>
  </si>
  <si>
    <t>BB-1785</t>
  </si>
  <si>
    <t>668 DT. 01.12.2023</t>
  </si>
  <si>
    <t>MH40Y3944</t>
  </si>
  <si>
    <t>BB-1786</t>
  </si>
  <si>
    <t>MH49AT0398</t>
  </si>
  <si>
    <t>BB-1787</t>
  </si>
  <si>
    <t>383  DT. 03.12.2023</t>
  </si>
  <si>
    <t>BB-1788</t>
  </si>
  <si>
    <t>MH49AT0502</t>
  </si>
  <si>
    <t>BB-1789</t>
  </si>
  <si>
    <t>BB-1790</t>
  </si>
  <si>
    <t>384  DT. 04.12.2023</t>
  </si>
  <si>
    <t>385  DT. 04.12.2023</t>
  </si>
  <si>
    <t>BB-1791</t>
  </si>
  <si>
    <t>03.01.24</t>
  </si>
  <si>
    <t>MH40N7423</t>
  </si>
  <si>
    <t>BB-1792</t>
  </si>
  <si>
    <t>386  DT. 04.12.2023</t>
  </si>
  <si>
    <t>BB-1793</t>
  </si>
  <si>
    <t>661 DT. 01.12.2023</t>
  </si>
  <si>
    <t>BB-1794</t>
  </si>
  <si>
    <t>BB-1795</t>
  </si>
  <si>
    <t>BB-1796</t>
  </si>
  <si>
    <t>663 DT. 01.12.2023</t>
  </si>
  <si>
    <t>MH40Y5844</t>
  </si>
  <si>
    <t>BB-1797</t>
  </si>
  <si>
    <t>665 DT. 01.12.2023</t>
  </si>
  <si>
    <t>BB-1798</t>
  </si>
  <si>
    <t>BB-1799</t>
  </si>
  <si>
    <t>664 DT. 01.12.2023</t>
  </si>
  <si>
    <t>BB-1800</t>
  </si>
  <si>
    <t>MH49AT0403</t>
  </si>
  <si>
    <t>BB-1801</t>
  </si>
  <si>
    <t>387  DT. 04.12.2023</t>
  </si>
  <si>
    <t>BB-1802</t>
  </si>
  <si>
    <t>MH40AK3044</t>
  </si>
  <si>
    <t>BB-1803</t>
  </si>
  <si>
    <t>666 DT. 01.12.2023</t>
  </si>
  <si>
    <t>BB-1804</t>
  </si>
  <si>
    <t>04.01.24</t>
  </si>
  <si>
    <t>MH40AK2189</t>
  </si>
  <si>
    <t>BB-1805</t>
  </si>
  <si>
    <t>MH49AT0509</t>
  </si>
  <si>
    <t>BB-1806</t>
  </si>
  <si>
    <t>388  DT. 05.12.2023</t>
  </si>
  <si>
    <t>BB-1807</t>
  </si>
  <si>
    <t>389  DT. 05.12.2023</t>
  </si>
  <si>
    <t>BB-1808</t>
  </si>
  <si>
    <t>MH49AT3081</t>
  </si>
  <si>
    <t>BB-1809</t>
  </si>
  <si>
    <t>667 DT. 01.12.2023</t>
  </si>
  <si>
    <t>BB-1810</t>
  </si>
  <si>
    <t>669 DT. 01.12.2023</t>
  </si>
  <si>
    <t>BB-1811</t>
  </si>
  <si>
    <t>BB-1812</t>
  </si>
  <si>
    <t>670 DT. 01.12.2023</t>
  </si>
  <si>
    <t>BB-1813</t>
  </si>
  <si>
    <t>MH40Y5644</t>
  </si>
  <si>
    <t>BB-1814</t>
  </si>
  <si>
    <t>672 DT. 01.12.2023</t>
  </si>
  <si>
    <t>BB-1815</t>
  </si>
  <si>
    <t>MH40AK6003</t>
  </si>
  <si>
    <t>BB-1816</t>
  </si>
  <si>
    <t>390  DT. 05.12.2023</t>
  </si>
  <si>
    <t>BB-1817</t>
  </si>
  <si>
    <t>391  DT. 05.12.2023</t>
  </si>
  <si>
    <t>BB-1818</t>
  </si>
  <si>
    <t>05.01.24</t>
  </si>
  <si>
    <t>MH40AK6074</t>
  </si>
  <si>
    <t>BB-1819</t>
  </si>
  <si>
    <t>392  DT. 05.12.2023</t>
  </si>
  <si>
    <t>BB-1820</t>
  </si>
  <si>
    <t>671 DT. 01.12.2023</t>
  </si>
  <si>
    <t>MH40Y4044</t>
  </si>
  <si>
    <t>BB-1821</t>
  </si>
  <si>
    <t>MH40AK4183</t>
  </si>
  <si>
    <t>BB-1822</t>
  </si>
  <si>
    <t>393  DT. 05.12.2023</t>
  </si>
  <si>
    <t>BB-1823</t>
  </si>
  <si>
    <t>BB-1824</t>
  </si>
  <si>
    <t>BB-1825</t>
  </si>
  <si>
    <t>673 DT. 01.12.2023</t>
  </si>
  <si>
    <t>BB-1826</t>
  </si>
  <si>
    <t>BB-1827</t>
  </si>
  <si>
    <t>674 DT. 01.12.2023</t>
  </si>
  <si>
    <t>BB-1828</t>
  </si>
  <si>
    <t>MH40BG1844</t>
  </si>
  <si>
    <t>BB-1829</t>
  </si>
  <si>
    <t>675 DT. 01.12.2023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</si>
</sst>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i/>
      <sz val="14"/>
      <name val="Cambria"/>
      <family val="1"/>
    </font>
    <font>
      <b/>
      <i/>
      <sz val="11"/>
      <name val="Cambria"/>
      <family val="1"/>
    </font>
    <font>
      <sz val="11"/>
      <color rgb="FF000000"/>
      <name val="Times New Roman"/>
      <family val="1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9" tint="-0.249977111117893"/>
      </right>
      <top/>
      <bottom/>
      <diagonal/>
    </border>
    <border>
      <left/>
      <right/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200">
    <xf numFmtId="0" fontId="0" fillId="0" borderId="0" xfId="0"/>
    <xf numFmtId="0" fontId="3" fillId="2" borderId="1" xfId="1" applyFont="1" applyFill="1" applyBorder="1" applyAlignment="1">
      <alignment horizontal="center" vertical="top"/>
    </xf>
    <xf numFmtId="0" fontId="2" fillId="2" borderId="2" xfId="1" applyFill="1" applyBorder="1" applyAlignment="1">
      <alignment horizontal="left" vertical="top"/>
    </xf>
    <xf numFmtId="0" fontId="4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3" fillId="2" borderId="4" xfId="1" applyFont="1" applyFill="1" applyBorder="1" applyAlignment="1">
      <alignment horizontal="center" vertical="top"/>
    </xf>
    <xf numFmtId="0" fontId="2" fillId="2" borderId="0" xfId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2" fillId="2" borderId="0" xfId="1" applyFont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0" xfId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top"/>
    </xf>
    <xf numFmtId="0" fontId="6" fillId="2" borderId="0" xfId="1" applyFont="1" applyFill="1" applyBorder="1" applyAlignment="1">
      <alignment horizontal="center" vertical="top"/>
    </xf>
    <xf numFmtId="0" fontId="6" fillId="2" borderId="0" xfId="1" applyFont="1" applyFill="1" applyBorder="1" applyAlignment="1">
      <alignment vertical="top"/>
    </xf>
    <xf numFmtId="0" fontId="6" fillId="2" borderId="6" xfId="1" applyFont="1" applyFill="1" applyBorder="1" applyAlignment="1">
      <alignment vertical="top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top"/>
    </xf>
    <xf numFmtId="0" fontId="7" fillId="3" borderId="14" xfId="1" applyFont="1" applyFill="1" applyBorder="1" applyAlignment="1">
      <alignment horizontal="left" vertical="top" wrapText="1"/>
    </xf>
    <xf numFmtId="0" fontId="2" fillId="2" borderId="15" xfId="1" applyFill="1" applyBorder="1" applyAlignment="1">
      <alignment vertical="top" wrapText="1"/>
    </xf>
    <xf numFmtId="0" fontId="7" fillId="3" borderId="16" xfId="1" applyFont="1" applyFill="1" applyBorder="1" applyAlignment="1">
      <alignment vertical="top"/>
    </xf>
    <xf numFmtId="14" fontId="7" fillId="3" borderId="14" xfId="1" applyNumberFormat="1" applyFont="1" applyFill="1" applyBorder="1" applyAlignment="1">
      <alignment horizontal="left" vertical="center"/>
    </xf>
    <xf numFmtId="14" fontId="2" fillId="2" borderId="15" xfId="1" applyNumberFormat="1" applyFill="1" applyBorder="1" applyAlignment="1">
      <alignment vertical="center"/>
    </xf>
    <xf numFmtId="14" fontId="2" fillId="2" borderId="16" xfId="1" applyNumberFormat="1" applyFill="1" applyBorder="1" applyAlignment="1">
      <alignment vertical="center"/>
    </xf>
    <xf numFmtId="0" fontId="2" fillId="2" borderId="13" xfId="1" applyFill="1" applyBorder="1" applyAlignment="1">
      <alignment vertical="center"/>
    </xf>
    <xf numFmtId="0" fontId="2" fillId="2" borderId="13" xfId="1" applyFill="1" applyBorder="1" applyAlignment="1">
      <alignment horizontal="left" vertical="center"/>
    </xf>
    <xf numFmtId="0" fontId="1" fillId="0" borderId="0" xfId="0" applyFont="1"/>
    <xf numFmtId="164" fontId="0" fillId="3" borderId="0" xfId="0" applyNumberFormat="1" applyFill="1"/>
    <xf numFmtId="0" fontId="3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164" fontId="0" fillId="0" borderId="0" xfId="0" applyNumberFormat="1"/>
    <xf numFmtId="0" fontId="2" fillId="0" borderId="9" xfId="1" applyFill="1" applyBorder="1" applyAlignment="1">
      <alignment horizontal="left" vertical="top"/>
    </xf>
    <xf numFmtId="0" fontId="2" fillId="0" borderId="10" xfId="1" applyFill="1" applyBorder="1" applyAlignment="1">
      <alignment horizontal="left" vertical="top"/>
    </xf>
    <xf numFmtId="0" fontId="2" fillId="0" borderId="11" xfId="1" applyFill="1" applyBorder="1" applyAlignment="1">
      <alignment horizontal="left" vertical="top"/>
    </xf>
    <xf numFmtId="0" fontId="2" fillId="2" borderId="13" xfId="1" applyFont="1" applyFill="1" applyBorder="1" applyAlignment="1">
      <alignment vertical="center"/>
    </xf>
    <xf numFmtId="164" fontId="7" fillId="3" borderId="14" xfId="1" applyNumberFormat="1" applyFont="1" applyFill="1" applyBorder="1" applyAlignment="1">
      <alignment horizontal="left" vertical="center"/>
    </xf>
    <xf numFmtId="164" fontId="2" fillId="2" borderId="15" xfId="1" applyNumberFormat="1" applyFill="1" applyBorder="1" applyAlignment="1">
      <alignment vertical="center"/>
    </xf>
    <xf numFmtId="164" fontId="2" fillId="2" borderId="16" xfId="1" applyNumberFormat="1" applyFill="1" applyBorder="1" applyAlignment="1">
      <alignment vertical="center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top"/>
    </xf>
    <xf numFmtId="0" fontId="2" fillId="2" borderId="9" xfId="1" applyFill="1" applyBorder="1" applyAlignment="1">
      <alignment horizontal="center" vertical="top"/>
    </xf>
    <xf numFmtId="0" fontId="2" fillId="2" borderId="10" xfId="1" applyFill="1" applyBorder="1" applyAlignment="1">
      <alignment horizontal="center" vertical="top"/>
    </xf>
    <xf numFmtId="0" fontId="2" fillId="2" borderId="11" xfId="1" applyFill="1" applyBorder="1" applyAlignment="1">
      <alignment horizontal="center" vertical="top"/>
    </xf>
    <xf numFmtId="0" fontId="0" fillId="0" borderId="19" xfId="0" applyBorder="1"/>
    <xf numFmtId="0" fontId="8" fillId="3" borderId="20" xfId="0" applyFont="1" applyFill="1" applyBorder="1"/>
    <xf numFmtId="0" fontId="0" fillId="0" borderId="21" xfId="0" applyBorder="1"/>
    <xf numFmtId="0" fontId="0" fillId="0" borderId="20" xfId="0" applyBorder="1"/>
    <xf numFmtId="0" fontId="2" fillId="2" borderId="8" xfId="1" applyFill="1" applyBorder="1" applyAlignment="1">
      <alignment horizontal="left" vertical="top"/>
    </xf>
    <xf numFmtId="1" fontId="1" fillId="0" borderId="0" xfId="0" applyNumberFormat="1" applyFont="1"/>
    <xf numFmtId="0" fontId="0" fillId="0" borderId="13" xfId="0" applyBorder="1"/>
    <xf numFmtId="1" fontId="1" fillId="4" borderId="13" xfId="0" applyNumberFormat="1" applyFont="1" applyFill="1" applyBorder="1"/>
    <xf numFmtId="164" fontId="1" fillId="0" borderId="0" xfId="0" applyNumberFormat="1" applyFont="1"/>
    <xf numFmtId="1" fontId="0" fillId="5" borderId="0" xfId="0" applyNumberFormat="1" applyFill="1"/>
    <xf numFmtId="0" fontId="0" fillId="0" borderId="22" xfId="0" applyFill="1" applyBorder="1"/>
    <xf numFmtId="1" fontId="0" fillId="6" borderId="23" xfId="0" applyNumberFormat="1" applyFill="1" applyBorder="1"/>
    <xf numFmtId="1" fontId="0" fillId="0" borderId="0" xfId="0" applyNumberFormat="1"/>
    <xf numFmtId="0" fontId="2" fillId="2" borderId="13" xfId="1" applyFill="1" applyBorder="1" applyAlignment="1">
      <alignment horizontal="left" vertical="top" wrapText="1"/>
    </xf>
    <xf numFmtId="0" fontId="2" fillId="2" borderId="8" xfId="1" applyFill="1" applyBorder="1" applyAlignment="1">
      <alignment vertical="top"/>
    </xf>
    <xf numFmtId="164" fontId="2" fillId="2" borderId="9" xfId="3" applyNumberFormat="1" applyFont="1" applyFill="1" applyBorder="1" applyAlignment="1">
      <alignment horizontal="center" vertical="top"/>
    </xf>
    <xf numFmtId="43" fontId="2" fillId="2" borderId="11" xfId="3" applyFont="1" applyFill="1" applyBorder="1" applyAlignment="1">
      <alignment vertical="top"/>
    </xf>
    <xf numFmtId="0" fontId="3" fillId="2" borderId="24" xfId="1" applyFont="1" applyFill="1" applyBorder="1" applyAlignment="1">
      <alignment horizontal="center" vertical="center"/>
    </xf>
    <xf numFmtId="0" fontId="2" fillId="2" borderId="18" xfId="1" applyFill="1" applyBorder="1" applyAlignment="1">
      <alignment horizontal="left" vertical="top"/>
    </xf>
    <xf numFmtId="0" fontId="3" fillId="2" borderId="7" xfId="1" applyFont="1" applyFill="1" applyBorder="1" applyAlignment="1">
      <alignment horizontal="center" vertical="top"/>
    </xf>
    <xf numFmtId="0" fontId="2" fillId="2" borderId="8" xfId="1" applyFill="1" applyBorder="1" applyAlignment="1">
      <alignment horizontal="left" vertical="top" wrapText="1"/>
    </xf>
    <xf numFmtId="0" fontId="2" fillId="0" borderId="9" xfId="1" applyFill="1" applyBorder="1" applyAlignment="1">
      <alignment vertical="top"/>
    </xf>
    <xf numFmtId="0" fontId="2" fillId="2" borderId="10" xfId="1" applyFill="1" applyBorder="1" applyAlignment="1">
      <alignment vertical="top"/>
    </xf>
    <xf numFmtId="0" fontId="2" fillId="2" borderId="11" xfId="1" applyFill="1" applyBorder="1" applyAlignment="1">
      <alignment vertical="top"/>
    </xf>
    <xf numFmtId="0" fontId="2" fillId="2" borderId="6" xfId="1" applyFill="1" applyBorder="1" applyAlignment="1">
      <alignment vertical="top"/>
    </xf>
    <xf numFmtId="0" fontId="3" fillId="2" borderId="0" xfId="1" applyFont="1" applyFill="1" applyBorder="1" applyAlignment="1">
      <alignment vertical="top"/>
    </xf>
    <xf numFmtId="0" fontId="3" fillId="2" borderId="6" xfId="1" applyFont="1" applyFill="1" applyBorder="1" applyAlignment="1">
      <alignment vertical="top"/>
    </xf>
    <xf numFmtId="0" fontId="3" fillId="2" borderId="25" xfId="1" applyFont="1" applyFill="1" applyBorder="1" applyAlignment="1">
      <alignment horizontal="center" vertical="top"/>
    </xf>
    <xf numFmtId="0" fontId="2" fillId="2" borderId="26" xfId="1" applyFill="1" applyBorder="1" applyAlignment="1">
      <alignment horizontal="left" vertical="top"/>
    </xf>
    <xf numFmtId="0" fontId="2" fillId="2" borderId="26" xfId="1" applyFill="1" applyBorder="1" applyAlignment="1">
      <alignment vertical="top"/>
    </xf>
    <xf numFmtId="0" fontId="2" fillId="2" borderId="27" xfId="1" applyFill="1" applyBorder="1" applyAlignment="1">
      <alignment vertical="top"/>
    </xf>
    <xf numFmtId="0" fontId="2" fillId="2" borderId="9" xfId="1" applyFill="1" applyBorder="1" applyAlignment="1">
      <alignment horizontal="center" vertical="top"/>
    </xf>
    <xf numFmtId="0" fontId="2" fillId="2" borderId="10" xfId="1" applyFill="1" applyBorder="1" applyAlignment="1">
      <alignment horizontal="center" vertical="top"/>
    </xf>
    <xf numFmtId="0" fontId="2" fillId="2" borderId="11" xfId="1" applyFill="1" applyBorder="1" applyAlignment="1">
      <alignment horizontal="center" vertical="top"/>
    </xf>
    <xf numFmtId="0" fontId="3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0" borderId="9" xfId="1" applyFill="1" applyBorder="1" applyAlignment="1">
      <alignment horizontal="left" vertical="top"/>
    </xf>
    <xf numFmtId="0" fontId="2" fillId="0" borderId="10" xfId="1" applyFill="1" applyBorder="1" applyAlignment="1">
      <alignment horizontal="left" vertical="top"/>
    </xf>
    <xf numFmtId="0" fontId="2" fillId="0" borderId="11" xfId="1" applyFill="1" applyBorder="1" applyAlignment="1">
      <alignment horizontal="left" vertical="top"/>
    </xf>
    <xf numFmtId="0" fontId="8" fillId="3" borderId="0" xfId="0" applyFont="1" applyFill="1"/>
    <xf numFmtId="164" fontId="2" fillId="3" borderId="9" xfId="3" applyNumberFormat="1" applyFont="1" applyFill="1" applyBorder="1" applyAlignment="1">
      <alignment horizontal="center" vertical="top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top"/>
    </xf>
    <xf numFmtId="0" fontId="2" fillId="2" borderId="10" xfId="1" applyFill="1" applyBorder="1" applyAlignment="1">
      <alignment horizontal="center" vertical="top"/>
    </xf>
    <xf numFmtId="0" fontId="2" fillId="2" borderId="11" xfId="1" applyFill="1" applyBorder="1" applyAlignment="1">
      <alignment horizontal="center" vertical="top"/>
    </xf>
    <xf numFmtId="0" fontId="3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0" fontId="2" fillId="0" borderId="9" xfId="1" applyFill="1" applyBorder="1" applyAlignment="1">
      <alignment horizontal="left" vertical="top"/>
    </xf>
    <xf numFmtId="0" fontId="2" fillId="0" borderId="10" xfId="1" applyFill="1" applyBorder="1" applyAlignment="1">
      <alignment horizontal="left" vertical="top"/>
    </xf>
    <xf numFmtId="0" fontId="2" fillId="0" borderId="11" xfId="1" applyFill="1" applyBorder="1" applyAlignment="1">
      <alignment horizontal="left" vertical="top"/>
    </xf>
    <xf numFmtId="0" fontId="2" fillId="2" borderId="9" xfId="1" applyFill="1" applyBorder="1" applyAlignment="1">
      <alignment horizontal="center" vertical="top"/>
    </xf>
    <xf numFmtId="0" fontId="2" fillId="2" borderId="10" xfId="1" applyFill="1" applyBorder="1" applyAlignment="1">
      <alignment horizontal="center" vertical="top"/>
    </xf>
    <xf numFmtId="0" fontId="2" fillId="2" borderId="11" xfId="1" applyFill="1" applyBorder="1" applyAlignment="1">
      <alignment horizontal="center" vertical="top"/>
    </xf>
    <xf numFmtId="0" fontId="3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top"/>
    </xf>
    <xf numFmtId="0" fontId="2" fillId="2" borderId="10" xfId="1" applyFill="1" applyBorder="1" applyAlignment="1">
      <alignment horizontal="center" vertical="top"/>
    </xf>
    <xf numFmtId="0" fontId="2" fillId="2" borderId="11" xfId="1" applyFill="1" applyBorder="1" applyAlignment="1">
      <alignment horizontal="center" vertical="top"/>
    </xf>
    <xf numFmtId="0" fontId="3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0" borderId="9" xfId="1" applyFill="1" applyBorder="1" applyAlignment="1">
      <alignment horizontal="left" vertical="top"/>
    </xf>
    <xf numFmtId="0" fontId="2" fillId="0" borderId="10" xfId="1" applyFill="1" applyBorder="1" applyAlignment="1">
      <alignment horizontal="left" vertical="top"/>
    </xf>
    <xf numFmtId="0" fontId="2" fillId="0" borderId="11" xfId="1" applyFill="1" applyBorder="1" applyAlignment="1">
      <alignment horizontal="left" vertical="top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top"/>
    </xf>
    <xf numFmtId="0" fontId="2" fillId="2" borderId="10" xfId="1" applyFill="1" applyBorder="1" applyAlignment="1">
      <alignment horizontal="center" vertical="top"/>
    </xf>
    <xf numFmtId="0" fontId="2" fillId="2" borderId="11" xfId="1" applyFill="1" applyBorder="1" applyAlignment="1">
      <alignment horizontal="center" vertical="top"/>
    </xf>
    <xf numFmtId="0" fontId="3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0" fontId="2" fillId="0" borderId="9" xfId="1" applyFill="1" applyBorder="1" applyAlignment="1">
      <alignment horizontal="left" vertical="top"/>
    </xf>
    <xf numFmtId="0" fontId="2" fillId="0" borderId="10" xfId="1" applyFill="1" applyBorder="1" applyAlignment="1">
      <alignment horizontal="left" vertical="top"/>
    </xf>
    <xf numFmtId="0" fontId="2" fillId="0" borderId="11" xfId="1" applyFill="1" applyBorder="1" applyAlignment="1">
      <alignment horizontal="left" vertical="top"/>
    </xf>
    <xf numFmtId="0" fontId="2" fillId="2" borderId="9" xfId="1" applyFill="1" applyBorder="1" applyAlignment="1">
      <alignment horizontal="center" vertical="top"/>
    </xf>
    <xf numFmtId="0" fontId="2" fillId="2" borderId="10" xfId="1" applyFill="1" applyBorder="1" applyAlignment="1">
      <alignment horizontal="center" vertical="top"/>
    </xf>
    <xf numFmtId="0" fontId="2" fillId="2" borderId="11" xfId="1" applyFill="1" applyBorder="1" applyAlignment="1">
      <alignment horizontal="center" vertical="top"/>
    </xf>
    <xf numFmtId="0" fontId="3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0" borderId="9" xfId="1" applyFill="1" applyBorder="1" applyAlignment="1">
      <alignment horizontal="left" vertical="top"/>
    </xf>
    <xf numFmtId="0" fontId="2" fillId="0" borderId="10" xfId="1" applyFill="1" applyBorder="1" applyAlignment="1">
      <alignment horizontal="left" vertical="top"/>
    </xf>
    <xf numFmtId="0" fontId="2" fillId="0" borderId="11" xfId="1" applyFill="1" applyBorder="1" applyAlignment="1">
      <alignment horizontal="left" vertical="top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top"/>
    </xf>
    <xf numFmtId="0" fontId="2" fillId="2" borderId="10" xfId="1" applyFill="1" applyBorder="1" applyAlignment="1">
      <alignment horizontal="center" vertical="top"/>
    </xf>
    <xf numFmtId="0" fontId="2" fillId="2" borderId="11" xfId="1" applyFill="1" applyBorder="1" applyAlignment="1">
      <alignment horizontal="center" vertical="top"/>
    </xf>
    <xf numFmtId="0" fontId="3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0" fontId="2" fillId="0" borderId="9" xfId="1" applyFill="1" applyBorder="1" applyAlignment="1">
      <alignment horizontal="left" vertical="top"/>
    </xf>
    <xf numFmtId="0" fontId="2" fillId="0" borderId="10" xfId="1" applyFill="1" applyBorder="1" applyAlignment="1">
      <alignment horizontal="left" vertical="top"/>
    </xf>
    <xf numFmtId="0" fontId="2" fillId="0" borderId="11" xfId="1" applyFill="1" applyBorder="1" applyAlignment="1">
      <alignment horizontal="left" vertical="top"/>
    </xf>
    <xf numFmtId="0" fontId="2" fillId="2" borderId="9" xfId="1" applyFill="1" applyBorder="1" applyAlignment="1">
      <alignment horizontal="center" vertical="top"/>
    </xf>
    <xf numFmtId="0" fontId="2" fillId="2" borderId="10" xfId="1" applyFill="1" applyBorder="1" applyAlignment="1">
      <alignment horizontal="center" vertical="top"/>
    </xf>
    <xf numFmtId="0" fontId="2" fillId="2" borderId="11" xfId="1" applyFill="1" applyBorder="1" applyAlignment="1">
      <alignment horizontal="center" vertical="top"/>
    </xf>
    <xf numFmtId="164" fontId="2" fillId="2" borderId="9" xfId="1" applyNumberFormat="1" applyFill="1" applyBorder="1" applyAlignment="1">
      <alignment horizontal="center" vertical="top"/>
    </xf>
    <xf numFmtId="164" fontId="2" fillId="2" borderId="10" xfId="1" applyNumberFormat="1" applyFill="1" applyBorder="1" applyAlignment="1">
      <alignment horizontal="center" vertical="top"/>
    </xf>
    <xf numFmtId="164" fontId="2" fillId="2" borderId="11" xfId="1" applyNumberFormat="1" applyFill="1" applyBorder="1" applyAlignment="1">
      <alignment horizontal="center" vertical="top"/>
    </xf>
    <xf numFmtId="0" fontId="3" fillId="2" borderId="12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left" vertical="center"/>
    </xf>
    <xf numFmtId="0" fontId="2" fillId="2" borderId="18" xfId="1" applyFont="1" applyFill="1" applyBorder="1" applyAlignment="1">
      <alignment horizontal="left" vertical="center"/>
    </xf>
    <xf numFmtId="0" fontId="2" fillId="2" borderId="9" xfId="2" applyFill="1" applyBorder="1" applyAlignment="1">
      <alignment vertical="top"/>
    </xf>
    <xf numFmtId="0" fontId="2" fillId="2" borderId="10" xfId="2" applyFill="1" applyBorder="1" applyAlignment="1">
      <alignment vertical="top"/>
    </xf>
    <xf numFmtId="0" fontId="2" fillId="2" borderId="11" xfId="2" applyFill="1" applyBorder="1" applyAlignment="1">
      <alignment vertical="top"/>
    </xf>
    <xf numFmtId="0" fontId="2" fillId="0" borderId="9" xfId="2" applyFill="1" applyBorder="1" applyAlignment="1">
      <alignment vertical="top"/>
    </xf>
    <xf numFmtId="0" fontId="2" fillId="0" borderId="10" xfId="2" applyFill="1" applyBorder="1" applyAlignment="1">
      <alignment vertical="top"/>
    </xf>
    <xf numFmtId="0" fontId="2" fillId="0" borderId="11" xfId="2" applyFill="1" applyBorder="1" applyAlignment="1">
      <alignment vertical="top"/>
    </xf>
    <xf numFmtId="1" fontId="2" fillId="2" borderId="9" xfId="1" applyNumberFormat="1" applyFont="1" applyFill="1" applyBorder="1" applyAlignment="1">
      <alignment horizontal="left" vertical="center"/>
    </xf>
    <xf numFmtId="1" fontId="2" fillId="2" borderId="10" xfId="1" applyNumberFormat="1" applyFont="1" applyFill="1" applyBorder="1" applyAlignment="1">
      <alignment horizontal="left" vertical="center"/>
    </xf>
    <xf numFmtId="1" fontId="2" fillId="2" borderId="11" xfId="1" applyNumberFormat="1" applyFont="1" applyFill="1" applyBorder="1" applyAlignment="1">
      <alignment horizontal="left" vertical="center"/>
    </xf>
    <xf numFmtId="0" fontId="2" fillId="2" borderId="9" xfId="1" applyFill="1" applyBorder="1" applyAlignment="1">
      <alignment horizontal="left" vertical="top"/>
    </xf>
    <xf numFmtId="0" fontId="2" fillId="2" borderId="10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0" borderId="9" xfId="2" applyFill="1" applyBorder="1" applyAlignment="1">
      <alignment vertical="center"/>
    </xf>
    <xf numFmtId="0" fontId="2" fillId="0" borderId="10" xfId="2" applyFill="1" applyBorder="1" applyAlignment="1">
      <alignment vertical="center"/>
    </xf>
    <xf numFmtId="0" fontId="2" fillId="0" borderId="11" xfId="2" applyFill="1" applyBorder="1" applyAlignment="1">
      <alignment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left" vertical="center"/>
    </xf>
    <xf numFmtId="0" fontId="7" fillId="3" borderId="10" xfId="1" applyFont="1" applyFill="1" applyBorder="1" applyAlignment="1">
      <alignment horizontal="left" vertical="center"/>
    </xf>
    <xf numFmtId="0" fontId="7" fillId="3" borderId="11" xfId="1" applyFont="1" applyFill="1" applyBorder="1" applyAlignment="1">
      <alignment horizontal="left" vertical="center"/>
    </xf>
    <xf numFmtId="0" fontId="2" fillId="2" borderId="9" xfId="1" applyFill="1" applyBorder="1" applyAlignment="1">
      <alignment horizontal="left" vertical="center"/>
    </xf>
    <xf numFmtId="0" fontId="2" fillId="2" borderId="10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9" xfId="2" applyFill="1" applyBorder="1" applyAlignment="1">
      <alignment vertical="center"/>
    </xf>
    <xf numFmtId="0" fontId="2" fillId="2" borderId="10" xfId="2" applyFill="1" applyBorder="1" applyAlignment="1">
      <alignment vertical="center"/>
    </xf>
    <xf numFmtId="0" fontId="2" fillId="2" borderId="11" xfId="2" applyFill="1" applyBorder="1" applyAlignment="1">
      <alignment vertical="center"/>
    </xf>
    <xf numFmtId="164" fontId="2" fillId="3" borderId="9" xfId="1" applyNumberFormat="1" applyFill="1" applyBorder="1" applyAlignment="1">
      <alignment horizontal="center" vertical="top"/>
    </xf>
    <xf numFmtId="164" fontId="2" fillId="3" borderId="10" xfId="1" applyNumberFormat="1" applyFill="1" applyBorder="1" applyAlignment="1">
      <alignment horizontal="center" vertical="top"/>
    </xf>
    <xf numFmtId="164" fontId="2" fillId="3" borderId="11" xfId="1" applyNumberFormat="1" applyFill="1" applyBorder="1" applyAlignment="1">
      <alignment horizontal="center" vertical="top"/>
    </xf>
    <xf numFmtId="0" fontId="2" fillId="0" borderId="9" xfId="1" applyFill="1" applyBorder="1" applyAlignment="1">
      <alignment horizontal="left" vertical="top"/>
    </xf>
    <xf numFmtId="0" fontId="2" fillId="0" borderId="10" xfId="1" applyFill="1" applyBorder="1" applyAlignment="1">
      <alignment horizontal="left" vertical="top"/>
    </xf>
    <xf numFmtId="0" fontId="2" fillId="0" borderId="11" xfId="1" applyFill="1" applyBorder="1" applyAlignment="1">
      <alignment horizontal="left" vertical="top"/>
    </xf>
    <xf numFmtId="164" fontId="7" fillId="3" borderId="9" xfId="1" applyNumberFormat="1" applyFont="1" applyFill="1" applyBorder="1" applyAlignment="1">
      <alignment horizontal="left" vertical="center"/>
    </xf>
    <xf numFmtId="164" fontId="7" fillId="3" borderId="10" xfId="1" applyNumberFormat="1" applyFont="1" applyFill="1" applyBorder="1" applyAlignment="1">
      <alignment horizontal="left" vertical="center"/>
    </xf>
    <xf numFmtId="164" fontId="7" fillId="3" borderId="11" xfId="1" applyNumberFormat="1" applyFont="1" applyFill="1" applyBorder="1" applyAlignment="1">
      <alignment horizontal="left" vertical="center"/>
    </xf>
  </cellXfs>
  <cellStyles count="4">
    <cellStyle name="Comma 2" xfId="3"/>
    <cellStyle name="Normal" xfId="0" builtinId="0"/>
    <cellStyle name="Normal 2" xfId="1"/>
    <cellStyle name="Normal 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O41"/>
  <sheetViews>
    <sheetView workbookViewId="0">
      <selection activeCell="A10" sqref="A1:XFD104857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"/>
      <c r="B7" s="14"/>
      <c r="C7" s="14"/>
      <c r="D7" s="14"/>
      <c r="E7" s="1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32">
        <v>1</v>
      </c>
      <c r="B11" s="33" t="s">
        <v>6</v>
      </c>
      <c r="C11" s="22" t="s">
        <v>52</v>
      </c>
      <c r="D11" s="23" t="s">
        <v>7</v>
      </c>
      <c r="E11" s="24" t="s">
        <v>8</v>
      </c>
    </row>
    <row r="12" spans="1:15" ht="25.5" customHeight="1">
      <c r="A12" s="20">
        <v>2</v>
      </c>
      <c r="B12" s="33" t="s">
        <v>9</v>
      </c>
      <c r="C12" s="25" t="s">
        <v>53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54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33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33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20.734000000000002</v>
      </c>
      <c r="O17">
        <f t="shared" si="0"/>
        <v>93717.680000000008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32">
        <v>8</v>
      </c>
      <c r="B19" s="28" t="s">
        <v>28</v>
      </c>
      <c r="C19" s="35">
        <v>72162100</v>
      </c>
      <c r="D19" s="36"/>
      <c r="E19" s="37"/>
      <c r="N19" s="31"/>
    </row>
    <row r="20" spans="1:15" ht="27" customHeight="1">
      <c r="A20" s="32">
        <v>9</v>
      </c>
      <c r="B20" s="38" t="s">
        <v>29</v>
      </c>
      <c r="C20" s="39">
        <v>20.734000000000002</v>
      </c>
      <c r="D20" s="40"/>
      <c r="E20" s="41"/>
      <c r="L20" s="30" t="s">
        <v>30</v>
      </c>
      <c r="N20" s="31"/>
    </row>
    <row r="21" spans="1:15" ht="25.5" customHeight="1" thickBot="1">
      <c r="A21" s="32">
        <v>10</v>
      </c>
      <c r="B21" s="42" t="s">
        <v>31</v>
      </c>
      <c r="C21" s="170">
        <f>+I26</f>
        <v>1145532.7660000001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44"/>
      <c r="D22" s="45"/>
      <c r="E22" s="46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44"/>
      <c r="D23" s="45"/>
      <c r="E23" s="4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44" t="s">
        <v>36</v>
      </c>
      <c r="D24" s="45"/>
      <c r="E24" s="46"/>
      <c r="H24" t="s">
        <v>37</v>
      </c>
      <c r="I24" s="52">
        <f>C20*I22</f>
        <v>1051815.0860000001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44" t="s">
        <v>36</v>
      </c>
      <c r="D25" s="45"/>
      <c r="E25" s="46"/>
      <c r="H25" s="53" t="s">
        <v>39</v>
      </c>
      <c r="I25" s="54">
        <f>+O25</f>
        <v>93717.680000000008</v>
      </c>
      <c r="N25" s="55">
        <f>SUM(N15:N24)</f>
        <v>20.734000000000002</v>
      </c>
      <c r="O25" s="56">
        <f>SUM(O15:O24)</f>
        <v>93717.680000000008</v>
      </c>
    </row>
    <row r="26" spans="1:15" ht="25.5" customHeight="1" thickBot="1">
      <c r="A26" s="20"/>
      <c r="B26" s="51" t="s">
        <v>40</v>
      </c>
      <c r="C26" s="44" t="s">
        <v>36</v>
      </c>
      <c r="D26" s="45"/>
      <c r="E26" s="46"/>
      <c r="H26" s="57" t="s">
        <v>41</v>
      </c>
      <c r="I26" s="58">
        <f>+I25+I24</f>
        <v>1145532.7660000001</v>
      </c>
    </row>
    <row r="27" spans="1:15" ht="25.5" customHeight="1">
      <c r="A27" s="20"/>
      <c r="B27" s="43"/>
      <c r="C27" s="44"/>
      <c r="D27" s="45"/>
      <c r="E27" s="4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32">
        <v>14</v>
      </c>
      <c r="B31" s="60" t="s">
        <v>45</v>
      </c>
      <c r="C31" s="61" t="s">
        <v>46</v>
      </c>
      <c r="D31" s="62">
        <v>1.1839999999999999</v>
      </c>
      <c r="E31" s="63"/>
    </row>
    <row r="32" spans="1:15" ht="25.5" customHeight="1">
      <c r="A32" s="64"/>
      <c r="B32" s="65"/>
      <c r="C32" s="61" t="s">
        <v>47</v>
      </c>
      <c r="D32" s="62">
        <v>1.5229999999999999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O41"/>
  <sheetViews>
    <sheetView topLeftCell="A7" workbookViewId="0">
      <selection activeCell="A7" sqref="A1:XFD104857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"/>
      <c r="B7" s="14"/>
      <c r="C7" s="14"/>
      <c r="D7" s="14"/>
      <c r="E7" s="1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32">
        <v>1</v>
      </c>
      <c r="B11" s="33" t="s">
        <v>6</v>
      </c>
      <c r="C11" s="22" t="s">
        <v>55</v>
      </c>
      <c r="D11" s="23" t="s">
        <v>7</v>
      </c>
      <c r="E11" s="24" t="s">
        <v>56</v>
      </c>
    </row>
    <row r="12" spans="1:15" ht="25.5" customHeight="1">
      <c r="A12" s="20">
        <v>2</v>
      </c>
      <c r="B12" s="33" t="s">
        <v>9</v>
      </c>
      <c r="C12" s="25" t="s">
        <v>53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54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33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33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f>1.826+8.494</f>
        <v>10.32</v>
      </c>
      <c r="O17">
        <f t="shared" si="0"/>
        <v>46646.400000000001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32">
        <v>8</v>
      </c>
      <c r="B19" s="28" t="s">
        <v>28</v>
      </c>
      <c r="C19" s="35">
        <v>72162100</v>
      </c>
      <c r="D19" s="36"/>
      <c r="E19" s="37"/>
      <c r="N19" s="31"/>
    </row>
    <row r="20" spans="1:15" ht="27" customHeight="1">
      <c r="A20" s="32">
        <v>9</v>
      </c>
      <c r="B20" s="38" t="s">
        <v>29</v>
      </c>
      <c r="C20" s="39">
        <v>12.042999999999999</v>
      </c>
      <c r="D20" s="40"/>
      <c r="E20" s="41"/>
      <c r="L20" s="30" t="s">
        <v>30</v>
      </c>
      <c r="N20" s="31"/>
    </row>
    <row r="21" spans="1:15" ht="25.5" customHeight="1" thickBot="1">
      <c r="A21" s="32">
        <v>10</v>
      </c>
      <c r="B21" s="42" t="s">
        <v>31</v>
      </c>
      <c r="C21" s="170">
        <f>+I26</f>
        <v>664674.50699999998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44"/>
      <c r="D22" s="45"/>
      <c r="E22" s="46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>
        <v>1.7230000000000001</v>
      </c>
      <c r="O22">
        <f>N22*M22</f>
        <v>7098.76</v>
      </c>
    </row>
    <row r="23" spans="1:15" ht="25.5" customHeight="1">
      <c r="A23" s="20">
        <v>11</v>
      </c>
      <c r="B23" s="43" t="s">
        <v>34</v>
      </c>
      <c r="C23" s="44"/>
      <c r="D23" s="45"/>
      <c r="E23" s="4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44" t="s">
        <v>36</v>
      </c>
      <c r="D24" s="45"/>
      <c r="E24" s="46"/>
      <c r="H24" t="s">
        <v>37</v>
      </c>
      <c r="I24" s="52">
        <f>C20*I22</f>
        <v>610929.34699999995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44" t="s">
        <v>36</v>
      </c>
      <c r="D25" s="45"/>
      <c r="E25" s="46"/>
      <c r="H25" s="53" t="s">
        <v>39</v>
      </c>
      <c r="I25" s="54">
        <f>+O25</f>
        <v>53745.16</v>
      </c>
      <c r="N25" s="55">
        <f>SUM(N15:N24)</f>
        <v>12.043000000000001</v>
      </c>
      <c r="O25" s="56">
        <f>SUM(O15:O24)</f>
        <v>53745.16</v>
      </c>
    </row>
    <row r="26" spans="1:15" ht="25.5" customHeight="1" thickBot="1">
      <c r="A26" s="20"/>
      <c r="B26" s="51" t="s">
        <v>40</v>
      </c>
      <c r="C26" s="44" t="s">
        <v>36</v>
      </c>
      <c r="D26" s="45"/>
      <c r="E26" s="46"/>
      <c r="H26" s="57" t="s">
        <v>41</v>
      </c>
      <c r="I26" s="58">
        <f>+I25+I24</f>
        <v>664674.50699999998</v>
      </c>
    </row>
    <row r="27" spans="1:15" ht="25.5" customHeight="1">
      <c r="A27" s="20"/>
      <c r="B27" s="43"/>
      <c r="C27" s="44"/>
      <c r="D27" s="45"/>
      <c r="E27" s="4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32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19.091999999999999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O41"/>
  <sheetViews>
    <sheetView topLeftCell="A16" workbookViewId="0">
      <selection activeCell="A16" sqref="A1:XFD104857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"/>
      <c r="B7" s="14"/>
      <c r="C7" s="14"/>
      <c r="D7" s="14"/>
      <c r="E7" s="1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32">
        <v>1</v>
      </c>
      <c r="B11" s="33" t="s">
        <v>6</v>
      </c>
      <c r="C11" s="22" t="s">
        <v>57</v>
      </c>
      <c r="D11" s="23" t="s">
        <v>7</v>
      </c>
      <c r="E11" s="24" t="s">
        <v>56</v>
      </c>
    </row>
    <row r="12" spans="1:15" ht="25.5" customHeight="1">
      <c r="A12" s="20">
        <v>2</v>
      </c>
      <c r="B12" s="33" t="s">
        <v>9</v>
      </c>
      <c r="C12" s="25" t="s">
        <v>53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58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33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33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f>1.514+2.676</f>
        <v>4.1900000000000004</v>
      </c>
      <c r="O16">
        <f t="shared" si="0"/>
        <v>18100.800000000003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2.2240000000000002</v>
      </c>
      <c r="O17">
        <f t="shared" si="0"/>
        <v>10052.480000000001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32">
        <v>8</v>
      </c>
      <c r="B19" s="28" t="s">
        <v>28</v>
      </c>
      <c r="C19" s="35">
        <v>72162100</v>
      </c>
      <c r="D19" s="36"/>
      <c r="E19" s="37"/>
      <c r="N19" s="31"/>
    </row>
    <row r="20" spans="1:15" ht="27" customHeight="1">
      <c r="A20" s="32">
        <v>9</v>
      </c>
      <c r="B20" s="38" t="s">
        <v>29</v>
      </c>
      <c r="C20" s="39">
        <v>19.091999999999999</v>
      </c>
      <c r="D20" s="40"/>
      <c r="E20" s="41"/>
      <c r="L20" s="30" t="s">
        <v>30</v>
      </c>
      <c r="N20" s="31"/>
    </row>
    <row r="21" spans="1:15" ht="25.5" customHeight="1" thickBot="1">
      <c r="A21" s="32">
        <v>10</v>
      </c>
      <c r="B21" s="42" t="s">
        <v>31</v>
      </c>
      <c r="C21" s="170">
        <f>+I26</f>
        <v>1048904.7080000001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44"/>
      <c r="D22" s="45"/>
      <c r="E22" s="46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>
        <f>3.973+0.472+7.108+1.125</f>
        <v>12.678000000000001</v>
      </c>
      <c r="O22">
        <f>N22*M22</f>
        <v>52233.36</v>
      </c>
    </row>
    <row r="23" spans="1:15" ht="25.5" customHeight="1">
      <c r="A23" s="20">
        <v>11</v>
      </c>
      <c r="B23" s="43" t="s">
        <v>34</v>
      </c>
      <c r="C23" s="44"/>
      <c r="D23" s="45"/>
      <c r="E23" s="4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44" t="s">
        <v>36</v>
      </c>
      <c r="D24" s="45"/>
      <c r="E24" s="46"/>
      <c r="H24" t="s">
        <v>37</v>
      </c>
      <c r="I24" s="52">
        <f>C20*I22</f>
        <v>968518.06799999997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44" t="s">
        <v>36</v>
      </c>
      <c r="D25" s="45"/>
      <c r="E25" s="46"/>
      <c r="H25" s="53" t="s">
        <v>39</v>
      </c>
      <c r="I25" s="54">
        <f>+O25</f>
        <v>80386.640000000014</v>
      </c>
      <c r="N25" s="55">
        <f>SUM(N15:N24)</f>
        <v>19.092000000000002</v>
      </c>
      <c r="O25" s="56">
        <f>SUM(O15:O24)</f>
        <v>80386.640000000014</v>
      </c>
    </row>
    <row r="26" spans="1:15" ht="25.5" customHeight="1" thickBot="1">
      <c r="A26" s="20"/>
      <c r="B26" s="51" t="s">
        <v>40</v>
      </c>
      <c r="C26" s="44" t="s">
        <v>36</v>
      </c>
      <c r="D26" s="45"/>
      <c r="E26" s="46"/>
      <c r="H26" s="57" t="s">
        <v>41</v>
      </c>
      <c r="I26" s="58">
        <f>+I25+I24</f>
        <v>1048904.7080000001</v>
      </c>
    </row>
    <row r="27" spans="1:15" ht="25.5" customHeight="1">
      <c r="A27" s="20"/>
      <c r="B27" s="43"/>
      <c r="C27" s="44"/>
      <c r="D27" s="45"/>
      <c r="E27" s="4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32">
        <v>14</v>
      </c>
      <c r="B31" s="60" t="s">
        <v>45</v>
      </c>
      <c r="C31" s="61" t="s">
        <v>46</v>
      </c>
      <c r="D31" s="62">
        <v>1.1839999999999999</v>
      </c>
      <c r="E31" s="63"/>
    </row>
    <row r="32" spans="1:15" ht="25.5" customHeight="1">
      <c r="A32" s="64"/>
      <c r="B32" s="65"/>
      <c r="C32" s="61" t="s">
        <v>47</v>
      </c>
      <c r="D32" s="62">
        <v>1.5229999999999999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O41"/>
  <sheetViews>
    <sheetView topLeftCell="A16" workbookViewId="0">
      <selection activeCell="A16" sqref="A1:XFD104857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"/>
      <c r="B7" s="14"/>
      <c r="C7" s="14"/>
      <c r="D7" s="14"/>
      <c r="E7" s="1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32">
        <v>1</v>
      </c>
      <c r="B11" s="33" t="s">
        <v>6</v>
      </c>
      <c r="C11" s="22" t="s">
        <v>59</v>
      </c>
      <c r="D11" s="23" t="s">
        <v>7</v>
      </c>
      <c r="E11" s="24" t="s">
        <v>60</v>
      </c>
    </row>
    <row r="12" spans="1:15" ht="25.5" customHeight="1">
      <c r="A12" s="20">
        <v>2</v>
      </c>
      <c r="B12" s="33" t="s">
        <v>9</v>
      </c>
      <c r="C12" s="25" t="s">
        <v>53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58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33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33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32">
        <v>8</v>
      </c>
      <c r="B19" s="28" t="s">
        <v>28</v>
      </c>
      <c r="C19" s="35">
        <v>72162100</v>
      </c>
      <c r="D19" s="36"/>
      <c r="E19" s="37"/>
      <c r="N19" s="31"/>
    </row>
    <row r="20" spans="1:15" ht="27" customHeight="1">
      <c r="A20" s="32">
        <v>9</v>
      </c>
      <c r="B20" s="38" t="s">
        <v>29</v>
      </c>
      <c r="C20" s="39">
        <v>13.631</v>
      </c>
      <c r="D20" s="40"/>
      <c r="E20" s="41"/>
      <c r="L20" s="30" t="s">
        <v>30</v>
      </c>
      <c r="N20" s="31"/>
    </row>
    <row r="21" spans="1:15" ht="25.5" customHeight="1" thickBot="1">
      <c r="A21" s="32">
        <v>10</v>
      </c>
      <c r="B21" s="42" t="s">
        <v>31</v>
      </c>
      <c r="C21" s="170">
        <f>+I26</f>
        <v>747646.71900000004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44"/>
      <c r="D22" s="45"/>
      <c r="E22" s="46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>
        <v>13.631</v>
      </c>
      <c r="O22">
        <f>N22*M22</f>
        <v>56159.72</v>
      </c>
    </row>
    <row r="23" spans="1:15" ht="25.5" customHeight="1">
      <c r="A23" s="20">
        <v>11</v>
      </c>
      <c r="B23" s="43" t="s">
        <v>34</v>
      </c>
      <c r="C23" s="44"/>
      <c r="D23" s="45"/>
      <c r="E23" s="4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44" t="s">
        <v>36</v>
      </c>
      <c r="D24" s="45"/>
      <c r="E24" s="46"/>
      <c r="H24" t="s">
        <v>37</v>
      </c>
      <c r="I24" s="52">
        <f>C20*I22</f>
        <v>691486.99900000007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44" t="s">
        <v>36</v>
      </c>
      <c r="D25" s="45"/>
      <c r="E25" s="46"/>
      <c r="H25" s="53" t="s">
        <v>39</v>
      </c>
      <c r="I25" s="54">
        <f>+O25</f>
        <v>56159.72</v>
      </c>
      <c r="N25" s="55">
        <f>SUM(N15:N24)</f>
        <v>13.631</v>
      </c>
      <c r="O25" s="56">
        <f>SUM(O15:O24)</f>
        <v>56159.72</v>
      </c>
    </row>
    <row r="26" spans="1:15" ht="25.5" customHeight="1" thickBot="1">
      <c r="A26" s="20"/>
      <c r="B26" s="51" t="s">
        <v>40</v>
      </c>
      <c r="C26" s="44" t="s">
        <v>36</v>
      </c>
      <c r="D26" s="45"/>
      <c r="E26" s="46"/>
      <c r="H26" s="57" t="s">
        <v>41</v>
      </c>
      <c r="I26" s="58">
        <f>+I25+I24</f>
        <v>747646.71900000004</v>
      </c>
    </row>
    <row r="27" spans="1:15" ht="25.5" customHeight="1">
      <c r="A27" s="20"/>
      <c r="B27" s="43"/>
      <c r="C27" s="44"/>
      <c r="D27" s="45"/>
      <c r="E27" s="4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32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17.456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O41"/>
  <sheetViews>
    <sheetView topLeftCell="A16" workbookViewId="0">
      <selection activeCell="A16" sqref="A1:XFD104857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"/>
      <c r="B7" s="14"/>
      <c r="C7" s="14"/>
      <c r="D7" s="14"/>
      <c r="E7" s="1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32">
        <v>1</v>
      </c>
      <c r="B11" s="33" t="s">
        <v>6</v>
      </c>
      <c r="C11" s="22" t="s">
        <v>61</v>
      </c>
      <c r="D11" s="23" t="s">
        <v>7</v>
      </c>
      <c r="E11" s="24" t="s">
        <v>60</v>
      </c>
    </row>
    <row r="12" spans="1:15" ht="25.5" customHeight="1">
      <c r="A12" s="20">
        <v>2</v>
      </c>
      <c r="B12" s="33" t="s">
        <v>9</v>
      </c>
      <c r="C12" s="25" t="s">
        <v>53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62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33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33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v>17.456</v>
      </c>
      <c r="O16">
        <f t="shared" si="0"/>
        <v>75409.919999999998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32">
        <v>8</v>
      </c>
      <c r="B19" s="28" t="s">
        <v>28</v>
      </c>
      <c r="C19" s="35">
        <v>72162100</v>
      </c>
      <c r="D19" s="36"/>
      <c r="E19" s="37"/>
      <c r="N19" s="31"/>
    </row>
    <row r="20" spans="1:15" ht="27" customHeight="1">
      <c r="A20" s="32">
        <v>9</v>
      </c>
      <c r="B20" s="38" t="s">
        <v>29</v>
      </c>
      <c r="C20" s="39">
        <v>17.456</v>
      </c>
      <c r="D20" s="40"/>
      <c r="E20" s="41"/>
      <c r="L20" s="30" t="s">
        <v>30</v>
      </c>
      <c r="N20" s="31"/>
    </row>
    <row r="21" spans="1:15" ht="25.5" customHeight="1" thickBot="1">
      <c r="A21" s="32">
        <v>10</v>
      </c>
      <c r="B21" s="42" t="s">
        <v>31</v>
      </c>
      <c r="C21" s="170">
        <f>+I26</f>
        <v>960935.34400000004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44"/>
      <c r="D22" s="45"/>
      <c r="E22" s="46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44"/>
      <c r="D23" s="45"/>
      <c r="E23" s="4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44" t="s">
        <v>36</v>
      </c>
      <c r="D24" s="45"/>
      <c r="E24" s="46"/>
      <c r="H24" t="s">
        <v>37</v>
      </c>
      <c r="I24" s="52">
        <f>C20*I22</f>
        <v>885525.424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44" t="s">
        <v>36</v>
      </c>
      <c r="D25" s="45"/>
      <c r="E25" s="46"/>
      <c r="H25" s="53" t="s">
        <v>39</v>
      </c>
      <c r="I25" s="54">
        <f>+O25</f>
        <v>75409.919999999998</v>
      </c>
      <c r="N25" s="55">
        <f>SUM(N15:N24)</f>
        <v>17.456</v>
      </c>
      <c r="O25" s="56">
        <f>SUM(O15:O24)</f>
        <v>75409.919999999998</v>
      </c>
    </row>
    <row r="26" spans="1:15" ht="25.5" customHeight="1" thickBot="1">
      <c r="A26" s="20"/>
      <c r="B26" s="51" t="s">
        <v>40</v>
      </c>
      <c r="C26" s="44" t="s">
        <v>36</v>
      </c>
      <c r="D26" s="45"/>
      <c r="E26" s="46"/>
      <c r="H26" s="57" t="s">
        <v>41</v>
      </c>
      <c r="I26" s="58">
        <f>+I25+I24</f>
        <v>960935.34400000004</v>
      </c>
    </row>
    <row r="27" spans="1:15" ht="25.5" customHeight="1">
      <c r="A27" s="20"/>
      <c r="B27" s="43"/>
      <c r="C27" s="44"/>
      <c r="D27" s="45"/>
      <c r="E27" s="4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32">
        <v>14</v>
      </c>
      <c r="B31" s="60" t="s">
        <v>45</v>
      </c>
      <c r="C31" s="61" t="s">
        <v>46</v>
      </c>
      <c r="D31" s="62">
        <v>1.1830000000000001</v>
      </c>
      <c r="E31" s="63"/>
    </row>
    <row r="32" spans="1:15" ht="25.5" customHeight="1">
      <c r="A32" s="64"/>
      <c r="B32" s="65"/>
      <c r="C32" s="61" t="s">
        <v>47</v>
      </c>
      <c r="D32" s="62">
        <v>1.5209999999999999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O41"/>
  <sheetViews>
    <sheetView topLeftCell="A10" workbookViewId="0">
      <selection activeCell="A16" sqref="A1:XFD104857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"/>
      <c r="B7" s="14"/>
      <c r="C7" s="14"/>
      <c r="D7" s="14"/>
      <c r="E7" s="1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32">
        <v>1</v>
      </c>
      <c r="B11" s="33" t="s">
        <v>6</v>
      </c>
      <c r="C11" s="22" t="s">
        <v>63</v>
      </c>
      <c r="D11" s="23" t="s">
        <v>7</v>
      </c>
      <c r="E11" s="24" t="s">
        <v>64</v>
      </c>
    </row>
    <row r="12" spans="1:15" ht="25.5" customHeight="1">
      <c r="A12" s="20">
        <v>2</v>
      </c>
      <c r="B12" s="33" t="s">
        <v>9</v>
      </c>
      <c r="C12" s="25" t="s">
        <v>53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62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33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33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v>15.042999999999999</v>
      </c>
      <c r="O16">
        <f t="shared" si="0"/>
        <v>64985.759999999995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32">
        <v>8</v>
      </c>
      <c r="B19" s="28" t="s">
        <v>28</v>
      </c>
      <c r="C19" s="35">
        <v>72162100</v>
      </c>
      <c r="D19" s="36"/>
      <c r="E19" s="37"/>
      <c r="N19" s="31"/>
    </row>
    <row r="20" spans="1:15" ht="27" customHeight="1">
      <c r="A20" s="32">
        <v>9</v>
      </c>
      <c r="B20" s="38" t="s">
        <v>29</v>
      </c>
      <c r="C20" s="39">
        <v>15.042999999999999</v>
      </c>
      <c r="D20" s="40"/>
      <c r="E20" s="41"/>
      <c r="L20" s="30" t="s">
        <v>30</v>
      </c>
      <c r="N20" s="31"/>
    </row>
    <row r="21" spans="1:15" ht="25.5" customHeight="1" thickBot="1">
      <c r="A21" s="32">
        <v>10</v>
      </c>
      <c r="B21" s="42" t="s">
        <v>31</v>
      </c>
      <c r="C21" s="170">
        <f>+I26</f>
        <v>828102.10699999996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44"/>
      <c r="D22" s="45"/>
      <c r="E22" s="46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44"/>
      <c r="D23" s="45"/>
      <c r="E23" s="4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44" t="s">
        <v>36</v>
      </c>
      <c r="D24" s="45"/>
      <c r="E24" s="46"/>
      <c r="H24" t="s">
        <v>37</v>
      </c>
      <c r="I24" s="52">
        <f>C20*I22</f>
        <v>763116.34699999995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44" t="s">
        <v>36</v>
      </c>
      <c r="D25" s="45"/>
      <c r="E25" s="46"/>
      <c r="H25" s="53" t="s">
        <v>39</v>
      </c>
      <c r="I25" s="54">
        <f>+O25</f>
        <v>64985.759999999995</v>
      </c>
      <c r="N25" s="55">
        <f>SUM(N15:N24)</f>
        <v>15.042999999999999</v>
      </c>
      <c r="O25" s="56">
        <f>SUM(O15:O24)</f>
        <v>64985.759999999995</v>
      </c>
    </row>
    <row r="26" spans="1:15" ht="25.5" customHeight="1" thickBot="1">
      <c r="A26" s="20"/>
      <c r="B26" s="51" t="s">
        <v>40</v>
      </c>
      <c r="C26" s="44" t="s">
        <v>36</v>
      </c>
      <c r="D26" s="45"/>
      <c r="E26" s="46"/>
      <c r="H26" s="57" t="s">
        <v>41</v>
      </c>
      <c r="I26" s="58">
        <f>+I25+I24</f>
        <v>828102.10699999996</v>
      </c>
    </row>
    <row r="27" spans="1:15" ht="25.5" customHeight="1">
      <c r="A27" s="20"/>
      <c r="B27" s="43"/>
      <c r="C27" s="44"/>
      <c r="D27" s="45"/>
      <c r="E27" s="4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32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14.038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O41"/>
  <sheetViews>
    <sheetView topLeftCell="A7" workbookViewId="0">
      <selection activeCell="N18" sqref="N18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"/>
      <c r="B7" s="14"/>
      <c r="C7" s="14"/>
      <c r="D7" s="14"/>
      <c r="E7" s="1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32">
        <v>1</v>
      </c>
      <c r="B11" s="33" t="s">
        <v>6</v>
      </c>
      <c r="C11" s="22" t="s">
        <v>65</v>
      </c>
      <c r="D11" s="23" t="s">
        <v>7</v>
      </c>
      <c r="E11" s="24" t="s">
        <v>64</v>
      </c>
    </row>
    <row r="12" spans="1:15" ht="25.5" customHeight="1">
      <c r="A12" s="20">
        <v>2</v>
      </c>
      <c r="B12" s="33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67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33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33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14.038</v>
      </c>
      <c r="O17">
        <f t="shared" si="0"/>
        <v>63451.76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32">
        <v>8</v>
      </c>
      <c r="B19" s="28" t="s">
        <v>28</v>
      </c>
      <c r="C19" s="35">
        <v>72162100</v>
      </c>
      <c r="D19" s="36"/>
      <c r="E19" s="37"/>
      <c r="N19" s="31"/>
    </row>
    <row r="20" spans="1:15" ht="27" customHeight="1">
      <c r="A20" s="32">
        <v>9</v>
      </c>
      <c r="B20" s="38" t="s">
        <v>29</v>
      </c>
      <c r="C20" s="39">
        <v>14.038</v>
      </c>
      <c r="D20" s="40"/>
      <c r="E20" s="41"/>
      <c r="L20" s="30" t="s">
        <v>30</v>
      </c>
      <c r="N20" s="31"/>
    </row>
    <row r="21" spans="1:15" ht="25.5" customHeight="1" thickBot="1">
      <c r="A21" s="32">
        <v>10</v>
      </c>
      <c r="B21" s="42" t="s">
        <v>31</v>
      </c>
      <c r="C21" s="170">
        <f>+I26</f>
        <v>775585.46200000006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44"/>
      <c r="D22" s="45"/>
      <c r="E22" s="46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44"/>
      <c r="D23" s="45"/>
      <c r="E23" s="4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44" t="s">
        <v>36</v>
      </c>
      <c r="D24" s="45"/>
      <c r="E24" s="46"/>
      <c r="H24" t="s">
        <v>37</v>
      </c>
      <c r="I24" s="52">
        <f>C20*I22</f>
        <v>712133.70200000005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44" t="s">
        <v>36</v>
      </c>
      <c r="D25" s="45"/>
      <c r="E25" s="46"/>
      <c r="H25" s="53" t="s">
        <v>39</v>
      </c>
      <c r="I25" s="54">
        <f>+O25</f>
        <v>63451.76</v>
      </c>
      <c r="N25" s="55">
        <f>SUM(N15:N24)</f>
        <v>14.038</v>
      </c>
      <c r="O25" s="56">
        <f>SUM(O15:O24)</f>
        <v>63451.76</v>
      </c>
    </row>
    <row r="26" spans="1:15" ht="25.5" customHeight="1" thickBot="1">
      <c r="A26" s="20"/>
      <c r="B26" s="51" t="s">
        <v>40</v>
      </c>
      <c r="C26" s="44" t="s">
        <v>36</v>
      </c>
      <c r="D26" s="45"/>
      <c r="E26" s="46"/>
      <c r="H26" s="57" t="s">
        <v>41</v>
      </c>
      <c r="I26" s="58">
        <f>+I25+I24</f>
        <v>775585.46200000006</v>
      </c>
    </row>
    <row r="27" spans="1:15" ht="25.5" customHeight="1">
      <c r="A27" s="20"/>
      <c r="B27" s="43"/>
      <c r="C27" s="44"/>
      <c r="D27" s="45"/>
      <c r="E27" s="4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32">
        <v>14</v>
      </c>
      <c r="B31" s="60" t="s">
        <v>45</v>
      </c>
      <c r="C31" s="61" t="s">
        <v>46</v>
      </c>
      <c r="D31" s="62">
        <v>1.1060000000000001</v>
      </c>
      <c r="E31" s="63"/>
    </row>
    <row r="32" spans="1:15" ht="25.5" customHeight="1">
      <c r="A32" s="64"/>
      <c r="B32" s="65"/>
      <c r="C32" s="61" t="s">
        <v>47</v>
      </c>
      <c r="D32" s="62">
        <v>1.4219999999999999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O41"/>
  <sheetViews>
    <sheetView topLeftCell="A7" workbookViewId="0">
      <selection activeCell="N18" sqref="N18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"/>
      <c r="B7" s="14"/>
      <c r="C7" s="14"/>
      <c r="D7" s="14"/>
      <c r="E7" s="1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32">
        <v>1</v>
      </c>
      <c r="B11" s="33" t="s">
        <v>6</v>
      </c>
      <c r="C11" s="22" t="s">
        <v>68</v>
      </c>
      <c r="D11" s="23" t="s">
        <v>7</v>
      </c>
      <c r="E11" s="24" t="s">
        <v>69</v>
      </c>
    </row>
    <row r="12" spans="1:15" ht="25.5" customHeight="1">
      <c r="A12" s="20">
        <v>2</v>
      </c>
      <c r="B12" s="33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67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33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33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19.021999999999998</v>
      </c>
      <c r="O17">
        <f t="shared" si="0"/>
        <v>85979.439999999988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32">
        <v>8</v>
      </c>
      <c r="B19" s="28" t="s">
        <v>28</v>
      </c>
      <c r="C19" s="35">
        <v>72162100</v>
      </c>
      <c r="D19" s="36"/>
      <c r="E19" s="37"/>
      <c r="N19" s="31"/>
    </row>
    <row r="20" spans="1:15" ht="27" customHeight="1">
      <c r="A20" s="32">
        <v>9</v>
      </c>
      <c r="B20" s="38" t="s">
        <v>29</v>
      </c>
      <c r="C20" s="39">
        <v>19.021999999999998</v>
      </c>
      <c r="D20" s="40"/>
      <c r="E20" s="41"/>
      <c r="L20" s="30" t="s">
        <v>30</v>
      </c>
      <c r="N20" s="31"/>
    </row>
    <row r="21" spans="1:15" ht="25.5" customHeight="1" thickBot="1">
      <c r="A21" s="32">
        <v>10</v>
      </c>
      <c r="B21" s="42" t="s">
        <v>31</v>
      </c>
      <c r="C21" s="170">
        <f>+I26</f>
        <v>1050946.4779999999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44"/>
      <c r="D22" s="45"/>
      <c r="E22" s="46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44"/>
      <c r="D23" s="45"/>
      <c r="E23" s="4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44" t="s">
        <v>36</v>
      </c>
      <c r="D24" s="45"/>
      <c r="E24" s="46"/>
      <c r="H24" t="s">
        <v>37</v>
      </c>
      <c r="I24" s="52">
        <f>C20*I22</f>
        <v>964967.03799999994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44" t="s">
        <v>36</v>
      </c>
      <c r="D25" s="45"/>
      <c r="E25" s="46"/>
      <c r="H25" s="53" t="s">
        <v>39</v>
      </c>
      <c r="I25" s="54">
        <f>+O25</f>
        <v>85979.439999999988</v>
      </c>
      <c r="N25" s="55">
        <f>SUM(N15:N24)</f>
        <v>19.021999999999998</v>
      </c>
      <c r="O25" s="56">
        <f>SUM(O15:O24)</f>
        <v>85979.439999999988</v>
      </c>
    </row>
    <row r="26" spans="1:15" ht="25.5" customHeight="1" thickBot="1">
      <c r="A26" s="20"/>
      <c r="B26" s="51" t="s">
        <v>40</v>
      </c>
      <c r="C26" s="44" t="s">
        <v>36</v>
      </c>
      <c r="D26" s="45"/>
      <c r="E26" s="46"/>
      <c r="H26" s="57" t="s">
        <v>41</v>
      </c>
      <c r="I26" s="58">
        <f>+I25+I24</f>
        <v>1050946.4779999999</v>
      </c>
    </row>
    <row r="27" spans="1:15" ht="25.5" customHeight="1">
      <c r="A27" s="20"/>
      <c r="B27" s="43"/>
      <c r="C27" s="44"/>
      <c r="D27" s="45"/>
      <c r="E27" s="4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32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8.907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pageSetUpPr fitToPage="1"/>
  </sheetPr>
  <dimension ref="A1:O41"/>
  <sheetViews>
    <sheetView workbookViewId="0">
      <selection activeCell="I22" sqref="I2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"/>
      <c r="B7" s="14"/>
      <c r="C7" s="14"/>
      <c r="D7" s="14"/>
      <c r="E7" s="1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32">
        <v>1</v>
      </c>
      <c r="B11" s="33" t="s">
        <v>6</v>
      </c>
      <c r="C11" s="22" t="s">
        <v>75</v>
      </c>
      <c r="D11" s="23" t="s">
        <v>71</v>
      </c>
      <c r="E11" s="24" t="s">
        <v>76</v>
      </c>
    </row>
    <row r="12" spans="1:15" ht="25.5" customHeight="1">
      <c r="A12" s="20">
        <v>2</v>
      </c>
      <c r="B12" s="33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77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33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33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f>0.27+0.562</f>
        <v>0.83200000000000007</v>
      </c>
      <c r="O16">
        <f t="shared" si="0"/>
        <v>3594.2400000000002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f>1.795+1.7+0.109</f>
        <v>3.6040000000000001</v>
      </c>
      <c r="O17">
        <f t="shared" si="0"/>
        <v>16290.08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>
        <v>26.867000000000001</v>
      </c>
      <c r="O18">
        <f t="shared" si="0"/>
        <v>132185.64000000001</v>
      </c>
    </row>
    <row r="19" spans="1:15" ht="25.5" customHeight="1">
      <c r="A19" s="32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32">
        <v>9</v>
      </c>
      <c r="B20" s="38" t="s">
        <v>29</v>
      </c>
      <c r="C20" s="197">
        <v>32.271000000000001</v>
      </c>
      <c r="D20" s="198"/>
      <c r="E20" s="199"/>
      <c r="L20" s="30" t="s">
        <v>30</v>
      </c>
      <c r="N20" s="31"/>
    </row>
    <row r="21" spans="1:15" ht="25.5" customHeight="1">
      <c r="A21" s="32">
        <v>10</v>
      </c>
      <c r="B21" s="42" t="s">
        <v>31</v>
      </c>
      <c r="C21" s="170">
        <f>+I26</f>
        <v>1908485.02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44"/>
      <c r="D22" s="45"/>
      <c r="E22" s="46"/>
      <c r="H22" t="s">
        <v>33</v>
      </c>
      <c r="I22" s="89">
        <v>54300</v>
      </c>
      <c r="K22" t="s">
        <v>30</v>
      </c>
      <c r="L22" t="s">
        <v>22</v>
      </c>
      <c r="M22">
        <f>3150+670+300</f>
        <v>4120</v>
      </c>
      <c r="N22" s="31">
        <v>0.41</v>
      </c>
      <c r="O22">
        <f>N22*M22</f>
        <v>1689.1999999999998</v>
      </c>
    </row>
    <row r="23" spans="1:15" ht="25.5" customHeight="1">
      <c r="A23" s="20">
        <v>11</v>
      </c>
      <c r="B23" s="43" t="s">
        <v>34</v>
      </c>
      <c r="C23" s="44"/>
      <c r="D23" s="45"/>
      <c r="E23" s="46"/>
      <c r="K23" t="s">
        <v>30</v>
      </c>
      <c r="L23" t="s">
        <v>25</v>
      </c>
      <c r="M23">
        <f>3350+670+300</f>
        <v>4320</v>
      </c>
      <c r="N23" s="31">
        <f>0.119+0.439</f>
        <v>0.55800000000000005</v>
      </c>
      <c r="O23">
        <f>N23*M23</f>
        <v>2410.5600000000004</v>
      </c>
    </row>
    <row r="24" spans="1:15" ht="25.5" customHeight="1">
      <c r="A24" s="20"/>
      <c r="B24" s="51" t="s">
        <v>35</v>
      </c>
      <c r="C24" s="44" t="s">
        <v>36</v>
      </c>
      <c r="D24" s="45"/>
      <c r="E24" s="46"/>
      <c r="H24" t="s">
        <v>37</v>
      </c>
      <c r="I24" s="52">
        <f>C20*I22</f>
        <v>1752315.3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44" t="s">
        <v>36</v>
      </c>
      <c r="D25" s="45"/>
      <c r="E25" s="46"/>
      <c r="H25" s="53" t="s">
        <v>39</v>
      </c>
      <c r="I25" s="54">
        <f>+O25</f>
        <v>156169.72000000003</v>
      </c>
      <c r="N25" s="55">
        <f>SUM(N15:N24)</f>
        <v>32.271000000000001</v>
      </c>
      <c r="O25" s="56">
        <f>SUM(O15:O24)</f>
        <v>156169.72000000003</v>
      </c>
    </row>
    <row r="26" spans="1:15" ht="25.5" customHeight="1" thickBot="1">
      <c r="A26" s="20"/>
      <c r="B26" s="51" t="s">
        <v>40</v>
      </c>
      <c r="C26" s="44" t="s">
        <v>36</v>
      </c>
      <c r="D26" s="45"/>
      <c r="E26" s="46"/>
      <c r="H26" s="57" t="s">
        <v>41</v>
      </c>
      <c r="I26" s="58">
        <f>+I25+I24</f>
        <v>1908485.02</v>
      </c>
    </row>
    <row r="27" spans="1:15" ht="25.5" customHeight="1">
      <c r="A27" s="20"/>
      <c r="B27" s="43"/>
      <c r="C27" s="44"/>
      <c r="D27" s="45"/>
      <c r="E27" s="4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32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4.7960000000000003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29:E29"/>
    <mergeCell ref="C30:E30"/>
    <mergeCell ref="C33:E33"/>
    <mergeCell ref="C34:E34"/>
    <mergeCell ref="C19:E19"/>
    <mergeCell ref="C20:E20"/>
    <mergeCell ref="C28:E28"/>
    <mergeCell ref="A17:A18"/>
    <mergeCell ref="B17:B18"/>
    <mergeCell ref="C17:E17"/>
    <mergeCell ref="C18:E18"/>
    <mergeCell ref="C21:E21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O41"/>
  <sheetViews>
    <sheetView topLeftCell="A10" workbookViewId="0">
      <selection activeCell="H34" sqref="H34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83"/>
      <c r="B7" s="84"/>
      <c r="C7" s="84"/>
      <c r="D7" s="84"/>
      <c r="E7" s="8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81">
        <v>1</v>
      </c>
      <c r="B11" s="82" t="s">
        <v>6</v>
      </c>
      <c r="C11" s="22" t="s">
        <v>78</v>
      </c>
      <c r="D11" s="23" t="s">
        <v>7</v>
      </c>
      <c r="E11" s="24" t="s">
        <v>69</v>
      </c>
    </row>
    <row r="12" spans="1:15" ht="25.5" customHeight="1">
      <c r="A12" s="20">
        <v>2</v>
      </c>
      <c r="B12" s="82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79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82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82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v>8.907</v>
      </c>
      <c r="O16">
        <f t="shared" si="0"/>
        <v>38478.239999999998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81">
        <v>8</v>
      </c>
      <c r="B19" s="28" t="s">
        <v>28</v>
      </c>
      <c r="C19" s="86">
        <v>72162100</v>
      </c>
      <c r="D19" s="87"/>
      <c r="E19" s="88"/>
      <c r="N19" s="31"/>
    </row>
    <row r="20" spans="1:15" ht="27" customHeight="1">
      <c r="A20" s="81">
        <v>9</v>
      </c>
      <c r="B20" s="38" t="s">
        <v>29</v>
      </c>
      <c r="C20" s="39">
        <v>8.907</v>
      </c>
      <c r="D20" s="40"/>
      <c r="E20" s="41"/>
      <c r="L20" s="30" t="s">
        <v>30</v>
      </c>
      <c r="N20" s="31"/>
    </row>
    <row r="21" spans="1:15" ht="25.5" customHeight="1" thickBot="1">
      <c r="A21" s="81">
        <v>10</v>
      </c>
      <c r="B21" s="42" t="s">
        <v>31</v>
      </c>
      <c r="C21" s="170">
        <f>+I26</f>
        <v>491345.74799999996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78"/>
      <c r="D22" s="79"/>
      <c r="E22" s="80"/>
      <c r="H22" s="47" t="s">
        <v>33</v>
      </c>
      <c r="I22" s="48">
        <v>50844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78"/>
      <c r="D23" s="79"/>
      <c r="E23" s="80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78" t="s">
        <v>36</v>
      </c>
      <c r="D24" s="79"/>
      <c r="E24" s="80"/>
      <c r="H24" t="s">
        <v>37</v>
      </c>
      <c r="I24" s="52">
        <f>C20*I22</f>
        <v>452867.50799999997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78" t="s">
        <v>36</v>
      </c>
      <c r="D25" s="79"/>
      <c r="E25" s="80"/>
      <c r="H25" s="53" t="s">
        <v>39</v>
      </c>
      <c r="I25" s="54">
        <f>+O25</f>
        <v>38478.239999999998</v>
      </c>
      <c r="N25" s="55">
        <f>SUM(N15:N24)</f>
        <v>8.907</v>
      </c>
      <c r="O25" s="56">
        <f>SUM(O15:O24)</f>
        <v>38478.239999999998</v>
      </c>
    </row>
    <row r="26" spans="1:15" ht="25.5" customHeight="1" thickBot="1">
      <c r="A26" s="20"/>
      <c r="B26" s="51" t="s">
        <v>40</v>
      </c>
      <c r="C26" s="78" t="s">
        <v>36</v>
      </c>
      <c r="D26" s="79"/>
      <c r="E26" s="80"/>
      <c r="H26" s="57" t="s">
        <v>41</v>
      </c>
      <c r="I26" s="58">
        <f>+I25+I24</f>
        <v>491345.74799999996</v>
      </c>
    </row>
    <row r="27" spans="1:15" ht="25.5" customHeight="1">
      <c r="A27" s="20"/>
      <c r="B27" s="43"/>
      <c r="C27" s="78"/>
      <c r="D27" s="79"/>
      <c r="E27" s="80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81">
        <v>14</v>
      </c>
      <c r="B31" s="60" t="s">
        <v>45</v>
      </c>
      <c r="C31" s="61" t="s">
        <v>46</v>
      </c>
      <c r="D31" s="62">
        <v>1.0629999999999999</v>
      </c>
      <c r="E31" s="63"/>
    </row>
    <row r="32" spans="1:15" ht="25.5" customHeight="1">
      <c r="A32" s="64"/>
      <c r="B32" s="65"/>
      <c r="C32" s="61" t="s">
        <v>47</v>
      </c>
      <c r="D32" s="62">
        <v>1.3660000000000001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O41"/>
  <sheetViews>
    <sheetView topLeftCell="A28" workbookViewId="0">
      <selection activeCell="I42" sqref="I4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83"/>
      <c r="B7" s="84"/>
      <c r="C7" s="84"/>
      <c r="D7" s="84"/>
      <c r="E7" s="8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81">
        <v>1</v>
      </c>
      <c r="B11" s="82" t="s">
        <v>6</v>
      </c>
      <c r="C11" s="22" t="s">
        <v>80</v>
      </c>
      <c r="D11" s="23" t="s">
        <v>7</v>
      </c>
      <c r="E11" s="24" t="s">
        <v>81</v>
      </c>
    </row>
    <row r="12" spans="1:15" ht="25.5" customHeight="1">
      <c r="A12" s="20">
        <v>2</v>
      </c>
      <c r="B12" s="82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79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82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82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f>12.551+8.516</f>
        <v>21.067</v>
      </c>
      <c r="O16">
        <f t="shared" si="0"/>
        <v>91009.44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81">
        <v>8</v>
      </c>
      <c r="B19" s="28" t="s">
        <v>28</v>
      </c>
      <c r="C19" s="86">
        <v>72162100</v>
      </c>
      <c r="D19" s="87"/>
      <c r="E19" s="88"/>
      <c r="N19" s="31"/>
    </row>
    <row r="20" spans="1:15" ht="27" customHeight="1">
      <c r="A20" s="81">
        <v>9</v>
      </c>
      <c r="B20" s="38" t="s">
        <v>29</v>
      </c>
      <c r="C20" s="39">
        <v>23.475000000000001</v>
      </c>
      <c r="D20" s="40"/>
      <c r="E20" s="41"/>
      <c r="L20" s="30" t="s">
        <v>30</v>
      </c>
      <c r="N20" s="31"/>
    </row>
    <row r="21" spans="1:15" ht="25.5" customHeight="1" thickBot="1">
      <c r="A21" s="81">
        <v>10</v>
      </c>
      <c r="B21" s="42" t="s">
        <v>31</v>
      </c>
      <c r="C21" s="170">
        <f>+I26</f>
        <v>1294516.7749999999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78"/>
      <c r="D22" s="79"/>
      <c r="E22" s="80"/>
      <c r="H22" s="47" t="s">
        <v>33</v>
      </c>
      <c r="I22" s="48">
        <v>50845</v>
      </c>
      <c r="J22" s="49"/>
      <c r="K22" t="s">
        <v>30</v>
      </c>
      <c r="L22" t="s">
        <v>22</v>
      </c>
      <c r="M22">
        <f>3150+670+300</f>
        <v>4120</v>
      </c>
      <c r="N22" s="31">
        <v>2.4079999999999999</v>
      </c>
      <c r="O22">
        <f>N22*M22</f>
        <v>9920.9599999999991</v>
      </c>
    </row>
    <row r="23" spans="1:15" ht="25.5" customHeight="1">
      <c r="A23" s="20">
        <v>11</v>
      </c>
      <c r="B23" s="43" t="s">
        <v>34</v>
      </c>
      <c r="C23" s="78"/>
      <c r="D23" s="79"/>
      <c r="E23" s="80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78" t="s">
        <v>36</v>
      </c>
      <c r="D24" s="79"/>
      <c r="E24" s="80"/>
      <c r="H24" t="s">
        <v>37</v>
      </c>
      <c r="I24" s="52">
        <f>C20*I22</f>
        <v>1193586.375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78" t="s">
        <v>36</v>
      </c>
      <c r="D25" s="79"/>
      <c r="E25" s="80"/>
      <c r="H25" s="53" t="s">
        <v>39</v>
      </c>
      <c r="I25" s="54">
        <f>+O25</f>
        <v>100930.4</v>
      </c>
      <c r="N25" s="55">
        <f>SUM(N15:N24)</f>
        <v>23.475000000000001</v>
      </c>
      <c r="O25" s="56">
        <f>SUM(O15:O24)</f>
        <v>100930.4</v>
      </c>
    </row>
    <row r="26" spans="1:15" ht="25.5" customHeight="1" thickBot="1">
      <c r="A26" s="20"/>
      <c r="B26" s="51" t="s">
        <v>40</v>
      </c>
      <c r="C26" s="78" t="s">
        <v>36</v>
      </c>
      <c r="D26" s="79"/>
      <c r="E26" s="80"/>
      <c r="H26" s="57" t="s">
        <v>41</v>
      </c>
      <c r="I26" s="58">
        <f>+I25+I24</f>
        <v>1294516.7749999999</v>
      </c>
    </row>
    <row r="27" spans="1:15" ht="25.5" customHeight="1">
      <c r="A27" s="20"/>
      <c r="B27" s="43"/>
      <c r="C27" s="78"/>
      <c r="D27" s="79"/>
      <c r="E27" s="80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81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5.452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>
    <pageSetUpPr fitToPage="1"/>
  </sheetPr>
  <dimension ref="A1:O41"/>
  <sheetViews>
    <sheetView topLeftCell="A10" workbookViewId="0">
      <selection activeCell="H31" sqref="H31:H3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83"/>
      <c r="B7" s="84"/>
      <c r="C7" s="84"/>
      <c r="D7" s="84"/>
      <c r="E7" s="8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81">
        <v>1</v>
      </c>
      <c r="B11" s="82" t="s">
        <v>6</v>
      </c>
      <c r="C11" s="22" t="s">
        <v>82</v>
      </c>
      <c r="D11" s="23" t="s">
        <v>71</v>
      </c>
      <c r="E11" s="24" t="s">
        <v>83</v>
      </c>
    </row>
    <row r="12" spans="1:15" ht="25.5" customHeight="1">
      <c r="A12" s="20">
        <v>2</v>
      </c>
      <c r="B12" s="82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84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82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82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v>19.181999999999999</v>
      </c>
      <c r="O16">
        <f t="shared" si="0"/>
        <v>82866.239999999991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11.239000000000001</v>
      </c>
      <c r="O17">
        <f t="shared" si="0"/>
        <v>50800.280000000006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81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81">
        <v>9</v>
      </c>
      <c r="B20" s="38" t="s">
        <v>29</v>
      </c>
      <c r="C20" s="197">
        <v>32.026000000000003</v>
      </c>
      <c r="D20" s="198"/>
      <c r="E20" s="199"/>
      <c r="L20" s="30" t="s">
        <v>30</v>
      </c>
      <c r="N20" s="31"/>
    </row>
    <row r="21" spans="1:15" ht="25.5" customHeight="1">
      <c r="A21" s="81">
        <v>10</v>
      </c>
      <c r="B21" s="42" t="s">
        <v>31</v>
      </c>
      <c r="C21" s="170">
        <f>+I26</f>
        <v>1879358.5200000003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78"/>
      <c r="D22" s="79"/>
      <c r="E22" s="80"/>
      <c r="H22" t="s">
        <v>33</v>
      </c>
      <c r="I22" s="89">
        <v>54300</v>
      </c>
      <c r="K22" t="s">
        <v>30</v>
      </c>
      <c r="L22" t="s">
        <v>22</v>
      </c>
      <c r="M22">
        <f>3150+670+300</f>
        <v>4120</v>
      </c>
      <c r="N22" s="31">
        <f>0.115+1.152</f>
        <v>1.2669999999999999</v>
      </c>
      <c r="O22">
        <f>N22*M22</f>
        <v>5220.04</v>
      </c>
    </row>
    <row r="23" spans="1:15" ht="25.5" customHeight="1">
      <c r="A23" s="20">
        <v>11</v>
      </c>
      <c r="B23" s="43" t="s">
        <v>34</v>
      </c>
      <c r="C23" s="78"/>
      <c r="D23" s="79"/>
      <c r="E23" s="80"/>
      <c r="K23" t="s">
        <v>30</v>
      </c>
      <c r="L23" t="s">
        <v>25</v>
      </c>
      <c r="M23">
        <f>3350+670+300</f>
        <v>4320</v>
      </c>
      <c r="N23" s="31">
        <f>0.164+0.174</f>
        <v>0.33799999999999997</v>
      </c>
      <c r="O23">
        <f>N23*M23</f>
        <v>1460.1599999999999</v>
      </c>
    </row>
    <row r="24" spans="1:15" ht="25.5" customHeight="1">
      <c r="A24" s="20"/>
      <c r="B24" s="51" t="s">
        <v>35</v>
      </c>
      <c r="C24" s="78" t="s">
        <v>36</v>
      </c>
      <c r="D24" s="79"/>
      <c r="E24" s="80"/>
      <c r="H24" t="s">
        <v>37</v>
      </c>
      <c r="I24" s="52">
        <f>C20*I22</f>
        <v>1739011.8000000003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78" t="s">
        <v>36</v>
      </c>
      <c r="D25" s="79"/>
      <c r="E25" s="80"/>
      <c r="H25" s="53" t="s">
        <v>39</v>
      </c>
      <c r="I25" s="54">
        <f>+O25</f>
        <v>140346.72</v>
      </c>
      <c r="N25" s="55">
        <f>SUM(N15:N24)</f>
        <v>32.025999999999996</v>
      </c>
      <c r="O25" s="56">
        <f>SUM(O15:O24)</f>
        <v>140346.72</v>
      </c>
    </row>
    <row r="26" spans="1:15" ht="25.5" customHeight="1" thickBot="1">
      <c r="A26" s="20"/>
      <c r="B26" s="51" t="s">
        <v>40</v>
      </c>
      <c r="C26" s="78" t="s">
        <v>36</v>
      </c>
      <c r="D26" s="79"/>
      <c r="E26" s="80"/>
      <c r="H26" s="57" t="s">
        <v>41</v>
      </c>
      <c r="I26" s="58">
        <f>+I25+I24</f>
        <v>1879358.5200000003</v>
      </c>
    </row>
    <row r="27" spans="1:15" ht="25.5" customHeight="1">
      <c r="A27" s="20"/>
      <c r="B27" s="43"/>
      <c r="C27" s="78"/>
      <c r="D27" s="79"/>
      <c r="E27" s="80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81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5.2709999999999999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16:E16"/>
    <mergeCell ref="A6:E6"/>
    <mergeCell ref="C10:E10"/>
    <mergeCell ref="C13:E13"/>
    <mergeCell ref="C14:E14"/>
    <mergeCell ref="C15:E15"/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</mergeCells>
  <pageMargins left="0.27" right="0.2" top="0.27" bottom="0.31" header="0.3" footer="0.3"/>
  <pageSetup paperSize="9" scale="9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>
    <pageSetUpPr fitToPage="1"/>
  </sheetPr>
  <dimension ref="A1:O41"/>
  <sheetViews>
    <sheetView topLeftCell="A13" workbookViewId="0">
      <selection activeCell="C20" sqref="C20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83"/>
      <c r="B7" s="84"/>
      <c r="C7" s="84"/>
      <c r="D7" s="84"/>
      <c r="E7" s="8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81">
        <v>1</v>
      </c>
      <c r="B11" s="82" t="s">
        <v>6</v>
      </c>
      <c r="C11" s="22" t="s">
        <v>85</v>
      </c>
      <c r="D11" s="23" t="s">
        <v>7</v>
      </c>
      <c r="E11" s="24" t="s">
        <v>81</v>
      </c>
    </row>
    <row r="12" spans="1:15" ht="25.5" customHeight="1">
      <c r="A12" s="20">
        <v>2</v>
      </c>
      <c r="B12" s="82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86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82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82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5.452</v>
      </c>
      <c r="O17">
        <f t="shared" si="0"/>
        <v>24643.040000000001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81">
        <v>8</v>
      </c>
      <c r="B19" s="28" t="s">
        <v>28</v>
      </c>
      <c r="C19" s="86">
        <v>72162100</v>
      </c>
      <c r="D19" s="87"/>
      <c r="E19" s="88"/>
      <c r="N19" s="31"/>
    </row>
    <row r="20" spans="1:15" ht="27" customHeight="1">
      <c r="A20" s="81">
        <v>9</v>
      </c>
      <c r="B20" s="38" t="s">
        <v>29</v>
      </c>
      <c r="C20" s="39">
        <v>5.452</v>
      </c>
      <c r="D20" s="40"/>
      <c r="E20" s="41"/>
      <c r="L20" s="30" t="s">
        <v>30</v>
      </c>
      <c r="N20" s="31"/>
    </row>
    <row r="21" spans="1:15" ht="25.5" customHeight="1" thickBot="1">
      <c r="A21" s="81">
        <v>10</v>
      </c>
      <c r="B21" s="42" t="s">
        <v>31</v>
      </c>
      <c r="C21" s="170">
        <f>+I26</f>
        <v>301849.98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78"/>
      <c r="D22" s="79"/>
      <c r="E22" s="80"/>
      <c r="H22" s="47" t="s">
        <v>33</v>
      </c>
      <c r="I22" s="48">
        <v>50845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78"/>
      <c r="D23" s="79"/>
      <c r="E23" s="80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78" t="s">
        <v>36</v>
      </c>
      <c r="D24" s="79"/>
      <c r="E24" s="80"/>
      <c r="H24" t="s">
        <v>37</v>
      </c>
      <c r="I24" s="52">
        <f>C20*I22</f>
        <v>277206.94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78" t="s">
        <v>36</v>
      </c>
      <c r="D25" s="79"/>
      <c r="E25" s="80"/>
      <c r="H25" s="53" t="s">
        <v>39</v>
      </c>
      <c r="I25" s="54">
        <f>+O25</f>
        <v>24643.040000000001</v>
      </c>
      <c r="N25" s="55">
        <f>SUM(N15:N24)</f>
        <v>5.452</v>
      </c>
      <c r="O25" s="56">
        <f>SUM(O15:O24)</f>
        <v>24643.040000000001</v>
      </c>
    </row>
    <row r="26" spans="1:15" ht="25.5" customHeight="1" thickBot="1">
      <c r="A26" s="20"/>
      <c r="B26" s="51" t="s">
        <v>40</v>
      </c>
      <c r="C26" s="78" t="s">
        <v>36</v>
      </c>
      <c r="D26" s="79"/>
      <c r="E26" s="80"/>
      <c r="H26" s="57" t="s">
        <v>41</v>
      </c>
      <c r="I26" s="58">
        <f>+I25+I24</f>
        <v>301849.98</v>
      </c>
    </row>
    <row r="27" spans="1:15" ht="25.5" customHeight="1">
      <c r="A27" s="20"/>
      <c r="B27" s="43"/>
      <c r="C27" s="78"/>
      <c r="D27" s="79"/>
      <c r="E27" s="80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81">
        <v>14</v>
      </c>
      <c r="B31" s="60" t="s">
        <v>45</v>
      </c>
      <c r="C31" s="61" t="s">
        <v>46</v>
      </c>
      <c r="D31" s="62">
        <v>1.1000000000000001</v>
      </c>
      <c r="E31" s="63"/>
    </row>
    <row r="32" spans="1:15" ht="25.5" customHeight="1">
      <c r="A32" s="64"/>
      <c r="B32" s="65"/>
      <c r="C32" s="61" t="s">
        <v>47</v>
      </c>
      <c r="D32" s="62">
        <v>1.415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O41"/>
  <sheetViews>
    <sheetView topLeftCell="A19" workbookViewId="0">
      <selection activeCell="N25" sqref="N25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83"/>
      <c r="B7" s="84"/>
      <c r="C7" s="84"/>
      <c r="D7" s="84"/>
      <c r="E7" s="8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81">
        <v>1</v>
      </c>
      <c r="B11" s="82" t="s">
        <v>6</v>
      </c>
      <c r="C11" s="22" t="s">
        <v>87</v>
      </c>
      <c r="D11" s="23" t="s">
        <v>7</v>
      </c>
      <c r="E11" s="24" t="s">
        <v>88</v>
      </c>
    </row>
    <row r="12" spans="1:15" ht="25.5" customHeight="1">
      <c r="A12" s="20">
        <v>2</v>
      </c>
      <c r="B12" s="82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86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82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82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v>6.3550000000000004</v>
      </c>
      <c r="O16">
        <f t="shared" si="0"/>
        <v>27453.600000000002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16.806999999999999</v>
      </c>
      <c r="O17">
        <f t="shared" si="0"/>
        <v>75967.64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81">
        <v>8</v>
      </c>
      <c r="B19" s="28" t="s">
        <v>28</v>
      </c>
      <c r="C19" s="86">
        <v>72162100</v>
      </c>
      <c r="D19" s="87"/>
      <c r="E19" s="88"/>
      <c r="N19" s="31"/>
    </row>
    <row r="20" spans="1:15" ht="27" customHeight="1">
      <c r="A20" s="81">
        <v>9</v>
      </c>
      <c r="B20" s="38" t="s">
        <v>29</v>
      </c>
      <c r="C20" s="39">
        <v>27.786999999999999</v>
      </c>
      <c r="D20" s="40"/>
      <c r="E20" s="41"/>
      <c r="L20" s="30" t="s">
        <v>30</v>
      </c>
      <c r="N20" s="31"/>
    </row>
    <row r="21" spans="1:15" ht="25.5" customHeight="1" thickBot="1">
      <c r="A21" s="81">
        <v>10</v>
      </c>
      <c r="B21" s="42" t="s">
        <v>31</v>
      </c>
      <c r="C21" s="170">
        <f>+I26</f>
        <v>1532110.75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78"/>
      <c r="D22" s="79"/>
      <c r="E22" s="80"/>
      <c r="H22" s="47" t="s">
        <v>33</v>
      </c>
      <c r="I22" s="48">
        <v>50730</v>
      </c>
      <c r="J22" s="49"/>
      <c r="K22" t="s">
        <v>30</v>
      </c>
      <c r="L22" t="s">
        <v>22</v>
      </c>
      <c r="M22">
        <f>3150+670+300</f>
        <v>4120</v>
      </c>
      <c r="N22" s="31">
        <f>1.835+1.15+1.64</f>
        <v>4.625</v>
      </c>
      <c r="O22">
        <f>N22*M22</f>
        <v>19055</v>
      </c>
    </row>
    <row r="23" spans="1:15" ht="25.5" customHeight="1">
      <c r="A23" s="20">
        <v>11</v>
      </c>
      <c r="B23" s="43" t="s">
        <v>34</v>
      </c>
      <c r="C23" s="78"/>
      <c r="D23" s="79"/>
      <c r="E23" s="80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78" t="s">
        <v>36</v>
      </c>
      <c r="D24" s="79"/>
      <c r="E24" s="80"/>
      <c r="H24" t="s">
        <v>37</v>
      </c>
      <c r="I24" s="52">
        <f>C20*I22</f>
        <v>1409634.51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78" t="s">
        <v>36</v>
      </c>
      <c r="D25" s="79"/>
      <c r="E25" s="80"/>
      <c r="H25" s="53" t="s">
        <v>39</v>
      </c>
      <c r="I25" s="54">
        <f>+O25</f>
        <v>122476.24</v>
      </c>
      <c r="N25" s="55">
        <f>SUM(N15:N24)</f>
        <v>27.786999999999999</v>
      </c>
      <c r="O25" s="56">
        <f>SUM(O15:O24)</f>
        <v>122476.24</v>
      </c>
    </row>
    <row r="26" spans="1:15" ht="25.5" customHeight="1" thickBot="1">
      <c r="A26" s="20"/>
      <c r="B26" s="51" t="s">
        <v>40</v>
      </c>
      <c r="C26" s="78" t="s">
        <v>36</v>
      </c>
      <c r="D26" s="79"/>
      <c r="E26" s="80"/>
      <c r="H26" s="57" t="s">
        <v>41</v>
      </c>
      <c r="I26" s="58">
        <f>+I25+I24</f>
        <v>1532110.75</v>
      </c>
    </row>
    <row r="27" spans="1:15" ht="25.5" customHeight="1">
      <c r="A27" s="20"/>
      <c r="B27" s="43"/>
      <c r="C27" s="78"/>
      <c r="D27" s="79"/>
      <c r="E27" s="80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81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1.454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>
    <pageSetUpPr fitToPage="1"/>
  </sheetPr>
  <dimension ref="A1:O41"/>
  <sheetViews>
    <sheetView topLeftCell="A18" workbookViewId="0">
      <selection activeCell="N18" sqref="N18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5703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83"/>
      <c r="B7" s="84"/>
      <c r="C7" s="84"/>
      <c r="D7" s="84"/>
      <c r="E7" s="8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81">
        <v>1</v>
      </c>
      <c r="B11" s="82" t="s">
        <v>6</v>
      </c>
      <c r="C11" s="22" t="s">
        <v>89</v>
      </c>
      <c r="D11" s="23" t="s">
        <v>7</v>
      </c>
      <c r="E11" s="24" t="s">
        <v>88</v>
      </c>
    </row>
    <row r="12" spans="1:15" ht="25.5" customHeight="1">
      <c r="A12" s="20">
        <v>2</v>
      </c>
      <c r="B12" s="82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90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82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82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1.3380000000000001</v>
      </c>
      <c r="O17">
        <f t="shared" si="0"/>
        <v>6047.76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81">
        <v>8</v>
      </c>
      <c r="B19" s="28" t="s">
        <v>28</v>
      </c>
      <c r="C19" s="86">
        <v>72162100</v>
      </c>
      <c r="D19" s="87"/>
      <c r="E19" s="88"/>
      <c r="N19" s="31"/>
    </row>
    <row r="20" spans="1:15" ht="27" customHeight="1">
      <c r="A20" s="81">
        <v>9</v>
      </c>
      <c r="B20" s="38" t="s">
        <v>29</v>
      </c>
      <c r="C20" s="39">
        <v>1.3380000000000001</v>
      </c>
      <c r="D20" s="40"/>
      <c r="E20" s="41"/>
      <c r="L20" s="30" t="s">
        <v>30</v>
      </c>
      <c r="N20" s="31"/>
    </row>
    <row r="21" spans="1:15" ht="25.5" customHeight="1" thickBot="1">
      <c r="A21" s="81">
        <v>10</v>
      </c>
      <c r="B21" s="42" t="s">
        <v>31</v>
      </c>
      <c r="C21" s="170">
        <f>+I26</f>
        <v>73924.5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78"/>
      <c r="D22" s="79"/>
      <c r="E22" s="80"/>
      <c r="H22" s="47" t="s">
        <v>33</v>
      </c>
      <c r="I22" s="48">
        <v>50730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78"/>
      <c r="D23" s="79"/>
      <c r="E23" s="80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78" t="s">
        <v>36</v>
      </c>
      <c r="D24" s="79"/>
      <c r="E24" s="80"/>
      <c r="H24" t="s">
        <v>37</v>
      </c>
      <c r="I24" s="52">
        <f>C20*I22</f>
        <v>67876.740000000005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78" t="s">
        <v>36</v>
      </c>
      <c r="D25" s="79"/>
      <c r="E25" s="80"/>
      <c r="H25" s="53" t="s">
        <v>39</v>
      </c>
      <c r="I25" s="54">
        <f>+O25</f>
        <v>6047.76</v>
      </c>
      <c r="N25" s="55">
        <f>SUM(N15:N24)</f>
        <v>1.3380000000000001</v>
      </c>
      <c r="O25" s="56">
        <f>SUM(O15:O24)</f>
        <v>6047.76</v>
      </c>
    </row>
    <row r="26" spans="1:15" ht="25.5" customHeight="1" thickBot="1">
      <c r="A26" s="20"/>
      <c r="B26" s="51" t="s">
        <v>40</v>
      </c>
      <c r="C26" s="78" t="s">
        <v>36</v>
      </c>
      <c r="D26" s="79"/>
      <c r="E26" s="80"/>
      <c r="H26" s="57" t="s">
        <v>41</v>
      </c>
      <c r="I26" s="58">
        <f>+I25+I24</f>
        <v>73924.5</v>
      </c>
    </row>
    <row r="27" spans="1:15" ht="25.5" customHeight="1">
      <c r="A27" s="20"/>
      <c r="B27" s="43"/>
      <c r="C27" s="78"/>
      <c r="D27" s="79"/>
      <c r="E27" s="80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81">
        <v>14</v>
      </c>
      <c r="B31" s="60" t="s">
        <v>45</v>
      </c>
      <c r="C31" s="61" t="s">
        <v>46</v>
      </c>
      <c r="D31" s="62">
        <v>1.1080000000000001</v>
      </c>
      <c r="E31" s="63"/>
    </row>
    <row r="32" spans="1:15" ht="25.5" customHeight="1">
      <c r="A32" s="64"/>
      <c r="B32" s="65"/>
      <c r="C32" s="61" t="s">
        <v>47</v>
      </c>
      <c r="D32" s="62">
        <v>1.425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>
    <pageSetUpPr fitToPage="1"/>
  </sheetPr>
  <dimension ref="A1:O41"/>
  <sheetViews>
    <sheetView topLeftCell="A6" workbookViewId="0">
      <selection activeCell="E12" sqref="E1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83"/>
      <c r="B7" s="84"/>
      <c r="C7" s="84"/>
      <c r="D7" s="84"/>
      <c r="E7" s="8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81">
        <v>1</v>
      </c>
      <c r="B11" s="82" t="s">
        <v>6</v>
      </c>
      <c r="C11" s="22" t="s">
        <v>91</v>
      </c>
      <c r="D11" s="23" t="s">
        <v>7</v>
      </c>
      <c r="E11" s="24" t="s">
        <v>93</v>
      </c>
    </row>
    <row r="12" spans="1:15" ht="25.5" customHeight="1">
      <c r="A12" s="20">
        <v>2</v>
      </c>
      <c r="B12" s="82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90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82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82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30.084</v>
      </c>
      <c r="O17">
        <f t="shared" si="0"/>
        <v>135979.68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81">
        <v>8</v>
      </c>
      <c r="B19" s="28" t="s">
        <v>28</v>
      </c>
      <c r="C19" s="86">
        <v>72162100</v>
      </c>
      <c r="D19" s="87"/>
      <c r="E19" s="88"/>
      <c r="N19" s="31"/>
    </row>
    <row r="20" spans="1:15" ht="27" customHeight="1">
      <c r="A20" s="81">
        <v>9</v>
      </c>
      <c r="B20" s="38" t="s">
        <v>29</v>
      </c>
      <c r="C20" s="39">
        <v>30.084</v>
      </c>
      <c r="D20" s="40"/>
      <c r="E20" s="41"/>
      <c r="L20" s="30" t="s">
        <v>30</v>
      </c>
      <c r="N20" s="31"/>
    </row>
    <row r="21" spans="1:15" ht="25.5" customHeight="1" thickBot="1">
      <c r="A21" s="81">
        <v>10</v>
      </c>
      <c r="B21" s="42" t="s">
        <v>31</v>
      </c>
      <c r="C21" s="170">
        <f>+I26</f>
        <v>1662110.916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78"/>
      <c r="D22" s="79"/>
      <c r="E22" s="80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78"/>
      <c r="D23" s="79"/>
      <c r="E23" s="80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78" t="s">
        <v>36</v>
      </c>
      <c r="D24" s="79"/>
      <c r="E24" s="80"/>
      <c r="H24" t="s">
        <v>37</v>
      </c>
      <c r="I24" s="52">
        <f>C20*I22</f>
        <v>1526131.236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78" t="s">
        <v>36</v>
      </c>
      <c r="D25" s="79"/>
      <c r="E25" s="80"/>
      <c r="H25" s="53" t="s">
        <v>39</v>
      </c>
      <c r="I25" s="54">
        <f>+O25</f>
        <v>135979.68</v>
      </c>
      <c r="N25" s="55">
        <f>SUM(N15:N24)</f>
        <v>30.084</v>
      </c>
      <c r="O25" s="56">
        <f>SUM(O15:O24)</f>
        <v>135979.68</v>
      </c>
    </row>
    <row r="26" spans="1:15" ht="25.5" customHeight="1" thickBot="1">
      <c r="A26" s="20"/>
      <c r="B26" s="51" t="s">
        <v>40</v>
      </c>
      <c r="C26" s="78" t="s">
        <v>36</v>
      </c>
      <c r="D26" s="79"/>
      <c r="E26" s="80"/>
      <c r="H26" s="57" t="s">
        <v>41</v>
      </c>
      <c r="I26" s="58">
        <f>+I25+I24</f>
        <v>1662110.916</v>
      </c>
    </row>
    <row r="27" spans="1:15" ht="25.5" customHeight="1">
      <c r="A27" s="20"/>
      <c r="B27" s="43"/>
      <c r="C27" s="78"/>
      <c r="D27" s="79"/>
      <c r="E27" s="80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81">
        <v>14</v>
      </c>
      <c r="B31" s="60" t="s">
        <v>45</v>
      </c>
      <c r="C31" s="61" t="s">
        <v>46</v>
      </c>
      <c r="D31" s="62">
        <v>1.145</v>
      </c>
      <c r="E31" s="63"/>
    </row>
    <row r="32" spans="1:15" ht="25.5" customHeight="1">
      <c r="A32" s="64"/>
      <c r="B32" s="65"/>
      <c r="C32" s="61" t="s">
        <v>47</v>
      </c>
      <c r="D32" s="62">
        <v>1.472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>
    <pageSetUpPr fitToPage="1"/>
  </sheetPr>
  <dimension ref="A1:O41"/>
  <sheetViews>
    <sheetView topLeftCell="A25" workbookViewId="0">
      <selection activeCell="C33" sqref="C33:E33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83"/>
      <c r="B7" s="84"/>
      <c r="C7" s="84"/>
      <c r="D7" s="84"/>
      <c r="E7" s="8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81">
        <v>1</v>
      </c>
      <c r="B11" s="82" t="s">
        <v>6</v>
      </c>
      <c r="C11" s="22" t="s">
        <v>92</v>
      </c>
      <c r="D11" s="23" t="s">
        <v>7</v>
      </c>
      <c r="E11" s="24" t="s">
        <v>94</v>
      </c>
    </row>
    <row r="12" spans="1:15" ht="25.5" customHeight="1">
      <c r="A12" s="20">
        <v>2</v>
      </c>
      <c r="B12" s="82" t="s">
        <v>9</v>
      </c>
      <c r="C12" s="25" t="s">
        <v>66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90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82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82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1.0760000000000001</v>
      </c>
      <c r="O17">
        <f t="shared" si="0"/>
        <v>4863.5200000000004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81">
        <v>8</v>
      </c>
      <c r="B19" s="28" t="s">
        <v>28</v>
      </c>
      <c r="C19" s="86">
        <v>72162100</v>
      </c>
      <c r="D19" s="87"/>
      <c r="E19" s="88"/>
      <c r="N19" s="31"/>
    </row>
    <row r="20" spans="1:15" ht="27" customHeight="1">
      <c r="A20" s="81">
        <v>9</v>
      </c>
      <c r="B20" s="38" t="s">
        <v>29</v>
      </c>
      <c r="C20" s="39">
        <v>1.0760000000000001</v>
      </c>
      <c r="D20" s="40"/>
      <c r="E20" s="41"/>
      <c r="L20" s="30" t="s">
        <v>30</v>
      </c>
      <c r="N20" s="31"/>
    </row>
    <row r="21" spans="1:15" ht="25.5" customHeight="1" thickBot="1">
      <c r="A21" s="81">
        <v>10</v>
      </c>
      <c r="B21" s="42" t="s">
        <v>31</v>
      </c>
      <c r="C21" s="170">
        <f>+I26</f>
        <v>59447.923999999999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78"/>
      <c r="D22" s="79"/>
      <c r="E22" s="80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78"/>
      <c r="D23" s="79"/>
      <c r="E23" s="80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78" t="s">
        <v>36</v>
      </c>
      <c r="D24" s="79"/>
      <c r="E24" s="80"/>
      <c r="H24" t="s">
        <v>37</v>
      </c>
      <c r="I24" s="52">
        <f>C20*I22</f>
        <v>54584.404000000002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78" t="s">
        <v>36</v>
      </c>
      <c r="D25" s="79"/>
      <c r="E25" s="80"/>
      <c r="H25" s="53" t="s">
        <v>39</v>
      </c>
      <c r="I25" s="54">
        <f>+O25</f>
        <v>4863.5200000000004</v>
      </c>
      <c r="N25" s="55">
        <f>SUM(N15:N24)</f>
        <v>1.0760000000000001</v>
      </c>
      <c r="O25" s="56">
        <f>SUM(O15:O24)</f>
        <v>4863.5200000000004</v>
      </c>
    </row>
    <row r="26" spans="1:15" ht="25.5" customHeight="1" thickBot="1">
      <c r="A26" s="20"/>
      <c r="B26" s="51" t="s">
        <v>40</v>
      </c>
      <c r="C26" s="78" t="s">
        <v>36</v>
      </c>
      <c r="D26" s="79"/>
      <c r="E26" s="80"/>
      <c r="H26" s="57" t="s">
        <v>41</v>
      </c>
      <c r="I26" s="58">
        <f>+I25+I24</f>
        <v>59447.923999999999</v>
      </c>
    </row>
    <row r="27" spans="1:15" ht="25.5" customHeight="1">
      <c r="A27" s="20"/>
      <c r="B27" s="43"/>
      <c r="C27" s="78"/>
      <c r="D27" s="79"/>
      <c r="E27" s="80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81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29.007999999999999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>
    <pageSetUpPr fitToPage="1"/>
  </sheetPr>
  <dimension ref="A1:O41"/>
  <sheetViews>
    <sheetView topLeftCell="A15" workbookViewId="0">
      <selection activeCell="I22" sqref="I2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95</v>
      </c>
      <c r="D11" s="23" t="s">
        <v>7</v>
      </c>
      <c r="E11" s="24" t="s">
        <v>94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97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f>1.373+11.153</f>
        <v>12.526</v>
      </c>
      <c r="O16">
        <f t="shared" si="0"/>
        <v>54112.32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16.481999999999999</v>
      </c>
      <c r="O17">
        <f t="shared" si="0"/>
        <v>74498.64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97">
        <v>8</v>
      </c>
      <c r="B19" s="28" t="s">
        <v>28</v>
      </c>
      <c r="C19" s="99">
        <v>72162100</v>
      </c>
      <c r="D19" s="100"/>
      <c r="E19" s="101"/>
      <c r="N19" s="31"/>
    </row>
    <row r="20" spans="1:15" ht="27" customHeight="1">
      <c r="A20" s="97">
        <v>9</v>
      </c>
      <c r="B20" s="38" t="s">
        <v>29</v>
      </c>
      <c r="C20" s="39">
        <v>29.007999999999999</v>
      </c>
      <c r="D20" s="40"/>
      <c r="E20" s="41"/>
      <c r="L20" s="30" t="s">
        <v>30</v>
      </c>
      <c r="N20" s="31"/>
    </row>
    <row r="21" spans="1:15" ht="25.5" customHeight="1" thickBot="1">
      <c r="A21" s="97">
        <v>10</v>
      </c>
      <c r="B21" s="42" t="s">
        <v>31</v>
      </c>
      <c r="C21" s="170">
        <f>+I26</f>
        <v>1600157.7919999999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94"/>
      <c r="D22" s="95"/>
      <c r="E22" s="96"/>
      <c r="H22" s="47" t="s">
        <v>33</v>
      </c>
      <c r="I22" s="48">
        <v>50729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1471546.8319999999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128610.95999999999</v>
      </c>
      <c r="N25" s="55">
        <f>SUM(N15:N24)</f>
        <v>29.007999999999999</v>
      </c>
      <c r="O25" s="56">
        <f>SUM(O15:O24)</f>
        <v>128610.95999999999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1600157.7919999999</v>
      </c>
    </row>
    <row r="27" spans="1:15" ht="25.5" customHeight="1">
      <c r="A27" s="20"/>
      <c r="B27" s="43"/>
      <c r="C27" s="94"/>
      <c r="D27" s="95"/>
      <c r="E27" s="9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62">
        <v>1.145</v>
      </c>
      <c r="E31" s="63"/>
    </row>
    <row r="32" spans="1:15" ht="25.5" customHeight="1">
      <c r="A32" s="64"/>
      <c r="B32" s="65"/>
      <c r="C32" s="61" t="s">
        <v>47</v>
      </c>
      <c r="D32" s="62">
        <v>1.472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>
    <pageSetUpPr fitToPage="1"/>
  </sheetPr>
  <dimension ref="A1:O41"/>
  <sheetViews>
    <sheetView workbookViewId="0">
      <selection activeCell="I23" sqref="I23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98</v>
      </c>
      <c r="D11" s="23" t="s">
        <v>7</v>
      </c>
      <c r="E11" s="24" t="s">
        <v>99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97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4.3819999999999997</v>
      </c>
      <c r="O17">
        <f t="shared" si="0"/>
        <v>19806.64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97">
        <v>8</v>
      </c>
      <c r="B19" s="28" t="s">
        <v>28</v>
      </c>
      <c r="C19" s="99">
        <v>72162100</v>
      </c>
      <c r="D19" s="100"/>
      <c r="E19" s="101"/>
      <c r="N19" s="31"/>
    </row>
    <row r="20" spans="1:15" ht="27" customHeight="1">
      <c r="A20" s="97">
        <v>9</v>
      </c>
      <c r="B20" s="38" t="s">
        <v>29</v>
      </c>
      <c r="C20" s="39">
        <v>4.3819999999999997</v>
      </c>
      <c r="D20" s="40"/>
      <c r="E20" s="41"/>
      <c r="L20" s="30" t="s">
        <v>30</v>
      </c>
      <c r="N20" s="31"/>
    </row>
    <row r="21" spans="1:15" ht="25.5" customHeight="1" thickBot="1">
      <c r="A21" s="97">
        <v>10</v>
      </c>
      <c r="B21" s="42" t="s">
        <v>31</v>
      </c>
      <c r="C21" s="170">
        <f>+I26</f>
        <v>242223.81399999995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94"/>
      <c r="D22" s="95"/>
      <c r="E22" s="96"/>
      <c r="H22" s="47" t="s">
        <v>33</v>
      </c>
      <c r="I22" s="48">
        <v>50757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222417.17399999997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19806.64</v>
      </c>
      <c r="N25" s="55">
        <f>SUM(N15:N24)</f>
        <v>4.3819999999999997</v>
      </c>
      <c r="O25" s="56">
        <f>SUM(O15:O24)</f>
        <v>19806.64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242223.81399999995</v>
      </c>
    </row>
    <row r="27" spans="1:15" ht="25.5" customHeight="1">
      <c r="A27" s="20"/>
      <c r="B27" s="43"/>
      <c r="C27" s="94"/>
      <c r="D27" s="95"/>
      <c r="E27" s="9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24.166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>
    <pageSetUpPr fitToPage="1"/>
  </sheetPr>
  <dimension ref="A1:O41"/>
  <sheetViews>
    <sheetView topLeftCell="A19" workbookViewId="0">
      <selection activeCell="I22" sqref="I2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100</v>
      </c>
      <c r="D11" s="23" t="s">
        <v>71</v>
      </c>
      <c r="E11" s="24" t="s">
        <v>101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77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7.2469999999999999</v>
      </c>
      <c r="O17">
        <f t="shared" si="0"/>
        <v>32756.44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9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97">
        <v>9</v>
      </c>
      <c r="B20" s="38" t="s">
        <v>29</v>
      </c>
      <c r="C20" s="197">
        <v>7.2469999999999999</v>
      </c>
      <c r="D20" s="198"/>
      <c r="E20" s="199"/>
      <c r="L20" s="30" t="s">
        <v>30</v>
      </c>
      <c r="N20" s="31"/>
    </row>
    <row r="21" spans="1:15" ht="25.5" customHeight="1">
      <c r="A21" s="97">
        <v>10</v>
      </c>
      <c r="B21" s="42" t="s">
        <v>31</v>
      </c>
      <c r="C21" s="170">
        <f>+I26</f>
        <v>426268.54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94"/>
      <c r="D22" s="95"/>
      <c r="E22" s="96"/>
      <c r="H22" t="s">
        <v>33</v>
      </c>
      <c r="I22" s="89">
        <v>54300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393512.1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32756.44</v>
      </c>
      <c r="N25" s="55">
        <f>SUM(N15:N24)</f>
        <v>7.2469999999999999</v>
      </c>
      <c r="O25" s="56">
        <f>SUM(O15:O24)</f>
        <v>32756.44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426268.54</v>
      </c>
    </row>
    <row r="27" spans="1:15" ht="25.5" customHeight="1">
      <c r="A27" s="20"/>
      <c r="B27" s="43"/>
      <c r="C27" s="94"/>
      <c r="D27" s="95"/>
      <c r="E27" s="9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90">
        <v>1.1120000000000001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1.429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>
    <pageSetUpPr fitToPage="1"/>
  </sheetPr>
  <dimension ref="A1:O41"/>
  <sheetViews>
    <sheetView topLeftCell="A9" workbookViewId="0">
      <selection activeCell="I22" sqref="I2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102</v>
      </c>
      <c r="D11" s="23" t="s">
        <v>71</v>
      </c>
      <c r="E11" s="24" t="s">
        <v>76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77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4.7960000000000003</v>
      </c>
      <c r="O17">
        <f t="shared" si="0"/>
        <v>21677.920000000002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9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97">
        <v>9</v>
      </c>
      <c r="B20" s="38" t="s">
        <v>29</v>
      </c>
      <c r="C20" s="197">
        <v>4.7960000000000003</v>
      </c>
      <c r="D20" s="198"/>
      <c r="E20" s="199"/>
      <c r="L20" s="30" t="s">
        <v>30</v>
      </c>
      <c r="N20" s="31"/>
    </row>
    <row r="21" spans="1:15" ht="25.5" customHeight="1">
      <c r="A21" s="97">
        <v>10</v>
      </c>
      <c r="B21" s="42" t="s">
        <v>31</v>
      </c>
      <c r="C21" s="170">
        <f>+I26</f>
        <v>282100.72000000003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94"/>
      <c r="D22" s="95"/>
      <c r="E22" s="96"/>
      <c r="H22" t="s">
        <v>33</v>
      </c>
      <c r="I22" s="89">
        <v>54300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260422.80000000002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21677.920000000002</v>
      </c>
      <c r="N25" s="55">
        <f>SUM(N15:N24)</f>
        <v>4.7960000000000003</v>
      </c>
      <c r="O25" s="56">
        <f>SUM(O15:O24)</f>
        <v>21677.920000000002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282100.72000000003</v>
      </c>
    </row>
    <row r="27" spans="1:15" ht="25.5" customHeight="1">
      <c r="A27" s="20"/>
      <c r="B27" s="43"/>
      <c r="C27" s="94"/>
      <c r="D27" s="95"/>
      <c r="E27" s="9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90">
        <v>1.41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1.8129999999999999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>
    <pageSetUpPr fitToPage="1"/>
  </sheetPr>
  <dimension ref="A1:O41"/>
  <sheetViews>
    <sheetView topLeftCell="A6" workbookViewId="0">
      <selection activeCell="E11" sqref="E11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103</v>
      </c>
      <c r="D11" s="23" t="s">
        <v>71</v>
      </c>
      <c r="E11" s="24" t="s">
        <v>105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77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8.1240000000000006</v>
      </c>
      <c r="O17">
        <f t="shared" si="0"/>
        <v>36720.480000000003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>
        <v>11.343</v>
      </c>
      <c r="O18">
        <f t="shared" si="0"/>
        <v>55807.56</v>
      </c>
    </row>
    <row r="19" spans="1:15" ht="25.5" customHeight="1">
      <c r="A19" s="9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97">
        <v>9</v>
      </c>
      <c r="B20" s="38" t="s">
        <v>29</v>
      </c>
      <c r="C20" s="197">
        <v>19.466999999999999</v>
      </c>
      <c r="D20" s="198"/>
      <c r="E20" s="199"/>
      <c r="L20" s="30" t="s">
        <v>30</v>
      </c>
      <c r="N20" s="31"/>
    </row>
    <row r="21" spans="1:15" ht="25.5" customHeight="1">
      <c r="A21" s="97">
        <v>10</v>
      </c>
      <c r="B21" s="42" t="s">
        <v>31</v>
      </c>
      <c r="C21" s="170">
        <f>+I26</f>
        <v>1149586.1399999999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94"/>
      <c r="D22" s="95"/>
      <c r="E22" s="96"/>
      <c r="H22" t="s">
        <v>33</v>
      </c>
      <c r="I22" s="89">
        <v>54300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1057058.0999999999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92528.040000000008</v>
      </c>
      <c r="N25" s="55">
        <f>SUM(N15:N24)</f>
        <v>19.466999999999999</v>
      </c>
      <c r="O25" s="56">
        <f>SUM(O15:O24)</f>
        <v>92528.040000000008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1149586.1399999999</v>
      </c>
    </row>
    <row r="27" spans="1:15" ht="25.5" customHeight="1">
      <c r="A27" s="20"/>
      <c r="B27" s="43"/>
      <c r="C27" s="94"/>
      <c r="D27" s="95"/>
      <c r="E27" s="9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90">
        <v>1.41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1.8129999999999999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>
    <pageSetUpPr fitToPage="1"/>
  </sheetPr>
  <dimension ref="A1:O41"/>
  <sheetViews>
    <sheetView topLeftCell="A19" workbookViewId="0">
      <selection activeCell="K29" sqref="K29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104</v>
      </c>
      <c r="D11" s="23" t="s">
        <v>71</v>
      </c>
      <c r="E11" s="24" t="s">
        <v>105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106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11.693</v>
      </c>
      <c r="O17">
        <f t="shared" si="0"/>
        <v>52852.36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9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97">
        <v>9</v>
      </c>
      <c r="B20" s="38" t="s">
        <v>29</v>
      </c>
      <c r="C20" s="197">
        <v>11.693</v>
      </c>
      <c r="D20" s="198"/>
      <c r="E20" s="199"/>
      <c r="L20" s="30" t="s">
        <v>30</v>
      </c>
      <c r="N20" s="31"/>
    </row>
    <row r="21" spans="1:15" ht="25.5" customHeight="1">
      <c r="A21" s="97">
        <v>10</v>
      </c>
      <c r="B21" s="42" t="s">
        <v>31</v>
      </c>
      <c r="C21" s="170">
        <f>+I26</f>
        <v>687782.26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94"/>
      <c r="D22" s="95"/>
      <c r="E22" s="96"/>
      <c r="H22" t="s">
        <v>33</v>
      </c>
      <c r="I22" s="89">
        <v>54300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634929.9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52852.36</v>
      </c>
      <c r="N25" s="55">
        <f>SUM(N15:N24)</f>
        <v>11.693</v>
      </c>
      <c r="O25" s="56">
        <f>SUM(O15:O24)</f>
        <v>52852.36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687782.26</v>
      </c>
    </row>
    <row r="27" spans="1:15" ht="25.5" customHeight="1">
      <c r="A27" s="20"/>
      <c r="B27" s="43"/>
      <c r="C27" s="94"/>
      <c r="D27" s="95"/>
      <c r="E27" s="9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90">
        <v>1.1850000000000001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1.524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>
    <pageSetUpPr fitToPage="1"/>
  </sheetPr>
  <dimension ref="A1:O41"/>
  <sheetViews>
    <sheetView topLeftCell="A15" workbookViewId="0">
      <selection activeCell="C33" sqref="C33:E33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107</v>
      </c>
      <c r="D11" s="23" t="s">
        <v>71</v>
      </c>
      <c r="E11" s="24" t="s">
        <v>108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106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7.8929999999999998</v>
      </c>
      <c r="O17">
        <f t="shared" si="0"/>
        <v>35676.36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9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97">
        <v>9</v>
      </c>
      <c r="B20" s="38" t="s">
        <v>29</v>
      </c>
      <c r="C20" s="197">
        <v>7.8929999999999998</v>
      </c>
      <c r="D20" s="198"/>
      <c r="E20" s="199"/>
      <c r="L20" s="30" t="s">
        <v>30</v>
      </c>
      <c r="N20" s="31"/>
    </row>
    <row r="21" spans="1:15" ht="25.5" customHeight="1">
      <c r="A21" s="97">
        <v>10</v>
      </c>
      <c r="B21" s="42" t="s">
        <v>31</v>
      </c>
      <c r="C21" s="170">
        <f>+I26</f>
        <v>448480.25999999995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94"/>
      <c r="D22" s="95"/>
      <c r="E22" s="9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412803.89999999997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35676.36</v>
      </c>
      <c r="N25" s="55">
        <f>SUM(N15:N24)</f>
        <v>7.8929999999999998</v>
      </c>
      <c r="O25" s="56">
        <f>SUM(O15:O24)</f>
        <v>35676.36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448480.25999999995</v>
      </c>
    </row>
    <row r="27" spans="1:15" ht="25.5" customHeight="1">
      <c r="A27" s="20"/>
      <c r="B27" s="43"/>
      <c r="C27" s="94"/>
      <c r="D27" s="95"/>
      <c r="E27" s="9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90">
        <v>0.3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0.38600000000000001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>
    <pageSetUpPr fitToPage="1"/>
  </sheetPr>
  <dimension ref="A1:O41"/>
  <sheetViews>
    <sheetView topLeftCell="A16" workbookViewId="0">
      <selection activeCell="I22" sqref="I2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109</v>
      </c>
      <c r="D11" s="23" t="s">
        <v>71</v>
      </c>
      <c r="E11" s="24" t="s">
        <v>83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106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5.2709999999999999</v>
      </c>
      <c r="O17">
        <f t="shared" si="0"/>
        <v>23824.92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9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97">
        <v>9</v>
      </c>
      <c r="B20" s="38" t="s">
        <v>29</v>
      </c>
      <c r="C20" s="197">
        <v>5.2709999999999999</v>
      </c>
      <c r="D20" s="198"/>
      <c r="E20" s="199"/>
      <c r="L20" s="30" t="s">
        <v>30</v>
      </c>
      <c r="N20" s="31"/>
    </row>
    <row r="21" spans="1:15" ht="25.5" customHeight="1">
      <c r="A21" s="97">
        <v>10</v>
      </c>
      <c r="B21" s="42" t="s">
        <v>31</v>
      </c>
      <c r="C21" s="170">
        <f>+I26</f>
        <v>299498.21999999997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94"/>
      <c r="D22" s="95"/>
      <c r="E22" s="9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275673.3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23824.92</v>
      </c>
      <c r="N25" s="55">
        <f>SUM(N15:N24)</f>
        <v>5.2709999999999999</v>
      </c>
      <c r="O25" s="56">
        <f>SUM(O15:O24)</f>
        <v>23824.92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299498.21999999997</v>
      </c>
    </row>
    <row r="27" spans="1:15" ht="25.5" customHeight="1">
      <c r="A27" s="20"/>
      <c r="B27" s="43"/>
      <c r="C27" s="94"/>
      <c r="D27" s="95"/>
      <c r="E27" s="9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90">
        <v>1.419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1.8240000000000001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>
    <pageSetUpPr fitToPage="1"/>
  </sheetPr>
  <dimension ref="A1:O41"/>
  <sheetViews>
    <sheetView topLeftCell="A8" workbookViewId="0">
      <selection activeCell="N18" sqref="N18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110</v>
      </c>
      <c r="D11" s="23" t="s">
        <v>71</v>
      </c>
      <c r="E11" s="24" t="s">
        <v>111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106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7.5549999999999997</v>
      </c>
      <c r="O17">
        <f t="shared" si="0"/>
        <v>34148.6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9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97">
        <v>9</v>
      </c>
      <c r="B20" s="38" t="s">
        <v>29</v>
      </c>
      <c r="C20" s="197">
        <v>7.5549999999999997</v>
      </c>
      <c r="D20" s="198"/>
      <c r="E20" s="199"/>
      <c r="L20" s="30" t="s">
        <v>30</v>
      </c>
      <c r="N20" s="31"/>
    </row>
    <row r="21" spans="1:15" ht="25.5" customHeight="1">
      <c r="A21" s="97">
        <v>10</v>
      </c>
      <c r="B21" s="42" t="s">
        <v>31</v>
      </c>
      <c r="C21" s="170">
        <f>+I26</f>
        <v>429275.1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94"/>
      <c r="D22" s="95"/>
      <c r="E22" s="9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395126.5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34148.6</v>
      </c>
      <c r="N25" s="55">
        <f>SUM(N15:N24)</f>
        <v>7.5549999999999997</v>
      </c>
      <c r="O25" s="56">
        <f>SUM(O15:O24)</f>
        <v>34148.6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429275.1</v>
      </c>
    </row>
    <row r="27" spans="1:15" ht="25.5" customHeight="1">
      <c r="A27" s="20"/>
      <c r="B27" s="43"/>
      <c r="C27" s="94"/>
      <c r="D27" s="95"/>
      <c r="E27" s="9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21.664000000000001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7">
    <pageSetUpPr fitToPage="1"/>
  </sheetPr>
  <dimension ref="A1:O41"/>
  <sheetViews>
    <sheetView topLeftCell="A15" workbookViewId="0">
      <selection activeCell="N17" sqref="N17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112</v>
      </c>
      <c r="D11" s="23" t="s">
        <v>7</v>
      </c>
      <c r="E11" s="24" t="s">
        <v>99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113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f>2.279+21.887</f>
        <v>24.166</v>
      </c>
      <c r="O16">
        <f t="shared" si="0"/>
        <v>104397.12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97">
        <v>8</v>
      </c>
      <c r="B19" s="28" t="s">
        <v>28</v>
      </c>
      <c r="C19" s="99">
        <v>72162100</v>
      </c>
      <c r="D19" s="100"/>
      <c r="E19" s="101"/>
      <c r="N19" s="31"/>
    </row>
    <row r="20" spans="1:15" ht="27" customHeight="1">
      <c r="A20" s="97">
        <v>9</v>
      </c>
      <c r="B20" s="38" t="s">
        <v>29</v>
      </c>
      <c r="C20" s="39">
        <v>24.166</v>
      </c>
      <c r="D20" s="40"/>
      <c r="E20" s="41"/>
      <c r="L20" s="30" t="s">
        <v>30</v>
      </c>
      <c r="N20" s="31"/>
    </row>
    <row r="21" spans="1:15" ht="25.5" customHeight="1" thickBot="1">
      <c r="A21" s="97">
        <v>10</v>
      </c>
      <c r="B21" s="42" t="s">
        <v>31</v>
      </c>
      <c r="C21" s="170">
        <f>+I26</f>
        <v>1330990.7820000001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94"/>
      <c r="D22" s="95"/>
      <c r="E22" s="96"/>
      <c r="H22" s="47" t="s">
        <v>33</v>
      </c>
      <c r="I22" s="48">
        <v>50757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1226593.662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104397.12</v>
      </c>
      <c r="N25" s="55">
        <f>SUM(N15:N24)</f>
        <v>24.166</v>
      </c>
      <c r="O25" s="56">
        <f>SUM(O15:O24)</f>
        <v>104397.12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1330990.7820000001</v>
      </c>
    </row>
    <row r="27" spans="1:15" ht="25.5" customHeight="1">
      <c r="A27" s="20"/>
      <c r="B27" s="43"/>
      <c r="C27" s="94"/>
      <c r="D27" s="95"/>
      <c r="E27" s="9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62">
        <v>1.0860000000000001</v>
      </c>
      <c r="E31" s="63"/>
    </row>
    <row r="32" spans="1:15" ht="25.5" customHeight="1">
      <c r="A32" s="64"/>
      <c r="B32" s="65"/>
      <c r="C32" s="61" t="s">
        <v>47</v>
      </c>
      <c r="D32" s="62">
        <v>1.3959999999999999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8">
    <pageSetUpPr fitToPage="1"/>
  </sheetPr>
  <dimension ref="A1:O41"/>
  <sheetViews>
    <sheetView topLeftCell="A18" workbookViewId="0">
      <selection activeCell="N19" sqref="N19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91"/>
      <c r="B7" s="92"/>
      <c r="C7" s="92"/>
      <c r="D7" s="92"/>
      <c r="E7" s="9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97">
        <v>1</v>
      </c>
      <c r="B11" s="98" t="s">
        <v>6</v>
      </c>
      <c r="C11" s="22" t="s">
        <v>114</v>
      </c>
      <c r="D11" s="23" t="s">
        <v>7</v>
      </c>
      <c r="E11" s="24" t="s">
        <v>115</v>
      </c>
    </row>
    <row r="12" spans="1:15" ht="25.5" customHeight="1">
      <c r="A12" s="20">
        <v>2</v>
      </c>
      <c r="B12" s="98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113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9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98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v>5.3949999999999996</v>
      </c>
      <c r="O16">
        <f t="shared" si="0"/>
        <v>23306.399999999998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>
        <f>2.603+0.86</f>
        <v>3.4630000000000001</v>
      </c>
      <c r="O18">
        <f t="shared" si="0"/>
        <v>17037.96</v>
      </c>
    </row>
    <row r="19" spans="1:15" ht="25.5" customHeight="1">
      <c r="A19" s="97">
        <v>8</v>
      </c>
      <c r="B19" s="28" t="s">
        <v>28</v>
      </c>
      <c r="C19" s="99">
        <v>72162100</v>
      </c>
      <c r="D19" s="100"/>
      <c r="E19" s="101"/>
      <c r="N19" s="31"/>
    </row>
    <row r="20" spans="1:15" ht="27" customHeight="1">
      <c r="A20" s="97">
        <v>9</v>
      </c>
      <c r="B20" s="38" t="s">
        <v>29</v>
      </c>
      <c r="C20" s="39">
        <v>8.8580000000000005</v>
      </c>
      <c r="D20" s="40"/>
      <c r="E20" s="41"/>
      <c r="L20" s="30" t="s">
        <v>30</v>
      </c>
      <c r="N20" s="31"/>
    </row>
    <row r="21" spans="1:15" ht="25.5" customHeight="1" thickBot="1">
      <c r="A21" s="97">
        <v>10</v>
      </c>
      <c r="B21" s="42" t="s">
        <v>31</v>
      </c>
      <c r="C21" s="170">
        <f>+I26</f>
        <v>489949.86600000004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94"/>
      <c r="D22" s="95"/>
      <c r="E22" s="96"/>
      <c r="H22" s="47" t="s">
        <v>33</v>
      </c>
      <c r="I22" s="48">
        <v>50757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94"/>
      <c r="D23" s="95"/>
      <c r="E23" s="9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94" t="s">
        <v>36</v>
      </c>
      <c r="D24" s="95"/>
      <c r="E24" s="96"/>
      <c r="H24" t="s">
        <v>37</v>
      </c>
      <c r="I24" s="52">
        <f>C20*I22</f>
        <v>449605.50600000005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94" t="s">
        <v>36</v>
      </c>
      <c r="D25" s="95"/>
      <c r="E25" s="96"/>
      <c r="H25" s="53" t="s">
        <v>39</v>
      </c>
      <c r="I25" s="54">
        <f>+O25</f>
        <v>40344.36</v>
      </c>
      <c r="N25" s="55">
        <f>SUM(N15:N24)</f>
        <v>8.8580000000000005</v>
      </c>
      <c r="O25" s="56">
        <f>SUM(O15:O24)</f>
        <v>40344.36</v>
      </c>
    </row>
    <row r="26" spans="1:15" ht="25.5" customHeight="1" thickBot="1">
      <c r="A26" s="20"/>
      <c r="B26" s="51" t="s">
        <v>40</v>
      </c>
      <c r="C26" s="94" t="s">
        <v>36</v>
      </c>
      <c r="D26" s="95"/>
      <c r="E26" s="96"/>
      <c r="H26" s="57" t="s">
        <v>41</v>
      </c>
      <c r="I26" s="58">
        <f>+I25+I24</f>
        <v>489949.86600000004</v>
      </c>
    </row>
    <row r="27" spans="1:15" ht="25.5" customHeight="1">
      <c r="A27" s="20"/>
      <c r="B27" s="43"/>
      <c r="C27" s="94"/>
      <c r="D27" s="95"/>
      <c r="E27" s="9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97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21.658000000000001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7" workbookViewId="0">
      <selection activeCell="N17" sqref="N17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07"/>
      <c r="B7" s="108"/>
      <c r="C7" s="108"/>
      <c r="D7" s="108"/>
      <c r="E7" s="109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05">
        <v>1</v>
      </c>
      <c r="B11" s="106" t="s">
        <v>6</v>
      </c>
      <c r="C11" s="22" t="s">
        <v>116</v>
      </c>
      <c r="D11" s="23" t="s">
        <v>71</v>
      </c>
      <c r="E11" s="24" t="s">
        <v>111</v>
      </c>
    </row>
    <row r="12" spans="1:15" ht="25.5" customHeight="1">
      <c r="A12" s="20">
        <v>2</v>
      </c>
      <c r="B12" s="106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117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06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06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f>6.39+6.815+1.999</f>
        <v>15.204000000000001</v>
      </c>
      <c r="O16">
        <f t="shared" si="0"/>
        <v>65681.279999999999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f>1.726+4.734</f>
        <v>6.46</v>
      </c>
      <c r="O17">
        <f t="shared" si="0"/>
        <v>29199.200000000001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05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05">
        <v>9</v>
      </c>
      <c r="B20" s="38" t="s">
        <v>29</v>
      </c>
      <c r="C20" s="197">
        <v>21.664000000000001</v>
      </c>
      <c r="D20" s="198"/>
      <c r="E20" s="199"/>
      <c r="L20" s="30" t="s">
        <v>30</v>
      </c>
      <c r="N20" s="31"/>
    </row>
    <row r="21" spans="1:15" ht="25.5" customHeight="1">
      <c r="A21" s="105">
        <v>10</v>
      </c>
      <c r="B21" s="42" t="s">
        <v>31</v>
      </c>
      <c r="C21" s="170">
        <f>+I26</f>
        <v>1271235.6800000002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02"/>
      <c r="D22" s="103"/>
      <c r="E22" s="104"/>
      <c r="H22" t="s">
        <v>33</v>
      </c>
      <c r="I22" s="89">
        <v>54300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02"/>
      <c r="D23" s="103"/>
      <c r="E23" s="104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02" t="s">
        <v>36</v>
      </c>
      <c r="D24" s="103"/>
      <c r="E24" s="104"/>
      <c r="H24" t="s">
        <v>37</v>
      </c>
      <c r="I24" s="52">
        <f>C20*I22</f>
        <v>1176355.2000000002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02" t="s">
        <v>36</v>
      </c>
      <c r="D25" s="103"/>
      <c r="E25" s="104"/>
      <c r="H25" s="53" t="s">
        <v>39</v>
      </c>
      <c r="I25" s="54">
        <f>+O25</f>
        <v>94880.48</v>
      </c>
      <c r="N25" s="55">
        <f>SUM(N15:N24)</f>
        <v>21.664000000000001</v>
      </c>
      <c r="O25" s="56">
        <f>SUM(O15:O24)</f>
        <v>94880.48</v>
      </c>
    </row>
    <row r="26" spans="1:15" ht="25.5" customHeight="1" thickBot="1">
      <c r="A26" s="20"/>
      <c r="B26" s="51" t="s">
        <v>40</v>
      </c>
      <c r="C26" s="102" t="s">
        <v>36</v>
      </c>
      <c r="D26" s="103"/>
      <c r="E26" s="104"/>
      <c r="H26" s="57" t="s">
        <v>41</v>
      </c>
      <c r="I26" s="58">
        <f>+I25+I24</f>
        <v>1271235.6800000002</v>
      </c>
    </row>
    <row r="27" spans="1:15" ht="25.5" customHeight="1">
      <c r="A27" s="20"/>
      <c r="B27" s="43"/>
      <c r="C27" s="102"/>
      <c r="D27" s="103"/>
      <c r="E27" s="104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05">
        <v>14</v>
      </c>
      <c r="B31" s="60" t="s">
        <v>45</v>
      </c>
      <c r="C31" s="61" t="s">
        <v>46</v>
      </c>
      <c r="D31" s="90">
        <v>1.1120000000000001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1.429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16:E16"/>
    <mergeCell ref="A6:E6"/>
    <mergeCell ref="C10:E10"/>
    <mergeCell ref="C13:E13"/>
    <mergeCell ref="C14:E14"/>
    <mergeCell ref="C15:E15"/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</mergeCells>
  <pageMargins left="0.27" right="0.2" top="0.27" bottom="0.31" header="0.3" footer="0.3"/>
  <pageSetup paperSize="9" scale="9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9" workbookViewId="0">
      <selection activeCell="F35" sqref="F35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07"/>
      <c r="B7" s="108"/>
      <c r="C7" s="108"/>
      <c r="D7" s="108"/>
      <c r="E7" s="109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05">
        <v>1</v>
      </c>
      <c r="B11" s="106" t="s">
        <v>6</v>
      </c>
      <c r="C11" s="22" t="s">
        <v>118</v>
      </c>
      <c r="D11" s="23" t="s">
        <v>71</v>
      </c>
      <c r="E11" s="24" t="s">
        <v>119</v>
      </c>
    </row>
    <row r="12" spans="1:15" ht="25.5" customHeight="1">
      <c r="A12" s="20">
        <v>2</v>
      </c>
      <c r="B12" s="106" t="s">
        <v>9</v>
      </c>
      <c r="C12" s="25" t="s">
        <v>96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117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06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06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f>5.954+1.206+1.791+1.836+0.25</f>
        <v>11.037000000000001</v>
      </c>
      <c r="O16">
        <f t="shared" si="0"/>
        <v>47679.840000000004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05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05">
        <v>9</v>
      </c>
      <c r="B20" s="38" t="s">
        <v>29</v>
      </c>
      <c r="C20" s="197">
        <v>11.037000000000001</v>
      </c>
      <c r="D20" s="198"/>
      <c r="E20" s="199"/>
      <c r="L20" s="30" t="s">
        <v>30</v>
      </c>
      <c r="N20" s="31"/>
    </row>
    <row r="21" spans="1:15" ht="25.5" customHeight="1">
      <c r="A21" s="105">
        <v>10</v>
      </c>
      <c r="B21" s="42" t="s">
        <v>31</v>
      </c>
      <c r="C21" s="170">
        <f>+I26</f>
        <v>624914.94000000006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02"/>
      <c r="D22" s="103"/>
      <c r="E22" s="104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02"/>
      <c r="D23" s="103"/>
      <c r="E23" s="104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02" t="s">
        <v>36</v>
      </c>
      <c r="D24" s="103"/>
      <c r="E24" s="104"/>
      <c r="H24" t="s">
        <v>37</v>
      </c>
      <c r="I24" s="52">
        <f>C20*I22</f>
        <v>577235.10000000009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02" t="s">
        <v>36</v>
      </c>
      <c r="D25" s="103"/>
      <c r="E25" s="104"/>
      <c r="H25" s="53" t="s">
        <v>39</v>
      </c>
      <c r="I25" s="54">
        <f>+O25</f>
        <v>47679.840000000004</v>
      </c>
      <c r="N25" s="55">
        <f>SUM(N15:N24)</f>
        <v>11.037000000000001</v>
      </c>
      <c r="O25" s="56">
        <f>SUM(O15:O24)</f>
        <v>47679.840000000004</v>
      </c>
    </row>
    <row r="26" spans="1:15" ht="25.5" customHeight="1" thickBot="1">
      <c r="A26" s="20"/>
      <c r="B26" s="51" t="s">
        <v>40</v>
      </c>
      <c r="C26" s="102" t="s">
        <v>36</v>
      </c>
      <c r="D26" s="103"/>
      <c r="E26" s="104"/>
      <c r="H26" s="57" t="s">
        <v>41</v>
      </c>
      <c r="I26" s="58">
        <f>+I25+I24</f>
        <v>624914.94000000006</v>
      </c>
    </row>
    <row r="27" spans="1:15" ht="25.5" customHeight="1">
      <c r="A27" s="20"/>
      <c r="B27" s="43"/>
      <c r="C27" s="102"/>
      <c r="D27" s="103"/>
      <c r="E27" s="104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05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7.12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16:E16"/>
    <mergeCell ref="A6:E6"/>
    <mergeCell ref="C10:E10"/>
    <mergeCell ref="C13:E13"/>
    <mergeCell ref="C14:E14"/>
    <mergeCell ref="C15:E15"/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</mergeCells>
  <pageMargins left="0.27" right="0.2" top="0.27" bottom="0.31" header="0.3" footer="0.3"/>
  <pageSetup paperSize="9" scale="9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2" workbookViewId="0">
      <selection activeCell="G34" sqref="G34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15"/>
      <c r="B7" s="116"/>
      <c r="C7" s="116"/>
      <c r="D7" s="116"/>
      <c r="E7" s="117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13">
        <v>1</v>
      </c>
      <c r="B11" s="114" t="s">
        <v>6</v>
      </c>
      <c r="C11" s="22" t="s">
        <v>120</v>
      </c>
      <c r="D11" s="23" t="s">
        <v>7</v>
      </c>
      <c r="E11" s="24" t="s">
        <v>115</v>
      </c>
    </row>
    <row r="12" spans="1:15" ht="25.5" customHeight="1">
      <c r="A12" s="20">
        <v>2</v>
      </c>
      <c r="B12" s="114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122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14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14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9.9429999999999996</v>
      </c>
      <c r="O17">
        <f t="shared" si="0"/>
        <v>44942.36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13">
        <v>8</v>
      </c>
      <c r="B19" s="28" t="s">
        <v>28</v>
      </c>
      <c r="C19" s="118">
        <v>72162100</v>
      </c>
      <c r="D19" s="119"/>
      <c r="E19" s="120"/>
      <c r="N19" s="31"/>
    </row>
    <row r="20" spans="1:15" ht="27" customHeight="1">
      <c r="A20" s="113">
        <v>9</v>
      </c>
      <c r="B20" s="38" t="s">
        <v>29</v>
      </c>
      <c r="C20" s="39">
        <v>9.9429999999999996</v>
      </c>
      <c r="D20" s="40"/>
      <c r="E20" s="41"/>
      <c r="L20" s="30" t="s">
        <v>30</v>
      </c>
      <c r="N20" s="31"/>
    </row>
    <row r="21" spans="1:15" ht="25.5" customHeight="1" thickBot="1">
      <c r="A21" s="113">
        <v>10</v>
      </c>
      <c r="B21" s="42" t="s">
        <v>31</v>
      </c>
      <c r="C21" s="170">
        <f>+I26</f>
        <v>549619.21100000001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10"/>
      <c r="D22" s="111"/>
      <c r="E22" s="112"/>
      <c r="H22" s="47" t="s">
        <v>33</v>
      </c>
      <c r="I22" s="48">
        <v>50757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10"/>
      <c r="D23" s="111"/>
      <c r="E23" s="112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10" t="s">
        <v>36</v>
      </c>
      <c r="D24" s="111"/>
      <c r="E24" s="112"/>
      <c r="H24" t="s">
        <v>37</v>
      </c>
      <c r="I24" s="52">
        <f>C20*I22</f>
        <v>504676.85099999997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10" t="s">
        <v>36</v>
      </c>
      <c r="D25" s="111"/>
      <c r="E25" s="112"/>
      <c r="H25" s="53" t="s">
        <v>39</v>
      </c>
      <c r="I25" s="54">
        <f>+O25</f>
        <v>44942.36</v>
      </c>
      <c r="N25" s="55">
        <f>SUM(N15:N24)</f>
        <v>9.9429999999999996</v>
      </c>
      <c r="O25" s="56">
        <f>SUM(O15:O24)</f>
        <v>44942.36</v>
      </c>
    </row>
    <row r="26" spans="1:15" ht="25.5" customHeight="1" thickBot="1">
      <c r="A26" s="20"/>
      <c r="B26" s="51" t="s">
        <v>40</v>
      </c>
      <c r="C26" s="110" t="s">
        <v>36</v>
      </c>
      <c r="D26" s="111"/>
      <c r="E26" s="112"/>
      <c r="H26" s="57" t="s">
        <v>41</v>
      </c>
      <c r="I26" s="58">
        <f>+I25+I24</f>
        <v>549619.21100000001</v>
      </c>
    </row>
    <row r="27" spans="1:15" ht="25.5" customHeight="1">
      <c r="A27" s="20"/>
      <c r="B27" s="43"/>
      <c r="C27" s="110"/>
      <c r="D27" s="111"/>
      <c r="E27" s="112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13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f>21.658-9.943</f>
        <v>11.715000000000002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5" workbookViewId="0">
      <selection activeCell="I22" sqref="I2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15"/>
      <c r="B7" s="116"/>
      <c r="C7" s="116"/>
      <c r="D7" s="116"/>
      <c r="E7" s="117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13">
        <v>1</v>
      </c>
      <c r="B11" s="114" t="s">
        <v>6</v>
      </c>
      <c r="C11" s="22" t="s">
        <v>123</v>
      </c>
      <c r="D11" s="23" t="s">
        <v>7</v>
      </c>
      <c r="E11" s="24" t="s">
        <v>115</v>
      </c>
    </row>
    <row r="12" spans="1:15" ht="25.5" customHeight="1">
      <c r="A12" s="20">
        <v>2</v>
      </c>
      <c r="B12" s="114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124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14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14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13">
        <v>8</v>
      </c>
      <c r="B19" s="28" t="s">
        <v>28</v>
      </c>
      <c r="C19" s="118">
        <v>72162100</v>
      </c>
      <c r="D19" s="119"/>
      <c r="E19" s="120"/>
      <c r="N19" s="31"/>
    </row>
    <row r="20" spans="1:15" ht="27" customHeight="1">
      <c r="A20" s="113">
        <v>9</v>
      </c>
      <c r="B20" s="38" t="s">
        <v>29</v>
      </c>
      <c r="C20" s="39">
        <v>11.715</v>
      </c>
      <c r="D20" s="40"/>
      <c r="E20" s="41"/>
      <c r="L20" s="30" t="s">
        <v>30</v>
      </c>
      <c r="N20" s="31"/>
    </row>
    <row r="21" spans="1:15" ht="25.5" customHeight="1" thickBot="1">
      <c r="A21" s="113">
        <v>10</v>
      </c>
      <c r="B21" s="42" t="s">
        <v>31</v>
      </c>
      <c r="C21" s="170">
        <f>+I26</f>
        <v>642884.05500000005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10"/>
      <c r="D22" s="111"/>
      <c r="E22" s="112"/>
      <c r="H22" s="47" t="s">
        <v>33</v>
      </c>
      <c r="I22" s="48">
        <v>50757</v>
      </c>
      <c r="J22" s="49"/>
      <c r="K22" t="s">
        <v>30</v>
      </c>
      <c r="L22" t="s">
        <v>22</v>
      </c>
      <c r="M22">
        <f>3150+670+300</f>
        <v>4120</v>
      </c>
      <c r="N22" s="31">
        <v>11.715</v>
      </c>
      <c r="O22">
        <f>N22*M22</f>
        <v>48265.8</v>
      </c>
    </row>
    <row r="23" spans="1:15" ht="25.5" customHeight="1">
      <c r="A23" s="20">
        <v>11</v>
      </c>
      <c r="B23" s="43" t="s">
        <v>34</v>
      </c>
      <c r="C23" s="110"/>
      <c r="D23" s="111"/>
      <c r="E23" s="112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10" t="s">
        <v>36</v>
      </c>
      <c r="D24" s="111"/>
      <c r="E24" s="112"/>
      <c r="H24" t="s">
        <v>37</v>
      </c>
      <c r="I24" s="52">
        <f>C20*I22</f>
        <v>594618.255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10" t="s">
        <v>36</v>
      </c>
      <c r="D25" s="111"/>
      <c r="E25" s="112"/>
      <c r="H25" s="53" t="s">
        <v>39</v>
      </c>
      <c r="I25" s="54">
        <f>+O25</f>
        <v>48265.8</v>
      </c>
      <c r="N25" s="55">
        <f>SUM(N15:N24)</f>
        <v>11.715</v>
      </c>
      <c r="O25" s="56">
        <f>SUM(O15:O24)</f>
        <v>48265.8</v>
      </c>
    </row>
    <row r="26" spans="1:15" ht="25.5" customHeight="1" thickBot="1">
      <c r="A26" s="20"/>
      <c r="B26" s="51" t="s">
        <v>40</v>
      </c>
      <c r="C26" s="110" t="s">
        <v>36</v>
      </c>
      <c r="D26" s="111"/>
      <c r="E26" s="112"/>
      <c r="H26" s="57" t="s">
        <v>41</v>
      </c>
      <c r="I26" s="58">
        <f>+I25+I24</f>
        <v>642884.05500000005</v>
      </c>
    </row>
    <row r="27" spans="1:15" ht="25.5" customHeight="1">
      <c r="A27" s="20"/>
      <c r="B27" s="43"/>
      <c r="C27" s="110"/>
      <c r="D27" s="111"/>
      <c r="E27" s="112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13">
        <v>14</v>
      </c>
      <c r="B31" s="60" t="s">
        <v>45</v>
      </c>
      <c r="C31" s="61" t="s">
        <v>46</v>
      </c>
      <c r="D31" s="62">
        <v>1.161</v>
      </c>
      <c r="E31" s="63"/>
    </row>
    <row r="32" spans="1:15" ht="25.5" customHeight="1">
      <c r="A32" s="64"/>
      <c r="B32" s="65"/>
      <c r="C32" s="61" t="s">
        <v>47</v>
      </c>
      <c r="D32" s="62">
        <v>1.4930000000000001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9" workbookViewId="0">
      <selection activeCell="I28" sqref="I28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15"/>
      <c r="B7" s="116"/>
      <c r="C7" s="116"/>
      <c r="D7" s="116"/>
      <c r="E7" s="117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13">
        <v>1</v>
      </c>
      <c r="B11" s="114" t="s">
        <v>6</v>
      </c>
      <c r="C11" s="22" t="s">
        <v>125</v>
      </c>
      <c r="D11" s="23" t="s">
        <v>7</v>
      </c>
      <c r="E11" s="24" t="s">
        <v>126</v>
      </c>
    </row>
    <row r="12" spans="1:15" ht="25.5" customHeight="1">
      <c r="A12" s="20">
        <v>2</v>
      </c>
      <c r="B12" s="114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124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14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14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13">
        <v>8</v>
      </c>
      <c r="B19" s="28" t="s">
        <v>28</v>
      </c>
      <c r="C19" s="118">
        <v>72162100</v>
      </c>
      <c r="D19" s="119"/>
      <c r="E19" s="120"/>
      <c r="N19" s="31"/>
    </row>
    <row r="20" spans="1:15" ht="27" customHeight="1">
      <c r="A20" s="113">
        <v>9</v>
      </c>
      <c r="B20" s="38" t="s">
        <v>29</v>
      </c>
      <c r="C20" s="39">
        <v>11.5</v>
      </c>
      <c r="D20" s="40"/>
      <c r="E20" s="41"/>
      <c r="L20" s="30" t="s">
        <v>30</v>
      </c>
      <c r="N20" s="31"/>
    </row>
    <row r="21" spans="1:15" ht="25.5" customHeight="1" thickBot="1">
      <c r="A21" s="113">
        <v>10</v>
      </c>
      <c r="B21" s="42" t="s">
        <v>31</v>
      </c>
      <c r="C21" s="170">
        <f>+I26</f>
        <v>627900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10"/>
      <c r="D22" s="111"/>
      <c r="E22" s="112"/>
      <c r="H22" s="47" t="s">
        <v>33</v>
      </c>
      <c r="I22" s="48">
        <v>50480</v>
      </c>
      <c r="J22" s="49"/>
      <c r="K22" t="s">
        <v>30</v>
      </c>
      <c r="L22" t="s">
        <v>22</v>
      </c>
      <c r="M22">
        <f>3150+670+300</f>
        <v>4120</v>
      </c>
      <c r="N22" s="31">
        <v>11.5</v>
      </c>
      <c r="O22">
        <f>N22*M22</f>
        <v>47380</v>
      </c>
    </row>
    <row r="23" spans="1:15" ht="25.5" customHeight="1">
      <c r="A23" s="20">
        <v>11</v>
      </c>
      <c r="B23" s="43" t="s">
        <v>34</v>
      </c>
      <c r="C23" s="110"/>
      <c r="D23" s="111"/>
      <c r="E23" s="112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10" t="s">
        <v>36</v>
      </c>
      <c r="D24" s="111"/>
      <c r="E24" s="112"/>
      <c r="H24" t="s">
        <v>37</v>
      </c>
      <c r="I24" s="52">
        <f>C20*I22</f>
        <v>580520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10" t="s">
        <v>36</v>
      </c>
      <c r="D25" s="111"/>
      <c r="E25" s="112"/>
      <c r="H25" s="53" t="s">
        <v>39</v>
      </c>
      <c r="I25" s="54">
        <f>+O25</f>
        <v>47380</v>
      </c>
      <c r="N25" s="55">
        <f>SUM(N15:N24)</f>
        <v>11.5</v>
      </c>
      <c r="O25" s="56">
        <f>SUM(O15:O24)</f>
        <v>47380</v>
      </c>
    </row>
    <row r="26" spans="1:15" ht="25.5" customHeight="1" thickBot="1">
      <c r="A26" s="20"/>
      <c r="B26" s="51" t="s">
        <v>40</v>
      </c>
      <c r="C26" s="110" t="s">
        <v>36</v>
      </c>
      <c r="D26" s="111"/>
      <c r="E26" s="112"/>
      <c r="H26" s="57" t="s">
        <v>41</v>
      </c>
      <c r="I26" s="58">
        <f>+I25+I24</f>
        <v>627900</v>
      </c>
    </row>
    <row r="27" spans="1:15" ht="25.5" customHeight="1">
      <c r="A27" s="20"/>
      <c r="B27" s="43"/>
      <c r="C27" s="110"/>
      <c r="D27" s="111"/>
      <c r="E27" s="112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13">
        <v>14</v>
      </c>
      <c r="B31" s="60" t="s">
        <v>45</v>
      </c>
      <c r="C31" s="61" t="s">
        <v>46</v>
      </c>
      <c r="D31" s="62">
        <v>0.438</v>
      </c>
      <c r="E31" s="63"/>
    </row>
    <row r="32" spans="1:15" ht="25.5" customHeight="1">
      <c r="A32" s="64"/>
      <c r="B32" s="65"/>
      <c r="C32" s="61" t="s">
        <v>47</v>
      </c>
      <c r="D32" s="62">
        <v>0.56299999999999994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23" workbookViewId="0">
      <selection activeCell="C34" sqref="C34:E34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15"/>
      <c r="B7" s="116"/>
      <c r="C7" s="116"/>
      <c r="D7" s="116"/>
      <c r="E7" s="117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13">
        <v>1</v>
      </c>
      <c r="B11" s="114" t="s">
        <v>6</v>
      </c>
      <c r="C11" s="22" t="s">
        <v>127</v>
      </c>
      <c r="D11" s="23" t="s">
        <v>7</v>
      </c>
      <c r="E11" s="24" t="s">
        <v>128</v>
      </c>
    </row>
    <row r="12" spans="1:15" ht="25.5" customHeight="1">
      <c r="A12" s="20">
        <v>2</v>
      </c>
      <c r="B12" s="114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124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14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14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13">
        <v>8</v>
      </c>
      <c r="B19" s="28" t="s">
        <v>28</v>
      </c>
      <c r="C19" s="118">
        <v>72162100</v>
      </c>
      <c r="D19" s="119"/>
      <c r="E19" s="120"/>
      <c r="N19" s="31"/>
    </row>
    <row r="20" spans="1:15" ht="27" customHeight="1">
      <c r="A20" s="113">
        <v>9</v>
      </c>
      <c r="B20" s="38" t="s">
        <v>29</v>
      </c>
      <c r="C20" s="39">
        <v>9.3979999999999997</v>
      </c>
      <c r="D20" s="40"/>
      <c r="E20" s="41"/>
      <c r="L20" s="30" t="s">
        <v>30</v>
      </c>
      <c r="N20" s="31"/>
    </row>
    <row r="21" spans="1:15" ht="25.5" customHeight="1" thickBot="1">
      <c r="A21" s="113">
        <v>10</v>
      </c>
      <c r="B21" s="42" t="s">
        <v>31</v>
      </c>
      <c r="C21" s="170">
        <f>+I26</f>
        <v>513130.8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10"/>
      <c r="D22" s="111"/>
      <c r="E22" s="112"/>
      <c r="H22" s="47" t="s">
        <v>33</v>
      </c>
      <c r="I22" s="48">
        <v>50480</v>
      </c>
      <c r="J22" s="49"/>
      <c r="K22" t="s">
        <v>30</v>
      </c>
      <c r="L22" t="s">
        <v>22</v>
      </c>
      <c r="M22">
        <f>3150+670+300</f>
        <v>4120</v>
      </c>
      <c r="N22" s="31">
        <v>9.3979999999999997</v>
      </c>
      <c r="O22">
        <f>N22*M22</f>
        <v>38719.760000000002</v>
      </c>
    </row>
    <row r="23" spans="1:15" ht="25.5" customHeight="1">
      <c r="A23" s="20">
        <v>11</v>
      </c>
      <c r="B23" s="43" t="s">
        <v>34</v>
      </c>
      <c r="C23" s="110"/>
      <c r="D23" s="111"/>
      <c r="E23" s="112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10" t="s">
        <v>36</v>
      </c>
      <c r="D24" s="111"/>
      <c r="E24" s="112"/>
      <c r="H24" t="s">
        <v>37</v>
      </c>
      <c r="I24" s="52">
        <f>C20*I22</f>
        <v>474411.04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10" t="s">
        <v>36</v>
      </c>
      <c r="D25" s="111"/>
      <c r="E25" s="112"/>
      <c r="H25" s="53" t="s">
        <v>39</v>
      </c>
      <c r="I25" s="54">
        <f>+O25</f>
        <v>38719.760000000002</v>
      </c>
      <c r="N25" s="55">
        <f>SUM(N15:N24)</f>
        <v>9.3979999999999997</v>
      </c>
      <c r="O25" s="56">
        <f>SUM(O15:O24)</f>
        <v>38719.760000000002</v>
      </c>
    </row>
    <row r="26" spans="1:15" ht="25.5" customHeight="1" thickBot="1">
      <c r="A26" s="20"/>
      <c r="B26" s="51" t="s">
        <v>40</v>
      </c>
      <c r="C26" s="110" t="s">
        <v>36</v>
      </c>
      <c r="D26" s="111"/>
      <c r="E26" s="112"/>
      <c r="H26" s="57" t="s">
        <v>41</v>
      </c>
      <c r="I26" s="58">
        <f>+I25+I24</f>
        <v>513130.8</v>
      </c>
    </row>
    <row r="27" spans="1:15" ht="25.5" customHeight="1">
      <c r="A27" s="20"/>
      <c r="B27" s="43"/>
      <c r="C27" s="110"/>
      <c r="D27" s="111"/>
      <c r="E27" s="112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13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0.86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7" workbookViewId="0">
      <selection activeCell="D31" sqref="D31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129</v>
      </c>
      <c r="D11" s="23" t="s">
        <v>71</v>
      </c>
      <c r="E11" s="24" t="s">
        <v>119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130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2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v>7.12</v>
      </c>
      <c r="O16">
        <f t="shared" si="0"/>
        <v>30758.400000000001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2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27">
        <v>9</v>
      </c>
      <c r="B20" s="38" t="s">
        <v>29</v>
      </c>
      <c r="C20" s="197">
        <v>7.12</v>
      </c>
      <c r="D20" s="198"/>
      <c r="E20" s="199"/>
      <c r="L20" s="30" t="s">
        <v>30</v>
      </c>
      <c r="N20" s="31"/>
    </row>
    <row r="21" spans="1:15" ht="25.5" customHeight="1">
      <c r="A21" s="127">
        <v>10</v>
      </c>
      <c r="B21" s="42" t="s">
        <v>31</v>
      </c>
      <c r="C21" s="170">
        <f>+I26</f>
        <v>403134.4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24"/>
      <c r="D22" s="125"/>
      <c r="E22" s="12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372376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30758.400000000001</v>
      </c>
      <c r="N25" s="55">
        <f>SUM(N15:N24)</f>
        <v>7.12</v>
      </c>
      <c r="O25" s="56">
        <f>SUM(O15:O24)</f>
        <v>30758.400000000001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403134.4</v>
      </c>
    </row>
    <row r="27" spans="1:15" ht="25.5" customHeight="1">
      <c r="A27" s="20"/>
      <c r="B27" s="43"/>
      <c r="C27" s="124"/>
      <c r="D27" s="125"/>
      <c r="E27" s="12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90">
        <v>0.69099999999999995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0.88800000000000001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0" workbookViewId="0">
      <selection activeCell="N16" sqref="N1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131</v>
      </c>
      <c r="D11" s="23" t="s">
        <v>71</v>
      </c>
      <c r="E11" s="24" t="s">
        <v>132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130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2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f>2.049+5.85+4.41</f>
        <v>12.308999999999999</v>
      </c>
      <c r="O16">
        <f t="shared" si="0"/>
        <v>53174.879999999997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2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27">
        <v>9</v>
      </c>
      <c r="B20" s="38" t="s">
        <v>29</v>
      </c>
      <c r="C20" s="197">
        <v>17.719000000000001</v>
      </c>
      <c r="D20" s="198"/>
      <c r="E20" s="199"/>
      <c r="L20" s="30" t="s">
        <v>30</v>
      </c>
      <c r="N20" s="31"/>
    </row>
    <row r="21" spans="1:15" ht="25.5" customHeight="1">
      <c r="A21" s="127">
        <v>10</v>
      </c>
      <c r="B21" s="42" t="s">
        <v>31</v>
      </c>
      <c r="C21" s="170">
        <f>+I26</f>
        <v>1002167.78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24"/>
      <c r="D22" s="125"/>
      <c r="E22" s="12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>
        <f>4.886+0.524</f>
        <v>5.41</v>
      </c>
      <c r="O22">
        <f>N22*M22</f>
        <v>22289.200000000001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926703.70000000007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75464.08</v>
      </c>
      <c r="N25" s="55">
        <f>SUM(N15:N24)</f>
        <v>17.719000000000001</v>
      </c>
      <c r="O25" s="56">
        <f>SUM(O15:O24)</f>
        <v>75464.08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1002167.78</v>
      </c>
    </row>
    <row r="27" spans="1:15" ht="25.5" customHeight="1">
      <c r="A27" s="20"/>
      <c r="B27" s="43"/>
      <c r="C27" s="124"/>
      <c r="D27" s="125"/>
      <c r="E27" s="12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90">
        <v>0.67400000000000004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0.86699999999999999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23" workbookViewId="0">
      <selection activeCell="H35" activeCellId="1" sqref="L29 H35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133</v>
      </c>
      <c r="D11" s="23" t="s">
        <v>71</v>
      </c>
      <c r="E11" s="24" t="s">
        <v>134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130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>
        <v>2.653</v>
      </c>
      <c r="O15">
        <f t="shared" ref="O15:O18" si="0">N15*M15</f>
        <v>10797.710000000001</v>
      </c>
    </row>
    <row r="16" spans="1:15" ht="25.5" customHeight="1">
      <c r="A16" s="20">
        <v>6</v>
      </c>
      <c r="B16" s="12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v>3.6230000000000002</v>
      </c>
      <c r="O16">
        <f t="shared" si="0"/>
        <v>15651.36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2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27">
        <v>9</v>
      </c>
      <c r="B20" s="38" t="s">
        <v>29</v>
      </c>
      <c r="C20" s="197">
        <v>7.758</v>
      </c>
      <c r="D20" s="198"/>
      <c r="E20" s="199"/>
      <c r="L20" s="30" t="s">
        <v>30</v>
      </c>
      <c r="N20" s="31"/>
    </row>
    <row r="21" spans="1:15" ht="25.5" customHeight="1">
      <c r="A21" s="127">
        <v>10</v>
      </c>
      <c r="B21" s="42" t="s">
        <v>31</v>
      </c>
      <c r="C21" s="170">
        <f>+I26</f>
        <v>437927.81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>
        <v>1.482</v>
      </c>
      <c r="O21">
        <f>N21*M21</f>
        <v>5735.34</v>
      </c>
    </row>
    <row r="22" spans="1:15" ht="25.5" customHeight="1">
      <c r="A22" s="20"/>
      <c r="B22" s="43"/>
      <c r="C22" s="124"/>
      <c r="D22" s="125"/>
      <c r="E22" s="12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405743.4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32184.41</v>
      </c>
      <c r="N25" s="55">
        <f>SUM(N15:N24)</f>
        <v>7.758</v>
      </c>
      <c r="O25" s="56">
        <f>SUM(O15:O24)</f>
        <v>32184.41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437927.81</v>
      </c>
    </row>
    <row r="27" spans="1:15" ht="25.5" customHeight="1">
      <c r="A27" s="20"/>
      <c r="B27" s="43"/>
      <c r="C27" s="124"/>
      <c r="D27" s="125"/>
      <c r="E27" s="12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21.654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9" workbookViewId="0">
      <selection activeCell="I22" sqref="I2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135</v>
      </c>
      <c r="D11" s="23" t="s">
        <v>71</v>
      </c>
      <c r="E11" s="24" t="s">
        <v>134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106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2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f>21.654-3.404</f>
        <v>18.25</v>
      </c>
      <c r="O16">
        <f t="shared" si="0"/>
        <v>78840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3.4039999999999999</v>
      </c>
      <c r="O17">
        <f t="shared" si="0"/>
        <v>15386.08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2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27">
        <v>9</v>
      </c>
      <c r="B20" s="38" t="s">
        <v>29</v>
      </c>
      <c r="C20" s="197">
        <v>21.654</v>
      </c>
      <c r="D20" s="198"/>
      <c r="E20" s="199"/>
      <c r="L20" s="30" t="s">
        <v>30</v>
      </c>
      <c r="N20" s="31"/>
    </row>
    <row r="21" spans="1:15" ht="25.5" customHeight="1">
      <c r="A21" s="127">
        <v>10</v>
      </c>
      <c r="B21" s="42" t="s">
        <v>31</v>
      </c>
      <c r="C21" s="170">
        <f>+I26</f>
        <v>1226730.28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24"/>
      <c r="D22" s="125"/>
      <c r="E22" s="12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1132504.2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94226.08</v>
      </c>
      <c r="N25" s="55">
        <f>SUM(N15:N24)</f>
        <v>21.654</v>
      </c>
      <c r="O25" s="56">
        <f>SUM(O15:O24)</f>
        <v>94226.08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1226730.28</v>
      </c>
    </row>
    <row r="27" spans="1:15" ht="25.5" customHeight="1">
      <c r="A27" s="20"/>
      <c r="B27" s="43"/>
      <c r="C27" s="124"/>
      <c r="D27" s="125"/>
      <c r="E27" s="12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90">
        <v>1.119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1.4390000000000001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0" workbookViewId="0">
      <selection activeCell="C34" sqref="C34:E34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136</v>
      </c>
      <c r="D11" s="23" t="s">
        <v>71</v>
      </c>
      <c r="E11" s="24" t="s">
        <v>137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106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>
        <v>1.9330000000000001</v>
      </c>
      <c r="O15">
        <f t="shared" ref="O15:O18" si="0">N15*M15</f>
        <v>7867.31</v>
      </c>
    </row>
    <row r="16" spans="1:15" ht="25.5" customHeight="1">
      <c r="A16" s="20">
        <v>6</v>
      </c>
      <c r="B16" s="12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f>2.481+0.511</f>
        <v>2.992</v>
      </c>
      <c r="O16">
        <f t="shared" si="0"/>
        <v>12925.44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f>2.076+2.408+0.285+0.644+0.843</f>
        <v>6.2560000000000002</v>
      </c>
      <c r="O17">
        <f t="shared" si="0"/>
        <v>28277.120000000003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2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27">
        <v>9</v>
      </c>
      <c r="B20" s="38" t="s">
        <v>29</v>
      </c>
      <c r="C20" s="197">
        <v>11.351000000000001</v>
      </c>
      <c r="D20" s="198"/>
      <c r="E20" s="199"/>
      <c r="L20" s="30" t="s">
        <v>30</v>
      </c>
      <c r="N20" s="31"/>
    </row>
    <row r="21" spans="1:15" ht="25.5" customHeight="1">
      <c r="A21" s="127">
        <v>10</v>
      </c>
      <c r="B21" s="42" t="s">
        <v>31</v>
      </c>
      <c r="C21" s="170">
        <f>+I26</f>
        <v>643427.57000000007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24"/>
      <c r="D22" s="125"/>
      <c r="E22" s="12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>
        <v>0.17</v>
      </c>
      <c r="O22">
        <f>N22*M22</f>
        <v>700.40000000000009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593657.30000000005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49770.270000000004</v>
      </c>
      <c r="N25" s="55">
        <f>SUM(N15:N24)</f>
        <v>11.351000000000001</v>
      </c>
      <c r="O25" s="56">
        <f>SUM(O15:O24)</f>
        <v>49770.270000000004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643427.57000000007</v>
      </c>
    </row>
    <row r="27" spans="1:15" ht="25.5" customHeight="1">
      <c r="A27" s="20"/>
      <c r="B27" s="43"/>
      <c r="C27" s="124"/>
      <c r="D27" s="125"/>
      <c r="E27" s="12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17.972999999999999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7" workbookViewId="0">
      <selection activeCell="N19" sqref="N19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138</v>
      </c>
      <c r="D11" s="23" t="s">
        <v>71</v>
      </c>
      <c r="E11" s="24" t="s">
        <v>137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139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2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>
        <v>17.972999999999999</v>
      </c>
      <c r="O18">
        <f t="shared" si="0"/>
        <v>88427.159999999989</v>
      </c>
    </row>
    <row r="19" spans="1:15" ht="25.5" customHeight="1">
      <c r="A19" s="12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27">
        <v>9</v>
      </c>
      <c r="B20" s="38" t="s">
        <v>29</v>
      </c>
      <c r="C20" s="197">
        <v>17.972999999999999</v>
      </c>
      <c r="D20" s="198"/>
      <c r="E20" s="199"/>
      <c r="L20" s="30" t="s">
        <v>30</v>
      </c>
      <c r="N20" s="31"/>
    </row>
    <row r="21" spans="1:15" ht="25.5" customHeight="1">
      <c r="A21" s="127">
        <v>10</v>
      </c>
      <c r="B21" s="42" t="s">
        <v>31</v>
      </c>
      <c r="C21" s="170">
        <f>+I26</f>
        <v>1028415.0599999999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24"/>
      <c r="D22" s="125"/>
      <c r="E22" s="12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939987.89999999991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88427.159999999989</v>
      </c>
      <c r="N25" s="55">
        <f>SUM(N15:N24)</f>
        <v>17.972999999999999</v>
      </c>
      <c r="O25" s="56">
        <f>SUM(O15:O24)</f>
        <v>88427.159999999989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1028415.0599999999</v>
      </c>
    </row>
    <row r="27" spans="1:15" ht="25.5" customHeight="1">
      <c r="A27" s="20"/>
      <c r="B27" s="43"/>
      <c r="C27" s="124"/>
      <c r="D27" s="125"/>
      <c r="E27" s="12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90">
        <v>1.1220000000000001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1.4430000000000001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24" workbookViewId="0">
      <selection activeCell="G33" sqref="G33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140</v>
      </c>
      <c r="D11" s="23" t="s">
        <v>71</v>
      </c>
      <c r="E11" s="24" t="s">
        <v>141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139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28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>
        <v>15.401</v>
      </c>
      <c r="O18">
        <f t="shared" si="0"/>
        <v>75772.92</v>
      </c>
    </row>
    <row r="19" spans="1:15" ht="25.5" customHeight="1">
      <c r="A19" s="127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27">
        <v>9</v>
      </c>
      <c r="B20" s="38" t="s">
        <v>29</v>
      </c>
      <c r="C20" s="197">
        <v>15.401</v>
      </c>
      <c r="D20" s="198"/>
      <c r="E20" s="199"/>
      <c r="L20" s="30" t="s">
        <v>30</v>
      </c>
      <c r="N20" s="31"/>
    </row>
    <row r="21" spans="1:15" ht="25.5" customHeight="1">
      <c r="A21" s="127">
        <v>10</v>
      </c>
      <c r="B21" s="42" t="s">
        <v>31</v>
      </c>
      <c r="C21" s="170">
        <f>+I26</f>
        <v>881245.22000000009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24"/>
      <c r="D22" s="125"/>
      <c r="E22" s="126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805472.3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75772.92</v>
      </c>
      <c r="N25" s="55">
        <f>SUM(N15:N24)</f>
        <v>15.401</v>
      </c>
      <c r="O25" s="56">
        <f>SUM(O15:O24)</f>
        <v>75772.92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881245.22000000009</v>
      </c>
    </row>
    <row r="27" spans="1:15" ht="25.5" customHeight="1">
      <c r="A27" s="20"/>
      <c r="B27" s="43"/>
      <c r="C27" s="124"/>
      <c r="D27" s="125"/>
      <c r="E27" s="126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14.159000000000001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1" workbookViewId="0">
      <selection activeCell="I23" sqref="I23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142</v>
      </c>
      <c r="D11" s="23" t="s">
        <v>7</v>
      </c>
      <c r="E11" s="24" t="s">
        <v>128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143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28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v>0.86</v>
      </c>
      <c r="O16">
        <f t="shared" si="0"/>
        <v>3715.2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27">
        <v>8</v>
      </c>
      <c r="B19" s="28" t="s">
        <v>28</v>
      </c>
      <c r="C19" s="129">
        <v>72162100</v>
      </c>
      <c r="D19" s="130"/>
      <c r="E19" s="131"/>
      <c r="N19" s="31"/>
    </row>
    <row r="20" spans="1:15" ht="27" customHeight="1">
      <c r="A20" s="127">
        <v>9</v>
      </c>
      <c r="B20" s="38" t="s">
        <v>29</v>
      </c>
      <c r="C20" s="39">
        <v>0.86</v>
      </c>
      <c r="D20" s="40"/>
      <c r="E20" s="41"/>
      <c r="L20" s="30" t="s">
        <v>30</v>
      </c>
      <c r="N20" s="31"/>
    </row>
    <row r="21" spans="1:15" ht="25.5" customHeight="1" thickBot="1">
      <c r="A21" s="127">
        <v>10</v>
      </c>
      <c r="B21" s="42" t="s">
        <v>31</v>
      </c>
      <c r="C21" s="170">
        <f>+I26</f>
        <v>50413.2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24"/>
      <c r="D22" s="125"/>
      <c r="E22" s="126"/>
      <c r="H22" s="47" t="s">
        <v>33</v>
      </c>
      <c r="I22" s="48">
        <v>54300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46698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3715.2</v>
      </c>
      <c r="N25" s="55">
        <f>SUM(N15:N24)</f>
        <v>0.86</v>
      </c>
      <c r="O25" s="56">
        <f>SUM(O15:O24)</f>
        <v>3715.2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50413.2</v>
      </c>
    </row>
    <row r="27" spans="1:15" ht="25.5" customHeight="1">
      <c r="A27" s="20"/>
      <c r="B27" s="43"/>
      <c r="C27" s="124"/>
      <c r="D27" s="125"/>
      <c r="E27" s="12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62">
        <v>0.39</v>
      </c>
      <c r="E31" s="63"/>
    </row>
    <row r="32" spans="1:15" ht="25.5" customHeight="1">
      <c r="A32" s="64"/>
      <c r="B32" s="65"/>
      <c r="C32" s="61" t="s">
        <v>47</v>
      </c>
      <c r="D32" s="62">
        <v>0.502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8" workbookViewId="0">
      <selection activeCell="C21" sqref="C21:E21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144</v>
      </c>
      <c r="D11" s="23" t="s">
        <v>7</v>
      </c>
      <c r="E11" s="24" t="s">
        <v>145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143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28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v>29.283999999999999</v>
      </c>
      <c r="O16">
        <f t="shared" si="0"/>
        <v>126506.87999999999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27">
        <v>8</v>
      </c>
      <c r="B19" s="28" t="s">
        <v>28</v>
      </c>
      <c r="C19" s="129">
        <v>72162100</v>
      </c>
      <c r="D19" s="130"/>
      <c r="E19" s="131"/>
      <c r="N19" s="31"/>
    </row>
    <row r="20" spans="1:15" ht="27" customHeight="1">
      <c r="A20" s="127">
        <v>9</v>
      </c>
      <c r="B20" s="38" t="s">
        <v>29</v>
      </c>
      <c r="C20" s="39">
        <v>29.283999999999999</v>
      </c>
      <c r="D20" s="40"/>
      <c r="E20" s="41"/>
      <c r="L20" s="30" t="s">
        <v>30</v>
      </c>
      <c r="N20" s="31"/>
    </row>
    <row r="21" spans="1:15" ht="25.5" customHeight="1" thickBot="1">
      <c r="A21" s="127">
        <v>10</v>
      </c>
      <c r="B21" s="42" t="s">
        <v>31</v>
      </c>
      <c r="C21" s="170">
        <f>+I26</f>
        <v>1716628.0799999998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24"/>
      <c r="D22" s="125"/>
      <c r="E22" s="126"/>
      <c r="H22" s="47" t="s">
        <v>33</v>
      </c>
      <c r="I22" s="48">
        <v>54300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1590121.2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126506.87999999999</v>
      </c>
      <c r="N25" s="55">
        <f>SUM(N15:N24)</f>
        <v>29.283999999999999</v>
      </c>
      <c r="O25" s="56">
        <f>SUM(O15:O24)</f>
        <v>126506.87999999999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1716628.0799999998</v>
      </c>
    </row>
    <row r="27" spans="1:15" ht="25.5" customHeight="1">
      <c r="A27" s="20"/>
      <c r="B27" s="43"/>
      <c r="C27" s="124"/>
      <c r="D27" s="125"/>
      <c r="E27" s="12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62">
        <v>1.1140000000000001</v>
      </c>
      <c r="E31" s="63"/>
    </row>
    <row r="32" spans="1:15" ht="25.5" customHeight="1">
      <c r="A32" s="64"/>
      <c r="B32" s="65"/>
      <c r="C32" s="61" t="s">
        <v>47</v>
      </c>
      <c r="D32" s="62">
        <v>1.4319999999999999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22" workbookViewId="0">
      <selection activeCell="H39" sqref="H39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21"/>
      <c r="B7" s="122"/>
      <c r="C7" s="122"/>
      <c r="D7" s="122"/>
      <c r="E7" s="123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27">
        <v>1</v>
      </c>
      <c r="B11" s="128" t="s">
        <v>6</v>
      </c>
      <c r="C11" s="22" t="s">
        <v>146</v>
      </c>
      <c r="D11" s="23" t="s">
        <v>7</v>
      </c>
      <c r="E11" s="24" t="s">
        <v>147</v>
      </c>
    </row>
    <row r="12" spans="1:15" ht="25.5" customHeight="1">
      <c r="A12" s="20">
        <v>2</v>
      </c>
      <c r="B12" s="128" t="s">
        <v>9</v>
      </c>
      <c r="C12" s="25" t="s">
        <v>121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143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28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28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v>2.5070000000000001</v>
      </c>
      <c r="O16">
        <f t="shared" si="0"/>
        <v>10830.24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27">
        <v>8</v>
      </c>
      <c r="B19" s="28" t="s">
        <v>28</v>
      </c>
      <c r="C19" s="129">
        <v>72162100</v>
      </c>
      <c r="D19" s="130"/>
      <c r="E19" s="131"/>
      <c r="N19" s="31"/>
    </row>
    <row r="20" spans="1:15" ht="27" customHeight="1">
      <c r="A20" s="127">
        <v>9</v>
      </c>
      <c r="B20" s="38" t="s">
        <v>29</v>
      </c>
      <c r="C20" s="39">
        <v>2.5070000000000001</v>
      </c>
      <c r="D20" s="40"/>
      <c r="E20" s="41"/>
      <c r="L20" s="30" t="s">
        <v>30</v>
      </c>
      <c r="N20" s="31"/>
    </row>
    <row r="21" spans="1:15" ht="25.5" customHeight="1" thickBot="1">
      <c r="A21" s="127">
        <v>10</v>
      </c>
      <c r="B21" s="42" t="s">
        <v>31</v>
      </c>
      <c r="C21" s="170">
        <f>+I26</f>
        <v>146960.34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24"/>
      <c r="D22" s="125"/>
      <c r="E22" s="126"/>
      <c r="H22" s="47" t="s">
        <v>33</v>
      </c>
      <c r="I22" s="48">
        <v>54300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24"/>
      <c r="D23" s="125"/>
      <c r="E23" s="126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24" t="s">
        <v>36</v>
      </c>
      <c r="D24" s="125"/>
      <c r="E24" s="126"/>
      <c r="H24" t="s">
        <v>37</v>
      </c>
      <c r="I24" s="52">
        <f>C20*I22</f>
        <v>136130.1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24" t="s">
        <v>36</v>
      </c>
      <c r="D25" s="125"/>
      <c r="E25" s="126"/>
      <c r="H25" s="53" t="s">
        <v>39</v>
      </c>
      <c r="I25" s="54">
        <f>+O25</f>
        <v>10830.24</v>
      </c>
      <c r="N25" s="55">
        <f>SUM(N15:N24)</f>
        <v>2.5070000000000001</v>
      </c>
      <c r="O25" s="56">
        <f>SUM(O15:O24)</f>
        <v>10830.24</v>
      </c>
    </row>
    <row r="26" spans="1:15" ht="25.5" customHeight="1" thickBot="1">
      <c r="A26" s="20"/>
      <c r="B26" s="51" t="s">
        <v>40</v>
      </c>
      <c r="C26" s="124" t="s">
        <v>36</v>
      </c>
      <c r="D26" s="125"/>
      <c r="E26" s="126"/>
      <c r="H26" s="57" t="s">
        <v>41</v>
      </c>
      <c r="I26" s="58">
        <f>+I25+I24</f>
        <v>146960.34</v>
      </c>
    </row>
    <row r="27" spans="1:15" ht="25.5" customHeight="1">
      <c r="A27" s="20"/>
      <c r="B27" s="43"/>
      <c r="C27" s="124"/>
      <c r="D27" s="125"/>
      <c r="E27" s="126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27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26.766999999999999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workbookViewId="0">
      <selection activeCell="N16" sqref="N1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7"/>
      <c r="B7" s="138"/>
      <c r="C7" s="138"/>
      <c r="D7" s="138"/>
      <c r="E7" s="139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35">
        <v>1</v>
      </c>
      <c r="B11" s="136" t="s">
        <v>6</v>
      </c>
      <c r="C11" s="22" t="s">
        <v>148</v>
      </c>
      <c r="D11" s="23" t="s">
        <v>7</v>
      </c>
      <c r="E11" s="24" t="s">
        <v>147</v>
      </c>
    </row>
    <row r="12" spans="1:15" ht="25.5" customHeight="1">
      <c r="A12" s="20">
        <v>2</v>
      </c>
      <c r="B12" s="136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150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36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36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26.766999999999999</v>
      </c>
      <c r="O17">
        <f t="shared" si="0"/>
        <v>120986.84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35">
        <v>8</v>
      </c>
      <c r="B19" s="28" t="s">
        <v>28</v>
      </c>
      <c r="C19" s="140">
        <v>72162100</v>
      </c>
      <c r="D19" s="141"/>
      <c r="E19" s="142"/>
      <c r="N19" s="31"/>
    </row>
    <row r="20" spans="1:15" ht="27" customHeight="1">
      <c r="A20" s="135">
        <v>9</v>
      </c>
      <c r="B20" s="38" t="s">
        <v>29</v>
      </c>
      <c r="C20" s="39">
        <v>26.766999999999999</v>
      </c>
      <c r="D20" s="40"/>
      <c r="E20" s="41"/>
      <c r="L20" s="30" t="s">
        <v>30</v>
      </c>
      <c r="N20" s="31"/>
    </row>
    <row r="21" spans="1:15" ht="25.5" customHeight="1" thickBot="1">
      <c r="A21" s="135">
        <v>10</v>
      </c>
      <c r="B21" s="42" t="s">
        <v>31</v>
      </c>
      <c r="C21" s="170">
        <f>+I26</f>
        <v>1574434.94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32"/>
      <c r="D22" s="133"/>
      <c r="E22" s="134"/>
      <c r="H22" s="47" t="s">
        <v>33</v>
      </c>
      <c r="I22" s="48">
        <v>54300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32"/>
      <c r="D23" s="133"/>
      <c r="E23" s="134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32" t="s">
        <v>36</v>
      </c>
      <c r="D24" s="133"/>
      <c r="E24" s="134"/>
      <c r="H24" t="s">
        <v>37</v>
      </c>
      <c r="I24" s="52">
        <f>C20*I22</f>
        <v>1453448.0999999999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32" t="s">
        <v>36</v>
      </c>
      <c r="D25" s="133"/>
      <c r="E25" s="134"/>
      <c r="H25" s="53" t="s">
        <v>39</v>
      </c>
      <c r="I25" s="54">
        <f>+O25</f>
        <v>120986.84</v>
      </c>
      <c r="N25" s="55">
        <f>SUM(N15:N24)</f>
        <v>26.766999999999999</v>
      </c>
      <c r="O25" s="56">
        <f>SUM(O15:O24)</f>
        <v>120986.84</v>
      </c>
    </row>
    <row r="26" spans="1:15" ht="25.5" customHeight="1" thickBot="1">
      <c r="A26" s="20"/>
      <c r="B26" s="51" t="s">
        <v>40</v>
      </c>
      <c r="C26" s="132" t="s">
        <v>36</v>
      </c>
      <c r="D26" s="133"/>
      <c r="E26" s="134"/>
      <c r="H26" s="57" t="s">
        <v>41</v>
      </c>
      <c r="I26" s="58">
        <f>+I25+I24</f>
        <v>1574434.94</v>
      </c>
    </row>
    <row r="27" spans="1:15" ht="25.5" customHeight="1">
      <c r="A27" s="20"/>
      <c r="B27" s="43"/>
      <c r="C27" s="132"/>
      <c r="D27" s="133"/>
      <c r="E27" s="134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35">
        <v>14</v>
      </c>
      <c r="B31" s="60" t="s">
        <v>45</v>
      </c>
      <c r="C31" s="61" t="s">
        <v>46</v>
      </c>
      <c r="D31" s="62">
        <v>1.1140000000000001</v>
      </c>
      <c r="E31" s="63"/>
    </row>
    <row r="32" spans="1:15" ht="25.5" customHeight="1">
      <c r="A32" s="64"/>
      <c r="B32" s="65"/>
      <c r="C32" s="61" t="s">
        <v>47</v>
      </c>
      <c r="D32" s="62">
        <v>1.4319999999999999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22" workbookViewId="0">
      <selection activeCell="C33" sqref="C33:E33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37"/>
      <c r="B7" s="138"/>
      <c r="C7" s="138"/>
      <c r="D7" s="138"/>
      <c r="E7" s="139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35">
        <v>1</v>
      </c>
      <c r="B11" s="136" t="s">
        <v>6</v>
      </c>
      <c r="C11" s="22" t="s">
        <v>151</v>
      </c>
      <c r="D11" s="23" t="s">
        <v>7</v>
      </c>
      <c r="E11" s="24" t="s">
        <v>152</v>
      </c>
    </row>
    <row r="12" spans="1:15" ht="25.5" customHeight="1">
      <c r="A12" s="20">
        <v>2</v>
      </c>
      <c r="B12" s="136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150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36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36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5.444</v>
      </c>
      <c r="O17">
        <f t="shared" si="0"/>
        <v>24606.880000000001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35">
        <v>8</v>
      </c>
      <c r="B19" s="28" t="s">
        <v>28</v>
      </c>
      <c r="C19" s="140">
        <v>72162100</v>
      </c>
      <c r="D19" s="141"/>
      <c r="E19" s="142"/>
      <c r="N19" s="31"/>
    </row>
    <row r="20" spans="1:15" ht="27" customHeight="1">
      <c r="A20" s="135">
        <v>9</v>
      </c>
      <c r="B20" s="38" t="s">
        <v>29</v>
      </c>
      <c r="C20" s="39">
        <v>5.444</v>
      </c>
      <c r="D20" s="40"/>
      <c r="E20" s="41"/>
      <c r="L20" s="30" t="s">
        <v>30</v>
      </c>
      <c r="N20" s="31"/>
    </row>
    <row r="21" spans="1:15" ht="25.5" customHeight="1" thickBot="1">
      <c r="A21" s="135">
        <v>10</v>
      </c>
      <c r="B21" s="42" t="s">
        <v>31</v>
      </c>
      <c r="C21" s="170">
        <f>+I26</f>
        <v>320216.08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32"/>
      <c r="D22" s="133"/>
      <c r="E22" s="134"/>
      <c r="H22" s="47" t="s">
        <v>33</v>
      </c>
      <c r="I22" s="48">
        <v>54300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32"/>
      <c r="D23" s="133"/>
      <c r="E23" s="134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32" t="s">
        <v>36</v>
      </c>
      <c r="D24" s="133"/>
      <c r="E24" s="134"/>
      <c r="H24" t="s">
        <v>37</v>
      </c>
      <c r="I24" s="52">
        <f>C20*I22</f>
        <v>295609.2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32" t="s">
        <v>36</v>
      </c>
      <c r="D25" s="133"/>
      <c r="E25" s="134"/>
      <c r="H25" s="53" t="s">
        <v>39</v>
      </c>
      <c r="I25" s="54">
        <f>+O25</f>
        <v>24606.880000000001</v>
      </c>
      <c r="N25" s="55">
        <f>SUM(N15:N24)</f>
        <v>5.444</v>
      </c>
      <c r="O25" s="56">
        <f>SUM(O15:O24)</f>
        <v>24606.880000000001</v>
      </c>
    </row>
    <row r="26" spans="1:15" ht="25.5" customHeight="1" thickBot="1">
      <c r="A26" s="20"/>
      <c r="B26" s="51" t="s">
        <v>40</v>
      </c>
      <c r="C26" s="132" t="s">
        <v>36</v>
      </c>
      <c r="D26" s="133"/>
      <c r="E26" s="134"/>
      <c r="H26" s="57" t="s">
        <v>41</v>
      </c>
      <c r="I26" s="58">
        <f>+I25+I24</f>
        <v>320216.08</v>
      </c>
    </row>
    <row r="27" spans="1:15" ht="25.5" customHeight="1">
      <c r="A27" s="20"/>
      <c r="B27" s="43"/>
      <c r="C27" s="132"/>
      <c r="D27" s="133"/>
      <c r="E27" s="134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35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17.917999999999999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16:E16"/>
    <mergeCell ref="A6:E6"/>
    <mergeCell ref="C10:E10"/>
    <mergeCell ref="C13:E13"/>
    <mergeCell ref="C14:E14"/>
    <mergeCell ref="C15:E15"/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</mergeCells>
  <pageMargins left="0.27" right="0.2" top="0.27" bottom="0.31" header="0.3" footer="0.3"/>
  <pageSetup paperSize="9" scale="93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2" workbookViewId="0">
      <selection activeCell="C20" sqref="C20:E20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153</v>
      </c>
      <c r="D11" s="23" t="s">
        <v>71</v>
      </c>
      <c r="E11" s="24" t="s">
        <v>154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155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>
        <f>0.23+5.353</f>
        <v>5.5830000000000002</v>
      </c>
      <c r="O15">
        <f t="shared" ref="O15:O18" si="0">N15*M15</f>
        <v>22722.81</v>
      </c>
    </row>
    <row r="16" spans="1:15" ht="25.5" customHeight="1">
      <c r="A16" s="20">
        <v>6</v>
      </c>
      <c r="B16" s="150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>
        <f>0.939+0.111</f>
        <v>1.05</v>
      </c>
      <c r="O16">
        <f t="shared" si="0"/>
        <v>4536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f>0.061+0.595+1.28</f>
        <v>1.9359999999999999</v>
      </c>
      <c r="O17">
        <f t="shared" si="0"/>
        <v>8750.7199999999993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>
        <v>22.113</v>
      </c>
      <c r="O18">
        <f t="shared" si="0"/>
        <v>108795.95999999999</v>
      </c>
    </row>
    <row r="19" spans="1:15" ht="25.5" customHeight="1">
      <c r="A19" s="149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49">
        <v>9</v>
      </c>
      <c r="B20" s="38" t="s">
        <v>29</v>
      </c>
      <c r="C20" s="197">
        <v>31.777999999999999</v>
      </c>
      <c r="D20" s="198"/>
      <c r="E20" s="199"/>
      <c r="L20" s="30" t="s">
        <v>30</v>
      </c>
      <c r="N20" s="31"/>
    </row>
    <row r="21" spans="1:15" ht="25.5" customHeight="1">
      <c r="A21" s="149">
        <v>10</v>
      </c>
      <c r="B21" s="42" t="s">
        <v>31</v>
      </c>
      <c r="C21" s="170">
        <f>+I26</f>
        <v>1811140.66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>
        <v>0.67900000000000005</v>
      </c>
      <c r="O21">
        <f>N21*M21</f>
        <v>2627.73</v>
      </c>
    </row>
    <row r="22" spans="1:15" ht="25.5" customHeight="1">
      <c r="A22" s="20"/>
      <c r="B22" s="43"/>
      <c r="C22" s="146"/>
      <c r="D22" s="147"/>
      <c r="E22" s="148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>
        <v>0.41699999999999998</v>
      </c>
      <c r="O22">
        <f>N22*M22</f>
        <v>1718.04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1661989.4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149151.26</v>
      </c>
      <c r="N25" s="55">
        <f>SUM(N15:N24)</f>
        <v>31.777999999999999</v>
      </c>
      <c r="O25" s="56">
        <f>SUM(O15:O24)</f>
        <v>149151.26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1811140.66</v>
      </c>
    </row>
    <row r="27" spans="1:15" ht="25.5" customHeight="1">
      <c r="A27" s="20"/>
      <c r="B27" s="43"/>
      <c r="C27" s="146"/>
      <c r="D27" s="147"/>
      <c r="E27" s="148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5.657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22" workbookViewId="0">
      <selection activeCell="N18" sqref="N18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156</v>
      </c>
      <c r="D11" s="23" t="s">
        <v>7</v>
      </c>
      <c r="E11" s="24" t="s">
        <v>152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157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50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5.4349999999999996</v>
      </c>
      <c r="O17">
        <f t="shared" si="0"/>
        <v>24566.199999999997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49">
        <v>8</v>
      </c>
      <c r="B19" s="28" t="s">
        <v>28</v>
      </c>
      <c r="C19" s="151">
        <v>72162100</v>
      </c>
      <c r="D19" s="152"/>
      <c r="E19" s="153"/>
      <c r="N19" s="31"/>
    </row>
    <row r="20" spans="1:15" ht="27" customHeight="1">
      <c r="A20" s="149">
        <v>9</v>
      </c>
      <c r="B20" s="38" t="s">
        <v>29</v>
      </c>
      <c r="C20" s="39">
        <v>17.917999999999999</v>
      </c>
      <c r="D20" s="40"/>
      <c r="E20" s="41"/>
      <c r="L20" s="30" t="s">
        <v>30</v>
      </c>
      <c r="N20" s="31"/>
    </row>
    <row r="21" spans="1:15" ht="25.5" customHeight="1" thickBot="1">
      <c r="A21" s="149">
        <v>10</v>
      </c>
      <c r="B21" s="42" t="s">
        <v>31</v>
      </c>
      <c r="C21" s="170">
        <f>+I26</f>
        <v>1048943.5599999998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46"/>
      <c r="D22" s="147"/>
      <c r="E22" s="148"/>
      <c r="H22" s="47" t="s">
        <v>33</v>
      </c>
      <c r="I22" s="48">
        <v>54300</v>
      </c>
      <c r="J22" s="49"/>
      <c r="K22" t="s">
        <v>30</v>
      </c>
      <c r="L22" t="s">
        <v>22</v>
      </c>
      <c r="M22">
        <f>3150+670+300</f>
        <v>4120</v>
      </c>
      <c r="N22" s="31">
        <f>1.818+10.665</f>
        <v>12.482999999999999</v>
      </c>
      <c r="O22">
        <f>N22*M22</f>
        <v>51429.959999999992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972947.39999999991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75996.159999999989</v>
      </c>
      <c r="N25" s="55">
        <f>SUM(N15:N24)</f>
        <v>17.917999999999999</v>
      </c>
      <c r="O25" s="56">
        <f>SUM(O15:O24)</f>
        <v>75996.159999999989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1048943.5599999998</v>
      </c>
    </row>
    <row r="27" spans="1:15" ht="25.5" customHeight="1">
      <c r="A27" s="20"/>
      <c r="B27" s="43"/>
      <c r="C27" s="146"/>
      <c r="D27" s="147"/>
      <c r="E27" s="148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62">
        <v>0.88900000000000001</v>
      </c>
      <c r="E31" s="63"/>
    </row>
    <row r="32" spans="1:15" ht="25.5" customHeight="1">
      <c r="A32" s="64"/>
      <c r="B32" s="65"/>
      <c r="C32" s="61" t="s">
        <v>47</v>
      </c>
      <c r="D32" s="62">
        <v>1.143</v>
      </c>
      <c r="E32" s="63"/>
    </row>
    <row r="33" spans="1:5">
      <c r="A33" s="20">
        <v>15</v>
      </c>
      <c r="B33" s="43" t="s">
        <v>48</v>
      </c>
      <c r="C33" s="157"/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topLeftCell="A3" workbookViewId="0">
      <selection activeCell="F16" sqref="F1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bestFit="1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8.42578125" bestFit="1" customWidth="1"/>
    <col min="15" max="15" width="8.42578125" customWidth="1"/>
  </cols>
  <sheetData>
    <row r="1" spans="1:15" ht="15.75" thickBot="1">
      <c r="A1" s="1"/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158</v>
      </c>
      <c r="D11" s="23" t="s">
        <v>7</v>
      </c>
      <c r="E11" s="24" t="s">
        <v>159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157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50" t="s">
        <v>20</v>
      </c>
      <c r="C16" s="176" t="s">
        <v>21</v>
      </c>
      <c r="D16" s="177"/>
      <c r="E16" s="178"/>
      <c r="K16" t="s">
        <v>13</v>
      </c>
      <c r="L16" t="s">
        <v>22</v>
      </c>
      <c r="M16">
        <f>3350+670+300</f>
        <v>4320</v>
      </c>
      <c r="N16" s="31">
        <v>10.394</v>
      </c>
      <c r="O16">
        <f t="shared" si="0"/>
        <v>44902.080000000002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f>1.777+3.143-1</f>
        <v>3.92</v>
      </c>
      <c r="O17">
        <f t="shared" si="0"/>
        <v>17718.400000000001</v>
      </c>
    </row>
    <row r="18" spans="1:15" ht="25.5" customHeight="1">
      <c r="A18" s="161"/>
      <c r="B18" s="163"/>
      <c r="C18" s="167" t="s">
        <v>26</v>
      </c>
      <c r="D18" s="168"/>
      <c r="E18" s="169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49">
        <v>8</v>
      </c>
      <c r="B19" s="28" t="s">
        <v>28</v>
      </c>
      <c r="C19" s="151">
        <v>72162100</v>
      </c>
      <c r="D19" s="152"/>
      <c r="E19" s="153"/>
      <c r="N19" s="31"/>
    </row>
    <row r="20" spans="1:15" ht="27" customHeight="1">
      <c r="A20" s="149">
        <v>9</v>
      </c>
      <c r="B20" s="38" t="s">
        <v>29</v>
      </c>
      <c r="C20" s="39">
        <v>14.314</v>
      </c>
      <c r="D20" s="40"/>
      <c r="E20" s="41"/>
      <c r="L20" s="30" t="s">
        <v>30</v>
      </c>
      <c r="N20" s="31"/>
    </row>
    <row r="21" spans="1:15" ht="25.5" customHeight="1" thickBot="1">
      <c r="A21" s="149">
        <v>10</v>
      </c>
      <c r="B21" s="42" t="s">
        <v>31</v>
      </c>
      <c r="C21" s="170">
        <f>+I26</f>
        <v>839870.67999999993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 thickBot="1">
      <c r="A22" s="20"/>
      <c r="B22" s="43"/>
      <c r="C22" s="146"/>
      <c r="D22" s="147"/>
      <c r="E22" s="148"/>
      <c r="H22" s="47" t="s">
        <v>33</v>
      </c>
      <c r="I22" s="48">
        <v>54300</v>
      </c>
      <c r="J22" s="49"/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I23" s="50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777250.2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62620.480000000003</v>
      </c>
      <c r="N25" s="55">
        <f>SUM(N15:N24)</f>
        <v>14.314</v>
      </c>
      <c r="O25" s="56">
        <f>SUM(O15:O24)</f>
        <v>62620.480000000003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839870.67999999993</v>
      </c>
    </row>
    <row r="27" spans="1:15" ht="25.5" customHeight="1">
      <c r="A27" s="20"/>
      <c r="B27" s="43"/>
      <c r="C27" s="146"/>
      <c r="D27" s="147"/>
      <c r="E27" s="148"/>
      <c r="I27" s="30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62"/>
      <c r="E31" s="63"/>
    </row>
    <row r="32" spans="1:15" ht="25.5" customHeight="1">
      <c r="A32" s="64"/>
      <c r="B32" s="65"/>
      <c r="C32" s="61" t="s">
        <v>47</v>
      </c>
      <c r="D32" s="62"/>
      <c r="E32" s="63"/>
    </row>
    <row r="33" spans="1:5">
      <c r="A33" s="20">
        <v>15</v>
      </c>
      <c r="B33" s="43" t="s">
        <v>48</v>
      </c>
      <c r="C33" s="157">
        <v>13.896000000000001</v>
      </c>
      <c r="D33" s="158"/>
      <c r="E33" s="159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6">
    <mergeCell ref="C29:E29"/>
    <mergeCell ref="C30:E30"/>
    <mergeCell ref="C33:E33"/>
    <mergeCell ref="C34:E34"/>
    <mergeCell ref="A17:A18"/>
    <mergeCell ref="B17:B18"/>
    <mergeCell ref="C17:E17"/>
    <mergeCell ref="C18:E18"/>
    <mergeCell ref="C21:E21"/>
    <mergeCell ref="C28:E28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8" workbookViewId="0">
      <selection activeCell="N16" sqref="N1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160</v>
      </c>
      <c r="D11" s="23" t="s">
        <v>71</v>
      </c>
      <c r="E11" s="24" t="s">
        <v>154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77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>
        <v>5.657</v>
      </c>
      <c r="O15">
        <f t="shared" ref="O15:O18" si="0">N15*M15</f>
        <v>23023.99</v>
      </c>
    </row>
    <row r="16" spans="1:15" ht="25.5" customHeight="1">
      <c r="A16" s="20">
        <v>6</v>
      </c>
      <c r="B16" s="150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49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49">
        <v>9</v>
      </c>
      <c r="B20" s="38" t="s">
        <v>29</v>
      </c>
      <c r="C20" s="197">
        <v>5.657</v>
      </c>
      <c r="D20" s="198"/>
      <c r="E20" s="199"/>
      <c r="L20" s="30" t="s">
        <v>30</v>
      </c>
      <c r="N20" s="31"/>
    </row>
    <row r="21" spans="1:15" ht="25.5" customHeight="1">
      <c r="A21" s="149">
        <v>10</v>
      </c>
      <c r="B21" s="42" t="s">
        <v>31</v>
      </c>
      <c r="C21" s="170">
        <f>+I26</f>
        <v>318885.08999999997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46"/>
      <c r="D22" s="147"/>
      <c r="E22" s="148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295861.09999999998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23023.99</v>
      </c>
      <c r="N25" s="55">
        <f>SUM(N15:N24)</f>
        <v>5.657</v>
      </c>
      <c r="O25" s="56">
        <f>SUM(O15:O24)</f>
        <v>23023.99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318885.08999999997</v>
      </c>
    </row>
    <row r="27" spans="1:15" ht="25.5" customHeight="1">
      <c r="A27" s="20"/>
      <c r="B27" s="43"/>
      <c r="C27" s="146"/>
      <c r="D27" s="147"/>
      <c r="E27" s="148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90">
        <v>1.4239999999999999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1.831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5" workbookViewId="0">
      <selection activeCell="N16" sqref="N1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161</v>
      </c>
      <c r="D11" s="23" t="s">
        <v>71</v>
      </c>
      <c r="E11" s="24" t="s">
        <v>141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77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>
        <v>14.159000000000001</v>
      </c>
      <c r="O15">
        <f t="shared" ref="O15:O18" si="0">N15*M15</f>
        <v>57627.130000000005</v>
      </c>
    </row>
    <row r="16" spans="1:15" ht="25.5" customHeight="1">
      <c r="A16" s="20">
        <v>6</v>
      </c>
      <c r="B16" s="150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49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49">
        <v>9</v>
      </c>
      <c r="B20" s="38" t="s">
        <v>29</v>
      </c>
      <c r="C20" s="197">
        <v>14.159000000000001</v>
      </c>
      <c r="D20" s="198"/>
      <c r="E20" s="199"/>
      <c r="L20" s="30" t="s">
        <v>30</v>
      </c>
      <c r="N20" s="31"/>
    </row>
    <row r="21" spans="1:15" ht="25.5" customHeight="1">
      <c r="A21" s="149">
        <v>10</v>
      </c>
      <c r="B21" s="42" t="s">
        <v>31</v>
      </c>
      <c r="C21" s="170">
        <f>+I26</f>
        <v>798142.83000000007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46"/>
      <c r="D22" s="147"/>
      <c r="E22" s="148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740515.70000000007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57627.130000000005</v>
      </c>
      <c r="N25" s="55">
        <f>SUM(N15:N24)</f>
        <v>14.159000000000001</v>
      </c>
      <c r="O25" s="56">
        <f>SUM(O15:O24)</f>
        <v>57627.130000000005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798142.83000000007</v>
      </c>
    </row>
    <row r="27" spans="1:15" ht="25.5" customHeight="1">
      <c r="A27" s="20"/>
      <c r="B27" s="43"/>
      <c r="C27" s="146"/>
      <c r="D27" s="147"/>
      <c r="E27" s="148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90">
        <v>1.125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1.446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27" workbookViewId="0">
      <selection activeCell="N16" sqref="N16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162</v>
      </c>
      <c r="D11" s="23" t="s">
        <v>71</v>
      </c>
      <c r="E11" s="24" t="s">
        <v>163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77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>
        <v>9.5389999999999997</v>
      </c>
      <c r="O15">
        <f t="shared" ref="O15:O18" si="0">N15*M15</f>
        <v>38823.729999999996</v>
      </c>
    </row>
    <row r="16" spans="1:15" ht="25.5" customHeight="1">
      <c r="A16" s="20">
        <v>6</v>
      </c>
      <c r="B16" s="150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49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49">
        <v>9</v>
      </c>
      <c r="B20" s="38" t="s">
        <v>29</v>
      </c>
      <c r="C20" s="197">
        <v>9.5389999999999997</v>
      </c>
      <c r="D20" s="198"/>
      <c r="E20" s="199"/>
      <c r="L20" s="30" t="s">
        <v>30</v>
      </c>
      <c r="N20" s="31"/>
    </row>
    <row r="21" spans="1:15" ht="25.5" customHeight="1">
      <c r="A21" s="149">
        <v>10</v>
      </c>
      <c r="B21" s="42" t="s">
        <v>31</v>
      </c>
      <c r="C21" s="170">
        <f>+I26</f>
        <v>537713.43000000005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46"/>
      <c r="D22" s="147"/>
      <c r="E22" s="148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498889.7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38823.729999999996</v>
      </c>
      <c r="N25" s="55">
        <f>SUM(N15:N24)</f>
        <v>9.5389999999999997</v>
      </c>
      <c r="O25" s="56">
        <f>SUM(O15:O24)</f>
        <v>38823.729999999996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537713.43000000005</v>
      </c>
    </row>
    <row r="27" spans="1:15" ht="25.5" customHeight="1">
      <c r="A27" s="20"/>
      <c r="B27" s="43"/>
      <c r="C27" s="146"/>
      <c r="D27" s="147"/>
      <c r="E27" s="148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20.067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25" workbookViewId="0">
      <selection activeCell="I22" sqref="I22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164</v>
      </c>
      <c r="D11" s="23" t="s">
        <v>71</v>
      </c>
      <c r="E11" s="24" t="s">
        <v>163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106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50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>
        <v>20.067</v>
      </c>
      <c r="O18">
        <f t="shared" si="0"/>
        <v>98729.64</v>
      </c>
    </row>
    <row r="19" spans="1:15" ht="25.5" customHeight="1">
      <c r="A19" s="149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49">
        <v>9</v>
      </c>
      <c r="B20" s="38" t="s">
        <v>29</v>
      </c>
      <c r="C20" s="197">
        <v>20.067</v>
      </c>
      <c r="D20" s="198"/>
      <c r="E20" s="199"/>
      <c r="L20" s="30" t="s">
        <v>30</v>
      </c>
      <c r="N20" s="31"/>
    </row>
    <row r="21" spans="1:15" ht="25.5" customHeight="1">
      <c r="A21" s="149">
        <v>10</v>
      </c>
      <c r="B21" s="42" t="s">
        <v>31</v>
      </c>
      <c r="C21" s="170">
        <f>+I26</f>
        <v>1148233.74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46"/>
      <c r="D22" s="147"/>
      <c r="E22" s="148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1049504.1000000001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98729.64</v>
      </c>
      <c r="N25" s="55">
        <f>SUM(N15:N24)</f>
        <v>20.067</v>
      </c>
      <c r="O25" s="56">
        <f>SUM(O15:O24)</f>
        <v>98729.64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1148233.74</v>
      </c>
    </row>
    <row r="27" spans="1:15" ht="25.5" customHeight="1">
      <c r="A27" s="20"/>
      <c r="B27" s="43"/>
      <c r="C27" s="146"/>
      <c r="D27" s="147"/>
      <c r="E27" s="148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90">
        <v>1.1259999999999999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1.448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9" workbookViewId="0">
      <selection activeCell="N19" sqref="N19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165</v>
      </c>
      <c r="D11" s="23" t="s">
        <v>71</v>
      </c>
      <c r="E11" s="24" t="s">
        <v>166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106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50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/>
      <c r="O17">
        <f t="shared" si="0"/>
        <v>0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>
        <v>12.651999999999999</v>
      </c>
      <c r="O18">
        <f t="shared" si="0"/>
        <v>62247.839999999997</v>
      </c>
    </row>
    <row r="19" spans="1:15" ht="25.5" customHeight="1">
      <c r="A19" s="149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49">
        <v>9</v>
      </c>
      <c r="B20" s="38" t="s">
        <v>29</v>
      </c>
      <c r="C20" s="197">
        <v>12.651999999999999</v>
      </c>
      <c r="D20" s="198"/>
      <c r="E20" s="199"/>
      <c r="L20" s="30" t="s">
        <v>30</v>
      </c>
      <c r="N20" s="31"/>
    </row>
    <row r="21" spans="1:15" ht="25.5" customHeight="1">
      <c r="A21" s="149">
        <v>10</v>
      </c>
      <c r="B21" s="42" t="s">
        <v>31</v>
      </c>
      <c r="C21" s="170">
        <f>+I26</f>
        <v>723947.44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46"/>
      <c r="D22" s="147"/>
      <c r="E22" s="148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661699.6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62247.839999999997</v>
      </c>
      <c r="N25" s="55">
        <f>SUM(N15:N24)</f>
        <v>12.651999999999999</v>
      </c>
      <c r="O25" s="56">
        <f>SUM(O15:O24)</f>
        <v>62247.839999999997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723947.44</v>
      </c>
    </row>
    <row r="27" spans="1:15" ht="25.5" customHeight="1">
      <c r="A27" s="20"/>
      <c r="B27" s="43"/>
      <c r="C27" s="146"/>
      <c r="D27" s="147"/>
      <c r="E27" s="148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24.884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2" workbookViewId="0">
      <selection activeCell="N18" sqref="N18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167</v>
      </c>
      <c r="D11" s="23" t="s">
        <v>71</v>
      </c>
      <c r="E11" s="24" t="s">
        <v>166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168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50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24.884</v>
      </c>
      <c r="O17">
        <f t="shared" si="0"/>
        <v>112475.68000000001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49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49">
        <v>9</v>
      </c>
      <c r="B20" s="38" t="s">
        <v>29</v>
      </c>
      <c r="C20" s="197">
        <v>24.884</v>
      </c>
      <c r="D20" s="198"/>
      <c r="E20" s="199"/>
      <c r="L20" s="30" t="s">
        <v>30</v>
      </c>
      <c r="N20" s="31"/>
    </row>
    <row r="21" spans="1:15" ht="25.5" customHeight="1">
      <c r="A21" s="149">
        <v>10</v>
      </c>
      <c r="B21" s="42" t="s">
        <v>31</v>
      </c>
      <c r="C21" s="170">
        <f>+I26</f>
        <v>1413908.88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46"/>
      <c r="D22" s="147"/>
      <c r="E22" s="148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1301433.2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112475.68000000001</v>
      </c>
      <c r="N25" s="55">
        <f>SUM(N15:N24)</f>
        <v>24.884</v>
      </c>
      <c r="O25" s="56">
        <f>SUM(O15:O24)</f>
        <v>112475.68000000001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1413908.88</v>
      </c>
    </row>
    <row r="27" spans="1:15" ht="25.5" customHeight="1">
      <c r="A27" s="20"/>
      <c r="B27" s="43"/>
      <c r="C27" s="146"/>
      <c r="D27" s="147"/>
      <c r="E27" s="148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90">
        <v>1.4279999999999999</v>
      </c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>
        <v>1.8360000000000001</v>
      </c>
      <c r="E32" s="63"/>
    </row>
    <row r="33" spans="1:5">
      <c r="A33" s="20">
        <v>15</v>
      </c>
      <c r="B33" s="43" t="s">
        <v>48</v>
      </c>
      <c r="C33" s="191"/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opLeftCell="A18" workbookViewId="0">
      <selection activeCell="E25" sqref="E25"/>
    </sheetView>
  </sheetViews>
  <sheetFormatPr defaultRowHeight="15"/>
  <cols>
    <col min="2" max="2" width="36.140625" bestFit="1" customWidth="1"/>
    <col min="3" max="3" width="14.42578125" customWidth="1"/>
    <col min="4" max="4" width="28.7109375" customWidth="1"/>
    <col min="5" max="5" width="18.28515625" customWidth="1"/>
    <col min="6" max="7" width="3" customWidth="1"/>
    <col min="8" max="8" width="21.5703125" customWidth="1"/>
    <col min="9" max="9" width="8.5703125" customWidth="1"/>
    <col min="10" max="10" width="2.42578125" customWidth="1"/>
    <col min="11" max="11" width="3.7109375" bestFit="1" customWidth="1"/>
    <col min="12" max="12" width="10.28515625" bestFit="1" customWidth="1"/>
    <col min="13" max="13" width="5.42578125" bestFit="1" customWidth="1"/>
    <col min="14" max="14" width="9.5703125" bestFit="1" customWidth="1"/>
    <col min="15" max="15" width="9.140625" bestFit="1" customWidth="1"/>
  </cols>
  <sheetData>
    <row r="1" spans="1:15" ht="15.75" thickBot="1">
      <c r="A1" s="1" t="s">
        <v>70</v>
      </c>
      <c r="B1" s="2"/>
      <c r="C1" s="3" t="s">
        <v>0</v>
      </c>
      <c r="D1" s="4"/>
      <c r="E1" s="5"/>
    </row>
    <row r="2" spans="1:15" ht="15.75" thickBot="1">
      <c r="A2" s="6"/>
      <c r="B2" s="7"/>
      <c r="C2" s="8" t="s">
        <v>1</v>
      </c>
      <c r="D2" s="9"/>
      <c r="E2" s="5"/>
    </row>
    <row r="3" spans="1:15" ht="15.75" thickBot="1">
      <c r="A3" s="6"/>
      <c r="B3" s="7"/>
      <c r="C3" s="8" t="s">
        <v>2</v>
      </c>
      <c r="D3" s="9"/>
      <c r="E3" s="10"/>
    </row>
    <row r="4" spans="1:15">
      <c r="A4" s="6"/>
      <c r="B4" s="7"/>
      <c r="C4" s="11"/>
      <c r="D4" s="11"/>
      <c r="E4" s="12"/>
    </row>
    <row r="5" spans="1:15">
      <c r="A5" s="6"/>
      <c r="B5" s="7"/>
      <c r="C5" s="11"/>
      <c r="D5" s="11"/>
      <c r="E5" s="12"/>
    </row>
    <row r="6" spans="1:15" ht="18">
      <c r="A6" s="179" t="s">
        <v>3</v>
      </c>
      <c r="B6" s="180"/>
      <c r="C6" s="180"/>
      <c r="D6" s="180"/>
      <c r="E6" s="181"/>
    </row>
    <row r="7" spans="1:15" ht="18">
      <c r="A7" s="143"/>
      <c r="B7" s="144"/>
      <c r="C7" s="144"/>
      <c r="D7" s="144"/>
      <c r="E7" s="145"/>
    </row>
    <row r="8" spans="1:15">
      <c r="A8" s="16"/>
      <c r="B8" s="17"/>
      <c r="C8" s="18"/>
      <c r="D8" s="18"/>
      <c r="E8" s="19"/>
    </row>
    <row r="9" spans="1:15">
      <c r="A9" s="16"/>
      <c r="B9" s="17"/>
      <c r="C9" s="18"/>
      <c r="D9" s="18"/>
      <c r="E9" s="19"/>
    </row>
    <row r="10" spans="1:15">
      <c r="A10" s="20" t="s">
        <v>4</v>
      </c>
      <c r="B10" s="21" t="s">
        <v>5</v>
      </c>
      <c r="C10" s="154"/>
      <c r="D10" s="155"/>
      <c r="E10" s="156"/>
    </row>
    <row r="11" spans="1:15" ht="25.5" customHeight="1">
      <c r="A11" s="149">
        <v>1</v>
      </c>
      <c r="B11" s="150" t="s">
        <v>6</v>
      </c>
      <c r="C11" s="22" t="s">
        <v>169</v>
      </c>
      <c r="D11" s="23" t="s">
        <v>71</v>
      </c>
      <c r="E11" s="24" t="s">
        <v>170</v>
      </c>
    </row>
    <row r="12" spans="1:15" ht="25.5" customHeight="1">
      <c r="A12" s="20">
        <v>2</v>
      </c>
      <c r="B12" s="150" t="s">
        <v>9</v>
      </c>
      <c r="C12" s="25" t="s">
        <v>149</v>
      </c>
      <c r="D12" s="26"/>
      <c r="E12" s="27"/>
    </row>
    <row r="13" spans="1:15" ht="25.5" customHeight="1">
      <c r="A13" s="20">
        <v>3</v>
      </c>
      <c r="B13" s="28" t="s">
        <v>10</v>
      </c>
      <c r="C13" s="182" t="s">
        <v>168</v>
      </c>
      <c r="D13" s="183"/>
      <c r="E13" s="184"/>
    </row>
    <row r="14" spans="1:15" ht="25.5" customHeight="1">
      <c r="A14" s="20">
        <v>4</v>
      </c>
      <c r="B14" s="29" t="s">
        <v>11</v>
      </c>
      <c r="C14" s="185" t="s">
        <v>12</v>
      </c>
      <c r="D14" s="186"/>
      <c r="E14" s="187"/>
      <c r="L14" s="30" t="s">
        <v>13</v>
      </c>
      <c r="M14" t="s">
        <v>14</v>
      </c>
      <c r="N14" t="s">
        <v>15</v>
      </c>
      <c r="O14" t="s">
        <v>16</v>
      </c>
    </row>
    <row r="15" spans="1:15" ht="25.5" customHeight="1">
      <c r="A15" s="20">
        <v>5</v>
      </c>
      <c r="B15" s="150" t="s">
        <v>17</v>
      </c>
      <c r="C15" s="185" t="s">
        <v>18</v>
      </c>
      <c r="D15" s="186"/>
      <c r="E15" s="187"/>
      <c r="K15" t="s">
        <v>13</v>
      </c>
      <c r="L15" t="s">
        <v>19</v>
      </c>
      <c r="M15">
        <f>3100+670+300</f>
        <v>4070</v>
      </c>
      <c r="N15" s="31"/>
      <c r="O15">
        <f t="shared" ref="O15:O18" si="0">N15*M15</f>
        <v>0</v>
      </c>
    </row>
    <row r="16" spans="1:15" ht="25.5" customHeight="1">
      <c r="A16" s="20">
        <v>6</v>
      </c>
      <c r="B16" s="150" t="s">
        <v>20</v>
      </c>
      <c r="C16" s="188" t="s">
        <v>72</v>
      </c>
      <c r="D16" s="189"/>
      <c r="E16" s="190"/>
      <c r="K16" t="s">
        <v>13</v>
      </c>
      <c r="L16" t="s">
        <v>22</v>
      </c>
      <c r="M16">
        <f>3350+670+300</f>
        <v>4320</v>
      </c>
      <c r="N16" s="31"/>
      <c r="O16">
        <f t="shared" si="0"/>
        <v>0</v>
      </c>
    </row>
    <row r="17" spans="1:15" ht="25.5" customHeight="1">
      <c r="A17" s="160">
        <v>7</v>
      </c>
      <c r="B17" s="162" t="s">
        <v>23</v>
      </c>
      <c r="C17" s="164" t="s">
        <v>24</v>
      </c>
      <c r="D17" s="165"/>
      <c r="E17" s="166"/>
      <c r="K17" t="s">
        <v>13</v>
      </c>
      <c r="L17" t="s">
        <v>25</v>
      </c>
      <c r="M17">
        <f>3550+670+300</f>
        <v>4520</v>
      </c>
      <c r="N17" s="31">
        <v>7.6870000000000003</v>
      </c>
      <c r="O17">
        <f t="shared" si="0"/>
        <v>34745.24</v>
      </c>
    </row>
    <row r="18" spans="1:15" ht="25.5" customHeight="1">
      <c r="A18" s="161"/>
      <c r="B18" s="163"/>
      <c r="C18" s="164" t="s">
        <v>73</v>
      </c>
      <c r="D18" s="165"/>
      <c r="E18" s="166"/>
      <c r="G18" s="34"/>
      <c r="K18" t="s">
        <v>13</v>
      </c>
      <c r="L18" t="s">
        <v>27</v>
      </c>
      <c r="M18">
        <f>3950+670+300</f>
        <v>4920</v>
      </c>
      <c r="N18" s="31"/>
      <c r="O18">
        <f t="shared" si="0"/>
        <v>0</v>
      </c>
    </row>
    <row r="19" spans="1:15" ht="25.5" customHeight="1">
      <c r="A19" s="149">
        <v>8</v>
      </c>
      <c r="B19" s="28" t="s">
        <v>28</v>
      </c>
      <c r="C19" s="194">
        <v>72162100</v>
      </c>
      <c r="D19" s="195"/>
      <c r="E19" s="196"/>
      <c r="N19" s="31"/>
    </row>
    <row r="20" spans="1:15" ht="27" customHeight="1">
      <c r="A20" s="149">
        <v>9</v>
      </c>
      <c r="B20" s="38" t="s">
        <v>29</v>
      </c>
      <c r="C20" s="197">
        <v>7.6870000000000003</v>
      </c>
      <c r="D20" s="198"/>
      <c r="E20" s="199"/>
      <c r="L20" s="30" t="s">
        <v>30</v>
      </c>
      <c r="N20" s="31"/>
    </row>
    <row r="21" spans="1:15" ht="25.5" customHeight="1">
      <c r="A21" s="149">
        <v>10</v>
      </c>
      <c r="B21" s="42" t="s">
        <v>31</v>
      </c>
      <c r="C21" s="170">
        <f>+I26</f>
        <v>436775.34</v>
      </c>
      <c r="D21" s="171"/>
      <c r="E21" s="172"/>
      <c r="H21" t="s">
        <v>32</v>
      </c>
      <c r="K21" t="s">
        <v>30</v>
      </c>
      <c r="L21" t="s">
        <v>19</v>
      </c>
      <c r="M21">
        <f>2900+670+300</f>
        <v>3870</v>
      </c>
      <c r="N21" s="31"/>
      <c r="O21">
        <f>N21*M21</f>
        <v>0</v>
      </c>
    </row>
    <row r="22" spans="1:15" ht="25.5" customHeight="1">
      <c r="A22" s="20"/>
      <c r="B22" s="43"/>
      <c r="C22" s="146"/>
      <c r="D22" s="147"/>
      <c r="E22" s="148"/>
      <c r="H22" t="s">
        <v>33</v>
      </c>
      <c r="I22" s="89">
        <v>52300</v>
      </c>
      <c r="K22" t="s">
        <v>30</v>
      </c>
      <c r="L22" t="s">
        <v>22</v>
      </c>
      <c r="M22">
        <f>3150+670+300</f>
        <v>4120</v>
      </c>
      <c r="N22" s="31"/>
      <c r="O22">
        <f>N22*M22</f>
        <v>0</v>
      </c>
    </row>
    <row r="23" spans="1:15" ht="25.5" customHeight="1">
      <c r="A23" s="20">
        <v>11</v>
      </c>
      <c r="B23" s="43" t="s">
        <v>34</v>
      </c>
      <c r="C23" s="146"/>
      <c r="D23" s="147"/>
      <c r="E23" s="148"/>
      <c r="K23" t="s">
        <v>30</v>
      </c>
      <c r="L23" t="s">
        <v>25</v>
      </c>
      <c r="M23">
        <f>3350+670+300</f>
        <v>4320</v>
      </c>
      <c r="N23" s="31"/>
      <c r="O23">
        <f>N23*M23</f>
        <v>0</v>
      </c>
    </row>
    <row r="24" spans="1:15" ht="25.5" customHeight="1">
      <c r="A24" s="20"/>
      <c r="B24" s="51" t="s">
        <v>35</v>
      </c>
      <c r="C24" s="146" t="s">
        <v>36</v>
      </c>
      <c r="D24" s="147"/>
      <c r="E24" s="148"/>
      <c r="H24" t="s">
        <v>37</v>
      </c>
      <c r="I24" s="52">
        <f>C20*I22</f>
        <v>402030.10000000003</v>
      </c>
      <c r="K24" t="s">
        <v>30</v>
      </c>
      <c r="L24" t="s">
        <v>27</v>
      </c>
      <c r="M24">
        <f>3750+670+300</f>
        <v>4720</v>
      </c>
      <c r="N24" s="31"/>
      <c r="O24">
        <f>N24*M24</f>
        <v>0</v>
      </c>
    </row>
    <row r="25" spans="1:15" ht="25.5" customHeight="1" thickBot="1">
      <c r="A25" s="20"/>
      <c r="B25" s="51" t="s">
        <v>38</v>
      </c>
      <c r="C25" s="146" t="s">
        <v>36</v>
      </c>
      <c r="D25" s="147"/>
      <c r="E25" s="148"/>
      <c r="H25" s="53" t="s">
        <v>39</v>
      </c>
      <c r="I25" s="54">
        <f>+O25</f>
        <v>34745.24</v>
      </c>
      <c r="N25" s="55">
        <f>SUM(N15:N24)</f>
        <v>7.6870000000000003</v>
      </c>
      <c r="O25" s="56">
        <f>SUM(O15:O24)</f>
        <v>34745.24</v>
      </c>
    </row>
    <row r="26" spans="1:15" ht="25.5" customHeight="1" thickBot="1">
      <c r="A26" s="20"/>
      <c r="B26" s="51" t="s">
        <v>40</v>
      </c>
      <c r="C26" s="146" t="s">
        <v>36</v>
      </c>
      <c r="D26" s="147"/>
      <c r="E26" s="148"/>
      <c r="H26" s="57" t="s">
        <v>41</v>
      </c>
      <c r="I26" s="58">
        <f>+I25+I24</f>
        <v>436775.34</v>
      </c>
    </row>
    <row r="27" spans="1:15" ht="25.5" customHeight="1">
      <c r="A27" s="20"/>
      <c r="B27" s="43"/>
      <c r="C27" s="146"/>
      <c r="D27" s="147"/>
      <c r="E27" s="148"/>
      <c r="I27" s="30"/>
      <c r="N27" s="34"/>
    </row>
    <row r="28" spans="1:15" ht="25.5" customHeight="1">
      <c r="A28" s="20">
        <v>12</v>
      </c>
      <c r="B28" s="43" t="s">
        <v>42</v>
      </c>
      <c r="C28" s="173" t="s">
        <v>43</v>
      </c>
      <c r="D28" s="174"/>
      <c r="E28" s="175"/>
      <c r="N28" s="55">
        <f>N25-C20</f>
        <v>0</v>
      </c>
      <c r="O28" s="59"/>
    </row>
    <row r="29" spans="1:15" ht="25.5" customHeight="1">
      <c r="A29" s="20"/>
      <c r="B29" s="51"/>
      <c r="C29" s="154"/>
      <c r="D29" s="155"/>
      <c r="E29" s="156"/>
    </row>
    <row r="30" spans="1:15" ht="25.5" customHeight="1">
      <c r="A30" s="20">
        <v>13</v>
      </c>
      <c r="B30" s="43" t="s">
        <v>44</v>
      </c>
      <c r="C30" s="154"/>
      <c r="D30" s="155"/>
      <c r="E30" s="156"/>
    </row>
    <row r="31" spans="1:15" ht="25.5" customHeight="1">
      <c r="A31" s="149">
        <v>14</v>
      </c>
      <c r="B31" s="60" t="s">
        <v>45</v>
      </c>
      <c r="C31" s="61" t="s">
        <v>46</v>
      </c>
      <c r="D31" s="90"/>
      <c r="E31" s="63"/>
      <c r="L31" t="s">
        <v>74</v>
      </c>
    </row>
    <row r="32" spans="1:15" ht="25.5" customHeight="1">
      <c r="A32" s="64"/>
      <c r="B32" s="65"/>
      <c r="C32" s="61" t="s">
        <v>47</v>
      </c>
      <c r="D32" s="90"/>
      <c r="E32" s="63"/>
    </row>
    <row r="33" spans="1:5">
      <c r="A33" s="20">
        <v>15</v>
      </c>
      <c r="B33" s="43" t="s">
        <v>48</v>
      </c>
      <c r="C33" s="191">
        <v>21.771000000000001</v>
      </c>
      <c r="D33" s="192"/>
      <c r="E33" s="193"/>
    </row>
    <row r="34" spans="1:5">
      <c r="A34" s="66"/>
      <c r="B34" s="51"/>
      <c r="C34" s="154"/>
      <c r="D34" s="155"/>
      <c r="E34" s="156"/>
    </row>
    <row r="35" spans="1:5" ht="25.5">
      <c r="A35" s="20">
        <v>16</v>
      </c>
      <c r="B35" s="67" t="s">
        <v>49</v>
      </c>
      <c r="C35" s="68"/>
      <c r="D35" s="69"/>
      <c r="E35" s="70"/>
    </row>
    <row r="36" spans="1:5">
      <c r="A36" s="6"/>
      <c r="B36" s="7"/>
      <c r="C36" s="11"/>
      <c r="D36" s="11"/>
      <c r="E36" s="71"/>
    </row>
    <row r="37" spans="1:5">
      <c r="A37" s="6"/>
      <c r="B37" s="7"/>
      <c r="C37" s="11"/>
      <c r="D37" s="72" t="s">
        <v>50</v>
      </c>
      <c r="E37" s="73"/>
    </row>
    <row r="38" spans="1:5">
      <c r="A38" s="6"/>
      <c r="B38" s="7"/>
      <c r="C38" s="11"/>
      <c r="D38" s="11"/>
      <c r="E38" s="71"/>
    </row>
    <row r="39" spans="1:5">
      <c r="A39" s="6"/>
      <c r="B39" s="7"/>
      <c r="C39" s="11"/>
      <c r="D39" s="11"/>
      <c r="E39" s="71"/>
    </row>
    <row r="40" spans="1:5">
      <c r="A40" s="6"/>
      <c r="B40" s="7"/>
      <c r="C40" s="11"/>
      <c r="D40" s="72" t="s">
        <v>51</v>
      </c>
      <c r="E40" s="73"/>
    </row>
    <row r="41" spans="1:5" ht="15.75" thickBot="1">
      <c r="A41" s="74"/>
      <c r="B41" s="75"/>
      <c r="C41" s="76"/>
      <c r="D41" s="76"/>
      <c r="E41" s="77"/>
    </row>
  </sheetData>
  <mergeCells count="18">
    <mergeCell ref="C34:E34"/>
    <mergeCell ref="A17:A18"/>
    <mergeCell ref="B17:B18"/>
    <mergeCell ref="C17:E17"/>
    <mergeCell ref="C18:E18"/>
    <mergeCell ref="C19:E19"/>
    <mergeCell ref="C20:E20"/>
    <mergeCell ref="C21:E21"/>
    <mergeCell ref="C28:E28"/>
    <mergeCell ref="C29:E29"/>
    <mergeCell ref="C30:E30"/>
    <mergeCell ref="C33:E33"/>
    <mergeCell ref="C16:E16"/>
    <mergeCell ref="A6:E6"/>
    <mergeCell ref="C10:E10"/>
    <mergeCell ref="C13:E13"/>
    <mergeCell ref="C14:E14"/>
    <mergeCell ref="C15:E15"/>
  </mergeCells>
  <pageMargins left="0.27" right="0.2" top="0.27" bottom="0.31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56</vt:i4>
      </vt:variant>
    </vt:vector>
  </HeadingPairs>
  <TitlesOfParts>
    <vt:vector size="112" baseType="lpstr">
      <vt:lpstr>JBP-(1774)</vt:lpstr>
      <vt:lpstr>JBP-(1775)</vt:lpstr>
      <vt:lpstr>JBP-(1776)</vt:lpstr>
      <vt:lpstr>JBP-(1777)</vt:lpstr>
      <vt:lpstr>JBP-(1778)</vt:lpstr>
      <vt:lpstr>JBP-(1779)</vt:lpstr>
      <vt:lpstr>JBP-(1780)</vt:lpstr>
      <vt:lpstr>JBP-(1781)</vt:lpstr>
      <vt:lpstr>BB-(1782)</vt:lpstr>
      <vt:lpstr>JBP-(1783)</vt:lpstr>
      <vt:lpstr>JBP-(1784)</vt:lpstr>
      <vt:lpstr>BB-(1785)</vt:lpstr>
      <vt:lpstr>JBP-(1786)</vt:lpstr>
      <vt:lpstr>JBP-(1787)</vt:lpstr>
      <vt:lpstr>JBP-(1788)</vt:lpstr>
      <vt:lpstr>JBP-(1789)</vt:lpstr>
      <vt:lpstr>JBP-(1790)</vt:lpstr>
      <vt:lpstr>JBP-(1791)</vt:lpstr>
      <vt:lpstr>JBP-(1792)</vt:lpstr>
      <vt:lpstr>BB-(1793)</vt:lpstr>
      <vt:lpstr>BB-(1794)</vt:lpstr>
      <vt:lpstr>BB-(1795)</vt:lpstr>
      <vt:lpstr>BB-(1796)</vt:lpstr>
      <vt:lpstr>BB-(1797)</vt:lpstr>
      <vt:lpstr>BB-(1798)</vt:lpstr>
      <vt:lpstr>BB-(1799)</vt:lpstr>
      <vt:lpstr>JBP-(1800)</vt:lpstr>
      <vt:lpstr>JBP-(1801)</vt:lpstr>
      <vt:lpstr>BB-(1802)</vt:lpstr>
      <vt:lpstr>BB-(1803)</vt:lpstr>
      <vt:lpstr>JBP-(1804)</vt:lpstr>
      <vt:lpstr>JBP-(1805)</vt:lpstr>
      <vt:lpstr>JBP-(1806)</vt:lpstr>
      <vt:lpstr>JBP-(1807)</vt:lpstr>
      <vt:lpstr>BB-(1808)</vt:lpstr>
      <vt:lpstr>BB-(1809)</vt:lpstr>
      <vt:lpstr>BB-(1810)</vt:lpstr>
      <vt:lpstr>BB-(1811)</vt:lpstr>
      <vt:lpstr>BB-(1812)</vt:lpstr>
      <vt:lpstr>BB-(1813)</vt:lpstr>
      <vt:lpstr>BB-(1814)</vt:lpstr>
      <vt:lpstr>JBP-(1815)</vt:lpstr>
      <vt:lpstr>JBP-(1816)</vt:lpstr>
      <vt:lpstr>JBP-(1817)</vt:lpstr>
      <vt:lpstr>JBP-(1818)</vt:lpstr>
      <vt:lpstr>JBP-(1819)</vt:lpstr>
      <vt:lpstr>BB-(1820)</vt:lpstr>
      <vt:lpstr>JBP-(1821)</vt:lpstr>
      <vt:lpstr>JBP-(1822)</vt:lpstr>
      <vt:lpstr>BB-(1823)</vt:lpstr>
      <vt:lpstr>BB-(1824)</vt:lpstr>
      <vt:lpstr>BB-(1825)</vt:lpstr>
      <vt:lpstr>BB-(1826)</vt:lpstr>
      <vt:lpstr>BB-(1827)</vt:lpstr>
      <vt:lpstr>BB-(1828)</vt:lpstr>
      <vt:lpstr>BB-(1829)</vt:lpstr>
      <vt:lpstr>'BB-(1782)'!Print_Area</vt:lpstr>
      <vt:lpstr>'BB-(1785)'!Print_Area</vt:lpstr>
      <vt:lpstr>'BB-(1793)'!Print_Area</vt:lpstr>
      <vt:lpstr>'BB-(1794)'!Print_Area</vt:lpstr>
      <vt:lpstr>'BB-(1795)'!Print_Area</vt:lpstr>
      <vt:lpstr>'BB-(1796)'!Print_Area</vt:lpstr>
      <vt:lpstr>'BB-(1797)'!Print_Area</vt:lpstr>
      <vt:lpstr>'BB-(1798)'!Print_Area</vt:lpstr>
      <vt:lpstr>'BB-(1799)'!Print_Area</vt:lpstr>
      <vt:lpstr>'BB-(1802)'!Print_Area</vt:lpstr>
      <vt:lpstr>'BB-(1803)'!Print_Area</vt:lpstr>
      <vt:lpstr>'BB-(1808)'!Print_Area</vt:lpstr>
      <vt:lpstr>'BB-(1809)'!Print_Area</vt:lpstr>
      <vt:lpstr>'BB-(1810)'!Print_Area</vt:lpstr>
      <vt:lpstr>'BB-(1811)'!Print_Area</vt:lpstr>
      <vt:lpstr>'BB-(1812)'!Print_Area</vt:lpstr>
      <vt:lpstr>'BB-(1813)'!Print_Area</vt:lpstr>
      <vt:lpstr>'BB-(1814)'!Print_Area</vt:lpstr>
      <vt:lpstr>'BB-(1820)'!Print_Area</vt:lpstr>
      <vt:lpstr>'BB-(1823)'!Print_Area</vt:lpstr>
      <vt:lpstr>'BB-(1824)'!Print_Area</vt:lpstr>
      <vt:lpstr>'BB-(1825)'!Print_Area</vt:lpstr>
      <vt:lpstr>'BB-(1826)'!Print_Area</vt:lpstr>
      <vt:lpstr>'BB-(1827)'!Print_Area</vt:lpstr>
      <vt:lpstr>'BB-(1828)'!Print_Area</vt:lpstr>
      <vt:lpstr>'BB-(1829)'!Print_Area</vt:lpstr>
      <vt:lpstr>'JBP-(1774)'!Print_Area</vt:lpstr>
      <vt:lpstr>'JBP-(1775)'!Print_Area</vt:lpstr>
      <vt:lpstr>'JBP-(1776)'!Print_Area</vt:lpstr>
      <vt:lpstr>'JBP-(1777)'!Print_Area</vt:lpstr>
      <vt:lpstr>'JBP-(1778)'!Print_Area</vt:lpstr>
      <vt:lpstr>'JBP-(1779)'!Print_Area</vt:lpstr>
      <vt:lpstr>'JBP-(1780)'!Print_Area</vt:lpstr>
      <vt:lpstr>'JBP-(1781)'!Print_Area</vt:lpstr>
      <vt:lpstr>'JBP-(1783)'!Print_Area</vt:lpstr>
      <vt:lpstr>'JBP-(1784)'!Print_Area</vt:lpstr>
      <vt:lpstr>'JBP-(1786)'!Print_Area</vt:lpstr>
      <vt:lpstr>'JBP-(1787)'!Print_Area</vt:lpstr>
      <vt:lpstr>'JBP-(1788)'!Print_Area</vt:lpstr>
      <vt:lpstr>'JBP-(1789)'!Print_Area</vt:lpstr>
      <vt:lpstr>'JBP-(1790)'!Print_Area</vt:lpstr>
      <vt:lpstr>'JBP-(1791)'!Print_Area</vt:lpstr>
      <vt:lpstr>'JBP-(1792)'!Print_Area</vt:lpstr>
      <vt:lpstr>'JBP-(1800)'!Print_Area</vt:lpstr>
      <vt:lpstr>'JBP-(1801)'!Print_Area</vt:lpstr>
      <vt:lpstr>'JBP-(1804)'!Print_Area</vt:lpstr>
      <vt:lpstr>'JBP-(1805)'!Print_Area</vt:lpstr>
      <vt:lpstr>'JBP-(1806)'!Print_Area</vt:lpstr>
      <vt:lpstr>'JBP-(1807)'!Print_Area</vt:lpstr>
      <vt:lpstr>'JBP-(1815)'!Print_Area</vt:lpstr>
      <vt:lpstr>'JBP-(1816)'!Print_Area</vt:lpstr>
      <vt:lpstr>'JBP-(1817)'!Print_Area</vt:lpstr>
      <vt:lpstr>'JBP-(1818)'!Print_Area</vt:lpstr>
      <vt:lpstr>'JBP-(1819)'!Print_Area</vt:lpstr>
      <vt:lpstr>'JBP-(1821)'!Print_Area</vt:lpstr>
      <vt:lpstr>'JBP-(1822)'!Print_Area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2024-01-06T10:00:19Z</dcterms:modified>
</cp:coreProperties>
</file>