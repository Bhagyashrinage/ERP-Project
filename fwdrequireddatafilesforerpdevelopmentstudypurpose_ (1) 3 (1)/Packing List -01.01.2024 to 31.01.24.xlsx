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tabRatio="819" firstSheet="19" activeTab="21"/>
  </bookViews>
  <sheets>
    <sheet name="3048 01.01.24 JBP" sheetId="7" r:id="rId1"/>
    <sheet name="0308 01.01.24 JBP" sheetId="8" r:id="rId2"/>
    <sheet name="0310 01.01.24 JBP " sheetId="9" r:id="rId3"/>
    <sheet name=" 0508 02.01.24 JBP " sheetId="5" r:id="rId4"/>
    <sheet name="4944 02.01.24 BUB" sheetId="10" r:id="rId5"/>
    <sheet name=" 0311 02.01.24 JBP " sheetId="11" r:id="rId6"/>
    <sheet name="3944  02.01.24 BUB" sheetId="12" r:id="rId7"/>
    <sheet name="0398  02.01.24 JBP " sheetId="13" r:id="rId8"/>
    <sheet name="0502  02.01.24 JBP" sheetId="14" r:id="rId9"/>
    <sheet name="7423  03.01.24 JBP" sheetId="15" r:id="rId10"/>
    <sheet name="4944  03.01.24 BUB " sheetId="16" r:id="rId11"/>
    <sheet name="0403  03.01.24 JBP " sheetId="18" r:id="rId12"/>
    <sheet name="3044  03.01.24 BB " sheetId="19" r:id="rId13"/>
    <sheet name="5844  03.01.24 BUB" sheetId="17" r:id="rId14"/>
    <sheet name="2189  04.01.24 JBP " sheetId="20" r:id="rId15"/>
    <sheet name="0509  04.01.24 JBP" sheetId="21" r:id="rId16"/>
    <sheet name="3081  04.01.24 JAIPUR" sheetId="22" r:id="rId17"/>
    <sheet name="5844  04.01.24 BB  " sheetId="23" r:id="rId18"/>
    <sheet name=" 5644 04.01.24 BB" sheetId="24" r:id="rId19"/>
    <sheet name="6003  04.01.24 JBP" sheetId="26" r:id="rId20"/>
    <sheet name="6074  05.01.24 JBP" sheetId="27" r:id="rId21"/>
    <sheet name=" 4044 05.01.24 BB" sheetId="28" r:id="rId22"/>
    <sheet name="4183  05.01.24 JBP" sheetId="29" r:id="rId23"/>
    <sheet name=" 4944 05.01.24 BB " sheetId="32" r:id="rId24"/>
    <sheet name=" 5844 05.01.24 BB " sheetId="30" r:id="rId25"/>
    <sheet name=" 1844 05.01.24 BB" sheetId="31" r:id="rId26"/>
  </sheets>
  <externalReferences>
    <externalReference r:id="rId27"/>
    <externalReference r:id="rId28"/>
  </externalReferences>
  <definedNames>
    <definedName name="_xlnm.Print_Area" localSheetId="5">' 0311 02.01.24 JBP '!$A$1:$L$36</definedName>
    <definedName name="_xlnm.Print_Area" localSheetId="3">' 0508 02.01.24 JBP '!$A$1:$L$33</definedName>
    <definedName name="_xlnm.Print_Area" localSheetId="25">' 1844 05.01.24 BB'!$A$1:$L$23</definedName>
    <definedName name="_xlnm.Print_Area" localSheetId="21">' 4044 05.01.24 BB'!$A$1:$L$48</definedName>
    <definedName name="_xlnm.Print_Area" localSheetId="23">' 4944 05.01.24 BB '!$A$1:$L$29</definedName>
    <definedName name="_xlnm.Print_Area" localSheetId="18">' 5644 04.01.24 BB'!$A$1:$L$24</definedName>
    <definedName name="_xlnm.Print_Area" localSheetId="24">' 5844 05.01.24 BB '!$A$1:$L$25</definedName>
    <definedName name="_xlnm.Print_Area" localSheetId="1">'0308 01.01.24 JBP'!$A$1:$L$48</definedName>
    <definedName name="_xlnm.Print_Area" localSheetId="2">'0310 01.01.24 JBP '!$A$1:$L$30</definedName>
    <definedName name="_xlnm.Print_Area" localSheetId="7">'0398  02.01.24 JBP '!$A$1:$L$37</definedName>
    <definedName name="_xlnm.Print_Area" localSheetId="11">'0403  03.01.24 JBP '!$A$1:$L$36</definedName>
    <definedName name="_xlnm.Print_Area" localSheetId="8">'0502  02.01.24 JBP'!$A$1:$L$33</definedName>
    <definedName name="_xlnm.Print_Area" localSheetId="15">'0509  04.01.24 JBP'!$A$1:$L$40</definedName>
    <definedName name="_xlnm.Print_Area" localSheetId="14">'2189  04.01.24 JBP '!$A$1:$L$24</definedName>
    <definedName name="_xlnm.Print_Area" localSheetId="12">'3044  03.01.24 BB '!$A$1:$L$48</definedName>
    <definedName name="_xlnm.Print_Area" localSheetId="0">'3048 01.01.24 JBP'!$A$1:$L$33</definedName>
    <definedName name="_xlnm.Print_Area" localSheetId="16">'3081  04.01.24 JAIPUR'!$A$1:$L$72</definedName>
    <definedName name="_xlnm.Print_Area" localSheetId="6">'3944  02.01.24 BUB'!$A$1:$L$41</definedName>
    <definedName name="_xlnm.Print_Area" localSheetId="22">'4183  05.01.24 JBP'!$A$1:$L$35</definedName>
    <definedName name="_xlnm.Print_Area" localSheetId="10">'4944  03.01.24 BUB '!$A$1:$L$34</definedName>
    <definedName name="_xlnm.Print_Area" localSheetId="4">'4944 02.01.24 BUB'!$A$1:$L$57</definedName>
    <definedName name="_xlnm.Print_Area" localSheetId="13">'5844  03.01.24 BUB'!$A$1:$L$30</definedName>
    <definedName name="_xlnm.Print_Area" localSheetId="17">'5844  04.01.24 BB  '!$A$1:$L$53</definedName>
    <definedName name="_xlnm.Print_Area" localSheetId="19">'6003  04.01.24 JBP'!$A$1:$L$35</definedName>
    <definedName name="_xlnm.Print_Area" localSheetId="20">'6074  05.01.24 JBP'!$A$1:$L$40</definedName>
    <definedName name="_xlnm.Print_Area" localSheetId="9">'7423  03.01.24 JBP'!$A$1:$L$36</definedName>
  </definedNames>
  <calcPr calcId="124519"/>
</workbook>
</file>

<file path=xl/calcChain.xml><?xml version="1.0" encoding="utf-8"?>
<calcChain xmlns="http://schemas.openxmlformats.org/spreadsheetml/2006/main">
  <c r="K31" i="29"/>
  <c r="I20"/>
  <c r="I19" i="31"/>
  <c r="H19"/>
  <c r="I17"/>
  <c r="H17"/>
  <c r="I15"/>
  <c r="H15"/>
  <c r="H16"/>
  <c r="I16"/>
  <c r="K15" s="1"/>
  <c r="I21" i="30" l="1"/>
  <c r="H21"/>
  <c r="H17"/>
  <c r="I17"/>
  <c r="I15"/>
  <c r="H15"/>
  <c r="H16"/>
  <c r="I16"/>
  <c r="K15" s="1"/>
  <c r="K25" i="32"/>
  <c r="K19"/>
  <c r="I23"/>
  <c r="I25"/>
  <c r="H25"/>
  <c r="H23"/>
  <c r="H22"/>
  <c r="I22"/>
  <c r="I19"/>
  <c r="H19"/>
  <c r="H18"/>
  <c r="I18"/>
  <c r="K15" s="1"/>
  <c r="I15"/>
  <c r="H15"/>
  <c r="H14" l="1"/>
  <c r="I14"/>
  <c r="K13" s="1"/>
  <c r="I38"/>
  <c r="P24"/>
  <c r="I32" i="31"/>
  <c r="P18"/>
  <c r="H14"/>
  <c r="I14"/>
  <c r="I14" i="30"/>
  <c r="K13" s="1"/>
  <c r="K21" s="1"/>
  <c r="I34"/>
  <c r="P20"/>
  <c r="H14"/>
  <c r="H29" i="29"/>
  <c r="H22"/>
  <c r="I22"/>
  <c r="K20" s="1"/>
  <c r="H20"/>
  <c r="I19"/>
  <c r="K13" s="1"/>
  <c r="I17"/>
  <c r="I14"/>
  <c r="H19"/>
  <c r="P30"/>
  <c r="P27"/>
  <c r="P26"/>
  <c r="P24"/>
  <c r="P23"/>
  <c r="P21"/>
  <c r="P18"/>
  <c r="P16"/>
  <c r="P15"/>
  <c r="P14"/>
  <c r="I28"/>
  <c r="P28" s="1"/>
  <c r="I25"/>
  <c r="P25" s="1"/>
  <c r="P17"/>
  <c r="I29" l="1"/>
  <c r="P19" i="31"/>
  <c r="K13"/>
  <c r="K19" s="1"/>
  <c r="J38" i="32"/>
  <c r="J34" i="30"/>
  <c r="P21"/>
  <c r="K34"/>
  <c r="P22" i="29"/>
  <c r="K38" i="32" l="1"/>
  <c r="P25"/>
  <c r="I40" i="28"/>
  <c r="H40"/>
  <c r="H33"/>
  <c r="I31"/>
  <c r="H31"/>
  <c r="H29"/>
  <c r="I29"/>
  <c r="I27"/>
  <c r="H27"/>
  <c r="H25"/>
  <c r="I25"/>
  <c r="I18"/>
  <c r="I16"/>
  <c r="I14"/>
  <c r="H41"/>
  <c r="P29" i="29"/>
  <c r="H28"/>
  <c r="H17"/>
  <c r="P13"/>
  <c r="I44"/>
  <c r="H25"/>
  <c r="H14"/>
  <c r="H44" i="28"/>
  <c r="I36"/>
  <c r="H36"/>
  <c r="I33"/>
  <c r="H18"/>
  <c r="I57"/>
  <c r="P43"/>
  <c r="H16"/>
  <c r="H14"/>
  <c r="K13" l="1"/>
  <c r="I41"/>
  <c r="I44" s="1"/>
  <c r="P44" s="1"/>
  <c r="H31" i="29"/>
  <c r="K44" i="28"/>
  <c r="J57" l="1"/>
  <c r="K57"/>
  <c r="I31" i="29" l="1"/>
  <c r="J32" i="31" l="1"/>
  <c r="K32"/>
  <c r="K44" i="29"/>
  <c r="P31"/>
  <c r="K36" i="27" l="1"/>
  <c r="I30" l="1"/>
  <c r="H30"/>
  <c r="I29"/>
  <c r="H33"/>
  <c r="I33"/>
  <c r="K30" s="1"/>
  <c r="I25"/>
  <c r="I22"/>
  <c r="I18"/>
  <c r="H29"/>
  <c r="H34" s="1"/>
  <c r="I34" l="1"/>
  <c r="K13"/>
  <c r="P35" l="1"/>
  <c r="P32"/>
  <c r="P31"/>
  <c r="P28"/>
  <c r="P27"/>
  <c r="P26"/>
  <c r="P24"/>
  <c r="P23"/>
  <c r="P21"/>
  <c r="P20"/>
  <c r="P19"/>
  <c r="P17"/>
  <c r="P16"/>
  <c r="P15"/>
  <c r="P14"/>
  <c r="H25" l="1"/>
  <c r="H22"/>
  <c r="H18"/>
  <c r="P33" l="1"/>
  <c r="P22"/>
  <c r="P25"/>
  <c r="I49"/>
  <c r="P13"/>
  <c r="P18" l="1"/>
  <c r="P34"/>
  <c r="H36"/>
  <c r="I36" l="1"/>
  <c r="P36" s="1"/>
  <c r="K49" l="1"/>
  <c r="I40" i="22" l="1"/>
  <c r="I31" i="26" l="1"/>
  <c r="K31"/>
  <c r="K26"/>
  <c r="H31"/>
  <c r="H29"/>
  <c r="I29"/>
  <c r="I26"/>
  <c r="H26"/>
  <c r="H28"/>
  <c r="I28"/>
  <c r="H25"/>
  <c r="I25"/>
  <c r="K15" s="1"/>
  <c r="H17"/>
  <c r="I17"/>
  <c r="I15"/>
  <c r="H15"/>
  <c r="H14"/>
  <c r="I14"/>
  <c r="K13" s="1"/>
  <c r="P30"/>
  <c r="P27"/>
  <c r="P24"/>
  <c r="P23"/>
  <c r="P21"/>
  <c r="P20"/>
  <c r="P19"/>
  <c r="P18"/>
  <c r="P16"/>
  <c r="I20" i="24"/>
  <c r="H20"/>
  <c r="H18"/>
  <c r="I18"/>
  <c r="H17"/>
  <c r="I17"/>
  <c r="I15"/>
  <c r="H15"/>
  <c r="H14"/>
  <c r="K49" i="23"/>
  <c r="H49"/>
  <c r="I49"/>
  <c r="I47"/>
  <c r="H47"/>
  <c r="H29"/>
  <c r="I29"/>
  <c r="I27"/>
  <c r="H27"/>
  <c r="K27"/>
  <c r="H26"/>
  <c r="I26"/>
  <c r="K13" s="1"/>
  <c r="H22" i="26"/>
  <c r="P13"/>
  <c r="I44"/>
  <c r="P28" l="1"/>
  <c r="P17"/>
  <c r="I22"/>
  <c r="P22" s="1"/>
  <c r="I33" i="24"/>
  <c r="P19"/>
  <c r="I14"/>
  <c r="K13" s="1"/>
  <c r="H33" i="23"/>
  <c r="I33"/>
  <c r="H46"/>
  <c r="I46"/>
  <c r="H44"/>
  <c r="I44"/>
  <c r="H42"/>
  <c r="H39"/>
  <c r="I39"/>
  <c r="H37"/>
  <c r="I37"/>
  <c r="H35"/>
  <c r="I35"/>
  <c r="H31"/>
  <c r="H24"/>
  <c r="I24"/>
  <c r="H22"/>
  <c r="P13"/>
  <c r="I62"/>
  <c r="P48"/>
  <c r="H18"/>
  <c r="K68" i="22"/>
  <c r="K52"/>
  <c r="H65"/>
  <c r="I65"/>
  <c r="I62"/>
  <c r="H62"/>
  <c r="H58"/>
  <c r="I58"/>
  <c r="I52"/>
  <c r="H52"/>
  <c r="I51"/>
  <c r="K28"/>
  <c r="I50"/>
  <c r="H51"/>
  <c r="P58"/>
  <c r="I32"/>
  <c r="I28"/>
  <c r="H28"/>
  <c r="H27"/>
  <c r="I27"/>
  <c r="P67"/>
  <c r="P66"/>
  <c r="P63"/>
  <c r="P61"/>
  <c r="P60"/>
  <c r="P59"/>
  <c r="P57"/>
  <c r="P56"/>
  <c r="P55"/>
  <c r="P54"/>
  <c r="P53"/>
  <c r="P50"/>
  <c r="P49"/>
  <c r="P48"/>
  <c r="P47"/>
  <c r="P45"/>
  <c r="P44"/>
  <c r="P43"/>
  <c r="P41"/>
  <c r="P39"/>
  <c r="P38"/>
  <c r="P37"/>
  <c r="P36"/>
  <c r="P35"/>
  <c r="P34"/>
  <c r="P33"/>
  <c r="P31"/>
  <c r="P30"/>
  <c r="P29"/>
  <c r="P26"/>
  <c r="P24"/>
  <c r="P23"/>
  <c r="P22"/>
  <c r="P21"/>
  <c r="P20"/>
  <c r="P19"/>
  <c r="P18"/>
  <c r="P17"/>
  <c r="P16"/>
  <c r="P15"/>
  <c r="H64"/>
  <c r="I64"/>
  <c r="P64" s="1"/>
  <c r="P62"/>
  <c r="H46"/>
  <c r="H42"/>
  <c r="H30"/>
  <c r="H40"/>
  <c r="H29"/>
  <c r="H25"/>
  <c r="H14"/>
  <c r="I14"/>
  <c r="P14" s="1"/>
  <c r="P31" i="26" l="1"/>
  <c r="P29"/>
  <c r="I42" i="23"/>
  <c r="I18"/>
  <c r="P14"/>
  <c r="I31"/>
  <c r="I22"/>
  <c r="H32" i="22"/>
  <c r="K13"/>
  <c r="P40"/>
  <c r="I46"/>
  <c r="P46" s="1"/>
  <c r="P32"/>
  <c r="I25"/>
  <c r="P25" s="1"/>
  <c r="K15" i="24" l="1"/>
  <c r="K20" s="1"/>
  <c r="K33"/>
  <c r="P18" i="23"/>
  <c r="J33" i="24"/>
  <c r="I81" i="22"/>
  <c r="P13"/>
  <c r="P20" i="24" l="1"/>
  <c r="J62" i="23"/>
  <c r="P49"/>
  <c r="K62"/>
  <c r="H68" i="22"/>
  <c r="I42" l="1"/>
  <c r="P42" l="1"/>
  <c r="P65"/>
  <c r="I68" l="1"/>
  <c r="K44" i="26" s="1"/>
  <c r="K81" i="22" l="1"/>
  <c r="P68"/>
  <c r="K24" i="21" l="1"/>
  <c r="I32"/>
  <c r="H32"/>
  <c r="I33" l="1"/>
  <c r="I28"/>
  <c r="I23"/>
  <c r="I21"/>
  <c r="I19"/>
  <c r="I17"/>
  <c r="H33"/>
  <c r="H28"/>
  <c r="I24"/>
  <c r="H24"/>
  <c r="H23"/>
  <c r="I26" l="1"/>
  <c r="H26"/>
  <c r="H17"/>
  <c r="H21"/>
  <c r="K20" i="20"/>
  <c r="K13"/>
  <c r="K13" i="21" l="1"/>
  <c r="K22"/>
  <c r="H19" l="1"/>
  <c r="P27"/>
  <c r="P16"/>
  <c r="P15"/>
  <c r="P14"/>
  <c r="I49"/>
  <c r="P35"/>
  <c r="P34"/>
  <c r="H36" l="1"/>
  <c r="P32"/>
  <c r="P29"/>
  <c r="P20"/>
  <c r="P19"/>
  <c r="P18"/>
  <c r="P13"/>
  <c r="K36" l="1"/>
  <c r="P33"/>
  <c r="P28"/>
  <c r="P17"/>
  <c r="I36" l="1"/>
  <c r="K49" s="1"/>
  <c r="P36" l="1"/>
  <c r="H17" i="20"/>
  <c r="P15"/>
  <c r="P14"/>
  <c r="I33"/>
  <c r="P19"/>
  <c r="P18"/>
  <c r="H16"/>
  <c r="P13"/>
  <c r="I16" l="1"/>
  <c r="H20"/>
  <c r="P16" l="1"/>
  <c r="I17"/>
  <c r="I20" s="1"/>
  <c r="P17" l="1"/>
  <c r="K33"/>
  <c r="P20"/>
  <c r="J57" i="19" l="1"/>
  <c r="K57"/>
  <c r="I41" l="1"/>
  <c r="H41"/>
  <c r="I28" l="1"/>
  <c r="H28"/>
  <c r="K28"/>
  <c r="I29"/>
  <c r="H29"/>
  <c r="P43" l="1"/>
  <c r="P42"/>
  <c r="P39"/>
  <c r="P37"/>
  <c r="P36"/>
  <c r="P35"/>
  <c r="P33"/>
  <c r="P32"/>
  <c r="P30"/>
  <c r="P26"/>
  <c r="P25"/>
  <c r="P24"/>
  <c r="P23"/>
  <c r="P21"/>
  <c r="P19"/>
  <c r="P18"/>
  <c r="P17"/>
  <c r="P15"/>
  <c r="P14"/>
  <c r="I40"/>
  <c r="P40" s="1"/>
  <c r="I38"/>
  <c r="P38" s="1"/>
  <c r="I34"/>
  <c r="P34" s="1"/>
  <c r="I31"/>
  <c r="P31" s="1"/>
  <c r="I27"/>
  <c r="K13" s="1"/>
  <c r="I25"/>
  <c r="I22"/>
  <c r="P22" s="1"/>
  <c r="I20"/>
  <c r="P20" s="1"/>
  <c r="I16"/>
  <c r="P16" s="1"/>
  <c r="H25"/>
  <c r="H27"/>
  <c r="P27" l="1"/>
  <c r="K44"/>
  <c r="P41"/>
  <c r="H44" l="1"/>
  <c r="H22"/>
  <c r="H38"/>
  <c r="H31"/>
  <c r="I57"/>
  <c r="I44"/>
  <c r="P44" s="1"/>
  <c r="H40"/>
  <c r="H34"/>
  <c r="H20"/>
  <c r="H16"/>
  <c r="P13"/>
  <c r="K21" i="18"/>
  <c r="K13"/>
  <c r="I23"/>
  <c r="H23"/>
  <c r="H29"/>
  <c r="I29"/>
  <c r="I21"/>
  <c r="H21"/>
  <c r="I20"/>
  <c r="H20"/>
  <c r="H22"/>
  <c r="P31"/>
  <c r="P30"/>
  <c r="P27"/>
  <c r="P25"/>
  <c r="P24"/>
  <c r="P18"/>
  <c r="P14"/>
  <c r="P13"/>
  <c r="P15"/>
  <c r="P17"/>
  <c r="H23" i="17"/>
  <c r="I23"/>
  <c r="I16"/>
  <c r="I20"/>
  <c r="H22"/>
  <c r="I22"/>
  <c r="K20" s="1"/>
  <c r="H20"/>
  <c r="H19"/>
  <c r="H17"/>
  <c r="H15"/>
  <c r="I19"/>
  <c r="K18" s="1"/>
  <c r="I17"/>
  <c r="K16" s="1"/>
  <c r="I16" i="18"/>
  <c r="P16" s="1"/>
  <c r="H28"/>
  <c r="I28"/>
  <c r="P28" s="1"/>
  <c r="H18"/>
  <c r="I45"/>
  <c r="H26"/>
  <c r="H16"/>
  <c r="P21" i="17"/>
  <c r="I15"/>
  <c r="I39"/>
  <c r="P25"/>
  <c r="P24"/>
  <c r="P14"/>
  <c r="H26" i="16"/>
  <c r="I22"/>
  <c r="H22"/>
  <c r="H20"/>
  <c r="H17"/>
  <c r="I17"/>
  <c r="I20"/>
  <c r="I26"/>
  <c r="I18"/>
  <c r="I19"/>
  <c r="I21"/>
  <c r="P19" i="18" l="1"/>
  <c r="H26" i="17"/>
  <c r="I26"/>
  <c r="K13"/>
  <c r="K26" s="1"/>
  <c r="P13"/>
  <c r="I26" i="18"/>
  <c r="P26" s="1"/>
  <c r="H32"/>
  <c r="H27" i="16"/>
  <c r="H30" s="1"/>
  <c r="K21"/>
  <c r="H21"/>
  <c r="K18"/>
  <c r="H18"/>
  <c r="K13"/>
  <c r="P29"/>
  <c r="P28"/>
  <c r="P26"/>
  <c r="P25"/>
  <c r="P24"/>
  <c r="P23"/>
  <c r="P19"/>
  <c r="P16"/>
  <c r="P15"/>
  <c r="P14"/>
  <c r="P13"/>
  <c r="I43"/>
  <c r="P29" i="18" l="1"/>
  <c r="K32"/>
  <c r="P23" i="17"/>
  <c r="K39"/>
  <c r="P26"/>
  <c r="K30" i="16"/>
  <c r="I27"/>
  <c r="I30" s="1"/>
  <c r="I32" i="18" l="1"/>
  <c r="P32" s="1"/>
  <c r="K45"/>
  <c r="P20" i="16"/>
  <c r="P27" l="1"/>
  <c r="K43" l="1"/>
  <c r="P30"/>
  <c r="K32" i="15" l="1"/>
  <c r="I28"/>
  <c r="I25"/>
  <c r="I21"/>
  <c r="I16"/>
  <c r="H29"/>
  <c r="H28"/>
  <c r="H25"/>
  <c r="I26"/>
  <c r="H26"/>
  <c r="I29"/>
  <c r="K13"/>
  <c r="P31" l="1"/>
  <c r="P30"/>
  <c r="P27"/>
  <c r="P24"/>
  <c r="P23"/>
  <c r="P22"/>
  <c r="P20"/>
  <c r="P19"/>
  <c r="P18"/>
  <c r="P17"/>
  <c r="P15"/>
  <c r="P14"/>
  <c r="P13"/>
  <c r="H21"/>
  <c r="P21"/>
  <c r="H16"/>
  <c r="P16"/>
  <c r="I45"/>
  <c r="K42" i="14"/>
  <c r="I24"/>
  <c r="H24"/>
  <c r="I23"/>
  <c r="I15"/>
  <c r="H15"/>
  <c r="I13"/>
  <c r="H21" i="13"/>
  <c r="H25" i="14"/>
  <c r="I25"/>
  <c r="K24" s="1"/>
  <c r="H23"/>
  <c r="H18"/>
  <c r="I18"/>
  <c r="I14"/>
  <c r="H14"/>
  <c r="K13"/>
  <c r="I42"/>
  <c r="H16" i="13"/>
  <c r="I16"/>
  <c r="H15"/>
  <c r="I15"/>
  <c r="P14"/>
  <c r="H20"/>
  <c r="I20"/>
  <c r="I29"/>
  <c r="I27"/>
  <c r="I25"/>
  <c r="I23"/>
  <c r="P23" s="1"/>
  <c r="P29"/>
  <c r="P28"/>
  <c r="P27"/>
  <c r="P26"/>
  <c r="P25"/>
  <c r="P24"/>
  <c r="P22"/>
  <c r="P21"/>
  <c r="P20"/>
  <c r="P19"/>
  <c r="P18"/>
  <c r="P17"/>
  <c r="P13"/>
  <c r="H27"/>
  <c r="H29"/>
  <c r="H25"/>
  <c r="H22"/>
  <c r="H19"/>
  <c r="H18"/>
  <c r="I46"/>
  <c r="K13" i="12"/>
  <c r="I27"/>
  <c r="H34"/>
  <c r="H33"/>
  <c r="I33"/>
  <c r="H31"/>
  <c r="I31"/>
  <c r="H24"/>
  <c r="H25"/>
  <c r="P28" i="15" l="1"/>
  <c r="K26"/>
  <c r="H32"/>
  <c r="P29"/>
  <c r="I26" i="14"/>
  <c r="I29" s="1"/>
  <c r="H26"/>
  <c r="H29" s="1"/>
  <c r="K15"/>
  <c r="K29" s="1"/>
  <c r="I30" i="13"/>
  <c r="I33" s="1"/>
  <c r="K16"/>
  <c r="K13"/>
  <c r="H23"/>
  <c r="H29" i="12"/>
  <c r="I29"/>
  <c r="H27"/>
  <c r="H15"/>
  <c r="H13"/>
  <c r="I50"/>
  <c r="H19"/>
  <c r="I32" i="15" l="1"/>
  <c r="K45"/>
  <c r="P32"/>
  <c r="K33" i="13"/>
  <c r="H30"/>
  <c r="H33" s="1"/>
  <c r="K46"/>
  <c r="I19" i="12"/>
  <c r="I34" s="1"/>
  <c r="H37"/>
  <c r="K37" l="1"/>
  <c r="I37"/>
  <c r="K50" s="1"/>
  <c r="I32" i="11" l="1"/>
  <c r="I27"/>
  <c r="H27"/>
  <c r="H20"/>
  <c r="I16" l="1"/>
  <c r="H16"/>
  <c r="H18" s="1"/>
  <c r="I15"/>
  <c r="I18"/>
  <c r="H15"/>
  <c r="K13" l="1"/>
  <c r="H26" l="1"/>
  <c r="H24"/>
  <c r="H32" s="1"/>
  <c r="I24"/>
  <c r="I26"/>
  <c r="I45"/>
  <c r="I18" i="5"/>
  <c r="H18"/>
  <c r="H19"/>
  <c r="I19"/>
  <c r="I49" i="10"/>
  <c r="H49"/>
  <c r="I25" i="5"/>
  <c r="H24"/>
  <c r="K45" i="11" l="1"/>
  <c r="K16"/>
  <c r="K32" s="1"/>
  <c r="K18" i="5"/>
  <c r="H46" i="10"/>
  <c r="H42"/>
  <c r="I42"/>
  <c r="H44"/>
  <c r="I44"/>
  <c r="H38"/>
  <c r="H40"/>
  <c r="H34"/>
  <c r="I66"/>
  <c r="I18" i="9"/>
  <c r="I21" s="1"/>
  <c r="K18" s="1"/>
  <c r="H18"/>
  <c r="H21" s="1"/>
  <c r="H17"/>
  <c r="I17"/>
  <c r="I15"/>
  <c r="I39"/>
  <c r="H15"/>
  <c r="I38" i="10" l="1"/>
  <c r="I46"/>
  <c r="I34"/>
  <c r="I40"/>
  <c r="I23"/>
  <c r="I15"/>
  <c r="K13" s="1"/>
  <c r="K53" s="1"/>
  <c r="H15"/>
  <c r="H23"/>
  <c r="H50" s="1"/>
  <c r="K13" i="9"/>
  <c r="K26" s="1"/>
  <c r="H23"/>
  <c r="H26" s="1"/>
  <c r="I23"/>
  <c r="I26" s="1"/>
  <c r="I50" i="10" l="1"/>
  <c r="I53" s="1"/>
  <c r="K66" s="1"/>
  <c r="H53"/>
  <c r="K39" i="9"/>
  <c r="I37" i="8" l="1"/>
  <c r="I40" s="1"/>
  <c r="K37" s="1"/>
  <c r="H37"/>
  <c r="H40" s="1"/>
  <c r="I36"/>
  <c r="H36"/>
  <c r="I57"/>
  <c r="H29"/>
  <c r="I29"/>
  <c r="H34"/>
  <c r="I34"/>
  <c r="H27"/>
  <c r="I27"/>
  <c r="H23"/>
  <c r="I23"/>
  <c r="H18"/>
  <c r="I18"/>
  <c r="H15"/>
  <c r="I15"/>
  <c r="H41" l="1"/>
  <c r="I41"/>
  <c r="I44" s="1"/>
  <c r="H44"/>
  <c r="K13"/>
  <c r="K44" s="1"/>
  <c r="K57" l="1"/>
  <c r="I17" i="7" l="1"/>
  <c r="I18" s="1"/>
  <c r="H17"/>
  <c r="H18"/>
  <c r="I42" l="1"/>
  <c r="I24"/>
  <c r="H24"/>
  <c r="H20"/>
  <c r="I20"/>
  <c r="K17" s="1"/>
  <c r="H16"/>
  <c r="H25" s="1"/>
  <c r="I16"/>
  <c r="I42" i="5"/>
  <c r="H25"/>
  <c r="H15"/>
  <c r="H14"/>
  <c r="H17" s="1"/>
  <c r="H26" l="1"/>
  <c r="I17"/>
  <c r="I26" s="1"/>
  <c r="H29" i="7"/>
  <c r="K13"/>
  <c r="K29" s="1"/>
  <c r="I25"/>
  <c r="I29" s="1"/>
  <c r="K42" s="1"/>
  <c r="H29" i="5"/>
  <c r="K13" l="1"/>
  <c r="K29" s="1"/>
  <c r="I29"/>
  <c r="K42" s="1"/>
</calcChain>
</file>

<file path=xl/sharedStrings.xml><?xml version="1.0" encoding="utf-8"?>
<sst xmlns="http://schemas.openxmlformats.org/spreadsheetml/2006/main" count="1403" uniqueCount="237">
  <si>
    <t>VINAR ISPAT LIMTED</t>
  </si>
  <si>
    <t>PLOT NO J 3,MIDC INDUSTRIAL AREA, BUTIBORI</t>
  </si>
  <si>
    <t>DOC.NO.VIL/PLN/F/05</t>
  </si>
  <si>
    <t>PACKING LIST</t>
  </si>
  <si>
    <t>CUSTOMER</t>
  </si>
  <si>
    <t>KEC INTERNATIONAL LTD. JABALPUR</t>
  </si>
  <si>
    <t>Date:</t>
  </si>
  <si>
    <t>Lorry No.</t>
  </si>
  <si>
    <t>Sr. No.</t>
  </si>
  <si>
    <t>P.O.No.</t>
  </si>
  <si>
    <t>Grade</t>
  </si>
  <si>
    <t>Colour Code</t>
  </si>
  <si>
    <t>Grade/Section</t>
  </si>
  <si>
    <t>Section WT.</t>
  </si>
  <si>
    <t>Length in mtr.</t>
  </si>
  <si>
    <t>No. Of Pcs</t>
  </si>
  <si>
    <t>Qty. in MT.</t>
  </si>
  <si>
    <t>HEAT NO</t>
  </si>
  <si>
    <t>Challan Qty.</t>
  </si>
  <si>
    <t>Challan No.</t>
  </si>
  <si>
    <t>LOI-1134</t>
  </si>
  <si>
    <t>MS NPG</t>
  </si>
  <si>
    <t xml:space="preserve">Green-Pink </t>
  </si>
  <si>
    <t>MAE250A 90X90X8</t>
  </si>
  <si>
    <t>LOI-1228</t>
  </si>
  <si>
    <t>HT PG</t>
  </si>
  <si>
    <t>Yellow-Yellow</t>
  </si>
  <si>
    <t>HAE350A 100X100X6</t>
  </si>
  <si>
    <t>LOI-1229</t>
  </si>
  <si>
    <t>Total</t>
  </si>
  <si>
    <t xml:space="preserve"> Receiver</t>
  </si>
  <si>
    <t xml:space="preserve">  </t>
  </si>
  <si>
    <t>CHECKED &amp; VERIFIED BY</t>
  </si>
  <si>
    <t xml:space="preserve">                      FOR VINAR ISPAT LTD,  </t>
  </si>
  <si>
    <t xml:space="preserve"> </t>
  </si>
  <si>
    <t xml:space="preserve">Signature </t>
  </si>
  <si>
    <t xml:space="preserve">    Dispatch/Quality Incharge</t>
  </si>
  <si>
    <t>Authorised Signatory</t>
  </si>
  <si>
    <t>HAE350A 110X110X8</t>
  </si>
  <si>
    <t>MS PG</t>
  </si>
  <si>
    <t>Green-Green</t>
  </si>
  <si>
    <t>MAE250A 100X100X6</t>
  </si>
  <si>
    <t>LOI-1340</t>
  </si>
  <si>
    <t>Yellow-Pink</t>
  </si>
  <si>
    <t>HAE350A 90X90X6</t>
  </si>
  <si>
    <t>HAE350A 110X110X7</t>
  </si>
  <si>
    <t>HAE350A 110X110X6</t>
  </si>
  <si>
    <t>01.01.24</t>
  </si>
  <si>
    <t>MH49AT3048</t>
  </si>
  <si>
    <t>HAE350A 130X130X9</t>
  </si>
  <si>
    <t>HAE350A 120X120X10</t>
  </si>
  <si>
    <t>LR- 27579</t>
  </si>
  <si>
    <t>1774/ 377</t>
  </si>
  <si>
    <t>1775/ 378</t>
  </si>
  <si>
    <t>HT NPG</t>
  </si>
  <si>
    <t>HAE350A 90X90X7</t>
  </si>
  <si>
    <t>MAE250A 75X75X5</t>
  </si>
  <si>
    <t>LR- 27573</t>
  </si>
  <si>
    <t>MH40BG0308</t>
  </si>
  <si>
    <t>1776/ 378</t>
  </si>
  <si>
    <t>1777/ 379</t>
  </si>
  <si>
    <t>MH40BG0310</t>
  </si>
  <si>
    <t>LR- 27580</t>
  </si>
  <si>
    <t>1778/ 379</t>
  </si>
  <si>
    <t>1779/ 380</t>
  </si>
  <si>
    <t>02.01.24</t>
  </si>
  <si>
    <t>MH49AT0508</t>
  </si>
  <si>
    <t>KEC INTERNATIONAL LTD. BUTIBORI</t>
  </si>
  <si>
    <t>LOI-1131</t>
  </si>
  <si>
    <t>White-Black</t>
  </si>
  <si>
    <t>HA355J2 100X100X10</t>
  </si>
  <si>
    <t>HA355J2 110X110X8</t>
  </si>
  <si>
    <t>HA355J2 130X130X8</t>
  </si>
  <si>
    <t>HA355J2 75X75X5</t>
  </si>
  <si>
    <t>LOI-1356</t>
  </si>
  <si>
    <t>Grey-Black</t>
  </si>
  <si>
    <t>MA275J2 130X130X10</t>
  </si>
  <si>
    <t>MA275J2 110X110X7</t>
  </si>
  <si>
    <t>LOI-1047</t>
  </si>
  <si>
    <t>LOI-645</t>
  </si>
  <si>
    <t>HA355J2 150X150X12</t>
  </si>
  <si>
    <t>MH40Y4944</t>
  </si>
  <si>
    <t>MAE250A 100X100X12</t>
  </si>
  <si>
    <t>1780/ 380</t>
  </si>
  <si>
    <t>1781/ 381</t>
  </si>
  <si>
    <t>LR- 27426</t>
  </si>
  <si>
    <t>LR- 2065</t>
  </si>
  <si>
    <t>1782/ 662</t>
  </si>
  <si>
    <t>LOI-1231</t>
  </si>
  <si>
    <t>LR- 27425</t>
  </si>
  <si>
    <t>MH40BG0311</t>
  </si>
  <si>
    <t>1783/ 381</t>
  </si>
  <si>
    <t>1784/ 382</t>
  </si>
  <si>
    <t>LR- 2066</t>
  </si>
  <si>
    <t>MH40Y3944</t>
  </si>
  <si>
    <t>LOI-643</t>
  </si>
  <si>
    <t>HA355J2 75X75X4</t>
  </si>
  <si>
    <t>MAE250A 130X130X12</t>
  </si>
  <si>
    <t>MAE250A 90X90X7</t>
  </si>
  <si>
    <t>HA355J2 120X120X8</t>
  </si>
  <si>
    <t>MAE250A 75X75X6</t>
  </si>
  <si>
    <t>MAE250A 110X110X10</t>
  </si>
  <si>
    <t>HAE350A 120X120X7</t>
  </si>
  <si>
    <t>LOI-1232</t>
  </si>
  <si>
    <t>MAE250A 100X100X8</t>
  </si>
  <si>
    <t>LOI-1226</t>
  </si>
  <si>
    <t>1785/ 668</t>
  </si>
  <si>
    <t>Date</t>
  </si>
  <si>
    <t>MH49AT0398</t>
  </si>
  <si>
    <t>LR- 27427</t>
  </si>
  <si>
    <t>02.01.23</t>
  </si>
  <si>
    <t>1786/ 382</t>
  </si>
  <si>
    <t>1787/ 383</t>
  </si>
  <si>
    <t>02.01.2024</t>
  </si>
  <si>
    <t>MH 49 AT 0502</t>
  </si>
  <si>
    <t>1788/ 383</t>
  </si>
  <si>
    <t>1789/ 384</t>
  </si>
  <si>
    <t>1790/ 385</t>
  </si>
  <si>
    <t>LR- 27428</t>
  </si>
  <si>
    <t>03.01.2024</t>
  </si>
  <si>
    <t>MH40N7423</t>
  </si>
  <si>
    <t>LR- 27435</t>
  </si>
  <si>
    <t>HAE350A 80X80X5</t>
  </si>
  <si>
    <t>1791/ 385</t>
  </si>
  <si>
    <t>1792/ 386</t>
  </si>
  <si>
    <t>03.01.24</t>
  </si>
  <si>
    <t>LR- 2068</t>
  </si>
  <si>
    <t>1793/ 661</t>
  </si>
  <si>
    <t>1794/ 662</t>
  </si>
  <si>
    <t>1795/ 663</t>
  </si>
  <si>
    <t>MH40Y5844</t>
  </si>
  <si>
    <t>LR- 2069</t>
  </si>
  <si>
    <t>LOI-1358</t>
  </si>
  <si>
    <t>Yellow-Violet</t>
  </si>
  <si>
    <t>HAA572GR50 130X130X12</t>
  </si>
  <si>
    <t>MH49AT0403</t>
  </si>
  <si>
    <t>LR- 27438</t>
  </si>
  <si>
    <t>HAE350A 80X80X6</t>
  </si>
  <si>
    <t xml:space="preserve">Yellow-Pink </t>
  </si>
  <si>
    <t>HAE350A 150X150X20</t>
  </si>
  <si>
    <t>HAE350A 150X150X16</t>
  </si>
  <si>
    <t>1796/ 663</t>
  </si>
  <si>
    <t>1797/ 665</t>
  </si>
  <si>
    <t>1798/ 668</t>
  </si>
  <si>
    <t>1799/ 664</t>
  </si>
  <si>
    <t>1800/ 386</t>
  </si>
  <si>
    <t>1801/ 387</t>
  </si>
  <si>
    <t>HA355J2 90X90X7</t>
  </si>
  <si>
    <t>HA355J2 100X100X8</t>
  </si>
  <si>
    <t>HA355J2 100X100X6</t>
  </si>
  <si>
    <t>HA355J2 75X75X6</t>
  </si>
  <si>
    <t>LOI-1022</t>
  </si>
  <si>
    <t>PG HT</t>
  </si>
  <si>
    <t xml:space="preserve">Yellow-Yellow </t>
  </si>
  <si>
    <t>HA355J2 90X90X6</t>
  </si>
  <si>
    <t>HA355J2 90X90X8</t>
  </si>
  <si>
    <t>MH40AK3044</t>
  </si>
  <si>
    <t>1802/ 664</t>
  </si>
  <si>
    <t>1803/ 666</t>
  </si>
  <si>
    <t>LR- 2067</t>
  </si>
  <si>
    <t>04.01.2024</t>
  </si>
  <si>
    <t>MH40AK2189</t>
  </si>
  <si>
    <t>HAE350A 120X120X8</t>
  </si>
  <si>
    <t>LR- 27437</t>
  </si>
  <si>
    <t>1804/ 387</t>
  </si>
  <si>
    <t>1805/ 387</t>
  </si>
  <si>
    <t>LR- 27440</t>
  </si>
  <si>
    <t>1806/ 388</t>
  </si>
  <si>
    <t>1807/ 389</t>
  </si>
  <si>
    <t>MH49AT0509</t>
  </si>
  <si>
    <t>LR- 27436</t>
  </si>
  <si>
    <t>04.01.24</t>
  </si>
  <si>
    <t>MH49AT3081</t>
  </si>
  <si>
    <t>LOI-1138</t>
  </si>
  <si>
    <t>MA275J2 75X75X5</t>
  </si>
  <si>
    <t>LOI-1341</t>
  </si>
  <si>
    <t>Green-Pink</t>
  </si>
  <si>
    <t>MAE250A 90X90X5</t>
  </si>
  <si>
    <t>HAE350A 90X90X5</t>
  </si>
  <si>
    <t>LOI-1193</t>
  </si>
  <si>
    <t>HA355J2 70X70X5</t>
  </si>
  <si>
    <t>MA275J2 70X70X5</t>
  </si>
  <si>
    <t>1808/ 666</t>
  </si>
  <si>
    <t>1809/ 667</t>
  </si>
  <si>
    <t>1810/ 669</t>
  </si>
  <si>
    <t>HA355J2 80X80X6</t>
  </si>
  <si>
    <t>HA355J2 120X120X10</t>
  </si>
  <si>
    <t>HA355J2 110X110X9</t>
  </si>
  <si>
    <t>HA355J2 130X130X9</t>
  </si>
  <si>
    <t>Green-Black</t>
  </si>
  <si>
    <t>MA275J2 90X90X6</t>
  </si>
  <si>
    <t>HAE350A 130X130X10</t>
  </si>
  <si>
    <t>LOI-1190</t>
  </si>
  <si>
    <t>HA355J2 100X100X9</t>
  </si>
  <si>
    <t>MH40Y5644</t>
  </si>
  <si>
    <t>MH40AK6003</t>
  </si>
  <si>
    <t>LR- 2070</t>
  </si>
  <si>
    <t>1811/ 669</t>
  </si>
  <si>
    <t>1812/ 670</t>
  </si>
  <si>
    <t>LR- 2071</t>
  </si>
  <si>
    <t>1813/ 670</t>
  </si>
  <si>
    <t>1814/ 672</t>
  </si>
  <si>
    <t>1815/ 389</t>
  </si>
  <si>
    <t>1816/ 390</t>
  </si>
  <si>
    <t>1817/ 391</t>
  </si>
  <si>
    <t>LR- 27439</t>
  </si>
  <si>
    <t>MH40AK6074</t>
  </si>
  <si>
    <t>05.01.2024</t>
  </si>
  <si>
    <t>HAE350A 120X120X9</t>
  </si>
  <si>
    <t>1818/ 391</t>
  </si>
  <si>
    <t>1819/ 392</t>
  </si>
  <si>
    <t>LR- 27441</t>
  </si>
  <si>
    <t>LR- 2072</t>
  </si>
  <si>
    <t>HA355J2 110X110X6</t>
  </si>
  <si>
    <t>HA355J2 120X120X9</t>
  </si>
  <si>
    <t>MA275J2 80X80X6</t>
  </si>
  <si>
    <t>HA355J2 70X70X6</t>
  </si>
  <si>
    <t>MH40AK4183</t>
  </si>
  <si>
    <t>LR- 27442</t>
  </si>
  <si>
    <t>MAE250A 80X80X5</t>
  </si>
  <si>
    <t>HAE350A 100X100X8</t>
  </si>
  <si>
    <t>1820/ 671</t>
  </si>
  <si>
    <t>MH40Y4044</t>
  </si>
  <si>
    <t>1821/ 392</t>
  </si>
  <si>
    <t>1822/ 393</t>
  </si>
  <si>
    <t>MH40BG1844</t>
  </si>
  <si>
    <t>HAA572GR50 110X110X8</t>
  </si>
  <si>
    <t>LR- 2073</t>
  </si>
  <si>
    <t>1823/ 671</t>
  </si>
  <si>
    <t>1824/ 672</t>
  </si>
  <si>
    <t>1825/ 673</t>
  </si>
  <si>
    <t>LR- 2074</t>
  </si>
  <si>
    <t>1826/ 673</t>
  </si>
  <si>
    <t>1827/ 674</t>
  </si>
  <si>
    <t>1828/ 674</t>
  </si>
  <si>
    <t>1829/ 675</t>
  </si>
  <si>
    <t>LR- 2075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</si>
</sst>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8"/>
      <name val="Times New Roman"/>
      <family val="1"/>
    </font>
    <font>
      <sz val="17"/>
      <name val="Times New Roman"/>
      <family val="1"/>
    </font>
    <font>
      <b/>
      <sz val="17"/>
      <name val="Times New Roman"/>
      <family val="1"/>
    </font>
    <font>
      <b/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0" fillId="0" borderId="4" xfId="0" applyBorder="1"/>
    <xf numFmtId="0" fontId="0" fillId="0" borderId="0" xfId="0" applyBorder="1"/>
    <xf numFmtId="0" fontId="4" fillId="0" borderId="0" xfId="0" applyFont="1" applyBorder="1" applyAlignment="1">
      <alignment horizontal="center"/>
    </xf>
    <xf numFmtId="0" fontId="0" fillId="0" borderId="5" xfId="0" applyBorder="1"/>
    <xf numFmtId="0" fontId="4" fillId="0" borderId="4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5" xfId="0" applyFont="1" applyBorder="1"/>
    <xf numFmtId="0" fontId="4" fillId="0" borderId="0" xfId="0" applyFont="1"/>
    <xf numFmtId="0" fontId="5" fillId="0" borderId="0" xfId="0" applyFont="1" applyBorder="1"/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4" fillId="0" borderId="6" xfId="0" applyFont="1" applyBorder="1"/>
    <xf numFmtId="0" fontId="7" fillId="0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0" fontId="4" fillId="0" borderId="7" xfId="0" applyFont="1" applyBorder="1"/>
    <xf numFmtId="164" fontId="0" fillId="0" borderId="0" xfId="0" applyNumberFormat="1"/>
    <xf numFmtId="0" fontId="5" fillId="0" borderId="7" xfId="0" applyFont="1" applyBorder="1" applyAlignment="1">
      <alignment horizontal="center" vertical="center" wrapText="1"/>
    </xf>
    <xf numFmtId="164" fontId="9" fillId="3" borderId="7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 vertical="center" wrapText="1"/>
    </xf>
    <xf numFmtId="164" fontId="10" fillId="3" borderId="7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0" fillId="0" borderId="12" xfId="0" applyBorder="1"/>
    <xf numFmtId="0" fontId="0" fillId="0" borderId="13" xfId="0" applyBorder="1"/>
    <xf numFmtId="0" fontId="5" fillId="0" borderId="7" xfId="0" applyFont="1" applyFill="1" applyBorder="1" applyAlignment="1">
      <alignment horizontal="center"/>
    </xf>
    <xf numFmtId="2" fontId="7" fillId="3" borderId="7" xfId="0" applyNumberFormat="1" applyFont="1" applyFill="1" applyBorder="1" applyAlignment="1">
      <alignment horizontal="center" vertical="center"/>
    </xf>
    <xf numFmtId="1" fontId="10" fillId="3" borderId="7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2" fontId="4" fillId="0" borderId="0" xfId="0" applyNumberFormat="1" applyFont="1" applyBorder="1" applyAlignment="1">
      <alignment horizontal="center"/>
    </xf>
    <xf numFmtId="0" fontId="10" fillId="0" borderId="0" xfId="1" applyNumberFormat="1" applyFont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164" fontId="10" fillId="0" borderId="0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left"/>
    </xf>
    <xf numFmtId="0" fontId="10" fillId="4" borderId="16" xfId="0" applyFont="1" applyFill="1" applyBorder="1" applyAlignment="1">
      <alignment horizontal="center"/>
    </xf>
    <xf numFmtId="1" fontId="0" fillId="0" borderId="0" xfId="0" applyNumberFormat="1"/>
    <xf numFmtId="0" fontId="7" fillId="0" borderId="10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2" fontId="4" fillId="0" borderId="7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vertical="center"/>
    </xf>
    <xf numFmtId="164" fontId="5" fillId="0" borderId="18" xfId="0" applyNumberFormat="1" applyFont="1" applyBorder="1" applyAlignment="1">
      <alignment vertical="center"/>
    </xf>
    <xf numFmtId="164" fontId="5" fillId="0" borderId="17" xfId="0" applyNumberFormat="1" applyFont="1" applyBorder="1" applyAlignment="1">
      <alignment vertical="center"/>
    </xf>
    <xf numFmtId="14" fontId="4" fillId="0" borderId="0" xfId="0" applyNumberFormat="1" applyFont="1" applyBorder="1"/>
    <xf numFmtId="0" fontId="4" fillId="0" borderId="18" xfId="0" applyFont="1" applyBorder="1"/>
    <xf numFmtId="164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7" xfId="0" applyBorder="1"/>
    <xf numFmtId="164" fontId="5" fillId="0" borderId="7" xfId="0" applyNumberFormat="1" applyFont="1" applyBorder="1" applyAlignment="1">
      <alignment horizontal="center" vertical="center"/>
    </xf>
    <xf numFmtId="0" fontId="0" fillId="0" borderId="7" xfId="0" applyBorder="1"/>
    <xf numFmtId="164" fontId="5" fillId="0" borderId="7" xfId="0" applyNumberFormat="1" applyFont="1" applyBorder="1" applyAlignment="1">
      <alignment horizontal="center" vertical="center"/>
    </xf>
    <xf numFmtId="0" fontId="0" fillId="0" borderId="7" xfId="0" applyBorder="1"/>
    <xf numFmtId="164" fontId="5" fillId="0" borderId="7" xfId="0" applyNumberFormat="1" applyFont="1" applyBorder="1" applyAlignment="1">
      <alignment horizontal="center" vertical="center"/>
    </xf>
    <xf numFmtId="0" fontId="0" fillId="0" borderId="7" xfId="0" applyBorder="1"/>
    <xf numFmtId="164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" fontId="9" fillId="3" borderId="7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164" fontId="9" fillId="3" borderId="10" xfId="0" applyNumberFormat="1" applyFont="1" applyFill="1" applyBorder="1" applyAlignment="1">
      <alignment horizontal="center"/>
    </xf>
    <xf numFmtId="164" fontId="5" fillId="0" borderId="18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5" fillId="0" borderId="7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8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9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10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11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8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9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10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11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1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1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1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1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8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9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685800</xdr:colOff>
      <xdr:row>0</xdr:row>
      <xdr:rowOff>0</xdr:rowOff>
    </xdr:from>
    <xdr:to>
      <xdr:col>2</xdr:col>
      <xdr:colOff>581025</xdr:colOff>
      <xdr:row>3</xdr:row>
      <xdr:rowOff>122860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1514475" y="0"/>
          <a:ext cx="1323975" cy="999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Packing%20List%20-01.12.2023%20to%2031.12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cking%20List%20-01.12.2023%20to%2031.12.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590 01.12.23 BB"/>
      <sheetName val="5844 01.12.23 BB "/>
      <sheetName val="1844 01.12.23 BB "/>
      <sheetName val="9944 01.12.23 BB"/>
      <sheetName val="3590 02.12.23 BB "/>
      <sheetName val="1844 02.12.23 BB"/>
      <sheetName val="5844 02.12.23 BB "/>
      <sheetName val="9944 02.12.23 BB"/>
      <sheetName val="3944  02.12.23 BB"/>
      <sheetName val="9744 02.12.23 BB"/>
      <sheetName val="0409 02.12.23 JBP"/>
      <sheetName val="5844 03.12.23 BB "/>
      <sheetName val="3944 03.12.23 BB "/>
      <sheetName val="3590 03.12.23 BB  "/>
      <sheetName val="9844 03.12.23 BB"/>
      <sheetName val="4044 03.12.23 BB"/>
      <sheetName val="5144 03.12.23 BB "/>
      <sheetName val="5844 03.12.23 BB"/>
      <sheetName val="3590  04.12.23 BB"/>
      <sheetName val="1455  04.12.23 BB"/>
      <sheetName val="3944  04.12.23 BB "/>
      <sheetName val="5844  04.12.23 BB "/>
      <sheetName val="3044  04.12.23 BB"/>
      <sheetName val="9844  04.12.23 BB"/>
      <sheetName val="3590  04.12.23 BB "/>
      <sheetName val="4594 04.12.23 JBP"/>
      <sheetName val="5144  05.12.23 BB"/>
      <sheetName val="3944  05.12.23 BB "/>
      <sheetName val="4044 05.12.23 BB "/>
      <sheetName val="3590 05.12.23 BB"/>
      <sheetName val="5044  05.12.23 BB"/>
      <sheetName val="3944 05.12.23 BB "/>
      <sheetName val="5144 05.12.23 BB "/>
      <sheetName val="3590 06.12.23 BB "/>
      <sheetName val="3944 06.12.23 BB"/>
      <sheetName val="2189 06.12.23 JBP"/>
      <sheetName val="2949 06.12.23 JBP"/>
      <sheetName val="5044 06.12.23 BB "/>
      <sheetName val="9844 06.12.23 BB"/>
      <sheetName val="4944 06.12.23 BB"/>
      <sheetName val="5644 06.12.23 BB"/>
      <sheetName val="3590 07.12.23 BB "/>
      <sheetName val="3944 07.12.23 BB"/>
      <sheetName val="5044 07.12.23 BB "/>
      <sheetName val="4044 07.12.23 BB "/>
      <sheetName val="3590 07.12.23 BB 2"/>
      <sheetName val="1844 07.12.23 BB "/>
      <sheetName val="3944 08.12.23 BB  "/>
      <sheetName val="4944 08.12.23 BB "/>
      <sheetName val="4384 08.12.23 JBP"/>
      <sheetName val="2928 08.12.23 JBP"/>
      <sheetName val="1952 08.12.23 JBP "/>
      <sheetName val="4044 08.12.23 BB2"/>
      <sheetName val="2926 08.12.23 JBP"/>
      <sheetName val="3944 08.12.23 BB"/>
      <sheetName val="3944 09.12.23 BB"/>
      <sheetName val="4944 09.12.23 BB "/>
      <sheetName val="8099 09.12.23 BB "/>
      <sheetName val="0504 09.12.23 JBP"/>
      <sheetName val="3590 09.12.23 BB"/>
      <sheetName val="6002 09.12.23 JBP"/>
      <sheetName val="3944 09.12.23 BB(2"/>
      <sheetName val="8099  10.12.23 BB"/>
      <sheetName val="4044  10.12.23 BB (2)"/>
      <sheetName val="1951 10.12.23 JBP "/>
      <sheetName val="4944  10.12.23 BB"/>
      <sheetName val="1959 10.12.23 JABALPUR"/>
      <sheetName val="0507 10.12.23 JAIPUR"/>
      <sheetName val="0507 10.12.23 JAIPUR (Trading)"/>
      <sheetName val="1956 10.12.23 JBP"/>
      <sheetName val="3944  10.12.23 BB"/>
      <sheetName val="0309 11.12.23 JBP"/>
      <sheetName val="1947 11.12.23 JBP "/>
      <sheetName val="1954 11.12.23 JBP "/>
      <sheetName val="0508 11.12.23 JBP"/>
      <sheetName val="3544 11.12.23 BB "/>
      <sheetName val="7379 12.12.23 JBP"/>
      <sheetName val="1844 12.12.23 BB  "/>
      <sheetName val="1355 12.12.23 BB "/>
      <sheetName val=" 1958 12.12.23 JBP"/>
      <sheetName val="4384 12.12.23 JBP"/>
      <sheetName val=" 1955 12.12.23 JBP"/>
      <sheetName val="9844 13.12.23 BB"/>
      <sheetName val="2189 13.12.23 JBP"/>
      <sheetName val="5044 13.12.23 BB"/>
      <sheetName val="4944 13.12.23 BB"/>
      <sheetName val="3944 13.12.23 BB"/>
      <sheetName val="1953 14.12.23 JBP "/>
      <sheetName val="1953 14.12.23 JBP(CORECTED)"/>
      <sheetName val="9905 14.12.23 DUBAI"/>
      <sheetName val="0310 14.12.23 JBP"/>
      <sheetName val="6005 14.12.23 JBP "/>
      <sheetName val="5044 14.12.23 BB "/>
      <sheetName val="5913  15.12.23 DUBAI"/>
      <sheetName val="5144 15.12.23 BB "/>
      <sheetName val="0311 15.12.23 JBP "/>
      <sheetName val="0308 15.12.23 JBP"/>
      <sheetName val="1947 16.12.23 JBP "/>
      <sheetName val="0501 16.12.23 JBP  "/>
      <sheetName val="2189 16.12.23 JBP "/>
      <sheetName val="2950 16.12.23 JBP "/>
      <sheetName val="6075 16.12.23 JBP "/>
      <sheetName val="1958 17.12.23 JBP"/>
      <sheetName val="0506 17.12.23 JBP "/>
      <sheetName val="0397 17.12.23 JBP "/>
      <sheetName val="0669 17.12.23 JBP"/>
      <sheetName val="4944 17.12.23 BB "/>
      <sheetName val=" 2907  18.12.23 JBP "/>
      <sheetName val="5044 18.12.23 BB "/>
      <sheetName val="2189  18.12.23 JBP"/>
      <sheetName val="0307  18.12.23 JBP"/>
      <sheetName val="0406  18.12.23 JBP"/>
      <sheetName val="0403  19.12.23 JBP "/>
      <sheetName val="3944 19.12.23 BB "/>
      <sheetName val="7379 20.12.23 JBP "/>
      <sheetName val="4944 22.12.23 BB"/>
      <sheetName val="5362 23.12.23 DUBAI"/>
      <sheetName val="4082 23.12.23 DUBAI "/>
      <sheetName val="0711 24.12.23 DUBAI"/>
      <sheetName val="0710 24.12.23 DUBAI"/>
      <sheetName val="4442 24.12.23 DUBAI (2)"/>
      <sheetName val="0614 24.12.23 DUBAI"/>
      <sheetName val="0705 25.12.23 DUBAI "/>
      <sheetName val="4087 25.12.23 DUBAI "/>
      <sheetName val=" 6002  26.12.23 JBP "/>
      <sheetName val="7423  26.12.23 JBP  "/>
      <sheetName val="6271  26.12.23 JBP "/>
      <sheetName val="2189  26.12.23 JBP"/>
      <sheetName val=" 9448 27.12.23 DUBAI"/>
      <sheetName val="1953  28.12.23 JBP"/>
      <sheetName val="3082  28.12.23 JBP "/>
      <sheetName val="0406  29.12.23 JBP"/>
      <sheetName val="0403  29.12.23 JBP (2)"/>
      <sheetName val="2190  29.12.23 JBP "/>
      <sheetName val="9844  29.12.23 BB "/>
      <sheetName val="1949  29.12.23 JBP "/>
      <sheetName val="1960  30.12.23 JBP "/>
      <sheetName val="4183  30.12.23 JBP "/>
      <sheetName val="3050  30.12.23 JBP"/>
      <sheetName val="1951  31.12.23 JBP "/>
      <sheetName val="  31.12.23 JBP  (2)"/>
      <sheetName val=" 2950 31.12.23 JBP  "/>
      <sheetName val="3048 01.01.24 J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2">
          <cell r="I22">
            <v>32.015999999999998</v>
          </cell>
        </row>
      </sheetData>
      <sheetData sheetId="19">
        <row r="25">
          <cell r="I25">
            <v>32.083689999999997</v>
          </cell>
        </row>
      </sheetData>
      <sheetData sheetId="20">
        <row r="68">
          <cell r="I68">
            <v>31.618400000000001</v>
          </cell>
        </row>
      </sheetData>
      <sheetData sheetId="21">
        <row r="21">
          <cell r="I21">
            <v>32.991999999999997</v>
          </cell>
        </row>
      </sheetData>
      <sheetData sheetId="22">
        <row r="28">
          <cell r="I28">
            <v>32.39</v>
          </cell>
        </row>
      </sheetData>
      <sheetData sheetId="23">
        <row r="25">
          <cell r="I25">
            <v>31.668999999999997</v>
          </cell>
        </row>
      </sheetData>
      <sheetData sheetId="24">
        <row r="21">
          <cell r="I21">
            <v>32.956000000000003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3">
          <cell r="I23">
            <v>33.284999999999997</v>
          </cell>
        </row>
      </sheetData>
      <sheetData sheetId="48">
        <row r="28">
          <cell r="I28">
            <v>32.792000000000002</v>
          </cell>
        </row>
      </sheetData>
      <sheetData sheetId="49">
        <row r="23">
          <cell r="I23">
            <v>39.054000000000002</v>
          </cell>
        </row>
      </sheetData>
      <sheetData sheetId="50">
        <row r="52">
          <cell r="I52">
            <v>32.963000000000001</v>
          </cell>
        </row>
      </sheetData>
      <sheetData sheetId="51">
        <row r="23">
          <cell r="I23">
            <v>32.736999999999995</v>
          </cell>
        </row>
      </sheetData>
      <sheetData sheetId="52">
        <row r="21">
          <cell r="I21">
            <v>31.438000000000002</v>
          </cell>
        </row>
      </sheetData>
      <sheetData sheetId="53">
        <row r="40">
          <cell r="I40">
            <v>32.572000000000003</v>
          </cell>
        </row>
      </sheetData>
      <sheetData sheetId="54" refreshError="1"/>
      <sheetData sheetId="55">
        <row r="28">
          <cell r="I28">
            <v>32.966999999999999</v>
          </cell>
        </row>
      </sheetData>
      <sheetData sheetId="56">
        <row r="30">
          <cell r="I30">
            <v>32.654000000000003</v>
          </cell>
        </row>
      </sheetData>
      <sheetData sheetId="57">
        <row r="37">
          <cell r="I37">
            <v>33.027000000000001</v>
          </cell>
        </row>
      </sheetData>
      <sheetData sheetId="58">
        <row r="23">
          <cell r="I23">
            <v>32.296999999999997</v>
          </cell>
        </row>
      </sheetData>
      <sheetData sheetId="59">
        <row r="38">
          <cell r="I38">
            <v>32.408000000000001</v>
          </cell>
        </row>
      </sheetData>
      <sheetData sheetId="60">
        <row r="56">
          <cell r="I56">
            <v>32.061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05">
          <cell r="I105">
            <v>20.651999999999997</v>
          </cell>
        </row>
      </sheetData>
      <sheetData sheetId="68">
        <row r="27">
          <cell r="H27">
            <v>76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8">
          <cell r="I28">
            <v>32.64</v>
          </cell>
        </row>
      </sheetData>
      <sheetData sheetId="132">
        <row r="23">
          <cell r="I23">
            <v>33.027159999999995</v>
          </cell>
        </row>
      </sheetData>
      <sheetData sheetId="133">
        <row r="31">
          <cell r="K31">
            <v>32.619460000000004</v>
          </cell>
        </row>
      </sheetData>
      <sheetData sheetId="134">
        <row r="39">
          <cell r="I39">
            <v>30.738</v>
          </cell>
        </row>
      </sheetData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3590 01.12.23 BB"/>
      <sheetName val="5844 01.12.23 BB "/>
      <sheetName val="1844 01.12.23 BB "/>
      <sheetName val="9944 01.12.23 BB"/>
      <sheetName val="3590 02.12.23 BB "/>
      <sheetName val="1844 02.12.23 BB"/>
      <sheetName val="5844 02.12.23 BB "/>
      <sheetName val="9944 02.12.23 BB"/>
      <sheetName val="3944  02.12.23 BB"/>
      <sheetName val="9744 02.12.23 BB"/>
      <sheetName val="0409 02.12.23 JBP"/>
      <sheetName val="5844 03.12.23 BB "/>
      <sheetName val="3944 03.12.23 BB "/>
      <sheetName val="3590 03.12.23 BB  "/>
      <sheetName val="9844 03.12.23 BB"/>
      <sheetName val="4044 03.12.23 BB"/>
      <sheetName val="5144 03.12.23 BB "/>
      <sheetName val="5844 03.12.23 BB"/>
      <sheetName val="3590  04.12.23 BB"/>
      <sheetName val="1455  04.12.23 BB"/>
      <sheetName val="3944  04.12.23 BB "/>
      <sheetName val="5844  04.12.23 BB "/>
      <sheetName val="3044  04.12.23 BB"/>
      <sheetName val="9844  04.12.23 BB"/>
      <sheetName val="3590  04.12.23 BB "/>
      <sheetName val="4594 04.12.23 JBP"/>
      <sheetName val="5144  05.12.23 BB"/>
      <sheetName val="3944  05.12.23 BB "/>
      <sheetName val="4044 05.12.23 BB "/>
      <sheetName val="3590 05.12.23 BB"/>
      <sheetName val="5044  05.12.23 BB"/>
      <sheetName val="3944 05.12.23 BB "/>
      <sheetName val="5144 05.12.23 BB "/>
      <sheetName val="3590 06.12.23 BB "/>
      <sheetName val="3944 06.12.23 BB"/>
      <sheetName val="2189 06.12.23 JBP"/>
      <sheetName val="2949 06.12.23 JBP"/>
      <sheetName val="5044 06.12.23 BB "/>
      <sheetName val="9844 06.12.23 BB"/>
      <sheetName val="4944 06.12.23 BB"/>
      <sheetName val="5644 06.12.23 BB"/>
      <sheetName val="3590 07.12.23 BB "/>
      <sheetName val="3944 07.12.23 BB"/>
      <sheetName val="5044 07.12.23 BB "/>
      <sheetName val="4044 07.12.23 BB "/>
      <sheetName val="3590 07.12.23 BB 2"/>
      <sheetName val="1844 07.12.23 BB "/>
      <sheetName val="3944 08.12.23 BB  "/>
      <sheetName val="4944 08.12.23 BB "/>
      <sheetName val="4384 08.12.23 JBP"/>
      <sheetName val="2928 08.12.23 JBP"/>
      <sheetName val="1952 08.12.23 JBP "/>
      <sheetName val="4044 08.12.23 BB2"/>
      <sheetName val="2926 08.12.23 JBP"/>
      <sheetName val="3944 08.12.23 BB"/>
      <sheetName val="3944 09.12.23 BB"/>
      <sheetName val="4944 09.12.23 BB "/>
      <sheetName val="8099 09.12.23 BB "/>
      <sheetName val="0504 09.12.23 JBP"/>
      <sheetName val="3590 09.12.23 BB"/>
      <sheetName val="6002 09.12.23 JBP"/>
      <sheetName val="3944 09.12.23 BB(2"/>
      <sheetName val="8099  10.12.23 BB"/>
      <sheetName val="4044  10.12.23 BB (2)"/>
      <sheetName val="1951 10.12.23 JBP "/>
      <sheetName val="4944  10.12.23 BB"/>
      <sheetName val="1959 10.12.23 JABALPUR"/>
      <sheetName val="0507 10.12.23 JAIPUR"/>
      <sheetName val="0507 10.12.23 JAIPUR (Trading)"/>
      <sheetName val="1956 10.12.23 JBP"/>
      <sheetName val="3944  10.12.23 BB"/>
      <sheetName val="0309 11.12.23 JBP"/>
      <sheetName val="1947 11.12.23 JBP "/>
      <sheetName val="1954 11.12.23 JBP "/>
      <sheetName val="0508 11.12.23 JBP"/>
      <sheetName val="3544 11.12.23 BB "/>
      <sheetName val="7379 12.12.23 JBP"/>
      <sheetName val="1844 12.12.23 BB  "/>
      <sheetName val="1355 12.12.23 BB "/>
      <sheetName val=" 1958 12.12.23 JBP"/>
      <sheetName val="4384 12.12.23 JBP"/>
      <sheetName val=" 1955 12.12.23 JBP"/>
      <sheetName val="9844 13.12.23 BB"/>
      <sheetName val="2189 13.12.23 JBP"/>
      <sheetName val="5044 13.12.23 BB"/>
      <sheetName val="4944 13.12.23 BB"/>
      <sheetName val="3944 13.12.23 BB"/>
      <sheetName val="1953 14.12.23 JBP "/>
      <sheetName val="1953 14.12.23 JBP(CORECTED)"/>
      <sheetName val="9905 14.12.23 DUBAI"/>
      <sheetName val="0310 14.12.23 JBP"/>
      <sheetName val="6005 14.12.23 JBP "/>
      <sheetName val="5044 14.12.23 BB "/>
      <sheetName val="5913  15.12.23 DUBAI"/>
      <sheetName val="5144 15.12.23 BB "/>
      <sheetName val="0311 15.12.23 JBP "/>
      <sheetName val="0308 15.12.23 JBP"/>
      <sheetName val="1947 16.12.23 JBP "/>
      <sheetName val="0501 16.12.23 JBP  "/>
      <sheetName val="2189 16.12.23 JBP "/>
      <sheetName val="2950 16.12.23 JBP "/>
      <sheetName val="6075 16.12.23 JBP "/>
      <sheetName val="1958 17.12.23 JBP"/>
      <sheetName val="0506 17.12.23 JBP "/>
      <sheetName val="0397 17.12.23 JBP "/>
      <sheetName val="0669 17.12.23 JBP"/>
      <sheetName val="4944 17.12.23 BB "/>
      <sheetName val=" 2907  18.12.23 JBP "/>
      <sheetName val="5044 18.12.23 BB "/>
      <sheetName val="2189  18.12.23 JBP"/>
      <sheetName val="0307  18.12.23 JBP"/>
      <sheetName val="0406  18.12.23 JBP"/>
      <sheetName val="0403  19.12.23 JBP "/>
      <sheetName val="3944 19.12.23 BB "/>
      <sheetName val="7379 20.12.23 JBP "/>
      <sheetName val="4944 22.12.23 BB"/>
      <sheetName val="5362 23.12.23 DUBAI"/>
      <sheetName val="4082 23.12.23 DUBAI "/>
      <sheetName val="0711 24.12.23 DUBAI"/>
      <sheetName val="0710 24.12.23 DUBAI"/>
      <sheetName val="4442 24.12.23 DUBAI (2)"/>
      <sheetName val="0614 24.12.23 DUBAI"/>
      <sheetName val="0705 25.12.23 DUBAI "/>
      <sheetName val="4087 25.12.23 DUBAI "/>
      <sheetName val=" 6002  26.12.23 JBP "/>
      <sheetName val="7423  26.12.23 JBP  "/>
      <sheetName val="6271  26.12.23 JBP "/>
      <sheetName val="2189  26.12.23 JBP"/>
      <sheetName val=" 9448 27.12.23 DUBAI"/>
      <sheetName val="1953  28.12.23 JBP"/>
      <sheetName val="3082  28.12.23 JBP "/>
      <sheetName val="0406  29.12.23 JBP"/>
      <sheetName val="0403  29.12.23 JBP (2)"/>
      <sheetName val="2190  29.12.23 JBP "/>
      <sheetName val="9844  29.12.23 BB "/>
      <sheetName val="1949  29.12.23 JBP "/>
      <sheetName val="1960  30.12.23 JBP "/>
      <sheetName val="4183  30.12.23 JBP "/>
      <sheetName val="3050  30.12.23 JBP"/>
      <sheetName val="1951  31.12.23 JBP "/>
      <sheetName val=" 2950 31.12.23 JBP  "/>
      <sheetName val="0308  01.01.2024JBP"/>
      <sheetName val="0310  01.01.2024 JBP"/>
      <sheetName val="0311   02.01.24 J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8">
          <cell r="I28">
            <v>32.64</v>
          </cell>
        </row>
      </sheetData>
      <sheetData sheetId="132">
        <row r="23">
          <cell r="I23">
            <v>33.027159999999995</v>
          </cell>
        </row>
      </sheetData>
      <sheetData sheetId="133">
        <row r="31">
          <cell r="K31">
            <v>32.619460000000004</v>
          </cell>
        </row>
      </sheetData>
      <sheetData sheetId="134">
        <row r="39">
          <cell r="I39">
            <v>30.738</v>
          </cell>
        </row>
      </sheetData>
      <sheetData sheetId="135" refreshError="1"/>
      <sheetData sheetId="136" refreshError="1"/>
      <sheetData sheetId="137" refreshError="1"/>
      <sheetData sheetId="138" refreshError="1"/>
      <sheetData sheetId="139">
        <row r="27">
          <cell r="I27">
            <v>32.724000000000004</v>
          </cell>
        </row>
      </sheetData>
      <sheetData sheetId="140" refreshError="1"/>
      <sheetData sheetId="141" refreshError="1"/>
      <sheetData sheetId="142" refreshError="1"/>
      <sheetData sheetId="1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P42"/>
  <sheetViews>
    <sheetView topLeftCell="A10" zoomScale="75" zoomScaleNormal="75" workbookViewId="0">
      <selection activeCell="J30" sqref="J30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51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47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48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49</v>
      </c>
      <c r="F13" s="61">
        <v>17.82</v>
      </c>
      <c r="G13" s="19">
        <v>10.3</v>
      </c>
      <c r="H13" s="18">
        <v>12</v>
      </c>
      <c r="I13" s="20">
        <v>2.2029999999999998</v>
      </c>
      <c r="J13" s="21"/>
      <c r="K13" s="92">
        <f>+I16</f>
        <v>20.734000000000002</v>
      </c>
      <c r="L13" s="92" t="s">
        <v>52</v>
      </c>
      <c r="N13" s="18">
        <v>12</v>
      </c>
      <c r="O13" s="20">
        <v>2.2025520000000003</v>
      </c>
      <c r="P13" s="22"/>
    </row>
    <row r="14" spans="1:16" ht="23.25" customHeight="1">
      <c r="A14" s="14"/>
      <c r="B14" s="15"/>
      <c r="C14" s="16"/>
      <c r="D14" s="17"/>
      <c r="E14" s="17"/>
      <c r="F14" s="61">
        <v>17.82</v>
      </c>
      <c r="G14" s="19">
        <v>11.8</v>
      </c>
      <c r="H14" s="18">
        <v>48</v>
      </c>
      <c r="I14" s="20">
        <v>10.093</v>
      </c>
      <c r="J14" s="21"/>
      <c r="K14" s="93"/>
      <c r="L14" s="93"/>
      <c r="N14" s="18">
        <v>48</v>
      </c>
      <c r="O14" s="20">
        <v>10.093247999999999</v>
      </c>
      <c r="P14" s="22"/>
    </row>
    <row r="15" spans="1:16" ht="23.25" customHeight="1">
      <c r="A15" s="14"/>
      <c r="B15" s="15"/>
      <c r="C15" s="16"/>
      <c r="D15" s="17"/>
      <c r="E15" s="17"/>
      <c r="F15" s="61">
        <v>17.82</v>
      </c>
      <c r="G15" s="19">
        <v>12</v>
      </c>
      <c r="H15" s="18">
        <v>40</v>
      </c>
      <c r="I15" s="20">
        <v>8.4380000000000006</v>
      </c>
      <c r="J15" s="21"/>
      <c r="K15" s="93"/>
      <c r="L15" s="93"/>
      <c r="N15" s="18">
        <v>48</v>
      </c>
      <c r="O15" s="20">
        <v>10.26432</v>
      </c>
      <c r="P15" s="22"/>
    </row>
    <row r="16" spans="1:16" ht="23.25" customHeight="1">
      <c r="A16" s="14"/>
      <c r="B16" s="15"/>
      <c r="C16" s="16"/>
      <c r="D16" s="17"/>
      <c r="E16" s="17"/>
      <c r="F16" s="18"/>
      <c r="G16" s="19"/>
      <c r="H16" s="23">
        <f>SUM(H13:H15)</f>
        <v>100</v>
      </c>
      <c r="I16" s="24">
        <f>SUM(I13:I15)</f>
        <v>20.734000000000002</v>
      </c>
      <c r="J16" s="21"/>
      <c r="K16" s="94"/>
      <c r="L16" s="94"/>
      <c r="N16" s="23">
        <v>108</v>
      </c>
      <c r="O16" s="24">
        <v>22.560119999999998</v>
      </c>
      <c r="P16" s="22"/>
    </row>
    <row r="17" spans="1:16" ht="23.25" customHeight="1">
      <c r="A17" s="14"/>
      <c r="B17" s="15"/>
      <c r="C17" s="16"/>
      <c r="D17" s="17"/>
      <c r="E17" s="17"/>
      <c r="F17" s="61">
        <v>17.82</v>
      </c>
      <c r="G17" s="19">
        <v>12</v>
      </c>
      <c r="H17" s="18">
        <f>48-40</f>
        <v>8</v>
      </c>
      <c r="I17" s="20">
        <f>10.264-8.438</f>
        <v>1.8259999999999987</v>
      </c>
      <c r="J17" s="21"/>
      <c r="K17" s="92">
        <f>+I18+I20+I24</f>
        <v>12.042999999999999</v>
      </c>
      <c r="L17" s="92" t="s">
        <v>53</v>
      </c>
      <c r="N17" s="23"/>
      <c r="O17" s="24"/>
      <c r="P17" s="22"/>
    </row>
    <row r="18" spans="1:16" ht="23.25" customHeight="1">
      <c r="A18" s="14"/>
      <c r="B18" s="15"/>
      <c r="C18" s="16"/>
      <c r="D18" s="17"/>
      <c r="E18" s="17"/>
      <c r="F18" s="18"/>
      <c r="G18" s="19"/>
      <c r="H18" s="23">
        <f t="shared" ref="H18:I18" si="0">SUM(H17)</f>
        <v>8</v>
      </c>
      <c r="I18" s="24">
        <f t="shared" si="0"/>
        <v>1.8259999999999987</v>
      </c>
      <c r="J18" s="21"/>
      <c r="K18" s="93"/>
      <c r="L18" s="93"/>
      <c r="N18" s="23"/>
      <c r="O18" s="24"/>
      <c r="P18" s="22"/>
    </row>
    <row r="19" spans="1:16" ht="23.25" customHeight="1">
      <c r="A19" s="14">
        <v>2</v>
      </c>
      <c r="B19" s="15" t="s">
        <v>28</v>
      </c>
      <c r="C19" s="16" t="s">
        <v>25</v>
      </c>
      <c r="D19" s="17" t="s">
        <v>26</v>
      </c>
      <c r="E19" s="17" t="s">
        <v>50</v>
      </c>
      <c r="F19" s="61">
        <v>18.149999999999999</v>
      </c>
      <c r="G19" s="19">
        <v>12</v>
      </c>
      <c r="H19" s="18">
        <v>39</v>
      </c>
      <c r="I19" s="20">
        <v>8.4939999999999998</v>
      </c>
      <c r="J19" s="21"/>
      <c r="K19" s="93"/>
      <c r="L19" s="93"/>
      <c r="N19" s="18">
        <v>39</v>
      </c>
      <c r="O19" s="20">
        <v>8.4941999999999993</v>
      </c>
      <c r="P19" s="22"/>
    </row>
    <row r="20" spans="1:16" ht="23.25" customHeight="1">
      <c r="A20" s="14"/>
      <c r="B20" s="15"/>
      <c r="C20" s="16"/>
      <c r="D20" s="17"/>
      <c r="E20" s="17"/>
      <c r="F20" s="61"/>
      <c r="G20" s="19"/>
      <c r="H20" s="23">
        <f>SUM(H19:H19)</f>
        <v>39</v>
      </c>
      <c r="I20" s="24">
        <f>SUM(I19:I19)</f>
        <v>8.4939999999999998</v>
      </c>
      <c r="J20" s="21"/>
      <c r="K20" s="93"/>
      <c r="L20" s="93"/>
      <c r="N20" s="23">
        <v>39</v>
      </c>
      <c r="O20" s="24">
        <v>8.4941999999999993</v>
      </c>
      <c r="P20" s="22"/>
    </row>
    <row r="21" spans="1:16" ht="23.25" customHeight="1">
      <c r="A21" s="14">
        <v>3</v>
      </c>
      <c r="B21" s="15" t="s">
        <v>20</v>
      </c>
      <c r="C21" s="16" t="s">
        <v>21</v>
      </c>
      <c r="D21" s="17" t="s">
        <v>22</v>
      </c>
      <c r="E21" s="17" t="s">
        <v>23</v>
      </c>
      <c r="F21" s="61">
        <v>10.92</v>
      </c>
      <c r="G21" s="19">
        <v>10.1</v>
      </c>
      <c r="H21" s="18">
        <v>3</v>
      </c>
      <c r="I21" s="20">
        <v>0.33100000000000002</v>
      </c>
      <c r="J21" s="21"/>
      <c r="K21" s="93"/>
      <c r="L21" s="93"/>
      <c r="N21" s="18">
        <v>3</v>
      </c>
      <c r="O21" s="20">
        <v>0.330876</v>
      </c>
      <c r="P21" s="22"/>
    </row>
    <row r="22" spans="1:16" ht="23.25" customHeight="1">
      <c r="A22" s="14"/>
      <c r="B22" s="15"/>
      <c r="C22" s="16"/>
      <c r="D22" s="17"/>
      <c r="E22" s="17"/>
      <c r="F22" s="61">
        <v>10.92</v>
      </c>
      <c r="G22" s="19">
        <v>10.5</v>
      </c>
      <c r="H22" s="18">
        <v>3</v>
      </c>
      <c r="I22" s="20">
        <v>0.34399999999999997</v>
      </c>
      <c r="J22" s="21"/>
      <c r="K22" s="93"/>
      <c r="L22" s="93"/>
      <c r="N22" s="18">
        <v>3</v>
      </c>
      <c r="O22" s="20">
        <v>0.34398000000000001</v>
      </c>
      <c r="P22" s="22"/>
    </row>
    <row r="23" spans="1:16" ht="23.25" customHeight="1">
      <c r="A23" s="14"/>
      <c r="B23" s="15"/>
      <c r="C23" s="16"/>
      <c r="D23" s="17"/>
      <c r="E23" s="17"/>
      <c r="F23" s="61">
        <v>10.92</v>
      </c>
      <c r="G23" s="19">
        <v>12</v>
      </c>
      <c r="H23" s="18">
        <v>8</v>
      </c>
      <c r="I23" s="20">
        <v>1.048</v>
      </c>
      <c r="J23" s="21"/>
      <c r="K23" s="93"/>
      <c r="L23" s="93"/>
      <c r="N23" s="18">
        <v>8</v>
      </c>
      <c r="O23" s="20">
        <v>1.0483199999999999</v>
      </c>
      <c r="P23" s="22"/>
    </row>
    <row r="24" spans="1:16" ht="23.25" customHeight="1">
      <c r="A24" s="14"/>
      <c r="B24" s="15"/>
      <c r="C24" s="16"/>
      <c r="D24" s="17"/>
      <c r="E24" s="17"/>
      <c r="F24" s="18"/>
      <c r="G24" s="19"/>
      <c r="H24" s="23">
        <f>SUM(H21:H23)</f>
        <v>14</v>
      </c>
      <c r="I24" s="24">
        <f>SUM(I21:I23)</f>
        <v>1.7230000000000001</v>
      </c>
      <c r="J24" s="21"/>
      <c r="K24" s="94"/>
      <c r="L24" s="94"/>
      <c r="N24" s="23">
        <v>14</v>
      </c>
      <c r="O24" s="24">
        <v>1.723176</v>
      </c>
      <c r="P24" s="22"/>
    </row>
    <row r="25" spans="1:16" ht="23.25" customHeight="1">
      <c r="A25" s="27"/>
      <c r="B25" s="28"/>
      <c r="C25" s="28"/>
      <c r="D25" s="28"/>
      <c r="E25" s="21"/>
      <c r="F25" s="18"/>
      <c r="G25" s="19"/>
      <c r="H25" s="23">
        <f t="shared" ref="H25:I25" si="1">SUM(H24,H20,H18,H16)</f>
        <v>161</v>
      </c>
      <c r="I25" s="24">
        <f t="shared" si="1"/>
        <v>32.777000000000001</v>
      </c>
      <c r="J25" s="21"/>
      <c r="K25" s="62"/>
      <c r="L25" s="62"/>
      <c r="N25" s="23">
        <v>161</v>
      </c>
      <c r="O25" s="24">
        <v>32.777495999999999</v>
      </c>
      <c r="P25" s="22"/>
    </row>
    <row r="26" spans="1:16" ht="23.25" customHeight="1">
      <c r="A26" s="27"/>
      <c r="B26" s="28"/>
      <c r="C26" s="28"/>
      <c r="D26" s="28"/>
      <c r="E26" s="21"/>
      <c r="F26" s="18"/>
      <c r="G26" s="19"/>
      <c r="H26" s="23"/>
      <c r="I26" s="24"/>
      <c r="J26" s="21"/>
      <c r="K26" s="62"/>
      <c r="L26" s="62"/>
      <c r="N26" s="23"/>
      <c r="O26" s="24"/>
      <c r="P26" s="22"/>
    </row>
    <row r="27" spans="1:16" ht="23.25" customHeight="1">
      <c r="A27" s="27"/>
      <c r="B27" s="28"/>
      <c r="C27" s="28"/>
      <c r="D27" s="28"/>
      <c r="E27" s="21"/>
      <c r="F27" s="18"/>
      <c r="G27" s="19"/>
      <c r="H27" s="23"/>
      <c r="I27" s="24"/>
      <c r="J27" s="21"/>
      <c r="K27" s="63"/>
      <c r="L27" s="63"/>
      <c r="N27" s="23"/>
      <c r="O27" s="24"/>
      <c r="P27" s="22"/>
    </row>
    <row r="28" spans="1:16" ht="23.25" customHeight="1">
      <c r="A28" s="27"/>
      <c r="B28" s="28"/>
      <c r="C28" s="28"/>
      <c r="D28" s="28"/>
      <c r="E28" s="21"/>
      <c r="F28" s="18"/>
      <c r="G28" s="19"/>
      <c r="H28" s="23"/>
      <c r="I28" s="24"/>
      <c r="J28" s="21"/>
      <c r="K28" s="63"/>
      <c r="L28" s="63"/>
      <c r="N28" s="23"/>
      <c r="O28" s="24"/>
      <c r="P28" s="22"/>
    </row>
    <row r="29" spans="1:16" ht="23.25" customHeight="1" thickBot="1">
      <c r="A29" s="30"/>
      <c r="B29" s="31"/>
      <c r="C29" s="31"/>
      <c r="D29" s="31"/>
      <c r="E29" s="32" t="s">
        <v>29</v>
      </c>
      <c r="F29" s="33"/>
      <c r="G29" s="26"/>
      <c r="H29" s="34">
        <f t="shared" ref="H29:I29" si="2">SUM(H25)</f>
        <v>161</v>
      </c>
      <c r="I29" s="26">
        <f t="shared" si="2"/>
        <v>32.777000000000001</v>
      </c>
      <c r="J29" s="26"/>
      <c r="K29" s="26">
        <f>+K13+K17</f>
        <v>32.777000000000001</v>
      </c>
      <c r="L29" s="35"/>
      <c r="N29" s="34">
        <v>161</v>
      </c>
      <c r="O29" s="26">
        <v>32.777495999999999</v>
      </c>
      <c r="P29" s="22"/>
    </row>
    <row r="30" spans="1:16" ht="23.25">
      <c r="A30" s="36"/>
      <c r="B30" s="37" t="s">
        <v>30</v>
      </c>
      <c r="C30" s="38"/>
      <c r="D30" s="39" t="s">
        <v>31</v>
      </c>
      <c r="E30" s="40" t="s">
        <v>32</v>
      </c>
      <c r="F30" s="41"/>
      <c r="G30" s="42"/>
      <c r="H30" s="42"/>
      <c r="I30" s="43" t="s">
        <v>33</v>
      </c>
      <c r="J30" s="43"/>
      <c r="K30" s="44"/>
      <c r="L30" s="45"/>
      <c r="N30" s="22"/>
    </row>
    <row r="31" spans="1:16" ht="23.25">
      <c r="A31" s="46"/>
      <c r="B31" s="37"/>
      <c r="C31" s="47"/>
      <c r="D31" s="48"/>
      <c r="E31" s="48"/>
      <c r="F31" s="48" t="s">
        <v>34</v>
      </c>
      <c r="G31" s="48" t="s">
        <v>34</v>
      </c>
      <c r="H31" s="48"/>
      <c r="I31" s="48"/>
      <c r="J31" s="48"/>
      <c r="K31" s="48"/>
      <c r="L31" s="49"/>
    </row>
    <row r="32" spans="1:16" ht="23.25">
      <c r="A32" s="46"/>
      <c r="B32" s="37"/>
      <c r="C32" s="47"/>
      <c r="D32" s="48"/>
      <c r="E32" s="48"/>
      <c r="F32" s="48"/>
      <c r="G32" s="48"/>
      <c r="H32" s="48"/>
      <c r="I32" s="48"/>
      <c r="J32" s="48"/>
      <c r="K32" s="48"/>
      <c r="L32" s="49"/>
    </row>
    <row r="33" spans="1:12" ht="24" thickBot="1">
      <c r="A33" s="50"/>
      <c r="B33" s="51" t="s">
        <v>35</v>
      </c>
      <c r="C33" s="51"/>
      <c r="D33" s="51"/>
      <c r="E33" s="52" t="s">
        <v>36</v>
      </c>
      <c r="F33" s="53"/>
      <c r="G33" s="53"/>
      <c r="H33" s="54"/>
      <c r="I33" s="55" t="s">
        <v>37</v>
      </c>
      <c r="J33" s="55"/>
      <c r="K33" s="52"/>
      <c r="L33" s="56"/>
    </row>
    <row r="37" spans="1:12">
      <c r="H37" s="57"/>
      <c r="I37" s="22"/>
      <c r="J37" s="22"/>
    </row>
    <row r="38" spans="1:12">
      <c r="I38" s="22"/>
    </row>
    <row r="39" spans="1:12">
      <c r="H39" s="57"/>
    </row>
    <row r="42" spans="1:12" ht="22.5">
      <c r="I42" s="20">
        <f>F42*G42*H42/1000</f>
        <v>0</v>
      </c>
      <c r="J42" s="22"/>
      <c r="K42" s="22">
        <f>+I29+'[1]9844  29.12.23 BB '!I39+'[1]2190  29.12.23 JBP '!K31+'[1]0403  29.12.23 JBP (2)'!I23+'[1]0406  29.12.23 JBP'!I28</f>
        <v>161.80162000000001</v>
      </c>
    </row>
  </sheetData>
  <mergeCells count="7">
    <mergeCell ref="K13:K16"/>
    <mergeCell ref="L13:L16"/>
    <mergeCell ref="K17:K24"/>
    <mergeCell ref="L17:L24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P57"/>
  <sheetViews>
    <sheetView topLeftCell="B1" zoomScale="75" zoomScaleNormal="75" workbookViewId="0">
      <selection activeCell="K53" sqref="K53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57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/>
      <c r="K8" s="65" t="s">
        <v>47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58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42</v>
      </c>
      <c r="C13" s="16" t="s">
        <v>54</v>
      </c>
      <c r="D13" s="17" t="s">
        <v>43</v>
      </c>
      <c r="E13" s="17" t="s">
        <v>38</v>
      </c>
      <c r="F13" s="61">
        <v>13.4</v>
      </c>
      <c r="G13" s="19">
        <v>10</v>
      </c>
      <c r="H13" s="18">
        <v>7</v>
      </c>
      <c r="I13" s="20">
        <v>0.93799999999999994</v>
      </c>
      <c r="J13" s="21"/>
      <c r="K13" s="92">
        <f>+I15+I18+I23+I27+I29+I34+I36</f>
        <v>19.091999999999999</v>
      </c>
      <c r="L13" s="92" t="s">
        <v>59</v>
      </c>
      <c r="N13" s="18">
        <v>7</v>
      </c>
      <c r="O13" s="20">
        <v>0.93799999999999994</v>
      </c>
      <c r="P13" s="22"/>
    </row>
    <row r="14" spans="1:16" ht="23.25" customHeight="1">
      <c r="A14" s="14"/>
      <c r="B14" s="15"/>
      <c r="C14" s="16"/>
      <c r="D14" s="17"/>
      <c r="E14" s="17"/>
      <c r="F14" s="61">
        <v>13.4</v>
      </c>
      <c r="G14" s="19">
        <v>12</v>
      </c>
      <c r="H14" s="18">
        <v>8</v>
      </c>
      <c r="I14" s="20">
        <v>1.286</v>
      </c>
      <c r="J14" s="21"/>
      <c r="K14" s="93"/>
      <c r="L14" s="93"/>
      <c r="N14" s="18">
        <v>8</v>
      </c>
      <c r="O14" s="20">
        <v>1.2864</v>
      </c>
      <c r="P14" s="22"/>
    </row>
    <row r="15" spans="1:16" ht="23.25" customHeight="1">
      <c r="A15" s="14"/>
      <c r="B15" s="15"/>
      <c r="C15" s="16"/>
      <c r="D15" s="17"/>
      <c r="E15" s="17"/>
      <c r="F15" s="18"/>
      <c r="G15" s="19"/>
      <c r="H15" s="23">
        <f t="shared" ref="H15:I15" si="0">SUM(H13:H14)</f>
        <v>15</v>
      </c>
      <c r="I15" s="24">
        <f t="shared" si="0"/>
        <v>2.2240000000000002</v>
      </c>
      <c r="J15" s="21"/>
      <c r="K15" s="93"/>
      <c r="L15" s="93"/>
      <c r="N15" s="23">
        <v>15</v>
      </c>
      <c r="O15" s="24">
        <v>2.2244000000000002</v>
      </c>
      <c r="P15" s="22"/>
    </row>
    <row r="16" spans="1:16" ht="23.25" customHeight="1">
      <c r="A16" s="14">
        <v>2</v>
      </c>
      <c r="B16" s="15" t="s">
        <v>42</v>
      </c>
      <c r="C16" s="16" t="s">
        <v>54</v>
      </c>
      <c r="D16" s="17" t="s">
        <v>43</v>
      </c>
      <c r="E16" s="17" t="s">
        <v>44</v>
      </c>
      <c r="F16" s="61">
        <v>8.32</v>
      </c>
      <c r="G16" s="19">
        <v>10</v>
      </c>
      <c r="H16" s="18">
        <v>11</v>
      </c>
      <c r="I16" s="20">
        <v>0.91500000000000004</v>
      </c>
      <c r="J16" s="21"/>
      <c r="K16" s="93"/>
      <c r="L16" s="93"/>
      <c r="N16" s="18">
        <v>11</v>
      </c>
      <c r="O16" s="20">
        <v>0.91520000000000001</v>
      </c>
      <c r="P16" s="22"/>
    </row>
    <row r="17" spans="1:16" ht="23.25" customHeight="1">
      <c r="A17" s="14"/>
      <c r="B17" s="15"/>
      <c r="C17" s="16"/>
      <c r="D17" s="17"/>
      <c r="E17" s="17"/>
      <c r="F17" s="61">
        <v>8.32</v>
      </c>
      <c r="G17" s="19">
        <v>12</v>
      </c>
      <c r="H17" s="18">
        <v>6</v>
      </c>
      <c r="I17" s="20">
        <v>0.59899999999999998</v>
      </c>
      <c r="J17" s="21"/>
      <c r="K17" s="93"/>
      <c r="L17" s="93"/>
      <c r="N17" s="18">
        <v>6</v>
      </c>
      <c r="O17" s="20">
        <v>0.59904000000000002</v>
      </c>
      <c r="P17" s="22"/>
    </row>
    <row r="18" spans="1:16" ht="23.25" customHeight="1">
      <c r="A18" s="14"/>
      <c r="B18" s="15"/>
      <c r="C18" s="16"/>
      <c r="D18" s="17"/>
      <c r="E18" s="17"/>
      <c r="F18" s="61"/>
      <c r="G18" s="19"/>
      <c r="H18" s="23">
        <f t="shared" ref="H18:I18" si="1">SUM(H16:H17)</f>
        <v>17</v>
      </c>
      <c r="I18" s="24">
        <f t="shared" si="1"/>
        <v>1.514</v>
      </c>
      <c r="J18" s="21"/>
      <c r="K18" s="93"/>
      <c r="L18" s="93"/>
      <c r="N18" s="23">
        <v>17</v>
      </c>
      <c r="O18" s="24">
        <v>1.51424</v>
      </c>
      <c r="P18" s="22"/>
    </row>
    <row r="19" spans="1:16" ht="23.25" customHeight="1">
      <c r="A19" s="14">
        <v>3</v>
      </c>
      <c r="B19" s="15" t="s">
        <v>42</v>
      </c>
      <c r="C19" s="16" t="s">
        <v>54</v>
      </c>
      <c r="D19" s="17" t="s">
        <v>43</v>
      </c>
      <c r="E19" s="17" t="s">
        <v>55</v>
      </c>
      <c r="F19" s="61">
        <v>9.61</v>
      </c>
      <c r="G19" s="19">
        <v>7</v>
      </c>
      <c r="H19" s="18">
        <v>2</v>
      </c>
      <c r="I19" s="20">
        <v>0.13500000000000001</v>
      </c>
      <c r="J19" s="21"/>
      <c r="K19" s="93"/>
      <c r="L19" s="93"/>
      <c r="N19" s="18">
        <v>2</v>
      </c>
      <c r="O19" s="20">
        <v>0.13453999999999999</v>
      </c>
      <c r="P19" s="22"/>
    </row>
    <row r="20" spans="1:16" ht="23.25" customHeight="1">
      <c r="A20" s="14"/>
      <c r="B20" s="15"/>
      <c r="C20" s="16"/>
      <c r="D20" s="17"/>
      <c r="E20" s="17"/>
      <c r="F20" s="61">
        <v>9.61</v>
      </c>
      <c r="G20" s="19">
        <v>7.05</v>
      </c>
      <c r="H20" s="18">
        <v>6</v>
      </c>
      <c r="I20" s="20">
        <v>0.40699999999999997</v>
      </c>
      <c r="J20" s="21"/>
      <c r="K20" s="93"/>
      <c r="L20" s="93"/>
      <c r="N20" s="18">
        <v>6</v>
      </c>
      <c r="O20" s="20">
        <v>0.40650299999999995</v>
      </c>
      <c r="P20" s="22"/>
    </row>
    <row r="21" spans="1:16" ht="23.25" customHeight="1">
      <c r="A21" s="14"/>
      <c r="B21" s="15"/>
      <c r="C21" s="16"/>
      <c r="D21" s="17"/>
      <c r="E21" s="17"/>
      <c r="F21" s="61">
        <v>9.61</v>
      </c>
      <c r="G21" s="19">
        <v>10</v>
      </c>
      <c r="H21" s="18">
        <v>9</v>
      </c>
      <c r="I21" s="20">
        <v>0.86499999999999999</v>
      </c>
      <c r="J21" s="21"/>
      <c r="K21" s="93"/>
      <c r="L21" s="93"/>
      <c r="N21" s="18">
        <v>9</v>
      </c>
      <c r="O21" s="20">
        <v>0.8649</v>
      </c>
      <c r="P21" s="22"/>
    </row>
    <row r="22" spans="1:16" ht="23.25" customHeight="1">
      <c r="A22" s="14"/>
      <c r="B22" s="15"/>
      <c r="C22" s="16"/>
      <c r="D22" s="17"/>
      <c r="E22" s="17"/>
      <c r="F22" s="61">
        <v>9.61</v>
      </c>
      <c r="G22" s="19">
        <v>12</v>
      </c>
      <c r="H22" s="18">
        <v>11</v>
      </c>
      <c r="I22" s="20">
        <v>1.2689999999999999</v>
      </c>
      <c r="J22" s="21"/>
      <c r="K22" s="93"/>
      <c r="L22" s="93"/>
      <c r="N22" s="18">
        <v>11</v>
      </c>
      <c r="O22" s="20">
        <v>1.2685200000000001</v>
      </c>
      <c r="P22" s="22"/>
    </row>
    <row r="23" spans="1:16" ht="23.25" customHeight="1">
      <c r="A23" s="14"/>
      <c r="B23" s="15"/>
      <c r="C23" s="16"/>
      <c r="D23" s="17"/>
      <c r="E23" s="17"/>
      <c r="F23" s="18"/>
      <c r="G23" s="19"/>
      <c r="H23" s="23">
        <f t="shared" ref="H23:I23" si="2">SUM(H19:H22)</f>
        <v>28</v>
      </c>
      <c r="I23" s="24">
        <f t="shared" si="2"/>
        <v>2.6760000000000002</v>
      </c>
      <c r="J23" s="21"/>
      <c r="K23" s="93"/>
      <c r="L23" s="93"/>
      <c r="N23" s="23">
        <v>28</v>
      </c>
      <c r="O23" s="24">
        <v>2.6744630000000003</v>
      </c>
      <c r="P23" s="22"/>
    </row>
    <row r="24" spans="1:16" ht="23.25" customHeight="1">
      <c r="A24" s="14">
        <v>4</v>
      </c>
      <c r="B24" s="15" t="s">
        <v>24</v>
      </c>
      <c r="C24" s="16" t="s">
        <v>39</v>
      </c>
      <c r="D24" s="17" t="s">
        <v>40</v>
      </c>
      <c r="E24" s="17" t="s">
        <v>56</v>
      </c>
      <c r="F24" s="61">
        <v>5.77</v>
      </c>
      <c r="G24" s="19">
        <v>12</v>
      </c>
      <c r="H24" s="18">
        <v>24</v>
      </c>
      <c r="I24" s="20">
        <v>1.6619999999999999</v>
      </c>
      <c r="J24" s="21"/>
      <c r="K24" s="93"/>
      <c r="L24" s="93"/>
      <c r="N24" s="18">
        <v>24</v>
      </c>
      <c r="O24" s="20">
        <v>1.6617599999999997</v>
      </c>
      <c r="P24" s="22"/>
    </row>
    <row r="25" spans="1:16" ht="23.25" customHeight="1">
      <c r="A25" s="14"/>
      <c r="B25" s="15"/>
      <c r="C25" s="16"/>
      <c r="D25" s="17"/>
      <c r="E25" s="17"/>
      <c r="F25" s="61">
        <v>5.77</v>
      </c>
      <c r="G25" s="19">
        <v>10.5</v>
      </c>
      <c r="H25" s="18">
        <v>13</v>
      </c>
      <c r="I25" s="20">
        <v>0.78800000000000003</v>
      </c>
      <c r="J25" s="21"/>
      <c r="K25" s="93"/>
      <c r="L25" s="93"/>
      <c r="N25" s="18">
        <v>13</v>
      </c>
      <c r="O25" s="20">
        <v>0.78760499999999989</v>
      </c>
      <c r="P25" s="22"/>
    </row>
    <row r="26" spans="1:16" ht="23.25" customHeight="1">
      <c r="A26" s="14"/>
      <c r="B26" s="15"/>
      <c r="C26" s="16"/>
      <c r="D26" s="17"/>
      <c r="E26" s="17"/>
      <c r="F26" s="61">
        <v>5.77</v>
      </c>
      <c r="G26" s="19">
        <v>11</v>
      </c>
      <c r="H26" s="18">
        <v>24</v>
      </c>
      <c r="I26" s="20">
        <v>1.5229999999999999</v>
      </c>
      <c r="J26" s="21"/>
      <c r="K26" s="93"/>
      <c r="L26" s="93"/>
      <c r="N26" s="18">
        <v>24</v>
      </c>
      <c r="O26" s="20">
        <v>1.52328</v>
      </c>
      <c r="P26" s="22"/>
    </row>
    <row r="27" spans="1:16" ht="23.25" customHeight="1">
      <c r="A27" s="14"/>
      <c r="B27" s="15"/>
      <c r="C27" s="16"/>
      <c r="D27" s="17"/>
      <c r="E27" s="17"/>
      <c r="F27" s="61"/>
      <c r="G27" s="19"/>
      <c r="H27" s="23">
        <f>SUM(H24:H26)</f>
        <v>61</v>
      </c>
      <c r="I27" s="24">
        <f>SUM(I24:I26)</f>
        <v>3.9729999999999999</v>
      </c>
      <c r="J27" s="21"/>
      <c r="K27" s="93"/>
      <c r="L27" s="93"/>
      <c r="N27" s="23">
        <v>61</v>
      </c>
      <c r="O27" s="24">
        <v>3.9726449999999991</v>
      </c>
      <c r="P27" s="22"/>
    </row>
    <row r="28" spans="1:16" ht="23.25" customHeight="1">
      <c r="A28" s="14">
        <v>5</v>
      </c>
      <c r="B28" s="15" t="s">
        <v>24</v>
      </c>
      <c r="C28" s="16" t="s">
        <v>39</v>
      </c>
      <c r="D28" s="17" t="s">
        <v>40</v>
      </c>
      <c r="E28" s="17" t="s">
        <v>41</v>
      </c>
      <c r="F28" s="18">
        <v>9.26</v>
      </c>
      <c r="G28" s="19">
        <v>10.199999999999999</v>
      </c>
      <c r="H28" s="18">
        <v>5</v>
      </c>
      <c r="I28" s="20">
        <v>0.47199999999999998</v>
      </c>
      <c r="J28" s="21"/>
      <c r="K28" s="93"/>
      <c r="L28" s="93"/>
      <c r="N28" s="18">
        <v>5</v>
      </c>
      <c r="O28" s="20">
        <v>0.47226000000000001</v>
      </c>
      <c r="P28" s="22"/>
    </row>
    <row r="29" spans="1:16" ht="23.25" customHeight="1">
      <c r="A29" s="14"/>
      <c r="B29" s="15"/>
      <c r="C29" s="16"/>
      <c r="D29" s="17"/>
      <c r="E29" s="17"/>
      <c r="F29" s="18"/>
      <c r="G29" s="19"/>
      <c r="H29" s="23">
        <f>SUM(H28)</f>
        <v>5</v>
      </c>
      <c r="I29" s="24">
        <f>SUM(I28)</f>
        <v>0.47199999999999998</v>
      </c>
      <c r="J29" s="21"/>
      <c r="K29" s="93"/>
      <c r="L29" s="93"/>
      <c r="N29" s="23">
        <v>5</v>
      </c>
      <c r="O29" s="24">
        <v>0.47226000000000001</v>
      </c>
      <c r="P29" s="22"/>
    </row>
    <row r="30" spans="1:16" ht="23.25" customHeight="1">
      <c r="A30" s="14">
        <v>6</v>
      </c>
      <c r="B30" s="15" t="s">
        <v>28</v>
      </c>
      <c r="C30" s="16" t="s">
        <v>39</v>
      </c>
      <c r="D30" s="17" t="s">
        <v>40</v>
      </c>
      <c r="E30" s="17" t="s">
        <v>56</v>
      </c>
      <c r="F30" s="61">
        <v>5.77</v>
      </c>
      <c r="G30" s="19">
        <v>12</v>
      </c>
      <c r="H30" s="18">
        <v>51</v>
      </c>
      <c r="I30" s="20">
        <v>3.5310000000000001</v>
      </c>
      <c r="J30" s="21"/>
      <c r="K30" s="93"/>
      <c r="L30" s="93"/>
      <c r="N30" s="18">
        <v>51</v>
      </c>
      <c r="O30" s="20">
        <v>3.5312399999999999</v>
      </c>
      <c r="P30" s="22"/>
    </row>
    <row r="31" spans="1:16" ht="23.25" customHeight="1">
      <c r="A31" s="14"/>
      <c r="B31" s="15"/>
      <c r="C31" s="16"/>
      <c r="D31" s="17"/>
      <c r="E31" s="17"/>
      <c r="F31" s="61">
        <v>5.77</v>
      </c>
      <c r="G31" s="19">
        <v>11</v>
      </c>
      <c r="H31" s="18">
        <v>16</v>
      </c>
      <c r="I31" s="20">
        <v>1.016</v>
      </c>
      <c r="J31" s="21"/>
      <c r="K31" s="93"/>
      <c r="L31" s="93"/>
      <c r="N31" s="18">
        <v>16</v>
      </c>
      <c r="O31" s="20">
        <v>1.01552</v>
      </c>
      <c r="P31" s="22"/>
    </row>
    <row r="32" spans="1:16" ht="23.25" customHeight="1">
      <c r="A32" s="14"/>
      <c r="B32" s="15"/>
      <c r="C32" s="16"/>
      <c r="D32" s="17"/>
      <c r="E32" s="17"/>
      <c r="F32" s="61">
        <v>5.77</v>
      </c>
      <c r="G32" s="19">
        <v>8.0500000000000007</v>
      </c>
      <c r="H32" s="18">
        <v>11</v>
      </c>
      <c r="I32" s="20">
        <v>0.51100000000000001</v>
      </c>
      <c r="J32" s="21"/>
      <c r="K32" s="93"/>
      <c r="L32" s="93"/>
      <c r="N32" s="18">
        <v>11</v>
      </c>
      <c r="O32" s="20">
        <v>0.51093350000000004</v>
      </c>
      <c r="P32" s="22"/>
    </row>
    <row r="33" spans="1:16" ht="23.25" customHeight="1">
      <c r="A33" s="14"/>
      <c r="B33" s="15"/>
      <c r="C33" s="16"/>
      <c r="D33" s="17"/>
      <c r="E33" s="17"/>
      <c r="F33" s="61">
        <v>5.77</v>
      </c>
      <c r="G33" s="19">
        <v>7.4</v>
      </c>
      <c r="H33" s="18">
        <v>48</v>
      </c>
      <c r="I33" s="20">
        <v>2.0499999999999998</v>
      </c>
      <c r="J33" s="21"/>
      <c r="K33" s="93"/>
      <c r="L33" s="93"/>
      <c r="N33" s="18">
        <v>48</v>
      </c>
      <c r="O33" s="20">
        <v>2.0495039999999998</v>
      </c>
      <c r="P33" s="22"/>
    </row>
    <row r="34" spans="1:16" ht="23.25" customHeight="1">
      <c r="A34" s="14"/>
      <c r="B34" s="15"/>
      <c r="C34" s="16"/>
      <c r="D34" s="17"/>
      <c r="E34" s="17"/>
      <c r="F34" s="18"/>
      <c r="G34" s="19"/>
      <c r="H34" s="23">
        <f>SUM(H30:H33)</f>
        <v>126</v>
      </c>
      <c r="I34" s="24">
        <f>SUM(I30:I33)</f>
        <v>7.1080000000000005</v>
      </c>
      <c r="J34" s="21"/>
      <c r="K34" s="93"/>
      <c r="L34" s="93"/>
      <c r="N34" s="23">
        <v>126</v>
      </c>
      <c r="O34" s="24">
        <v>7.1071974999999998</v>
      </c>
      <c r="P34" s="22"/>
    </row>
    <row r="35" spans="1:16" ht="23.25" customHeight="1">
      <c r="A35" s="14">
        <v>7</v>
      </c>
      <c r="B35" s="15" t="s">
        <v>28</v>
      </c>
      <c r="C35" s="16" t="s">
        <v>39</v>
      </c>
      <c r="D35" s="17" t="s">
        <v>40</v>
      </c>
      <c r="E35" s="17" t="s">
        <v>41</v>
      </c>
      <c r="F35" s="18">
        <v>9.26</v>
      </c>
      <c r="G35" s="19">
        <v>10.050000000000001</v>
      </c>
      <c r="H35" s="18">
        <v>12</v>
      </c>
      <c r="I35" s="20">
        <v>1.125</v>
      </c>
      <c r="J35" s="21"/>
      <c r="K35" s="93"/>
      <c r="L35" s="93"/>
      <c r="N35" s="18">
        <v>110</v>
      </c>
      <c r="O35" s="20">
        <v>10.236930000000001</v>
      </c>
      <c r="P35" s="22"/>
    </row>
    <row r="36" spans="1:16" ht="23.25" customHeight="1">
      <c r="A36" s="14"/>
      <c r="B36" s="15"/>
      <c r="C36" s="16"/>
      <c r="D36" s="17"/>
      <c r="E36" s="17"/>
      <c r="F36" s="18"/>
      <c r="G36" s="19"/>
      <c r="H36" s="23">
        <f t="shared" ref="H36:I36" si="3">SUM(H35)</f>
        <v>12</v>
      </c>
      <c r="I36" s="24">
        <f t="shared" si="3"/>
        <v>1.125</v>
      </c>
      <c r="J36" s="21"/>
      <c r="K36" s="94"/>
      <c r="L36" s="94"/>
      <c r="N36" s="18"/>
      <c r="O36" s="20"/>
      <c r="P36" s="22"/>
    </row>
    <row r="37" spans="1:16" ht="23.25" customHeight="1">
      <c r="A37" s="14"/>
      <c r="B37" s="15"/>
      <c r="C37" s="16"/>
      <c r="D37" s="17"/>
      <c r="E37" s="17"/>
      <c r="F37" s="18">
        <v>9.26</v>
      </c>
      <c r="G37" s="19">
        <v>10.050000000000001</v>
      </c>
      <c r="H37" s="18">
        <f>110-12</f>
        <v>98</v>
      </c>
      <c r="I37" s="20">
        <f>10.237-1.125</f>
        <v>9.1120000000000001</v>
      </c>
      <c r="J37" s="21"/>
      <c r="K37" s="92">
        <f>+I40</f>
        <v>13.631</v>
      </c>
      <c r="L37" s="92" t="s">
        <v>60</v>
      </c>
      <c r="N37" s="18"/>
      <c r="O37" s="20"/>
      <c r="P37" s="22"/>
    </row>
    <row r="38" spans="1:16" ht="23.25" customHeight="1">
      <c r="A38" s="14"/>
      <c r="B38" s="15"/>
      <c r="C38" s="16"/>
      <c r="D38" s="17"/>
      <c r="E38" s="17"/>
      <c r="F38" s="18">
        <v>9.26</v>
      </c>
      <c r="G38" s="19">
        <v>10.5</v>
      </c>
      <c r="H38" s="18">
        <v>36</v>
      </c>
      <c r="I38" s="20">
        <v>3.5</v>
      </c>
      <c r="J38" s="21"/>
      <c r="K38" s="93"/>
      <c r="L38" s="93"/>
      <c r="N38" s="18">
        <v>36</v>
      </c>
      <c r="O38" s="20">
        <v>3.5002800000000001</v>
      </c>
      <c r="P38" s="22"/>
    </row>
    <row r="39" spans="1:16" ht="23.25" customHeight="1">
      <c r="A39" s="14"/>
      <c r="B39" s="15"/>
      <c r="C39" s="16"/>
      <c r="D39" s="17"/>
      <c r="E39" s="17"/>
      <c r="F39" s="18">
        <v>9.26</v>
      </c>
      <c r="G39" s="19">
        <v>11</v>
      </c>
      <c r="H39" s="18">
        <v>10</v>
      </c>
      <c r="I39" s="20">
        <v>1.0189999999999999</v>
      </c>
      <c r="J39" s="21"/>
      <c r="K39" s="93"/>
      <c r="L39" s="93"/>
      <c r="N39" s="18">
        <v>10</v>
      </c>
      <c r="O39" s="20">
        <v>1.0185999999999999</v>
      </c>
      <c r="P39" s="22"/>
    </row>
    <row r="40" spans="1:16" ht="23.25" customHeight="1">
      <c r="A40" s="14"/>
      <c r="B40" s="15"/>
      <c r="C40" s="16"/>
      <c r="D40" s="17"/>
      <c r="E40" s="17"/>
      <c r="F40" s="18"/>
      <c r="G40" s="19"/>
      <c r="H40" s="23">
        <f>SUM(H37:H39)</f>
        <v>144</v>
      </c>
      <c r="I40" s="24">
        <f>SUM(I37:I39)</f>
        <v>13.631</v>
      </c>
      <c r="J40" s="21"/>
      <c r="K40" s="94"/>
      <c r="L40" s="94"/>
      <c r="N40" s="23">
        <v>156</v>
      </c>
      <c r="O40" s="24">
        <v>14.75581</v>
      </c>
      <c r="P40" s="22"/>
    </row>
    <row r="41" spans="1:16" ht="23.25" customHeight="1">
      <c r="A41" s="27"/>
      <c r="B41" s="28"/>
      <c r="C41" s="28"/>
      <c r="D41" s="28"/>
      <c r="E41" s="21"/>
      <c r="F41" s="18"/>
      <c r="G41" s="19"/>
      <c r="H41" s="23">
        <f t="shared" ref="H41:I41" si="4">SUM(H40,H36,H34,H29,H27,H23,H18,H15)</f>
        <v>408</v>
      </c>
      <c r="I41" s="24">
        <f t="shared" si="4"/>
        <v>32.722999999999999</v>
      </c>
      <c r="J41" s="66"/>
      <c r="K41" s="63"/>
      <c r="L41" s="63"/>
      <c r="N41" s="23"/>
      <c r="O41" s="24"/>
      <c r="P41" s="22"/>
    </row>
    <row r="42" spans="1:16" ht="23.25" customHeight="1">
      <c r="A42" s="27"/>
      <c r="B42" s="28"/>
      <c r="C42" s="28"/>
      <c r="D42" s="28"/>
      <c r="E42" s="21"/>
      <c r="F42" s="18"/>
      <c r="G42" s="19"/>
      <c r="H42" s="23"/>
      <c r="I42" s="24"/>
      <c r="J42" s="21"/>
      <c r="K42" s="63"/>
      <c r="L42" s="63"/>
      <c r="N42" s="23">
        <v>408</v>
      </c>
      <c r="O42" s="24">
        <v>32.7210155</v>
      </c>
      <c r="P42" s="22"/>
    </row>
    <row r="43" spans="1:16" ht="23.25" customHeight="1">
      <c r="A43" s="27"/>
      <c r="B43" s="28"/>
      <c r="C43" s="28"/>
      <c r="D43" s="28"/>
      <c r="E43" s="21"/>
      <c r="F43" s="18"/>
      <c r="G43" s="19"/>
      <c r="H43" s="23"/>
      <c r="I43" s="24"/>
      <c r="J43" s="21"/>
      <c r="K43" s="63"/>
      <c r="L43" s="63"/>
      <c r="N43" s="23"/>
      <c r="O43" s="24"/>
      <c r="P43" s="22"/>
    </row>
    <row r="44" spans="1:16" ht="23.25" customHeight="1" thickBot="1">
      <c r="A44" s="30"/>
      <c r="B44" s="31"/>
      <c r="C44" s="31"/>
      <c r="D44" s="31"/>
      <c r="E44" s="32" t="s">
        <v>29</v>
      </c>
      <c r="F44" s="33"/>
      <c r="G44" s="26"/>
      <c r="H44" s="34">
        <f>+H41</f>
        <v>408</v>
      </c>
      <c r="I44" s="26">
        <f>+I41</f>
        <v>32.722999999999999</v>
      </c>
      <c r="J44" s="26"/>
      <c r="K44" s="26">
        <f>+K37+K13</f>
        <v>32.722999999999999</v>
      </c>
      <c r="L44" s="35"/>
      <c r="N44" s="34"/>
      <c r="O44" s="26"/>
      <c r="P44" s="22"/>
    </row>
    <row r="45" spans="1:16" ht="23.25">
      <c r="A45" s="36"/>
      <c r="B45" s="37" t="s">
        <v>30</v>
      </c>
      <c r="C45" s="38"/>
      <c r="D45" s="39" t="s">
        <v>31</v>
      </c>
      <c r="E45" s="40" t="s">
        <v>32</v>
      </c>
      <c r="F45" s="41"/>
      <c r="G45" s="42"/>
      <c r="H45" s="42"/>
      <c r="I45" s="43" t="s">
        <v>33</v>
      </c>
      <c r="J45" s="43"/>
      <c r="K45" s="44"/>
      <c r="L45" s="45"/>
      <c r="N45" s="22"/>
    </row>
    <row r="46" spans="1:16" ht="23.25">
      <c r="A46" s="46"/>
      <c r="B46" s="37"/>
      <c r="C46" s="47"/>
      <c r="D46" s="48"/>
      <c r="E46" s="48"/>
      <c r="F46" s="48" t="s">
        <v>34</v>
      </c>
      <c r="G46" s="48" t="s">
        <v>34</v>
      </c>
      <c r="H46" s="48"/>
      <c r="I46" s="48"/>
      <c r="J46" s="48"/>
      <c r="K46" s="48"/>
      <c r="L46" s="49"/>
    </row>
    <row r="47" spans="1:16" ht="23.25">
      <c r="A47" s="46"/>
      <c r="B47" s="37"/>
      <c r="C47" s="47"/>
      <c r="D47" s="48"/>
      <c r="E47" s="48"/>
      <c r="F47" s="48"/>
      <c r="G47" s="48"/>
      <c r="H47" s="48"/>
      <c r="I47" s="48"/>
      <c r="J47" s="48"/>
      <c r="K47" s="48"/>
      <c r="L47" s="49"/>
    </row>
    <row r="48" spans="1:16" ht="24" thickBot="1">
      <c r="A48" s="50"/>
      <c r="B48" s="51" t="s">
        <v>35</v>
      </c>
      <c r="C48" s="51"/>
      <c r="D48" s="51"/>
      <c r="E48" s="52" t="s">
        <v>36</v>
      </c>
      <c r="F48" s="53"/>
      <c r="G48" s="53"/>
      <c r="H48" s="54"/>
      <c r="I48" s="55" t="s">
        <v>37</v>
      </c>
      <c r="J48" s="55"/>
      <c r="K48" s="52"/>
      <c r="L48" s="56"/>
    </row>
    <row r="52" spans="8:11">
      <c r="H52" s="57"/>
      <c r="I52" s="22"/>
      <c r="J52" s="22"/>
    </row>
    <row r="53" spans="8:11">
      <c r="I53" s="22"/>
    </row>
    <row r="54" spans="8:11">
      <c r="H54" s="57"/>
    </row>
    <row r="57" spans="8:11" ht="22.5">
      <c r="I57" s="20">
        <f>F57*G57*H57/1000</f>
        <v>0</v>
      </c>
      <c r="J57" s="22"/>
      <c r="K57" s="22">
        <f>+I44+'[2]1951  31.12.23 JBP '!I27</f>
        <v>65.447000000000003</v>
      </c>
    </row>
  </sheetData>
  <mergeCells count="7">
    <mergeCell ref="K13:K36"/>
    <mergeCell ref="L13:L36"/>
    <mergeCell ref="K37:K40"/>
    <mergeCell ref="L37:L40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P39"/>
  <sheetViews>
    <sheetView topLeftCell="A7" zoomScale="75" zoomScaleNormal="75" workbookViewId="0">
      <selection activeCell="E26" sqref="E26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62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/>
      <c r="K8" s="65" t="s">
        <v>47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61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27</v>
      </c>
      <c r="F13" s="18">
        <v>9.26</v>
      </c>
      <c r="G13" s="19">
        <v>10</v>
      </c>
      <c r="H13" s="18">
        <v>22</v>
      </c>
      <c r="I13" s="20">
        <v>2.0369999999999999</v>
      </c>
      <c r="J13" s="21"/>
      <c r="K13" s="104">
        <f>+I15+I17</f>
        <v>17.456</v>
      </c>
      <c r="L13" s="104" t="s">
        <v>63</v>
      </c>
      <c r="N13" s="18">
        <v>22</v>
      </c>
      <c r="O13" s="20">
        <v>2.0371999999999999</v>
      </c>
      <c r="P13" s="22"/>
    </row>
    <row r="14" spans="1:16" ht="23.25" customHeight="1">
      <c r="A14" s="14"/>
      <c r="B14" s="15"/>
      <c r="C14" s="16"/>
      <c r="D14" s="17"/>
      <c r="E14" s="17"/>
      <c r="F14" s="18">
        <v>9.26</v>
      </c>
      <c r="G14" s="19">
        <v>12</v>
      </c>
      <c r="H14" s="18">
        <v>133</v>
      </c>
      <c r="I14" s="20">
        <v>14.779</v>
      </c>
      <c r="J14" s="21"/>
      <c r="K14" s="104"/>
      <c r="L14" s="104"/>
      <c r="N14" s="18">
        <v>133</v>
      </c>
      <c r="O14" s="20">
        <v>14.778960000000001</v>
      </c>
      <c r="P14" s="22"/>
    </row>
    <row r="15" spans="1:16" ht="23.25" customHeight="1">
      <c r="A15" s="14"/>
      <c r="B15" s="15"/>
      <c r="C15" s="16"/>
      <c r="D15" s="17"/>
      <c r="E15" s="17"/>
      <c r="F15" s="18"/>
      <c r="G15" s="19"/>
      <c r="H15" s="23">
        <f>SUM(H13:H14)</f>
        <v>155</v>
      </c>
      <c r="I15" s="24">
        <f>SUM(I13:I14)</f>
        <v>16.815999999999999</v>
      </c>
      <c r="J15" s="21"/>
      <c r="K15" s="104"/>
      <c r="L15" s="104"/>
      <c r="N15" s="23">
        <v>155</v>
      </c>
      <c r="O15" s="24">
        <v>16.81616</v>
      </c>
      <c r="P15" s="22"/>
    </row>
    <row r="16" spans="1:16" ht="23.25" customHeight="1">
      <c r="A16" s="14">
        <v>2</v>
      </c>
      <c r="B16" s="15" t="s">
        <v>28</v>
      </c>
      <c r="C16" s="16" t="s">
        <v>25</v>
      </c>
      <c r="D16" s="17" t="s">
        <v>26</v>
      </c>
      <c r="E16" s="17" t="s">
        <v>27</v>
      </c>
      <c r="F16" s="18">
        <v>9.26</v>
      </c>
      <c r="G16" s="19">
        <v>12</v>
      </c>
      <c r="H16" s="18">
        <v>6</v>
      </c>
      <c r="I16" s="20">
        <v>0.64</v>
      </c>
      <c r="J16" s="21"/>
      <c r="K16" s="104"/>
      <c r="L16" s="104"/>
      <c r="N16" s="18">
        <v>75</v>
      </c>
      <c r="O16" s="20">
        <v>8.3339999999999996</v>
      </c>
      <c r="P16" s="22"/>
    </row>
    <row r="17" spans="1:16" ht="23.25" customHeight="1">
      <c r="A17" s="14"/>
      <c r="B17" s="15"/>
      <c r="C17" s="16"/>
      <c r="D17" s="17"/>
      <c r="E17" s="17"/>
      <c r="F17" s="18"/>
      <c r="G17" s="19"/>
      <c r="H17" s="23">
        <f t="shared" ref="H17:I17" si="0">SUM(H16)</f>
        <v>6</v>
      </c>
      <c r="I17" s="24">
        <f t="shared" si="0"/>
        <v>0.64</v>
      </c>
      <c r="J17" s="21"/>
      <c r="K17" s="104"/>
      <c r="L17" s="104"/>
      <c r="N17" s="18"/>
      <c r="O17" s="20"/>
      <c r="P17" s="22"/>
    </row>
    <row r="18" spans="1:16" ht="23.25" customHeight="1">
      <c r="A18" s="14"/>
      <c r="B18" s="15"/>
      <c r="C18" s="16"/>
      <c r="D18" s="17"/>
      <c r="E18" s="17"/>
      <c r="F18" s="18">
        <v>9.26</v>
      </c>
      <c r="G18" s="19">
        <v>12</v>
      </c>
      <c r="H18" s="18">
        <f>75-6</f>
        <v>69</v>
      </c>
      <c r="I18" s="20">
        <f>8.334-0.64</f>
        <v>7.694</v>
      </c>
      <c r="J18" s="21"/>
      <c r="K18" s="104">
        <f>+I21</f>
        <v>15.042999999999999</v>
      </c>
      <c r="L18" s="104" t="s">
        <v>64</v>
      </c>
      <c r="N18" s="18"/>
      <c r="O18" s="20"/>
      <c r="P18" s="22"/>
    </row>
    <row r="19" spans="1:16" ht="23.25" customHeight="1">
      <c r="A19" s="14"/>
      <c r="B19" s="15"/>
      <c r="C19" s="16"/>
      <c r="D19" s="17"/>
      <c r="E19" s="17"/>
      <c r="F19" s="18">
        <v>9.26</v>
      </c>
      <c r="G19" s="19">
        <v>7.3</v>
      </c>
      <c r="H19" s="18">
        <v>99</v>
      </c>
      <c r="I19" s="20">
        <v>6.6920000000000002</v>
      </c>
      <c r="J19" s="21"/>
      <c r="K19" s="104"/>
      <c r="L19" s="104"/>
      <c r="N19" s="18">
        <v>99</v>
      </c>
      <c r="O19" s="20">
        <v>6.692202</v>
      </c>
      <c r="P19" s="22"/>
    </row>
    <row r="20" spans="1:16" ht="23.25" customHeight="1">
      <c r="A20" s="14"/>
      <c r="B20" s="15"/>
      <c r="C20" s="16"/>
      <c r="D20" s="17"/>
      <c r="E20" s="17"/>
      <c r="F20" s="18">
        <v>9.26</v>
      </c>
      <c r="G20" s="19">
        <v>7.1</v>
      </c>
      <c r="H20" s="18">
        <v>10</v>
      </c>
      <c r="I20" s="20">
        <v>0.65700000000000003</v>
      </c>
      <c r="J20" s="21"/>
      <c r="K20" s="104"/>
      <c r="L20" s="104"/>
      <c r="N20" s="18">
        <v>10</v>
      </c>
      <c r="O20" s="20">
        <v>0.65745999999999993</v>
      </c>
      <c r="P20" s="22"/>
    </row>
    <row r="21" spans="1:16" ht="23.25" customHeight="1">
      <c r="A21" s="14"/>
      <c r="B21" s="15"/>
      <c r="C21" s="16"/>
      <c r="D21" s="17"/>
      <c r="E21" s="17"/>
      <c r="F21" s="61"/>
      <c r="G21" s="19"/>
      <c r="H21" s="23">
        <f t="shared" ref="H21:I21" si="1">SUM(H18:H20)</f>
        <v>178</v>
      </c>
      <c r="I21" s="24">
        <f t="shared" si="1"/>
        <v>15.042999999999999</v>
      </c>
      <c r="J21" s="21"/>
      <c r="K21" s="104"/>
      <c r="L21" s="104"/>
      <c r="N21" s="23">
        <v>184</v>
      </c>
      <c r="O21" s="24">
        <v>15.683662</v>
      </c>
      <c r="P21" s="22"/>
    </row>
    <row r="22" spans="1:16" ht="23.25" customHeight="1">
      <c r="A22" s="14"/>
      <c r="B22" s="15"/>
      <c r="C22" s="16"/>
      <c r="D22" s="17"/>
      <c r="E22" s="17"/>
      <c r="F22" s="61"/>
      <c r="G22" s="19"/>
      <c r="H22" s="23"/>
      <c r="I22" s="24"/>
      <c r="J22" s="21"/>
      <c r="K22" s="62"/>
      <c r="L22" s="62"/>
      <c r="N22" s="23"/>
      <c r="O22" s="24"/>
      <c r="P22" s="22"/>
    </row>
    <row r="23" spans="1:16" ht="23.25" customHeight="1">
      <c r="A23" s="14"/>
      <c r="B23" s="15"/>
      <c r="C23" s="16"/>
      <c r="D23" s="17"/>
      <c r="E23" s="17"/>
      <c r="F23" s="61"/>
      <c r="G23" s="19"/>
      <c r="H23" s="23">
        <f t="shared" ref="H23:I23" si="2">SUM(H21,H17,H15)</f>
        <v>339</v>
      </c>
      <c r="I23" s="24">
        <f t="shared" si="2"/>
        <v>32.498999999999995</v>
      </c>
      <c r="J23" s="21"/>
      <c r="K23" s="62"/>
      <c r="L23" s="62"/>
      <c r="N23" s="23">
        <v>339</v>
      </c>
      <c r="O23" s="24">
        <v>32.499822000000002</v>
      </c>
      <c r="P23" s="22"/>
    </row>
    <row r="24" spans="1:16" ht="23.25" customHeight="1">
      <c r="A24" s="14"/>
      <c r="B24" s="15"/>
      <c r="C24" s="16"/>
      <c r="D24" s="17"/>
      <c r="E24" s="17"/>
      <c r="F24" s="61"/>
      <c r="G24" s="19"/>
      <c r="H24" s="18"/>
      <c r="I24" s="20"/>
      <c r="J24" s="66"/>
      <c r="K24" s="64"/>
      <c r="L24" s="64"/>
      <c r="N24" s="18"/>
      <c r="O24" s="20"/>
      <c r="P24" s="22"/>
    </row>
    <row r="25" spans="1:16" ht="23.25" customHeight="1">
      <c r="A25" s="27"/>
      <c r="B25" s="28"/>
      <c r="C25" s="28"/>
      <c r="D25" s="28"/>
      <c r="E25" s="21"/>
      <c r="F25" s="18"/>
      <c r="G25" s="19"/>
      <c r="H25" s="23"/>
      <c r="I25" s="24"/>
      <c r="J25" s="21"/>
      <c r="K25" s="63"/>
      <c r="L25" s="63"/>
      <c r="N25" s="23"/>
      <c r="O25" s="24"/>
      <c r="P25" s="22"/>
    </row>
    <row r="26" spans="1:16" ht="23.25" customHeight="1" thickBot="1">
      <c r="A26" s="30"/>
      <c r="B26" s="31"/>
      <c r="C26" s="31"/>
      <c r="D26" s="31"/>
      <c r="E26" s="32" t="s">
        <v>29</v>
      </c>
      <c r="F26" s="33"/>
      <c r="G26" s="26"/>
      <c r="H26" s="34">
        <f>+H23</f>
        <v>339</v>
      </c>
      <c r="I26" s="26">
        <f>+I23</f>
        <v>32.498999999999995</v>
      </c>
      <c r="J26" s="26"/>
      <c r="K26" s="26">
        <f>+K13+K18</f>
        <v>32.498999999999995</v>
      </c>
      <c r="L26" s="35"/>
      <c r="N26" s="34">
        <v>339</v>
      </c>
      <c r="O26" s="26">
        <v>32.499822000000002</v>
      </c>
      <c r="P26" s="22"/>
    </row>
    <row r="27" spans="1:16" ht="23.25">
      <c r="A27" s="36"/>
      <c r="B27" s="37" t="s">
        <v>30</v>
      </c>
      <c r="C27" s="38"/>
      <c r="D27" s="39" t="s">
        <v>31</v>
      </c>
      <c r="E27" s="40" t="s">
        <v>32</v>
      </c>
      <c r="F27" s="41"/>
      <c r="G27" s="42"/>
      <c r="H27" s="42"/>
      <c r="I27" s="43" t="s">
        <v>33</v>
      </c>
      <c r="J27" s="43"/>
      <c r="K27" s="44"/>
      <c r="L27" s="45"/>
      <c r="N27" s="22"/>
    </row>
    <row r="28" spans="1:16" ht="23.25">
      <c r="A28" s="46"/>
      <c r="B28" s="37"/>
      <c r="C28" s="47"/>
      <c r="D28" s="48"/>
      <c r="E28" s="48"/>
      <c r="F28" s="48" t="s">
        <v>34</v>
      </c>
      <c r="G28" s="48" t="s">
        <v>34</v>
      </c>
      <c r="H28" s="48"/>
      <c r="I28" s="48"/>
      <c r="J28" s="48"/>
      <c r="K28" s="48"/>
      <c r="L28" s="49"/>
    </row>
    <row r="29" spans="1:16" ht="23.25">
      <c r="A29" s="46"/>
      <c r="B29" s="37"/>
      <c r="C29" s="47"/>
      <c r="D29" s="48"/>
      <c r="E29" s="48"/>
      <c r="F29" s="48"/>
      <c r="G29" s="48"/>
      <c r="H29" s="48"/>
      <c r="I29" s="48"/>
      <c r="J29" s="48"/>
      <c r="K29" s="48"/>
      <c r="L29" s="49"/>
    </row>
    <row r="30" spans="1:16" ht="24" thickBot="1">
      <c r="A30" s="50"/>
      <c r="B30" s="51" t="s">
        <v>35</v>
      </c>
      <c r="C30" s="51"/>
      <c r="D30" s="51"/>
      <c r="E30" s="52" t="s">
        <v>36</v>
      </c>
      <c r="F30" s="53"/>
      <c r="G30" s="53"/>
      <c r="H30" s="54"/>
      <c r="I30" s="55" t="s">
        <v>37</v>
      </c>
      <c r="J30" s="55"/>
      <c r="K30" s="52"/>
      <c r="L30" s="56"/>
    </row>
    <row r="34" spans="8:11">
      <c r="H34" s="57"/>
      <c r="I34" s="22"/>
      <c r="J34" s="22"/>
    </row>
    <row r="35" spans="8:11">
      <c r="I35" s="22"/>
    </row>
    <row r="36" spans="8:11">
      <c r="H36" s="57"/>
    </row>
    <row r="39" spans="8:11" ht="22.5">
      <c r="I39" s="20">
        <f>F39*G39*H39/1000</f>
        <v>0</v>
      </c>
      <c r="J39" s="22"/>
      <c r="K39" s="22">
        <f>+I26+'[2]1951  31.12.23 JBP '!I27</f>
        <v>65.222999999999999</v>
      </c>
    </row>
  </sheetData>
  <mergeCells count="7">
    <mergeCell ref="K13:K17"/>
    <mergeCell ref="L13:L17"/>
    <mergeCell ref="K18:K21"/>
    <mergeCell ref="L18:L21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P42"/>
  <sheetViews>
    <sheetView topLeftCell="A25" zoomScale="75" zoomScaleNormal="75" workbookViewId="0">
      <selection activeCell="A6" sqref="A6:L29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85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65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66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45</v>
      </c>
      <c r="F13" s="18">
        <v>11.8</v>
      </c>
      <c r="G13" s="19">
        <v>8.1999999999999993</v>
      </c>
      <c r="H13" s="18">
        <v>10</v>
      </c>
      <c r="I13" s="20">
        <v>0.96799999999999997</v>
      </c>
      <c r="J13" s="21"/>
      <c r="K13" s="92">
        <f>+I17</f>
        <v>14.038</v>
      </c>
      <c r="L13" s="92" t="s">
        <v>83</v>
      </c>
      <c r="N13" s="18">
        <v>10</v>
      </c>
      <c r="O13" s="20">
        <v>0.9675999999999999</v>
      </c>
      <c r="P13" s="22"/>
    </row>
    <row r="14" spans="1:16" ht="23.25" customHeight="1">
      <c r="A14" s="14"/>
      <c r="B14" s="15"/>
      <c r="C14" s="16"/>
      <c r="D14" s="17"/>
      <c r="E14" s="17"/>
      <c r="F14" s="18">
        <v>11.8</v>
      </c>
      <c r="G14" s="19">
        <v>10.5</v>
      </c>
      <c r="H14" s="18">
        <f>12+24+24</f>
        <v>60</v>
      </c>
      <c r="I14" s="20">
        <v>7.4340000000000002</v>
      </c>
      <c r="J14" s="21"/>
      <c r="K14" s="93"/>
      <c r="L14" s="93"/>
      <c r="N14" s="18">
        <v>60</v>
      </c>
      <c r="O14" s="20">
        <v>7.4340000000000002</v>
      </c>
      <c r="P14" s="22"/>
    </row>
    <row r="15" spans="1:16" ht="23.25" customHeight="1">
      <c r="A15" s="14"/>
      <c r="B15" s="15"/>
      <c r="C15" s="16"/>
      <c r="D15" s="17"/>
      <c r="E15" s="17"/>
      <c r="F15" s="18">
        <v>11.8</v>
      </c>
      <c r="G15" s="19">
        <v>10.8</v>
      </c>
      <c r="H15" s="18">
        <f>12+8+21</f>
        <v>41</v>
      </c>
      <c r="I15" s="20">
        <v>5.2249999999999996</v>
      </c>
      <c r="J15" s="21"/>
      <c r="K15" s="93"/>
      <c r="L15" s="93"/>
      <c r="N15" s="18">
        <v>41</v>
      </c>
      <c r="O15" s="20">
        <v>5.2250400000000008</v>
      </c>
      <c r="P15" s="22"/>
    </row>
    <row r="16" spans="1:16" ht="23.25" customHeight="1">
      <c r="A16" s="14"/>
      <c r="B16" s="15"/>
      <c r="C16" s="16"/>
      <c r="D16" s="17"/>
      <c r="E16" s="17"/>
      <c r="F16" s="18">
        <v>11.8</v>
      </c>
      <c r="G16" s="19">
        <v>11.7</v>
      </c>
      <c r="H16" s="18">
        <v>3</v>
      </c>
      <c r="I16" s="20">
        <v>0.41099999999999998</v>
      </c>
      <c r="J16" s="21"/>
      <c r="K16" s="93"/>
      <c r="L16" s="93"/>
      <c r="N16" s="18">
        <v>39</v>
      </c>
      <c r="O16" s="20">
        <v>5.3843399999999999</v>
      </c>
      <c r="P16" s="22"/>
    </row>
    <row r="17" spans="1:16" ht="23.25" customHeight="1">
      <c r="A17" s="14"/>
      <c r="B17" s="15"/>
      <c r="C17" s="16"/>
      <c r="D17" s="17"/>
      <c r="E17" s="17"/>
      <c r="F17" s="18"/>
      <c r="G17" s="19"/>
      <c r="H17" s="23">
        <f t="shared" ref="H17:I17" si="0">SUM(H13:H16)</f>
        <v>114</v>
      </c>
      <c r="I17" s="24">
        <f t="shared" si="0"/>
        <v>14.038</v>
      </c>
      <c r="J17" s="21"/>
      <c r="K17" s="94"/>
      <c r="L17" s="94"/>
      <c r="N17" s="23">
        <v>150</v>
      </c>
      <c r="O17" s="24">
        <v>19.010980000000004</v>
      </c>
      <c r="P17" s="22"/>
    </row>
    <row r="18" spans="1:16" ht="23.25" customHeight="1">
      <c r="A18" s="14"/>
      <c r="B18" s="15"/>
      <c r="C18" s="16"/>
      <c r="D18" s="17"/>
      <c r="E18" s="17"/>
      <c r="F18" s="18">
        <v>11.8</v>
      </c>
      <c r="G18" s="19">
        <v>11.7</v>
      </c>
      <c r="H18" s="18">
        <f>13+26-3</f>
        <v>36</v>
      </c>
      <c r="I18" s="20">
        <f>5.384-0.411</f>
        <v>4.9730000000000008</v>
      </c>
      <c r="J18" s="21"/>
      <c r="K18" s="92">
        <f>+I19+I25</f>
        <v>19.021999999999998</v>
      </c>
      <c r="L18" s="92" t="s">
        <v>84</v>
      </c>
      <c r="N18" s="23"/>
      <c r="O18" s="24"/>
      <c r="P18" s="22"/>
    </row>
    <row r="19" spans="1:16" ht="23.25" customHeight="1">
      <c r="A19" s="14"/>
      <c r="B19" s="15"/>
      <c r="C19" s="16"/>
      <c r="D19" s="17"/>
      <c r="E19" s="17"/>
      <c r="F19" s="18"/>
      <c r="G19" s="19"/>
      <c r="H19" s="23">
        <f t="shared" ref="H19:I19" si="1">SUM(H18)</f>
        <v>36</v>
      </c>
      <c r="I19" s="24">
        <f t="shared" si="1"/>
        <v>4.9730000000000008</v>
      </c>
      <c r="J19" s="21"/>
      <c r="K19" s="93"/>
      <c r="L19" s="93"/>
      <c r="N19" s="23"/>
      <c r="O19" s="24"/>
      <c r="P19" s="22"/>
    </row>
    <row r="20" spans="1:16" ht="23.25" customHeight="1">
      <c r="A20" s="14">
        <v>2</v>
      </c>
      <c r="B20" s="15" t="s">
        <v>24</v>
      </c>
      <c r="C20" s="16" t="s">
        <v>25</v>
      </c>
      <c r="D20" s="17" t="s">
        <v>26</v>
      </c>
      <c r="E20" s="17" t="s">
        <v>46</v>
      </c>
      <c r="F20" s="18">
        <v>10.199999999999999</v>
      </c>
      <c r="G20" s="19">
        <v>8.3000000000000007</v>
      </c>
      <c r="H20" s="18">
        <v>17</v>
      </c>
      <c r="I20" s="20">
        <v>1.4390000000000001</v>
      </c>
      <c r="J20" s="21"/>
      <c r="K20" s="93"/>
      <c r="L20" s="93"/>
      <c r="N20" s="18">
        <v>17</v>
      </c>
      <c r="O20" s="20">
        <v>1.4392199999999999</v>
      </c>
      <c r="P20" s="22"/>
    </row>
    <row r="21" spans="1:16" ht="23.25" customHeight="1">
      <c r="A21" s="14"/>
      <c r="B21" s="15"/>
      <c r="C21" s="16"/>
      <c r="D21" s="17"/>
      <c r="E21" s="17"/>
      <c r="F21" s="18">
        <v>10.199999999999999</v>
      </c>
      <c r="G21" s="19">
        <v>9.1999999999999993</v>
      </c>
      <c r="H21" s="18">
        <v>15</v>
      </c>
      <c r="I21" s="20">
        <v>1.4079999999999999</v>
      </c>
      <c r="J21" s="21"/>
      <c r="K21" s="93"/>
      <c r="L21" s="93"/>
      <c r="N21" s="18">
        <v>15</v>
      </c>
      <c r="O21" s="20">
        <v>1.4076</v>
      </c>
      <c r="P21" s="22"/>
    </row>
    <row r="22" spans="1:16" ht="23.25" customHeight="1">
      <c r="A22" s="14"/>
      <c r="B22" s="15"/>
      <c r="C22" s="16"/>
      <c r="D22" s="17"/>
      <c r="E22" s="17"/>
      <c r="F22" s="18">
        <v>10.199999999999999</v>
      </c>
      <c r="G22" s="19">
        <v>9.8000000000000007</v>
      </c>
      <c r="H22" s="18">
        <v>13</v>
      </c>
      <c r="I22" s="20">
        <v>1.2989999999999999</v>
      </c>
      <c r="J22" s="21"/>
      <c r="K22" s="93"/>
      <c r="L22" s="93"/>
      <c r="N22" s="18">
        <v>13</v>
      </c>
      <c r="O22" s="20">
        <v>1.29948</v>
      </c>
      <c r="P22" s="22"/>
    </row>
    <row r="23" spans="1:16" ht="23.25" customHeight="1">
      <c r="A23" s="14"/>
      <c r="B23" s="15"/>
      <c r="C23" s="16"/>
      <c r="D23" s="17"/>
      <c r="E23" s="17"/>
      <c r="F23" s="18">
        <v>10.199999999999999</v>
      </c>
      <c r="G23" s="19">
        <v>11</v>
      </c>
      <c r="H23" s="18">
        <v>17</v>
      </c>
      <c r="I23" s="20">
        <v>1.907</v>
      </c>
      <c r="J23" s="21"/>
      <c r="K23" s="93"/>
      <c r="L23" s="93"/>
      <c r="N23" s="18">
        <v>17</v>
      </c>
      <c r="O23" s="20">
        <v>1.9073999999999998</v>
      </c>
      <c r="P23" s="22"/>
    </row>
    <row r="24" spans="1:16" ht="23.25" customHeight="1">
      <c r="A24" s="14"/>
      <c r="B24" s="15"/>
      <c r="C24" s="16"/>
      <c r="D24" s="17"/>
      <c r="E24" s="17"/>
      <c r="F24" s="18">
        <v>10.199999999999999</v>
      </c>
      <c r="G24" s="19">
        <v>11.7</v>
      </c>
      <c r="H24" s="18">
        <f>26+15+26</f>
        <v>67</v>
      </c>
      <c r="I24" s="20">
        <v>7.9960000000000004</v>
      </c>
      <c r="J24" s="21"/>
      <c r="K24" s="93"/>
      <c r="L24" s="93"/>
      <c r="N24" s="18">
        <v>26</v>
      </c>
      <c r="O24" s="20">
        <v>3.1028399999999996</v>
      </c>
      <c r="P24" s="22"/>
    </row>
    <row r="25" spans="1:16" ht="23.25" customHeight="1">
      <c r="A25" s="14"/>
      <c r="B25" s="15"/>
      <c r="C25" s="16"/>
      <c r="D25" s="17"/>
      <c r="E25" s="17"/>
      <c r="F25" s="18"/>
      <c r="G25" s="19"/>
      <c r="H25" s="23">
        <f t="shared" ref="H25" si="2">SUM(H20:H24)</f>
        <v>129</v>
      </c>
      <c r="I25" s="24">
        <f>SUM(I20:I24)</f>
        <v>14.048999999999999</v>
      </c>
      <c r="J25" s="21"/>
      <c r="K25" s="94"/>
      <c r="L25" s="94"/>
      <c r="N25" s="23">
        <v>88</v>
      </c>
      <c r="O25" s="24">
        <v>9.1565399999999997</v>
      </c>
      <c r="P25" s="22"/>
    </row>
    <row r="26" spans="1:16" ht="23.25" customHeight="1">
      <c r="A26" s="14"/>
      <c r="B26" s="15"/>
      <c r="C26" s="16"/>
      <c r="D26" s="17"/>
      <c r="E26" s="17"/>
      <c r="F26" s="18"/>
      <c r="G26" s="19"/>
      <c r="H26" s="23">
        <f t="shared" ref="H26:I26" si="3">SUM(H25,H19,H17)</f>
        <v>279</v>
      </c>
      <c r="I26" s="24">
        <f t="shared" si="3"/>
        <v>33.06</v>
      </c>
      <c r="J26" s="21"/>
      <c r="K26" s="62"/>
      <c r="L26" s="69"/>
      <c r="N26" s="23">
        <v>238</v>
      </c>
      <c r="O26" s="24">
        <v>28.167520000000003</v>
      </c>
      <c r="P26" s="22"/>
    </row>
    <row r="27" spans="1:16" ht="23.25" customHeight="1">
      <c r="A27" s="27"/>
      <c r="B27" s="58"/>
      <c r="C27" s="59"/>
      <c r="D27" s="60"/>
      <c r="E27" s="17"/>
      <c r="F27" s="18"/>
      <c r="G27" s="19"/>
      <c r="H27" s="23"/>
      <c r="I27" s="24"/>
      <c r="J27" s="21"/>
      <c r="K27" s="67"/>
      <c r="L27" s="70"/>
      <c r="N27" s="23"/>
      <c r="O27" s="24"/>
      <c r="P27" s="22"/>
    </row>
    <row r="28" spans="1:16" ht="23.25" customHeight="1">
      <c r="A28" s="27"/>
      <c r="B28" s="58"/>
      <c r="C28" s="59"/>
      <c r="D28" s="60"/>
      <c r="E28" s="17"/>
      <c r="F28" s="18"/>
      <c r="G28" s="19"/>
      <c r="H28" s="23"/>
      <c r="I28" s="24"/>
      <c r="J28" s="21"/>
      <c r="K28" s="67"/>
      <c r="L28" s="70"/>
      <c r="N28" s="23"/>
      <c r="O28" s="24"/>
      <c r="P28" s="22"/>
    </row>
    <row r="29" spans="1:16" ht="23.25" customHeight="1" thickBot="1">
      <c r="A29" s="30"/>
      <c r="B29" s="31"/>
      <c r="C29" s="31"/>
      <c r="D29" s="31"/>
      <c r="E29" s="32" t="s">
        <v>29</v>
      </c>
      <c r="F29" s="33"/>
      <c r="G29" s="26"/>
      <c r="H29" s="34">
        <f t="shared" ref="H29:I29" si="4">SUM(H26)</f>
        <v>279</v>
      </c>
      <c r="I29" s="26">
        <f t="shared" si="4"/>
        <v>33.06</v>
      </c>
      <c r="J29" s="26"/>
      <c r="K29" s="26">
        <f>+K18+K13</f>
        <v>33.06</v>
      </c>
      <c r="L29" s="35"/>
      <c r="N29" s="34">
        <v>238</v>
      </c>
      <c r="O29" s="26">
        <v>28.167520000000003</v>
      </c>
      <c r="P29" s="22"/>
    </row>
    <row r="30" spans="1:16" ht="23.25">
      <c r="A30" s="36"/>
      <c r="B30" s="37" t="s">
        <v>30</v>
      </c>
      <c r="C30" s="38"/>
      <c r="D30" s="39" t="s">
        <v>31</v>
      </c>
      <c r="E30" s="40" t="s">
        <v>32</v>
      </c>
      <c r="F30" s="41"/>
      <c r="G30" s="42"/>
      <c r="H30" s="42"/>
      <c r="I30" s="43" t="s">
        <v>33</v>
      </c>
      <c r="J30" s="43"/>
      <c r="K30" s="44"/>
      <c r="L30" s="45"/>
      <c r="N30" s="22"/>
    </row>
    <row r="31" spans="1:16" ht="23.25">
      <c r="A31" s="46"/>
      <c r="B31" s="37"/>
      <c r="C31" s="47"/>
      <c r="D31" s="48"/>
      <c r="E31" s="48"/>
      <c r="F31" s="48" t="s">
        <v>34</v>
      </c>
      <c r="G31" s="48" t="s">
        <v>34</v>
      </c>
      <c r="H31" s="48"/>
      <c r="I31" s="48"/>
      <c r="J31" s="48"/>
      <c r="K31" s="48"/>
      <c r="L31" s="49"/>
    </row>
    <row r="32" spans="1:16" ht="23.25">
      <c r="A32" s="46"/>
      <c r="B32" s="37"/>
      <c r="C32" s="47"/>
      <c r="D32" s="48"/>
      <c r="E32" s="48"/>
      <c r="F32" s="48"/>
      <c r="G32" s="48"/>
      <c r="H32" s="48"/>
      <c r="I32" s="48"/>
      <c r="J32" s="48"/>
      <c r="K32" s="48"/>
      <c r="L32" s="49"/>
    </row>
    <row r="33" spans="1:12" ht="24" thickBot="1">
      <c r="A33" s="50"/>
      <c r="B33" s="51" t="s">
        <v>35</v>
      </c>
      <c r="C33" s="51"/>
      <c r="D33" s="51"/>
      <c r="E33" s="52" t="s">
        <v>36</v>
      </c>
      <c r="F33" s="53"/>
      <c r="G33" s="53"/>
      <c r="H33" s="54"/>
      <c r="I33" s="55" t="s">
        <v>37</v>
      </c>
      <c r="J33" s="55"/>
      <c r="K33" s="52"/>
      <c r="L33" s="56"/>
    </row>
    <row r="37" spans="1:12">
      <c r="H37" s="57"/>
      <c r="I37" s="22"/>
      <c r="J37" s="22"/>
    </row>
    <row r="38" spans="1:12">
      <c r="I38" s="22"/>
    </row>
    <row r="39" spans="1:12">
      <c r="H39" s="57"/>
    </row>
    <row r="42" spans="1:12" ht="22.5">
      <c r="I42" s="20">
        <f>F42*G42*H42/1000</f>
        <v>0</v>
      </c>
      <c r="J42" s="22"/>
      <c r="K42" s="22">
        <f>+I29+'[2]9844  29.12.23 BB '!I39+'[2]2190  29.12.23 JBP '!K31+'[2]0403  29.12.23 JBP (2)'!I23+'[2]0406  29.12.23 JBP'!I28</f>
        <v>162.08461999999997</v>
      </c>
    </row>
  </sheetData>
  <mergeCells count="7">
    <mergeCell ref="K13:K17"/>
    <mergeCell ref="L13:L17"/>
    <mergeCell ref="K18:K25"/>
    <mergeCell ref="L18:L25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P66"/>
  <sheetViews>
    <sheetView topLeftCell="A40" zoomScale="75" zoomScaleNormal="75" workbookViewId="0">
      <selection activeCell="E45" sqref="E45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86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65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81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68</v>
      </c>
      <c r="C13" s="16" t="s">
        <v>54</v>
      </c>
      <c r="D13" s="17" t="s">
        <v>69</v>
      </c>
      <c r="E13" s="17" t="s">
        <v>70</v>
      </c>
      <c r="F13" s="18">
        <v>15</v>
      </c>
      <c r="G13" s="19">
        <v>6</v>
      </c>
      <c r="H13" s="18">
        <v>1</v>
      </c>
      <c r="I13" s="20">
        <v>0.09</v>
      </c>
      <c r="J13" s="21"/>
      <c r="K13" s="92">
        <f>+I15+I23+I34+I38+I40+I42+I44+I46+I49</f>
        <v>32.271000000000001</v>
      </c>
      <c r="L13" s="92" t="s">
        <v>87</v>
      </c>
      <c r="N13" s="18">
        <v>1</v>
      </c>
      <c r="O13" s="20">
        <v>0.09</v>
      </c>
      <c r="P13" s="22"/>
    </row>
    <row r="14" spans="1:16" ht="23.25" customHeight="1">
      <c r="A14" s="14"/>
      <c r="B14" s="15"/>
      <c r="C14" s="16"/>
      <c r="D14" s="17"/>
      <c r="E14" s="17"/>
      <c r="F14" s="18">
        <v>15</v>
      </c>
      <c r="G14" s="19">
        <v>12</v>
      </c>
      <c r="H14" s="18">
        <v>1</v>
      </c>
      <c r="I14" s="20">
        <v>0.18</v>
      </c>
      <c r="J14" s="21"/>
      <c r="K14" s="93"/>
      <c r="L14" s="93"/>
      <c r="N14" s="18">
        <v>1</v>
      </c>
      <c r="O14" s="20">
        <v>0.18</v>
      </c>
      <c r="P14" s="22"/>
    </row>
    <row r="15" spans="1:16" ht="23.25" customHeight="1">
      <c r="A15" s="14"/>
      <c r="B15" s="15"/>
      <c r="C15" s="16"/>
      <c r="D15" s="17"/>
      <c r="E15" s="17"/>
      <c r="F15" s="18"/>
      <c r="G15" s="19"/>
      <c r="H15" s="23">
        <f>SUM(H13:H14)</f>
        <v>2</v>
      </c>
      <c r="I15" s="24">
        <f>SUM(I13:I14)</f>
        <v>0.27</v>
      </c>
      <c r="J15" s="21"/>
      <c r="K15" s="93"/>
      <c r="L15" s="93"/>
      <c r="N15" s="23">
        <v>2</v>
      </c>
      <c r="O15" s="24">
        <v>0.27</v>
      </c>
      <c r="P15" s="22"/>
    </row>
    <row r="16" spans="1:16" ht="23.25" customHeight="1">
      <c r="A16" s="14">
        <v>2</v>
      </c>
      <c r="B16" s="15" t="s">
        <v>68</v>
      </c>
      <c r="C16" s="16" t="s">
        <v>54</v>
      </c>
      <c r="D16" s="17" t="s">
        <v>69</v>
      </c>
      <c r="E16" s="17" t="s">
        <v>71</v>
      </c>
      <c r="F16" s="18">
        <v>13.4</v>
      </c>
      <c r="G16" s="19">
        <v>8.1</v>
      </c>
      <c r="H16" s="18">
        <v>5</v>
      </c>
      <c r="I16" s="20">
        <v>0.54300000000000004</v>
      </c>
      <c r="J16" s="21"/>
      <c r="K16" s="93"/>
      <c r="L16" s="93"/>
      <c r="N16" s="18">
        <v>5</v>
      </c>
      <c r="O16" s="20">
        <v>0.54269999999999996</v>
      </c>
      <c r="P16" s="22"/>
    </row>
    <row r="17" spans="1:16" ht="23.25" customHeight="1">
      <c r="A17" s="14"/>
      <c r="B17" s="15"/>
      <c r="C17" s="16"/>
      <c r="D17" s="17"/>
      <c r="E17" s="17"/>
      <c r="F17" s="18">
        <v>13.4</v>
      </c>
      <c r="G17" s="19">
        <v>8.3000000000000007</v>
      </c>
      <c r="H17" s="18">
        <v>2</v>
      </c>
      <c r="I17" s="20">
        <v>0.222</v>
      </c>
      <c r="J17" s="21"/>
      <c r="K17" s="93"/>
      <c r="L17" s="93"/>
      <c r="N17" s="18">
        <v>2</v>
      </c>
      <c r="O17" s="20">
        <v>0.22244000000000003</v>
      </c>
      <c r="P17" s="22"/>
    </row>
    <row r="18" spans="1:16" ht="23.25" customHeight="1">
      <c r="A18" s="14"/>
      <c r="B18" s="15"/>
      <c r="C18" s="16"/>
      <c r="D18" s="17"/>
      <c r="E18" s="17"/>
      <c r="F18" s="18">
        <v>13.4</v>
      </c>
      <c r="G18" s="19">
        <v>8.5</v>
      </c>
      <c r="H18" s="18">
        <v>1</v>
      </c>
      <c r="I18" s="20">
        <v>0.114</v>
      </c>
      <c r="J18" s="21"/>
      <c r="K18" s="93"/>
      <c r="L18" s="93"/>
      <c r="N18" s="18">
        <v>1</v>
      </c>
      <c r="O18" s="20">
        <v>0.1139</v>
      </c>
      <c r="P18" s="22"/>
    </row>
    <row r="19" spans="1:16" ht="23.25" customHeight="1">
      <c r="A19" s="14"/>
      <c r="B19" s="15"/>
      <c r="C19" s="16"/>
      <c r="D19" s="17"/>
      <c r="E19" s="17"/>
      <c r="F19" s="18">
        <v>13.4</v>
      </c>
      <c r="G19" s="19">
        <v>8.75</v>
      </c>
      <c r="H19" s="18">
        <v>3</v>
      </c>
      <c r="I19" s="20">
        <v>0.35199999999999998</v>
      </c>
      <c r="J19" s="21"/>
      <c r="K19" s="93"/>
      <c r="L19" s="93"/>
      <c r="N19" s="18">
        <v>3</v>
      </c>
      <c r="O19" s="20">
        <v>0.35175000000000001</v>
      </c>
      <c r="P19" s="22"/>
    </row>
    <row r="20" spans="1:16" ht="23.25" customHeight="1">
      <c r="A20" s="14"/>
      <c r="B20" s="15"/>
      <c r="C20" s="16"/>
      <c r="D20" s="17"/>
      <c r="E20" s="17"/>
      <c r="F20" s="18">
        <v>13.4</v>
      </c>
      <c r="G20" s="19">
        <v>10</v>
      </c>
      <c r="H20" s="18">
        <v>2</v>
      </c>
      <c r="I20" s="20">
        <v>0.26800000000000002</v>
      </c>
      <c r="J20" s="21"/>
      <c r="K20" s="93"/>
      <c r="L20" s="93"/>
      <c r="N20" s="18">
        <v>2</v>
      </c>
      <c r="O20" s="20">
        <v>0.26800000000000002</v>
      </c>
      <c r="P20" s="22"/>
    </row>
    <row r="21" spans="1:16" ht="23.25" customHeight="1">
      <c r="A21" s="14"/>
      <c r="B21" s="15"/>
      <c r="C21" s="16"/>
      <c r="D21" s="17"/>
      <c r="E21" s="17"/>
      <c r="F21" s="18">
        <v>13.4</v>
      </c>
      <c r="G21" s="19">
        <v>10.4</v>
      </c>
      <c r="H21" s="18">
        <v>1</v>
      </c>
      <c r="I21" s="20">
        <v>0.13900000000000001</v>
      </c>
      <c r="J21" s="21"/>
      <c r="K21" s="93"/>
      <c r="L21" s="93"/>
      <c r="N21" s="18">
        <v>1</v>
      </c>
      <c r="O21" s="20">
        <v>0.13936000000000001</v>
      </c>
      <c r="P21" s="22"/>
    </row>
    <row r="22" spans="1:16" ht="23.25" customHeight="1">
      <c r="A22" s="14"/>
      <c r="B22" s="15"/>
      <c r="C22" s="16"/>
      <c r="D22" s="17"/>
      <c r="E22" s="17"/>
      <c r="F22" s="18">
        <v>13.4</v>
      </c>
      <c r="G22" s="19">
        <v>11.7</v>
      </c>
      <c r="H22" s="18">
        <v>1</v>
      </c>
      <c r="I22" s="20">
        <v>0.157</v>
      </c>
      <c r="J22" s="21"/>
      <c r="K22" s="93"/>
      <c r="L22" s="93"/>
      <c r="N22" s="18">
        <v>1</v>
      </c>
      <c r="O22" s="20">
        <v>0.15678</v>
      </c>
      <c r="P22" s="22"/>
    </row>
    <row r="23" spans="1:16" ht="23.25" customHeight="1">
      <c r="A23" s="14"/>
      <c r="B23" s="15"/>
      <c r="C23" s="16"/>
      <c r="D23" s="17"/>
      <c r="E23" s="17"/>
      <c r="F23" s="18"/>
      <c r="G23" s="19"/>
      <c r="H23" s="23">
        <f t="shared" ref="H23:I23" si="0">SUM(H16:H22)</f>
        <v>15</v>
      </c>
      <c r="I23" s="24">
        <f t="shared" si="0"/>
        <v>1.7949999999999999</v>
      </c>
      <c r="J23" s="21"/>
      <c r="K23" s="93"/>
      <c r="L23" s="93"/>
      <c r="N23" s="23">
        <v>15</v>
      </c>
      <c r="O23" s="24">
        <v>1.7949299999999997</v>
      </c>
      <c r="P23" s="22"/>
    </row>
    <row r="24" spans="1:16" ht="23.25" customHeight="1">
      <c r="A24" s="14">
        <v>3</v>
      </c>
      <c r="B24" s="15" t="s">
        <v>68</v>
      </c>
      <c r="C24" s="16" t="s">
        <v>54</v>
      </c>
      <c r="D24" s="17" t="s">
        <v>69</v>
      </c>
      <c r="E24" s="17" t="s">
        <v>72</v>
      </c>
      <c r="F24" s="18">
        <v>16</v>
      </c>
      <c r="G24" s="19">
        <v>6.7</v>
      </c>
      <c r="H24" s="18">
        <v>1</v>
      </c>
      <c r="I24" s="20">
        <v>0.107</v>
      </c>
      <c r="J24" s="21"/>
      <c r="K24" s="93"/>
      <c r="L24" s="93"/>
      <c r="N24" s="18">
        <v>1</v>
      </c>
      <c r="O24" s="20">
        <v>0.1072</v>
      </c>
      <c r="P24" s="22"/>
    </row>
    <row r="25" spans="1:16" ht="23.25" customHeight="1">
      <c r="A25" s="14"/>
      <c r="B25" s="15"/>
      <c r="C25" s="16"/>
      <c r="D25" s="17"/>
      <c r="E25" s="17"/>
      <c r="F25" s="18">
        <v>16</v>
      </c>
      <c r="G25" s="19">
        <v>7.1</v>
      </c>
      <c r="H25" s="18">
        <v>2</v>
      </c>
      <c r="I25" s="20">
        <v>0.22700000000000001</v>
      </c>
      <c r="J25" s="21"/>
      <c r="K25" s="93"/>
      <c r="L25" s="93"/>
      <c r="N25" s="18">
        <v>2</v>
      </c>
      <c r="O25" s="20">
        <v>0.22719999999999999</v>
      </c>
      <c r="P25" s="22"/>
    </row>
    <row r="26" spans="1:16" ht="23.25" customHeight="1">
      <c r="A26" s="14"/>
      <c r="B26" s="15"/>
      <c r="C26" s="16"/>
      <c r="D26" s="17"/>
      <c r="E26" s="17"/>
      <c r="F26" s="18">
        <v>16</v>
      </c>
      <c r="G26" s="19">
        <v>7.3</v>
      </c>
      <c r="H26" s="18">
        <v>1</v>
      </c>
      <c r="I26" s="20">
        <v>0.11700000000000001</v>
      </c>
      <c r="J26" s="21"/>
      <c r="K26" s="93"/>
      <c r="L26" s="93"/>
      <c r="N26" s="18">
        <v>1</v>
      </c>
      <c r="O26" s="20">
        <v>0.1168</v>
      </c>
      <c r="P26" s="22"/>
    </row>
    <row r="27" spans="1:16" ht="23.25" customHeight="1">
      <c r="A27" s="14"/>
      <c r="B27" s="15"/>
      <c r="C27" s="16"/>
      <c r="D27" s="17"/>
      <c r="E27" s="17"/>
      <c r="F27" s="18">
        <v>16</v>
      </c>
      <c r="G27" s="19">
        <v>7.9</v>
      </c>
      <c r="H27" s="18">
        <v>2</v>
      </c>
      <c r="I27" s="20">
        <v>0.253</v>
      </c>
      <c r="J27" s="21"/>
      <c r="K27" s="93"/>
      <c r="L27" s="93"/>
      <c r="N27" s="18">
        <v>2</v>
      </c>
      <c r="O27" s="20">
        <v>0.25280000000000002</v>
      </c>
      <c r="P27" s="22"/>
    </row>
    <row r="28" spans="1:16" ht="23.25" customHeight="1">
      <c r="A28" s="14"/>
      <c r="B28" s="15"/>
      <c r="C28" s="16"/>
      <c r="D28" s="17"/>
      <c r="E28" s="17"/>
      <c r="F28" s="18">
        <v>16</v>
      </c>
      <c r="G28" s="19">
        <v>10.6</v>
      </c>
      <c r="H28" s="18">
        <v>1</v>
      </c>
      <c r="I28" s="20">
        <v>0.17</v>
      </c>
      <c r="J28" s="21"/>
      <c r="K28" s="93"/>
      <c r="L28" s="93"/>
      <c r="N28" s="18">
        <v>1</v>
      </c>
      <c r="O28" s="20">
        <v>0.1696</v>
      </c>
      <c r="P28" s="22"/>
    </row>
    <row r="29" spans="1:16" ht="23.25" customHeight="1">
      <c r="A29" s="14"/>
      <c r="B29" s="15"/>
      <c r="C29" s="16"/>
      <c r="D29" s="17"/>
      <c r="E29" s="17"/>
      <c r="F29" s="18">
        <v>16</v>
      </c>
      <c r="G29" s="19">
        <v>10</v>
      </c>
      <c r="H29" s="18">
        <v>1</v>
      </c>
      <c r="I29" s="20">
        <v>0.16</v>
      </c>
      <c r="J29" s="21"/>
      <c r="K29" s="93"/>
      <c r="L29" s="93"/>
      <c r="N29" s="18">
        <v>1</v>
      </c>
      <c r="O29" s="20">
        <v>0.16</v>
      </c>
      <c r="P29" s="22"/>
    </row>
    <row r="30" spans="1:16" ht="23.25" customHeight="1">
      <c r="A30" s="14"/>
      <c r="B30" s="15"/>
      <c r="C30" s="16"/>
      <c r="D30" s="17"/>
      <c r="E30" s="17"/>
      <c r="F30" s="18">
        <v>16</v>
      </c>
      <c r="G30" s="19">
        <v>10.7</v>
      </c>
      <c r="H30" s="18">
        <v>1</v>
      </c>
      <c r="I30" s="20">
        <v>0.17100000000000001</v>
      </c>
      <c r="J30" s="21"/>
      <c r="K30" s="93"/>
      <c r="L30" s="93"/>
      <c r="N30" s="18">
        <v>1</v>
      </c>
      <c r="O30" s="20">
        <v>0.17119999999999999</v>
      </c>
      <c r="P30" s="22"/>
    </row>
    <row r="31" spans="1:16" ht="23.25" customHeight="1">
      <c r="A31" s="14"/>
      <c r="B31" s="15"/>
      <c r="C31" s="16"/>
      <c r="D31" s="17"/>
      <c r="E31" s="17"/>
      <c r="F31" s="18">
        <v>16</v>
      </c>
      <c r="G31" s="19">
        <v>11</v>
      </c>
      <c r="H31" s="18">
        <v>1</v>
      </c>
      <c r="I31" s="20">
        <v>0.17599999999999999</v>
      </c>
      <c r="J31" s="21"/>
      <c r="K31" s="93"/>
      <c r="L31" s="93"/>
      <c r="N31" s="18">
        <v>1</v>
      </c>
      <c r="O31" s="20">
        <v>0.17599999999999999</v>
      </c>
      <c r="P31" s="22"/>
    </row>
    <row r="32" spans="1:16" ht="23.25" customHeight="1">
      <c r="A32" s="14"/>
      <c r="B32" s="15"/>
      <c r="C32" s="16"/>
      <c r="D32" s="17"/>
      <c r="E32" s="17"/>
      <c r="F32" s="18">
        <v>16</v>
      </c>
      <c r="G32" s="19">
        <v>9.1</v>
      </c>
      <c r="H32" s="18">
        <v>1</v>
      </c>
      <c r="I32" s="20">
        <v>0.14599999999999999</v>
      </c>
      <c r="J32" s="21"/>
      <c r="K32" s="93"/>
      <c r="L32" s="93"/>
      <c r="N32" s="18">
        <v>1</v>
      </c>
      <c r="O32" s="20">
        <v>0.14560000000000001</v>
      </c>
      <c r="P32" s="22"/>
    </row>
    <row r="33" spans="1:16" ht="23.25" customHeight="1">
      <c r="A33" s="14"/>
      <c r="B33" s="15"/>
      <c r="C33" s="16"/>
      <c r="D33" s="17"/>
      <c r="E33" s="17"/>
      <c r="F33" s="18">
        <v>16</v>
      </c>
      <c r="G33" s="19">
        <v>10.8</v>
      </c>
      <c r="H33" s="18">
        <v>1</v>
      </c>
      <c r="I33" s="20">
        <v>0.17299999999999999</v>
      </c>
      <c r="J33" s="21"/>
      <c r="K33" s="93"/>
      <c r="L33" s="93"/>
      <c r="N33" s="18">
        <v>1</v>
      </c>
      <c r="O33" s="20">
        <v>0.17280000000000001</v>
      </c>
      <c r="P33" s="22"/>
    </row>
    <row r="34" spans="1:16" ht="23.25" customHeight="1">
      <c r="A34" s="14"/>
      <c r="B34" s="15"/>
      <c r="C34" s="16"/>
      <c r="D34" s="17"/>
      <c r="E34" s="17"/>
      <c r="F34" s="18"/>
      <c r="G34" s="19"/>
      <c r="H34" s="23">
        <f>SUM(H24:H33)</f>
        <v>12</v>
      </c>
      <c r="I34" s="24">
        <f>SUM(I24:I33)</f>
        <v>1.7</v>
      </c>
      <c r="J34" s="21"/>
      <c r="K34" s="93"/>
      <c r="L34" s="93"/>
      <c r="N34" s="23">
        <v>12</v>
      </c>
      <c r="O34" s="24">
        <v>1.6991999999999998</v>
      </c>
      <c r="P34" s="22"/>
    </row>
    <row r="35" spans="1:16" ht="23.25" customHeight="1">
      <c r="A35" s="14">
        <v>4</v>
      </c>
      <c r="B35" s="15" t="s">
        <v>68</v>
      </c>
      <c r="C35" s="16" t="s">
        <v>54</v>
      </c>
      <c r="D35" s="17" t="s">
        <v>69</v>
      </c>
      <c r="E35" s="17" t="s">
        <v>73</v>
      </c>
      <c r="F35" s="18">
        <v>5.76</v>
      </c>
      <c r="G35" s="19">
        <v>10.3</v>
      </c>
      <c r="H35" s="18">
        <v>1</v>
      </c>
      <c r="I35" s="20">
        <v>5.8999999999999997E-2</v>
      </c>
      <c r="J35" s="21"/>
      <c r="K35" s="93"/>
      <c r="L35" s="93"/>
      <c r="N35" s="18">
        <v>1</v>
      </c>
      <c r="O35" s="20">
        <v>5.9328000000000006E-2</v>
      </c>
      <c r="P35" s="22"/>
    </row>
    <row r="36" spans="1:16" ht="23.25" customHeight="1">
      <c r="A36" s="14"/>
      <c r="B36" s="15"/>
      <c r="C36" s="16"/>
      <c r="D36" s="17"/>
      <c r="E36" s="17"/>
      <c r="F36" s="18">
        <v>5.76</v>
      </c>
      <c r="G36" s="19">
        <v>9.8000000000000007</v>
      </c>
      <c r="H36" s="18">
        <v>1</v>
      </c>
      <c r="I36" s="20">
        <v>5.6000000000000001E-2</v>
      </c>
      <c r="J36" s="21"/>
      <c r="K36" s="93"/>
      <c r="L36" s="93"/>
      <c r="N36" s="18">
        <v>1</v>
      </c>
      <c r="O36" s="20">
        <v>5.6447999999999998E-2</v>
      </c>
      <c r="P36" s="22"/>
    </row>
    <row r="37" spans="1:16" ht="23.25" customHeight="1">
      <c r="A37" s="14"/>
      <c r="B37" s="15"/>
      <c r="C37" s="16"/>
      <c r="D37" s="17"/>
      <c r="E37" s="17"/>
      <c r="F37" s="18">
        <v>5.76</v>
      </c>
      <c r="G37" s="19">
        <v>9.6999999999999993</v>
      </c>
      <c r="H37" s="18">
        <v>8</v>
      </c>
      <c r="I37" s="20">
        <v>0.44700000000000001</v>
      </c>
      <c r="J37" s="21"/>
      <c r="K37" s="93"/>
      <c r="L37" s="93"/>
      <c r="N37" s="18">
        <v>8</v>
      </c>
      <c r="O37" s="20">
        <v>0.44697599999999993</v>
      </c>
      <c r="P37" s="22"/>
    </row>
    <row r="38" spans="1:16" ht="23.25" customHeight="1">
      <c r="A38" s="14"/>
      <c r="B38" s="15"/>
      <c r="C38" s="16"/>
      <c r="D38" s="17"/>
      <c r="E38" s="17"/>
      <c r="F38" s="18"/>
      <c r="G38" s="19"/>
      <c r="H38" s="23">
        <f>SUM(H35:H37)</f>
        <v>10</v>
      </c>
      <c r="I38" s="24">
        <f>SUM(I35:I37)</f>
        <v>0.56200000000000006</v>
      </c>
      <c r="J38" s="21"/>
      <c r="K38" s="93"/>
      <c r="L38" s="93"/>
      <c r="N38" s="23">
        <v>10</v>
      </c>
      <c r="O38" s="24">
        <v>0.56275199999999992</v>
      </c>
      <c r="P38" s="22"/>
    </row>
    <row r="39" spans="1:16" ht="23.25" customHeight="1">
      <c r="A39" s="14">
        <v>5</v>
      </c>
      <c r="B39" s="15" t="s">
        <v>68</v>
      </c>
      <c r="C39" s="16" t="s">
        <v>21</v>
      </c>
      <c r="D39" s="17" t="s">
        <v>75</v>
      </c>
      <c r="E39" s="17" t="s">
        <v>76</v>
      </c>
      <c r="F39" s="18">
        <v>19.8</v>
      </c>
      <c r="G39" s="19">
        <v>6</v>
      </c>
      <c r="H39" s="18">
        <v>1</v>
      </c>
      <c r="I39" s="20">
        <v>0.11899999999999999</v>
      </c>
      <c r="J39" s="21"/>
      <c r="K39" s="93"/>
      <c r="L39" s="93"/>
      <c r="N39" s="18">
        <v>1</v>
      </c>
      <c r="O39" s="20">
        <v>0.11880000000000002</v>
      </c>
      <c r="P39" s="22"/>
    </row>
    <row r="40" spans="1:16" ht="23.25" customHeight="1">
      <c r="A40" s="14"/>
      <c r="B40" s="15"/>
      <c r="C40" s="16"/>
      <c r="D40" s="17"/>
      <c r="E40" s="17"/>
      <c r="F40" s="18"/>
      <c r="G40" s="19"/>
      <c r="H40" s="23">
        <f>SUM(H39:H39)</f>
        <v>1</v>
      </c>
      <c r="I40" s="24">
        <f>SUM(I39:I39)</f>
        <v>0.11899999999999999</v>
      </c>
      <c r="J40" s="21"/>
      <c r="K40" s="93"/>
      <c r="L40" s="93"/>
      <c r="N40" s="23">
        <v>1</v>
      </c>
      <c r="O40" s="24">
        <v>0.11880000000000002</v>
      </c>
      <c r="P40" s="22"/>
    </row>
    <row r="41" spans="1:16" ht="23.25" customHeight="1">
      <c r="A41" s="14">
        <v>6</v>
      </c>
      <c r="B41" s="15" t="s">
        <v>68</v>
      </c>
      <c r="C41" s="16" t="s">
        <v>21</v>
      </c>
      <c r="D41" s="17" t="s">
        <v>75</v>
      </c>
      <c r="E41" s="17" t="s">
        <v>77</v>
      </c>
      <c r="F41" s="18">
        <v>11.8</v>
      </c>
      <c r="G41" s="19">
        <v>9.3000000000000007</v>
      </c>
      <c r="H41" s="18">
        <v>4</v>
      </c>
      <c r="I41" s="20">
        <v>0.439</v>
      </c>
      <c r="J41" s="21"/>
      <c r="K41" s="93"/>
      <c r="L41" s="93"/>
      <c r="N41" s="18">
        <v>4</v>
      </c>
      <c r="O41" s="20">
        <v>0.43896000000000002</v>
      </c>
      <c r="P41" s="22"/>
    </row>
    <row r="42" spans="1:16" ht="23.25" customHeight="1">
      <c r="A42" s="14"/>
      <c r="B42" s="15"/>
      <c r="C42" s="16"/>
      <c r="D42" s="17"/>
      <c r="E42" s="17"/>
      <c r="F42" s="18"/>
      <c r="G42" s="19"/>
      <c r="H42" s="23">
        <f>SUM(H41:H41)</f>
        <v>4</v>
      </c>
      <c r="I42" s="24">
        <f>SUM(I41:I41)</f>
        <v>0.439</v>
      </c>
      <c r="J42" s="21"/>
      <c r="K42" s="93"/>
      <c r="L42" s="93"/>
      <c r="N42" s="23">
        <v>4</v>
      </c>
      <c r="O42" s="24">
        <v>0.43896000000000002</v>
      </c>
      <c r="P42" s="22"/>
    </row>
    <row r="43" spans="1:16" ht="23.25" customHeight="1">
      <c r="A43" s="14">
        <v>7</v>
      </c>
      <c r="B43" s="15" t="s">
        <v>74</v>
      </c>
      <c r="C43" s="16" t="s">
        <v>54</v>
      </c>
      <c r="D43" s="17" t="s">
        <v>69</v>
      </c>
      <c r="E43" s="17" t="s">
        <v>71</v>
      </c>
      <c r="F43" s="18">
        <v>13.4</v>
      </c>
      <c r="G43" s="19">
        <v>8.1</v>
      </c>
      <c r="H43" s="18">
        <v>1</v>
      </c>
      <c r="I43" s="20">
        <v>0.109</v>
      </c>
      <c r="J43" s="21"/>
      <c r="K43" s="93"/>
      <c r="L43" s="93"/>
      <c r="N43" s="18">
        <v>1</v>
      </c>
      <c r="O43" s="20">
        <v>0.10854</v>
      </c>
      <c r="P43" s="22"/>
    </row>
    <row r="44" spans="1:16" ht="23.25" customHeight="1">
      <c r="A44" s="14"/>
      <c r="B44" s="15"/>
      <c r="C44" s="16"/>
      <c r="D44" s="17"/>
      <c r="E44" s="17"/>
      <c r="F44" s="18"/>
      <c r="G44" s="19"/>
      <c r="H44" s="23">
        <f>SUM(H43:H43)</f>
        <v>1</v>
      </c>
      <c r="I44" s="24">
        <f>SUM(I43:I43)</f>
        <v>0.109</v>
      </c>
      <c r="J44" s="21"/>
      <c r="K44" s="93"/>
      <c r="L44" s="93"/>
      <c r="N44" s="23">
        <v>1</v>
      </c>
      <c r="O44" s="24">
        <v>0.10854</v>
      </c>
      <c r="P44" s="22"/>
    </row>
    <row r="45" spans="1:16" ht="23.25" customHeight="1">
      <c r="A45" s="14">
        <v>8</v>
      </c>
      <c r="B45" s="15" t="s">
        <v>78</v>
      </c>
      <c r="C45" s="16" t="s">
        <v>21</v>
      </c>
      <c r="D45" s="17" t="s">
        <v>22</v>
      </c>
      <c r="E45" s="17" t="s">
        <v>82</v>
      </c>
      <c r="F45" s="18">
        <v>17.829999999999998</v>
      </c>
      <c r="G45" s="19">
        <v>11.5</v>
      </c>
      <c r="H45" s="18">
        <v>2</v>
      </c>
      <c r="I45" s="20">
        <v>0.41</v>
      </c>
      <c r="J45" s="21"/>
      <c r="K45" s="93"/>
      <c r="L45" s="93"/>
      <c r="N45" s="18">
        <v>2</v>
      </c>
      <c r="O45" s="20">
        <v>0.41008999999999995</v>
      </c>
      <c r="P45" s="22"/>
    </row>
    <row r="46" spans="1:16" ht="23.25" customHeight="1">
      <c r="A46" s="14"/>
      <c r="B46" s="15"/>
      <c r="C46" s="16"/>
      <c r="D46" s="17"/>
      <c r="E46" s="17"/>
      <c r="F46" s="18"/>
      <c r="G46" s="19"/>
      <c r="H46" s="23">
        <f>SUM(H45:H45)</f>
        <v>2</v>
      </c>
      <c r="I46" s="24">
        <f>SUM(I45:I45)</f>
        <v>0.41</v>
      </c>
      <c r="J46" s="21"/>
      <c r="K46" s="93"/>
      <c r="L46" s="93"/>
      <c r="N46" s="23">
        <v>2</v>
      </c>
      <c r="O46" s="24">
        <v>0.41008999999999995</v>
      </c>
      <c r="P46" s="22"/>
    </row>
    <row r="47" spans="1:16" ht="23.25" customHeight="1">
      <c r="A47" s="14">
        <v>9</v>
      </c>
      <c r="B47" s="15" t="s">
        <v>79</v>
      </c>
      <c r="C47" s="16" t="s">
        <v>54</v>
      </c>
      <c r="D47" s="17" t="s">
        <v>69</v>
      </c>
      <c r="E47" s="17" t="s">
        <v>80</v>
      </c>
      <c r="F47" s="18">
        <v>27.3</v>
      </c>
      <c r="G47" s="19">
        <v>8.1</v>
      </c>
      <c r="H47" s="18">
        <v>18</v>
      </c>
      <c r="I47" s="20">
        <v>3.98</v>
      </c>
      <c r="J47" s="21"/>
      <c r="K47" s="93"/>
      <c r="L47" s="93"/>
      <c r="N47" s="18">
        <v>18</v>
      </c>
      <c r="O47" s="20">
        <v>3.98034</v>
      </c>
      <c r="P47" s="22"/>
    </row>
    <row r="48" spans="1:16" ht="23.25" customHeight="1">
      <c r="A48" s="14"/>
      <c r="B48" s="15"/>
      <c r="C48" s="16"/>
      <c r="D48" s="17"/>
      <c r="E48" s="17"/>
      <c r="F48" s="18">
        <v>27.3</v>
      </c>
      <c r="G48" s="19">
        <v>12.15</v>
      </c>
      <c r="H48" s="18">
        <v>69</v>
      </c>
      <c r="I48" s="20">
        <v>22.887</v>
      </c>
      <c r="J48" s="21"/>
      <c r="K48" s="93"/>
      <c r="L48" s="93"/>
      <c r="N48" s="18">
        <v>69</v>
      </c>
      <c r="O48" s="20">
        <v>22.886954999999997</v>
      </c>
      <c r="P48" s="22"/>
    </row>
    <row r="49" spans="1:16" ht="23.25" customHeight="1">
      <c r="A49" s="14"/>
      <c r="B49" s="15"/>
      <c r="C49" s="16"/>
      <c r="D49" s="17"/>
      <c r="E49" s="17"/>
      <c r="F49" s="18"/>
      <c r="G49" s="19"/>
      <c r="H49" s="23">
        <f>SUM(H47:H48)</f>
        <v>87</v>
      </c>
      <c r="I49" s="24">
        <f>SUM(I47:I48)</f>
        <v>26.867000000000001</v>
      </c>
      <c r="J49" s="21"/>
      <c r="K49" s="94"/>
      <c r="L49" s="94"/>
      <c r="N49" s="23">
        <v>87</v>
      </c>
      <c r="O49" s="24">
        <v>26.867294999999999</v>
      </c>
      <c r="P49" s="22"/>
    </row>
    <row r="50" spans="1:16" ht="23.25" customHeight="1">
      <c r="A50" s="14"/>
      <c r="B50" s="15"/>
      <c r="C50" s="16"/>
      <c r="D50" s="17"/>
      <c r="E50" s="17"/>
      <c r="F50" s="18"/>
      <c r="G50" s="19"/>
      <c r="H50" s="23">
        <f t="shared" ref="H50:I50" si="1">SUM(H49,H46,H44,H42,H40,H38,H34,H23,H15)</f>
        <v>134</v>
      </c>
      <c r="I50" s="24">
        <f t="shared" si="1"/>
        <v>32.271000000000008</v>
      </c>
      <c r="J50" s="21"/>
      <c r="K50" s="62"/>
      <c r="L50" s="62"/>
      <c r="N50" s="23">
        <v>134</v>
      </c>
      <c r="O50" s="24">
        <v>32.270567000000007</v>
      </c>
      <c r="P50" s="22"/>
    </row>
    <row r="51" spans="1:16" ht="23.25" customHeight="1">
      <c r="A51" s="27"/>
      <c r="B51" s="58"/>
      <c r="C51" s="59"/>
      <c r="D51" s="60"/>
      <c r="E51" s="17"/>
      <c r="F51" s="18"/>
      <c r="G51" s="19"/>
      <c r="H51" s="23"/>
      <c r="I51" s="24"/>
      <c r="J51" s="21"/>
      <c r="K51" s="67"/>
      <c r="L51" s="70"/>
      <c r="N51" s="23"/>
      <c r="O51" s="24"/>
      <c r="P51" s="22"/>
    </row>
    <row r="52" spans="1:16" ht="23.25" customHeight="1">
      <c r="A52" s="27"/>
      <c r="B52" s="58"/>
      <c r="C52" s="59"/>
      <c r="D52" s="60"/>
      <c r="E52" s="17"/>
      <c r="F52" s="18"/>
      <c r="G52" s="19"/>
      <c r="H52" s="23"/>
      <c r="I52" s="24"/>
      <c r="J52" s="21"/>
      <c r="K52" s="67"/>
      <c r="L52" s="70"/>
      <c r="N52" s="23"/>
      <c r="O52" s="24"/>
      <c r="P52" s="22"/>
    </row>
    <row r="53" spans="1:16" ht="23.25" customHeight="1" thickBot="1">
      <c r="A53" s="30"/>
      <c r="B53" s="31"/>
      <c r="C53" s="31"/>
      <c r="D53" s="31"/>
      <c r="E53" s="32" t="s">
        <v>29</v>
      </c>
      <c r="F53" s="33"/>
      <c r="G53" s="26"/>
      <c r="H53" s="34">
        <f t="shared" ref="H53:I53" si="2">SUM(H50)</f>
        <v>134</v>
      </c>
      <c r="I53" s="26">
        <f t="shared" si="2"/>
        <v>32.271000000000008</v>
      </c>
      <c r="J53" s="26"/>
      <c r="K53" s="26">
        <f>+K13</f>
        <v>32.271000000000001</v>
      </c>
      <c r="L53" s="35"/>
      <c r="N53" s="34">
        <v>134</v>
      </c>
      <c r="O53" s="26">
        <v>32.270567000000007</v>
      </c>
      <c r="P53" s="22"/>
    </row>
    <row r="54" spans="1:16" ht="23.25">
      <c r="A54" s="36"/>
      <c r="B54" s="37" t="s">
        <v>30</v>
      </c>
      <c r="C54" s="38"/>
      <c r="D54" s="39" t="s">
        <v>31</v>
      </c>
      <c r="E54" s="40" t="s">
        <v>32</v>
      </c>
      <c r="F54" s="41"/>
      <c r="G54" s="42"/>
      <c r="H54" s="42"/>
      <c r="I54" s="43" t="s">
        <v>33</v>
      </c>
      <c r="J54" s="43"/>
      <c r="K54" s="44"/>
      <c r="L54" s="45"/>
      <c r="N54" s="22"/>
    </row>
    <row r="55" spans="1:16" ht="23.25">
      <c r="A55" s="46"/>
      <c r="B55" s="37"/>
      <c r="C55" s="47"/>
      <c r="D55" s="48"/>
      <c r="E55" s="48"/>
      <c r="F55" s="48" t="s">
        <v>34</v>
      </c>
      <c r="G55" s="48" t="s">
        <v>34</v>
      </c>
      <c r="H55" s="48"/>
      <c r="I55" s="48"/>
      <c r="J55" s="48"/>
      <c r="K55" s="48"/>
      <c r="L55" s="49"/>
    </row>
    <row r="56" spans="1:16" ht="23.25">
      <c r="A56" s="46"/>
      <c r="B56" s="37"/>
      <c r="C56" s="47"/>
      <c r="D56" s="48"/>
      <c r="E56" s="48"/>
      <c r="F56" s="48"/>
      <c r="G56" s="48"/>
      <c r="H56" s="48"/>
      <c r="I56" s="48"/>
      <c r="J56" s="48"/>
      <c r="K56" s="48"/>
      <c r="L56" s="49"/>
    </row>
    <row r="57" spans="1:16" ht="24" thickBot="1">
      <c r="A57" s="50"/>
      <c r="B57" s="51" t="s">
        <v>35</v>
      </c>
      <c r="C57" s="51"/>
      <c r="D57" s="51"/>
      <c r="E57" s="52" t="s">
        <v>36</v>
      </c>
      <c r="F57" s="53"/>
      <c r="G57" s="53"/>
      <c r="H57" s="54"/>
      <c r="I57" s="55" t="s">
        <v>37</v>
      </c>
      <c r="J57" s="55"/>
      <c r="K57" s="52"/>
      <c r="L57" s="56"/>
    </row>
    <row r="61" spans="1:16">
      <c r="H61" s="57"/>
      <c r="I61" s="22"/>
      <c r="J61" s="22"/>
    </row>
    <row r="62" spans="1:16">
      <c r="I62" s="22"/>
    </row>
    <row r="63" spans="1:16">
      <c r="H63" s="57"/>
    </row>
    <row r="66" spans="9:11" ht="22.5">
      <c r="I66" s="20">
        <f>F66*G66*H66/1000</f>
        <v>0</v>
      </c>
      <c r="J66" s="22"/>
      <c r="K66" s="22">
        <f>+I53+'[2]9844  29.12.23 BB '!I39+'[2]2190  29.12.23 JBP '!K31+'[2]0403  29.12.23 JBP (2)'!I23+'[2]0406  29.12.23 JBP'!I28</f>
        <v>161.29561999999999</v>
      </c>
    </row>
  </sheetData>
  <sortState ref="G16:H23">
    <sortCondition ref="G16:G23"/>
  </sortState>
  <mergeCells count="5">
    <mergeCell ref="A1:L1"/>
    <mergeCell ref="A2:L2"/>
    <mergeCell ref="A4:L4"/>
    <mergeCell ref="K13:K49"/>
    <mergeCell ref="L13:L49"/>
  </mergeCells>
  <pageMargins left="0.24" right="0.2" top="0.44" bottom="0.35" header="0.3" footer="0.3"/>
  <pageSetup paperSize="9" scale="4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P45"/>
  <sheetViews>
    <sheetView topLeftCell="A19" zoomScale="75" zoomScaleNormal="75" workbookViewId="0">
      <selection activeCell="I27" sqref="I27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89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/>
      <c r="K8" s="65" t="s">
        <v>65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90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27</v>
      </c>
      <c r="F13" s="18">
        <v>9.26</v>
      </c>
      <c r="G13" s="19">
        <v>6.25</v>
      </c>
      <c r="H13" s="18">
        <v>59</v>
      </c>
      <c r="I13" s="20">
        <v>3.415</v>
      </c>
      <c r="J13" s="21"/>
      <c r="K13" s="104">
        <f>+I15</f>
        <v>8.907</v>
      </c>
      <c r="L13" s="104" t="s">
        <v>91</v>
      </c>
      <c r="N13" s="18">
        <v>59</v>
      </c>
      <c r="O13" s="20">
        <v>3.414625</v>
      </c>
      <c r="P13" s="22"/>
    </row>
    <row r="14" spans="1:16" ht="23.25" customHeight="1">
      <c r="A14" s="14"/>
      <c r="B14" s="15"/>
      <c r="C14" s="16"/>
      <c r="D14" s="17"/>
      <c r="E14" s="17"/>
      <c r="F14" s="18">
        <v>9.26</v>
      </c>
      <c r="G14" s="19">
        <v>11</v>
      </c>
      <c r="H14" s="18">
        <v>54</v>
      </c>
      <c r="I14" s="20">
        <v>5.492</v>
      </c>
      <c r="J14" s="21"/>
      <c r="K14" s="104"/>
      <c r="L14" s="104"/>
      <c r="N14" s="18">
        <v>59</v>
      </c>
      <c r="O14" s="20">
        <v>6.0097399999999999</v>
      </c>
      <c r="P14" s="22"/>
    </row>
    <row r="15" spans="1:16" ht="23.25" customHeight="1">
      <c r="A15" s="14"/>
      <c r="B15" s="15"/>
      <c r="C15" s="16"/>
      <c r="D15" s="17"/>
      <c r="E15" s="17"/>
      <c r="F15" s="18"/>
      <c r="G15" s="19"/>
      <c r="H15" s="23">
        <f t="shared" ref="H15:I15" si="0">SUM(H13:H14)</f>
        <v>113</v>
      </c>
      <c r="I15" s="24">
        <f t="shared" si="0"/>
        <v>8.907</v>
      </c>
      <c r="J15" s="21"/>
      <c r="K15" s="104"/>
      <c r="L15" s="104"/>
      <c r="N15" s="18"/>
      <c r="O15" s="20"/>
      <c r="P15" s="22"/>
    </row>
    <row r="16" spans="1:16" ht="23.25" customHeight="1">
      <c r="A16" s="14"/>
      <c r="B16" s="15"/>
      <c r="C16" s="16"/>
      <c r="D16" s="17"/>
      <c r="E16" s="17"/>
      <c r="F16" s="18">
        <v>9.26</v>
      </c>
      <c r="G16" s="19">
        <v>11</v>
      </c>
      <c r="H16" s="18">
        <f>59-54</f>
        <v>5</v>
      </c>
      <c r="I16" s="20">
        <f>6.01-5.492</f>
        <v>0.51799999999999979</v>
      </c>
      <c r="J16" s="21"/>
      <c r="K16" s="104">
        <f>+I18+I24+I26</f>
        <v>23.475000000000001</v>
      </c>
      <c r="L16" s="104" t="s">
        <v>92</v>
      </c>
      <c r="N16" s="18"/>
      <c r="O16" s="20"/>
      <c r="P16" s="22"/>
    </row>
    <row r="17" spans="1:16" ht="23.25" customHeight="1">
      <c r="A17" s="14"/>
      <c r="B17" s="15"/>
      <c r="C17" s="16"/>
      <c r="D17" s="17"/>
      <c r="E17" s="17"/>
      <c r="F17" s="18">
        <v>9.26</v>
      </c>
      <c r="G17" s="19">
        <v>11.5</v>
      </c>
      <c r="H17" s="18">
        <v>113</v>
      </c>
      <c r="I17" s="20">
        <v>12.032999999999999</v>
      </c>
      <c r="J17" s="21"/>
      <c r="K17" s="104"/>
      <c r="L17" s="104"/>
      <c r="N17" s="18">
        <v>113</v>
      </c>
      <c r="O17" s="20">
        <v>12.03337</v>
      </c>
      <c r="P17" s="22"/>
    </row>
    <row r="18" spans="1:16" ht="23.25" customHeight="1">
      <c r="A18" s="14"/>
      <c r="B18" s="15"/>
      <c r="C18" s="16"/>
      <c r="D18" s="17"/>
      <c r="E18" s="17"/>
      <c r="F18" s="18"/>
      <c r="G18" s="19"/>
      <c r="H18" s="23">
        <f t="shared" ref="H18:I18" si="1">SUM(H16:H17)</f>
        <v>118</v>
      </c>
      <c r="I18" s="24">
        <f t="shared" si="1"/>
        <v>12.550999999999998</v>
      </c>
      <c r="J18" s="21"/>
      <c r="K18" s="104"/>
      <c r="L18" s="104"/>
      <c r="N18" s="23">
        <v>231</v>
      </c>
      <c r="O18" s="24">
        <v>21.457735</v>
      </c>
      <c r="P18" s="22"/>
    </row>
    <row r="19" spans="1:16" ht="23.25" customHeight="1">
      <c r="A19" s="14">
        <v>2</v>
      </c>
      <c r="B19" s="15" t="s">
        <v>28</v>
      </c>
      <c r="C19" s="16" t="s">
        <v>25</v>
      </c>
      <c r="D19" s="17" t="s">
        <v>26</v>
      </c>
      <c r="E19" s="17" t="s">
        <v>27</v>
      </c>
      <c r="F19" s="18">
        <v>9.26</v>
      </c>
      <c r="G19" s="19">
        <v>12</v>
      </c>
      <c r="H19" s="18">
        <v>9</v>
      </c>
      <c r="I19" s="20">
        <v>1</v>
      </c>
      <c r="J19" s="21"/>
      <c r="K19" s="104"/>
      <c r="L19" s="104"/>
      <c r="N19" s="18">
        <v>9</v>
      </c>
      <c r="O19" s="20">
        <v>1.0000800000000001</v>
      </c>
      <c r="P19" s="22"/>
    </row>
    <row r="20" spans="1:16" ht="23.25" customHeight="1">
      <c r="A20" s="14"/>
      <c r="B20" s="15"/>
      <c r="C20" s="16"/>
      <c r="D20" s="17"/>
      <c r="E20" s="17"/>
      <c r="F20" s="18">
        <v>9.26</v>
      </c>
      <c r="G20" s="19">
        <v>9.5</v>
      </c>
      <c r="H20" s="18">
        <f>38+13</f>
        <v>51</v>
      </c>
      <c r="I20" s="20">
        <v>4.4859999999999998</v>
      </c>
      <c r="J20" s="21"/>
      <c r="K20" s="104"/>
      <c r="L20" s="104"/>
      <c r="N20" s="18">
        <v>38</v>
      </c>
      <c r="O20" s="20">
        <v>3.3428599999999999</v>
      </c>
      <c r="P20" s="22"/>
    </row>
    <row r="21" spans="1:16" ht="23.25" customHeight="1">
      <c r="A21" s="14"/>
      <c r="B21" s="15"/>
      <c r="C21" s="16"/>
      <c r="D21" s="17"/>
      <c r="E21" s="17"/>
      <c r="F21" s="18">
        <v>9.26</v>
      </c>
      <c r="G21" s="19">
        <v>10.5</v>
      </c>
      <c r="H21" s="18">
        <v>14</v>
      </c>
      <c r="I21" s="20">
        <v>1.361</v>
      </c>
      <c r="J21" s="21"/>
      <c r="K21" s="104"/>
      <c r="L21" s="104"/>
      <c r="N21" s="18">
        <v>14</v>
      </c>
      <c r="O21" s="20">
        <v>1.3612200000000001</v>
      </c>
      <c r="P21" s="22"/>
    </row>
    <row r="22" spans="1:16" ht="23.25" customHeight="1">
      <c r="A22" s="14"/>
      <c r="B22" s="15"/>
      <c r="C22" s="16"/>
      <c r="D22" s="17"/>
      <c r="E22" s="17"/>
      <c r="F22" s="18">
        <v>9.26</v>
      </c>
      <c r="G22" s="19">
        <v>11</v>
      </c>
      <c r="H22" s="18">
        <v>2</v>
      </c>
      <c r="I22" s="20">
        <v>0.20399999999999999</v>
      </c>
      <c r="J22" s="21"/>
      <c r="K22" s="104"/>
      <c r="L22" s="104"/>
      <c r="N22" s="18">
        <v>2</v>
      </c>
      <c r="O22" s="20">
        <v>0.20372000000000001</v>
      </c>
      <c r="P22" s="22"/>
    </row>
    <row r="23" spans="1:16" ht="23.25" customHeight="1">
      <c r="A23" s="14"/>
      <c r="B23" s="15"/>
      <c r="C23" s="16"/>
      <c r="D23" s="17"/>
      <c r="E23" s="17"/>
      <c r="F23" s="18">
        <v>9.26</v>
      </c>
      <c r="G23" s="19">
        <v>11.3</v>
      </c>
      <c r="H23" s="18">
        <v>14</v>
      </c>
      <c r="I23" s="20">
        <v>1.4650000000000001</v>
      </c>
      <c r="J23" s="21"/>
      <c r="K23" s="104"/>
      <c r="L23" s="104"/>
      <c r="N23" s="18">
        <v>14</v>
      </c>
      <c r="O23" s="20">
        <v>1.4649320000000001</v>
      </c>
      <c r="P23" s="22"/>
    </row>
    <row r="24" spans="1:16" ht="23.25" customHeight="1">
      <c r="A24" s="14"/>
      <c r="B24" s="15"/>
      <c r="C24" s="16"/>
      <c r="D24" s="17"/>
      <c r="E24" s="17"/>
      <c r="F24" s="61"/>
      <c r="G24" s="19"/>
      <c r="H24" s="23">
        <f>SUM(H19:H23)</f>
        <v>90</v>
      </c>
      <c r="I24" s="24">
        <f>SUM(I19:I23)</f>
        <v>8.516</v>
      </c>
      <c r="J24" s="21"/>
      <c r="K24" s="104"/>
      <c r="L24" s="104"/>
      <c r="N24" s="23">
        <v>77</v>
      </c>
      <c r="O24" s="24">
        <v>7.3728120000000006</v>
      </c>
      <c r="P24" s="22"/>
    </row>
    <row r="25" spans="1:16" ht="23.25" customHeight="1">
      <c r="A25" s="14">
        <v>3</v>
      </c>
      <c r="B25" s="15" t="s">
        <v>88</v>
      </c>
      <c r="C25" s="16" t="s">
        <v>21</v>
      </c>
      <c r="D25" s="17" t="s">
        <v>22</v>
      </c>
      <c r="E25" s="17" t="s">
        <v>23</v>
      </c>
      <c r="F25" s="61">
        <v>10.92</v>
      </c>
      <c r="G25" s="19">
        <v>10.5</v>
      </c>
      <c r="H25" s="18">
        <v>21</v>
      </c>
      <c r="I25" s="20">
        <v>2.4079999999999999</v>
      </c>
      <c r="J25" s="21"/>
      <c r="K25" s="104"/>
      <c r="L25" s="104"/>
      <c r="N25" s="18">
        <v>21</v>
      </c>
      <c r="O25" s="20">
        <v>2.4078600000000003</v>
      </c>
      <c r="P25" s="22"/>
    </row>
    <row r="26" spans="1:16" ht="23.25" customHeight="1">
      <c r="A26" s="14"/>
      <c r="B26" s="15"/>
      <c r="C26" s="16"/>
      <c r="D26" s="17"/>
      <c r="E26" s="17"/>
      <c r="F26" s="61"/>
      <c r="G26" s="19"/>
      <c r="H26" s="23">
        <f>SUM(H25)</f>
        <v>21</v>
      </c>
      <c r="I26" s="24">
        <f>I25</f>
        <v>2.4079999999999999</v>
      </c>
      <c r="J26" s="21"/>
      <c r="K26" s="104"/>
      <c r="L26" s="104"/>
      <c r="N26" s="23">
        <v>21</v>
      </c>
      <c r="O26" s="24">
        <v>2.4078600000000003</v>
      </c>
      <c r="P26" s="22"/>
    </row>
    <row r="27" spans="1:16" ht="23.25" customHeight="1">
      <c r="A27" s="14"/>
      <c r="B27" s="15"/>
      <c r="C27" s="16"/>
      <c r="D27" s="17"/>
      <c r="E27" s="17"/>
      <c r="F27" s="61"/>
      <c r="G27" s="19"/>
      <c r="H27" s="23">
        <f>SUM(H26,H24,H18,H15)</f>
        <v>342</v>
      </c>
      <c r="I27" s="24">
        <f>SUM(I26,I24,I18,I15)</f>
        <v>32.381999999999998</v>
      </c>
      <c r="J27" s="21"/>
      <c r="K27" s="62"/>
      <c r="L27" s="62"/>
      <c r="N27" s="23">
        <v>329</v>
      </c>
      <c r="O27" s="24">
        <v>31.238407000000002</v>
      </c>
      <c r="P27" s="22"/>
    </row>
    <row r="28" spans="1:16" ht="23.25" customHeight="1">
      <c r="A28" s="14"/>
      <c r="B28" s="15"/>
      <c r="C28" s="16"/>
      <c r="D28" s="17"/>
      <c r="E28" s="17"/>
      <c r="F28" s="61"/>
      <c r="G28" s="19"/>
      <c r="H28" s="18"/>
      <c r="I28" s="20"/>
      <c r="J28" s="21"/>
      <c r="K28" s="62"/>
      <c r="L28" s="62"/>
      <c r="N28" s="18"/>
      <c r="O28" s="20"/>
      <c r="P28" s="22"/>
    </row>
    <row r="29" spans="1:16" ht="23.25" customHeight="1">
      <c r="A29" s="14"/>
      <c r="B29" s="15"/>
      <c r="C29" s="16"/>
      <c r="D29" s="17"/>
      <c r="E29" s="17"/>
      <c r="F29" s="61"/>
      <c r="G29" s="19"/>
      <c r="H29" s="23"/>
      <c r="I29" s="24"/>
      <c r="J29" s="21"/>
      <c r="K29" s="62"/>
      <c r="L29" s="62"/>
      <c r="N29" s="23"/>
      <c r="O29" s="24"/>
      <c r="P29" s="22"/>
    </row>
    <row r="30" spans="1:16" ht="23.25" customHeight="1">
      <c r="A30" s="14"/>
      <c r="B30" s="15"/>
      <c r="C30" s="16"/>
      <c r="D30" s="17"/>
      <c r="E30" s="17"/>
      <c r="F30" s="18"/>
      <c r="G30" s="19"/>
      <c r="H30" s="23"/>
      <c r="I30" s="24"/>
      <c r="J30" s="21"/>
      <c r="K30" s="62"/>
      <c r="L30" s="62"/>
      <c r="N30" s="23"/>
      <c r="O30" s="24"/>
      <c r="P30" s="22"/>
    </row>
    <row r="31" spans="1:16" ht="23.25" customHeight="1">
      <c r="A31" s="27"/>
      <c r="B31" s="28"/>
      <c r="C31" s="28"/>
      <c r="D31" s="28"/>
      <c r="E31" s="21"/>
      <c r="F31" s="18"/>
      <c r="G31" s="19"/>
      <c r="H31" s="23"/>
      <c r="I31" s="24"/>
      <c r="J31" s="21"/>
      <c r="K31" s="62"/>
      <c r="L31" s="62"/>
      <c r="N31" s="23"/>
      <c r="O31" s="24"/>
      <c r="P31" s="22"/>
    </row>
    <row r="32" spans="1:16" ht="23.25" customHeight="1" thickBot="1">
      <c r="A32" s="30"/>
      <c r="B32" s="31"/>
      <c r="C32" s="31"/>
      <c r="D32" s="31"/>
      <c r="E32" s="32" t="s">
        <v>29</v>
      </c>
      <c r="F32" s="33"/>
      <c r="G32" s="26"/>
      <c r="H32" s="34">
        <f>+H27</f>
        <v>342</v>
      </c>
      <c r="I32" s="26">
        <f>+I27</f>
        <v>32.381999999999998</v>
      </c>
      <c r="J32" s="26"/>
      <c r="K32" s="26">
        <f>+K13+K16</f>
        <v>32.382000000000005</v>
      </c>
      <c r="L32" s="35"/>
      <c r="N32" s="34">
        <v>329</v>
      </c>
      <c r="O32" s="26">
        <v>31.238407000000002</v>
      </c>
      <c r="P32" s="22"/>
    </row>
    <row r="33" spans="1:14" ht="23.25">
      <c r="A33" s="36"/>
      <c r="B33" s="37" t="s">
        <v>30</v>
      </c>
      <c r="C33" s="38"/>
      <c r="D33" s="39" t="s">
        <v>31</v>
      </c>
      <c r="E33" s="40" t="s">
        <v>32</v>
      </c>
      <c r="F33" s="41"/>
      <c r="G33" s="42"/>
      <c r="H33" s="42"/>
      <c r="I33" s="43" t="s">
        <v>33</v>
      </c>
      <c r="J33" s="43"/>
      <c r="K33" s="44"/>
      <c r="L33" s="45"/>
      <c r="N33" s="22"/>
    </row>
    <row r="34" spans="1:14" ht="23.25">
      <c r="A34" s="46"/>
      <c r="B34" s="37"/>
      <c r="C34" s="47"/>
      <c r="D34" s="48"/>
      <c r="E34" s="48"/>
      <c r="F34" s="48" t="s">
        <v>34</v>
      </c>
      <c r="G34" s="48" t="s">
        <v>34</v>
      </c>
      <c r="H34" s="48"/>
      <c r="I34" s="48"/>
      <c r="J34" s="48"/>
      <c r="K34" s="48"/>
      <c r="L34" s="49"/>
    </row>
    <row r="35" spans="1:14" ht="23.25">
      <c r="A35" s="46"/>
      <c r="B35" s="37"/>
      <c r="C35" s="47"/>
      <c r="D35" s="48"/>
      <c r="E35" s="48"/>
      <c r="F35" s="48"/>
      <c r="G35" s="48"/>
      <c r="H35" s="48"/>
      <c r="I35" s="48"/>
      <c r="J35" s="48"/>
      <c r="K35" s="48"/>
      <c r="L35" s="49"/>
    </row>
    <row r="36" spans="1:14" ht="24" thickBot="1">
      <c r="A36" s="50"/>
      <c r="B36" s="51" t="s">
        <v>35</v>
      </c>
      <c r="C36" s="51"/>
      <c r="D36" s="51"/>
      <c r="E36" s="52" t="s">
        <v>36</v>
      </c>
      <c r="F36" s="53"/>
      <c r="G36" s="53"/>
      <c r="H36" s="54"/>
      <c r="I36" s="55" t="s">
        <v>37</v>
      </c>
      <c r="J36" s="55"/>
      <c r="K36" s="52"/>
      <c r="L36" s="56"/>
    </row>
    <row r="40" spans="1:14">
      <c r="H40" s="57"/>
      <c r="I40" s="22"/>
      <c r="J40" s="22"/>
    </row>
    <row r="41" spans="1:14">
      <c r="I41" s="22"/>
    </row>
    <row r="42" spans="1:14">
      <c r="H42" s="57"/>
    </row>
    <row r="45" spans="1:14" ht="22.5">
      <c r="I45" s="20">
        <f>F45*G45*H45/1000</f>
        <v>0</v>
      </c>
      <c r="J45" s="22"/>
      <c r="K45" s="22">
        <f>+I32+'[2]1951  31.12.23 JBP '!I27</f>
        <v>65.105999999999995</v>
      </c>
    </row>
  </sheetData>
  <mergeCells count="7">
    <mergeCell ref="K13:K15"/>
    <mergeCell ref="L13:L15"/>
    <mergeCell ref="K16:K26"/>
    <mergeCell ref="L16:L26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P50"/>
  <sheetViews>
    <sheetView topLeftCell="A25" zoomScale="75" zoomScaleNormal="75" workbookViewId="0">
      <selection activeCell="E22" sqref="E22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93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65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94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95</v>
      </c>
      <c r="C13" s="16" t="s">
        <v>54</v>
      </c>
      <c r="D13" s="17" t="s">
        <v>69</v>
      </c>
      <c r="E13" s="17" t="s">
        <v>96</v>
      </c>
      <c r="F13" s="18">
        <v>4.6500000000000004</v>
      </c>
      <c r="G13" s="19">
        <v>10.3</v>
      </c>
      <c r="H13" s="18">
        <f>38+40+26+40</f>
        <v>144</v>
      </c>
      <c r="I13" s="20">
        <v>6.8970000000000002</v>
      </c>
      <c r="J13" s="21"/>
      <c r="K13" s="92">
        <f>+I19+I25+I27+I29+I31+I33</f>
        <v>32.026000000000003</v>
      </c>
      <c r="L13" s="92" t="s">
        <v>106</v>
      </c>
      <c r="N13" s="18">
        <v>144</v>
      </c>
      <c r="O13" s="20">
        <v>6.8968800000000012</v>
      </c>
      <c r="P13" s="22"/>
    </row>
    <row r="14" spans="1:16" ht="23.25" customHeight="1">
      <c r="A14" s="14"/>
      <c r="B14" s="15"/>
      <c r="C14" s="16"/>
      <c r="D14" s="17"/>
      <c r="E14" s="17"/>
      <c r="F14" s="18">
        <v>4.6500000000000004</v>
      </c>
      <c r="G14" s="19">
        <v>11</v>
      </c>
      <c r="H14" s="18">
        <v>118</v>
      </c>
      <c r="I14" s="20">
        <v>6.0359999999999996</v>
      </c>
      <c r="J14" s="21"/>
      <c r="K14" s="93"/>
      <c r="L14" s="93"/>
      <c r="N14" s="18">
        <v>118</v>
      </c>
      <c r="O14" s="20">
        <v>6.0357000000000003</v>
      </c>
      <c r="P14" s="22"/>
    </row>
    <row r="15" spans="1:16" ht="23.25" customHeight="1">
      <c r="A15" s="14"/>
      <c r="B15" s="15"/>
      <c r="C15" s="16"/>
      <c r="D15" s="17"/>
      <c r="E15" s="17"/>
      <c r="F15" s="18">
        <v>4.6500000000000004</v>
      </c>
      <c r="G15" s="19">
        <v>12</v>
      </c>
      <c r="H15" s="18">
        <f>38+40</f>
        <v>78</v>
      </c>
      <c r="I15" s="20">
        <v>4.3520000000000003</v>
      </c>
      <c r="J15" s="21"/>
      <c r="K15" s="93"/>
      <c r="L15" s="93"/>
      <c r="N15" s="18">
        <v>78</v>
      </c>
      <c r="O15" s="20">
        <v>4.3524000000000003</v>
      </c>
      <c r="P15" s="22"/>
    </row>
    <row r="16" spans="1:16" ht="23.25" customHeight="1">
      <c r="A16" s="14"/>
      <c r="B16" s="15"/>
      <c r="C16" s="16"/>
      <c r="D16" s="17"/>
      <c r="E16" s="17"/>
      <c r="F16" s="18">
        <v>4.6500000000000004</v>
      </c>
      <c r="G16" s="19">
        <v>10</v>
      </c>
      <c r="H16" s="18">
        <v>16</v>
      </c>
      <c r="I16" s="20">
        <v>0.74399999999999999</v>
      </c>
      <c r="J16" s="21"/>
      <c r="K16" s="93"/>
      <c r="L16" s="93"/>
      <c r="N16" s="18">
        <v>16</v>
      </c>
      <c r="O16" s="20">
        <v>0.74399999999999999</v>
      </c>
      <c r="P16" s="22"/>
    </row>
    <row r="17" spans="1:16" ht="23.25" customHeight="1">
      <c r="A17" s="14"/>
      <c r="B17" s="15"/>
      <c r="C17" s="16"/>
      <c r="D17" s="17"/>
      <c r="E17" s="17"/>
      <c r="F17" s="18">
        <v>4.6500000000000004</v>
      </c>
      <c r="G17" s="19">
        <v>10.5</v>
      </c>
      <c r="H17" s="18">
        <v>5</v>
      </c>
      <c r="I17" s="20">
        <v>0.24399999999999999</v>
      </c>
      <c r="J17" s="21"/>
      <c r="K17" s="93"/>
      <c r="L17" s="93"/>
      <c r="N17" s="18">
        <v>5</v>
      </c>
      <c r="O17" s="20">
        <v>0.24412500000000001</v>
      </c>
      <c r="P17" s="22"/>
    </row>
    <row r="18" spans="1:16" ht="23.25" customHeight="1">
      <c r="A18" s="14"/>
      <c r="B18" s="15"/>
      <c r="C18" s="16"/>
      <c r="D18" s="17"/>
      <c r="E18" s="17"/>
      <c r="F18" s="18">
        <v>4.6500000000000004</v>
      </c>
      <c r="G18" s="19">
        <v>11.5</v>
      </c>
      <c r="H18" s="18">
        <v>17</v>
      </c>
      <c r="I18" s="20">
        <v>0.90900000000000003</v>
      </c>
      <c r="J18" s="21"/>
      <c r="K18" s="93"/>
      <c r="L18" s="93"/>
      <c r="N18" s="18">
        <v>17</v>
      </c>
      <c r="O18" s="20">
        <v>0.90907500000000008</v>
      </c>
      <c r="P18" s="22"/>
    </row>
    <row r="19" spans="1:16" ht="23.25" customHeight="1">
      <c r="A19" s="14"/>
      <c r="B19" s="15"/>
      <c r="C19" s="16"/>
      <c r="D19" s="17"/>
      <c r="E19" s="17"/>
      <c r="F19" s="18"/>
      <c r="G19" s="19"/>
      <c r="H19" s="23">
        <f>SUM(H13:H18)</f>
        <v>378</v>
      </c>
      <c r="I19" s="24">
        <f>SUM(I13:I18)</f>
        <v>19.181999999999999</v>
      </c>
      <c r="J19" s="21"/>
      <c r="K19" s="93"/>
      <c r="L19" s="93"/>
      <c r="N19" s="23">
        <v>378</v>
      </c>
      <c r="O19" s="24">
        <v>19.182180000000002</v>
      </c>
      <c r="P19" s="22"/>
    </row>
    <row r="20" spans="1:16" ht="23.25" customHeight="1">
      <c r="A20" s="14">
        <v>2</v>
      </c>
      <c r="B20" s="15" t="s">
        <v>79</v>
      </c>
      <c r="C20" s="16" t="s">
        <v>54</v>
      </c>
      <c r="D20" s="17" t="s">
        <v>69</v>
      </c>
      <c r="E20" s="17" t="s">
        <v>99</v>
      </c>
      <c r="F20" s="18">
        <v>14.7</v>
      </c>
      <c r="G20" s="19">
        <v>10.3</v>
      </c>
      <c r="H20" s="18">
        <v>15</v>
      </c>
      <c r="I20" s="20">
        <v>2.2709999999999999</v>
      </c>
      <c r="J20" s="21"/>
      <c r="K20" s="93"/>
      <c r="L20" s="93"/>
      <c r="N20" s="18">
        <v>15</v>
      </c>
      <c r="O20" s="20">
        <v>2.27115</v>
      </c>
      <c r="P20" s="22"/>
    </row>
    <row r="21" spans="1:16" ht="23.25" customHeight="1">
      <c r="A21" s="14"/>
      <c r="B21" s="15"/>
      <c r="C21" s="16"/>
      <c r="D21" s="17"/>
      <c r="E21" s="17"/>
      <c r="F21" s="18">
        <v>14.7</v>
      </c>
      <c r="G21" s="19">
        <v>9</v>
      </c>
      <c r="H21" s="18">
        <v>10</v>
      </c>
      <c r="I21" s="20">
        <v>1.323</v>
      </c>
      <c r="J21" s="21"/>
      <c r="K21" s="93"/>
      <c r="L21" s="93"/>
      <c r="N21" s="18">
        <v>10</v>
      </c>
      <c r="O21" s="20">
        <v>1.3229999999999997</v>
      </c>
      <c r="P21" s="22"/>
    </row>
    <row r="22" spans="1:16" ht="23.25" customHeight="1">
      <c r="A22" s="14"/>
      <c r="B22" s="15"/>
      <c r="C22" s="16"/>
      <c r="D22" s="17"/>
      <c r="E22" s="17"/>
      <c r="F22" s="18">
        <v>14.7</v>
      </c>
      <c r="G22" s="19">
        <v>11</v>
      </c>
      <c r="H22" s="18">
        <v>13</v>
      </c>
      <c r="I22" s="20">
        <v>2.1019999999999999</v>
      </c>
      <c r="J22" s="21"/>
      <c r="K22" s="93"/>
      <c r="L22" s="93"/>
      <c r="N22" s="18">
        <v>13</v>
      </c>
      <c r="O22" s="20">
        <v>2.1021000000000001</v>
      </c>
      <c r="P22" s="22"/>
    </row>
    <row r="23" spans="1:16" ht="23.25" customHeight="1">
      <c r="A23" s="14"/>
      <c r="B23" s="15"/>
      <c r="C23" s="16"/>
      <c r="D23" s="17"/>
      <c r="E23" s="17"/>
      <c r="F23" s="18">
        <v>14.7</v>
      </c>
      <c r="G23" s="19">
        <v>11.7</v>
      </c>
      <c r="H23" s="18">
        <v>6</v>
      </c>
      <c r="I23" s="20">
        <v>1.032</v>
      </c>
      <c r="J23" s="21"/>
      <c r="K23" s="93"/>
      <c r="L23" s="93"/>
      <c r="N23" s="18">
        <v>6</v>
      </c>
      <c r="O23" s="20">
        <v>1.0319399999999999</v>
      </c>
      <c r="P23" s="22"/>
    </row>
    <row r="24" spans="1:16" ht="23.25" customHeight="1">
      <c r="A24" s="14"/>
      <c r="B24" s="15"/>
      <c r="C24" s="16"/>
      <c r="D24" s="17"/>
      <c r="E24" s="17"/>
      <c r="F24" s="18">
        <v>14.7</v>
      </c>
      <c r="G24" s="19">
        <v>9.3000000000000007</v>
      </c>
      <c r="H24" s="18">
        <f>15+18</f>
        <v>33</v>
      </c>
      <c r="I24" s="20">
        <v>4.5110000000000001</v>
      </c>
      <c r="J24" s="21"/>
      <c r="K24" s="93"/>
      <c r="L24" s="93"/>
      <c r="N24" s="18">
        <v>33</v>
      </c>
      <c r="O24" s="20">
        <v>4.5114300000000007</v>
      </c>
      <c r="P24" s="22"/>
    </row>
    <row r="25" spans="1:16" ht="23.25" customHeight="1">
      <c r="A25" s="14"/>
      <c r="B25" s="15"/>
      <c r="C25" s="16"/>
      <c r="D25" s="17"/>
      <c r="E25" s="17"/>
      <c r="F25" s="18"/>
      <c r="G25" s="19"/>
      <c r="H25" s="23">
        <f>SUM(H20:H24)</f>
        <v>77</v>
      </c>
      <c r="I25" s="24">
        <v>11.239000000000001</v>
      </c>
      <c r="J25" s="21"/>
      <c r="K25" s="93"/>
      <c r="L25" s="93"/>
      <c r="N25" s="23">
        <v>77</v>
      </c>
      <c r="O25" s="24">
        <v>11.23962</v>
      </c>
      <c r="P25" s="22"/>
    </row>
    <row r="26" spans="1:16" ht="23.25" customHeight="1">
      <c r="A26" s="14">
        <v>3</v>
      </c>
      <c r="B26" s="15" t="s">
        <v>78</v>
      </c>
      <c r="C26" s="16" t="s">
        <v>21</v>
      </c>
      <c r="D26" s="17" t="s">
        <v>22</v>
      </c>
      <c r="E26" s="17" t="s">
        <v>97</v>
      </c>
      <c r="F26" s="18">
        <v>23.45</v>
      </c>
      <c r="G26" s="19">
        <v>7</v>
      </c>
      <c r="H26" s="18">
        <v>1</v>
      </c>
      <c r="I26" s="20">
        <v>0.16400000000000001</v>
      </c>
      <c r="J26" s="21"/>
      <c r="K26" s="93"/>
      <c r="L26" s="93"/>
      <c r="N26" s="18">
        <v>1</v>
      </c>
      <c r="O26" s="20">
        <v>0.16415000000000002</v>
      </c>
      <c r="P26" s="22"/>
    </row>
    <row r="27" spans="1:16" ht="23.25" customHeight="1">
      <c r="A27" s="14"/>
      <c r="B27" s="15"/>
      <c r="C27" s="16"/>
      <c r="D27" s="17"/>
      <c r="E27" s="17"/>
      <c r="F27" s="18"/>
      <c r="G27" s="19"/>
      <c r="H27" s="23">
        <f t="shared" ref="H27" si="0">SUM(H26)</f>
        <v>1</v>
      </c>
      <c r="I27" s="24">
        <f>SUM(I26)</f>
        <v>0.16400000000000001</v>
      </c>
      <c r="J27" s="21"/>
      <c r="K27" s="93"/>
      <c r="L27" s="93"/>
      <c r="N27" s="23">
        <v>1</v>
      </c>
      <c r="O27" s="24">
        <v>0.16415000000000002</v>
      </c>
      <c r="P27" s="22"/>
    </row>
    <row r="28" spans="1:16" ht="23.25" customHeight="1">
      <c r="A28" s="14">
        <v>4</v>
      </c>
      <c r="B28" s="15" t="s">
        <v>78</v>
      </c>
      <c r="C28" s="16" t="s">
        <v>21</v>
      </c>
      <c r="D28" s="17" t="s">
        <v>22</v>
      </c>
      <c r="E28" s="17" t="s">
        <v>98</v>
      </c>
      <c r="F28" s="18">
        <v>9.61</v>
      </c>
      <c r="G28" s="19">
        <v>12</v>
      </c>
      <c r="H28" s="18">
        <v>1</v>
      </c>
      <c r="I28" s="20">
        <v>0.115</v>
      </c>
      <c r="J28" s="21"/>
      <c r="K28" s="93"/>
      <c r="L28" s="93"/>
      <c r="N28" s="18">
        <v>1</v>
      </c>
      <c r="O28" s="20">
        <v>0.11531999999999999</v>
      </c>
      <c r="P28" s="22"/>
    </row>
    <row r="29" spans="1:16" ht="23.25" customHeight="1">
      <c r="A29" s="14"/>
      <c r="B29" s="15"/>
      <c r="C29" s="16"/>
      <c r="D29" s="17"/>
      <c r="E29" s="17"/>
      <c r="F29" s="18"/>
      <c r="G29" s="19"/>
      <c r="H29" s="23">
        <f t="shared" ref="H29" si="1">SUM(H28)</f>
        <v>1</v>
      </c>
      <c r="I29" s="24">
        <f t="shared" ref="I29" si="2">SUM(I28)</f>
        <v>0.115</v>
      </c>
      <c r="J29" s="21"/>
      <c r="K29" s="93"/>
      <c r="L29" s="93"/>
      <c r="N29" s="23">
        <v>1</v>
      </c>
      <c r="O29" s="24">
        <v>0.11531999999999999</v>
      </c>
      <c r="P29" s="22"/>
    </row>
    <row r="30" spans="1:16" ht="23.25" customHeight="1">
      <c r="A30" s="14">
        <v>5</v>
      </c>
      <c r="B30" s="15" t="s">
        <v>78</v>
      </c>
      <c r="C30" s="16" t="s">
        <v>21</v>
      </c>
      <c r="D30" s="17" t="s">
        <v>22</v>
      </c>
      <c r="E30" s="17" t="s">
        <v>100</v>
      </c>
      <c r="F30" s="18">
        <v>6.86</v>
      </c>
      <c r="G30" s="19">
        <v>12</v>
      </c>
      <c r="H30" s="18">
        <v>14</v>
      </c>
      <c r="I30" s="20">
        <v>1.1519999999999999</v>
      </c>
      <c r="J30" s="21"/>
      <c r="K30" s="93"/>
      <c r="L30" s="93"/>
      <c r="N30" s="18">
        <v>14</v>
      </c>
      <c r="O30" s="20">
        <v>1.1524799999999999</v>
      </c>
      <c r="P30" s="22"/>
    </row>
    <row r="31" spans="1:16" ht="23.25" customHeight="1">
      <c r="A31" s="14"/>
      <c r="B31" s="15"/>
      <c r="C31" s="16"/>
      <c r="D31" s="17"/>
      <c r="E31" s="17"/>
      <c r="F31" s="18"/>
      <c r="G31" s="19"/>
      <c r="H31" s="23">
        <f t="shared" ref="H31" si="3">SUM(H30)</f>
        <v>14</v>
      </c>
      <c r="I31" s="24">
        <f t="shared" ref="I31" si="4">SUM(I30)</f>
        <v>1.1519999999999999</v>
      </c>
      <c r="J31" s="21"/>
      <c r="K31" s="93"/>
      <c r="L31" s="93"/>
      <c r="N31" s="23">
        <v>14</v>
      </c>
      <c r="O31" s="24">
        <v>1.1524799999999999</v>
      </c>
      <c r="P31" s="22"/>
    </row>
    <row r="32" spans="1:16" ht="23.25" customHeight="1">
      <c r="A32" s="14">
        <v>6</v>
      </c>
      <c r="B32" s="15" t="s">
        <v>78</v>
      </c>
      <c r="C32" s="16" t="s">
        <v>21</v>
      </c>
      <c r="D32" s="17" t="s">
        <v>22</v>
      </c>
      <c r="E32" s="17" t="s">
        <v>101</v>
      </c>
      <c r="F32" s="18">
        <v>16.579999999999998</v>
      </c>
      <c r="G32" s="19">
        <v>10.5</v>
      </c>
      <c r="H32" s="18">
        <v>1</v>
      </c>
      <c r="I32" s="20">
        <v>0.17399999999999999</v>
      </c>
      <c r="J32" s="21"/>
      <c r="K32" s="93"/>
      <c r="L32" s="93"/>
      <c r="N32" s="18">
        <v>1</v>
      </c>
      <c r="O32" s="20">
        <v>0.17408999999999997</v>
      </c>
      <c r="P32" s="22"/>
    </row>
    <row r="33" spans="1:16" ht="23.25" customHeight="1">
      <c r="A33" s="14"/>
      <c r="B33" s="15"/>
      <c r="C33" s="16"/>
      <c r="D33" s="17"/>
      <c r="E33" s="17"/>
      <c r="F33" s="18"/>
      <c r="G33" s="19"/>
      <c r="H33" s="23">
        <f t="shared" ref="H33" si="5">SUM(H32)</f>
        <v>1</v>
      </c>
      <c r="I33" s="24">
        <f t="shared" ref="I33" si="6">SUM(I32)</f>
        <v>0.17399999999999999</v>
      </c>
      <c r="J33" s="21"/>
      <c r="K33" s="93"/>
      <c r="L33" s="93"/>
      <c r="N33" s="23">
        <v>1</v>
      </c>
      <c r="O33" s="24">
        <v>0.17408999999999997</v>
      </c>
      <c r="P33" s="22"/>
    </row>
    <row r="34" spans="1:16" ht="23.25" customHeight="1">
      <c r="A34" s="14"/>
      <c r="B34" s="15"/>
      <c r="C34" s="16"/>
      <c r="D34" s="17"/>
      <c r="E34" s="17"/>
      <c r="F34" s="18"/>
      <c r="G34" s="19"/>
      <c r="H34" s="23">
        <f t="shared" ref="H34:I34" si="7">SUM(H33,H31,H29,H27,H25,H19)</f>
        <v>472</v>
      </c>
      <c r="I34" s="24">
        <f t="shared" si="7"/>
        <v>32.025999999999996</v>
      </c>
      <c r="J34" s="21"/>
      <c r="K34" s="62"/>
      <c r="L34" s="62"/>
      <c r="N34" s="23">
        <v>472</v>
      </c>
      <c r="O34" s="24">
        <v>32.027840000000005</v>
      </c>
      <c r="P34" s="22"/>
    </row>
    <row r="35" spans="1:16" ht="23.25" customHeight="1">
      <c r="A35" s="27"/>
      <c r="B35" s="58"/>
      <c r="C35" s="59"/>
      <c r="D35" s="60"/>
      <c r="E35" s="17"/>
      <c r="F35" s="18"/>
      <c r="G35" s="19"/>
      <c r="H35" s="23"/>
      <c r="I35" s="24"/>
      <c r="J35" s="21"/>
      <c r="K35" s="68"/>
      <c r="L35" s="70"/>
      <c r="N35" s="23"/>
      <c r="O35" s="24"/>
      <c r="P35" s="22"/>
    </row>
    <row r="36" spans="1:16" ht="23.25" customHeight="1">
      <c r="A36" s="27"/>
      <c r="B36" s="58"/>
      <c r="C36" s="59"/>
      <c r="D36" s="60"/>
      <c r="E36" s="17"/>
      <c r="F36" s="18"/>
      <c r="G36" s="19"/>
      <c r="H36" s="23"/>
      <c r="I36" s="24"/>
      <c r="J36" s="21"/>
      <c r="K36" s="68"/>
      <c r="L36" s="70"/>
      <c r="N36" s="23"/>
      <c r="O36" s="24"/>
      <c r="P36" s="22"/>
    </row>
    <row r="37" spans="1:16" ht="23.25" customHeight="1" thickBot="1">
      <c r="A37" s="30"/>
      <c r="B37" s="31"/>
      <c r="C37" s="31"/>
      <c r="D37" s="31"/>
      <c r="E37" s="32" t="s">
        <v>29</v>
      </c>
      <c r="F37" s="33"/>
      <c r="G37" s="26"/>
      <c r="H37" s="34">
        <f t="shared" ref="H37:I37" si="8">SUM(H34)</f>
        <v>472</v>
      </c>
      <c r="I37" s="26">
        <f t="shared" si="8"/>
        <v>32.025999999999996</v>
      </c>
      <c r="J37" s="26"/>
      <c r="K37" s="26">
        <f>+K13</f>
        <v>32.026000000000003</v>
      </c>
      <c r="L37" s="35"/>
      <c r="N37" s="34">
        <v>472</v>
      </c>
      <c r="O37" s="26">
        <v>32.027840000000005</v>
      </c>
      <c r="P37" s="22"/>
    </row>
    <row r="38" spans="1:16" ht="23.25">
      <c r="A38" s="36"/>
      <c r="B38" s="37" t="s">
        <v>30</v>
      </c>
      <c r="C38" s="38"/>
      <c r="D38" s="39" t="s">
        <v>31</v>
      </c>
      <c r="E38" s="40" t="s">
        <v>32</v>
      </c>
      <c r="F38" s="41"/>
      <c r="G38" s="42"/>
      <c r="H38" s="42"/>
      <c r="I38" s="43" t="s">
        <v>33</v>
      </c>
      <c r="J38" s="43"/>
      <c r="K38" s="44"/>
      <c r="L38" s="45"/>
      <c r="N38" s="22"/>
    </row>
    <row r="39" spans="1:16" ht="23.25">
      <c r="A39" s="46"/>
      <c r="B39" s="37"/>
      <c r="C39" s="47"/>
      <c r="D39" s="48"/>
      <c r="E39" s="48"/>
      <c r="F39" s="48" t="s">
        <v>34</v>
      </c>
      <c r="G39" s="48" t="s">
        <v>34</v>
      </c>
      <c r="H39" s="48"/>
      <c r="I39" s="48"/>
      <c r="J39" s="48"/>
      <c r="K39" s="48"/>
      <c r="L39" s="49"/>
    </row>
    <row r="40" spans="1:16" ht="23.25">
      <c r="A40" s="46"/>
      <c r="B40" s="37"/>
      <c r="C40" s="47"/>
      <c r="D40" s="48"/>
      <c r="E40" s="48"/>
      <c r="F40" s="48"/>
      <c r="G40" s="48"/>
      <c r="H40" s="48"/>
      <c r="I40" s="48"/>
      <c r="J40" s="48"/>
      <c r="K40" s="48"/>
      <c r="L40" s="49"/>
    </row>
    <row r="41" spans="1:16" ht="24" thickBot="1">
      <c r="A41" s="50"/>
      <c r="B41" s="51" t="s">
        <v>35</v>
      </c>
      <c r="C41" s="51"/>
      <c r="D41" s="51"/>
      <c r="E41" s="52" t="s">
        <v>36</v>
      </c>
      <c r="F41" s="53"/>
      <c r="G41" s="53"/>
      <c r="H41" s="54"/>
      <c r="I41" s="55" t="s">
        <v>37</v>
      </c>
      <c r="J41" s="55"/>
      <c r="K41" s="52"/>
      <c r="L41" s="56"/>
    </row>
    <row r="45" spans="1:16">
      <c r="H45" s="57"/>
      <c r="I45" s="22"/>
      <c r="J45" s="22"/>
    </row>
    <row r="46" spans="1:16">
      <c r="I46" s="22"/>
    </row>
    <row r="47" spans="1:16">
      <c r="H47" s="57"/>
    </row>
    <row r="50" spans="9:11" ht="22.5">
      <c r="I50" s="20">
        <f>F50*G50*H50/1000</f>
        <v>0</v>
      </c>
      <c r="J50" s="22"/>
      <c r="K50" s="22">
        <f>+I37+'[2]9844  29.12.23 BB '!I39+'[2]2190  29.12.23 JBP '!K31+'[2]0403  29.12.23 JBP (2)'!I23+'[2]0406  29.12.23 JBP'!I28</f>
        <v>161.05061999999998</v>
      </c>
    </row>
  </sheetData>
  <mergeCells count="5">
    <mergeCell ref="A1:L1"/>
    <mergeCell ref="A2:L2"/>
    <mergeCell ref="A4:L4"/>
    <mergeCell ref="K13:K33"/>
    <mergeCell ref="L13:L33"/>
  </mergeCells>
  <pageMargins left="0.24" right="0.2" top="0.44" bottom="0.35" header="0.3" footer="0.3"/>
  <pageSetup paperSize="9" scale="4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P46"/>
  <sheetViews>
    <sheetView topLeftCell="C19" zoomScale="75" zoomScaleNormal="75" workbookViewId="0">
      <selection activeCell="H21" sqref="H21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109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107</v>
      </c>
      <c r="K8" s="6" t="s">
        <v>110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108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102</v>
      </c>
      <c r="F13" s="18">
        <v>12.9</v>
      </c>
      <c r="G13" s="19">
        <v>10</v>
      </c>
      <c r="H13" s="18">
        <v>23</v>
      </c>
      <c r="I13" s="20">
        <v>2.9670000000000001</v>
      </c>
      <c r="J13" s="21"/>
      <c r="K13" s="92">
        <f>+I15</f>
        <v>5.452</v>
      </c>
      <c r="L13" s="92" t="s">
        <v>111</v>
      </c>
      <c r="N13" s="18">
        <v>23</v>
      </c>
      <c r="O13" s="20">
        <v>2.9670000000000001</v>
      </c>
      <c r="P13" s="22">
        <f>I13-O13</f>
        <v>0</v>
      </c>
    </row>
    <row r="14" spans="1:16" ht="23.25" customHeight="1">
      <c r="A14" s="14"/>
      <c r="B14" s="15"/>
      <c r="C14" s="16"/>
      <c r="D14" s="17"/>
      <c r="E14" s="17"/>
      <c r="F14" s="18">
        <v>12.9</v>
      </c>
      <c r="G14" s="19">
        <v>10.5</v>
      </c>
      <c r="H14" s="18">
        <v>18</v>
      </c>
      <c r="I14" s="20">
        <v>2.4849999999999999</v>
      </c>
      <c r="J14" s="21"/>
      <c r="K14" s="93"/>
      <c r="L14" s="93"/>
      <c r="N14" s="18">
        <v>46</v>
      </c>
      <c r="O14" s="20">
        <v>6.2307000000000006</v>
      </c>
      <c r="P14" s="22">
        <f t="shared" ref="P14:P29" si="0">I14-O14</f>
        <v>-3.7457000000000007</v>
      </c>
    </row>
    <row r="15" spans="1:16" ht="23.25" customHeight="1">
      <c r="A15" s="14"/>
      <c r="B15" s="15"/>
      <c r="C15" s="16"/>
      <c r="D15" s="17"/>
      <c r="E15" s="17"/>
      <c r="F15" s="18"/>
      <c r="G15" s="19"/>
      <c r="H15" s="23">
        <f>SUM(H13:H14)</f>
        <v>41</v>
      </c>
      <c r="I15" s="24">
        <f>SUM(I13:I14)</f>
        <v>5.452</v>
      </c>
      <c r="J15" s="21"/>
      <c r="K15" s="94"/>
      <c r="L15" s="94"/>
      <c r="N15" s="18"/>
      <c r="O15" s="20"/>
      <c r="P15" s="22"/>
    </row>
    <row r="16" spans="1:16" ht="23.25" customHeight="1">
      <c r="A16" s="14"/>
      <c r="B16" s="15"/>
      <c r="C16" s="16"/>
      <c r="D16" s="17"/>
      <c r="E16" s="17"/>
      <c r="F16" s="18">
        <v>12.9</v>
      </c>
      <c r="G16" s="19">
        <v>10.5</v>
      </c>
      <c r="H16" s="18">
        <f>24+22-18</f>
        <v>28</v>
      </c>
      <c r="I16" s="20">
        <f>6.231-2.485</f>
        <v>3.746</v>
      </c>
      <c r="J16" s="21"/>
      <c r="K16" s="92">
        <f>+I20+I23+I25+I27+I29</f>
        <v>27.786999999999999</v>
      </c>
      <c r="L16" s="92" t="s">
        <v>112</v>
      </c>
      <c r="N16" s="18"/>
      <c r="O16" s="20"/>
      <c r="P16" s="22"/>
    </row>
    <row r="17" spans="1:16" ht="23.25" customHeight="1">
      <c r="A17" s="14"/>
      <c r="B17" s="15"/>
      <c r="C17" s="16"/>
      <c r="D17" s="17"/>
      <c r="E17" s="17"/>
      <c r="F17" s="18">
        <v>12.9</v>
      </c>
      <c r="G17" s="19">
        <v>11</v>
      </c>
      <c r="H17" s="18">
        <v>20</v>
      </c>
      <c r="I17" s="20">
        <v>2.8380000000000001</v>
      </c>
      <c r="J17" s="21"/>
      <c r="K17" s="93"/>
      <c r="L17" s="93"/>
      <c r="N17" s="18">
        <v>20</v>
      </c>
      <c r="O17" s="20">
        <v>2.8380000000000001</v>
      </c>
      <c r="P17" s="22">
        <f t="shared" si="0"/>
        <v>0</v>
      </c>
    </row>
    <row r="18" spans="1:16" ht="23.25" customHeight="1">
      <c r="A18" s="14"/>
      <c r="B18" s="15"/>
      <c r="C18" s="16"/>
      <c r="D18" s="17"/>
      <c r="E18" s="17"/>
      <c r="F18" s="18">
        <v>12.9</v>
      </c>
      <c r="G18" s="19">
        <v>11.5</v>
      </c>
      <c r="H18" s="18">
        <f>21+2</f>
        <v>23</v>
      </c>
      <c r="I18" s="20">
        <v>3.4119999999999999</v>
      </c>
      <c r="J18" s="21"/>
      <c r="K18" s="93"/>
      <c r="L18" s="93"/>
      <c r="N18" s="18">
        <v>23</v>
      </c>
      <c r="O18" s="20">
        <v>3.4120499999999998</v>
      </c>
      <c r="P18" s="22">
        <f t="shared" si="0"/>
        <v>-4.9999999999883471E-5</v>
      </c>
    </row>
    <row r="19" spans="1:16" ht="23.25" customHeight="1">
      <c r="A19" s="14"/>
      <c r="B19" s="15"/>
      <c r="C19" s="16"/>
      <c r="D19" s="17"/>
      <c r="E19" s="17"/>
      <c r="F19" s="18">
        <v>12.9</v>
      </c>
      <c r="G19" s="19">
        <v>12</v>
      </c>
      <c r="H19" s="18">
        <f>18+23+3</f>
        <v>44</v>
      </c>
      <c r="I19" s="20">
        <v>6.8109999999999999</v>
      </c>
      <c r="J19" s="21"/>
      <c r="K19" s="93"/>
      <c r="L19" s="93"/>
      <c r="N19" s="18">
        <v>44</v>
      </c>
      <c r="O19" s="20">
        <v>6.8112000000000004</v>
      </c>
      <c r="P19" s="22">
        <f t="shared" si="0"/>
        <v>-2.0000000000042206E-4</v>
      </c>
    </row>
    <row r="20" spans="1:16" ht="23.25" customHeight="1">
      <c r="A20" s="14"/>
      <c r="B20" s="15"/>
      <c r="C20" s="16"/>
      <c r="D20" s="17"/>
      <c r="E20" s="17"/>
      <c r="F20" s="18"/>
      <c r="G20" s="19"/>
      <c r="H20" s="23">
        <f t="shared" ref="H20:I20" si="1">SUM(H16:H19)</f>
        <v>115</v>
      </c>
      <c r="I20" s="24">
        <f t="shared" si="1"/>
        <v>16.806999999999999</v>
      </c>
      <c r="J20" s="21"/>
      <c r="K20" s="93"/>
      <c r="L20" s="93"/>
      <c r="N20" s="23">
        <v>156</v>
      </c>
      <c r="O20" s="24">
        <v>22.258950000000002</v>
      </c>
      <c r="P20" s="22">
        <f t="shared" si="0"/>
        <v>-5.4519500000000036</v>
      </c>
    </row>
    <row r="21" spans="1:16" ht="23.25" customHeight="1">
      <c r="A21" s="14">
        <v>2</v>
      </c>
      <c r="B21" s="15" t="s">
        <v>24</v>
      </c>
      <c r="C21" s="16" t="s">
        <v>25</v>
      </c>
      <c r="D21" s="17" t="s">
        <v>26</v>
      </c>
      <c r="E21" s="17" t="s">
        <v>27</v>
      </c>
      <c r="F21" s="18">
        <v>9.26</v>
      </c>
      <c r="G21" s="19">
        <v>6.25</v>
      </c>
      <c r="H21" s="18">
        <f>23+2</f>
        <v>25</v>
      </c>
      <c r="I21" s="20">
        <v>1.4470000000000001</v>
      </c>
      <c r="J21" s="21"/>
      <c r="K21" s="93"/>
      <c r="L21" s="93"/>
      <c r="N21" s="18">
        <v>23</v>
      </c>
      <c r="O21" s="20">
        <v>1.3311249999999999</v>
      </c>
      <c r="P21" s="22">
        <f t="shared" si="0"/>
        <v>0.11587500000000017</v>
      </c>
    </row>
    <row r="22" spans="1:16" ht="23.25" customHeight="1">
      <c r="A22" s="14"/>
      <c r="B22" s="15"/>
      <c r="C22" s="16"/>
      <c r="D22" s="17"/>
      <c r="E22" s="17"/>
      <c r="F22" s="18">
        <v>9.26</v>
      </c>
      <c r="G22" s="19">
        <v>10</v>
      </c>
      <c r="H22" s="18">
        <f>30+23</f>
        <v>53</v>
      </c>
      <c r="I22" s="20">
        <v>4.9080000000000004</v>
      </c>
      <c r="J22" s="21"/>
      <c r="K22" s="93"/>
      <c r="L22" s="93"/>
      <c r="N22" s="18">
        <v>53</v>
      </c>
      <c r="O22" s="20">
        <v>4.9077999999999991</v>
      </c>
      <c r="P22" s="22">
        <f t="shared" si="0"/>
        <v>2.0000000000131024E-4</v>
      </c>
    </row>
    <row r="23" spans="1:16" ht="23.25" customHeight="1">
      <c r="A23" s="14"/>
      <c r="B23" s="15"/>
      <c r="C23" s="16"/>
      <c r="D23" s="17"/>
      <c r="E23" s="17"/>
      <c r="F23" s="18"/>
      <c r="G23" s="19"/>
      <c r="H23" s="23">
        <f t="shared" ref="H23" si="2">SUM(H21:H22)</f>
        <v>78</v>
      </c>
      <c r="I23" s="24">
        <f>SUM(I21:I22)</f>
        <v>6.3550000000000004</v>
      </c>
      <c r="J23" s="21"/>
      <c r="K23" s="93"/>
      <c r="L23" s="93"/>
      <c r="N23" s="23">
        <v>76</v>
      </c>
      <c r="O23" s="24">
        <v>6.2389249999999992</v>
      </c>
      <c r="P23" s="22">
        <f t="shared" si="0"/>
        <v>0.11607500000000126</v>
      </c>
    </row>
    <row r="24" spans="1:16" ht="23.25" customHeight="1">
      <c r="A24" s="14">
        <v>3</v>
      </c>
      <c r="B24" s="15" t="s">
        <v>103</v>
      </c>
      <c r="C24" s="16" t="s">
        <v>21</v>
      </c>
      <c r="D24" s="17" t="s">
        <v>22</v>
      </c>
      <c r="E24" s="17" t="s">
        <v>23</v>
      </c>
      <c r="F24" s="18">
        <v>10.92</v>
      </c>
      <c r="G24" s="19">
        <v>10.5</v>
      </c>
      <c r="H24" s="18">
        <v>16</v>
      </c>
      <c r="I24" s="20">
        <v>1.835</v>
      </c>
      <c r="J24" s="21"/>
      <c r="K24" s="93"/>
      <c r="L24" s="93"/>
      <c r="N24" s="18">
        <v>16</v>
      </c>
      <c r="O24" s="20">
        <v>1.83456</v>
      </c>
      <c r="P24" s="22">
        <f t="shared" si="0"/>
        <v>4.3999999999999595E-4</v>
      </c>
    </row>
    <row r="25" spans="1:16" ht="23.25" customHeight="1">
      <c r="A25" s="14"/>
      <c r="B25" s="15"/>
      <c r="C25" s="16"/>
      <c r="D25" s="17"/>
      <c r="E25" s="17"/>
      <c r="F25" s="18"/>
      <c r="G25" s="19"/>
      <c r="H25" s="23">
        <f t="shared" ref="H25" si="3">SUM(H24)</f>
        <v>16</v>
      </c>
      <c r="I25" s="24">
        <f>SUM(I24)</f>
        <v>1.835</v>
      </c>
      <c r="J25" s="21"/>
      <c r="K25" s="93"/>
      <c r="L25" s="93"/>
      <c r="N25" s="23">
        <v>16</v>
      </c>
      <c r="O25" s="24">
        <v>1.83456</v>
      </c>
      <c r="P25" s="22">
        <f t="shared" si="0"/>
        <v>4.3999999999999595E-4</v>
      </c>
    </row>
    <row r="26" spans="1:16" ht="23.25" customHeight="1">
      <c r="A26" s="14">
        <v>4</v>
      </c>
      <c r="B26" s="15" t="s">
        <v>103</v>
      </c>
      <c r="C26" s="16" t="s">
        <v>21</v>
      </c>
      <c r="D26" s="17" t="s">
        <v>22</v>
      </c>
      <c r="E26" s="17" t="s">
        <v>104</v>
      </c>
      <c r="F26" s="18">
        <v>12.18</v>
      </c>
      <c r="G26" s="19">
        <v>11.8</v>
      </c>
      <c r="H26" s="18">
        <v>8</v>
      </c>
      <c r="I26" s="20">
        <v>1.1499999999999999</v>
      </c>
      <c r="J26" s="21"/>
      <c r="K26" s="93"/>
      <c r="L26" s="93"/>
      <c r="N26" s="18">
        <v>8</v>
      </c>
      <c r="O26" s="20">
        <v>1.1497920000000001</v>
      </c>
      <c r="P26" s="22">
        <f t="shared" si="0"/>
        <v>2.0799999999976393E-4</v>
      </c>
    </row>
    <row r="27" spans="1:16" ht="23.25" customHeight="1">
      <c r="A27" s="14"/>
      <c r="B27" s="15"/>
      <c r="C27" s="16"/>
      <c r="D27" s="17"/>
      <c r="E27" s="17"/>
      <c r="F27" s="18"/>
      <c r="G27" s="19"/>
      <c r="H27" s="23">
        <f t="shared" ref="H27" si="4">SUM(H26)</f>
        <v>8</v>
      </c>
      <c r="I27" s="24">
        <f>SUM(I26)</f>
        <v>1.1499999999999999</v>
      </c>
      <c r="J27" s="21"/>
      <c r="K27" s="93"/>
      <c r="L27" s="93"/>
      <c r="N27" s="23">
        <v>8</v>
      </c>
      <c r="O27" s="24">
        <v>1.1497920000000001</v>
      </c>
      <c r="P27" s="22">
        <f t="shared" si="0"/>
        <v>2.0799999999976393E-4</v>
      </c>
    </row>
    <row r="28" spans="1:16" ht="23.25" customHeight="1">
      <c r="A28" s="14">
        <v>5</v>
      </c>
      <c r="B28" s="15" t="s">
        <v>105</v>
      </c>
      <c r="C28" s="16" t="s">
        <v>21</v>
      </c>
      <c r="D28" s="17" t="s">
        <v>22</v>
      </c>
      <c r="E28" s="17" t="s">
        <v>82</v>
      </c>
      <c r="F28" s="18">
        <v>17.829999999999998</v>
      </c>
      <c r="G28" s="19">
        <v>11.5</v>
      </c>
      <c r="H28" s="18">
        <v>8</v>
      </c>
      <c r="I28" s="20">
        <v>1.64</v>
      </c>
      <c r="J28" s="21"/>
      <c r="K28" s="93"/>
      <c r="L28" s="93"/>
      <c r="N28" s="18">
        <v>8</v>
      </c>
      <c r="O28" s="20">
        <v>1.6403599999999998</v>
      </c>
      <c r="P28" s="22">
        <f t="shared" si="0"/>
        <v>-3.5999999999991594E-4</v>
      </c>
    </row>
    <row r="29" spans="1:16" ht="23.25" customHeight="1">
      <c r="A29" s="14"/>
      <c r="B29" s="15"/>
      <c r="C29" s="16"/>
      <c r="D29" s="17"/>
      <c r="E29" s="17"/>
      <c r="F29" s="18"/>
      <c r="G29" s="19"/>
      <c r="H29" s="23">
        <f t="shared" ref="H29" si="5">SUM(H28)</f>
        <v>8</v>
      </c>
      <c r="I29" s="24">
        <f>SUM(I28)</f>
        <v>1.64</v>
      </c>
      <c r="J29" s="21"/>
      <c r="K29" s="94"/>
      <c r="L29" s="94"/>
      <c r="N29" s="23">
        <v>8</v>
      </c>
      <c r="O29" s="24">
        <v>1.6403599999999998</v>
      </c>
      <c r="P29" s="22">
        <f t="shared" si="0"/>
        <v>-3.5999999999991594E-4</v>
      </c>
    </row>
    <row r="30" spans="1:16" ht="23.25" customHeight="1">
      <c r="A30" s="27"/>
      <c r="B30" s="28"/>
      <c r="C30" s="28"/>
      <c r="D30" s="28"/>
      <c r="E30" s="21"/>
      <c r="F30" s="18"/>
      <c r="G30" s="19"/>
      <c r="H30" s="23">
        <f t="shared" ref="H30:I30" si="6">SUM(H29,H27,H25,H23,H20,H15)</f>
        <v>266</v>
      </c>
      <c r="I30" s="24">
        <f t="shared" si="6"/>
        <v>33.238999999999997</v>
      </c>
      <c r="J30" s="21"/>
      <c r="K30" s="72"/>
      <c r="L30" s="71"/>
      <c r="N30" s="23"/>
      <c r="O30" s="24"/>
      <c r="P30" s="22"/>
    </row>
    <row r="31" spans="1:16" ht="23.25" customHeight="1">
      <c r="A31" s="27"/>
      <c r="B31" s="28"/>
      <c r="C31" s="28"/>
      <c r="D31" s="28"/>
      <c r="E31" s="21"/>
      <c r="F31" s="18"/>
      <c r="G31" s="19"/>
      <c r="H31" s="25"/>
      <c r="I31" s="26"/>
      <c r="J31" s="21"/>
      <c r="K31" s="21"/>
      <c r="L31" s="21"/>
      <c r="N31" s="25">
        <v>264</v>
      </c>
      <c r="O31" s="26">
        <v>33.122587000000003</v>
      </c>
      <c r="P31" s="22"/>
    </row>
    <row r="32" spans="1:16" ht="23.25" customHeight="1">
      <c r="A32" s="27"/>
      <c r="B32" s="28"/>
      <c r="C32" s="28"/>
      <c r="D32" s="28"/>
      <c r="E32" s="21"/>
      <c r="F32" s="18"/>
      <c r="G32" s="19"/>
      <c r="H32" s="25"/>
      <c r="I32" s="26"/>
      <c r="J32" s="21"/>
      <c r="K32" s="21"/>
      <c r="L32" s="29"/>
      <c r="N32" s="25"/>
      <c r="O32" s="26"/>
      <c r="P32" s="22"/>
    </row>
    <row r="33" spans="1:16" ht="23.25" customHeight="1" thickBot="1">
      <c r="A33" s="30"/>
      <c r="B33" s="31"/>
      <c r="C33" s="31"/>
      <c r="D33" s="31"/>
      <c r="E33" s="32" t="s">
        <v>29</v>
      </c>
      <c r="F33" s="33"/>
      <c r="G33" s="26"/>
      <c r="H33" s="34">
        <f>+H30</f>
        <v>266</v>
      </c>
      <c r="I33" s="26">
        <f>+I30</f>
        <v>33.238999999999997</v>
      </c>
      <c r="J33" s="26"/>
      <c r="K33" s="26">
        <f>+K16+K13</f>
        <v>33.238999999999997</v>
      </c>
      <c r="L33" s="35"/>
      <c r="N33" s="34">
        <v>264</v>
      </c>
      <c r="O33" s="26">
        <v>33.122587000000003</v>
      </c>
      <c r="P33" s="22"/>
    </row>
    <row r="34" spans="1:16" ht="23.25">
      <c r="A34" s="36"/>
      <c r="B34" s="37" t="s">
        <v>30</v>
      </c>
      <c r="C34" s="38"/>
      <c r="D34" s="39" t="s">
        <v>31</v>
      </c>
      <c r="E34" s="40" t="s">
        <v>32</v>
      </c>
      <c r="F34" s="41"/>
      <c r="G34" s="42"/>
      <c r="H34" s="42"/>
      <c r="I34" s="43" t="s">
        <v>33</v>
      </c>
      <c r="J34" s="43"/>
      <c r="K34" s="44"/>
      <c r="L34" s="45"/>
      <c r="N34" s="22"/>
    </row>
    <row r="35" spans="1:16" ht="23.25">
      <c r="A35" s="46"/>
      <c r="B35" s="37"/>
      <c r="C35" s="47"/>
      <c r="D35" s="48"/>
      <c r="E35" s="48"/>
      <c r="F35" s="48" t="s">
        <v>34</v>
      </c>
      <c r="G35" s="48" t="s">
        <v>34</v>
      </c>
      <c r="H35" s="48"/>
      <c r="I35" s="48"/>
      <c r="J35" s="48"/>
      <c r="K35" s="48"/>
      <c r="L35" s="49"/>
    </row>
    <row r="36" spans="1:16" ht="23.25">
      <c r="A36" s="46"/>
      <c r="B36" s="37"/>
      <c r="C36" s="47"/>
      <c r="D36" s="48"/>
      <c r="E36" s="48"/>
      <c r="F36" s="48"/>
      <c r="G36" s="48"/>
      <c r="H36" s="48"/>
      <c r="I36" s="48"/>
      <c r="J36" s="48"/>
      <c r="K36" s="48"/>
      <c r="L36" s="49"/>
    </row>
    <row r="37" spans="1:16" ht="24" thickBot="1">
      <c r="A37" s="50"/>
      <c r="B37" s="51" t="s">
        <v>35</v>
      </c>
      <c r="C37" s="51"/>
      <c r="D37" s="51"/>
      <c r="E37" s="52" t="s">
        <v>36</v>
      </c>
      <c r="F37" s="53"/>
      <c r="G37" s="53"/>
      <c r="H37" s="54"/>
      <c r="I37" s="55" t="s">
        <v>37</v>
      </c>
      <c r="J37" s="55"/>
      <c r="K37" s="52"/>
      <c r="L37" s="56"/>
    </row>
    <row r="41" spans="1:16">
      <c r="H41" s="57"/>
      <c r="I41" s="22"/>
      <c r="J41" s="22"/>
    </row>
    <row r="42" spans="1:16">
      <c r="I42" s="22"/>
    </row>
    <row r="43" spans="1:16">
      <c r="H43" s="57"/>
    </row>
    <row r="46" spans="1:16" ht="22.5">
      <c r="I46" s="20">
        <f>F46*G46*H46/1000</f>
        <v>0</v>
      </c>
      <c r="J46" s="22"/>
      <c r="K46" s="22">
        <f>+I33+'[2]9844  29.12.23 BB '!I39+'[2]2190  29.12.23 JBP '!K31+'[2]0403  29.12.23 JBP (2)'!I23+'[2]0406  29.12.23 JBP'!I28</f>
        <v>162.26362</v>
      </c>
    </row>
  </sheetData>
  <mergeCells count="7">
    <mergeCell ref="K13:K15"/>
    <mergeCell ref="L13:L15"/>
    <mergeCell ref="K16:K29"/>
    <mergeCell ref="L16:L29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A1:P42"/>
  <sheetViews>
    <sheetView zoomScale="75" zoomScaleNormal="75" workbookViewId="0">
      <selection activeCell="F37" sqref="F37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118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113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114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38</v>
      </c>
      <c r="F13" s="18">
        <v>13.4</v>
      </c>
      <c r="G13" s="19">
        <v>10</v>
      </c>
      <c r="H13" s="18">
        <v>10</v>
      </c>
      <c r="I13" s="20">
        <f>1.34-0.002</f>
        <v>1.3380000000000001</v>
      </c>
      <c r="J13" s="21"/>
      <c r="K13" s="92">
        <f>+I14</f>
        <v>1.3380000000000001</v>
      </c>
      <c r="L13" s="92" t="s">
        <v>115</v>
      </c>
      <c r="N13" s="18">
        <v>10</v>
      </c>
      <c r="O13" s="20">
        <v>1.34</v>
      </c>
      <c r="P13" s="22"/>
    </row>
    <row r="14" spans="1:16" ht="23.25" customHeight="1">
      <c r="A14" s="14"/>
      <c r="B14" s="15"/>
      <c r="C14" s="16"/>
      <c r="D14" s="17"/>
      <c r="E14" s="17"/>
      <c r="F14" s="18"/>
      <c r="G14" s="19"/>
      <c r="H14" s="23">
        <f>SUM(H13:H13)</f>
        <v>10</v>
      </c>
      <c r="I14" s="24">
        <f>SUM(I13:I13)</f>
        <v>1.3380000000000001</v>
      </c>
      <c r="J14" s="21"/>
      <c r="K14" s="94"/>
      <c r="L14" s="94"/>
      <c r="N14" s="18"/>
      <c r="O14" s="20"/>
      <c r="P14" s="22"/>
    </row>
    <row r="15" spans="1:16" ht="23.25" customHeight="1">
      <c r="A15" s="14"/>
      <c r="B15" s="15"/>
      <c r="C15" s="16"/>
      <c r="D15" s="17"/>
      <c r="E15" s="17"/>
      <c r="F15" s="18">
        <v>13.4</v>
      </c>
      <c r="G15" s="19">
        <v>10.5</v>
      </c>
      <c r="H15" s="18">
        <f>34</f>
        <v>34</v>
      </c>
      <c r="I15" s="20">
        <f>4.784+0.002</f>
        <v>4.7859999999999996</v>
      </c>
      <c r="J15" s="21"/>
      <c r="K15" s="92">
        <f>+I18+I23</f>
        <v>30.084000000000003</v>
      </c>
      <c r="L15" s="92" t="s">
        <v>116</v>
      </c>
      <c r="N15" s="18"/>
      <c r="O15" s="20"/>
      <c r="P15" s="22"/>
    </row>
    <row r="16" spans="1:16" ht="23.25" customHeight="1">
      <c r="A16" s="14"/>
      <c r="B16" s="15"/>
      <c r="C16" s="16"/>
      <c r="D16" s="17"/>
      <c r="E16" s="17"/>
      <c r="F16" s="18">
        <v>13.4</v>
      </c>
      <c r="G16" s="19">
        <v>11.5</v>
      </c>
      <c r="H16" s="18">
        <v>58</v>
      </c>
      <c r="I16" s="20">
        <v>8.9380000000000006</v>
      </c>
      <c r="J16" s="21"/>
      <c r="K16" s="93"/>
      <c r="L16" s="93"/>
      <c r="N16" s="18">
        <v>58</v>
      </c>
      <c r="O16" s="20">
        <v>8.9377999999999993</v>
      </c>
      <c r="P16" s="22"/>
    </row>
    <row r="17" spans="1:16" ht="23.25" customHeight="1">
      <c r="A17" s="14"/>
      <c r="B17" s="15"/>
      <c r="C17" s="16"/>
      <c r="D17" s="17"/>
      <c r="E17" s="17"/>
      <c r="F17" s="18">
        <v>13.4</v>
      </c>
      <c r="G17" s="19">
        <v>12</v>
      </c>
      <c r="H17" s="18">
        <v>23</v>
      </c>
      <c r="I17" s="20">
        <v>3.698</v>
      </c>
      <c r="J17" s="21"/>
      <c r="K17" s="93"/>
      <c r="L17" s="93"/>
      <c r="N17" s="18">
        <v>23</v>
      </c>
      <c r="O17" s="20">
        <v>3.6983999999999999</v>
      </c>
      <c r="P17" s="22"/>
    </row>
    <row r="18" spans="1:16" ht="23.25" customHeight="1">
      <c r="A18" s="14"/>
      <c r="B18" s="15"/>
      <c r="C18" s="16"/>
      <c r="D18" s="17"/>
      <c r="E18" s="17"/>
      <c r="F18" s="18"/>
      <c r="G18" s="19"/>
      <c r="H18" s="23">
        <f t="shared" ref="H18:I18" si="0">SUM(H15:H17)</f>
        <v>115</v>
      </c>
      <c r="I18" s="24">
        <f t="shared" si="0"/>
        <v>17.422000000000001</v>
      </c>
      <c r="J18" s="21"/>
      <c r="K18" s="93"/>
      <c r="L18" s="93"/>
      <c r="N18" s="23">
        <v>125</v>
      </c>
      <c r="O18" s="24">
        <v>18.759999999999998</v>
      </c>
      <c r="P18" s="22"/>
    </row>
    <row r="19" spans="1:16" ht="23.25" customHeight="1">
      <c r="A19" s="14">
        <v>2</v>
      </c>
      <c r="B19" s="15" t="s">
        <v>24</v>
      </c>
      <c r="C19" s="16" t="s">
        <v>25</v>
      </c>
      <c r="D19" s="17" t="s">
        <v>26</v>
      </c>
      <c r="E19" s="17" t="s">
        <v>45</v>
      </c>
      <c r="F19" s="18">
        <v>11.8</v>
      </c>
      <c r="G19" s="19">
        <v>8.1999999999999993</v>
      </c>
      <c r="H19" s="18">
        <v>17</v>
      </c>
      <c r="I19" s="20">
        <v>1.645</v>
      </c>
      <c r="J19" s="21"/>
      <c r="K19" s="93"/>
      <c r="L19" s="93"/>
      <c r="N19" s="18">
        <v>17</v>
      </c>
      <c r="O19" s="20">
        <v>1.6048000000000002</v>
      </c>
      <c r="P19" s="22"/>
    </row>
    <row r="20" spans="1:16" ht="23.25" customHeight="1">
      <c r="A20" s="14"/>
      <c r="B20" s="15"/>
      <c r="C20" s="16"/>
      <c r="D20" s="17"/>
      <c r="E20" s="17"/>
      <c r="F20" s="18">
        <v>11.8</v>
      </c>
      <c r="G20" s="19">
        <v>10.5</v>
      </c>
      <c r="H20" s="18">
        <v>40</v>
      </c>
      <c r="I20" s="20">
        <v>4.9560000000000004</v>
      </c>
      <c r="J20" s="21"/>
      <c r="K20" s="93"/>
      <c r="L20" s="93"/>
      <c r="N20" s="18">
        <v>40</v>
      </c>
      <c r="O20" s="20">
        <v>4.9560000000000004</v>
      </c>
      <c r="P20" s="22"/>
    </row>
    <row r="21" spans="1:16" ht="23.25" customHeight="1">
      <c r="A21" s="14"/>
      <c r="B21" s="15"/>
      <c r="C21" s="16"/>
      <c r="D21" s="17"/>
      <c r="E21" s="17"/>
      <c r="F21" s="18">
        <v>11.8</v>
      </c>
      <c r="G21" s="19">
        <v>10.8</v>
      </c>
      <c r="H21" s="18">
        <v>43</v>
      </c>
      <c r="I21" s="20">
        <v>5.48</v>
      </c>
      <c r="J21" s="21"/>
      <c r="K21" s="93"/>
      <c r="L21" s="93"/>
      <c r="N21" s="18">
        <v>43</v>
      </c>
      <c r="O21" s="20">
        <v>5.4799199999999999</v>
      </c>
      <c r="P21" s="22"/>
    </row>
    <row r="22" spans="1:16" ht="23.25" customHeight="1">
      <c r="A22" s="14"/>
      <c r="B22" s="15"/>
      <c r="C22" s="16"/>
      <c r="D22" s="17"/>
      <c r="E22" s="17"/>
      <c r="F22" s="18">
        <v>11.8</v>
      </c>
      <c r="G22" s="19">
        <v>11.7</v>
      </c>
      <c r="H22" s="18">
        <v>4</v>
      </c>
      <c r="I22" s="20">
        <v>0.58099999999999996</v>
      </c>
      <c r="J22" s="21"/>
      <c r="K22" s="93"/>
      <c r="L22" s="93"/>
      <c r="N22" s="18"/>
      <c r="O22" s="20"/>
      <c r="P22" s="22"/>
    </row>
    <row r="23" spans="1:16" ht="23.25" customHeight="1">
      <c r="A23" s="14"/>
      <c r="B23" s="15"/>
      <c r="C23" s="16"/>
      <c r="D23" s="17"/>
      <c r="E23" s="17"/>
      <c r="F23" s="18"/>
      <c r="G23" s="19"/>
      <c r="H23" s="23">
        <f t="shared" ref="H23" si="1">SUM(H19:H22)</f>
        <v>104</v>
      </c>
      <c r="I23" s="24">
        <f>SUM(I19:I22)</f>
        <v>12.662000000000001</v>
      </c>
      <c r="J23" s="21"/>
      <c r="K23" s="94"/>
      <c r="L23" s="94"/>
      <c r="N23" s="18"/>
      <c r="O23" s="20"/>
      <c r="P23" s="22"/>
    </row>
    <row r="24" spans="1:16" ht="23.25" customHeight="1">
      <c r="A24" s="14"/>
      <c r="B24" s="15"/>
      <c r="C24" s="16"/>
      <c r="D24" s="17"/>
      <c r="E24" s="17"/>
      <c r="F24" s="18">
        <v>11.8</v>
      </c>
      <c r="G24" s="19">
        <v>11.7</v>
      </c>
      <c r="H24" s="18">
        <f>12-4</f>
        <v>8</v>
      </c>
      <c r="I24" s="20">
        <f>1.6566-0.581</f>
        <v>1.0756000000000001</v>
      </c>
      <c r="J24" s="21"/>
      <c r="K24" s="92">
        <f>+I25</f>
        <v>1.0756000000000001</v>
      </c>
      <c r="L24" s="92" t="s">
        <v>117</v>
      </c>
      <c r="N24" s="18">
        <v>12</v>
      </c>
      <c r="O24" s="20">
        <v>1.65672</v>
      </c>
      <c r="P24" s="22"/>
    </row>
    <row r="25" spans="1:16" ht="23.25" customHeight="1">
      <c r="A25" s="14"/>
      <c r="B25" s="15"/>
      <c r="C25" s="16"/>
      <c r="D25" s="17"/>
      <c r="E25" s="17"/>
      <c r="F25" s="18"/>
      <c r="G25" s="19"/>
      <c r="H25" s="23">
        <f t="shared" ref="H25:I25" si="2">SUM(H24)</f>
        <v>8</v>
      </c>
      <c r="I25" s="24">
        <f t="shared" si="2"/>
        <v>1.0756000000000001</v>
      </c>
      <c r="J25" s="21"/>
      <c r="K25" s="94"/>
      <c r="L25" s="94"/>
      <c r="N25" s="23">
        <v>112</v>
      </c>
      <c r="O25" s="24">
        <v>13.69744</v>
      </c>
      <c r="P25" s="22"/>
    </row>
    <row r="26" spans="1:16" ht="23.25" customHeight="1">
      <c r="A26" s="27"/>
      <c r="B26" s="28"/>
      <c r="C26" s="28"/>
      <c r="D26" s="28"/>
      <c r="E26" s="21"/>
      <c r="F26" s="18"/>
      <c r="G26" s="19"/>
      <c r="H26" s="23">
        <f t="shared" ref="H26:I26" si="3">SUM(H25,H23,H18,H14)</f>
        <v>237</v>
      </c>
      <c r="I26" s="24">
        <f t="shared" si="3"/>
        <v>32.497599999999998</v>
      </c>
      <c r="J26" s="21"/>
      <c r="K26" s="74"/>
      <c r="L26" s="73"/>
      <c r="N26" s="23"/>
      <c r="O26" s="24"/>
      <c r="P26" s="22"/>
    </row>
    <row r="27" spans="1:16" ht="23.25" customHeight="1">
      <c r="A27" s="27"/>
      <c r="B27" s="28"/>
      <c r="C27" s="28"/>
      <c r="D27" s="28"/>
      <c r="E27" s="21"/>
      <c r="F27" s="18"/>
      <c r="G27" s="19"/>
      <c r="H27" s="25"/>
      <c r="I27" s="26"/>
      <c r="J27" s="21"/>
      <c r="K27" s="21"/>
      <c r="L27" s="21"/>
      <c r="N27" s="25"/>
      <c r="O27" s="26"/>
      <c r="P27" s="22"/>
    </row>
    <row r="28" spans="1:16" ht="23.25" customHeight="1">
      <c r="A28" s="27"/>
      <c r="B28" s="28"/>
      <c r="C28" s="28"/>
      <c r="D28" s="28"/>
      <c r="E28" s="21"/>
      <c r="F28" s="18"/>
      <c r="G28" s="19"/>
      <c r="H28" s="25"/>
      <c r="I28" s="26"/>
      <c r="J28" s="21"/>
      <c r="K28" s="21"/>
      <c r="L28" s="29"/>
      <c r="N28" s="25"/>
      <c r="O28" s="26"/>
      <c r="P28" s="22"/>
    </row>
    <row r="29" spans="1:16" ht="23.25" customHeight="1" thickBot="1">
      <c r="A29" s="30"/>
      <c r="B29" s="31"/>
      <c r="C29" s="31"/>
      <c r="D29" s="31"/>
      <c r="E29" s="32" t="s">
        <v>29</v>
      </c>
      <c r="F29" s="33"/>
      <c r="G29" s="26"/>
      <c r="H29" s="34">
        <f>+H26</f>
        <v>237</v>
      </c>
      <c r="I29" s="26">
        <f>+I26</f>
        <v>32.497599999999998</v>
      </c>
      <c r="J29" s="26"/>
      <c r="K29" s="26">
        <f>+K13+K15+K24</f>
        <v>32.497600000000006</v>
      </c>
      <c r="L29" s="35"/>
      <c r="N29" s="34">
        <v>237</v>
      </c>
      <c r="O29" s="26">
        <v>32.457439999999998</v>
      </c>
      <c r="P29" s="22"/>
    </row>
    <row r="30" spans="1:16" ht="23.25">
      <c r="A30" s="36"/>
      <c r="B30" s="37" t="s">
        <v>30</v>
      </c>
      <c r="C30" s="38"/>
      <c r="D30" s="39" t="s">
        <v>31</v>
      </c>
      <c r="E30" s="40" t="s">
        <v>32</v>
      </c>
      <c r="F30" s="41"/>
      <c r="G30" s="42"/>
      <c r="H30" s="42"/>
      <c r="I30" s="43" t="s">
        <v>33</v>
      </c>
      <c r="J30" s="43"/>
      <c r="K30" s="44"/>
      <c r="L30" s="45"/>
      <c r="N30" s="22"/>
    </row>
    <row r="31" spans="1:16" ht="23.25">
      <c r="A31" s="46"/>
      <c r="B31" s="37"/>
      <c r="C31" s="47"/>
      <c r="D31" s="48"/>
      <c r="E31" s="48"/>
      <c r="F31" s="48" t="s">
        <v>34</v>
      </c>
      <c r="G31" s="48" t="s">
        <v>34</v>
      </c>
      <c r="H31" s="48"/>
      <c r="I31" s="48"/>
      <c r="J31" s="48"/>
      <c r="K31" s="48"/>
      <c r="L31" s="49"/>
    </row>
    <row r="32" spans="1:16" ht="23.25">
      <c r="A32" s="46"/>
      <c r="B32" s="37"/>
      <c r="C32" s="47"/>
      <c r="D32" s="48"/>
      <c r="E32" s="48"/>
      <c r="F32" s="48"/>
      <c r="G32" s="48"/>
      <c r="H32" s="48"/>
      <c r="I32" s="48"/>
      <c r="J32" s="48"/>
      <c r="K32" s="48"/>
      <c r="L32" s="49"/>
    </row>
    <row r="33" spans="1:12" ht="24" thickBot="1">
      <c r="A33" s="50"/>
      <c r="B33" s="51" t="s">
        <v>35</v>
      </c>
      <c r="C33" s="51"/>
      <c r="D33" s="51"/>
      <c r="E33" s="52" t="s">
        <v>36</v>
      </c>
      <c r="F33" s="53"/>
      <c r="G33" s="53"/>
      <c r="H33" s="54"/>
      <c r="I33" s="55" t="s">
        <v>37</v>
      </c>
      <c r="J33" s="55"/>
      <c r="K33" s="52"/>
      <c r="L33" s="56"/>
    </row>
    <row r="37" spans="1:12">
      <c r="H37" s="57"/>
      <c r="I37" s="22"/>
      <c r="J37" s="22"/>
    </row>
    <row r="38" spans="1:12">
      <c r="I38" s="22"/>
    </row>
    <row r="39" spans="1:12">
      <c r="H39" s="57"/>
    </row>
    <row r="42" spans="1:12" ht="22.5">
      <c r="I42" s="20">
        <f>F42*G42*H42/1000</f>
        <v>0</v>
      </c>
      <c r="J42" s="22"/>
      <c r="K42" s="22">
        <f>+' 0508 02.01.24 JBP '!I29+'4944 02.01.24 BUB'!I53+' 0311 02.01.24 JBP '!I32+'3944  02.01.24 BUB'!I37+'0398  02.01.24 JBP '!I33+'0502  02.01.24 JBP'!I29</f>
        <v>195.47560000000004</v>
      </c>
    </row>
  </sheetData>
  <mergeCells count="9">
    <mergeCell ref="K15:K23"/>
    <mergeCell ref="L15:L23"/>
    <mergeCell ref="K24:K25"/>
    <mergeCell ref="L24:L25"/>
    <mergeCell ref="A1:L1"/>
    <mergeCell ref="A2:L2"/>
    <mergeCell ref="A4:L4"/>
    <mergeCell ref="K13:K14"/>
    <mergeCell ref="L13:L14"/>
  </mergeCells>
  <pageMargins left="0.24" right="0.2" top="0.44" bottom="0.35" header="0.3" footer="0.3"/>
  <pageSetup paperSize="9" scale="4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P45"/>
  <sheetViews>
    <sheetView topLeftCell="C25" zoomScale="75" zoomScaleNormal="75" workbookViewId="0">
      <selection activeCell="P13" sqref="P13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121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119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120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122</v>
      </c>
      <c r="F13" s="18">
        <v>6.17</v>
      </c>
      <c r="G13" s="19">
        <v>10</v>
      </c>
      <c r="H13" s="18">
        <v>10</v>
      </c>
      <c r="I13" s="20">
        <v>0.61699999999999999</v>
      </c>
      <c r="J13" s="21"/>
      <c r="K13" s="92">
        <f>+I16+I21+I25</f>
        <v>29.007999999999999</v>
      </c>
      <c r="L13" s="92" t="s">
        <v>123</v>
      </c>
      <c r="N13" s="18">
        <v>10</v>
      </c>
      <c r="O13" s="20">
        <v>0.61699999999999999</v>
      </c>
      <c r="P13" s="22">
        <f>I13-O13</f>
        <v>0</v>
      </c>
    </row>
    <row r="14" spans="1:16" ht="23.25" customHeight="1">
      <c r="A14" s="14"/>
      <c r="B14" s="15"/>
      <c r="C14" s="16"/>
      <c r="D14" s="17"/>
      <c r="E14" s="17"/>
      <c r="F14" s="18">
        <v>6.17</v>
      </c>
      <c r="G14" s="19">
        <v>11</v>
      </c>
      <c r="H14" s="18">
        <v>8</v>
      </c>
      <c r="I14" s="20">
        <v>0.54300000000000004</v>
      </c>
      <c r="J14" s="21"/>
      <c r="K14" s="93"/>
      <c r="L14" s="93"/>
      <c r="N14" s="18">
        <v>8</v>
      </c>
      <c r="O14" s="20">
        <v>0.54296</v>
      </c>
      <c r="P14" s="22">
        <f t="shared" ref="P14:P32" si="0">I14-O14</f>
        <v>4.0000000000040004E-5</v>
      </c>
    </row>
    <row r="15" spans="1:16" ht="23.25" customHeight="1">
      <c r="A15" s="14"/>
      <c r="B15" s="15"/>
      <c r="C15" s="16"/>
      <c r="D15" s="17"/>
      <c r="E15" s="17"/>
      <c r="F15" s="18">
        <v>6.17</v>
      </c>
      <c r="G15" s="19">
        <v>11.5</v>
      </c>
      <c r="H15" s="18">
        <v>3</v>
      </c>
      <c r="I15" s="20">
        <v>0.21299999999999999</v>
      </c>
      <c r="J15" s="21"/>
      <c r="K15" s="93"/>
      <c r="L15" s="93"/>
      <c r="N15" s="18">
        <v>3</v>
      </c>
      <c r="O15" s="20">
        <v>0.212865</v>
      </c>
      <c r="P15" s="22">
        <f t="shared" si="0"/>
        <v>1.3499999999999623E-4</v>
      </c>
    </row>
    <row r="16" spans="1:16" ht="23.25" customHeight="1">
      <c r="A16" s="14"/>
      <c r="B16" s="15"/>
      <c r="C16" s="16"/>
      <c r="D16" s="17"/>
      <c r="E16" s="17"/>
      <c r="F16" s="18"/>
      <c r="G16" s="19"/>
      <c r="H16" s="23">
        <f t="shared" ref="H16" si="1">SUM(H13:H15)</f>
        <v>21</v>
      </c>
      <c r="I16" s="24">
        <f>SUM(I13:I15)</f>
        <v>1.3730000000000002</v>
      </c>
      <c r="J16" s="21"/>
      <c r="K16" s="93"/>
      <c r="L16" s="93"/>
      <c r="N16" s="23">
        <v>21</v>
      </c>
      <c r="O16" s="24">
        <v>1.372825</v>
      </c>
      <c r="P16" s="22">
        <f t="shared" si="0"/>
        <v>1.7500000000025828E-4</v>
      </c>
    </row>
    <row r="17" spans="1:16" ht="23.25" customHeight="1">
      <c r="A17" s="14">
        <v>2</v>
      </c>
      <c r="B17" s="15" t="s">
        <v>24</v>
      </c>
      <c r="C17" s="16" t="s">
        <v>25</v>
      </c>
      <c r="D17" s="17" t="s">
        <v>26</v>
      </c>
      <c r="E17" s="17" t="s">
        <v>38</v>
      </c>
      <c r="F17" s="18">
        <v>13.4</v>
      </c>
      <c r="G17" s="19">
        <v>10</v>
      </c>
      <c r="H17" s="18">
        <v>15</v>
      </c>
      <c r="I17" s="20">
        <v>2.0099999999999998</v>
      </c>
      <c r="J17" s="21"/>
      <c r="K17" s="93"/>
      <c r="L17" s="93"/>
      <c r="N17" s="18">
        <v>15</v>
      </c>
      <c r="O17" s="20">
        <v>2.0099999999999998</v>
      </c>
      <c r="P17" s="22">
        <f t="shared" si="0"/>
        <v>0</v>
      </c>
    </row>
    <row r="18" spans="1:16" ht="23.25" customHeight="1">
      <c r="A18" s="14"/>
      <c r="B18" s="15"/>
      <c r="C18" s="16"/>
      <c r="D18" s="17"/>
      <c r="E18" s="17"/>
      <c r="F18" s="18">
        <v>13.4</v>
      </c>
      <c r="G18" s="19">
        <v>10.5</v>
      </c>
      <c r="H18" s="18">
        <v>14</v>
      </c>
      <c r="I18" s="20">
        <v>1.97</v>
      </c>
      <c r="J18" s="21"/>
      <c r="K18" s="93"/>
      <c r="L18" s="93"/>
      <c r="N18" s="18">
        <v>14</v>
      </c>
      <c r="O18" s="20">
        <v>1.9698000000000002</v>
      </c>
      <c r="P18" s="22">
        <f t="shared" si="0"/>
        <v>1.9999999999975593E-4</v>
      </c>
    </row>
    <row r="19" spans="1:16" ht="23.25" customHeight="1">
      <c r="A19" s="14"/>
      <c r="B19" s="15"/>
      <c r="C19" s="16"/>
      <c r="D19" s="17"/>
      <c r="E19" s="17"/>
      <c r="F19" s="18">
        <v>13.4</v>
      </c>
      <c r="G19" s="19">
        <v>11.5</v>
      </c>
      <c r="H19" s="18">
        <v>30</v>
      </c>
      <c r="I19" s="20">
        <v>4.6230000000000002</v>
      </c>
      <c r="J19" s="21"/>
      <c r="K19" s="93"/>
      <c r="L19" s="93"/>
      <c r="N19" s="18">
        <v>30</v>
      </c>
      <c r="O19" s="20">
        <v>4.6230000000000002</v>
      </c>
      <c r="P19" s="22">
        <f t="shared" si="0"/>
        <v>0</v>
      </c>
    </row>
    <row r="20" spans="1:16" ht="23.25" customHeight="1">
      <c r="A20" s="14"/>
      <c r="B20" s="15"/>
      <c r="C20" s="16"/>
      <c r="D20" s="17"/>
      <c r="E20" s="17"/>
      <c r="F20" s="18">
        <v>13.4</v>
      </c>
      <c r="G20" s="19">
        <v>12</v>
      </c>
      <c r="H20" s="18">
        <v>49</v>
      </c>
      <c r="I20" s="20">
        <v>7.8789999999999996</v>
      </c>
      <c r="J20" s="21"/>
      <c r="K20" s="93"/>
      <c r="L20" s="93"/>
      <c r="N20" s="18">
        <v>49</v>
      </c>
      <c r="O20" s="20">
        <v>7.8792000000000009</v>
      </c>
      <c r="P20" s="22">
        <f t="shared" si="0"/>
        <v>-2.0000000000131024E-4</v>
      </c>
    </row>
    <row r="21" spans="1:16" ht="23.25" customHeight="1">
      <c r="A21" s="14"/>
      <c r="B21" s="15"/>
      <c r="C21" s="16"/>
      <c r="D21" s="17"/>
      <c r="E21" s="17"/>
      <c r="F21" s="18"/>
      <c r="G21" s="19"/>
      <c r="H21" s="23">
        <f>SUM(H17:H20)</f>
        <v>108</v>
      </c>
      <c r="I21" s="24">
        <f>SUM(I17:I20)</f>
        <v>16.481999999999999</v>
      </c>
      <c r="J21" s="21"/>
      <c r="K21" s="93"/>
      <c r="L21" s="93"/>
      <c r="N21" s="23">
        <v>108</v>
      </c>
      <c r="O21" s="24">
        <v>16.481999999999999</v>
      </c>
      <c r="P21" s="22">
        <f t="shared" si="0"/>
        <v>0</v>
      </c>
    </row>
    <row r="22" spans="1:16" ht="23.25" customHeight="1">
      <c r="A22" s="14">
        <v>3</v>
      </c>
      <c r="B22" s="15" t="s">
        <v>28</v>
      </c>
      <c r="C22" s="16" t="s">
        <v>25</v>
      </c>
      <c r="D22" s="17" t="s">
        <v>26</v>
      </c>
      <c r="E22" s="17" t="s">
        <v>122</v>
      </c>
      <c r="F22" s="18">
        <v>6.17</v>
      </c>
      <c r="G22" s="19">
        <v>10</v>
      </c>
      <c r="H22" s="18">
        <v>3</v>
      </c>
      <c r="I22" s="20">
        <v>0.185</v>
      </c>
      <c r="J22" s="21"/>
      <c r="K22" s="93"/>
      <c r="L22" s="93"/>
      <c r="N22" s="18">
        <v>3</v>
      </c>
      <c r="O22" s="20">
        <v>0.18510000000000001</v>
      </c>
      <c r="P22" s="22">
        <f t="shared" si="0"/>
        <v>-1.0000000000001674E-4</v>
      </c>
    </row>
    <row r="23" spans="1:16" ht="23.25" customHeight="1">
      <c r="A23" s="14"/>
      <c r="B23" s="15"/>
      <c r="C23" s="16"/>
      <c r="D23" s="17"/>
      <c r="E23" s="17"/>
      <c r="F23" s="18">
        <v>6.17</v>
      </c>
      <c r="G23" s="19">
        <v>10.5</v>
      </c>
      <c r="H23" s="18">
        <v>16</v>
      </c>
      <c r="I23" s="20">
        <v>1.0369999999999999</v>
      </c>
      <c r="J23" s="21"/>
      <c r="K23" s="93"/>
      <c r="L23" s="93"/>
      <c r="N23" s="18">
        <v>16</v>
      </c>
      <c r="O23" s="20">
        <v>1.0365599999999999</v>
      </c>
      <c r="P23" s="22">
        <f t="shared" si="0"/>
        <v>4.3999999999999595E-4</v>
      </c>
    </row>
    <row r="24" spans="1:16" ht="23.25" customHeight="1">
      <c r="A24" s="14"/>
      <c r="B24" s="15"/>
      <c r="C24" s="16"/>
      <c r="D24" s="17"/>
      <c r="E24" s="17"/>
      <c r="F24" s="18">
        <v>6.17</v>
      </c>
      <c r="G24" s="19">
        <v>10.75</v>
      </c>
      <c r="H24" s="18">
        <v>151</v>
      </c>
      <c r="I24" s="20">
        <v>9.9309999999999992</v>
      </c>
      <c r="J24" s="21"/>
      <c r="K24" s="93"/>
      <c r="L24" s="93"/>
      <c r="N24" s="18">
        <v>189</v>
      </c>
      <c r="O24" s="20">
        <v>12.535897500000001</v>
      </c>
      <c r="P24" s="22">
        <f t="shared" si="0"/>
        <v>-2.6048975000000016</v>
      </c>
    </row>
    <row r="25" spans="1:16" ht="23.25" customHeight="1">
      <c r="A25" s="14"/>
      <c r="B25" s="15"/>
      <c r="C25" s="16"/>
      <c r="D25" s="17"/>
      <c r="E25" s="17"/>
      <c r="F25" s="18"/>
      <c r="G25" s="19"/>
      <c r="H25" s="23">
        <f>SUM(H22:H24)</f>
        <v>170</v>
      </c>
      <c r="I25" s="24">
        <f>SUM(I22:I24)</f>
        <v>11.152999999999999</v>
      </c>
      <c r="J25" s="21"/>
      <c r="K25" s="94"/>
      <c r="L25" s="94"/>
      <c r="N25" s="18"/>
      <c r="O25" s="20"/>
      <c r="P25" s="22"/>
    </row>
    <row r="26" spans="1:16" ht="23.25" customHeight="1">
      <c r="A26" s="14"/>
      <c r="B26" s="15"/>
      <c r="C26" s="16"/>
      <c r="D26" s="17"/>
      <c r="E26" s="17"/>
      <c r="F26" s="18">
        <v>6.17</v>
      </c>
      <c r="G26" s="19">
        <v>10.75</v>
      </c>
      <c r="H26" s="18">
        <f>35+36+36+38+38+6-151</f>
        <v>38</v>
      </c>
      <c r="I26" s="20">
        <f>12.536-9.931</f>
        <v>2.6050000000000004</v>
      </c>
      <c r="J26" s="21"/>
      <c r="K26" s="92">
        <f>+I28</f>
        <v>4.3820000000000006</v>
      </c>
      <c r="L26" s="92" t="s">
        <v>124</v>
      </c>
      <c r="N26" s="18"/>
      <c r="O26" s="20"/>
      <c r="P26" s="22"/>
    </row>
    <row r="27" spans="1:16" ht="23.25" customHeight="1">
      <c r="A27" s="14"/>
      <c r="B27" s="15"/>
      <c r="C27" s="16"/>
      <c r="D27" s="17"/>
      <c r="E27" s="17"/>
      <c r="F27" s="18">
        <v>6.17</v>
      </c>
      <c r="G27" s="19">
        <v>12</v>
      </c>
      <c r="H27" s="18">
        <v>24</v>
      </c>
      <c r="I27" s="20">
        <v>1.7769999999999999</v>
      </c>
      <c r="J27" s="21"/>
      <c r="K27" s="93"/>
      <c r="L27" s="93"/>
      <c r="N27" s="18">
        <v>24</v>
      </c>
      <c r="O27" s="20">
        <v>1.7769599999999999</v>
      </c>
      <c r="P27" s="22">
        <f t="shared" si="0"/>
        <v>4.0000000000040004E-5</v>
      </c>
    </row>
    <row r="28" spans="1:16" ht="23.25" customHeight="1">
      <c r="A28" s="14"/>
      <c r="B28" s="15"/>
      <c r="C28" s="16"/>
      <c r="D28" s="17"/>
      <c r="E28" s="17"/>
      <c r="F28" s="18"/>
      <c r="G28" s="19"/>
      <c r="H28" s="23">
        <f>SUM(H26:H27)</f>
        <v>62</v>
      </c>
      <c r="I28" s="24">
        <f>SUM(I26:I27)</f>
        <v>4.3820000000000006</v>
      </c>
      <c r="J28" s="21"/>
      <c r="K28" s="94"/>
      <c r="L28" s="94"/>
      <c r="N28" s="23">
        <v>232</v>
      </c>
      <c r="O28" s="24">
        <v>15.5345175</v>
      </c>
      <c r="P28" s="22">
        <f t="shared" si="0"/>
        <v>-11.152517499999998</v>
      </c>
    </row>
    <row r="29" spans="1:16" ht="23.25" customHeight="1">
      <c r="A29" s="27"/>
      <c r="B29" s="28"/>
      <c r="C29" s="28"/>
      <c r="D29" s="28"/>
      <c r="E29" s="21"/>
      <c r="F29" s="18"/>
      <c r="G29" s="19"/>
      <c r="H29" s="23">
        <f>SUM(H28,H25,H21,H16)</f>
        <v>361</v>
      </c>
      <c r="I29" s="24">
        <f t="shared" ref="I29" si="2">SUM(I28,I25,I21,I16)</f>
        <v>33.389999999999993</v>
      </c>
      <c r="J29" s="21"/>
      <c r="K29" s="76"/>
      <c r="L29" s="75"/>
      <c r="N29" s="23">
        <v>361</v>
      </c>
      <c r="O29" s="24">
        <v>33.389342499999998</v>
      </c>
      <c r="P29" s="22">
        <f t="shared" si="0"/>
        <v>6.5749999999553665E-4</v>
      </c>
    </row>
    <row r="30" spans="1:16" ht="23.25" customHeight="1">
      <c r="A30" s="27"/>
      <c r="B30" s="28"/>
      <c r="C30" s="28"/>
      <c r="D30" s="28"/>
      <c r="E30" s="21"/>
      <c r="F30" s="18"/>
      <c r="G30" s="19"/>
      <c r="H30" s="25"/>
      <c r="I30" s="26"/>
      <c r="J30" s="21"/>
      <c r="K30" s="21"/>
      <c r="L30" s="21"/>
      <c r="N30" s="25"/>
      <c r="O30" s="26"/>
      <c r="P30" s="22">
        <f t="shared" si="0"/>
        <v>0</v>
      </c>
    </row>
    <row r="31" spans="1:16" ht="23.25" customHeight="1">
      <c r="A31" s="27"/>
      <c r="B31" s="28"/>
      <c r="C31" s="28"/>
      <c r="D31" s="28"/>
      <c r="E31" s="21"/>
      <c r="F31" s="18"/>
      <c r="G31" s="19"/>
      <c r="H31" s="25"/>
      <c r="I31" s="26"/>
      <c r="J31" s="21"/>
      <c r="K31" s="21"/>
      <c r="L31" s="29"/>
      <c r="N31" s="25"/>
      <c r="O31" s="26"/>
      <c r="P31" s="22">
        <f t="shared" si="0"/>
        <v>0</v>
      </c>
    </row>
    <row r="32" spans="1:16" ht="23.25" customHeight="1" thickBot="1">
      <c r="A32" s="30"/>
      <c r="B32" s="31"/>
      <c r="C32" s="31"/>
      <c r="D32" s="31"/>
      <c r="E32" s="32" t="s">
        <v>29</v>
      </c>
      <c r="F32" s="33"/>
      <c r="G32" s="26"/>
      <c r="H32" s="34">
        <f>+H29</f>
        <v>361</v>
      </c>
      <c r="I32" s="26">
        <f>+I29</f>
        <v>33.389999999999993</v>
      </c>
      <c r="J32" s="26"/>
      <c r="K32" s="26">
        <f>+K26+K13</f>
        <v>33.39</v>
      </c>
      <c r="L32" s="35"/>
      <c r="N32" s="34">
        <v>361</v>
      </c>
      <c r="O32" s="26">
        <v>33.389342499999998</v>
      </c>
      <c r="P32" s="22">
        <f t="shared" si="0"/>
        <v>6.5749999999553665E-4</v>
      </c>
    </row>
    <row r="33" spans="1:14" ht="23.25">
      <c r="A33" s="36"/>
      <c r="B33" s="37" t="s">
        <v>30</v>
      </c>
      <c r="C33" s="38"/>
      <c r="D33" s="39" t="s">
        <v>31</v>
      </c>
      <c r="E33" s="40" t="s">
        <v>32</v>
      </c>
      <c r="F33" s="41"/>
      <c r="G33" s="42"/>
      <c r="H33" s="42"/>
      <c r="I33" s="43" t="s">
        <v>33</v>
      </c>
      <c r="J33" s="43"/>
      <c r="K33" s="44"/>
      <c r="L33" s="45"/>
      <c r="N33" s="22"/>
    </row>
    <row r="34" spans="1:14" ht="23.25">
      <c r="A34" s="46"/>
      <c r="B34" s="37"/>
      <c r="C34" s="47"/>
      <c r="D34" s="48"/>
      <c r="E34" s="48"/>
      <c r="F34" s="48" t="s">
        <v>34</v>
      </c>
      <c r="G34" s="48" t="s">
        <v>34</v>
      </c>
      <c r="H34" s="48"/>
      <c r="I34" s="48"/>
      <c r="J34" s="48"/>
      <c r="K34" s="48"/>
      <c r="L34" s="49"/>
    </row>
    <row r="35" spans="1:14" ht="23.25">
      <c r="A35" s="46"/>
      <c r="B35" s="37"/>
      <c r="C35" s="47"/>
      <c r="D35" s="48"/>
      <c r="E35" s="48"/>
      <c r="F35" s="48"/>
      <c r="G35" s="48"/>
      <c r="H35" s="48"/>
      <c r="I35" s="48"/>
      <c r="J35" s="48"/>
      <c r="K35" s="48"/>
      <c r="L35" s="49"/>
    </row>
    <row r="36" spans="1:14" ht="24" thickBot="1">
      <c r="A36" s="50"/>
      <c r="B36" s="51" t="s">
        <v>35</v>
      </c>
      <c r="C36" s="51"/>
      <c r="D36" s="51"/>
      <c r="E36" s="52" t="s">
        <v>36</v>
      </c>
      <c r="F36" s="53"/>
      <c r="G36" s="53"/>
      <c r="H36" s="54"/>
      <c r="I36" s="55" t="s">
        <v>37</v>
      </c>
      <c r="J36" s="55"/>
      <c r="K36" s="52"/>
      <c r="L36" s="56"/>
    </row>
    <row r="40" spans="1:14">
      <c r="H40" s="57"/>
      <c r="I40" s="22"/>
      <c r="J40" s="22"/>
    </row>
    <row r="41" spans="1:14">
      <c r="I41" s="22"/>
    </row>
    <row r="42" spans="1:14">
      <c r="H42" s="57"/>
    </row>
    <row r="45" spans="1:14" ht="22.5">
      <c r="I45" s="20">
        <f>F45*G45*H45/1000</f>
        <v>0</v>
      </c>
      <c r="J45" s="22"/>
      <c r="K45" s="22">
        <f>+' 0508 02.01.24 JBP '!I29+'4944 02.01.24 BUB'!I53+' 0311 02.01.24 JBP '!I32+'3944  02.01.24 BUB'!I37+'0398  02.01.24 JBP '!I33+'7423  03.01.24 JBP'!I32</f>
        <v>196.36800000000002</v>
      </c>
    </row>
  </sheetData>
  <mergeCells count="7">
    <mergeCell ref="K13:K25"/>
    <mergeCell ref="L13:L25"/>
    <mergeCell ref="K26:K28"/>
    <mergeCell ref="L26:L28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P43"/>
  <sheetViews>
    <sheetView topLeftCell="A12" zoomScale="75" zoomScaleNormal="75" workbookViewId="0">
      <selection activeCell="B13" sqref="B13:E13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126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125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81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79</v>
      </c>
      <c r="C13" s="16" t="s">
        <v>54</v>
      </c>
      <c r="D13" s="17" t="s">
        <v>69</v>
      </c>
      <c r="E13" s="17" t="s">
        <v>99</v>
      </c>
      <c r="F13" s="18">
        <v>14.7</v>
      </c>
      <c r="G13" s="19">
        <v>9</v>
      </c>
      <c r="H13" s="18">
        <v>36</v>
      </c>
      <c r="I13" s="20">
        <v>4.7629999999999999</v>
      </c>
      <c r="J13" s="21"/>
      <c r="K13" s="104">
        <f>+I17</f>
        <v>7.2469999999999999</v>
      </c>
      <c r="L13" s="104" t="s">
        <v>127</v>
      </c>
      <c r="N13" s="18">
        <v>36</v>
      </c>
      <c r="O13" s="20">
        <v>4.7627999999999995</v>
      </c>
      <c r="P13" s="22">
        <f>I13-O13</f>
        <v>2.0000000000042206E-4</v>
      </c>
    </row>
    <row r="14" spans="1:16" ht="23.25" customHeight="1">
      <c r="A14" s="14"/>
      <c r="B14" s="15"/>
      <c r="C14" s="16"/>
      <c r="D14" s="17"/>
      <c r="E14" s="17"/>
      <c r="F14" s="18">
        <v>14.7</v>
      </c>
      <c r="G14" s="19">
        <v>9.3000000000000007</v>
      </c>
      <c r="H14" s="18">
        <v>8</v>
      </c>
      <c r="I14" s="20">
        <v>1.0940000000000001</v>
      </c>
      <c r="J14" s="21"/>
      <c r="K14" s="104"/>
      <c r="L14" s="104"/>
      <c r="N14" s="18">
        <v>8</v>
      </c>
      <c r="O14" s="20">
        <v>1.09368</v>
      </c>
      <c r="P14" s="22">
        <f>I14-O14</f>
        <v>3.2000000000009798E-4</v>
      </c>
    </row>
    <row r="15" spans="1:16" ht="23.25" customHeight="1">
      <c r="A15" s="14"/>
      <c r="B15" s="15"/>
      <c r="C15" s="16"/>
      <c r="D15" s="17"/>
      <c r="E15" s="17"/>
      <c r="F15" s="18">
        <v>14.7</v>
      </c>
      <c r="G15" s="19">
        <v>10.3</v>
      </c>
      <c r="H15" s="18">
        <v>5</v>
      </c>
      <c r="I15" s="20">
        <v>0.75700000000000001</v>
      </c>
      <c r="J15" s="21"/>
      <c r="K15" s="104"/>
      <c r="L15" s="104"/>
      <c r="N15" s="18">
        <v>5</v>
      </c>
      <c r="O15" s="20">
        <v>0.75705</v>
      </c>
      <c r="P15" s="22">
        <f>I15-O15</f>
        <v>-4.9999999999994493E-5</v>
      </c>
    </row>
    <row r="16" spans="1:16" ht="23.25" customHeight="1">
      <c r="A16" s="14"/>
      <c r="B16" s="15"/>
      <c r="C16" s="16"/>
      <c r="D16" s="17"/>
      <c r="E16" s="17"/>
      <c r="F16" s="18">
        <v>14.7</v>
      </c>
      <c r="G16" s="19">
        <v>11</v>
      </c>
      <c r="H16" s="18">
        <v>4</v>
      </c>
      <c r="I16" s="20">
        <v>0.63300000000000001</v>
      </c>
      <c r="J16" s="21"/>
      <c r="K16" s="104"/>
      <c r="L16" s="104"/>
      <c r="N16" s="18">
        <v>20</v>
      </c>
      <c r="O16" s="20">
        <v>3.234</v>
      </c>
      <c r="P16" s="22">
        <f>I16-O16</f>
        <v>-2.601</v>
      </c>
    </row>
    <row r="17" spans="1:16" ht="23.25" customHeight="1">
      <c r="A17" s="14"/>
      <c r="B17" s="15"/>
      <c r="C17" s="16"/>
      <c r="D17" s="17"/>
      <c r="E17" s="17"/>
      <c r="F17" s="18"/>
      <c r="G17" s="19"/>
      <c r="H17" s="23">
        <f>SUM(H13:H16)</f>
        <v>53</v>
      </c>
      <c r="I17" s="24">
        <f>SUM(I13:I16)</f>
        <v>7.2469999999999999</v>
      </c>
      <c r="J17" s="21"/>
      <c r="K17" s="104"/>
      <c r="L17" s="104"/>
      <c r="N17" s="18"/>
      <c r="O17" s="20"/>
      <c r="P17" s="22"/>
    </row>
    <row r="18" spans="1:16" ht="23.25" customHeight="1">
      <c r="A18" s="14"/>
      <c r="B18" s="15"/>
      <c r="C18" s="16"/>
      <c r="D18" s="17"/>
      <c r="E18" s="17"/>
      <c r="F18" s="18">
        <v>14.7</v>
      </c>
      <c r="G18" s="19">
        <v>11</v>
      </c>
      <c r="H18" s="18">
        <f>20-4</f>
        <v>16</v>
      </c>
      <c r="I18" s="20">
        <f>3.234-0.633</f>
        <v>2.601</v>
      </c>
      <c r="J18" s="21"/>
      <c r="K18" s="104">
        <f>+I20</f>
        <v>4.7958699999999999</v>
      </c>
      <c r="L18" s="104" t="s">
        <v>128</v>
      </c>
      <c r="N18" s="18"/>
      <c r="O18" s="20"/>
      <c r="P18" s="22"/>
    </row>
    <row r="19" spans="1:16" ht="23.25" customHeight="1">
      <c r="A19" s="14"/>
      <c r="B19" s="15"/>
      <c r="C19" s="16"/>
      <c r="D19" s="17"/>
      <c r="E19" s="17"/>
      <c r="F19" s="18">
        <v>14.7</v>
      </c>
      <c r="G19" s="19">
        <v>11.7</v>
      </c>
      <c r="H19" s="18">
        <v>13</v>
      </c>
      <c r="I19" s="20">
        <f>F19*G19*H19/1000-0.041</f>
        <v>2.1948699999999999</v>
      </c>
      <c r="J19" s="21"/>
      <c r="K19" s="104"/>
      <c r="L19" s="104"/>
      <c r="N19" s="18">
        <v>60</v>
      </c>
      <c r="O19" s="20">
        <v>10.3194</v>
      </c>
      <c r="P19" s="22">
        <f>I19-O19</f>
        <v>-8.12453</v>
      </c>
    </row>
    <row r="20" spans="1:16" ht="23.25" customHeight="1">
      <c r="A20" s="14"/>
      <c r="B20" s="15"/>
      <c r="C20" s="16"/>
      <c r="D20" s="17"/>
      <c r="E20" s="17"/>
      <c r="F20" s="18"/>
      <c r="G20" s="19"/>
      <c r="H20" s="23">
        <f>SUM(H18:H19)</f>
        <v>29</v>
      </c>
      <c r="I20" s="24">
        <f>SUM(I18:I19)</f>
        <v>4.7958699999999999</v>
      </c>
      <c r="J20" s="21"/>
      <c r="K20" s="104"/>
      <c r="L20" s="104"/>
      <c r="N20" s="23">
        <v>129</v>
      </c>
      <c r="O20" s="24">
        <v>20.166930000000001</v>
      </c>
      <c r="P20" s="22">
        <f>I20-O20</f>
        <v>-15.37106</v>
      </c>
    </row>
    <row r="21" spans="1:16" ht="23.25" customHeight="1">
      <c r="A21" s="14"/>
      <c r="B21" s="15"/>
      <c r="C21" s="16"/>
      <c r="D21" s="17"/>
      <c r="E21" s="17"/>
      <c r="F21" s="18">
        <v>14.7</v>
      </c>
      <c r="G21" s="19">
        <v>11.7</v>
      </c>
      <c r="H21" s="18">
        <f>60-13</f>
        <v>47</v>
      </c>
      <c r="I21" s="20">
        <f>10.319-2.195</f>
        <v>8.1240000000000006</v>
      </c>
      <c r="J21" s="21"/>
      <c r="K21" s="104">
        <f>+I22+I26</f>
        <v>19.466999999999999</v>
      </c>
      <c r="L21" s="104" t="s">
        <v>129</v>
      </c>
      <c r="N21" s="23"/>
      <c r="O21" s="24"/>
      <c r="P21" s="22"/>
    </row>
    <row r="22" spans="1:16" ht="23.25" customHeight="1">
      <c r="A22" s="14"/>
      <c r="B22" s="15"/>
      <c r="C22" s="16"/>
      <c r="D22" s="17"/>
      <c r="E22" s="17"/>
      <c r="F22" s="18"/>
      <c r="G22" s="19"/>
      <c r="H22" s="23">
        <f>SUM(H21)</f>
        <v>47</v>
      </c>
      <c r="I22" s="24">
        <f>SUM(I21)</f>
        <v>8.1240000000000006</v>
      </c>
      <c r="J22" s="21"/>
      <c r="K22" s="104"/>
      <c r="L22" s="104"/>
      <c r="N22" s="23"/>
      <c r="O22" s="24"/>
      <c r="P22" s="22"/>
    </row>
    <row r="23" spans="1:16" ht="23.25" customHeight="1">
      <c r="A23" s="14">
        <v>2</v>
      </c>
      <c r="B23" s="15" t="s">
        <v>79</v>
      </c>
      <c r="C23" s="16" t="s">
        <v>54</v>
      </c>
      <c r="D23" s="17" t="s">
        <v>69</v>
      </c>
      <c r="E23" s="17" t="s">
        <v>80</v>
      </c>
      <c r="F23" s="18">
        <v>27.3</v>
      </c>
      <c r="G23" s="19">
        <v>8.1</v>
      </c>
      <c r="H23" s="18">
        <v>24</v>
      </c>
      <c r="I23" s="20">
        <v>5.3070000000000004</v>
      </c>
      <c r="J23" s="21"/>
      <c r="K23" s="104"/>
      <c r="L23" s="104"/>
      <c r="N23" s="18">
        <v>24</v>
      </c>
      <c r="O23" s="20">
        <v>2.2709999999999999</v>
      </c>
      <c r="P23" s="22">
        <f t="shared" ref="P23:P30" si="0">I23-O23</f>
        <v>3.0360000000000005</v>
      </c>
    </row>
    <row r="24" spans="1:16" ht="23.25" customHeight="1">
      <c r="A24" s="14"/>
      <c r="B24" s="15"/>
      <c r="C24" s="16"/>
      <c r="D24" s="17"/>
      <c r="E24" s="17"/>
      <c r="F24" s="18">
        <v>27.3</v>
      </c>
      <c r="G24" s="19">
        <v>8.9</v>
      </c>
      <c r="H24" s="18">
        <v>3</v>
      </c>
      <c r="I24" s="20">
        <v>0.72899999999999998</v>
      </c>
      <c r="J24" s="21"/>
      <c r="K24" s="104"/>
      <c r="L24" s="104"/>
      <c r="N24" s="18">
        <v>3</v>
      </c>
      <c r="O24" s="20">
        <v>1.323</v>
      </c>
      <c r="P24" s="22">
        <f t="shared" si="0"/>
        <v>-0.59399999999999997</v>
      </c>
    </row>
    <row r="25" spans="1:16" ht="23.25" customHeight="1">
      <c r="A25" s="14"/>
      <c r="B25" s="15"/>
      <c r="C25" s="16"/>
      <c r="D25" s="17"/>
      <c r="E25" s="17"/>
      <c r="F25" s="18">
        <v>27.3</v>
      </c>
      <c r="G25" s="19">
        <v>12.15</v>
      </c>
      <c r="H25" s="18">
        <v>16</v>
      </c>
      <c r="I25" s="20">
        <v>5.3070000000000004</v>
      </c>
      <c r="J25" s="21"/>
      <c r="K25" s="104"/>
      <c r="L25" s="104"/>
      <c r="N25" s="18">
        <v>16</v>
      </c>
      <c r="O25" s="20">
        <v>2.1019999999999999</v>
      </c>
      <c r="P25" s="22">
        <f t="shared" si="0"/>
        <v>3.2050000000000005</v>
      </c>
    </row>
    <row r="26" spans="1:16" ht="23.25" customHeight="1">
      <c r="A26" s="14"/>
      <c r="B26" s="15"/>
      <c r="C26" s="16"/>
      <c r="D26" s="17"/>
      <c r="E26" s="17"/>
      <c r="F26" s="18"/>
      <c r="G26" s="19"/>
      <c r="H26" s="23">
        <f>SUM(H23:H25)</f>
        <v>43</v>
      </c>
      <c r="I26" s="24">
        <f>SUM(I23:I25)</f>
        <v>11.343</v>
      </c>
      <c r="J26" s="21"/>
      <c r="K26" s="104"/>
      <c r="L26" s="104"/>
      <c r="N26" s="23">
        <v>43</v>
      </c>
      <c r="O26" s="24">
        <v>11.239000000000001</v>
      </c>
      <c r="P26" s="22">
        <f t="shared" si="0"/>
        <v>0.1039999999999992</v>
      </c>
    </row>
    <row r="27" spans="1:16" ht="23.25" customHeight="1">
      <c r="A27" s="14"/>
      <c r="B27" s="15"/>
      <c r="C27" s="16"/>
      <c r="D27" s="17"/>
      <c r="E27" s="17"/>
      <c r="F27" s="18"/>
      <c r="G27" s="19"/>
      <c r="H27" s="23">
        <f t="shared" ref="H27:I27" si="1">SUM(H26,H22,H20,H17)</f>
        <v>172</v>
      </c>
      <c r="I27" s="24">
        <f t="shared" si="1"/>
        <v>31.509869999999999</v>
      </c>
      <c r="J27" s="21"/>
      <c r="K27" s="62"/>
      <c r="L27" s="62"/>
      <c r="N27" s="23">
        <v>172</v>
      </c>
      <c r="O27" s="24">
        <v>31.405930000000001</v>
      </c>
      <c r="P27" s="22">
        <f t="shared" si="0"/>
        <v>0.10393999999999792</v>
      </c>
    </row>
    <row r="28" spans="1:16" ht="23.25" customHeight="1">
      <c r="A28" s="27"/>
      <c r="B28" s="58"/>
      <c r="C28" s="59"/>
      <c r="D28" s="60"/>
      <c r="E28" s="17"/>
      <c r="F28" s="18"/>
      <c r="G28" s="19"/>
      <c r="H28" s="23"/>
      <c r="I28" s="24"/>
      <c r="J28" s="21"/>
      <c r="K28" s="75"/>
      <c r="L28" s="70"/>
      <c r="N28" s="23"/>
      <c r="O28" s="24"/>
      <c r="P28" s="22">
        <f t="shared" si="0"/>
        <v>0</v>
      </c>
    </row>
    <row r="29" spans="1:16" ht="23.25" customHeight="1">
      <c r="A29" s="27"/>
      <c r="B29" s="58"/>
      <c r="C29" s="59"/>
      <c r="D29" s="60"/>
      <c r="E29" s="17"/>
      <c r="F29" s="18"/>
      <c r="G29" s="19"/>
      <c r="H29" s="23"/>
      <c r="I29" s="24"/>
      <c r="J29" s="21"/>
      <c r="K29" s="75"/>
      <c r="L29" s="70"/>
      <c r="N29" s="23"/>
      <c r="O29" s="24"/>
      <c r="P29" s="22">
        <f t="shared" si="0"/>
        <v>0</v>
      </c>
    </row>
    <row r="30" spans="1:16" ht="23.25" customHeight="1" thickBot="1">
      <c r="A30" s="30"/>
      <c r="B30" s="31"/>
      <c r="C30" s="31"/>
      <c r="D30" s="31"/>
      <c r="E30" s="32" t="s">
        <v>29</v>
      </c>
      <c r="F30" s="33"/>
      <c r="G30" s="26"/>
      <c r="H30" s="34">
        <f>SUM(H27)</f>
        <v>172</v>
      </c>
      <c r="I30" s="26">
        <f>SUM(I27)</f>
        <v>31.509869999999999</v>
      </c>
      <c r="J30" s="26"/>
      <c r="K30" s="26">
        <f>+K13+K18+K21</f>
        <v>31.509869999999999</v>
      </c>
      <c r="L30" s="35"/>
      <c r="N30" s="34">
        <v>172</v>
      </c>
      <c r="O30" s="26">
        <v>31.405930000000001</v>
      </c>
      <c r="P30" s="22">
        <f t="shared" si="0"/>
        <v>0.10393999999999792</v>
      </c>
    </row>
    <row r="31" spans="1:16" ht="23.25">
      <c r="A31" s="36"/>
      <c r="B31" s="37" t="s">
        <v>30</v>
      </c>
      <c r="C31" s="38"/>
      <c r="D31" s="39" t="s">
        <v>31</v>
      </c>
      <c r="E31" s="40" t="s">
        <v>32</v>
      </c>
      <c r="F31" s="41"/>
      <c r="G31" s="42"/>
      <c r="H31" s="42"/>
      <c r="I31" s="43" t="s">
        <v>33</v>
      </c>
      <c r="J31" s="43"/>
      <c r="K31" s="44"/>
      <c r="L31" s="45"/>
      <c r="N31" s="22"/>
    </row>
    <row r="32" spans="1:16" ht="23.25">
      <c r="A32" s="46"/>
      <c r="B32" s="37"/>
      <c r="C32" s="47"/>
      <c r="D32" s="48"/>
      <c r="E32" s="48"/>
      <c r="F32" s="48" t="s">
        <v>34</v>
      </c>
      <c r="G32" s="48" t="s">
        <v>34</v>
      </c>
      <c r="H32" s="48"/>
      <c r="I32" s="48"/>
      <c r="J32" s="48"/>
      <c r="K32" s="48"/>
      <c r="L32" s="49"/>
    </row>
    <row r="33" spans="1:12" ht="23.25">
      <c r="A33" s="46"/>
      <c r="B33" s="37"/>
      <c r="C33" s="47"/>
      <c r="D33" s="48"/>
      <c r="E33" s="48"/>
      <c r="F33" s="48"/>
      <c r="G33" s="48"/>
      <c r="H33" s="48"/>
      <c r="I33" s="48"/>
      <c r="J33" s="48"/>
      <c r="K33" s="48"/>
      <c r="L33" s="49"/>
    </row>
    <row r="34" spans="1:12" ht="24" thickBot="1">
      <c r="A34" s="50"/>
      <c r="B34" s="51" t="s">
        <v>35</v>
      </c>
      <c r="C34" s="51"/>
      <c r="D34" s="51"/>
      <c r="E34" s="52" t="s">
        <v>36</v>
      </c>
      <c r="F34" s="53"/>
      <c r="G34" s="53"/>
      <c r="H34" s="54"/>
      <c r="I34" s="55" t="s">
        <v>37</v>
      </c>
      <c r="J34" s="55"/>
      <c r="K34" s="52"/>
      <c r="L34" s="56"/>
    </row>
    <row r="38" spans="1:12">
      <c r="H38" s="57"/>
      <c r="I38" s="22"/>
      <c r="J38" s="22"/>
    </row>
    <row r="39" spans="1:12">
      <c r="I39" s="22"/>
    </row>
    <row r="40" spans="1:12">
      <c r="H40" s="57"/>
    </row>
    <row r="43" spans="1:12" ht="22.5">
      <c r="I43" s="20">
        <f>F43*G43*H43/1000</f>
        <v>0</v>
      </c>
      <c r="J43" s="22"/>
      <c r="K43" s="22">
        <f>+I30+'[2]9844  29.12.23 BB '!I39+'[2]2190  29.12.23 JBP '!K31+'[2]0403  29.12.23 JBP (2)'!I23+'[2]0406  29.12.23 JBP'!I28</f>
        <v>160.53449000000001</v>
      </c>
    </row>
  </sheetData>
  <mergeCells count="9">
    <mergeCell ref="K18:K20"/>
    <mergeCell ref="L18:L20"/>
    <mergeCell ref="K21:K26"/>
    <mergeCell ref="L21:L26"/>
    <mergeCell ref="A1:L1"/>
    <mergeCell ref="A2:L2"/>
    <mergeCell ref="A4:L4"/>
    <mergeCell ref="K13:K17"/>
    <mergeCell ref="L13:L17"/>
  </mergeCells>
  <pageMargins left="0.24" right="0.2" top="0.44" bottom="0.35" header="0.3" footer="0.3"/>
  <pageSetup paperSize="9" scale="4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>
    <pageSetUpPr fitToPage="1"/>
  </sheetPr>
  <dimension ref="A1:P45"/>
  <sheetViews>
    <sheetView topLeftCell="A13" zoomScale="75" zoomScaleNormal="75" workbookViewId="0">
      <selection activeCell="B27" sqref="B27:D28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136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119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135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137</v>
      </c>
      <c r="F13" s="18">
        <v>7.36</v>
      </c>
      <c r="G13" s="19">
        <v>10</v>
      </c>
      <c r="H13" s="18">
        <v>17</v>
      </c>
      <c r="I13" s="20">
        <v>1.2509999999999999</v>
      </c>
      <c r="J13" s="21"/>
      <c r="K13" s="92">
        <f>+I16+I20</f>
        <v>24.166</v>
      </c>
      <c r="L13" s="92" t="s">
        <v>145</v>
      </c>
      <c r="N13" s="18">
        <v>17</v>
      </c>
      <c r="O13" s="20">
        <v>1.2512000000000001</v>
      </c>
      <c r="P13" s="22">
        <f>I13-O13</f>
        <v>-2.0000000000020002E-4</v>
      </c>
    </row>
    <row r="14" spans="1:16" ht="23.25" customHeight="1">
      <c r="A14" s="14"/>
      <c r="B14" s="15"/>
      <c r="C14" s="16"/>
      <c r="D14" s="17"/>
      <c r="E14" s="17"/>
      <c r="F14" s="18">
        <v>7.36</v>
      </c>
      <c r="G14" s="19">
        <v>11.1</v>
      </c>
      <c r="H14" s="18">
        <v>4</v>
      </c>
      <c r="I14" s="20">
        <v>0.32700000000000001</v>
      </c>
      <c r="J14" s="21"/>
      <c r="K14" s="93"/>
      <c r="L14" s="93"/>
      <c r="N14" s="18">
        <v>4</v>
      </c>
      <c r="O14" s="20">
        <v>0.32678400000000002</v>
      </c>
      <c r="P14" s="22">
        <f t="shared" ref="P14:P17" si="0">I14-O14</f>
        <v>2.1599999999999397E-4</v>
      </c>
    </row>
    <row r="15" spans="1:16" ht="23.25" customHeight="1">
      <c r="A15" s="14"/>
      <c r="B15" s="15"/>
      <c r="C15" s="16"/>
      <c r="D15" s="17"/>
      <c r="E15" s="17"/>
      <c r="F15" s="18">
        <v>7.36</v>
      </c>
      <c r="G15" s="19">
        <v>11.9</v>
      </c>
      <c r="H15" s="18">
        <v>8</v>
      </c>
      <c r="I15" s="20">
        <v>0.70099999999999996</v>
      </c>
      <c r="J15" s="21"/>
      <c r="K15" s="93"/>
      <c r="L15" s="93"/>
      <c r="N15" s="18">
        <v>8</v>
      </c>
      <c r="O15" s="20">
        <v>0.70067200000000007</v>
      </c>
      <c r="P15" s="22">
        <f t="shared" si="0"/>
        <v>3.2799999999988394E-4</v>
      </c>
    </row>
    <row r="16" spans="1:16" ht="23.25" customHeight="1">
      <c r="A16" s="14"/>
      <c r="B16" s="15"/>
      <c r="C16" s="16"/>
      <c r="D16" s="17"/>
      <c r="E16" s="17"/>
      <c r="F16" s="18"/>
      <c r="G16" s="19"/>
      <c r="H16" s="23">
        <f t="shared" ref="H16" si="1">SUM(H13:H15)</f>
        <v>29</v>
      </c>
      <c r="I16" s="24">
        <f>SUM(I13:I15)</f>
        <v>2.2789999999999999</v>
      </c>
      <c r="J16" s="21"/>
      <c r="K16" s="93"/>
      <c r="L16" s="93"/>
      <c r="N16" s="23">
        <v>29</v>
      </c>
      <c r="O16" s="24">
        <v>2.2786560000000002</v>
      </c>
      <c r="P16" s="22">
        <f t="shared" si="0"/>
        <v>3.439999999996779E-4</v>
      </c>
    </row>
    <row r="17" spans="1:16" ht="23.25" customHeight="1">
      <c r="A17" s="14">
        <v>2</v>
      </c>
      <c r="B17" s="15" t="s">
        <v>28</v>
      </c>
      <c r="C17" s="16" t="s">
        <v>25</v>
      </c>
      <c r="D17" s="17" t="s">
        <v>26</v>
      </c>
      <c r="E17" s="17" t="s">
        <v>137</v>
      </c>
      <c r="F17" s="18">
        <v>7.36</v>
      </c>
      <c r="G17" s="19">
        <v>7.5</v>
      </c>
      <c r="H17" s="18">
        <v>32</v>
      </c>
      <c r="I17" s="20">
        <v>1.766</v>
      </c>
      <c r="J17" s="21"/>
      <c r="K17" s="93"/>
      <c r="L17" s="93"/>
      <c r="N17" s="18">
        <v>32</v>
      </c>
      <c r="O17" s="20">
        <v>1.7664000000000002</v>
      </c>
      <c r="P17" s="22">
        <f t="shared" si="0"/>
        <v>-4.0000000000017799E-4</v>
      </c>
    </row>
    <row r="18" spans="1:16" ht="23.25" customHeight="1">
      <c r="A18" s="14"/>
      <c r="B18" s="15"/>
      <c r="C18" s="16"/>
      <c r="D18" s="17"/>
      <c r="E18" s="17"/>
      <c r="F18" s="18">
        <v>7.36</v>
      </c>
      <c r="G18" s="19">
        <v>9.25</v>
      </c>
      <c r="H18" s="18">
        <f>33+36+39</f>
        <v>108</v>
      </c>
      <c r="I18" s="20">
        <v>7.3529999999999998</v>
      </c>
      <c r="J18" s="21"/>
      <c r="K18" s="93"/>
      <c r="L18" s="93"/>
      <c r="N18" s="18">
        <v>108</v>
      </c>
      <c r="O18" s="20">
        <v>7.3526399999999992</v>
      </c>
      <c r="P18" s="22">
        <f t="shared" ref="P18:P19" si="2">I18-O18</f>
        <v>3.6000000000058208E-4</v>
      </c>
    </row>
    <row r="19" spans="1:16" ht="23.25" customHeight="1">
      <c r="A19" s="14"/>
      <c r="B19" s="15"/>
      <c r="C19" s="16"/>
      <c r="D19" s="17"/>
      <c r="E19" s="17"/>
      <c r="F19" s="18">
        <v>7.36</v>
      </c>
      <c r="G19" s="19">
        <v>10.3</v>
      </c>
      <c r="H19" s="18">
        <v>168</v>
      </c>
      <c r="I19" s="20">
        <v>12.768000000000001</v>
      </c>
      <c r="J19" s="21"/>
      <c r="K19" s="93"/>
      <c r="L19" s="93"/>
      <c r="N19" s="18">
        <v>186</v>
      </c>
      <c r="O19" s="20">
        <v>14.100288000000001</v>
      </c>
      <c r="P19" s="22">
        <f t="shared" si="2"/>
        <v>-1.3322880000000001</v>
      </c>
    </row>
    <row r="20" spans="1:16" ht="23.25" customHeight="1">
      <c r="A20" s="14"/>
      <c r="B20" s="15"/>
      <c r="C20" s="16"/>
      <c r="D20" s="17"/>
      <c r="E20" s="17"/>
      <c r="F20" s="18"/>
      <c r="G20" s="19"/>
      <c r="H20" s="23">
        <f>SUM(H17:H19)</f>
        <v>308</v>
      </c>
      <c r="I20" s="24">
        <f>SUM(I17:I19)</f>
        <v>21.887</v>
      </c>
      <c r="J20" s="21"/>
      <c r="K20" s="94"/>
      <c r="L20" s="94"/>
      <c r="N20" s="23">
        <v>372</v>
      </c>
      <c r="O20" s="24">
        <v>27.282048000000003</v>
      </c>
      <c r="P20" s="22"/>
    </row>
    <row r="21" spans="1:16" ht="23.25" customHeight="1">
      <c r="A21" s="14"/>
      <c r="B21" s="15"/>
      <c r="C21" s="16"/>
      <c r="D21" s="17"/>
      <c r="E21" s="17"/>
      <c r="F21" s="18">
        <v>7.36</v>
      </c>
      <c r="G21" s="19">
        <v>10.3</v>
      </c>
      <c r="H21" s="18">
        <f>32+30+30+32+30+32-168</f>
        <v>18</v>
      </c>
      <c r="I21" s="20">
        <f>14.1-12.768</f>
        <v>1.331999999999999</v>
      </c>
      <c r="J21" s="21"/>
      <c r="K21" s="92">
        <f>+I23+I26+I28</f>
        <v>8.8579999999999988</v>
      </c>
      <c r="L21" s="92" t="s">
        <v>146</v>
      </c>
      <c r="N21" s="18">
        <v>46</v>
      </c>
      <c r="O21" s="20">
        <v>4.0627200000000006</v>
      </c>
      <c r="P21" s="22"/>
    </row>
    <row r="22" spans="1:16" ht="23.25" customHeight="1">
      <c r="A22" s="14"/>
      <c r="B22" s="15"/>
      <c r="C22" s="16"/>
      <c r="D22" s="17"/>
      <c r="E22" s="17"/>
      <c r="F22" s="18">
        <v>7.36</v>
      </c>
      <c r="G22" s="19">
        <v>12</v>
      </c>
      <c r="H22" s="18">
        <f>31+15</f>
        <v>46</v>
      </c>
      <c r="I22" s="20">
        <v>4.0629999999999997</v>
      </c>
      <c r="J22" s="21"/>
      <c r="K22" s="93"/>
      <c r="L22" s="93"/>
      <c r="N22" s="18"/>
      <c r="O22" s="20"/>
      <c r="P22" s="22"/>
    </row>
    <row r="23" spans="1:16" ht="23.25" customHeight="1">
      <c r="A23" s="14"/>
      <c r="B23" s="15"/>
      <c r="C23" s="16"/>
      <c r="D23" s="17"/>
      <c r="E23" s="17"/>
      <c r="F23" s="18"/>
      <c r="G23" s="19"/>
      <c r="H23" s="23">
        <f>SUM(H21:H22)</f>
        <v>64</v>
      </c>
      <c r="I23" s="24">
        <f>SUM(I21:I22)</f>
        <v>5.3949999999999987</v>
      </c>
      <c r="J23" s="21"/>
      <c r="K23" s="93"/>
      <c r="L23" s="93"/>
      <c r="N23" s="23">
        <v>46</v>
      </c>
      <c r="O23" s="24">
        <v>4.0627200000000006</v>
      </c>
      <c r="P23" s="22"/>
    </row>
    <row r="24" spans="1:16" ht="23.25" customHeight="1">
      <c r="A24" s="14">
        <v>3</v>
      </c>
      <c r="B24" s="15" t="s">
        <v>42</v>
      </c>
      <c r="C24" s="16" t="s">
        <v>54</v>
      </c>
      <c r="D24" s="17" t="s">
        <v>138</v>
      </c>
      <c r="E24" s="17" t="s">
        <v>139</v>
      </c>
      <c r="F24" s="18">
        <v>44.12</v>
      </c>
      <c r="G24" s="19">
        <v>11.5</v>
      </c>
      <c r="H24" s="18">
        <v>2</v>
      </c>
      <c r="I24" s="20">
        <v>1.0149999999999999</v>
      </c>
      <c r="J24" s="21"/>
      <c r="K24" s="93"/>
      <c r="L24" s="93"/>
      <c r="N24" s="18">
        <v>2</v>
      </c>
      <c r="O24" s="20">
        <v>1.0147599999999999</v>
      </c>
      <c r="P24" s="22">
        <f t="shared" ref="P24:P32" si="3">I24-O24</f>
        <v>2.4000000000001798E-4</v>
      </c>
    </row>
    <row r="25" spans="1:16" ht="23.25" customHeight="1">
      <c r="A25" s="14"/>
      <c r="B25" s="15"/>
      <c r="C25" s="16"/>
      <c r="D25" s="17"/>
      <c r="E25" s="17"/>
      <c r="F25" s="18">
        <v>44.12</v>
      </c>
      <c r="G25" s="19">
        <v>12</v>
      </c>
      <c r="H25" s="18">
        <v>3</v>
      </c>
      <c r="I25" s="20">
        <v>1.5880000000000001</v>
      </c>
      <c r="J25" s="21"/>
      <c r="K25" s="93"/>
      <c r="L25" s="93"/>
      <c r="N25" s="18">
        <v>3</v>
      </c>
      <c r="O25" s="20">
        <v>1.5883199999999997</v>
      </c>
      <c r="P25" s="22">
        <f t="shared" si="3"/>
        <v>-3.1999999999965389E-4</v>
      </c>
    </row>
    <row r="26" spans="1:16" ht="23.25" customHeight="1">
      <c r="A26" s="14"/>
      <c r="B26" s="15"/>
      <c r="C26" s="16"/>
      <c r="D26" s="17"/>
      <c r="E26" s="17"/>
      <c r="F26" s="18"/>
      <c r="G26" s="19"/>
      <c r="H26" s="23">
        <f>SUM(H24:H25)</f>
        <v>5</v>
      </c>
      <c r="I26" s="24">
        <f>SUM(I24:I25)</f>
        <v>2.6029999999999998</v>
      </c>
      <c r="J26" s="21"/>
      <c r="K26" s="93"/>
      <c r="L26" s="93"/>
      <c r="N26" s="23">
        <v>5</v>
      </c>
      <c r="O26" s="24">
        <v>2.6030799999999994</v>
      </c>
      <c r="P26" s="22">
        <f t="shared" si="3"/>
        <v>-7.9999999999635918E-5</v>
      </c>
    </row>
    <row r="27" spans="1:16" ht="23.25" customHeight="1">
      <c r="A27" s="14">
        <v>4</v>
      </c>
      <c r="B27" s="15" t="s">
        <v>42</v>
      </c>
      <c r="C27" s="16" t="s">
        <v>54</v>
      </c>
      <c r="D27" s="17" t="s">
        <v>138</v>
      </c>
      <c r="E27" s="17" t="s">
        <v>140</v>
      </c>
      <c r="F27" s="18">
        <v>35.840000000000003</v>
      </c>
      <c r="G27" s="19">
        <v>12</v>
      </c>
      <c r="H27" s="18">
        <v>2</v>
      </c>
      <c r="I27" s="20">
        <v>0.86</v>
      </c>
      <c r="J27" s="21"/>
      <c r="K27" s="93"/>
      <c r="L27" s="93"/>
      <c r="N27" s="18">
        <v>2</v>
      </c>
      <c r="O27" s="20">
        <v>0.86016000000000004</v>
      </c>
      <c r="P27" s="22">
        <f t="shared" si="3"/>
        <v>-1.6000000000004899E-4</v>
      </c>
    </row>
    <row r="28" spans="1:16" ht="23.25" customHeight="1">
      <c r="A28" s="14"/>
      <c r="B28" s="15"/>
      <c r="C28" s="16"/>
      <c r="D28" s="17"/>
      <c r="E28" s="17"/>
      <c r="F28" s="18"/>
      <c r="G28" s="19"/>
      <c r="H28" s="23">
        <f>SUM(H27:H27)</f>
        <v>2</v>
      </c>
      <c r="I28" s="24">
        <f>SUM(I27:I27)</f>
        <v>0.86</v>
      </c>
      <c r="J28" s="21"/>
      <c r="K28" s="94"/>
      <c r="L28" s="94"/>
      <c r="N28" s="23">
        <v>2</v>
      </c>
      <c r="O28" s="24">
        <v>0.86016000000000004</v>
      </c>
      <c r="P28" s="22">
        <f t="shared" si="3"/>
        <v>-1.6000000000004899E-4</v>
      </c>
    </row>
    <row r="29" spans="1:16" ht="23.25" customHeight="1">
      <c r="A29" s="27"/>
      <c r="B29" s="28"/>
      <c r="C29" s="28"/>
      <c r="D29" s="28"/>
      <c r="E29" s="21"/>
      <c r="F29" s="18"/>
      <c r="G29" s="19"/>
      <c r="H29" s="23">
        <f t="shared" ref="H29:I29" si="4">SUM(H28,H26,H23,H20,H16)</f>
        <v>408</v>
      </c>
      <c r="I29" s="24">
        <f t="shared" si="4"/>
        <v>33.024000000000001</v>
      </c>
      <c r="J29" s="21"/>
      <c r="K29" s="78"/>
      <c r="L29" s="77"/>
      <c r="N29" s="23">
        <v>408</v>
      </c>
      <c r="O29" s="24">
        <v>33.023944</v>
      </c>
      <c r="P29" s="22">
        <f t="shared" si="3"/>
        <v>5.6000000000722139E-5</v>
      </c>
    </row>
    <row r="30" spans="1:16" ht="23.25" customHeight="1">
      <c r="A30" s="27"/>
      <c r="B30" s="28"/>
      <c r="C30" s="28"/>
      <c r="D30" s="28"/>
      <c r="E30" s="21"/>
      <c r="F30" s="18"/>
      <c r="G30" s="19"/>
      <c r="H30" s="25"/>
      <c r="I30" s="26"/>
      <c r="J30" s="21"/>
      <c r="K30" s="21"/>
      <c r="L30" s="21"/>
      <c r="N30" s="25"/>
      <c r="O30" s="26"/>
      <c r="P30" s="22">
        <f t="shared" si="3"/>
        <v>0</v>
      </c>
    </row>
    <row r="31" spans="1:16" ht="23.25" customHeight="1">
      <c r="A31" s="27"/>
      <c r="B31" s="28"/>
      <c r="C31" s="28"/>
      <c r="D31" s="28"/>
      <c r="E31" s="21"/>
      <c r="F31" s="18"/>
      <c r="G31" s="19"/>
      <c r="H31" s="25"/>
      <c r="I31" s="26"/>
      <c r="J31" s="21"/>
      <c r="K31" s="21"/>
      <c r="L31" s="29"/>
      <c r="N31" s="25"/>
      <c r="O31" s="26"/>
      <c r="P31" s="22">
        <f t="shared" si="3"/>
        <v>0</v>
      </c>
    </row>
    <row r="32" spans="1:16" ht="23.25" customHeight="1" thickBot="1">
      <c r="A32" s="30"/>
      <c r="B32" s="31"/>
      <c r="C32" s="31"/>
      <c r="D32" s="31"/>
      <c r="E32" s="32" t="s">
        <v>29</v>
      </c>
      <c r="F32" s="33"/>
      <c r="G32" s="26"/>
      <c r="H32" s="34">
        <f>+H29</f>
        <v>408</v>
      </c>
      <c r="I32" s="26">
        <f>+I29</f>
        <v>33.024000000000001</v>
      </c>
      <c r="J32" s="26"/>
      <c r="K32" s="26">
        <f>+K13+K21</f>
        <v>33.024000000000001</v>
      </c>
      <c r="L32" s="35"/>
      <c r="N32" s="34">
        <v>408</v>
      </c>
      <c r="O32" s="26">
        <v>33.023944</v>
      </c>
      <c r="P32" s="22">
        <f t="shared" si="3"/>
        <v>5.6000000000722139E-5</v>
      </c>
    </row>
    <row r="33" spans="1:14" ht="23.25">
      <c r="A33" s="36"/>
      <c r="B33" s="37" t="s">
        <v>30</v>
      </c>
      <c r="C33" s="38"/>
      <c r="D33" s="39" t="s">
        <v>31</v>
      </c>
      <c r="E33" s="40" t="s">
        <v>32</v>
      </c>
      <c r="F33" s="41"/>
      <c r="G33" s="42"/>
      <c r="H33" s="42"/>
      <c r="I33" s="43" t="s">
        <v>33</v>
      </c>
      <c r="J33" s="43"/>
      <c r="K33" s="44"/>
      <c r="L33" s="45"/>
      <c r="N33" s="22"/>
    </row>
    <row r="34" spans="1:14" ht="23.25">
      <c r="A34" s="46"/>
      <c r="B34" s="37"/>
      <c r="C34" s="47"/>
      <c r="D34" s="48"/>
      <c r="E34" s="48"/>
      <c r="F34" s="48" t="s">
        <v>34</v>
      </c>
      <c r="G34" s="48" t="s">
        <v>34</v>
      </c>
      <c r="H34" s="48"/>
      <c r="I34" s="48"/>
      <c r="J34" s="48"/>
      <c r="K34" s="48"/>
      <c r="L34" s="49"/>
    </row>
    <row r="35" spans="1:14" ht="23.25">
      <c r="A35" s="46"/>
      <c r="B35" s="37"/>
      <c r="C35" s="47"/>
      <c r="D35" s="48"/>
      <c r="E35" s="48"/>
      <c r="F35" s="48"/>
      <c r="G35" s="48"/>
      <c r="H35" s="48"/>
      <c r="I35" s="48"/>
      <c r="J35" s="48"/>
      <c r="K35" s="48"/>
      <c r="L35" s="49"/>
    </row>
    <row r="36" spans="1:14" ht="24" thickBot="1">
      <c r="A36" s="50"/>
      <c r="B36" s="51" t="s">
        <v>35</v>
      </c>
      <c r="C36" s="51"/>
      <c r="D36" s="51"/>
      <c r="E36" s="52" t="s">
        <v>36</v>
      </c>
      <c r="F36" s="53"/>
      <c r="G36" s="53"/>
      <c r="H36" s="54"/>
      <c r="I36" s="55" t="s">
        <v>37</v>
      </c>
      <c r="J36" s="55"/>
      <c r="K36" s="52"/>
      <c r="L36" s="56"/>
    </row>
    <row r="40" spans="1:14">
      <c r="H40" s="57"/>
      <c r="I40" s="22"/>
      <c r="J40" s="22"/>
    </row>
    <row r="41" spans="1:14">
      <c r="I41" s="22"/>
    </row>
    <row r="42" spans="1:14">
      <c r="H42" s="57"/>
    </row>
    <row r="45" spans="1:14" ht="22.5">
      <c r="I45" s="20">
        <f>F45*G45*H45/1000</f>
        <v>0</v>
      </c>
      <c r="J45" s="22"/>
      <c r="K45" s="22">
        <f>+' 0508 02.01.24 JBP '!I29+'4944 02.01.24 BUB'!I53+' 0311 02.01.24 JBP '!I32+'3944  02.01.24 BUB'!I37+'0398  02.01.24 JBP '!I33+'0403  03.01.24 JBP '!I32</f>
        <v>196.00200000000004</v>
      </c>
    </row>
  </sheetData>
  <mergeCells count="7">
    <mergeCell ref="K13:K20"/>
    <mergeCell ref="L13:L20"/>
    <mergeCell ref="K21:K28"/>
    <mergeCell ref="L21:L28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7"/>
  <sheetViews>
    <sheetView topLeftCell="A25" zoomScale="75" zoomScaleNormal="75" workbookViewId="0">
      <selection activeCell="B13" sqref="B13:E13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159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119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156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79</v>
      </c>
      <c r="C13" s="16" t="s">
        <v>54</v>
      </c>
      <c r="D13" s="17" t="s">
        <v>69</v>
      </c>
      <c r="E13" s="17" t="s">
        <v>147</v>
      </c>
      <c r="F13" s="18">
        <v>9.61</v>
      </c>
      <c r="G13" s="19">
        <v>11</v>
      </c>
      <c r="H13" s="18">
        <v>17</v>
      </c>
      <c r="I13" s="20">
        <v>1.7969999999999999</v>
      </c>
      <c r="J13" s="21"/>
      <c r="K13" s="92">
        <f>+I16+I20+I22+I25+I27</f>
        <v>21.663999999999998</v>
      </c>
      <c r="L13" s="92" t="s">
        <v>157</v>
      </c>
      <c r="N13" s="18">
        <v>17</v>
      </c>
      <c r="O13" s="20">
        <v>1.7970699999999999</v>
      </c>
      <c r="P13" s="22">
        <f>I13-O13</f>
        <v>-7.0000000000014495E-5</v>
      </c>
    </row>
    <row r="14" spans="1:16" ht="23.25" customHeight="1">
      <c r="A14" s="14"/>
      <c r="B14" s="15"/>
      <c r="C14" s="16"/>
      <c r="D14" s="17"/>
      <c r="E14" s="17"/>
      <c r="F14" s="18">
        <v>9.61</v>
      </c>
      <c r="G14" s="19">
        <v>11.5</v>
      </c>
      <c r="H14" s="18">
        <v>28</v>
      </c>
      <c r="I14" s="20">
        <v>3.0939999999999999</v>
      </c>
      <c r="J14" s="21"/>
      <c r="K14" s="93"/>
      <c r="L14" s="93"/>
      <c r="N14" s="18">
        <v>28</v>
      </c>
      <c r="O14" s="20">
        <v>3.0944199999999995</v>
      </c>
      <c r="P14" s="22">
        <f t="shared" ref="P14:P44" si="0">I14-O14</f>
        <v>-4.1999999999964288E-4</v>
      </c>
    </row>
    <row r="15" spans="1:16" ht="23.25" customHeight="1">
      <c r="A15" s="14"/>
      <c r="B15" s="15"/>
      <c r="C15" s="16"/>
      <c r="D15" s="17"/>
      <c r="E15" s="17"/>
      <c r="F15" s="18">
        <v>9.61</v>
      </c>
      <c r="G15" s="19">
        <v>12</v>
      </c>
      <c r="H15" s="18">
        <v>13</v>
      </c>
      <c r="I15" s="20">
        <v>1.4990000000000001</v>
      </c>
      <c r="J15" s="21"/>
      <c r="K15" s="93"/>
      <c r="L15" s="93"/>
      <c r="N15" s="18">
        <v>13</v>
      </c>
      <c r="O15" s="20">
        <v>1.4991599999999998</v>
      </c>
      <c r="P15" s="22">
        <f t="shared" si="0"/>
        <v>-1.5999999999971593E-4</v>
      </c>
    </row>
    <row r="16" spans="1:16" ht="23.25" customHeight="1">
      <c r="A16" s="14"/>
      <c r="B16" s="15"/>
      <c r="C16" s="16"/>
      <c r="D16" s="17"/>
      <c r="E16" s="17"/>
      <c r="F16" s="18"/>
      <c r="G16" s="19"/>
      <c r="H16" s="23">
        <f t="shared" ref="H16" si="1">SUM(H13:H15)</f>
        <v>58</v>
      </c>
      <c r="I16" s="24">
        <f>SUM(I13:I15)</f>
        <v>6.3900000000000006</v>
      </c>
      <c r="J16" s="21"/>
      <c r="K16" s="93"/>
      <c r="L16" s="93"/>
      <c r="N16" s="23">
        <v>58</v>
      </c>
      <c r="O16" s="24">
        <v>6.3906499999999991</v>
      </c>
      <c r="P16" s="22">
        <f t="shared" si="0"/>
        <v>-6.4999999999848512E-4</v>
      </c>
    </row>
    <row r="17" spans="1:16" ht="23.25" customHeight="1">
      <c r="A17" s="14">
        <v>2</v>
      </c>
      <c r="B17" s="15" t="s">
        <v>79</v>
      </c>
      <c r="C17" s="16" t="s">
        <v>54</v>
      </c>
      <c r="D17" s="17" t="s">
        <v>69</v>
      </c>
      <c r="E17" s="17" t="s">
        <v>148</v>
      </c>
      <c r="F17" s="18">
        <v>12.2</v>
      </c>
      <c r="G17" s="19">
        <v>7.5</v>
      </c>
      <c r="H17" s="18">
        <v>26</v>
      </c>
      <c r="I17" s="20">
        <v>2.379</v>
      </c>
      <c r="J17" s="21"/>
      <c r="K17" s="93"/>
      <c r="L17" s="93"/>
      <c r="N17" s="18">
        <v>26</v>
      </c>
      <c r="O17" s="20">
        <v>2.379</v>
      </c>
      <c r="P17" s="22">
        <f t="shared" si="0"/>
        <v>0</v>
      </c>
    </row>
    <row r="18" spans="1:16" ht="23.25" customHeight="1">
      <c r="A18" s="14"/>
      <c r="B18" s="15"/>
      <c r="C18" s="16"/>
      <c r="D18" s="17"/>
      <c r="E18" s="17"/>
      <c r="F18" s="18">
        <v>12.2</v>
      </c>
      <c r="G18" s="19">
        <v>7.6</v>
      </c>
      <c r="H18" s="18">
        <v>15</v>
      </c>
      <c r="I18" s="20">
        <v>1.391</v>
      </c>
      <c r="J18" s="21"/>
      <c r="K18" s="93"/>
      <c r="L18" s="93"/>
      <c r="N18" s="18">
        <v>15</v>
      </c>
      <c r="O18" s="20">
        <v>1.3907999999999998</v>
      </c>
      <c r="P18" s="22">
        <f t="shared" si="0"/>
        <v>2.0000000000020002E-4</v>
      </c>
    </row>
    <row r="19" spans="1:16" ht="23.25" customHeight="1">
      <c r="A19" s="14"/>
      <c r="B19" s="15"/>
      <c r="C19" s="16"/>
      <c r="D19" s="17"/>
      <c r="E19" s="17"/>
      <c r="F19" s="18">
        <v>12.2</v>
      </c>
      <c r="G19" s="19">
        <v>10.4</v>
      </c>
      <c r="H19" s="18">
        <v>24</v>
      </c>
      <c r="I19" s="20">
        <v>3.0449999999999999</v>
      </c>
      <c r="J19" s="21"/>
      <c r="K19" s="93"/>
      <c r="L19" s="93"/>
      <c r="N19" s="18">
        <v>24</v>
      </c>
      <c r="O19" s="20">
        <v>3.0451199999999998</v>
      </c>
      <c r="P19" s="22">
        <f t="shared" si="0"/>
        <v>-1.1999999999989797E-4</v>
      </c>
    </row>
    <row r="20" spans="1:16" ht="23.25" customHeight="1">
      <c r="A20" s="14"/>
      <c r="B20" s="15"/>
      <c r="C20" s="16"/>
      <c r="D20" s="17"/>
      <c r="E20" s="17"/>
      <c r="F20" s="18"/>
      <c r="G20" s="19"/>
      <c r="H20" s="23">
        <f>SUM(H17:H19)</f>
        <v>65</v>
      </c>
      <c r="I20" s="24">
        <f>SUM(I17:I19)</f>
        <v>6.8149999999999995</v>
      </c>
      <c r="J20" s="21"/>
      <c r="K20" s="93"/>
      <c r="L20" s="93"/>
      <c r="N20" s="23">
        <v>65</v>
      </c>
      <c r="O20" s="24">
        <v>6.8149199999999999</v>
      </c>
      <c r="P20" s="22">
        <f t="shared" si="0"/>
        <v>7.9999999999635918E-5</v>
      </c>
    </row>
    <row r="21" spans="1:16" ht="23.25" customHeight="1">
      <c r="A21" s="14">
        <v>3</v>
      </c>
      <c r="B21" s="15" t="s">
        <v>79</v>
      </c>
      <c r="C21" s="16" t="s">
        <v>54</v>
      </c>
      <c r="D21" s="17" t="s">
        <v>69</v>
      </c>
      <c r="E21" s="17" t="s">
        <v>71</v>
      </c>
      <c r="F21" s="18">
        <v>13.4</v>
      </c>
      <c r="G21" s="19">
        <v>9.1999999999999993</v>
      </c>
      <c r="H21" s="18">
        <v>14</v>
      </c>
      <c r="I21" s="20">
        <v>1.726</v>
      </c>
      <c r="J21" s="21"/>
      <c r="K21" s="93"/>
      <c r="L21" s="93"/>
      <c r="N21" s="18">
        <v>14</v>
      </c>
      <c r="O21" s="20">
        <v>1.7259199999999999</v>
      </c>
      <c r="P21" s="22">
        <f t="shared" si="0"/>
        <v>8.0000000000080007E-5</v>
      </c>
    </row>
    <row r="22" spans="1:16" ht="23.25" customHeight="1">
      <c r="A22" s="14"/>
      <c r="B22" s="15"/>
      <c r="C22" s="16"/>
      <c r="D22" s="17"/>
      <c r="E22" s="17"/>
      <c r="F22" s="18"/>
      <c r="G22" s="19"/>
      <c r="H22" s="23">
        <f>SUM(H21)</f>
        <v>14</v>
      </c>
      <c r="I22" s="24">
        <f>SUM(I21)</f>
        <v>1.726</v>
      </c>
      <c r="J22" s="21"/>
      <c r="K22" s="93"/>
      <c r="L22" s="93"/>
      <c r="N22" s="23">
        <v>14</v>
      </c>
      <c r="O22" s="24">
        <v>1.7259199999999999</v>
      </c>
      <c r="P22" s="22">
        <f t="shared" si="0"/>
        <v>8.0000000000080007E-5</v>
      </c>
    </row>
    <row r="23" spans="1:16" ht="23.25" customHeight="1">
      <c r="A23" s="14">
        <v>4</v>
      </c>
      <c r="B23" s="15" t="s">
        <v>79</v>
      </c>
      <c r="C23" s="16" t="s">
        <v>54</v>
      </c>
      <c r="D23" s="17" t="s">
        <v>69</v>
      </c>
      <c r="E23" s="17" t="s">
        <v>99</v>
      </c>
      <c r="F23" s="18">
        <v>14.7</v>
      </c>
      <c r="G23" s="19">
        <v>11</v>
      </c>
      <c r="H23" s="18">
        <v>8</v>
      </c>
      <c r="I23" s="20">
        <v>1.294</v>
      </c>
      <c r="J23" s="21"/>
      <c r="K23" s="93"/>
      <c r="L23" s="93"/>
      <c r="N23" s="18">
        <v>8</v>
      </c>
      <c r="O23" s="20">
        <v>1.2935999999999999</v>
      </c>
      <c r="P23" s="22">
        <f t="shared" si="0"/>
        <v>4.0000000000017799E-4</v>
      </c>
    </row>
    <row r="24" spans="1:16" ht="23.25" customHeight="1">
      <c r="A24" s="14"/>
      <c r="B24" s="15"/>
      <c r="C24" s="16"/>
      <c r="D24" s="17"/>
      <c r="E24" s="17"/>
      <c r="F24" s="18">
        <v>14.7</v>
      </c>
      <c r="G24" s="19">
        <v>11.7</v>
      </c>
      <c r="H24" s="18">
        <v>20</v>
      </c>
      <c r="I24" s="20">
        <v>3.44</v>
      </c>
      <c r="J24" s="21"/>
      <c r="K24" s="93"/>
      <c r="L24" s="93"/>
      <c r="N24" s="18">
        <v>20</v>
      </c>
      <c r="O24" s="20">
        <v>3.4397999999999995</v>
      </c>
      <c r="P24" s="22">
        <f t="shared" si="0"/>
        <v>2.0000000000042206E-4</v>
      </c>
    </row>
    <row r="25" spans="1:16" ht="23.25" customHeight="1">
      <c r="A25" s="14"/>
      <c r="B25" s="15"/>
      <c r="C25" s="16"/>
      <c r="D25" s="17"/>
      <c r="E25" s="17"/>
      <c r="F25" s="18"/>
      <c r="G25" s="19"/>
      <c r="H25" s="23">
        <f t="shared" ref="H25" si="2">SUM(H23:H24)</f>
        <v>28</v>
      </c>
      <c r="I25" s="24">
        <f>SUM(I23:I24)</f>
        <v>4.734</v>
      </c>
      <c r="J25" s="21"/>
      <c r="K25" s="93"/>
      <c r="L25" s="93"/>
      <c r="N25" s="23">
        <v>28</v>
      </c>
      <c r="O25" s="24">
        <v>4.7333999999999996</v>
      </c>
      <c r="P25" s="22">
        <f t="shared" si="0"/>
        <v>6.0000000000037801E-4</v>
      </c>
    </row>
    <row r="26" spans="1:16" ht="23.25" customHeight="1">
      <c r="A26" s="14">
        <v>5</v>
      </c>
      <c r="B26" s="15" t="s">
        <v>79</v>
      </c>
      <c r="C26" s="16" t="s">
        <v>54</v>
      </c>
      <c r="D26" s="17" t="s">
        <v>69</v>
      </c>
      <c r="E26" s="17" t="s">
        <v>155</v>
      </c>
      <c r="F26" s="18">
        <v>10.9</v>
      </c>
      <c r="G26" s="19">
        <v>11.4</v>
      </c>
      <c r="H26" s="18">
        <v>16</v>
      </c>
      <c r="I26" s="20">
        <v>1.9990000000000001</v>
      </c>
      <c r="J26" s="21"/>
      <c r="K26" s="93"/>
      <c r="L26" s="93"/>
      <c r="N26" s="18">
        <v>64</v>
      </c>
      <c r="O26" s="20">
        <v>7.9526400000000006</v>
      </c>
      <c r="P26" s="22">
        <f t="shared" si="0"/>
        <v>-5.95364</v>
      </c>
    </row>
    <row r="27" spans="1:16" ht="23.25" customHeight="1">
      <c r="A27" s="14"/>
      <c r="B27" s="15"/>
      <c r="C27" s="16"/>
      <c r="D27" s="17"/>
      <c r="E27" s="17"/>
      <c r="F27" s="18"/>
      <c r="G27" s="19"/>
      <c r="H27" s="23">
        <f>SUM(H26)</f>
        <v>16</v>
      </c>
      <c r="I27" s="24">
        <f>SUM(I26)</f>
        <v>1.9990000000000001</v>
      </c>
      <c r="J27" s="21"/>
      <c r="K27" s="94"/>
      <c r="L27" s="94"/>
      <c r="N27" s="23">
        <v>64</v>
      </c>
      <c r="O27" s="24">
        <v>7.9526400000000006</v>
      </c>
      <c r="P27" s="22">
        <f t="shared" si="0"/>
        <v>-5.95364</v>
      </c>
    </row>
    <row r="28" spans="1:16" ht="23.25" customHeight="1">
      <c r="A28" s="14"/>
      <c r="B28" s="15"/>
      <c r="C28" s="16"/>
      <c r="D28" s="17"/>
      <c r="E28" s="17"/>
      <c r="F28" s="18">
        <v>10.9</v>
      </c>
      <c r="G28" s="19">
        <v>11.4</v>
      </c>
      <c r="H28" s="18">
        <f>64-16</f>
        <v>48</v>
      </c>
      <c r="I28" s="20">
        <f>7.953-1.999</f>
        <v>5.9540000000000006</v>
      </c>
      <c r="J28" s="21"/>
      <c r="K28" s="92">
        <f>+I29+I31+I34+I38+I40</f>
        <v>11.037000000000001</v>
      </c>
      <c r="L28" s="92" t="s">
        <v>158</v>
      </c>
      <c r="N28" s="23"/>
      <c r="O28" s="24"/>
      <c r="P28" s="22"/>
    </row>
    <row r="29" spans="1:16" ht="23.25" customHeight="1">
      <c r="A29" s="14"/>
      <c r="B29" s="15"/>
      <c r="C29" s="16"/>
      <c r="D29" s="17"/>
      <c r="E29" s="17"/>
      <c r="F29" s="18"/>
      <c r="G29" s="19"/>
      <c r="H29" s="23">
        <f>SUM(H28)</f>
        <v>48</v>
      </c>
      <c r="I29" s="24">
        <f>SUM(I28)</f>
        <v>5.9540000000000006</v>
      </c>
      <c r="J29" s="21"/>
      <c r="K29" s="93"/>
      <c r="L29" s="93"/>
      <c r="N29" s="23"/>
      <c r="O29" s="24"/>
      <c r="P29" s="22"/>
    </row>
    <row r="30" spans="1:16" ht="23.25" customHeight="1">
      <c r="A30" s="14">
        <v>5</v>
      </c>
      <c r="B30" s="15" t="s">
        <v>95</v>
      </c>
      <c r="C30" s="16" t="s">
        <v>54</v>
      </c>
      <c r="D30" s="17" t="s">
        <v>69</v>
      </c>
      <c r="E30" s="17" t="s">
        <v>149</v>
      </c>
      <c r="F30" s="18">
        <v>9.26</v>
      </c>
      <c r="G30" s="19">
        <v>6.2</v>
      </c>
      <c r="H30" s="18">
        <v>21</v>
      </c>
      <c r="I30" s="20">
        <v>1.206</v>
      </c>
      <c r="J30" s="21"/>
      <c r="K30" s="93"/>
      <c r="L30" s="93"/>
      <c r="N30" s="18">
        <v>21</v>
      </c>
      <c r="O30" s="20">
        <v>1.2056519999999999</v>
      </c>
      <c r="P30" s="22">
        <f t="shared" si="0"/>
        <v>3.4800000000001496E-4</v>
      </c>
    </row>
    <row r="31" spans="1:16" ht="23.25" customHeight="1">
      <c r="A31" s="14"/>
      <c r="B31" s="15"/>
      <c r="C31" s="16"/>
      <c r="D31" s="17"/>
      <c r="E31" s="17"/>
      <c r="F31" s="18"/>
      <c r="G31" s="19"/>
      <c r="H31" s="23">
        <f>SUM(H30)</f>
        <v>21</v>
      </c>
      <c r="I31" s="24">
        <f>SUM(I30)</f>
        <v>1.206</v>
      </c>
      <c r="J31" s="21"/>
      <c r="K31" s="93"/>
      <c r="L31" s="93"/>
      <c r="N31" s="23">
        <v>21</v>
      </c>
      <c r="O31" s="24">
        <v>1.2056519999999999</v>
      </c>
      <c r="P31" s="22">
        <f t="shared" si="0"/>
        <v>3.4800000000001496E-4</v>
      </c>
    </row>
    <row r="32" spans="1:16" ht="23.25" customHeight="1">
      <c r="A32" s="14">
        <v>6</v>
      </c>
      <c r="B32" s="15" t="s">
        <v>95</v>
      </c>
      <c r="C32" s="16" t="s">
        <v>54</v>
      </c>
      <c r="D32" s="17" t="s">
        <v>69</v>
      </c>
      <c r="E32" s="17" t="s">
        <v>150</v>
      </c>
      <c r="F32" s="18">
        <v>6.85</v>
      </c>
      <c r="G32" s="19">
        <v>10</v>
      </c>
      <c r="H32" s="18">
        <v>2</v>
      </c>
      <c r="I32" s="20">
        <v>0.13700000000000001</v>
      </c>
      <c r="J32" s="21"/>
      <c r="K32" s="93"/>
      <c r="L32" s="93"/>
      <c r="N32" s="18">
        <v>2</v>
      </c>
      <c r="O32" s="20">
        <v>0.13700000000000001</v>
      </c>
      <c r="P32" s="22">
        <f t="shared" si="0"/>
        <v>0</v>
      </c>
    </row>
    <row r="33" spans="1:16" ht="23.25" customHeight="1">
      <c r="A33" s="14"/>
      <c r="B33" s="15"/>
      <c r="C33" s="16"/>
      <c r="D33" s="17"/>
      <c r="E33" s="17"/>
      <c r="F33" s="18">
        <v>6.85</v>
      </c>
      <c r="G33" s="19">
        <v>11.5</v>
      </c>
      <c r="H33" s="18">
        <v>21</v>
      </c>
      <c r="I33" s="20">
        <v>1.6539999999999999</v>
      </c>
      <c r="J33" s="21"/>
      <c r="K33" s="93"/>
      <c r="L33" s="93"/>
      <c r="N33" s="18">
        <v>21</v>
      </c>
      <c r="O33" s="20">
        <v>1.6542749999999999</v>
      </c>
      <c r="P33" s="22">
        <f t="shared" si="0"/>
        <v>-2.7500000000002522E-4</v>
      </c>
    </row>
    <row r="34" spans="1:16" ht="23.25" customHeight="1">
      <c r="A34" s="14"/>
      <c r="B34" s="15"/>
      <c r="C34" s="16"/>
      <c r="D34" s="17"/>
      <c r="E34" s="17"/>
      <c r="F34" s="18"/>
      <c r="G34" s="19"/>
      <c r="H34" s="23">
        <f>SUM(H32:H33)</f>
        <v>23</v>
      </c>
      <c r="I34" s="24">
        <f>SUM(I32:I33)</f>
        <v>1.7909999999999999</v>
      </c>
      <c r="J34" s="21"/>
      <c r="K34" s="93"/>
      <c r="L34" s="93"/>
      <c r="N34" s="23">
        <v>23</v>
      </c>
      <c r="O34" s="24">
        <v>1.791275</v>
      </c>
      <c r="P34" s="22">
        <f t="shared" si="0"/>
        <v>-2.7500000000002522E-4</v>
      </c>
    </row>
    <row r="35" spans="1:16" ht="23.25" customHeight="1">
      <c r="A35" s="14">
        <v>7</v>
      </c>
      <c r="B35" s="15" t="s">
        <v>95</v>
      </c>
      <c r="C35" s="16" t="s">
        <v>54</v>
      </c>
      <c r="D35" s="17" t="s">
        <v>69</v>
      </c>
      <c r="E35" s="17" t="s">
        <v>154</v>
      </c>
      <c r="F35" s="18">
        <v>8.3000000000000007</v>
      </c>
      <c r="G35" s="19">
        <v>10.8</v>
      </c>
      <c r="H35" s="18">
        <v>2</v>
      </c>
      <c r="I35" s="20">
        <v>0.17899999999999999</v>
      </c>
      <c r="J35" s="21"/>
      <c r="K35" s="93"/>
      <c r="L35" s="93"/>
      <c r="N35" s="18">
        <v>2</v>
      </c>
      <c r="O35" s="20">
        <v>0.17928000000000002</v>
      </c>
      <c r="P35" s="22">
        <f t="shared" si="0"/>
        <v>-2.8000000000003022E-4</v>
      </c>
    </row>
    <row r="36" spans="1:16" ht="23.25" customHeight="1">
      <c r="A36" s="14"/>
      <c r="B36" s="15"/>
      <c r="C36" s="16"/>
      <c r="D36" s="17"/>
      <c r="E36" s="17"/>
      <c r="F36" s="18">
        <v>8.3000000000000007</v>
      </c>
      <c r="G36" s="19">
        <v>11</v>
      </c>
      <c r="H36" s="18">
        <v>1</v>
      </c>
      <c r="I36" s="20">
        <v>9.0999999999999998E-2</v>
      </c>
      <c r="J36" s="21"/>
      <c r="K36" s="93"/>
      <c r="L36" s="93"/>
      <c r="N36" s="18">
        <v>1</v>
      </c>
      <c r="O36" s="20">
        <v>9.1300000000000006E-2</v>
      </c>
      <c r="P36" s="22">
        <f t="shared" si="0"/>
        <v>-3.0000000000000859E-4</v>
      </c>
    </row>
    <row r="37" spans="1:16" ht="23.25" customHeight="1">
      <c r="A37" s="14"/>
      <c r="B37" s="15"/>
      <c r="C37" s="16"/>
      <c r="D37" s="17"/>
      <c r="E37" s="17"/>
      <c r="F37" s="18">
        <v>8.3000000000000007</v>
      </c>
      <c r="G37" s="19">
        <v>11.1</v>
      </c>
      <c r="H37" s="18">
        <v>17</v>
      </c>
      <c r="I37" s="20">
        <v>1.5660000000000001</v>
      </c>
      <c r="J37" s="21"/>
      <c r="K37" s="93"/>
      <c r="L37" s="93"/>
      <c r="N37" s="18">
        <v>17</v>
      </c>
      <c r="O37" s="20">
        <v>1.5662100000000003</v>
      </c>
      <c r="P37" s="22">
        <f t="shared" si="0"/>
        <v>-2.1000000000026553E-4</v>
      </c>
    </row>
    <row r="38" spans="1:16" ht="23.25" customHeight="1">
      <c r="A38" s="14"/>
      <c r="B38" s="15"/>
      <c r="C38" s="16"/>
      <c r="D38" s="17"/>
      <c r="E38" s="17"/>
      <c r="F38" s="18"/>
      <c r="G38" s="19"/>
      <c r="H38" s="23">
        <f>SUM(H35:H37)</f>
        <v>20</v>
      </c>
      <c r="I38" s="24">
        <f>SUM(I35:I37)</f>
        <v>1.8360000000000001</v>
      </c>
      <c r="J38" s="21"/>
      <c r="K38" s="93"/>
      <c r="L38" s="93"/>
      <c r="N38" s="23">
        <v>20</v>
      </c>
      <c r="O38" s="24">
        <v>1.8367900000000004</v>
      </c>
      <c r="P38" s="22">
        <f t="shared" si="0"/>
        <v>-7.9000000000029047E-4</v>
      </c>
    </row>
    <row r="39" spans="1:16" ht="23.25" customHeight="1">
      <c r="A39" s="14">
        <v>9</v>
      </c>
      <c r="B39" s="15" t="s">
        <v>151</v>
      </c>
      <c r="C39" s="16" t="s">
        <v>152</v>
      </c>
      <c r="D39" s="17" t="s">
        <v>153</v>
      </c>
      <c r="E39" s="17" t="s">
        <v>44</v>
      </c>
      <c r="F39" s="18">
        <v>8.32</v>
      </c>
      <c r="G39" s="19">
        <v>7.5</v>
      </c>
      <c r="H39" s="18">
        <v>4</v>
      </c>
      <c r="I39" s="20">
        <v>0.25</v>
      </c>
      <c r="J39" s="21"/>
      <c r="K39" s="93"/>
      <c r="L39" s="93"/>
      <c r="N39" s="18">
        <v>4</v>
      </c>
      <c r="O39" s="20">
        <v>0.24960000000000002</v>
      </c>
      <c r="P39" s="22">
        <f t="shared" si="0"/>
        <v>3.999999999999837E-4</v>
      </c>
    </row>
    <row r="40" spans="1:16" ht="23.25" customHeight="1">
      <c r="A40" s="14"/>
      <c r="B40" s="15"/>
      <c r="C40" s="16"/>
      <c r="D40" s="17"/>
      <c r="E40" s="17"/>
      <c r="F40" s="18"/>
      <c r="G40" s="19"/>
      <c r="H40" s="23">
        <f>SUM(H39:H39)</f>
        <v>4</v>
      </c>
      <c r="I40" s="24">
        <f>SUM(I39:I39)</f>
        <v>0.25</v>
      </c>
      <c r="J40" s="21"/>
      <c r="K40" s="94"/>
      <c r="L40" s="94"/>
      <c r="N40" s="23">
        <v>4</v>
      </c>
      <c r="O40" s="24">
        <v>0.24960000000000002</v>
      </c>
      <c r="P40" s="22">
        <f t="shared" si="0"/>
        <v>3.999999999999837E-4</v>
      </c>
    </row>
    <row r="41" spans="1:16" ht="23.25" customHeight="1">
      <c r="A41" s="27"/>
      <c r="B41" s="28"/>
      <c r="C41" s="28"/>
      <c r="D41" s="28"/>
      <c r="E41" s="21"/>
      <c r="F41" s="18"/>
      <c r="G41" s="19"/>
      <c r="H41" s="23">
        <f>SUM(H40,H38,H34,H31,H29,H27,H25,H22,H20,H16)</f>
        <v>297</v>
      </c>
      <c r="I41" s="24">
        <f>SUM(I40,I38,I34,I31,I29,I27,I25,I22,I20,I16)</f>
        <v>32.701000000000001</v>
      </c>
      <c r="J41" s="21"/>
      <c r="K41" s="78"/>
      <c r="L41" s="79"/>
      <c r="N41" s="23">
        <v>297</v>
      </c>
      <c r="O41" s="24">
        <v>32.700846999999996</v>
      </c>
      <c r="P41" s="22">
        <f t="shared" si="0"/>
        <v>1.5300000000451064E-4</v>
      </c>
    </row>
    <row r="42" spans="1:16" ht="23.25" customHeight="1">
      <c r="A42" s="27"/>
      <c r="B42" s="28"/>
      <c r="C42" s="28"/>
      <c r="D42" s="28"/>
      <c r="E42" s="21"/>
      <c r="F42" s="18"/>
      <c r="G42" s="19"/>
      <c r="H42" s="25"/>
      <c r="I42" s="26"/>
      <c r="J42" s="21"/>
      <c r="K42" s="21"/>
      <c r="L42" s="21"/>
      <c r="N42" s="25"/>
      <c r="O42" s="26"/>
      <c r="P42" s="22">
        <f t="shared" si="0"/>
        <v>0</v>
      </c>
    </row>
    <row r="43" spans="1:16" ht="23.25" customHeight="1">
      <c r="A43" s="27"/>
      <c r="B43" s="28"/>
      <c r="C43" s="28"/>
      <c r="D43" s="28"/>
      <c r="E43" s="21"/>
      <c r="F43" s="18"/>
      <c r="G43" s="19"/>
      <c r="H43" s="25"/>
      <c r="I43" s="26"/>
      <c r="J43" s="21"/>
      <c r="K43" s="21"/>
      <c r="L43" s="29"/>
      <c r="N43" s="25"/>
      <c r="O43" s="26"/>
      <c r="P43" s="22">
        <f t="shared" si="0"/>
        <v>0</v>
      </c>
    </row>
    <row r="44" spans="1:16" ht="23.25" customHeight="1" thickBot="1">
      <c r="A44" s="30"/>
      <c r="B44" s="31"/>
      <c r="C44" s="31"/>
      <c r="D44" s="31"/>
      <c r="E44" s="32" t="s">
        <v>29</v>
      </c>
      <c r="F44" s="33"/>
      <c r="G44" s="26"/>
      <c r="H44" s="34">
        <f>+H41</f>
        <v>297</v>
      </c>
      <c r="I44" s="26">
        <f>+I41</f>
        <v>32.701000000000001</v>
      </c>
      <c r="J44" s="26"/>
      <c r="K44" s="26">
        <f>+K28+K13</f>
        <v>32.701000000000001</v>
      </c>
      <c r="L44" s="35"/>
      <c r="N44" s="34">
        <v>297</v>
      </c>
      <c r="O44" s="26">
        <v>32.700846999999996</v>
      </c>
      <c r="P44" s="22">
        <f t="shared" si="0"/>
        <v>1.5300000000451064E-4</v>
      </c>
    </row>
    <row r="45" spans="1:16" ht="23.25">
      <c r="A45" s="36"/>
      <c r="B45" s="37" t="s">
        <v>30</v>
      </c>
      <c r="C45" s="38"/>
      <c r="D45" s="39" t="s">
        <v>31</v>
      </c>
      <c r="E45" s="40" t="s">
        <v>32</v>
      </c>
      <c r="F45" s="41"/>
      <c r="G45" s="42"/>
      <c r="H45" s="42"/>
      <c r="I45" s="43" t="s">
        <v>33</v>
      </c>
      <c r="J45" s="43"/>
      <c r="K45" s="44"/>
      <c r="L45" s="45"/>
      <c r="N45" s="22"/>
    </row>
    <row r="46" spans="1:16" ht="23.25">
      <c r="A46" s="46"/>
      <c r="B46" s="37"/>
      <c r="C46" s="47"/>
      <c r="D46" s="48"/>
      <c r="E46" s="48"/>
      <c r="F46" s="48" t="s">
        <v>34</v>
      </c>
      <c r="G46" s="48" t="s">
        <v>34</v>
      </c>
      <c r="H46" s="48"/>
      <c r="I46" s="48"/>
      <c r="J46" s="48"/>
      <c r="K46" s="48"/>
      <c r="L46" s="49"/>
    </row>
    <row r="47" spans="1:16" ht="23.25">
      <c r="A47" s="46"/>
      <c r="B47" s="37"/>
      <c r="C47" s="47"/>
      <c r="D47" s="48"/>
      <c r="E47" s="48"/>
      <c r="F47" s="48"/>
      <c r="G47" s="48"/>
      <c r="H47" s="48"/>
      <c r="I47" s="48"/>
      <c r="J47" s="48"/>
      <c r="K47" s="48"/>
      <c r="L47" s="49"/>
    </row>
    <row r="48" spans="1:16" ht="24" thickBot="1">
      <c r="A48" s="50"/>
      <c r="B48" s="51" t="s">
        <v>35</v>
      </c>
      <c r="C48" s="51"/>
      <c r="D48" s="51"/>
      <c r="E48" s="52" t="s">
        <v>36</v>
      </c>
      <c r="F48" s="53"/>
      <c r="G48" s="53"/>
      <c r="H48" s="54"/>
      <c r="I48" s="55" t="s">
        <v>37</v>
      </c>
      <c r="J48" s="55"/>
      <c r="K48" s="52"/>
      <c r="L48" s="56"/>
    </row>
    <row r="52" spans="8:11">
      <c r="H52" s="57"/>
      <c r="I52" s="22"/>
      <c r="J52" s="22"/>
    </row>
    <row r="53" spans="8:11">
      <c r="I53" s="22"/>
    </row>
    <row r="54" spans="8:11">
      <c r="H54" s="57"/>
    </row>
    <row r="57" spans="8:11" ht="22.5">
      <c r="I57" s="20">
        <f>F57*G57*H57/1000</f>
        <v>0</v>
      </c>
      <c r="J57" s="22">
        <f>+I44+'0403  03.01.24 JBP '!I32+'5844  03.01.24 BUB'!I26+'4944  03.01.24 BUB '!I30+'7423  03.01.24 JBP'!I32</f>
        <v>163.03694999999999</v>
      </c>
      <c r="K57" s="22">
        <f>+'7423  03.01.24 JBP'!I32+'4944  03.01.24 BUB '!I30+'5844  03.01.24 BUB'!I26+'0403  03.01.24 JBP '!I32+'3044  03.01.24 BB '!I44</f>
        <v>163.03694999999999</v>
      </c>
    </row>
  </sheetData>
  <mergeCells count="7">
    <mergeCell ref="K13:K27"/>
    <mergeCell ref="L13:L27"/>
    <mergeCell ref="K28:K40"/>
    <mergeCell ref="L28:L40"/>
    <mergeCell ref="A1:L1"/>
    <mergeCell ref="A2:L2"/>
    <mergeCell ref="A4:L4"/>
  </mergeCells>
  <pageMargins left="0.24" right="0.2" top="0.44" bottom="0.35" header="0.3" footer="0.3"/>
  <pageSetup paperSize="9" scale="4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A1:P39"/>
  <sheetViews>
    <sheetView topLeftCell="A10" zoomScale="75" zoomScaleNormal="75" workbookViewId="0">
      <selection activeCell="B13" sqref="B13:E13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131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125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130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132</v>
      </c>
      <c r="C13" s="16" t="s">
        <v>54</v>
      </c>
      <c r="D13" s="17" t="s">
        <v>133</v>
      </c>
      <c r="E13" s="17" t="s">
        <v>134</v>
      </c>
      <c r="F13" s="18">
        <v>23.6</v>
      </c>
      <c r="G13" s="19">
        <v>10.3</v>
      </c>
      <c r="H13" s="18">
        <v>12</v>
      </c>
      <c r="I13" s="20">
        <v>2.9169999999999998</v>
      </c>
      <c r="J13" s="21"/>
      <c r="K13" s="104">
        <f>+I15</f>
        <v>11.693</v>
      </c>
      <c r="L13" s="104" t="s">
        <v>141</v>
      </c>
      <c r="N13" s="18">
        <v>36</v>
      </c>
      <c r="O13" s="20">
        <v>4.7627999999999995</v>
      </c>
      <c r="P13" s="22">
        <f>I13-O13</f>
        <v>-1.8457999999999997</v>
      </c>
    </row>
    <row r="14" spans="1:16" ht="23.25" customHeight="1">
      <c r="A14" s="14"/>
      <c r="B14" s="15"/>
      <c r="C14" s="16"/>
      <c r="D14" s="17"/>
      <c r="E14" s="17"/>
      <c r="F14" s="18">
        <v>23.6</v>
      </c>
      <c r="G14" s="19">
        <v>10.4</v>
      </c>
      <c r="H14" s="18">
        <v>36</v>
      </c>
      <c r="I14" s="20">
        <v>8.7759999999999998</v>
      </c>
      <c r="J14" s="21"/>
      <c r="K14" s="104"/>
      <c r="L14" s="104"/>
      <c r="N14" s="18">
        <v>8</v>
      </c>
      <c r="O14" s="20">
        <v>1.09368</v>
      </c>
      <c r="P14" s="22">
        <f>I14-O14</f>
        <v>7.6823199999999998</v>
      </c>
    </row>
    <row r="15" spans="1:16" ht="23.25" customHeight="1">
      <c r="A15" s="14"/>
      <c r="B15" s="15"/>
      <c r="C15" s="16"/>
      <c r="D15" s="17"/>
      <c r="E15" s="17"/>
      <c r="F15" s="18"/>
      <c r="G15" s="19"/>
      <c r="H15" s="23">
        <f t="shared" ref="H15:I15" si="0">SUM(H13:H14)</f>
        <v>48</v>
      </c>
      <c r="I15" s="24">
        <f t="shared" si="0"/>
        <v>11.693</v>
      </c>
      <c r="J15" s="21"/>
      <c r="K15" s="104"/>
      <c r="L15" s="104"/>
      <c r="N15" s="18"/>
      <c r="O15" s="20"/>
      <c r="P15" s="22"/>
    </row>
    <row r="16" spans="1:16" ht="23.25" customHeight="1">
      <c r="A16" s="14"/>
      <c r="B16" s="15"/>
      <c r="C16" s="16"/>
      <c r="D16" s="17"/>
      <c r="E16" s="17"/>
      <c r="F16" s="18">
        <v>23.6</v>
      </c>
      <c r="G16" s="19">
        <v>10.4</v>
      </c>
      <c r="H16" s="18">
        <v>32</v>
      </c>
      <c r="I16" s="20">
        <f>F16*G16*H16/1000+0.039</f>
        <v>7.8930800000000003</v>
      </c>
      <c r="J16" s="21"/>
      <c r="K16" s="104">
        <f>+I17</f>
        <v>7.8930800000000003</v>
      </c>
      <c r="L16" s="104" t="s">
        <v>142</v>
      </c>
      <c r="N16" s="18"/>
      <c r="O16" s="20"/>
      <c r="P16" s="22"/>
    </row>
    <row r="17" spans="1:16" ht="23.25" customHeight="1">
      <c r="A17" s="14"/>
      <c r="B17" s="15"/>
      <c r="C17" s="16"/>
      <c r="D17" s="17"/>
      <c r="E17" s="17"/>
      <c r="F17" s="18"/>
      <c r="G17" s="19"/>
      <c r="H17" s="23">
        <f t="shared" ref="H17:I17" si="1">SUM(H16)</f>
        <v>32</v>
      </c>
      <c r="I17" s="24">
        <f t="shared" si="1"/>
        <v>7.8930800000000003</v>
      </c>
      <c r="J17" s="21"/>
      <c r="K17" s="104"/>
      <c r="L17" s="104"/>
      <c r="N17" s="18"/>
      <c r="O17" s="20"/>
      <c r="P17" s="22"/>
    </row>
    <row r="18" spans="1:16" ht="23.25" customHeight="1">
      <c r="A18" s="14"/>
      <c r="B18" s="15"/>
      <c r="C18" s="16"/>
      <c r="D18" s="17"/>
      <c r="E18" s="17"/>
      <c r="F18" s="18">
        <v>23.6</v>
      </c>
      <c r="G18" s="19">
        <v>10.4</v>
      </c>
      <c r="H18" s="18">
        <v>21</v>
      </c>
      <c r="I18" s="20">
        <v>5.2709999999999999</v>
      </c>
      <c r="J18" s="21"/>
      <c r="K18" s="104">
        <f>+I19</f>
        <v>5.2709999999999999</v>
      </c>
      <c r="L18" s="104" t="s">
        <v>143</v>
      </c>
      <c r="N18" s="18"/>
      <c r="O18" s="20"/>
      <c r="P18" s="22"/>
    </row>
    <row r="19" spans="1:16" ht="23.25" customHeight="1">
      <c r="A19" s="14"/>
      <c r="B19" s="15"/>
      <c r="C19" s="16"/>
      <c r="D19" s="17"/>
      <c r="E19" s="17"/>
      <c r="F19" s="18"/>
      <c r="G19" s="19"/>
      <c r="H19" s="23">
        <f t="shared" ref="H19:I19" si="2">SUM(H18)</f>
        <v>21</v>
      </c>
      <c r="I19" s="24">
        <f t="shared" si="2"/>
        <v>5.2709999999999999</v>
      </c>
      <c r="J19" s="21"/>
      <c r="K19" s="104"/>
      <c r="L19" s="104"/>
      <c r="N19" s="18"/>
      <c r="O19" s="20"/>
      <c r="P19" s="22"/>
    </row>
    <row r="20" spans="1:16" ht="23.25" customHeight="1">
      <c r="A20" s="14"/>
      <c r="B20" s="15"/>
      <c r="C20" s="16"/>
      <c r="D20" s="17"/>
      <c r="E20" s="17"/>
      <c r="F20" s="18">
        <v>23.6</v>
      </c>
      <c r="G20" s="19">
        <v>10.4</v>
      </c>
      <c r="H20" s="18">
        <f>117-36-32-21</f>
        <v>28</v>
      </c>
      <c r="I20" s="20">
        <f>28.716-8.776-7.893-5.271</f>
        <v>6.7760000000000007</v>
      </c>
      <c r="J20" s="21"/>
      <c r="K20" s="104">
        <f>+I22</f>
        <v>7.5550000000000006</v>
      </c>
      <c r="L20" s="104" t="s">
        <v>144</v>
      </c>
      <c r="N20" s="18"/>
      <c r="O20" s="20"/>
      <c r="P20" s="22"/>
    </row>
    <row r="21" spans="1:16" ht="23.25" customHeight="1">
      <c r="A21" s="14"/>
      <c r="B21" s="15"/>
      <c r="C21" s="16"/>
      <c r="D21" s="17"/>
      <c r="E21" s="17"/>
      <c r="F21" s="18">
        <v>23.6</v>
      </c>
      <c r="G21" s="19">
        <v>11</v>
      </c>
      <c r="H21" s="18">
        <v>3</v>
      </c>
      <c r="I21" s="20">
        <v>0.77900000000000003</v>
      </c>
      <c r="J21" s="21"/>
      <c r="K21" s="104"/>
      <c r="L21" s="104"/>
      <c r="N21" s="18">
        <v>5</v>
      </c>
      <c r="O21" s="20">
        <v>0.75705</v>
      </c>
      <c r="P21" s="22">
        <f>I21-O21</f>
        <v>2.1950000000000025E-2</v>
      </c>
    </row>
    <row r="22" spans="1:16" ht="23.25" customHeight="1">
      <c r="A22" s="14"/>
      <c r="B22" s="15"/>
      <c r="C22" s="16"/>
      <c r="D22" s="17"/>
      <c r="E22" s="17"/>
      <c r="F22" s="18"/>
      <c r="G22" s="19"/>
      <c r="H22" s="23">
        <f t="shared" ref="H22:I22" si="3">SUM(H20:H21)</f>
        <v>31</v>
      </c>
      <c r="I22" s="24">
        <f t="shared" si="3"/>
        <v>7.5550000000000006</v>
      </c>
      <c r="J22" s="21"/>
      <c r="K22" s="104"/>
      <c r="L22" s="104"/>
      <c r="N22" s="18"/>
      <c r="O22" s="20"/>
      <c r="P22" s="22"/>
    </row>
    <row r="23" spans="1:16" ht="23.25" customHeight="1">
      <c r="A23" s="14"/>
      <c r="B23" s="15"/>
      <c r="C23" s="16"/>
      <c r="D23" s="17"/>
      <c r="E23" s="17"/>
      <c r="F23" s="18"/>
      <c r="G23" s="19"/>
      <c r="H23" s="23">
        <f t="shared" ref="H23:I23" si="4">SUM(H22,H19,H17,H15)</f>
        <v>132</v>
      </c>
      <c r="I23" s="24">
        <f t="shared" si="4"/>
        <v>32.412080000000003</v>
      </c>
      <c r="J23" s="21"/>
      <c r="K23" s="62"/>
      <c r="L23" s="62"/>
      <c r="N23" s="23">
        <v>172</v>
      </c>
      <c r="O23" s="24">
        <v>31.405930000000001</v>
      </c>
      <c r="P23" s="22">
        <f>I23-O23</f>
        <v>1.0061500000000017</v>
      </c>
    </row>
    <row r="24" spans="1:16" ht="23.25" customHeight="1">
      <c r="A24" s="27"/>
      <c r="B24" s="58"/>
      <c r="C24" s="59"/>
      <c r="D24" s="60"/>
      <c r="E24" s="17"/>
      <c r="F24" s="18"/>
      <c r="G24" s="19"/>
      <c r="H24" s="23"/>
      <c r="I24" s="24"/>
      <c r="J24" s="21"/>
      <c r="K24" s="77"/>
      <c r="L24" s="70"/>
      <c r="N24" s="23"/>
      <c r="O24" s="24"/>
      <c r="P24" s="22">
        <f>I24-O24</f>
        <v>0</v>
      </c>
    </row>
    <row r="25" spans="1:16" ht="23.25" customHeight="1">
      <c r="A25" s="27"/>
      <c r="B25" s="58"/>
      <c r="C25" s="59"/>
      <c r="D25" s="60"/>
      <c r="E25" s="17"/>
      <c r="F25" s="18"/>
      <c r="G25" s="19"/>
      <c r="H25" s="23"/>
      <c r="I25" s="24"/>
      <c r="J25" s="21"/>
      <c r="K25" s="77"/>
      <c r="L25" s="70"/>
      <c r="N25" s="23"/>
      <c r="O25" s="24"/>
      <c r="P25" s="22">
        <f>I25-O25</f>
        <v>0</v>
      </c>
    </row>
    <row r="26" spans="1:16" ht="23.25" customHeight="1" thickBot="1">
      <c r="A26" s="30"/>
      <c r="B26" s="31"/>
      <c r="C26" s="31"/>
      <c r="D26" s="31"/>
      <c r="E26" s="32" t="s">
        <v>29</v>
      </c>
      <c r="F26" s="33"/>
      <c r="G26" s="26"/>
      <c r="H26" s="34">
        <f>SUM(H23)</f>
        <v>132</v>
      </c>
      <c r="I26" s="26">
        <f>SUM(I23)</f>
        <v>32.412080000000003</v>
      </c>
      <c r="J26" s="26"/>
      <c r="K26" s="26">
        <f>+K13+K16+K18+K20</f>
        <v>32.412080000000003</v>
      </c>
      <c r="L26" s="35"/>
      <c r="N26" s="34">
        <v>172</v>
      </c>
      <c r="O26" s="26">
        <v>31.405930000000001</v>
      </c>
      <c r="P26" s="22">
        <f>I26-O26</f>
        <v>1.0061500000000017</v>
      </c>
    </row>
    <row r="27" spans="1:16" ht="23.25">
      <c r="A27" s="36"/>
      <c r="B27" s="37" t="s">
        <v>30</v>
      </c>
      <c r="C27" s="38"/>
      <c r="D27" s="39" t="s">
        <v>31</v>
      </c>
      <c r="E27" s="40" t="s">
        <v>32</v>
      </c>
      <c r="F27" s="41"/>
      <c r="G27" s="42"/>
      <c r="H27" s="42"/>
      <c r="I27" s="43" t="s">
        <v>33</v>
      </c>
      <c r="J27" s="43"/>
      <c r="K27" s="44"/>
      <c r="L27" s="45"/>
      <c r="N27" s="22"/>
    </row>
    <row r="28" spans="1:16" ht="23.25">
      <c r="A28" s="46"/>
      <c r="B28" s="37"/>
      <c r="C28" s="47"/>
      <c r="D28" s="48"/>
      <c r="E28" s="48"/>
      <c r="F28" s="48" t="s">
        <v>34</v>
      </c>
      <c r="G28" s="48" t="s">
        <v>34</v>
      </c>
      <c r="H28" s="48"/>
      <c r="I28" s="48"/>
      <c r="J28" s="48"/>
      <c r="K28" s="48"/>
      <c r="L28" s="49"/>
    </row>
    <row r="29" spans="1:16" ht="23.25">
      <c r="A29" s="46"/>
      <c r="B29" s="37"/>
      <c r="C29" s="47"/>
      <c r="D29" s="48"/>
      <c r="E29" s="48"/>
      <c r="F29" s="48"/>
      <c r="G29" s="48"/>
      <c r="H29" s="48"/>
      <c r="I29" s="48"/>
      <c r="J29" s="48"/>
      <c r="K29" s="48"/>
      <c r="L29" s="49"/>
    </row>
    <row r="30" spans="1:16" ht="24" thickBot="1">
      <c r="A30" s="50"/>
      <c r="B30" s="51" t="s">
        <v>35</v>
      </c>
      <c r="C30" s="51"/>
      <c r="D30" s="51"/>
      <c r="E30" s="52" t="s">
        <v>36</v>
      </c>
      <c r="F30" s="53"/>
      <c r="G30" s="53"/>
      <c r="H30" s="54"/>
      <c r="I30" s="55" t="s">
        <v>37</v>
      </c>
      <c r="J30" s="55"/>
      <c r="K30" s="52"/>
      <c r="L30" s="56"/>
    </row>
    <row r="34" spans="8:11">
      <c r="H34" s="57"/>
      <c r="I34" s="22"/>
      <c r="J34" s="22"/>
    </row>
    <row r="35" spans="8:11">
      <c r="I35" s="22"/>
    </row>
    <row r="36" spans="8:11">
      <c r="H36" s="57"/>
    </row>
    <row r="39" spans="8:11" ht="22.5">
      <c r="I39" s="20">
        <f>F39*G39*H39/1000</f>
        <v>0</v>
      </c>
      <c r="J39" s="22"/>
      <c r="K39" s="22">
        <f>+I26+'[2]9844  29.12.23 BB '!I39+'[2]2190  29.12.23 JBP '!K31+'[2]0403  29.12.23 JBP (2)'!I23+'[2]0406  29.12.23 JBP'!I28</f>
        <v>161.43669999999997</v>
      </c>
    </row>
  </sheetData>
  <mergeCells count="11">
    <mergeCell ref="K20:K22"/>
    <mergeCell ref="L20:L22"/>
    <mergeCell ref="A1:L1"/>
    <mergeCell ref="A2:L2"/>
    <mergeCell ref="A4:L4"/>
    <mergeCell ref="K13:K15"/>
    <mergeCell ref="L13:L15"/>
    <mergeCell ref="K16:K17"/>
    <mergeCell ref="L16:L17"/>
    <mergeCell ref="K18:K19"/>
    <mergeCell ref="L18:L19"/>
  </mergeCells>
  <pageMargins left="0.24" right="0.2" top="0.44" bottom="0.35" header="0.3" footer="0.3"/>
  <pageSetup paperSize="9" scale="43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3"/>
  <sheetViews>
    <sheetView topLeftCell="A10" zoomScale="75" zoomScaleNormal="75" workbookViewId="0">
      <selection activeCell="D7" sqref="D7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166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160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161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162</v>
      </c>
      <c r="F13" s="18">
        <v>14.66</v>
      </c>
      <c r="G13" s="19">
        <v>11.5</v>
      </c>
      <c r="H13" s="18">
        <v>21</v>
      </c>
      <c r="I13" s="20">
        <v>3.54</v>
      </c>
      <c r="J13" s="21"/>
      <c r="K13" s="92">
        <f>+I16</f>
        <v>9.9430000000000014</v>
      </c>
      <c r="L13" s="92" t="s">
        <v>164</v>
      </c>
      <c r="N13" s="18">
        <v>17</v>
      </c>
      <c r="O13" s="20">
        <v>1.2512000000000001</v>
      </c>
      <c r="P13" s="22">
        <f>I13-O13</f>
        <v>2.2888000000000002</v>
      </c>
    </row>
    <row r="14" spans="1:16" ht="23.25" customHeight="1">
      <c r="A14" s="14"/>
      <c r="B14" s="15"/>
      <c r="C14" s="16"/>
      <c r="D14" s="17"/>
      <c r="E14" s="17"/>
      <c r="F14" s="18">
        <v>14.66</v>
      </c>
      <c r="G14" s="19">
        <v>12</v>
      </c>
      <c r="H14" s="18">
        <v>8</v>
      </c>
      <c r="I14" s="20">
        <v>1.407</v>
      </c>
      <c r="J14" s="21"/>
      <c r="K14" s="93"/>
      <c r="L14" s="93"/>
      <c r="N14" s="18">
        <v>4</v>
      </c>
      <c r="O14" s="20">
        <v>0.32678400000000002</v>
      </c>
      <c r="P14" s="22">
        <f t="shared" ref="P14:P16" si="0">I14-O14</f>
        <v>1.0802160000000001</v>
      </c>
    </row>
    <row r="15" spans="1:16" ht="23.25" customHeight="1">
      <c r="A15" s="14"/>
      <c r="B15" s="15"/>
      <c r="C15" s="16"/>
      <c r="D15" s="17"/>
      <c r="E15" s="17"/>
      <c r="F15" s="18">
        <v>14.66</v>
      </c>
      <c r="G15" s="19">
        <v>7.1</v>
      </c>
      <c r="H15" s="18">
        <v>48</v>
      </c>
      <c r="I15" s="20">
        <v>4.9960000000000004</v>
      </c>
      <c r="J15" s="21"/>
      <c r="K15" s="93"/>
      <c r="L15" s="93"/>
      <c r="N15" s="18">
        <v>8</v>
      </c>
      <c r="O15" s="20">
        <v>0.70067200000000007</v>
      </c>
      <c r="P15" s="22">
        <f t="shared" si="0"/>
        <v>4.2953280000000005</v>
      </c>
    </row>
    <row r="16" spans="1:16" ht="23.25" customHeight="1">
      <c r="A16" s="14"/>
      <c r="B16" s="15"/>
      <c r="C16" s="16"/>
      <c r="D16" s="17"/>
      <c r="E16" s="17"/>
      <c r="F16" s="18"/>
      <c r="G16" s="19"/>
      <c r="H16" s="23">
        <f t="shared" ref="H16" si="1">SUM(H13:H15)</f>
        <v>77</v>
      </c>
      <c r="I16" s="24">
        <f>SUM(I13:I15)</f>
        <v>9.9430000000000014</v>
      </c>
      <c r="J16" s="21"/>
      <c r="K16" s="93"/>
      <c r="L16" s="93"/>
      <c r="N16" s="23">
        <v>29</v>
      </c>
      <c r="O16" s="24">
        <v>2.2786560000000002</v>
      </c>
      <c r="P16" s="22">
        <f t="shared" si="0"/>
        <v>7.6643440000000016</v>
      </c>
    </row>
    <row r="17" spans="1:16" ht="23.25" customHeight="1">
      <c r="A17" s="27"/>
      <c r="B17" s="28"/>
      <c r="C17" s="28"/>
      <c r="D17" s="28"/>
      <c r="E17" s="21"/>
      <c r="F17" s="18"/>
      <c r="G17" s="19"/>
      <c r="H17" s="23">
        <f t="shared" ref="H17:I17" si="2">SUM(H16)</f>
        <v>77</v>
      </c>
      <c r="I17" s="24">
        <f t="shared" si="2"/>
        <v>9.9430000000000014</v>
      </c>
      <c r="J17" s="21"/>
      <c r="K17" s="78"/>
      <c r="L17" s="80"/>
      <c r="N17" s="23">
        <v>408</v>
      </c>
      <c r="O17" s="24">
        <v>33.023944</v>
      </c>
      <c r="P17" s="22">
        <f t="shared" ref="P17:P20" si="3">I17-O17</f>
        <v>-23.080943999999999</v>
      </c>
    </row>
    <row r="18" spans="1:16" ht="23.25" customHeight="1">
      <c r="A18" s="27"/>
      <c r="B18" s="28"/>
      <c r="C18" s="28"/>
      <c r="D18" s="28"/>
      <c r="E18" s="21"/>
      <c r="F18" s="18"/>
      <c r="G18" s="19"/>
      <c r="H18" s="25"/>
      <c r="I18" s="26"/>
      <c r="J18" s="21"/>
      <c r="K18" s="21"/>
      <c r="L18" s="21"/>
      <c r="N18" s="25"/>
      <c r="O18" s="26"/>
      <c r="P18" s="22">
        <f t="shared" si="3"/>
        <v>0</v>
      </c>
    </row>
    <row r="19" spans="1:16" ht="23.25" customHeight="1">
      <c r="A19" s="27"/>
      <c r="B19" s="28"/>
      <c r="C19" s="28"/>
      <c r="D19" s="28"/>
      <c r="E19" s="21"/>
      <c r="F19" s="18"/>
      <c r="G19" s="19"/>
      <c r="H19" s="25"/>
      <c r="I19" s="26"/>
      <c r="J19" s="21"/>
      <c r="K19" s="21"/>
      <c r="L19" s="29"/>
      <c r="N19" s="25"/>
      <c r="O19" s="26"/>
      <c r="P19" s="22">
        <f t="shared" si="3"/>
        <v>0</v>
      </c>
    </row>
    <row r="20" spans="1:16" ht="23.25" customHeight="1" thickBot="1">
      <c r="A20" s="30"/>
      <c r="B20" s="31"/>
      <c r="C20" s="31"/>
      <c r="D20" s="31"/>
      <c r="E20" s="32" t="s">
        <v>29</v>
      </c>
      <c r="F20" s="33"/>
      <c r="G20" s="26"/>
      <c r="H20" s="34">
        <f>+H17</f>
        <v>77</v>
      </c>
      <c r="I20" s="26">
        <f>+I17</f>
        <v>9.9430000000000014</v>
      </c>
      <c r="J20" s="26"/>
      <c r="K20" s="26">
        <f>+K13</f>
        <v>9.9430000000000014</v>
      </c>
      <c r="L20" s="35"/>
      <c r="N20" s="34">
        <v>408</v>
      </c>
      <c r="O20" s="26">
        <v>33.023944</v>
      </c>
      <c r="P20" s="22">
        <f t="shared" si="3"/>
        <v>-23.080943999999999</v>
      </c>
    </row>
    <row r="21" spans="1:16" ht="23.25">
      <c r="A21" s="36"/>
      <c r="B21" s="37" t="s">
        <v>30</v>
      </c>
      <c r="C21" s="38"/>
      <c r="D21" s="39" t="s">
        <v>31</v>
      </c>
      <c r="E21" s="40" t="s">
        <v>32</v>
      </c>
      <c r="F21" s="41"/>
      <c r="G21" s="42"/>
      <c r="H21" s="42"/>
      <c r="I21" s="43" t="s">
        <v>33</v>
      </c>
      <c r="J21" s="43"/>
      <c r="K21" s="44"/>
      <c r="L21" s="45"/>
      <c r="N21" s="22"/>
    </row>
    <row r="22" spans="1:16" ht="23.25">
      <c r="A22" s="46"/>
      <c r="B22" s="37"/>
      <c r="C22" s="47"/>
      <c r="D22" s="48"/>
      <c r="E22" s="48"/>
      <c r="F22" s="48" t="s">
        <v>34</v>
      </c>
      <c r="G22" s="48" t="s">
        <v>34</v>
      </c>
      <c r="H22" s="48"/>
      <c r="I22" s="48"/>
      <c r="J22" s="48"/>
      <c r="K22" s="48"/>
      <c r="L22" s="49"/>
    </row>
    <row r="23" spans="1:16" ht="23.25">
      <c r="A23" s="46"/>
      <c r="B23" s="37"/>
      <c r="C23" s="47"/>
      <c r="D23" s="48"/>
      <c r="E23" s="48"/>
      <c r="F23" s="48"/>
      <c r="G23" s="48"/>
      <c r="H23" s="48"/>
      <c r="I23" s="48"/>
      <c r="J23" s="48"/>
      <c r="K23" s="48"/>
      <c r="L23" s="49"/>
    </row>
    <row r="24" spans="1:16" ht="24" thickBot="1">
      <c r="A24" s="50"/>
      <c r="B24" s="51" t="s">
        <v>35</v>
      </c>
      <c r="C24" s="51"/>
      <c r="D24" s="51"/>
      <c r="E24" s="52" t="s">
        <v>36</v>
      </c>
      <c r="F24" s="53"/>
      <c r="G24" s="53"/>
      <c r="H24" s="54"/>
      <c r="I24" s="55" t="s">
        <v>37</v>
      </c>
      <c r="J24" s="55"/>
      <c r="K24" s="52"/>
      <c r="L24" s="56"/>
    </row>
    <row r="28" spans="1:16">
      <c r="H28" s="57"/>
      <c r="I28" s="22"/>
      <c r="J28" s="22"/>
    </row>
    <row r="29" spans="1:16">
      <c r="I29" s="22"/>
    </row>
    <row r="30" spans="1:16">
      <c r="H30" s="57"/>
    </row>
    <row r="33" spans="9:11" ht="22.5">
      <c r="I33" s="20">
        <f>F33*G33*H33/1000</f>
        <v>0</v>
      </c>
      <c r="J33" s="22"/>
      <c r="K33" s="22">
        <f>+' 0508 02.01.24 JBP '!I29+'4944 02.01.24 BUB'!I53+' 0311 02.01.24 JBP '!I32+'3944  02.01.24 BUB'!I37+'0398  02.01.24 JBP '!I33+'2189  04.01.24 JBP '!I20</f>
        <v>172.92100000000005</v>
      </c>
    </row>
  </sheetData>
  <mergeCells count="5">
    <mergeCell ref="A1:L1"/>
    <mergeCell ref="A2:L2"/>
    <mergeCell ref="A4:L4"/>
    <mergeCell ref="K13:K16"/>
    <mergeCell ref="L13:L16"/>
  </mergeCells>
  <pageMargins left="0.24" right="0.2" top="0.44" bottom="0.35" header="0.3" footer="0.3"/>
  <pageSetup paperSize="9" scale="4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9"/>
  <sheetViews>
    <sheetView topLeftCell="A25" zoomScale="75" zoomScaleNormal="75" workbookViewId="0">
      <selection activeCell="H38" sqref="H38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163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160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169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39</v>
      </c>
      <c r="D13" s="17" t="s">
        <v>40</v>
      </c>
      <c r="E13" s="17" t="s">
        <v>41</v>
      </c>
      <c r="F13" s="18">
        <v>9.26</v>
      </c>
      <c r="G13" s="19">
        <v>8.1999999999999993</v>
      </c>
      <c r="H13" s="18">
        <v>24</v>
      </c>
      <c r="I13" s="20">
        <v>1.8220000000000001</v>
      </c>
      <c r="J13" s="21"/>
      <c r="K13" s="104">
        <f>+I17+I19+I21</f>
        <v>11.715</v>
      </c>
      <c r="L13" s="104" t="s">
        <v>165</v>
      </c>
      <c r="N13" s="18">
        <v>17</v>
      </c>
      <c r="O13" s="20">
        <v>1.2512000000000001</v>
      </c>
      <c r="P13" s="22">
        <f>I13-O13</f>
        <v>0.57079999999999997</v>
      </c>
    </row>
    <row r="14" spans="1:16" ht="23.25" customHeight="1">
      <c r="A14" s="14"/>
      <c r="B14" s="15"/>
      <c r="C14" s="16"/>
      <c r="D14" s="17"/>
      <c r="E14" s="17"/>
      <c r="F14" s="18">
        <v>9.26</v>
      </c>
      <c r="G14" s="19">
        <v>10.050000000000001</v>
      </c>
      <c r="H14" s="18">
        <v>12</v>
      </c>
      <c r="I14" s="20">
        <v>1.117</v>
      </c>
      <c r="J14" s="21"/>
      <c r="K14" s="104"/>
      <c r="L14" s="104"/>
      <c r="N14" s="18">
        <v>4</v>
      </c>
      <c r="O14" s="20">
        <v>0.32678400000000002</v>
      </c>
      <c r="P14" s="22">
        <f t="shared" ref="P14:P16" si="0">I14-O14</f>
        <v>0.79021600000000003</v>
      </c>
    </row>
    <row r="15" spans="1:16" ht="23.25" customHeight="1">
      <c r="A15" s="14"/>
      <c r="B15" s="15"/>
      <c r="C15" s="16"/>
      <c r="D15" s="17"/>
      <c r="E15" s="17"/>
      <c r="F15" s="18">
        <v>9.26</v>
      </c>
      <c r="G15" s="19">
        <v>10.199999999999999</v>
      </c>
      <c r="H15" s="18">
        <v>7</v>
      </c>
      <c r="I15" s="20">
        <v>0.66100000000000003</v>
      </c>
      <c r="J15" s="21"/>
      <c r="K15" s="104"/>
      <c r="L15" s="104"/>
      <c r="N15" s="18">
        <v>4</v>
      </c>
      <c r="O15" s="20">
        <v>0.32678400000000002</v>
      </c>
      <c r="P15" s="22">
        <f t="shared" si="0"/>
        <v>0.33421600000000001</v>
      </c>
    </row>
    <row r="16" spans="1:16" ht="23.25" customHeight="1">
      <c r="A16" s="14"/>
      <c r="B16" s="15"/>
      <c r="C16" s="16"/>
      <c r="D16" s="17"/>
      <c r="E16" s="17"/>
      <c r="F16" s="18">
        <v>9.26</v>
      </c>
      <c r="G16" s="19">
        <v>10.5</v>
      </c>
      <c r="H16" s="18">
        <v>24</v>
      </c>
      <c r="I16" s="20">
        <v>2.3340000000000001</v>
      </c>
      <c r="J16" s="21"/>
      <c r="K16" s="104"/>
      <c r="L16" s="104"/>
      <c r="N16" s="18">
        <v>4</v>
      </c>
      <c r="O16" s="20">
        <v>0.32678400000000002</v>
      </c>
      <c r="P16" s="22">
        <f t="shared" si="0"/>
        <v>2.0072160000000001</v>
      </c>
    </row>
    <row r="17" spans="1:16" ht="23.25" customHeight="1">
      <c r="A17" s="14"/>
      <c r="B17" s="15"/>
      <c r="C17" s="16"/>
      <c r="D17" s="17"/>
      <c r="E17" s="17"/>
      <c r="F17" s="18"/>
      <c r="G17" s="19"/>
      <c r="H17" s="23">
        <f>SUM(H13:H16)</f>
        <v>67</v>
      </c>
      <c r="I17" s="24">
        <f>SUM(I13:I16)</f>
        <v>5.9340000000000002</v>
      </c>
      <c r="J17" s="21"/>
      <c r="K17" s="104"/>
      <c r="L17" s="104"/>
      <c r="N17" s="23">
        <v>29</v>
      </c>
      <c r="O17" s="24">
        <v>2.2786560000000002</v>
      </c>
      <c r="P17" s="22">
        <f t="shared" ref="P17:P36" si="1">I17-O17</f>
        <v>3.6553439999999999</v>
      </c>
    </row>
    <row r="18" spans="1:16" ht="23.25" customHeight="1">
      <c r="A18" s="14">
        <v>2</v>
      </c>
      <c r="B18" s="15" t="s">
        <v>24</v>
      </c>
      <c r="C18" s="16" t="s">
        <v>39</v>
      </c>
      <c r="D18" s="17" t="s">
        <v>40</v>
      </c>
      <c r="E18" s="17" t="s">
        <v>56</v>
      </c>
      <c r="F18" s="18">
        <v>5.77</v>
      </c>
      <c r="G18" s="19">
        <v>10.5</v>
      </c>
      <c r="H18" s="18">
        <v>53</v>
      </c>
      <c r="I18" s="20">
        <v>3.2109999999999999</v>
      </c>
      <c r="J18" s="21"/>
      <c r="K18" s="104"/>
      <c r="L18" s="104"/>
      <c r="N18" s="18">
        <v>17</v>
      </c>
      <c r="O18" s="20">
        <v>1.2512000000000001</v>
      </c>
      <c r="P18" s="22">
        <f>I18-O18</f>
        <v>1.9597999999999998</v>
      </c>
    </row>
    <row r="19" spans="1:16" ht="23.25" customHeight="1">
      <c r="A19" s="14"/>
      <c r="B19" s="15"/>
      <c r="C19" s="16"/>
      <c r="D19" s="17"/>
      <c r="E19" s="17"/>
      <c r="F19" s="18"/>
      <c r="G19" s="19"/>
      <c r="H19" s="23">
        <f>SUM(H18:H18)</f>
        <v>53</v>
      </c>
      <c r="I19" s="24">
        <f>SUM(I18:I18)</f>
        <v>3.2109999999999999</v>
      </c>
      <c r="J19" s="21"/>
      <c r="K19" s="104"/>
      <c r="L19" s="104"/>
      <c r="N19" s="23">
        <v>29</v>
      </c>
      <c r="O19" s="24">
        <v>2.2786560000000002</v>
      </c>
      <c r="P19" s="22">
        <f t="shared" ref="P19" si="2">I19-O19</f>
        <v>0.93234399999999962</v>
      </c>
    </row>
    <row r="20" spans="1:16" ht="23.25" customHeight="1">
      <c r="A20" s="14">
        <v>3</v>
      </c>
      <c r="B20" s="15" t="s">
        <v>28</v>
      </c>
      <c r="C20" s="16" t="s">
        <v>39</v>
      </c>
      <c r="D20" s="17" t="s">
        <v>40</v>
      </c>
      <c r="E20" s="17" t="s">
        <v>41</v>
      </c>
      <c r="F20" s="18">
        <v>9.26</v>
      </c>
      <c r="G20" s="19">
        <v>10.050000000000001</v>
      </c>
      <c r="H20" s="18">
        <v>28</v>
      </c>
      <c r="I20" s="20">
        <v>2.57</v>
      </c>
      <c r="J20" s="21"/>
      <c r="K20" s="104"/>
      <c r="L20" s="104"/>
      <c r="N20" s="18">
        <v>17</v>
      </c>
      <c r="O20" s="20">
        <v>1.2512000000000001</v>
      </c>
      <c r="P20" s="22">
        <f>I20-O20</f>
        <v>1.3187999999999998</v>
      </c>
    </row>
    <row r="21" spans="1:16" ht="23.25" customHeight="1">
      <c r="A21" s="14"/>
      <c r="B21" s="15"/>
      <c r="C21" s="16"/>
      <c r="D21" s="17"/>
      <c r="E21" s="17"/>
      <c r="F21" s="18"/>
      <c r="G21" s="19"/>
      <c r="H21" s="23">
        <f t="shared" ref="H21" si="3">SUM(H20)</f>
        <v>28</v>
      </c>
      <c r="I21" s="24">
        <f>SUM(I20)</f>
        <v>2.57</v>
      </c>
      <c r="J21" s="21"/>
      <c r="K21" s="104"/>
      <c r="L21" s="104"/>
      <c r="N21" s="18"/>
      <c r="O21" s="20"/>
      <c r="P21" s="22"/>
    </row>
    <row r="22" spans="1:16" ht="23.25" customHeight="1">
      <c r="A22" s="14"/>
      <c r="B22" s="15"/>
      <c r="C22" s="16"/>
      <c r="D22" s="17"/>
      <c r="E22" s="17"/>
      <c r="F22" s="18">
        <v>9.26</v>
      </c>
      <c r="G22" s="19">
        <v>10.050000000000001</v>
      </c>
      <c r="H22" s="18">
        <v>123</v>
      </c>
      <c r="I22" s="20">
        <v>11.5</v>
      </c>
      <c r="J22" s="21"/>
      <c r="K22" s="104">
        <f>+I23</f>
        <v>11.5</v>
      </c>
      <c r="L22" s="104" t="s">
        <v>167</v>
      </c>
      <c r="N22" s="18"/>
      <c r="O22" s="20"/>
      <c r="P22" s="22"/>
    </row>
    <row r="23" spans="1:16" ht="23.25" customHeight="1">
      <c r="A23" s="14"/>
      <c r="B23" s="15"/>
      <c r="C23" s="16"/>
      <c r="D23" s="17"/>
      <c r="E23" s="17"/>
      <c r="F23" s="18"/>
      <c r="G23" s="19"/>
      <c r="H23" s="23">
        <f>SUM(H22:H22)</f>
        <v>123</v>
      </c>
      <c r="I23" s="24">
        <f>SUM(I22:I22)</f>
        <v>11.5</v>
      </c>
      <c r="J23" s="21"/>
      <c r="K23" s="104"/>
      <c r="L23" s="104"/>
      <c r="N23" s="18"/>
      <c r="O23" s="20"/>
      <c r="P23" s="22"/>
    </row>
    <row r="24" spans="1:16" ht="23.25" customHeight="1">
      <c r="A24" s="14"/>
      <c r="B24" s="15"/>
      <c r="C24" s="16"/>
      <c r="D24" s="17"/>
      <c r="E24" s="17"/>
      <c r="F24" s="18">
        <v>9.26</v>
      </c>
      <c r="G24" s="19">
        <v>10.050000000000001</v>
      </c>
      <c r="H24" s="18">
        <f>126+36-28-123</f>
        <v>11</v>
      </c>
      <c r="I24" s="20">
        <f>11.726+3.35-2.57-11.5</f>
        <v>1.0060000000000002</v>
      </c>
      <c r="J24" s="21"/>
      <c r="K24" s="92">
        <f>+I28+I32</f>
        <v>9.3979999999999997</v>
      </c>
      <c r="L24" s="92" t="s">
        <v>168</v>
      </c>
      <c r="N24" s="18"/>
      <c r="O24" s="20"/>
      <c r="P24" s="22"/>
    </row>
    <row r="25" spans="1:16" ht="23.25" customHeight="1">
      <c r="A25" s="14"/>
      <c r="B25" s="15"/>
      <c r="C25" s="16"/>
      <c r="D25" s="17"/>
      <c r="E25" s="17"/>
      <c r="F25" s="18">
        <v>9.26</v>
      </c>
      <c r="G25" s="19">
        <v>10.5</v>
      </c>
      <c r="H25" s="18">
        <v>6</v>
      </c>
      <c r="I25" s="20">
        <v>0.58299999999999996</v>
      </c>
      <c r="J25" s="21"/>
      <c r="K25" s="93"/>
      <c r="L25" s="93"/>
      <c r="N25" s="18"/>
      <c r="O25" s="20"/>
      <c r="P25" s="22"/>
    </row>
    <row r="26" spans="1:16" ht="23.25" customHeight="1">
      <c r="A26" s="14"/>
      <c r="B26" s="15"/>
      <c r="C26" s="16"/>
      <c r="D26" s="17"/>
      <c r="E26" s="17"/>
      <c r="F26" s="18">
        <v>9.26</v>
      </c>
      <c r="G26" s="19">
        <v>11</v>
      </c>
      <c r="H26" s="18">
        <f>20-10+13</f>
        <v>23</v>
      </c>
      <c r="I26" s="20">
        <f>1.019+1.324</f>
        <v>2.343</v>
      </c>
      <c r="J26" s="21"/>
      <c r="K26" s="93"/>
      <c r="L26" s="93"/>
      <c r="N26" s="18"/>
      <c r="O26" s="20"/>
      <c r="P26" s="22"/>
    </row>
    <row r="27" spans="1:16" ht="23.25" customHeight="1">
      <c r="A27" s="14"/>
      <c r="B27" s="15"/>
      <c r="C27" s="16"/>
      <c r="D27" s="17"/>
      <c r="E27" s="17"/>
      <c r="F27" s="18">
        <v>9.26</v>
      </c>
      <c r="G27" s="19">
        <v>12</v>
      </c>
      <c r="H27" s="18">
        <v>10</v>
      </c>
      <c r="I27" s="20">
        <v>1.111</v>
      </c>
      <c r="J27" s="21"/>
      <c r="K27" s="93"/>
      <c r="L27" s="93"/>
      <c r="N27" s="18">
        <v>4</v>
      </c>
      <c r="O27" s="20">
        <v>0.32678400000000002</v>
      </c>
      <c r="P27" s="22">
        <f t="shared" ref="P27:P28" si="4">I27-O27</f>
        <v>0.78421600000000002</v>
      </c>
    </row>
    <row r="28" spans="1:16" ht="23.25" customHeight="1">
      <c r="A28" s="14"/>
      <c r="B28" s="15"/>
      <c r="C28" s="16"/>
      <c r="D28" s="17"/>
      <c r="E28" s="17"/>
      <c r="F28" s="18"/>
      <c r="G28" s="19"/>
      <c r="H28" s="23">
        <f>SUM(H24:H27)</f>
        <v>50</v>
      </c>
      <c r="I28" s="24">
        <f>SUM(I24:I27)</f>
        <v>5.0430000000000001</v>
      </c>
      <c r="J28" s="21"/>
      <c r="K28" s="93"/>
      <c r="L28" s="93"/>
      <c r="N28" s="23">
        <v>29</v>
      </c>
      <c r="O28" s="24">
        <v>2.2786560000000002</v>
      </c>
      <c r="P28" s="22">
        <f t="shared" si="4"/>
        <v>2.7643439999999999</v>
      </c>
    </row>
    <row r="29" spans="1:16" ht="23.25" customHeight="1">
      <c r="A29" s="14">
        <v>4</v>
      </c>
      <c r="B29" s="15" t="s">
        <v>28</v>
      </c>
      <c r="C29" s="16" t="s">
        <v>39</v>
      </c>
      <c r="D29" s="17" t="s">
        <v>40</v>
      </c>
      <c r="E29" s="17" t="s">
        <v>56</v>
      </c>
      <c r="F29" s="18">
        <v>5.77</v>
      </c>
      <c r="G29" s="19">
        <v>7.4</v>
      </c>
      <c r="H29" s="18">
        <v>37</v>
      </c>
      <c r="I29" s="20">
        <v>1.58</v>
      </c>
      <c r="J29" s="21"/>
      <c r="K29" s="93"/>
      <c r="L29" s="93"/>
      <c r="N29" s="18">
        <v>17</v>
      </c>
      <c r="O29" s="20">
        <v>1.2512000000000001</v>
      </c>
      <c r="P29" s="22">
        <f>I29-O29</f>
        <v>0.32879999999999998</v>
      </c>
    </row>
    <row r="30" spans="1:16" ht="23.25" customHeight="1">
      <c r="A30" s="14"/>
      <c r="B30" s="15"/>
      <c r="C30" s="16"/>
      <c r="D30" s="17"/>
      <c r="E30" s="17"/>
      <c r="F30" s="18">
        <v>5.77</v>
      </c>
      <c r="G30" s="19">
        <v>8.0500000000000007</v>
      </c>
      <c r="H30" s="18">
        <v>21</v>
      </c>
      <c r="I30" s="20">
        <v>0.97499999999999998</v>
      </c>
      <c r="J30" s="21"/>
      <c r="K30" s="93"/>
      <c r="L30" s="93"/>
      <c r="N30" s="18"/>
      <c r="O30" s="20"/>
      <c r="P30" s="22"/>
    </row>
    <row r="31" spans="1:16" ht="23.25" customHeight="1">
      <c r="A31" s="14"/>
      <c r="B31" s="15"/>
      <c r="C31" s="16"/>
      <c r="D31" s="17"/>
      <c r="E31" s="17"/>
      <c r="F31" s="18">
        <v>5.77</v>
      </c>
      <c r="G31" s="19">
        <v>12</v>
      </c>
      <c r="H31" s="18">
        <v>26</v>
      </c>
      <c r="I31" s="20">
        <v>1.8</v>
      </c>
      <c r="J31" s="21"/>
      <c r="K31" s="93"/>
      <c r="L31" s="93"/>
      <c r="N31" s="18"/>
      <c r="O31" s="20"/>
      <c r="P31" s="22"/>
    </row>
    <row r="32" spans="1:16" ht="23.25" customHeight="1">
      <c r="A32" s="14"/>
      <c r="B32" s="15"/>
      <c r="C32" s="16"/>
      <c r="D32" s="17"/>
      <c r="E32" s="17"/>
      <c r="F32" s="18"/>
      <c r="G32" s="19"/>
      <c r="H32" s="23">
        <f>SUM(H29:H31)</f>
        <v>84</v>
      </c>
      <c r="I32" s="24">
        <f>SUM(I29:I31)</f>
        <v>4.3550000000000004</v>
      </c>
      <c r="J32" s="21"/>
      <c r="K32" s="94"/>
      <c r="L32" s="94"/>
      <c r="N32" s="23">
        <v>29</v>
      </c>
      <c r="O32" s="24">
        <v>2.2786560000000002</v>
      </c>
      <c r="P32" s="22">
        <f t="shared" ref="P32" si="5">I32-O32</f>
        <v>2.0763440000000002</v>
      </c>
    </row>
    <row r="33" spans="1:16" ht="23.25" customHeight="1">
      <c r="A33" s="27"/>
      <c r="B33" s="28"/>
      <c r="C33" s="28"/>
      <c r="D33" s="28"/>
      <c r="E33" s="21"/>
      <c r="F33" s="18"/>
      <c r="G33" s="19"/>
      <c r="H33" s="23">
        <f>SUM(H32,H28,H23,H21,H19,H17)</f>
        <v>405</v>
      </c>
      <c r="I33" s="24">
        <f>SUM(I32,I28,I23,I21,I19,I17)</f>
        <v>32.613</v>
      </c>
      <c r="J33" s="21"/>
      <c r="K33" s="78"/>
      <c r="L33" s="81"/>
      <c r="N33" s="23">
        <v>408</v>
      </c>
      <c r="O33" s="24">
        <v>33.023944</v>
      </c>
      <c r="P33" s="22">
        <f t="shared" si="1"/>
        <v>-0.41094400000000064</v>
      </c>
    </row>
    <row r="34" spans="1:16" ht="23.25" customHeight="1">
      <c r="A34" s="27"/>
      <c r="B34" s="28"/>
      <c r="C34" s="28"/>
      <c r="D34" s="28"/>
      <c r="E34" s="21"/>
      <c r="F34" s="18"/>
      <c r="G34" s="19"/>
      <c r="H34" s="25"/>
      <c r="I34" s="26"/>
      <c r="J34" s="21"/>
      <c r="K34" s="21"/>
      <c r="L34" s="21"/>
      <c r="N34" s="25"/>
      <c r="O34" s="26"/>
      <c r="P34" s="22">
        <f t="shared" si="1"/>
        <v>0</v>
      </c>
    </row>
    <row r="35" spans="1:16" ht="23.25" customHeight="1">
      <c r="A35" s="27"/>
      <c r="B35" s="28"/>
      <c r="C35" s="28"/>
      <c r="D35" s="28"/>
      <c r="E35" s="21"/>
      <c r="F35" s="18"/>
      <c r="G35" s="19"/>
      <c r="H35" s="25"/>
      <c r="I35" s="26"/>
      <c r="J35" s="21"/>
      <c r="K35" s="21"/>
      <c r="L35" s="29"/>
      <c r="N35" s="25"/>
      <c r="O35" s="26"/>
      <c r="P35" s="22">
        <f t="shared" si="1"/>
        <v>0</v>
      </c>
    </row>
    <row r="36" spans="1:16" ht="23.25" customHeight="1" thickBot="1">
      <c r="A36" s="30"/>
      <c r="B36" s="31"/>
      <c r="C36" s="31"/>
      <c r="D36" s="31"/>
      <c r="E36" s="32" t="s">
        <v>29</v>
      </c>
      <c r="F36" s="33"/>
      <c r="G36" s="26"/>
      <c r="H36" s="34">
        <f>+H33</f>
        <v>405</v>
      </c>
      <c r="I36" s="26">
        <f>+I33</f>
        <v>32.613</v>
      </c>
      <c r="J36" s="26"/>
      <c r="K36" s="26">
        <f>+K24+K22+K13</f>
        <v>32.613</v>
      </c>
      <c r="L36" s="35"/>
      <c r="N36" s="34">
        <v>408</v>
      </c>
      <c r="O36" s="26">
        <v>33.023944</v>
      </c>
      <c r="P36" s="22">
        <f t="shared" si="1"/>
        <v>-0.41094400000000064</v>
      </c>
    </row>
    <row r="37" spans="1:16" ht="23.25">
      <c r="A37" s="36"/>
      <c r="B37" s="37" t="s">
        <v>30</v>
      </c>
      <c r="C37" s="38"/>
      <c r="D37" s="39" t="s">
        <v>31</v>
      </c>
      <c r="E37" s="40" t="s">
        <v>32</v>
      </c>
      <c r="F37" s="41"/>
      <c r="G37" s="42"/>
      <c r="H37" s="42"/>
      <c r="I37" s="43" t="s">
        <v>33</v>
      </c>
      <c r="J37" s="43"/>
      <c r="K37" s="44"/>
      <c r="L37" s="45"/>
      <c r="N37" s="22"/>
    </row>
    <row r="38" spans="1:16" ht="23.25">
      <c r="A38" s="46"/>
      <c r="B38" s="37"/>
      <c r="C38" s="47"/>
      <c r="D38" s="48"/>
      <c r="E38" s="48"/>
      <c r="F38" s="48" t="s">
        <v>34</v>
      </c>
      <c r="G38" s="48" t="s">
        <v>34</v>
      </c>
      <c r="H38" s="48"/>
      <c r="I38" s="48"/>
      <c r="J38" s="48"/>
      <c r="K38" s="48"/>
      <c r="L38" s="49"/>
    </row>
    <row r="39" spans="1:16" ht="23.25">
      <c r="A39" s="46"/>
      <c r="B39" s="37"/>
      <c r="C39" s="47"/>
      <c r="D39" s="48"/>
      <c r="E39" s="48"/>
      <c r="F39" s="48"/>
      <c r="G39" s="48"/>
      <c r="H39" s="48"/>
      <c r="I39" s="48"/>
      <c r="J39" s="48"/>
      <c r="K39" s="48"/>
      <c r="L39" s="49"/>
    </row>
    <row r="40" spans="1:16" ht="24" thickBot="1">
      <c r="A40" s="50"/>
      <c r="B40" s="51" t="s">
        <v>35</v>
      </c>
      <c r="C40" s="51"/>
      <c r="D40" s="51"/>
      <c r="E40" s="52" t="s">
        <v>36</v>
      </c>
      <c r="F40" s="53"/>
      <c r="G40" s="53"/>
      <c r="H40" s="54"/>
      <c r="I40" s="55" t="s">
        <v>37</v>
      </c>
      <c r="J40" s="55"/>
      <c r="K40" s="52"/>
      <c r="L40" s="56"/>
    </row>
    <row r="44" spans="1:16">
      <c r="H44" s="57"/>
      <c r="I44" s="22"/>
      <c r="J44" s="22"/>
    </row>
    <row r="45" spans="1:16">
      <c r="I45" s="22"/>
    </row>
    <row r="46" spans="1:16">
      <c r="H46" s="57"/>
    </row>
    <row r="49" spans="9:11" ht="22.5">
      <c r="I49" s="20">
        <f>F49*G49*H49/1000</f>
        <v>0</v>
      </c>
      <c r="J49" s="22"/>
      <c r="K49" s="22">
        <f>+' 0508 02.01.24 JBP '!I29+'4944 02.01.24 BUB'!I53+' 0311 02.01.24 JBP '!I32+'3944  02.01.24 BUB'!I37+'0398  02.01.24 JBP '!I33+'0509  04.01.24 JBP'!I36</f>
        <v>195.59100000000004</v>
      </c>
    </row>
  </sheetData>
  <mergeCells count="9">
    <mergeCell ref="K24:K32"/>
    <mergeCell ref="L24:L32"/>
    <mergeCell ref="K22:K23"/>
    <mergeCell ref="L22:L23"/>
    <mergeCell ref="A1:L1"/>
    <mergeCell ref="A2:L2"/>
    <mergeCell ref="A4:L4"/>
    <mergeCell ref="K13:K21"/>
    <mergeCell ref="L13:L21"/>
  </mergeCells>
  <pageMargins left="0.24" right="0.2" top="0.44" bottom="0.35" header="0.3" footer="0.3"/>
  <pageSetup paperSize="9" scale="4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1"/>
  <sheetViews>
    <sheetView topLeftCell="A7" zoomScale="75" zoomScaleNormal="75" workbookViewId="0">
      <selection activeCell="I14" activeCellId="5" sqref="I42 I40 I32 I27 I25 I14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170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171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172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173</v>
      </c>
      <c r="C13" s="16" t="s">
        <v>54</v>
      </c>
      <c r="D13" s="17" t="s">
        <v>69</v>
      </c>
      <c r="E13" s="17" t="s">
        <v>73</v>
      </c>
      <c r="F13" s="18">
        <v>5.76</v>
      </c>
      <c r="G13" s="19">
        <v>10</v>
      </c>
      <c r="H13" s="18">
        <v>26</v>
      </c>
      <c r="I13" s="20">
        <v>1.498</v>
      </c>
      <c r="J13" s="21"/>
      <c r="K13" s="104">
        <f>+I14+I25+I27</f>
        <v>7.12</v>
      </c>
      <c r="L13" s="104" t="s">
        <v>182</v>
      </c>
      <c r="N13" s="18">
        <v>26</v>
      </c>
      <c r="O13" s="20">
        <v>1.4975999999999998</v>
      </c>
      <c r="P13" s="22">
        <f>I13-O13</f>
        <v>4.0000000000017799E-4</v>
      </c>
    </row>
    <row r="14" spans="1:16" ht="23.25" customHeight="1">
      <c r="A14" s="14"/>
      <c r="B14" s="15"/>
      <c r="C14" s="16"/>
      <c r="D14" s="17"/>
      <c r="E14" s="17"/>
      <c r="F14" s="18"/>
      <c r="G14" s="19"/>
      <c r="H14" s="23">
        <f t="shared" ref="H14:I14" si="0">SUM(H13)</f>
        <v>26</v>
      </c>
      <c r="I14" s="24">
        <f t="shared" si="0"/>
        <v>1.498</v>
      </c>
      <c r="J14" s="21"/>
      <c r="K14" s="104"/>
      <c r="L14" s="104"/>
      <c r="N14" s="23">
        <v>26</v>
      </c>
      <c r="O14" s="24">
        <v>1.4975999999999998</v>
      </c>
      <c r="P14" s="22">
        <f t="shared" ref="P14:P68" si="1">I14-O14</f>
        <v>4.0000000000017799E-4</v>
      </c>
    </row>
    <row r="15" spans="1:16" ht="23.25" customHeight="1">
      <c r="A15" s="14">
        <v>2</v>
      </c>
      <c r="B15" s="15" t="s">
        <v>173</v>
      </c>
      <c r="C15" s="16" t="s">
        <v>54</v>
      </c>
      <c r="D15" s="17" t="s">
        <v>69</v>
      </c>
      <c r="E15" s="17" t="s">
        <v>150</v>
      </c>
      <c r="F15" s="18">
        <v>6.85</v>
      </c>
      <c r="G15" s="19">
        <v>12</v>
      </c>
      <c r="H15" s="18">
        <v>10</v>
      </c>
      <c r="I15" s="20">
        <v>0.82199999999999995</v>
      </c>
      <c r="J15" s="21"/>
      <c r="K15" s="104"/>
      <c r="L15" s="104"/>
      <c r="N15" s="18">
        <v>10</v>
      </c>
      <c r="O15" s="20">
        <v>0.82199999999999984</v>
      </c>
      <c r="P15" s="22">
        <f t="shared" si="1"/>
        <v>0</v>
      </c>
    </row>
    <row r="16" spans="1:16" ht="23.25" customHeight="1">
      <c r="A16" s="14"/>
      <c r="B16" s="15"/>
      <c r="C16" s="16"/>
      <c r="D16" s="17"/>
      <c r="E16" s="17"/>
      <c r="F16" s="18">
        <v>6.85</v>
      </c>
      <c r="G16" s="19">
        <v>11.5</v>
      </c>
      <c r="H16" s="18">
        <v>2</v>
      </c>
      <c r="I16" s="20">
        <v>0.158</v>
      </c>
      <c r="J16" s="21"/>
      <c r="K16" s="104"/>
      <c r="L16" s="104"/>
      <c r="N16" s="18">
        <v>2</v>
      </c>
      <c r="O16" s="20">
        <v>0.15755</v>
      </c>
      <c r="P16" s="22">
        <f t="shared" si="1"/>
        <v>4.5000000000000595E-4</v>
      </c>
    </row>
    <row r="17" spans="1:16" ht="23.25" customHeight="1">
      <c r="A17" s="14"/>
      <c r="B17" s="15"/>
      <c r="C17" s="16"/>
      <c r="D17" s="17"/>
      <c r="E17" s="17"/>
      <c r="F17" s="18">
        <v>6.85</v>
      </c>
      <c r="G17" s="19">
        <v>11.3</v>
      </c>
      <c r="H17" s="18">
        <v>2</v>
      </c>
      <c r="I17" s="20">
        <v>0.155</v>
      </c>
      <c r="J17" s="21"/>
      <c r="K17" s="104"/>
      <c r="L17" s="104"/>
      <c r="N17" s="18">
        <v>2</v>
      </c>
      <c r="O17" s="20">
        <v>0.15481</v>
      </c>
      <c r="P17" s="22">
        <f t="shared" si="1"/>
        <v>1.8999999999999573E-4</v>
      </c>
    </row>
    <row r="18" spans="1:16" ht="23.25" customHeight="1">
      <c r="A18" s="14"/>
      <c r="B18" s="15"/>
      <c r="C18" s="16"/>
      <c r="D18" s="17"/>
      <c r="E18" s="17"/>
      <c r="F18" s="18">
        <v>6.85</v>
      </c>
      <c r="G18" s="19">
        <v>11</v>
      </c>
      <c r="H18" s="18">
        <v>2</v>
      </c>
      <c r="I18" s="20">
        <v>0.151</v>
      </c>
      <c r="J18" s="21"/>
      <c r="K18" s="104"/>
      <c r="L18" s="104"/>
      <c r="N18" s="18">
        <v>2</v>
      </c>
      <c r="O18" s="20">
        <v>0.1507</v>
      </c>
      <c r="P18" s="22">
        <f t="shared" si="1"/>
        <v>2.9999999999999472E-4</v>
      </c>
    </row>
    <row r="19" spans="1:16" ht="23.25" customHeight="1">
      <c r="A19" s="14"/>
      <c r="B19" s="15"/>
      <c r="C19" s="16"/>
      <c r="D19" s="17"/>
      <c r="E19" s="17"/>
      <c r="F19" s="18">
        <v>6.85</v>
      </c>
      <c r="G19" s="19">
        <v>10.5</v>
      </c>
      <c r="H19" s="18">
        <v>1</v>
      </c>
      <c r="I19" s="20">
        <v>7.1999999999999995E-2</v>
      </c>
      <c r="J19" s="21"/>
      <c r="K19" s="104"/>
      <c r="L19" s="104"/>
      <c r="N19" s="18">
        <v>1</v>
      </c>
      <c r="O19" s="20">
        <v>7.1925000000000003E-2</v>
      </c>
      <c r="P19" s="22">
        <f t="shared" si="1"/>
        <v>7.499999999999174E-5</v>
      </c>
    </row>
    <row r="20" spans="1:16" ht="23.25" customHeight="1">
      <c r="A20" s="14"/>
      <c r="B20" s="15"/>
      <c r="C20" s="16"/>
      <c r="D20" s="17"/>
      <c r="E20" s="17"/>
      <c r="F20" s="18">
        <v>6.85</v>
      </c>
      <c r="G20" s="19">
        <v>10</v>
      </c>
      <c r="H20" s="18">
        <v>1</v>
      </c>
      <c r="I20" s="20">
        <v>6.9000000000000006E-2</v>
      </c>
      <c r="J20" s="21"/>
      <c r="K20" s="104"/>
      <c r="L20" s="104"/>
      <c r="N20" s="18">
        <v>1</v>
      </c>
      <c r="O20" s="20">
        <v>6.8500000000000005E-2</v>
      </c>
      <c r="P20" s="22">
        <f t="shared" si="1"/>
        <v>5.0000000000000044E-4</v>
      </c>
    </row>
    <row r="21" spans="1:16" ht="23.25" customHeight="1">
      <c r="A21" s="14"/>
      <c r="B21" s="15"/>
      <c r="C21" s="16"/>
      <c r="D21" s="17"/>
      <c r="E21" s="17"/>
      <c r="F21" s="18">
        <v>6.85</v>
      </c>
      <c r="G21" s="19">
        <v>10.3</v>
      </c>
      <c r="H21" s="18">
        <v>1</v>
      </c>
      <c r="I21" s="20">
        <v>7.0999999999999994E-2</v>
      </c>
      <c r="J21" s="21"/>
      <c r="K21" s="104"/>
      <c r="L21" s="104"/>
      <c r="N21" s="18">
        <v>1</v>
      </c>
      <c r="O21" s="20">
        <v>7.0555000000000007E-2</v>
      </c>
      <c r="P21" s="22">
        <f t="shared" si="1"/>
        <v>4.4499999999998707E-4</v>
      </c>
    </row>
    <row r="22" spans="1:16" ht="23.25" customHeight="1">
      <c r="A22" s="14"/>
      <c r="B22" s="15"/>
      <c r="C22" s="16"/>
      <c r="D22" s="17"/>
      <c r="E22" s="17"/>
      <c r="F22" s="18">
        <v>6.85</v>
      </c>
      <c r="G22" s="19">
        <v>6.5</v>
      </c>
      <c r="H22" s="18">
        <v>1</v>
      </c>
      <c r="I22" s="20">
        <v>4.4999999999999998E-2</v>
      </c>
      <c r="J22" s="21"/>
      <c r="K22" s="104"/>
      <c r="L22" s="104"/>
      <c r="N22" s="18">
        <v>1</v>
      </c>
      <c r="O22" s="20">
        <v>4.4524999999999995E-2</v>
      </c>
      <c r="P22" s="22">
        <f t="shared" si="1"/>
        <v>4.750000000000032E-4</v>
      </c>
    </row>
    <row r="23" spans="1:16" ht="23.25" customHeight="1">
      <c r="A23" s="14"/>
      <c r="B23" s="15"/>
      <c r="C23" s="16"/>
      <c r="D23" s="17"/>
      <c r="E23" s="17"/>
      <c r="F23" s="18">
        <v>6.85</v>
      </c>
      <c r="G23" s="19">
        <v>6.8</v>
      </c>
      <c r="H23" s="18">
        <v>1</v>
      </c>
      <c r="I23" s="20">
        <v>4.7E-2</v>
      </c>
      <c r="J23" s="21"/>
      <c r="K23" s="104"/>
      <c r="L23" s="104"/>
      <c r="N23" s="18">
        <v>1</v>
      </c>
      <c r="O23" s="20">
        <v>4.6579999999999996E-2</v>
      </c>
      <c r="P23" s="22">
        <f t="shared" si="1"/>
        <v>4.200000000000037E-4</v>
      </c>
    </row>
    <row r="24" spans="1:16" ht="23.25" customHeight="1">
      <c r="A24" s="14"/>
      <c r="B24" s="15"/>
      <c r="C24" s="16"/>
      <c r="D24" s="17"/>
      <c r="E24" s="17"/>
      <c r="F24" s="18">
        <v>6.85</v>
      </c>
      <c r="G24" s="19">
        <v>10.5</v>
      </c>
      <c r="H24" s="18">
        <v>18</v>
      </c>
      <c r="I24" s="20">
        <v>1.2949999999999999</v>
      </c>
      <c r="J24" s="21"/>
      <c r="K24" s="104"/>
      <c r="L24" s="104"/>
      <c r="N24" s="18">
        <v>18</v>
      </c>
      <c r="O24" s="20">
        <v>1.2946499999999999</v>
      </c>
      <c r="P24" s="22">
        <f t="shared" si="1"/>
        <v>3.5000000000007248E-4</v>
      </c>
    </row>
    <row r="25" spans="1:16" ht="23.25" customHeight="1">
      <c r="A25" s="14"/>
      <c r="B25" s="15"/>
      <c r="C25" s="16"/>
      <c r="D25" s="17"/>
      <c r="E25" s="17"/>
      <c r="F25" s="18"/>
      <c r="G25" s="19"/>
      <c r="H25" s="23">
        <f>SUM(H15:H24)</f>
        <v>39</v>
      </c>
      <c r="I25" s="24">
        <f>SUM(I15:I24)</f>
        <v>2.8849999999999998</v>
      </c>
      <c r="J25" s="21"/>
      <c r="K25" s="104"/>
      <c r="L25" s="104"/>
      <c r="N25" s="23">
        <v>39</v>
      </c>
      <c r="O25" s="24">
        <v>2.8817949999999994</v>
      </c>
      <c r="P25" s="22">
        <f t="shared" si="1"/>
        <v>3.2050000000003465E-3</v>
      </c>
    </row>
    <row r="26" spans="1:16" ht="23.25" customHeight="1">
      <c r="A26" s="14">
        <v>3</v>
      </c>
      <c r="B26" s="15" t="s">
        <v>173</v>
      </c>
      <c r="C26" s="16" t="s">
        <v>54</v>
      </c>
      <c r="D26" s="17" t="s">
        <v>69</v>
      </c>
      <c r="E26" s="17" t="s">
        <v>154</v>
      </c>
      <c r="F26" s="18">
        <v>8.3000000000000007</v>
      </c>
      <c r="G26" s="19">
        <v>7.5</v>
      </c>
      <c r="H26" s="18">
        <v>44</v>
      </c>
      <c r="I26" s="20">
        <v>2.7370000000000001</v>
      </c>
      <c r="J26" s="21"/>
      <c r="K26" s="104"/>
      <c r="L26" s="104"/>
      <c r="N26" s="18">
        <v>45</v>
      </c>
      <c r="O26" s="20">
        <v>2.8012500000000005</v>
      </c>
      <c r="P26" s="22">
        <f t="shared" si="1"/>
        <v>-6.4250000000000362E-2</v>
      </c>
    </row>
    <row r="27" spans="1:16" ht="23.25" customHeight="1">
      <c r="A27" s="14"/>
      <c r="B27" s="15"/>
      <c r="C27" s="16"/>
      <c r="D27" s="17"/>
      <c r="E27" s="17"/>
      <c r="F27" s="18"/>
      <c r="G27" s="19"/>
      <c r="H27" s="23">
        <f t="shared" ref="H27:I27" si="2">SUM(H26)</f>
        <v>44</v>
      </c>
      <c r="I27" s="24">
        <f t="shared" si="2"/>
        <v>2.7370000000000001</v>
      </c>
      <c r="J27" s="21"/>
      <c r="K27" s="104"/>
      <c r="L27" s="104"/>
      <c r="N27" s="18"/>
      <c r="O27" s="20"/>
      <c r="P27" s="22"/>
    </row>
    <row r="28" spans="1:16" ht="23.25" customHeight="1">
      <c r="A28" s="14"/>
      <c r="B28" s="15"/>
      <c r="C28" s="16"/>
      <c r="D28" s="17"/>
      <c r="E28" s="17"/>
      <c r="F28" s="18">
        <v>8.3000000000000007</v>
      </c>
      <c r="G28" s="19">
        <v>7.5</v>
      </c>
      <c r="H28" s="18">
        <f>12+30+3-44</f>
        <v>1</v>
      </c>
      <c r="I28" s="20">
        <f>2.801-2.737</f>
        <v>6.4000000000000057E-2</v>
      </c>
      <c r="J28" s="21"/>
      <c r="K28" s="104">
        <f>+I32+I40+I42+I46+I51</f>
        <v>17.718631999999999</v>
      </c>
      <c r="L28" s="104" t="s">
        <v>183</v>
      </c>
      <c r="N28" s="18"/>
      <c r="O28" s="20"/>
      <c r="P28" s="22"/>
    </row>
    <row r="29" spans="1:16" ht="23.25" customHeight="1">
      <c r="A29" s="14"/>
      <c r="B29" s="15"/>
      <c r="C29" s="16"/>
      <c r="D29" s="17"/>
      <c r="E29" s="17"/>
      <c r="F29" s="18">
        <v>8.3000000000000007</v>
      </c>
      <c r="G29" s="19">
        <v>9</v>
      </c>
      <c r="H29" s="18">
        <f>6+14+1</f>
        <v>21</v>
      </c>
      <c r="I29" s="20">
        <v>1.569</v>
      </c>
      <c r="J29" s="21"/>
      <c r="K29" s="104"/>
      <c r="L29" s="104"/>
      <c r="N29" s="18">
        <v>21</v>
      </c>
      <c r="O29" s="20">
        <v>1.5687</v>
      </c>
      <c r="P29" s="22">
        <f t="shared" si="1"/>
        <v>2.9999999999996696E-4</v>
      </c>
    </row>
    <row r="30" spans="1:16" ht="23.25" customHeight="1">
      <c r="A30" s="14"/>
      <c r="B30" s="15"/>
      <c r="C30" s="16"/>
      <c r="D30" s="17"/>
      <c r="E30" s="17"/>
      <c r="F30" s="18">
        <v>8.3000000000000007</v>
      </c>
      <c r="G30" s="19">
        <v>11</v>
      </c>
      <c r="H30" s="18">
        <f>2+6+7+4</f>
        <v>19</v>
      </c>
      <c r="I30" s="20">
        <v>1.7350000000000001</v>
      </c>
      <c r="J30" s="21"/>
      <c r="K30" s="104"/>
      <c r="L30" s="104"/>
      <c r="N30" s="18">
        <v>19</v>
      </c>
      <c r="O30" s="20">
        <v>1.7347000000000004</v>
      </c>
      <c r="P30" s="22">
        <f t="shared" si="1"/>
        <v>2.9999999999974492E-4</v>
      </c>
    </row>
    <row r="31" spans="1:16" ht="23.25" customHeight="1">
      <c r="A31" s="14"/>
      <c r="B31" s="15"/>
      <c r="C31" s="16"/>
      <c r="D31" s="17"/>
      <c r="E31" s="17"/>
      <c r="F31" s="18">
        <v>8.3000000000000007</v>
      </c>
      <c r="G31" s="19">
        <v>11.5</v>
      </c>
      <c r="H31" s="18">
        <v>26</v>
      </c>
      <c r="I31" s="20">
        <v>2.4820000000000002</v>
      </c>
      <c r="J31" s="21"/>
      <c r="K31" s="104"/>
      <c r="L31" s="104"/>
      <c r="N31" s="18">
        <v>26</v>
      </c>
      <c r="O31" s="20">
        <v>2.4817000000000005</v>
      </c>
      <c r="P31" s="22">
        <f t="shared" si="1"/>
        <v>2.9999999999974492E-4</v>
      </c>
    </row>
    <row r="32" spans="1:16" ht="23.25" customHeight="1">
      <c r="A32" s="14"/>
      <c r="B32" s="15"/>
      <c r="C32" s="16"/>
      <c r="D32" s="17"/>
      <c r="E32" s="17"/>
      <c r="F32" s="18"/>
      <c r="G32" s="19"/>
      <c r="H32" s="23">
        <f>SUM(H28:H31)</f>
        <v>67</v>
      </c>
      <c r="I32" s="24">
        <f>SUM(I28:I31)</f>
        <v>5.8500000000000005</v>
      </c>
      <c r="J32" s="21"/>
      <c r="K32" s="104"/>
      <c r="L32" s="104"/>
      <c r="N32" s="23">
        <v>111</v>
      </c>
      <c r="O32" s="24">
        <v>8.5863500000000013</v>
      </c>
      <c r="P32" s="22">
        <f t="shared" si="1"/>
        <v>-2.7363500000000007</v>
      </c>
    </row>
    <row r="33" spans="1:16" ht="23.25" customHeight="1">
      <c r="A33" s="14">
        <v>4</v>
      </c>
      <c r="B33" s="15" t="s">
        <v>173</v>
      </c>
      <c r="C33" s="16" t="s">
        <v>54</v>
      </c>
      <c r="D33" s="17" t="s">
        <v>69</v>
      </c>
      <c r="E33" s="17" t="s">
        <v>147</v>
      </c>
      <c r="F33" s="18">
        <v>9.61</v>
      </c>
      <c r="G33" s="19">
        <v>6</v>
      </c>
      <c r="H33" s="18">
        <v>4</v>
      </c>
      <c r="I33" s="20">
        <v>0.23100000000000001</v>
      </c>
      <c r="J33" s="21"/>
      <c r="K33" s="104"/>
      <c r="L33" s="104"/>
      <c r="N33" s="18">
        <v>4</v>
      </c>
      <c r="O33" s="20">
        <v>0.23063999999999998</v>
      </c>
      <c r="P33" s="22">
        <f t="shared" si="1"/>
        <v>3.6000000000002697E-4</v>
      </c>
    </row>
    <row r="34" spans="1:16" ht="23.25" customHeight="1">
      <c r="A34" s="14"/>
      <c r="B34" s="15"/>
      <c r="C34" s="16"/>
      <c r="D34" s="17"/>
      <c r="E34" s="17"/>
      <c r="F34" s="18">
        <v>9.61</v>
      </c>
      <c r="G34" s="19">
        <v>6.6</v>
      </c>
      <c r="H34" s="18">
        <v>1</v>
      </c>
      <c r="I34" s="20">
        <v>6.3E-2</v>
      </c>
      <c r="J34" s="21"/>
      <c r="K34" s="104"/>
      <c r="L34" s="104"/>
      <c r="N34" s="18">
        <v>1</v>
      </c>
      <c r="O34" s="20">
        <v>6.3425999999999996E-2</v>
      </c>
      <c r="P34" s="22">
        <f t="shared" si="1"/>
        <v>-4.2599999999999583E-4</v>
      </c>
    </row>
    <row r="35" spans="1:16" ht="23.25" customHeight="1">
      <c r="A35" s="14"/>
      <c r="B35" s="15"/>
      <c r="C35" s="16"/>
      <c r="D35" s="17"/>
      <c r="E35" s="17"/>
      <c r="F35" s="18">
        <v>9.61</v>
      </c>
      <c r="G35" s="19">
        <v>7</v>
      </c>
      <c r="H35" s="18">
        <v>5</v>
      </c>
      <c r="I35" s="20">
        <v>0.33600000000000002</v>
      </c>
      <c r="J35" s="21"/>
      <c r="K35" s="104"/>
      <c r="L35" s="104"/>
      <c r="N35" s="18">
        <v>5</v>
      </c>
      <c r="O35" s="20">
        <v>0.33634999999999998</v>
      </c>
      <c r="P35" s="22">
        <f t="shared" si="1"/>
        <v>-3.4999999999996145E-4</v>
      </c>
    </row>
    <row r="36" spans="1:16" ht="23.25" customHeight="1">
      <c r="A36" s="14"/>
      <c r="B36" s="15"/>
      <c r="C36" s="16"/>
      <c r="D36" s="17"/>
      <c r="E36" s="17"/>
      <c r="F36" s="18">
        <v>9.61</v>
      </c>
      <c r="G36" s="19">
        <v>9</v>
      </c>
      <c r="H36" s="18">
        <v>4</v>
      </c>
      <c r="I36" s="20">
        <v>0.34599999999999997</v>
      </c>
      <c r="J36" s="21"/>
      <c r="K36" s="104"/>
      <c r="L36" s="104"/>
      <c r="N36" s="18">
        <v>4</v>
      </c>
      <c r="O36" s="20">
        <v>0.34595999999999999</v>
      </c>
      <c r="P36" s="22">
        <f t="shared" si="1"/>
        <v>3.9999999999984492E-5</v>
      </c>
    </row>
    <row r="37" spans="1:16" ht="23.25" customHeight="1">
      <c r="A37" s="14"/>
      <c r="B37" s="15"/>
      <c r="C37" s="16"/>
      <c r="D37" s="17"/>
      <c r="E37" s="17"/>
      <c r="F37" s="18">
        <v>9.61</v>
      </c>
      <c r="G37" s="19">
        <v>9.5</v>
      </c>
      <c r="H37" s="18">
        <v>4</v>
      </c>
      <c r="I37" s="20">
        <v>0.36499999999999999</v>
      </c>
      <c r="J37" s="21"/>
      <c r="K37" s="104"/>
      <c r="L37" s="104"/>
      <c r="N37" s="18">
        <v>4</v>
      </c>
      <c r="O37" s="20">
        <v>0.36517999999999995</v>
      </c>
      <c r="P37" s="22">
        <f t="shared" si="1"/>
        <v>-1.7999999999995797E-4</v>
      </c>
    </row>
    <row r="38" spans="1:16" ht="23.25" customHeight="1">
      <c r="A38" s="14"/>
      <c r="B38" s="15"/>
      <c r="C38" s="16"/>
      <c r="D38" s="17"/>
      <c r="E38" s="17"/>
      <c r="F38" s="18">
        <v>9.61</v>
      </c>
      <c r="G38" s="19">
        <v>10</v>
      </c>
      <c r="H38" s="18">
        <v>4</v>
      </c>
      <c r="I38" s="20">
        <v>0.38400000000000001</v>
      </c>
      <c r="J38" s="21"/>
      <c r="K38" s="104"/>
      <c r="L38" s="104"/>
      <c r="N38" s="18">
        <v>4</v>
      </c>
      <c r="O38" s="20">
        <v>0.38439999999999996</v>
      </c>
      <c r="P38" s="22">
        <f t="shared" si="1"/>
        <v>-3.9999999999995595E-4</v>
      </c>
    </row>
    <row r="39" spans="1:16" ht="23.25" customHeight="1">
      <c r="A39" s="14"/>
      <c r="B39" s="15"/>
      <c r="C39" s="16"/>
      <c r="D39" s="17"/>
      <c r="E39" s="17"/>
      <c r="F39" s="18">
        <v>9.61</v>
      </c>
      <c r="G39" s="19">
        <v>11.25</v>
      </c>
      <c r="H39" s="18">
        <v>3</v>
      </c>
      <c r="I39" s="20">
        <v>0.32400000000000001</v>
      </c>
      <c r="J39" s="21"/>
      <c r="K39" s="104"/>
      <c r="L39" s="104"/>
      <c r="N39" s="18">
        <v>3</v>
      </c>
      <c r="O39" s="20">
        <v>0.3243375</v>
      </c>
      <c r="P39" s="22">
        <f t="shared" si="1"/>
        <v>-3.3749999999999059E-4</v>
      </c>
    </row>
    <row r="40" spans="1:16" ht="23.25" customHeight="1">
      <c r="A40" s="14"/>
      <c r="B40" s="15"/>
      <c r="C40" s="16"/>
      <c r="D40" s="17"/>
      <c r="E40" s="17"/>
      <c r="F40" s="18"/>
      <c r="G40" s="19"/>
      <c r="H40" s="23">
        <f t="shared" ref="H40" si="3">SUM(H33:H39)</f>
        <v>25</v>
      </c>
      <c r="I40" s="24">
        <f>SUM(I33:I39)</f>
        <v>2.0489999999999999</v>
      </c>
      <c r="J40" s="21"/>
      <c r="K40" s="104"/>
      <c r="L40" s="104"/>
      <c r="N40" s="23">
        <v>25</v>
      </c>
      <c r="O40" s="24">
        <v>2.0502934999999995</v>
      </c>
      <c r="P40" s="22">
        <f t="shared" si="1"/>
        <v>-1.2934999999996144E-3</v>
      </c>
    </row>
    <row r="41" spans="1:16" ht="23.25" customHeight="1">
      <c r="A41" s="14">
        <v>5</v>
      </c>
      <c r="B41" s="15" t="s">
        <v>173</v>
      </c>
      <c r="C41" s="16" t="s">
        <v>21</v>
      </c>
      <c r="D41" s="17" t="s">
        <v>75</v>
      </c>
      <c r="E41" s="17" t="s">
        <v>174</v>
      </c>
      <c r="F41" s="18">
        <v>5.76</v>
      </c>
      <c r="G41" s="19">
        <v>6.5</v>
      </c>
      <c r="H41" s="18">
        <v>14</v>
      </c>
      <c r="I41" s="20">
        <v>0.52400000000000002</v>
      </c>
      <c r="J41" s="21"/>
      <c r="K41" s="104"/>
      <c r="L41" s="104"/>
      <c r="N41" s="18">
        <v>14</v>
      </c>
      <c r="O41" s="20">
        <v>0.52415999999999996</v>
      </c>
      <c r="P41" s="22">
        <f t="shared" si="1"/>
        <v>-1.5999999999993797E-4</v>
      </c>
    </row>
    <row r="42" spans="1:16" ht="23.25" customHeight="1">
      <c r="A42" s="14"/>
      <c r="B42" s="15"/>
      <c r="C42" s="16"/>
      <c r="D42" s="17"/>
      <c r="E42" s="17"/>
      <c r="F42" s="18"/>
      <c r="G42" s="19"/>
      <c r="H42" s="23">
        <f t="shared" ref="H42:I42" si="4">SUM(H41)</f>
        <v>14</v>
      </c>
      <c r="I42" s="24">
        <f t="shared" si="4"/>
        <v>0.52400000000000002</v>
      </c>
      <c r="J42" s="21"/>
      <c r="K42" s="104"/>
      <c r="L42" s="104"/>
      <c r="N42" s="23">
        <v>14</v>
      </c>
      <c r="O42" s="24">
        <v>0.52415999999999996</v>
      </c>
      <c r="P42" s="22">
        <f t="shared" si="1"/>
        <v>-1.5999999999993797E-4</v>
      </c>
    </row>
    <row r="43" spans="1:16" ht="23.25" customHeight="1">
      <c r="A43" s="14">
        <v>6</v>
      </c>
      <c r="B43" s="15" t="s">
        <v>175</v>
      </c>
      <c r="C43" s="16" t="s">
        <v>21</v>
      </c>
      <c r="D43" s="17" t="s">
        <v>176</v>
      </c>
      <c r="E43" s="17" t="s">
        <v>177</v>
      </c>
      <c r="F43" s="18">
        <v>6.97</v>
      </c>
      <c r="G43" s="19">
        <v>9.5</v>
      </c>
      <c r="H43" s="18">
        <v>10</v>
      </c>
      <c r="I43" s="20">
        <v>0.66200000000000003</v>
      </c>
      <c r="J43" s="21"/>
      <c r="K43" s="104"/>
      <c r="L43" s="104"/>
      <c r="N43" s="18">
        <v>10</v>
      </c>
      <c r="O43" s="20">
        <v>0.66215000000000013</v>
      </c>
      <c r="P43" s="22">
        <f t="shared" si="1"/>
        <v>-1.500000000000945E-4</v>
      </c>
    </row>
    <row r="44" spans="1:16" ht="23.25" customHeight="1">
      <c r="A44" s="14"/>
      <c r="B44" s="15"/>
      <c r="C44" s="16"/>
      <c r="D44" s="17"/>
      <c r="E44" s="17"/>
      <c r="F44" s="18">
        <v>6.97</v>
      </c>
      <c r="G44" s="19">
        <v>10</v>
      </c>
      <c r="H44" s="18">
        <v>27</v>
      </c>
      <c r="I44" s="20">
        <v>1.8819999999999999</v>
      </c>
      <c r="J44" s="21"/>
      <c r="K44" s="104"/>
      <c r="L44" s="104"/>
      <c r="N44" s="18">
        <v>27</v>
      </c>
      <c r="O44" s="20">
        <v>1.8819000000000001</v>
      </c>
      <c r="P44" s="22">
        <f t="shared" si="1"/>
        <v>9.9999999999766942E-5</v>
      </c>
    </row>
    <row r="45" spans="1:16" ht="23.25" customHeight="1">
      <c r="A45" s="14"/>
      <c r="B45" s="15"/>
      <c r="C45" s="16"/>
      <c r="D45" s="17"/>
      <c r="E45" s="17"/>
      <c r="F45" s="18">
        <v>6.97</v>
      </c>
      <c r="G45" s="19">
        <v>12</v>
      </c>
      <c r="H45" s="18">
        <v>28</v>
      </c>
      <c r="I45" s="20">
        <v>2.3420000000000001</v>
      </c>
      <c r="J45" s="21"/>
      <c r="K45" s="104"/>
      <c r="L45" s="104"/>
      <c r="N45" s="18">
        <v>28</v>
      </c>
      <c r="O45" s="20">
        <v>2.34192</v>
      </c>
      <c r="P45" s="22">
        <f t="shared" si="1"/>
        <v>8.0000000000080007E-5</v>
      </c>
    </row>
    <row r="46" spans="1:16" ht="23.25" customHeight="1">
      <c r="A46" s="14"/>
      <c r="B46" s="15"/>
      <c r="C46" s="16"/>
      <c r="D46" s="17"/>
      <c r="E46" s="17"/>
      <c r="F46" s="18"/>
      <c r="G46" s="19"/>
      <c r="H46" s="23">
        <f t="shared" ref="H46:I46" si="5">SUM(H43:H45)</f>
        <v>65</v>
      </c>
      <c r="I46" s="24">
        <f t="shared" si="5"/>
        <v>4.8860000000000001</v>
      </c>
      <c r="J46" s="21"/>
      <c r="K46" s="104"/>
      <c r="L46" s="104"/>
      <c r="N46" s="23">
        <v>65</v>
      </c>
      <c r="O46" s="24">
        <v>4.8859700000000004</v>
      </c>
      <c r="P46" s="22">
        <f t="shared" si="1"/>
        <v>2.9999999999752447E-5</v>
      </c>
    </row>
    <row r="47" spans="1:16" ht="23.25" customHeight="1">
      <c r="A47" s="14">
        <v>7</v>
      </c>
      <c r="B47" s="15" t="s">
        <v>175</v>
      </c>
      <c r="C47" s="16" t="s">
        <v>54</v>
      </c>
      <c r="D47" s="17" t="s">
        <v>43</v>
      </c>
      <c r="E47" s="17" t="s">
        <v>178</v>
      </c>
      <c r="F47" s="18">
        <v>6.97</v>
      </c>
      <c r="G47" s="19">
        <v>7.6</v>
      </c>
      <c r="H47" s="18">
        <v>14</v>
      </c>
      <c r="I47" s="20">
        <v>0.74199999999999999</v>
      </c>
      <c r="J47" s="21"/>
      <c r="K47" s="104"/>
      <c r="L47" s="104"/>
      <c r="N47" s="18">
        <v>14</v>
      </c>
      <c r="O47" s="20">
        <v>0.74160799999999993</v>
      </c>
      <c r="P47" s="22">
        <f t="shared" si="1"/>
        <v>3.9200000000005897E-4</v>
      </c>
    </row>
    <row r="48" spans="1:16" ht="23.25" customHeight="1">
      <c r="A48" s="14"/>
      <c r="B48" s="15"/>
      <c r="C48" s="16"/>
      <c r="D48" s="17"/>
      <c r="E48" s="17"/>
      <c r="F48" s="18">
        <v>6.97</v>
      </c>
      <c r="G48" s="19">
        <v>9.1</v>
      </c>
      <c r="H48" s="18">
        <v>10</v>
      </c>
      <c r="I48" s="20">
        <v>0.63400000000000001</v>
      </c>
      <c r="J48" s="21"/>
      <c r="K48" s="104"/>
      <c r="L48" s="104"/>
      <c r="N48" s="18">
        <v>10</v>
      </c>
      <c r="O48" s="20">
        <v>0.63427</v>
      </c>
      <c r="P48" s="22">
        <f t="shared" si="1"/>
        <v>-2.6999999999999247E-4</v>
      </c>
    </row>
    <row r="49" spans="1:16" ht="23.25" customHeight="1">
      <c r="A49" s="14"/>
      <c r="B49" s="15"/>
      <c r="C49" s="16"/>
      <c r="D49" s="17"/>
      <c r="E49" s="17"/>
      <c r="F49" s="18">
        <v>6.97</v>
      </c>
      <c r="G49" s="19">
        <v>11.2</v>
      </c>
      <c r="H49" s="18">
        <v>14</v>
      </c>
      <c r="I49" s="20">
        <v>1.093</v>
      </c>
      <c r="J49" s="21"/>
      <c r="K49" s="104"/>
      <c r="L49" s="104"/>
      <c r="N49" s="18">
        <v>14</v>
      </c>
      <c r="O49" s="20">
        <v>1.0928959999999999</v>
      </c>
      <c r="P49" s="22">
        <f t="shared" si="1"/>
        <v>1.0400000000010401E-4</v>
      </c>
    </row>
    <row r="50" spans="1:16" ht="23.25" customHeight="1">
      <c r="A50" s="14"/>
      <c r="B50" s="15"/>
      <c r="C50" s="16"/>
      <c r="D50" s="17"/>
      <c r="E50" s="17"/>
      <c r="F50" s="18">
        <v>6.97</v>
      </c>
      <c r="G50" s="19">
        <v>11.9</v>
      </c>
      <c r="H50" s="18">
        <v>24</v>
      </c>
      <c r="I50" s="20">
        <f>F50*G50*H50/1000-0.05</f>
        <v>1.9406319999999999</v>
      </c>
      <c r="J50" s="21"/>
      <c r="K50" s="104"/>
      <c r="L50" s="104"/>
      <c r="N50" s="18">
        <v>54</v>
      </c>
      <c r="O50" s="20">
        <v>4.4789219999999998</v>
      </c>
      <c r="P50" s="22">
        <f t="shared" si="1"/>
        <v>-2.5382899999999999</v>
      </c>
    </row>
    <row r="51" spans="1:16" ht="23.25" customHeight="1">
      <c r="A51" s="14"/>
      <c r="B51" s="15"/>
      <c r="C51" s="16"/>
      <c r="D51" s="17"/>
      <c r="E51" s="17"/>
      <c r="F51" s="18"/>
      <c r="G51" s="19"/>
      <c r="H51" s="18">
        <f t="shared" ref="H51" si="6">SUM(H47:H50)</f>
        <v>62</v>
      </c>
      <c r="I51" s="24">
        <f>SUM(I47:I50)</f>
        <v>4.4096320000000002</v>
      </c>
      <c r="J51" s="21"/>
      <c r="K51" s="104"/>
      <c r="L51" s="104"/>
      <c r="N51" s="18"/>
      <c r="O51" s="20"/>
      <c r="P51" s="22"/>
    </row>
    <row r="52" spans="1:16" ht="23.25" customHeight="1">
      <c r="A52" s="14"/>
      <c r="B52" s="15"/>
      <c r="C52" s="16"/>
      <c r="D52" s="17"/>
      <c r="E52" s="17"/>
      <c r="F52" s="18">
        <v>6.97</v>
      </c>
      <c r="G52" s="19">
        <v>11.9</v>
      </c>
      <c r="H52" s="18">
        <f>54-24</f>
        <v>30</v>
      </c>
      <c r="I52" s="20">
        <f>4.479-1.941</f>
        <v>2.5380000000000003</v>
      </c>
      <c r="J52" s="21"/>
      <c r="K52" s="104">
        <f>+I58+I62+I64</f>
        <v>7.758</v>
      </c>
      <c r="L52" s="104" t="s">
        <v>184</v>
      </c>
      <c r="N52" s="18"/>
      <c r="O52" s="20"/>
      <c r="P52" s="22"/>
    </row>
    <row r="53" spans="1:16" ht="23.25" customHeight="1">
      <c r="A53" s="14"/>
      <c r="B53" s="15"/>
      <c r="C53" s="16"/>
      <c r="D53" s="17"/>
      <c r="E53" s="17"/>
      <c r="F53" s="18">
        <v>6.97</v>
      </c>
      <c r="G53" s="19">
        <v>9</v>
      </c>
      <c r="H53" s="18">
        <v>7</v>
      </c>
      <c r="I53" s="20">
        <v>0.439</v>
      </c>
      <c r="J53" s="21"/>
      <c r="K53" s="104"/>
      <c r="L53" s="104"/>
      <c r="N53" s="18">
        <v>7</v>
      </c>
      <c r="O53" s="20">
        <v>0.43910999999999994</v>
      </c>
      <c r="P53" s="22">
        <f t="shared" si="1"/>
        <v>-1.0999999999994348E-4</v>
      </c>
    </row>
    <row r="54" spans="1:16" ht="23.25" customHeight="1">
      <c r="A54" s="14"/>
      <c r="B54" s="15"/>
      <c r="C54" s="16"/>
      <c r="D54" s="17"/>
      <c r="E54" s="17"/>
      <c r="F54" s="18">
        <v>6.97</v>
      </c>
      <c r="G54" s="19">
        <v>8</v>
      </c>
      <c r="H54" s="18">
        <v>1</v>
      </c>
      <c r="I54" s="20">
        <v>5.6000000000000001E-2</v>
      </c>
      <c r="J54" s="21"/>
      <c r="K54" s="104"/>
      <c r="L54" s="104"/>
      <c r="N54" s="18">
        <v>1</v>
      </c>
      <c r="O54" s="20">
        <v>5.5759999999999997E-2</v>
      </c>
      <c r="P54" s="22">
        <f t="shared" si="1"/>
        <v>2.400000000000041E-4</v>
      </c>
    </row>
    <row r="55" spans="1:16" ht="23.25" customHeight="1">
      <c r="A55" s="14"/>
      <c r="B55" s="15"/>
      <c r="C55" s="16"/>
      <c r="D55" s="17"/>
      <c r="E55" s="17"/>
      <c r="F55" s="18">
        <v>6.97</v>
      </c>
      <c r="G55" s="19">
        <v>9.25</v>
      </c>
      <c r="H55" s="18">
        <v>2</v>
      </c>
      <c r="I55" s="20">
        <v>0.129</v>
      </c>
      <c r="J55" s="21"/>
      <c r="K55" s="104"/>
      <c r="L55" s="104"/>
      <c r="N55" s="18">
        <v>2</v>
      </c>
      <c r="O55" s="20">
        <v>0.128945</v>
      </c>
      <c r="P55" s="22">
        <f t="shared" si="1"/>
        <v>5.4999999999999494E-5</v>
      </c>
    </row>
    <row r="56" spans="1:16" ht="23.25" customHeight="1">
      <c r="A56" s="14"/>
      <c r="B56" s="15"/>
      <c r="C56" s="16"/>
      <c r="D56" s="17"/>
      <c r="E56" s="17"/>
      <c r="F56" s="18">
        <v>6.97</v>
      </c>
      <c r="G56" s="19">
        <v>9.5</v>
      </c>
      <c r="H56" s="18">
        <v>3</v>
      </c>
      <c r="I56" s="20">
        <v>0.19900000000000001</v>
      </c>
      <c r="J56" s="21"/>
      <c r="K56" s="104"/>
      <c r="L56" s="104"/>
      <c r="N56" s="18">
        <v>3</v>
      </c>
      <c r="O56" s="20">
        <v>0.19864500000000002</v>
      </c>
      <c r="P56" s="22">
        <f t="shared" si="1"/>
        <v>3.5499999999999421E-4</v>
      </c>
    </row>
    <row r="57" spans="1:16" ht="23.25" customHeight="1">
      <c r="A57" s="14"/>
      <c r="B57" s="15"/>
      <c r="C57" s="16"/>
      <c r="D57" s="17"/>
      <c r="E57" s="17"/>
      <c r="F57" s="18">
        <v>6.97</v>
      </c>
      <c r="G57" s="19">
        <v>9.4</v>
      </c>
      <c r="H57" s="18">
        <v>4</v>
      </c>
      <c r="I57" s="20">
        <v>0.26200000000000001</v>
      </c>
      <c r="J57" s="21"/>
      <c r="K57" s="104"/>
      <c r="L57" s="104"/>
      <c r="N57" s="18">
        <v>4</v>
      </c>
      <c r="O57" s="20">
        <v>0.26207200000000003</v>
      </c>
      <c r="P57" s="22">
        <f t="shared" si="1"/>
        <v>-7.2000000000016495E-5</v>
      </c>
    </row>
    <row r="58" spans="1:16" ht="23.25" customHeight="1">
      <c r="A58" s="14"/>
      <c r="B58" s="15"/>
      <c r="C58" s="16"/>
      <c r="D58" s="17"/>
      <c r="E58" s="17"/>
      <c r="F58" s="18"/>
      <c r="G58" s="19"/>
      <c r="H58" s="23">
        <f t="shared" ref="H58:I58" si="7">SUM(H52:H57)</f>
        <v>47</v>
      </c>
      <c r="I58" s="24">
        <f t="shared" si="7"/>
        <v>3.6230000000000002</v>
      </c>
      <c r="J58" s="21"/>
      <c r="K58" s="104"/>
      <c r="L58" s="104"/>
      <c r="N58" s="23">
        <v>109</v>
      </c>
      <c r="O58" s="24">
        <v>8.0322279999999999</v>
      </c>
      <c r="P58" s="22">
        <f t="shared" si="1"/>
        <v>-4.4092279999999997</v>
      </c>
    </row>
    <row r="59" spans="1:16" ht="23.25" customHeight="1">
      <c r="A59" s="14">
        <v>8</v>
      </c>
      <c r="B59" s="15" t="s">
        <v>179</v>
      </c>
      <c r="C59" s="16" t="s">
        <v>54</v>
      </c>
      <c r="D59" s="17" t="s">
        <v>69</v>
      </c>
      <c r="E59" s="17" t="s">
        <v>180</v>
      </c>
      <c r="F59" s="18">
        <v>5.37</v>
      </c>
      <c r="G59" s="19">
        <v>8</v>
      </c>
      <c r="H59" s="18">
        <v>28</v>
      </c>
      <c r="I59" s="20">
        <v>1.2030000000000001</v>
      </c>
      <c r="J59" s="21"/>
      <c r="K59" s="104"/>
      <c r="L59" s="104"/>
      <c r="N59" s="18">
        <v>28</v>
      </c>
      <c r="O59" s="20">
        <v>1.2028800000000002</v>
      </c>
      <c r="P59" s="22">
        <f t="shared" si="1"/>
        <v>1.1999999999989797E-4</v>
      </c>
    </row>
    <row r="60" spans="1:16" ht="23.25" customHeight="1">
      <c r="A60" s="14"/>
      <c r="B60" s="15"/>
      <c r="C60" s="16"/>
      <c r="D60" s="17"/>
      <c r="E60" s="17"/>
      <c r="F60" s="18">
        <v>5.37</v>
      </c>
      <c r="G60" s="19">
        <v>9.5</v>
      </c>
      <c r="H60" s="18">
        <v>12</v>
      </c>
      <c r="I60" s="20">
        <v>0.61199999999999999</v>
      </c>
      <c r="J60" s="21"/>
      <c r="K60" s="104"/>
      <c r="L60" s="104"/>
      <c r="N60" s="18">
        <v>12</v>
      </c>
      <c r="O60" s="20">
        <v>0.61218000000000006</v>
      </c>
      <c r="P60" s="22">
        <f t="shared" si="1"/>
        <v>-1.8000000000006899E-4</v>
      </c>
    </row>
    <row r="61" spans="1:16" ht="23.25" customHeight="1">
      <c r="A61" s="14"/>
      <c r="B61" s="15"/>
      <c r="C61" s="16"/>
      <c r="D61" s="17"/>
      <c r="E61" s="17"/>
      <c r="F61" s="18">
        <v>5.37</v>
      </c>
      <c r="G61" s="19">
        <v>12</v>
      </c>
      <c r="H61" s="18">
        <v>13</v>
      </c>
      <c r="I61" s="20">
        <v>0.83799999999999997</v>
      </c>
      <c r="J61" s="21"/>
      <c r="K61" s="104"/>
      <c r="L61" s="104"/>
      <c r="N61" s="18">
        <v>13</v>
      </c>
      <c r="O61" s="20">
        <v>0.83772000000000002</v>
      </c>
      <c r="P61" s="22">
        <f t="shared" si="1"/>
        <v>2.7999999999994696E-4</v>
      </c>
    </row>
    <row r="62" spans="1:16" ht="23.25" customHeight="1">
      <c r="A62" s="14"/>
      <c r="B62" s="15"/>
      <c r="C62" s="16"/>
      <c r="D62" s="17"/>
      <c r="E62" s="17"/>
      <c r="F62" s="18"/>
      <c r="G62" s="19"/>
      <c r="H62" s="23">
        <f>SUM(H59:H61)</f>
        <v>53</v>
      </c>
      <c r="I62" s="24">
        <f>SUM(I59:I61)</f>
        <v>2.653</v>
      </c>
      <c r="J62" s="21"/>
      <c r="K62" s="104"/>
      <c r="L62" s="104"/>
      <c r="N62" s="23">
        <v>53</v>
      </c>
      <c r="O62" s="24">
        <v>2.6527800000000004</v>
      </c>
      <c r="P62" s="22">
        <f t="shared" si="1"/>
        <v>2.1999999999966491E-4</v>
      </c>
    </row>
    <row r="63" spans="1:16" ht="23.25" customHeight="1">
      <c r="A63" s="14">
        <v>9</v>
      </c>
      <c r="B63" s="15" t="s">
        <v>179</v>
      </c>
      <c r="C63" s="16" t="s">
        <v>21</v>
      </c>
      <c r="D63" s="17" t="s">
        <v>75</v>
      </c>
      <c r="E63" s="17" t="s">
        <v>181</v>
      </c>
      <c r="F63" s="18">
        <v>5.37</v>
      </c>
      <c r="G63" s="19">
        <v>12</v>
      </c>
      <c r="H63" s="18">
        <v>23</v>
      </c>
      <c r="I63" s="20">
        <v>1.482</v>
      </c>
      <c r="J63" s="21"/>
      <c r="K63" s="104"/>
      <c r="L63" s="104"/>
      <c r="N63" s="18">
        <v>23</v>
      </c>
      <c r="O63" s="20">
        <v>1.4821199999999999</v>
      </c>
      <c r="P63" s="22">
        <f t="shared" si="1"/>
        <v>-1.1999999999989797E-4</v>
      </c>
    </row>
    <row r="64" spans="1:16" ht="23.25" customHeight="1">
      <c r="A64" s="14"/>
      <c r="B64" s="15"/>
      <c r="C64" s="16"/>
      <c r="D64" s="17"/>
      <c r="E64" s="17"/>
      <c r="F64" s="18"/>
      <c r="G64" s="19"/>
      <c r="H64" s="23">
        <f t="shared" ref="H64" si="8">SUM(H63)</f>
        <v>23</v>
      </c>
      <c r="I64" s="24">
        <f t="shared" ref="I64" si="9">SUM(I63)</f>
        <v>1.482</v>
      </c>
      <c r="J64" s="21"/>
      <c r="K64" s="104"/>
      <c r="L64" s="104"/>
      <c r="N64" s="23">
        <v>23</v>
      </c>
      <c r="O64" s="24">
        <v>1.4821199999999999</v>
      </c>
      <c r="P64" s="22">
        <f t="shared" si="1"/>
        <v>-1.1999999999989797E-4</v>
      </c>
    </row>
    <row r="65" spans="1:16" ht="23.25" customHeight="1">
      <c r="A65" s="14"/>
      <c r="B65" s="15"/>
      <c r="C65" s="16"/>
      <c r="D65" s="17"/>
      <c r="E65" s="17"/>
      <c r="F65" s="18"/>
      <c r="G65" s="19"/>
      <c r="H65" s="23">
        <f t="shared" ref="H65:I65" si="10">SUM(H64,H62,H58,H51,H46,H42,H40,H32,H27,H25,H14)</f>
        <v>465</v>
      </c>
      <c r="I65" s="24">
        <f t="shared" si="10"/>
        <v>32.596632</v>
      </c>
      <c r="J65" s="21"/>
      <c r="K65" s="62"/>
      <c r="L65" s="62"/>
      <c r="N65" s="23">
        <v>465</v>
      </c>
      <c r="O65" s="24">
        <v>32.593296500000001</v>
      </c>
      <c r="P65" s="22">
        <f t="shared" si="1"/>
        <v>3.3354999999986035E-3</v>
      </c>
    </row>
    <row r="66" spans="1:16" ht="23.25" customHeight="1">
      <c r="A66" s="27"/>
      <c r="B66" s="58"/>
      <c r="C66" s="59"/>
      <c r="D66" s="60"/>
      <c r="E66" s="17"/>
      <c r="F66" s="18"/>
      <c r="G66" s="19"/>
      <c r="H66" s="23"/>
      <c r="I66" s="24"/>
      <c r="J66" s="21"/>
      <c r="K66" s="82"/>
      <c r="L66" s="70"/>
      <c r="N66" s="23"/>
      <c r="O66" s="24"/>
      <c r="P66" s="22">
        <f t="shared" si="1"/>
        <v>0</v>
      </c>
    </row>
    <row r="67" spans="1:16" ht="23.25" customHeight="1">
      <c r="A67" s="27"/>
      <c r="B67" s="58"/>
      <c r="C67" s="59"/>
      <c r="D67" s="60"/>
      <c r="E67" s="17"/>
      <c r="F67" s="18"/>
      <c r="G67" s="19"/>
      <c r="H67" s="23"/>
      <c r="I67" s="24"/>
      <c r="J67" s="21"/>
      <c r="K67" s="82"/>
      <c r="L67" s="70"/>
      <c r="N67" s="23"/>
      <c r="O67" s="24"/>
      <c r="P67" s="22">
        <f t="shared" si="1"/>
        <v>0</v>
      </c>
    </row>
    <row r="68" spans="1:16" ht="23.25" customHeight="1" thickBot="1">
      <c r="A68" s="30"/>
      <c r="B68" s="31"/>
      <c r="C68" s="31"/>
      <c r="D68" s="31"/>
      <c r="E68" s="32" t="s">
        <v>29</v>
      </c>
      <c r="F68" s="33"/>
      <c r="G68" s="26"/>
      <c r="H68" s="34">
        <f>SUM(H65)</f>
        <v>465</v>
      </c>
      <c r="I68" s="26">
        <f>SUM(I65)</f>
        <v>32.596632</v>
      </c>
      <c r="J68" s="26"/>
      <c r="K68" s="26">
        <f>+K52+K28+K13</f>
        <v>32.596632</v>
      </c>
      <c r="L68" s="35"/>
      <c r="N68" s="34">
        <v>465</v>
      </c>
      <c r="O68" s="26">
        <v>32.593296500000001</v>
      </c>
      <c r="P68" s="22">
        <f t="shared" si="1"/>
        <v>3.3354999999986035E-3</v>
      </c>
    </row>
    <row r="69" spans="1:16" ht="23.25">
      <c r="A69" s="36"/>
      <c r="B69" s="37" t="s">
        <v>30</v>
      </c>
      <c r="C69" s="38"/>
      <c r="D69" s="39" t="s">
        <v>31</v>
      </c>
      <c r="E69" s="40" t="s">
        <v>32</v>
      </c>
      <c r="F69" s="41"/>
      <c r="G69" s="42"/>
      <c r="H69" s="42"/>
      <c r="I69" s="43" t="s">
        <v>33</v>
      </c>
      <c r="J69" s="43"/>
      <c r="K69" s="44"/>
      <c r="L69" s="45"/>
      <c r="N69" s="22"/>
    </row>
    <row r="70" spans="1:16" ht="23.25">
      <c r="A70" s="46"/>
      <c r="B70" s="37"/>
      <c r="C70" s="47"/>
      <c r="D70" s="48"/>
      <c r="E70" s="48"/>
      <c r="F70" s="48" t="s">
        <v>34</v>
      </c>
      <c r="G70" s="48" t="s">
        <v>34</v>
      </c>
      <c r="H70" s="48"/>
      <c r="I70" s="48"/>
      <c r="J70" s="48"/>
      <c r="K70" s="48"/>
      <c r="L70" s="49"/>
    </row>
    <row r="71" spans="1:16" ht="23.25">
      <c r="A71" s="46"/>
      <c r="B71" s="37"/>
      <c r="C71" s="47"/>
      <c r="D71" s="48"/>
      <c r="E71" s="48"/>
      <c r="F71" s="48"/>
      <c r="G71" s="48"/>
      <c r="H71" s="48"/>
      <c r="I71" s="48"/>
      <c r="J71" s="48"/>
      <c r="K71" s="48"/>
      <c r="L71" s="49"/>
    </row>
    <row r="72" spans="1:16" ht="24" thickBot="1">
      <c r="A72" s="50"/>
      <c r="B72" s="51" t="s">
        <v>35</v>
      </c>
      <c r="C72" s="51"/>
      <c r="D72" s="51"/>
      <c r="E72" s="52" t="s">
        <v>36</v>
      </c>
      <c r="F72" s="53"/>
      <c r="G72" s="53"/>
      <c r="H72" s="54"/>
      <c r="I72" s="55" t="s">
        <v>37</v>
      </c>
      <c r="J72" s="55"/>
      <c r="K72" s="52"/>
      <c r="L72" s="56"/>
    </row>
    <row r="76" spans="1:16">
      <c r="H76" s="57"/>
      <c r="I76" s="22"/>
      <c r="J76" s="22"/>
    </row>
    <row r="77" spans="1:16">
      <c r="I77" s="22"/>
    </row>
    <row r="78" spans="1:16">
      <c r="H78" s="57"/>
    </row>
    <row r="81" spans="9:11" ht="22.5">
      <c r="I81" s="20">
        <f>F81*G81*H81/1000</f>
        <v>0</v>
      </c>
      <c r="J81" s="22"/>
      <c r="K81" s="22">
        <f>+I68+'[2]9844  29.12.23 BB '!I39+'[2]2190  29.12.23 JBP '!K31+'[2]0403  29.12.23 JBP (2)'!I23+'[2]0406  29.12.23 JBP'!I28</f>
        <v>161.62125199999997</v>
      </c>
    </row>
  </sheetData>
  <mergeCells count="9">
    <mergeCell ref="K52:K64"/>
    <mergeCell ref="L52:L64"/>
    <mergeCell ref="K13:K27"/>
    <mergeCell ref="L13:L27"/>
    <mergeCell ref="A1:L1"/>
    <mergeCell ref="A2:L2"/>
    <mergeCell ref="A4:L4"/>
    <mergeCell ref="K28:K51"/>
    <mergeCell ref="L28:L51"/>
  </mergeCells>
  <pageMargins left="0.24" right="0.2" top="0.44" bottom="0.35" header="0.3" footer="0.3"/>
  <pageSetup paperSize="9" scale="4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62"/>
  <sheetViews>
    <sheetView topLeftCell="A25" zoomScale="75" zoomScaleNormal="75" workbookViewId="0">
      <selection activeCell="B30" sqref="B30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196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160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130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95</v>
      </c>
      <c r="C13" s="16" t="s">
        <v>54</v>
      </c>
      <c r="D13" s="17" t="s">
        <v>69</v>
      </c>
      <c r="E13" s="17" t="s">
        <v>185</v>
      </c>
      <c r="F13" s="18">
        <v>7.34</v>
      </c>
      <c r="G13" s="19">
        <v>10</v>
      </c>
      <c r="H13" s="18">
        <v>39</v>
      </c>
      <c r="I13" s="20">
        <v>2.863</v>
      </c>
      <c r="J13" s="21"/>
      <c r="K13" s="104">
        <f>+I18+I22+I24+I26</f>
        <v>21.654</v>
      </c>
      <c r="L13" s="104" t="s">
        <v>197</v>
      </c>
      <c r="N13" s="18">
        <v>39</v>
      </c>
      <c r="O13" s="20">
        <v>2.8626000000000005</v>
      </c>
      <c r="P13" s="22">
        <f>I13-O13</f>
        <v>3.9999999999951186E-4</v>
      </c>
    </row>
    <row r="14" spans="1:16" ht="23.25" customHeight="1">
      <c r="A14" s="14"/>
      <c r="B14" s="15"/>
      <c r="C14" s="16"/>
      <c r="D14" s="17"/>
      <c r="E14" s="17"/>
      <c r="F14" s="18">
        <v>7.34</v>
      </c>
      <c r="G14" s="19">
        <v>10.5</v>
      </c>
      <c r="H14" s="18">
        <v>23</v>
      </c>
      <c r="I14" s="20">
        <v>1.7729999999999999</v>
      </c>
      <c r="J14" s="21"/>
      <c r="K14" s="104"/>
      <c r="L14" s="104"/>
      <c r="N14" s="18">
        <v>23</v>
      </c>
      <c r="O14" s="20">
        <v>1.7726099999999998</v>
      </c>
      <c r="P14" s="22">
        <f t="shared" ref="P14:P49" si="0">I14-O14</f>
        <v>3.9000000000011248E-4</v>
      </c>
    </row>
    <row r="15" spans="1:16" ht="23.25" customHeight="1">
      <c r="A15" s="14"/>
      <c r="B15" s="15"/>
      <c r="C15" s="16"/>
      <c r="D15" s="17"/>
      <c r="E15" s="17"/>
      <c r="F15" s="18">
        <v>7.34</v>
      </c>
      <c r="G15" s="19">
        <v>11</v>
      </c>
      <c r="H15" s="18">
        <v>20</v>
      </c>
      <c r="I15" s="20">
        <v>1.615</v>
      </c>
      <c r="J15" s="21"/>
      <c r="K15" s="104"/>
      <c r="L15" s="104"/>
      <c r="N15" s="18">
        <v>20</v>
      </c>
      <c r="O15" s="20">
        <v>1.6148</v>
      </c>
      <c r="P15" s="22"/>
    </row>
    <row r="16" spans="1:16" ht="23.25" customHeight="1">
      <c r="A16" s="14"/>
      <c r="B16" s="15"/>
      <c r="C16" s="16"/>
      <c r="D16" s="17"/>
      <c r="E16" s="17"/>
      <c r="F16" s="18">
        <v>7.34</v>
      </c>
      <c r="G16" s="19">
        <v>11.5</v>
      </c>
      <c r="H16" s="18">
        <v>8</v>
      </c>
      <c r="I16" s="20">
        <v>0.67500000000000004</v>
      </c>
      <c r="J16" s="21"/>
      <c r="K16" s="104"/>
      <c r="L16" s="104"/>
      <c r="N16" s="18">
        <v>8</v>
      </c>
      <c r="O16" s="20">
        <v>0.67527999999999999</v>
      </c>
      <c r="P16" s="22"/>
    </row>
    <row r="17" spans="1:16" ht="23.25" customHeight="1">
      <c r="A17" s="14"/>
      <c r="B17" s="15"/>
      <c r="C17" s="16"/>
      <c r="D17" s="17"/>
      <c r="E17" s="17"/>
      <c r="F17" s="18">
        <v>7.34</v>
      </c>
      <c r="G17" s="19">
        <v>12</v>
      </c>
      <c r="H17" s="18">
        <v>1</v>
      </c>
      <c r="I17" s="20">
        <v>8.7999999999999995E-2</v>
      </c>
      <c r="J17" s="21"/>
      <c r="K17" s="104"/>
      <c r="L17" s="104"/>
      <c r="N17" s="18">
        <v>1</v>
      </c>
      <c r="O17" s="20">
        <v>8.8079999999999992E-2</v>
      </c>
      <c r="P17" s="22"/>
    </row>
    <row r="18" spans="1:16" ht="23.25" customHeight="1">
      <c r="A18" s="14"/>
      <c r="B18" s="15"/>
      <c r="C18" s="16"/>
      <c r="D18" s="17"/>
      <c r="E18" s="17"/>
      <c r="F18" s="18"/>
      <c r="G18" s="19"/>
      <c r="H18" s="23">
        <f>SUM(H13:H17)</f>
        <v>91</v>
      </c>
      <c r="I18" s="24">
        <f>SUM(I13:I17)</f>
        <v>7.0140000000000002</v>
      </c>
      <c r="J18" s="21"/>
      <c r="K18" s="104"/>
      <c r="L18" s="104"/>
      <c r="N18" s="23">
        <v>91</v>
      </c>
      <c r="O18" s="24">
        <v>7.0133700000000001</v>
      </c>
      <c r="P18" s="22">
        <f t="shared" si="0"/>
        <v>6.3000000000013046E-4</v>
      </c>
    </row>
    <row r="19" spans="1:16" ht="23.25" customHeight="1">
      <c r="A19" s="14">
        <v>2</v>
      </c>
      <c r="B19" s="15" t="s">
        <v>95</v>
      </c>
      <c r="C19" s="16" t="s">
        <v>54</v>
      </c>
      <c r="D19" s="17" t="s">
        <v>69</v>
      </c>
      <c r="E19" s="17" t="s">
        <v>154</v>
      </c>
      <c r="F19" s="18">
        <v>8.3000000000000007</v>
      </c>
      <c r="G19" s="19">
        <v>9</v>
      </c>
      <c r="H19" s="18">
        <v>52</v>
      </c>
      <c r="I19" s="20">
        <v>3.8839999999999999</v>
      </c>
      <c r="J19" s="21"/>
      <c r="K19" s="104"/>
      <c r="L19" s="104"/>
      <c r="N19" s="18">
        <v>52</v>
      </c>
      <c r="O19" s="20">
        <v>3.8844000000000003</v>
      </c>
      <c r="P19" s="22"/>
    </row>
    <row r="20" spans="1:16" ht="23.25" customHeight="1">
      <c r="A20" s="14"/>
      <c r="B20" s="15"/>
      <c r="C20" s="16"/>
      <c r="D20" s="17"/>
      <c r="E20" s="17"/>
      <c r="F20" s="18">
        <v>8.3000000000000007</v>
      </c>
      <c r="G20" s="19">
        <v>11</v>
      </c>
      <c r="H20" s="18">
        <v>28</v>
      </c>
      <c r="I20" s="20">
        <v>2.556</v>
      </c>
      <c r="J20" s="21"/>
      <c r="K20" s="104"/>
      <c r="L20" s="104"/>
      <c r="N20" s="18">
        <v>28</v>
      </c>
      <c r="O20" s="20">
        <v>2.5564000000000004</v>
      </c>
      <c r="P20" s="22"/>
    </row>
    <row r="21" spans="1:16" ht="23.25" customHeight="1">
      <c r="A21" s="14"/>
      <c r="B21" s="15"/>
      <c r="C21" s="16"/>
      <c r="D21" s="17"/>
      <c r="E21" s="17"/>
      <c r="F21" s="18">
        <v>8.3000000000000007</v>
      </c>
      <c r="G21" s="19">
        <v>11.1</v>
      </c>
      <c r="H21" s="18">
        <v>30</v>
      </c>
      <c r="I21" s="20">
        <v>2.7639999999999998</v>
      </c>
      <c r="J21" s="21"/>
      <c r="K21" s="104"/>
      <c r="L21" s="104"/>
      <c r="N21" s="18">
        <v>30</v>
      </c>
      <c r="O21" s="20">
        <v>2.7639</v>
      </c>
      <c r="P21" s="22"/>
    </row>
    <row r="22" spans="1:16" ht="23.25" customHeight="1">
      <c r="A22" s="14"/>
      <c r="B22" s="15"/>
      <c r="C22" s="16"/>
      <c r="D22" s="17"/>
      <c r="E22" s="17"/>
      <c r="F22" s="18"/>
      <c r="G22" s="19"/>
      <c r="H22" s="23">
        <f>SUM(H19:H21)</f>
        <v>110</v>
      </c>
      <c r="I22" s="24">
        <f>SUM(I19:I21)</f>
        <v>9.2039999999999988</v>
      </c>
      <c r="J22" s="21"/>
      <c r="K22" s="104"/>
      <c r="L22" s="104"/>
      <c r="N22" s="23">
        <v>110</v>
      </c>
      <c r="O22" s="24">
        <v>9.2047000000000008</v>
      </c>
      <c r="P22" s="22"/>
    </row>
    <row r="23" spans="1:16" ht="23.25" customHeight="1">
      <c r="A23" s="14">
        <v>3</v>
      </c>
      <c r="B23" s="15" t="s">
        <v>95</v>
      </c>
      <c r="C23" s="16" t="s">
        <v>54</v>
      </c>
      <c r="D23" s="17" t="s">
        <v>69</v>
      </c>
      <c r="E23" s="17" t="s">
        <v>96</v>
      </c>
      <c r="F23" s="18">
        <v>4.6500000000000004</v>
      </c>
      <c r="G23" s="19">
        <v>11.5</v>
      </c>
      <c r="H23" s="18">
        <v>38</v>
      </c>
      <c r="I23" s="20">
        <v>2.032</v>
      </c>
      <c r="J23" s="21"/>
      <c r="K23" s="104"/>
      <c r="L23" s="104"/>
      <c r="N23" s="18">
        <v>38</v>
      </c>
      <c r="O23" s="20">
        <v>2.0320499999999999</v>
      </c>
      <c r="P23" s="22"/>
    </row>
    <row r="24" spans="1:16" ht="23.25" customHeight="1">
      <c r="A24" s="14"/>
      <c r="B24" s="15"/>
      <c r="C24" s="16"/>
      <c r="D24" s="17"/>
      <c r="E24" s="17"/>
      <c r="F24" s="18"/>
      <c r="G24" s="19"/>
      <c r="H24" s="23">
        <f>SUM(H23)</f>
        <v>38</v>
      </c>
      <c r="I24" s="24">
        <f>SUM(I23)</f>
        <v>2.032</v>
      </c>
      <c r="J24" s="21"/>
      <c r="K24" s="104"/>
      <c r="L24" s="104"/>
      <c r="N24" s="23">
        <v>38</v>
      </c>
      <c r="O24" s="24">
        <v>2.0320499999999999</v>
      </c>
      <c r="P24" s="22"/>
    </row>
    <row r="25" spans="1:16" ht="23.25" customHeight="1">
      <c r="A25" s="14">
        <v>4</v>
      </c>
      <c r="B25" s="15" t="s">
        <v>79</v>
      </c>
      <c r="C25" s="16" t="s">
        <v>54</v>
      </c>
      <c r="D25" s="17" t="s">
        <v>69</v>
      </c>
      <c r="E25" s="17" t="s">
        <v>186</v>
      </c>
      <c r="F25" s="18">
        <v>18.2</v>
      </c>
      <c r="G25" s="19">
        <v>6.7</v>
      </c>
      <c r="H25" s="18">
        <v>28</v>
      </c>
      <c r="I25" s="20">
        <v>3.4039999999999999</v>
      </c>
      <c r="J25" s="21"/>
      <c r="K25" s="104"/>
      <c r="L25" s="104"/>
      <c r="N25" s="18">
        <v>35</v>
      </c>
      <c r="O25" s="20">
        <v>4.2679</v>
      </c>
      <c r="P25" s="22"/>
    </row>
    <row r="26" spans="1:16" ht="23.25" customHeight="1">
      <c r="A26" s="14"/>
      <c r="B26" s="15"/>
      <c r="C26" s="16"/>
      <c r="D26" s="17"/>
      <c r="E26" s="17"/>
      <c r="F26" s="18"/>
      <c r="G26" s="19"/>
      <c r="H26" s="23">
        <f t="shared" ref="H26:I26" si="1">SUM(H25)</f>
        <v>28</v>
      </c>
      <c r="I26" s="24">
        <f t="shared" si="1"/>
        <v>3.4039999999999999</v>
      </c>
      <c r="J26" s="21"/>
      <c r="K26" s="104"/>
      <c r="L26" s="104"/>
      <c r="N26" s="18"/>
      <c r="O26" s="20"/>
      <c r="P26" s="22"/>
    </row>
    <row r="27" spans="1:16" ht="23.25" customHeight="1">
      <c r="A27" s="14"/>
      <c r="B27" s="15"/>
      <c r="C27" s="16"/>
      <c r="D27" s="17"/>
      <c r="E27" s="17"/>
      <c r="F27" s="18">
        <v>18.2</v>
      </c>
      <c r="G27" s="19">
        <v>6.7</v>
      </c>
      <c r="H27" s="18">
        <f>35-28</f>
        <v>7</v>
      </c>
      <c r="I27" s="20">
        <f>4.268-3.404</f>
        <v>0.86399999999999988</v>
      </c>
      <c r="J27" s="21"/>
      <c r="K27" s="104">
        <f>+I29+I31+I33+I35+I37+I39+I42+I44+I46</f>
        <v>11.350999999999999</v>
      </c>
      <c r="L27" s="104" t="s">
        <v>198</v>
      </c>
      <c r="N27" s="18"/>
      <c r="O27" s="20"/>
      <c r="P27" s="22"/>
    </row>
    <row r="28" spans="1:16" ht="23.25" customHeight="1">
      <c r="A28" s="14"/>
      <c r="B28" s="15"/>
      <c r="C28" s="16"/>
      <c r="D28" s="17"/>
      <c r="E28" s="17"/>
      <c r="F28" s="18">
        <v>18.2</v>
      </c>
      <c r="G28" s="19">
        <v>11.1</v>
      </c>
      <c r="H28" s="18">
        <v>6</v>
      </c>
      <c r="I28" s="20">
        <v>1.212</v>
      </c>
      <c r="J28" s="21"/>
      <c r="K28" s="104"/>
      <c r="L28" s="104"/>
      <c r="N28" s="18">
        <v>6</v>
      </c>
      <c r="O28" s="20">
        <v>1.2121199999999999</v>
      </c>
      <c r="P28" s="22"/>
    </row>
    <row r="29" spans="1:16" ht="23.25" customHeight="1">
      <c r="A29" s="14"/>
      <c r="B29" s="15"/>
      <c r="C29" s="16"/>
      <c r="D29" s="17"/>
      <c r="E29" s="17"/>
      <c r="F29" s="18"/>
      <c r="G29" s="19"/>
      <c r="H29" s="23">
        <f>SUM(H27:H28)</f>
        <v>13</v>
      </c>
      <c r="I29" s="24">
        <f>SUM(I27:I28)</f>
        <v>2.0759999999999996</v>
      </c>
      <c r="J29" s="21"/>
      <c r="K29" s="104"/>
      <c r="L29" s="104"/>
      <c r="N29" s="23">
        <v>41</v>
      </c>
      <c r="O29" s="24">
        <v>5.4800199999999997</v>
      </c>
      <c r="P29" s="22"/>
    </row>
    <row r="30" spans="1:16" ht="23.25" customHeight="1">
      <c r="A30" s="14">
        <v>5</v>
      </c>
      <c r="B30" s="15" t="s">
        <v>79</v>
      </c>
      <c r="C30" s="16" t="s">
        <v>54</v>
      </c>
      <c r="D30" s="17" t="s">
        <v>69</v>
      </c>
      <c r="E30" s="17" t="s">
        <v>99</v>
      </c>
      <c r="F30" s="18">
        <v>14.7</v>
      </c>
      <c r="G30" s="19">
        <v>11.7</v>
      </c>
      <c r="H30" s="18">
        <v>14</v>
      </c>
      <c r="I30" s="20">
        <v>2.4079999999999999</v>
      </c>
      <c r="J30" s="21"/>
      <c r="K30" s="104"/>
      <c r="L30" s="104"/>
      <c r="N30" s="18">
        <v>14</v>
      </c>
      <c r="O30" s="20">
        <v>2.4078599999999999</v>
      </c>
      <c r="P30" s="22"/>
    </row>
    <row r="31" spans="1:16" ht="23.25" customHeight="1">
      <c r="A31" s="14"/>
      <c r="B31" s="15"/>
      <c r="C31" s="16"/>
      <c r="D31" s="17"/>
      <c r="E31" s="17"/>
      <c r="F31" s="18"/>
      <c r="G31" s="19"/>
      <c r="H31" s="23">
        <f>SUM(H30:H30)</f>
        <v>14</v>
      </c>
      <c r="I31" s="24">
        <f>SUM(I30:I30)</f>
        <v>2.4079999999999999</v>
      </c>
      <c r="J31" s="21"/>
      <c r="K31" s="104"/>
      <c r="L31" s="104"/>
      <c r="N31" s="23">
        <v>14</v>
      </c>
      <c r="O31" s="24">
        <v>2.4078599999999999</v>
      </c>
      <c r="P31" s="22"/>
    </row>
    <row r="32" spans="1:16" ht="23.25" customHeight="1">
      <c r="A32" s="14">
        <v>6</v>
      </c>
      <c r="B32" s="15" t="s">
        <v>79</v>
      </c>
      <c r="C32" s="16" t="s">
        <v>54</v>
      </c>
      <c r="D32" s="17" t="s">
        <v>69</v>
      </c>
      <c r="E32" s="17" t="s">
        <v>193</v>
      </c>
      <c r="F32" s="18">
        <v>13.6</v>
      </c>
      <c r="G32" s="19">
        <v>7.6</v>
      </c>
      <c r="H32" s="18">
        <v>24</v>
      </c>
      <c r="I32" s="20">
        <v>2.4809999999999999</v>
      </c>
      <c r="J32" s="21"/>
      <c r="K32" s="104"/>
      <c r="L32" s="104"/>
      <c r="N32" s="18">
        <v>24</v>
      </c>
      <c r="O32" s="20">
        <v>2.4806399999999997</v>
      </c>
      <c r="P32" s="22"/>
    </row>
    <row r="33" spans="1:16" ht="23.25" customHeight="1">
      <c r="A33" s="14"/>
      <c r="B33" s="15"/>
      <c r="C33" s="16"/>
      <c r="D33" s="17"/>
      <c r="E33" s="17"/>
      <c r="F33" s="18"/>
      <c r="G33" s="19"/>
      <c r="H33" s="23">
        <f>SUM(H32:H32)</f>
        <v>24</v>
      </c>
      <c r="I33" s="24">
        <f>SUM(I32:I32)</f>
        <v>2.4809999999999999</v>
      </c>
      <c r="J33" s="21"/>
      <c r="K33" s="104"/>
      <c r="L33" s="104"/>
      <c r="N33" s="23">
        <v>24</v>
      </c>
      <c r="O33" s="24">
        <v>2.4806399999999997</v>
      </c>
      <c r="P33" s="22"/>
    </row>
    <row r="34" spans="1:16" ht="23.25" customHeight="1">
      <c r="A34" s="14">
        <v>7</v>
      </c>
      <c r="B34" s="15" t="s">
        <v>68</v>
      </c>
      <c r="C34" s="16" t="s">
        <v>54</v>
      </c>
      <c r="D34" s="17" t="s">
        <v>69</v>
      </c>
      <c r="E34" s="17" t="s">
        <v>187</v>
      </c>
      <c r="F34" s="18">
        <v>15</v>
      </c>
      <c r="G34" s="19">
        <v>9.5</v>
      </c>
      <c r="H34" s="18">
        <v>2</v>
      </c>
      <c r="I34" s="20">
        <v>0.28499999999999998</v>
      </c>
      <c r="J34" s="21"/>
      <c r="K34" s="104"/>
      <c r="L34" s="104"/>
      <c r="N34" s="18">
        <v>2</v>
      </c>
      <c r="O34" s="20">
        <v>0.28499999999999998</v>
      </c>
      <c r="P34" s="22"/>
    </row>
    <row r="35" spans="1:16" ht="23.25" customHeight="1">
      <c r="A35" s="14"/>
      <c r="B35" s="15"/>
      <c r="C35" s="16"/>
      <c r="D35" s="17"/>
      <c r="E35" s="17"/>
      <c r="F35" s="18"/>
      <c r="G35" s="19"/>
      <c r="H35" s="23">
        <f>SUM(H34:H34)</f>
        <v>2</v>
      </c>
      <c r="I35" s="24">
        <f>SUM(I34:I34)</f>
        <v>0.28499999999999998</v>
      </c>
      <c r="J35" s="21"/>
      <c r="K35" s="104"/>
      <c r="L35" s="104"/>
      <c r="N35" s="23">
        <v>2</v>
      </c>
      <c r="O35" s="24">
        <v>0.28499999999999998</v>
      </c>
      <c r="P35" s="22"/>
    </row>
    <row r="36" spans="1:16" ht="23.25" customHeight="1">
      <c r="A36" s="14">
        <v>8</v>
      </c>
      <c r="B36" s="15" t="s">
        <v>68</v>
      </c>
      <c r="C36" s="16" t="s">
        <v>54</v>
      </c>
      <c r="D36" s="17" t="s">
        <v>69</v>
      </c>
      <c r="E36" s="17" t="s">
        <v>188</v>
      </c>
      <c r="F36" s="18">
        <v>17.899999999999999</v>
      </c>
      <c r="G36" s="19">
        <v>12</v>
      </c>
      <c r="H36" s="18">
        <v>3</v>
      </c>
      <c r="I36" s="20">
        <v>0.64400000000000002</v>
      </c>
      <c r="J36" s="21"/>
      <c r="K36" s="104"/>
      <c r="L36" s="104"/>
      <c r="N36" s="18">
        <v>3</v>
      </c>
      <c r="O36" s="20">
        <v>0.64439999999999997</v>
      </c>
      <c r="P36" s="22"/>
    </row>
    <row r="37" spans="1:16" ht="23.25" customHeight="1">
      <c r="A37" s="14"/>
      <c r="B37" s="15"/>
      <c r="C37" s="16"/>
      <c r="D37" s="17"/>
      <c r="E37" s="17"/>
      <c r="F37" s="18"/>
      <c r="G37" s="19"/>
      <c r="H37" s="23">
        <f>SUM(H36:H36)</f>
        <v>3</v>
      </c>
      <c r="I37" s="24">
        <f>SUM(I36:I36)</f>
        <v>0.64400000000000002</v>
      </c>
      <c r="J37" s="21"/>
      <c r="K37" s="104"/>
      <c r="L37" s="104"/>
      <c r="N37" s="23">
        <v>3</v>
      </c>
      <c r="O37" s="24">
        <v>0.64439999999999997</v>
      </c>
      <c r="P37" s="22"/>
    </row>
    <row r="38" spans="1:16" ht="23.25" customHeight="1">
      <c r="A38" s="14">
        <v>9</v>
      </c>
      <c r="B38" s="15" t="s">
        <v>68</v>
      </c>
      <c r="C38" s="16" t="s">
        <v>54</v>
      </c>
      <c r="D38" s="17" t="s">
        <v>69</v>
      </c>
      <c r="E38" s="17" t="s">
        <v>147</v>
      </c>
      <c r="F38" s="18">
        <v>9.61</v>
      </c>
      <c r="G38" s="19">
        <v>7.6</v>
      </c>
      <c r="H38" s="18">
        <v>7</v>
      </c>
      <c r="I38" s="20">
        <v>0.51100000000000001</v>
      </c>
      <c r="J38" s="21"/>
      <c r="K38" s="104"/>
      <c r="L38" s="104"/>
      <c r="N38" s="18">
        <v>7</v>
      </c>
      <c r="O38" s="20">
        <v>0.51125199999999993</v>
      </c>
      <c r="P38" s="22"/>
    </row>
    <row r="39" spans="1:16" ht="23.25" customHeight="1">
      <c r="A39" s="14"/>
      <c r="B39" s="15"/>
      <c r="C39" s="16"/>
      <c r="D39" s="17"/>
      <c r="E39" s="17"/>
      <c r="F39" s="18"/>
      <c r="G39" s="19"/>
      <c r="H39" s="23">
        <f>SUM(H38:H38)</f>
        <v>7</v>
      </c>
      <c r="I39" s="24">
        <f>SUM(I38:I38)</f>
        <v>0.51100000000000001</v>
      </c>
      <c r="J39" s="21"/>
      <c r="K39" s="104"/>
      <c r="L39" s="104"/>
      <c r="N39" s="23">
        <v>7</v>
      </c>
      <c r="O39" s="24">
        <v>0.51125199999999993</v>
      </c>
      <c r="P39" s="22"/>
    </row>
    <row r="40" spans="1:16" ht="23.25" customHeight="1">
      <c r="A40" s="14">
        <v>10</v>
      </c>
      <c r="B40" s="15" t="s">
        <v>68</v>
      </c>
      <c r="C40" s="16" t="s">
        <v>21</v>
      </c>
      <c r="D40" s="17" t="s">
        <v>189</v>
      </c>
      <c r="E40" s="17" t="s">
        <v>190</v>
      </c>
      <c r="F40" s="18">
        <v>8.3000000000000007</v>
      </c>
      <c r="G40" s="19">
        <v>10</v>
      </c>
      <c r="H40" s="18">
        <v>1</v>
      </c>
      <c r="I40" s="20">
        <v>8.3000000000000004E-2</v>
      </c>
      <c r="J40" s="21"/>
      <c r="K40" s="104"/>
      <c r="L40" s="104"/>
      <c r="N40" s="18">
        <v>1</v>
      </c>
      <c r="O40" s="20">
        <v>8.3000000000000004E-2</v>
      </c>
      <c r="P40" s="22"/>
    </row>
    <row r="41" spans="1:16" ht="23.25" customHeight="1">
      <c r="A41" s="14"/>
      <c r="B41" s="15"/>
      <c r="C41" s="16"/>
      <c r="D41" s="17"/>
      <c r="E41" s="17"/>
      <c r="F41" s="18">
        <v>8.3000000000000007</v>
      </c>
      <c r="G41" s="19">
        <v>10.5</v>
      </c>
      <c r="H41" s="18">
        <v>1</v>
      </c>
      <c r="I41" s="20">
        <v>8.6999999999999994E-2</v>
      </c>
      <c r="J41" s="21"/>
      <c r="K41" s="104"/>
      <c r="L41" s="104"/>
      <c r="N41" s="18">
        <v>1</v>
      </c>
      <c r="O41" s="20">
        <v>8.7150000000000005E-2</v>
      </c>
      <c r="P41" s="22"/>
    </row>
    <row r="42" spans="1:16" ht="23.25" customHeight="1">
      <c r="A42" s="14"/>
      <c r="B42" s="15"/>
      <c r="C42" s="16"/>
      <c r="D42" s="17"/>
      <c r="E42" s="17"/>
      <c r="F42" s="18"/>
      <c r="G42" s="19"/>
      <c r="H42" s="23">
        <f>SUM(H40:H41)</f>
        <v>2</v>
      </c>
      <c r="I42" s="24">
        <f>SUM(I40:I41)</f>
        <v>0.16999999999999998</v>
      </c>
      <c r="J42" s="21"/>
      <c r="K42" s="104"/>
      <c r="L42" s="104"/>
      <c r="N42" s="23">
        <v>2</v>
      </c>
      <c r="O42" s="24">
        <v>0.17015000000000002</v>
      </c>
      <c r="P42" s="22"/>
    </row>
    <row r="43" spans="1:16" ht="23.25" customHeight="1">
      <c r="A43" s="14">
        <v>11</v>
      </c>
      <c r="B43" s="15" t="s">
        <v>78</v>
      </c>
      <c r="C43" s="16" t="s">
        <v>54</v>
      </c>
      <c r="D43" s="17" t="s">
        <v>43</v>
      </c>
      <c r="E43" s="17" t="s">
        <v>191</v>
      </c>
      <c r="F43" s="18">
        <v>19.8</v>
      </c>
      <c r="G43" s="19">
        <v>7.1</v>
      </c>
      <c r="H43" s="18">
        <v>6</v>
      </c>
      <c r="I43" s="20">
        <v>0.84299999999999997</v>
      </c>
      <c r="J43" s="21"/>
      <c r="K43" s="104"/>
      <c r="L43" s="104"/>
      <c r="N43" s="18">
        <v>6</v>
      </c>
      <c r="O43" s="20">
        <v>0.8434799999999999</v>
      </c>
      <c r="P43" s="22"/>
    </row>
    <row r="44" spans="1:16" ht="23.25" customHeight="1">
      <c r="A44" s="14"/>
      <c r="B44" s="15"/>
      <c r="C44" s="16"/>
      <c r="D44" s="17"/>
      <c r="E44" s="17"/>
      <c r="F44" s="18"/>
      <c r="G44" s="19"/>
      <c r="H44" s="23">
        <f>SUM(H43:H43)</f>
        <v>6</v>
      </c>
      <c r="I44" s="24">
        <f>SUM(I43:I43)</f>
        <v>0.84299999999999997</v>
      </c>
      <c r="J44" s="21"/>
      <c r="K44" s="104"/>
      <c r="L44" s="104"/>
      <c r="N44" s="23">
        <v>6</v>
      </c>
      <c r="O44" s="24">
        <v>0.8434799999999999</v>
      </c>
      <c r="P44" s="22"/>
    </row>
    <row r="45" spans="1:16" ht="23.25" customHeight="1">
      <c r="A45" s="14">
        <v>12</v>
      </c>
      <c r="B45" s="15" t="s">
        <v>192</v>
      </c>
      <c r="C45" s="16" t="s">
        <v>54</v>
      </c>
      <c r="D45" s="17" t="s">
        <v>69</v>
      </c>
      <c r="E45" s="17" t="s">
        <v>180</v>
      </c>
      <c r="F45" s="18">
        <v>5.37</v>
      </c>
      <c r="G45" s="19">
        <v>12</v>
      </c>
      <c r="H45" s="18">
        <v>30</v>
      </c>
      <c r="I45" s="20">
        <v>1.9330000000000001</v>
      </c>
      <c r="J45" s="21"/>
      <c r="K45" s="104"/>
      <c r="L45" s="104"/>
      <c r="N45" s="18">
        <v>30</v>
      </c>
      <c r="O45" s="20">
        <v>1.9331999999999998</v>
      </c>
      <c r="P45" s="22"/>
    </row>
    <row r="46" spans="1:16" ht="23.25" customHeight="1">
      <c r="A46" s="14"/>
      <c r="B46" s="15"/>
      <c r="C46" s="16"/>
      <c r="D46" s="17"/>
      <c r="E46" s="17"/>
      <c r="F46" s="18"/>
      <c r="G46" s="19"/>
      <c r="H46" s="23">
        <f>SUM(H45:H45)</f>
        <v>30</v>
      </c>
      <c r="I46" s="24">
        <f>SUM(I45:I45)</f>
        <v>1.9330000000000001</v>
      </c>
      <c r="J46" s="21"/>
      <c r="K46" s="104"/>
      <c r="L46" s="104"/>
      <c r="N46" s="23">
        <v>30</v>
      </c>
      <c r="O46" s="24">
        <v>1.9331999999999998</v>
      </c>
      <c r="P46" s="22"/>
    </row>
    <row r="47" spans="1:16" ht="23.25" customHeight="1">
      <c r="A47" s="14"/>
      <c r="B47" s="15"/>
      <c r="C47" s="16"/>
      <c r="D47" s="17"/>
      <c r="E47" s="17"/>
      <c r="F47" s="18"/>
      <c r="G47" s="19"/>
      <c r="H47" s="85">
        <f>SUM(H46,H44,H42,H39,H37,H35,H33,H31,H29,H26,H24,H22,H18)</f>
        <v>368</v>
      </c>
      <c r="I47" s="24">
        <f>SUM(I46,I44,I42,I39,I37,I35,I33,I31,I29,I26,I24,I22,I18)</f>
        <v>33.005000000000003</v>
      </c>
      <c r="J47" s="21"/>
      <c r="K47" s="62"/>
      <c r="L47" s="62"/>
      <c r="N47" s="85">
        <v>368</v>
      </c>
      <c r="O47" s="24">
        <v>33.006122000000005</v>
      </c>
      <c r="P47" s="22"/>
    </row>
    <row r="48" spans="1:16" ht="23.25" customHeight="1">
      <c r="A48" s="27"/>
      <c r="B48" s="28"/>
      <c r="C48" s="28"/>
      <c r="D48" s="28"/>
      <c r="E48" s="21"/>
      <c r="F48" s="18"/>
      <c r="G48" s="19"/>
      <c r="H48" s="25"/>
      <c r="I48" s="26"/>
      <c r="J48" s="21"/>
      <c r="K48" s="21"/>
      <c r="L48" s="29"/>
      <c r="N48" s="25"/>
      <c r="O48" s="26"/>
      <c r="P48" s="22">
        <f t="shared" si="0"/>
        <v>0</v>
      </c>
    </row>
    <row r="49" spans="1:16" ht="23.25" customHeight="1" thickBot="1">
      <c r="A49" s="30"/>
      <c r="B49" s="31"/>
      <c r="C49" s="31"/>
      <c r="D49" s="31"/>
      <c r="E49" s="32" t="s">
        <v>29</v>
      </c>
      <c r="F49" s="33"/>
      <c r="G49" s="26"/>
      <c r="H49" s="34">
        <f>+H47</f>
        <v>368</v>
      </c>
      <c r="I49" s="26">
        <f>+I47</f>
        <v>33.005000000000003</v>
      </c>
      <c r="J49" s="26"/>
      <c r="K49" s="26">
        <f>+K27+K13</f>
        <v>33.004999999999995</v>
      </c>
      <c r="L49" s="35"/>
      <c r="N49" s="34">
        <v>368</v>
      </c>
      <c r="O49" s="26">
        <v>33.006122000000005</v>
      </c>
      <c r="P49" s="22">
        <f t="shared" si="0"/>
        <v>-1.1220000000022878E-3</v>
      </c>
    </row>
    <row r="50" spans="1:16" ht="23.25">
      <c r="A50" s="36"/>
      <c r="B50" s="37" t="s">
        <v>30</v>
      </c>
      <c r="C50" s="38"/>
      <c r="D50" s="39" t="s">
        <v>31</v>
      </c>
      <c r="E50" s="40" t="s">
        <v>32</v>
      </c>
      <c r="F50" s="41"/>
      <c r="G50" s="42"/>
      <c r="H50" s="42"/>
      <c r="I50" s="43" t="s">
        <v>33</v>
      </c>
      <c r="J50" s="43"/>
      <c r="K50" s="44"/>
      <c r="L50" s="45"/>
      <c r="N50" s="22"/>
    </row>
    <row r="51" spans="1:16" ht="23.25">
      <c r="A51" s="46"/>
      <c r="B51" s="37"/>
      <c r="C51" s="47"/>
      <c r="D51" s="48"/>
      <c r="E51" s="48"/>
      <c r="F51" s="48" t="s">
        <v>34</v>
      </c>
      <c r="G51" s="48" t="s">
        <v>34</v>
      </c>
      <c r="H51" s="48"/>
      <c r="I51" s="48"/>
      <c r="J51" s="48"/>
      <c r="K51" s="48"/>
      <c r="L51" s="49"/>
    </row>
    <row r="52" spans="1:16" ht="23.25">
      <c r="A52" s="46"/>
      <c r="B52" s="37"/>
      <c r="C52" s="47"/>
      <c r="D52" s="48"/>
      <c r="E52" s="48"/>
      <c r="F52" s="48"/>
      <c r="G52" s="48"/>
      <c r="H52" s="48"/>
      <c r="I52" s="48"/>
      <c r="J52" s="48"/>
      <c r="K52" s="48"/>
      <c r="L52" s="49"/>
    </row>
    <row r="53" spans="1:16" ht="24" thickBot="1">
      <c r="A53" s="50"/>
      <c r="B53" s="51" t="s">
        <v>35</v>
      </c>
      <c r="C53" s="51"/>
      <c r="D53" s="51"/>
      <c r="E53" s="52" t="s">
        <v>36</v>
      </c>
      <c r="F53" s="53"/>
      <c r="G53" s="53"/>
      <c r="H53" s="54"/>
      <c r="I53" s="55" t="s">
        <v>37</v>
      </c>
      <c r="J53" s="55"/>
      <c r="K53" s="52"/>
      <c r="L53" s="56"/>
    </row>
    <row r="57" spans="1:16">
      <c r="H57" s="57"/>
      <c r="I57" s="22"/>
      <c r="J57" s="22"/>
    </row>
    <row r="58" spans="1:16">
      <c r="I58" s="22"/>
    </row>
    <row r="59" spans="1:16">
      <c r="H59" s="57"/>
    </row>
    <row r="62" spans="1:16" ht="22.5">
      <c r="I62" s="20">
        <f>F62*G62*H62/1000</f>
        <v>0</v>
      </c>
      <c r="J62" s="22">
        <f>+I49+'0403  03.01.24 JBP '!I32+'5844  03.01.24 BUB'!I26+'4944  03.01.24 BUB '!I30+'7423  03.01.24 JBP'!I32</f>
        <v>163.34094999999999</v>
      </c>
      <c r="K62" s="22">
        <f>+'7423  03.01.24 JBP'!I32+'4944  03.01.24 BUB '!I30+'5844  03.01.24 BUB'!I26+'0403  03.01.24 JBP '!I32+'5844  04.01.24 BB  '!I49</f>
        <v>163.34094999999999</v>
      </c>
    </row>
  </sheetData>
  <mergeCells count="7">
    <mergeCell ref="K27:K46"/>
    <mergeCell ref="L27:L46"/>
    <mergeCell ref="A1:L1"/>
    <mergeCell ref="A2:L2"/>
    <mergeCell ref="A4:L4"/>
    <mergeCell ref="K13:K26"/>
    <mergeCell ref="L13:L26"/>
  </mergeCells>
  <pageMargins left="0.24" right="0.2" top="0.44" bottom="0.35" header="0.3" footer="0.3"/>
  <pageSetup paperSize="9" scale="4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3"/>
  <sheetViews>
    <sheetView topLeftCell="A10" zoomScale="75" zoomScaleNormal="75" workbookViewId="0">
      <selection activeCell="K20" sqref="K20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199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160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194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79</v>
      </c>
      <c r="C13" s="16" t="s">
        <v>54</v>
      </c>
      <c r="D13" s="17" t="s">
        <v>69</v>
      </c>
      <c r="E13" s="17" t="s">
        <v>80</v>
      </c>
      <c r="F13" s="18">
        <v>27.3</v>
      </c>
      <c r="G13" s="19">
        <v>12.75</v>
      </c>
      <c r="H13" s="18">
        <v>51</v>
      </c>
      <c r="I13" s="20">
        <v>17.972999999999999</v>
      </c>
      <c r="J13" s="21"/>
      <c r="K13" s="92">
        <f>+I14</f>
        <v>17.972999999999999</v>
      </c>
      <c r="L13" s="104" t="s">
        <v>200</v>
      </c>
      <c r="N13" s="18">
        <v>53</v>
      </c>
      <c r="O13" s="20">
        <v>18.447975</v>
      </c>
      <c r="P13" s="22"/>
    </row>
    <row r="14" spans="1:16" ht="23.25" customHeight="1">
      <c r="A14" s="14"/>
      <c r="B14" s="15"/>
      <c r="C14" s="16"/>
      <c r="D14" s="17"/>
      <c r="E14" s="17"/>
      <c r="F14" s="18"/>
      <c r="G14" s="19"/>
      <c r="H14" s="23">
        <f>SUM(H13:H13)</f>
        <v>51</v>
      </c>
      <c r="I14" s="24">
        <f>SUM(I13:I13)</f>
        <v>17.972999999999999</v>
      </c>
      <c r="J14" s="21"/>
      <c r="K14" s="94"/>
      <c r="L14" s="104"/>
      <c r="N14" s="23">
        <v>98</v>
      </c>
      <c r="O14" s="24">
        <v>33.374250000000004</v>
      </c>
      <c r="P14" s="22"/>
    </row>
    <row r="15" spans="1:16" ht="23.25" customHeight="1">
      <c r="A15" s="14"/>
      <c r="B15" s="15"/>
      <c r="C15" s="16"/>
      <c r="D15" s="17"/>
      <c r="E15" s="17"/>
      <c r="F15" s="18">
        <v>27.3</v>
      </c>
      <c r="G15" s="19">
        <v>12.75</v>
      </c>
      <c r="H15" s="18">
        <f>53-51</f>
        <v>2</v>
      </c>
      <c r="I15" s="20">
        <f>18.448-17.973</f>
        <v>0.47500000000000142</v>
      </c>
      <c r="J15" s="21"/>
      <c r="K15" s="92">
        <f>+I17</f>
        <v>15.401000000000002</v>
      </c>
      <c r="L15" s="104" t="s">
        <v>201</v>
      </c>
      <c r="N15" s="23"/>
      <c r="O15" s="24"/>
      <c r="P15" s="22"/>
    </row>
    <row r="16" spans="1:16" ht="23.25" customHeight="1">
      <c r="A16" s="14"/>
      <c r="B16" s="15"/>
      <c r="C16" s="16"/>
      <c r="D16" s="17"/>
      <c r="E16" s="17"/>
      <c r="F16" s="18">
        <v>27.3</v>
      </c>
      <c r="G16" s="19">
        <v>12.15</v>
      </c>
      <c r="H16" s="18">
        <v>45</v>
      </c>
      <c r="I16" s="20">
        <v>14.926</v>
      </c>
      <c r="J16" s="21"/>
      <c r="K16" s="93"/>
      <c r="L16" s="104"/>
      <c r="N16" s="23"/>
      <c r="O16" s="24"/>
      <c r="P16" s="22"/>
    </row>
    <row r="17" spans="1:16" ht="23.25" customHeight="1">
      <c r="A17" s="14"/>
      <c r="B17" s="15"/>
      <c r="C17" s="16"/>
      <c r="D17" s="17"/>
      <c r="E17" s="17"/>
      <c r="F17" s="18"/>
      <c r="G17" s="19"/>
      <c r="H17" s="23">
        <f t="shared" ref="H17:I17" si="0">SUM(H15:H16)</f>
        <v>47</v>
      </c>
      <c r="I17" s="24">
        <f t="shared" si="0"/>
        <v>15.401000000000002</v>
      </c>
      <c r="J17" s="21"/>
      <c r="K17" s="94"/>
      <c r="L17" s="104"/>
      <c r="N17" s="23"/>
      <c r="O17" s="24"/>
      <c r="P17" s="22"/>
    </row>
    <row r="18" spans="1:16" ht="23.25" customHeight="1">
      <c r="A18" s="27"/>
      <c r="B18" s="58"/>
      <c r="C18" s="59"/>
      <c r="D18" s="60"/>
      <c r="E18" s="17"/>
      <c r="F18" s="18"/>
      <c r="G18" s="19"/>
      <c r="H18" s="23">
        <f t="shared" ref="H18:I18" si="1">SUM(H17,H14)</f>
        <v>98</v>
      </c>
      <c r="I18" s="24">
        <f t="shared" si="1"/>
        <v>33.374000000000002</v>
      </c>
      <c r="J18" s="21"/>
      <c r="K18" s="83"/>
      <c r="L18" s="84"/>
      <c r="N18" s="23"/>
      <c r="O18" s="24"/>
      <c r="P18" s="22"/>
    </row>
    <row r="19" spans="1:16" ht="23.25" customHeight="1">
      <c r="A19" s="27"/>
      <c r="B19" s="28"/>
      <c r="C19" s="28"/>
      <c r="D19" s="28"/>
      <c r="E19" s="21"/>
      <c r="F19" s="18"/>
      <c r="G19" s="19"/>
      <c r="H19" s="25"/>
      <c r="I19" s="26"/>
      <c r="J19" s="21"/>
      <c r="K19" s="21"/>
      <c r="L19" s="21"/>
      <c r="N19" s="25"/>
      <c r="O19" s="26"/>
      <c r="P19" s="22">
        <f t="shared" ref="P19:P20" si="2">I19-O19</f>
        <v>0</v>
      </c>
    </row>
    <row r="20" spans="1:16" ht="23.25" customHeight="1" thickBot="1">
      <c r="A20" s="30"/>
      <c r="B20" s="31"/>
      <c r="C20" s="31"/>
      <c r="D20" s="31"/>
      <c r="E20" s="32" t="s">
        <v>29</v>
      </c>
      <c r="F20" s="33"/>
      <c r="G20" s="26"/>
      <c r="H20" s="34">
        <f>+H18</f>
        <v>98</v>
      </c>
      <c r="I20" s="26">
        <f>+I18</f>
        <v>33.374000000000002</v>
      </c>
      <c r="J20" s="26"/>
      <c r="K20" s="26">
        <f>+K13+K15</f>
        <v>33.374000000000002</v>
      </c>
      <c r="L20" s="23"/>
      <c r="N20" s="34">
        <v>297</v>
      </c>
      <c r="O20" s="26">
        <v>32.700846999999996</v>
      </c>
      <c r="P20" s="22">
        <f t="shared" si="2"/>
        <v>0.67315300000000633</v>
      </c>
    </row>
    <row r="21" spans="1:16" ht="23.25">
      <c r="A21" s="36"/>
      <c r="B21" s="37" t="s">
        <v>30</v>
      </c>
      <c r="C21" s="38"/>
      <c r="D21" s="39" t="s">
        <v>31</v>
      </c>
      <c r="E21" s="40" t="s">
        <v>32</v>
      </c>
      <c r="F21" s="41"/>
      <c r="G21" s="42"/>
      <c r="H21" s="42"/>
      <c r="I21" s="43" t="s">
        <v>33</v>
      </c>
      <c r="J21" s="43"/>
      <c r="K21" s="44"/>
      <c r="L21" s="45"/>
      <c r="N21" s="22"/>
    </row>
    <row r="22" spans="1:16" ht="23.25">
      <c r="A22" s="46"/>
      <c r="B22" s="37"/>
      <c r="C22" s="47"/>
      <c r="D22" s="48"/>
      <c r="E22" s="48"/>
      <c r="F22" s="48" t="s">
        <v>34</v>
      </c>
      <c r="G22" s="48" t="s">
        <v>34</v>
      </c>
      <c r="H22" s="48"/>
      <c r="I22" s="48"/>
      <c r="J22" s="48"/>
      <c r="K22" s="48"/>
      <c r="L22" s="49"/>
    </row>
    <row r="23" spans="1:16" ht="23.25">
      <c r="A23" s="46"/>
      <c r="B23" s="37"/>
      <c r="C23" s="47"/>
      <c r="D23" s="48"/>
      <c r="E23" s="48"/>
      <c r="F23" s="48"/>
      <c r="G23" s="48"/>
      <c r="H23" s="48"/>
      <c r="I23" s="48"/>
      <c r="J23" s="48"/>
      <c r="K23" s="48"/>
      <c r="L23" s="49"/>
    </row>
    <row r="24" spans="1:16" ht="24" thickBot="1">
      <c r="A24" s="50"/>
      <c r="B24" s="51" t="s">
        <v>35</v>
      </c>
      <c r="C24" s="51"/>
      <c r="D24" s="51"/>
      <c r="E24" s="52" t="s">
        <v>36</v>
      </c>
      <c r="F24" s="53"/>
      <c r="G24" s="53"/>
      <c r="H24" s="54"/>
      <c r="I24" s="55" t="s">
        <v>37</v>
      </c>
      <c r="J24" s="55"/>
      <c r="K24" s="52"/>
      <c r="L24" s="56"/>
    </row>
    <row r="28" spans="1:16">
      <c r="H28" s="57"/>
      <c r="I28" s="22"/>
      <c r="J28" s="22"/>
    </row>
    <row r="29" spans="1:16">
      <c r="I29" s="22"/>
    </row>
    <row r="30" spans="1:16">
      <c r="H30" s="57"/>
    </row>
    <row r="33" spans="9:11" ht="22.5">
      <c r="I33" s="20">
        <f>F33*G33*H33/1000</f>
        <v>0</v>
      </c>
      <c r="J33" s="22">
        <f>+I20+'0403  03.01.24 JBP '!I32+'5844  03.01.24 BUB'!I26+'4944  03.01.24 BUB '!I30+'7423  03.01.24 JBP'!I32</f>
        <v>163.70994999999999</v>
      </c>
      <c r="K33" s="22">
        <f>+'7423  03.01.24 JBP'!I32+'4944  03.01.24 BUB '!I30+'5844  03.01.24 BUB'!I26+'0403  03.01.24 JBP '!I32+' 5644 04.01.24 BB'!I20</f>
        <v>163.70994999999999</v>
      </c>
    </row>
  </sheetData>
  <mergeCells count="7">
    <mergeCell ref="K15:K17"/>
    <mergeCell ref="L15:L17"/>
    <mergeCell ref="A1:L1"/>
    <mergeCell ref="A2:L2"/>
    <mergeCell ref="A4:L4"/>
    <mergeCell ref="K13:K14"/>
    <mergeCell ref="L13:L14"/>
  </mergeCells>
  <pageMargins left="0.24" right="0.2" top="0.44" bottom="0.35" header="0.3" footer="0.3"/>
  <pageSetup paperSize="9" scale="4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topLeftCell="A28" zoomScale="75" zoomScaleNormal="75" workbookViewId="0">
      <selection activeCell="K46" sqref="K46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205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160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195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28</v>
      </c>
      <c r="C13" s="16" t="s">
        <v>25</v>
      </c>
      <c r="D13" s="17" t="s">
        <v>26</v>
      </c>
      <c r="E13" s="17" t="s">
        <v>122</v>
      </c>
      <c r="F13" s="18">
        <v>6.17</v>
      </c>
      <c r="G13" s="19">
        <v>10</v>
      </c>
      <c r="H13" s="18">
        <v>14</v>
      </c>
      <c r="I13" s="20">
        <v>0.86</v>
      </c>
      <c r="J13" s="21"/>
      <c r="K13" s="92">
        <f>+I14</f>
        <v>0.86</v>
      </c>
      <c r="L13" s="92" t="s">
        <v>202</v>
      </c>
      <c r="N13" s="18">
        <v>30</v>
      </c>
      <c r="O13" s="20">
        <v>1.851</v>
      </c>
      <c r="P13" s="22">
        <f>I13-O13</f>
        <v>-0.99099999999999999</v>
      </c>
    </row>
    <row r="14" spans="1:16" ht="23.25" customHeight="1">
      <c r="A14" s="27"/>
      <c r="B14" s="58"/>
      <c r="C14" s="59"/>
      <c r="D14" s="60"/>
      <c r="E14" s="60"/>
      <c r="F14" s="86"/>
      <c r="G14" s="87"/>
      <c r="H14" s="88">
        <f t="shared" ref="H14:I14" si="0">SUM(H13)</f>
        <v>14</v>
      </c>
      <c r="I14" s="89">
        <f t="shared" si="0"/>
        <v>0.86</v>
      </c>
      <c r="J14" s="28"/>
      <c r="K14" s="93"/>
      <c r="L14" s="93"/>
      <c r="N14" s="18"/>
      <c r="O14" s="20"/>
      <c r="P14" s="22"/>
    </row>
    <row r="15" spans="1:16" ht="23.25" customHeight="1">
      <c r="A15" s="21"/>
      <c r="B15" s="15"/>
      <c r="C15" s="16"/>
      <c r="D15" s="17"/>
      <c r="E15" s="17"/>
      <c r="F15" s="18">
        <v>6.17</v>
      </c>
      <c r="G15" s="19">
        <v>10</v>
      </c>
      <c r="H15" s="18">
        <f>30-14</f>
        <v>16</v>
      </c>
      <c r="I15" s="20">
        <f>1.851-0.86</f>
        <v>0.99099999999999999</v>
      </c>
      <c r="J15" s="21"/>
      <c r="K15" s="104">
        <f>+I17+I22+I25</f>
        <v>29.283999999999995</v>
      </c>
      <c r="L15" s="104" t="s">
        <v>203</v>
      </c>
      <c r="N15" s="18"/>
      <c r="O15" s="20"/>
      <c r="P15" s="22"/>
    </row>
    <row r="16" spans="1:16" ht="23.25" customHeight="1">
      <c r="A16" s="21"/>
      <c r="B16" s="15"/>
      <c r="C16" s="16"/>
      <c r="D16" s="17"/>
      <c r="E16" s="17"/>
      <c r="F16" s="18">
        <v>6.17</v>
      </c>
      <c r="G16" s="19">
        <v>10.75</v>
      </c>
      <c r="H16" s="18">
        <v>95</v>
      </c>
      <c r="I16" s="20">
        <v>6.3010000000000002</v>
      </c>
      <c r="J16" s="21"/>
      <c r="K16" s="104"/>
      <c r="L16" s="104"/>
      <c r="N16" s="18">
        <v>95</v>
      </c>
      <c r="O16" s="20">
        <v>6.3011125000000003</v>
      </c>
      <c r="P16" s="22">
        <f t="shared" ref="P16:P31" si="1">I16-O16</f>
        <v>-1.125000000001819E-4</v>
      </c>
    </row>
    <row r="17" spans="1:16" ht="23.25" customHeight="1">
      <c r="A17" s="21"/>
      <c r="B17" s="15"/>
      <c r="C17" s="16"/>
      <c r="D17" s="17"/>
      <c r="E17" s="17"/>
      <c r="F17" s="18"/>
      <c r="G17" s="19"/>
      <c r="H17" s="23">
        <f t="shared" ref="H17:I17" si="2">SUM(H15:H16)</f>
        <v>111</v>
      </c>
      <c r="I17" s="24">
        <f t="shared" si="2"/>
        <v>7.2919999999999998</v>
      </c>
      <c r="J17" s="21"/>
      <c r="K17" s="104"/>
      <c r="L17" s="104"/>
      <c r="N17" s="23">
        <v>125</v>
      </c>
      <c r="O17" s="24">
        <v>8.1521125000000012</v>
      </c>
      <c r="P17" s="22">
        <f t="shared" si="1"/>
        <v>-0.86011250000000139</v>
      </c>
    </row>
    <row r="18" spans="1:16" ht="23.25" customHeight="1">
      <c r="A18" s="21">
        <v>2</v>
      </c>
      <c r="B18" s="15" t="s">
        <v>28</v>
      </c>
      <c r="C18" s="16" t="s">
        <v>25</v>
      </c>
      <c r="D18" s="17" t="s">
        <v>26</v>
      </c>
      <c r="E18" s="17" t="s">
        <v>137</v>
      </c>
      <c r="F18" s="18">
        <v>7.36</v>
      </c>
      <c r="G18" s="19">
        <v>7.5</v>
      </c>
      <c r="H18" s="18">
        <v>32</v>
      </c>
      <c r="I18" s="20">
        <v>1.766</v>
      </c>
      <c r="J18" s="21"/>
      <c r="K18" s="104"/>
      <c r="L18" s="104"/>
      <c r="N18" s="18">
        <v>32</v>
      </c>
      <c r="O18" s="20">
        <v>1.7664000000000002</v>
      </c>
      <c r="P18" s="22">
        <f t="shared" si="1"/>
        <v>-4.0000000000017799E-4</v>
      </c>
    </row>
    <row r="19" spans="1:16" ht="23.25" customHeight="1">
      <c r="A19" s="21"/>
      <c r="B19" s="15"/>
      <c r="C19" s="16"/>
      <c r="D19" s="17"/>
      <c r="E19" s="17"/>
      <c r="F19" s="18">
        <v>7.36</v>
      </c>
      <c r="G19" s="19">
        <v>9.25</v>
      </c>
      <c r="H19" s="18">
        <v>80</v>
      </c>
      <c r="I19" s="20">
        <v>5.4459999999999997</v>
      </c>
      <c r="J19" s="21"/>
      <c r="K19" s="104"/>
      <c r="L19" s="104"/>
      <c r="N19" s="18">
        <v>80</v>
      </c>
      <c r="O19" s="20">
        <v>5.4463999999999997</v>
      </c>
      <c r="P19" s="22">
        <f t="shared" si="1"/>
        <v>-3.9999999999995595E-4</v>
      </c>
    </row>
    <row r="20" spans="1:16" ht="23.25" customHeight="1">
      <c r="A20" s="21"/>
      <c r="B20" s="15"/>
      <c r="C20" s="16"/>
      <c r="D20" s="17"/>
      <c r="E20" s="17"/>
      <c r="F20" s="18">
        <v>7.36</v>
      </c>
      <c r="G20" s="19">
        <v>10.3</v>
      </c>
      <c r="H20" s="18">
        <v>165</v>
      </c>
      <c r="I20" s="20">
        <v>12.507999999999999</v>
      </c>
      <c r="J20" s="21"/>
      <c r="K20" s="104"/>
      <c r="L20" s="104"/>
      <c r="N20" s="18">
        <v>165</v>
      </c>
      <c r="O20" s="20">
        <v>12.508320000000001</v>
      </c>
      <c r="P20" s="22">
        <f t="shared" si="1"/>
        <v>-3.2000000000209639E-4</v>
      </c>
    </row>
    <row r="21" spans="1:16" ht="23.25" customHeight="1">
      <c r="A21" s="21"/>
      <c r="B21" s="15"/>
      <c r="C21" s="16"/>
      <c r="D21" s="17"/>
      <c r="E21" s="17"/>
      <c r="F21" s="18">
        <v>7.36</v>
      </c>
      <c r="G21" s="19">
        <v>12</v>
      </c>
      <c r="H21" s="18">
        <v>18</v>
      </c>
      <c r="I21" s="20">
        <v>1.59</v>
      </c>
      <c r="J21" s="21"/>
      <c r="K21" s="104"/>
      <c r="L21" s="104"/>
      <c r="N21" s="18">
        <v>18</v>
      </c>
      <c r="O21" s="20">
        <v>1.5897600000000003</v>
      </c>
      <c r="P21" s="22">
        <f t="shared" si="1"/>
        <v>2.3999999999979593E-4</v>
      </c>
    </row>
    <row r="22" spans="1:16" ht="23.25" customHeight="1">
      <c r="A22" s="21"/>
      <c r="B22" s="15"/>
      <c r="C22" s="16"/>
      <c r="D22" s="17"/>
      <c r="E22" s="17"/>
      <c r="F22" s="18"/>
      <c r="G22" s="19"/>
      <c r="H22" s="23">
        <f>SUM(H18:H21)</f>
        <v>295</v>
      </c>
      <c r="I22" s="24">
        <f>SUM(I18:I21)</f>
        <v>21.31</v>
      </c>
      <c r="J22" s="21"/>
      <c r="K22" s="104"/>
      <c r="L22" s="104"/>
      <c r="N22" s="23">
        <v>295</v>
      </c>
      <c r="O22" s="24">
        <v>21.310880000000001</v>
      </c>
      <c r="P22" s="22">
        <f t="shared" si="1"/>
        <v>-8.8000000000221235E-4</v>
      </c>
    </row>
    <row r="23" spans="1:16" ht="23.25" customHeight="1">
      <c r="A23" s="21">
        <v>3</v>
      </c>
      <c r="B23" s="15" t="s">
        <v>24</v>
      </c>
      <c r="C23" s="16" t="s">
        <v>25</v>
      </c>
      <c r="D23" s="17" t="s">
        <v>26</v>
      </c>
      <c r="E23" s="17" t="s">
        <v>137</v>
      </c>
      <c r="F23" s="18">
        <v>7.36</v>
      </c>
      <c r="G23" s="19">
        <v>10</v>
      </c>
      <c r="H23" s="18">
        <v>5</v>
      </c>
      <c r="I23" s="20">
        <v>0.36799999999999999</v>
      </c>
      <c r="J23" s="21"/>
      <c r="K23" s="104"/>
      <c r="L23" s="104"/>
      <c r="N23" s="18">
        <v>5</v>
      </c>
      <c r="O23" s="20">
        <v>0.36800000000000005</v>
      </c>
      <c r="P23" s="22">
        <f t="shared" si="1"/>
        <v>0</v>
      </c>
    </row>
    <row r="24" spans="1:16" ht="23.25" customHeight="1">
      <c r="A24" s="21"/>
      <c r="B24" s="15"/>
      <c r="C24" s="16"/>
      <c r="D24" s="17"/>
      <c r="E24" s="17"/>
      <c r="F24" s="18">
        <v>7.36</v>
      </c>
      <c r="G24" s="19">
        <v>11.9</v>
      </c>
      <c r="H24" s="18">
        <v>3</v>
      </c>
      <c r="I24" s="20">
        <v>0.314</v>
      </c>
      <c r="J24" s="21"/>
      <c r="K24" s="104"/>
      <c r="L24" s="104"/>
      <c r="N24" s="18">
        <v>7</v>
      </c>
      <c r="O24" s="20">
        <v>0.61308799999999997</v>
      </c>
      <c r="P24" s="22">
        <f t="shared" si="1"/>
        <v>-0.29908799999999996</v>
      </c>
    </row>
    <row r="25" spans="1:16" ht="23.25" customHeight="1">
      <c r="A25" s="21"/>
      <c r="B25" s="15"/>
      <c r="C25" s="16"/>
      <c r="D25" s="17"/>
      <c r="E25" s="17"/>
      <c r="F25" s="18"/>
      <c r="G25" s="19"/>
      <c r="H25" s="23">
        <f t="shared" ref="H25:I25" si="3">SUM(H23:H24)</f>
        <v>8</v>
      </c>
      <c r="I25" s="24">
        <f t="shared" si="3"/>
        <v>0.68199999999999994</v>
      </c>
      <c r="J25" s="21"/>
      <c r="K25" s="104"/>
      <c r="L25" s="104"/>
      <c r="N25" s="18"/>
      <c r="O25" s="20"/>
      <c r="P25" s="22"/>
    </row>
    <row r="26" spans="1:16" ht="23.25" customHeight="1">
      <c r="A26" s="21"/>
      <c r="B26" s="15"/>
      <c r="C26" s="16"/>
      <c r="D26" s="17"/>
      <c r="E26" s="17"/>
      <c r="F26" s="18">
        <v>7.36</v>
      </c>
      <c r="G26" s="19">
        <v>11.9</v>
      </c>
      <c r="H26" s="18">
        <f>7-3</f>
        <v>4</v>
      </c>
      <c r="I26" s="20">
        <f>0.613-0.314</f>
        <v>0.29899999999999999</v>
      </c>
      <c r="J26" s="21"/>
      <c r="K26" s="104">
        <f>+I28</f>
        <v>2.5070000000000001</v>
      </c>
      <c r="L26" s="104" t="s">
        <v>204</v>
      </c>
      <c r="N26" s="18"/>
      <c r="O26" s="20"/>
      <c r="P26" s="22"/>
    </row>
    <row r="27" spans="1:16" ht="23.25" customHeight="1">
      <c r="A27" s="21"/>
      <c r="B27" s="15"/>
      <c r="C27" s="16"/>
      <c r="D27" s="17"/>
      <c r="E27" s="17"/>
      <c r="F27" s="18">
        <v>7.36</v>
      </c>
      <c r="G27" s="19">
        <v>12</v>
      </c>
      <c r="H27" s="18">
        <v>25</v>
      </c>
      <c r="I27" s="20">
        <v>2.2080000000000002</v>
      </c>
      <c r="J27" s="21"/>
      <c r="K27" s="104"/>
      <c r="L27" s="104"/>
      <c r="N27" s="18">
        <v>25</v>
      </c>
      <c r="O27" s="20">
        <v>2.2080000000000002</v>
      </c>
      <c r="P27" s="22">
        <f t="shared" si="1"/>
        <v>0</v>
      </c>
    </row>
    <row r="28" spans="1:16" ht="23.25" customHeight="1">
      <c r="A28" s="21"/>
      <c r="B28" s="15"/>
      <c r="C28" s="16"/>
      <c r="D28" s="17"/>
      <c r="E28" s="17"/>
      <c r="F28" s="18"/>
      <c r="G28" s="19"/>
      <c r="H28" s="23">
        <f t="shared" ref="H28:I28" si="4">SUM(H26:H27)</f>
        <v>29</v>
      </c>
      <c r="I28" s="24">
        <f t="shared" si="4"/>
        <v>2.5070000000000001</v>
      </c>
      <c r="J28" s="21"/>
      <c r="K28" s="104"/>
      <c r="L28" s="104"/>
      <c r="N28" s="23">
        <v>37</v>
      </c>
      <c r="O28" s="24">
        <v>3.1890879999999999</v>
      </c>
      <c r="P28" s="22">
        <f t="shared" si="1"/>
        <v>-0.68208799999999981</v>
      </c>
    </row>
    <row r="29" spans="1:16" ht="23.25" customHeight="1">
      <c r="A29" s="21"/>
      <c r="B29" s="15"/>
      <c r="C29" s="16"/>
      <c r="D29" s="17"/>
      <c r="E29" s="17"/>
      <c r="F29" s="18"/>
      <c r="G29" s="19"/>
      <c r="H29" s="85">
        <f t="shared" ref="H29:I29" si="5">SUM(H28,H25,H22,H17,H14)</f>
        <v>457</v>
      </c>
      <c r="I29" s="24">
        <f t="shared" si="5"/>
        <v>32.650999999999996</v>
      </c>
      <c r="J29" s="21"/>
      <c r="K29" s="84"/>
      <c r="L29" s="84"/>
      <c r="N29" s="85">
        <v>457</v>
      </c>
      <c r="O29" s="24">
        <v>32.652080500000004</v>
      </c>
      <c r="P29" s="22">
        <f t="shared" si="1"/>
        <v>-1.0805000000075893E-3</v>
      </c>
    </row>
    <row r="30" spans="1:16" ht="23.25" customHeight="1">
      <c r="A30" s="21"/>
      <c r="B30" s="21"/>
      <c r="C30" s="21"/>
      <c r="D30" s="21"/>
      <c r="E30" s="21"/>
      <c r="F30" s="18"/>
      <c r="G30" s="19"/>
      <c r="H30" s="25"/>
      <c r="I30" s="26"/>
      <c r="J30" s="21"/>
      <c r="K30" s="21"/>
      <c r="L30" s="21"/>
      <c r="N30" s="25"/>
      <c r="O30" s="26"/>
      <c r="P30" s="22">
        <f t="shared" si="1"/>
        <v>0</v>
      </c>
    </row>
    <row r="31" spans="1:16" ht="23.25" customHeight="1">
      <c r="A31" s="78"/>
      <c r="B31" s="78"/>
      <c r="C31" s="78"/>
      <c r="D31" s="78"/>
      <c r="E31" s="32" t="s">
        <v>29</v>
      </c>
      <c r="F31" s="33"/>
      <c r="G31" s="26"/>
      <c r="H31" s="34">
        <f>+H29</f>
        <v>457</v>
      </c>
      <c r="I31" s="26">
        <f>+I29</f>
        <v>32.650999999999996</v>
      </c>
      <c r="J31" s="26"/>
      <c r="K31" s="26">
        <f>+K26+K15+K13</f>
        <v>32.650999999999996</v>
      </c>
      <c r="L31" s="23"/>
      <c r="N31" s="34">
        <v>457</v>
      </c>
      <c r="O31" s="26">
        <v>32.652080500000004</v>
      </c>
      <c r="P31" s="22">
        <f t="shared" si="1"/>
        <v>-1.0805000000075893E-3</v>
      </c>
    </row>
    <row r="32" spans="1:16" ht="23.25">
      <c r="A32" s="36"/>
      <c r="B32" s="37" t="s">
        <v>30</v>
      </c>
      <c r="C32" s="38"/>
      <c r="D32" s="39" t="s">
        <v>31</v>
      </c>
      <c r="E32" s="40" t="s">
        <v>32</v>
      </c>
      <c r="F32" s="41"/>
      <c r="G32" s="42"/>
      <c r="H32" s="42"/>
      <c r="I32" s="43" t="s">
        <v>33</v>
      </c>
      <c r="J32" s="43"/>
      <c r="K32" s="44"/>
      <c r="L32" s="45"/>
      <c r="N32" s="22"/>
    </row>
    <row r="33" spans="1:12" ht="23.25">
      <c r="A33" s="46"/>
      <c r="B33" s="37"/>
      <c r="C33" s="47"/>
      <c r="D33" s="48"/>
      <c r="E33" s="48"/>
      <c r="F33" s="48" t="s">
        <v>34</v>
      </c>
      <c r="G33" s="48" t="s">
        <v>34</v>
      </c>
      <c r="H33" s="48"/>
      <c r="I33" s="48"/>
      <c r="J33" s="48"/>
      <c r="K33" s="48"/>
      <c r="L33" s="49"/>
    </row>
    <row r="34" spans="1:12" ht="23.25">
      <c r="A34" s="46"/>
      <c r="B34" s="37"/>
      <c r="C34" s="47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4" thickBot="1">
      <c r="A35" s="50"/>
      <c r="B35" s="51" t="s">
        <v>35</v>
      </c>
      <c r="C35" s="51"/>
      <c r="D35" s="51"/>
      <c r="E35" s="52" t="s">
        <v>36</v>
      </c>
      <c r="F35" s="53"/>
      <c r="G35" s="53"/>
      <c r="H35" s="54"/>
      <c r="I35" s="55" t="s">
        <v>37</v>
      </c>
      <c r="J35" s="55"/>
      <c r="K35" s="52"/>
      <c r="L35" s="56"/>
    </row>
    <row r="39" spans="1:12">
      <c r="H39" s="57"/>
      <c r="I39" s="22"/>
      <c r="J39" s="22"/>
    </row>
    <row r="40" spans="1:12">
      <c r="I40" s="22"/>
    </row>
    <row r="41" spans="1:12">
      <c r="H41" s="57"/>
    </row>
    <row r="44" spans="1:12" ht="22.5">
      <c r="I44" s="20">
        <f>F44*G44*H44/1000</f>
        <v>0</v>
      </c>
      <c r="J44" s="22"/>
      <c r="K44" s="22">
        <f>+I31+' 5644 04.01.24 BB'!I20+'5844  04.01.24 BB  '!I49+'3081  04.01.24 JAIPUR'!I68+'0509  04.01.24 JBP'!I36+'2189  04.01.24 JBP '!I20</f>
        <v>174.18263200000001</v>
      </c>
    </row>
  </sheetData>
  <mergeCells count="9">
    <mergeCell ref="K15:K25"/>
    <mergeCell ref="L15:L25"/>
    <mergeCell ref="K26:K28"/>
    <mergeCell ref="L26:L28"/>
    <mergeCell ref="A1:L1"/>
    <mergeCell ref="A2:L2"/>
    <mergeCell ref="A4:L4"/>
    <mergeCell ref="K13:K14"/>
    <mergeCell ref="L13:L14"/>
  </mergeCells>
  <pageMargins left="0.24" right="0.2" top="0.44" bottom="0.35" header="0.3" footer="0.3"/>
  <pageSetup paperSize="9" scale="4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9"/>
  <sheetViews>
    <sheetView topLeftCell="A31" zoomScale="75" zoomScaleNormal="75" workbookViewId="0">
      <selection activeCell="K10" sqref="K10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211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207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206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25</v>
      </c>
      <c r="D13" s="17" t="s">
        <v>26</v>
      </c>
      <c r="E13" s="17" t="s">
        <v>102</v>
      </c>
      <c r="F13" s="18">
        <v>12.9</v>
      </c>
      <c r="G13" s="19">
        <v>10</v>
      </c>
      <c r="H13" s="18">
        <v>9</v>
      </c>
      <c r="I13" s="20">
        <v>1.161</v>
      </c>
      <c r="J13" s="21"/>
      <c r="K13" s="92">
        <f>+I18+I22+I25+I29</f>
        <v>26.767000000000003</v>
      </c>
      <c r="L13" s="92" t="s">
        <v>209</v>
      </c>
      <c r="N13" s="18">
        <v>9</v>
      </c>
      <c r="O13" s="20">
        <v>1.161</v>
      </c>
      <c r="P13" s="22">
        <f>I13-O13</f>
        <v>0</v>
      </c>
    </row>
    <row r="14" spans="1:16" ht="23.25" customHeight="1">
      <c r="A14" s="27"/>
      <c r="B14" s="58"/>
      <c r="C14" s="59"/>
      <c r="D14" s="60"/>
      <c r="E14" s="60"/>
      <c r="F14" s="18">
        <v>12.9</v>
      </c>
      <c r="G14" s="19">
        <v>10.5</v>
      </c>
      <c r="H14" s="18">
        <v>26</v>
      </c>
      <c r="I14" s="20">
        <v>3.5219999999999998</v>
      </c>
      <c r="J14" s="21"/>
      <c r="K14" s="93"/>
      <c r="L14" s="93"/>
      <c r="N14" s="18">
        <v>26</v>
      </c>
      <c r="O14" s="20">
        <v>3.5217000000000001</v>
      </c>
      <c r="P14" s="22">
        <f t="shared" ref="P14:P36" si="0">I14-O14</f>
        <v>2.9999999999974492E-4</v>
      </c>
    </row>
    <row r="15" spans="1:16" ht="23.25" customHeight="1">
      <c r="A15" s="21"/>
      <c r="B15" s="15"/>
      <c r="C15" s="16"/>
      <c r="D15" s="17"/>
      <c r="E15" s="17"/>
      <c r="F15" s="18">
        <v>12.9</v>
      </c>
      <c r="G15" s="19">
        <v>11</v>
      </c>
      <c r="H15" s="18">
        <v>3</v>
      </c>
      <c r="I15" s="20">
        <v>0.42599999999999999</v>
      </c>
      <c r="J15" s="21"/>
      <c r="K15" s="93"/>
      <c r="L15" s="93"/>
      <c r="N15" s="18">
        <v>3</v>
      </c>
      <c r="O15" s="20">
        <v>0.42570000000000002</v>
      </c>
      <c r="P15" s="22">
        <f t="shared" si="0"/>
        <v>2.9999999999996696E-4</v>
      </c>
    </row>
    <row r="16" spans="1:16" ht="23.25" customHeight="1">
      <c r="A16" s="21"/>
      <c r="B16" s="15"/>
      <c r="C16" s="16"/>
      <c r="D16" s="17"/>
      <c r="E16" s="17"/>
      <c r="F16" s="18">
        <v>12.9</v>
      </c>
      <c r="G16" s="19">
        <v>11.5</v>
      </c>
      <c r="H16" s="18">
        <v>23</v>
      </c>
      <c r="I16" s="20">
        <v>3.4119999999999999</v>
      </c>
      <c r="J16" s="21"/>
      <c r="K16" s="93"/>
      <c r="L16" s="93"/>
      <c r="N16" s="18">
        <v>23</v>
      </c>
      <c r="O16" s="20">
        <v>3.4120499999999998</v>
      </c>
      <c r="P16" s="22">
        <f t="shared" si="0"/>
        <v>-4.9999999999883471E-5</v>
      </c>
    </row>
    <row r="17" spans="1:16" ht="23.25" customHeight="1">
      <c r="A17" s="21"/>
      <c r="B17" s="15"/>
      <c r="C17" s="16"/>
      <c r="D17" s="17"/>
      <c r="E17" s="17"/>
      <c r="F17" s="18">
        <v>12.9</v>
      </c>
      <c r="G17" s="19">
        <v>12</v>
      </c>
      <c r="H17" s="18">
        <v>39</v>
      </c>
      <c r="I17" s="20">
        <v>6.0369999999999999</v>
      </c>
      <c r="J17" s="21"/>
      <c r="K17" s="93"/>
      <c r="L17" s="93"/>
      <c r="N17" s="18">
        <v>39</v>
      </c>
      <c r="O17" s="20">
        <v>6.0372000000000003</v>
      </c>
      <c r="P17" s="22">
        <f t="shared" si="0"/>
        <v>-2.0000000000042206E-4</v>
      </c>
    </row>
    <row r="18" spans="1:16" ht="23.25" customHeight="1">
      <c r="A18" s="21"/>
      <c r="B18" s="15"/>
      <c r="C18" s="16"/>
      <c r="D18" s="17"/>
      <c r="E18" s="17"/>
      <c r="F18" s="18"/>
      <c r="G18" s="19"/>
      <c r="H18" s="23">
        <f>SUM(H13:H17)</f>
        <v>100</v>
      </c>
      <c r="I18" s="24">
        <f>SUM(I13:I17)</f>
        <v>14.558</v>
      </c>
      <c r="J18" s="21"/>
      <c r="K18" s="93"/>
      <c r="L18" s="93"/>
      <c r="N18" s="23">
        <v>100</v>
      </c>
      <c r="O18" s="24">
        <v>14.557650000000001</v>
      </c>
      <c r="P18" s="22">
        <f t="shared" si="0"/>
        <v>3.499999999991843E-4</v>
      </c>
    </row>
    <row r="19" spans="1:16" ht="23.25" customHeight="1">
      <c r="A19" s="21">
        <v>2</v>
      </c>
      <c r="B19" s="15" t="s">
        <v>24</v>
      </c>
      <c r="C19" s="16" t="s">
        <v>25</v>
      </c>
      <c r="D19" s="17" t="s">
        <v>26</v>
      </c>
      <c r="E19" s="17" t="s">
        <v>208</v>
      </c>
      <c r="F19" s="18">
        <v>16.5</v>
      </c>
      <c r="G19" s="19">
        <v>10.3</v>
      </c>
      <c r="H19" s="18">
        <v>4</v>
      </c>
      <c r="I19" s="20">
        <v>0.68</v>
      </c>
      <c r="J19" s="21"/>
      <c r="K19" s="93"/>
      <c r="L19" s="93"/>
      <c r="N19" s="18">
        <v>4</v>
      </c>
      <c r="O19" s="20">
        <v>0.67980000000000007</v>
      </c>
      <c r="P19" s="22">
        <f t="shared" si="0"/>
        <v>1.9999999999997797E-4</v>
      </c>
    </row>
    <row r="20" spans="1:16" ht="23.25" customHeight="1">
      <c r="A20" s="21"/>
      <c r="B20" s="15"/>
      <c r="C20" s="16"/>
      <c r="D20" s="17"/>
      <c r="E20" s="17"/>
      <c r="F20" s="18">
        <v>16.5</v>
      </c>
      <c r="G20" s="19">
        <v>11.2</v>
      </c>
      <c r="H20" s="18">
        <v>13</v>
      </c>
      <c r="I20" s="20">
        <v>2.4020000000000001</v>
      </c>
      <c r="J20" s="21"/>
      <c r="K20" s="93"/>
      <c r="L20" s="93"/>
      <c r="N20" s="18">
        <v>13</v>
      </c>
      <c r="O20" s="20">
        <v>2.4023999999999996</v>
      </c>
      <c r="P20" s="22">
        <f t="shared" si="0"/>
        <v>-3.9999999999951186E-4</v>
      </c>
    </row>
    <row r="21" spans="1:16" ht="23.25" customHeight="1">
      <c r="A21" s="21"/>
      <c r="B21" s="15"/>
      <c r="C21" s="16"/>
      <c r="D21" s="17"/>
      <c r="E21" s="17"/>
      <c r="F21" s="18">
        <v>16.5</v>
      </c>
      <c r="G21" s="19">
        <v>11.5</v>
      </c>
      <c r="H21" s="18">
        <v>8</v>
      </c>
      <c r="I21" s="20">
        <v>1.518</v>
      </c>
      <c r="J21" s="21"/>
      <c r="K21" s="93"/>
      <c r="L21" s="93"/>
      <c r="N21" s="18">
        <v>8</v>
      </c>
      <c r="O21" s="20">
        <v>1.518</v>
      </c>
      <c r="P21" s="22">
        <f t="shared" si="0"/>
        <v>0</v>
      </c>
    </row>
    <row r="22" spans="1:16" ht="23.25" customHeight="1">
      <c r="A22" s="21"/>
      <c r="B22" s="15"/>
      <c r="C22" s="16"/>
      <c r="D22" s="17"/>
      <c r="E22" s="17"/>
      <c r="F22" s="18"/>
      <c r="G22" s="19"/>
      <c r="H22" s="23">
        <f>SUM(H19:H21)</f>
        <v>25</v>
      </c>
      <c r="I22" s="24">
        <f>SUM(I19:I21)</f>
        <v>4.6000000000000005</v>
      </c>
      <c r="J22" s="21"/>
      <c r="K22" s="93"/>
      <c r="L22" s="93"/>
      <c r="N22" s="23">
        <v>25</v>
      </c>
      <c r="O22" s="24">
        <v>4.6002000000000001</v>
      </c>
      <c r="P22" s="22">
        <f t="shared" si="0"/>
        <v>-1.9999999999953388E-4</v>
      </c>
    </row>
    <row r="23" spans="1:16" ht="23.25" customHeight="1">
      <c r="A23" s="21">
        <v>3</v>
      </c>
      <c r="B23" s="15" t="s">
        <v>24</v>
      </c>
      <c r="C23" s="16" t="s">
        <v>25</v>
      </c>
      <c r="D23" s="17" t="s">
        <v>26</v>
      </c>
      <c r="E23" s="17" t="s">
        <v>45</v>
      </c>
      <c r="F23" s="18">
        <v>11.8</v>
      </c>
      <c r="G23" s="19">
        <v>10.5</v>
      </c>
      <c r="H23" s="18">
        <v>16</v>
      </c>
      <c r="I23" s="20">
        <v>1.982</v>
      </c>
      <c r="J23" s="21"/>
      <c r="K23" s="93"/>
      <c r="L23" s="93"/>
      <c r="N23" s="18">
        <v>16</v>
      </c>
      <c r="O23" s="20">
        <v>1.9824000000000002</v>
      </c>
      <c r="P23" s="22">
        <f t="shared" si="0"/>
        <v>-4.0000000000017799E-4</v>
      </c>
    </row>
    <row r="24" spans="1:16" ht="23.25" customHeight="1">
      <c r="A24" s="21"/>
      <c r="B24" s="15"/>
      <c r="C24" s="16"/>
      <c r="D24" s="17"/>
      <c r="E24" s="17"/>
      <c r="F24" s="18">
        <v>11.8</v>
      </c>
      <c r="G24" s="19">
        <v>11.7</v>
      </c>
      <c r="H24" s="18">
        <v>29</v>
      </c>
      <c r="I24" s="20">
        <v>4.0039999999999996</v>
      </c>
      <c r="J24" s="21"/>
      <c r="K24" s="93"/>
      <c r="L24" s="93"/>
      <c r="N24" s="18">
        <v>29</v>
      </c>
      <c r="O24" s="20">
        <v>4.0037400000000005</v>
      </c>
      <c r="P24" s="22">
        <f t="shared" si="0"/>
        <v>2.5999999999903878E-4</v>
      </c>
    </row>
    <row r="25" spans="1:16" ht="23.25" customHeight="1">
      <c r="A25" s="21"/>
      <c r="B25" s="15"/>
      <c r="C25" s="16"/>
      <c r="D25" s="17"/>
      <c r="E25" s="17"/>
      <c r="F25" s="18"/>
      <c r="G25" s="19"/>
      <c r="H25" s="23">
        <f t="shared" ref="H25" si="1">SUM(H23:H24)</f>
        <v>45</v>
      </c>
      <c r="I25" s="24">
        <f>SUM(I23:I24)</f>
        <v>5.9859999999999998</v>
      </c>
      <c r="J25" s="21"/>
      <c r="K25" s="93"/>
      <c r="L25" s="93"/>
      <c r="N25" s="23">
        <v>45</v>
      </c>
      <c r="O25" s="24">
        <v>5.9861400000000007</v>
      </c>
      <c r="P25" s="22">
        <f t="shared" si="0"/>
        <v>-1.4000000000091717E-4</v>
      </c>
    </row>
    <row r="26" spans="1:16" ht="23.25" customHeight="1">
      <c r="A26" s="21">
        <v>4</v>
      </c>
      <c r="B26" s="15" t="s">
        <v>24</v>
      </c>
      <c r="C26" s="16" t="s">
        <v>25</v>
      </c>
      <c r="D26" s="17" t="s">
        <v>26</v>
      </c>
      <c r="E26" s="17" t="s">
        <v>46</v>
      </c>
      <c r="F26" s="18">
        <v>10.199999999999999</v>
      </c>
      <c r="G26" s="19">
        <v>8.3000000000000007</v>
      </c>
      <c r="H26" s="18">
        <v>8</v>
      </c>
      <c r="I26" s="20">
        <v>0.67700000000000005</v>
      </c>
      <c r="J26" s="21"/>
      <c r="K26" s="93"/>
      <c r="L26" s="93"/>
      <c r="N26" s="18">
        <v>8</v>
      </c>
      <c r="O26" s="20">
        <v>0.67727999999999999</v>
      </c>
      <c r="P26" s="22">
        <f t="shared" si="0"/>
        <v>-2.7999999999994696E-4</v>
      </c>
    </row>
    <row r="27" spans="1:16" ht="23.25" customHeight="1">
      <c r="A27" s="21"/>
      <c r="B27" s="15"/>
      <c r="C27" s="16"/>
      <c r="D27" s="17"/>
      <c r="E27" s="17"/>
      <c r="F27" s="18">
        <v>10.199999999999999</v>
      </c>
      <c r="G27" s="19">
        <v>9.1999999999999993</v>
      </c>
      <c r="H27" s="18">
        <v>9</v>
      </c>
      <c r="I27" s="20">
        <v>0.84499999999999997</v>
      </c>
      <c r="J27" s="21"/>
      <c r="K27" s="93"/>
      <c r="L27" s="93"/>
      <c r="N27" s="18">
        <v>9</v>
      </c>
      <c r="O27" s="20">
        <v>0.84455999999999998</v>
      </c>
      <c r="P27" s="22">
        <f t="shared" si="0"/>
        <v>4.3999999999999595E-4</v>
      </c>
    </row>
    <row r="28" spans="1:16" ht="23.25" customHeight="1">
      <c r="A28" s="21"/>
      <c r="B28" s="15"/>
      <c r="C28" s="16"/>
      <c r="D28" s="17"/>
      <c r="E28" s="17"/>
      <c r="F28" s="18">
        <v>10.199999999999999</v>
      </c>
      <c r="G28" s="19">
        <v>9.8000000000000007</v>
      </c>
      <c r="H28" s="18">
        <v>1</v>
      </c>
      <c r="I28" s="20">
        <v>0.10100000000000001</v>
      </c>
      <c r="J28" s="21"/>
      <c r="K28" s="93"/>
      <c r="L28" s="93"/>
      <c r="N28" s="18">
        <v>13</v>
      </c>
      <c r="O28" s="20">
        <v>1.29948</v>
      </c>
      <c r="P28" s="22">
        <f t="shared" si="0"/>
        <v>-1.19848</v>
      </c>
    </row>
    <row r="29" spans="1:16" ht="23.25" customHeight="1">
      <c r="A29" s="21"/>
      <c r="B29" s="15"/>
      <c r="C29" s="16"/>
      <c r="D29" s="17"/>
      <c r="E29" s="17"/>
      <c r="F29" s="18"/>
      <c r="G29" s="19"/>
      <c r="H29" s="23">
        <f t="shared" ref="H29" si="2">SUM(H26:H28)</f>
        <v>18</v>
      </c>
      <c r="I29" s="24">
        <f>SUM(I26:I28)</f>
        <v>1.623</v>
      </c>
      <c r="J29" s="21"/>
      <c r="K29" s="94"/>
      <c r="L29" s="94"/>
      <c r="N29" s="18"/>
      <c r="O29" s="20"/>
      <c r="P29" s="22"/>
    </row>
    <row r="30" spans="1:16" ht="23.25" customHeight="1">
      <c r="A30" s="21"/>
      <c r="B30" s="15"/>
      <c r="C30" s="16"/>
      <c r="D30" s="17"/>
      <c r="E30" s="17"/>
      <c r="F30" s="18">
        <v>10.199999999999999</v>
      </c>
      <c r="G30" s="19">
        <v>9.8000000000000007</v>
      </c>
      <c r="H30" s="18">
        <f>13-1</f>
        <v>12</v>
      </c>
      <c r="I30" s="20">
        <f>1.299-0.101</f>
        <v>1.198</v>
      </c>
      <c r="J30" s="21"/>
      <c r="K30" s="92">
        <f>+I33</f>
        <v>5.444</v>
      </c>
      <c r="L30" s="92" t="s">
        <v>210</v>
      </c>
      <c r="N30" s="18"/>
      <c r="O30" s="20"/>
      <c r="P30" s="22"/>
    </row>
    <row r="31" spans="1:16" ht="23.25" customHeight="1">
      <c r="A31" s="21"/>
      <c r="B31" s="15"/>
      <c r="C31" s="16"/>
      <c r="D31" s="17"/>
      <c r="E31" s="17"/>
      <c r="F31" s="18">
        <v>10.199999999999999</v>
      </c>
      <c r="G31" s="19">
        <v>11</v>
      </c>
      <c r="H31" s="18">
        <v>7</v>
      </c>
      <c r="I31" s="20">
        <v>0.78500000000000003</v>
      </c>
      <c r="J31" s="21"/>
      <c r="K31" s="93"/>
      <c r="L31" s="93"/>
      <c r="N31" s="18">
        <v>7</v>
      </c>
      <c r="O31" s="20">
        <v>0.78539999999999988</v>
      </c>
      <c r="P31" s="22">
        <f t="shared" si="0"/>
        <v>-3.9999999999984492E-4</v>
      </c>
    </row>
    <row r="32" spans="1:16" ht="23.25" customHeight="1">
      <c r="A32" s="21"/>
      <c r="B32" s="15"/>
      <c r="C32" s="16"/>
      <c r="D32" s="17"/>
      <c r="E32" s="17"/>
      <c r="F32" s="18">
        <v>10.199999999999999</v>
      </c>
      <c r="G32" s="19">
        <v>11.7</v>
      </c>
      <c r="H32" s="18">
        <v>29</v>
      </c>
      <c r="I32" s="20">
        <v>3.4609999999999999</v>
      </c>
      <c r="J32" s="21"/>
      <c r="K32" s="93"/>
      <c r="L32" s="93"/>
      <c r="N32" s="18">
        <v>29</v>
      </c>
      <c r="O32" s="20">
        <v>3.4608599999999998</v>
      </c>
      <c r="P32" s="22">
        <f t="shared" si="0"/>
        <v>1.4000000000002899E-4</v>
      </c>
    </row>
    <row r="33" spans="1:16" ht="23.25" customHeight="1">
      <c r="A33" s="21"/>
      <c r="B33" s="15"/>
      <c r="C33" s="16"/>
      <c r="D33" s="17"/>
      <c r="E33" s="17"/>
      <c r="F33" s="18"/>
      <c r="G33" s="19"/>
      <c r="H33" s="23">
        <f t="shared" ref="H33:I33" si="3">SUM(H30:H32)</f>
        <v>48</v>
      </c>
      <c r="I33" s="24">
        <f t="shared" si="3"/>
        <v>5.444</v>
      </c>
      <c r="J33" s="21"/>
      <c r="K33" s="94"/>
      <c r="L33" s="94"/>
      <c r="N33" s="23">
        <v>66</v>
      </c>
      <c r="O33" s="24">
        <v>7.0675799999999995</v>
      </c>
      <c r="P33" s="22">
        <f t="shared" si="0"/>
        <v>-1.6235799999999996</v>
      </c>
    </row>
    <row r="34" spans="1:16" ht="23.25" customHeight="1">
      <c r="A34" s="21"/>
      <c r="B34" s="15"/>
      <c r="C34" s="16"/>
      <c r="D34" s="17"/>
      <c r="E34" s="17"/>
      <c r="F34" s="18"/>
      <c r="G34" s="19"/>
      <c r="H34" s="85">
        <f t="shared" ref="H34:I34" si="4">SUM(H33,H29,H25,H22,H18)</f>
        <v>236</v>
      </c>
      <c r="I34" s="24">
        <f t="shared" si="4"/>
        <v>32.210999999999999</v>
      </c>
      <c r="J34" s="21"/>
      <c r="K34" s="91"/>
      <c r="L34" s="91"/>
      <c r="N34" s="85">
        <v>236</v>
      </c>
      <c r="O34" s="24">
        <v>32.211570000000002</v>
      </c>
      <c r="P34" s="22">
        <f t="shared" si="0"/>
        <v>-5.700000000032901E-4</v>
      </c>
    </row>
    <row r="35" spans="1:16" ht="23.25" customHeight="1">
      <c r="A35" s="21"/>
      <c r="B35" s="21"/>
      <c r="C35" s="21"/>
      <c r="D35" s="21"/>
      <c r="E35" s="21"/>
      <c r="F35" s="18"/>
      <c r="G35" s="19"/>
      <c r="H35" s="25"/>
      <c r="I35" s="26"/>
      <c r="J35" s="21"/>
      <c r="K35" s="21"/>
      <c r="L35" s="21"/>
      <c r="N35" s="25"/>
      <c r="O35" s="26"/>
      <c r="P35" s="22">
        <f t="shared" si="0"/>
        <v>0</v>
      </c>
    </row>
    <row r="36" spans="1:16" ht="23.25" customHeight="1">
      <c r="A36" s="78"/>
      <c r="B36" s="78"/>
      <c r="C36" s="78"/>
      <c r="D36" s="78"/>
      <c r="E36" s="32" t="s">
        <v>29</v>
      </c>
      <c r="F36" s="33"/>
      <c r="G36" s="26"/>
      <c r="H36" s="34">
        <f>+H34</f>
        <v>236</v>
      </c>
      <c r="I36" s="26">
        <f>+I34</f>
        <v>32.210999999999999</v>
      </c>
      <c r="J36" s="26"/>
      <c r="K36" s="26">
        <f>+K30+K13</f>
        <v>32.211000000000006</v>
      </c>
      <c r="L36" s="23"/>
      <c r="N36" s="34">
        <v>236</v>
      </c>
      <c r="O36" s="26">
        <v>32.211570000000002</v>
      </c>
      <c r="P36" s="22">
        <f t="shared" si="0"/>
        <v>-5.700000000032901E-4</v>
      </c>
    </row>
    <row r="37" spans="1:16" ht="23.25">
      <c r="A37" s="36"/>
      <c r="B37" s="37" t="s">
        <v>30</v>
      </c>
      <c r="C37" s="38"/>
      <c r="D37" s="39" t="s">
        <v>31</v>
      </c>
      <c r="E37" s="40" t="s">
        <v>32</v>
      </c>
      <c r="F37" s="41"/>
      <c r="G37" s="42"/>
      <c r="H37" s="42"/>
      <c r="I37" s="43" t="s">
        <v>33</v>
      </c>
      <c r="J37" s="43"/>
      <c r="K37" s="44"/>
      <c r="L37" s="45"/>
      <c r="N37" s="22"/>
    </row>
    <row r="38" spans="1:16" ht="23.25">
      <c r="A38" s="46"/>
      <c r="B38" s="37"/>
      <c r="C38" s="47"/>
      <c r="D38" s="48"/>
      <c r="E38" s="48"/>
      <c r="F38" s="48" t="s">
        <v>34</v>
      </c>
      <c r="G38" s="48" t="s">
        <v>34</v>
      </c>
      <c r="H38" s="48"/>
      <c r="I38" s="48"/>
      <c r="J38" s="48"/>
      <c r="K38" s="48"/>
      <c r="L38" s="49"/>
    </row>
    <row r="39" spans="1:16" ht="23.25">
      <c r="A39" s="46"/>
      <c r="B39" s="37"/>
      <c r="C39" s="47"/>
      <c r="D39" s="48"/>
      <c r="E39" s="48"/>
      <c r="F39" s="48"/>
      <c r="G39" s="48"/>
      <c r="H39" s="48"/>
      <c r="I39" s="48"/>
      <c r="J39" s="48"/>
      <c r="K39" s="48"/>
      <c r="L39" s="49"/>
    </row>
    <row r="40" spans="1:16" ht="24" thickBot="1">
      <c r="A40" s="50"/>
      <c r="B40" s="51" t="s">
        <v>35</v>
      </c>
      <c r="C40" s="51"/>
      <c r="D40" s="51"/>
      <c r="E40" s="52" t="s">
        <v>36</v>
      </c>
      <c r="F40" s="53"/>
      <c r="G40" s="53"/>
      <c r="H40" s="54"/>
      <c r="I40" s="55" t="s">
        <v>37</v>
      </c>
      <c r="J40" s="55"/>
      <c r="K40" s="52"/>
      <c r="L40" s="56"/>
    </row>
    <row r="44" spans="1:16">
      <c r="H44" s="57"/>
      <c r="I44" s="22"/>
      <c r="J44" s="22"/>
    </row>
    <row r="45" spans="1:16">
      <c r="I45" s="22"/>
    </row>
    <row r="46" spans="1:16">
      <c r="H46" s="57"/>
    </row>
    <row r="49" spans="9:11" ht="22.5">
      <c r="I49" s="20">
        <f>F49*G49*H49/1000</f>
        <v>0</v>
      </c>
      <c r="J49" s="22"/>
      <c r="K49" s="22">
        <f>+I36+' 5644 04.01.24 BB'!I20+'5844  04.01.24 BB  '!I49+'3081  04.01.24 JAIPUR'!I68+'0509  04.01.24 JBP'!I36+'2189  04.01.24 JBP '!I20</f>
        <v>173.74263200000001</v>
      </c>
    </row>
  </sheetData>
  <mergeCells count="7">
    <mergeCell ref="K13:K29"/>
    <mergeCell ref="K30:K33"/>
    <mergeCell ref="L13:L29"/>
    <mergeCell ref="L30:L33"/>
    <mergeCell ref="A1:L1"/>
    <mergeCell ref="A2:L2"/>
    <mergeCell ref="A4:L4"/>
  </mergeCells>
  <pageMargins left="0.24" right="0.2" top="0.44" bottom="0.35" header="0.3" footer="0.3"/>
  <pageSetup paperSize="9" scale="42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7"/>
  <sheetViews>
    <sheetView tabSelected="1" topLeftCell="A25" zoomScale="75" zoomScaleNormal="75" workbookViewId="0">
      <selection activeCell="F36" sqref="F36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212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207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222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68</v>
      </c>
      <c r="C13" s="16" t="s">
        <v>54</v>
      </c>
      <c r="D13" s="17" t="s">
        <v>69</v>
      </c>
      <c r="E13" s="17" t="s">
        <v>148</v>
      </c>
      <c r="F13" s="18">
        <v>12.2</v>
      </c>
      <c r="G13" s="19">
        <v>7</v>
      </c>
      <c r="H13" s="18">
        <v>11</v>
      </c>
      <c r="I13" s="20">
        <v>0.93899999999999995</v>
      </c>
      <c r="J13" s="21"/>
      <c r="K13" s="92">
        <f>+I14+I16+I18+I25+I27+I29+I31+I33+I36+I40</f>
        <v>31.777999999999999</v>
      </c>
      <c r="L13" s="92" t="s">
        <v>221</v>
      </c>
      <c r="N13" s="18">
        <v>11</v>
      </c>
      <c r="O13" s="20">
        <v>0.9393999999999999</v>
      </c>
      <c r="P13" s="22"/>
    </row>
    <row r="14" spans="1:16" ht="23.25" customHeight="1">
      <c r="A14" s="14"/>
      <c r="B14" s="15"/>
      <c r="C14" s="16"/>
      <c r="D14" s="17"/>
      <c r="E14" s="17"/>
      <c r="F14" s="18"/>
      <c r="G14" s="19"/>
      <c r="H14" s="23">
        <f>SUM(H13:H13)</f>
        <v>11</v>
      </c>
      <c r="I14" s="24">
        <f>SUM(I13:I13)</f>
        <v>0.93899999999999995</v>
      </c>
      <c r="J14" s="21"/>
      <c r="K14" s="93"/>
      <c r="L14" s="93"/>
      <c r="N14" s="23">
        <v>11</v>
      </c>
      <c r="O14" s="24">
        <v>0.9393999999999999</v>
      </c>
      <c r="P14" s="22"/>
    </row>
    <row r="15" spans="1:16" ht="23.25" customHeight="1">
      <c r="A15" s="14">
        <v>2</v>
      </c>
      <c r="B15" s="15" t="s">
        <v>68</v>
      </c>
      <c r="C15" s="16" t="s">
        <v>54</v>
      </c>
      <c r="D15" s="17" t="s">
        <v>69</v>
      </c>
      <c r="E15" s="17" t="s">
        <v>213</v>
      </c>
      <c r="F15" s="18">
        <v>10.199999999999999</v>
      </c>
      <c r="G15" s="19">
        <v>6</v>
      </c>
      <c r="H15" s="18">
        <v>1</v>
      </c>
      <c r="I15" s="20">
        <v>6.0999999999999999E-2</v>
      </c>
      <c r="J15" s="21"/>
      <c r="K15" s="93"/>
      <c r="L15" s="93"/>
      <c r="N15" s="18">
        <v>1</v>
      </c>
      <c r="O15" s="20">
        <v>6.1199999999999997E-2</v>
      </c>
      <c r="P15" s="22"/>
    </row>
    <row r="16" spans="1:16" ht="23.25" customHeight="1">
      <c r="A16" s="14"/>
      <c r="B16" s="15"/>
      <c r="C16" s="16"/>
      <c r="D16" s="17"/>
      <c r="E16" s="17"/>
      <c r="F16" s="18"/>
      <c r="G16" s="19"/>
      <c r="H16" s="23">
        <f>SUM(H15:H15)</f>
        <v>1</v>
      </c>
      <c r="I16" s="24">
        <f>SUM(I15:I15)</f>
        <v>6.0999999999999999E-2</v>
      </c>
      <c r="J16" s="21"/>
      <c r="K16" s="93"/>
      <c r="L16" s="93"/>
      <c r="N16" s="23">
        <v>1</v>
      </c>
      <c r="O16" s="24">
        <v>6.1199999999999997E-2</v>
      </c>
      <c r="P16" s="22"/>
    </row>
    <row r="17" spans="1:16" ht="23.25" customHeight="1">
      <c r="A17" s="14">
        <v>3</v>
      </c>
      <c r="B17" s="15" t="s">
        <v>68</v>
      </c>
      <c r="C17" s="16" t="s">
        <v>54</v>
      </c>
      <c r="D17" s="17" t="s">
        <v>69</v>
      </c>
      <c r="E17" s="17" t="s">
        <v>186</v>
      </c>
      <c r="F17" s="18">
        <v>18.2</v>
      </c>
      <c r="G17" s="19">
        <v>10.9</v>
      </c>
      <c r="H17" s="18">
        <v>3</v>
      </c>
      <c r="I17" s="20">
        <v>0.59499999999999997</v>
      </c>
      <c r="J17" s="21"/>
      <c r="K17" s="93"/>
      <c r="L17" s="93"/>
      <c r="N17" s="18">
        <v>3</v>
      </c>
      <c r="O17" s="20">
        <v>0.59514</v>
      </c>
      <c r="P17" s="22"/>
    </row>
    <row r="18" spans="1:16" ht="23.25" customHeight="1">
      <c r="A18" s="14"/>
      <c r="B18" s="15"/>
      <c r="C18" s="16"/>
      <c r="D18" s="17"/>
      <c r="E18" s="17"/>
      <c r="F18" s="18"/>
      <c r="G18" s="19"/>
      <c r="H18" s="23">
        <f>SUM(H17:H17)</f>
        <v>3</v>
      </c>
      <c r="I18" s="24">
        <f>SUM(I17:I17)</f>
        <v>0.59499999999999997</v>
      </c>
      <c r="J18" s="21"/>
      <c r="K18" s="93"/>
      <c r="L18" s="93"/>
      <c r="N18" s="23">
        <v>3</v>
      </c>
      <c r="O18" s="24">
        <v>0.59514</v>
      </c>
      <c r="P18" s="22"/>
    </row>
    <row r="19" spans="1:16" ht="23.25" customHeight="1">
      <c r="A19" s="14">
        <v>4</v>
      </c>
      <c r="B19" s="15" t="s">
        <v>68</v>
      </c>
      <c r="C19" s="16" t="s">
        <v>54</v>
      </c>
      <c r="D19" s="17" t="s">
        <v>69</v>
      </c>
      <c r="E19" s="17" t="s">
        <v>214</v>
      </c>
      <c r="F19" s="18">
        <v>16.5</v>
      </c>
      <c r="G19" s="19">
        <v>11.3</v>
      </c>
      <c r="H19" s="18">
        <v>1</v>
      </c>
      <c r="I19" s="20">
        <v>0.186</v>
      </c>
      <c r="J19" s="21"/>
      <c r="K19" s="93"/>
      <c r="L19" s="93"/>
      <c r="N19" s="18">
        <v>1</v>
      </c>
      <c r="O19" s="20">
        <v>0.18645</v>
      </c>
      <c r="P19" s="22"/>
    </row>
    <row r="20" spans="1:16" ht="23.25" customHeight="1">
      <c r="A20" s="14"/>
      <c r="B20" s="15"/>
      <c r="C20" s="16"/>
      <c r="D20" s="17"/>
      <c r="E20" s="17"/>
      <c r="F20" s="18">
        <v>16.5</v>
      </c>
      <c r="G20" s="19">
        <v>8.5</v>
      </c>
      <c r="H20" s="18">
        <v>3</v>
      </c>
      <c r="I20" s="20">
        <v>0.42099999999999999</v>
      </c>
      <c r="J20" s="21"/>
      <c r="K20" s="93"/>
      <c r="L20" s="93"/>
      <c r="N20" s="18">
        <v>3</v>
      </c>
      <c r="O20" s="20">
        <v>0.42075000000000001</v>
      </c>
      <c r="P20" s="22"/>
    </row>
    <row r="21" spans="1:16" ht="23.25" customHeight="1">
      <c r="A21" s="14"/>
      <c r="B21" s="15"/>
      <c r="C21" s="16"/>
      <c r="D21" s="17"/>
      <c r="E21" s="17"/>
      <c r="F21" s="18">
        <v>16.5</v>
      </c>
      <c r="G21" s="19">
        <v>9.1</v>
      </c>
      <c r="H21" s="18">
        <v>1</v>
      </c>
      <c r="I21" s="20">
        <v>0.15</v>
      </c>
      <c r="J21" s="21"/>
      <c r="K21" s="93"/>
      <c r="L21" s="93"/>
      <c r="N21" s="18">
        <v>1</v>
      </c>
      <c r="O21" s="20">
        <v>0.15015000000000001</v>
      </c>
      <c r="P21" s="22"/>
    </row>
    <row r="22" spans="1:16" ht="23.25" customHeight="1">
      <c r="A22" s="14"/>
      <c r="B22" s="15"/>
      <c r="C22" s="16"/>
      <c r="D22" s="17"/>
      <c r="E22" s="17"/>
      <c r="F22" s="18">
        <v>16.5</v>
      </c>
      <c r="G22" s="19">
        <v>10.199999999999999</v>
      </c>
      <c r="H22" s="18">
        <v>1</v>
      </c>
      <c r="I22" s="20">
        <v>0.16800000000000001</v>
      </c>
      <c r="J22" s="21"/>
      <c r="K22" s="93"/>
      <c r="L22" s="93"/>
      <c r="N22" s="18">
        <v>1</v>
      </c>
      <c r="O22" s="20">
        <v>0.16829999999999998</v>
      </c>
      <c r="P22" s="22"/>
    </row>
    <row r="23" spans="1:16" ht="23.25" customHeight="1">
      <c r="A23" s="14"/>
      <c r="B23" s="15"/>
      <c r="C23" s="16"/>
      <c r="D23" s="17"/>
      <c r="E23" s="17"/>
      <c r="F23" s="18">
        <v>16.5</v>
      </c>
      <c r="G23" s="19">
        <v>10.5</v>
      </c>
      <c r="H23" s="18">
        <v>1</v>
      </c>
      <c r="I23" s="20">
        <v>0.17299999999999999</v>
      </c>
      <c r="J23" s="21"/>
      <c r="K23" s="93"/>
      <c r="L23" s="93"/>
      <c r="N23" s="18">
        <v>1</v>
      </c>
      <c r="O23" s="20">
        <v>0.17324999999999999</v>
      </c>
      <c r="P23" s="22"/>
    </row>
    <row r="24" spans="1:16" ht="23.25" customHeight="1">
      <c r="A24" s="14"/>
      <c r="B24" s="15"/>
      <c r="C24" s="16"/>
      <c r="D24" s="17"/>
      <c r="E24" s="17"/>
      <c r="F24" s="18">
        <v>16.5</v>
      </c>
      <c r="G24" s="19">
        <v>11</v>
      </c>
      <c r="H24" s="18">
        <v>1</v>
      </c>
      <c r="I24" s="20">
        <v>0.182</v>
      </c>
      <c r="J24" s="21"/>
      <c r="K24" s="93"/>
      <c r="L24" s="93"/>
      <c r="N24" s="18">
        <v>1</v>
      </c>
      <c r="O24" s="20">
        <v>0.18149999999999999</v>
      </c>
      <c r="P24" s="22"/>
    </row>
    <row r="25" spans="1:16" ht="23.25" customHeight="1">
      <c r="A25" s="14"/>
      <c r="B25" s="15"/>
      <c r="C25" s="16"/>
      <c r="D25" s="17"/>
      <c r="E25" s="17"/>
      <c r="F25" s="18"/>
      <c r="G25" s="19"/>
      <c r="H25" s="23">
        <f>SUM(H19:H24)</f>
        <v>8</v>
      </c>
      <c r="I25" s="24">
        <f>SUM(I19:I24)</f>
        <v>1.28</v>
      </c>
      <c r="J25" s="21"/>
      <c r="K25" s="93"/>
      <c r="L25" s="93"/>
      <c r="N25" s="23">
        <v>8</v>
      </c>
      <c r="O25" s="24">
        <v>1.2804</v>
      </c>
      <c r="P25" s="22"/>
    </row>
    <row r="26" spans="1:16" ht="23.25" customHeight="1">
      <c r="A26" s="14">
        <v>5</v>
      </c>
      <c r="B26" s="15" t="s">
        <v>68</v>
      </c>
      <c r="C26" s="16" t="s">
        <v>54</v>
      </c>
      <c r="D26" s="17" t="s">
        <v>69</v>
      </c>
      <c r="E26" s="17" t="s">
        <v>155</v>
      </c>
      <c r="F26" s="18">
        <v>10.9</v>
      </c>
      <c r="G26" s="19">
        <v>10.199999999999999</v>
      </c>
      <c r="H26" s="18">
        <v>1</v>
      </c>
      <c r="I26" s="20">
        <v>0.111</v>
      </c>
      <c r="J26" s="21"/>
      <c r="K26" s="93"/>
      <c r="L26" s="93"/>
      <c r="N26" s="18">
        <v>1</v>
      </c>
      <c r="O26" s="20">
        <v>0.11117999999999999</v>
      </c>
      <c r="P26" s="22"/>
    </row>
    <row r="27" spans="1:16" ht="23.25" customHeight="1">
      <c r="A27" s="14"/>
      <c r="B27" s="15"/>
      <c r="C27" s="16"/>
      <c r="D27" s="17"/>
      <c r="E27" s="17"/>
      <c r="F27" s="18"/>
      <c r="G27" s="19"/>
      <c r="H27" s="23">
        <f>SUM(H26)</f>
        <v>1</v>
      </c>
      <c r="I27" s="24">
        <f>SUM(I26)</f>
        <v>0.111</v>
      </c>
      <c r="J27" s="21"/>
      <c r="K27" s="93"/>
      <c r="L27" s="93"/>
      <c r="N27" s="23">
        <v>1</v>
      </c>
      <c r="O27" s="24">
        <v>0.11117999999999999</v>
      </c>
      <c r="P27" s="22"/>
    </row>
    <row r="28" spans="1:16" ht="23.25" customHeight="1">
      <c r="A28" s="14">
        <v>6</v>
      </c>
      <c r="B28" s="15" t="s">
        <v>68</v>
      </c>
      <c r="C28" s="16" t="s">
        <v>21</v>
      </c>
      <c r="D28" s="17" t="s">
        <v>189</v>
      </c>
      <c r="E28" s="17" t="s">
        <v>215</v>
      </c>
      <c r="F28" s="18">
        <v>7.34</v>
      </c>
      <c r="G28" s="19">
        <v>7.1</v>
      </c>
      <c r="H28" s="18">
        <v>8</v>
      </c>
      <c r="I28" s="20">
        <v>0.41699999999999998</v>
      </c>
      <c r="J28" s="21"/>
      <c r="K28" s="93"/>
      <c r="L28" s="93"/>
      <c r="N28" s="18">
        <v>8</v>
      </c>
      <c r="O28" s="20">
        <v>0.416912</v>
      </c>
      <c r="P28" s="22"/>
    </row>
    <row r="29" spans="1:16" ht="23.25" customHeight="1">
      <c r="A29" s="14"/>
      <c r="B29" s="15"/>
      <c r="C29" s="16"/>
      <c r="D29" s="17"/>
      <c r="E29" s="17"/>
      <c r="F29" s="18"/>
      <c r="G29" s="19"/>
      <c r="H29" s="23">
        <f>SUM(H28)</f>
        <v>8</v>
      </c>
      <c r="I29" s="24">
        <f>SUM(I28)</f>
        <v>0.41699999999999998</v>
      </c>
      <c r="J29" s="21"/>
      <c r="K29" s="93"/>
      <c r="L29" s="93"/>
      <c r="N29" s="23">
        <v>8</v>
      </c>
      <c r="O29" s="24">
        <v>0.416912</v>
      </c>
      <c r="P29" s="22"/>
    </row>
    <row r="30" spans="1:16" ht="23.25" customHeight="1">
      <c r="A30" s="14">
        <v>7</v>
      </c>
      <c r="B30" s="15" t="s">
        <v>192</v>
      </c>
      <c r="C30" s="16" t="s">
        <v>54</v>
      </c>
      <c r="D30" s="17" t="s">
        <v>69</v>
      </c>
      <c r="E30" s="17" t="s">
        <v>216</v>
      </c>
      <c r="F30" s="18">
        <v>6.38</v>
      </c>
      <c r="G30" s="19">
        <v>12</v>
      </c>
      <c r="H30" s="18">
        <v>3</v>
      </c>
      <c r="I30" s="20">
        <v>0.23</v>
      </c>
      <c r="J30" s="21"/>
      <c r="K30" s="93"/>
      <c r="L30" s="93"/>
      <c r="N30" s="18">
        <v>3</v>
      </c>
      <c r="O30" s="20">
        <v>0.22968</v>
      </c>
      <c r="P30" s="22"/>
    </row>
    <row r="31" spans="1:16" ht="23.25" customHeight="1">
      <c r="A31" s="14"/>
      <c r="B31" s="15"/>
      <c r="C31" s="16"/>
      <c r="D31" s="17"/>
      <c r="E31" s="17"/>
      <c r="F31" s="18"/>
      <c r="G31" s="19"/>
      <c r="H31" s="23">
        <f>SUM(H30)</f>
        <v>3</v>
      </c>
      <c r="I31" s="24">
        <f>SUM(I30)</f>
        <v>0.23</v>
      </c>
      <c r="J31" s="21"/>
      <c r="K31" s="93"/>
      <c r="L31" s="93"/>
      <c r="N31" s="23">
        <v>3</v>
      </c>
      <c r="O31" s="24">
        <v>0.22968</v>
      </c>
      <c r="P31" s="22"/>
    </row>
    <row r="32" spans="1:16" ht="23.25" customHeight="1">
      <c r="A32" s="14">
        <v>8</v>
      </c>
      <c r="B32" s="15" t="s">
        <v>192</v>
      </c>
      <c r="C32" s="16" t="s">
        <v>21</v>
      </c>
      <c r="D32" s="17" t="s">
        <v>189</v>
      </c>
      <c r="E32" s="17" t="s">
        <v>181</v>
      </c>
      <c r="F32" s="18">
        <v>5.37</v>
      </c>
      <c r="G32" s="19">
        <v>11.5</v>
      </c>
      <c r="H32" s="18">
        <v>11</v>
      </c>
      <c r="I32" s="20">
        <v>0.67900000000000005</v>
      </c>
      <c r="J32" s="21"/>
      <c r="K32" s="93"/>
      <c r="L32" s="93"/>
      <c r="N32" s="18">
        <v>11</v>
      </c>
      <c r="O32" s="20">
        <v>0.67930500000000005</v>
      </c>
      <c r="P32" s="22"/>
    </row>
    <row r="33" spans="1:16" ht="23.25" customHeight="1">
      <c r="A33" s="14"/>
      <c r="B33" s="15"/>
      <c r="C33" s="16"/>
      <c r="D33" s="17"/>
      <c r="E33" s="17"/>
      <c r="F33" s="18"/>
      <c r="G33" s="19"/>
      <c r="H33" s="23">
        <f>SUM(H32)</f>
        <v>11</v>
      </c>
      <c r="I33" s="24">
        <f>SUM(I32)</f>
        <v>0.67900000000000005</v>
      </c>
      <c r="J33" s="21"/>
      <c r="K33" s="93"/>
      <c r="L33" s="93"/>
      <c r="N33" s="23">
        <v>11</v>
      </c>
      <c r="O33" s="24">
        <v>0.67930500000000005</v>
      </c>
      <c r="P33" s="22"/>
    </row>
    <row r="34" spans="1:16" ht="23.25" customHeight="1">
      <c r="A34" s="27">
        <v>9</v>
      </c>
      <c r="B34" s="15" t="s">
        <v>79</v>
      </c>
      <c r="C34" s="16" t="s">
        <v>54</v>
      </c>
      <c r="D34" s="17" t="s">
        <v>69</v>
      </c>
      <c r="E34" s="17" t="s">
        <v>80</v>
      </c>
      <c r="F34" s="18">
        <v>27.3</v>
      </c>
      <c r="G34" s="19">
        <v>8.1</v>
      </c>
      <c r="H34" s="18">
        <v>28</v>
      </c>
      <c r="I34" s="20">
        <v>6.1920000000000002</v>
      </c>
      <c r="J34" s="21"/>
      <c r="K34" s="93"/>
      <c r="L34" s="93"/>
      <c r="N34" s="18">
        <v>28</v>
      </c>
      <c r="O34" s="20">
        <v>6.1916399999999996</v>
      </c>
      <c r="P34" s="22"/>
    </row>
    <row r="35" spans="1:16" ht="23.25" customHeight="1">
      <c r="A35" s="27"/>
      <c r="B35" s="58"/>
      <c r="C35" s="59"/>
      <c r="D35" s="60"/>
      <c r="E35" s="17"/>
      <c r="F35" s="18">
        <v>27.3</v>
      </c>
      <c r="G35" s="19">
        <v>12.15</v>
      </c>
      <c r="H35" s="18">
        <v>48</v>
      </c>
      <c r="I35" s="20">
        <v>15.920999999999999</v>
      </c>
      <c r="J35" s="21"/>
      <c r="K35" s="93"/>
      <c r="L35" s="93"/>
      <c r="N35" s="18">
        <v>48</v>
      </c>
      <c r="O35" s="20">
        <v>15.92136</v>
      </c>
      <c r="P35" s="22"/>
    </row>
    <row r="36" spans="1:16" ht="23.25" customHeight="1">
      <c r="A36" s="27"/>
      <c r="B36" s="58"/>
      <c r="C36" s="59"/>
      <c r="D36" s="60"/>
      <c r="E36" s="17"/>
      <c r="F36" s="18"/>
      <c r="G36" s="19"/>
      <c r="H36" s="23">
        <f t="shared" ref="H36" si="0">SUM(H34:H35)</f>
        <v>76</v>
      </c>
      <c r="I36" s="24">
        <f>SUM(I34:I35)</f>
        <v>22.113</v>
      </c>
      <c r="J36" s="21"/>
      <c r="K36" s="93"/>
      <c r="L36" s="93"/>
      <c r="N36" s="23">
        <v>76</v>
      </c>
      <c r="O36" s="24">
        <v>22.113</v>
      </c>
      <c r="P36" s="22"/>
    </row>
    <row r="37" spans="1:16" ht="23.25" customHeight="1">
      <c r="A37" s="27">
        <v>10</v>
      </c>
      <c r="B37" s="15" t="s">
        <v>95</v>
      </c>
      <c r="C37" s="16" t="s">
        <v>54</v>
      </c>
      <c r="D37" s="17" t="s">
        <v>69</v>
      </c>
      <c r="E37" s="17" t="s">
        <v>216</v>
      </c>
      <c r="F37" s="18">
        <v>6.38</v>
      </c>
      <c r="G37" s="19">
        <v>11</v>
      </c>
      <c r="H37" s="18">
        <v>24</v>
      </c>
      <c r="I37" s="20">
        <v>1.6839999999999999</v>
      </c>
      <c r="J37" s="21"/>
      <c r="K37" s="93"/>
      <c r="L37" s="93"/>
      <c r="N37" s="18">
        <v>24</v>
      </c>
      <c r="O37" s="20">
        <v>1.6843199999999998</v>
      </c>
      <c r="P37" s="22"/>
    </row>
    <row r="38" spans="1:16" ht="23.25" customHeight="1">
      <c r="A38" s="27"/>
      <c r="B38" s="58"/>
      <c r="C38" s="59"/>
      <c r="D38" s="60"/>
      <c r="E38" s="17"/>
      <c r="F38" s="18">
        <v>6.38</v>
      </c>
      <c r="G38" s="19">
        <v>11.5</v>
      </c>
      <c r="H38" s="18">
        <v>2</v>
      </c>
      <c r="I38" s="20">
        <v>0.14699999999999999</v>
      </c>
      <c r="J38" s="21"/>
      <c r="K38" s="93"/>
      <c r="L38" s="93"/>
      <c r="N38" s="18">
        <v>2</v>
      </c>
      <c r="O38" s="20">
        <v>0.14674000000000001</v>
      </c>
      <c r="P38" s="22"/>
    </row>
    <row r="39" spans="1:16" ht="23.25" customHeight="1">
      <c r="A39" s="27"/>
      <c r="B39" s="58"/>
      <c r="C39" s="59"/>
      <c r="D39" s="60"/>
      <c r="E39" s="17"/>
      <c r="F39" s="18">
        <v>6.38</v>
      </c>
      <c r="G39" s="19">
        <v>12</v>
      </c>
      <c r="H39" s="18">
        <v>46</v>
      </c>
      <c r="I39" s="20">
        <v>3.5219999999999998</v>
      </c>
      <c r="J39" s="21"/>
      <c r="K39" s="93"/>
      <c r="L39" s="93"/>
      <c r="N39" s="18">
        <v>46</v>
      </c>
      <c r="O39" s="20">
        <v>3.52176</v>
      </c>
      <c r="P39" s="22"/>
    </row>
    <row r="40" spans="1:16" ht="23.25" customHeight="1">
      <c r="A40" s="27"/>
      <c r="B40" s="58"/>
      <c r="C40" s="59"/>
      <c r="D40" s="60"/>
      <c r="E40" s="17"/>
      <c r="F40" s="18"/>
      <c r="G40" s="19"/>
      <c r="H40" s="23">
        <f>SUM(H37:H39)</f>
        <v>72</v>
      </c>
      <c r="I40" s="24">
        <f>SUM(I37:I39)</f>
        <v>5.3529999999999998</v>
      </c>
      <c r="J40" s="21"/>
      <c r="K40" s="94"/>
      <c r="L40" s="94"/>
      <c r="N40" s="23">
        <v>72</v>
      </c>
      <c r="O40" s="24">
        <v>5.3528199999999995</v>
      </c>
      <c r="P40" s="22"/>
    </row>
    <row r="41" spans="1:16" ht="23.25" customHeight="1">
      <c r="A41" s="27"/>
      <c r="B41" s="58"/>
      <c r="C41" s="59"/>
      <c r="D41" s="60"/>
      <c r="E41" s="17"/>
      <c r="F41" s="18"/>
      <c r="G41" s="19"/>
      <c r="H41" s="23">
        <f>SUM(H40,H36,H33,H31,H29,H27,H25,H18,H16,H14)</f>
        <v>194</v>
      </c>
      <c r="I41" s="24">
        <f>SUM(I40,I36,I33,I31,I29,I27,I25,I18,I16,I14)</f>
        <v>31.778000000000002</v>
      </c>
      <c r="J41" s="21"/>
      <c r="K41" s="63"/>
      <c r="L41" s="62"/>
      <c r="N41" s="23">
        <v>194</v>
      </c>
      <c r="O41" s="24">
        <v>31.779036999999999</v>
      </c>
      <c r="P41" s="22"/>
    </row>
    <row r="42" spans="1:16" ht="23.25" customHeight="1">
      <c r="A42" s="27"/>
      <c r="B42" s="58"/>
      <c r="C42" s="59"/>
      <c r="D42" s="60"/>
      <c r="E42" s="17"/>
      <c r="F42" s="18"/>
      <c r="G42" s="19"/>
      <c r="H42" s="23"/>
      <c r="I42" s="24"/>
      <c r="J42" s="21"/>
      <c r="K42" s="90"/>
      <c r="L42" s="91"/>
      <c r="N42" s="23"/>
      <c r="O42" s="24"/>
      <c r="P42" s="22"/>
    </row>
    <row r="43" spans="1:16" ht="23.25" customHeight="1">
      <c r="A43" s="27"/>
      <c r="B43" s="28"/>
      <c r="C43" s="28"/>
      <c r="D43" s="28"/>
      <c r="E43" s="21"/>
      <c r="F43" s="18"/>
      <c r="G43" s="19"/>
      <c r="H43" s="25"/>
      <c r="I43" s="26"/>
      <c r="J43" s="21"/>
      <c r="K43" s="21"/>
      <c r="L43" s="21"/>
      <c r="N43" s="25"/>
      <c r="O43" s="26"/>
      <c r="P43" s="22">
        <f t="shared" ref="P43:P44" si="1">I43-O43</f>
        <v>0</v>
      </c>
    </row>
    <row r="44" spans="1:16" ht="23.25" customHeight="1" thickBot="1">
      <c r="A44" s="30"/>
      <c r="B44" s="31"/>
      <c r="C44" s="31"/>
      <c r="D44" s="31"/>
      <c r="E44" s="32" t="s">
        <v>29</v>
      </c>
      <c r="F44" s="33"/>
      <c r="G44" s="26"/>
      <c r="H44" s="34">
        <f>+H41</f>
        <v>194</v>
      </c>
      <c r="I44" s="26">
        <f>+I41</f>
        <v>31.778000000000002</v>
      </c>
      <c r="J44" s="26"/>
      <c r="K44" s="26">
        <f>+K13+K15</f>
        <v>31.777999999999999</v>
      </c>
      <c r="L44" s="23"/>
      <c r="N44" s="34">
        <v>194</v>
      </c>
      <c r="O44" s="26">
        <v>31.779036999999999</v>
      </c>
      <c r="P44" s="22">
        <f t="shared" si="1"/>
        <v>-1.036999999996624E-3</v>
      </c>
    </row>
    <row r="45" spans="1:16" ht="23.25">
      <c r="A45" s="36"/>
      <c r="B45" s="37" t="s">
        <v>30</v>
      </c>
      <c r="C45" s="38"/>
      <c r="D45" s="39" t="s">
        <v>31</v>
      </c>
      <c r="E45" s="40" t="s">
        <v>32</v>
      </c>
      <c r="F45" s="41"/>
      <c r="G45" s="42"/>
      <c r="H45" s="42"/>
      <c r="I45" s="43" t="s">
        <v>33</v>
      </c>
      <c r="J45" s="43"/>
      <c r="K45" s="44"/>
      <c r="L45" s="45"/>
      <c r="N45" s="22"/>
    </row>
    <row r="46" spans="1:16" ht="23.25">
      <c r="A46" s="46"/>
      <c r="B46" s="37"/>
      <c r="C46" s="47"/>
      <c r="D46" s="48"/>
      <c r="E46" s="48"/>
      <c r="F46" s="48" t="s">
        <v>34</v>
      </c>
      <c r="G46" s="48" t="s">
        <v>34</v>
      </c>
      <c r="H46" s="48"/>
      <c r="I46" s="48"/>
      <c r="J46" s="48"/>
      <c r="K46" s="48"/>
      <c r="L46" s="49"/>
    </row>
    <row r="47" spans="1:16" ht="23.25">
      <c r="A47" s="46"/>
      <c r="B47" s="37"/>
      <c r="C47" s="47"/>
      <c r="D47" s="48"/>
      <c r="E47" s="48"/>
      <c r="F47" s="48"/>
      <c r="G47" s="48"/>
      <c r="H47" s="48"/>
      <c r="I47" s="48"/>
      <c r="J47" s="48"/>
      <c r="K47" s="48"/>
      <c r="L47" s="49"/>
    </row>
    <row r="48" spans="1:16" ht="24" thickBot="1">
      <c r="A48" s="50"/>
      <c r="B48" s="51" t="s">
        <v>35</v>
      </c>
      <c r="C48" s="51"/>
      <c r="D48" s="51"/>
      <c r="E48" s="52" t="s">
        <v>36</v>
      </c>
      <c r="F48" s="53"/>
      <c r="G48" s="53"/>
      <c r="H48" s="54"/>
      <c r="I48" s="55" t="s">
        <v>37</v>
      </c>
      <c r="J48" s="55"/>
      <c r="K48" s="52"/>
      <c r="L48" s="56"/>
    </row>
    <row r="52" spans="8:11">
      <c r="H52" s="57"/>
      <c r="I52" s="22"/>
      <c r="J52" s="22"/>
    </row>
    <row r="53" spans="8:11">
      <c r="I53" s="22"/>
    </row>
    <row r="54" spans="8:11">
      <c r="H54" s="57"/>
    </row>
    <row r="57" spans="8:11" ht="22.5">
      <c r="I57" s="20">
        <f>F57*G57*H57/1000</f>
        <v>0</v>
      </c>
      <c r="J57" s="22">
        <f>+I44+'0403  03.01.24 JBP '!I32+'5844  03.01.24 BUB'!I26+'4944  03.01.24 BUB '!I30+'7423  03.01.24 JBP'!I32</f>
        <v>162.11394999999999</v>
      </c>
      <c r="K57" s="22">
        <f>+'7423  03.01.24 JBP'!I32+'4944  03.01.24 BUB '!I30+'5844  03.01.24 BUB'!I26+'0403  03.01.24 JBP '!I32+' 4044 05.01.24 BB'!I44</f>
        <v>162.11394999999999</v>
      </c>
    </row>
  </sheetData>
  <mergeCells count="5">
    <mergeCell ref="K13:K40"/>
    <mergeCell ref="L13:L40"/>
    <mergeCell ref="A1:L1"/>
    <mergeCell ref="A2:L2"/>
    <mergeCell ref="A4:L4"/>
  </mergeCells>
  <pageMargins left="0.24" right="0.2" top="0.44" bottom="0.35" header="0.3" footer="0.3"/>
  <pageSetup paperSize="9" scale="4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topLeftCell="A3" zoomScale="75" zoomScaleNormal="75" workbookViewId="0">
      <selection activeCell="B13" sqref="B13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218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5</v>
      </c>
      <c r="D8" s="10"/>
      <c r="E8" s="10"/>
      <c r="F8" s="6"/>
      <c r="G8" s="6"/>
      <c r="H8" s="6"/>
      <c r="I8" s="6"/>
      <c r="J8" s="6" t="s">
        <v>6</v>
      </c>
      <c r="K8" s="6" t="s">
        <v>207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5</v>
      </c>
      <c r="D10" s="10"/>
      <c r="E10" s="10"/>
      <c r="F10" s="6"/>
      <c r="G10" s="6"/>
      <c r="H10" s="6"/>
      <c r="I10" s="6"/>
      <c r="J10" s="6" t="s">
        <v>7</v>
      </c>
      <c r="K10" s="6" t="s">
        <v>217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24</v>
      </c>
      <c r="C13" s="16" t="s">
        <v>39</v>
      </c>
      <c r="D13" s="17" t="s">
        <v>40</v>
      </c>
      <c r="E13" s="17" t="s">
        <v>56</v>
      </c>
      <c r="F13" s="18">
        <v>5.77</v>
      </c>
      <c r="G13" s="19">
        <v>10.5</v>
      </c>
      <c r="H13" s="18">
        <v>30</v>
      </c>
      <c r="I13" s="20">
        <v>1.8180000000000001</v>
      </c>
      <c r="J13" s="21"/>
      <c r="K13" s="92">
        <f>+I14+I17+I19</f>
        <v>17.917999999999999</v>
      </c>
      <c r="L13" s="92" t="s">
        <v>223</v>
      </c>
      <c r="N13" s="18">
        <v>30</v>
      </c>
      <c r="O13" s="20">
        <v>1.8175499999999998</v>
      </c>
      <c r="P13" s="22">
        <f>I13-O13</f>
        <v>4.5000000000028351E-4</v>
      </c>
    </row>
    <row r="14" spans="1:16" ht="23.25" customHeight="1">
      <c r="A14" s="21"/>
      <c r="B14" s="15"/>
      <c r="C14" s="16"/>
      <c r="D14" s="17"/>
      <c r="E14" s="17"/>
      <c r="F14" s="18"/>
      <c r="G14" s="19"/>
      <c r="H14" s="23">
        <f>SUM(H13:H13)</f>
        <v>30</v>
      </c>
      <c r="I14" s="24">
        <f>SUM(I13:I13)</f>
        <v>1.8180000000000001</v>
      </c>
      <c r="J14" s="21"/>
      <c r="K14" s="93"/>
      <c r="L14" s="93"/>
      <c r="N14" s="23">
        <v>30</v>
      </c>
      <c r="O14" s="24">
        <v>1.8175499999999998</v>
      </c>
      <c r="P14" s="22">
        <f t="shared" ref="P14:P31" si="0">I14-O14</f>
        <v>4.5000000000028351E-4</v>
      </c>
    </row>
    <row r="15" spans="1:16" ht="23.25" customHeight="1">
      <c r="A15" s="21">
        <v>2</v>
      </c>
      <c r="B15" s="15" t="s">
        <v>24</v>
      </c>
      <c r="C15" s="16" t="s">
        <v>39</v>
      </c>
      <c r="D15" s="17" t="s">
        <v>40</v>
      </c>
      <c r="E15" s="17" t="s">
        <v>219</v>
      </c>
      <c r="F15" s="18">
        <v>6.17</v>
      </c>
      <c r="G15" s="19">
        <v>11.5</v>
      </c>
      <c r="H15" s="18">
        <v>95</v>
      </c>
      <c r="I15" s="20">
        <v>6.7409999999999997</v>
      </c>
      <c r="J15" s="21"/>
      <c r="K15" s="93"/>
      <c r="L15" s="93"/>
      <c r="N15" s="18">
        <v>95</v>
      </c>
      <c r="O15" s="20">
        <v>6.7407249999999994</v>
      </c>
      <c r="P15" s="22">
        <f t="shared" si="0"/>
        <v>2.7500000000024727E-4</v>
      </c>
    </row>
    <row r="16" spans="1:16" ht="23.25" customHeight="1">
      <c r="A16" s="21"/>
      <c r="B16" s="15"/>
      <c r="C16" s="16"/>
      <c r="D16" s="17"/>
      <c r="E16" s="17"/>
      <c r="F16" s="18">
        <v>6.17</v>
      </c>
      <c r="G16" s="19">
        <v>12</v>
      </c>
      <c r="H16" s="18">
        <v>53</v>
      </c>
      <c r="I16" s="20">
        <v>3.9239999999999999</v>
      </c>
      <c r="J16" s="21"/>
      <c r="K16" s="93"/>
      <c r="L16" s="93"/>
      <c r="N16" s="18">
        <v>53</v>
      </c>
      <c r="O16" s="20">
        <v>3.9241199999999994</v>
      </c>
      <c r="P16" s="22">
        <f t="shared" si="0"/>
        <v>-1.1999999999945388E-4</v>
      </c>
    </row>
    <row r="17" spans="1:16" ht="23.25" customHeight="1">
      <c r="A17" s="21"/>
      <c r="B17" s="15"/>
      <c r="C17" s="16"/>
      <c r="D17" s="17"/>
      <c r="E17" s="17"/>
      <c r="F17" s="18"/>
      <c r="G17" s="19"/>
      <c r="H17" s="23">
        <f t="shared" ref="H17" si="1">SUM(H15:H16)</f>
        <v>148</v>
      </c>
      <c r="I17" s="24">
        <f>SUM(I15:I16)</f>
        <v>10.664999999999999</v>
      </c>
      <c r="J17" s="21"/>
      <c r="K17" s="93"/>
      <c r="L17" s="93"/>
      <c r="N17" s="23">
        <v>148</v>
      </c>
      <c r="O17" s="24">
        <v>10.664845</v>
      </c>
      <c r="P17" s="22">
        <f t="shared" si="0"/>
        <v>1.5499999999946112E-4</v>
      </c>
    </row>
    <row r="18" spans="1:16" ht="23.25" customHeight="1">
      <c r="A18" s="21">
        <v>3</v>
      </c>
      <c r="B18" s="15" t="s">
        <v>24</v>
      </c>
      <c r="C18" s="16" t="s">
        <v>25</v>
      </c>
      <c r="D18" s="17" t="s">
        <v>26</v>
      </c>
      <c r="E18" s="17" t="s">
        <v>162</v>
      </c>
      <c r="F18" s="18">
        <v>14.66</v>
      </c>
      <c r="G18" s="19">
        <v>11</v>
      </c>
      <c r="H18" s="18">
        <v>34</v>
      </c>
      <c r="I18" s="20">
        <v>5.4349999999999996</v>
      </c>
      <c r="J18" s="21"/>
      <c r="K18" s="93"/>
      <c r="L18" s="93"/>
      <c r="N18" s="18">
        <v>36</v>
      </c>
      <c r="O18" s="20">
        <v>5.8053599999999994</v>
      </c>
      <c r="P18" s="22">
        <f t="shared" si="0"/>
        <v>-0.3703599999999998</v>
      </c>
    </row>
    <row r="19" spans="1:16" ht="23.25" customHeight="1">
      <c r="A19" s="21"/>
      <c r="B19" s="15"/>
      <c r="C19" s="16"/>
      <c r="D19" s="17"/>
      <c r="E19" s="17"/>
      <c r="F19" s="18"/>
      <c r="G19" s="19"/>
      <c r="H19" s="23">
        <f t="shared" ref="H19" si="2">SUM(H18)</f>
        <v>34</v>
      </c>
      <c r="I19" s="24">
        <f>SUM(I18)</f>
        <v>5.4349999999999996</v>
      </c>
      <c r="J19" s="21"/>
      <c r="K19" s="94"/>
      <c r="L19" s="94"/>
      <c r="N19" s="18"/>
      <c r="O19" s="20"/>
      <c r="P19" s="22"/>
    </row>
    <row r="20" spans="1:16" ht="23.25" customHeight="1">
      <c r="A20" s="21"/>
      <c r="B20" s="15"/>
      <c r="C20" s="16"/>
      <c r="D20" s="17"/>
      <c r="E20" s="17"/>
      <c r="F20" s="18">
        <v>14.66</v>
      </c>
      <c r="G20" s="19">
        <v>11</v>
      </c>
      <c r="H20" s="18">
        <f>36-34</f>
        <v>2</v>
      </c>
      <c r="I20" s="20">
        <f>5.805-5.534</f>
        <v>0.27099999999999991</v>
      </c>
      <c r="J20" s="21"/>
      <c r="K20" s="92">
        <f>+I22+I25+I28</f>
        <v>14.314</v>
      </c>
      <c r="L20" s="92" t="s">
        <v>224</v>
      </c>
      <c r="N20" s="18"/>
      <c r="O20" s="20"/>
      <c r="P20" s="22"/>
    </row>
    <row r="21" spans="1:16" ht="23.25" customHeight="1">
      <c r="A21" s="21"/>
      <c r="B21" s="15"/>
      <c r="C21" s="16"/>
      <c r="D21" s="17"/>
      <c r="E21" s="17"/>
      <c r="F21" s="18">
        <v>14.66</v>
      </c>
      <c r="G21" s="19">
        <v>11.5</v>
      </c>
      <c r="H21" s="18">
        <v>3</v>
      </c>
      <c r="I21" s="20">
        <v>0.50600000000000001</v>
      </c>
      <c r="J21" s="21"/>
      <c r="K21" s="93"/>
      <c r="L21" s="93"/>
      <c r="N21" s="18">
        <v>3</v>
      </c>
      <c r="O21" s="20">
        <v>0.50576999999999994</v>
      </c>
      <c r="P21" s="22">
        <f t="shared" si="0"/>
        <v>2.3000000000006349E-4</v>
      </c>
    </row>
    <row r="22" spans="1:16" ht="23.25" customHeight="1">
      <c r="A22" s="21"/>
      <c r="B22" s="15"/>
      <c r="C22" s="16"/>
      <c r="D22" s="17"/>
      <c r="E22" s="17"/>
      <c r="F22" s="18"/>
      <c r="G22" s="19"/>
      <c r="H22" s="23">
        <f>SUM(H20:H21)</f>
        <v>5</v>
      </c>
      <c r="I22" s="24">
        <f>SUM(I20:I21)</f>
        <v>0.77699999999999991</v>
      </c>
      <c r="J22" s="21"/>
      <c r="K22" s="93"/>
      <c r="L22" s="93"/>
      <c r="N22" s="23">
        <v>39</v>
      </c>
      <c r="O22" s="24">
        <v>6.3111299999999995</v>
      </c>
      <c r="P22" s="22">
        <f t="shared" si="0"/>
        <v>-5.5341299999999993</v>
      </c>
    </row>
    <row r="23" spans="1:16" ht="23.25" customHeight="1">
      <c r="A23" s="21">
        <v>4</v>
      </c>
      <c r="B23" s="15" t="s">
        <v>28</v>
      </c>
      <c r="C23" s="16" t="s">
        <v>25</v>
      </c>
      <c r="D23" s="17" t="s">
        <v>26</v>
      </c>
      <c r="E23" s="17" t="s">
        <v>162</v>
      </c>
      <c r="F23" s="18">
        <v>14.66</v>
      </c>
      <c r="G23" s="19">
        <v>7.1</v>
      </c>
      <c r="H23" s="18">
        <v>24</v>
      </c>
      <c r="I23" s="20">
        <v>2.4980000000000002</v>
      </c>
      <c r="J23" s="21"/>
      <c r="K23" s="93"/>
      <c r="L23" s="93"/>
      <c r="N23" s="18">
        <v>24</v>
      </c>
      <c r="O23" s="20">
        <v>2.4980639999999998</v>
      </c>
      <c r="P23" s="22">
        <f t="shared" si="0"/>
        <v>-6.3999999999619916E-5</v>
      </c>
    </row>
    <row r="24" spans="1:16" ht="23.25" customHeight="1">
      <c r="A24" s="21"/>
      <c r="B24" s="15"/>
      <c r="C24" s="16"/>
      <c r="D24" s="17"/>
      <c r="E24" s="17"/>
      <c r="F24" s="18">
        <v>14.66</v>
      </c>
      <c r="G24" s="19">
        <v>11</v>
      </c>
      <c r="H24" s="18">
        <v>4</v>
      </c>
      <c r="I24" s="20">
        <v>0.64500000000000002</v>
      </c>
      <c r="J24" s="21"/>
      <c r="K24" s="93"/>
      <c r="L24" s="93"/>
      <c r="N24" s="18">
        <v>4</v>
      </c>
      <c r="O24" s="20">
        <v>0.64503999999999995</v>
      </c>
      <c r="P24" s="22">
        <f t="shared" si="0"/>
        <v>-3.9999999999928981E-5</v>
      </c>
    </row>
    <row r="25" spans="1:16" ht="23.25" customHeight="1">
      <c r="A25" s="21"/>
      <c r="B25" s="15"/>
      <c r="C25" s="16"/>
      <c r="D25" s="17"/>
      <c r="E25" s="17"/>
      <c r="F25" s="18"/>
      <c r="G25" s="19"/>
      <c r="H25" s="23">
        <f>SUM(H23:H24)</f>
        <v>28</v>
      </c>
      <c r="I25" s="24">
        <f>SUM(I23:I24)</f>
        <v>3.1430000000000002</v>
      </c>
      <c r="J25" s="21"/>
      <c r="K25" s="93"/>
      <c r="L25" s="93"/>
      <c r="N25" s="23">
        <v>28</v>
      </c>
      <c r="O25" s="24">
        <v>3.1431039999999997</v>
      </c>
      <c r="P25" s="22">
        <f t="shared" si="0"/>
        <v>-1.0399999999943788E-4</v>
      </c>
    </row>
    <row r="26" spans="1:16" ht="23.25" customHeight="1">
      <c r="A26" s="21">
        <v>5</v>
      </c>
      <c r="B26" s="15" t="s">
        <v>28</v>
      </c>
      <c r="C26" s="16" t="s">
        <v>25</v>
      </c>
      <c r="D26" s="17" t="s">
        <v>26</v>
      </c>
      <c r="E26" s="17" t="s">
        <v>220</v>
      </c>
      <c r="F26" s="18">
        <v>12.18</v>
      </c>
      <c r="G26" s="19">
        <v>7.25</v>
      </c>
      <c r="H26" s="18">
        <v>76</v>
      </c>
      <c r="I26" s="20">
        <v>6.7110000000000003</v>
      </c>
      <c r="J26" s="21"/>
      <c r="K26" s="93"/>
      <c r="L26" s="93"/>
      <c r="N26" s="18">
        <v>76</v>
      </c>
      <c r="O26" s="20">
        <v>6.7111799999999997</v>
      </c>
      <c r="P26" s="22">
        <f t="shared" si="0"/>
        <v>-1.7999999999940286E-4</v>
      </c>
    </row>
    <row r="27" spans="1:16" ht="23.25" customHeight="1">
      <c r="A27" s="21"/>
      <c r="B27" s="15"/>
      <c r="C27" s="16"/>
      <c r="D27" s="17"/>
      <c r="E27" s="17"/>
      <c r="F27" s="18">
        <v>12.18</v>
      </c>
      <c r="G27" s="19">
        <v>9.4499999999999993</v>
      </c>
      <c r="H27" s="18">
        <v>32</v>
      </c>
      <c r="I27" s="20">
        <v>3.6829999999999998</v>
      </c>
      <c r="J27" s="21"/>
      <c r="K27" s="93"/>
      <c r="L27" s="93"/>
      <c r="N27" s="18">
        <v>32</v>
      </c>
      <c r="O27" s="20">
        <v>3.6832319999999994</v>
      </c>
      <c r="P27" s="22">
        <f t="shared" si="0"/>
        <v>-2.3199999999956589E-4</v>
      </c>
    </row>
    <row r="28" spans="1:16" ht="23.25" customHeight="1">
      <c r="A28" s="21"/>
      <c r="B28" s="15"/>
      <c r="C28" s="16"/>
      <c r="D28" s="17"/>
      <c r="E28" s="17"/>
      <c r="F28" s="18"/>
      <c r="G28" s="19"/>
      <c r="H28" s="23">
        <f>SUM(H26:H27)</f>
        <v>108</v>
      </c>
      <c r="I28" s="24">
        <f>SUM(I26:I27)</f>
        <v>10.394</v>
      </c>
      <c r="J28" s="21"/>
      <c r="K28" s="94"/>
      <c r="L28" s="94"/>
      <c r="N28" s="23">
        <v>108</v>
      </c>
      <c r="O28" s="24">
        <v>10.394411999999999</v>
      </c>
      <c r="P28" s="22">
        <f t="shared" si="0"/>
        <v>-4.1199999999896875E-4</v>
      </c>
    </row>
    <row r="29" spans="1:16" ht="23.25" customHeight="1">
      <c r="A29" s="21"/>
      <c r="B29" s="15"/>
      <c r="C29" s="16"/>
      <c r="D29" s="17"/>
      <c r="E29" s="17"/>
      <c r="F29" s="18"/>
      <c r="G29" s="19"/>
      <c r="H29" s="85">
        <f t="shared" ref="H29:I29" si="3">SUM(H28,H25,H22,H19,H17,H14)</f>
        <v>353</v>
      </c>
      <c r="I29" s="24">
        <f t="shared" si="3"/>
        <v>32.231999999999999</v>
      </c>
      <c r="J29" s="21"/>
      <c r="K29" s="91"/>
      <c r="L29" s="91"/>
      <c r="N29" s="85">
        <v>353</v>
      </c>
      <c r="O29" s="24">
        <v>32.331040999999999</v>
      </c>
      <c r="P29" s="22">
        <f t="shared" si="0"/>
        <v>-9.9040999999999713E-2</v>
      </c>
    </row>
    <row r="30" spans="1:16" ht="23.25" customHeight="1">
      <c r="A30" s="21"/>
      <c r="B30" s="21"/>
      <c r="C30" s="21"/>
      <c r="D30" s="21"/>
      <c r="E30" s="21"/>
      <c r="F30" s="18"/>
      <c r="G30" s="19"/>
      <c r="H30" s="25"/>
      <c r="I30" s="26"/>
      <c r="J30" s="21"/>
      <c r="K30" s="21"/>
      <c r="L30" s="21"/>
      <c r="N30" s="25"/>
      <c r="O30" s="26"/>
      <c r="P30" s="22">
        <f t="shared" si="0"/>
        <v>0</v>
      </c>
    </row>
    <row r="31" spans="1:16" ht="23.25" customHeight="1">
      <c r="A31" s="78"/>
      <c r="B31" s="78"/>
      <c r="C31" s="78"/>
      <c r="D31" s="78"/>
      <c r="E31" s="32" t="s">
        <v>29</v>
      </c>
      <c r="F31" s="33"/>
      <c r="G31" s="26"/>
      <c r="H31" s="34">
        <f>+H29</f>
        <v>353</v>
      </c>
      <c r="I31" s="26">
        <f>+I29</f>
        <v>32.231999999999999</v>
      </c>
      <c r="J31" s="26"/>
      <c r="K31" s="26">
        <f>+K20+K13</f>
        <v>32.231999999999999</v>
      </c>
      <c r="L31" s="23"/>
      <c r="N31" s="34">
        <v>353</v>
      </c>
      <c r="O31" s="26">
        <v>32.331040999999999</v>
      </c>
      <c r="P31" s="22">
        <f t="shared" si="0"/>
        <v>-9.9040999999999713E-2</v>
      </c>
    </row>
    <row r="32" spans="1:16" ht="23.25">
      <c r="A32" s="36"/>
      <c r="B32" s="37" t="s">
        <v>30</v>
      </c>
      <c r="C32" s="38"/>
      <c r="D32" s="39" t="s">
        <v>31</v>
      </c>
      <c r="E32" s="40" t="s">
        <v>32</v>
      </c>
      <c r="F32" s="41"/>
      <c r="G32" s="42"/>
      <c r="H32" s="42"/>
      <c r="I32" s="43" t="s">
        <v>33</v>
      </c>
      <c r="J32" s="43"/>
      <c r="K32" s="44"/>
      <c r="L32" s="45"/>
      <c r="N32" s="22"/>
    </row>
    <row r="33" spans="1:12" ht="23.25">
      <c r="A33" s="46"/>
      <c r="B33" s="37"/>
      <c r="C33" s="47"/>
      <c r="D33" s="48"/>
      <c r="E33" s="48"/>
      <c r="F33" s="48" t="s">
        <v>34</v>
      </c>
      <c r="G33" s="48" t="s">
        <v>34</v>
      </c>
      <c r="H33" s="48"/>
      <c r="I33" s="48"/>
      <c r="J33" s="48"/>
      <c r="K33" s="48"/>
      <c r="L33" s="49"/>
    </row>
    <row r="34" spans="1:12" ht="23.25">
      <c r="A34" s="46"/>
      <c r="B34" s="37"/>
      <c r="C34" s="47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4" thickBot="1">
      <c r="A35" s="50"/>
      <c r="B35" s="51" t="s">
        <v>35</v>
      </c>
      <c r="C35" s="51"/>
      <c r="D35" s="51"/>
      <c r="E35" s="52" t="s">
        <v>36</v>
      </c>
      <c r="F35" s="53"/>
      <c r="G35" s="53"/>
      <c r="H35" s="54"/>
      <c r="I35" s="55" t="s">
        <v>37</v>
      </c>
      <c r="J35" s="55"/>
      <c r="K35" s="52"/>
      <c r="L35" s="56"/>
    </row>
    <row r="39" spans="1:12">
      <c r="H39" s="57"/>
      <c r="I39" s="22"/>
      <c r="J39" s="22"/>
    </row>
    <row r="40" spans="1:12">
      <c r="I40" s="22"/>
    </row>
    <row r="41" spans="1:12">
      <c r="H41" s="57"/>
    </row>
    <row r="44" spans="1:12" ht="22.5">
      <c r="I44" s="20">
        <f>F44*G44*H44/1000</f>
        <v>0</v>
      </c>
      <c r="J44" s="22"/>
      <c r="K44" s="22">
        <f>+I31+' 5644 04.01.24 BB'!I20+'5844  04.01.24 BB  '!I49+'3081  04.01.24 JAIPUR'!I68+'0509  04.01.24 JBP'!I36+'2189  04.01.24 JBP '!I20</f>
        <v>173.763632</v>
      </c>
    </row>
  </sheetData>
  <mergeCells count="7">
    <mergeCell ref="K13:K19"/>
    <mergeCell ref="L13:L19"/>
    <mergeCell ref="K20:K28"/>
    <mergeCell ref="L20:L28"/>
    <mergeCell ref="A1:L1"/>
    <mergeCell ref="A2:L2"/>
    <mergeCell ref="A4:L4"/>
  </mergeCells>
  <pageMargins left="0.24" right="0.2" top="0.44" bottom="0.35" header="0.3" footer="0.3"/>
  <pageSetup paperSize="9" scale="42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8"/>
  <sheetViews>
    <sheetView topLeftCell="A19" zoomScale="75" zoomScaleNormal="75" workbookViewId="0">
      <selection activeCell="K25" sqref="K25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227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207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81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95</v>
      </c>
      <c r="C13" s="16" t="s">
        <v>54</v>
      </c>
      <c r="D13" s="17" t="s">
        <v>69</v>
      </c>
      <c r="E13" s="17" t="s">
        <v>216</v>
      </c>
      <c r="F13" s="18">
        <v>6.38</v>
      </c>
      <c r="G13" s="19">
        <v>10</v>
      </c>
      <c r="H13" s="18">
        <v>89</v>
      </c>
      <c r="I13" s="20">
        <v>5.657</v>
      </c>
      <c r="J13" s="21"/>
      <c r="K13" s="92">
        <f>+I14</f>
        <v>5.657</v>
      </c>
      <c r="L13" s="92" t="s">
        <v>228</v>
      </c>
      <c r="N13" s="18">
        <v>93</v>
      </c>
      <c r="O13" s="20">
        <v>5.9329999999999998</v>
      </c>
      <c r="P13" s="22"/>
    </row>
    <row r="14" spans="1:16" ht="23.25" customHeight="1">
      <c r="A14" s="14"/>
      <c r="B14" s="15"/>
      <c r="C14" s="16"/>
      <c r="D14" s="17"/>
      <c r="E14" s="17"/>
      <c r="F14" s="18"/>
      <c r="G14" s="19"/>
      <c r="H14" s="23">
        <f>SUM(H13)</f>
        <v>89</v>
      </c>
      <c r="I14" s="24">
        <f>SUM(I13)</f>
        <v>5.657</v>
      </c>
      <c r="J14" s="21"/>
      <c r="K14" s="94"/>
      <c r="L14" s="94"/>
      <c r="N14" s="18"/>
      <c r="O14" s="20"/>
      <c r="P14" s="22"/>
    </row>
    <row r="15" spans="1:16" ht="23.25" customHeight="1">
      <c r="A15" s="14"/>
      <c r="B15" s="15"/>
      <c r="C15" s="16"/>
      <c r="D15" s="17"/>
      <c r="E15" s="17"/>
      <c r="F15" s="18">
        <v>6.38</v>
      </c>
      <c r="G15" s="19">
        <v>10</v>
      </c>
      <c r="H15" s="18">
        <f>93-89</f>
        <v>4</v>
      </c>
      <c r="I15" s="20">
        <f>5.933-5.657</f>
        <v>0.2759999999999998</v>
      </c>
      <c r="J15" s="21"/>
      <c r="K15" s="92">
        <f>+I18</f>
        <v>14.158999999999999</v>
      </c>
      <c r="L15" s="92" t="s">
        <v>229</v>
      </c>
      <c r="N15" s="18"/>
      <c r="O15" s="20"/>
      <c r="P15" s="22"/>
    </row>
    <row r="16" spans="1:16" ht="23.25" customHeight="1">
      <c r="A16" s="14"/>
      <c r="B16" s="15"/>
      <c r="C16" s="16"/>
      <c r="D16" s="17"/>
      <c r="E16" s="17"/>
      <c r="F16" s="18">
        <v>6.38</v>
      </c>
      <c r="G16" s="19">
        <v>10.5</v>
      </c>
      <c r="H16" s="18">
        <v>123</v>
      </c>
      <c r="I16" s="20">
        <v>8.24</v>
      </c>
      <c r="J16" s="21"/>
      <c r="K16" s="93"/>
      <c r="L16" s="93"/>
      <c r="N16" s="18">
        <v>123</v>
      </c>
      <c r="O16" s="20">
        <v>8.2397699999999983</v>
      </c>
      <c r="P16" s="22"/>
    </row>
    <row r="17" spans="1:16" ht="23.25" customHeight="1">
      <c r="A17" s="14"/>
      <c r="B17" s="15"/>
      <c r="C17" s="16"/>
      <c r="D17" s="17"/>
      <c r="E17" s="17"/>
      <c r="F17" s="18">
        <v>6.38</v>
      </c>
      <c r="G17" s="19">
        <v>11</v>
      </c>
      <c r="H17" s="18">
        <v>80</v>
      </c>
      <c r="I17" s="20">
        <v>5.6429999999999998</v>
      </c>
      <c r="J17" s="21"/>
      <c r="K17" s="93"/>
      <c r="L17" s="93"/>
      <c r="N17" s="18">
        <v>126</v>
      </c>
      <c r="O17" s="20">
        <v>8.8426799999999979</v>
      </c>
      <c r="P17" s="22"/>
    </row>
    <row r="18" spans="1:16" ht="23.25" customHeight="1">
      <c r="A18" s="14"/>
      <c r="B18" s="15"/>
      <c r="C18" s="16"/>
      <c r="D18" s="17"/>
      <c r="E18" s="17"/>
      <c r="F18" s="18"/>
      <c r="G18" s="19"/>
      <c r="H18" s="23">
        <f t="shared" ref="H18:I18" si="0">SUM(H15:H17)</f>
        <v>207</v>
      </c>
      <c r="I18" s="24">
        <f t="shared" si="0"/>
        <v>14.158999999999999</v>
      </c>
      <c r="J18" s="21"/>
      <c r="K18" s="94"/>
      <c r="L18" s="94"/>
      <c r="N18" s="18"/>
      <c r="O18" s="20"/>
      <c r="P18" s="22"/>
    </row>
    <row r="19" spans="1:16" ht="23.25" customHeight="1">
      <c r="A19" s="14"/>
      <c r="B19" s="15"/>
      <c r="C19" s="16"/>
      <c r="D19" s="17"/>
      <c r="E19" s="17"/>
      <c r="F19" s="18">
        <v>6.38</v>
      </c>
      <c r="G19" s="19">
        <v>11</v>
      </c>
      <c r="H19" s="18">
        <f>126-80</f>
        <v>46</v>
      </c>
      <c r="I19" s="20">
        <f>8.843-5.643</f>
        <v>3.2</v>
      </c>
      <c r="J19" s="21"/>
      <c r="K19" s="92">
        <f>+I22</f>
        <v>9.5390000000000015</v>
      </c>
      <c r="L19" s="92" t="s">
        <v>230</v>
      </c>
      <c r="N19" s="18"/>
      <c r="O19" s="20"/>
      <c r="P19" s="22"/>
    </row>
    <row r="20" spans="1:16" ht="23.25" customHeight="1">
      <c r="A20" s="14"/>
      <c r="B20" s="15"/>
      <c r="C20" s="16"/>
      <c r="D20" s="17"/>
      <c r="E20" s="17"/>
      <c r="F20" s="18">
        <v>6.38</v>
      </c>
      <c r="G20" s="19">
        <v>11.5</v>
      </c>
      <c r="H20" s="18">
        <v>29</v>
      </c>
      <c r="I20" s="20">
        <v>2.1280000000000001</v>
      </c>
      <c r="J20" s="21"/>
      <c r="K20" s="93"/>
      <c r="L20" s="93"/>
      <c r="N20" s="18">
        <v>29</v>
      </c>
      <c r="O20" s="20">
        <v>2.1277300000000001</v>
      </c>
      <c r="P20" s="22"/>
    </row>
    <row r="21" spans="1:16" ht="23.25" customHeight="1">
      <c r="A21" s="14"/>
      <c r="B21" s="15"/>
      <c r="C21" s="16"/>
      <c r="D21" s="17"/>
      <c r="E21" s="17"/>
      <c r="F21" s="18">
        <v>6.38</v>
      </c>
      <c r="G21" s="19">
        <v>12</v>
      </c>
      <c r="H21" s="18">
        <v>55</v>
      </c>
      <c r="I21" s="20">
        <v>4.2110000000000003</v>
      </c>
      <c r="J21" s="21"/>
      <c r="K21" s="93"/>
      <c r="L21" s="93"/>
      <c r="N21" s="18">
        <v>55</v>
      </c>
      <c r="O21" s="20">
        <v>4.2107999999999999</v>
      </c>
      <c r="P21" s="22"/>
    </row>
    <row r="22" spans="1:16" ht="23.25" customHeight="1">
      <c r="A22" s="14"/>
      <c r="B22" s="15"/>
      <c r="C22" s="16"/>
      <c r="D22" s="17"/>
      <c r="E22" s="17"/>
      <c r="F22" s="18"/>
      <c r="G22" s="19"/>
      <c r="H22" s="23">
        <f t="shared" ref="H22:I22" si="1">SUM(H19:H21)</f>
        <v>130</v>
      </c>
      <c r="I22" s="24">
        <f t="shared" si="1"/>
        <v>9.5390000000000015</v>
      </c>
      <c r="J22" s="21"/>
      <c r="K22" s="94"/>
      <c r="L22" s="94"/>
      <c r="N22" s="18"/>
      <c r="O22" s="20"/>
      <c r="P22" s="22"/>
    </row>
    <row r="23" spans="1:16" ht="23.25" customHeight="1">
      <c r="A23" s="14"/>
      <c r="B23" s="15"/>
      <c r="C23" s="16"/>
      <c r="D23" s="17"/>
      <c r="E23" s="17"/>
      <c r="F23" s="18"/>
      <c r="G23" s="19"/>
      <c r="H23" s="23">
        <f t="shared" ref="H23" si="2">SUM(H22,H18,H14)</f>
        <v>426</v>
      </c>
      <c r="I23" s="24">
        <f>SUM(I22,I18,I14)</f>
        <v>29.355</v>
      </c>
      <c r="J23" s="21"/>
      <c r="K23" s="62"/>
      <c r="L23" s="62"/>
      <c r="N23" s="23">
        <v>426</v>
      </c>
      <c r="O23" s="24">
        <v>29.354379999999995</v>
      </c>
      <c r="P23" s="22"/>
    </row>
    <row r="24" spans="1:16" ht="23.25" customHeight="1">
      <c r="A24" s="27"/>
      <c r="B24" s="28"/>
      <c r="C24" s="28"/>
      <c r="D24" s="28"/>
      <c r="E24" s="21"/>
      <c r="F24" s="18"/>
      <c r="G24" s="19"/>
      <c r="H24" s="25"/>
      <c r="I24" s="26"/>
      <c r="J24" s="21"/>
      <c r="K24" s="21"/>
      <c r="L24" s="21"/>
      <c r="N24" s="25"/>
      <c r="O24" s="26"/>
      <c r="P24" s="22">
        <f t="shared" ref="P24:P25" si="3">I24-O24</f>
        <v>0</v>
      </c>
    </row>
    <row r="25" spans="1:16" ht="23.25" customHeight="1" thickBot="1">
      <c r="A25" s="30"/>
      <c r="B25" s="31"/>
      <c r="C25" s="31"/>
      <c r="D25" s="31"/>
      <c r="E25" s="32" t="s">
        <v>29</v>
      </c>
      <c r="F25" s="33"/>
      <c r="G25" s="26"/>
      <c r="H25" s="34">
        <f>+H23</f>
        <v>426</v>
      </c>
      <c r="I25" s="26">
        <f>+I23</f>
        <v>29.355</v>
      </c>
      <c r="J25" s="26"/>
      <c r="K25" s="26">
        <f>+K19+K15+K13</f>
        <v>29.355</v>
      </c>
      <c r="L25" s="23"/>
      <c r="N25" s="34">
        <v>426</v>
      </c>
      <c r="O25" s="26">
        <v>29.354379999999995</v>
      </c>
      <c r="P25" s="22">
        <f t="shared" si="3"/>
        <v>6.2000000000494992E-4</v>
      </c>
    </row>
    <row r="26" spans="1:16" ht="23.25">
      <c r="A26" s="36"/>
      <c r="B26" s="37" t="s">
        <v>30</v>
      </c>
      <c r="C26" s="38"/>
      <c r="D26" s="39" t="s">
        <v>31</v>
      </c>
      <c r="E26" s="40" t="s">
        <v>32</v>
      </c>
      <c r="F26" s="41"/>
      <c r="G26" s="42"/>
      <c r="H26" s="42"/>
      <c r="I26" s="43" t="s">
        <v>33</v>
      </c>
      <c r="J26" s="43"/>
      <c r="K26" s="44"/>
      <c r="L26" s="45"/>
      <c r="N26" s="22"/>
    </row>
    <row r="27" spans="1:16" ht="23.25">
      <c r="A27" s="46"/>
      <c r="B27" s="37"/>
      <c r="C27" s="47"/>
      <c r="D27" s="48"/>
      <c r="E27" s="48"/>
      <c r="F27" s="48" t="s">
        <v>34</v>
      </c>
      <c r="G27" s="48" t="s">
        <v>34</v>
      </c>
      <c r="H27" s="48"/>
      <c r="I27" s="48"/>
      <c r="J27" s="48"/>
      <c r="K27" s="48"/>
      <c r="L27" s="49"/>
    </row>
    <row r="28" spans="1:16" ht="23.25">
      <c r="A28" s="46"/>
      <c r="B28" s="37"/>
      <c r="C28" s="47"/>
      <c r="D28" s="48"/>
      <c r="E28" s="48"/>
      <c r="F28" s="48"/>
      <c r="G28" s="48"/>
      <c r="H28" s="48"/>
      <c r="I28" s="48"/>
      <c r="J28" s="48"/>
      <c r="K28" s="48"/>
      <c r="L28" s="49"/>
    </row>
    <row r="29" spans="1:16" ht="24" thickBot="1">
      <c r="A29" s="50"/>
      <c r="B29" s="51" t="s">
        <v>35</v>
      </c>
      <c r="C29" s="51"/>
      <c r="D29" s="51"/>
      <c r="E29" s="52" t="s">
        <v>36</v>
      </c>
      <c r="F29" s="53"/>
      <c r="G29" s="53"/>
      <c r="H29" s="54"/>
      <c r="I29" s="55" t="s">
        <v>37</v>
      </c>
      <c r="J29" s="55"/>
      <c r="K29" s="52"/>
      <c r="L29" s="56"/>
    </row>
    <row r="33" spans="8:11">
      <c r="H33" s="57"/>
      <c r="I33" s="22"/>
      <c r="J33" s="22"/>
    </row>
    <row r="34" spans="8:11">
      <c r="I34" s="22"/>
    </row>
    <row r="35" spans="8:11">
      <c r="H35" s="57"/>
    </row>
    <row r="38" spans="8:11" ht="22.5">
      <c r="I38" s="20">
        <f>F38*G38*H38/1000</f>
        <v>0</v>
      </c>
      <c r="J38" s="22">
        <f>+I25+'0403  03.01.24 JBP '!I32+'5844  03.01.24 BUB'!I26+'4944  03.01.24 BUB '!I30+'7423  03.01.24 JBP'!I32</f>
        <v>159.69094999999999</v>
      </c>
      <c r="K38" s="22">
        <f>+'7423  03.01.24 JBP'!I32+'4944  03.01.24 BUB '!I30+'5844  03.01.24 BUB'!I26+'0403  03.01.24 JBP '!I32+' 4944 05.01.24 BB '!I25</f>
        <v>159.69094999999999</v>
      </c>
    </row>
  </sheetData>
  <mergeCells count="9">
    <mergeCell ref="K15:K18"/>
    <mergeCell ref="L15:L18"/>
    <mergeCell ref="K19:K22"/>
    <mergeCell ref="L19:L22"/>
    <mergeCell ref="A1:L1"/>
    <mergeCell ref="A2:L2"/>
    <mergeCell ref="A4:L4"/>
    <mergeCell ref="K13:K14"/>
    <mergeCell ref="L13:L14"/>
  </mergeCells>
  <pageMargins left="0.24" right="0.2" top="0.44" bottom="0.35" header="0.3" footer="0.3"/>
  <pageSetup paperSize="9" scale="42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4"/>
  <sheetViews>
    <sheetView topLeftCell="A10" zoomScale="75" zoomScaleNormal="75" workbookViewId="0">
      <selection activeCell="K21" sqref="K21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231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207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130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79</v>
      </c>
      <c r="C13" s="16" t="s">
        <v>54</v>
      </c>
      <c r="D13" s="17" t="s">
        <v>69</v>
      </c>
      <c r="E13" s="17" t="s">
        <v>80</v>
      </c>
      <c r="F13" s="18">
        <v>27.3</v>
      </c>
      <c r="G13" s="19">
        <v>12.75</v>
      </c>
      <c r="H13" s="18">
        <v>57</v>
      </c>
      <c r="I13" s="20">
        <v>20.067</v>
      </c>
      <c r="J13" s="21"/>
      <c r="K13" s="92">
        <f>+I14</f>
        <v>20.067</v>
      </c>
      <c r="L13" s="92" t="s">
        <v>232</v>
      </c>
      <c r="N13" s="18">
        <v>53</v>
      </c>
      <c r="O13" s="20">
        <v>18.447975</v>
      </c>
      <c r="P13" s="22"/>
    </row>
    <row r="14" spans="1:16" ht="23.25" customHeight="1">
      <c r="A14" s="14"/>
      <c r="B14" s="15"/>
      <c r="C14" s="16"/>
      <c r="D14" s="17"/>
      <c r="E14" s="17"/>
      <c r="F14" s="18"/>
      <c r="G14" s="19"/>
      <c r="H14" s="23">
        <f>SUM(H13:H13)</f>
        <v>57</v>
      </c>
      <c r="I14" s="24">
        <f>SUM(I13:I13)</f>
        <v>20.067</v>
      </c>
      <c r="J14" s="21"/>
      <c r="K14" s="94"/>
      <c r="L14" s="94"/>
      <c r="N14" s="23">
        <v>98</v>
      </c>
      <c r="O14" s="24">
        <v>33.374250000000004</v>
      </c>
      <c r="P14" s="22"/>
    </row>
    <row r="15" spans="1:16" ht="23.25" customHeight="1">
      <c r="A15" s="27"/>
      <c r="B15" s="58"/>
      <c r="C15" s="59"/>
      <c r="D15" s="60"/>
      <c r="E15" s="17"/>
      <c r="F15" s="18">
        <v>27.3</v>
      </c>
      <c r="G15" s="19">
        <v>12.75</v>
      </c>
      <c r="H15" s="18">
        <f>94-57</f>
        <v>37</v>
      </c>
      <c r="I15" s="20">
        <f>32.719-20.067</f>
        <v>12.652000000000001</v>
      </c>
      <c r="J15" s="21"/>
      <c r="K15" s="92">
        <f>+I16</f>
        <v>12.652000000000001</v>
      </c>
      <c r="L15" s="92" t="s">
        <v>233</v>
      </c>
      <c r="N15" s="23"/>
      <c r="O15" s="24"/>
      <c r="P15" s="22"/>
    </row>
    <row r="16" spans="1:16" ht="23.25" customHeight="1">
      <c r="A16" s="27"/>
      <c r="B16" s="58"/>
      <c r="C16" s="59"/>
      <c r="D16" s="60"/>
      <c r="E16" s="17"/>
      <c r="F16" s="18"/>
      <c r="G16" s="19"/>
      <c r="H16" s="23">
        <f>SUM(H15:H15)</f>
        <v>37</v>
      </c>
      <c r="I16" s="24">
        <f>SUM(I15:I15)</f>
        <v>12.652000000000001</v>
      </c>
      <c r="J16" s="21"/>
      <c r="K16" s="94"/>
      <c r="L16" s="94"/>
      <c r="N16" s="23"/>
      <c r="O16" s="24"/>
      <c r="P16" s="22"/>
    </row>
    <row r="17" spans="1:16" ht="23.25" customHeight="1">
      <c r="A17" s="27"/>
      <c r="B17" s="58"/>
      <c r="C17" s="59"/>
      <c r="D17" s="60"/>
      <c r="E17" s="17"/>
      <c r="F17" s="18"/>
      <c r="G17" s="19"/>
      <c r="H17" s="23">
        <f t="shared" ref="H17:I17" si="0">SUM(H16,H14)</f>
        <v>94</v>
      </c>
      <c r="I17" s="24">
        <f t="shared" si="0"/>
        <v>32.719000000000001</v>
      </c>
      <c r="J17" s="21"/>
      <c r="K17" s="62"/>
      <c r="L17" s="62"/>
      <c r="N17" s="23"/>
      <c r="O17" s="24"/>
      <c r="P17" s="22"/>
    </row>
    <row r="18" spans="1:16" ht="23.25" customHeight="1">
      <c r="A18" s="27"/>
      <c r="B18" s="58"/>
      <c r="C18" s="59"/>
      <c r="D18" s="60"/>
      <c r="E18" s="17"/>
      <c r="F18" s="18"/>
      <c r="G18" s="19"/>
      <c r="H18" s="23"/>
      <c r="I18" s="24"/>
      <c r="J18" s="21"/>
      <c r="K18" s="62"/>
      <c r="L18" s="62"/>
      <c r="N18" s="23"/>
      <c r="O18" s="24"/>
      <c r="P18" s="22"/>
    </row>
    <row r="19" spans="1:16" ht="23.25" customHeight="1">
      <c r="A19" s="27"/>
      <c r="B19" s="58"/>
      <c r="C19" s="59"/>
      <c r="D19" s="60"/>
      <c r="E19" s="17"/>
      <c r="F19" s="18"/>
      <c r="G19" s="19"/>
      <c r="H19" s="23"/>
      <c r="I19" s="24"/>
      <c r="J19" s="21"/>
      <c r="K19" s="62"/>
      <c r="L19" s="62"/>
      <c r="N19" s="23"/>
      <c r="O19" s="24"/>
      <c r="P19" s="22"/>
    </row>
    <row r="20" spans="1:16" ht="23.25" customHeight="1">
      <c r="A20" s="27"/>
      <c r="B20" s="28"/>
      <c r="C20" s="28"/>
      <c r="D20" s="28"/>
      <c r="E20" s="21"/>
      <c r="F20" s="18"/>
      <c r="G20" s="19"/>
      <c r="H20" s="25"/>
      <c r="I20" s="26"/>
      <c r="J20" s="21"/>
      <c r="K20" s="21"/>
      <c r="L20" s="21"/>
      <c r="N20" s="25"/>
      <c r="O20" s="26"/>
      <c r="P20" s="22">
        <f t="shared" ref="P20:P21" si="1">I20-O20</f>
        <v>0</v>
      </c>
    </row>
    <row r="21" spans="1:16" ht="23.25" customHeight="1" thickBot="1">
      <c r="A21" s="30"/>
      <c r="B21" s="31"/>
      <c r="C21" s="31"/>
      <c r="D21" s="31"/>
      <c r="E21" s="32" t="s">
        <v>29</v>
      </c>
      <c r="F21" s="33"/>
      <c r="G21" s="26"/>
      <c r="H21" s="34">
        <f>+H17</f>
        <v>94</v>
      </c>
      <c r="I21" s="26">
        <f>+I17</f>
        <v>32.719000000000001</v>
      </c>
      <c r="J21" s="26"/>
      <c r="K21" s="26">
        <f>+K15+K13</f>
        <v>32.719000000000001</v>
      </c>
      <c r="L21" s="23"/>
      <c r="N21" s="34">
        <v>297</v>
      </c>
      <c r="O21" s="26">
        <v>32.700846999999996</v>
      </c>
      <c r="P21" s="22">
        <f t="shared" si="1"/>
        <v>1.8153000000005193E-2</v>
      </c>
    </row>
    <row r="22" spans="1:16" ht="23.25">
      <c r="A22" s="36"/>
      <c r="B22" s="37" t="s">
        <v>30</v>
      </c>
      <c r="C22" s="38"/>
      <c r="D22" s="39" t="s">
        <v>31</v>
      </c>
      <c r="E22" s="40" t="s">
        <v>32</v>
      </c>
      <c r="F22" s="41"/>
      <c r="G22" s="42"/>
      <c r="H22" s="42"/>
      <c r="I22" s="43" t="s">
        <v>33</v>
      </c>
      <c r="J22" s="43"/>
      <c r="K22" s="44"/>
      <c r="L22" s="45"/>
      <c r="N22" s="22"/>
    </row>
    <row r="23" spans="1:16" ht="23.25">
      <c r="A23" s="46"/>
      <c r="B23" s="37"/>
      <c r="C23" s="47"/>
      <c r="D23" s="48"/>
      <c r="E23" s="48"/>
      <c r="F23" s="48" t="s">
        <v>34</v>
      </c>
      <c r="G23" s="48" t="s">
        <v>34</v>
      </c>
      <c r="H23" s="48"/>
      <c r="I23" s="48"/>
      <c r="J23" s="48"/>
      <c r="K23" s="48"/>
      <c r="L23" s="49"/>
    </row>
    <row r="24" spans="1:16" ht="23.25">
      <c r="A24" s="46"/>
      <c r="B24" s="37"/>
      <c r="C24" s="47"/>
      <c r="D24" s="48"/>
      <c r="E24" s="48"/>
      <c r="F24" s="48"/>
      <c r="G24" s="48"/>
      <c r="H24" s="48"/>
      <c r="I24" s="48"/>
      <c r="J24" s="48"/>
      <c r="K24" s="48"/>
      <c r="L24" s="49"/>
    </row>
    <row r="25" spans="1:16" ht="24" thickBot="1">
      <c r="A25" s="50"/>
      <c r="B25" s="51" t="s">
        <v>35</v>
      </c>
      <c r="C25" s="51"/>
      <c r="D25" s="51"/>
      <c r="E25" s="52" t="s">
        <v>36</v>
      </c>
      <c r="F25" s="53"/>
      <c r="G25" s="53"/>
      <c r="H25" s="54"/>
      <c r="I25" s="55" t="s">
        <v>37</v>
      </c>
      <c r="J25" s="55"/>
      <c r="K25" s="52"/>
      <c r="L25" s="56"/>
    </row>
    <row r="29" spans="1:16">
      <c r="H29" s="57"/>
      <c r="I29" s="22"/>
      <c r="J29" s="22"/>
    </row>
    <row r="30" spans="1:16">
      <c r="I30" s="22"/>
    </row>
    <row r="31" spans="1:16">
      <c r="H31" s="57"/>
    </row>
    <row r="34" spans="9:11" ht="22.5">
      <c r="I34" s="20">
        <f>F34*G34*H34/1000</f>
        <v>0</v>
      </c>
      <c r="J34" s="22">
        <f>+I21+'0403  03.01.24 JBP '!I32+'5844  03.01.24 BUB'!I26+'4944  03.01.24 BUB '!I30+'7423  03.01.24 JBP'!I32</f>
        <v>163.05494999999999</v>
      </c>
      <c r="K34" s="22">
        <f>+'7423  03.01.24 JBP'!I32+'4944  03.01.24 BUB '!I30+'5844  03.01.24 BUB'!I26+'0403  03.01.24 JBP '!I32+' 5844 05.01.24 BB '!I21</f>
        <v>163.05494999999999</v>
      </c>
    </row>
  </sheetData>
  <mergeCells count="7">
    <mergeCell ref="K15:K16"/>
    <mergeCell ref="L15:L16"/>
    <mergeCell ref="A1:L1"/>
    <mergeCell ref="A2:L2"/>
    <mergeCell ref="A4:L4"/>
    <mergeCell ref="K13:K14"/>
    <mergeCell ref="L13:L14"/>
  </mergeCells>
  <pageMargins left="0.24" right="0.2" top="0.44" bottom="0.35" header="0.3" footer="0.3"/>
  <pageSetup paperSize="9" scale="42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2"/>
  <sheetViews>
    <sheetView topLeftCell="A13" zoomScale="75" zoomScaleNormal="75" workbookViewId="0">
      <selection activeCell="D30" sqref="D30"/>
    </sheetView>
  </sheetViews>
  <sheetFormatPr defaultRowHeight="15"/>
  <cols>
    <col min="1" max="1" width="12.42578125" customWidth="1"/>
    <col min="2" max="2" width="21.42578125" bestFit="1" customWidth="1"/>
    <col min="3" max="3" width="21.42578125" customWidth="1"/>
    <col min="4" max="4" width="24.140625" customWidth="1"/>
    <col min="5" max="5" width="41.140625" customWidth="1"/>
    <col min="6" max="6" width="13.28515625" customWidth="1"/>
    <col min="7" max="7" width="13.85546875" customWidth="1"/>
    <col min="8" max="8" width="14.7109375" customWidth="1"/>
    <col min="9" max="9" width="18.5703125" bestFit="1" customWidth="1"/>
    <col min="10" max="10" width="15.7109375" bestFit="1" customWidth="1"/>
    <col min="11" max="11" width="17" customWidth="1"/>
    <col min="12" max="12" width="18.28515625" bestFit="1" customWidth="1"/>
    <col min="14" max="14" width="14.28515625" customWidth="1"/>
    <col min="15" max="15" width="11.140625" bestFit="1" customWidth="1"/>
  </cols>
  <sheetData>
    <row r="1" spans="1:16" ht="25.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1:16" ht="2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</row>
    <row r="3" spans="1:16" ht="23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 t="s">
        <v>2</v>
      </c>
      <c r="L3" s="4"/>
    </row>
    <row r="4" spans="1:16" ht="22.5">
      <c r="A4" s="101" t="s">
        <v>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6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6" ht="23.25" customHeight="1">
      <c r="A6" s="5"/>
      <c r="B6" s="6"/>
      <c r="C6" s="6"/>
      <c r="D6" s="7" t="s">
        <v>236</v>
      </c>
      <c r="E6" s="6"/>
      <c r="F6" s="6"/>
      <c r="G6" s="6"/>
      <c r="H6" s="6"/>
      <c r="I6" s="6"/>
      <c r="J6" s="6"/>
      <c r="K6" s="6"/>
      <c r="L6" s="8"/>
      <c r="M6" s="9"/>
      <c r="N6" s="9"/>
    </row>
    <row r="7" spans="1:16" ht="23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</row>
    <row r="8" spans="1:16" ht="23.25" customHeight="1">
      <c r="A8" s="5"/>
      <c r="B8" s="10" t="s">
        <v>4</v>
      </c>
      <c r="C8" s="10" t="s">
        <v>67</v>
      </c>
      <c r="D8" s="10"/>
      <c r="E8" s="10"/>
      <c r="F8" s="6"/>
      <c r="G8" s="6"/>
      <c r="H8" s="6"/>
      <c r="I8" s="6"/>
      <c r="J8" s="6" t="s">
        <v>6</v>
      </c>
      <c r="K8" s="6" t="s">
        <v>207</v>
      </c>
      <c r="L8" s="8"/>
      <c r="M8" s="9"/>
      <c r="N8" s="9"/>
    </row>
    <row r="9" spans="1:16" ht="23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</row>
    <row r="10" spans="1:16" ht="23.25" customHeight="1">
      <c r="A10" s="5"/>
      <c r="B10" s="10" t="s">
        <v>4</v>
      </c>
      <c r="C10" s="10" t="s">
        <v>67</v>
      </c>
      <c r="D10" s="10"/>
      <c r="E10" s="10"/>
      <c r="F10" s="6"/>
      <c r="G10" s="6"/>
      <c r="H10" s="6"/>
      <c r="I10" s="6"/>
      <c r="J10" s="6" t="s">
        <v>7</v>
      </c>
      <c r="K10" s="6" t="s">
        <v>225</v>
      </c>
      <c r="L10" s="8"/>
      <c r="M10" s="9"/>
      <c r="N10" s="9"/>
    </row>
    <row r="11" spans="1:16" ht="23.2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</row>
    <row r="12" spans="1:16" ht="4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2" t="s">
        <v>18</v>
      </c>
      <c r="L12" s="13" t="s">
        <v>19</v>
      </c>
      <c r="M12" s="9"/>
      <c r="N12" s="9"/>
    </row>
    <row r="13" spans="1:16" ht="23.25" customHeight="1">
      <c r="A13" s="14">
        <v>1</v>
      </c>
      <c r="B13" s="15" t="s">
        <v>132</v>
      </c>
      <c r="C13" s="16" t="s">
        <v>54</v>
      </c>
      <c r="D13" s="17" t="s">
        <v>133</v>
      </c>
      <c r="E13" s="17" t="s">
        <v>226</v>
      </c>
      <c r="F13" s="18">
        <v>13.4</v>
      </c>
      <c r="G13" s="19">
        <v>10.9</v>
      </c>
      <c r="H13" s="18">
        <v>170</v>
      </c>
      <c r="I13" s="20">
        <v>24.884</v>
      </c>
      <c r="J13" s="21"/>
      <c r="K13" s="92">
        <f>+I14</f>
        <v>24.884</v>
      </c>
      <c r="L13" s="92" t="s">
        <v>234</v>
      </c>
      <c r="N13" s="18">
        <v>53</v>
      </c>
      <c r="O13" s="20">
        <v>18.447975</v>
      </c>
      <c r="P13" s="22"/>
    </row>
    <row r="14" spans="1:16" ht="23.25" customHeight="1">
      <c r="A14" s="14"/>
      <c r="B14" s="15"/>
      <c r="C14" s="16"/>
      <c r="D14" s="17"/>
      <c r="E14" s="17"/>
      <c r="F14" s="18"/>
      <c r="G14" s="19"/>
      <c r="H14" s="23">
        <f>SUM(H13:H13)</f>
        <v>170</v>
      </c>
      <c r="I14" s="24">
        <f>SUM(I13:I13)</f>
        <v>24.884</v>
      </c>
      <c r="J14" s="21"/>
      <c r="K14" s="94"/>
      <c r="L14" s="94"/>
      <c r="N14" s="23">
        <v>98</v>
      </c>
      <c r="O14" s="24">
        <v>33.374250000000004</v>
      </c>
      <c r="P14" s="22"/>
    </row>
    <row r="15" spans="1:16" ht="23.25" customHeight="1">
      <c r="A15" s="27"/>
      <c r="B15" s="58"/>
      <c r="C15" s="59"/>
      <c r="D15" s="60"/>
      <c r="E15" s="17"/>
      <c r="F15" s="18">
        <v>13.4</v>
      </c>
      <c r="G15" s="19">
        <v>10.9</v>
      </c>
      <c r="H15" s="18">
        <f>223-170</f>
        <v>53</v>
      </c>
      <c r="I15" s="20">
        <f>32.571-24.884</f>
        <v>7.6869999999999976</v>
      </c>
      <c r="J15" s="21"/>
      <c r="K15" s="92">
        <f>+I16</f>
        <v>7.6869999999999976</v>
      </c>
      <c r="L15" s="92" t="s">
        <v>235</v>
      </c>
      <c r="N15" s="23"/>
      <c r="O15" s="24"/>
      <c r="P15" s="22"/>
    </row>
    <row r="16" spans="1:16" ht="23.25" customHeight="1">
      <c r="A16" s="27"/>
      <c r="B16" s="58"/>
      <c r="C16" s="59"/>
      <c r="D16" s="60"/>
      <c r="E16" s="17"/>
      <c r="F16" s="18"/>
      <c r="G16" s="19"/>
      <c r="H16" s="23">
        <f>SUM(H15:H15)</f>
        <v>53</v>
      </c>
      <c r="I16" s="24">
        <f>SUM(I15:I15)</f>
        <v>7.6869999999999976</v>
      </c>
      <c r="J16" s="21"/>
      <c r="K16" s="94"/>
      <c r="L16" s="94"/>
      <c r="N16" s="23"/>
      <c r="O16" s="24"/>
      <c r="P16" s="22"/>
    </row>
    <row r="17" spans="1:16" ht="23.25" customHeight="1">
      <c r="A17" s="27"/>
      <c r="B17" s="58"/>
      <c r="C17" s="59"/>
      <c r="D17" s="60"/>
      <c r="E17" s="17"/>
      <c r="F17" s="18"/>
      <c r="G17" s="19"/>
      <c r="H17" s="23">
        <f>SUM(H16,H14)</f>
        <v>223</v>
      </c>
      <c r="I17" s="24">
        <f>SUM(I16,I14)</f>
        <v>32.570999999999998</v>
      </c>
      <c r="J17" s="21"/>
      <c r="K17" s="62"/>
      <c r="L17" s="62"/>
      <c r="N17" s="23"/>
      <c r="O17" s="24"/>
      <c r="P17" s="22"/>
    </row>
    <row r="18" spans="1:16" ht="23.25" customHeight="1">
      <c r="A18" s="27"/>
      <c r="B18" s="28"/>
      <c r="C18" s="28"/>
      <c r="D18" s="28"/>
      <c r="E18" s="21"/>
      <c r="F18" s="18"/>
      <c r="G18" s="19"/>
      <c r="H18" s="25"/>
      <c r="I18" s="26"/>
      <c r="J18" s="21"/>
      <c r="K18" s="21"/>
      <c r="L18" s="21"/>
      <c r="N18" s="25"/>
      <c r="O18" s="26"/>
      <c r="P18" s="22">
        <f t="shared" ref="P18:P19" si="0">I18-O18</f>
        <v>0</v>
      </c>
    </row>
    <row r="19" spans="1:16" ht="23.25" customHeight="1" thickBot="1">
      <c r="A19" s="30"/>
      <c r="B19" s="31"/>
      <c r="C19" s="31"/>
      <c r="D19" s="31"/>
      <c r="E19" s="32" t="s">
        <v>29</v>
      </c>
      <c r="F19" s="33"/>
      <c r="G19" s="26"/>
      <c r="H19" s="34">
        <f>+H17</f>
        <v>223</v>
      </c>
      <c r="I19" s="26">
        <f>+I17</f>
        <v>32.570999999999998</v>
      </c>
      <c r="J19" s="26"/>
      <c r="K19" s="26">
        <f>+K15+K13</f>
        <v>32.570999999999998</v>
      </c>
      <c r="L19" s="23"/>
      <c r="N19" s="34">
        <v>297</v>
      </c>
      <c r="O19" s="26">
        <v>32.700846999999996</v>
      </c>
      <c r="P19" s="22">
        <f t="shared" si="0"/>
        <v>-0.12984699999999805</v>
      </c>
    </row>
    <row r="20" spans="1:16" ht="23.25">
      <c r="A20" s="36"/>
      <c r="B20" s="37" t="s">
        <v>30</v>
      </c>
      <c r="C20" s="38"/>
      <c r="D20" s="39" t="s">
        <v>31</v>
      </c>
      <c r="E20" s="40" t="s">
        <v>32</v>
      </c>
      <c r="F20" s="41"/>
      <c r="G20" s="42"/>
      <c r="H20" s="42"/>
      <c r="I20" s="43" t="s">
        <v>33</v>
      </c>
      <c r="J20" s="43"/>
      <c r="K20" s="44"/>
      <c r="L20" s="45"/>
      <c r="N20" s="22"/>
    </row>
    <row r="21" spans="1:16" ht="23.25">
      <c r="A21" s="46"/>
      <c r="B21" s="37"/>
      <c r="C21" s="47"/>
      <c r="D21" s="48"/>
      <c r="E21" s="48"/>
      <c r="F21" s="48" t="s">
        <v>34</v>
      </c>
      <c r="G21" s="48" t="s">
        <v>34</v>
      </c>
      <c r="H21" s="48"/>
      <c r="I21" s="48"/>
      <c r="J21" s="48"/>
      <c r="K21" s="48"/>
      <c r="L21" s="49"/>
    </row>
    <row r="22" spans="1:16" ht="23.25">
      <c r="A22" s="46"/>
      <c r="B22" s="37"/>
      <c r="C22" s="47"/>
      <c r="D22" s="48"/>
      <c r="E22" s="48"/>
      <c r="F22" s="48"/>
      <c r="G22" s="48"/>
      <c r="H22" s="48"/>
      <c r="I22" s="48"/>
      <c r="J22" s="48"/>
      <c r="K22" s="48"/>
      <c r="L22" s="49"/>
    </row>
    <row r="23" spans="1:16" ht="24" thickBot="1">
      <c r="A23" s="50"/>
      <c r="B23" s="51" t="s">
        <v>35</v>
      </c>
      <c r="C23" s="51"/>
      <c r="D23" s="51"/>
      <c r="E23" s="52" t="s">
        <v>36</v>
      </c>
      <c r="F23" s="53"/>
      <c r="G23" s="53"/>
      <c r="H23" s="54"/>
      <c r="I23" s="55" t="s">
        <v>37</v>
      </c>
      <c r="J23" s="55"/>
      <c r="K23" s="52"/>
      <c r="L23" s="56"/>
    </row>
    <row r="27" spans="1:16">
      <c r="H27" s="57"/>
      <c r="I27" s="22"/>
      <c r="J27" s="22"/>
    </row>
    <row r="28" spans="1:16">
      <c r="I28" s="22"/>
    </row>
    <row r="29" spans="1:16">
      <c r="H29" s="57"/>
    </row>
    <row r="32" spans="1:16" ht="22.5">
      <c r="I32" s="20">
        <f>F32*G32*H32/1000</f>
        <v>0</v>
      </c>
      <c r="J32" s="22">
        <f>+'6074  05.01.24 JBP'!I36+' 4044 05.01.24 BB'!I44+'4183  05.01.24 JBP'!I31+' 4944 05.01.24 BB '!I25+' 5844 05.01.24 BB '!I21+' 1844 05.01.24 BB'!I19</f>
        <v>190.86600000000001</v>
      </c>
      <c r="K32" s="22">
        <f>+I19+' 5844 05.01.24 BB '!I21+' 4944 05.01.24 BB '!I25+'4183  05.01.24 JBP'!I31+' 4044 05.01.24 BB'!I44+'6074  05.01.24 JBP'!I36</f>
        <v>190.86599999999999</v>
      </c>
    </row>
  </sheetData>
  <mergeCells count="7">
    <mergeCell ref="K15:K16"/>
    <mergeCell ref="L15:L16"/>
    <mergeCell ref="A1:L1"/>
    <mergeCell ref="A2:L2"/>
    <mergeCell ref="A4:L4"/>
    <mergeCell ref="K13:K14"/>
    <mergeCell ref="L13:L14"/>
  </mergeCells>
  <pageMargins left="0.24" right="0.2" top="0.44" bottom="0.35" header="0.3" footer="0.3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26</vt:i4>
      </vt:variant>
    </vt:vector>
  </HeadingPairs>
  <TitlesOfParts>
    <vt:vector size="52" baseType="lpstr">
      <vt:lpstr>3048 01.01.24 JBP</vt:lpstr>
      <vt:lpstr>0308 01.01.24 JBP</vt:lpstr>
      <vt:lpstr>0310 01.01.24 JBP </vt:lpstr>
      <vt:lpstr> 0508 02.01.24 JBP </vt:lpstr>
      <vt:lpstr>4944 02.01.24 BUB</vt:lpstr>
      <vt:lpstr> 0311 02.01.24 JBP </vt:lpstr>
      <vt:lpstr>3944  02.01.24 BUB</vt:lpstr>
      <vt:lpstr>0398  02.01.24 JBP </vt:lpstr>
      <vt:lpstr>0502  02.01.24 JBP</vt:lpstr>
      <vt:lpstr>7423  03.01.24 JBP</vt:lpstr>
      <vt:lpstr>4944  03.01.24 BUB </vt:lpstr>
      <vt:lpstr>0403  03.01.24 JBP </vt:lpstr>
      <vt:lpstr>3044  03.01.24 BB </vt:lpstr>
      <vt:lpstr>5844  03.01.24 BUB</vt:lpstr>
      <vt:lpstr>2189  04.01.24 JBP </vt:lpstr>
      <vt:lpstr>0509  04.01.24 JBP</vt:lpstr>
      <vt:lpstr>3081  04.01.24 JAIPUR</vt:lpstr>
      <vt:lpstr>5844  04.01.24 BB  </vt:lpstr>
      <vt:lpstr> 5644 04.01.24 BB</vt:lpstr>
      <vt:lpstr>6003  04.01.24 JBP</vt:lpstr>
      <vt:lpstr>6074  05.01.24 JBP</vt:lpstr>
      <vt:lpstr> 4044 05.01.24 BB</vt:lpstr>
      <vt:lpstr>4183  05.01.24 JBP</vt:lpstr>
      <vt:lpstr> 4944 05.01.24 BB </vt:lpstr>
      <vt:lpstr> 5844 05.01.24 BB </vt:lpstr>
      <vt:lpstr> 1844 05.01.24 BB</vt:lpstr>
      <vt:lpstr>' 0311 02.01.24 JBP '!Print_Area</vt:lpstr>
      <vt:lpstr>' 0508 02.01.24 JBP '!Print_Area</vt:lpstr>
      <vt:lpstr>' 1844 05.01.24 BB'!Print_Area</vt:lpstr>
      <vt:lpstr>' 4044 05.01.24 BB'!Print_Area</vt:lpstr>
      <vt:lpstr>' 4944 05.01.24 BB '!Print_Area</vt:lpstr>
      <vt:lpstr>' 5644 04.01.24 BB'!Print_Area</vt:lpstr>
      <vt:lpstr>' 5844 05.01.24 BB '!Print_Area</vt:lpstr>
      <vt:lpstr>'0308 01.01.24 JBP'!Print_Area</vt:lpstr>
      <vt:lpstr>'0310 01.01.24 JBP '!Print_Area</vt:lpstr>
      <vt:lpstr>'0398  02.01.24 JBP '!Print_Area</vt:lpstr>
      <vt:lpstr>'0403  03.01.24 JBP '!Print_Area</vt:lpstr>
      <vt:lpstr>'0502  02.01.24 JBP'!Print_Area</vt:lpstr>
      <vt:lpstr>'0509  04.01.24 JBP'!Print_Area</vt:lpstr>
      <vt:lpstr>'2189  04.01.24 JBP '!Print_Area</vt:lpstr>
      <vt:lpstr>'3044  03.01.24 BB '!Print_Area</vt:lpstr>
      <vt:lpstr>'3048 01.01.24 JBP'!Print_Area</vt:lpstr>
      <vt:lpstr>'3081  04.01.24 JAIPUR'!Print_Area</vt:lpstr>
      <vt:lpstr>'3944  02.01.24 BUB'!Print_Area</vt:lpstr>
      <vt:lpstr>'4183  05.01.24 JBP'!Print_Area</vt:lpstr>
      <vt:lpstr>'4944  03.01.24 BUB '!Print_Area</vt:lpstr>
      <vt:lpstr>'4944 02.01.24 BUB'!Print_Area</vt:lpstr>
      <vt:lpstr>'5844  03.01.24 BUB'!Print_Area</vt:lpstr>
      <vt:lpstr>'5844  04.01.24 BB  '!Print_Area</vt:lpstr>
      <vt:lpstr>'6003  04.01.24 JBP'!Print_Area</vt:lpstr>
      <vt:lpstr>'6074  05.01.24 JBP'!Print_Area</vt:lpstr>
      <vt:lpstr>'7423  03.01.24 JBP'!Print_Area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2024-01-06T10:00:36Z</dcterms:modified>
</cp:coreProperties>
</file>