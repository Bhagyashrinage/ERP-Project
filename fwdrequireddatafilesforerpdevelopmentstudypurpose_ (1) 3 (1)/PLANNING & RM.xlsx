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01"/>
  <workbookPr defaultThemeVersion="124226"/>
  <xr:revisionPtr revIDLastSave="0" documentId="8_{6F9E0F10-882C-4F4C-B550-65149B442B07}" xr6:coauthVersionLast="47" xr6:coauthVersionMax="47" xr10:uidLastSave="{00000000-0000-0000-0000-000000000000}"/>
  <bookViews>
    <workbookView xWindow="720" yWindow="645" windowWidth="19575" windowHeight="7365" xr2:uid="{00000000-000D-0000-FFFF-FFFF00000000}"/>
  </bookViews>
  <sheets>
    <sheet name="PLANNING" sheetId="1" r:id="rId1"/>
    <sheet name="Charging OF RM" sheetId="3" r:id="rId2"/>
  </sheets>
  <definedNames>
    <definedName name="_xlnm._FilterDatabase" localSheetId="0" hidden="1">PLANNING!#REF!</definedName>
    <definedName name="_xlnm.Print_Area" localSheetId="0">PLANNING!#REF!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73" i="3" l="1"/>
  <c r="G72" i="3"/>
  <c r="G71" i="3"/>
  <c r="G70" i="3"/>
  <c r="Q69" i="3"/>
  <c r="R69" i="3"/>
  <c r="G69" i="3"/>
  <c r="Q68" i="3"/>
  <c r="G68" i="3"/>
  <c r="Q67" i="3"/>
  <c r="G67" i="3"/>
  <c r="Q66" i="3"/>
  <c r="R66" i="3"/>
  <c r="G66" i="3"/>
  <c r="G63" i="3"/>
  <c r="E62" i="3"/>
  <c r="G62" i="3"/>
  <c r="G61" i="3"/>
  <c r="G60" i="3"/>
  <c r="G59" i="3"/>
  <c r="Q58" i="3"/>
  <c r="G58" i="3"/>
  <c r="Q57" i="3"/>
  <c r="R57" i="3"/>
  <c r="T57" i="3"/>
  <c r="U57" i="3"/>
  <c r="G57" i="3"/>
  <c r="Q56" i="3"/>
  <c r="R56" i="3"/>
  <c r="G56" i="3"/>
  <c r="G53" i="3"/>
  <c r="G52" i="3"/>
  <c r="G51" i="3"/>
  <c r="G50" i="3"/>
  <c r="E49" i="3"/>
  <c r="G49" i="3"/>
  <c r="G48" i="3"/>
  <c r="G47" i="3"/>
  <c r="G46" i="3"/>
  <c r="Q45" i="3"/>
  <c r="R45" i="3"/>
  <c r="G45" i="3"/>
  <c r="Q44" i="3"/>
  <c r="G44" i="3"/>
  <c r="Q43" i="3"/>
  <c r="G43" i="3"/>
  <c r="Q42" i="3"/>
  <c r="R42" i="3"/>
  <c r="G42" i="3"/>
  <c r="Q41" i="3"/>
  <c r="G41" i="3"/>
  <c r="Q40" i="3"/>
  <c r="R40" i="3"/>
  <c r="T40" i="3"/>
  <c r="U40" i="3"/>
  <c r="G40" i="3"/>
  <c r="G37" i="3"/>
  <c r="G36" i="3"/>
  <c r="E35" i="3"/>
  <c r="G35" i="3"/>
  <c r="G34" i="3"/>
  <c r="G33" i="3"/>
  <c r="E32" i="3"/>
  <c r="G32" i="3"/>
  <c r="G31" i="3"/>
  <c r="G30" i="3"/>
  <c r="G29" i="3"/>
  <c r="Q28" i="3"/>
  <c r="R28" i="3"/>
  <c r="T28" i="3"/>
  <c r="U28" i="3"/>
  <c r="G28" i="3"/>
  <c r="Q27" i="3"/>
  <c r="R27" i="3"/>
  <c r="T27" i="3"/>
  <c r="U27" i="3"/>
  <c r="G27" i="3"/>
  <c r="Q26" i="3"/>
  <c r="R26" i="3"/>
  <c r="T26" i="3"/>
  <c r="U26" i="3"/>
  <c r="G26" i="3"/>
  <c r="G23" i="3"/>
  <c r="G22" i="3"/>
  <c r="G21" i="3"/>
  <c r="G20" i="3"/>
  <c r="E19" i="3"/>
  <c r="G19" i="3"/>
  <c r="Q18" i="3"/>
  <c r="R18" i="3"/>
  <c r="T18" i="3"/>
  <c r="U18" i="3"/>
  <c r="I18" i="3"/>
  <c r="G18" i="3"/>
  <c r="Q17" i="3"/>
  <c r="G17" i="3"/>
  <c r="Q16" i="3"/>
  <c r="R16" i="3"/>
  <c r="G16" i="3"/>
  <c r="Q15" i="3"/>
  <c r="R15" i="3"/>
  <c r="T15" i="3"/>
  <c r="U15" i="3"/>
  <c r="E15" i="3"/>
  <c r="G15" i="3"/>
  <c r="Q14" i="3"/>
  <c r="R14" i="3"/>
  <c r="T14" i="3"/>
  <c r="U14" i="3"/>
  <c r="V14" i="3"/>
  <c r="E14" i="3"/>
  <c r="G14" i="3"/>
  <c r="Q13" i="3"/>
  <c r="R13" i="3"/>
  <c r="G13" i="3"/>
  <c r="Q12" i="3"/>
  <c r="G12" i="3"/>
  <c r="Q11" i="3"/>
  <c r="R11" i="3"/>
  <c r="G11" i="3"/>
  <c r="Q10" i="3"/>
  <c r="R10" i="3"/>
  <c r="G10" i="3"/>
  <c r="Q9" i="3"/>
  <c r="R9" i="3"/>
  <c r="T9" i="3"/>
  <c r="U9" i="3"/>
  <c r="G9" i="3"/>
  <c r="Q8" i="3"/>
  <c r="R8" i="3"/>
  <c r="T8" i="3"/>
  <c r="U8" i="3"/>
  <c r="I8" i="3"/>
  <c r="G8" i="3"/>
  <c r="Q7" i="3"/>
  <c r="G7" i="3"/>
  <c r="Q6" i="3"/>
  <c r="G6" i="3"/>
  <c r="Q5" i="3"/>
  <c r="R5" i="3"/>
  <c r="T5" i="3"/>
  <c r="U5" i="3"/>
  <c r="G5" i="3"/>
  <c r="Q4" i="3"/>
  <c r="R4" i="3"/>
  <c r="G4" i="3"/>
  <c r="M97" i="1"/>
  <c r="K97" i="1"/>
  <c r="N96" i="1"/>
  <c r="N97" i="1"/>
  <c r="L96" i="1"/>
  <c r="L97" i="1"/>
  <c r="N93" i="1"/>
  <c r="M93" i="1"/>
  <c r="K93" i="1"/>
  <c r="L92" i="1"/>
  <c r="L91" i="1"/>
  <c r="L90" i="1"/>
  <c r="L89" i="1"/>
  <c r="M85" i="1"/>
  <c r="M86" i="1"/>
  <c r="K85" i="1"/>
  <c r="N84" i="1"/>
  <c r="L84" i="1"/>
  <c r="N83" i="1"/>
  <c r="L83" i="1"/>
  <c r="N82" i="1"/>
  <c r="L82" i="1"/>
  <c r="L85" i="1"/>
  <c r="K80" i="1"/>
  <c r="L79" i="1"/>
  <c r="L80" i="1"/>
  <c r="L76" i="1"/>
  <c r="L77" i="1"/>
  <c r="K77" i="1"/>
  <c r="K70" i="1"/>
  <c r="N69" i="1"/>
  <c r="L69" i="1"/>
  <c r="M68" i="1"/>
  <c r="N68" i="1"/>
  <c r="L68" i="1"/>
  <c r="N67" i="1"/>
  <c r="L67" i="1"/>
  <c r="N66" i="1"/>
  <c r="L66" i="1"/>
  <c r="N65" i="1"/>
  <c r="L65" i="1"/>
  <c r="K63" i="1"/>
  <c r="L62" i="1"/>
  <c r="L63" i="1"/>
  <c r="K60" i="1"/>
  <c r="L59" i="1"/>
  <c r="L60" i="1"/>
  <c r="M57" i="1"/>
  <c r="K57" i="1"/>
  <c r="K71" i="1"/>
  <c r="N56" i="1"/>
  <c r="L56" i="1"/>
  <c r="N55" i="1"/>
  <c r="L55" i="1"/>
  <c r="N54" i="1"/>
  <c r="L54" i="1"/>
  <c r="N53" i="1"/>
  <c r="L53" i="1"/>
  <c r="L46" i="1"/>
  <c r="L47" i="1"/>
  <c r="K47" i="1"/>
  <c r="K44" i="1"/>
  <c r="L43" i="1"/>
  <c r="L42" i="1"/>
  <c r="L41" i="1"/>
  <c r="L40" i="1"/>
  <c r="L44" i="1"/>
  <c r="K38" i="1"/>
  <c r="L37" i="1"/>
  <c r="L38" i="1"/>
  <c r="K35" i="1"/>
  <c r="L34" i="1"/>
  <c r="L35" i="1"/>
  <c r="K32" i="1"/>
  <c r="L31" i="1"/>
  <c r="L30" i="1"/>
  <c r="K28" i="1"/>
  <c r="L27" i="1"/>
  <c r="L28" i="1"/>
  <c r="K23" i="1"/>
  <c r="L22" i="1"/>
  <c r="L21" i="1"/>
  <c r="L20" i="1"/>
  <c r="L19" i="1"/>
  <c r="L18" i="1"/>
  <c r="L17" i="1"/>
  <c r="K15" i="1"/>
  <c r="L14" i="1"/>
  <c r="L13" i="1"/>
  <c r="L12" i="1"/>
  <c r="L11" i="1"/>
  <c r="K9" i="1"/>
  <c r="L8" i="1"/>
  <c r="L7" i="1"/>
  <c r="L6" i="1"/>
  <c r="L5" i="1"/>
  <c r="I27" i="3"/>
  <c r="V27" i="3"/>
  <c r="T42" i="3"/>
  <c r="U42" i="3"/>
  <c r="T56" i="3"/>
  <c r="U56" i="3"/>
  <c r="V40" i="3"/>
  <c r="I40" i="3"/>
  <c r="T45" i="3"/>
  <c r="U45" i="3"/>
  <c r="T69" i="3"/>
  <c r="U69" i="3"/>
  <c r="I69" i="3"/>
  <c r="T4" i="3"/>
  <c r="U4" i="3"/>
  <c r="T13" i="3"/>
  <c r="U13" i="3"/>
  <c r="G54" i="3"/>
  <c r="T10" i="3"/>
  <c r="U10" i="3"/>
  <c r="G38" i="3"/>
  <c r="V5" i="3"/>
  <c r="I5" i="3"/>
  <c r="V26" i="3"/>
  <c r="V28" i="3"/>
  <c r="V38" i="3"/>
  <c r="I26" i="3"/>
  <c r="I45" i="3"/>
  <c r="V45" i="3"/>
  <c r="R12" i="3"/>
  <c r="T12" i="3"/>
  <c r="U12" i="3"/>
  <c r="V13" i="3"/>
  <c r="I13" i="3"/>
  <c r="I28" i="3"/>
  <c r="R43" i="3"/>
  <c r="T43" i="3"/>
  <c r="U43" i="3"/>
  <c r="R58" i="3"/>
  <c r="T58" i="3"/>
  <c r="U58" i="3"/>
  <c r="R67" i="3"/>
  <c r="T67" i="3"/>
  <c r="U67" i="3"/>
  <c r="R6" i="3"/>
  <c r="T6" i="3"/>
  <c r="U6" i="3"/>
  <c r="R17" i="3"/>
  <c r="T17" i="3"/>
  <c r="U17" i="3"/>
  <c r="G64" i="3"/>
  <c r="V8" i="3"/>
  <c r="V18" i="3"/>
  <c r="G74" i="3"/>
  <c r="R7" i="3"/>
  <c r="T7" i="3"/>
  <c r="U7" i="3"/>
  <c r="V9" i="3"/>
  <c r="I9" i="3"/>
  <c r="V15" i="3"/>
  <c r="I15" i="3"/>
  <c r="R41" i="3"/>
  <c r="T41" i="3"/>
  <c r="U41" i="3"/>
  <c r="V42" i="3"/>
  <c r="I42" i="3"/>
  <c r="V56" i="3"/>
  <c r="I56" i="3"/>
  <c r="V57" i="3"/>
  <c r="I57" i="3"/>
  <c r="I14" i="3"/>
  <c r="T66" i="3"/>
  <c r="U66" i="3"/>
  <c r="G24" i="3"/>
  <c r="T11" i="3"/>
  <c r="U11" i="3"/>
  <c r="T16" i="3"/>
  <c r="U16" i="3"/>
  <c r="R44" i="3"/>
  <c r="T44" i="3"/>
  <c r="U44" i="3"/>
  <c r="R68" i="3"/>
  <c r="T68" i="3"/>
  <c r="U68" i="3"/>
  <c r="L15" i="1"/>
  <c r="L93" i="1"/>
  <c r="E112" i="1"/>
  <c r="L32" i="1"/>
  <c r="K86" i="1"/>
  <c r="L9" i="1"/>
  <c r="N70" i="1"/>
  <c r="L70" i="1"/>
  <c r="L48" i="1"/>
  <c r="M70" i="1"/>
  <c r="M71" i="1"/>
  <c r="M101" i="1"/>
  <c r="K48" i="1"/>
  <c r="L86" i="1"/>
  <c r="E111" i="1"/>
  <c r="K101" i="1"/>
  <c r="L57" i="1"/>
  <c r="L71" i="1"/>
  <c r="E108" i="1"/>
  <c r="L23" i="1"/>
  <c r="L24" i="1"/>
  <c r="N57" i="1"/>
  <c r="N71" i="1"/>
  <c r="N85" i="1"/>
  <c r="N86" i="1"/>
  <c r="V69" i="3"/>
  <c r="I4" i="3"/>
  <c r="V4" i="3"/>
  <c r="V10" i="3"/>
  <c r="I10" i="3"/>
  <c r="W26" i="3"/>
  <c r="X26" i="3"/>
  <c r="V44" i="3"/>
  <c r="I44" i="3"/>
  <c r="I12" i="3"/>
  <c r="V12" i="3"/>
  <c r="V68" i="3"/>
  <c r="I68" i="3"/>
  <c r="V43" i="3"/>
  <c r="I43" i="3"/>
  <c r="V58" i="3"/>
  <c r="V64" i="3"/>
  <c r="W56" i="3"/>
  <c r="X56" i="3"/>
  <c r="I58" i="3"/>
  <c r="V7" i="3"/>
  <c r="I7" i="3"/>
  <c r="V6" i="3"/>
  <c r="I6" i="3"/>
  <c r="V67" i="3"/>
  <c r="I67" i="3"/>
  <c r="V11" i="3"/>
  <c r="I11" i="3"/>
  <c r="V66" i="3"/>
  <c r="V74" i="3"/>
  <c r="W66" i="3"/>
  <c r="X66" i="3"/>
  <c r="I66" i="3"/>
  <c r="V16" i="3"/>
  <c r="I16" i="3"/>
  <c r="I41" i="3"/>
  <c r="V41" i="3"/>
  <c r="V17" i="3"/>
  <c r="I17" i="3"/>
  <c r="N101" i="1"/>
  <c r="L101" i="1"/>
  <c r="E107" i="1"/>
  <c r="E116" i="1"/>
  <c r="V54" i="3"/>
  <c r="W40" i="3"/>
  <c r="X40" i="3"/>
  <c r="V24" i="3"/>
  <c r="W4" i="3"/>
  <c r="X4" i="3"/>
</calcChain>
</file>

<file path=xl/sharedStrings.xml><?xml version="1.0" encoding="utf-8"?>
<sst xmlns="http://schemas.openxmlformats.org/spreadsheetml/2006/main" count="484" uniqueCount="128">
  <si>
    <t>VINAR ISPAT LTD, BUTIBORI</t>
  </si>
  <si>
    <t>DOC. NO. VIL/PLN/F/01</t>
  </si>
  <si>
    <t xml:space="preserve">Rolling Plan  -                      </t>
  </si>
  <si>
    <t>Mill :</t>
  </si>
  <si>
    <t>Date :</t>
  </si>
  <si>
    <t>Party</t>
  </si>
  <si>
    <t>PO No.</t>
  </si>
  <si>
    <t>Insp</t>
  </si>
  <si>
    <t>Emb.</t>
  </si>
  <si>
    <t>Specf.</t>
  </si>
  <si>
    <t>RADIUS</t>
  </si>
  <si>
    <t>Gr.</t>
  </si>
  <si>
    <t>Size</t>
  </si>
  <si>
    <t>Sec.Wt.</t>
  </si>
  <si>
    <t>Length</t>
  </si>
  <si>
    <t>Ord. Pcs</t>
  </si>
  <si>
    <t>Ord.  Qty</t>
  </si>
  <si>
    <t>Stock Pcs</t>
  </si>
  <si>
    <t>Stock Qty</t>
  </si>
  <si>
    <t>RM Use</t>
  </si>
  <si>
    <t>NPG</t>
  </si>
  <si>
    <t>VIL HT</t>
  </si>
  <si>
    <t>HT</t>
  </si>
  <si>
    <t>MS</t>
  </si>
  <si>
    <t>SAUDI</t>
  </si>
  <si>
    <t>Sr. No.</t>
  </si>
  <si>
    <t>Section's</t>
  </si>
  <si>
    <t>Qty.</t>
  </si>
  <si>
    <t>Radius</t>
  </si>
  <si>
    <t>Embossing</t>
  </si>
  <si>
    <t>Billet use</t>
  </si>
  <si>
    <t>1)</t>
  </si>
  <si>
    <t>VIL  HT</t>
  </si>
  <si>
    <t>DSP HT-125X125</t>
  </si>
  <si>
    <t>2)</t>
  </si>
  <si>
    <t>DSP MS-125X125</t>
  </si>
  <si>
    <t>3)</t>
  </si>
  <si>
    <t>4)</t>
  </si>
  <si>
    <t>CC:</t>
  </si>
  <si>
    <t xml:space="preserve">Receiver's </t>
  </si>
  <si>
    <t>Receiver's Signs</t>
  </si>
  <si>
    <t>Received date</t>
  </si>
  <si>
    <t>Time</t>
  </si>
  <si>
    <t>REMARK IF ANY</t>
  </si>
  <si>
    <t>1) Production (Foreman)</t>
  </si>
  <si>
    <t>2) Quality Control</t>
  </si>
  <si>
    <t xml:space="preserve">3) Raw Material </t>
  </si>
  <si>
    <t>4) Planning</t>
  </si>
  <si>
    <t>5) Workshop Incharge</t>
  </si>
  <si>
    <t>CHECKED &amp; VARIFIED BY</t>
  </si>
  <si>
    <t>ISSUED BY</t>
  </si>
  <si>
    <t>( RAW MATERIAL)</t>
  </si>
  <si>
    <t>(PLANNING)</t>
  </si>
  <si>
    <t>275 JR</t>
  </si>
  <si>
    <t>MEXICO</t>
  </si>
  <si>
    <t>355 J2</t>
  </si>
  <si>
    <t>80X80X5</t>
  </si>
  <si>
    <t>80X80X6</t>
  </si>
  <si>
    <t>VIL  MS</t>
  </si>
  <si>
    <t>KEC Dubai</t>
  </si>
  <si>
    <t>355 JR</t>
  </si>
  <si>
    <t>Lot No./Heat no</t>
  </si>
  <si>
    <t>HT 80X80X6</t>
  </si>
  <si>
    <t>HT 80X80X5</t>
  </si>
  <si>
    <t>STERLITE</t>
  </si>
  <si>
    <t>IS: 2062-E250 A</t>
  </si>
  <si>
    <t>ASTM A 36</t>
  </si>
  <si>
    <t>MS-80X80X6</t>
  </si>
  <si>
    <t>KEC BUB</t>
  </si>
  <si>
    <t>ESSEL</t>
  </si>
  <si>
    <t>WBSETCL</t>
  </si>
  <si>
    <t>Georgia/Bozlaryapi</t>
  </si>
  <si>
    <t>EMAIL(Jul -08-15)</t>
  </si>
  <si>
    <t>MALDOVA</t>
  </si>
  <si>
    <t>IS: 2062-E350 A</t>
  </si>
  <si>
    <t>LOI-337(Jul -01-07)</t>
  </si>
  <si>
    <t>LOI-336(Jul -01-07)</t>
  </si>
  <si>
    <t>LOI-341(Jul -01-07)</t>
  </si>
  <si>
    <t>KEC jbp</t>
  </si>
  <si>
    <t>EMAIL(Jul -01-07)</t>
  </si>
  <si>
    <t>LOI-384(Jul -08-15)</t>
  </si>
  <si>
    <t>ASTM GR 60</t>
  </si>
  <si>
    <t>MOROCCO</t>
  </si>
  <si>
    <t>BANGLADESH</t>
  </si>
  <si>
    <t>80X80X6.5</t>
  </si>
  <si>
    <t>RINL/JSPL HT-150X150(J2)</t>
  </si>
  <si>
    <t>MS-80X80X6.5</t>
  </si>
  <si>
    <t>BL</t>
  </si>
  <si>
    <t>Rolling Date</t>
  </si>
  <si>
    <t>Section</t>
  </si>
  <si>
    <t>Order Ref.</t>
  </si>
  <si>
    <t>Order Length</t>
  </si>
  <si>
    <t>Order Pcs</t>
  </si>
  <si>
    <t>Order Qty</t>
  </si>
  <si>
    <t>Billet Used</t>
  </si>
  <si>
    <t>Charging Billet length</t>
  </si>
  <si>
    <t>No.of Pcs</t>
  </si>
  <si>
    <t>Wt/Mtr of Billets</t>
  </si>
  <si>
    <t>Length Combintion with BL/EC</t>
  </si>
  <si>
    <t>Rolling Length</t>
  </si>
  <si>
    <t>Weight per pcs of Rolling Length (Kg)</t>
  </si>
  <si>
    <t>Billets Wt. of Rolled pcs          ( Mt.)</t>
  </si>
  <si>
    <t>Yeild %</t>
  </si>
  <si>
    <r>
      <t>Loss</t>
    </r>
    <r>
      <rPr>
        <strike/>
        <sz val="11"/>
        <color theme="1"/>
        <rFont val="Calibri"/>
        <family val="2"/>
        <scheme val="minor"/>
      </rPr>
      <t>%</t>
    </r>
  </si>
  <si>
    <t>L-1</t>
  </si>
  <si>
    <t>L-2</t>
  </si>
  <si>
    <t>L-3</t>
  </si>
  <si>
    <t>L-4</t>
  </si>
  <si>
    <t>L-5</t>
  </si>
  <si>
    <t>TL</t>
  </si>
  <si>
    <t>EC</t>
  </si>
  <si>
    <t>01.07.2023</t>
  </si>
  <si>
    <t>HTA 80X80X6</t>
  </si>
  <si>
    <t>JW/0001</t>
  </si>
  <si>
    <t>HT-150X150</t>
  </si>
  <si>
    <t>Extra Pcs</t>
  </si>
  <si>
    <t>Total:-</t>
  </si>
  <si>
    <t>JW/0002</t>
  </si>
  <si>
    <t>HTA 80X80X5</t>
  </si>
  <si>
    <t>JW/0003</t>
  </si>
  <si>
    <t>HT-125X125</t>
  </si>
  <si>
    <t>MSA 80X80X6</t>
  </si>
  <si>
    <t>JW/0004</t>
  </si>
  <si>
    <t>MS-125X125</t>
  </si>
  <si>
    <t>MSA 80X80X6.5</t>
  </si>
  <si>
    <t>JW/0005</t>
  </si>
  <si>
    <t>total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</si>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</sst>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00"/>
    <numFmt numFmtId="165" formatCode="0.0"/>
  </numFmts>
  <fonts count="3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1"/>
      <name val="Times New Roman"/>
      <family val="1"/>
    </font>
    <font>
      <sz val="10"/>
      <name val="Arial"/>
      <family val="2"/>
    </font>
    <font>
      <b/>
      <u/>
      <sz val="11"/>
      <name val="Times New Roman"/>
      <family val="1"/>
    </font>
    <font>
      <b/>
      <u/>
      <sz val="12"/>
      <name val="Times New Roman"/>
      <family val="1"/>
    </font>
    <font>
      <sz val="12"/>
      <name val="Times New Roman"/>
      <family val="1"/>
    </font>
    <font>
      <b/>
      <sz val="12"/>
      <color theme="1"/>
      <name val="Times New Roman"/>
      <family val="1"/>
    </font>
    <font>
      <b/>
      <sz val="14"/>
      <name val="Times New Roman"/>
      <family val="1"/>
    </font>
    <font>
      <b/>
      <sz val="14"/>
      <color theme="1"/>
      <name val="Times New Roman"/>
      <family val="1"/>
    </font>
    <font>
      <b/>
      <sz val="14"/>
      <color rgb="FF203864"/>
      <name val="Times New Roman"/>
      <family val="1"/>
    </font>
    <font>
      <b/>
      <sz val="14"/>
      <color rgb="FF222222"/>
      <name val="Times New Roman"/>
      <family val="1"/>
    </font>
    <font>
      <b/>
      <sz val="14"/>
      <color rgb="FFFF0000"/>
      <name val="Times New Roman"/>
      <family val="1"/>
    </font>
    <font>
      <b/>
      <u/>
      <sz val="14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1"/>
      <color rgb="FF9C5700"/>
      <name val="Calibri"/>
      <family val="2"/>
      <scheme val="minor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sz val="18"/>
      <color theme="3"/>
      <name val="Cambria"/>
      <family val="2"/>
      <scheme val="major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trike/>
      <sz val="11"/>
      <color theme="1"/>
      <name val="Calibri"/>
      <family val="2"/>
      <scheme val="minor"/>
    </font>
  </fonts>
  <fills count="47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36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1325">
    <xf numFmtId="0" fontId="0" fillId="0" borderId="0"/>
    <xf numFmtId="0" fontId="5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16" fillId="25" borderId="0" applyNumberFormat="0" applyBorder="0" applyAlignment="0" applyProtection="0"/>
    <xf numFmtId="0" fontId="16" fillId="25" borderId="0" applyNumberFormat="0" applyBorder="0" applyAlignment="0" applyProtection="0"/>
    <xf numFmtId="0" fontId="16" fillId="25" borderId="0" applyNumberFormat="0" applyBorder="0" applyAlignment="0" applyProtection="0"/>
    <xf numFmtId="0" fontId="16" fillId="25" borderId="0" applyNumberFormat="0" applyBorder="0" applyAlignment="0" applyProtection="0"/>
    <xf numFmtId="0" fontId="16" fillId="25" borderId="0" applyNumberFormat="0" applyBorder="0" applyAlignment="0" applyProtection="0"/>
    <xf numFmtId="0" fontId="16" fillId="25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6" fillId="28" borderId="0" applyNumberFormat="0" applyBorder="0" applyAlignment="0" applyProtection="0"/>
    <xf numFmtId="0" fontId="16" fillId="28" borderId="0" applyNumberFormat="0" applyBorder="0" applyAlignment="0" applyProtection="0"/>
    <xf numFmtId="0" fontId="16" fillId="28" borderId="0" applyNumberFormat="0" applyBorder="0" applyAlignment="0" applyProtection="0"/>
    <xf numFmtId="0" fontId="16" fillId="28" borderId="0" applyNumberFormat="0" applyBorder="0" applyAlignment="0" applyProtection="0"/>
    <xf numFmtId="0" fontId="16" fillId="28" borderId="0" applyNumberFormat="0" applyBorder="0" applyAlignment="0" applyProtection="0"/>
    <xf numFmtId="0" fontId="16" fillId="28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6" fillId="29" borderId="0" applyNumberFormat="0" applyBorder="0" applyAlignment="0" applyProtection="0"/>
    <xf numFmtId="0" fontId="16" fillId="29" borderId="0" applyNumberFormat="0" applyBorder="0" applyAlignment="0" applyProtection="0"/>
    <xf numFmtId="0" fontId="16" fillId="29" borderId="0" applyNumberFormat="0" applyBorder="0" applyAlignment="0" applyProtection="0"/>
    <xf numFmtId="0" fontId="16" fillId="29" borderId="0" applyNumberFormat="0" applyBorder="0" applyAlignment="0" applyProtection="0"/>
    <xf numFmtId="0" fontId="16" fillId="29" borderId="0" applyNumberFormat="0" applyBorder="0" applyAlignment="0" applyProtection="0"/>
    <xf numFmtId="0" fontId="16" fillId="29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6" fillId="32" borderId="0" applyNumberFormat="0" applyBorder="0" applyAlignment="0" applyProtection="0"/>
    <xf numFmtId="0" fontId="16" fillId="32" borderId="0" applyNumberFormat="0" applyBorder="0" applyAlignment="0" applyProtection="0"/>
    <xf numFmtId="0" fontId="16" fillId="32" borderId="0" applyNumberFormat="0" applyBorder="0" applyAlignment="0" applyProtection="0"/>
    <xf numFmtId="0" fontId="16" fillId="32" borderId="0" applyNumberFormat="0" applyBorder="0" applyAlignment="0" applyProtection="0"/>
    <xf numFmtId="0" fontId="16" fillId="32" borderId="0" applyNumberFormat="0" applyBorder="0" applyAlignment="0" applyProtection="0"/>
    <xf numFmtId="0" fontId="16" fillId="32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6" fillId="33" borderId="0" applyNumberFormat="0" applyBorder="0" applyAlignment="0" applyProtection="0"/>
    <xf numFmtId="0" fontId="16" fillId="33" borderId="0" applyNumberFormat="0" applyBorder="0" applyAlignment="0" applyProtection="0"/>
    <xf numFmtId="0" fontId="16" fillId="33" borderId="0" applyNumberFormat="0" applyBorder="0" applyAlignment="0" applyProtection="0"/>
    <xf numFmtId="0" fontId="16" fillId="33" borderId="0" applyNumberFormat="0" applyBorder="0" applyAlignment="0" applyProtection="0"/>
    <xf numFmtId="0" fontId="16" fillId="33" borderId="0" applyNumberFormat="0" applyBorder="0" applyAlignment="0" applyProtection="0"/>
    <xf numFmtId="0" fontId="16" fillId="33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6" fillId="28" borderId="0" applyNumberFormat="0" applyBorder="0" applyAlignment="0" applyProtection="0"/>
    <xf numFmtId="0" fontId="16" fillId="28" borderId="0" applyNumberFormat="0" applyBorder="0" applyAlignment="0" applyProtection="0"/>
    <xf numFmtId="0" fontId="16" fillId="28" borderId="0" applyNumberFormat="0" applyBorder="0" applyAlignment="0" applyProtection="0"/>
    <xf numFmtId="0" fontId="16" fillId="28" borderId="0" applyNumberFormat="0" applyBorder="0" applyAlignment="0" applyProtection="0"/>
    <xf numFmtId="0" fontId="16" fillId="28" borderId="0" applyNumberFormat="0" applyBorder="0" applyAlignment="0" applyProtection="0"/>
    <xf numFmtId="0" fontId="16" fillId="28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7" fillId="35" borderId="0" applyNumberFormat="0" applyBorder="0" applyAlignment="0" applyProtection="0"/>
    <xf numFmtId="0" fontId="17" fillId="35" borderId="0" applyNumberFormat="0" applyBorder="0" applyAlignment="0" applyProtection="0"/>
    <xf numFmtId="0" fontId="17" fillId="35" borderId="0" applyNumberFormat="0" applyBorder="0" applyAlignment="0" applyProtection="0"/>
    <xf numFmtId="0" fontId="17" fillId="35" borderId="0" applyNumberFormat="0" applyBorder="0" applyAlignment="0" applyProtection="0"/>
    <xf numFmtId="0" fontId="17" fillId="35" borderId="0" applyNumberFormat="0" applyBorder="0" applyAlignment="0" applyProtection="0"/>
    <xf numFmtId="0" fontId="17" fillId="35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7" fillId="32" borderId="0" applyNumberFormat="0" applyBorder="0" applyAlignment="0" applyProtection="0"/>
    <xf numFmtId="0" fontId="17" fillId="32" borderId="0" applyNumberFormat="0" applyBorder="0" applyAlignment="0" applyProtection="0"/>
    <xf numFmtId="0" fontId="17" fillId="32" borderId="0" applyNumberFormat="0" applyBorder="0" applyAlignment="0" applyProtection="0"/>
    <xf numFmtId="0" fontId="17" fillId="32" borderId="0" applyNumberFormat="0" applyBorder="0" applyAlignment="0" applyProtection="0"/>
    <xf numFmtId="0" fontId="17" fillId="32" borderId="0" applyNumberFormat="0" applyBorder="0" applyAlignment="0" applyProtection="0"/>
    <xf numFmtId="0" fontId="17" fillId="32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7" fillId="33" borderId="0" applyNumberFormat="0" applyBorder="0" applyAlignment="0" applyProtection="0"/>
    <xf numFmtId="0" fontId="17" fillId="33" borderId="0" applyNumberFormat="0" applyBorder="0" applyAlignment="0" applyProtection="0"/>
    <xf numFmtId="0" fontId="17" fillId="33" borderId="0" applyNumberFormat="0" applyBorder="0" applyAlignment="0" applyProtection="0"/>
    <xf numFmtId="0" fontId="17" fillId="33" borderId="0" applyNumberFormat="0" applyBorder="0" applyAlignment="0" applyProtection="0"/>
    <xf numFmtId="0" fontId="17" fillId="33" borderId="0" applyNumberFormat="0" applyBorder="0" applyAlignment="0" applyProtection="0"/>
    <xf numFmtId="0" fontId="17" fillId="33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7" fillId="36" borderId="0" applyNumberFormat="0" applyBorder="0" applyAlignment="0" applyProtection="0"/>
    <xf numFmtId="0" fontId="17" fillId="36" borderId="0" applyNumberFormat="0" applyBorder="0" applyAlignment="0" applyProtection="0"/>
    <xf numFmtId="0" fontId="17" fillId="36" borderId="0" applyNumberFormat="0" applyBorder="0" applyAlignment="0" applyProtection="0"/>
    <xf numFmtId="0" fontId="17" fillId="36" borderId="0" applyNumberFormat="0" applyBorder="0" applyAlignment="0" applyProtection="0"/>
    <xf numFmtId="0" fontId="17" fillId="36" borderId="0" applyNumberFormat="0" applyBorder="0" applyAlignment="0" applyProtection="0"/>
    <xf numFmtId="0" fontId="17" fillId="36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7" fillId="37" borderId="0" applyNumberFormat="0" applyBorder="0" applyAlignment="0" applyProtection="0"/>
    <xf numFmtId="0" fontId="17" fillId="37" borderId="0" applyNumberFormat="0" applyBorder="0" applyAlignment="0" applyProtection="0"/>
    <xf numFmtId="0" fontId="17" fillId="37" borderId="0" applyNumberFormat="0" applyBorder="0" applyAlignment="0" applyProtection="0"/>
    <xf numFmtId="0" fontId="17" fillId="37" borderId="0" applyNumberFormat="0" applyBorder="0" applyAlignment="0" applyProtection="0"/>
    <xf numFmtId="0" fontId="17" fillId="37" borderId="0" applyNumberFormat="0" applyBorder="0" applyAlignment="0" applyProtection="0"/>
    <xf numFmtId="0" fontId="17" fillId="37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7" fillId="38" borderId="0" applyNumberFormat="0" applyBorder="0" applyAlignment="0" applyProtection="0"/>
    <xf numFmtId="0" fontId="17" fillId="38" borderId="0" applyNumberFormat="0" applyBorder="0" applyAlignment="0" applyProtection="0"/>
    <xf numFmtId="0" fontId="17" fillId="38" borderId="0" applyNumberFormat="0" applyBorder="0" applyAlignment="0" applyProtection="0"/>
    <xf numFmtId="0" fontId="17" fillId="38" borderId="0" applyNumberFormat="0" applyBorder="0" applyAlignment="0" applyProtection="0"/>
    <xf numFmtId="0" fontId="17" fillId="38" borderId="0" applyNumberFormat="0" applyBorder="0" applyAlignment="0" applyProtection="0"/>
    <xf numFmtId="0" fontId="17" fillId="38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7" fillId="39" borderId="0" applyNumberFormat="0" applyBorder="0" applyAlignment="0" applyProtection="0"/>
    <xf numFmtId="0" fontId="17" fillId="39" borderId="0" applyNumberFormat="0" applyBorder="0" applyAlignment="0" applyProtection="0"/>
    <xf numFmtId="0" fontId="17" fillId="39" borderId="0" applyNumberFormat="0" applyBorder="0" applyAlignment="0" applyProtection="0"/>
    <xf numFmtId="0" fontId="17" fillId="39" borderId="0" applyNumberFormat="0" applyBorder="0" applyAlignment="0" applyProtection="0"/>
    <xf numFmtId="0" fontId="17" fillId="39" borderId="0" applyNumberFormat="0" applyBorder="0" applyAlignment="0" applyProtection="0"/>
    <xf numFmtId="0" fontId="17" fillId="39" borderId="0" applyNumberFormat="0" applyBorder="0" applyAlignment="0" applyProtection="0"/>
    <xf numFmtId="0" fontId="17" fillId="40" borderId="0" applyNumberFormat="0" applyBorder="0" applyAlignment="0" applyProtection="0"/>
    <xf numFmtId="0" fontId="17" fillId="40" borderId="0" applyNumberFormat="0" applyBorder="0" applyAlignment="0" applyProtection="0"/>
    <xf numFmtId="0" fontId="17" fillId="40" borderId="0" applyNumberFormat="0" applyBorder="0" applyAlignment="0" applyProtection="0"/>
    <xf numFmtId="0" fontId="17" fillId="40" borderId="0" applyNumberFormat="0" applyBorder="0" applyAlignment="0" applyProtection="0"/>
    <xf numFmtId="0" fontId="17" fillId="40" borderId="0" applyNumberFormat="0" applyBorder="0" applyAlignment="0" applyProtection="0"/>
    <xf numFmtId="0" fontId="17" fillId="40" borderId="0" applyNumberFormat="0" applyBorder="0" applyAlignment="0" applyProtection="0"/>
    <xf numFmtId="0" fontId="17" fillId="41" borderId="0" applyNumberFormat="0" applyBorder="0" applyAlignment="0" applyProtection="0"/>
    <xf numFmtId="0" fontId="17" fillId="41" borderId="0" applyNumberFormat="0" applyBorder="0" applyAlignment="0" applyProtection="0"/>
    <xf numFmtId="0" fontId="17" fillId="41" borderId="0" applyNumberFormat="0" applyBorder="0" applyAlignment="0" applyProtection="0"/>
    <xf numFmtId="0" fontId="17" fillId="41" borderId="0" applyNumberFormat="0" applyBorder="0" applyAlignment="0" applyProtection="0"/>
    <xf numFmtId="0" fontId="17" fillId="41" borderId="0" applyNumberFormat="0" applyBorder="0" applyAlignment="0" applyProtection="0"/>
    <xf numFmtId="0" fontId="17" fillId="41" borderId="0" applyNumberFormat="0" applyBorder="0" applyAlignment="0" applyProtection="0"/>
    <xf numFmtId="0" fontId="17" fillId="36" borderId="0" applyNumberFormat="0" applyBorder="0" applyAlignment="0" applyProtection="0"/>
    <xf numFmtId="0" fontId="17" fillId="36" borderId="0" applyNumberFormat="0" applyBorder="0" applyAlignment="0" applyProtection="0"/>
    <xf numFmtId="0" fontId="17" fillId="36" borderId="0" applyNumberFormat="0" applyBorder="0" applyAlignment="0" applyProtection="0"/>
    <xf numFmtId="0" fontId="17" fillId="36" borderId="0" applyNumberFormat="0" applyBorder="0" applyAlignment="0" applyProtection="0"/>
    <xf numFmtId="0" fontId="17" fillId="36" borderId="0" applyNumberFormat="0" applyBorder="0" applyAlignment="0" applyProtection="0"/>
    <xf numFmtId="0" fontId="17" fillId="36" borderId="0" applyNumberFormat="0" applyBorder="0" applyAlignment="0" applyProtection="0"/>
    <xf numFmtId="0" fontId="17" fillId="37" borderId="0" applyNumberFormat="0" applyBorder="0" applyAlignment="0" applyProtection="0"/>
    <xf numFmtId="0" fontId="17" fillId="37" borderId="0" applyNumberFormat="0" applyBorder="0" applyAlignment="0" applyProtection="0"/>
    <xf numFmtId="0" fontId="17" fillId="37" borderId="0" applyNumberFormat="0" applyBorder="0" applyAlignment="0" applyProtection="0"/>
    <xf numFmtId="0" fontId="17" fillId="37" borderId="0" applyNumberFormat="0" applyBorder="0" applyAlignment="0" applyProtection="0"/>
    <xf numFmtId="0" fontId="17" fillId="37" borderId="0" applyNumberFormat="0" applyBorder="0" applyAlignment="0" applyProtection="0"/>
    <xf numFmtId="0" fontId="17" fillId="37" borderId="0" applyNumberFormat="0" applyBorder="0" applyAlignment="0" applyProtection="0"/>
    <xf numFmtId="0" fontId="17" fillId="42" borderId="0" applyNumberFormat="0" applyBorder="0" applyAlignment="0" applyProtection="0"/>
    <xf numFmtId="0" fontId="17" fillId="42" borderId="0" applyNumberFormat="0" applyBorder="0" applyAlignment="0" applyProtection="0"/>
    <xf numFmtId="0" fontId="17" fillId="42" borderId="0" applyNumberFormat="0" applyBorder="0" applyAlignment="0" applyProtection="0"/>
    <xf numFmtId="0" fontId="17" fillId="42" borderId="0" applyNumberFormat="0" applyBorder="0" applyAlignment="0" applyProtection="0"/>
    <xf numFmtId="0" fontId="17" fillId="42" borderId="0" applyNumberFormat="0" applyBorder="0" applyAlignment="0" applyProtection="0"/>
    <xf numFmtId="0" fontId="17" fillId="42" borderId="0" applyNumberFormat="0" applyBorder="0" applyAlignment="0" applyProtection="0"/>
    <xf numFmtId="0" fontId="18" fillId="26" borderId="0" applyNumberFormat="0" applyBorder="0" applyAlignment="0" applyProtection="0"/>
    <xf numFmtId="0" fontId="18" fillId="26" borderId="0" applyNumberFormat="0" applyBorder="0" applyAlignment="0" applyProtection="0"/>
    <xf numFmtId="0" fontId="18" fillId="26" borderId="0" applyNumberFormat="0" applyBorder="0" applyAlignment="0" applyProtection="0"/>
    <xf numFmtId="0" fontId="18" fillId="26" borderId="0" applyNumberFormat="0" applyBorder="0" applyAlignment="0" applyProtection="0"/>
    <xf numFmtId="0" fontId="18" fillId="26" borderId="0" applyNumberFormat="0" applyBorder="0" applyAlignment="0" applyProtection="0"/>
    <xf numFmtId="0" fontId="18" fillId="26" borderId="0" applyNumberFormat="0" applyBorder="0" applyAlignment="0" applyProtection="0"/>
    <xf numFmtId="0" fontId="19" fillId="43" borderId="27" applyNumberFormat="0" applyAlignment="0" applyProtection="0"/>
    <xf numFmtId="0" fontId="19" fillId="43" borderId="27" applyNumberFormat="0" applyAlignment="0" applyProtection="0"/>
    <xf numFmtId="0" fontId="19" fillId="43" borderId="27" applyNumberFormat="0" applyAlignment="0" applyProtection="0"/>
    <xf numFmtId="0" fontId="19" fillId="43" borderId="27" applyNumberFormat="0" applyAlignment="0" applyProtection="0"/>
    <xf numFmtId="0" fontId="19" fillId="43" borderId="27" applyNumberFormat="0" applyAlignment="0" applyProtection="0"/>
    <xf numFmtId="0" fontId="19" fillId="43" borderId="27" applyNumberFormat="0" applyAlignment="0" applyProtection="0"/>
    <xf numFmtId="0" fontId="20" fillId="44" borderId="28" applyNumberFormat="0" applyAlignment="0" applyProtection="0"/>
    <xf numFmtId="0" fontId="20" fillId="44" borderId="28" applyNumberFormat="0" applyAlignment="0" applyProtection="0"/>
    <xf numFmtId="0" fontId="20" fillId="44" borderId="28" applyNumberFormat="0" applyAlignment="0" applyProtection="0"/>
    <xf numFmtId="0" fontId="20" fillId="44" borderId="28" applyNumberFormat="0" applyAlignment="0" applyProtection="0"/>
    <xf numFmtId="0" fontId="20" fillId="44" borderId="28" applyNumberFormat="0" applyAlignment="0" applyProtection="0"/>
    <xf numFmtId="0" fontId="20" fillId="44" borderId="28" applyNumberFormat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23" fillId="0" borderId="29" applyNumberFormat="0" applyFill="0" applyAlignment="0" applyProtection="0"/>
    <xf numFmtId="0" fontId="23" fillId="0" borderId="29" applyNumberFormat="0" applyFill="0" applyAlignment="0" applyProtection="0"/>
    <xf numFmtId="0" fontId="23" fillId="0" borderId="29" applyNumberFormat="0" applyFill="0" applyAlignment="0" applyProtection="0"/>
    <xf numFmtId="0" fontId="23" fillId="0" borderId="29" applyNumberFormat="0" applyFill="0" applyAlignment="0" applyProtection="0"/>
    <xf numFmtId="0" fontId="23" fillId="0" borderId="29" applyNumberFormat="0" applyFill="0" applyAlignment="0" applyProtection="0"/>
    <xf numFmtId="0" fontId="23" fillId="0" borderId="29" applyNumberFormat="0" applyFill="0" applyAlignment="0" applyProtection="0"/>
    <xf numFmtId="0" fontId="24" fillId="0" borderId="30" applyNumberFormat="0" applyFill="0" applyAlignment="0" applyProtection="0"/>
    <xf numFmtId="0" fontId="24" fillId="0" borderId="30" applyNumberFormat="0" applyFill="0" applyAlignment="0" applyProtection="0"/>
    <xf numFmtId="0" fontId="24" fillId="0" borderId="30" applyNumberFormat="0" applyFill="0" applyAlignment="0" applyProtection="0"/>
    <xf numFmtId="0" fontId="24" fillId="0" borderId="30" applyNumberFormat="0" applyFill="0" applyAlignment="0" applyProtection="0"/>
    <xf numFmtId="0" fontId="24" fillId="0" borderId="30" applyNumberFormat="0" applyFill="0" applyAlignment="0" applyProtection="0"/>
    <xf numFmtId="0" fontId="24" fillId="0" borderId="30" applyNumberFormat="0" applyFill="0" applyAlignment="0" applyProtection="0"/>
    <xf numFmtId="0" fontId="25" fillId="0" borderId="31" applyNumberFormat="0" applyFill="0" applyAlignment="0" applyProtection="0"/>
    <xf numFmtId="0" fontId="25" fillId="0" borderId="31" applyNumberFormat="0" applyFill="0" applyAlignment="0" applyProtection="0"/>
    <xf numFmtId="0" fontId="25" fillId="0" borderId="31" applyNumberFormat="0" applyFill="0" applyAlignment="0" applyProtection="0"/>
    <xf numFmtId="0" fontId="25" fillId="0" borderId="31" applyNumberFormat="0" applyFill="0" applyAlignment="0" applyProtection="0"/>
    <xf numFmtId="0" fontId="25" fillId="0" borderId="31" applyNumberFormat="0" applyFill="0" applyAlignment="0" applyProtection="0"/>
    <xf numFmtId="0" fontId="25" fillId="0" borderId="31" applyNumberFormat="0" applyFill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30" borderId="27" applyNumberFormat="0" applyAlignment="0" applyProtection="0"/>
    <xf numFmtId="0" fontId="26" fillId="30" borderId="27" applyNumberFormat="0" applyAlignment="0" applyProtection="0"/>
    <xf numFmtId="0" fontId="26" fillId="30" borderId="27" applyNumberFormat="0" applyAlignment="0" applyProtection="0"/>
    <xf numFmtId="0" fontId="26" fillId="30" borderId="27" applyNumberFormat="0" applyAlignment="0" applyProtection="0"/>
    <xf numFmtId="0" fontId="26" fillId="30" borderId="27" applyNumberFormat="0" applyAlignment="0" applyProtection="0"/>
    <xf numFmtId="0" fontId="26" fillId="30" borderId="27" applyNumberFormat="0" applyAlignment="0" applyProtection="0"/>
    <xf numFmtId="0" fontId="27" fillId="0" borderId="32" applyNumberFormat="0" applyFill="0" applyAlignment="0" applyProtection="0"/>
    <xf numFmtId="0" fontId="27" fillId="0" borderId="32" applyNumberFormat="0" applyFill="0" applyAlignment="0" applyProtection="0"/>
    <xf numFmtId="0" fontId="27" fillId="0" borderId="32" applyNumberFormat="0" applyFill="0" applyAlignment="0" applyProtection="0"/>
    <xf numFmtId="0" fontId="27" fillId="0" borderId="32" applyNumberFormat="0" applyFill="0" applyAlignment="0" applyProtection="0"/>
    <xf numFmtId="0" fontId="27" fillId="0" borderId="32" applyNumberFormat="0" applyFill="0" applyAlignment="0" applyProtection="0"/>
    <xf numFmtId="0" fontId="27" fillId="0" borderId="32" applyNumberFormat="0" applyFill="0" applyAlignment="0" applyProtection="0"/>
    <xf numFmtId="0" fontId="28" fillId="45" borderId="0" applyNumberFormat="0" applyBorder="0" applyAlignment="0" applyProtection="0"/>
    <xf numFmtId="0" fontId="28" fillId="45" borderId="0" applyNumberFormat="0" applyBorder="0" applyAlignment="0" applyProtection="0"/>
    <xf numFmtId="0" fontId="28" fillId="45" borderId="0" applyNumberFormat="0" applyBorder="0" applyAlignment="0" applyProtection="0"/>
    <xf numFmtId="0" fontId="28" fillId="45" borderId="0" applyNumberFormat="0" applyBorder="0" applyAlignment="0" applyProtection="0"/>
    <xf numFmtId="0" fontId="28" fillId="45" borderId="0" applyNumberFormat="0" applyBorder="0" applyAlignment="0" applyProtection="0"/>
    <xf numFmtId="0" fontId="28" fillId="45" borderId="0" applyNumberFormat="0" applyBorder="0" applyAlignment="0" applyProtection="0"/>
    <xf numFmtId="0" fontId="29" fillId="2" borderId="0" applyNumberFormat="0" applyBorder="0" applyAlignment="0" applyProtection="0"/>
    <xf numFmtId="0" fontId="29" fillId="2" borderId="0" applyNumberFormat="0" applyBorder="0" applyAlignment="0" applyProtection="0"/>
    <xf numFmtId="0" fontId="29" fillId="2" borderId="0" applyNumberFormat="0" applyBorder="0" applyAlignment="0" applyProtection="0"/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1" fillId="0" borderId="0"/>
    <xf numFmtId="0" fontId="5" fillId="0" borderId="0"/>
    <xf numFmtId="0" fontId="5" fillId="0" borderId="0"/>
    <xf numFmtId="0" fontId="1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3" borderId="1" applyNumberFormat="0" applyFont="0" applyAlignment="0" applyProtection="0"/>
    <xf numFmtId="0" fontId="1" fillId="3" borderId="1" applyNumberFormat="0" applyFont="0" applyAlignment="0" applyProtection="0"/>
    <xf numFmtId="0" fontId="1" fillId="3" borderId="1" applyNumberFormat="0" applyFont="0" applyAlignment="0" applyProtection="0"/>
    <xf numFmtId="0" fontId="1" fillId="3" borderId="1" applyNumberFormat="0" applyFont="0" applyAlignment="0" applyProtection="0"/>
    <xf numFmtId="0" fontId="5" fillId="46" borderId="33" applyNumberFormat="0" applyFont="0" applyAlignment="0" applyProtection="0"/>
    <xf numFmtId="0" fontId="5" fillId="46" borderId="33" applyNumberFormat="0" applyFont="0" applyAlignment="0" applyProtection="0"/>
    <xf numFmtId="0" fontId="5" fillId="46" borderId="33" applyNumberFormat="0" applyFont="0" applyAlignment="0" applyProtection="0"/>
    <xf numFmtId="0" fontId="5" fillId="46" borderId="33" applyNumberFormat="0" applyFont="0" applyAlignment="0" applyProtection="0"/>
    <xf numFmtId="0" fontId="5" fillId="46" borderId="33" applyNumberFormat="0" applyFont="0" applyAlignment="0" applyProtection="0"/>
    <xf numFmtId="0" fontId="5" fillId="46" borderId="33" applyNumberFormat="0" applyFont="0" applyAlignment="0" applyProtection="0"/>
    <xf numFmtId="0" fontId="1" fillId="3" borderId="1" applyNumberFormat="0" applyFont="0" applyAlignment="0" applyProtection="0"/>
    <xf numFmtId="0" fontId="1" fillId="3" borderId="1" applyNumberFormat="0" applyFont="0" applyAlignment="0" applyProtection="0"/>
    <xf numFmtId="0" fontId="1" fillId="3" borderId="1" applyNumberFormat="0" applyFont="0" applyAlignment="0" applyProtection="0"/>
    <xf numFmtId="0" fontId="1" fillId="3" borderId="1" applyNumberFormat="0" applyFont="0" applyAlignment="0" applyProtection="0"/>
    <xf numFmtId="0" fontId="1" fillId="3" borderId="1" applyNumberFormat="0" applyFont="0" applyAlignment="0" applyProtection="0"/>
    <xf numFmtId="0" fontId="1" fillId="3" borderId="1" applyNumberFormat="0" applyFont="0" applyAlignment="0" applyProtection="0"/>
    <xf numFmtId="0" fontId="1" fillId="3" borderId="1" applyNumberFormat="0" applyFont="0" applyAlignment="0" applyProtection="0"/>
    <xf numFmtId="0" fontId="1" fillId="3" borderId="1" applyNumberFormat="0" applyFont="0" applyAlignment="0" applyProtection="0"/>
    <xf numFmtId="0" fontId="1" fillId="3" borderId="1" applyNumberFormat="0" applyFont="0" applyAlignment="0" applyProtection="0"/>
    <xf numFmtId="0" fontId="1" fillId="3" borderId="1" applyNumberFormat="0" applyFont="0" applyAlignment="0" applyProtection="0"/>
    <xf numFmtId="0" fontId="1" fillId="3" borderId="1" applyNumberFormat="0" applyFont="0" applyAlignment="0" applyProtection="0"/>
    <xf numFmtId="0" fontId="1" fillId="3" borderId="1" applyNumberFormat="0" applyFont="0" applyAlignment="0" applyProtection="0"/>
    <xf numFmtId="0" fontId="1" fillId="3" borderId="1" applyNumberFormat="0" applyFont="0" applyAlignment="0" applyProtection="0"/>
    <xf numFmtId="0" fontId="1" fillId="3" borderId="1" applyNumberFormat="0" applyFont="0" applyAlignment="0" applyProtection="0"/>
    <xf numFmtId="0" fontId="1" fillId="3" borderId="1" applyNumberFormat="0" applyFont="0" applyAlignment="0" applyProtection="0"/>
    <xf numFmtId="0" fontId="1" fillId="3" borderId="1" applyNumberFormat="0" applyFont="0" applyAlignment="0" applyProtection="0"/>
    <xf numFmtId="0" fontId="1" fillId="3" borderId="1" applyNumberFormat="0" applyFont="0" applyAlignment="0" applyProtection="0"/>
    <xf numFmtId="0" fontId="1" fillId="3" borderId="1" applyNumberFormat="0" applyFont="0" applyAlignment="0" applyProtection="0"/>
    <xf numFmtId="0" fontId="30" fillId="43" borderId="34" applyNumberFormat="0" applyAlignment="0" applyProtection="0"/>
    <xf numFmtId="0" fontId="30" fillId="43" borderId="34" applyNumberFormat="0" applyAlignment="0" applyProtection="0"/>
    <xf numFmtId="0" fontId="30" fillId="43" borderId="34" applyNumberFormat="0" applyAlignment="0" applyProtection="0"/>
    <xf numFmtId="0" fontId="30" fillId="43" borderId="34" applyNumberFormat="0" applyAlignment="0" applyProtection="0"/>
    <xf numFmtId="0" fontId="30" fillId="43" borderId="34" applyNumberFormat="0" applyAlignment="0" applyProtection="0"/>
    <xf numFmtId="0" fontId="30" fillId="43" borderId="34" applyNumberFormat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35" applyNumberFormat="0" applyFill="0" applyAlignment="0" applyProtection="0"/>
    <xf numFmtId="0" fontId="33" fillId="0" borderId="35" applyNumberFormat="0" applyFill="0" applyAlignment="0" applyProtection="0"/>
    <xf numFmtId="0" fontId="33" fillId="0" borderId="35" applyNumberFormat="0" applyFill="0" applyAlignment="0" applyProtection="0"/>
    <xf numFmtId="0" fontId="33" fillId="0" borderId="35" applyNumberFormat="0" applyFill="0" applyAlignment="0" applyProtection="0"/>
    <xf numFmtId="0" fontId="33" fillId="0" borderId="35" applyNumberFormat="0" applyFill="0" applyAlignment="0" applyProtection="0"/>
    <xf numFmtId="0" fontId="33" fillId="0" borderId="35" applyNumberFormat="0" applyFill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</cellStyleXfs>
  <cellXfs count="237">
    <xf numFmtId="0" fontId="0" fillId="0" borderId="0" xfId="0"/>
    <xf numFmtId="0" fontId="3" fillId="0" borderId="2" xfId="0" applyFont="1" applyFill="1" applyBorder="1"/>
    <xf numFmtId="0" fontId="3" fillId="0" borderId="2" xfId="0" applyFont="1" applyFill="1" applyBorder="1" applyAlignment="1">
      <alignment horizontal="left"/>
    </xf>
    <xf numFmtId="0" fontId="3" fillId="0" borderId="2" xfId="0" applyFont="1" applyFill="1" applyBorder="1" applyAlignment="1">
      <alignment horizontal="left" vertical="top"/>
    </xf>
    <xf numFmtId="0" fontId="6" fillId="0" borderId="2" xfId="1" applyFont="1" applyFill="1" applyBorder="1"/>
    <xf numFmtId="0" fontId="4" fillId="0" borderId="2" xfId="1" applyFont="1" applyFill="1" applyBorder="1"/>
    <xf numFmtId="0" fontId="4" fillId="0" borderId="7" xfId="1" applyFont="1" applyFill="1" applyBorder="1"/>
    <xf numFmtId="0" fontId="4" fillId="0" borderId="7" xfId="1" applyFont="1" applyFill="1" applyBorder="1" applyAlignment="1">
      <alignment horizontal="left"/>
    </xf>
    <xf numFmtId="0" fontId="3" fillId="0" borderId="2" xfId="1" applyFont="1" applyFill="1" applyBorder="1" applyAlignment="1">
      <alignment horizontal="center"/>
    </xf>
    <xf numFmtId="0" fontId="3" fillId="0" borderId="10" xfId="2" applyFont="1" applyFill="1" applyBorder="1" applyAlignment="1">
      <alignment horizontal="center"/>
    </xf>
    <xf numFmtId="164" fontId="7" fillId="22" borderId="10" xfId="2" applyNumberFormat="1" applyFont="1" applyFill="1" applyBorder="1" applyAlignment="1">
      <alignment horizontal="center"/>
    </xf>
    <xf numFmtId="0" fontId="7" fillId="0" borderId="11" xfId="2" applyFont="1" applyFill="1" applyBorder="1" applyAlignment="1">
      <alignment horizontal="center"/>
    </xf>
    <xf numFmtId="0" fontId="7" fillId="0" borderId="0" xfId="2" applyFont="1" applyFill="1" applyBorder="1" applyAlignment="1">
      <alignment horizontal="center"/>
    </xf>
    <xf numFmtId="0" fontId="7" fillId="0" borderId="12" xfId="2" applyFont="1" applyFill="1" applyBorder="1" applyAlignment="1">
      <alignment horizontal="center"/>
    </xf>
    <xf numFmtId="0" fontId="3" fillId="0" borderId="15" xfId="1" applyFont="1" applyFill="1" applyBorder="1"/>
    <xf numFmtId="0" fontId="3" fillId="0" borderId="16" xfId="1" applyFont="1" applyFill="1" applyBorder="1"/>
    <xf numFmtId="0" fontId="3" fillId="0" borderId="17" xfId="1" applyFont="1" applyFill="1" applyBorder="1"/>
    <xf numFmtId="0" fontId="3" fillId="0" borderId="19" xfId="1" applyFont="1" applyFill="1" applyBorder="1"/>
    <xf numFmtId="0" fontId="3" fillId="0" borderId="13" xfId="1" applyFont="1" applyFill="1" applyBorder="1"/>
    <xf numFmtId="0" fontId="3" fillId="0" borderId="14" xfId="1" applyFont="1" applyFill="1" applyBorder="1"/>
    <xf numFmtId="0" fontId="7" fillId="0" borderId="16" xfId="1" applyFont="1" applyFill="1" applyBorder="1"/>
    <xf numFmtId="0" fontId="3" fillId="0" borderId="11" xfId="1" applyFont="1" applyFill="1" applyBorder="1"/>
    <xf numFmtId="0" fontId="3" fillId="0" borderId="0" xfId="1" applyFont="1" applyFill="1" applyBorder="1"/>
    <xf numFmtId="0" fontId="3" fillId="0" borderId="2" xfId="1" applyFont="1" applyFill="1" applyBorder="1" applyAlignment="1">
      <alignment horizontal="center" vertical="top"/>
    </xf>
    <xf numFmtId="0" fontId="3" fillId="0" borderId="26" xfId="1" applyFont="1" applyFill="1" applyBorder="1" applyAlignment="1">
      <alignment horizontal="center"/>
    </xf>
    <xf numFmtId="0" fontId="3" fillId="0" borderId="11" xfId="1" applyFont="1" applyFill="1" applyBorder="1" applyAlignment="1"/>
    <xf numFmtId="0" fontId="3" fillId="0" borderId="0" xfId="1" applyFont="1" applyFill="1" applyBorder="1" applyAlignment="1"/>
    <xf numFmtId="0" fontId="3" fillId="22" borderId="2" xfId="0" applyFont="1" applyFill="1" applyBorder="1" applyAlignment="1">
      <alignment horizontal="center" vertical="center"/>
    </xf>
    <xf numFmtId="0" fontId="9" fillId="22" borderId="2" xfId="0" applyFont="1" applyFill="1" applyBorder="1" applyAlignment="1">
      <alignment horizontal="center"/>
    </xf>
    <xf numFmtId="0" fontId="9" fillId="0" borderId="2" xfId="0" applyFont="1" applyBorder="1"/>
    <xf numFmtId="164" fontId="3" fillId="22" borderId="2" xfId="0" applyNumberFormat="1" applyFont="1" applyFill="1" applyBorder="1" applyAlignment="1">
      <alignment horizontal="center"/>
    </xf>
    <xf numFmtId="0" fontId="9" fillId="22" borderId="2" xfId="0" applyFont="1" applyFill="1" applyBorder="1"/>
    <xf numFmtId="0" fontId="3" fillId="22" borderId="2" xfId="0" applyFont="1" applyFill="1" applyBorder="1" applyAlignment="1">
      <alignment horizontal="center" vertical="top"/>
    </xf>
    <xf numFmtId="2" fontId="3" fillId="22" borderId="2" xfId="0" applyNumberFormat="1" applyFont="1" applyFill="1" applyBorder="1" applyAlignment="1">
      <alignment horizontal="center" vertical="top"/>
    </xf>
    <xf numFmtId="164" fontId="3" fillId="22" borderId="2" xfId="0" applyNumberFormat="1" applyFont="1" applyFill="1" applyBorder="1" applyAlignment="1">
      <alignment horizontal="center" vertical="top"/>
    </xf>
    <xf numFmtId="0" fontId="0" fillId="22" borderId="0" xfId="0" applyFill="1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3" fillId="22" borderId="2" xfId="0" applyFont="1" applyFill="1" applyBorder="1"/>
    <xf numFmtId="1" fontId="9" fillId="22" borderId="2" xfId="0" applyNumberFormat="1" applyFont="1" applyFill="1" applyBorder="1" applyAlignment="1">
      <alignment horizontal="right"/>
    </xf>
    <xf numFmtId="0" fontId="0" fillId="0" borderId="0" xfId="0" applyBorder="1"/>
    <xf numFmtId="0" fontId="3" fillId="22" borderId="2" xfId="0" applyFont="1" applyFill="1" applyBorder="1" applyAlignment="1">
      <alignment horizontal="center"/>
    </xf>
    <xf numFmtId="164" fontId="9" fillId="22" borderId="2" xfId="0" applyNumberFormat="1" applyFont="1" applyFill="1" applyBorder="1" applyAlignment="1">
      <alignment horizontal="right"/>
    </xf>
    <xf numFmtId="164" fontId="2" fillId="0" borderId="2" xfId="0" applyNumberFormat="1" applyFont="1" applyBorder="1" applyAlignment="1">
      <alignment horizontal="center"/>
    </xf>
    <xf numFmtId="0" fontId="7" fillId="0" borderId="0" xfId="0" applyFont="1" applyFill="1"/>
    <xf numFmtId="0" fontId="3" fillId="0" borderId="0" xfId="0" applyFont="1" applyFill="1"/>
    <xf numFmtId="0" fontId="9" fillId="22" borderId="2" xfId="0" applyFont="1" applyFill="1" applyBorder="1" applyAlignment="1">
      <alignment horizontal="right"/>
    </xf>
    <xf numFmtId="0" fontId="10" fillId="22" borderId="2" xfId="0" applyFont="1" applyFill="1" applyBorder="1" applyAlignment="1">
      <alignment horizontal="center" vertical="center"/>
    </xf>
    <xf numFmtId="0" fontId="11" fillId="22" borderId="2" xfId="0" applyFont="1" applyFill="1" applyBorder="1" applyAlignment="1">
      <alignment horizontal="center"/>
    </xf>
    <xf numFmtId="0" fontId="11" fillId="0" borderId="2" xfId="0" applyFont="1" applyBorder="1"/>
    <xf numFmtId="0" fontId="11" fillId="22" borderId="2" xfId="0" applyFont="1" applyFill="1" applyBorder="1"/>
    <xf numFmtId="2" fontId="11" fillId="22" borderId="2" xfId="0" applyNumberFormat="1" applyFont="1" applyFill="1" applyBorder="1" applyAlignment="1">
      <alignment horizontal="center"/>
    </xf>
    <xf numFmtId="164" fontId="10" fillId="22" borderId="2" xfId="0" applyNumberFormat="1" applyFont="1" applyFill="1" applyBorder="1" applyAlignment="1">
      <alignment horizontal="right"/>
    </xf>
    <xf numFmtId="0" fontId="10" fillId="0" borderId="2" xfId="0" applyFont="1" applyBorder="1" applyAlignment="1">
      <alignment horizontal="center" vertical="top"/>
    </xf>
    <xf numFmtId="0" fontId="9" fillId="22" borderId="0" xfId="0" applyFont="1" applyFill="1" applyBorder="1"/>
    <xf numFmtId="0" fontId="13" fillId="23" borderId="2" xfId="0" applyFont="1" applyFill="1" applyBorder="1" applyAlignment="1">
      <alignment horizontal="center" vertical="top"/>
    </xf>
    <xf numFmtId="0" fontId="10" fillId="24" borderId="2" xfId="0" applyFont="1" applyFill="1" applyBorder="1" applyAlignment="1">
      <alignment horizontal="center" vertical="center"/>
    </xf>
    <xf numFmtId="0" fontId="10" fillId="0" borderId="2" xfId="0" applyFont="1" applyBorder="1" applyAlignment="1">
      <alignment horizontal="left" vertical="top"/>
    </xf>
    <xf numFmtId="0" fontId="12" fillId="22" borderId="2" xfId="0" applyFont="1" applyFill="1" applyBorder="1" applyAlignment="1">
      <alignment horizontal="center"/>
    </xf>
    <xf numFmtId="0" fontId="12" fillId="0" borderId="2" xfId="0" applyFont="1" applyBorder="1" applyAlignment="1">
      <alignment horizontal="center"/>
    </xf>
    <xf numFmtId="0" fontId="10" fillId="0" borderId="0" xfId="2" applyFont="1" applyFill="1" applyBorder="1" applyAlignment="1">
      <alignment horizontal="center"/>
    </xf>
    <xf numFmtId="164" fontId="15" fillId="22" borderId="0" xfId="2" applyNumberFormat="1" applyFont="1" applyFill="1" applyBorder="1" applyAlignment="1">
      <alignment horizontal="center"/>
    </xf>
    <xf numFmtId="164" fontId="11" fillId="22" borderId="2" xfId="0" applyNumberFormat="1" applyFont="1" applyFill="1" applyBorder="1"/>
    <xf numFmtId="1" fontId="11" fillId="22" borderId="2" xfId="0" applyNumberFormat="1" applyFont="1" applyFill="1" applyBorder="1"/>
    <xf numFmtId="0" fontId="11" fillId="22" borderId="0" xfId="0" applyFont="1" applyFill="1" applyBorder="1"/>
    <xf numFmtId="0" fontId="14" fillId="22" borderId="2" xfId="0" applyFont="1" applyFill="1" applyBorder="1"/>
    <xf numFmtId="164" fontId="12" fillId="22" borderId="2" xfId="0" applyNumberFormat="1" applyFont="1" applyFill="1" applyBorder="1" applyAlignment="1">
      <alignment horizontal="right"/>
    </xf>
    <xf numFmtId="0" fontId="12" fillId="22" borderId="2" xfId="0" applyFont="1" applyFill="1" applyBorder="1" applyAlignment="1">
      <alignment horizontal="right"/>
    </xf>
    <xf numFmtId="0" fontId="11" fillId="22" borderId="2" xfId="0" applyFont="1" applyFill="1" applyBorder="1" applyAlignment="1">
      <alignment horizontal="right"/>
    </xf>
    <xf numFmtId="164" fontId="11" fillId="22" borderId="2" xfId="0" applyNumberFormat="1" applyFont="1" applyFill="1" applyBorder="1" applyAlignment="1">
      <alignment horizontal="right"/>
    </xf>
    <xf numFmtId="1" fontId="11" fillId="22" borderId="2" xfId="0" applyNumberFormat="1" applyFont="1" applyFill="1" applyBorder="1" applyAlignment="1">
      <alignment horizontal="right"/>
    </xf>
    <xf numFmtId="164" fontId="11" fillId="0" borderId="0" xfId="0" applyNumberFormat="1" applyFont="1" applyBorder="1"/>
    <xf numFmtId="2" fontId="11" fillId="22" borderId="2" xfId="0" applyNumberFormat="1" applyFont="1" applyFill="1" applyBorder="1"/>
    <xf numFmtId="164" fontId="0" fillId="0" borderId="0" xfId="0" applyNumberFormat="1" applyBorder="1"/>
    <xf numFmtId="164" fontId="13" fillId="23" borderId="0" xfId="0" applyNumberFormat="1" applyFont="1" applyFill="1" applyBorder="1" applyAlignment="1">
      <alignment horizontal="right" vertical="top"/>
    </xf>
    <xf numFmtId="0" fontId="3" fillId="22" borderId="0" xfId="0" applyFont="1" applyFill="1" applyAlignment="1">
      <alignment horizontal="center"/>
    </xf>
    <xf numFmtId="0" fontId="3" fillId="22" borderId="0" xfId="0" applyFont="1" applyFill="1"/>
    <xf numFmtId="2" fontId="3" fillId="22" borderId="0" xfId="0" applyNumberFormat="1" applyFont="1" applyFill="1" applyAlignment="1">
      <alignment horizontal="center"/>
    </xf>
    <xf numFmtId="164" fontId="3" fillId="22" borderId="0" xfId="0" applyNumberFormat="1" applyFont="1" applyFill="1"/>
    <xf numFmtId="0" fontId="3" fillId="22" borderId="0" xfId="0" applyFont="1" applyFill="1" applyAlignment="1">
      <alignment horizontal="right"/>
    </xf>
    <xf numFmtId="0" fontId="0" fillId="22" borderId="0" xfId="0" applyFill="1" applyBorder="1"/>
    <xf numFmtId="2" fontId="3" fillId="22" borderId="2" xfId="0" applyNumberFormat="1" applyFont="1" applyFill="1" applyBorder="1" applyAlignment="1">
      <alignment horizontal="center"/>
    </xf>
    <xf numFmtId="0" fontId="3" fillId="22" borderId="3" xfId="0" applyFont="1" applyFill="1" applyBorder="1" applyAlignment="1">
      <alignment horizontal="right"/>
    </xf>
    <xf numFmtId="0" fontId="3" fillId="22" borderId="2" xfId="0" applyFont="1" applyFill="1" applyBorder="1" applyAlignment="1">
      <alignment horizontal="center" vertical="top" wrapText="1"/>
    </xf>
    <xf numFmtId="0" fontId="3" fillId="22" borderId="2" xfId="0" applyFont="1" applyFill="1" applyBorder="1" applyAlignment="1">
      <alignment horizontal="right" vertical="top" wrapText="1"/>
    </xf>
    <xf numFmtId="164" fontId="3" fillId="22" borderId="2" xfId="0" applyNumberFormat="1" applyFont="1" applyFill="1" applyBorder="1" applyAlignment="1">
      <alignment horizontal="center" vertical="top" wrapText="1"/>
    </xf>
    <xf numFmtId="0" fontId="3" fillId="22" borderId="0" xfId="0" applyFont="1" applyFill="1" applyBorder="1" applyAlignment="1">
      <alignment horizontal="center" vertical="top" wrapText="1"/>
    </xf>
    <xf numFmtId="0" fontId="13" fillId="22" borderId="2" xfId="0" applyFont="1" applyFill="1" applyBorder="1" applyAlignment="1">
      <alignment vertical="top"/>
    </xf>
    <xf numFmtId="2" fontId="13" fillId="22" borderId="2" xfId="0" applyNumberFormat="1" applyFont="1" applyFill="1" applyBorder="1" applyAlignment="1">
      <alignment horizontal="center" vertical="top"/>
    </xf>
    <xf numFmtId="164" fontId="13" fillId="22" borderId="2" xfId="0" applyNumberFormat="1" applyFont="1" applyFill="1" applyBorder="1" applyAlignment="1">
      <alignment horizontal="right" vertical="top"/>
    </xf>
    <xf numFmtId="0" fontId="13" fillId="22" borderId="2" xfId="0" applyFont="1" applyFill="1" applyBorder="1" applyAlignment="1">
      <alignment horizontal="right" vertical="top"/>
    </xf>
    <xf numFmtId="164" fontId="0" fillId="22" borderId="0" xfId="0" applyNumberFormat="1" applyFill="1" applyBorder="1"/>
    <xf numFmtId="1" fontId="11" fillId="22" borderId="0" xfId="0" applyNumberFormat="1" applyFont="1" applyFill="1" applyBorder="1"/>
    <xf numFmtId="164" fontId="11" fillId="22" borderId="0" xfId="0" applyNumberFormat="1" applyFont="1" applyFill="1" applyBorder="1"/>
    <xf numFmtId="1" fontId="13" fillId="22" borderId="2" xfId="0" applyNumberFormat="1" applyFont="1" applyFill="1" applyBorder="1" applyAlignment="1">
      <alignment horizontal="right" vertical="top"/>
    </xf>
    <xf numFmtId="1" fontId="13" fillId="22" borderId="0" xfId="0" applyNumberFormat="1" applyFont="1" applyFill="1" applyBorder="1" applyAlignment="1">
      <alignment horizontal="right" vertical="top"/>
    </xf>
    <xf numFmtId="164" fontId="13" fillId="22" borderId="0" xfId="0" applyNumberFormat="1" applyFont="1" applyFill="1" applyBorder="1" applyAlignment="1">
      <alignment horizontal="right" vertical="top"/>
    </xf>
    <xf numFmtId="0" fontId="13" fillId="22" borderId="0" xfId="0" applyFont="1" applyFill="1" applyBorder="1" applyAlignment="1">
      <alignment horizontal="right" vertical="top"/>
    </xf>
    <xf numFmtId="2" fontId="12" fillId="22" borderId="2" xfId="0" applyNumberFormat="1" applyFont="1" applyFill="1" applyBorder="1" applyAlignment="1">
      <alignment horizontal="right"/>
    </xf>
    <xf numFmtId="0" fontId="4" fillId="22" borderId="2" xfId="1" applyFont="1" applyFill="1" applyBorder="1" applyAlignment="1">
      <alignment horizontal="center"/>
    </xf>
    <xf numFmtId="0" fontId="4" fillId="22" borderId="2" xfId="1" applyFont="1" applyFill="1" applyBorder="1"/>
    <xf numFmtId="2" fontId="4" fillId="22" borderId="2" xfId="1" applyNumberFormat="1" applyFont="1" applyFill="1" applyBorder="1" applyAlignment="1">
      <alignment horizontal="center"/>
    </xf>
    <xf numFmtId="0" fontId="4" fillId="22" borderId="2" xfId="1" applyFont="1" applyFill="1" applyBorder="1" applyAlignment="1">
      <alignment horizontal="right"/>
    </xf>
    <xf numFmtId="0" fontId="0" fillId="22" borderId="0" xfId="0" applyFill="1" applyBorder="1" applyAlignment="1">
      <alignment horizontal="center"/>
    </xf>
    <xf numFmtId="0" fontId="4" fillId="22" borderId="7" xfId="1" applyFont="1" applyFill="1" applyBorder="1" applyAlignment="1">
      <alignment horizontal="center"/>
    </xf>
    <xf numFmtId="2" fontId="4" fillId="22" borderId="7" xfId="1" applyNumberFormat="1" applyFont="1" applyFill="1" applyBorder="1" applyAlignment="1">
      <alignment horizontal="center"/>
    </xf>
    <xf numFmtId="0" fontId="4" fillId="22" borderId="7" xfId="1" applyFont="1" applyFill="1" applyBorder="1" applyAlignment="1">
      <alignment horizontal="right"/>
    </xf>
    <xf numFmtId="0" fontId="4" fillId="22" borderId="7" xfId="1" applyFont="1" applyFill="1" applyBorder="1"/>
    <xf numFmtId="0" fontId="4" fillId="22" borderId="8" xfId="1" applyFont="1" applyFill="1" applyBorder="1"/>
    <xf numFmtId="0" fontId="7" fillId="22" borderId="11" xfId="2" applyFont="1" applyFill="1" applyBorder="1" applyAlignment="1">
      <alignment horizontal="center"/>
    </xf>
    <xf numFmtId="0" fontId="7" fillId="22" borderId="12" xfId="2" applyFont="1" applyFill="1" applyBorder="1" applyAlignment="1">
      <alignment horizontal="center"/>
    </xf>
    <xf numFmtId="0" fontId="7" fillId="22" borderId="0" xfId="2" applyFont="1" applyFill="1" applyBorder="1" applyAlignment="1">
      <alignment horizontal="center"/>
    </xf>
    <xf numFmtId="0" fontId="7" fillId="22" borderId="12" xfId="2" applyFont="1" applyFill="1" applyBorder="1" applyAlignment="1">
      <alignment horizontal="right"/>
    </xf>
    <xf numFmtId="0" fontId="7" fillId="22" borderId="13" xfId="2" applyFont="1" applyFill="1" applyBorder="1" applyAlignment="1">
      <alignment horizontal="center"/>
    </xf>
    <xf numFmtId="0" fontId="7" fillId="22" borderId="14" xfId="2" applyFont="1" applyFill="1" applyBorder="1" applyAlignment="1">
      <alignment horizontal="center"/>
    </xf>
    <xf numFmtId="0" fontId="3" fillId="22" borderId="17" xfId="1" applyFont="1" applyFill="1" applyBorder="1" applyAlignment="1">
      <alignment horizontal="center"/>
    </xf>
    <xf numFmtId="0" fontId="3" fillId="22" borderId="18" xfId="1" applyFont="1" applyFill="1" applyBorder="1"/>
    <xf numFmtId="0" fontId="3" fillId="22" borderId="16" xfId="1" applyFont="1" applyFill="1" applyBorder="1" applyAlignment="1">
      <alignment horizontal="center"/>
    </xf>
    <xf numFmtId="2" fontId="3" fillId="22" borderId="17" xfId="1" applyNumberFormat="1" applyFont="1" applyFill="1" applyBorder="1" applyAlignment="1">
      <alignment horizontal="center"/>
    </xf>
    <xf numFmtId="0" fontId="3" fillId="22" borderId="17" xfId="1" applyFont="1" applyFill="1" applyBorder="1"/>
    <xf numFmtId="0" fontId="3" fillId="22" borderId="18" xfId="1" applyFont="1" applyFill="1" applyBorder="1" applyAlignment="1">
      <alignment horizontal="right"/>
    </xf>
    <xf numFmtId="0" fontId="3" fillId="22" borderId="14" xfId="1" applyFont="1" applyFill="1" applyBorder="1" applyAlignment="1">
      <alignment horizontal="center"/>
    </xf>
    <xf numFmtId="0" fontId="3" fillId="22" borderId="20" xfId="1" applyFont="1" applyFill="1" applyBorder="1"/>
    <xf numFmtId="0" fontId="3" fillId="22" borderId="13" xfId="1" applyFont="1" applyFill="1" applyBorder="1" applyAlignment="1">
      <alignment horizontal="center"/>
    </xf>
    <xf numFmtId="2" fontId="3" fillId="22" borderId="14" xfId="1" applyNumberFormat="1" applyFont="1" applyFill="1" applyBorder="1" applyAlignment="1">
      <alignment horizontal="center"/>
    </xf>
    <xf numFmtId="0" fontId="3" fillId="22" borderId="14" xfId="1" applyFont="1" applyFill="1" applyBorder="1"/>
    <xf numFmtId="0" fontId="3" fillId="22" borderId="20" xfId="1" applyFont="1" applyFill="1" applyBorder="1" applyAlignment="1">
      <alignment horizontal="right"/>
    </xf>
    <xf numFmtId="0" fontId="3" fillId="22" borderId="17" xfId="1" applyFont="1" applyFill="1" applyBorder="1" applyAlignment="1">
      <alignment horizontal="right"/>
    </xf>
    <xf numFmtId="0" fontId="3" fillId="22" borderId="0" xfId="1" applyFont="1" applyFill="1" applyBorder="1" applyAlignment="1">
      <alignment horizontal="center"/>
    </xf>
    <xf numFmtId="0" fontId="3" fillId="22" borderId="0" xfId="1" applyFont="1" applyFill="1" applyBorder="1"/>
    <xf numFmtId="2" fontId="3" fillId="22" borderId="0" xfId="1" applyNumberFormat="1" applyFont="1" applyFill="1" applyBorder="1" applyAlignment="1">
      <alignment horizontal="center"/>
    </xf>
    <xf numFmtId="0" fontId="3" fillId="22" borderId="0" xfId="1" applyFont="1" applyFill="1" applyBorder="1" applyAlignment="1">
      <alignment horizontal="right"/>
    </xf>
    <xf numFmtId="0" fontId="3" fillId="22" borderId="2" xfId="1" applyFont="1" applyFill="1" applyBorder="1" applyAlignment="1">
      <alignment horizontal="center" vertical="top"/>
    </xf>
    <xf numFmtId="0" fontId="3" fillId="22" borderId="3" xfId="1" applyFont="1" applyFill="1" applyBorder="1" applyAlignment="1">
      <alignment horizontal="center"/>
    </xf>
    <xf numFmtId="0" fontId="3" fillId="22" borderId="22" xfId="1" applyFont="1" applyFill="1" applyBorder="1" applyAlignment="1">
      <alignment horizontal="center"/>
    </xf>
    <xf numFmtId="0" fontId="8" fillId="22" borderId="0" xfId="1" applyFont="1" applyFill="1" applyBorder="1" applyAlignment="1">
      <alignment horizontal="center"/>
    </xf>
    <xf numFmtId="2" fontId="8" fillId="22" borderId="0" xfId="1" applyNumberFormat="1" applyFont="1" applyFill="1" applyBorder="1" applyAlignment="1">
      <alignment horizontal="center"/>
    </xf>
    <xf numFmtId="2" fontId="8" fillId="22" borderId="0" xfId="1" applyNumberFormat="1" applyFont="1" applyFill="1" applyBorder="1"/>
    <xf numFmtId="0" fontId="8" fillId="22" borderId="0" xfId="1" applyFont="1" applyFill="1" applyBorder="1" applyAlignment="1">
      <alignment horizontal="right"/>
    </xf>
    <xf numFmtId="164" fontId="8" fillId="22" borderId="0" xfId="1" applyNumberFormat="1" applyFont="1" applyFill="1" applyBorder="1" applyAlignment="1">
      <alignment horizontal="center"/>
    </xf>
    <xf numFmtId="0" fontId="3" fillId="22" borderId="0" xfId="1" applyFont="1" applyFill="1" applyBorder="1" applyAlignment="1"/>
    <xf numFmtId="164" fontId="3" fillId="22" borderId="0" xfId="1" applyNumberFormat="1" applyFont="1" applyFill="1" applyBorder="1" applyAlignment="1">
      <alignment horizontal="center"/>
    </xf>
    <xf numFmtId="0" fontId="3" fillId="22" borderId="14" xfId="1" applyFont="1" applyFill="1" applyBorder="1" applyAlignment="1">
      <alignment horizontal="right"/>
    </xf>
    <xf numFmtId="0" fontId="0" fillId="0" borderId="2" xfId="0" applyFont="1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0" fillId="0" borderId="2" xfId="0" applyBorder="1" applyAlignment="1">
      <alignment horizontal="center" vertical="center"/>
    </xf>
    <xf numFmtId="164" fontId="0" fillId="0" borderId="2" xfId="0" applyNumberFormat="1" applyFont="1" applyBorder="1" applyAlignment="1">
      <alignment horizontal="center" vertical="center"/>
    </xf>
    <xf numFmtId="0" fontId="0" fillId="0" borderId="2" xfId="0" applyFont="1" applyBorder="1" applyAlignment="1">
      <alignment horizontal="center" vertical="center"/>
    </xf>
    <xf numFmtId="0" fontId="0" fillId="22" borderId="2" xfId="0" applyFont="1" applyFill="1" applyBorder="1" applyAlignment="1">
      <alignment horizontal="center" vertical="center"/>
    </xf>
    <xf numFmtId="0" fontId="0" fillId="0" borderId="2" xfId="0" applyFont="1" applyBorder="1" applyAlignment="1">
      <alignment horizontal="center" vertical="center" wrapText="1"/>
    </xf>
    <xf numFmtId="165" fontId="0" fillId="0" borderId="2" xfId="0" applyNumberFormat="1" applyBorder="1" applyAlignment="1">
      <alignment horizontal="center" vertical="center" wrapText="1"/>
    </xf>
    <xf numFmtId="2" fontId="0" fillId="0" borderId="2" xfId="0" applyNumberFormat="1" applyFont="1" applyBorder="1" applyAlignment="1">
      <alignment horizontal="center" vertical="center" wrapText="1"/>
    </xf>
    <xf numFmtId="165" fontId="0" fillId="0" borderId="2" xfId="0" applyNumberFormat="1" applyFont="1" applyBorder="1" applyAlignment="1">
      <alignment horizontal="center" vertical="center"/>
    </xf>
    <xf numFmtId="164" fontId="0" fillId="0" borderId="2" xfId="0" applyNumberFormat="1" applyFont="1" applyBorder="1" applyAlignment="1">
      <alignment horizontal="center"/>
    </xf>
    <xf numFmtId="164" fontId="0" fillId="0" borderId="5" xfId="0" applyNumberFormat="1" applyFont="1" applyBorder="1" applyAlignment="1">
      <alignment horizontal="center" vertical="center" wrapText="1"/>
    </xf>
    <xf numFmtId="164" fontId="0" fillId="0" borderId="2" xfId="0" applyNumberFormat="1" applyFont="1" applyBorder="1" applyAlignment="1">
      <alignment horizontal="center" vertical="center" wrapText="1"/>
    </xf>
    <xf numFmtId="0" fontId="0" fillId="0" borderId="6" xfId="0" applyBorder="1" applyAlignment="1">
      <alignment horizontal="center"/>
    </xf>
    <xf numFmtId="164" fontId="0" fillId="0" borderId="6" xfId="0" applyNumberFormat="1" applyFont="1" applyBorder="1" applyAlignment="1">
      <alignment horizontal="center" vertical="center" wrapText="1"/>
    </xf>
    <xf numFmtId="165" fontId="0" fillId="0" borderId="2" xfId="0" applyNumberFormat="1" applyFont="1" applyBorder="1" applyAlignment="1">
      <alignment horizontal="center" vertical="center" wrapText="1"/>
    </xf>
    <xf numFmtId="164" fontId="2" fillId="0" borderId="2" xfId="0" applyNumberFormat="1" applyFont="1" applyBorder="1" applyAlignment="1">
      <alignment horizontal="center" vertical="center"/>
    </xf>
    <xf numFmtId="0" fontId="0" fillId="0" borderId="7" xfId="0" applyBorder="1" applyAlignment="1">
      <alignment horizontal="center"/>
    </xf>
    <xf numFmtId="164" fontId="0" fillId="0" borderId="7" xfId="0" applyNumberFormat="1" applyFont="1" applyBorder="1" applyAlignment="1">
      <alignment horizontal="center" vertical="center" wrapText="1"/>
    </xf>
    <xf numFmtId="165" fontId="0" fillId="22" borderId="2" xfId="0" applyNumberFormat="1" applyFont="1" applyFill="1" applyBorder="1" applyAlignment="1">
      <alignment horizontal="center" vertical="center" wrapText="1"/>
    </xf>
    <xf numFmtId="2" fontId="0" fillId="0" borderId="2" xfId="0" applyNumberFormat="1" applyBorder="1" applyAlignment="1">
      <alignment horizontal="center" vertical="center" wrapText="1"/>
    </xf>
    <xf numFmtId="0" fontId="0" fillId="22" borderId="2" xfId="0" applyFill="1" applyBorder="1" applyAlignment="1">
      <alignment horizontal="center"/>
    </xf>
    <xf numFmtId="0" fontId="0" fillId="22" borderId="2" xfId="0" applyFill="1" applyBorder="1" applyAlignment="1">
      <alignment horizontal="center" vertical="center"/>
    </xf>
    <xf numFmtId="164" fontId="0" fillId="22" borderId="2" xfId="0" applyNumberFormat="1" applyFill="1" applyBorder="1" applyAlignment="1">
      <alignment horizontal="center"/>
    </xf>
    <xf numFmtId="164" fontId="0" fillId="22" borderId="2" xfId="0" applyNumberFormat="1" applyFont="1" applyFill="1" applyBorder="1" applyAlignment="1">
      <alignment horizontal="center" vertical="center"/>
    </xf>
    <xf numFmtId="2" fontId="0" fillId="22" borderId="2" xfId="0" applyNumberFormat="1" applyFill="1" applyBorder="1" applyAlignment="1">
      <alignment horizontal="center"/>
    </xf>
    <xf numFmtId="0" fontId="0" fillId="22" borderId="2" xfId="0" applyFont="1" applyFill="1" applyBorder="1" applyAlignment="1">
      <alignment horizontal="center" vertical="center" wrapText="1"/>
    </xf>
    <xf numFmtId="165" fontId="0" fillId="22" borderId="2" xfId="0" applyNumberFormat="1" applyFill="1" applyBorder="1" applyAlignment="1">
      <alignment horizontal="center" vertical="center" wrapText="1"/>
    </xf>
    <xf numFmtId="165" fontId="0" fillId="22" borderId="2" xfId="0" applyNumberFormat="1" applyFont="1" applyFill="1" applyBorder="1" applyAlignment="1">
      <alignment horizontal="center" vertical="center"/>
    </xf>
    <xf numFmtId="164" fontId="0" fillId="22" borderId="2" xfId="0" applyNumberFormat="1" applyFont="1" applyFill="1" applyBorder="1" applyAlignment="1">
      <alignment horizontal="center"/>
    </xf>
    <xf numFmtId="164" fontId="0" fillId="22" borderId="5" xfId="0" applyNumberFormat="1" applyFont="1" applyFill="1" applyBorder="1" applyAlignment="1">
      <alignment horizontal="center" vertical="center" wrapText="1"/>
    </xf>
    <xf numFmtId="164" fontId="0" fillId="22" borderId="6" xfId="0" applyNumberFormat="1" applyFont="1" applyFill="1" applyBorder="1" applyAlignment="1">
      <alignment horizontal="center" vertical="center" wrapText="1"/>
    </xf>
    <xf numFmtId="0" fontId="2" fillId="22" borderId="2" xfId="0" applyFont="1" applyFill="1" applyBorder="1" applyAlignment="1">
      <alignment horizontal="center"/>
    </xf>
    <xf numFmtId="164" fontId="2" fillId="22" borderId="2" xfId="0" applyNumberFormat="1" applyFont="1" applyFill="1" applyBorder="1" applyAlignment="1">
      <alignment horizontal="center" vertical="center"/>
    </xf>
    <xf numFmtId="164" fontId="2" fillId="22" borderId="2" xfId="0" applyNumberFormat="1" applyFont="1" applyFill="1" applyBorder="1" applyAlignment="1">
      <alignment horizontal="center"/>
    </xf>
    <xf numFmtId="0" fontId="2" fillId="22" borderId="2" xfId="0" applyFont="1" applyFill="1" applyBorder="1" applyAlignment="1">
      <alignment horizontal="center" vertical="center"/>
    </xf>
    <xf numFmtId="2" fontId="2" fillId="22" borderId="2" xfId="0" applyNumberFormat="1" applyFont="1" applyFill="1" applyBorder="1" applyAlignment="1">
      <alignment horizontal="center"/>
    </xf>
    <xf numFmtId="0" fontId="2" fillId="22" borderId="2" xfId="0" applyFont="1" applyFill="1" applyBorder="1" applyAlignment="1">
      <alignment horizontal="center" vertical="center" wrapText="1"/>
    </xf>
    <xf numFmtId="165" fontId="2" fillId="22" borderId="2" xfId="0" applyNumberFormat="1" applyFont="1" applyFill="1" applyBorder="1" applyAlignment="1">
      <alignment horizontal="center" vertical="center" wrapText="1"/>
    </xf>
    <xf numFmtId="165" fontId="2" fillId="22" borderId="2" xfId="0" applyNumberFormat="1" applyFont="1" applyFill="1" applyBorder="1" applyAlignment="1">
      <alignment horizontal="center" vertical="center"/>
    </xf>
    <xf numFmtId="164" fontId="0" fillId="22" borderId="7" xfId="0" applyNumberFormat="1" applyFont="1" applyFill="1" applyBorder="1" applyAlignment="1">
      <alignment horizontal="center" vertical="center" wrapText="1"/>
    </xf>
    <xf numFmtId="164" fontId="2" fillId="0" borderId="3" xfId="0" applyNumberFormat="1" applyFont="1" applyBorder="1" applyAlignment="1">
      <alignment horizontal="center"/>
    </xf>
    <xf numFmtId="164" fontId="0" fillId="0" borderId="2" xfId="0" applyNumberFormat="1" applyFont="1" applyBorder="1"/>
    <xf numFmtId="0" fontId="3" fillId="22" borderId="0" xfId="1" applyFont="1" applyFill="1" applyBorder="1" applyAlignment="1">
      <alignment horizontal="center"/>
    </xf>
    <xf numFmtId="0" fontId="3" fillId="0" borderId="3" xfId="1" applyFont="1" applyFill="1" applyBorder="1" applyAlignment="1">
      <alignment horizontal="center"/>
    </xf>
    <xf numFmtId="0" fontId="3" fillId="0" borderId="4" xfId="1" applyFont="1" applyFill="1" applyBorder="1" applyAlignment="1">
      <alignment horizontal="center"/>
    </xf>
    <xf numFmtId="0" fontId="3" fillId="0" borderId="21" xfId="1" applyFont="1" applyFill="1" applyBorder="1" applyAlignment="1">
      <alignment horizontal="left" vertical="center"/>
    </xf>
    <xf numFmtId="0" fontId="3" fillId="0" borderId="4" xfId="1" applyFont="1" applyFill="1" applyBorder="1" applyAlignment="1">
      <alignment horizontal="left" vertical="center"/>
    </xf>
    <xf numFmtId="0" fontId="3" fillId="0" borderId="24" xfId="1" applyFont="1" applyFill="1" applyBorder="1" applyAlignment="1">
      <alignment horizontal="left" vertical="center"/>
    </xf>
    <xf numFmtId="0" fontId="3" fillId="0" borderId="25" xfId="1" applyFont="1" applyFill="1" applyBorder="1" applyAlignment="1">
      <alignment horizontal="left" vertical="center"/>
    </xf>
    <xf numFmtId="0" fontId="3" fillId="0" borderId="22" xfId="1" applyFont="1" applyFill="1" applyBorder="1" applyAlignment="1">
      <alignment horizontal="center"/>
    </xf>
    <xf numFmtId="0" fontId="3" fillId="0" borderId="25" xfId="1" applyFont="1" applyFill="1" applyBorder="1" applyAlignment="1">
      <alignment horizontal="center"/>
    </xf>
    <xf numFmtId="164" fontId="7" fillId="0" borderId="15" xfId="1" applyNumberFormat="1" applyFont="1" applyFill="1" applyBorder="1" applyAlignment="1">
      <alignment horizontal="center" vertical="center"/>
    </xf>
    <xf numFmtId="164" fontId="7" fillId="0" borderId="19" xfId="1" applyNumberFormat="1" applyFont="1" applyFill="1" applyBorder="1" applyAlignment="1">
      <alignment horizontal="center" vertical="center"/>
    </xf>
    <xf numFmtId="0" fontId="3" fillId="0" borderId="21" xfId="1" applyFont="1" applyFill="1" applyBorder="1" applyAlignment="1">
      <alignment horizontal="left" vertical="top"/>
    </xf>
    <xf numFmtId="0" fontId="3" fillId="0" borderId="4" xfId="1" applyFont="1" applyFill="1" applyBorder="1" applyAlignment="1">
      <alignment horizontal="left" vertical="top"/>
    </xf>
    <xf numFmtId="0" fontId="3" fillId="0" borderId="3" xfId="1" applyFont="1" applyFill="1" applyBorder="1" applyAlignment="1">
      <alignment horizontal="center" vertical="top"/>
    </xf>
    <xf numFmtId="0" fontId="3" fillId="0" borderId="4" xfId="1" applyFont="1" applyFill="1" applyBorder="1" applyAlignment="1">
      <alignment horizontal="center" vertical="top"/>
    </xf>
    <xf numFmtId="0" fontId="3" fillId="22" borderId="22" xfId="1" applyFont="1" applyFill="1" applyBorder="1" applyAlignment="1">
      <alignment horizontal="center" vertical="top"/>
    </xf>
    <xf numFmtId="0" fontId="3" fillId="22" borderId="23" xfId="1" applyFont="1" applyFill="1" applyBorder="1" applyAlignment="1">
      <alignment horizontal="center" vertical="top"/>
    </xf>
    <xf numFmtId="0" fontId="3" fillId="0" borderId="21" xfId="1" applyFont="1" applyFill="1" applyBorder="1" applyAlignment="1">
      <alignment horizontal="center"/>
    </xf>
    <xf numFmtId="2" fontId="3" fillId="22" borderId="16" xfId="1" applyNumberFormat="1" applyFont="1" applyFill="1" applyBorder="1" applyAlignment="1">
      <alignment horizontal="center"/>
    </xf>
    <xf numFmtId="2" fontId="3" fillId="22" borderId="17" xfId="1" applyNumberFormat="1" applyFont="1" applyFill="1" applyBorder="1" applyAlignment="1">
      <alignment horizontal="center"/>
    </xf>
    <xf numFmtId="2" fontId="3" fillId="22" borderId="11" xfId="1" applyNumberFormat="1" applyFont="1" applyFill="1" applyBorder="1" applyAlignment="1">
      <alignment horizontal="center"/>
    </xf>
    <xf numFmtId="2" fontId="3" fillId="22" borderId="0" xfId="1" applyNumberFormat="1" applyFont="1" applyFill="1" applyBorder="1" applyAlignment="1">
      <alignment horizontal="center"/>
    </xf>
    <xf numFmtId="2" fontId="3" fillId="22" borderId="13" xfId="1" applyNumberFormat="1" applyFont="1" applyFill="1" applyBorder="1" applyAlignment="1">
      <alignment horizontal="center"/>
    </xf>
    <xf numFmtId="2" fontId="3" fillId="22" borderId="14" xfId="1" applyNumberFormat="1" applyFont="1" applyFill="1" applyBorder="1" applyAlignment="1">
      <alignment horizontal="center"/>
    </xf>
    <xf numFmtId="0" fontId="15" fillId="0" borderId="0" xfId="2" applyFont="1" applyFill="1" applyBorder="1" applyAlignment="1">
      <alignment horizontal="center"/>
    </xf>
    <xf numFmtId="0" fontId="15" fillId="22" borderId="11" xfId="2" applyFont="1" applyFill="1" applyBorder="1" applyAlignment="1">
      <alignment horizontal="center"/>
    </xf>
    <xf numFmtId="0" fontId="15" fillId="22" borderId="12" xfId="2" applyFont="1" applyFill="1" applyBorder="1" applyAlignment="1">
      <alignment horizontal="center"/>
    </xf>
    <xf numFmtId="0" fontId="15" fillId="22" borderId="0" xfId="2" applyFont="1" applyFill="1" applyBorder="1" applyAlignment="1">
      <alignment horizontal="center"/>
    </xf>
    <xf numFmtId="0" fontId="7" fillId="0" borderId="11" xfId="2" applyFont="1" applyFill="1" applyBorder="1" applyAlignment="1">
      <alignment horizontal="center"/>
    </xf>
    <xf numFmtId="0" fontId="7" fillId="0" borderId="0" xfId="2" applyFont="1" applyFill="1" applyBorder="1" applyAlignment="1">
      <alignment horizontal="center"/>
    </xf>
    <xf numFmtId="0" fontId="7" fillId="0" borderId="12" xfId="2" applyFont="1" applyFill="1" applyBorder="1" applyAlignment="1">
      <alignment horizontal="center"/>
    </xf>
    <xf numFmtId="0" fontId="7" fillId="22" borderId="11" xfId="2" applyFont="1" applyFill="1" applyBorder="1" applyAlignment="1">
      <alignment horizontal="center"/>
    </xf>
    <xf numFmtId="0" fontId="7" fillId="22" borderId="12" xfId="2" applyFont="1" applyFill="1" applyBorder="1" applyAlignment="1">
      <alignment horizontal="center"/>
    </xf>
    <xf numFmtId="0" fontId="7" fillId="22" borderId="0" xfId="2" applyFont="1" applyFill="1" applyBorder="1" applyAlignment="1">
      <alignment horizontal="center"/>
    </xf>
    <xf numFmtId="164" fontId="3" fillId="22" borderId="2" xfId="0" applyNumberFormat="1" applyFont="1" applyFill="1" applyBorder="1" applyAlignment="1">
      <alignment horizontal="center"/>
    </xf>
    <xf numFmtId="0" fontId="6" fillId="22" borderId="2" xfId="1" applyFont="1" applyFill="1" applyBorder="1" applyAlignment="1">
      <alignment horizontal="center"/>
    </xf>
    <xf numFmtId="0" fontId="6" fillId="22" borderId="3" xfId="1" applyFont="1" applyFill="1" applyBorder="1" applyAlignment="1">
      <alignment horizontal="center"/>
    </xf>
    <xf numFmtId="0" fontId="0" fillId="22" borderId="2" xfId="0" applyFill="1" applyBorder="1" applyAlignment="1">
      <alignment horizontal="center"/>
    </xf>
    <xf numFmtId="0" fontId="3" fillId="0" borderId="9" xfId="1" applyFont="1" applyFill="1" applyBorder="1" applyAlignment="1">
      <alignment horizontal="center"/>
    </xf>
    <xf numFmtId="0" fontId="3" fillId="22" borderId="3" xfId="1" applyFont="1" applyFill="1" applyBorder="1" applyAlignment="1">
      <alignment horizontal="center"/>
    </xf>
    <xf numFmtId="0" fontId="3" fillId="22" borderId="4" xfId="1" applyFont="1" applyFill="1" applyBorder="1" applyAlignment="1">
      <alignment horizontal="center"/>
    </xf>
    <xf numFmtId="0" fontId="3" fillId="22" borderId="9" xfId="1" applyFont="1" applyFill="1" applyBorder="1" applyAlignment="1">
      <alignment horizontal="center"/>
    </xf>
    <xf numFmtId="0" fontId="3" fillId="22" borderId="2" xfId="1" applyFont="1" applyFill="1" applyBorder="1" applyAlignment="1">
      <alignment horizontal="center"/>
    </xf>
    <xf numFmtId="0" fontId="2" fillId="0" borderId="3" xfId="0" applyFont="1" applyBorder="1" applyAlignment="1">
      <alignment horizontal="right" vertical="center"/>
    </xf>
    <xf numFmtId="0" fontId="2" fillId="0" borderId="4" xfId="0" applyFont="1" applyBorder="1" applyAlignment="1">
      <alignment horizontal="right" vertical="center"/>
    </xf>
    <xf numFmtId="0" fontId="0" fillId="0" borderId="2" xfId="0" applyBorder="1" applyAlignment="1">
      <alignment horizontal="center" vertical="top" wrapText="1"/>
    </xf>
    <xf numFmtId="0" fontId="0" fillId="0" borderId="2" xfId="0" applyFont="1" applyBorder="1" applyAlignment="1">
      <alignment horizontal="center" vertical="top" wrapText="1"/>
    </xf>
    <xf numFmtId="0" fontId="0" fillId="0" borderId="2" xfId="0" applyBorder="1" applyAlignment="1">
      <alignment vertical="top" wrapText="1"/>
    </xf>
    <xf numFmtId="0" fontId="0" fillId="0" borderId="2" xfId="0" applyFont="1" applyBorder="1" applyAlignment="1">
      <alignment vertical="top" wrapText="1"/>
    </xf>
    <xf numFmtId="0" fontId="0" fillId="0" borderId="5" xfId="0" applyBorder="1" applyAlignment="1">
      <alignment horizontal="center" vertical="top" wrapText="1"/>
    </xf>
    <xf numFmtId="0" fontId="0" fillId="0" borderId="7" xfId="0" applyBorder="1" applyAlignment="1">
      <alignment wrapText="1"/>
    </xf>
  </cellXfs>
  <cellStyles count="1325">
    <cellStyle name="20% - Accent1 2" xfId="8" xr:uid="{00000000-0005-0000-0000-000000000000}"/>
    <cellStyle name="20% - Accent1 2 2" xfId="9" xr:uid="{00000000-0005-0000-0000-000001000000}"/>
    <cellStyle name="20% - Accent1 2 3" xfId="10" xr:uid="{00000000-0005-0000-0000-000002000000}"/>
    <cellStyle name="20% - Accent1 3" xfId="11" xr:uid="{00000000-0005-0000-0000-000003000000}"/>
    <cellStyle name="20% - Accent1 3 2" xfId="12" xr:uid="{00000000-0005-0000-0000-000004000000}"/>
    <cellStyle name="20% - Accent1 4" xfId="13" xr:uid="{00000000-0005-0000-0000-000005000000}"/>
    <cellStyle name="20% - Accent1 5" xfId="14" xr:uid="{00000000-0005-0000-0000-000006000000}"/>
    <cellStyle name="20% - Accent1 5 2" xfId="15" xr:uid="{00000000-0005-0000-0000-000007000000}"/>
    <cellStyle name="20% - Accent1 6" xfId="16" xr:uid="{00000000-0005-0000-0000-000008000000}"/>
    <cellStyle name="20% - Accent1 6 2" xfId="17" xr:uid="{00000000-0005-0000-0000-000009000000}"/>
    <cellStyle name="20% - Accent1 7" xfId="18" xr:uid="{00000000-0005-0000-0000-00000A000000}"/>
    <cellStyle name="20% - Accent1 7 2" xfId="19" xr:uid="{00000000-0005-0000-0000-00000B000000}"/>
    <cellStyle name="20% - Accent1 8" xfId="20" xr:uid="{00000000-0005-0000-0000-00000C000000}"/>
    <cellStyle name="20% - Accent1 8 2" xfId="21" xr:uid="{00000000-0005-0000-0000-00000D000000}"/>
    <cellStyle name="20% - Accent2 2" xfId="22" xr:uid="{00000000-0005-0000-0000-00000E000000}"/>
    <cellStyle name="20% - Accent2 2 2" xfId="23" xr:uid="{00000000-0005-0000-0000-00000F000000}"/>
    <cellStyle name="20% - Accent2 2 3" xfId="24" xr:uid="{00000000-0005-0000-0000-000010000000}"/>
    <cellStyle name="20% - Accent2 3" xfId="25" xr:uid="{00000000-0005-0000-0000-000011000000}"/>
    <cellStyle name="20% - Accent2 3 2" xfId="26" xr:uid="{00000000-0005-0000-0000-000012000000}"/>
    <cellStyle name="20% - Accent2 4" xfId="27" xr:uid="{00000000-0005-0000-0000-000013000000}"/>
    <cellStyle name="20% - Accent2 5" xfId="28" xr:uid="{00000000-0005-0000-0000-000014000000}"/>
    <cellStyle name="20% - Accent2 5 2" xfId="29" xr:uid="{00000000-0005-0000-0000-000015000000}"/>
    <cellStyle name="20% - Accent2 6" xfId="30" xr:uid="{00000000-0005-0000-0000-000016000000}"/>
    <cellStyle name="20% - Accent2 6 2" xfId="31" xr:uid="{00000000-0005-0000-0000-000017000000}"/>
    <cellStyle name="20% - Accent2 7" xfId="32" xr:uid="{00000000-0005-0000-0000-000018000000}"/>
    <cellStyle name="20% - Accent2 7 2" xfId="33" xr:uid="{00000000-0005-0000-0000-000019000000}"/>
    <cellStyle name="20% - Accent2 8" xfId="34" xr:uid="{00000000-0005-0000-0000-00001A000000}"/>
    <cellStyle name="20% - Accent2 8 2" xfId="35" xr:uid="{00000000-0005-0000-0000-00001B000000}"/>
    <cellStyle name="20% - Accent3 2" xfId="36" xr:uid="{00000000-0005-0000-0000-00001C000000}"/>
    <cellStyle name="20% - Accent3 2 2" xfId="37" xr:uid="{00000000-0005-0000-0000-00001D000000}"/>
    <cellStyle name="20% - Accent3 2 3" xfId="38" xr:uid="{00000000-0005-0000-0000-00001E000000}"/>
    <cellStyle name="20% - Accent3 3" xfId="39" xr:uid="{00000000-0005-0000-0000-00001F000000}"/>
    <cellStyle name="20% - Accent3 3 2" xfId="40" xr:uid="{00000000-0005-0000-0000-000020000000}"/>
    <cellStyle name="20% - Accent3 4" xfId="41" xr:uid="{00000000-0005-0000-0000-000021000000}"/>
    <cellStyle name="20% - Accent3 5" xfId="42" xr:uid="{00000000-0005-0000-0000-000022000000}"/>
    <cellStyle name="20% - Accent3 5 2" xfId="43" xr:uid="{00000000-0005-0000-0000-000023000000}"/>
    <cellStyle name="20% - Accent3 6" xfId="44" xr:uid="{00000000-0005-0000-0000-000024000000}"/>
    <cellStyle name="20% - Accent3 6 2" xfId="45" xr:uid="{00000000-0005-0000-0000-000025000000}"/>
    <cellStyle name="20% - Accent3 7" xfId="46" xr:uid="{00000000-0005-0000-0000-000026000000}"/>
    <cellStyle name="20% - Accent3 7 2" xfId="47" xr:uid="{00000000-0005-0000-0000-000027000000}"/>
    <cellStyle name="20% - Accent3 8" xfId="48" xr:uid="{00000000-0005-0000-0000-000028000000}"/>
    <cellStyle name="20% - Accent3 8 2" xfId="49" xr:uid="{00000000-0005-0000-0000-000029000000}"/>
    <cellStyle name="20% - Accent4 2" xfId="50" xr:uid="{00000000-0005-0000-0000-00002A000000}"/>
    <cellStyle name="20% - Accent4 2 2" xfId="51" xr:uid="{00000000-0005-0000-0000-00002B000000}"/>
    <cellStyle name="20% - Accent4 2 3" xfId="52" xr:uid="{00000000-0005-0000-0000-00002C000000}"/>
    <cellStyle name="20% - Accent4 3" xfId="53" xr:uid="{00000000-0005-0000-0000-00002D000000}"/>
    <cellStyle name="20% - Accent4 3 2" xfId="54" xr:uid="{00000000-0005-0000-0000-00002E000000}"/>
    <cellStyle name="20% - Accent4 4" xfId="55" xr:uid="{00000000-0005-0000-0000-00002F000000}"/>
    <cellStyle name="20% - Accent4 5" xfId="56" xr:uid="{00000000-0005-0000-0000-000030000000}"/>
    <cellStyle name="20% - Accent4 5 2" xfId="57" xr:uid="{00000000-0005-0000-0000-000031000000}"/>
    <cellStyle name="20% - Accent4 6" xfId="58" xr:uid="{00000000-0005-0000-0000-000032000000}"/>
    <cellStyle name="20% - Accent4 6 2" xfId="59" xr:uid="{00000000-0005-0000-0000-000033000000}"/>
    <cellStyle name="20% - Accent4 7" xfId="60" xr:uid="{00000000-0005-0000-0000-000034000000}"/>
    <cellStyle name="20% - Accent4 7 2" xfId="61" xr:uid="{00000000-0005-0000-0000-000035000000}"/>
    <cellStyle name="20% - Accent4 8" xfId="62" xr:uid="{00000000-0005-0000-0000-000036000000}"/>
    <cellStyle name="20% - Accent4 8 2" xfId="63" xr:uid="{00000000-0005-0000-0000-000037000000}"/>
    <cellStyle name="20% - Accent5 2" xfId="64" xr:uid="{00000000-0005-0000-0000-000038000000}"/>
    <cellStyle name="20% - Accent5 2 2" xfId="65" xr:uid="{00000000-0005-0000-0000-000039000000}"/>
    <cellStyle name="20% - Accent5 2 3" xfId="66" xr:uid="{00000000-0005-0000-0000-00003A000000}"/>
    <cellStyle name="20% - Accent5 3" xfId="67" xr:uid="{00000000-0005-0000-0000-00003B000000}"/>
    <cellStyle name="20% - Accent5 3 2" xfId="68" xr:uid="{00000000-0005-0000-0000-00003C000000}"/>
    <cellStyle name="20% - Accent5 4" xfId="69" xr:uid="{00000000-0005-0000-0000-00003D000000}"/>
    <cellStyle name="20% - Accent5 5" xfId="70" xr:uid="{00000000-0005-0000-0000-00003E000000}"/>
    <cellStyle name="20% - Accent5 5 2" xfId="71" xr:uid="{00000000-0005-0000-0000-00003F000000}"/>
    <cellStyle name="20% - Accent5 6" xfId="72" xr:uid="{00000000-0005-0000-0000-000040000000}"/>
    <cellStyle name="20% - Accent5 6 2" xfId="73" xr:uid="{00000000-0005-0000-0000-000041000000}"/>
    <cellStyle name="20% - Accent5 7" xfId="74" xr:uid="{00000000-0005-0000-0000-000042000000}"/>
    <cellStyle name="20% - Accent5 7 2" xfId="75" xr:uid="{00000000-0005-0000-0000-000043000000}"/>
    <cellStyle name="20% - Accent5 8" xfId="76" xr:uid="{00000000-0005-0000-0000-000044000000}"/>
    <cellStyle name="20% - Accent5 8 2" xfId="77" xr:uid="{00000000-0005-0000-0000-000045000000}"/>
    <cellStyle name="20% - Accent6 2" xfId="78" xr:uid="{00000000-0005-0000-0000-000046000000}"/>
    <cellStyle name="20% - Accent6 2 2" xfId="79" xr:uid="{00000000-0005-0000-0000-000047000000}"/>
    <cellStyle name="20% - Accent6 2 3" xfId="80" xr:uid="{00000000-0005-0000-0000-000048000000}"/>
    <cellStyle name="20% - Accent6 3" xfId="81" xr:uid="{00000000-0005-0000-0000-000049000000}"/>
    <cellStyle name="20% - Accent6 3 2" xfId="82" xr:uid="{00000000-0005-0000-0000-00004A000000}"/>
    <cellStyle name="20% - Accent6 4" xfId="83" xr:uid="{00000000-0005-0000-0000-00004B000000}"/>
    <cellStyle name="20% - Accent6 5" xfId="84" xr:uid="{00000000-0005-0000-0000-00004C000000}"/>
    <cellStyle name="20% - Accent6 5 2" xfId="85" xr:uid="{00000000-0005-0000-0000-00004D000000}"/>
    <cellStyle name="20% - Accent6 6" xfId="86" xr:uid="{00000000-0005-0000-0000-00004E000000}"/>
    <cellStyle name="20% - Accent6 6 2" xfId="87" xr:uid="{00000000-0005-0000-0000-00004F000000}"/>
    <cellStyle name="20% - Accent6 7" xfId="88" xr:uid="{00000000-0005-0000-0000-000050000000}"/>
    <cellStyle name="20% - Accent6 7 2" xfId="89" xr:uid="{00000000-0005-0000-0000-000051000000}"/>
    <cellStyle name="20% - Accent6 8" xfId="90" xr:uid="{00000000-0005-0000-0000-000052000000}"/>
    <cellStyle name="20% - Accent6 8 2" xfId="91" xr:uid="{00000000-0005-0000-0000-000053000000}"/>
    <cellStyle name="40% - Accent1 2" xfId="92" xr:uid="{00000000-0005-0000-0000-000054000000}"/>
    <cellStyle name="40% - Accent1 2 2" xfId="93" xr:uid="{00000000-0005-0000-0000-000055000000}"/>
    <cellStyle name="40% - Accent1 2 3" xfId="94" xr:uid="{00000000-0005-0000-0000-000056000000}"/>
    <cellStyle name="40% - Accent1 3" xfId="95" xr:uid="{00000000-0005-0000-0000-000057000000}"/>
    <cellStyle name="40% - Accent1 3 2" xfId="96" xr:uid="{00000000-0005-0000-0000-000058000000}"/>
    <cellStyle name="40% - Accent1 4" xfId="97" xr:uid="{00000000-0005-0000-0000-000059000000}"/>
    <cellStyle name="40% - Accent1 5" xfId="98" xr:uid="{00000000-0005-0000-0000-00005A000000}"/>
    <cellStyle name="40% - Accent1 5 2" xfId="99" xr:uid="{00000000-0005-0000-0000-00005B000000}"/>
    <cellStyle name="40% - Accent1 6" xfId="100" xr:uid="{00000000-0005-0000-0000-00005C000000}"/>
    <cellStyle name="40% - Accent1 6 2" xfId="101" xr:uid="{00000000-0005-0000-0000-00005D000000}"/>
    <cellStyle name="40% - Accent1 7" xfId="102" xr:uid="{00000000-0005-0000-0000-00005E000000}"/>
    <cellStyle name="40% - Accent1 7 2" xfId="103" xr:uid="{00000000-0005-0000-0000-00005F000000}"/>
    <cellStyle name="40% - Accent1 8" xfId="104" xr:uid="{00000000-0005-0000-0000-000060000000}"/>
    <cellStyle name="40% - Accent1 8 2" xfId="105" xr:uid="{00000000-0005-0000-0000-000061000000}"/>
    <cellStyle name="40% - Accent2 2" xfId="106" xr:uid="{00000000-0005-0000-0000-000062000000}"/>
    <cellStyle name="40% - Accent2 2 2" xfId="107" xr:uid="{00000000-0005-0000-0000-000063000000}"/>
    <cellStyle name="40% - Accent2 2 3" xfId="108" xr:uid="{00000000-0005-0000-0000-000064000000}"/>
    <cellStyle name="40% - Accent2 3" xfId="109" xr:uid="{00000000-0005-0000-0000-000065000000}"/>
    <cellStyle name="40% - Accent2 3 2" xfId="110" xr:uid="{00000000-0005-0000-0000-000066000000}"/>
    <cellStyle name="40% - Accent2 4" xfId="111" xr:uid="{00000000-0005-0000-0000-000067000000}"/>
    <cellStyle name="40% - Accent2 5" xfId="112" xr:uid="{00000000-0005-0000-0000-000068000000}"/>
    <cellStyle name="40% - Accent2 5 2" xfId="113" xr:uid="{00000000-0005-0000-0000-000069000000}"/>
    <cellStyle name="40% - Accent2 6" xfId="114" xr:uid="{00000000-0005-0000-0000-00006A000000}"/>
    <cellStyle name="40% - Accent2 6 2" xfId="115" xr:uid="{00000000-0005-0000-0000-00006B000000}"/>
    <cellStyle name="40% - Accent2 7" xfId="116" xr:uid="{00000000-0005-0000-0000-00006C000000}"/>
    <cellStyle name="40% - Accent2 7 2" xfId="117" xr:uid="{00000000-0005-0000-0000-00006D000000}"/>
    <cellStyle name="40% - Accent2 8" xfId="118" xr:uid="{00000000-0005-0000-0000-00006E000000}"/>
    <cellStyle name="40% - Accent2 8 2" xfId="119" xr:uid="{00000000-0005-0000-0000-00006F000000}"/>
    <cellStyle name="40% - Accent3 2" xfId="120" xr:uid="{00000000-0005-0000-0000-000070000000}"/>
    <cellStyle name="40% - Accent3 2 2" xfId="121" xr:uid="{00000000-0005-0000-0000-000071000000}"/>
    <cellStyle name="40% - Accent3 2 3" xfId="122" xr:uid="{00000000-0005-0000-0000-000072000000}"/>
    <cellStyle name="40% - Accent3 3" xfId="123" xr:uid="{00000000-0005-0000-0000-000073000000}"/>
    <cellStyle name="40% - Accent3 3 2" xfId="124" xr:uid="{00000000-0005-0000-0000-000074000000}"/>
    <cellStyle name="40% - Accent3 4" xfId="125" xr:uid="{00000000-0005-0000-0000-000075000000}"/>
    <cellStyle name="40% - Accent3 5" xfId="126" xr:uid="{00000000-0005-0000-0000-000076000000}"/>
    <cellStyle name="40% - Accent3 5 2" xfId="127" xr:uid="{00000000-0005-0000-0000-000077000000}"/>
    <cellStyle name="40% - Accent3 6" xfId="128" xr:uid="{00000000-0005-0000-0000-000078000000}"/>
    <cellStyle name="40% - Accent3 6 2" xfId="129" xr:uid="{00000000-0005-0000-0000-000079000000}"/>
    <cellStyle name="40% - Accent3 7" xfId="130" xr:uid="{00000000-0005-0000-0000-00007A000000}"/>
    <cellStyle name="40% - Accent3 7 2" xfId="131" xr:uid="{00000000-0005-0000-0000-00007B000000}"/>
    <cellStyle name="40% - Accent3 8" xfId="132" xr:uid="{00000000-0005-0000-0000-00007C000000}"/>
    <cellStyle name="40% - Accent3 8 2" xfId="133" xr:uid="{00000000-0005-0000-0000-00007D000000}"/>
    <cellStyle name="40% - Accent4 2" xfId="134" xr:uid="{00000000-0005-0000-0000-00007E000000}"/>
    <cellStyle name="40% - Accent4 2 2" xfId="135" xr:uid="{00000000-0005-0000-0000-00007F000000}"/>
    <cellStyle name="40% - Accent4 2 3" xfId="136" xr:uid="{00000000-0005-0000-0000-000080000000}"/>
    <cellStyle name="40% - Accent4 3" xfId="137" xr:uid="{00000000-0005-0000-0000-000081000000}"/>
    <cellStyle name="40% - Accent4 3 2" xfId="138" xr:uid="{00000000-0005-0000-0000-000082000000}"/>
    <cellStyle name="40% - Accent4 4" xfId="139" xr:uid="{00000000-0005-0000-0000-000083000000}"/>
    <cellStyle name="40% - Accent4 5" xfId="140" xr:uid="{00000000-0005-0000-0000-000084000000}"/>
    <cellStyle name="40% - Accent4 5 2" xfId="141" xr:uid="{00000000-0005-0000-0000-000085000000}"/>
    <cellStyle name="40% - Accent4 6" xfId="142" xr:uid="{00000000-0005-0000-0000-000086000000}"/>
    <cellStyle name="40% - Accent4 6 2" xfId="143" xr:uid="{00000000-0005-0000-0000-000087000000}"/>
    <cellStyle name="40% - Accent4 7" xfId="144" xr:uid="{00000000-0005-0000-0000-000088000000}"/>
    <cellStyle name="40% - Accent4 7 2" xfId="145" xr:uid="{00000000-0005-0000-0000-000089000000}"/>
    <cellStyle name="40% - Accent4 8" xfId="146" xr:uid="{00000000-0005-0000-0000-00008A000000}"/>
    <cellStyle name="40% - Accent4 8 2" xfId="147" xr:uid="{00000000-0005-0000-0000-00008B000000}"/>
    <cellStyle name="40% - Accent5 2" xfId="148" xr:uid="{00000000-0005-0000-0000-00008C000000}"/>
    <cellStyle name="40% - Accent5 2 2" xfId="149" xr:uid="{00000000-0005-0000-0000-00008D000000}"/>
    <cellStyle name="40% - Accent5 2 3" xfId="150" xr:uid="{00000000-0005-0000-0000-00008E000000}"/>
    <cellStyle name="40% - Accent5 3" xfId="151" xr:uid="{00000000-0005-0000-0000-00008F000000}"/>
    <cellStyle name="40% - Accent5 3 2" xfId="152" xr:uid="{00000000-0005-0000-0000-000090000000}"/>
    <cellStyle name="40% - Accent5 4" xfId="153" xr:uid="{00000000-0005-0000-0000-000091000000}"/>
    <cellStyle name="40% - Accent5 5" xfId="154" xr:uid="{00000000-0005-0000-0000-000092000000}"/>
    <cellStyle name="40% - Accent5 5 2" xfId="155" xr:uid="{00000000-0005-0000-0000-000093000000}"/>
    <cellStyle name="40% - Accent5 6" xfId="156" xr:uid="{00000000-0005-0000-0000-000094000000}"/>
    <cellStyle name="40% - Accent5 6 2" xfId="157" xr:uid="{00000000-0005-0000-0000-000095000000}"/>
    <cellStyle name="40% - Accent5 7" xfId="158" xr:uid="{00000000-0005-0000-0000-000096000000}"/>
    <cellStyle name="40% - Accent5 7 2" xfId="159" xr:uid="{00000000-0005-0000-0000-000097000000}"/>
    <cellStyle name="40% - Accent5 8" xfId="160" xr:uid="{00000000-0005-0000-0000-000098000000}"/>
    <cellStyle name="40% - Accent5 8 2" xfId="161" xr:uid="{00000000-0005-0000-0000-000099000000}"/>
    <cellStyle name="40% - Accent6 2" xfId="162" xr:uid="{00000000-0005-0000-0000-00009A000000}"/>
    <cellStyle name="40% - Accent6 2 2" xfId="163" xr:uid="{00000000-0005-0000-0000-00009B000000}"/>
    <cellStyle name="40% - Accent6 2 3" xfId="164" xr:uid="{00000000-0005-0000-0000-00009C000000}"/>
    <cellStyle name="40% - Accent6 3" xfId="165" xr:uid="{00000000-0005-0000-0000-00009D000000}"/>
    <cellStyle name="40% - Accent6 3 2" xfId="166" xr:uid="{00000000-0005-0000-0000-00009E000000}"/>
    <cellStyle name="40% - Accent6 4" xfId="167" xr:uid="{00000000-0005-0000-0000-00009F000000}"/>
    <cellStyle name="40% - Accent6 5" xfId="168" xr:uid="{00000000-0005-0000-0000-0000A0000000}"/>
    <cellStyle name="40% - Accent6 5 2" xfId="169" xr:uid="{00000000-0005-0000-0000-0000A1000000}"/>
    <cellStyle name="40% - Accent6 6" xfId="170" xr:uid="{00000000-0005-0000-0000-0000A2000000}"/>
    <cellStyle name="40% - Accent6 6 2" xfId="171" xr:uid="{00000000-0005-0000-0000-0000A3000000}"/>
    <cellStyle name="40% - Accent6 7" xfId="172" xr:uid="{00000000-0005-0000-0000-0000A4000000}"/>
    <cellStyle name="40% - Accent6 7 2" xfId="173" xr:uid="{00000000-0005-0000-0000-0000A5000000}"/>
    <cellStyle name="40% - Accent6 8" xfId="174" xr:uid="{00000000-0005-0000-0000-0000A6000000}"/>
    <cellStyle name="40% - Accent6 8 2" xfId="175" xr:uid="{00000000-0005-0000-0000-0000A7000000}"/>
    <cellStyle name="60% - Accent1 2" xfId="176" xr:uid="{00000000-0005-0000-0000-0000A8000000}"/>
    <cellStyle name="60% - Accent1 2 2" xfId="177" xr:uid="{00000000-0005-0000-0000-0000A9000000}"/>
    <cellStyle name="60% - Accent1 2 3" xfId="178" xr:uid="{00000000-0005-0000-0000-0000AA000000}"/>
    <cellStyle name="60% - Accent1 3" xfId="179" xr:uid="{00000000-0005-0000-0000-0000AB000000}"/>
    <cellStyle name="60% - Accent1 3 2" xfId="180" xr:uid="{00000000-0005-0000-0000-0000AC000000}"/>
    <cellStyle name="60% - Accent1 4" xfId="181" xr:uid="{00000000-0005-0000-0000-0000AD000000}"/>
    <cellStyle name="60% - Accent1 5" xfId="182" xr:uid="{00000000-0005-0000-0000-0000AE000000}"/>
    <cellStyle name="60% - Accent1 5 2" xfId="183" xr:uid="{00000000-0005-0000-0000-0000AF000000}"/>
    <cellStyle name="60% - Accent1 6" xfId="184" xr:uid="{00000000-0005-0000-0000-0000B0000000}"/>
    <cellStyle name="60% - Accent1 6 2" xfId="185" xr:uid="{00000000-0005-0000-0000-0000B1000000}"/>
    <cellStyle name="60% - Accent1 7" xfId="186" xr:uid="{00000000-0005-0000-0000-0000B2000000}"/>
    <cellStyle name="60% - Accent1 7 2" xfId="187" xr:uid="{00000000-0005-0000-0000-0000B3000000}"/>
    <cellStyle name="60% - Accent2 2" xfId="188" xr:uid="{00000000-0005-0000-0000-0000B4000000}"/>
    <cellStyle name="60% - Accent2 2 2" xfId="189" xr:uid="{00000000-0005-0000-0000-0000B5000000}"/>
    <cellStyle name="60% - Accent2 2 3" xfId="190" xr:uid="{00000000-0005-0000-0000-0000B6000000}"/>
    <cellStyle name="60% - Accent2 3" xfId="191" xr:uid="{00000000-0005-0000-0000-0000B7000000}"/>
    <cellStyle name="60% - Accent2 3 2" xfId="192" xr:uid="{00000000-0005-0000-0000-0000B8000000}"/>
    <cellStyle name="60% - Accent2 4" xfId="193" xr:uid="{00000000-0005-0000-0000-0000B9000000}"/>
    <cellStyle name="60% - Accent2 5" xfId="194" xr:uid="{00000000-0005-0000-0000-0000BA000000}"/>
    <cellStyle name="60% - Accent2 5 2" xfId="195" xr:uid="{00000000-0005-0000-0000-0000BB000000}"/>
    <cellStyle name="60% - Accent2 6" xfId="196" xr:uid="{00000000-0005-0000-0000-0000BC000000}"/>
    <cellStyle name="60% - Accent2 6 2" xfId="197" xr:uid="{00000000-0005-0000-0000-0000BD000000}"/>
    <cellStyle name="60% - Accent2 7" xfId="198" xr:uid="{00000000-0005-0000-0000-0000BE000000}"/>
    <cellStyle name="60% - Accent2 7 2" xfId="199" xr:uid="{00000000-0005-0000-0000-0000BF000000}"/>
    <cellStyle name="60% - Accent3 2" xfId="200" xr:uid="{00000000-0005-0000-0000-0000C0000000}"/>
    <cellStyle name="60% - Accent3 2 2" xfId="201" xr:uid="{00000000-0005-0000-0000-0000C1000000}"/>
    <cellStyle name="60% - Accent3 2 3" xfId="202" xr:uid="{00000000-0005-0000-0000-0000C2000000}"/>
    <cellStyle name="60% - Accent3 3" xfId="203" xr:uid="{00000000-0005-0000-0000-0000C3000000}"/>
    <cellStyle name="60% - Accent3 3 2" xfId="204" xr:uid="{00000000-0005-0000-0000-0000C4000000}"/>
    <cellStyle name="60% - Accent3 4" xfId="205" xr:uid="{00000000-0005-0000-0000-0000C5000000}"/>
    <cellStyle name="60% - Accent3 5" xfId="206" xr:uid="{00000000-0005-0000-0000-0000C6000000}"/>
    <cellStyle name="60% - Accent3 5 2" xfId="207" xr:uid="{00000000-0005-0000-0000-0000C7000000}"/>
    <cellStyle name="60% - Accent3 6" xfId="208" xr:uid="{00000000-0005-0000-0000-0000C8000000}"/>
    <cellStyle name="60% - Accent3 6 2" xfId="209" xr:uid="{00000000-0005-0000-0000-0000C9000000}"/>
    <cellStyle name="60% - Accent3 7" xfId="210" xr:uid="{00000000-0005-0000-0000-0000CA000000}"/>
    <cellStyle name="60% - Accent3 7 2" xfId="211" xr:uid="{00000000-0005-0000-0000-0000CB000000}"/>
    <cellStyle name="60% - Accent4 2" xfId="212" xr:uid="{00000000-0005-0000-0000-0000CC000000}"/>
    <cellStyle name="60% - Accent4 2 2" xfId="213" xr:uid="{00000000-0005-0000-0000-0000CD000000}"/>
    <cellStyle name="60% - Accent4 2 3" xfId="214" xr:uid="{00000000-0005-0000-0000-0000CE000000}"/>
    <cellStyle name="60% - Accent4 3" xfId="215" xr:uid="{00000000-0005-0000-0000-0000CF000000}"/>
    <cellStyle name="60% - Accent4 3 2" xfId="216" xr:uid="{00000000-0005-0000-0000-0000D0000000}"/>
    <cellStyle name="60% - Accent4 4" xfId="217" xr:uid="{00000000-0005-0000-0000-0000D1000000}"/>
    <cellStyle name="60% - Accent4 5" xfId="218" xr:uid="{00000000-0005-0000-0000-0000D2000000}"/>
    <cellStyle name="60% - Accent4 5 2" xfId="219" xr:uid="{00000000-0005-0000-0000-0000D3000000}"/>
    <cellStyle name="60% - Accent4 6" xfId="220" xr:uid="{00000000-0005-0000-0000-0000D4000000}"/>
    <cellStyle name="60% - Accent4 6 2" xfId="221" xr:uid="{00000000-0005-0000-0000-0000D5000000}"/>
    <cellStyle name="60% - Accent4 7" xfId="222" xr:uid="{00000000-0005-0000-0000-0000D6000000}"/>
    <cellStyle name="60% - Accent4 7 2" xfId="223" xr:uid="{00000000-0005-0000-0000-0000D7000000}"/>
    <cellStyle name="60% - Accent5 2" xfId="224" xr:uid="{00000000-0005-0000-0000-0000D8000000}"/>
    <cellStyle name="60% - Accent5 2 2" xfId="225" xr:uid="{00000000-0005-0000-0000-0000D9000000}"/>
    <cellStyle name="60% - Accent5 2 3" xfId="226" xr:uid="{00000000-0005-0000-0000-0000DA000000}"/>
    <cellStyle name="60% - Accent5 3" xfId="227" xr:uid="{00000000-0005-0000-0000-0000DB000000}"/>
    <cellStyle name="60% - Accent5 3 2" xfId="228" xr:uid="{00000000-0005-0000-0000-0000DC000000}"/>
    <cellStyle name="60% - Accent5 4" xfId="229" xr:uid="{00000000-0005-0000-0000-0000DD000000}"/>
    <cellStyle name="60% - Accent5 5" xfId="230" xr:uid="{00000000-0005-0000-0000-0000DE000000}"/>
    <cellStyle name="60% - Accent5 5 2" xfId="231" xr:uid="{00000000-0005-0000-0000-0000DF000000}"/>
    <cellStyle name="60% - Accent5 6" xfId="232" xr:uid="{00000000-0005-0000-0000-0000E0000000}"/>
    <cellStyle name="60% - Accent5 6 2" xfId="233" xr:uid="{00000000-0005-0000-0000-0000E1000000}"/>
    <cellStyle name="60% - Accent5 7" xfId="234" xr:uid="{00000000-0005-0000-0000-0000E2000000}"/>
    <cellStyle name="60% - Accent5 7 2" xfId="235" xr:uid="{00000000-0005-0000-0000-0000E3000000}"/>
    <cellStyle name="60% - Accent6 2" xfId="236" xr:uid="{00000000-0005-0000-0000-0000E4000000}"/>
    <cellStyle name="60% - Accent6 2 2" xfId="237" xr:uid="{00000000-0005-0000-0000-0000E5000000}"/>
    <cellStyle name="60% - Accent6 2 3" xfId="238" xr:uid="{00000000-0005-0000-0000-0000E6000000}"/>
    <cellStyle name="60% - Accent6 3" xfId="239" xr:uid="{00000000-0005-0000-0000-0000E7000000}"/>
    <cellStyle name="60% - Accent6 3 2" xfId="240" xr:uid="{00000000-0005-0000-0000-0000E8000000}"/>
    <cellStyle name="60% - Accent6 4" xfId="241" xr:uid="{00000000-0005-0000-0000-0000E9000000}"/>
    <cellStyle name="60% - Accent6 5" xfId="242" xr:uid="{00000000-0005-0000-0000-0000EA000000}"/>
    <cellStyle name="60% - Accent6 5 2" xfId="243" xr:uid="{00000000-0005-0000-0000-0000EB000000}"/>
    <cellStyle name="60% - Accent6 6" xfId="244" xr:uid="{00000000-0005-0000-0000-0000EC000000}"/>
    <cellStyle name="60% - Accent6 6 2" xfId="245" xr:uid="{00000000-0005-0000-0000-0000ED000000}"/>
    <cellStyle name="60% - Accent6 7" xfId="246" xr:uid="{00000000-0005-0000-0000-0000EE000000}"/>
    <cellStyle name="60% - Accent6 7 2" xfId="247" xr:uid="{00000000-0005-0000-0000-0000EF000000}"/>
    <cellStyle name="Accent1 2" xfId="248" xr:uid="{00000000-0005-0000-0000-0000F0000000}"/>
    <cellStyle name="Accent1 2 2" xfId="249" xr:uid="{00000000-0005-0000-0000-0000F1000000}"/>
    <cellStyle name="Accent1 2 3" xfId="250" xr:uid="{00000000-0005-0000-0000-0000F2000000}"/>
    <cellStyle name="Accent1 3" xfId="251" xr:uid="{00000000-0005-0000-0000-0000F3000000}"/>
    <cellStyle name="Accent1 3 2" xfId="252" xr:uid="{00000000-0005-0000-0000-0000F4000000}"/>
    <cellStyle name="Accent1 4" xfId="253" xr:uid="{00000000-0005-0000-0000-0000F5000000}"/>
    <cellStyle name="Accent2 2" xfId="254" xr:uid="{00000000-0005-0000-0000-0000F6000000}"/>
    <cellStyle name="Accent2 2 2" xfId="255" xr:uid="{00000000-0005-0000-0000-0000F7000000}"/>
    <cellStyle name="Accent2 2 3" xfId="256" xr:uid="{00000000-0005-0000-0000-0000F8000000}"/>
    <cellStyle name="Accent2 3" xfId="257" xr:uid="{00000000-0005-0000-0000-0000F9000000}"/>
    <cellStyle name="Accent2 3 2" xfId="258" xr:uid="{00000000-0005-0000-0000-0000FA000000}"/>
    <cellStyle name="Accent2 4" xfId="259" xr:uid="{00000000-0005-0000-0000-0000FB000000}"/>
    <cellStyle name="Accent3 2" xfId="260" xr:uid="{00000000-0005-0000-0000-0000FC000000}"/>
    <cellStyle name="Accent3 2 2" xfId="261" xr:uid="{00000000-0005-0000-0000-0000FD000000}"/>
    <cellStyle name="Accent3 2 3" xfId="262" xr:uid="{00000000-0005-0000-0000-0000FE000000}"/>
    <cellStyle name="Accent3 3" xfId="263" xr:uid="{00000000-0005-0000-0000-0000FF000000}"/>
    <cellStyle name="Accent3 3 2" xfId="264" xr:uid="{00000000-0005-0000-0000-000000010000}"/>
    <cellStyle name="Accent3 4" xfId="265" xr:uid="{00000000-0005-0000-0000-000001010000}"/>
    <cellStyle name="Accent4 2" xfId="266" xr:uid="{00000000-0005-0000-0000-000002010000}"/>
    <cellStyle name="Accent4 2 2" xfId="267" xr:uid="{00000000-0005-0000-0000-000003010000}"/>
    <cellStyle name="Accent4 2 3" xfId="268" xr:uid="{00000000-0005-0000-0000-000004010000}"/>
    <cellStyle name="Accent4 3" xfId="269" xr:uid="{00000000-0005-0000-0000-000005010000}"/>
    <cellStyle name="Accent4 3 2" xfId="270" xr:uid="{00000000-0005-0000-0000-000006010000}"/>
    <cellStyle name="Accent4 4" xfId="271" xr:uid="{00000000-0005-0000-0000-000007010000}"/>
    <cellStyle name="Accent5 2" xfId="272" xr:uid="{00000000-0005-0000-0000-000008010000}"/>
    <cellStyle name="Accent5 2 2" xfId="273" xr:uid="{00000000-0005-0000-0000-000009010000}"/>
    <cellStyle name="Accent5 2 3" xfId="274" xr:uid="{00000000-0005-0000-0000-00000A010000}"/>
    <cellStyle name="Accent5 3" xfId="275" xr:uid="{00000000-0005-0000-0000-00000B010000}"/>
    <cellStyle name="Accent5 3 2" xfId="276" xr:uid="{00000000-0005-0000-0000-00000C010000}"/>
    <cellStyle name="Accent5 4" xfId="277" xr:uid="{00000000-0005-0000-0000-00000D010000}"/>
    <cellStyle name="Accent6 2" xfId="278" xr:uid="{00000000-0005-0000-0000-00000E010000}"/>
    <cellStyle name="Accent6 2 2" xfId="279" xr:uid="{00000000-0005-0000-0000-00000F010000}"/>
    <cellStyle name="Accent6 2 3" xfId="280" xr:uid="{00000000-0005-0000-0000-000010010000}"/>
    <cellStyle name="Accent6 3" xfId="281" xr:uid="{00000000-0005-0000-0000-000011010000}"/>
    <cellStyle name="Accent6 3 2" xfId="282" xr:uid="{00000000-0005-0000-0000-000012010000}"/>
    <cellStyle name="Accent6 4" xfId="283" xr:uid="{00000000-0005-0000-0000-000013010000}"/>
    <cellStyle name="Bad 2" xfId="284" xr:uid="{00000000-0005-0000-0000-000014010000}"/>
    <cellStyle name="Bad 2 2" xfId="285" xr:uid="{00000000-0005-0000-0000-000015010000}"/>
    <cellStyle name="Bad 2 3" xfId="286" xr:uid="{00000000-0005-0000-0000-000016010000}"/>
    <cellStyle name="Bad 3" xfId="287" xr:uid="{00000000-0005-0000-0000-000017010000}"/>
    <cellStyle name="Bad 3 2" xfId="288" xr:uid="{00000000-0005-0000-0000-000018010000}"/>
    <cellStyle name="Bad 4" xfId="289" xr:uid="{00000000-0005-0000-0000-000019010000}"/>
    <cellStyle name="Calculation 2" xfId="290" xr:uid="{00000000-0005-0000-0000-00001A010000}"/>
    <cellStyle name="Calculation 2 2" xfId="291" xr:uid="{00000000-0005-0000-0000-00001B010000}"/>
    <cellStyle name="Calculation 2 3" xfId="292" xr:uid="{00000000-0005-0000-0000-00001C010000}"/>
    <cellStyle name="Calculation 3" xfId="293" xr:uid="{00000000-0005-0000-0000-00001D010000}"/>
    <cellStyle name="Calculation 3 2" xfId="294" xr:uid="{00000000-0005-0000-0000-00001E010000}"/>
    <cellStyle name="Calculation 4" xfId="295" xr:uid="{00000000-0005-0000-0000-00001F010000}"/>
    <cellStyle name="Check Cell 2" xfId="296" xr:uid="{00000000-0005-0000-0000-000020010000}"/>
    <cellStyle name="Check Cell 2 2" xfId="297" xr:uid="{00000000-0005-0000-0000-000021010000}"/>
    <cellStyle name="Check Cell 2 3" xfId="298" xr:uid="{00000000-0005-0000-0000-000022010000}"/>
    <cellStyle name="Check Cell 3" xfId="299" xr:uid="{00000000-0005-0000-0000-000023010000}"/>
    <cellStyle name="Check Cell 3 2" xfId="300" xr:uid="{00000000-0005-0000-0000-000024010000}"/>
    <cellStyle name="Check Cell 4" xfId="301" xr:uid="{00000000-0005-0000-0000-000025010000}"/>
    <cellStyle name="Comma 2" xfId="302" xr:uid="{00000000-0005-0000-0000-000026010000}"/>
    <cellStyle name="Comma 2 2" xfId="303" xr:uid="{00000000-0005-0000-0000-000027010000}"/>
    <cellStyle name="Comma 2 3" xfId="304" xr:uid="{00000000-0005-0000-0000-000028010000}"/>
    <cellStyle name="Comma 2 4" xfId="305" xr:uid="{00000000-0005-0000-0000-000029010000}"/>
    <cellStyle name="Comma 2 5" xfId="306" xr:uid="{00000000-0005-0000-0000-00002A010000}"/>
    <cellStyle name="Comma 2 6" xfId="307" xr:uid="{00000000-0005-0000-0000-00002B010000}"/>
    <cellStyle name="Currency 2 2" xfId="308" xr:uid="{00000000-0005-0000-0000-00002C010000}"/>
    <cellStyle name="Currency 2 2 2" xfId="309" xr:uid="{00000000-0005-0000-0000-00002D010000}"/>
    <cellStyle name="Currency 2 2 3" xfId="310" xr:uid="{00000000-0005-0000-0000-00002E010000}"/>
    <cellStyle name="Currency 3 2" xfId="311" xr:uid="{00000000-0005-0000-0000-00002F010000}"/>
    <cellStyle name="Currency 3 3" xfId="312" xr:uid="{00000000-0005-0000-0000-000030010000}"/>
    <cellStyle name="Explanatory Text 2" xfId="313" xr:uid="{00000000-0005-0000-0000-000031010000}"/>
    <cellStyle name="Explanatory Text 2 2" xfId="314" xr:uid="{00000000-0005-0000-0000-000032010000}"/>
    <cellStyle name="Explanatory Text 2 3" xfId="315" xr:uid="{00000000-0005-0000-0000-000033010000}"/>
    <cellStyle name="Explanatory Text 3" xfId="316" xr:uid="{00000000-0005-0000-0000-000034010000}"/>
    <cellStyle name="Explanatory Text 3 2" xfId="317" xr:uid="{00000000-0005-0000-0000-000035010000}"/>
    <cellStyle name="Explanatory Text 4" xfId="318" xr:uid="{00000000-0005-0000-0000-000036010000}"/>
    <cellStyle name="Good 2" xfId="319" xr:uid="{00000000-0005-0000-0000-000037010000}"/>
    <cellStyle name="Good 2 2" xfId="320" xr:uid="{00000000-0005-0000-0000-000038010000}"/>
    <cellStyle name="Good 2 3" xfId="321" xr:uid="{00000000-0005-0000-0000-000039010000}"/>
    <cellStyle name="Good 3" xfId="322" xr:uid="{00000000-0005-0000-0000-00003A010000}"/>
    <cellStyle name="Good 3 2" xfId="323" xr:uid="{00000000-0005-0000-0000-00003B010000}"/>
    <cellStyle name="Good 4" xfId="324" xr:uid="{00000000-0005-0000-0000-00003C010000}"/>
    <cellStyle name="Heading 1 2" xfId="325" xr:uid="{00000000-0005-0000-0000-00003D010000}"/>
    <cellStyle name="Heading 1 2 2" xfId="326" xr:uid="{00000000-0005-0000-0000-00003E010000}"/>
    <cellStyle name="Heading 1 2 3" xfId="327" xr:uid="{00000000-0005-0000-0000-00003F010000}"/>
    <cellStyle name="Heading 1 3" xfId="328" xr:uid="{00000000-0005-0000-0000-000040010000}"/>
    <cellStyle name="Heading 1 3 2" xfId="329" xr:uid="{00000000-0005-0000-0000-000041010000}"/>
    <cellStyle name="Heading 1 4" xfId="330" xr:uid="{00000000-0005-0000-0000-000042010000}"/>
    <cellStyle name="Heading 2 2" xfId="331" xr:uid="{00000000-0005-0000-0000-000043010000}"/>
    <cellStyle name="Heading 2 2 2" xfId="332" xr:uid="{00000000-0005-0000-0000-000044010000}"/>
    <cellStyle name="Heading 2 2 3" xfId="333" xr:uid="{00000000-0005-0000-0000-000045010000}"/>
    <cellStyle name="Heading 2 3" xfId="334" xr:uid="{00000000-0005-0000-0000-000046010000}"/>
    <cellStyle name="Heading 2 3 2" xfId="335" xr:uid="{00000000-0005-0000-0000-000047010000}"/>
    <cellStyle name="Heading 2 4" xfId="336" xr:uid="{00000000-0005-0000-0000-000048010000}"/>
    <cellStyle name="Heading 3 2" xfId="337" xr:uid="{00000000-0005-0000-0000-000049010000}"/>
    <cellStyle name="Heading 3 2 2" xfId="338" xr:uid="{00000000-0005-0000-0000-00004A010000}"/>
    <cellStyle name="Heading 3 2 3" xfId="339" xr:uid="{00000000-0005-0000-0000-00004B010000}"/>
    <cellStyle name="Heading 3 3" xfId="340" xr:uid="{00000000-0005-0000-0000-00004C010000}"/>
    <cellStyle name="Heading 3 3 2" xfId="341" xr:uid="{00000000-0005-0000-0000-00004D010000}"/>
    <cellStyle name="Heading 3 4" xfId="342" xr:uid="{00000000-0005-0000-0000-00004E010000}"/>
    <cellStyle name="Heading 4 2" xfId="343" xr:uid="{00000000-0005-0000-0000-00004F010000}"/>
    <cellStyle name="Heading 4 2 2" xfId="344" xr:uid="{00000000-0005-0000-0000-000050010000}"/>
    <cellStyle name="Heading 4 2 3" xfId="345" xr:uid="{00000000-0005-0000-0000-000051010000}"/>
    <cellStyle name="Heading 4 3" xfId="346" xr:uid="{00000000-0005-0000-0000-000052010000}"/>
    <cellStyle name="Heading 4 3 2" xfId="347" xr:uid="{00000000-0005-0000-0000-000053010000}"/>
    <cellStyle name="Heading 4 4" xfId="348" xr:uid="{00000000-0005-0000-0000-000054010000}"/>
    <cellStyle name="Input 2" xfId="349" xr:uid="{00000000-0005-0000-0000-000055010000}"/>
    <cellStyle name="Input 2 2" xfId="350" xr:uid="{00000000-0005-0000-0000-000056010000}"/>
    <cellStyle name="Input 2 3" xfId="351" xr:uid="{00000000-0005-0000-0000-000057010000}"/>
    <cellStyle name="Input 3" xfId="352" xr:uid="{00000000-0005-0000-0000-000058010000}"/>
    <cellStyle name="Input 3 2" xfId="353" xr:uid="{00000000-0005-0000-0000-000059010000}"/>
    <cellStyle name="Input 4" xfId="354" xr:uid="{00000000-0005-0000-0000-00005A010000}"/>
    <cellStyle name="Linked Cell 2" xfId="355" xr:uid="{00000000-0005-0000-0000-00005B010000}"/>
    <cellStyle name="Linked Cell 2 2" xfId="356" xr:uid="{00000000-0005-0000-0000-00005C010000}"/>
    <cellStyle name="Linked Cell 2 3" xfId="357" xr:uid="{00000000-0005-0000-0000-00005D010000}"/>
    <cellStyle name="Linked Cell 3" xfId="358" xr:uid="{00000000-0005-0000-0000-00005E010000}"/>
    <cellStyle name="Linked Cell 3 2" xfId="359" xr:uid="{00000000-0005-0000-0000-00005F010000}"/>
    <cellStyle name="Linked Cell 4" xfId="360" xr:uid="{00000000-0005-0000-0000-000060010000}"/>
    <cellStyle name="Neutral 2" xfId="361" xr:uid="{00000000-0005-0000-0000-000061010000}"/>
    <cellStyle name="Neutral 2 2" xfId="362" xr:uid="{00000000-0005-0000-0000-000062010000}"/>
    <cellStyle name="Neutral 2 3" xfId="363" xr:uid="{00000000-0005-0000-0000-000063010000}"/>
    <cellStyle name="Neutral 3" xfId="364" xr:uid="{00000000-0005-0000-0000-000064010000}"/>
    <cellStyle name="Neutral 3 2" xfId="365" xr:uid="{00000000-0005-0000-0000-000065010000}"/>
    <cellStyle name="Neutral 4" xfId="366" xr:uid="{00000000-0005-0000-0000-000066010000}"/>
    <cellStyle name="Neutral 5" xfId="367" xr:uid="{00000000-0005-0000-0000-000067010000}"/>
    <cellStyle name="Neutral 6" xfId="368" xr:uid="{00000000-0005-0000-0000-000068010000}"/>
    <cellStyle name="Neutral 7" xfId="369" xr:uid="{00000000-0005-0000-0000-000069010000}"/>
    <cellStyle name="Normal" xfId="0" builtinId="0"/>
    <cellStyle name="Normal 10" xfId="370" xr:uid="{00000000-0005-0000-0000-00006B010000}"/>
    <cellStyle name="Normal 10 10" xfId="371" xr:uid="{00000000-0005-0000-0000-00006C010000}"/>
    <cellStyle name="Normal 10 11" xfId="372" xr:uid="{00000000-0005-0000-0000-00006D010000}"/>
    <cellStyle name="Normal 10 12" xfId="373" xr:uid="{00000000-0005-0000-0000-00006E010000}"/>
    <cellStyle name="Normal 10 13" xfId="374" xr:uid="{00000000-0005-0000-0000-00006F010000}"/>
    <cellStyle name="Normal 10 14" xfId="375" xr:uid="{00000000-0005-0000-0000-000070010000}"/>
    <cellStyle name="Normal 10 15" xfId="376" xr:uid="{00000000-0005-0000-0000-000071010000}"/>
    <cellStyle name="Normal 10 2" xfId="377" xr:uid="{00000000-0005-0000-0000-000072010000}"/>
    <cellStyle name="Normal 10 2 2" xfId="378" xr:uid="{00000000-0005-0000-0000-000073010000}"/>
    <cellStyle name="Normal 10 2 2 2" xfId="379" xr:uid="{00000000-0005-0000-0000-000074010000}"/>
    <cellStyle name="Normal 10 2 2 3" xfId="380" xr:uid="{00000000-0005-0000-0000-000075010000}"/>
    <cellStyle name="Normal 10 2 2 4" xfId="381" xr:uid="{00000000-0005-0000-0000-000076010000}"/>
    <cellStyle name="Normal 10 2 2 5" xfId="382" xr:uid="{00000000-0005-0000-0000-000077010000}"/>
    <cellStyle name="Normal 10 2 2 6" xfId="383" xr:uid="{00000000-0005-0000-0000-000078010000}"/>
    <cellStyle name="Normal 10 2 3" xfId="384" xr:uid="{00000000-0005-0000-0000-000079010000}"/>
    <cellStyle name="Normal 10 3" xfId="385" xr:uid="{00000000-0005-0000-0000-00007A010000}"/>
    <cellStyle name="Normal 10 3 2" xfId="386" xr:uid="{00000000-0005-0000-0000-00007B010000}"/>
    <cellStyle name="Normal 10 4" xfId="387" xr:uid="{00000000-0005-0000-0000-00007C010000}"/>
    <cellStyle name="Normal 10 5" xfId="388" xr:uid="{00000000-0005-0000-0000-00007D010000}"/>
    <cellStyle name="Normal 10 6" xfId="389" xr:uid="{00000000-0005-0000-0000-00007E010000}"/>
    <cellStyle name="Normal 10 7" xfId="390" xr:uid="{00000000-0005-0000-0000-00007F010000}"/>
    <cellStyle name="Normal 10 8" xfId="391" xr:uid="{00000000-0005-0000-0000-000080010000}"/>
    <cellStyle name="Normal 10 9" xfId="392" xr:uid="{00000000-0005-0000-0000-000081010000}"/>
    <cellStyle name="Normal 100" xfId="393" xr:uid="{00000000-0005-0000-0000-000082010000}"/>
    <cellStyle name="Normal 100 2" xfId="394" xr:uid="{00000000-0005-0000-0000-000083010000}"/>
    <cellStyle name="Normal 101" xfId="395" xr:uid="{00000000-0005-0000-0000-000084010000}"/>
    <cellStyle name="Normal 101 2" xfId="396" xr:uid="{00000000-0005-0000-0000-000085010000}"/>
    <cellStyle name="Normal 102" xfId="397" xr:uid="{00000000-0005-0000-0000-000086010000}"/>
    <cellStyle name="Normal 102 2" xfId="398" xr:uid="{00000000-0005-0000-0000-000087010000}"/>
    <cellStyle name="Normal 103" xfId="399" xr:uid="{00000000-0005-0000-0000-000088010000}"/>
    <cellStyle name="Normal 103 2" xfId="400" xr:uid="{00000000-0005-0000-0000-000089010000}"/>
    <cellStyle name="Normal 104" xfId="401" xr:uid="{00000000-0005-0000-0000-00008A010000}"/>
    <cellStyle name="Normal 104 2" xfId="402" xr:uid="{00000000-0005-0000-0000-00008B010000}"/>
    <cellStyle name="Normal 105" xfId="403" xr:uid="{00000000-0005-0000-0000-00008C010000}"/>
    <cellStyle name="Normal 105 2" xfId="404" xr:uid="{00000000-0005-0000-0000-00008D010000}"/>
    <cellStyle name="Normal 106" xfId="405" xr:uid="{00000000-0005-0000-0000-00008E010000}"/>
    <cellStyle name="Normal 106 2" xfId="406" xr:uid="{00000000-0005-0000-0000-00008F010000}"/>
    <cellStyle name="Normal 107" xfId="407" xr:uid="{00000000-0005-0000-0000-000090010000}"/>
    <cellStyle name="Normal 107 2" xfId="408" xr:uid="{00000000-0005-0000-0000-000091010000}"/>
    <cellStyle name="Normal 108" xfId="409" xr:uid="{00000000-0005-0000-0000-000092010000}"/>
    <cellStyle name="Normal 108 2" xfId="410" xr:uid="{00000000-0005-0000-0000-000093010000}"/>
    <cellStyle name="Normal 109" xfId="411" xr:uid="{00000000-0005-0000-0000-000094010000}"/>
    <cellStyle name="Normal 109 2" xfId="412" xr:uid="{00000000-0005-0000-0000-000095010000}"/>
    <cellStyle name="Normal 11" xfId="413" xr:uid="{00000000-0005-0000-0000-000096010000}"/>
    <cellStyle name="Normal 11 10" xfId="414" xr:uid="{00000000-0005-0000-0000-000097010000}"/>
    <cellStyle name="Normal 11 11" xfId="415" xr:uid="{00000000-0005-0000-0000-000098010000}"/>
    <cellStyle name="Normal 11 12" xfId="416" xr:uid="{00000000-0005-0000-0000-000099010000}"/>
    <cellStyle name="Normal 11 13" xfId="417" xr:uid="{00000000-0005-0000-0000-00009A010000}"/>
    <cellStyle name="Normal 11 14" xfId="418" xr:uid="{00000000-0005-0000-0000-00009B010000}"/>
    <cellStyle name="Normal 11 2" xfId="419" xr:uid="{00000000-0005-0000-0000-00009C010000}"/>
    <cellStyle name="Normal 11 2 2" xfId="420" xr:uid="{00000000-0005-0000-0000-00009D010000}"/>
    <cellStyle name="Normal 11 3" xfId="421" xr:uid="{00000000-0005-0000-0000-00009E010000}"/>
    <cellStyle name="Normal 11 4" xfId="422" xr:uid="{00000000-0005-0000-0000-00009F010000}"/>
    <cellStyle name="Normal 11 5" xfId="423" xr:uid="{00000000-0005-0000-0000-0000A0010000}"/>
    <cellStyle name="Normal 11 6" xfId="424" xr:uid="{00000000-0005-0000-0000-0000A1010000}"/>
    <cellStyle name="Normal 11 7" xfId="425" xr:uid="{00000000-0005-0000-0000-0000A2010000}"/>
    <cellStyle name="Normal 11 8" xfId="426" xr:uid="{00000000-0005-0000-0000-0000A3010000}"/>
    <cellStyle name="Normal 11 9" xfId="427" xr:uid="{00000000-0005-0000-0000-0000A4010000}"/>
    <cellStyle name="Normal 110" xfId="428" xr:uid="{00000000-0005-0000-0000-0000A5010000}"/>
    <cellStyle name="Normal 110 2" xfId="429" xr:uid="{00000000-0005-0000-0000-0000A6010000}"/>
    <cellStyle name="Normal 111" xfId="430" xr:uid="{00000000-0005-0000-0000-0000A7010000}"/>
    <cellStyle name="Normal 111 2" xfId="431" xr:uid="{00000000-0005-0000-0000-0000A8010000}"/>
    <cellStyle name="Normal 112" xfId="432" xr:uid="{00000000-0005-0000-0000-0000A9010000}"/>
    <cellStyle name="Normal 112 2" xfId="433" xr:uid="{00000000-0005-0000-0000-0000AA010000}"/>
    <cellStyle name="Normal 113" xfId="434" xr:uid="{00000000-0005-0000-0000-0000AB010000}"/>
    <cellStyle name="Normal 113 2" xfId="435" xr:uid="{00000000-0005-0000-0000-0000AC010000}"/>
    <cellStyle name="Normal 114" xfId="436" xr:uid="{00000000-0005-0000-0000-0000AD010000}"/>
    <cellStyle name="Normal 114 2" xfId="437" xr:uid="{00000000-0005-0000-0000-0000AE010000}"/>
    <cellStyle name="Normal 115" xfId="4" xr:uid="{00000000-0005-0000-0000-0000AF010000}"/>
    <cellStyle name="Normal 115 2" xfId="438" xr:uid="{00000000-0005-0000-0000-0000B0010000}"/>
    <cellStyle name="Normal 116" xfId="3" xr:uid="{00000000-0005-0000-0000-0000B1010000}"/>
    <cellStyle name="Normal 116 2" xfId="439" xr:uid="{00000000-0005-0000-0000-0000B2010000}"/>
    <cellStyle name="Normal 117" xfId="440" xr:uid="{00000000-0005-0000-0000-0000B3010000}"/>
    <cellStyle name="Normal 117 2" xfId="441" xr:uid="{00000000-0005-0000-0000-0000B4010000}"/>
    <cellStyle name="Normal 118" xfId="442" xr:uid="{00000000-0005-0000-0000-0000B5010000}"/>
    <cellStyle name="Normal 118 2" xfId="443" xr:uid="{00000000-0005-0000-0000-0000B6010000}"/>
    <cellStyle name="Normal 119" xfId="444" xr:uid="{00000000-0005-0000-0000-0000B7010000}"/>
    <cellStyle name="Normal 119 2" xfId="445" xr:uid="{00000000-0005-0000-0000-0000B8010000}"/>
    <cellStyle name="Normal 12" xfId="446" xr:uid="{00000000-0005-0000-0000-0000B9010000}"/>
    <cellStyle name="Normal 12 2" xfId="447" xr:uid="{00000000-0005-0000-0000-0000BA010000}"/>
    <cellStyle name="Normal 12 2 2" xfId="448" xr:uid="{00000000-0005-0000-0000-0000BB010000}"/>
    <cellStyle name="Normal 12 2 3" xfId="449" xr:uid="{00000000-0005-0000-0000-0000BC010000}"/>
    <cellStyle name="Normal 120" xfId="450" xr:uid="{00000000-0005-0000-0000-0000BD010000}"/>
    <cellStyle name="Normal 120 2" xfId="451" xr:uid="{00000000-0005-0000-0000-0000BE010000}"/>
    <cellStyle name="Normal 121" xfId="452" xr:uid="{00000000-0005-0000-0000-0000BF010000}"/>
    <cellStyle name="Normal 121 2" xfId="453" xr:uid="{00000000-0005-0000-0000-0000C0010000}"/>
    <cellStyle name="Normal 122" xfId="454" xr:uid="{00000000-0005-0000-0000-0000C1010000}"/>
    <cellStyle name="Normal 122 2" xfId="455" xr:uid="{00000000-0005-0000-0000-0000C2010000}"/>
    <cellStyle name="Normal 123" xfId="456" xr:uid="{00000000-0005-0000-0000-0000C3010000}"/>
    <cellStyle name="Normal 123 2" xfId="457" xr:uid="{00000000-0005-0000-0000-0000C4010000}"/>
    <cellStyle name="Normal 124" xfId="458" xr:uid="{00000000-0005-0000-0000-0000C5010000}"/>
    <cellStyle name="Normal 124 2" xfId="459" xr:uid="{00000000-0005-0000-0000-0000C6010000}"/>
    <cellStyle name="Normal 125" xfId="460" xr:uid="{00000000-0005-0000-0000-0000C7010000}"/>
    <cellStyle name="Normal 125 2" xfId="461" xr:uid="{00000000-0005-0000-0000-0000C8010000}"/>
    <cellStyle name="Normal 126" xfId="462" xr:uid="{00000000-0005-0000-0000-0000C9010000}"/>
    <cellStyle name="Normal 126 2" xfId="463" xr:uid="{00000000-0005-0000-0000-0000CA010000}"/>
    <cellStyle name="Normal 127" xfId="464" xr:uid="{00000000-0005-0000-0000-0000CB010000}"/>
    <cellStyle name="Normal 127 2" xfId="465" xr:uid="{00000000-0005-0000-0000-0000CC010000}"/>
    <cellStyle name="Normal 128" xfId="466" xr:uid="{00000000-0005-0000-0000-0000CD010000}"/>
    <cellStyle name="Normal 128 2" xfId="467" xr:uid="{00000000-0005-0000-0000-0000CE010000}"/>
    <cellStyle name="Normal 129" xfId="468" xr:uid="{00000000-0005-0000-0000-0000CF010000}"/>
    <cellStyle name="Normal 129 2" xfId="469" xr:uid="{00000000-0005-0000-0000-0000D0010000}"/>
    <cellStyle name="Normal 13" xfId="470" xr:uid="{00000000-0005-0000-0000-0000D1010000}"/>
    <cellStyle name="Normal 13 10" xfId="471" xr:uid="{00000000-0005-0000-0000-0000D2010000}"/>
    <cellStyle name="Normal 13 11" xfId="472" xr:uid="{00000000-0005-0000-0000-0000D3010000}"/>
    <cellStyle name="Normal 13 12" xfId="473" xr:uid="{00000000-0005-0000-0000-0000D4010000}"/>
    <cellStyle name="Normal 13 13" xfId="474" xr:uid="{00000000-0005-0000-0000-0000D5010000}"/>
    <cellStyle name="Normal 13 14" xfId="475" xr:uid="{00000000-0005-0000-0000-0000D6010000}"/>
    <cellStyle name="Normal 13 15" xfId="476" xr:uid="{00000000-0005-0000-0000-0000D7010000}"/>
    <cellStyle name="Normal 13 2" xfId="477" xr:uid="{00000000-0005-0000-0000-0000D8010000}"/>
    <cellStyle name="Normal 13 2 2" xfId="478" xr:uid="{00000000-0005-0000-0000-0000D9010000}"/>
    <cellStyle name="Normal 13 2 3" xfId="479" xr:uid="{00000000-0005-0000-0000-0000DA010000}"/>
    <cellStyle name="Normal 13 3" xfId="480" xr:uid="{00000000-0005-0000-0000-0000DB010000}"/>
    <cellStyle name="Normal 13 3 2" xfId="481" xr:uid="{00000000-0005-0000-0000-0000DC010000}"/>
    <cellStyle name="Normal 13 4" xfId="482" xr:uid="{00000000-0005-0000-0000-0000DD010000}"/>
    <cellStyle name="Normal 13 5" xfId="483" xr:uid="{00000000-0005-0000-0000-0000DE010000}"/>
    <cellStyle name="Normal 13 6" xfId="484" xr:uid="{00000000-0005-0000-0000-0000DF010000}"/>
    <cellStyle name="Normal 13 7" xfId="485" xr:uid="{00000000-0005-0000-0000-0000E0010000}"/>
    <cellStyle name="Normal 13 8" xfId="486" xr:uid="{00000000-0005-0000-0000-0000E1010000}"/>
    <cellStyle name="Normal 13 9" xfId="487" xr:uid="{00000000-0005-0000-0000-0000E2010000}"/>
    <cellStyle name="Normal 130" xfId="488" xr:uid="{00000000-0005-0000-0000-0000E3010000}"/>
    <cellStyle name="Normal 130 2" xfId="489" xr:uid="{00000000-0005-0000-0000-0000E4010000}"/>
    <cellStyle name="Normal 131" xfId="490" xr:uid="{00000000-0005-0000-0000-0000E5010000}"/>
    <cellStyle name="Normal 131 2" xfId="491" xr:uid="{00000000-0005-0000-0000-0000E6010000}"/>
    <cellStyle name="Normal 132" xfId="492" xr:uid="{00000000-0005-0000-0000-0000E7010000}"/>
    <cellStyle name="Normal 132 2" xfId="493" xr:uid="{00000000-0005-0000-0000-0000E8010000}"/>
    <cellStyle name="Normal 133" xfId="494" xr:uid="{00000000-0005-0000-0000-0000E9010000}"/>
    <cellStyle name="Normal 133 2" xfId="495" xr:uid="{00000000-0005-0000-0000-0000EA010000}"/>
    <cellStyle name="Normal 134" xfId="496" xr:uid="{00000000-0005-0000-0000-0000EB010000}"/>
    <cellStyle name="Normal 134 2" xfId="497" xr:uid="{00000000-0005-0000-0000-0000EC010000}"/>
    <cellStyle name="Normal 135" xfId="498" xr:uid="{00000000-0005-0000-0000-0000ED010000}"/>
    <cellStyle name="Normal 135 2" xfId="499" xr:uid="{00000000-0005-0000-0000-0000EE010000}"/>
    <cellStyle name="Normal 136" xfId="500" xr:uid="{00000000-0005-0000-0000-0000EF010000}"/>
    <cellStyle name="Normal 136 2" xfId="501" xr:uid="{00000000-0005-0000-0000-0000F0010000}"/>
    <cellStyle name="Normal 137" xfId="502" xr:uid="{00000000-0005-0000-0000-0000F1010000}"/>
    <cellStyle name="Normal 137 2" xfId="503" xr:uid="{00000000-0005-0000-0000-0000F2010000}"/>
    <cellStyle name="Normal 138" xfId="504" xr:uid="{00000000-0005-0000-0000-0000F3010000}"/>
    <cellStyle name="Normal 138 2" xfId="505" xr:uid="{00000000-0005-0000-0000-0000F4010000}"/>
    <cellStyle name="Normal 139" xfId="506" xr:uid="{00000000-0005-0000-0000-0000F5010000}"/>
    <cellStyle name="Normal 139 2" xfId="507" xr:uid="{00000000-0005-0000-0000-0000F6010000}"/>
    <cellStyle name="Normal 14" xfId="508" xr:uid="{00000000-0005-0000-0000-0000F7010000}"/>
    <cellStyle name="Normal 14 2" xfId="509" xr:uid="{00000000-0005-0000-0000-0000F8010000}"/>
    <cellStyle name="Normal 14 2 2" xfId="510" xr:uid="{00000000-0005-0000-0000-0000F9010000}"/>
    <cellStyle name="Normal 14 2 3" xfId="511" xr:uid="{00000000-0005-0000-0000-0000FA010000}"/>
    <cellStyle name="Normal 140" xfId="512" xr:uid="{00000000-0005-0000-0000-0000FB010000}"/>
    <cellStyle name="Normal 140 2" xfId="513" xr:uid="{00000000-0005-0000-0000-0000FC010000}"/>
    <cellStyle name="Normal 141" xfId="514" xr:uid="{00000000-0005-0000-0000-0000FD010000}"/>
    <cellStyle name="Normal 141 2" xfId="515" xr:uid="{00000000-0005-0000-0000-0000FE010000}"/>
    <cellStyle name="Normal 142" xfId="516" xr:uid="{00000000-0005-0000-0000-0000FF010000}"/>
    <cellStyle name="Normal 142 2" xfId="517" xr:uid="{00000000-0005-0000-0000-000000020000}"/>
    <cellStyle name="Normal 143" xfId="518" xr:uid="{00000000-0005-0000-0000-000001020000}"/>
    <cellStyle name="Normal 143 2" xfId="519" xr:uid="{00000000-0005-0000-0000-000002020000}"/>
    <cellStyle name="Normal 144" xfId="520" xr:uid="{00000000-0005-0000-0000-000003020000}"/>
    <cellStyle name="Normal 144 2" xfId="521" xr:uid="{00000000-0005-0000-0000-000004020000}"/>
    <cellStyle name="Normal 145" xfId="522" xr:uid="{00000000-0005-0000-0000-000005020000}"/>
    <cellStyle name="Normal 145 2" xfId="523" xr:uid="{00000000-0005-0000-0000-000006020000}"/>
    <cellStyle name="Normal 146" xfId="524" xr:uid="{00000000-0005-0000-0000-000007020000}"/>
    <cellStyle name="Normal 146 2" xfId="525" xr:uid="{00000000-0005-0000-0000-000008020000}"/>
    <cellStyle name="Normal 147" xfId="526" xr:uid="{00000000-0005-0000-0000-000009020000}"/>
    <cellStyle name="Normal 147 2" xfId="527" xr:uid="{00000000-0005-0000-0000-00000A020000}"/>
    <cellStyle name="Normal 148" xfId="528" xr:uid="{00000000-0005-0000-0000-00000B020000}"/>
    <cellStyle name="Normal 148 2" xfId="529" xr:uid="{00000000-0005-0000-0000-00000C020000}"/>
    <cellStyle name="Normal 149" xfId="530" xr:uid="{00000000-0005-0000-0000-00000D020000}"/>
    <cellStyle name="Normal 149 2" xfId="531" xr:uid="{00000000-0005-0000-0000-00000E020000}"/>
    <cellStyle name="Normal 15" xfId="532" xr:uid="{00000000-0005-0000-0000-00000F020000}"/>
    <cellStyle name="Normal 15 2" xfId="533" xr:uid="{00000000-0005-0000-0000-000010020000}"/>
    <cellStyle name="Normal 15 2 2" xfId="534" xr:uid="{00000000-0005-0000-0000-000011020000}"/>
    <cellStyle name="Normal 15 2 3" xfId="535" xr:uid="{00000000-0005-0000-0000-000012020000}"/>
    <cellStyle name="Normal 150" xfId="536" xr:uid="{00000000-0005-0000-0000-000013020000}"/>
    <cellStyle name="Normal 150 2" xfId="537" xr:uid="{00000000-0005-0000-0000-000014020000}"/>
    <cellStyle name="Normal 151" xfId="538" xr:uid="{00000000-0005-0000-0000-000015020000}"/>
    <cellStyle name="Normal 151 2" xfId="539" xr:uid="{00000000-0005-0000-0000-000016020000}"/>
    <cellStyle name="Normal 152" xfId="540" xr:uid="{00000000-0005-0000-0000-000017020000}"/>
    <cellStyle name="Normal 152 2" xfId="541" xr:uid="{00000000-0005-0000-0000-000018020000}"/>
    <cellStyle name="Normal 153" xfId="542" xr:uid="{00000000-0005-0000-0000-000019020000}"/>
    <cellStyle name="Normal 153 2" xfId="543" xr:uid="{00000000-0005-0000-0000-00001A020000}"/>
    <cellStyle name="Normal 154" xfId="544" xr:uid="{00000000-0005-0000-0000-00001B020000}"/>
    <cellStyle name="Normal 154 2" xfId="545" xr:uid="{00000000-0005-0000-0000-00001C020000}"/>
    <cellStyle name="Normal 155" xfId="546" xr:uid="{00000000-0005-0000-0000-00001D020000}"/>
    <cellStyle name="Normal 155 2" xfId="547" xr:uid="{00000000-0005-0000-0000-00001E020000}"/>
    <cellStyle name="Normal 156" xfId="548" xr:uid="{00000000-0005-0000-0000-00001F020000}"/>
    <cellStyle name="Normal 156 2" xfId="549" xr:uid="{00000000-0005-0000-0000-000020020000}"/>
    <cellStyle name="Normal 157" xfId="550" xr:uid="{00000000-0005-0000-0000-000021020000}"/>
    <cellStyle name="Normal 157 2" xfId="551" xr:uid="{00000000-0005-0000-0000-000022020000}"/>
    <cellStyle name="Normal 158" xfId="552" xr:uid="{00000000-0005-0000-0000-000023020000}"/>
    <cellStyle name="Normal 158 2" xfId="553" xr:uid="{00000000-0005-0000-0000-000024020000}"/>
    <cellStyle name="Normal 159" xfId="554" xr:uid="{00000000-0005-0000-0000-000025020000}"/>
    <cellStyle name="Normal 159 2" xfId="555" xr:uid="{00000000-0005-0000-0000-000026020000}"/>
    <cellStyle name="Normal 16" xfId="556" xr:uid="{00000000-0005-0000-0000-000027020000}"/>
    <cellStyle name="Normal 16 10" xfId="557" xr:uid="{00000000-0005-0000-0000-000028020000}"/>
    <cellStyle name="Normal 16 11" xfId="558" xr:uid="{00000000-0005-0000-0000-000029020000}"/>
    <cellStyle name="Normal 16 12" xfId="559" xr:uid="{00000000-0005-0000-0000-00002A020000}"/>
    <cellStyle name="Normal 16 13" xfId="560" xr:uid="{00000000-0005-0000-0000-00002B020000}"/>
    <cellStyle name="Normal 16 14" xfId="561" xr:uid="{00000000-0005-0000-0000-00002C020000}"/>
    <cellStyle name="Normal 16 15" xfId="562" xr:uid="{00000000-0005-0000-0000-00002D020000}"/>
    <cellStyle name="Normal 16 2" xfId="563" xr:uid="{00000000-0005-0000-0000-00002E020000}"/>
    <cellStyle name="Normal 16 2 2" xfId="564" xr:uid="{00000000-0005-0000-0000-00002F020000}"/>
    <cellStyle name="Normal 16 2 3" xfId="565" xr:uid="{00000000-0005-0000-0000-000030020000}"/>
    <cellStyle name="Normal 16 3" xfId="566" xr:uid="{00000000-0005-0000-0000-000031020000}"/>
    <cellStyle name="Normal 16 3 2" xfId="567" xr:uid="{00000000-0005-0000-0000-000032020000}"/>
    <cellStyle name="Normal 16 4" xfId="568" xr:uid="{00000000-0005-0000-0000-000033020000}"/>
    <cellStyle name="Normal 16 5" xfId="569" xr:uid="{00000000-0005-0000-0000-000034020000}"/>
    <cellStyle name="Normal 16 6" xfId="570" xr:uid="{00000000-0005-0000-0000-000035020000}"/>
    <cellStyle name="Normal 16 7" xfId="571" xr:uid="{00000000-0005-0000-0000-000036020000}"/>
    <cellStyle name="Normal 16 8" xfId="572" xr:uid="{00000000-0005-0000-0000-000037020000}"/>
    <cellStyle name="Normal 16 9" xfId="573" xr:uid="{00000000-0005-0000-0000-000038020000}"/>
    <cellStyle name="Normal 160" xfId="574" xr:uid="{00000000-0005-0000-0000-000039020000}"/>
    <cellStyle name="Normal 160 2" xfId="575" xr:uid="{00000000-0005-0000-0000-00003A020000}"/>
    <cellStyle name="Normal 161" xfId="576" xr:uid="{00000000-0005-0000-0000-00003B020000}"/>
    <cellStyle name="Normal 161 2" xfId="577" xr:uid="{00000000-0005-0000-0000-00003C020000}"/>
    <cellStyle name="Normal 162" xfId="578" xr:uid="{00000000-0005-0000-0000-00003D020000}"/>
    <cellStyle name="Normal 162 2" xfId="579" xr:uid="{00000000-0005-0000-0000-00003E020000}"/>
    <cellStyle name="Normal 163" xfId="580" xr:uid="{00000000-0005-0000-0000-00003F020000}"/>
    <cellStyle name="Normal 163 2" xfId="581" xr:uid="{00000000-0005-0000-0000-000040020000}"/>
    <cellStyle name="Normal 164" xfId="582" xr:uid="{00000000-0005-0000-0000-000041020000}"/>
    <cellStyle name="Normal 164 2" xfId="583" xr:uid="{00000000-0005-0000-0000-000042020000}"/>
    <cellStyle name="Normal 165" xfId="584" xr:uid="{00000000-0005-0000-0000-000043020000}"/>
    <cellStyle name="Normal 165 2" xfId="585" xr:uid="{00000000-0005-0000-0000-000044020000}"/>
    <cellStyle name="Normal 166" xfId="586" xr:uid="{00000000-0005-0000-0000-000045020000}"/>
    <cellStyle name="Normal 166 2" xfId="587" xr:uid="{00000000-0005-0000-0000-000046020000}"/>
    <cellStyle name="Normal 167" xfId="588" xr:uid="{00000000-0005-0000-0000-000047020000}"/>
    <cellStyle name="Normal 167 2" xfId="589" xr:uid="{00000000-0005-0000-0000-000048020000}"/>
    <cellStyle name="Normal 168" xfId="590" xr:uid="{00000000-0005-0000-0000-000049020000}"/>
    <cellStyle name="Normal 168 2" xfId="591" xr:uid="{00000000-0005-0000-0000-00004A020000}"/>
    <cellStyle name="Normal 169" xfId="592" xr:uid="{00000000-0005-0000-0000-00004B020000}"/>
    <cellStyle name="Normal 169 2" xfId="593" xr:uid="{00000000-0005-0000-0000-00004C020000}"/>
    <cellStyle name="Normal 17" xfId="594" xr:uid="{00000000-0005-0000-0000-00004D020000}"/>
    <cellStyle name="Normal 17 10" xfId="595" xr:uid="{00000000-0005-0000-0000-00004E020000}"/>
    <cellStyle name="Normal 17 11" xfId="596" xr:uid="{00000000-0005-0000-0000-00004F020000}"/>
    <cellStyle name="Normal 17 12" xfId="597" xr:uid="{00000000-0005-0000-0000-000050020000}"/>
    <cellStyle name="Normal 17 13" xfId="598" xr:uid="{00000000-0005-0000-0000-000051020000}"/>
    <cellStyle name="Normal 17 14" xfId="599" xr:uid="{00000000-0005-0000-0000-000052020000}"/>
    <cellStyle name="Normal 17 15" xfId="600" xr:uid="{00000000-0005-0000-0000-000053020000}"/>
    <cellStyle name="Normal 17 2" xfId="601" xr:uid="{00000000-0005-0000-0000-000054020000}"/>
    <cellStyle name="Normal 17 2 2" xfId="602" xr:uid="{00000000-0005-0000-0000-000055020000}"/>
    <cellStyle name="Normal 17 2 3" xfId="603" xr:uid="{00000000-0005-0000-0000-000056020000}"/>
    <cellStyle name="Normal 17 3" xfId="604" xr:uid="{00000000-0005-0000-0000-000057020000}"/>
    <cellStyle name="Normal 17 3 2" xfId="605" xr:uid="{00000000-0005-0000-0000-000058020000}"/>
    <cellStyle name="Normal 17 4" xfId="606" xr:uid="{00000000-0005-0000-0000-000059020000}"/>
    <cellStyle name="Normal 17 5" xfId="607" xr:uid="{00000000-0005-0000-0000-00005A020000}"/>
    <cellStyle name="Normal 17 6" xfId="608" xr:uid="{00000000-0005-0000-0000-00005B020000}"/>
    <cellStyle name="Normal 17 7" xfId="609" xr:uid="{00000000-0005-0000-0000-00005C020000}"/>
    <cellStyle name="Normal 17 8" xfId="610" xr:uid="{00000000-0005-0000-0000-00005D020000}"/>
    <cellStyle name="Normal 17 9" xfId="611" xr:uid="{00000000-0005-0000-0000-00005E020000}"/>
    <cellStyle name="Normal 170" xfId="612" xr:uid="{00000000-0005-0000-0000-00005F020000}"/>
    <cellStyle name="Normal 170 2" xfId="613" xr:uid="{00000000-0005-0000-0000-000060020000}"/>
    <cellStyle name="Normal 171" xfId="614" xr:uid="{00000000-0005-0000-0000-000061020000}"/>
    <cellStyle name="Normal 171 2" xfId="615" xr:uid="{00000000-0005-0000-0000-000062020000}"/>
    <cellStyle name="Normal 172" xfId="616" xr:uid="{00000000-0005-0000-0000-000063020000}"/>
    <cellStyle name="Normal 172 2" xfId="617" xr:uid="{00000000-0005-0000-0000-000064020000}"/>
    <cellStyle name="Normal 173" xfId="618" xr:uid="{00000000-0005-0000-0000-000065020000}"/>
    <cellStyle name="Normal 173 2" xfId="619" xr:uid="{00000000-0005-0000-0000-000066020000}"/>
    <cellStyle name="Normal 174" xfId="620" xr:uid="{00000000-0005-0000-0000-000067020000}"/>
    <cellStyle name="Normal 174 2" xfId="621" xr:uid="{00000000-0005-0000-0000-000068020000}"/>
    <cellStyle name="Normal 175" xfId="622" xr:uid="{00000000-0005-0000-0000-000069020000}"/>
    <cellStyle name="Normal 175 2" xfId="623" xr:uid="{00000000-0005-0000-0000-00006A020000}"/>
    <cellStyle name="Normal 176" xfId="624" xr:uid="{00000000-0005-0000-0000-00006B020000}"/>
    <cellStyle name="Normal 176 2" xfId="625" xr:uid="{00000000-0005-0000-0000-00006C020000}"/>
    <cellStyle name="Normal 177" xfId="626" xr:uid="{00000000-0005-0000-0000-00006D020000}"/>
    <cellStyle name="Normal 178" xfId="627" xr:uid="{00000000-0005-0000-0000-00006E020000}"/>
    <cellStyle name="Normal 179" xfId="628" xr:uid="{00000000-0005-0000-0000-00006F020000}"/>
    <cellStyle name="Normal 18" xfId="629" xr:uid="{00000000-0005-0000-0000-000070020000}"/>
    <cellStyle name="Normal 18 2" xfId="630" xr:uid="{00000000-0005-0000-0000-000071020000}"/>
    <cellStyle name="Normal 18 3" xfId="631" xr:uid="{00000000-0005-0000-0000-000072020000}"/>
    <cellStyle name="Normal 18 3 2" xfId="632" xr:uid="{00000000-0005-0000-0000-000073020000}"/>
    <cellStyle name="Normal 18 3 3" xfId="633" xr:uid="{00000000-0005-0000-0000-000074020000}"/>
    <cellStyle name="Normal 18 3 4" xfId="634" xr:uid="{00000000-0005-0000-0000-000075020000}"/>
    <cellStyle name="Normal 18 3 5" xfId="635" xr:uid="{00000000-0005-0000-0000-000076020000}"/>
    <cellStyle name="Normal 18 3 6" xfId="636" xr:uid="{00000000-0005-0000-0000-000077020000}"/>
    <cellStyle name="Normal 18 4" xfId="637" xr:uid="{00000000-0005-0000-0000-000078020000}"/>
    <cellStyle name="Normal 18 4 2" xfId="638" xr:uid="{00000000-0005-0000-0000-000079020000}"/>
    <cellStyle name="Normal 18 5" xfId="639" xr:uid="{00000000-0005-0000-0000-00007A020000}"/>
    <cellStyle name="Normal 180" xfId="640" xr:uid="{00000000-0005-0000-0000-00007B020000}"/>
    <cellStyle name="Normal 181" xfId="641" xr:uid="{00000000-0005-0000-0000-00007C020000}"/>
    <cellStyle name="Normal 181 2" xfId="642" xr:uid="{00000000-0005-0000-0000-00007D020000}"/>
    <cellStyle name="Normal 182" xfId="643" xr:uid="{00000000-0005-0000-0000-00007E020000}"/>
    <cellStyle name="Normal 182 2" xfId="644" xr:uid="{00000000-0005-0000-0000-00007F020000}"/>
    <cellStyle name="Normal 183" xfId="645" xr:uid="{00000000-0005-0000-0000-000080020000}"/>
    <cellStyle name="Normal 183 2" xfId="646" xr:uid="{00000000-0005-0000-0000-000081020000}"/>
    <cellStyle name="Normal 184" xfId="647" xr:uid="{00000000-0005-0000-0000-000082020000}"/>
    <cellStyle name="Normal 184 2" xfId="648" xr:uid="{00000000-0005-0000-0000-000083020000}"/>
    <cellStyle name="Normal 185" xfId="649" xr:uid="{00000000-0005-0000-0000-000084020000}"/>
    <cellStyle name="Normal 185 2" xfId="650" xr:uid="{00000000-0005-0000-0000-000085020000}"/>
    <cellStyle name="Normal 186" xfId="651" xr:uid="{00000000-0005-0000-0000-000086020000}"/>
    <cellStyle name="Normal 186 2" xfId="652" xr:uid="{00000000-0005-0000-0000-000087020000}"/>
    <cellStyle name="Normal 187" xfId="653" xr:uid="{00000000-0005-0000-0000-000088020000}"/>
    <cellStyle name="Normal 187 2" xfId="654" xr:uid="{00000000-0005-0000-0000-000089020000}"/>
    <cellStyle name="Normal 188" xfId="2" xr:uid="{00000000-0005-0000-0000-00008A020000}"/>
    <cellStyle name="Normal 189" xfId="655" xr:uid="{00000000-0005-0000-0000-00008B020000}"/>
    <cellStyle name="Normal 19" xfId="656" xr:uid="{00000000-0005-0000-0000-00008C020000}"/>
    <cellStyle name="Normal 19 10" xfId="657" xr:uid="{00000000-0005-0000-0000-00008D020000}"/>
    <cellStyle name="Normal 19 11" xfId="658" xr:uid="{00000000-0005-0000-0000-00008E020000}"/>
    <cellStyle name="Normal 19 12" xfId="659" xr:uid="{00000000-0005-0000-0000-00008F020000}"/>
    <cellStyle name="Normal 19 13" xfId="660" xr:uid="{00000000-0005-0000-0000-000090020000}"/>
    <cellStyle name="Normal 19 14" xfId="661" xr:uid="{00000000-0005-0000-0000-000091020000}"/>
    <cellStyle name="Normal 19 2" xfId="662" xr:uid="{00000000-0005-0000-0000-000092020000}"/>
    <cellStyle name="Normal 19 2 2" xfId="663" xr:uid="{00000000-0005-0000-0000-000093020000}"/>
    <cellStyle name="Normal 19 3" xfId="664" xr:uid="{00000000-0005-0000-0000-000094020000}"/>
    <cellStyle name="Normal 19 4" xfId="665" xr:uid="{00000000-0005-0000-0000-000095020000}"/>
    <cellStyle name="Normal 19 5" xfId="666" xr:uid="{00000000-0005-0000-0000-000096020000}"/>
    <cellStyle name="Normal 19 6" xfId="667" xr:uid="{00000000-0005-0000-0000-000097020000}"/>
    <cellStyle name="Normal 19 7" xfId="668" xr:uid="{00000000-0005-0000-0000-000098020000}"/>
    <cellStyle name="Normal 19 8" xfId="669" xr:uid="{00000000-0005-0000-0000-000099020000}"/>
    <cellStyle name="Normal 19 9" xfId="670" xr:uid="{00000000-0005-0000-0000-00009A020000}"/>
    <cellStyle name="Normal 190" xfId="671" xr:uid="{00000000-0005-0000-0000-00009B020000}"/>
    <cellStyle name="Normal 191" xfId="672" xr:uid="{00000000-0005-0000-0000-00009C020000}"/>
    <cellStyle name="Normal 192" xfId="673" xr:uid="{00000000-0005-0000-0000-00009D020000}"/>
    <cellStyle name="Normal 193" xfId="674" xr:uid="{00000000-0005-0000-0000-00009E020000}"/>
    <cellStyle name="Normal 2" xfId="675" xr:uid="{00000000-0005-0000-0000-00009F020000}"/>
    <cellStyle name="Normal 2 10" xfId="676" xr:uid="{00000000-0005-0000-0000-0000A0020000}"/>
    <cellStyle name="Normal 2 11" xfId="677" xr:uid="{00000000-0005-0000-0000-0000A1020000}"/>
    <cellStyle name="Normal 2 12" xfId="678" xr:uid="{00000000-0005-0000-0000-0000A2020000}"/>
    <cellStyle name="Normal 2 13" xfId="679" xr:uid="{00000000-0005-0000-0000-0000A3020000}"/>
    <cellStyle name="Normal 2 14" xfId="680" xr:uid="{00000000-0005-0000-0000-0000A4020000}"/>
    <cellStyle name="Normal 2 15" xfId="681" xr:uid="{00000000-0005-0000-0000-0000A5020000}"/>
    <cellStyle name="Normal 2 15 2" xfId="682" xr:uid="{00000000-0005-0000-0000-0000A6020000}"/>
    <cellStyle name="Normal 2 16" xfId="683" xr:uid="{00000000-0005-0000-0000-0000A7020000}"/>
    <cellStyle name="Normal 2 16 2" xfId="684" xr:uid="{00000000-0005-0000-0000-0000A8020000}"/>
    <cellStyle name="Normal 2 17" xfId="685" xr:uid="{00000000-0005-0000-0000-0000A9020000}"/>
    <cellStyle name="Normal 2 17 2" xfId="686" xr:uid="{00000000-0005-0000-0000-0000AA020000}"/>
    <cellStyle name="Normal 2 18" xfId="687" xr:uid="{00000000-0005-0000-0000-0000AB020000}"/>
    <cellStyle name="Normal 2 18 2" xfId="688" xr:uid="{00000000-0005-0000-0000-0000AC020000}"/>
    <cellStyle name="Normal 2 19" xfId="689" xr:uid="{00000000-0005-0000-0000-0000AD020000}"/>
    <cellStyle name="Normal 2 19 2" xfId="690" xr:uid="{00000000-0005-0000-0000-0000AE020000}"/>
    <cellStyle name="Normal 2 2" xfId="691" xr:uid="{00000000-0005-0000-0000-0000AF020000}"/>
    <cellStyle name="Normal 2 2 10" xfId="692" xr:uid="{00000000-0005-0000-0000-0000B0020000}"/>
    <cellStyle name="Normal 2 2 11" xfId="693" xr:uid="{00000000-0005-0000-0000-0000B1020000}"/>
    <cellStyle name="Normal 2 2 12" xfId="694" xr:uid="{00000000-0005-0000-0000-0000B2020000}"/>
    <cellStyle name="Normal 2 2 13" xfId="695" xr:uid="{00000000-0005-0000-0000-0000B3020000}"/>
    <cellStyle name="Normal 2 2 14" xfId="696" xr:uid="{00000000-0005-0000-0000-0000B4020000}"/>
    <cellStyle name="Normal 2 2 15" xfId="697" xr:uid="{00000000-0005-0000-0000-0000B5020000}"/>
    <cellStyle name="Normal 2 2 15 2" xfId="698" xr:uid="{00000000-0005-0000-0000-0000B6020000}"/>
    <cellStyle name="Normal 2 2 16" xfId="699" xr:uid="{00000000-0005-0000-0000-0000B7020000}"/>
    <cellStyle name="Normal 2 2 16 2" xfId="700" xr:uid="{00000000-0005-0000-0000-0000B8020000}"/>
    <cellStyle name="Normal 2 2 17" xfId="701" xr:uid="{00000000-0005-0000-0000-0000B9020000}"/>
    <cellStyle name="Normal 2 2 17 2" xfId="702" xr:uid="{00000000-0005-0000-0000-0000BA020000}"/>
    <cellStyle name="Normal 2 2 18" xfId="703" xr:uid="{00000000-0005-0000-0000-0000BB020000}"/>
    <cellStyle name="Normal 2 2 18 2" xfId="704" xr:uid="{00000000-0005-0000-0000-0000BC020000}"/>
    <cellStyle name="Normal 2 2 19" xfId="705" xr:uid="{00000000-0005-0000-0000-0000BD020000}"/>
    <cellStyle name="Normal 2 2 19 2" xfId="706" xr:uid="{00000000-0005-0000-0000-0000BE020000}"/>
    <cellStyle name="Normal 2 2 2" xfId="707" xr:uid="{00000000-0005-0000-0000-0000BF020000}"/>
    <cellStyle name="Normal 2 2 2 2" xfId="708" xr:uid="{00000000-0005-0000-0000-0000C0020000}"/>
    <cellStyle name="Normal 2 2 2 2 2" xfId="709" xr:uid="{00000000-0005-0000-0000-0000C1020000}"/>
    <cellStyle name="Normal 2 2 2 2 2 2" xfId="710" xr:uid="{00000000-0005-0000-0000-0000C2020000}"/>
    <cellStyle name="Normal 2 2 2 2 2 3" xfId="711" xr:uid="{00000000-0005-0000-0000-0000C3020000}"/>
    <cellStyle name="Normal 2 2 2 2 3" xfId="712" xr:uid="{00000000-0005-0000-0000-0000C4020000}"/>
    <cellStyle name="Normal 2 2 2 2 4" xfId="713" xr:uid="{00000000-0005-0000-0000-0000C5020000}"/>
    <cellStyle name="Normal 2 2 2 3" xfId="714" xr:uid="{00000000-0005-0000-0000-0000C6020000}"/>
    <cellStyle name="Normal 2 2 20" xfId="715" xr:uid="{00000000-0005-0000-0000-0000C7020000}"/>
    <cellStyle name="Normal 2 2 20 2" xfId="716" xr:uid="{00000000-0005-0000-0000-0000C8020000}"/>
    <cellStyle name="Normal 2 2 21" xfId="717" xr:uid="{00000000-0005-0000-0000-0000C9020000}"/>
    <cellStyle name="Normal 2 2 21 2" xfId="718" xr:uid="{00000000-0005-0000-0000-0000CA020000}"/>
    <cellStyle name="Normal 2 2 22" xfId="719" xr:uid="{00000000-0005-0000-0000-0000CB020000}"/>
    <cellStyle name="Normal 2 2 22 2" xfId="720" xr:uid="{00000000-0005-0000-0000-0000CC020000}"/>
    <cellStyle name="Normal 2 2 23" xfId="721" xr:uid="{00000000-0005-0000-0000-0000CD020000}"/>
    <cellStyle name="Normal 2 2 23 2" xfId="722" xr:uid="{00000000-0005-0000-0000-0000CE020000}"/>
    <cellStyle name="Normal 2 2 24" xfId="723" xr:uid="{00000000-0005-0000-0000-0000CF020000}"/>
    <cellStyle name="Normal 2 2 24 2" xfId="724" xr:uid="{00000000-0005-0000-0000-0000D0020000}"/>
    <cellStyle name="Normal 2 2 25" xfId="725" xr:uid="{00000000-0005-0000-0000-0000D1020000}"/>
    <cellStyle name="Normal 2 2 25 2" xfId="726" xr:uid="{00000000-0005-0000-0000-0000D2020000}"/>
    <cellStyle name="Normal 2 2 26" xfId="727" xr:uid="{00000000-0005-0000-0000-0000D3020000}"/>
    <cellStyle name="Normal 2 2 26 2" xfId="728" xr:uid="{00000000-0005-0000-0000-0000D4020000}"/>
    <cellStyle name="Normal 2 2 27" xfId="729" xr:uid="{00000000-0005-0000-0000-0000D5020000}"/>
    <cellStyle name="Normal 2 2 27 2" xfId="730" xr:uid="{00000000-0005-0000-0000-0000D6020000}"/>
    <cellStyle name="Normal 2 2 28" xfId="731" xr:uid="{00000000-0005-0000-0000-0000D7020000}"/>
    <cellStyle name="Normal 2 2 28 2" xfId="732" xr:uid="{00000000-0005-0000-0000-0000D8020000}"/>
    <cellStyle name="Normal 2 2 29" xfId="733" xr:uid="{00000000-0005-0000-0000-0000D9020000}"/>
    <cellStyle name="Normal 2 2 29 2" xfId="734" xr:uid="{00000000-0005-0000-0000-0000DA020000}"/>
    <cellStyle name="Normal 2 2 3" xfId="735" xr:uid="{00000000-0005-0000-0000-0000DB020000}"/>
    <cellStyle name="Normal 2 2 30" xfId="736" xr:uid="{00000000-0005-0000-0000-0000DC020000}"/>
    <cellStyle name="Normal 2 2 30 2" xfId="737" xr:uid="{00000000-0005-0000-0000-0000DD020000}"/>
    <cellStyle name="Normal 2 2 31" xfId="738" xr:uid="{00000000-0005-0000-0000-0000DE020000}"/>
    <cellStyle name="Normal 2 2 31 2" xfId="739" xr:uid="{00000000-0005-0000-0000-0000DF020000}"/>
    <cellStyle name="Normal 2 2 32" xfId="740" xr:uid="{00000000-0005-0000-0000-0000E0020000}"/>
    <cellStyle name="Normal 2 2 32 2" xfId="741" xr:uid="{00000000-0005-0000-0000-0000E1020000}"/>
    <cellStyle name="Normal 2 2 33" xfId="742" xr:uid="{00000000-0005-0000-0000-0000E2020000}"/>
    <cellStyle name="Normal 2 2 33 2" xfId="743" xr:uid="{00000000-0005-0000-0000-0000E3020000}"/>
    <cellStyle name="Normal 2 2 34" xfId="744" xr:uid="{00000000-0005-0000-0000-0000E4020000}"/>
    <cellStyle name="Normal 2 2 34 2" xfId="745" xr:uid="{00000000-0005-0000-0000-0000E5020000}"/>
    <cellStyle name="Normal 2 2 35" xfId="746" xr:uid="{00000000-0005-0000-0000-0000E6020000}"/>
    <cellStyle name="Normal 2 2 35 2" xfId="747" xr:uid="{00000000-0005-0000-0000-0000E7020000}"/>
    <cellStyle name="Normal 2 2 36" xfId="748" xr:uid="{00000000-0005-0000-0000-0000E8020000}"/>
    <cellStyle name="Normal 2 2 37" xfId="749" xr:uid="{00000000-0005-0000-0000-0000E9020000}"/>
    <cellStyle name="Normal 2 2 4" xfId="750" xr:uid="{00000000-0005-0000-0000-0000EA020000}"/>
    <cellStyle name="Normal 2 2 5" xfId="751" xr:uid="{00000000-0005-0000-0000-0000EB020000}"/>
    <cellStyle name="Normal 2 2 6" xfId="752" xr:uid="{00000000-0005-0000-0000-0000EC020000}"/>
    <cellStyle name="Normal 2 2 7" xfId="753" xr:uid="{00000000-0005-0000-0000-0000ED020000}"/>
    <cellStyle name="Normal 2 2 8" xfId="754" xr:uid="{00000000-0005-0000-0000-0000EE020000}"/>
    <cellStyle name="Normal 2 2 9" xfId="755" xr:uid="{00000000-0005-0000-0000-0000EF020000}"/>
    <cellStyle name="Normal 2 20" xfId="1" xr:uid="{00000000-0005-0000-0000-0000F0020000}"/>
    <cellStyle name="Normal 2 3" xfId="756" xr:uid="{00000000-0005-0000-0000-0000F1020000}"/>
    <cellStyle name="Normal 2 3 10" xfId="757" xr:uid="{00000000-0005-0000-0000-0000F2020000}"/>
    <cellStyle name="Normal 2 3 10 2" xfId="758" xr:uid="{00000000-0005-0000-0000-0000F3020000}"/>
    <cellStyle name="Normal 2 3 10 2 2" xfId="759" xr:uid="{00000000-0005-0000-0000-0000F4020000}"/>
    <cellStyle name="Normal 2 3 10 3" xfId="760" xr:uid="{00000000-0005-0000-0000-0000F5020000}"/>
    <cellStyle name="Normal 2 3 11" xfId="761" xr:uid="{00000000-0005-0000-0000-0000F6020000}"/>
    <cellStyle name="Normal 2 3 11 2" xfId="762" xr:uid="{00000000-0005-0000-0000-0000F7020000}"/>
    <cellStyle name="Normal 2 3 11 2 2" xfId="763" xr:uid="{00000000-0005-0000-0000-0000F8020000}"/>
    <cellStyle name="Normal 2 3 11 3" xfId="764" xr:uid="{00000000-0005-0000-0000-0000F9020000}"/>
    <cellStyle name="Normal 2 3 12" xfId="765" xr:uid="{00000000-0005-0000-0000-0000FA020000}"/>
    <cellStyle name="Normal 2 3 12 2" xfId="766" xr:uid="{00000000-0005-0000-0000-0000FB020000}"/>
    <cellStyle name="Normal 2 3 12 2 2" xfId="767" xr:uid="{00000000-0005-0000-0000-0000FC020000}"/>
    <cellStyle name="Normal 2 3 12 3" xfId="768" xr:uid="{00000000-0005-0000-0000-0000FD020000}"/>
    <cellStyle name="Normal 2 3 13" xfId="769" xr:uid="{00000000-0005-0000-0000-0000FE020000}"/>
    <cellStyle name="Normal 2 3 13 2" xfId="770" xr:uid="{00000000-0005-0000-0000-0000FF020000}"/>
    <cellStyle name="Normal 2 3 14" xfId="771" xr:uid="{00000000-0005-0000-0000-000000030000}"/>
    <cellStyle name="Normal 2 3 14 2" xfId="772" xr:uid="{00000000-0005-0000-0000-000001030000}"/>
    <cellStyle name="Normal 2 3 15" xfId="773" xr:uid="{00000000-0005-0000-0000-000002030000}"/>
    <cellStyle name="Normal 2 3 15 2" xfId="774" xr:uid="{00000000-0005-0000-0000-000003030000}"/>
    <cellStyle name="Normal 2 3 16" xfId="775" xr:uid="{00000000-0005-0000-0000-000004030000}"/>
    <cellStyle name="Normal 2 3 16 2" xfId="776" xr:uid="{00000000-0005-0000-0000-000005030000}"/>
    <cellStyle name="Normal 2 3 17" xfId="777" xr:uid="{00000000-0005-0000-0000-000006030000}"/>
    <cellStyle name="Normal 2 3 17 2" xfId="778" xr:uid="{00000000-0005-0000-0000-000007030000}"/>
    <cellStyle name="Normal 2 3 18" xfId="779" xr:uid="{00000000-0005-0000-0000-000008030000}"/>
    <cellStyle name="Normal 2 3 18 2" xfId="780" xr:uid="{00000000-0005-0000-0000-000009030000}"/>
    <cellStyle name="Normal 2 3 19" xfId="781" xr:uid="{00000000-0005-0000-0000-00000A030000}"/>
    <cellStyle name="Normal 2 3 19 2" xfId="782" xr:uid="{00000000-0005-0000-0000-00000B030000}"/>
    <cellStyle name="Normal 2 3 2" xfId="783" xr:uid="{00000000-0005-0000-0000-00000C030000}"/>
    <cellStyle name="Normal 2 3 2 2" xfId="784" xr:uid="{00000000-0005-0000-0000-00000D030000}"/>
    <cellStyle name="Normal 2 3 2 2 2" xfId="785" xr:uid="{00000000-0005-0000-0000-00000E030000}"/>
    <cellStyle name="Normal 2 3 2 3" xfId="786" xr:uid="{00000000-0005-0000-0000-00000F030000}"/>
    <cellStyle name="Normal 2 3 20" xfId="787" xr:uid="{00000000-0005-0000-0000-000010030000}"/>
    <cellStyle name="Normal 2 3 20 2" xfId="788" xr:uid="{00000000-0005-0000-0000-000011030000}"/>
    <cellStyle name="Normal 2 3 21" xfId="789" xr:uid="{00000000-0005-0000-0000-000012030000}"/>
    <cellStyle name="Normal 2 3 21 2" xfId="790" xr:uid="{00000000-0005-0000-0000-000013030000}"/>
    <cellStyle name="Normal 2 3 22" xfId="791" xr:uid="{00000000-0005-0000-0000-000014030000}"/>
    <cellStyle name="Normal 2 3 22 2" xfId="792" xr:uid="{00000000-0005-0000-0000-000015030000}"/>
    <cellStyle name="Normal 2 3 23" xfId="793" xr:uid="{00000000-0005-0000-0000-000016030000}"/>
    <cellStyle name="Normal 2 3 3" xfId="794" xr:uid="{00000000-0005-0000-0000-000017030000}"/>
    <cellStyle name="Normal 2 3 3 2" xfId="795" xr:uid="{00000000-0005-0000-0000-000018030000}"/>
    <cellStyle name="Normal 2 3 3 2 2" xfId="796" xr:uid="{00000000-0005-0000-0000-000019030000}"/>
    <cellStyle name="Normal 2 3 3 3" xfId="797" xr:uid="{00000000-0005-0000-0000-00001A030000}"/>
    <cellStyle name="Normal 2 3 4" xfId="798" xr:uid="{00000000-0005-0000-0000-00001B030000}"/>
    <cellStyle name="Normal 2 3 4 2" xfId="799" xr:uid="{00000000-0005-0000-0000-00001C030000}"/>
    <cellStyle name="Normal 2 3 4 2 2" xfId="800" xr:uid="{00000000-0005-0000-0000-00001D030000}"/>
    <cellStyle name="Normal 2 3 4 3" xfId="801" xr:uid="{00000000-0005-0000-0000-00001E030000}"/>
    <cellStyle name="Normal 2 3 5" xfId="802" xr:uid="{00000000-0005-0000-0000-00001F030000}"/>
    <cellStyle name="Normal 2 3 5 2" xfId="803" xr:uid="{00000000-0005-0000-0000-000020030000}"/>
    <cellStyle name="Normal 2 3 5 2 2" xfId="804" xr:uid="{00000000-0005-0000-0000-000021030000}"/>
    <cellStyle name="Normal 2 3 5 3" xfId="805" xr:uid="{00000000-0005-0000-0000-000022030000}"/>
    <cellStyle name="Normal 2 3 6" xfId="806" xr:uid="{00000000-0005-0000-0000-000023030000}"/>
    <cellStyle name="Normal 2 3 6 2" xfId="807" xr:uid="{00000000-0005-0000-0000-000024030000}"/>
    <cellStyle name="Normal 2 3 6 2 2" xfId="808" xr:uid="{00000000-0005-0000-0000-000025030000}"/>
    <cellStyle name="Normal 2 3 6 3" xfId="809" xr:uid="{00000000-0005-0000-0000-000026030000}"/>
    <cellStyle name="Normal 2 3 7" xfId="810" xr:uid="{00000000-0005-0000-0000-000027030000}"/>
    <cellStyle name="Normal 2 3 7 2" xfId="811" xr:uid="{00000000-0005-0000-0000-000028030000}"/>
    <cellStyle name="Normal 2 3 7 2 2" xfId="812" xr:uid="{00000000-0005-0000-0000-000029030000}"/>
    <cellStyle name="Normal 2 3 7 3" xfId="813" xr:uid="{00000000-0005-0000-0000-00002A030000}"/>
    <cellStyle name="Normal 2 3 8" xfId="814" xr:uid="{00000000-0005-0000-0000-00002B030000}"/>
    <cellStyle name="Normal 2 3 8 2" xfId="815" xr:uid="{00000000-0005-0000-0000-00002C030000}"/>
    <cellStyle name="Normal 2 3 8 2 2" xfId="816" xr:uid="{00000000-0005-0000-0000-00002D030000}"/>
    <cellStyle name="Normal 2 3 8 3" xfId="817" xr:uid="{00000000-0005-0000-0000-00002E030000}"/>
    <cellStyle name="Normal 2 3 9" xfId="818" xr:uid="{00000000-0005-0000-0000-00002F030000}"/>
    <cellStyle name="Normal 2 3 9 2" xfId="819" xr:uid="{00000000-0005-0000-0000-000030030000}"/>
    <cellStyle name="Normal 2 3 9 2 2" xfId="820" xr:uid="{00000000-0005-0000-0000-000031030000}"/>
    <cellStyle name="Normal 2 3 9 3" xfId="821" xr:uid="{00000000-0005-0000-0000-000032030000}"/>
    <cellStyle name="Normal 2 4" xfId="822" xr:uid="{00000000-0005-0000-0000-000033030000}"/>
    <cellStyle name="Normal 2 4 10" xfId="823" xr:uid="{00000000-0005-0000-0000-000034030000}"/>
    <cellStyle name="Normal 2 4 11" xfId="824" xr:uid="{00000000-0005-0000-0000-000035030000}"/>
    <cellStyle name="Normal 2 4 12" xfId="825" xr:uid="{00000000-0005-0000-0000-000036030000}"/>
    <cellStyle name="Normal 2 4 13" xfId="826" xr:uid="{00000000-0005-0000-0000-000037030000}"/>
    <cellStyle name="Normal 2 4 13 2" xfId="827" xr:uid="{00000000-0005-0000-0000-000038030000}"/>
    <cellStyle name="Normal 2 4 14" xfId="828" xr:uid="{00000000-0005-0000-0000-000039030000}"/>
    <cellStyle name="Normal 2 4 2" xfId="829" xr:uid="{00000000-0005-0000-0000-00003A030000}"/>
    <cellStyle name="Normal 2 4 3" xfId="830" xr:uid="{00000000-0005-0000-0000-00003B030000}"/>
    <cellStyle name="Normal 2 4 4" xfId="831" xr:uid="{00000000-0005-0000-0000-00003C030000}"/>
    <cellStyle name="Normal 2 4 5" xfId="832" xr:uid="{00000000-0005-0000-0000-00003D030000}"/>
    <cellStyle name="Normal 2 4 6" xfId="833" xr:uid="{00000000-0005-0000-0000-00003E030000}"/>
    <cellStyle name="Normal 2 4 7" xfId="834" xr:uid="{00000000-0005-0000-0000-00003F030000}"/>
    <cellStyle name="Normal 2 4 8" xfId="835" xr:uid="{00000000-0005-0000-0000-000040030000}"/>
    <cellStyle name="Normal 2 4 9" xfId="836" xr:uid="{00000000-0005-0000-0000-000041030000}"/>
    <cellStyle name="Normal 2 5" xfId="837" xr:uid="{00000000-0005-0000-0000-000042030000}"/>
    <cellStyle name="Normal 2 5 10" xfId="838" xr:uid="{00000000-0005-0000-0000-000043030000}"/>
    <cellStyle name="Normal 2 5 11" xfId="839" xr:uid="{00000000-0005-0000-0000-000044030000}"/>
    <cellStyle name="Normal 2 5 12" xfId="840" xr:uid="{00000000-0005-0000-0000-000045030000}"/>
    <cellStyle name="Normal 2 5 13" xfId="841" xr:uid="{00000000-0005-0000-0000-000046030000}"/>
    <cellStyle name="Normal 2 5 13 2" xfId="842" xr:uid="{00000000-0005-0000-0000-000047030000}"/>
    <cellStyle name="Normal 2 5 14" xfId="843" xr:uid="{00000000-0005-0000-0000-000048030000}"/>
    <cellStyle name="Normal 2 5 2" xfId="844" xr:uid="{00000000-0005-0000-0000-000049030000}"/>
    <cellStyle name="Normal 2 5 3" xfId="845" xr:uid="{00000000-0005-0000-0000-00004A030000}"/>
    <cellStyle name="Normal 2 5 4" xfId="846" xr:uid="{00000000-0005-0000-0000-00004B030000}"/>
    <cellStyle name="Normal 2 5 5" xfId="847" xr:uid="{00000000-0005-0000-0000-00004C030000}"/>
    <cellStyle name="Normal 2 5 6" xfId="848" xr:uid="{00000000-0005-0000-0000-00004D030000}"/>
    <cellStyle name="Normal 2 5 7" xfId="849" xr:uid="{00000000-0005-0000-0000-00004E030000}"/>
    <cellStyle name="Normal 2 5 8" xfId="850" xr:uid="{00000000-0005-0000-0000-00004F030000}"/>
    <cellStyle name="Normal 2 5 9" xfId="851" xr:uid="{00000000-0005-0000-0000-000050030000}"/>
    <cellStyle name="Normal 2 6" xfId="5" xr:uid="{00000000-0005-0000-0000-000051030000}"/>
    <cellStyle name="Normal 2 6 10" xfId="7" xr:uid="{00000000-0005-0000-0000-000052030000}"/>
    <cellStyle name="Normal 2 6 11" xfId="852" xr:uid="{00000000-0005-0000-0000-000053030000}"/>
    <cellStyle name="Normal 2 6 12" xfId="853" xr:uid="{00000000-0005-0000-0000-000054030000}"/>
    <cellStyle name="Normal 2 6 13" xfId="854" xr:uid="{00000000-0005-0000-0000-000055030000}"/>
    <cellStyle name="Normal 2 6 13 2" xfId="855" xr:uid="{00000000-0005-0000-0000-000056030000}"/>
    <cellStyle name="Normal 2 6 14" xfId="856" xr:uid="{00000000-0005-0000-0000-000057030000}"/>
    <cellStyle name="Normal 2 6 2" xfId="857" xr:uid="{00000000-0005-0000-0000-000058030000}"/>
    <cellStyle name="Normal 2 6 3" xfId="858" xr:uid="{00000000-0005-0000-0000-000059030000}"/>
    <cellStyle name="Normal 2 6 4" xfId="859" xr:uid="{00000000-0005-0000-0000-00005A030000}"/>
    <cellStyle name="Normal 2 6 5" xfId="860" xr:uid="{00000000-0005-0000-0000-00005B030000}"/>
    <cellStyle name="Normal 2 6 6" xfId="861" xr:uid="{00000000-0005-0000-0000-00005C030000}"/>
    <cellStyle name="Normal 2 6 7" xfId="862" xr:uid="{00000000-0005-0000-0000-00005D030000}"/>
    <cellStyle name="Normal 2 6 8" xfId="863" xr:uid="{00000000-0005-0000-0000-00005E030000}"/>
    <cellStyle name="Normal 2 6 9" xfId="864" xr:uid="{00000000-0005-0000-0000-00005F030000}"/>
    <cellStyle name="Normal 2 7" xfId="865" xr:uid="{00000000-0005-0000-0000-000060030000}"/>
    <cellStyle name="Normal 2 8" xfId="866" xr:uid="{00000000-0005-0000-0000-000061030000}"/>
    <cellStyle name="Normal 2 9" xfId="867" xr:uid="{00000000-0005-0000-0000-000062030000}"/>
    <cellStyle name="Normal 20" xfId="868" xr:uid="{00000000-0005-0000-0000-000063030000}"/>
    <cellStyle name="Normal 20 10" xfId="869" xr:uid="{00000000-0005-0000-0000-000064030000}"/>
    <cellStyle name="Normal 20 11" xfId="870" xr:uid="{00000000-0005-0000-0000-000065030000}"/>
    <cellStyle name="Normal 20 12" xfId="871" xr:uid="{00000000-0005-0000-0000-000066030000}"/>
    <cellStyle name="Normal 20 13" xfId="872" xr:uid="{00000000-0005-0000-0000-000067030000}"/>
    <cellStyle name="Normal 20 14" xfId="873" xr:uid="{00000000-0005-0000-0000-000068030000}"/>
    <cellStyle name="Normal 20 2" xfId="874" xr:uid="{00000000-0005-0000-0000-000069030000}"/>
    <cellStyle name="Normal 20 2 2" xfId="875" xr:uid="{00000000-0005-0000-0000-00006A030000}"/>
    <cellStyle name="Normal 20 3" xfId="876" xr:uid="{00000000-0005-0000-0000-00006B030000}"/>
    <cellStyle name="Normal 20 4" xfId="877" xr:uid="{00000000-0005-0000-0000-00006C030000}"/>
    <cellStyle name="Normal 20 5" xfId="878" xr:uid="{00000000-0005-0000-0000-00006D030000}"/>
    <cellStyle name="Normal 20 6" xfId="879" xr:uid="{00000000-0005-0000-0000-00006E030000}"/>
    <cellStyle name="Normal 20 7" xfId="880" xr:uid="{00000000-0005-0000-0000-00006F030000}"/>
    <cellStyle name="Normal 20 8" xfId="881" xr:uid="{00000000-0005-0000-0000-000070030000}"/>
    <cellStyle name="Normal 20 9" xfId="882" xr:uid="{00000000-0005-0000-0000-000071030000}"/>
    <cellStyle name="Normal 21" xfId="883" xr:uid="{00000000-0005-0000-0000-000072030000}"/>
    <cellStyle name="Normal 21 10" xfId="884" xr:uid="{00000000-0005-0000-0000-000073030000}"/>
    <cellStyle name="Normal 21 11" xfId="885" xr:uid="{00000000-0005-0000-0000-000074030000}"/>
    <cellStyle name="Normal 21 12" xfId="886" xr:uid="{00000000-0005-0000-0000-000075030000}"/>
    <cellStyle name="Normal 21 13" xfId="887" xr:uid="{00000000-0005-0000-0000-000076030000}"/>
    <cellStyle name="Normal 21 14" xfId="888" xr:uid="{00000000-0005-0000-0000-000077030000}"/>
    <cellStyle name="Normal 21 2" xfId="889" xr:uid="{00000000-0005-0000-0000-000078030000}"/>
    <cellStyle name="Normal 21 2 2" xfId="890" xr:uid="{00000000-0005-0000-0000-000079030000}"/>
    <cellStyle name="Normal 21 3" xfId="891" xr:uid="{00000000-0005-0000-0000-00007A030000}"/>
    <cellStyle name="Normal 21 4" xfId="892" xr:uid="{00000000-0005-0000-0000-00007B030000}"/>
    <cellStyle name="Normal 21 5" xfId="893" xr:uid="{00000000-0005-0000-0000-00007C030000}"/>
    <cellStyle name="Normal 21 6" xfId="894" xr:uid="{00000000-0005-0000-0000-00007D030000}"/>
    <cellStyle name="Normal 21 7" xfId="895" xr:uid="{00000000-0005-0000-0000-00007E030000}"/>
    <cellStyle name="Normal 21 8" xfId="896" xr:uid="{00000000-0005-0000-0000-00007F030000}"/>
    <cellStyle name="Normal 21 9" xfId="897" xr:uid="{00000000-0005-0000-0000-000080030000}"/>
    <cellStyle name="Normal 22" xfId="898" xr:uid="{00000000-0005-0000-0000-000081030000}"/>
    <cellStyle name="Normal 22 10" xfId="899" xr:uid="{00000000-0005-0000-0000-000082030000}"/>
    <cellStyle name="Normal 22 11" xfId="900" xr:uid="{00000000-0005-0000-0000-000083030000}"/>
    <cellStyle name="Normal 22 12" xfId="901" xr:uid="{00000000-0005-0000-0000-000084030000}"/>
    <cellStyle name="Normal 22 13" xfId="902" xr:uid="{00000000-0005-0000-0000-000085030000}"/>
    <cellStyle name="Normal 22 14" xfId="903" xr:uid="{00000000-0005-0000-0000-000086030000}"/>
    <cellStyle name="Normal 22 2" xfId="904" xr:uid="{00000000-0005-0000-0000-000087030000}"/>
    <cellStyle name="Normal 22 2 2" xfId="905" xr:uid="{00000000-0005-0000-0000-000088030000}"/>
    <cellStyle name="Normal 22 3" xfId="906" xr:uid="{00000000-0005-0000-0000-000089030000}"/>
    <cellStyle name="Normal 22 4" xfId="907" xr:uid="{00000000-0005-0000-0000-00008A030000}"/>
    <cellStyle name="Normal 22 5" xfId="908" xr:uid="{00000000-0005-0000-0000-00008B030000}"/>
    <cellStyle name="Normal 22 6" xfId="909" xr:uid="{00000000-0005-0000-0000-00008C030000}"/>
    <cellStyle name="Normal 22 7" xfId="910" xr:uid="{00000000-0005-0000-0000-00008D030000}"/>
    <cellStyle name="Normal 22 8" xfId="911" xr:uid="{00000000-0005-0000-0000-00008E030000}"/>
    <cellStyle name="Normal 22 9" xfId="912" xr:uid="{00000000-0005-0000-0000-00008F030000}"/>
    <cellStyle name="Normal 23" xfId="913" xr:uid="{00000000-0005-0000-0000-000090030000}"/>
    <cellStyle name="Normal 23 2" xfId="914" xr:uid="{00000000-0005-0000-0000-000091030000}"/>
    <cellStyle name="Normal 23 2 2" xfId="915" xr:uid="{00000000-0005-0000-0000-000092030000}"/>
    <cellStyle name="Normal 23 3" xfId="916" xr:uid="{00000000-0005-0000-0000-000093030000}"/>
    <cellStyle name="Normal 24" xfId="917" xr:uid="{00000000-0005-0000-0000-000094030000}"/>
    <cellStyle name="Normal 24 10" xfId="918" xr:uid="{00000000-0005-0000-0000-000095030000}"/>
    <cellStyle name="Normal 24 11" xfId="919" xr:uid="{00000000-0005-0000-0000-000096030000}"/>
    <cellStyle name="Normal 24 12" xfId="920" xr:uid="{00000000-0005-0000-0000-000097030000}"/>
    <cellStyle name="Normal 24 13" xfId="921" xr:uid="{00000000-0005-0000-0000-000098030000}"/>
    <cellStyle name="Normal 24 14" xfId="922" xr:uid="{00000000-0005-0000-0000-000099030000}"/>
    <cellStyle name="Normal 24 2" xfId="923" xr:uid="{00000000-0005-0000-0000-00009A030000}"/>
    <cellStyle name="Normal 24 2 2" xfId="924" xr:uid="{00000000-0005-0000-0000-00009B030000}"/>
    <cellStyle name="Normal 24 3" xfId="925" xr:uid="{00000000-0005-0000-0000-00009C030000}"/>
    <cellStyle name="Normal 24 4" xfId="926" xr:uid="{00000000-0005-0000-0000-00009D030000}"/>
    <cellStyle name="Normal 24 5" xfId="927" xr:uid="{00000000-0005-0000-0000-00009E030000}"/>
    <cellStyle name="Normal 24 6" xfId="928" xr:uid="{00000000-0005-0000-0000-00009F030000}"/>
    <cellStyle name="Normal 24 7" xfId="929" xr:uid="{00000000-0005-0000-0000-0000A0030000}"/>
    <cellStyle name="Normal 24 8" xfId="930" xr:uid="{00000000-0005-0000-0000-0000A1030000}"/>
    <cellStyle name="Normal 24 9" xfId="931" xr:uid="{00000000-0005-0000-0000-0000A2030000}"/>
    <cellStyle name="Normal 25" xfId="932" xr:uid="{00000000-0005-0000-0000-0000A3030000}"/>
    <cellStyle name="Normal 25 10" xfId="933" xr:uid="{00000000-0005-0000-0000-0000A4030000}"/>
    <cellStyle name="Normal 25 11" xfId="934" xr:uid="{00000000-0005-0000-0000-0000A5030000}"/>
    <cellStyle name="Normal 25 12" xfId="935" xr:uid="{00000000-0005-0000-0000-0000A6030000}"/>
    <cellStyle name="Normal 25 13" xfId="936" xr:uid="{00000000-0005-0000-0000-0000A7030000}"/>
    <cellStyle name="Normal 25 2" xfId="937" xr:uid="{00000000-0005-0000-0000-0000A8030000}"/>
    <cellStyle name="Normal 25 3" xfId="938" xr:uid="{00000000-0005-0000-0000-0000A9030000}"/>
    <cellStyle name="Normal 25 4" xfId="939" xr:uid="{00000000-0005-0000-0000-0000AA030000}"/>
    <cellStyle name="Normal 25 5" xfId="940" xr:uid="{00000000-0005-0000-0000-0000AB030000}"/>
    <cellStyle name="Normal 25 6" xfId="941" xr:uid="{00000000-0005-0000-0000-0000AC030000}"/>
    <cellStyle name="Normal 25 7" xfId="942" xr:uid="{00000000-0005-0000-0000-0000AD030000}"/>
    <cellStyle name="Normal 25 8" xfId="943" xr:uid="{00000000-0005-0000-0000-0000AE030000}"/>
    <cellStyle name="Normal 25 9" xfId="944" xr:uid="{00000000-0005-0000-0000-0000AF030000}"/>
    <cellStyle name="Normal 26" xfId="945" xr:uid="{00000000-0005-0000-0000-0000B0030000}"/>
    <cellStyle name="Normal 26 10" xfId="946" xr:uid="{00000000-0005-0000-0000-0000B1030000}"/>
    <cellStyle name="Normal 26 11" xfId="947" xr:uid="{00000000-0005-0000-0000-0000B2030000}"/>
    <cellStyle name="Normal 26 12" xfId="948" xr:uid="{00000000-0005-0000-0000-0000B3030000}"/>
    <cellStyle name="Normal 26 2" xfId="949" xr:uid="{00000000-0005-0000-0000-0000B4030000}"/>
    <cellStyle name="Normal 26 3" xfId="950" xr:uid="{00000000-0005-0000-0000-0000B5030000}"/>
    <cellStyle name="Normal 26 4" xfId="951" xr:uid="{00000000-0005-0000-0000-0000B6030000}"/>
    <cellStyle name="Normal 26 5" xfId="952" xr:uid="{00000000-0005-0000-0000-0000B7030000}"/>
    <cellStyle name="Normal 26 6" xfId="953" xr:uid="{00000000-0005-0000-0000-0000B8030000}"/>
    <cellStyle name="Normal 26 7" xfId="954" xr:uid="{00000000-0005-0000-0000-0000B9030000}"/>
    <cellStyle name="Normal 26 8" xfId="955" xr:uid="{00000000-0005-0000-0000-0000BA030000}"/>
    <cellStyle name="Normal 26 9" xfId="956" xr:uid="{00000000-0005-0000-0000-0000BB030000}"/>
    <cellStyle name="Normal 27" xfId="957" xr:uid="{00000000-0005-0000-0000-0000BC030000}"/>
    <cellStyle name="Normal 28" xfId="958" xr:uid="{00000000-0005-0000-0000-0000BD030000}"/>
    <cellStyle name="Normal 29" xfId="959" xr:uid="{00000000-0005-0000-0000-0000BE030000}"/>
    <cellStyle name="Normal 3" xfId="960" xr:uid="{00000000-0005-0000-0000-0000BF030000}"/>
    <cellStyle name="Normal 3 2" xfId="961" xr:uid="{00000000-0005-0000-0000-0000C0030000}"/>
    <cellStyle name="Normal 3 2 10" xfId="962" xr:uid="{00000000-0005-0000-0000-0000C1030000}"/>
    <cellStyle name="Normal 3 2 10 2" xfId="963" xr:uid="{00000000-0005-0000-0000-0000C2030000}"/>
    <cellStyle name="Normal 3 2 11" xfId="964" xr:uid="{00000000-0005-0000-0000-0000C3030000}"/>
    <cellStyle name="Normal 3 2 11 2" xfId="965" xr:uid="{00000000-0005-0000-0000-0000C4030000}"/>
    <cellStyle name="Normal 3 2 12" xfId="966" xr:uid="{00000000-0005-0000-0000-0000C5030000}"/>
    <cellStyle name="Normal 3 2 12 2" xfId="967" xr:uid="{00000000-0005-0000-0000-0000C6030000}"/>
    <cellStyle name="Normal 3 2 13" xfId="968" xr:uid="{00000000-0005-0000-0000-0000C7030000}"/>
    <cellStyle name="Normal 3 2 13 2" xfId="969" xr:uid="{00000000-0005-0000-0000-0000C8030000}"/>
    <cellStyle name="Normal 3 2 14" xfId="970" xr:uid="{00000000-0005-0000-0000-0000C9030000}"/>
    <cellStyle name="Normal 3 2 14 2" xfId="971" xr:uid="{00000000-0005-0000-0000-0000CA030000}"/>
    <cellStyle name="Normal 3 2 15" xfId="972" xr:uid="{00000000-0005-0000-0000-0000CB030000}"/>
    <cellStyle name="Normal 3 2 15 2" xfId="973" xr:uid="{00000000-0005-0000-0000-0000CC030000}"/>
    <cellStyle name="Normal 3 2 16" xfId="974" xr:uid="{00000000-0005-0000-0000-0000CD030000}"/>
    <cellStyle name="Normal 3 2 16 2" xfId="975" xr:uid="{00000000-0005-0000-0000-0000CE030000}"/>
    <cellStyle name="Normal 3 2 17" xfId="976" xr:uid="{00000000-0005-0000-0000-0000CF030000}"/>
    <cellStyle name="Normal 3 2 17 2" xfId="977" xr:uid="{00000000-0005-0000-0000-0000D0030000}"/>
    <cellStyle name="Normal 3 2 18" xfId="978" xr:uid="{00000000-0005-0000-0000-0000D1030000}"/>
    <cellStyle name="Normal 3 2 18 2" xfId="979" xr:uid="{00000000-0005-0000-0000-0000D2030000}"/>
    <cellStyle name="Normal 3 2 19" xfId="980" xr:uid="{00000000-0005-0000-0000-0000D3030000}"/>
    <cellStyle name="Normal 3 2 19 2" xfId="981" xr:uid="{00000000-0005-0000-0000-0000D4030000}"/>
    <cellStyle name="Normal 3 2 2" xfId="982" xr:uid="{00000000-0005-0000-0000-0000D5030000}"/>
    <cellStyle name="Normal 3 2 20" xfId="983" xr:uid="{00000000-0005-0000-0000-0000D6030000}"/>
    <cellStyle name="Normal 3 2 20 2" xfId="984" xr:uid="{00000000-0005-0000-0000-0000D7030000}"/>
    <cellStyle name="Normal 3 2 21" xfId="985" xr:uid="{00000000-0005-0000-0000-0000D8030000}"/>
    <cellStyle name="Normal 3 2 21 2" xfId="986" xr:uid="{00000000-0005-0000-0000-0000D9030000}"/>
    <cellStyle name="Normal 3 2 22" xfId="987" xr:uid="{00000000-0005-0000-0000-0000DA030000}"/>
    <cellStyle name="Normal 3 2 22 2" xfId="988" xr:uid="{00000000-0005-0000-0000-0000DB030000}"/>
    <cellStyle name="Normal 3 2 23" xfId="989" xr:uid="{00000000-0005-0000-0000-0000DC030000}"/>
    <cellStyle name="Normal 3 2 23 2" xfId="990" xr:uid="{00000000-0005-0000-0000-0000DD030000}"/>
    <cellStyle name="Normal 3 2 24" xfId="991" xr:uid="{00000000-0005-0000-0000-0000DE030000}"/>
    <cellStyle name="Normal 3 2 25" xfId="992" xr:uid="{00000000-0005-0000-0000-0000DF030000}"/>
    <cellStyle name="Normal 3 2 26" xfId="993" xr:uid="{00000000-0005-0000-0000-0000E0030000}"/>
    <cellStyle name="Normal 3 2 27" xfId="994" xr:uid="{00000000-0005-0000-0000-0000E1030000}"/>
    <cellStyle name="Normal 3 2 28" xfId="995" xr:uid="{00000000-0005-0000-0000-0000E2030000}"/>
    <cellStyle name="Normal 3 2 3" xfId="996" xr:uid="{00000000-0005-0000-0000-0000E3030000}"/>
    <cellStyle name="Normal 3 2 4" xfId="997" xr:uid="{00000000-0005-0000-0000-0000E4030000}"/>
    <cellStyle name="Normal 3 2 4 2" xfId="998" xr:uid="{00000000-0005-0000-0000-0000E5030000}"/>
    <cellStyle name="Normal 3 2 5" xfId="999" xr:uid="{00000000-0005-0000-0000-0000E6030000}"/>
    <cellStyle name="Normal 3 2 5 2" xfId="1000" xr:uid="{00000000-0005-0000-0000-0000E7030000}"/>
    <cellStyle name="Normal 3 2 6" xfId="1001" xr:uid="{00000000-0005-0000-0000-0000E8030000}"/>
    <cellStyle name="Normal 3 2 6 2" xfId="1002" xr:uid="{00000000-0005-0000-0000-0000E9030000}"/>
    <cellStyle name="Normal 3 2 7" xfId="1003" xr:uid="{00000000-0005-0000-0000-0000EA030000}"/>
    <cellStyle name="Normal 3 2 7 2" xfId="1004" xr:uid="{00000000-0005-0000-0000-0000EB030000}"/>
    <cellStyle name="Normal 3 2 8" xfId="1005" xr:uid="{00000000-0005-0000-0000-0000EC030000}"/>
    <cellStyle name="Normal 3 2 8 2" xfId="1006" xr:uid="{00000000-0005-0000-0000-0000ED030000}"/>
    <cellStyle name="Normal 3 2 9" xfId="1007" xr:uid="{00000000-0005-0000-0000-0000EE030000}"/>
    <cellStyle name="Normal 3 2 9 2" xfId="1008" xr:uid="{00000000-0005-0000-0000-0000EF030000}"/>
    <cellStyle name="Normal 3 3" xfId="1009" xr:uid="{00000000-0005-0000-0000-0000F0030000}"/>
    <cellStyle name="Normal 3 3 2" xfId="1010" xr:uid="{00000000-0005-0000-0000-0000F1030000}"/>
    <cellStyle name="Normal 3 4" xfId="1011" xr:uid="{00000000-0005-0000-0000-0000F2030000}"/>
    <cellStyle name="Normal 3 4 2" xfId="1012" xr:uid="{00000000-0005-0000-0000-0000F3030000}"/>
    <cellStyle name="Normal 3 5" xfId="1013" xr:uid="{00000000-0005-0000-0000-0000F4030000}"/>
    <cellStyle name="Normal 3 6" xfId="1014" xr:uid="{00000000-0005-0000-0000-0000F5030000}"/>
    <cellStyle name="Normal 3 7" xfId="1015" xr:uid="{00000000-0005-0000-0000-0000F6030000}"/>
    <cellStyle name="Normal 3 8" xfId="1016" xr:uid="{00000000-0005-0000-0000-0000F7030000}"/>
    <cellStyle name="Normal 3 9" xfId="1017" xr:uid="{00000000-0005-0000-0000-0000F8030000}"/>
    <cellStyle name="Normal 30" xfId="1018" xr:uid="{00000000-0005-0000-0000-0000F9030000}"/>
    <cellStyle name="Normal 31" xfId="1019" xr:uid="{00000000-0005-0000-0000-0000FA030000}"/>
    <cellStyle name="Normal 32" xfId="1020" xr:uid="{00000000-0005-0000-0000-0000FB030000}"/>
    <cellStyle name="Normal 33" xfId="1021" xr:uid="{00000000-0005-0000-0000-0000FC030000}"/>
    <cellStyle name="Normal 34" xfId="1022" xr:uid="{00000000-0005-0000-0000-0000FD030000}"/>
    <cellStyle name="Normal 35" xfId="1023" xr:uid="{00000000-0005-0000-0000-0000FE030000}"/>
    <cellStyle name="Normal 36" xfId="1024" xr:uid="{00000000-0005-0000-0000-0000FF030000}"/>
    <cellStyle name="Normal 37" xfId="1025" xr:uid="{00000000-0005-0000-0000-000000040000}"/>
    <cellStyle name="Normal 38" xfId="1026" xr:uid="{00000000-0005-0000-0000-000001040000}"/>
    <cellStyle name="Normal 39" xfId="1027" xr:uid="{00000000-0005-0000-0000-000002040000}"/>
    <cellStyle name="Normal 4" xfId="1028" xr:uid="{00000000-0005-0000-0000-000003040000}"/>
    <cellStyle name="Normal 4 10" xfId="1029" xr:uid="{00000000-0005-0000-0000-000004040000}"/>
    <cellStyle name="Normal 4 10 2" xfId="1030" xr:uid="{00000000-0005-0000-0000-000005040000}"/>
    <cellStyle name="Normal 4 11" xfId="1031" xr:uid="{00000000-0005-0000-0000-000006040000}"/>
    <cellStyle name="Normal 4 12" xfId="1032" xr:uid="{00000000-0005-0000-0000-000007040000}"/>
    <cellStyle name="Normal 4 13" xfId="1033" xr:uid="{00000000-0005-0000-0000-000008040000}"/>
    <cellStyle name="Normal 4 14" xfId="1034" xr:uid="{00000000-0005-0000-0000-000009040000}"/>
    <cellStyle name="Normal 4 15" xfId="1035" xr:uid="{00000000-0005-0000-0000-00000A040000}"/>
    <cellStyle name="Normal 4 16" xfId="1036" xr:uid="{00000000-0005-0000-0000-00000B040000}"/>
    <cellStyle name="Normal 4 16 2" xfId="1037" xr:uid="{00000000-0005-0000-0000-00000C040000}"/>
    <cellStyle name="Normal 4 17" xfId="1038" xr:uid="{00000000-0005-0000-0000-00000D040000}"/>
    <cellStyle name="Normal 4 18" xfId="1039" xr:uid="{00000000-0005-0000-0000-00000E040000}"/>
    <cellStyle name="Normal 4 19" xfId="1040" xr:uid="{00000000-0005-0000-0000-00000F040000}"/>
    <cellStyle name="Normal 4 2" xfId="1041" xr:uid="{00000000-0005-0000-0000-000010040000}"/>
    <cellStyle name="Normal 4 2 2" xfId="1042" xr:uid="{00000000-0005-0000-0000-000011040000}"/>
    <cellStyle name="Normal 4 2 3" xfId="1043" xr:uid="{00000000-0005-0000-0000-000012040000}"/>
    <cellStyle name="Normal 4 20" xfId="1044" xr:uid="{00000000-0005-0000-0000-000013040000}"/>
    <cellStyle name="Normal 4 21" xfId="1045" xr:uid="{00000000-0005-0000-0000-000014040000}"/>
    <cellStyle name="Normal 4 22" xfId="1046" xr:uid="{00000000-0005-0000-0000-000015040000}"/>
    <cellStyle name="Normal 4 23" xfId="1047" xr:uid="{00000000-0005-0000-0000-000016040000}"/>
    <cellStyle name="Normal 4 24" xfId="1048" xr:uid="{00000000-0005-0000-0000-000017040000}"/>
    <cellStyle name="Normal 4 25" xfId="1049" xr:uid="{00000000-0005-0000-0000-000018040000}"/>
    <cellStyle name="Normal 4 26" xfId="1050" xr:uid="{00000000-0005-0000-0000-000019040000}"/>
    <cellStyle name="Normal 4 27" xfId="1051" xr:uid="{00000000-0005-0000-0000-00001A040000}"/>
    <cellStyle name="Normal 4 28" xfId="1052" xr:uid="{00000000-0005-0000-0000-00001B040000}"/>
    <cellStyle name="Normal 4 29" xfId="1053" xr:uid="{00000000-0005-0000-0000-00001C040000}"/>
    <cellStyle name="Normal 4 3" xfId="1054" xr:uid="{00000000-0005-0000-0000-00001D040000}"/>
    <cellStyle name="Normal 4 3 2" xfId="1055" xr:uid="{00000000-0005-0000-0000-00001E040000}"/>
    <cellStyle name="Normal 4 4" xfId="1056" xr:uid="{00000000-0005-0000-0000-00001F040000}"/>
    <cellStyle name="Normal 4 5" xfId="1057" xr:uid="{00000000-0005-0000-0000-000020040000}"/>
    <cellStyle name="Normal 4 6" xfId="1058" xr:uid="{00000000-0005-0000-0000-000021040000}"/>
    <cellStyle name="Normal 4 6 2" xfId="1059" xr:uid="{00000000-0005-0000-0000-000022040000}"/>
    <cellStyle name="Normal 4 7" xfId="1060" xr:uid="{00000000-0005-0000-0000-000023040000}"/>
    <cellStyle name="Normal 4 7 2" xfId="1061" xr:uid="{00000000-0005-0000-0000-000024040000}"/>
    <cellStyle name="Normal 4 8" xfId="1062" xr:uid="{00000000-0005-0000-0000-000025040000}"/>
    <cellStyle name="Normal 4 8 2" xfId="1063" xr:uid="{00000000-0005-0000-0000-000026040000}"/>
    <cellStyle name="Normal 4 9" xfId="1064" xr:uid="{00000000-0005-0000-0000-000027040000}"/>
    <cellStyle name="Normal 4 9 2" xfId="1065" xr:uid="{00000000-0005-0000-0000-000028040000}"/>
    <cellStyle name="Normal 40" xfId="1066" xr:uid="{00000000-0005-0000-0000-000029040000}"/>
    <cellStyle name="Normal 41" xfId="1067" xr:uid="{00000000-0005-0000-0000-00002A040000}"/>
    <cellStyle name="Normal 42" xfId="1068" xr:uid="{00000000-0005-0000-0000-00002B040000}"/>
    <cellStyle name="Normal 43" xfId="1069" xr:uid="{00000000-0005-0000-0000-00002C040000}"/>
    <cellStyle name="Normal 44" xfId="1070" xr:uid="{00000000-0005-0000-0000-00002D040000}"/>
    <cellStyle name="Normal 45" xfId="1071" xr:uid="{00000000-0005-0000-0000-00002E040000}"/>
    <cellStyle name="Normal 46" xfId="6" xr:uid="{00000000-0005-0000-0000-00002F040000}"/>
    <cellStyle name="Normal 47" xfId="1072" xr:uid="{00000000-0005-0000-0000-000030040000}"/>
    <cellStyle name="Normal 48" xfId="1073" xr:uid="{00000000-0005-0000-0000-000031040000}"/>
    <cellStyle name="Normal 48 2" xfId="1074" xr:uid="{00000000-0005-0000-0000-000032040000}"/>
    <cellStyle name="Normal 49" xfId="1075" xr:uid="{00000000-0005-0000-0000-000033040000}"/>
    <cellStyle name="Normal 5" xfId="1076" xr:uid="{00000000-0005-0000-0000-000034040000}"/>
    <cellStyle name="Normal 5 10" xfId="1077" xr:uid="{00000000-0005-0000-0000-000035040000}"/>
    <cellStyle name="Normal 5 10 2" xfId="1078" xr:uid="{00000000-0005-0000-0000-000036040000}"/>
    <cellStyle name="Normal 5 11" xfId="1079" xr:uid="{00000000-0005-0000-0000-000037040000}"/>
    <cellStyle name="Normal 5 11 2" xfId="1080" xr:uid="{00000000-0005-0000-0000-000038040000}"/>
    <cellStyle name="Normal 5 12" xfId="1081" xr:uid="{00000000-0005-0000-0000-000039040000}"/>
    <cellStyle name="Normal 5 12 2" xfId="1082" xr:uid="{00000000-0005-0000-0000-00003A040000}"/>
    <cellStyle name="Normal 5 13" xfId="1083" xr:uid="{00000000-0005-0000-0000-00003B040000}"/>
    <cellStyle name="Normal 5 13 2" xfId="1084" xr:uid="{00000000-0005-0000-0000-00003C040000}"/>
    <cellStyle name="Normal 5 14" xfId="1085" xr:uid="{00000000-0005-0000-0000-00003D040000}"/>
    <cellStyle name="Normal 5 14 2" xfId="1086" xr:uid="{00000000-0005-0000-0000-00003E040000}"/>
    <cellStyle name="Normal 5 15" xfId="1087" xr:uid="{00000000-0005-0000-0000-00003F040000}"/>
    <cellStyle name="Normal 5 15 2" xfId="1088" xr:uid="{00000000-0005-0000-0000-000040040000}"/>
    <cellStyle name="Normal 5 16" xfId="1089" xr:uid="{00000000-0005-0000-0000-000041040000}"/>
    <cellStyle name="Normal 5 16 2" xfId="1090" xr:uid="{00000000-0005-0000-0000-000042040000}"/>
    <cellStyle name="Normal 5 17" xfId="1091" xr:uid="{00000000-0005-0000-0000-000043040000}"/>
    <cellStyle name="Normal 5 17 2" xfId="1092" xr:uid="{00000000-0005-0000-0000-000044040000}"/>
    <cellStyle name="Normal 5 18" xfId="1093" xr:uid="{00000000-0005-0000-0000-000045040000}"/>
    <cellStyle name="Normal 5 18 2" xfId="1094" xr:uid="{00000000-0005-0000-0000-000046040000}"/>
    <cellStyle name="Normal 5 19" xfId="1095" xr:uid="{00000000-0005-0000-0000-000047040000}"/>
    <cellStyle name="Normal 5 19 2" xfId="1096" xr:uid="{00000000-0005-0000-0000-000048040000}"/>
    <cellStyle name="Normal 5 2" xfId="1097" xr:uid="{00000000-0005-0000-0000-000049040000}"/>
    <cellStyle name="Normal 5 2 2" xfId="1098" xr:uid="{00000000-0005-0000-0000-00004A040000}"/>
    <cellStyle name="Normal 5 2 3" xfId="1099" xr:uid="{00000000-0005-0000-0000-00004B040000}"/>
    <cellStyle name="Normal 5 20" xfId="1100" xr:uid="{00000000-0005-0000-0000-00004C040000}"/>
    <cellStyle name="Normal 5 20 2" xfId="1101" xr:uid="{00000000-0005-0000-0000-00004D040000}"/>
    <cellStyle name="Normal 5 21" xfId="1102" xr:uid="{00000000-0005-0000-0000-00004E040000}"/>
    <cellStyle name="Normal 5 21 2" xfId="1103" xr:uid="{00000000-0005-0000-0000-00004F040000}"/>
    <cellStyle name="Normal 5 22" xfId="1104" xr:uid="{00000000-0005-0000-0000-000050040000}"/>
    <cellStyle name="Normal 5 22 2" xfId="1105" xr:uid="{00000000-0005-0000-0000-000051040000}"/>
    <cellStyle name="Normal 5 23" xfId="1106" xr:uid="{00000000-0005-0000-0000-000052040000}"/>
    <cellStyle name="Normal 5 23 2" xfId="1107" xr:uid="{00000000-0005-0000-0000-000053040000}"/>
    <cellStyle name="Normal 5 24" xfId="1108" xr:uid="{00000000-0005-0000-0000-000054040000}"/>
    <cellStyle name="Normal 5 24 2" xfId="1109" xr:uid="{00000000-0005-0000-0000-000055040000}"/>
    <cellStyle name="Normal 5 25" xfId="1110" xr:uid="{00000000-0005-0000-0000-000056040000}"/>
    <cellStyle name="Normal 5 25 2" xfId="1111" xr:uid="{00000000-0005-0000-0000-000057040000}"/>
    <cellStyle name="Normal 5 26" xfId="1112" xr:uid="{00000000-0005-0000-0000-000058040000}"/>
    <cellStyle name="Normal 5 26 2" xfId="1113" xr:uid="{00000000-0005-0000-0000-000059040000}"/>
    <cellStyle name="Normal 5 27" xfId="1114" xr:uid="{00000000-0005-0000-0000-00005A040000}"/>
    <cellStyle name="Normal 5 27 2" xfId="1115" xr:uid="{00000000-0005-0000-0000-00005B040000}"/>
    <cellStyle name="Normal 5 28" xfId="1116" xr:uid="{00000000-0005-0000-0000-00005C040000}"/>
    <cellStyle name="Normal 5 3" xfId="1117" xr:uid="{00000000-0005-0000-0000-00005D040000}"/>
    <cellStyle name="Normal 5 3 2" xfId="1118" xr:uid="{00000000-0005-0000-0000-00005E040000}"/>
    <cellStyle name="Normal 5 4" xfId="1119" xr:uid="{00000000-0005-0000-0000-00005F040000}"/>
    <cellStyle name="Normal 5 4 2" xfId="1120" xr:uid="{00000000-0005-0000-0000-000060040000}"/>
    <cellStyle name="Normal 5 5" xfId="1121" xr:uid="{00000000-0005-0000-0000-000061040000}"/>
    <cellStyle name="Normal 5 5 2" xfId="1122" xr:uid="{00000000-0005-0000-0000-000062040000}"/>
    <cellStyle name="Normal 5 6" xfId="1123" xr:uid="{00000000-0005-0000-0000-000063040000}"/>
    <cellStyle name="Normal 5 6 2" xfId="1124" xr:uid="{00000000-0005-0000-0000-000064040000}"/>
    <cellStyle name="Normal 5 7" xfId="1125" xr:uid="{00000000-0005-0000-0000-000065040000}"/>
    <cellStyle name="Normal 5 7 2" xfId="1126" xr:uid="{00000000-0005-0000-0000-000066040000}"/>
    <cellStyle name="Normal 5 8" xfId="1127" xr:uid="{00000000-0005-0000-0000-000067040000}"/>
    <cellStyle name="Normal 5 8 2" xfId="1128" xr:uid="{00000000-0005-0000-0000-000068040000}"/>
    <cellStyle name="Normal 5 9" xfId="1129" xr:uid="{00000000-0005-0000-0000-000069040000}"/>
    <cellStyle name="Normal 5 9 2" xfId="1130" xr:uid="{00000000-0005-0000-0000-00006A040000}"/>
    <cellStyle name="Normal 50" xfId="1131" xr:uid="{00000000-0005-0000-0000-00006B040000}"/>
    <cellStyle name="Normal 51" xfId="1132" xr:uid="{00000000-0005-0000-0000-00006C040000}"/>
    <cellStyle name="Normal 52" xfId="1133" xr:uid="{00000000-0005-0000-0000-00006D040000}"/>
    <cellStyle name="Normal 53" xfId="1134" xr:uid="{00000000-0005-0000-0000-00006E040000}"/>
    <cellStyle name="Normal 54" xfId="1135" xr:uid="{00000000-0005-0000-0000-00006F040000}"/>
    <cellStyle name="Normal 55" xfId="1136" xr:uid="{00000000-0005-0000-0000-000070040000}"/>
    <cellStyle name="Normal 56" xfId="1137" xr:uid="{00000000-0005-0000-0000-000071040000}"/>
    <cellStyle name="Normal 57" xfId="1138" xr:uid="{00000000-0005-0000-0000-000072040000}"/>
    <cellStyle name="Normal 58" xfId="1139" xr:uid="{00000000-0005-0000-0000-000073040000}"/>
    <cellStyle name="Normal 59" xfId="1140" xr:uid="{00000000-0005-0000-0000-000074040000}"/>
    <cellStyle name="Normal 6" xfId="1141" xr:uid="{00000000-0005-0000-0000-000075040000}"/>
    <cellStyle name="Normal 6 2" xfId="1142" xr:uid="{00000000-0005-0000-0000-000076040000}"/>
    <cellStyle name="Normal 6 2 2" xfId="1143" xr:uid="{00000000-0005-0000-0000-000077040000}"/>
    <cellStyle name="Normal 6 2 3" xfId="1144" xr:uid="{00000000-0005-0000-0000-000078040000}"/>
    <cellStyle name="Normal 6 3" xfId="1145" xr:uid="{00000000-0005-0000-0000-000079040000}"/>
    <cellStyle name="Normal 6 3 2" xfId="1146" xr:uid="{00000000-0005-0000-0000-00007A040000}"/>
    <cellStyle name="Normal 6 4" xfId="1147" xr:uid="{00000000-0005-0000-0000-00007B040000}"/>
    <cellStyle name="Normal 60" xfId="1148" xr:uid="{00000000-0005-0000-0000-00007C040000}"/>
    <cellStyle name="Normal 61" xfId="1149" xr:uid="{00000000-0005-0000-0000-00007D040000}"/>
    <cellStyle name="Normal 62" xfId="1150" xr:uid="{00000000-0005-0000-0000-00007E040000}"/>
    <cellStyle name="Normal 63" xfId="1151" xr:uid="{00000000-0005-0000-0000-00007F040000}"/>
    <cellStyle name="Normal 64" xfId="1152" xr:uid="{00000000-0005-0000-0000-000080040000}"/>
    <cellStyle name="Normal 65" xfId="1153" xr:uid="{00000000-0005-0000-0000-000081040000}"/>
    <cellStyle name="Normal 66" xfId="1154" xr:uid="{00000000-0005-0000-0000-000082040000}"/>
    <cellStyle name="Normal 66 2" xfId="1155" xr:uid="{00000000-0005-0000-0000-000083040000}"/>
    <cellStyle name="Normal 67" xfId="1156" xr:uid="{00000000-0005-0000-0000-000084040000}"/>
    <cellStyle name="Normal 67 2" xfId="1157" xr:uid="{00000000-0005-0000-0000-000085040000}"/>
    <cellStyle name="Normal 68" xfId="1158" xr:uid="{00000000-0005-0000-0000-000086040000}"/>
    <cellStyle name="Normal 68 2" xfId="1159" xr:uid="{00000000-0005-0000-0000-000087040000}"/>
    <cellStyle name="Normal 69" xfId="1160" xr:uid="{00000000-0005-0000-0000-000088040000}"/>
    <cellStyle name="Normal 69 2" xfId="1161" xr:uid="{00000000-0005-0000-0000-000089040000}"/>
    <cellStyle name="Normal 7" xfId="1162" xr:uid="{00000000-0005-0000-0000-00008A040000}"/>
    <cellStyle name="Normal 7 2" xfId="1163" xr:uid="{00000000-0005-0000-0000-00008B040000}"/>
    <cellStyle name="Normal 7 2 2" xfId="1164" xr:uid="{00000000-0005-0000-0000-00008C040000}"/>
    <cellStyle name="Normal 7 2 3" xfId="1165" xr:uid="{00000000-0005-0000-0000-00008D040000}"/>
    <cellStyle name="Normal 7 3" xfId="1166" xr:uid="{00000000-0005-0000-0000-00008E040000}"/>
    <cellStyle name="Normal 7 3 2" xfId="1167" xr:uid="{00000000-0005-0000-0000-00008F040000}"/>
    <cellStyle name="Normal 7 4" xfId="1168" xr:uid="{00000000-0005-0000-0000-000090040000}"/>
    <cellStyle name="Normal 70" xfId="1169" xr:uid="{00000000-0005-0000-0000-000091040000}"/>
    <cellStyle name="Normal 70 2" xfId="1170" xr:uid="{00000000-0005-0000-0000-000092040000}"/>
    <cellStyle name="Normal 71" xfId="1171" xr:uid="{00000000-0005-0000-0000-000093040000}"/>
    <cellStyle name="Normal 71 2" xfId="1172" xr:uid="{00000000-0005-0000-0000-000094040000}"/>
    <cellStyle name="Normal 72" xfId="1173" xr:uid="{00000000-0005-0000-0000-000095040000}"/>
    <cellStyle name="Normal 72 2" xfId="1174" xr:uid="{00000000-0005-0000-0000-000096040000}"/>
    <cellStyle name="Normal 73" xfId="1175" xr:uid="{00000000-0005-0000-0000-000097040000}"/>
    <cellStyle name="Normal 73 2" xfId="1176" xr:uid="{00000000-0005-0000-0000-000098040000}"/>
    <cellStyle name="Normal 74" xfId="1177" xr:uid="{00000000-0005-0000-0000-000099040000}"/>
    <cellStyle name="Normal 74 2" xfId="1178" xr:uid="{00000000-0005-0000-0000-00009A040000}"/>
    <cellStyle name="Normal 75" xfId="1179" xr:uid="{00000000-0005-0000-0000-00009B040000}"/>
    <cellStyle name="Normal 75 2" xfId="1180" xr:uid="{00000000-0005-0000-0000-00009C040000}"/>
    <cellStyle name="Normal 76" xfId="1181" xr:uid="{00000000-0005-0000-0000-00009D040000}"/>
    <cellStyle name="Normal 76 2" xfId="1182" xr:uid="{00000000-0005-0000-0000-00009E040000}"/>
    <cellStyle name="Normal 77" xfId="1183" xr:uid="{00000000-0005-0000-0000-00009F040000}"/>
    <cellStyle name="Normal 77 2" xfId="1184" xr:uid="{00000000-0005-0000-0000-0000A0040000}"/>
    <cellStyle name="Normal 78" xfId="1185" xr:uid="{00000000-0005-0000-0000-0000A1040000}"/>
    <cellStyle name="Normal 78 2" xfId="1186" xr:uid="{00000000-0005-0000-0000-0000A2040000}"/>
    <cellStyle name="Normal 79" xfId="1187" xr:uid="{00000000-0005-0000-0000-0000A3040000}"/>
    <cellStyle name="Normal 79 2" xfId="1188" xr:uid="{00000000-0005-0000-0000-0000A4040000}"/>
    <cellStyle name="Normal 8" xfId="1189" xr:uid="{00000000-0005-0000-0000-0000A5040000}"/>
    <cellStyle name="Normal 8 10" xfId="1190" xr:uid="{00000000-0005-0000-0000-0000A6040000}"/>
    <cellStyle name="Normal 8 11" xfId="1191" xr:uid="{00000000-0005-0000-0000-0000A7040000}"/>
    <cellStyle name="Normal 8 12" xfId="1192" xr:uid="{00000000-0005-0000-0000-0000A8040000}"/>
    <cellStyle name="Normal 8 13" xfId="1193" xr:uid="{00000000-0005-0000-0000-0000A9040000}"/>
    <cellStyle name="Normal 8 13 2" xfId="1194" xr:uid="{00000000-0005-0000-0000-0000AA040000}"/>
    <cellStyle name="Normal 8 14" xfId="1195" xr:uid="{00000000-0005-0000-0000-0000AB040000}"/>
    <cellStyle name="Normal 8 2" xfId="1196" xr:uid="{00000000-0005-0000-0000-0000AC040000}"/>
    <cellStyle name="Normal 8 2 2" xfId="1197" xr:uid="{00000000-0005-0000-0000-0000AD040000}"/>
    <cellStyle name="Normal 8 2 3" xfId="1198" xr:uid="{00000000-0005-0000-0000-0000AE040000}"/>
    <cellStyle name="Normal 8 3" xfId="1199" xr:uid="{00000000-0005-0000-0000-0000AF040000}"/>
    <cellStyle name="Normal 8 4" xfId="1200" xr:uid="{00000000-0005-0000-0000-0000B0040000}"/>
    <cellStyle name="Normal 8 5" xfId="1201" xr:uid="{00000000-0005-0000-0000-0000B1040000}"/>
    <cellStyle name="Normal 8 6" xfId="1202" xr:uid="{00000000-0005-0000-0000-0000B2040000}"/>
    <cellStyle name="Normal 8 7" xfId="1203" xr:uid="{00000000-0005-0000-0000-0000B3040000}"/>
    <cellStyle name="Normal 8 8" xfId="1204" xr:uid="{00000000-0005-0000-0000-0000B4040000}"/>
    <cellStyle name="Normal 8 9" xfId="1205" xr:uid="{00000000-0005-0000-0000-0000B5040000}"/>
    <cellStyle name="Normal 80" xfId="1206" xr:uid="{00000000-0005-0000-0000-0000B6040000}"/>
    <cellStyle name="Normal 80 2" xfId="1207" xr:uid="{00000000-0005-0000-0000-0000B7040000}"/>
    <cellStyle name="Normal 81" xfId="1208" xr:uid="{00000000-0005-0000-0000-0000B8040000}"/>
    <cellStyle name="Normal 81 2" xfId="1209" xr:uid="{00000000-0005-0000-0000-0000B9040000}"/>
    <cellStyle name="Normal 82" xfId="1210" xr:uid="{00000000-0005-0000-0000-0000BA040000}"/>
    <cellStyle name="Normal 82 2" xfId="1211" xr:uid="{00000000-0005-0000-0000-0000BB040000}"/>
    <cellStyle name="Normal 83" xfId="1212" xr:uid="{00000000-0005-0000-0000-0000BC040000}"/>
    <cellStyle name="Normal 83 2" xfId="1213" xr:uid="{00000000-0005-0000-0000-0000BD040000}"/>
    <cellStyle name="Normal 84" xfId="1214" xr:uid="{00000000-0005-0000-0000-0000BE040000}"/>
    <cellStyle name="Normal 84 2" xfId="1215" xr:uid="{00000000-0005-0000-0000-0000BF040000}"/>
    <cellStyle name="Normal 85" xfId="1216" xr:uid="{00000000-0005-0000-0000-0000C0040000}"/>
    <cellStyle name="Normal 85 2" xfId="1217" xr:uid="{00000000-0005-0000-0000-0000C1040000}"/>
    <cellStyle name="Normal 86" xfId="1218" xr:uid="{00000000-0005-0000-0000-0000C2040000}"/>
    <cellStyle name="Normal 86 2" xfId="1219" xr:uid="{00000000-0005-0000-0000-0000C3040000}"/>
    <cellStyle name="Normal 87" xfId="1220" xr:uid="{00000000-0005-0000-0000-0000C4040000}"/>
    <cellStyle name="Normal 87 2" xfId="1221" xr:uid="{00000000-0005-0000-0000-0000C5040000}"/>
    <cellStyle name="Normal 88" xfId="1222" xr:uid="{00000000-0005-0000-0000-0000C6040000}"/>
    <cellStyle name="Normal 88 2" xfId="1223" xr:uid="{00000000-0005-0000-0000-0000C7040000}"/>
    <cellStyle name="Normal 89" xfId="1224" xr:uid="{00000000-0005-0000-0000-0000C8040000}"/>
    <cellStyle name="Normal 89 2" xfId="1225" xr:uid="{00000000-0005-0000-0000-0000C9040000}"/>
    <cellStyle name="Normal 9" xfId="1226" xr:uid="{00000000-0005-0000-0000-0000CA040000}"/>
    <cellStyle name="Normal 9 10" xfId="1227" xr:uid="{00000000-0005-0000-0000-0000CB040000}"/>
    <cellStyle name="Normal 9 11" xfId="1228" xr:uid="{00000000-0005-0000-0000-0000CC040000}"/>
    <cellStyle name="Normal 9 12" xfId="1229" xr:uid="{00000000-0005-0000-0000-0000CD040000}"/>
    <cellStyle name="Normal 9 13" xfId="1230" xr:uid="{00000000-0005-0000-0000-0000CE040000}"/>
    <cellStyle name="Normal 9 14" xfId="1231" xr:uid="{00000000-0005-0000-0000-0000CF040000}"/>
    <cellStyle name="Normal 9 15" xfId="1232" xr:uid="{00000000-0005-0000-0000-0000D0040000}"/>
    <cellStyle name="Normal 9 16" xfId="1233" xr:uid="{00000000-0005-0000-0000-0000D1040000}"/>
    <cellStyle name="Normal 9 17" xfId="1234" xr:uid="{00000000-0005-0000-0000-0000D2040000}"/>
    <cellStyle name="Normal 9 18" xfId="1235" xr:uid="{00000000-0005-0000-0000-0000D3040000}"/>
    <cellStyle name="Normal 9 19" xfId="1236" xr:uid="{00000000-0005-0000-0000-0000D4040000}"/>
    <cellStyle name="Normal 9 2" xfId="1237" xr:uid="{00000000-0005-0000-0000-0000D5040000}"/>
    <cellStyle name="Normal 9 2 2" xfId="1238" xr:uid="{00000000-0005-0000-0000-0000D6040000}"/>
    <cellStyle name="Normal 9 2 3" xfId="1239" xr:uid="{00000000-0005-0000-0000-0000D7040000}"/>
    <cellStyle name="Normal 9 20" xfId="1240" xr:uid="{00000000-0005-0000-0000-0000D8040000}"/>
    <cellStyle name="Normal 9 21" xfId="1241" xr:uid="{00000000-0005-0000-0000-0000D9040000}"/>
    <cellStyle name="Normal 9 3" xfId="1242" xr:uid="{00000000-0005-0000-0000-0000DA040000}"/>
    <cellStyle name="Normal 9 3 2" xfId="1243" xr:uid="{00000000-0005-0000-0000-0000DB040000}"/>
    <cellStyle name="Normal 9 4" xfId="1244" xr:uid="{00000000-0005-0000-0000-0000DC040000}"/>
    <cellStyle name="Normal 9 5" xfId="1245" xr:uid="{00000000-0005-0000-0000-0000DD040000}"/>
    <cellStyle name="Normal 9 6" xfId="1246" xr:uid="{00000000-0005-0000-0000-0000DE040000}"/>
    <cellStyle name="Normal 9 7" xfId="1247" xr:uid="{00000000-0005-0000-0000-0000DF040000}"/>
    <cellStyle name="Normal 9 8" xfId="1248" xr:uid="{00000000-0005-0000-0000-0000E0040000}"/>
    <cellStyle name="Normal 9 9" xfId="1249" xr:uid="{00000000-0005-0000-0000-0000E1040000}"/>
    <cellStyle name="Normal 90" xfId="1250" xr:uid="{00000000-0005-0000-0000-0000E2040000}"/>
    <cellStyle name="Normal 90 2" xfId="1251" xr:uid="{00000000-0005-0000-0000-0000E3040000}"/>
    <cellStyle name="Normal 91" xfId="1252" xr:uid="{00000000-0005-0000-0000-0000E4040000}"/>
    <cellStyle name="Normal 91 2" xfId="1253" xr:uid="{00000000-0005-0000-0000-0000E5040000}"/>
    <cellStyle name="Normal 92" xfId="1254" xr:uid="{00000000-0005-0000-0000-0000E6040000}"/>
    <cellStyle name="Normal 92 2" xfId="1255" xr:uid="{00000000-0005-0000-0000-0000E7040000}"/>
    <cellStyle name="Normal 93" xfId="1256" xr:uid="{00000000-0005-0000-0000-0000E8040000}"/>
    <cellStyle name="Normal 93 2" xfId="1257" xr:uid="{00000000-0005-0000-0000-0000E9040000}"/>
    <cellStyle name="Normal 94" xfId="1258" xr:uid="{00000000-0005-0000-0000-0000EA040000}"/>
    <cellStyle name="Normal 94 2" xfId="1259" xr:uid="{00000000-0005-0000-0000-0000EB040000}"/>
    <cellStyle name="Normal 95" xfId="1260" xr:uid="{00000000-0005-0000-0000-0000EC040000}"/>
    <cellStyle name="Normal 95 2" xfId="1261" xr:uid="{00000000-0005-0000-0000-0000ED040000}"/>
    <cellStyle name="Normal 96" xfId="1262" xr:uid="{00000000-0005-0000-0000-0000EE040000}"/>
    <cellStyle name="Normal 96 2" xfId="1263" xr:uid="{00000000-0005-0000-0000-0000EF040000}"/>
    <cellStyle name="Normal 97" xfId="1264" xr:uid="{00000000-0005-0000-0000-0000F0040000}"/>
    <cellStyle name="Normal 97 2" xfId="1265" xr:uid="{00000000-0005-0000-0000-0000F1040000}"/>
    <cellStyle name="Normal 98" xfId="1266" xr:uid="{00000000-0005-0000-0000-0000F2040000}"/>
    <cellStyle name="Normal 98 2" xfId="1267" xr:uid="{00000000-0005-0000-0000-0000F3040000}"/>
    <cellStyle name="Normal 99" xfId="1268" xr:uid="{00000000-0005-0000-0000-0000F4040000}"/>
    <cellStyle name="Normal 99 2" xfId="1269" xr:uid="{00000000-0005-0000-0000-0000F5040000}"/>
    <cellStyle name="Note 10" xfId="1270" xr:uid="{00000000-0005-0000-0000-0000F6040000}"/>
    <cellStyle name="Note 10 2" xfId="1271" xr:uid="{00000000-0005-0000-0000-0000F7040000}"/>
    <cellStyle name="Note 11" xfId="1272" xr:uid="{00000000-0005-0000-0000-0000F8040000}"/>
    <cellStyle name="Note 11 2" xfId="1273" xr:uid="{00000000-0005-0000-0000-0000F9040000}"/>
    <cellStyle name="Note 2" xfId="1274" xr:uid="{00000000-0005-0000-0000-0000FA040000}"/>
    <cellStyle name="Note 2 2" xfId="1275" xr:uid="{00000000-0005-0000-0000-0000FB040000}"/>
    <cellStyle name="Note 2 3" xfId="1276" xr:uid="{00000000-0005-0000-0000-0000FC040000}"/>
    <cellStyle name="Note 3" xfId="1277" xr:uid="{00000000-0005-0000-0000-0000FD040000}"/>
    <cellStyle name="Note 3 2" xfId="1278" xr:uid="{00000000-0005-0000-0000-0000FE040000}"/>
    <cellStyle name="Note 4" xfId="1279" xr:uid="{00000000-0005-0000-0000-0000FF040000}"/>
    <cellStyle name="Note 5" xfId="1280" xr:uid="{00000000-0005-0000-0000-000000050000}"/>
    <cellStyle name="Note 5 2" xfId="1281" xr:uid="{00000000-0005-0000-0000-000001050000}"/>
    <cellStyle name="Note 5 2 2" xfId="1282" xr:uid="{00000000-0005-0000-0000-000002050000}"/>
    <cellStyle name="Note 5 3" xfId="1283" xr:uid="{00000000-0005-0000-0000-000003050000}"/>
    <cellStyle name="Note 6" xfId="1284" xr:uid="{00000000-0005-0000-0000-000004050000}"/>
    <cellStyle name="Note 6 2" xfId="1285" xr:uid="{00000000-0005-0000-0000-000005050000}"/>
    <cellStyle name="Note 6 2 2" xfId="1286" xr:uid="{00000000-0005-0000-0000-000006050000}"/>
    <cellStyle name="Note 6 3" xfId="1287" xr:uid="{00000000-0005-0000-0000-000007050000}"/>
    <cellStyle name="Note 7" xfId="1288" xr:uid="{00000000-0005-0000-0000-000008050000}"/>
    <cellStyle name="Note 7 2" xfId="1289" xr:uid="{00000000-0005-0000-0000-000009050000}"/>
    <cellStyle name="Note 7 2 2" xfId="1290" xr:uid="{00000000-0005-0000-0000-00000A050000}"/>
    <cellStyle name="Note 7 3" xfId="1291" xr:uid="{00000000-0005-0000-0000-00000B050000}"/>
    <cellStyle name="Note 8" xfId="1292" xr:uid="{00000000-0005-0000-0000-00000C050000}"/>
    <cellStyle name="Note 8 2" xfId="1293" xr:uid="{00000000-0005-0000-0000-00000D050000}"/>
    <cellStyle name="Note 8 2 2" xfId="1294" xr:uid="{00000000-0005-0000-0000-00000E050000}"/>
    <cellStyle name="Note 8 3" xfId="1295" xr:uid="{00000000-0005-0000-0000-00000F050000}"/>
    <cellStyle name="Note 9" xfId="1296" xr:uid="{00000000-0005-0000-0000-000010050000}"/>
    <cellStyle name="Note 9 2" xfId="1297" xr:uid="{00000000-0005-0000-0000-000011050000}"/>
    <cellStyle name="Output 2" xfId="1298" xr:uid="{00000000-0005-0000-0000-000012050000}"/>
    <cellStyle name="Output 2 2" xfId="1299" xr:uid="{00000000-0005-0000-0000-000013050000}"/>
    <cellStyle name="Output 2 3" xfId="1300" xr:uid="{00000000-0005-0000-0000-000014050000}"/>
    <cellStyle name="Output 3" xfId="1301" xr:uid="{00000000-0005-0000-0000-000015050000}"/>
    <cellStyle name="Output 3 2" xfId="1302" xr:uid="{00000000-0005-0000-0000-000016050000}"/>
    <cellStyle name="Output 4" xfId="1303" xr:uid="{00000000-0005-0000-0000-000017050000}"/>
    <cellStyle name="Title 2" xfId="1304" xr:uid="{00000000-0005-0000-0000-000018050000}"/>
    <cellStyle name="Title 2 2" xfId="1305" xr:uid="{00000000-0005-0000-0000-000019050000}"/>
    <cellStyle name="Title 2 3" xfId="1306" xr:uid="{00000000-0005-0000-0000-00001A050000}"/>
    <cellStyle name="Title 3" xfId="1307" xr:uid="{00000000-0005-0000-0000-00001B050000}"/>
    <cellStyle name="Title 3 2" xfId="1308" xr:uid="{00000000-0005-0000-0000-00001C050000}"/>
    <cellStyle name="Title 4" xfId="1309" xr:uid="{00000000-0005-0000-0000-00001D050000}"/>
    <cellStyle name="Title 5" xfId="1310" xr:uid="{00000000-0005-0000-0000-00001E050000}"/>
    <cellStyle name="Title 6" xfId="1311" xr:uid="{00000000-0005-0000-0000-00001F050000}"/>
    <cellStyle name="Title 7" xfId="1312" xr:uid="{00000000-0005-0000-0000-000020050000}"/>
    <cellStyle name="Total 2" xfId="1313" xr:uid="{00000000-0005-0000-0000-000021050000}"/>
    <cellStyle name="Total 2 2" xfId="1314" xr:uid="{00000000-0005-0000-0000-000022050000}"/>
    <cellStyle name="Total 2 3" xfId="1315" xr:uid="{00000000-0005-0000-0000-000023050000}"/>
    <cellStyle name="Total 3" xfId="1316" xr:uid="{00000000-0005-0000-0000-000024050000}"/>
    <cellStyle name="Total 3 2" xfId="1317" xr:uid="{00000000-0005-0000-0000-000025050000}"/>
    <cellStyle name="Total 4" xfId="1318" xr:uid="{00000000-0005-0000-0000-000026050000}"/>
    <cellStyle name="Warning Text 2" xfId="1319" xr:uid="{00000000-0005-0000-0000-000027050000}"/>
    <cellStyle name="Warning Text 2 2" xfId="1320" xr:uid="{00000000-0005-0000-0000-000028050000}"/>
    <cellStyle name="Warning Text 2 3" xfId="1321" xr:uid="{00000000-0005-0000-0000-000029050000}"/>
    <cellStyle name="Warning Text 3" xfId="1322" xr:uid="{00000000-0005-0000-0000-00002A050000}"/>
    <cellStyle name="Warning Text 3 2" xfId="1323" xr:uid="{00000000-0005-0000-0000-00002B050000}"/>
    <cellStyle name="Warning Text 4" xfId="1324" xr:uid="{00000000-0005-0000-0000-00002C05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calcChain" Target="calcChain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209"/>
  <sheetViews>
    <sheetView tabSelected="1" zoomScale="75" zoomScaleNormal="75" workbookViewId="0">
      <selection activeCell="L47" sqref="L47"/>
    </sheetView>
  </sheetViews>
  <sheetFormatPr defaultRowHeight="15" x14ac:dyDescent="0.2"/>
  <cols>
    <col min="1" max="1" width="12.23828125" customWidth="1"/>
    <col min="2" max="2" width="25.15234375" customWidth="1"/>
    <col min="3" max="3" width="7.6640625" customWidth="1"/>
    <col min="4" max="5" width="21.1171875" customWidth="1"/>
    <col min="6" max="6" width="6.3203125" customWidth="1"/>
    <col min="7" max="7" width="6.9921875" customWidth="1"/>
    <col min="8" max="8" width="16.54296875" customWidth="1"/>
    <col min="9" max="9" width="11.1640625" style="36" bestFit="1" customWidth="1"/>
    <col min="10" max="10" width="10.22265625" customWidth="1"/>
    <col min="11" max="11" width="7.53125" style="37" customWidth="1"/>
    <col min="12" max="12" width="11.1640625" style="36" customWidth="1"/>
    <col min="13" max="13" width="8.33984375" customWidth="1"/>
    <col min="14" max="14" width="9.01171875" customWidth="1"/>
    <col min="15" max="15" width="9.68359375" customWidth="1"/>
    <col min="16" max="16" width="13.5859375" customWidth="1"/>
    <col min="17" max="17" width="14.390625" customWidth="1"/>
    <col min="18" max="18" width="10.625" customWidth="1"/>
    <col min="20" max="20" width="10.76171875" customWidth="1"/>
    <col min="21" max="21" width="9.28125" bestFit="1" customWidth="1"/>
    <col min="22" max="22" width="11.97265625" bestFit="1" customWidth="1"/>
    <col min="24" max="24" width="9.28125" bestFit="1" customWidth="1"/>
    <col min="26" max="26" width="9.28125" bestFit="1" customWidth="1"/>
    <col min="34" max="34" width="12.375" bestFit="1" customWidth="1"/>
  </cols>
  <sheetData>
    <row r="1" spans="1:25" x14ac:dyDescent="0.2">
      <c r="A1" s="44" t="s">
        <v>0</v>
      </c>
      <c r="B1" s="44"/>
      <c r="C1" s="45"/>
      <c r="D1" s="45"/>
      <c r="E1" s="45"/>
      <c r="F1" s="75"/>
      <c r="G1" s="76"/>
      <c r="H1" s="76"/>
      <c r="I1" s="77"/>
      <c r="J1" s="78"/>
      <c r="K1" s="79"/>
      <c r="L1" s="220" t="s">
        <v>1</v>
      </c>
      <c r="M1" s="220"/>
      <c r="N1" s="220"/>
      <c r="O1" s="220"/>
      <c r="P1" s="31"/>
      <c r="Q1" s="54"/>
      <c r="R1" s="54"/>
      <c r="S1" s="80"/>
      <c r="T1" s="80"/>
      <c r="U1" s="80"/>
      <c r="V1" s="40"/>
      <c r="W1" s="40"/>
      <c r="X1" s="40"/>
      <c r="Y1" s="40"/>
    </row>
    <row r="2" spans="1:25" x14ac:dyDescent="0.2">
      <c r="A2" s="1" t="s">
        <v>2</v>
      </c>
      <c r="B2" s="1"/>
      <c r="C2" s="1"/>
      <c r="D2" s="2" t="s">
        <v>3</v>
      </c>
      <c r="E2" s="2"/>
      <c r="F2" s="41"/>
      <c r="G2" s="41"/>
      <c r="H2" s="41"/>
      <c r="I2" s="81"/>
      <c r="J2" s="30"/>
      <c r="K2" s="82" t="s">
        <v>4</v>
      </c>
      <c r="L2" s="30"/>
      <c r="M2" s="38"/>
      <c r="N2" s="41"/>
      <c r="O2" s="38"/>
      <c r="P2" s="31"/>
      <c r="Q2" s="54"/>
      <c r="R2" s="54"/>
      <c r="S2" s="80"/>
      <c r="T2" s="80"/>
      <c r="U2" s="80"/>
      <c r="V2" s="40"/>
      <c r="W2" s="40"/>
      <c r="X2" s="40"/>
      <c r="Y2" s="40"/>
    </row>
    <row r="3" spans="1:25" ht="27.75" x14ac:dyDescent="0.2">
      <c r="A3" s="3" t="s">
        <v>5</v>
      </c>
      <c r="B3" s="3" t="s">
        <v>6</v>
      </c>
      <c r="C3" s="3" t="s">
        <v>7</v>
      </c>
      <c r="D3" s="3" t="s">
        <v>8</v>
      </c>
      <c r="E3" s="3" t="s">
        <v>9</v>
      </c>
      <c r="F3" s="83" t="s">
        <v>10</v>
      </c>
      <c r="G3" s="32" t="s">
        <v>11</v>
      </c>
      <c r="H3" s="32" t="s">
        <v>12</v>
      </c>
      <c r="I3" s="33" t="s">
        <v>13</v>
      </c>
      <c r="J3" s="34" t="s">
        <v>14</v>
      </c>
      <c r="K3" s="84" t="s">
        <v>15</v>
      </c>
      <c r="L3" s="85" t="s">
        <v>16</v>
      </c>
      <c r="M3" s="83" t="s">
        <v>17</v>
      </c>
      <c r="N3" s="83" t="s">
        <v>18</v>
      </c>
      <c r="O3" s="32" t="s">
        <v>19</v>
      </c>
      <c r="P3" s="83" t="s">
        <v>61</v>
      </c>
      <c r="Q3" s="86"/>
      <c r="R3" s="86"/>
      <c r="S3" s="80"/>
      <c r="T3" s="80"/>
      <c r="U3" s="80"/>
      <c r="V3" s="40"/>
      <c r="W3" s="40"/>
      <c r="X3" s="40"/>
      <c r="Y3" s="40"/>
    </row>
    <row r="4" spans="1:25" ht="18" x14ac:dyDescent="0.2">
      <c r="A4" s="49"/>
      <c r="B4" s="55"/>
      <c r="C4" s="49"/>
      <c r="D4" s="49"/>
      <c r="E4" s="49"/>
      <c r="F4" s="50"/>
      <c r="G4" s="87"/>
      <c r="H4" s="87"/>
      <c r="I4" s="88"/>
      <c r="J4" s="89"/>
      <c r="K4" s="90"/>
      <c r="L4" s="89"/>
      <c r="M4" s="50"/>
      <c r="N4" s="50"/>
      <c r="O4" s="50"/>
      <c r="P4" s="50"/>
      <c r="Q4" s="64"/>
      <c r="R4" s="64"/>
      <c r="S4" s="80"/>
      <c r="T4" s="80"/>
      <c r="U4" s="80"/>
      <c r="V4" s="40"/>
      <c r="W4" s="40"/>
      <c r="X4" s="40"/>
      <c r="Y4" s="40"/>
    </row>
    <row r="5" spans="1:25" ht="18" x14ac:dyDescent="0.2">
      <c r="A5" s="47" t="s">
        <v>68</v>
      </c>
      <c r="B5" s="47" t="s">
        <v>75</v>
      </c>
      <c r="C5" s="47" t="s">
        <v>20</v>
      </c>
      <c r="D5" s="47" t="s">
        <v>21</v>
      </c>
      <c r="E5" s="47" t="s">
        <v>55</v>
      </c>
      <c r="F5" s="50">
        <v>10</v>
      </c>
      <c r="G5" s="50" t="s">
        <v>22</v>
      </c>
      <c r="H5" s="50" t="s">
        <v>57</v>
      </c>
      <c r="I5" s="48">
        <v>7.34</v>
      </c>
      <c r="J5" s="62">
        <v>7.5</v>
      </c>
      <c r="K5" s="63">
        <v>36</v>
      </c>
      <c r="L5" s="52">
        <f t="shared" ref="L5:L8" si="0">(I5*J5*K5/1000)</f>
        <v>1.9818</v>
      </c>
      <c r="M5" s="50"/>
      <c r="N5" s="50"/>
      <c r="O5" s="50"/>
      <c r="P5" s="50"/>
      <c r="Q5" s="64"/>
      <c r="R5" s="64"/>
      <c r="S5" s="80"/>
      <c r="T5" s="91"/>
      <c r="U5" s="80"/>
      <c r="V5" s="40"/>
      <c r="W5" s="40"/>
      <c r="X5" s="40"/>
      <c r="Y5" s="40"/>
    </row>
    <row r="6" spans="1:25" ht="18" x14ac:dyDescent="0.2">
      <c r="A6" s="49"/>
      <c r="B6" s="53" t="s">
        <v>73</v>
      </c>
      <c r="C6" s="49"/>
      <c r="D6" s="49"/>
      <c r="E6" s="49"/>
      <c r="F6" s="50"/>
      <c r="G6" s="50" t="s">
        <v>22</v>
      </c>
      <c r="H6" s="50" t="s">
        <v>57</v>
      </c>
      <c r="I6" s="48">
        <v>7.34</v>
      </c>
      <c r="J6" s="62">
        <v>9.25</v>
      </c>
      <c r="K6" s="63">
        <v>86</v>
      </c>
      <c r="L6" s="52">
        <f t="shared" si="0"/>
        <v>5.8389699999999998</v>
      </c>
      <c r="M6" s="50"/>
      <c r="N6" s="50"/>
      <c r="O6" s="50"/>
      <c r="P6" s="50"/>
      <c r="Q6" s="64"/>
      <c r="R6" s="64"/>
      <c r="S6" s="80"/>
      <c r="T6" s="91"/>
      <c r="U6" s="80"/>
      <c r="V6" s="40"/>
      <c r="W6" s="40"/>
      <c r="X6" s="40"/>
      <c r="Y6" s="40"/>
    </row>
    <row r="7" spans="1:25" ht="18" x14ac:dyDescent="0.2">
      <c r="A7" s="49"/>
      <c r="B7" s="49"/>
      <c r="C7" s="49"/>
      <c r="D7" s="49"/>
      <c r="E7" s="49"/>
      <c r="F7" s="50"/>
      <c r="G7" s="50" t="s">
        <v>22</v>
      </c>
      <c r="H7" s="50" t="s">
        <v>57</v>
      </c>
      <c r="I7" s="48">
        <v>7.34</v>
      </c>
      <c r="J7" s="62">
        <v>11.5</v>
      </c>
      <c r="K7" s="63">
        <v>132</v>
      </c>
      <c r="L7" s="52">
        <f t="shared" si="0"/>
        <v>11.142119999999998</v>
      </c>
      <c r="M7" s="50"/>
      <c r="N7" s="50"/>
      <c r="O7" s="50"/>
      <c r="P7" s="50"/>
      <c r="Q7" s="64"/>
      <c r="R7" s="64"/>
      <c r="S7" s="80"/>
      <c r="T7" s="91"/>
      <c r="U7" s="80"/>
      <c r="V7" s="40"/>
      <c r="W7" s="40"/>
      <c r="X7" s="40"/>
      <c r="Y7" s="40"/>
    </row>
    <row r="8" spans="1:25" ht="18" x14ac:dyDescent="0.2">
      <c r="A8" s="49"/>
      <c r="B8" s="49"/>
      <c r="C8" s="49"/>
      <c r="D8" s="49"/>
      <c r="E8" s="49"/>
      <c r="F8" s="50"/>
      <c r="G8" s="50" t="s">
        <v>22</v>
      </c>
      <c r="H8" s="50" t="s">
        <v>57</v>
      </c>
      <c r="I8" s="48">
        <v>7.34</v>
      </c>
      <c r="J8" s="62">
        <v>12</v>
      </c>
      <c r="K8" s="63">
        <v>140</v>
      </c>
      <c r="L8" s="52">
        <f t="shared" si="0"/>
        <v>12.331199999999999</v>
      </c>
      <c r="M8" s="50"/>
      <c r="N8" s="50"/>
      <c r="O8" s="50"/>
      <c r="P8" s="50"/>
      <c r="Q8" s="64"/>
      <c r="R8" s="64"/>
      <c r="S8" s="80"/>
      <c r="T8" s="91"/>
      <c r="U8" s="80"/>
      <c r="V8" s="40"/>
      <c r="W8" s="40"/>
      <c r="X8" s="40"/>
      <c r="Y8" s="40"/>
    </row>
    <row r="9" spans="1:25" ht="18" x14ac:dyDescent="0.2">
      <c r="A9" s="49"/>
      <c r="B9" s="49"/>
      <c r="C9" s="49"/>
      <c r="D9" s="49"/>
      <c r="E9" s="49"/>
      <c r="F9" s="50"/>
      <c r="G9" s="50"/>
      <c r="H9" s="50"/>
      <c r="I9" s="48"/>
      <c r="J9" s="62"/>
      <c r="K9" s="63">
        <f>SUM(K5:K8)</f>
        <v>394</v>
      </c>
      <c r="L9" s="62">
        <f>SUM(L5:L8)</f>
        <v>31.294089999999997</v>
      </c>
      <c r="M9" s="50"/>
      <c r="N9" s="50"/>
      <c r="O9" s="50"/>
      <c r="P9" s="50"/>
      <c r="Q9" s="64"/>
      <c r="R9" s="64"/>
      <c r="S9" s="92"/>
      <c r="T9" s="93"/>
      <c r="U9" s="80"/>
      <c r="V9" s="40"/>
      <c r="W9" s="40"/>
      <c r="X9" s="40"/>
      <c r="Y9" s="40"/>
    </row>
    <row r="10" spans="1:25" ht="18" x14ac:dyDescent="0.2">
      <c r="A10" s="49"/>
      <c r="B10" s="49"/>
      <c r="C10" s="49"/>
      <c r="D10" s="49"/>
      <c r="E10" s="49"/>
      <c r="F10" s="50"/>
      <c r="G10" s="50"/>
      <c r="H10" s="50"/>
      <c r="I10" s="48"/>
      <c r="J10" s="50"/>
      <c r="K10" s="68"/>
      <c r="L10" s="48"/>
      <c r="M10" s="50"/>
      <c r="N10" s="50"/>
      <c r="O10" s="50"/>
      <c r="P10" s="50"/>
      <c r="Q10" s="64"/>
      <c r="R10" s="64"/>
      <c r="S10" s="80"/>
      <c r="T10" s="80"/>
      <c r="U10" s="80"/>
      <c r="V10" s="40"/>
      <c r="W10" s="40"/>
      <c r="X10" s="40"/>
      <c r="Y10" s="40"/>
    </row>
    <row r="11" spans="1:25" ht="18" x14ac:dyDescent="0.2">
      <c r="A11" s="47" t="s">
        <v>59</v>
      </c>
      <c r="B11" s="47" t="s">
        <v>80</v>
      </c>
      <c r="C11" s="47" t="s">
        <v>20</v>
      </c>
      <c r="D11" s="47" t="s">
        <v>21</v>
      </c>
      <c r="E11" s="47" t="s">
        <v>55</v>
      </c>
      <c r="F11" s="50">
        <v>10</v>
      </c>
      <c r="G11" s="50" t="s">
        <v>22</v>
      </c>
      <c r="H11" s="50" t="s">
        <v>57</v>
      </c>
      <c r="I11" s="51">
        <v>7.34</v>
      </c>
      <c r="J11" s="62">
        <v>8.6</v>
      </c>
      <c r="K11" s="63">
        <v>37</v>
      </c>
      <c r="L11" s="52">
        <f t="shared" ref="L11:L14" si="1">(I11*J11*K11/1000)</f>
        <v>2.3355879999999996</v>
      </c>
      <c r="M11" s="50"/>
      <c r="N11" s="50"/>
      <c r="O11" s="50"/>
      <c r="P11" s="50"/>
      <c r="Q11" s="64"/>
      <c r="R11" s="64"/>
      <c r="S11" s="80"/>
      <c r="T11" s="91"/>
      <c r="U11" s="80"/>
      <c r="V11" s="40"/>
      <c r="W11" s="40"/>
      <c r="X11" s="40"/>
      <c r="Y11" s="40"/>
    </row>
    <row r="12" spans="1:25" ht="18" x14ac:dyDescent="0.2">
      <c r="A12" s="49"/>
      <c r="B12" s="49" t="s">
        <v>71</v>
      </c>
      <c r="C12" s="49"/>
      <c r="D12" s="49"/>
      <c r="E12" s="49"/>
      <c r="F12" s="50"/>
      <c r="G12" s="50" t="s">
        <v>22</v>
      </c>
      <c r="H12" s="50" t="s">
        <v>57</v>
      </c>
      <c r="I12" s="51">
        <v>7.34</v>
      </c>
      <c r="J12" s="62">
        <v>10</v>
      </c>
      <c r="K12" s="63">
        <v>95</v>
      </c>
      <c r="L12" s="52">
        <f t="shared" si="1"/>
        <v>6.9730000000000008</v>
      </c>
      <c r="M12" s="50"/>
      <c r="N12" s="50"/>
      <c r="O12" s="50"/>
      <c r="P12" s="50"/>
      <c r="Q12" s="64"/>
      <c r="R12" s="64"/>
      <c r="S12" s="80"/>
      <c r="T12" s="91"/>
      <c r="U12" s="80"/>
      <c r="V12" s="40"/>
      <c r="W12" s="40"/>
      <c r="X12" s="40"/>
      <c r="Y12" s="40"/>
    </row>
    <row r="13" spans="1:25" ht="18" x14ac:dyDescent="0.2">
      <c r="A13" s="49"/>
      <c r="B13" s="49"/>
      <c r="C13" s="49"/>
      <c r="D13" s="49"/>
      <c r="E13" s="49"/>
      <c r="F13" s="50"/>
      <c r="G13" s="50" t="s">
        <v>22</v>
      </c>
      <c r="H13" s="50" t="s">
        <v>57</v>
      </c>
      <c r="I13" s="51">
        <v>7.34</v>
      </c>
      <c r="J13" s="62">
        <v>11</v>
      </c>
      <c r="K13" s="63">
        <v>121</v>
      </c>
      <c r="L13" s="52">
        <f t="shared" si="1"/>
        <v>9.7695399999999992</v>
      </c>
      <c r="M13" s="50"/>
      <c r="N13" s="50"/>
      <c r="O13" s="50"/>
      <c r="P13" s="50"/>
      <c r="Q13" s="64"/>
      <c r="R13" s="64"/>
      <c r="S13" s="80"/>
      <c r="T13" s="91"/>
      <c r="U13" s="80"/>
      <c r="V13" s="40"/>
      <c r="W13" s="40"/>
      <c r="X13" s="40"/>
      <c r="Y13" s="40"/>
    </row>
    <row r="14" spans="1:25" ht="18" x14ac:dyDescent="0.2">
      <c r="A14" s="49"/>
      <c r="B14" s="49"/>
      <c r="C14" s="49"/>
      <c r="D14" s="49"/>
      <c r="E14" s="49"/>
      <c r="F14" s="50"/>
      <c r="G14" s="50" t="s">
        <v>22</v>
      </c>
      <c r="H14" s="50" t="s">
        <v>57</v>
      </c>
      <c r="I14" s="51">
        <v>7.34</v>
      </c>
      <c r="J14" s="62">
        <v>11.5</v>
      </c>
      <c r="K14" s="63">
        <v>134</v>
      </c>
      <c r="L14" s="52">
        <f t="shared" si="1"/>
        <v>11.310939999999999</v>
      </c>
      <c r="M14" s="50"/>
      <c r="N14" s="50"/>
      <c r="O14" s="50"/>
      <c r="P14" s="50"/>
      <c r="Q14" s="64"/>
      <c r="R14" s="64"/>
      <c r="S14" s="80"/>
      <c r="T14" s="91"/>
      <c r="U14" s="80"/>
      <c r="V14" s="40"/>
      <c r="W14" s="40"/>
      <c r="X14" s="40"/>
      <c r="Y14" s="40"/>
    </row>
    <row r="15" spans="1:25" ht="18" x14ac:dyDescent="0.2">
      <c r="A15" s="49"/>
      <c r="B15" s="49"/>
      <c r="C15" s="49"/>
      <c r="D15" s="49"/>
      <c r="E15" s="49"/>
      <c r="F15" s="50"/>
      <c r="G15" s="50"/>
      <c r="H15" s="65"/>
      <c r="I15" s="51"/>
      <c r="J15" s="62"/>
      <c r="K15" s="63">
        <f t="shared" ref="K15:L15" si="2">SUM(K11:K14)</f>
        <v>387</v>
      </c>
      <c r="L15" s="62">
        <f t="shared" si="2"/>
        <v>30.389067999999998</v>
      </c>
      <c r="M15" s="50"/>
      <c r="N15" s="50"/>
      <c r="O15" s="50"/>
      <c r="P15" s="50"/>
      <c r="Q15" s="64"/>
      <c r="R15" s="64"/>
      <c r="S15" s="92"/>
      <c r="T15" s="93"/>
      <c r="U15" s="80"/>
      <c r="V15" s="40"/>
      <c r="W15" s="40"/>
      <c r="X15" s="40"/>
      <c r="Y15" s="40"/>
    </row>
    <row r="16" spans="1:25" ht="18" x14ac:dyDescent="0.2">
      <c r="A16" s="49"/>
      <c r="B16" s="49"/>
      <c r="C16" s="49"/>
      <c r="D16" s="49"/>
      <c r="E16" s="49"/>
      <c r="F16" s="50"/>
      <c r="G16" s="50"/>
      <c r="H16" s="50"/>
      <c r="I16" s="48"/>
      <c r="J16" s="50"/>
      <c r="K16" s="68"/>
      <c r="L16" s="48"/>
      <c r="M16" s="50"/>
      <c r="N16" s="50"/>
      <c r="O16" s="50"/>
      <c r="P16" s="50"/>
      <c r="Q16" s="64"/>
      <c r="R16" s="64"/>
      <c r="S16" s="80"/>
      <c r="T16" s="80"/>
      <c r="U16" s="80"/>
      <c r="V16" s="40"/>
      <c r="W16" s="40"/>
      <c r="X16" s="40"/>
      <c r="Y16" s="40"/>
    </row>
    <row r="17" spans="1:25" ht="18" x14ac:dyDescent="0.2">
      <c r="A17" s="47" t="s">
        <v>68</v>
      </c>
      <c r="B17" s="47" t="s">
        <v>72</v>
      </c>
      <c r="C17" s="47" t="s">
        <v>20</v>
      </c>
      <c r="D17" s="47" t="s">
        <v>21</v>
      </c>
      <c r="E17" s="56" t="s">
        <v>81</v>
      </c>
      <c r="F17" s="50">
        <v>10</v>
      </c>
      <c r="G17" s="50" t="s">
        <v>22</v>
      </c>
      <c r="H17" s="50" t="s">
        <v>57</v>
      </c>
      <c r="I17" s="51">
        <v>7.34</v>
      </c>
      <c r="J17" s="66">
        <v>10</v>
      </c>
      <c r="K17" s="67">
        <v>13</v>
      </c>
      <c r="L17" s="52">
        <f t="shared" ref="L17:L22" si="3">(I17*J17*K17/1000)</f>
        <v>0.95420000000000005</v>
      </c>
      <c r="M17" s="62"/>
      <c r="N17" s="50"/>
      <c r="O17" s="50"/>
      <c r="P17" s="50"/>
      <c r="Q17" s="64"/>
      <c r="R17" s="64"/>
      <c r="S17" s="80"/>
      <c r="T17" s="91"/>
      <c r="U17" s="80"/>
      <c r="V17" s="40"/>
      <c r="W17" s="40"/>
      <c r="X17" s="40"/>
      <c r="Y17" s="40"/>
    </row>
    <row r="18" spans="1:25" ht="18" x14ac:dyDescent="0.2">
      <c r="A18" s="49"/>
      <c r="B18" s="53" t="s">
        <v>24</v>
      </c>
      <c r="C18" s="49"/>
      <c r="D18" s="49"/>
      <c r="E18" s="49"/>
      <c r="F18" s="50"/>
      <c r="G18" s="50" t="s">
        <v>22</v>
      </c>
      <c r="H18" s="50" t="s">
        <v>57</v>
      </c>
      <c r="I18" s="51">
        <v>7.34</v>
      </c>
      <c r="J18" s="66">
        <v>10.5</v>
      </c>
      <c r="K18" s="67">
        <v>15</v>
      </c>
      <c r="L18" s="52">
        <f t="shared" si="3"/>
        <v>1.15605</v>
      </c>
      <c r="M18" s="62"/>
      <c r="N18" s="50"/>
      <c r="O18" s="50"/>
      <c r="P18" s="50"/>
      <c r="Q18" s="64"/>
      <c r="R18" s="64"/>
      <c r="S18" s="80"/>
      <c r="T18" s="91"/>
      <c r="U18" s="80"/>
      <c r="V18" s="40"/>
      <c r="W18" s="40"/>
      <c r="X18" s="40"/>
      <c r="Y18" s="40"/>
    </row>
    <row r="19" spans="1:25" ht="18" x14ac:dyDescent="0.2">
      <c r="A19" s="49"/>
      <c r="B19" s="49"/>
      <c r="C19" s="49"/>
      <c r="D19" s="49"/>
      <c r="E19" s="49"/>
      <c r="F19" s="50"/>
      <c r="G19" s="50" t="s">
        <v>22</v>
      </c>
      <c r="H19" s="50" t="s">
        <v>57</v>
      </c>
      <c r="I19" s="51">
        <v>7.34</v>
      </c>
      <c r="J19" s="66">
        <v>11</v>
      </c>
      <c r="K19" s="67">
        <v>15</v>
      </c>
      <c r="L19" s="52">
        <f t="shared" si="3"/>
        <v>1.2110999999999998</v>
      </c>
      <c r="M19" s="62"/>
      <c r="N19" s="50"/>
      <c r="O19" s="50"/>
      <c r="P19" s="50"/>
      <c r="Q19" s="64"/>
      <c r="R19" s="64"/>
      <c r="S19" s="80"/>
      <c r="T19" s="91"/>
      <c r="U19" s="80"/>
      <c r="V19" s="40"/>
      <c r="W19" s="40"/>
      <c r="X19" s="40"/>
      <c r="Y19" s="40"/>
    </row>
    <row r="20" spans="1:25" ht="18" x14ac:dyDescent="0.2">
      <c r="A20" s="49"/>
      <c r="B20" s="49"/>
      <c r="C20" s="49"/>
      <c r="D20" s="49"/>
      <c r="E20" s="49"/>
      <c r="F20" s="50"/>
      <c r="G20" s="50" t="s">
        <v>22</v>
      </c>
      <c r="H20" s="50" t="s">
        <v>57</v>
      </c>
      <c r="I20" s="51">
        <v>7.34</v>
      </c>
      <c r="J20" s="66">
        <v>11.3</v>
      </c>
      <c r="K20" s="67">
        <v>15</v>
      </c>
      <c r="L20" s="52">
        <f t="shared" si="3"/>
        <v>1.2441300000000002</v>
      </c>
      <c r="M20" s="62"/>
      <c r="N20" s="50"/>
      <c r="O20" s="50"/>
      <c r="P20" s="50"/>
      <c r="Q20" s="64"/>
      <c r="R20" s="64"/>
      <c r="S20" s="80"/>
      <c r="T20" s="91"/>
      <c r="U20" s="80"/>
      <c r="V20" s="40"/>
      <c r="W20" s="40"/>
      <c r="X20" s="40"/>
      <c r="Y20" s="40"/>
    </row>
    <row r="21" spans="1:25" ht="18" x14ac:dyDescent="0.2">
      <c r="A21" s="49"/>
      <c r="B21" s="49"/>
      <c r="C21" s="49"/>
      <c r="D21" s="49"/>
      <c r="E21" s="49"/>
      <c r="F21" s="50"/>
      <c r="G21" s="50" t="s">
        <v>22</v>
      </c>
      <c r="H21" s="50" t="s">
        <v>57</v>
      </c>
      <c r="I21" s="51">
        <v>7.34</v>
      </c>
      <c r="J21" s="66">
        <v>11.5</v>
      </c>
      <c r="K21" s="67">
        <v>45</v>
      </c>
      <c r="L21" s="52">
        <f t="shared" si="3"/>
        <v>3.7984499999999999</v>
      </c>
      <c r="M21" s="62"/>
      <c r="N21" s="50"/>
      <c r="O21" s="50"/>
      <c r="P21" s="50"/>
      <c r="Q21" s="64"/>
      <c r="R21" s="64"/>
      <c r="S21" s="80"/>
      <c r="T21" s="91"/>
      <c r="U21" s="80"/>
      <c r="V21" s="40"/>
      <c r="W21" s="40"/>
      <c r="X21" s="40"/>
      <c r="Y21" s="40"/>
    </row>
    <row r="22" spans="1:25" ht="18" x14ac:dyDescent="0.2">
      <c r="A22" s="49"/>
      <c r="B22" s="55"/>
      <c r="C22" s="49"/>
      <c r="D22" s="49"/>
      <c r="E22" s="49"/>
      <c r="F22" s="50"/>
      <c r="G22" s="50" t="s">
        <v>22</v>
      </c>
      <c r="H22" s="50" t="s">
        <v>57</v>
      </c>
      <c r="I22" s="51">
        <v>7.34</v>
      </c>
      <c r="J22" s="66">
        <v>12</v>
      </c>
      <c r="K22" s="67">
        <v>7</v>
      </c>
      <c r="L22" s="52">
        <f t="shared" si="3"/>
        <v>0.61656</v>
      </c>
      <c r="M22" s="62"/>
      <c r="N22" s="50"/>
      <c r="O22" s="50"/>
      <c r="P22" s="50"/>
      <c r="Q22" s="64"/>
      <c r="R22" s="64"/>
      <c r="S22" s="80"/>
      <c r="T22" s="91"/>
      <c r="U22" s="80"/>
      <c r="V22" s="40"/>
      <c r="W22" s="40"/>
      <c r="X22" s="40"/>
      <c r="Y22" s="40"/>
    </row>
    <row r="23" spans="1:25" ht="18" x14ac:dyDescent="0.2">
      <c r="A23" s="49"/>
      <c r="B23" s="55"/>
      <c r="C23" s="49"/>
      <c r="D23" s="49"/>
      <c r="E23" s="49"/>
      <c r="F23" s="50"/>
      <c r="G23" s="87"/>
      <c r="H23" s="87"/>
      <c r="I23" s="88"/>
      <c r="J23" s="89"/>
      <c r="K23" s="94">
        <f>SUM(K17:K22)</f>
        <v>110</v>
      </c>
      <c r="L23" s="89">
        <f>SUM(L17:L22)</f>
        <v>8.9804899999999996</v>
      </c>
      <c r="M23" s="50"/>
      <c r="N23" s="50"/>
      <c r="O23" s="50"/>
      <c r="P23" s="50"/>
      <c r="Q23" s="64"/>
      <c r="R23" s="64"/>
      <c r="S23" s="95"/>
      <c r="T23" s="96"/>
      <c r="U23" s="80"/>
      <c r="V23" s="40"/>
      <c r="W23" s="40"/>
      <c r="X23" s="40"/>
      <c r="Y23" s="40"/>
    </row>
    <row r="24" spans="1:25" ht="18" x14ac:dyDescent="0.2">
      <c r="A24" s="49"/>
      <c r="B24" s="55"/>
      <c r="C24" s="49"/>
      <c r="D24" s="49"/>
      <c r="E24" s="49"/>
      <c r="F24" s="50"/>
      <c r="G24" s="87"/>
      <c r="H24" s="87"/>
      <c r="I24" s="88"/>
      <c r="J24" s="89"/>
      <c r="K24" s="94"/>
      <c r="L24" s="89">
        <f>+L23+L15+L9</f>
        <v>70.663647999999995</v>
      </c>
      <c r="M24" s="50"/>
      <c r="N24" s="50"/>
      <c r="O24" s="50"/>
      <c r="P24" s="50"/>
      <c r="Q24" s="64"/>
      <c r="R24" s="64"/>
      <c r="S24" s="80"/>
      <c r="T24" s="96"/>
      <c r="U24" s="80"/>
      <c r="V24" s="40"/>
      <c r="W24" s="40"/>
      <c r="X24" s="40"/>
      <c r="Y24" s="40"/>
    </row>
    <row r="25" spans="1:25" ht="18" x14ac:dyDescent="0.2">
      <c r="A25" s="49"/>
      <c r="B25" s="55"/>
      <c r="C25" s="49"/>
      <c r="D25" s="49"/>
      <c r="E25" s="49"/>
      <c r="F25" s="50"/>
      <c r="G25" s="87"/>
      <c r="H25" s="87"/>
      <c r="I25" s="88"/>
      <c r="J25" s="89"/>
      <c r="K25" s="94"/>
      <c r="L25" s="89"/>
      <c r="M25" s="50"/>
      <c r="N25" s="50"/>
      <c r="O25" s="50"/>
      <c r="P25" s="50"/>
      <c r="Q25" s="64"/>
      <c r="R25" s="64"/>
      <c r="S25" s="80"/>
      <c r="T25" s="80"/>
      <c r="U25" s="80"/>
      <c r="V25" s="40"/>
      <c r="W25" s="40"/>
      <c r="X25" s="40"/>
      <c r="Y25" s="40"/>
    </row>
    <row r="26" spans="1:25" ht="18" x14ac:dyDescent="0.2">
      <c r="A26" s="49"/>
      <c r="B26" s="55"/>
      <c r="C26" s="49"/>
      <c r="D26" s="49"/>
      <c r="E26" s="49"/>
      <c r="F26" s="50"/>
      <c r="G26" s="87"/>
      <c r="H26" s="87"/>
      <c r="I26" s="88"/>
      <c r="J26" s="89"/>
      <c r="K26" s="94"/>
      <c r="L26" s="89"/>
      <c r="M26" s="50"/>
      <c r="N26" s="50"/>
      <c r="O26" s="50"/>
      <c r="P26" s="50"/>
      <c r="Q26" s="64"/>
      <c r="R26" s="64"/>
      <c r="S26" s="80"/>
      <c r="T26" s="80"/>
      <c r="U26" s="80"/>
      <c r="V26" s="40"/>
      <c r="W26" s="40"/>
      <c r="X26" s="40"/>
      <c r="Y26" s="40"/>
    </row>
    <row r="27" spans="1:25" ht="18" x14ac:dyDescent="0.2">
      <c r="A27" s="47" t="s">
        <v>68</v>
      </c>
      <c r="B27" s="27" t="s">
        <v>76</v>
      </c>
      <c r="C27" s="47" t="s">
        <v>20</v>
      </c>
      <c r="D27" s="47" t="s">
        <v>21</v>
      </c>
      <c r="E27" s="47" t="s">
        <v>74</v>
      </c>
      <c r="F27" s="50">
        <v>10</v>
      </c>
      <c r="G27" s="50" t="s">
        <v>22</v>
      </c>
      <c r="H27" s="50" t="s">
        <v>57</v>
      </c>
      <c r="I27" s="48">
        <v>7.36</v>
      </c>
      <c r="J27" s="62">
        <v>12</v>
      </c>
      <c r="K27" s="63">
        <v>16</v>
      </c>
      <c r="L27" s="52">
        <f>(I27*J27*K27/1000)</f>
        <v>1.4131200000000002</v>
      </c>
      <c r="M27" s="50"/>
      <c r="N27" s="50"/>
      <c r="O27" s="50"/>
      <c r="P27" s="50"/>
      <c r="Q27" s="64"/>
      <c r="R27" s="64"/>
      <c r="S27" s="80"/>
      <c r="T27" s="91"/>
      <c r="U27" s="80"/>
      <c r="V27" s="40"/>
      <c r="W27" s="40"/>
      <c r="X27" s="40"/>
      <c r="Y27" s="40"/>
    </row>
    <row r="28" spans="1:25" ht="18" x14ac:dyDescent="0.2">
      <c r="A28" s="49"/>
      <c r="B28" s="27" t="s">
        <v>69</v>
      </c>
      <c r="C28" s="49"/>
      <c r="D28" s="49"/>
      <c r="E28" s="49"/>
      <c r="F28" s="50"/>
      <c r="G28" s="50"/>
      <c r="H28" s="50"/>
      <c r="I28" s="48"/>
      <c r="J28" s="62"/>
      <c r="K28" s="63">
        <f t="shared" ref="K28:L28" si="4">SUM(K27)</f>
        <v>16</v>
      </c>
      <c r="L28" s="62">
        <f t="shared" si="4"/>
        <v>1.4131200000000002</v>
      </c>
      <c r="M28" s="50"/>
      <c r="N28" s="50"/>
      <c r="O28" s="50"/>
      <c r="P28" s="50"/>
      <c r="Q28" s="64"/>
      <c r="R28" s="64"/>
      <c r="S28" s="92"/>
      <c r="T28" s="93"/>
      <c r="U28" s="80"/>
      <c r="V28" s="40"/>
      <c r="W28" s="40"/>
      <c r="X28" s="40"/>
      <c r="Y28" s="40"/>
    </row>
    <row r="29" spans="1:25" ht="18" x14ac:dyDescent="0.2">
      <c r="A29" s="49"/>
      <c r="B29" s="49"/>
      <c r="C29" s="49"/>
      <c r="D29" s="49"/>
      <c r="E29" s="49"/>
      <c r="F29" s="50"/>
      <c r="G29" s="50"/>
      <c r="H29" s="50"/>
      <c r="I29" s="48"/>
      <c r="J29" s="50"/>
      <c r="K29" s="68"/>
      <c r="L29" s="48"/>
      <c r="M29" s="50"/>
      <c r="N29" s="50"/>
      <c r="O29" s="50"/>
      <c r="P29" s="50"/>
      <c r="Q29" s="64"/>
      <c r="R29" s="64"/>
      <c r="S29" s="80"/>
      <c r="T29" s="80"/>
      <c r="U29" s="80"/>
      <c r="V29" s="40"/>
      <c r="W29" s="40"/>
      <c r="X29" s="40"/>
      <c r="Y29" s="40"/>
    </row>
    <row r="30" spans="1:25" ht="18" x14ac:dyDescent="0.2">
      <c r="A30" s="47" t="s">
        <v>78</v>
      </c>
      <c r="B30" s="47" t="s">
        <v>77</v>
      </c>
      <c r="C30" s="47" t="s">
        <v>20</v>
      </c>
      <c r="D30" s="47" t="s">
        <v>32</v>
      </c>
      <c r="E30" s="47" t="s">
        <v>74</v>
      </c>
      <c r="F30" s="50">
        <v>10</v>
      </c>
      <c r="G30" s="50" t="s">
        <v>22</v>
      </c>
      <c r="H30" s="50" t="s">
        <v>57</v>
      </c>
      <c r="I30" s="48">
        <v>7.36</v>
      </c>
      <c r="J30" s="62">
        <v>10.5</v>
      </c>
      <c r="K30" s="63">
        <v>12</v>
      </c>
      <c r="L30" s="52">
        <f>(I30*J30*K30/1000)</f>
        <v>0.92735999999999996</v>
      </c>
      <c r="M30" s="50"/>
      <c r="N30" s="50"/>
      <c r="O30" s="50"/>
      <c r="P30" s="50"/>
      <c r="Q30" s="64"/>
      <c r="R30" s="64"/>
      <c r="S30" s="80"/>
      <c r="T30" s="91"/>
      <c r="U30" s="80"/>
      <c r="V30" s="40"/>
      <c r="W30" s="40"/>
      <c r="X30" s="40"/>
      <c r="Y30" s="40"/>
    </row>
    <row r="31" spans="1:25" ht="18" x14ac:dyDescent="0.2">
      <c r="A31" s="49"/>
      <c r="B31" s="57" t="s">
        <v>70</v>
      </c>
      <c r="C31" s="49"/>
      <c r="D31" s="49"/>
      <c r="E31" s="49"/>
      <c r="F31" s="50"/>
      <c r="G31" s="50" t="s">
        <v>22</v>
      </c>
      <c r="H31" s="50" t="s">
        <v>57</v>
      </c>
      <c r="I31" s="48">
        <v>7.36</v>
      </c>
      <c r="J31" s="62">
        <v>12</v>
      </c>
      <c r="K31" s="63">
        <v>5</v>
      </c>
      <c r="L31" s="52">
        <f>(I31*J31*K31/1000)</f>
        <v>0.44160000000000005</v>
      </c>
      <c r="M31" s="50"/>
      <c r="N31" s="50"/>
      <c r="O31" s="50"/>
      <c r="P31" s="50"/>
      <c r="Q31" s="64"/>
      <c r="R31" s="64"/>
      <c r="S31" s="80"/>
      <c r="T31" s="91"/>
      <c r="U31" s="80"/>
      <c r="V31" s="40"/>
      <c r="W31" s="40"/>
      <c r="X31" s="40"/>
      <c r="Y31" s="40"/>
    </row>
    <row r="32" spans="1:25" ht="18" x14ac:dyDescent="0.2">
      <c r="A32" s="49"/>
      <c r="B32" s="49"/>
      <c r="C32" s="49"/>
      <c r="D32" s="49"/>
      <c r="E32" s="49"/>
      <c r="F32" s="50"/>
      <c r="G32" s="50"/>
      <c r="H32" s="50"/>
      <c r="I32" s="48"/>
      <c r="J32" s="62"/>
      <c r="K32" s="63">
        <f t="shared" ref="K32:L32" si="5">SUM(K30:K31)</f>
        <v>17</v>
      </c>
      <c r="L32" s="62">
        <f t="shared" si="5"/>
        <v>1.36896</v>
      </c>
      <c r="M32" s="50"/>
      <c r="N32" s="50"/>
      <c r="O32" s="50"/>
      <c r="P32" s="50"/>
      <c r="Q32" s="64"/>
      <c r="R32" s="64"/>
      <c r="S32" s="92"/>
      <c r="T32" s="93"/>
      <c r="U32" s="80"/>
      <c r="V32" s="40"/>
      <c r="W32" s="40"/>
      <c r="X32" s="40"/>
      <c r="Y32" s="40"/>
    </row>
    <row r="33" spans="1:25" ht="18" x14ac:dyDescent="0.2">
      <c r="A33" s="49"/>
      <c r="B33" s="49"/>
      <c r="C33" s="49"/>
      <c r="D33" s="49"/>
      <c r="E33" s="49"/>
      <c r="F33" s="50"/>
      <c r="G33" s="50"/>
      <c r="H33" s="50"/>
      <c r="I33" s="48"/>
      <c r="J33" s="50"/>
      <c r="K33" s="68"/>
      <c r="L33" s="48"/>
      <c r="M33" s="50"/>
      <c r="N33" s="50"/>
      <c r="O33" s="50"/>
      <c r="P33" s="50"/>
      <c r="Q33" s="64"/>
      <c r="R33" s="64"/>
      <c r="S33" s="80"/>
      <c r="T33" s="80"/>
      <c r="U33" s="80"/>
      <c r="V33" s="40"/>
      <c r="W33" s="40"/>
      <c r="X33" s="40"/>
      <c r="Y33" s="40"/>
    </row>
    <row r="34" spans="1:25" ht="18" x14ac:dyDescent="0.2">
      <c r="A34" s="47" t="s">
        <v>78</v>
      </c>
      <c r="B34" s="47" t="s">
        <v>79</v>
      </c>
      <c r="C34" s="47" t="s">
        <v>20</v>
      </c>
      <c r="D34" s="47" t="s">
        <v>32</v>
      </c>
      <c r="E34" s="47" t="s">
        <v>74</v>
      </c>
      <c r="F34" s="50">
        <v>10</v>
      </c>
      <c r="G34" s="87" t="s">
        <v>22</v>
      </c>
      <c r="H34" s="87" t="s">
        <v>57</v>
      </c>
      <c r="I34" s="88">
        <v>7.36</v>
      </c>
      <c r="J34" s="89">
        <v>12</v>
      </c>
      <c r="K34" s="90">
        <v>70</v>
      </c>
      <c r="L34" s="52">
        <f>(I34*J34*K34/1000)</f>
        <v>6.1824000000000003</v>
      </c>
      <c r="M34" s="50"/>
      <c r="N34" s="50"/>
      <c r="O34" s="50"/>
      <c r="P34" s="50"/>
      <c r="Q34" s="64"/>
      <c r="R34" s="64"/>
      <c r="S34" s="80"/>
      <c r="T34" s="91"/>
      <c r="U34" s="80"/>
      <c r="V34" s="40"/>
      <c r="W34" s="40"/>
      <c r="X34" s="40"/>
      <c r="Y34" s="40"/>
    </row>
    <row r="35" spans="1:25" ht="18" x14ac:dyDescent="0.2">
      <c r="A35" s="49"/>
      <c r="B35" s="55" t="s">
        <v>64</v>
      </c>
      <c r="C35" s="49"/>
      <c r="D35" s="49"/>
      <c r="E35" s="49"/>
      <c r="F35" s="50"/>
      <c r="G35" s="87"/>
      <c r="H35" s="87"/>
      <c r="I35" s="88"/>
      <c r="J35" s="89"/>
      <c r="K35" s="90">
        <f t="shared" ref="K35:L35" si="6">SUM(K34)</f>
        <v>70</v>
      </c>
      <c r="L35" s="89">
        <f t="shared" si="6"/>
        <v>6.1824000000000003</v>
      </c>
      <c r="M35" s="50"/>
      <c r="N35" s="50"/>
      <c r="O35" s="50"/>
      <c r="P35" s="50"/>
      <c r="Q35" s="64"/>
      <c r="R35" s="64"/>
      <c r="S35" s="97"/>
      <c r="T35" s="96"/>
      <c r="U35" s="80"/>
      <c r="V35" s="40"/>
      <c r="W35" s="40"/>
      <c r="X35" s="40"/>
      <c r="Y35" s="40"/>
    </row>
    <row r="36" spans="1:25" ht="18" x14ac:dyDescent="0.2">
      <c r="A36" s="49"/>
      <c r="B36" s="55"/>
      <c r="C36" s="49"/>
      <c r="D36" s="49"/>
      <c r="E36" s="49"/>
      <c r="F36" s="50"/>
      <c r="G36" s="87"/>
      <c r="H36" s="87"/>
      <c r="I36" s="88"/>
      <c r="J36" s="89"/>
      <c r="K36" s="90"/>
      <c r="L36" s="89"/>
      <c r="M36" s="50"/>
      <c r="N36" s="50"/>
      <c r="O36" s="50"/>
      <c r="P36" s="50"/>
      <c r="Q36" s="64"/>
      <c r="R36" s="64"/>
      <c r="S36" s="80"/>
      <c r="T36" s="80"/>
      <c r="U36" s="80"/>
      <c r="V36" s="40"/>
      <c r="W36" s="40"/>
      <c r="X36" s="40"/>
      <c r="Y36" s="40"/>
    </row>
    <row r="37" spans="1:25" ht="18" x14ac:dyDescent="0.2">
      <c r="A37" s="47" t="s">
        <v>68</v>
      </c>
      <c r="B37" s="47" t="s">
        <v>72</v>
      </c>
      <c r="C37" s="47" t="s">
        <v>20</v>
      </c>
      <c r="D37" s="47" t="s">
        <v>32</v>
      </c>
      <c r="E37" s="47" t="s">
        <v>74</v>
      </c>
      <c r="F37" s="50">
        <v>10</v>
      </c>
      <c r="G37" s="87" t="s">
        <v>22</v>
      </c>
      <c r="H37" s="87" t="s">
        <v>57</v>
      </c>
      <c r="I37" s="88">
        <v>7.36</v>
      </c>
      <c r="J37" s="89">
        <v>12</v>
      </c>
      <c r="K37" s="90">
        <v>4</v>
      </c>
      <c r="L37" s="52">
        <f>(I37*J37*K37/1000)</f>
        <v>0.35328000000000004</v>
      </c>
      <c r="M37" s="50"/>
      <c r="N37" s="50"/>
      <c r="O37" s="50"/>
      <c r="P37" s="50"/>
      <c r="Q37" s="64"/>
      <c r="R37" s="64"/>
      <c r="S37" s="80"/>
      <c r="T37" s="91"/>
      <c r="U37" s="80"/>
      <c r="V37" s="40"/>
      <c r="W37" s="40"/>
      <c r="X37" s="40"/>
      <c r="Y37" s="40"/>
    </row>
    <row r="38" spans="1:25" ht="18" x14ac:dyDescent="0.2">
      <c r="A38" s="49"/>
      <c r="B38" s="55" t="s">
        <v>69</v>
      </c>
      <c r="C38" s="49"/>
      <c r="D38" s="49"/>
      <c r="E38" s="49"/>
      <c r="F38" s="50"/>
      <c r="G38" s="87"/>
      <c r="H38" s="87"/>
      <c r="I38" s="88"/>
      <c r="J38" s="89"/>
      <c r="K38" s="90">
        <f t="shared" ref="K38:L38" si="7">SUM(K37)</f>
        <v>4</v>
      </c>
      <c r="L38" s="89">
        <f t="shared" si="7"/>
        <v>0.35328000000000004</v>
      </c>
      <c r="M38" s="50"/>
      <c r="N38" s="50"/>
      <c r="O38" s="50"/>
      <c r="P38" s="50"/>
      <c r="Q38" s="64"/>
      <c r="R38" s="64"/>
      <c r="S38" s="97"/>
      <c r="T38" s="96"/>
      <c r="U38" s="80"/>
      <c r="V38" s="40"/>
      <c r="W38" s="40"/>
      <c r="X38" s="40"/>
      <c r="Y38" s="40"/>
    </row>
    <row r="39" spans="1:25" ht="18" x14ac:dyDescent="0.2">
      <c r="A39" s="49"/>
      <c r="B39" s="55"/>
      <c r="C39" s="49"/>
      <c r="D39" s="49"/>
      <c r="E39" s="49"/>
      <c r="F39" s="50"/>
      <c r="G39" s="87"/>
      <c r="H39" s="87"/>
      <c r="I39" s="88"/>
      <c r="J39" s="89"/>
      <c r="K39" s="94"/>
      <c r="L39" s="89"/>
      <c r="M39" s="50"/>
      <c r="N39" s="50"/>
      <c r="O39" s="50"/>
      <c r="P39" s="50"/>
      <c r="Q39" s="64"/>
      <c r="R39" s="64"/>
      <c r="S39" s="80"/>
      <c r="T39" s="80"/>
      <c r="U39" s="80"/>
      <c r="V39" s="40"/>
      <c r="W39" s="40"/>
      <c r="X39" s="40"/>
      <c r="Y39" s="40"/>
    </row>
    <row r="40" spans="1:25" ht="18" x14ac:dyDescent="0.2">
      <c r="A40" s="47" t="s">
        <v>78</v>
      </c>
      <c r="B40" s="47" t="s">
        <v>72</v>
      </c>
      <c r="C40" s="47" t="s">
        <v>20</v>
      </c>
      <c r="D40" s="47" t="s">
        <v>32</v>
      </c>
      <c r="E40" s="47" t="s">
        <v>74</v>
      </c>
      <c r="F40" s="50">
        <v>10</v>
      </c>
      <c r="G40" s="87" t="s">
        <v>22</v>
      </c>
      <c r="H40" s="87" t="s">
        <v>57</v>
      </c>
      <c r="I40" s="88">
        <v>7.36</v>
      </c>
      <c r="J40" s="66">
        <v>7</v>
      </c>
      <c r="K40" s="67">
        <v>4</v>
      </c>
      <c r="L40" s="52">
        <f t="shared" ref="L40:L43" si="8">(I40*J40*K40/1000)</f>
        <v>0.20608000000000001</v>
      </c>
      <c r="M40" s="50"/>
      <c r="N40" s="50"/>
      <c r="O40" s="66">
        <v>6.75</v>
      </c>
      <c r="P40" s="50"/>
      <c r="Q40" s="64"/>
      <c r="R40" s="64"/>
      <c r="S40" s="80"/>
      <c r="T40" s="91"/>
      <c r="U40" s="80"/>
      <c r="V40" s="40"/>
      <c r="W40" s="40"/>
      <c r="X40" s="40"/>
      <c r="Y40" s="40"/>
    </row>
    <row r="41" spans="1:25" ht="18" x14ac:dyDescent="0.2">
      <c r="A41" s="49"/>
      <c r="B41" s="55" t="s">
        <v>64</v>
      </c>
      <c r="C41" s="49"/>
      <c r="D41" s="49"/>
      <c r="E41" s="49"/>
      <c r="F41" s="50"/>
      <c r="G41" s="87" t="s">
        <v>22</v>
      </c>
      <c r="H41" s="87" t="s">
        <v>57</v>
      </c>
      <c r="I41" s="88">
        <v>7.36</v>
      </c>
      <c r="J41" s="66">
        <v>7</v>
      </c>
      <c r="K41" s="67">
        <v>108</v>
      </c>
      <c r="L41" s="52">
        <f t="shared" si="8"/>
        <v>5.5641600000000011</v>
      </c>
      <c r="M41" s="50"/>
      <c r="N41" s="50"/>
      <c r="O41" s="50"/>
      <c r="P41" s="50"/>
      <c r="Q41" s="64"/>
      <c r="R41" s="64"/>
      <c r="S41" s="80"/>
      <c r="T41" s="91"/>
      <c r="U41" s="80"/>
      <c r="V41" s="40"/>
      <c r="W41" s="40"/>
      <c r="X41" s="40"/>
      <c r="Y41" s="40"/>
    </row>
    <row r="42" spans="1:25" ht="18" x14ac:dyDescent="0.2">
      <c r="A42" s="49"/>
      <c r="B42" s="55"/>
      <c r="C42" s="49"/>
      <c r="D42" s="49"/>
      <c r="E42" s="49"/>
      <c r="F42" s="50"/>
      <c r="G42" s="87" t="s">
        <v>22</v>
      </c>
      <c r="H42" s="87" t="s">
        <v>57</v>
      </c>
      <c r="I42" s="88">
        <v>7.36</v>
      </c>
      <c r="J42" s="66">
        <v>9.5</v>
      </c>
      <c r="K42" s="67">
        <v>7</v>
      </c>
      <c r="L42" s="52">
        <f t="shared" si="8"/>
        <v>0.48943999999999999</v>
      </c>
      <c r="M42" s="50"/>
      <c r="N42" s="50"/>
      <c r="O42" s="50"/>
      <c r="P42" s="50"/>
      <c r="Q42" s="64"/>
      <c r="R42" s="64"/>
      <c r="S42" s="80"/>
      <c r="T42" s="91"/>
      <c r="U42" s="80"/>
      <c r="V42" s="40"/>
      <c r="W42" s="40"/>
      <c r="X42" s="40"/>
      <c r="Y42" s="40"/>
    </row>
    <row r="43" spans="1:25" ht="18" x14ac:dyDescent="0.2">
      <c r="A43" s="49"/>
      <c r="B43" s="55"/>
      <c r="C43" s="49"/>
      <c r="D43" s="49"/>
      <c r="E43" s="49"/>
      <c r="F43" s="50"/>
      <c r="G43" s="87" t="s">
        <v>22</v>
      </c>
      <c r="H43" s="87" t="s">
        <v>57</v>
      </c>
      <c r="I43" s="88">
        <v>7.36</v>
      </c>
      <c r="J43" s="66">
        <v>12</v>
      </c>
      <c r="K43" s="67">
        <v>20</v>
      </c>
      <c r="L43" s="52">
        <f t="shared" si="8"/>
        <v>1.7664000000000002</v>
      </c>
      <c r="M43" s="50"/>
      <c r="N43" s="50"/>
      <c r="O43" s="50"/>
      <c r="P43" s="50"/>
      <c r="Q43" s="64"/>
      <c r="R43" s="64"/>
      <c r="S43" s="80"/>
      <c r="T43" s="91"/>
      <c r="U43" s="80"/>
      <c r="V43" s="40"/>
      <c r="W43" s="40"/>
      <c r="X43" s="40"/>
      <c r="Y43" s="40"/>
    </row>
    <row r="44" spans="1:25" ht="18" x14ac:dyDescent="0.2">
      <c r="A44" s="49"/>
      <c r="B44" s="55"/>
      <c r="C44" s="49"/>
      <c r="D44" s="49"/>
      <c r="E44" s="49"/>
      <c r="F44" s="50"/>
      <c r="G44" s="87"/>
      <c r="H44" s="87"/>
      <c r="I44" s="88"/>
      <c r="J44" s="89"/>
      <c r="K44" s="94">
        <f t="shared" ref="K44" si="9">SUM(K40:K43)</f>
        <v>139</v>
      </c>
      <c r="L44" s="89">
        <f>SUM(L40:L43)</f>
        <v>8.0260800000000021</v>
      </c>
      <c r="M44" s="50"/>
      <c r="N44" s="50"/>
      <c r="O44" s="50"/>
      <c r="P44" s="50"/>
      <c r="Q44" s="64"/>
      <c r="R44" s="64"/>
      <c r="S44" s="95"/>
      <c r="T44" s="96"/>
      <c r="U44" s="80"/>
      <c r="V44" s="40"/>
      <c r="W44" s="40"/>
      <c r="X44" s="40"/>
      <c r="Y44" s="40"/>
    </row>
    <row r="45" spans="1:25" ht="18" x14ac:dyDescent="0.2">
      <c r="A45" s="49"/>
      <c r="B45" s="55"/>
      <c r="C45" s="49"/>
      <c r="D45" s="49"/>
      <c r="E45" s="49"/>
      <c r="F45" s="50"/>
      <c r="G45" s="87"/>
      <c r="H45" s="87"/>
      <c r="I45" s="88"/>
      <c r="J45" s="89"/>
      <c r="K45" s="94"/>
      <c r="L45" s="89"/>
      <c r="M45" s="50"/>
      <c r="N45" s="50"/>
      <c r="O45" s="50"/>
      <c r="P45" s="50"/>
      <c r="Q45" s="64"/>
      <c r="R45" s="64"/>
      <c r="S45" s="80"/>
      <c r="T45" s="80"/>
      <c r="U45" s="80"/>
      <c r="V45" s="40"/>
      <c r="W45" s="40"/>
      <c r="X45" s="40"/>
      <c r="Y45" s="40"/>
    </row>
    <row r="46" spans="1:25" ht="18" x14ac:dyDescent="0.2">
      <c r="A46" s="47" t="s">
        <v>68</v>
      </c>
      <c r="B46" s="47" t="s">
        <v>72</v>
      </c>
      <c r="C46" s="47" t="s">
        <v>20</v>
      </c>
      <c r="D46" s="47" t="s">
        <v>21</v>
      </c>
      <c r="E46" s="47" t="s">
        <v>60</v>
      </c>
      <c r="F46" s="50">
        <v>10</v>
      </c>
      <c r="G46" s="50" t="s">
        <v>22</v>
      </c>
      <c r="H46" s="87" t="s">
        <v>57</v>
      </c>
      <c r="I46" s="51">
        <v>7.34</v>
      </c>
      <c r="J46" s="62">
        <v>10</v>
      </c>
      <c r="K46" s="63">
        <v>1</v>
      </c>
      <c r="L46" s="52">
        <f>(I46*J46*K46/1000)</f>
        <v>7.3400000000000007E-2</v>
      </c>
      <c r="M46" s="50"/>
      <c r="N46" s="50"/>
      <c r="O46" s="50"/>
      <c r="P46" s="50"/>
      <c r="Q46" s="64"/>
      <c r="R46" s="64"/>
      <c r="S46" s="80"/>
      <c r="T46" s="80"/>
      <c r="U46" s="80"/>
      <c r="V46" s="40"/>
      <c r="W46" s="40"/>
      <c r="X46" s="40"/>
      <c r="Y46" s="40"/>
    </row>
    <row r="47" spans="1:25" ht="18" x14ac:dyDescent="0.2">
      <c r="A47" s="49"/>
      <c r="B47" s="58" t="s">
        <v>82</v>
      </c>
      <c r="C47" s="49"/>
      <c r="D47" s="49"/>
      <c r="E47" s="49"/>
      <c r="F47" s="50"/>
      <c r="G47" s="50"/>
      <c r="H47" s="50"/>
      <c r="I47" s="48"/>
      <c r="J47" s="62"/>
      <c r="K47" s="63">
        <f t="shared" ref="K47" si="10">SUM(K46)</f>
        <v>1</v>
      </c>
      <c r="L47" s="62">
        <f>SUM(L46)</f>
        <v>7.3400000000000007E-2</v>
      </c>
      <c r="M47" s="50"/>
      <c r="N47" s="50"/>
      <c r="O47" s="50"/>
      <c r="P47" s="50"/>
      <c r="Q47" s="64"/>
      <c r="R47" s="64"/>
      <c r="S47" s="80"/>
      <c r="T47" s="80"/>
      <c r="U47" s="80"/>
      <c r="V47" s="40"/>
      <c r="W47" s="40"/>
      <c r="X47" s="40"/>
      <c r="Y47" s="40"/>
    </row>
    <row r="48" spans="1:25" ht="18" x14ac:dyDescent="0.2">
      <c r="A48" s="49"/>
      <c r="B48" s="58"/>
      <c r="C48" s="49"/>
      <c r="D48" s="49"/>
      <c r="E48" s="49"/>
      <c r="F48" s="50"/>
      <c r="G48" s="50"/>
      <c r="H48" s="50"/>
      <c r="I48" s="48"/>
      <c r="J48" s="62"/>
      <c r="K48" s="63">
        <f>+K47+K44+K38+K35+K32</f>
        <v>231</v>
      </c>
      <c r="L48" s="62">
        <f>+L47+L44+L38+L35+L32+L28</f>
        <v>17.417240000000003</v>
      </c>
      <c r="M48" s="50"/>
      <c r="N48" s="50"/>
      <c r="O48" s="50"/>
      <c r="P48" s="50"/>
      <c r="Q48" s="64"/>
      <c r="R48" s="64"/>
      <c r="S48" s="80"/>
      <c r="T48" s="93"/>
      <c r="U48" s="80"/>
      <c r="V48" s="40"/>
      <c r="W48" s="40"/>
      <c r="X48" s="40"/>
      <c r="Y48" s="40"/>
    </row>
    <row r="49" spans="1:25" ht="18" x14ac:dyDescent="0.2">
      <c r="A49" s="49"/>
      <c r="B49" s="58"/>
      <c r="C49" s="49"/>
      <c r="D49" s="49"/>
      <c r="E49" s="49"/>
      <c r="F49" s="50"/>
      <c r="G49" s="50"/>
      <c r="H49" s="50"/>
      <c r="I49" s="48"/>
      <c r="J49" s="62"/>
      <c r="K49" s="63"/>
      <c r="L49" s="62"/>
      <c r="M49" s="50"/>
      <c r="N49" s="50"/>
      <c r="O49" s="50"/>
      <c r="P49" s="50"/>
      <c r="Q49" s="64"/>
      <c r="R49" s="64"/>
      <c r="S49" s="80"/>
      <c r="T49" s="80"/>
      <c r="U49" s="80"/>
      <c r="V49" s="40"/>
      <c r="W49" s="40"/>
      <c r="X49" s="40"/>
      <c r="Y49" s="40"/>
    </row>
    <row r="50" spans="1:25" ht="18" x14ac:dyDescent="0.2">
      <c r="A50" s="49"/>
      <c r="B50" s="49"/>
      <c r="C50" s="49"/>
      <c r="D50" s="49"/>
      <c r="E50" s="49"/>
      <c r="F50" s="50"/>
      <c r="G50" s="50"/>
      <c r="H50" s="50"/>
      <c r="I50" s="48"/>
      <c r="J50" s="50"/>
      <c r="K50" s="70"/>
      <c r="L50" s="69"/>
      <c r="M50" s="70"/>
      <c r="N50" s="69"/>
      <c r="O50" s="69"/>
      <c r="P50" s="50"/>
      <c r="Q50" s="64"/>
      <c r="R50" s="64"/>
      <c r="S50" s="80"/>
      <c r="T50" s="80"/>
      <c r="U50" s="80"/>
      <c r="V50" s="40"/>
      <c r="W50" s="40"/>
      <c r="X50" s="40"/>
      <c r="Y50" s="40"/>
    </row>
    <row r="51" spans="1:25" ht="18" x14ac:dyDescent="0.2">
      <c r="A51" s="49"/>
      <c r="B51" s="49"/>
      <c r="C51" s="49"/>
      <c r="D51" s="49"/>
      <c r="E51" s="49"/>
      <c r="F51" s="50"/>
      <c r="G51" s="50"/>
      <c r="H51" s="50"/>
      <c r="I51" s="48"/>
      <c r="J51" s="50"/>
      <c r="K51" s="68"/>
      <c r="L51" s="69"/>
      <c r="M51" s="50"/>
      <c r="N51" s="50"/>
      <c r="O51" s="69"/>
      <c r="P51" s="50"/>
      <c r="Q51" s="64"/>
      <c r="R51" s="64"/>
      <c r="S51" s="80"/>
      <c r="T51" s="80"/>
      <c r="U51" s="80"/>
      <c r="V51" s="40"/>
      <c r="W51" s="40"/>
      <c r="X51" s="40"/>
      <c r="Y51" s="40"/>
    </row>
    <row r="52" spans="1:25" ht="18" x14ac:dyDescent="0.2">
      <c r="A52" s="49"/>
      <c r="B52" s="49"/>
      <c r="C52" s="49"/>
      <c r="D52" s="49"/>
      <c r="E52" s="49"/>
      <c r="F52" s="50"/>
      <c r="G52" s="50"/>
      <c r="H52" s="50"/>
      <c r="I52" s="48"/>
      <c r="J52" s="50"/>
      <c r="K52" s="68"/>
      <c r="L52" s="48"/>
      <c r="M52" s="50"/>
      <c r="N52" s="50"/>
      <c r="O52" s="50"/>
      <c r="P52" s="50"/>
      <c r="Q52" s="64"/>
      <c r="R52" s="64"/>
      <c r="S52" s="80"/>
      <c r="T52" s="80"/>
      <c r="U52" s="80"/>
      <c r="V52" s="40"/>
      <c r="W52" s="40"/>
      <c r="X52" s="40"/>
      <c r="Y52" s="40"/>
    </row>
    <row r="53" spans="1:25" ht="18" x14ac:dyDescent="0.2">
      <c r="A53" s="47" t="s">
        <v>68</v>
      </c>
      <c r="B53" s="47" t="s">
        <v>75</v>
      </c>
      <c r="C53" s="47" t="s">
        <v>20</v>
      </c>
      <c r="D53" s="47" t="s">
        <v>21</v>
      </c>
      <c r="E53" s="47" t="s">
        <v>55</v>
      </c>
      <c r="F53" s="50">
        <v>10</v>
      </c>
      <c r="G53" s="50" t="s">
        <v>22</v>
      </c>
      <c r="H53" s="50" t="s">
        <v>56</v>
      </c>
      <c r="I53" s="48">
        <v>6.17</v>
      </c>
      <c r="J53" s="62">
        <v>10.5</v>
      </c>
      <c r="K53" s="63">
        <v>65</v>
      </c>
      <c r="L53" s="52">
        <f t="shared" ref="L53:L56" si="11">(I53*J53*K53/1000)</f>
        <v>4.2110249999999994</v>
      </c>
      <c r="M53" s="50"/>
      <c r="N53" s="72">
        <f>J53*M53*I53/1000</f>
        <v>0</v>
      </c>
      <c r="O53" s="50"/>
      <c r="P53" s="50"/>
      <c r="Q53" s="64"/>
      <c r="R53" s="64"/>
      <c r="S53" s="80"/>
      <c r="T53" s="91"/>
      <c r="U53" s="80"/>
      <c r="V53" s="73"/>
      <c r="W53" s="40"/>
      <c r="X53" s="40"/>
      <c r="Y53" s="40"/>
    </row>
    <row r="54" spans="1:25" ht="18" x14ac:dyDescent="0.2">
      <c r="A54" s="49"/>
      <c r="B54" s="53" t="s">
        <v>73</v>
      </c>
      <c r="C54" s="49"/>
      <c r="D54" s="49"/>
      <c r="E54" s="49"/>
      <c r="F54" s="50"/>
      <c r="G54" s="50" t="s">
        <v>22</v>
      </c>
      <c r="H54" s="50" t="s">
        <v>56</v>
      </c>
      <c r="I54" s="48">
        <v>6.17</v>
      </c>
      <c r="J54" s="62">
        <v>10.85</v>
      </c>
      <c r="K54" s="63">
        <v>96</v>
      </c>
      <c r="L54" s="52">
        <f t="shared" si="11"/>
        <v>6.4266719999999991</v>
      </c>
      <c r="M54" s="50">
        <v>1</v>
      </c>
      <c r="N54" s="72">
        <f t="shared" ref="N54:N56" si="12">J54*M54*I54/1000</f>
        <v>6.694449999999999E-2</v>
      </c>
      <c r="O54" s="50"/>
      <c r="P54" s="50"/>
      <c r="Q54" s="64"/>
      <c r="R54" s="64"/>
      <c r="S54" s="80"/>
      <c r="T54" s="91"/>
      <c r="U54" s="80"/>
      <c r="V54" s="73"/>
      <c r="W54" s="40"/>
      <c r="X54" s="40"/>
      <c r="Y54" s="40"/>
    </row>
    <row r="55" spans="1:25" ht="18" x14ac:dyDescent="0.2">
      <c r="A55" s="49"/>
      <c r="B55" s="49"/>
      <c r="C55" s="49"/>
      <c r="D55" s="49"/>
      <c r="E55" s="49"/>
      <c r="F55" s="50"/>
      <c r="G55" s="50" t="s">
        <v>22</v>
      </c>
      <c r="H55" s="50" t="s">
        <v>56</v>
      </c>
      <c r="I55" s="48">
        <v>6.17</v>
      </c>
      <c r="J55" s="62">
        <v>11.5</v>
      </c>
      <c r="K55" s="63">
        <v>64</v>
      </c>
      <c r="L55" s="52">
        <f t="shared" si="11"/>
        <v>4.5411200000000003</v>
      </c>
      <c r="M55" s="50">
        <v>3</v>
      </c>
      <c r="N55" s="72">
        <f t="shared" si="12"/>
        <v>0.212865</v>
      </c>
      <c r="O55" s="50"/>
      <c r="P55" s="50"/>
      <c r="Q55" s="64"/>
      <c r="R55" s="64"/>
      <c r="S55" s="80"/>
      <c r="T55" s="91"/>
      <c r="U55" s="80"/>
      <c r="V55" s="73"/>
      <c r="W55" s="40"/>
      <c r="X55" s="40"/>
      <c r="Y55" s="40"/>
    </row>
    <row r="56" spans="1:25" ht="18" x14ac:dyDescent="0.2">
      <c r="A56" s="49"/>
      <c r="B56" s="49"/>
      <c r="C56" s="49"/>
      <c r="D56" s="49"/>
      <c r="E56" s="49"/>
      <c r="F56" s="50"/>
      <c r="G56" s="50" t="s">
        <v>22</v>
      </c>
      <c r="H56" s="50" t="s">
        <v>56</v>
      </c>
      <c r="I56" s="48">
        <v>6.17</v>
      </c>
      <c r="J56" s="62">
        <v>12</v>
      </c>
      <c r="K56" s="63">
        <v>28</v>
      </c>
      <c r="L56" s="52">
        <f t="shared" si="11"/>
        <v>2.0731199999999999</v>
      </c>
      <c r="M56" s="50">
        <v>4</v>
      </c>
      <c r="N56" s="72">
        <f t="shared" si="12"/>
        <v>0.29615999999999998</v>
      </c>
      <c r="O56" s="50"/>
      <c r="P56" s="50"/>
      <c r="Q56" s="64"/>
      <c r="R56" s="64"/>
      <c r="S56" s="80"/>
      <c r="T56" s="91"/>
      <c r="U56" s="80"/>
      <c r="V56" s="40"/>
      <c r="W56" s="40"/>
      <c r="X56" s="40"/>
      <c r="Y56" s="40"/>
    </row>
    <row r="57" spans="1:25" ht="18" x14ac:dyDescent="0.2">
      <c r="A57" s="49"/>
      <c r="B57" s="49"/>
      <c r="C57" s="49"/>
      <c r="D57" s="49"/>
      <c r="E57" s="49"/>
      <c r="F57" s="50"/>
      <c r="G57" s="50"/>
      <c r="H57" s="50"/>
      <c r="I57" s="48"/>
      <c r="J57" s="62"/>
      <c r="K57" s="63">
        <f>SUM(K53:K56)</f>
        <v>253</v>
      </c>
      <c r="L57" s="62">
        <f>SUM(L53:L56)</f>
        <v>17.251936999999998</v>
      </c>
      <c r="M57" s="63">
        <f>SUM(M53:M56)</f>
        <v>8</v>
      </c>
      <c r="N57" s="62">
        <f>SUM(N53:N56)</f>
        <v>0.57596950000000002</v>
      </c>
      <c r="O57" s="50"/>
      <c r="P57" s="50"/>
      <c r="Q57" s="64"/>
      <c r="R57" s="64"/>
      <c r="S57" s="92"/>
      <c r="T57" s="93"/>
      <c r="U57" s="92"/>
      <c r="V57" s="71"/>
      <c r="W57" s="40"/>
      <c r="X57" s="40"/>
      <c r="Y57" s="40"/>
    </row>
    <row r="58" spans="1:25" ht="18" x14ac:dyDescent="0.2">
      <c r="A58" s="49"/>
      <c r="B58" s="49"/>
      <c r="C58" s="49"/>
      <c r="D58" s="49"/>
      <c r="E58" s="49"/>
      <c r="F58" s="50"/>
      <c r="G58" s="50"/>
      <c r="H58" s="50"/>
      <c r="I58" s="48"/>
      <c r="J58" s="62"/>
      <c r="K58" s="63"/>
      <c r="L58" s="62"/>
      <c r="M58" s="50"/>
      <c r="N58" s="50"/>
      <c r="O58" s="50"/>
      <c r="P58" s="50"/>
      <c r="Q58" s="64"/>
      <c r="R58" s="64"/>
      <c r="S58" s="80"/>
      <c r="T58" s="80"/>
      <c r="U58" s="80"/>
      <c r="V58" s="40"/>
      <c r="W58" s="40"/>
      <c r="X58" s="40"/>
      <c r="Y58" s="40"/>
    </row>
    <row r="59" spans="1:25" ht="18" x14ac:dyDescent="0.2">
      <c r="A59" s="47" t="s">
        <v>68</v>
      </c>
      <c r="B59" s="27" t="s">
        <v>76</v>
      </c>
      <c r="C59" s="47" t="s">
        <v>20</v>
      </c>
      <c r="D59" s="47" t="s">
        <v>21</v>
      </c>
      <c r="E59" s="47" t="s">
        <v>74</v>
      </c>
      <c r="F59" s="50">
        <v>10</v>
      </c>
      <c r="G59" s="50" t="s">
        <v>22</v>
      </c>
      <c r="H59" s="50" t="s">
        <v>56</v>
      </c>
      <c r="I59" s="48">
        <v>6.17</v>
      </c>
      <c r="J59" s="62">
        <v>12</v>
      </c>
      <c r="K59" s="63">
        <v>17</v>
      </c>
      <c r="L59" s="52">
        <f>(I59*J59*K59/1000)</f>
        <v>1.2586799999999998</v>
      </c>
      <c r="M59" s="50"/>
      <c r="N59" s="50"/>
      <c r="O59" s="50"/>
      <c r="P59" s="50"/>
      <c r="Q59" s="64"/>
      <c r="R59" s="64"/>
      <c r="S59" s="80"/>
      <c r="T59" s="91"/>
      <c r="U59" s="80"/>
      <c r="V59" s="73"/>
      <c r="W59" s="40"/>
      <c r="X59" s="40"/>
      <c r="Y59" s="40"/>
    </row>
    <row r="60" spans="1:25" ht="18" x14ac:dyDescent="0.2">
      <c r="A60" s="49"/>
      <c r="B60" s="27" t="s">
        <v>69</v>
      </c>
      <c r="C60" s="49"/>
      <c r="D60" s="49"/>
      <c r="E60" s="49"/>
      <c r="F60" s="50"/>
      <c r="G60" s="50"/>
      <c r="H60" s="50"/>
      <c r="I60" s="48"/>
      <c r="J60" s="62"/>
      <c r="K60" s="63">
        <f t="shared" ref="K60:L60" si="13">SUM(K59)</f>
        <v>17</v>
      </c>
      <c r="L60" s="62">
        <f t="shared" si="13"/>
        <v>1.2586799999999998</v>
      </c>
      <c r="M60" s="50"/>
      <c r="N60" s="50"/>
      <c r="O60" s="50"/>
      <c r="P60" s="50"/>
      <c r="Q60" s="64"/>
      <c r="R60" s="64"/>
      <c r="S60" s="92"/>
      <c r="T60" s="93"/>
      <c r="U60" s="92"/>
      <c r="V60" s="71"/>
      <c r="W60" s="40"/>
      <c r="X60" s="40"/>
      <c r="Y60" s="40"/>
    </row>
    <row r="61" spans="1:25" ht="18" x14ac:dyDescent="0.2">
      <c r="A61" s="49"/>
      <c r="B61" s="53"/>
      <c r="C61" s="49"/>
      <c r="D61" s="49"/>
      <c r="E61" s="49"/>
      <c r="F61" s="50"/>
      <c r="G61" s="50"/>
      <c r="H61" s="50"/>
      <c r="I61" s="48"/>
      <c r="J61" s="62"/>
      <c r="K61" s="63"/>
      <c r="L61" s="62"/>
      <c r="M61" s="50"/>
      <c r="N61" s="50"/>
      <c r="O61" s="50"/>
      <c r="P61" s="50"/>
      <c r="Q61" s="64"/>
      <c r="R61" s="64"/>
      <c r="S61" s="80"/>
      <c r="T61" s="80"/>
      <c r="U61" s="80"/>
      <c r="V61" s="40"/>
      <c r="W61" s="40"/>
      <c r="X61" s="40"/>
      <c r="Y61" s="40"/>
    </row>
    <row r="62" spans="1:25" ht="18" x14ac:dyDescent="0.2">
      <c r="A62" s="47" t="s">
        <v>78</v>
      </c>
      <c r="B62" s="47" t="s">
        <v>79</v>
      </c>
      <c r="C62" s="47" t="s">
        <v>20</v>
      </c>
      <c r="D62" s="47" t="s">
        <v>32</v>
      </c>
      <c r="E62" s="47" t="s">
        <v>74</v>
      </c>
      <c r="F62" s="50">
        <v>10</v>
      </c>
      <c r="G62" s="87" t="s">
        <v>22</v>
      </c>
      <c r="H62" s="87" t="s">
        <v>56</v>
      </c>
      <c r="I62" s="88">
        <v>6.17</v>
      </c>
      <c r="J62" s="89">
        <v>12</v>
      </c>
      <c r="K62" s="90">
        <v>44</v>
      </c>
      <c r="L62" s="52">
        <f>(I62*J62*K62/1000)</f>
        <v>3.2577599999999998</v>
      </c>
      <c r="M62" s="50"/>
      <c r="N62" s="50"/>
      <c r="O62" s="50"/>
      <c r="P62" s="50"/>
      <c r="Q62" s="64"/>
      <c r="R62" s="64"/>
      <c r="S62" s="80"/>
      <c r="T62" s="80"/>
      <c r="U62" s="80"/>
      <c r="V62" s="40"/>
      <c r="W62" s="40"/>
      <c r="X62" s="40"/>
      <c r="Y62" s="40"/>
    </row>
    <row r="63" spans="1:25" ht="18" x14ac:dyDescent="0.2">
      <c r="A63" s="49"/>
      <c r="B63" s="55" t="s">
        <v>64</v>
      </c>
      <c r="C63" s="49"/>
      <c r="D63" s="49"/>
      <c r="E63" s="49"/>
      <c r="F63" s="50"/>
      <c r="G63" s="87"/>
      <c r="H63" s="87"/>
      <c r="I63" s="88"/>
      <c r="J63" s="89"/>
      <c r="K63" s="90">
        <f t="shared" ref="K63:L63" si="14">SUM(K62)</f>
        <v>44</v>
      </c>
      <c r="L63" s="89">
        <f t="shared" si="14"/>
        <v>3.2577599999999998</v>
      </c>
      <c r="M63" s="50"/>
      <c r="N63" s="50"/>
      <c r="O63" s="50"/>
      <c r="P63" s="50"/>
      <c r="Q63" s="64"/>
      <c r="R63" s="64"/>
      <c r="S63" s="80"/>
      <c r="T63" s="80"/>
      <c r="U63" s="80"/>
      <c r="V63" s="40"/>
      <c r="W63" s="40"/>
      <c r="X63" s="40"/>
      <c r="Y63" s="40"/>
    </row>
    <row r="64" spans="1:25" ht="18" x14ac:dyDescent="0.2">
      <c r="A64" s="49"/>
      <c r="B64" s="55"/>
      <c r="C64" s="49"/>
      <c r="D64" s="49"/>
      <c r="E64" s="49"/>
      <c r="F64" s="50"/>
      <c r="G64" s="87"/>
      <c r="H64" s="87"/>
      <c r="I64" s="88"/>
      <c r="J64" s="89"/>
      <c r="K64" s="90"/>
      <c r="L64" s="89"/>
      <c r="M64" s="50"/>
      <c r="N64" s="50"/>
      <c r="O64" s="50"/>
      <c r="P64" s="50"/>
      <c r="Q64" s="64"/>
      <c r="R64" s="64"/>
      <c r="S64" s="80"/>
      <c r="T64" s="80"/>
      <c r="U64" s="80"/>
      <c r="V64" s="40"/>
      <c r="W64" s="40"/>
      <c r="X64" s="40"/>
      <c r="Y64" s="40"/>
    </row>
    <row r="65" spans="1:25" ht="18" x14ac:dyDescent="0.2">
      <c r="A65" s="47" t="s">
        <v>78</v>
      </c>
      <c r="B65" s="47" t="s">
        <v>72</v>
      </c>
      <c r="C65" s="47" t="s">
        <v>20</v>
      </c>
      <c r="D65" s="47" t="s">
        <v>32</v>
      </c>
      <c r="E65" s="47" t="s">
        <v>74</v>
      </c>
      <c r="F65" s="50">
        <v>10</v>
      </c>
      <c r="G65" s="87" t="s">
        <v>22</v>
      </c>
      <c r="H65" s="87" t="s">
        <v>56</v>
      </c>
      <c r="I65" s="88">
        <v>6.17</v>
      </c>
      <c r="J65" s="66">
        <v>7.25</v>
      </c>
      <c r="K65" s="67">
        <v>40</v>
      </c>
      <c r="L65" s="52">
        <f t="shared" ref="L65:L69" si="15">(I65*J65*K65/1000)</f>
        <v>1.7893000000000001</v>
      </c>
      <c r="M65" s="50">
        <v>2</v>
      </c>
      <c r="N65" s="72">
        <f t="shared" ref="N65:N69" si="16">J65*M65*I65/1000</f>
        <v>8.9465000000000003E-2</v>
      </c>
      <c r="O65" s="50"/>
      <c r="P65" s="50"/>
      <c r="Q65" s="64"/>
      <c r="R65" s="64"/>
      <c r="S65" s="80"/>
      <c r="T65" s="91"/>
      <c r="U65" s="80"/>
      <c r="V65" s="73"/>
      <c r="W65" s="40"/>
      <c r="X65" s="40"/>
      <c r="Y65" s="40"/>
    </row>
    <row r="66" spans="1:25" ht="18" x14ac:dyDescent="0.2">
      <c r="A66" s="49"/>
      <c r="B66" s="55" t="s">
        <v>64</v>
      </c>
      <c r="C66" s="49"/>
      <c r="D66" s="49"/>
      <c r="E66" s="49"/>
      <c r="F66" s="50"/>
      <c r="G66" s="87" t="s">
        <v>22</v>
      </c>
      <c r="H66" s="87" t="s">
        <v>56</v>
      </c>
      <c r="I66" s="88">
        <v>6.17</v>
      </c>
      <c r="J66" s="66">
        <v>7.8</v>
      </c>
      <c r="K66" s="67">
        <v>2</v>
      </c>
      <c r="L66" s="52">
        <f t="shared" si="15"/>
        <v>9.625199999999999E-2</v>
      </c>
      <c r="M66" s="50"/>
      <c r="N66" s="72">
        <f t="shared" si="16"/>
        <v>0</v>
      </c>
      <c r="O66" s="66">
        <v>7.75</v>
      </c>
      <c r="P66" s="50"/>
      <c r="Q66" s="64"/>
      <c r="R66" s="64"/>
      <c r="S66" s="80"/>
      <c r="T66" s="91"/>
      <c r="U66" s="80"/>
      <c r="V66" s="40"/>
      <c r="W66" s="40"/>
      <c r="X66" s="40"/>
      <c r="Y66" s="40"/>
    </row>
    <row r="67" spans="1:25" ht="18" x14ac:dyDescent="0.2">
      <c r="A67" s="49"/>
      <c r="B67" s="55"/>
      <c r="C67" s="49"/>
      <c r="D67" s="49"/>
      <c r="E67" s="49"/>
      <c r="F67" s="50"/>
      <c r="G67" s="87" t="s">
        <v>22</v>
      </c>
      <c r="H67" s="87" t="s">
        <v>56</v>
      </c>
      <c r="I67" s="88">
        <v>6.17</v>
      </c>
      <c r="J67" s="66">
        <v>7.8</v>
      </c>
      <c r="K67" s="67">
        <v>21</v>
      </c>
      <c r="L67" s="52">
        <f t="shared" si="15"/>
        <v>1.0106459999999999</v>
      </c>
      <c r="M67" s="50">
        <v>1</v>
      </c>
      <c r="N67" s="72">
        <f t="shared" si="16"/>
        <v>4.8125999999999995E-2</v>
      </c>
      <c r="O67" s="50"/>
      <c r="P67" s="50"/>
      <c r="Q67" s="64"/>
      <c r="R67" s="64"/>
      <c r="S67" s="80"/>
      <c r="T67" s="91"/>
      <c r="U67" s="80"/>
      <c r="V67" s="40"/>
      <c r="W67" s="40"/>
      <c r="X67" s="40"/>
      <c r="Y67" s="40"/>
    </row>
    <row r="68" spans="1:25" ht="18" x14ac:dyDescent="0.2">
      <c r="A68" s="49"/>
      <c r="B68" s="55"/>
      <c r="C68" s="49"/>
      <c r="D68" s="49"/>
      <c r="E68" s="49"/>
      <c r="F68" s="50"/>
      <c r="G68" s="87" t="s">
        <v>22</v>
      </c>
      <c r="H68" s="87" t="s">
        <v>56</v>
      </c>
      <c r="I68" s="88">
        <v>6.17</v>
      </c>
      <c r="J68" s="66">
        <v>10</v>
      </c>
      <c r="K68" s="67">
        <v>20</v>
      </c>
      <c r="L68" s="52">
        <f t="shared" si="15"/>
        <v>1.234</v>
      </c>
      <c r="M68" s="50">
        <f>3+2</f>
        <v>5</v>
      </c>
      <c r="N68" s="72">
        <f t="shared" si="16"/>
        <v>0.3085</v>
      </c>
      <c r="O68" s="50"/>
      <c r="P68" s="50"/>
      <c r="Q68" s="64"/>
      <c r="R68" s="64"/>
      <c r="S68" s="80"/>
      <c r="T68" s="91"/>
      <c r="U68" s="80"/>
      <c r="V68" s="73"/>
      <c r="W68" s="40"/>
      <c r="X68" s="40"/>
      <c r="Y68" s="40"/>
    </row>
    <row r="69" spans="1:25" ht="18" x14ac:dyDescent="0.2">
      <c r="A69" s="49"/>
      <c r="B69" s="55"/>
      <c r="C69" s="49"/>
      <c r="D69" s="49"/>
      <c r="E69" s="49"/>
      <c r="F69" s="50"/>
      <c r="G69" s="87" t="s">
        <v>22</v>
      </c>
      <c r="H69" s="87" t="s">
        <v>56</v>
      </c>
      <c r="I69" s="88">
        <v>6.17</v>
      </c>
      <c r="J69" s="66">
        <v>12</v>
      </c>
      <c r="K69" s="67">
        <v>60</v>
      </c>
      <c r="L69" s="52">
        <f t="shared" si="15"/>
        <v>4.4423999999999992</v>
      </c>
      <c r="M69" s="50">
        <v>5</v>
      </c>
      <c r="N69" s="72">
        <f t="shared" si="16"/>
        <v>0.37019999999999997</v>
      </c>
      <c r="O69" s="50"/>
      <c r="P69" s="50"/>
      <c r="Q69" s="64"/>
      <c r="R69" s="64"/>
      <c r="S69" s="80"/>
      <c r="T69" s="91"/>
      <c r="U69" s="80"/>
      <c r="V69" s="73"/>
      <c r="W69" s="40"/>
      <c r="X69" s="40"/>
      <c r="Y69" s="40"/>
    </row>
    <row r="70" spans="1:25" ht="18" x14ac:dyDescent="0.2">
      <c r="A70" s="49"/>
      <c r="B70" s="55"/>
      <c r="C70" s="49"/>
      <c r="D70" s="49"/>
      <c r="E70" s="49"/>
      <c r="F70" s="50"/>
      <c r="G70" s="87"/>
      <c r="H70" s="87"/>
      <c r="I70" s="88"/>
      <c r="J70" s="89"/>
      <c r="K70" s="94">
        <f>SUM(K65:K69)</f>
        <v>143</v>
      </c>
      <c r="L70" s="89">
        <f>SUM(L65:L69)</f>
        <v>8.5725979999999993</v>
      </c>
      <c r="M70" s="94">
        <f>SUM(M65:M69)</f>
        <v>13</v>
      </c>
      <c r="N70" s="89">
        <f>SUM(N65:N69)</f>
        <v>0.81629099999999999</v>
      </c>
      <c r="O70" s="50"/>
      <c r="P70" s="50"/>
      <c r="Q70" s="64"/>
      <c r="R70" s="64"/>
      <c r="S70" s="95"/>
      <c r="T70" s="96"/>
      <c r="U70" s="95"/>
      <c r="V70" s="74"/>
      <c r="W70" s="40"/>
      <c r="X70" s="40"/>
      <c r="Y70" s="40"/>
    </row>
    <row r="71" spans="1:25" ht="18" x14ac:dyDescent="0.2">
      <c r="A71" s="49"/>
      <c r="B71" s="55"/>
      <c r="C71" s="49"/>
      <c r="D71" s="49"/>
      <c r="E71" s="49"/>
      <c r="F71" s="50"/>
      <c r="G71" s="87"/>
      <c r="H71" s="87"/>
      <c r="I71" s="88"/>
      <c r="J71" s="89"/>
      <c r="K71" s="94">
        <f>SUM(K53:K70)/2</f>
        <v>457</v>
      </c>
      <c r="L71" s="89">
        <f>SUM(L53:L70)/2</f>
        <v>30.340974999999993</v>
      </c>
      <c r="M71" s="94">
        <f>SUM(M53:M70)/2</f>
        <v>21</v>
      </c>
      <c r="N71" s="89">
        <f>SUM(N53:N70)/2</f>
        <v>1.3922604999999999</v>
      </c>
      <c r="O71" s="50"/>
      <c r="P71" s="50"/>
      <c r="Q71" s="64"/>
      <c r="R71" s="64"/>
      <c r="S71" s="95"/>
      <c r="T71" s="96"/>
      <c r="U71" s="95"/>
      <c r="V71" s="74"/>
      <c r="W71" s="40"/>
      <c r="X71" s="40"/>
      <c r="Y71" s="40"/>
    </row>
    <row r="72" spans="1:25" ht="18" x14ac:dyDescent="0.2">
      <c r="A72" s="49"/>
      <c r="B72" s="55"/>
      <c r="C72" s="49"/>
      <c r="D72" s="49"/>
      <c r="E72" s="49"/>
      <c r="F72" s="50"/>
      <c r="G72" s="87"/>
      <c r="H72" s="87"/>
      <c r="I72" s="88"/>
      <c r="J72" s="89"/>
      <c r="K72" s="94"/>
      <c r="L72" s="89"/>
      <c r="M72" s="50"/>
      <c r="N72" s="50"/>
      <c r="O72" s="50"/>
      <c r="P72" s="50"/>
      <c r="Q72" s="64"/>
      <c r="R72" s="64"/>
      <c r="S72" s="80"/>
      <c r="T72" s="80"/>
      <c r="U72" s="80"/>
      <c r="V72" s="40"/>
      <c r="W72" s="40"/>
      <c r="X72" s="40"/>
      <c r="Y72" s="40"/>
    </row>
    <row r="73" spans="1:25" ht="18" x14ac:dyDescent="0.2">
      <c r="A73" s="49"/>
      <c r="B73" s="55"/>
      <c r="C73" s="49"/>
      <c r="D73" s="49"/>
      <c r="E73" s="49"/>
      <c r="F73" s="50"/>
      <c r="G73" s="87"/>
      <c r="H73" s="87"/>
      <c r="I73" s="88"/>
      <c r="J73" s="89"/>
      <c r="K73" s="94"/>
      <c r="L73" s="89"/>
      <c r="M73" s="50"/>
      <c r="N73" s="50"/>
      <c r="O73" s="50"/>
      <c r="P73" s="50"/>
      <c r="Q73" s="64"/>
      <c r="R73" s="64"/>
      <c r="S73" s="80"/>
      <c r="T73" s="80"/>
      <c r="U73" s="80"/>
      <c r="V73" s="40"/>
      <c r="W73" s="40"/>
      <c r="X73" s="40"/>
      <c r="Y73" s="40"/>
    </row>
    <row r="74" spans="1:25" ht="18" x14ac:dyDescent="0.2">
      <c r="A74" s="49"/>
      <c r="B74" s="55"/>
      <c r="C74" s="49"/>
      <c r="D74" s="49"/>
      <c r="E74" s="49"/>
      <c r="F74" s="50"/>
      <c r="G74" s="87"/>
      <c r="H74" s="87"/>
      <c r="I74" s="88"/>
      <c r="J74" s="89"/>
      <c r="K74" s="94"/>
      <c r="L74" s="89"/>
      <c r="M74" s="50"/>
      <c r="N74" s="50"/>
      <c r="O74" s="50"/>
      <c r="P74" s="50"/>
      <c r="Q74" s="64"/>
      <c r="R74" s="64"/>
      <c r="S74" s="80"/>
      <c r="T74" s="80"/>
      <c r="U74" s="80"/>
      <c r="V74" s="40"/>
      <c r="W74" s="40"/>
      <c r="X74" s="40"/>
      <c r="Y74" s="40"/>
    </row>
    <row r="75" spans="1:25" ht="18" x14ac:dyDescent="0.2">
      <c r="A75" s="49"/>
      <c r="B75" s="55"/>
      <c r="C75" s="49"/>
      <c r="D75" s="49"/>
      <c r="E75" s="49"/>
      <c r="F75" s="50"/>
      <c r="G75" s="87"/>
      <c r="H75" s="87"/>
      <c r="I75" s="88"/>
      <c r="J75" s="89"/>
      <c r="K75" s="94"/>
      <c r="L75" s="89"/>
      <c r="M75" s="50"/>
      <c r="N75" s="50"/>
      <c r="O75" s="50"/>
      <c r="P75" s="50"/>
      <c r="Q75" s="64"/>
      <c r="R75" s="64"/>
      <c r="S75" s="80"/>
      <c r="T75" s="80"/>
      <c r="U75" s="80"/>
      <c r="V75" s="40"/>
      <c r="W75" s="40"/>
      <c r="X75" s="40"/>
      <c r="Y75" s="40"/>
    </row>
    <row r="76" spans="1:25" ht="18" x14ac:dyDescent="0.2">
      <c r="A76" s="47" t="s">
        <v>78</v>
      </c>
      <c r="B76" s="47" t="s">
        <v>72</v>
      </c>
      <c r="C76" s="47" t="s">
        <v>20</v>
      </c>
      <c r="D76" s="47" t="s">
        <v>58</v>
      </c>
      <c r="E76" s="47" t="s">
        <v>65</v>
      </c>
      <c r="F76" s="50">
        <v>8</v>
      </c>
      <c r="G76" s="87" t="s">
        <v>23</v>
      </c>
      <c r="H76" s="87" t="s">
        <v>57</v>
      </c>
      <c r="I76" s="88">
        <v>7.36</v>
      </c>
      <c r="J76" s="66">
        <v>7.25</v>
      </c>
      <c r="K76" s="67">
        <v>16</v>
      </c>
      <c r="L76" s="52">
        <f>(I76*J76*K76/1000)</f>
        <v>0.85375999999999996</v>
      </c>
      <c r="M76" s="50"/>
      <c r="N76" s="50"/>
      <c r="O76" s="50"/>
      <c r="P76" s="50"/>
      <c r="Q76" s="64"/>
      <c r="R76" s="64"/>
      <c r="S76" s="80"/>
      <c r="T76" s="80"/>
      <c r="U76" s="80"/>
      <c r="V76" s="40"/>
      <c r="W76" s="40"/>
      <c r="X76" s="40"/>
      <c r="Y76" s="40"/>
    </row>
    <row r="77" spans="1:25" ht="18" x14ac:dyDescent="0.2">
      <c r="A77" s="49"/>
      <c r="B77" s="55" t="s">
        <v>64</v>
      </c>
      <c r="C77" s="49"/>
      <c r="D77" s="49"/>
      <c r="E77" s="49"/>
      <c r="F77" s="50"/>
      <c r="G77" s="87"/>
      <c r="H77" s="87"/>
      <c r="I77" s="88"/>
      <c r="J77" s="89"/>
      <c r="K77" s="90">
        <f t="shared" ref="K77:L77" si="17">SUM(K76)</f>
        <v>16</v>
      </c>
      <c r="L77" s="89">
        <f t="shared" si="17"/>
        <v>0.85375999999999996</v>
      </c>
      <c r="M77" s="50"/>
      <c r="N77" s="50"/>
      <c r="O77" s="50"/>
      <c r="P77" s="50"/>
      <c r="Q77" s="64"/>
      <c r="R77" s="64"/>
      <c r="S77" s="80"/>
      <c r="T77" s="80"/>
      <c r="U77" s="80"/>
      <c r="V77" s="40"/>
      <c r="W77" s="40"/>
      <c r="X77" s="40"/>
      <c r="Y77" s="40"/>
    </row>
    <row r="78" spans="1:25" ht="18" x14ac:dyDescent="0.2">
      <c r="A78" s="49"/>
      <c r="B78" s="55"/>
      <c r="C78" s="49"/>
      <c r="D78" s="49"/>
      <c r="E78" s="49"/>
      <c r="F78" s="50"/>
      <c r="G78" s="87"/>
      <c r="H78" s="87"/>
      <c r="I78" s="88"/>
      <c r="J78" s="89"/>
      <c r="K78" s="94"/>
      <c r="L78" s="89"/>
      <c r="M78" s="50"/>
      <c r="N78" s="50"/>
      <c r="O78" s="50"/>
      <c r="P78" s="50"/>
      <c r="Q78" s="64"/>
      <c r="R78" s="64"/>
      <c r="S78" s="80"/>
      <c r="T78" s="80"/>
      <c r="U78" s="80"/>
      <c r="V78" s="40"/>
      <c r="W78" s="40"/>
      <c r="X78" s="40"/>
      <c r="Y78" s="40"/>
    </row>
    <row r="79" spans="1:25" ht="18" x14ac:dyDescent="0.2">
      <c r="A79" s="47" t="s">
        <v>78</v>
      </c>
      <c r="B79" s="47" t="s">
        <v>72</v>
      </c>
      <c r="C79" s="47" t="s">
        <v>20</v>
      </c>
      <c r="D79" s="47" t="s">
        <v>58</v>
      </c>
      <c r="E79" s="47" t="s">
        <v>66</v>
      </c>
      <c r="F79" s="50">
        <v>10</v>
      </c>
      <c r="G79" s="87" t="s">
        <v>23</v>
      </c>
      <c r="H79" s="50" t="s">
        <v>57</v>
      </c>
      <c r="I79" s="51">
        <v>7.34</v>
      </c>
      <c r="J79" s="98">
        <v>12</v>
      </c>
      <c r="K79" s="67">
        <v>42</v>
      </c>
      <c r="L79" s="52">
        <f>(I79*J79*K79/1000)</f>
        <v>3.69936</v>
      </c>
      <c r="M79" s="50"/>
      <c r="N79" s="50"/>
      <c r="O79" s="50"/>
      <c r="P79" s="50"/>
      <c r="Q79" s="64"/>
      <c r="R79" s="64"/>
      <c r="S79" s="80"/>
      <c r="T79" s="80"/>
      <c r="U79" s="80"/>
      <c r="V79" s="40"/>
      <c r="W79" s="40"/>
      <c r="X79" s="40"/>
      <c r="Y79" s="40"/>
    </row>
    <row r="80" spans="1:25" ht="18" x14ac:dyDescent="0.2">
      <c r="A80" s="49"/>
      <c r="B80" s="55" t="s">
        <v>54</v>
      </c>
      <c r="C80" s="49"/>
      <c r="D80" s="49"/>
      <c r="E80" s="49"/>
      <c r="F80" s="50"/>
      <c r="G80" s="87"/>
      <c r="H80" s="87"/>
      <c r="I80" s="88"/>
      <c r="J80" s="89"/>
      <c r="K80" s="90">
        <f t="shared" ref="K80:L80" si="18">SUM(K79)</f>
        <v>42</v>
      </c>
      <c r="L80" s="89">
        <f t="shared" si="18"/>
        <v>3.69936</v>
      </c>
      <c r="M80" s="50"/>
      <c r="N80" s="50"/>
      <c r="O80" s="50"/>
      <c r="P80" s="50"/>
      <c r="Q80" s="64"/>
      <c r="R80" s="64"/>
      <c r="S80" s="80"/>
      <c r="T80" s="80"/>
      <c r="U80" s="80"/>
      <c r="V80" s="40"/>
      <c r="W80" s="40"/>
      <c r="X80" s="40"/>
      <c r="Y80" s="40"/>
    </row>
    <row r="81" spans="1:25" ht="18" x14ac:dyDescent="0.2">
      <c r="A81" s="49"/>
      <c r="B81" s="55"/>
      <c r="C81" s="49"/>
      <c r="D81" s="49"/>
      <c r="E81" s="49"/>
      <c r="F81" s="50"/>
      <c r="G81" s="87"/>
      <c r="H81" s="87"/>
      <c r="I81" s="88"/>
      <c r="J81" s="89"/>
      <c r="K81" s="94"/>
      <c r="L81" s="89"/>
      <c r="M81" s="50"/>
      <c r="N81" s="50"/>
      <c r="O81" s="50"/>
      <c r="P81" s="50"/>
      <c r="Q81" s="64"/>
      <c r="R81" s="64"/>
      <c r="S81" s="80"/>
      <c r="T81" s="80"/>
      <c r="U81" s="80"/>
      <c r="V81" s="40"/>
      <c r="W81" s="40"/>
      <c r="X81" s="40"/>
      <c r="Y81" s="40"/>
    </row>
    <row r="82" spans="1:25" ht="18" x14ac:dyDescent="0.2">
      <c r="A82" s="47" t="s">
        <v>68</v>
      </c>
      <c r="B82" s="47" t="s">
        <v>72</v>
      </c>
      <c r="C82" s="47" t="s">
        <v>20</v>
      </c>
      <c r="D82" s="47" t="s">
        <v>58</v>
      </c>
      <c r="E82" s="47" t="s">
        <v>53</v>
      </c>
      <c r="F82" s="50">
        <v>10</v>
      </c>
      <c r="G82" s="87" t="s">
        <v>23</v>
      </c>
      <c r="H82" s="50" t="s">
        <v>57</v>
      </c>
      <c r="I82" s="51">
        <v>7.34</v>
      </c>
      <c r="J82" s="66">
        <v>7.2</v>
      </c>
      <c r="K82" s="67">
        <v>296</v>
      </c>
      <c r="L82" s="52">
        <f t="shared" ref="L82:L84" si="19">(I82*J82*K82/1000)</f>
        <v>15.643008</v>
      </c>
      <c r="M82" s="50">
        <v>12</v>
      </c>
      <c r="N82" s="72">
        <f t="shared" ref="N82:N84" si="20">J82*M82*I82/1000</f>
        <v>0.63417600000000007</v>
      </c>
      <c r="O82" s="50"/>
      <c r="P82" s="50"/>
      <c r="Q82" s="64"/>
      <c r="R82" s="64"/>
      <c r="S82" s="80"/>
      <c r="T82" s="91"/>
      <c r="U82" s="80"/>
      <c r="V82" s="40"/>
      <c r="W82" s="40"/>
      <c r="X82" s="40"/>
      <c r="Y82" s="40"/>
    </row>
    <row r="83" spans="1:25" ht="18" x14ac:dyDescent="0.2">
      <c r="A83" s="49"/>
      <c r="B83" s="59" t="s">
        <v>83</v>
      </c>
      <c r="C83" s="49"/>
      <c r="D83" s="49"/>
      <c r="E83" s="49"/>
      <c r="F83" s="50"/>
      <c r="G83" s="87" t="s">
        <v>23</v>
      </c>
      <c r="H83" s="50" t="s">
        <v>57</v>
      </c>
      <c r="I83" s="51">
        <v>7.34</v>
      </c>
      <c r="J83" s="66">
        <v>11.75</v>
      </c>
      <c r="K83" s="67">
        <v>40</v>
      </c>
      <c r="L83" s="52">
        <f t="shared" si="19"/>
        <v>3.4498000000000002</v>
      </c>
      <c r="M83" s="50"/>
      <c r="N83" s="72">
        <f t="shared" si="20"/>
        <v>0</v>
      </c>
      <c r="O83" s="50"/>
      <c r="P83" s="50"/>
      <c r="Q83" s="64"/>
      <c r="R83" s="64"/>
      <c r="S83" s="80"/>
      <c r="T83" s="91"/>
      <c r="U83" s="80"/>
      <c r="V83" s="40"/>
      <c r="W83" s="40"/>
      <c r="X83" s="40"/>
      <c r="Y83" s="40"/>
    </row>
    <row r="84" spans="1:25" ht="18" x14ac:dyDescent="0.2">
      <c r="A84" s="49"/>
      <c r="B84" s="55"/>
      <c r="C84" s="49"/>
      <c r="D84" s="49"/>
      <c r="E84" s="49"/>
      <c r="F84" s="50"/>
      <c r="G84" s="87" t="s">
        <v>23</v>
      </c>
      <c r="H84" s="50" t="s">
        <v>57</v>
      </c>
      <c r="I84" s="51">
        <v>7.34</v>
      </c>
      <c r="J84" s="66">
        <v>12</v>
      </c>
      <c r="K84" s="67">
        <v>4</v>
      </c>
      <c r="L84" s="52">
        <f t="shared" si="19"/>
        <v>0.35231999999999997</v>
      </c>
      <c r="M84" s="50"/>
      <c r="N84" s="72">
        <f t="shared" si="20"/>
        <v>0</v>
      </c>
      <c r="O84" s="50"/>
      <c r="P84" s="50"/>
      <c r="Q84" s="64"/>
      <c r="R84" s="64"/>
      <c r="S84" s="80"/>
      <c r="T84" s="91"/>
      <c r="U84" s="80"/>
      <c r="V84" s="40"/>
      <c r="W84" s="40"/>
      <c r="X84" s="40"/>
      <c r="Y84" s="40"/>
    </row>
    <row r="85" spans="1:25" ht="18" x14ac:dyDescent="0.2">
      <c r="A85" s="49"/>
      <c r="B85" s="55"/>
      <c r="C85" s="49"/>
      <c r="D85" s="49"/>
      <c r="E85" s="49"/>
      <c r="F85" s="50"/>
      <c r="G85" s="87"/>
      <c r="H85" s="87"/>
      <c r="I85" s="88"/>
      <c r="J85" s="89"/>
      <c r="K85" s="94">
        <f>SUM(K82:K84)</f>
        <v>340</v>
      </c>
      <c r="L85" s="89">
        <f>SUM(L82:L84)</f>
        <v>19.445128</v>
      </c>
      <c r="M85" s="94">
        <f>SUM(M82:M84)</f>
        <v>12</v>
      </c>
      <c r="N85" s="89">
        <f>SUM(N82:N84)</f>
        <v>0.63417600000000007</v>
      </c>
      <c r="O85" s="50"/>
      <c r="P85" s="50"/>
      <c r="Q85" s="64"/>
      <c r="R85" s="64"/>
      <c r="S85" s="95"/>
      <c r="T85" s="96"/>
      <c r="U85" s="80"/>
      <c r="V85" s="40"/>
      <c r="W85" s="40"/>
      <c r="X85" s="40"/>
      <c r="Y85" s="40"/>
    </row>
    <row r="86" spans="1:25" ht="18" x14ac:dyDescent="0.2">
      <c r="A86" s="49"/>
      <c r="B86" s="55"/>
      <c r="C86" s="49"/>
      <c r="D86" s="49"/>
      <c r="E86" s="49"/>
      <c r="F86" s="50"/>
      <c r="G86" s="87"/>
      <c r="H86" s="87"/>
      <c r="I86" s="88"/>
      <c r="J86" s="89"/>
      <c r="K86" s="94">
        <f>SUM(K76:K85)/2</f>
        <v>398</v>
      </c>
      <c r="L86" s="89">
        <f>SUM(L76:L85)/2</f>
        <v>23.998248</v>
      </c>
      <c r="M86" s="94">
        <f>SUM(M76:M85)/2</f>
        <v>12</v>
      </c>
      <c r="N86" s="89">
        <f>SUM(N76:N85)/2</f>
        <v>0.63417600000000007</v>
      </c>
      <c r="O86" s="50"/>
      <c r="P86" s="50"/>
      <c r="Q86" s="64"/>
      <c r="R86" s="64"/>
      <c r="S86" s="80"/>
      <c r="T86" s="80"/>
      <c r="U86" s="80"/>
      <c r="V86" s="40"/>
      <c r="W86" s="40"/>
      <c r="X86" s="40"/>
      <c r="Y86" s="40"/>
    </row>
    <row r="87" spans="1:25" ht="18" x14ac:dyDescent="0.2">
      <c r="A87" s="49"/>
      <c r="B87" s="55"/>
      <c r="C87" s="49"/>
      <c r="D87" s="49"/>
      <c r="E87" s="49"/>
      <c r="F87" s="50"/>
      <c r="G87" s="87"/>
      <c r="H87" s="87"/>
      <c r="I87" s="88"/>
      <c r="J87" s="89"/>
      <c r="K87" s="94"/>
      <c r="L87" s="89"/>
      <c r="M87" s="50"/>
      <c r="N87" s="50"/>
      <c r="O87" s="50"/>
      <c r="P87" s="50"/>
      <c r="Q87" s="64"/>
      <c r="R87" s="64"/>
      <c r="S87" s="80"/>
      <c r="T87" s="80"/>
      <c r="U87" s="80"/>
      <c r="V87" s="40"/>
      <c r="W87" s="40"/>
      <c r="X87" s="40"/>
      <c r="Y87" s="40"/>
    </row>
    <row r="88" spans="1:25" ht="18" x14ac:dyDescent="0.2">
      <c r="A88" s="49"/>
      <c r="B88" s="55"/>
      <c r="C88" s="49"/>
      <c r="D88" s="49"/>
      <c r="E88" s="49"/>
      <c r="F88" s="50"/>
      <c r="G88" s="87"/>
      <c r="H88" s="87"/>
      <c r="I88" s="88"/>
      <c r="J88" s="89"/>
      <c r="K88" s="94"/>
      <c r="L88" s="89"/>
      <c r="M88" s="50"/>
      <c r="N88" s="50"/>
      <c r="O88" s="50"/>
      <c r="P88" s="50"/>
      <c r="Q88" s="64"/>
      <c r="R88" s="64"/>
      <c r="S88" s="80"/>
      <c r="T88" s="80"/>
      <c r="U88" s="80"/>
      <c r="V88" s="40"/>
      <c r="W88" s="40"/>
      <c r="X88" s="40"/>
      <c r="Y88" s="40"/>
    </row>
    <row r="89" spans="1:25" ht="18" x14ac:dyDescent="0.2">
      <c r="A89" s="47" t="s">
        <v>68</v>
      </c>
      <c r="B89" s="47" t="s">
        <v>72</v>
      </c>
      <c r="C89" s="47" t="s">
        <v>20</v>
      </c>
      <c r="D89" s="47" t="s">
        <v>58</v>
      </c>
      <c r="E89" s="47" t="s">
        <v>53</v>
      </c>
      <c r="F89" s="50">
        <v>10</v>
      </c>
      <c r="G89" s="87" t="s">
        <v>23</v>
      </c>
      <c r="H89" s="50" t="s">
        <v>84</v>
      </c>
      <c r="I89" s="51">
        <v>7.91</v>
      </c>
      <c r="J89" s="66">
        <v>10</v>
      </c>
      <c r="K89" s="67">
        <v>47</v>
      </c>
      <c r="L89" s="52">
        <f>(I89*J89*K89/1000)</f>
        <v>3.7176999999999998</v>
      </c>
      <c r="M89" s="50"/>
      <c r="N89" s="50"/>
      <c r="O89" s="50"/>
      <c r="P89" s="50"/>
      <c r="Q89" s="64"/>
      <c r="R89" s="64"/>
      <c r="S89" s="80"/>
      <c r="T89" s="91"/>
      <c r="U89" s="80"/>
      <c r="V89" s="40"/>
      <c r="W89" s="40"/>
      <c r="X89" s="40"/>
      <c r="Y89" s="40"/>
    </row>
    <row r="90" spans="1:25" ht="18" x14ac:dyDescent="0.2">
      <c r="A90" s="49"/>
      <c r="B90" s="58" t="s">
        <v>82</v>
      </c>
      <c r="C90" s="49"/>
      <c r="D90" s="49"/>
      <c r="E90" s="49"/>
      <c r="F90" s="50"/>
      <c r="G90" s="87" t="s">
        <v>23</v>
      </c>
      <c r="H90" s="50" t="s">
        <v>84</v>
      </c>
      <c r="I90" s="51">
        <v>7.91</v>
      </c>
      <c r="J90" s="66">
        <v>10.5</v>
      </c>
      <c r="K90" s="67">
        <v>9</v>
      </c>
      <c r="L90" s="52">
        <f>(I90*J90*K90/1000)</f>
        <v>0.74749500000000013</v>
      </c>
      <c r="M90" s="50"/>
      <c r="N90" s="50"/>
      <c r="O90" s="50"/>
      <c r="P90" s="50"/>
      <c r="Q90" s="64"/>
      <c r="R90" s="64"/>
      <c r="S90" s="80"/>
      <c r="T90" s="80"/>
      <c r="U90" s="80"/>
      <c r="V90" s="40"/>
      <c r="W90" s="40"/>
      <c r="X90" s="40"/>
      <c r="Y90" s="40"/>
    </row>
    <row r="91" spans="1:25" ht="18" x14ac:dyDescent="0.2">
      <c r="A91" s="49"/>
      <c r="B91" s="55"/>
      <c r="C91" s="49"/>
      <c r="D91" s="49"/>
      <c r="E91" s="49"/>
      <c r="F91" s="50"/>
      <c r="G91" s="87" t="s">
        <v>23</v>
      </c>
      <c r="H91" s="50" t="s">
        <v>84</v>
      </c>
      <c r="I91" s="51">
        <v>7.91</v>
      </c>
      <c r="J91" s="66">
        <v>11</v>
      </c>
      <c r="K91" s="67">
        <v>20</v>
      </c>
      <c r="L91" s="52">
        <f>(I91*J91*K91/1000)</f>
        <v>1.7402</v>
      </c>
      <c r="M91" s="50"/>
      <c r="N91" s="50"/>
      <c r="O91" s="50"/>
      <c r="P91" s="50"/>
      <c r="Q91" s="64"/>
      <c r="R91" s="64"/>
      <c r="S91" s="80"/>
      <c r="T91" s="80"/>
      <c r="U91" s="80"/>
      <c r="V91" s="40"/>
      <c r="W91" s="40"/>
      <c r="X91" s="40"/>
      <c r="Y91" s="40"/>
    </row>
    <row r="92" spans="1:25" ht="18" x14ac:dyDescent="0.2">
      <c r="A92" s="49"/>
      <c r="B92" s="55"/>
      <c r="C92" s="49"/>
      <c r="D92" s="49"/>
      <c r="E92" s="49"/>
      <c r="F92" s="50"/>
      <c r="G92" s="87" t="s">
        <v>23</v>
      </c>
      <c r="H92" s="50" t="s">
        <v>84</v>
      </c>
      <c r="I92" s="51">
        <v>7.91</v>
      </c>
      <c r="J92" s="66">
        <v>12</v>
      </c>
      <c r="K92" s="67">
        <v>5</v>
      </c>
      <c r="L92" s="52">
        <f>(I92*J92*K92/1000)</f>
        <v>0.47460000000000002</v>
      </c>
      <c r="M92" s="50"/>
      <c r="N92" s="50"/>
      <c r="O92" s="50"/>
      <c r="P92" s="50"/>
      <c r="Q92" s="64"/>
      <c r="R92" s="64"/>
      <c r="S92" s="80"/>
      <c r="T92" s="80"/>
      <c r="U92" s="80"/>
      <c r="V92" s="40"/>
      <c r="W92" s="40"/>
      <c r="X92" s="40"/>
      <c r="Y92" s="40"/>
    </row>
    <row r="93" spans="1:25" ht="18" x14ac:dyDescent="0.2">
      <c r="A93" s="49"/>
      <c r="B93" s="55"/>
      <c r="C93" s="49"/>
      <c r="D93" s="49"/>
      <c r="E93" s="49"/>
      <c r="F93" s="50"/>
      <c r="G93" s="87"/>
      <c r="H93" s="87"/>
      <c r="I93" s="88"/>
      <c r="J93" s="89"/>
      <c r="K93" s="94">
        <f>SUM(K89:K92)</f>
        <v>81</v>
      </c>
      <c r="L93" s="89">
        <f>SUM(L89:L92)</f>
        <v>6.679994999999999</v>
      </c>
      <c r="M93" s="94">
        <f>SUM(M89:M92)</f>
        <v>0</v>
      </c>
      <c r="N93" s="89">
        <f>SUM(N89:N92)</f>
        <v>0</v>
      </c>
      <c r="O93" s="50"/>
      <c r="P93" s="50"/>
      <c r="Q93" s="64"/>
      <c r="R93" s="64"/>
      <c r="S93" s="95"/>
      <c r="T93" s="96"/>
      <c r="U93" s="80"/>
      <c r="V93" s="40"/>
      <c r="W93" s="40"/>
      <c r="X93" s="40"/>
      <c r="Y93" s="40"/>
    </row>
    <row r="94" spans="1:25" ht="18" x14ac:dyDescent="0.2">
      <c r="A94" s="49"/>
      <c r="B94" s="55"/>
      <c r="C94" s="49"/>
      <c r="D94" s="49"/>
      <c r="E94" s="49"/>
      <c r="F94" s="50"/>
      <c r="G94" s="87"/>
      <c r="H94" s="87"/>
      <c r="I94" s="88"/>
      <c r="J94" s="89"/>
      <c r="K94" s="94"/>
      <c r="L94" s="89"/>
      <c r="M94" s="50"/>
      <c r="N94" s="50"/>
      <c r="O94" s="50"/>
      <c r="P94" s="50"/>
      <c r="Q94" s="64"/>
      <c r="R94" s="64"/>
      <c r="S94" s="80"/>
      <c r="T94" s="80"/>
      <c r="U94" s="80"/>
      <c r="V94" s="40"/>
      <c r="W94" s="40"/>
      <c r="X94" s="40"/>
      <c r="Y94" s="40"/>
    </row>
    <row r="95" spans="1:25" ht="18" x14ac:dyDescent="0.2">
      <c r="A95" s="49"/>
      <c r="B95" s="55"/>
      <c r="C95" s="49"/>
      <c r="D95" s="49"/>
      <c r="E95" s="49"/>
      <c r="F95" s="50"/>
      <c r="G95" s="87"/>
      <c r="H95" s="87"/>
      <c r="I95" s="88"/>
      <c r="J95" s="89"/>
      <c r="K95" s="94"/>
      <c r="L95" s="89"/>
      <c r="M95" s="50"/>
      <c r="N95" s="50"/>
      <c r="O95" s="50"/>
      <c r="P95" s="50"/>
      <c r="Q95" s="64"/>
      <c r="R95" s="64"/>
      <c r="S95" s="80"/>
      <c r="T95" s="80"/>
      <c r="U95" s="80"/>
      <c r="V95" s="40"/>
      <c r="W95" s="40"/>
      <c r="X95" s="40"/>
      <c r="Y95" s="40"/>
    </row>
    <row r="96" spans="1:25" ht="18" x14ac:dyDescent="0.2">
      <c r="A96" s="47" t="s">
        <v>78</v>
      </c>
      <c r="B96" s="47" t="s">
        <v>72</v>
      </c>
      <c r="C96" s="47" t="s">
        <v>20</v>
      </c>
      <c r="D96" s="47" t="s">
        <v>58</v>
      </c>
      <c r="E96" s="47" t="s">
        <v>65</v>
      </c>
      <c r="F96" s="50">
        <v>8</v>
      </c>
      <c r="G96" s="87" t="s">
        <v>23</v>
      </c>
      <c r="H96" s="87" t="s">
        <v>56</v>
      </c>
      <c r="I96" s="88">
        <v>6.17</v>
      </c>
      <c r="J96" s="66">
        <v>11</v>
      </c>
      <c r="K96" s="67">
        <v>3</v>
      </c>
      <c r="L96" s="52">
        <f>(I96*J96*K96/1000)</f>
        <v>0.20361000000000001</v>
      </c>
      <c r="M96" s="50">
        <v>3</v>
      </c>
      <c r="N96" s="62">
        <f t="shared" ref="N96" si="21">J96*M96*I96/1000</f>
        <v>0.20360999999999999</v>
      </c>
      <c r="O96" s="50"/>
      <c r="P96" s="50"/>
      <c r="Q96" s="64"/>
      <c r="R96" s="64"/>
      <c r="S96" s="80"/>
      <c r="T96" s="80"/>
      <c r="U96" s="80"/>
      <c r="V96" s="40"/>
      <c r="W96" s="40"/>
      <c r="X96" s="40"/>
      <c r="Y96" s="40"/>
    </row>
    <row r="97" spans="1:25" ht="18" x14ac:dyDescent="0.2">
      <c r="A97" s="49"/>
      <c r="B97" s="55" t="s">
        <v>64</v>
      </c>
      <c r="C97" s="49"/>
      <c r="D97" s="49"/>
      <c r="E97" s="49"/>
      <c r="F97" s="50"/>
      <c r="G97" s="87"/>
      <c r="H97" s="87"/>
      <c r="I97" s="88"/>
      <c r="J97" s="89"/>
      <c r="K97" s="90">
        <f>SUM(K96)</f>
        <v>3</v>
      </c>
      <c r="L97" s="89">
        <f>SUM(L96)</f>
        <v>0.20361000000000001</v>
      </c>
      <c r="M97" s="90">
        <f>SUM(M96)</f>
        <v>3</v>
      </c>
      <c r="N97" s="89">
        <f t="shared" ref="N97" si="22">SUM(N96)</f>
        <v>0.20360999999999999</v>
      </c>
      <c r="O97" s="50"/>
      <c r="P97" s="50"/>
      <c r="Q97" s="64"/>
      <c r="R97" s="64"/>
      <c r="S97" s="80"/>
      <c r="T97" s="80"/>
      <c r="U97" s="80"/>
      <c r="V97" s="40"/>
      <c r="W97" s="40"/>
      <c r="X97" s="40"/>
      <c r="Y97" s="40"/>
    </row>
    <row r="98" spans="1:25" ht="18" x14ac:dyDescent="0.2">
      <c r="A98" s="49"/>
      <c r="B98" s="55"/>
      <c r="C98" s="49"/>
      <c r="D98" s="49"/>
      <c r="E98" s="49"/>
      <c r="F98" s="50"/>
      <c r="G98" s="87"/>
      <c r="H98" s="87"/>
      <c r="I98" s="88"/>
      <c r="J98" s="89"/>
      <c r="K98" s="94"/>
      <c r="L98" s="89"/>
      <c r="M98" s="50"/>
      <c r="N98" s="50"/>
      <c r="O98" s="50"/>
      <c r="P98" s="50"/>
      <c r="Q98" s="64"/>
      <c r="R98" s="64"/>
      <c r="S98" s="80"/>
      <c r="T98" s="80"/>
      <c r="U98" s="80"/>
      <c r="V98" s="40"/>
      <c r="W98" s="40"/>
      <c r="X98" s="40"/>
      <c r="Y98" s="40"/>
    </row>
    <row r="99" spans="1:25" ht="18" x14ac:dyDescent="0.2">
      <c r="A99" s="49"/>
      <c r="B99" s="55"/>
      <c r="C99" s="49"/>
      <c r="D99" s="49"/>
      <c r="E99" s="49"/>
      <c r="F99" s="50"/>
      <c r="G99" s="87"/>
      <c r="H99" s="87"/>
      <c r="I99" s="88"/>
      <c r="J99" s="89"/>
      <c r="K99" s="94"/>
      <c r="L99" s="89"/>
      <c r="M99" s="50"/>
      <c r="N99" s="50"/>
      <c r="O99" s="50"/>
      <c r="P99" s="50"/>
      <c r="Q99" s="64"/>
      <c r="R99" s="64"/>
      <c r="S99" s="80"/>
      <c r="T99" s="80"/>
      <c r="U99" s="80"/>
      <c r="V99" s="40"/>
      <c r="W99" s="40"/>
      <c r="X99" s="40"/>
      <c r="Y99" s="40"/>
    </row>
    <row r="100" spans="1:25" x14ac:dyDescent="0.2">
      <c r="A100" s="29"/>
      <c r="B100" s="29"/>
      <c r="C100" s="29"/>
      <c r="D100" s="29"/>
      <c r="E100" s="29"/>
      <c r="F100" s="31"/>
      <c r="G100" s="31"/>
      <c r="H100" s="31"/>
      <c r="I100" s="28"/>
      <c r="J100" s="31"/>
      <c r="K100" s="46"/>
      <c r="L100" s="42"/>
      <c r="M100" s="31"/>
      <c r="N100" s="31"/>
      <c r="O100" s="31"/>
      <c r="P100" s="31"/>
      <c r="Q100" s="54"/>
      <c r="R100" s="54"/>
      <c r="S100" s="80"/>
      <c r="T100" s="80"/>
      <c r="U100" s="80"/>
      <c r="V100" s="40"/>
      <c r="W100" s="40"/>
      <c r="X100" s="40"/>
      <c r="Y100" s="40"/>
    </row>
    <row r="101" spans="1:25" x14ac:dyDescent="0.2">
      <c r="A101" s="29"/>
      <c r="B101" s="29"/>
      <c r="C101" s="29"/>
      <c r="D101" s="29"/>
      <c r="E101" s="29"/>
      <c r="F101" s="31"/>
      <c r="G101" s="31"/>
      <c r="H101" s="31"/>
      <c r="I101" s="28"/>
      <c r="J101" s="31"/>
      <c r="K101" s="39">
        <f>+K97+K93+K86+K71+K50</f>
        <v>939</v>
      </c>
      <c r="L101" s="42">
        <f>+L97+L93+L86+L71+L50+L48+L24</f>
        <v>149.30371600000001</v>
      </c>
      <c r="M101" s="39">
        <f>+M97+M93+M86+M71+M50</f>
        <v>36</v>
      </c>
      <c r="N101" s="42">
        <f>+N97+N93+N86+N71+N50+N48+N24</f>
        <v>2.2300464999999998</v>
      </c>
      <c r="O101" s="31"/>
      <c r="P101" s="31"/>
      <c r="Q101" s="54"/>
      <c r="R101" s="54"/>
      <c r="S101" s="80"/>
      <c r="T101" s="80"/>
      <c r="U101" s="80"/>
      <c r="V101" s="40"/>
      <c r="W101" s="40"/>
      <c r="X101" s="40"/>
      <c r="Y101" s="40"/>
    </row>
    <row r="102" spans="1:25" x14ac:dyDescent="0.2">
      <c r="A102" s="4" t="s">
        <v>0</v>
      </c>
      <c r="B102" s="4"/>
      <c r="C102" s="5"/>
      <c r="D102" s="5"/>
      <c r="E102" s="5"/>
      <c r="F102" s="99"/>
      <c r="G102" s="100"/>
      <c r="H102" s="99"/>
      <c r="I102" s="101"/>
      <c r="J102" s="100"/>
      <c r="K102" s="102"/>
      <c r="L102" s="221" t="s">
        <v>1</v>
      </c>
      <c r="M102" s="221"/>
      <c r="N102" s="221"/>
      <c r="O102" s="222"/>
      <c r="P102" s="223"/>
      <c r="Q102" s="103"/>
      <c r="R102" s="103"/>
      <c r="S102" s="80"/>
      <c r="T102" s="80"/>
      <c r="U102" s="80"/>
      <c r="V102" s="40"/>
      <c r="W102" s="40"/>
      <c r="X102" s="40"/>
      <c r="Y102" s="40"/>
    </row>
    <row r="103" spans="1:25" x14ac:dyDescent="0.2">
      <c r="A103" s="6" t="s">
        <v>2</v>
      </c>
      <c r="B103" s="6"/>
      <c r="C103" s="6"/>
      <c r="D103" s="7" t="s">
        <v>3</v>
      </c>
      <c r="E103" s="7"/>
      <c r="F103" s="104"/>
      <c r="G103" s="104"/>
      <c r="H103" s="104"/>
      <c r="I103" s="105"/>
      <c r="J103" s="104"/>
      <c r="K103" s="106" t="s">
        <v>4</v>
      </c>
      <c r="L103" s="104"/>
      <c r="M103" s="107"/>
      <c r="N103" s="104"/>
      <c r="O103" s="108"/>
      <c r="P103" s="223"/>
      <c r="Q103" s="103"/>
      <c r="R103" s="103"/>
      <c r="S103" s="80"/>
      <c r="T103" s="80"/>
      <c r="U103" s="80"/>
      <c r="V103" s="40"/>
      <c r="W103" s="40"/>
      <c r="X103" s="40"/>
      <c r="Y103" s="40"/>
    </row>
    <row r="104" spans="1:25" x14ac:dyDescent="0.2">
      <c r="A104" s="8" t="s">
        <v>25</v>
      </c>
      <c r="B104" s="187" t="s">
        <v>26</v>
      </c>
      <c r="C104" s="224"/>
      <c r="D104" s="188"/>
      <c r="E104" s="8" t="s">
        <v>27</v>
      </c>
      <c r="F104" s="225" t="s">
        <v>28</v>
      </c>
      <c r="G104" s="226"/>
      <c r="H104" s="225" t="s">
        <v>29</v>
      </c>
      <c r="I104" s="227"/>
      <c r="J104" s="227"/>
      <c r="K104" s="226"/>
      <c r="L104" s="228" t="s">
        <v>30</v>
      </c>
      <c r="M104" s="228"/>
      <c r="N104" s="228"/>
      <c r="O104" s="225"/>
      <c r="P104" s="223"/>
      <c r="Q104" s="103"/>
      <c r="R104" s="103"/>
      <c r="S104" s="80"/>
      <c r="T104" s="80"/>
      <c r="U104" s="80"/>
      <c r="V104" s="40"/>
      <c r="W104" s="40"/>
      <c r="X104" s="40"/>
      <c r="Y104" s="40"/>
    </row>
    <row r="105" spans="1:25" x14ac:dyDescent="0.2">
      <c r="A105" s="9"/>
      <c r="B105" s="214"/>
      <c r="C105" s="215"/>
      <c r="D105" s="216"/>
      <c r="E105" s="10"/>
      <c r="F105" s="217"/>
      <c r="G105" s="218"/>
      <c r="H105" s="217"/>
      <c r="I105" s="219"/>
      <c r="J105" s="219"/>
      <c r="K105" s="218"/>
      <c r="L105" s="217"/>
      <c r="M105" s="219"/>
      <c r="N105" s="219"/>
      <c r="O105" s="219"/>
      <c r="P105" s="223"/>
      <c r="Q105" s="103"/>
      <c r="R105" s="103"/>
      <c r="S105" s="80"/>
      <c r="T105" s="80"/>
      <c r="U105" s="80"/>
      <c r="V105" s="40"/>
      <c r="W105" s="40"/>
      <c r="X105" s="40"/>
      <c r="Y105" s="40"/>
    </row>
    <row r="106" spans="1:25" x14ac:dyDescent="0.2">
      <c r="A106" s="9"/>
      <c r="B106" s="11"/>
      <c r="C106" s="12"/>
      <c r="D106" s="13"/>
      <c r="E106" s="10"/>
      <c r="F106" s="109"/>
      <c r="G106" s="110"/>
      <c r="H106" s="109"/>
      <c r="I106" s="111"/>
      <c r="J106" s="111"/>
      <c r="K106" s="112"/>
      <c r="L106" s="109"/>
      <c r="M106" s="111"/>
      <c r="N106" s="111"/>
      <c r="O106" s="111"/>
      <c r="P106" s="223"/>
      <c r="Q106" s="103"/>
      <c r="R106" s="103"/>
      <c r="S106" s="80"/>
      <c r="T106" s="80"/>
      <c r="U106" s="80"/>
      <c r="V106" s="40"/>
      <c r="W106" s="40"/>
      <c r="X106" s="40"/>
      <c r="Y106" s="40"/>
    </row>
    <row r="107" spans="1:25" x14ac:dyDescent="0.2">
      <c r="A107" s="9" t="s">
        <v>31</v>
      </c>
      <c r="B107" s="214" t="s">
        <v>62</v>
      </c>
      <c r="C107" s="215"/>
      <c r="D107" s="216"/>
      <c r="E107" s="10">
        <f>+L48+L24</f>
        <v>88.080888000000002</v>
      </c>
      <c r="F107" s="217">
        <v>10</v>
      </c>
      <c r="G107" s="218"/>
      <c r="H107" s="217" t="s">
        <v>32</v>
      </c>
      <c r="I107" s="219"/>
      <c r="J107" s="219"/>
      <c r="K107" s="218"/>
      <c r="L107" s="217" t="s">
        <v>85</v>
      </c>
      <c r="M107" s="219"/>
      <c r="N107" s="219"/>
      <c r="O107" s="219"/>
      <c r="P107" s="223"/>
      <c r="Q107" s="103"/>
      <c r="R107" s="103"/>
      <c r="S107" s="80"/>
      <c r="T107" s="80"/>
      <c r="U107" s="80"/>
      <c r="V107" s="40"/>
      <c r="W107" s="40"/>
      <c r="X107" s="40"/>
      <c r="Y107" s="40"/>
    </row>
    <row r="108" spans="1:25" x14ac:dyDescent="0.2">
      <c r="A108" s="9" t="s">
        <v>34</v>
      </c>
      <c r="B108" s="214" t="s">
        <v>63</v>
      </c>
      <c r="C108" s="215"/>
      <c r="D108" s="216"/>
      <c r="E108" s="10">
        <f>+L71-1.392</f>
        <v>28.948974999999994</v>
      </c>
      <c r="F108" s="217">
        <v>10</v>
      </c>
      <c r="G108" s="218"/>
      <c r="H108" s="217" t="s">
        <v>32</v>
      </c>
      <c r="I108" s="219"/>
      <c r="J108" s="219"/>
      <c r="K108" s="218"/>
      <c r="L108" s="217" t="s">
        <v>33</v>
      </c>
      <c r="M108" s="219"/>
      <c r="N108" s="219"/>
      <c r="O108" s="219"/>
      <c r="P108" s="223"/>
      <c r="Q108" s="103"/>
      <c r="R108" s="103"/>
      <c r="S108" s="80"/>
      <c r="T108" s="80"/>
      <c r="U108" s="80"/>
      <c r="V108" s="40"/>
      <c r="W108" s="40"/>
      <c r="X108" s="40"/>
      <c r="Y108" s="40"/>
    </row>
    <row r="109" spans="1:25" x14ac:dyDescent="0.2">
      <c r="A109" s="9"/>
      <c r="B109" s="214"/>
      <c r="C109" s="215"/>
      <c r="D109" s="216"/>
      <c r="E109" s="10"/>
      <c r="F109" s="217"/>
      <c r="G109" s="218"/>
      <c r="H109" s="217"/>
      <c r="I109" s="219"/>
      <c r="J109" s="219"/>
      <c r="K109" s="218"/>
      <c r="L109" s="217"/>
      <c r="M109" s="219"/>
      <c r="N109" s="219"/>
      <c r="O109" s="219"/>
      <c r="P109" s="223"/>
      <c r="Q109" s="103"/>
      <c r="R109" s="103"/>
      <c r="S109" s="80"/>
      <c r="T109" s="80"/>
      <c r="U109" s="80"/>
      <c r="V109" s="40"/>
      <c r="W109" s="40"/>
      <c r="X109" s="40"/>
      <c r="Y109" s="40"/>
    </row>
    <row r="110" spans="1:25" x14ac:dyDescent="0.2">
      <c r="A110" s="9"/>
      <c r="B110" s="11"/>
      <c r="C110" s="12"/>
      <c r="D110" s="12"/>
      <c r="E110" s="10"/>
      <c r="F110" s="111"/>
      <c r="G110" s="110"/>
      <c r="H110" s="109"/>
      <c r="I110" s="111"/>
      <c r="J110" s="111"/>
      <c r="K110" s="110"/>
      <c r="L110" s="109"/>
      <c r="M110" s="111"/>
      <c r="N110" s="111"/>
      <c r="O110" s="111"/>
      <c r="P110" s="223"/>
      <c r="Q110" s="103"/>
      <c r="R110" s="103"/>
      <c r="S110" s="80"/>
      <c r="T110" s="80"/>
      <c r="U110" s="80"/>
      <c r="V110" s="40"/>
      <c r="W110" s="40"/>
      <c r="X110" s="40"/>
      <c r="Y110" s="40"/>
    </row>
    <row r="111" spans="1:25" ht="18" x14ac:dyDescent="0.2">
      <c r="A111" s="60" t="s">
        <v>36</v>
      </c>
      <c r="B111" s="210" t="s">
        <v>67</v>
      </c>
      <c r="C111" s="210"/>
      <c r="D111" s="210"/>
      <c r="E111" s="61">
        <f>+L86-0.634</f>
        <v>23.364248</v>
      </c>
      <c r="F111" s="211">
        <v>10</v>
      </c>
      <c r="G111" s="212"/>
      <c r="H111" s="211" t="s">
        <v>58</v>
      </c>
      <c r="I111" s="213"/>
      <c r="J111" s="213"/>
      <c r="K111" s="212"/>
      <c r="L111" s="213" t="s">
        <v>35</v>
      </c>
      <c r="M111" s="213"/>
      <c r="N111" s="213"/>
      <c r="O111" s="213"/>
      <c r="P111" s="223"/>
      <c r="Q111" s="103"/>
      <c r="R111" s="103"/>
      <c r="S111" s="80"/>
      <c r="T111" s="80"/>
      <c r="U111" s="80"/>
      <c r="V111" s="40"/>
      <c r="W111" s="40"/>
      <c r="X111" s="40"/>
      <c r="Y111" s="40"/>
    </row>
    <row r="112" spans="1:25" ht="18" x14ac:dyDescent="0.2">
      <c r="A112" s="60" t="s">
        <v>37</v>
      </c>
      <c r="B112" s="210" t="s">
        <v>86</v>
      </c>
      <c r="C112" s="210"/>
      <c r="D112" s="210"/>
      <c r="E112" s="61">
        <f>+L93</f>
        <v>6.679994999999999</v>
      </c>
      <c r="F112" s="211">
        <v>10</v>
      </c>
      <c r="G112" s="212"/>
      <c r="H112" s="211" t="s">
        <v>58</v>
      </c>
      <c r="I112" s="213"/>
      <c r="J112" s="213"/>
      <c r="K112" s="212"/>
      <c r="L112" s="213" t="s">
        <v>35</v>
      </c>
      <c r="M112" s="213"/>
      <c r="N112" s="213"/>
      <c r="O112" s="213"/>
      <c r="P112" s="223"/>
      <c r="Q112" s="103"/>
      <c r="R112" s="103"/>
      <c r="S112" s="80"/>
      <c r="T112" s="80"/>
      <c r="U112" s="80"/>
      <c r="V112" s="40"/>
      <c r="W112" s="40"/>
      <c r="X112" s="40"/>
      <c r="Y112" s="40"/>
    </row>
    <row r="113" spans="1:25" x14ac:dyDescent="0.2">
      <c r="A113" s="9"/>
      <c r="B113" s="11"/>
      <c r="C113" s="12"/>
      <c r="D113" s="12"/>
      <c r="E113" s="10"/>
      <c r="F113" s="111"/>
      <c r="G113" s="110"/>
      <c r="H113" s="109"/>
      <c r="I113" s="111"/>
      <c r="J113" s="111"/>
      <c r="K113" s="110"/>
      <c r="L113" s="109"/>
      <c r="M113" s="111"/>
      <c r="N113" s="111"/>
      <c r="O113" s="111"/>
      <c r="P113" s="223"/>
      <c r="Q113" s="103"/>
      <c r="R113" s="103"/>
      <c r="S113" s="80"/>
      <c r="T113" s="80"/>
      <c r="U113" s="80"/>
      <c r="V113" s="40"/>
      <c r="W113" s="40"/>
      <c r="X113" s="40"/>
      <c r="Y113" s="40"/>
    </row>
    <row r="114" spans="1:25" x14ac:dyDescent="0.2">
      <c r="A114" s="9"/>
      <c r="B114" s="11"/>
      <c r="C114" s="12"/>
      <c r="D114" s="12"/>
      <c r="E114" s="10"/>
      <c r="F114" s="111"/>
      <c r="G114" s="110"/>
      <c r="H114" s="109"/>
      <c r="I114" s="111"/>
      <c r="J114" s="111"/>
      <c r="K114" s="110"/>
      <c r="L114" s="109"/>
      <c r="M114" s="111"/>
      <c r="N114" s="111"/>
      <c r="O114" s="111"/>
      <c r="P114" s="223"/>
      <c r="Q114" s="103"/>
      <c r="R114" s="103"/>
      <c r="S114" s="80"/>
      <c r="T114" s="80"/>
      <c r="U114" s="80"/>
      <c r="V114" s="40"/>
      <c r="W114" s="40"/>
      <c r="X114" s="40"/>
      <c r="Y114" s="40"/>
    </row>
    <row r="115" spans="1:25" ht="15.75" thickBot="1" x14ac:dyDescent="0.25">
      <c r="A115" s="9"/>
      <c r="B115" s="11"/>
      <c r="C115" s="12"/>
      <c r="D115" s="12"/>
      <c r="E115" s="10"/>
      <c r="F115" s="111"/>
      <c r="G115" s="110"/>
      <c r="H115" s="109"/>
      <c r="I115" s="111"/>
      <c r="J115" s="111"/>
      <c r="K115" s="112"/>
      <c r="L115" s="113"/>
      <c r="M115" s="114"/>
      <c r="N115" s="114"/>
      <c r="O115" s="114"/>
      <c r="P115" s="223"/>
      <c r="Q115" s="103"/>
      <c r="R115" s="103"/>
      <c r="S115" s="80"/>
      <c r="T115" s="80"/>
      <c r="U115" s="80"/>
      <c r="V115" s="40"/>
      <c r="W115" s="40"/>
      <c r="X115" s="40"/>
      <c r="Y115" s="40"/>
    </row>
    <row r="116" spans="1:25" x14ac:dyDescent="0.2">
      <c r="A116" s="14"/>
      <c r="B116" s="15"/>
      <c r="C116" s="16"/>
      <c r="D116" s="16"/>
      <c r="E116" s="195">
        <f>SUM(E105:E115)</f>
        <v>147.07410599999997</v>
      </c>
      <c r="F116" s="115"/>
      <c r="G116" s="116"/>
      <c r="H116" s="117"/>
      <c r="I116" s="118"/>
      <c r="J116" s="119"/>
      <c r="K116" s="120"/>
      <c r="L116" s="117"/>
      <c r="M116" s="119"/>
      <c r="N116" s="115"/>
      <c r="O116" s="119"/>
      <c r="P116" s="223"/>
      <c r="Q116" s="103"/>
      <c r="R116" s="103"/>
      <c r="S116" s="80"/>
      <c r="T116" s="80"/>
      <c r="U116" s="80"/>
      <c r="V116" s="40"/>
      <c r="W116" s="40"/>
      <c r="X116" s="40"/>
      <c r="Y116" s="40"/>
    </row>
    <row r="117" spans="1:25" ht="15.75" thickBot="1" x14ac:dyDescent="0.25">
      <c r="A117" s="17"/>
      <c r="B117" s="18"/>
      <c r="C117" s="19"/>
      <c r="D117" s="19"/>
      <c r="E117" s="196"/>
      <c r="F117" s="121"/>
      <c r="G117" s="122"/>
      <c r="H117" s="123"/>
      <c r="I117" s="124"/>
      <c r="J117" s="125"/>
      <c r="K117" s="126"/>
      <c r="L117" s="123"/>
      <c r="M117" s="125"/>
      <c r="N117" s="121"/>
      <c r="O117" s="125"/>
      <c r="P117" s="223"/>
      <c r="Q117" s="103"/>
      <c r="R117" s="103"/>
      <c r="S117" s="80"/>
      <c r="T117" s="80"/>
      <c r="U117" s="80"/>
      <c r="V117" s="40"/>
      <c r="W117" s="40"/>
      <c r="X117" s="40"/>
      <c r="Y117" s="40"/>
    </row>
    <row r="118" spans="1:25" x14ac:dyDescent="0.2">
      <c r="A118" s="20" t="s">
        <v>38</v>
      </c>
      <c r="B118" s="16"/>
      <c r="C118" s="16"/>
      <c r="D118" s="16"/>
      <c r="E118" s="16"/>
      <c r="F118" s="115"/>
      <c r="G118" s="119"/>
      <c r="H118" s="115"/>
      <c r="I118" s="118"/>
      <c r="J118" s="119"/>
      <c r="K118" s="127"/>
      <c r="L118" s="115"/>
      <c r="M118" s="119"/>
      <c r="N118" s="115"/>
      <c r="O118" s="119"/>
      <c r="P118" s="223"/>
      <c r="Q118" s="103"/>
      <c r="R118" s="103"/>
      <c r="S118" s="80"/>
      <c r="T118" s="80"/>
      <c r="U118" s="80"/>
      <c r="V118" s="40"/>
      <c r="W118" s="40"/>
      <c r="X118" s="40"/>
      <c r="Y118" s="40"/>
    </row>
    <row r="119" spans="1:25" x14ac:dyDescent="0.2">
      <c r="A119" s="21"/>
      <c r="B119" s="22"/>
      <c r="C119" s="22"/>
      <c r="D119" s="22"/>
      <c r="E119" s="22"/>
      <c r="F119" s="128"/>
      <c r="G119" s="129"/>
      <c r="H119" s="128"/>
      <c r="I119" s="130"/>
      <c r="J119" s="129"/>
      <c r="K119" s="131"/>
      <c r="L119" s="128"/>
      <c r="M119" s="129"/>
      <c r="N119" s="128"/>
      <c r="O119" s="129"/>
      <c r="P119" s="223"/>
      <c r="Q119" s="103"/>
      <c r="R119" s="103"/>
      <c r="S119" s="80"/>
      <c r="T119" s="80"/>
      <c r="U119" s="80"/>
      <c r="V119" s="40"/>
      <c r="W119" s="40"/>
      <c r="X119" s="40"/>
      <c r="Y119" s="40"/>
    </row>
    <row r="120" spans="1:25" ht="15.75" thickBot="1" x14ac:dyDescent="0.25">
      <c r="A120" s="197" t="s">
        <v>39</v>
      </c>
      <c r="B120" s="198"/>
      <c r="C120" s="199" t="s">
        <v>40</v>
      </c>
      <c r="D120" s="200"/>
      <c r="E120" s="23" t="s">
        <v>41</v>
      </c>
      <c r="F120" s="132" t="s">
        <v>42</v>
      </c>
      <c r="G120" s="201" t="s">
        <v>43</v>
      </c>
      <c r="H120" s="202"/>
      <c r="I120" s="202"/>
      <c r="J120" s="202"/>
      <c r="K120" s="202"/>
      <c r="L120" s="202"/>
      <c r="M120" s="202"/>
      <c r="N120" s="202"/>
      <c r="O120" s="202"/>
      <c r="P120" s="223"/>
      <c r="Q120" s="103"/>
      <c r="R120" s="103"/>
      <c r="S120" s="80"/>
      <c r="T120" s="80"/>
      <c r="U120" s="80"/>
      <c r="V120" s="40"/>
      <c r="W120" s="40"/>
      <c r="X120" s="40"/>
      <c r="Y120" s="40"/>
    </row>
    <row r="121" spans="1:25" x14ac:dyDescent="0.2">
      <c r="A121" s="203"/>
      <c r="B121" s="188"/>
      <c r="C121" s="187"/>
      <c r="D121" s="188"/>
      <c r="E121" s="8"/>
      <c r="F121" s="133"/>
      <c r="G121" s="204"/>
      <c r="H121" s="205"/>
      <c r="I121" s="205"/>
      <c r="J121" s="205"/>
      <c r="K121" s="205"/>
      <c r="L121" s="205"/>
      <c r="M121" s="205"/>
      <c r="N121" s="205"/>
      <c r="O121" s="205"/>
      <c r="P121" s="223"/>
      <c r="Q121" s="103"/>
      <c r="R121" s="103"/>
      <c r="S121" s="80"/>
      <c r="T121" s="80"/>
      <c r="U121" s="80"/>
      <c r="V121" s="40"/>
      <c r="W121" s="40"/>
      <c r="X121" s="40"/>
      <c r="Y121" s="40"/>
    </row>
    <row r="122" spans="1:25" x14ac:dyDescent="0.2">
      <c r="A122" s="189" t="s">
        <v>44</v>
      </c>
      <c r="B122" s="190"/>
      <c r="C122" s="187"/>
      <c r="D122" s="188"/>
      <c r="E122" s="8"/>
      <c r="F122" s="133"/>
      <c r="G122" s="206"/>
      <c r="H122" s="207"/>
      <c r="I122" s="207"/>
      <c r="J122" s="207"/>
      <c r="K122" s="207"/>
      <c r="L122" s="207"/>
      <c r="M122" s="207"/>
      <c r="N122" s="207"/>
      <c r="O122" s="207"/>
      <c r="P122" s="223"/>
      <c r="Q122" s="103"/>
      <c r="R122" s="103"/>
      <c r="S122" s="80"/>
      <c r="T122" s="80"/>
      <c r="U122" s="80"/>
      <c r="V122" s="40"/>
      <c r="W122" s="40"/>
      <c r="X122" s="40"/>
      <c r="Y122" s="40"/>
    </row>
    <row r="123" spans="1:25" x14ac:dyDescent="0.2">
      <c r="A123" s="189" t="s">
        <v>45</v>
      </c>
      <c r="B123" s="190"/>
      <c r="C123" s="187"/>
      <c r="D123" s="188"/>
      <c r="E123" s="8"/>
      <c r="F123" s="133"/>
      <c r="G123" s="206"/>
      <c r="H123" s="207"/>
      <c r="I123" s="207"/>
      <c r="J123" s="207"/>
      <c r="K123" s="207"/>
      <c r="L123" s="207"/>
      <c r="M123" s="207"/>
      <c r="N123" s="207"/>
      <c r="O123" s="207"/>
      <c r="P123" s="223"/>
      <c r="Q123" s="103"/>
      <c r="R123" s="103"/>
      <c r="S123" s="80"/>
      <c r="T123" s="80"/>
      <c r="U123" s="80"/>
      <c r="V123" s="40"/>
      <c r="W123" s="40"/>
      <c r="X123" s="40"/>
      <c r="Y123" s="40"/>
    </row>
    <row r="124" spans="1:25" x14ac:dyDescent="0.2">
      <c r="A124" s="189" t="s">
        <v>46</v>
      </c>
      <c r="B124" s="190"/>
      <c r="C124" s="187"/>
      <c r="D124" s="188"/>
      <c r="E124" s="8"/>
      <c r="F124" s="133"/>
      <c r="G124" s="206"/>
      <c r="H124" s="207"/>
      <c r="I124" s="207"/>
      <c r="J124" s="207"/>
      <c r="K124" s="207"/>
      <c r="L124" s="207"/>
      <c r="M124" s="207"/>
      <c r="N124" s="207"/>
      <c r="O124" s="207"/>
      <c r="P124" s="223"/>
      <c r="Q124" s="103"/>
      <c r="R124" s="103"/>
      <c r="S124" s="80"/>
      <c r="T124" s="80"/>
      <c r="U124" s="80"/>
      <c r="V124" s="40"/>
      <c r="W124" s="40"/>
      <c r="X124" s="40"/>
      <c r="Y124" s="40"/>
    </row>
    <row r="125" spans="1:25" x14ac:dyDescent="0.2">
      <c r="A125" s="189" t="s">
        <v>47</v>
      </c>
      <c r="B125" s="190"/>
      <c r="C125" s="187"/>
      <c r="D125" s="188"/>
      <c r="E125" s="8"/>
      <c r="F125" s="133"/>
      <c r="G125" s="206"/>
      <c r="H125" s="207"/>
      <c r="I125" s="207"/>
      <c r="J125" s="207"/>
      <c r="K125" s="207"/>
      <c r="L125" s="207"/>
      <c r="M125" s="207"/>
      <c r="N125" s="207"/>
      <c r="O125" s="207"/>
      <c r="P125" s="223"/>
      <c r="Q125" s="103"/>
      <c r="R125" s="103"/>
      <c r="S125" s="80"/>
      <c r="T125" s="80"/>
      <c r="U125" s="80"/>
      <c r="V125" s="40"/>
      <c r="W125" s="40"/>
      <c r="X125" s="40"/>
      <c r="Y125" s="40"/>
    </row>
    <row r="126" spans="1:25" ht="15.75" thickBot="1" x14ac:dyDescent="0.25">
      <c r="A126" s="191" t="s">
        <v>48</v>
      </c>
      <c r="B126" s="192"/>
      <c r="C126" s="193"/>
      <c r="D126" s="194"/>
      <c r="E126" s="24"/>
      <c r="F126" s="134"/>
      <c r="G126" s="208"/>
      <c r="H126" s="209"/>
      <c r="I126" s="209"/>
      <c r="J126" s="209"/>
      <c r="K126" s="209"/>
      <c r="L126" s="209"/>
      <c r="M126" s="209"/>
      <c r="N126" s="209"/>
      <c r="O126" s="209"/>
      <c r="P126" s="223"/>
      <c r="Q126" s="103"/>
      <c r="R126" s="103"/>
      <c r="S126" s="80"/>
      <c r="T126" s="80"/>
      <c r="U126" s="80"/>
      <c r="V126" s="40"/>
      <c r="W126" s="40"/>
      <c r="X126" s="40"/>
      <c r="Y126" s="40"/>
    </row>
    <row r="127" spans="1:25" x14ac:dyDescent="0.2">
      <c r="A127" s="21"/>
      <c r="B127" s="22"/>
      <c r="C127" s="22"/>
      <c r="D127" s="22"/>
      <c r="E127" s="22"/>
      <c r="F127" s="128"/>
      <c r="G127" s="129"/>
      <c r="H127" s="135"/>
      <c r="I127" s="136"/>
      <c r="J127" s="137"/>
      <c r="K127" s="138"/>
      <c r="L127" s="139"/>
      <c r="M127" s="129"/>
      <c r="N127" s="128"/>
      <c r="O127" s="129"/>
      <c r="P127" s="223"/>
      <c r="Q127" s="103"/>
      <c r="R127" s="103"/>
      <c r="S127" s="80"/>
      <c r="T127" s="80"/>
      <c r="U127" s="80"/>
      <c r="V127" s="40"/>
      <c r="W127" s="40"/>
      <c r="X127" s="40"/>
      <c r="Y127" s="40"/>
    </row>
    <row r="128" spans="1:25" x14ac:dyDescent="0.2">
      <c r="A128" s="25" t="s">
        <v>49</v>
      </c>
      <c r="B128" s="26"/>
      <c r="C128" s="22"/>
      <c r="D128" s="22"/>
      <c r="E128" s="22"/>
      <c r="F128" s="128"/>
      <c r="G128" s="140"/>
      <c r="H128" s="135"/>
      <c r="I128" s="136"/>
      <c r="J128" s="137"/>
      <c r="K128" s="131"/>
      <c r="L128" s="141"/>
      <c r="M128" s="129"/>
      <c r="N128" s="186" t="s">
        <v>50</v>
      </c>
      <c r="O128" s="186"/>
      <c r="P128" s="223"/>
      <c r="Q128" s="103"/>
      <c r="R128" s="103"/>
      <c r="S128" s="80"/>
      <c r="T128" s="80"/>
      <c r="U128" s="80"/>
      <c r="V128" s="40"/>
      <c r="W128" s="40"/>
      <c r="X128" s="40"/>
      <c r="Y128" s="40"/>
    </row>
    <row r="129" spans="1:25" x14ac:dyDescent="0.2">
      <c r="A129" s="25"/>
      <c r="B129" s="26"/>
      <c r="C129" s="22"/>
      <c r="D129" s="22"/>
      <c r="E129" s="22"/>
      <c r="F129" s="128"/>
      <c r="G129" s="129"/>
      <c r="H129" s="128"/>
      <c r="I129" s="130"/>
      <c r="J129" s="129"/>
      <c r="K129" s="131"/>
      <c r="L129" s="128"/>
      <c r="M129" s="129"/>
      <c r="N129" s="128"/>
      <c r="O129" s="140"/>
      <c r="P129" s="223"/>
      <c r="Q129" s="103"/>
      <c r="R129" s="103"/>
      <c r="S129" s="80"/>
      <c r="T129" s="80"/>
      <c r="U129" s="80"/>
      <c r="V129" s="40"/>
      <c r="W129" s="40"/>
      <c r="X129" s="40"/>
      <c r="Y129" s="40"/>
    </row>
    <row r="130" spans="1:25" x14ac:dyDescent="0.2">
      <c r="A130" s="25" t="s">
        <v>51</v>
      </c>
      <c r="B130" s="26"/>
      <c r="C130" s="22"/>
      <c r="D130" s="22"/>
      <c r="E130" s="22"/>
      <c r="F130" s="128"/>
      <c r="G130" s="129"/>
      <c r="H130" s="128"/>
      <c r="I130" s="130"/>
      <c r="J130" s="129"/>
      <c r="K130" s="131"/>
      <c r="L130" s="128"/>
      <c r="M130" s="129"/>
      <c r="N130" s="186" t="s">
        <v>52</v>
      </c>
      <c r="O130" s="186"/>
      <c r="P130" s="223"/>
      <c r="Q130" s="103"/>
      <c r="R130" s="103"/>
      <c r="S130" s="80"/>
      <c r="T130" s="80"/>
      <c r="U130" s="80"/>
      <c r="V130" s="40"/>
      <c r="W130" s="40"/>
      <c r="X130" s="40"/>
      <c r="Y130" s="40"/>
    </row>
    <row r="131" spans="1:25" ht="15.75" thickBot="1" x14ac:dyDescent="0.25">
      <c r="A131" s="18"/>
      <c r="B131" s="19"/>
      <c r="C131" s="19"/>
      <c r="D131" s="19"/>
      <c r="E131" s="19"/>
      <c r="F131" s="121"/>
      <c r="G131" s="125"/>
      <c r="H131" s="121"/>
      <c r="I131" s="124"/>
      <c r="J131" s="125"/>
      <c r="K131" s="142"/>
      <c r="L131" s="121"/>
      <c r="M131" s="125"/>
      <c r="N131" s="121"/>
      <c r="O131" s="125"/>
      <c r="P131" s="223"/>
      <c r="Q131" s="103"/>
      <c r="R131" s="103"/>
      <c r="S131" s="80"/>
      <c r="T131" s="80"/>
      <c r="U131" s="80"/>
      <c r="V131" s="40"/>
      <c r="W131" s="40"/>
      <c r="X131" s="40"/>
      <c r="Y131" s="40"/>
    </row>
    <row r="132" spans="1:25" x14ac:dyDescent="0.2">
      <c r="Q132" s="40"/>
      <c r="R132" s="40"/>
      <c r="S132" s="40"/>
      <c r="T132" s="40"/>
      <c r="U132" s="40"/>
      <c r="V132" s="40"/>
      <c r="W132" s="40"/>
      <c r="X132" s="40"/>
      <c r="Y132" s="40"/>
    </row>
    <row r="133" spans="1:25" x14ac:dyDescent="0.2">
      <c r="Q133" s="40"/>
      <c r="R133" s="40"/>
      <c r="S133" s="40"/>
      <c r="T133" s="40"/>
      <c r="U133" s="40"/>
      <c r="V133" s="40"/>
      <c r="W133" s="40"/>
      <c r="X133" s="40"/>
      <c r="Y133" s="40"/>
    </row>
    <row r="134" spans="1:25" x14ac:dyDescent="0.2">
      <c r="Q134" s="40"/>
      <c r="R134" s="40"/>
      <c r="S134" s="40"/>
      <c r="T134" s="40"/>
      <c r="U134" s="40"/>
      <c r="V134" s="40"/>
      <c r="W134" s="40"/>
      <c r="X134" s="40"/>
      <c r="Y134" s="40"/>
    </row>
    <row r="135" spans="1:25" x14ac:dyDescent="0.2">
      <c r="Q135" s="40"/>
      <c r="R135" s="40"/>
      <c r="S135" s="40"/>
      <c r="T135" s="40"/>
      <c r="U135" s="40"/>
      <c r="V135" s="40"/>
      <c r="W135" s="40"/>
      <c r="X135" s="40"/>
      <c r="Y135" s="40"/>
    </row>
    <row r="136" spans="1:25" x14ac:dyDescent="0.2">
      <c r="Q136" s="40"/>
      <c r="R136" s="40"/>
      <c r="S136" s="40"/>
      <c r="T136" s="40"/>
      <c r="U136" s="40"/>
      <c r="V136" s="40"/>
      <c r="W136" s="40"/>
      <c r="X136" s="40"/>
      <c r="Y136" s="40"/>
    </row>
    <row r="137" spans="1:25" x14ac:dyDescent="0.2">
      <c r="Q137" s="40"/>
      <c r="R137" s="40"/>
      <c r="S137" s="40"/>
      <c r="T137" s="40"/>
      <c r="U137" s="40"/>
      <c r="V137" s="40"/>
      <c r="W137" s="40"/>
      <c r="X137" s="40"/>
      <c r="Y137" s="40"/>
    </row>
    <row r="138" spans="1:25" x14ac:dyDescent="0.2">
      <c r="Q138" s="40"/>
      <c r="R138" s="40"/>
      <c r="S138" s="40"/>
      <c r="T138" s="40"/>
      <c r="U138" s="40"/>
      <c r="V138" s="40"/>
      <c r="W138" s="40"/>
      <c r="X138" s="40"/>
      <c r="Y138" s="40"/>
    </row>
    <row r="139" spans="1:25" x14ac:dyDescent="0.2">
      <c r="Q139" s="40"/>
      <c r="R139" s="40"/>
      <c r="S139" s="40"/>
      <c r="T139" s="40"/>
      <c r="U139" s="40"/>
      <c r="V139" s="40"/>
      <c r="W139" s="40"/>
      <c r="X139" s="40"/>
      <c r="Y139" s="40"/>
    </row>
    <row r="140" spans="1:25" x14ac:dyDescent="0.2">
      <c r="Q140" s="40"/>
      <c r="R140" s="40"/>
      <c r="S140" s="40"/>
      <c r="T140" s="40"/>
      <c r="U140" s="40"/>
      <c r="V140" s="40"/>
      <c r="W140" s="40"/>
      <c r="X140" s="40"/>
      <c r="Y140" s="40"/>
    </row>
    <row r="141" spans="1:25" x14ac:dyDescent="0.2">
      <c r="Q141" s="40"/>
      <c r="R141" s="40"/>
      <c r="S141" s="40"/>
      <c r="T141" s="40"/>
      <c r="U141" s="40"/>
      <c r="V141" s="40"/>
      <c r="W141" s="40"/>
      <c r="X141" s="40"/>
      <c r="Y141" s="40"/>
    </row>
    <row r="142" spans="1:25" x14ac:dyDescent="0.2">
      <c r="Q142" s="40"/>
      <c r="R142" s="40"/>
      <c r="S142" s="40"/>
      <c r="T142" s="40"/>
      <c r="U142" s="40"/>
      <c r="V142" s="40"/>
      <c r="W142" s="40"/>
      <c r="X142" s="40"/>
      <c r="Y142" s="40"/>
    </row>
    <row r="143" spans="1:25" x14ac:dyDescent="0.2">
      <c r="Q143" s="40"/>
      <c r="R143" s="40"/>
      <c r="S143" s="40"/>
      <c r="T143" s="40"/>
      <c r="U143" s="40"/>
      <c r="V143" s="40"/>
      <c r="W143" s="40"/>
      <c r="X143" s="40"/>
      <c r="Y143" s="40"/>
    </row>
    <row r="144" spans="1:25" x14ac:dyDescent="0.2">
      <c r="Q144" s="40"/>
      <c r="R144" s="40"/>
      <c r="S144" s="40"/>
      <c r="T144" s="40"/>
      <c r="U144" s="40"/>
      <c r="V144" s="40"/>
      <c r="W144" s="40"/>
      <c r="X144" s="40"/>
      <c r="Y144" s="40"/>
    </row>
    <row r="145" spans="17:25" x14ac:dyDescent="0.2">
      <c r="Q145" s="40"/>
      <c r="R145" s="40"/>
      <c r="S145" s="40"/>
      <c r="T145" s="40"/>
      <c r="U145" s="40"/>
      <c r="V145" s="40"/>
      <c r="W145" s="40"/>
      <c r="X145" s="40"/>
      <c r="Y145" s="40"/>
    </row>
    <row r="146" spans="17:25" x14ac:dyDescent="0.2">
      <c r="Q146" s="40"/>
      <c r="R146" s="40"/>
      <c r="S146" s="40"/>
      <c r="T146" s="40"/>
      <c r="U146" s="40"/>
      <c r="V146" s="40"/>
      <c r="W146" s="40"/>
      <c r="X146" s="40"/>
      <c r="Y146" s="40"/>
    </row>
    <row r="147" spans="17:25" x14ac:dyDescent="0.2">
      <c r="Q147" s="40"/>
      <c r="R147" s="40"/>
      <c r="S147" s="40"/>
      <c r="T147" s="40"/>
      <c r="U147" s="40"/>
      <c r="V147" s="40"/>
      <c r="W147" s="40"/>
      <c r="X147" s="40"/>
      <c r="Y147" s="40"/>
    </row>
    <row r="148" spans="17:25" x14ac:dyDescent="0.2">
      <c r="Q148" s="40"/>
      <c r="R148" s="40"/>
      <c r="S148" s="40"/>
      <c r="T148" s="40"/>
      <c r="U148" s="40"/>
      <c r="V148" s="40"/>
      <c r="W148" s="40"/>
      <c r="X148" s="40"/>
      <c r="Y148" s="40"/>
    </row>
    <row r="149" spans="17:25" x14ac:dyDescent="0.2">
      <c r="Q149" s="40"/>
      <c r="R149" s="40"/>
      <c r="S149" s="40"/>
      <c r="T149" s="40"/>
      <c r="U149" s="40"/>
      <c r="V149" s="40"/>
      <c r="W149" s="40"/>
      <c r="X149" s="40"/>
      <c r="Y149" s="40"/>
    </row>
    <row r="150" spans="17:25" x14ac:dyDescent="0.2">
      <c r="Q150" s="40"/>
      <c r="R150" s="40"/>
      <c r="S150" s="40"/>
      <c r="T150" s="40"/>
      <c r="U150" s="40"/>
      <c r="V150" s="40"/>
      <c r="W150" s="40"/>
      <c r="X150" s="40"/>
      <c r="Y150" s="40"/>
    </row>
    <row r="151" spans="17:25" x14ac:dyDescent="0.2">
      <c r="Q151" s="40"/>
      <c r="R151" s="40"/>
      <c r="S151" s="40"/>
      <c r="T151" s="40"/>
      <c r="U151" s="40"/>
      <c r="V151" s="40"/>
      <c r="W151" s="40"/>
      <c r="X151" s="40"/>
      <c r="Y151" s="40"/>
    </row>
    <row r="152" spans="17:25" x14ac:dyDescent="0.2">
      <c r="Q152" s="40"/>
      <c r="R152" s="40"/>
      <c r="S152" s="40"/>
      <c r="T152" s="40"/>
      <c r="U152" s="40"/>
      <c r="V152" s="40"/>
      <c r="W152" s="40"/>
      <c r="X152" s="40"/>
      <c r="Y152" s="40"/>
    </row>
    <row r="153" spans="17:25" x14ac:dyDescent="0.2">
      <c r="Q153" s="40"/>
      <c r="R153" s="40"/>
      <c r="S153" s="40"/>
      <c r="T153" s="40"/>
      <c r="U153" s="40"/>
      <c r="V153" s="40"/>
      <c r="W153" s="40"/>
      <c r="X153" s="40"/>
      <c r="Y153" s="40"/>
    </row>
    <row r="154" spans="17:25" x14ac:dyDescent="0.2">
      <c r="Q154" s="40"/>
      <c r="R154" s="40"/>
      <c r="S154" s="40"/>
      <c r="T154" s="40"/>
      <c r="U154" s="40"/>
      <c r="V154" s="40"/>
      <c r="W154" s="40"/>
      <c r="X154" s="40"/>
      <c r="Y154" s="40"/>
    </row>
    <row r="155" spans="17:25" x14ac:dyDescent="0.2">
      <c r="Q155" s="40"/>
      <c r="R155" s="40"/>
      <c r="S155" s="40"/>
      <c r="T155" s="40"/>
      <c r="U155" s="40"/>
      <c r="V155" s="40"/>
      <c r="W155" s="40"/>
      <c r="X155" s="40"/>
      <c r="Y155" s="40"/>
    </row>
    <row r="156" spans="17:25" x14ac:dyDescent="0.2">
      <c r="Q156" s="40"/>
      <c r="R156" s="40"/>
      <c r="S156" s="40"/>
      <c r="T156" s="40"/>
      <c r="U156" s="40"/>
      <c r="V156" s="40"/>
      <c r="W156" s="40"/>
      <c r="X156" s="40"/>
      <c r="Y156" s="40"/>
    </row>
    <row r="157" spans="17:25" x14ac:dyDescent="0.2">
      <c r="Q157" s="40"/>
      <c r="R157" s="40"/>
      <c r="S157" s="40"/>
      <c r="T157" s="40"/>
      <c r="U157" s="40"/>
      <c r="V157" s="40"/>
      <c r="W157" s="40"/>
      <c r="X157" s="40"/>
      <c r="Y157" s="40"/>
    </row>
    <row r="158" spans="17:25" x14ac:dyDescent="0.2">
      <c r="Q158" s="40"/>
      <c r="R158" s="40"/>
      <c r="S158" s="40"/>
      <c r="T158" s="40"/>
      <c r="U158" s="40"/>
      <c r="V158" s="40"/>
      <c r="W158" s="40"/>
      <c r="X158" s="40"/>
      <c r="Y158" s="40"/>
    </row>
    <row r="159" spans="17:25" x14ac:dyDescent="0.2">
      <c r="Q159" s="40"/>
      <c r="R159" s="40"/>
      <c r="S159" s="40"/>
      <c r="T159" s="40"/>
      <c r="U159" s="40"/>
      <c r="V159" s="40"/>
      <c r="W159" s="40"/>
      <c r="X159" s="40"/>
      <c r="Y159" s="40"/>
    </row>
    <row r="160" spans="17:25" x14ac:dyDescent="0.2">
      <c r="Q160" s="40"/>
      <c r="R160" s="40"/>
      <c r="S160" s="40"/>
      <c r="T160" s="40"/>
      <c r="U160" s="40"/>
      <c r="V160" s="40"/>
      <c r="W160" s="40"/>
      <c r="X160" s="40"/>
      <c r="Y160" s="40"/>
    </row>
    <row r="161" spans="17:25" x14ac:dyDescent="0.2">
      <c r="Q161" s="40"/>
      <c r="R161" s="40"/>
      <c r="S161" s="40"/>
      <c r="T161" s="40"/>
      <c r="U161" s="40"/>
      <c r="V161" s="40"/>
      <c r="W161" s="40"/>
      <c r="X161" s="40"/>
      <c r="Y161" s="40"/>
    </row>
    <row r="162" spans="17:25" x14ac:dyDescent="0.2">
      <c r="Q162" s="40"/>
      <c r="R162" s="40"/>
      <c r="S162" s="40"/>
      <c r="T162" s="40"/>
      <c r="U162" s="40"/>
      <c r="V162" s="40"/>
      <c r="W162" s="40"/>
      <c r="X162" s="40"/>
      <c r="Y162" s="40"/>
    </row>
    <row r="163" spans="17:25" x14ac:dyDescent="0.2">
      <c r="Q163" s="40"/>
      <c r="R163" s="40"/>
      <c r="S163" s="40"/>
      <c r="T163" s="40"/>
      <c r="U163" s="40"/>
      <c r="V163" s="40"/>
      <c r="W163" s="40"/>
      <c r="X163" s="40"/>
      <c r="Y163" s="40"/>
    </row>
    <row r="164" spans="17:25" x14ac:dyDescent="0.2">
      <c r="Q164" s="40"/>
      <c r="R164" s="40"/>
      <c r="S164" s="40"/>
      <c r="T164" s="40"/>
      <c r="U164" s="40"/>
      <c r="V164" s="40"/>
      <c r="W164" s="40"/>
      <c r="X164" s="40"/>
      <c r="Y164" s="40"/>
    </row>
    <row r="165" spans="17:25" x14ac:dyDescent="0.2">
      <c r="Q165" s="40"/>
      <c r="R165" s="40"/>
      <c r="S165" s="40"/>
      <c r="T165" s="40"/>
      <c r="U165" s="40"/>
      <c r="V165" s="40"/>
      <c r="W165" s="40"/>
      <c r="X165" s="40"/>
      <c r="Y165" s="40"/>
    </row>
    <row r="166" spans="17:25" x14ac:dyDescent="0.2">
      <c r="Q166" s="40"/>
      <c r="R166" s="40"/>
      <c r="S166" s="40"/>
      <c r="T166" s="40"/>
      <c r="U166" s="40"/>
      <c r="V166" s="40"/>
      <c r="W166" s="40"/>
      <c r="X166" s="40"/>
      <c r="Y166" s="40"/>
    </row>
    <row r="167" spans="17:25" x14ac:dyDescent="0.2">
      <c r="Q167" s="40"/>
      <c r="R167" s="40"/>
      <c r="S167" s="40"/>
      <c r="T167" s="40"/>
      <c r="U167" s="40"/>
      <c r="V167" s="40"/>
      <c r="W167" s="40"/>
      <c r="X167" s="40"/>
      <c r="Y167" s="40"/>
    </row>
    <row r="168" spans="17:25" x14ac:dyDescent="0.2">
      <c r="Q168" s="40"/>
      <c r="R168" s="40"/>
      <c r="S168" s="40"/>
      <c r="T168" s="40"/>
      <c r="U168" s="40"/>
      <c r="V168" s="40"/>
      <c r="W168" s="40"/>
      <c r="X168" s="40"/>
      <c r="Y168" s="40"/>
    </row>
    <row r="169" spans="17:25" x14ac:dyDescent="0.2">
      <c r="Q169" s="40"/>
      <c r="R169" s="40"/>
      <c r="S169" s="40"/>
      <c r="T169" s="40"/>
      <c r="U169" s="40"/>
      <c r="V169" s="40"/>
      <c r="W169" s="40"/>
      <c r="X169" s="40"/>
      <c r="Y169" s="40"/>
    </row>
    <row r="170" spans="17:25" x14ac:dyDescent="0.2">
      <c r="Q170" s="40"/>
      <c r="R170" s="40"/>
      <c r="S170" s="40"/>
      <c r="T170" s="40"/>
      <c r="U170" s="40"/>
      <c r="V170" s="40"/>
      <c r="W170" s="40"/>
      <c r="X170" s="40"/>
      <c r="Y170" s="40"/>
    </row>
    <row r="171" spans="17:25" x14ac:dyDescent="0.2">
      <c r="Q171" s="40"/>
      <c r="R171" s="40"/>
      <c r="S171" s="40"/>
      <c r="T171" s="40"/>
      <c r="U171" s="40"/>
      <c r="V171" s="40"/>
      <c r="W171" s="40"/>
      <c r="X171" s="40"/>
      <c r="Y171" s="40"/>
    </row>
    <row r="172" spans="17:25" x14ac:dyDescent="0.2">
      <c r="Q172" s="40"/>
      <c r="R172" s="40"/>
      <c r="S172" s="40"/>
      <c r="T172" s="40"/>
      <c r="U172" s="40"/>
      <c r="V172" s="40"/>
      <c r="W172" s="40"/>
      <c r="X172" s="40"/>
      <c r="Y172" s="40"/>
    </row>
    <row r="173" spans="17:25" x14ac:dyDescent="0.2">
      <c r="Q173" s="40"/>
      <c r="R173" s="40"/>
      <c r="S173" s="40"/>
      <c r="T173" s="40"/>
      <c r="U173" s="40"/>
      <c r="V173" s="40"/>
      <c r="W173" s="40"/>
      <c r="X173" s="40"/>
      <c r="Y173" s="40"/>
    </row>
    <row r="174" spans="17:25" x14ac:dyDescent="0.2">
      <c r="Q174" s="40"/>
      <c r="R174" s="40"/>
      <c r="S174" s="40"/>
      <c r="T174" s="40"/>
      <c r="U174" s="40"/>
      <c r="V174" s="40"/>
      <c r="W174" s="40"/>
      <c r="X174" s="40"/>
      <c r="Y174" s="40"/>
    </row>
    <row r="175" spans="17:25" x14ac:dyDescent="0.2">
      <c r="Q175" s="40"/>
      <c r="R175" s="40"/>
      <c r="S175" s="40"/>
      <c r="T175" s="40"/>
      <c r="U175" s="40"/>
      <c r="V175" s="40"/>
      <c r="W175" s="40"/>
      <c r="X175" s="40"/>
      <c r="Y175" s="40"/>
    </row>
    <row r="176" spans="17:25" x14ac:dyDescent="0.2">
      <c r="Q176" s="40"/>
      <c r="R176" s="40"/>
      <c r="S176" s="40"/>
      <c r="T176" s="40"/>
      <c r="U176" s="40"/>
      <c r="V176" s="40"/>
      <c r="W176" s="40"/>
      <c r="X176" s="40"/>
      <c r="Y176" s="40"/>
    </row>
    <row r="177" spans="17:25" x14ac:dyDescent="0.2">
      <c r="Q177" s="40"/>
      <c r="R177" s="40"/>
      <c r="S177" s="40"/>
      <c r="T177" s="40"/>
      <c r="U177" s="40"/>
      <c r="V177" s="40"/>
      <c r="W177" s="40"/>
      <c r="X177" s="40"/>
      <c r="Y177" s="40"/>
    </row>
    <row r="178" spans="17:25" x14ac:dyDescent="0.2">
      <c r="Q178" s="40"/>
      <c r="R178" s="40"/>
      <c r="S178" s="40"/>
      <c r="T178" s="40"/>
      <c r="U178" s="40"/>
      <c r="V178" s="40"/>
      <c r="W178" s="40"/>
      <c r="X178" s="40"/>
      <c r="Y178" s="40"/>
    </row>
    <row r="179" spans="17:25" x14ac:dyDescent="0.2">
      <c r="Q179" s="40"/>
      <c r="R179" s="40"/>
      <c r="S179" s="40"/>
      <c r="T179" s="40"/>
      <c r="U179" s="40"/>
      <c r="V179" s="40"/>
      <c r="W179" s="40"/>
      <c r="X179" s="40"/>
      <c r="Y179" s="40"/>
    </row>
    <row r="180" spans="17:25" x14ac:dyDescent="0.2">
      <c r="Q180" s="40"/>
      <c r="R180" s="40"/>
      <c r="S180" s="40"/>
      <c r="T180" s="40"/>
      <c r="U180" s="40"/>
      <c r="V180" s="40"/>
      <c r="W180" s="40"/>
      <c r="X180" s="40"/>
      <c r="Y180" s="40"/>
    </row>
    <row r="181" spans="17:25" x14ac:dyDescent="0.2">
      <c r="Q181" s="40"/>
      <c r="R181" s="40"/>
      <c r="S181" s="40"/>
      <c r="T181" s="40"/>
      <c r="U181" s="40"/>
      <c r="V181" s="40"/>
      <c r="W181" s="40"/>
      <c r="X181" s="40"/>
      <c r="Y181" s="40"/>
    </row>
    <row r="182" spans="17:25" x14ac:dyDescent="0.2">
      <c r="Q182" s="40"/>
      <c r="R182" s="40"/>
      <c r="S182" s="40"/>
      <c r="T182" s="40"/>
      <c r="U182" s="40"/>
      <c r="V182" s="40"/>
      <c r="W182" s="40"/>
      <c r="X182" s="40"/>
      <c r="Y182" s="40"/>
    </row>
    <row r="183" spans="17:25" x14ac:dyDescent="0.2">
      <c r="Q183" s="40"/>
      <c r="R183" s="40"/>
      <c r="S183" s="40"/>
      <c r="T183" s="40"/>
      <c r="U183" s="40"/>
      <c r="V183" s="40"/>
      <c r="W183" s="40"/>
      <c r="X183" s="40"/>
      <c r="Y183" s="40"/>
    </row>
    <row r="184" spans="17:25" x14ac:dyDescent="0.2">
      <c r="Q184" s="40"/>
      <c r="R184" s="40"/>
      <c r="S184" s="40"/>
      <c r="T184" s="40"/>
      <c r="U184" s="40"/>
      <c r="V184" s="40"/>
      <c r="W184" s="40"/>
      <c r="X184" s="40"/>
      <c r="Y184" s="40"/>
    </row>
    <row r="185" spans="17:25" x14ac:dyDescent="0.2">
      <c r="Q185" s="40"/>
      <c r="R185" s="40"/>
      <c r="S185" s="40"/>
      <c r="T185" s="40"/>
      <c r="U185" s="40"/>
      <c r="V185" s="40"/>
      <c r="W185" s="40"/>
      <c r="X185" s="40"/>
      <c r="Y185" s="40"/>
    </row>
    <row r="186" spans="17:25" x14ac:dyDescent="0.2">
      <c r="Q186" s="40"/>
      <c r="R186" s="40"/>
      <c r="S186" s="40"/>
      <c r="T186" s="40"/>
      <c r="U186" s="40"/>
      <c r="V186" s="40"/>
      <c r="W186" s="40"/>
      <c r="X186" s="40"/>
      <c r="Y186" s="40"/>
    </row>
    <row r="187" spans="17:25" x14ac:dyDescent="0.2">
      <c r="Q187" s="40"/>
      <c r="R187" s="40"/>
      <c r="S187" s="40"/>
      <c r="T187" s="40"/>
      <c r="U187" s="40"/>
      <c r="V187" s="40"/>
      <c r="W187" s="40"/>
      <c r="X187" s="40"/>
      <c r="Y187" s="40"/>
    </row>
    <row r="188" spans="17:25" x14ac:dyDescent="0.2">
      <c r="Q188" s="40"/>
      <c r="R188" s="40"/>
      <c r="S188" s="40"/>
      <c r="T188" s="40"/>
      <c r="U188" s="40"/>
      <c r="V188" s="40"/>
      <c r="W188" s="40"/>
      <c r="X188" s="40"/>
      <c r="Y188" s="40"/>
    </row>
    <row r="189" spans="17:25" x14ac:dyDescent="0.2">
      <c r="Q189" s="40"/>
      <c r="R189" s="40"/>
      <c r="S189" s="40"/>
      <c r="T189" s="40"/>
      <c r="U189" s="40"/>
      <c r="V189" s="40"/>
      <c r="W189" s="40"/>
      <c r="X189" s="40"/>
      <c r="Y189" s="40"/>
    </row>
    <row r="190" spans="17:25" x14ac:dyDescent="0.2">
      <c r="Q190" s="40"/>
      <c r="R190" s="40"/>
      <c r="S190" s="40"/>
      <c r="T190" s="40"/>
      <c r="U190" s="40"/>
      <c r="V190" s="40"/>
      <c r="W190" s="40"/>
      <c r="X190" s="40"/>
      <c r="Y190" s="40"/>
    </row>
    <row r="191" spans="17:25" x14ac:dyDescent="0.2">
      <c r="Q191" s="40"/>
      <c r="R191" s="40"/>
      <c r="S191" s="40"/>
      <c r="T191" s="40"/>
      <c r="U191" s="40"/>
      <c r="V191" s="40"/>
      <c r="W191" s="40"/>
      <c r="X191" s="40"/>
      <c r="Y191" s="40"/>
    </row>
    <row r="192" spans="17:25" x14ac:dyDescent="0.2">
      <c r="Q192" s="40"/>
      <c r="R192" s="40"/>
      <c r="S192" s="40"/>
      <c r="T192" s="40"/>
      <c r="U192" s="40"/>
      <c r="V192" s="40"/>
      <c r="W192" s="40"/>
      <c r="X192" s="40"/>
      <c r="Y192" s="40"/>
    </row>
    <row r="193" spans="17:25" x14ac:dyDescent="0.2">
      <c r="Q193" s="40"/>
      <c r="R193" s="40"/>
      <c r="S193" s="40"/>
      <c r="T193" s="40"/>
      <c r="U193" s="40"/>
      <c r="V193" s="40"/>
      <c r="W193" s="40"/>
      <c r="X193" s="40"/>
      <c r="Y193" s="40"/>
    </row>
    <row r="194" spans="17:25" x14ac:dyDescent="0.2">
      <c r="Q194" s="40"/>
      <c r="R194" s="40"/>
      <c r="S194" s="40"/>
      <c r="T194" s="40"/>
      <c r="U194" s="40"/>
      <c r="V194" s="40"/>
      <c r="W194" s="40"/>
      <c r="X194" s="40"/>
      <c r="Y194" s="40"/>
    </row>
    <row r="195" spans="17:25" x14ac:dyDescent="0.2">
      <c r="Q195" s="40"/>
      <c r="R195" s="40"/>
      <c r="S195" s="40"/>
      <c r="T195" s="40"/>
      <c r="U195" s="40"/>
      <c r="V195" s="40"/>
      <c r="W195" s="40"/>
      <c r="X195" s="40"/>
      <c r="Y195" s="40"/>
    </row>
    <row r="196" spans="17:25" x14ac:dyDescent="0.2">
      <c r="Q196" s="40"/>
      <c r="R196" s="40"/>
      <c r="S196" s="40"/>
      <c r="T196" s="40"/>
      <c r="U196" s="40"/>
      <c r="V196" s="40"/>
      <c r="W196" s="40"/>
      <c r="X196" s="40"/>
      <c r="Y196" s="40"/>
    </row>
    <row r="197" spans="17:25" x14ac:dyDescent="0.2">
      <c r="Q197" s="40"/>
      <c r="R197" s="40"/>
      <c r="S197" s="40"/>
      <c r="T197" s="40"/>
      <c r="U197" s="40"/>
      <c r="V197" s="40"/>
      <c r="W197" s="40"/>
      <c r="X197" s="40"/>
      <c r="Y197" s="40"/>
    </row>
    <row r="198" spans="17:25" x14ac:dyDescent="0.2">
      <c r="Q198" s="40"/>
      <c r="R198" s="40"/>
      <c r="S198" s="40"/>
      <c r="T198" s="40"/>
      <c r="U198" s="40"/>
      <c r="V198" s="40"/>
      <c r="W198" s="40"/>
      <c r="X198" s="40"/>
      <c r="Y198" s="40"/>
    </row>
    <row r="199" spans="17:25" x14ac:dyDescent="0.2">
      <c r="Q199" s="40"/>
      <c r="R199" s="40"/>
      <c r="S199" s="40"/>
      <c r="T199" s="40"/>
      <c r="U199" s="40"/>
      <c r="V199" s="40"/>
      <c r="W199" s="40"/>
      <c r="X199" s="40"/>
      <c r="Y199" s="40"/>
    </row>
    <row r="200" spans="17:25" x14ac:dyDescent="0.2">
      <c r="Q200" s="40"/>
      <c r="R200" s="40"/>
      <c r="S200" s="40"/>
      <c r="T200" s="40"/>
      <c r="U200" s="40"/>
      <c r="V200" s="40"/>
      <c r="W200" s="40"/>
      <c r="X200" s="40"/>
      <c r="Y200" s="40"/>
    </row>
    <row r="201" spans="17:25" x14ac:dyDescent="0.2">
      <c r="Q201" s="40"/>
      <c r="R201" s="40"/>
      <c r="S201" s="40"/>
      <c r="T201" s="40"/>
      <c r="U201" s="40"/>
      <c r="V201" s="40"/>
      <c r="W201" s="40"/>
      <c r="X201" s="40"/>
      <c r="Y201" s="40"/>
    </row>
    <row r="202" spans="17:25" x14ac:dyDescent="0.2">
      <c r="Q202" s="40"/>
      <c r="R202" s="40"/>
      <c r="S202" s="40"/>
      <c r="T202" s="40"/>
      <c r="U202" s="40"/>
      <c r="V202" s="40"/>
      <c r="W202" s="40"/>
      <c r="X202" s="40"/>
      <c r="Y202" s="40"/>
    </row>
    <row r="203" spans="17:25" x14ac:dyDescent="0.2">
      <c r="Q203" s="40"/>
      <c r="R203" s="40"/>
      <c r="S203" s="40"/>
      <c r="T203" s="40"/>
      <c r="U203" s="40"/>
      <c r="V203" s="40"/>
      <c r="W203" s="40"/>
      <c r="X203" s="40"/>
      <c r="Y203" s="40"/>
    </row>
    <row r="204" spans="17:25" x14ac:dyDescent="0.2">
      <c r="Q204" s="40"/>
      <c r="R204" s="40"/>
      <c r="S204" s="40"/>
      <c r="T204" s="40"/>
      <c r="U204" s="40"/>
      <c r="V204" s="40"/>
      <c r="W204" s="40"/>
      <c r="X204" s="40"/>
      <c r="Y204" s="40"/>
    </row>
    <row r="205" spans="17:25" x14ac:dyDescent="0.2">
      <c r="Q205" s="40"/>
      <c r="R205" s="40"/>
      <c r="S205" s="40"/>
      <c r="T205" s="40"/>
      <c r="U205" s="40"/>
      <c r="V205" s="40"/>
      <c r="W205" s="40"/>
      <c r="X205" s="40"/>
      <c r="Y205" s="40"/>
    </row>
    <row r="206" spans="17:25" x14ac:dyDescent="0.2">
      <c r="Q206" s="40"/>
      <c r="R206" s="40"/>
      <c r="S206" s="40"/>
      <c r="T206" s="40"/>
      <c r="U206" s="40"/>
      <c r="V206" s="40"/>
      <c r="W206" s="40"/>
      <c r="X206" s="40"/>
      <c r="Y206" s="40"/>
    </row>
    <row r="207" spans="17:25" x14ac:dyDescent="0.2">
      <c r="Q207" s="40"/>
      <c r="R207" s="40"/>
      <c r="S207" s="40"/>
      <c r="T207" s="40"/>
      <c r="U207" s="40"/>
      <c r="V207" s="40"/>
      <c r="W207" s="40"/>
      <c r="X207" s="40"/>
      <c r="Y207" s="40"/>
    </row>
    <row r="208" spans="17:25" x14ac:dyDescent="0.2">
      <c r="Q208" s="40"/>
      <c r="R208" s="40"/>
      <c r="S208" s="40"/>
      <c r="T208" s="40"/>
      <c r="U208" s="40"/>
      <c r="V208" s="40"/>
      <c r="W208" s="40"/>
      <c r="X208" s="40"/>
      <c r="Y208" s="40"/>
    </row>
    <row r="209" spans="17:25" x14ac:dyDescent="0.2">
      <c r="Q209" s="40"/>
      <c r="R209" s="40"/>
      <c r="S209" s="40"/>
      <c r="T209" s="40"/>
      <c r="U209" s="40"/>
      <c r="V209" s="40"/>
      <c r="W209" s="40"/>
      <c r="X209" s="40"/>
      <c r="Y209" s="40"/>
    </row>
  </sheetData>
  <mergeCells count="50">
    <mergeCell ref="L1:O1"/>
    <mergeCell ref="L102:O102"/>
    <mergeCell ref="P102:P131"/>
    <mergeCell ref="B104:D104"/>
    <mergeCell ref="F104:G104"/>
    <mergeCell ref="H104:K104"/>
    <mergeCell ref="L104:O104"/>
    <mergeCell ref="B105:D105"/>
    <mergeCell ref="F105:G105"/>
    <mergeCell ref="H105:K105"/>
    <mergeCell ref="L105:O105"/>
    <mergeCell ref="B107:D107"/>
    <mergeCell ref="F107:G107"/>
    <mergeCell ref="H107:K107"/>
    <mergeCell ref="L107:O107"/>
    <mergeCell ref="B108:D108"/>
    <mergeCell ref="F108:G108"/>
    <mergeCell ref="H108:K108"/>
    <mergeCell ref="L108:O108"/>
    <mergeCell ref="B109:D109"/>
    <mergeCell ref="F109:G109"/>
    <mergeCell ref="H109:K109"/>
    <mergeCell ref="L109:O109"/>
    <mergeCell ref="B111:D111"/>
    <mergeCell ref="F111:G111"/>
    <mergeCell ref="H111:K111"/>
    <mergeCell ref="L111:O111"/>
    <mergeCell ref="B112:D112"/>
    <mergeCell ref="F112:G112"/>
    <mergeCell ref="H112:K112"/>
    <mergeCell ref="L112:O112"/>
    <mergeCell ref="E116:E117"/>
    <mergeCell ref="A120:B120"/>
    <mergeCell ref="C120:D120"/>
    <mergeCell ref="G120:O120"/>
    <mergeCell ref="A121:B121"/>
    <mergeCell ref="C121:D121"/>
    <mergeCell ref="G121:O126"/>
    <mergeCell ref="A122:B122"/>
    <mergeCell ref="C122:D122"/>
    <mergeCell ref="A123:B123"/>
    <mergeCell ref="N128:O128"/>
    <mergeCell ref="N130:O130"/>
    <mergeCell ref="C123:D123"/>
    <mergeCell ref="A124:B124"/>
    <mergeCell ref="C124:D124"/>
    <mergeCell ref="A125:B125"/>
    <mergeCell ref="C125:D125"/>
    <mergeCell ref="A126:B126"/>
    <mergeCell ref="C126:D126"/>
  </mergeCells>
  <printOptions horizontalCentered="1"/>
  <pageMargins left="0" right="0.2" top="0" bottom="0" header="0.3" footer="1.4"/>
  <pageSetup paperSize="9" scale="48" fitToHeight="2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  <pageSetUpPr fitToPage="1"/>
  </sheetPr>
  <dimension ref="A2:X76"/>
  <sheetViews>
    <sheetView workbookViewId="0">
      <pane ySplit="3" topLeftCell="A4" activePane="bottomLeft" state="frozen"/>
      <selection activeCell="A169" sqref="A169:XFD873"/>
      <selection pane="bottomLeft" activeCell="G24" sqref="G24"/>
    </sheetView>
  </sheetViews>
  <sheetFormatPr defaultRowHeight="15" x14ac:dyDescent="0.2"/>
  <cols>
    <col min="1" max="1" width="11.703125" bestFit="1" customWidth="1"/>
    <col min="2" max="2" width="16.94921875" bestFit="1" customWidth="1"/>
    <col min="3" max="3" width="10.625" bestFit="1" customWidth="1"/>
    <col min="4" max="4" width="8.203125" customWidth="1"/>
    <col min="5" max="5" width="7.26171875" customWidth="1"/>
    <col min="6" max="6" width="7.80078125" bestFit="1" customWidth="1"/>
    <col min="7" max="7" width="9.14453125" customWidth="1"/>
    <col min="8" max="8" width="11.56640625" bestFit="1" customWidth="1"/>
    <col min="9" max="9" width="9.68359375" customWidth="1"/>
    <col min="10" max="10" width="7.26171875" customWidth="1"/>
    <col min="11" max="11" width="8.33984375" customWidth="1"/>
    <col min="12" max="16" width="6.3203125" customWidth="1"/>
    <col min="17" max="17" width="5.24609375" customWidth="1"/>
    <col min="18" max="18" width="4.5703125" bestFit="1" customWidth="1"/>
    <col min="19" max="19" width="5.91796875" customWidth="1"/>
    <col min="20" max="20" width="7.6640625" customWidth="1"/>
    <col min="21" max="21" width="9.55078125" customWidth="1"/>
    <col min="22" max="22" width="12.23828125" customWidth="1"/>
    <col min="23" max="23" width="9.28125" style="36" bestFit="1" customWidth="1"/>
    <col min="24" max="24" width="8.609375" style="36" customWidth="1"/>
  </cols>
  <sheetData>
    <row r="2" spans="1:24" ht="29.25" customHeight="1" x14ac:dyDescent="0.2">
      <c r="A2" s="232" t="s">
        <v>88</v>
      </c>
      <c r="B2" s="232" t="s">
        <v>89</v>
      </c>
      <c r="C2" s="235" t="s">
        <v>90</v>
      </c>
      <c r="D2" s="232" t="s">
        <v>91</v>
      </c>
      <c r="E2" s="232" t="s">
        <v>92</v>
      </c>
      <c r="F2" s="232" t="s">
        <v>13</v>
      </c>
      <c r="G2" s="232" t="s">
        <v>93</v>
      </c>
      <c r="H2" s="232" t="s">
        <v>94</v>
      </c>
      <c r="I2" s="232" t="s">
        <v>95</v>
      </c>
      <c r="J2" s="232" t="s">
        <v>96</v>
      </c>
      <c r="K2" s="232" t="s">
        <v>97</v>
      </c>
      <c r="L2" s="232" t="s">
        <v>98</v>
      </c>
      <c r="M2" s="232"/>
      <c r="N2" s="232"/>
      <c r="O2" s="232"/>
      <c r="P2" s="232"/>
      <c r="Q2" s="232"/>
      <c r="R2" s="232"/>
      <c r="S2" s="232"/>
      <c r="T2" s="143" t="s">
        <v>99</v>
      </c>
      <c r="U2" s="231" t="s">
        <v>100</v>
      </c>
      <c r="V2" s="233" t="s">
        <v>101</v>
      </c>
      <c r="W2" s="231" t="s">
        <v>102</v>
      </c>
      <c r="X2" s="231" t="s">
        <v>103</v>
      </c>
    </row>
    <row r="3" spans="1:24" ht="47.25" customHeight="1" x14ac:dyDescent="0.2">
      <c r="A3" s="232"/>
      <c r="B3" s="232"/>
      <c r="C3" s="236"/>
      <c r="D3" s="232"/>
      <c r="E3" s="232"/>
      <c r="F3" s="232"/>
      <c r="G3" s="232"/>
      <c r="H3" s="232"/>
      <c r="I3" s="232"/>
      <c r="J3" s="232"/>
      <c r="K3" s="232"/>
      <c r="L3" s="143" t="s">
        <v>104</v>
      </c>
      <c r="M3" s="143" t="s">
        <v>105</v>
      </c>
      <c r="N3" s="143" t="s">
        <v>106</v>
      </c>
      <c r="O3" s="144" t="s">
        <v>107</v>
      </c>
      <c r="P3" s="144" t="s">
        <v>108</v>
      </c>
      <c r="Q3" s="143" t="s">
        <v>109</v>
      </c>
      <c r="R3" s="143" t="s">
        <v>87</v>
      </c>
      <c r="S3" s="143" t="s">
        <v>110</v>
      </c>
      <c r="T3" s="143"/>
      <c r="U3" s="232"/>
      <c r="V3" s="234"/>
      <c r="W3" s="232"/>
      <c r="X3" s="232"/>
    </row>
    <row r="4" spans="1:24" ht="15" customHeight="1" x14ac:dyDescent="0.2">
      <c r="A4" s="145" t="s">
        <v>111</v>
      </c>
      <c r="B4" s="145" t="s">
        <v>112</v>
      </c>
      <c r="C4" s="145" t="s">
        <v>113</v>
      </c>
      <c r="D4" s="146">
        <v>7.5</v>
      </c>
      <c r="E4" s="147">
        <v>36</v>
      </c>
      <c r="F4" s="147">
        <v>7.34</v>
      </c>
      <c r="G4" s="146">
        <f>D4*E4*F4/1000</f>
        <v>1.9818</v>
      </c>
      <c r="H4" s="145" t="s">
        <v>114</v>
      </c>
      <c r="I4" s="146">
        <f>U4/K4</f>
        <v>1.5611837560865132</v>
      </c>
      <c r="J4" s="147">
        <v>30</v>
      </c>
      <c r="K4" s="148">
        <v>176.62</v>
      </c>
      <c r="L4" s="149">
        <v>12</v>
      </c>
      <c r="M4" s="149">
        <v>12</v>
      </c>
      <c r="N4" s="149">
        <v>12</v>
      </c>
      <c r="O4" s="149">
        <v>0</v>
      </c>
      <c r="P4" s="149">
        <v>0</v>
      </c>
      <c r="Q4" s="149">
        <f>SUM(L4:P4)</f>
        <v>36</v>
      </c>
      <c r="R4" s="150">
        <f>(Q4+S4)*2.5%</f>
        <v>0.91625000000000001</v>
      </c>
      <c r="S4" s="151">
        <v>0.65</v>
      </c>
      <c r="T4" s="152">
        <f>SUM(Q4:S4)</f>
        <v>37.566249999999997</v>
      </c>
      <c r="U4" s="146">
        <f>T4*F4</f>
        <v>275.73627499999998</v>
      </c>
      <c r="V4" s="153">
        <f t="shared" ref="V4:V18" si="0">U4*J4/1000</f>
        <v>8.2720882499999995</v>
      </c>
      <c r="W4" s="154">
        <f>100-(((V24-G24)/G24)*100)</f>
        <v>95.545343688691347</v>
      </c>
      <c r="X4" s="154">
        <f>100-W4</f>
        <v>4.4546563113086535</v>
      </c>
    </row>
    <row r="5" spans="1:24" ht="15" customHeight="1" x14ac:dyDescent="0.2">
      <c r="A5" s="145" t="s">
        <v>111</v>
      </c>
      <c r="B5" s="145" t="s">
        <v>112</v>
      </c>
      <c r="C5" s="145"/>
      <c r="D5" s="146">
        <v>8.6</v>
      </c>
      <c r="E5" s="147">
        <v>37</v>
      </c>
      <c r="F5" s="147">
        <v>7.34</v>
      </c>
      <c r="G5" s="146">
        <f t="shared" ref="G5:G23" si="1">D5*E5*F5/1000</f>
        <v>2.3355879999999996</v>
      </c>
      <c r="H5" s="145" t="s">
        <v>114</v>
      </c>
      <c r="I5" s="146">
        <f t="shared" ref="I5:I7" si="2">U5/K5</f>
        <v>1.3737565111538896</v>
      </c>
      <c r="J5" s="147">
        <v>18</v>
      </c>
      <c r="K5" s="148">
        <v>176.62</v>
      </c>
      <c r="L5" s="149">
        <v>8.6</v>
      </c>
      <c r="M5" s="149">
        <v>11.5</v>
      </c>
      <c r="N5" s="149">
        <v>11.5</v>
      </c>
      <c r="O5" s="149">
        <v>0</v>
      </c>
      <c r="P5" s="149">
        <v>0</v>
      </c>
      <c r="Q5" s="149">
        <f t="shared" ref="Q5:Q7" si="3">SUM(L5:P5)</f>
        <v>31.6</v>
      </c>
      <c r="R5" s="150">
        <f t="shared" ref="R5:R7" si="4">(Q5+S5)*2.5%</f>
        <v>0.80625000000000002</v>
      </c>
      <c r="S5" s="151">
        <v>0.65</v>
      </c>
      <c r="T5" s="152">
        <f t="shared" ref="T5:T7" si="5">SUM(Q5:S5)</f>
        <v>33.056249999999999</v>
      </c>
      <c r="U5" s="146">
        <f t="shared" ref="U5" si="6">T5*F5</f>
        <v>242.63287499999998</v>
      </c>
      <c r="V5" s="153">
        <f t="shared" si="0"/>
        <v>4.3673917499999995</v>
      </c>
      <c r="W5" s="156"/>
      <c r="X5" s="157"/>
    </row>
    <row r="6" spans="1:24" ht="15" customHeight="1" x14ac:dyDescent="0.2">
      <c r="A6" s="145" t="s">
        <v>111</v>
      </c>
      <c r="B6" s="145" t="s">
        <v>112</v>
      </c>
      <c r="C6" s="145"/>
      <c r="D6" s="146">
        <v>9.25</v>
      </c>
      <c r="E6" s="147">
        <v>86</v>
      </c>
      <c r="F6" s="147">
        <v>7.34</v>
      </c>
      <c r="G6" s="146">
        <f t="shared" si="1"/>
        <v>5.8389700000000007</v>
      </c>
      <c r="H6" s="145" t="s">
        <v>114</v>
      </c>
      <c r="I6" s="146">
        <f t="shared" si="2"/>
        <v>1.5185866549654623</v>
      </c>
      <c r="J6" s="147">
        <v>21</v>
      </c>
      <c r="K6" s="148">
        <v>176.62</v>
      </c>
      <c r="L6" s="149">
        <v>7</v>
      </c>
      <c r="M6" s="149">
        <v>7</v>
      </c>
      <c r="N6" s="149">
        <v>7</v>
      </c>
      <c r="O6" s="149">
        <v>7</v>
      </c>
      <c r="P6" s="149">
        <v>7</v>
      </c>
      <c r="Q6" s="149">
        <f t="shared" si="3"/>
        <v>35</v>
      </c>
      <c r="R6" s="150">
        <f t="shared" si="4"/>
        <v>0.89124999999999999</v>
      </c>
      <c r="S6" s="151">
        <v>0.65</v>
      </c>
      <c r="T6" s="152">
        <f t="shared" si="5"/>
        <v>36.541249999999998</v>
      </c>
      <c r="U6" s="146">
        <f>T6*F6</f>
        <v>268.21277499999997</v>
      </c>
      <c r="V6" s="153">
        <f t="shared" si="0"/>
        <v>5.632468274999999</v>
      </c>
      <c r="W6" s="156"/>
      <c r="X6" s="157"/>
    </row>
    <row r="7" spans="1:24" ht="15" customHeight="1" x14ac:dyDescent="0.2">
      <c r="A7" s="145" t="s">
        <v>111</v>
      </c>
      <c r="B7" s="145" t="s">
        <v>112</v>
      </c>
      <c r="C7" s="145"/>
      <c r="D7" s="146">
        <v>10</v>
      </c>
      <c r="E7" s="147">
        <v>95</v>
      </c>
      <c r="F7" s="147">
        <v>7.34</v>
      </c>
      <c r="G7" s="146">
        <f t="shared" si="1"/>
        <v>6.9729999999999999</v>
      </c>
      <c r="H7" s="145" t="s">
        <v>114</v>
      </c>
      <c r="I7" s="146">
        <f t="shared" si="2"/>
        <v>1.2204069471181065</v>
      </c>
      <c r="J7" s="147">
        <v>3</v>
      </c>
      <c r="K7" s="148">
        <v>176.62</v>
      </c>
      <c r="L7" s="149">
        <v>7</v>
      </c>
      <c r="M7" s="149">
        <v>7</v>
      </c>
      <c r="N7" s="149">
        <v>7</v>
      </c>
      <c r="O7" s="149">
        <v>7</v>
      </c>
      <c r="P7" s="149">
        <v>0</v>
      </c>
      <c r="Q7" s="149">
        <f t="shared" si="3"/>
        <v>28</v>
      </c>
      <c r="R7" s="150">
        <f t="shared" si="4"/>
        <v>0.71625000000000005</v>
      </c>
      <c r="S7" s="151">
        <v>0.65</v>
      </c>
      <c r="T7" s="152">
        <f t="shared" si="5"/>
        <v>29.366249999999997</v>
      </c>
      <c r="U7" s="146">
        <f>T7*F7</f>
        <v>215.54827499999999</v>
      </c>
      <c r="V7" s="153">
        <f t="shared" si="0"/>
        <v>0.64664482499999998</v>
      </c>
      <c r="W7" s="156"/>
      <c r="X7" s="157"/>
    </row>
    <row r="8" spans="1:24" ht="15" customHeight="1" x14ac:dyDescent="0.2">
      <c r="A8" s="145" t="s">
        <v>111</v>
      </c>
      <c r="B8" s="145" t="s">
        <v>112</v>
      </c>
      <c r="C8" s="145"/>
      <c r="D8" s="146">
        <v>10.5</v>
      </c>
      <c r="E8" s="147">
        <v>13</v>
      </c>
      <c r="F8" s="147">
        <v>7.34</v>
      </c>
      <c r="G8" s="146">
        <f t="shared" si="1"/>
        <v>1.0019100000000001</v>
      </c>
      <c r="H8" s="145" t="s">
        <v>114</v>
      </c>
      <c r="I8" s="146">
        <f>U8/K8</f>
        <v>1.5611837560865132</v>
      </c>
      <c r="J8" s="147">
        <v>10</v>
      </c>
      <c r="K8" s="148">
        <v>176.62</v>
      </c>
      <c r="L8" s="149">
        <v>12</v>
      </c>
      <c r="M8" s="149">
        <v>12</v>
      </c>
      <c r="N8" s="149">
        <v>12</v>
      </c>
      <c r="O8" s="149">
        <v>0</v>
      </c>
      <c r="P8" s="149">
        <v>0</v>
      </c>
      <c r="Q8" s="149">
        <f>SUM(L8:P8)</f>
        <v>36</v>
      </c>
      <c r="R8" s="150">
        <f>(Q8+S8)*2.5%</f>
        <v>0.91625000000000001</v>
      </c>
      <c r="S8" s="151">
        <v>0.65</v>
      </c>
      <c r="T8" s="152">
        <f>SUM(Q8:S8)</f>
        <v>37.566249999999997</v>
      </c>
      <c r="U8" s="146">
        <f>T8*F8</f>
        <v>275.73627499999998</v>
      </c>
      <c r="V8" s="153">
        <f t="shared" si="0"/>
        <v>2.75736275</v>
      </c>
      <c r="W8" s="156"/>
      <c r="X8" s="157"/>
    </row>
    <row r="9" spans="1:24" ht="15" customHeight="1" x14ac:dyDescent="0.2">
      <c r="A9" s="145" t="s">
        <v>111</v>
      </c>
      <c r="B9" s="145" t="s">
        <v>112</v>
      </c>
      <c r="C9" s="145"/>
      <c r="D9" s="146">
        <v>11</v>
      </c>
      <c r="E9" s="147">
        <v>121</v>
      </c>
      <c r="F9" s="147">
        <v>7.34</v>
      </c>
      <c r="G9" s="146">
        <f t="shared" si="1"/>
        <v>9.7695399999999992</v>
      </c>
      <c r="H9" s="145" t="s">
        <v>114</v>
      </c>
      <c r="I9" s="146">
        <f t="shared" ref="I9:I11" si="7">U9/K9</f>
        <v>1.529235930245725</v>
      </c>
      <c r="J9" s="147">
        <v>22</v>
      </c>
      <c r="K9" s="148">
        <v>176.62</v>
      </c>
      <c r="L9" s="149">
        <v>7.5</v>
      </c>
      <c r="M9" s="149">
        <v>9.25</v>
      </c>
      <c r="N9" s="149">
        <v>9.25</v>
      </c>
      <c r="O9" s="149">
        <v>9.25</v>
      </c>
      <c r="P9" s="149">
        <v>0</v>
      </c>
      <c r="Q9" s="149">
        <f t="shared" ref="Q9:Q11" si="8">SUM(L9:P9)</f>
        <v>35.25</v>
      </c>
      <c r="R9" s="150">
        <f t="shared" ref="R9:R11" si="9">(Q9+S9)*2.5%</f>
        <v>0.89749999999999996</v>
      </c>
      <c r="S9" s="151">
        <v>0.65</v>
      </c>
      <c r="T9" s="152">
        <f t="shared" ref="T9:T11" si="10">SUM(Q9:S9)</f>
        <v>36.797499999999999</v>
      </c>
      <c r="U9" s="146">
        <f t="shared" ref="U9:U10" si="11">T9*F9</f>
        <v>270.09364999999997</v>
      </c>
      <c r="V9" s="153">
        <f t="shared" si="0"/>
        <v>5.9420602999999996</v>
      </c>
      <c r="W9" s="156"/>
      <c r="X9" s="157"/>
    </row>
    <row r="10" spans="1:24" ht="15" customHeight="1" x14ac:dyDescent="0.2">
      <c r="A10" s="145" t="s">
        <v>111</v>
      </c>
      <c r="B10" s="145" t="s">
        <v>112</v>
      </c>
      <c r="C10" s="145"/>
      <c r="D10" s="146">
        <v>11.5</v>
      </c>
      <c r="E10" s="147">
        <v>266</v>
      </c>
      <c r="F10" s="147">
        <v>7.34</v>
      </c>
      <c r="G10" s="146">
        <f t="shared" si="1"/>
        <v>22.453060000000001</v>
      </c>
      <c r="H10" s="145" t="s">
        <v>114</v>
      </c>
      <c r="I10" s="146">
        <f t="shared" si="7"/>
        <v>1.5611837560865132</v>
      </c>
      <c r="J10" s="147">
        <v>60</v>
      </c>
      <c r="K10" s="148">
        <v>176.62</v>
      </c>
      <c r="L10" s="149">
        <v>12</v>
      </c>
      <c r="M10" s="149">
        <v>12</v>
      </c>
      <c r="N10" s="149">
        <v>12</v>
      </c>
      <c r="O10" s="149">
        <v>0</v>
      </c>
      <c r="P10" s="149">
        <v>0</v>
      </c>
      <c r="Q10" s="149">
        <f t="shared" si="8"/>
        <v>36</v>
      </c>
      <c r="R10" s="150">
        <f t="shared" si="9"/>
        <v>0.91625000000000001</v>
      </c>
      <c r="S10" s="151">
        <v>0.65</v>
      </c>
      <c r="T10" s="152">
        <f t="shared" si="10"/>
        <v>37.566249999999997</v>
      </c>
      <c r="U10" s="146">
        <f t="shared" si="11"/>
        <v>275.73627499999998</v>
      </c>
      <c r="V10" s="153">
        <f t="shared" si="0"/>
        <v>16.544176499999999</v>
      </c>
      <c r="W10" s="156"/>
      <c r="X10" s="157"/>
    </row>
    <row r="11" spans="1:24" ht="15" customHeight="1" x14ac:dyDescent="0.2">
      <c r="A11" s="145" t="s">
        <v>111</v>
      </c>
      <c r="B11" s="145" t="s">
        <v>112</v>
      </c>
      <c r="C11" s="145"/>
      <c r="D11" s="146">
        <v>12</v>
      </c>
      <c r="E11" s="147">
        <v>255</v>
      </c>
      <c r="F11" s="147">
        <v>7.34</v>
      </c>
      <c r="G11" s="146">
        <f t="shared" si="1"/>
        <v>22.460399999999996</v>
      </c>
      <c r="H11" s="145" t="s">
        <v>114</v>
      </c>
      <c r="I11" s="146">
        <f t="shared" si="7"/>
        <v>1.2417054976786321</v>
      </c>
      <c r="J11" s="147">
        <v>20</v>
      </c>
      <c r="K11" s="148">
        <v>176.62</v>
      </c>
      <c r="L11" s="149">
        <v>9.25</v>
      </c>
      <c r="M11" s="149">
        <v>9.25</v>
      </c>
      <c r="N11" s="149">
        <v>10</v>
      </c>
      <c r="O11" s="149">
        <v>0</v>
      </c>
      <c r="P11" s="149">
        <v>0</v>
      </c>
      <c r="Q11" s="149">
        <f t="shared" si="8"/>
        <v>28.5</v>
      </c>
      <c r="R11" s="150">
        <f t="shared" si="9"/>
        <v>0.72875000000000001</v>
      </c>
      <c r="S11" s="151">
        <v>0.65</v>
      </c>
      <c r="T11" s="152">
        <f t="shared" si="10"/>
        <v>29.87875</v>
      </c>
      <c r="U11" s="146">
        <f>T11*F11</f>
        <v>219.310025</v>
      </c>
      <c r="V11" s="153">
        <f t="shared" si="0"/>
        <v>4.3862005000000002</v>
      </c>
      <c r="W11" s="156"/>
      <c r="X11" s="157"/>
    </row>
    <row r="12" spans="1:24" ht="15" customHeight="1" x14ac:dyDescent="0.2">
      <c r="A12" s="145" t="s">
        <v>111</v>
      </c>
      <c r="B12" s="145" t="s">
        <v>112</v>
      </c>
      <c r="C12" s="145"/>
      <c r="D12" s="146">
        <v>9.5</v>
      </c>
      <c r="E12" s="147">
        <v>7</v>
      </c>
      <c r="F12" s="147">
        <v>7.34</v>
      </c>
      <c r="G12" s="146">
        <f t="shared" si="1"/>
        <v>0.48810999999999999</v>
      </c>
      <c r="H12" s="145" t="s">
        <v>114</v>
      </c>
      <c r="I12" s="146">
        <f>U12/K12</f>
        <v>1.4972881044049369</v>
      </c>
      <c r="J12" s="147">
        <v>77</v>
      </c>
      <c r="K12" s="148">
        <v>176.62</v>
      </c>
      <c r="L12" s="149">
        <v>11.5</v>
      </c>
      <c r="M12" s="149">
        <v>11.5</v>
      </c>
      <c r="N12" s="149">
        <v>11.5</v>
      </c>
      <c r="O12" s="149">
        <v>0</v>
      </c>
      <c r="P12" s="149">
        <v>0</v>
      </c>
      <c r="Q12" s="149">
        <f>SUM(L12:P12)</f>
        <v>34.5</v>
      </c>
      <c r="R12" s="150">
        <f>(Q12+S12)*2.5%</f>
        <v>0.87875000000000003</v>
      </c>
      <c r="S12" s="151">
        <v>0.65</v>
      </c>
      <c r="T12" s="152">
        <f>SUM(Q12:S12)</f>
        <v>36.028749999999995</v>
      </c>
      <c r="U12" s="146">
        <f>T12*F12</f>
        <v>264.45102499999996</v>
      </c>
      <c r="V12" s="153">
        <f t="shared" si="0"/>
        <v>20.362728924999995</v>
      </c>
      <c r="W12" s="156"/>
      <c r="X12" s="157"/>
    </row>
    <row r="13" spans="1:24" ht="15" customHeight="1" x14ac:dyDescent="0.2">
      <c r="A13" s="145" t="s">
        <v>111</v>
      </c>
      <c r="B13" s="145" t="s">
        <v>112</v>
      </c>
      <c r="C13" s="145"/>
      <c r="D13" s="146">
        <v>7</v>
      </c>
      <c r="E13" s="147">
        <v>112</v>
      </c>
      <c r="F13" s="147">
        <v>7.34</v>
      </c>
      <c r="G13" s="146">
        <f t="shared" si="1"/>
        <v>5.7545599999999997</v>
      </c>
      <c r="H13" s="145" t="s">
        <v>114</v>
      </c>
      <c r="I13" s="146">
        <f t="shared" ref="I13:I14" si="12">U13/K13</f>
        <v>1.4333924527233608</v>
      </c>
      <c r="J13" s="147">
        <v>11</v>
      </c>
      <c r="K13" s="148">
        <v>176.62</v>
      </c>
      <c r="L13" s="149">
        <v>11</v>
      </c>
      <c r="M13" s="149">
        <v>11</v>
      </c>
      <c r="N13" s="149">
        <v>11</v>
      </c>
      <c r="O13" s="149">
        <v>0</v>
      </c>
      <c r="P13" s="149">
        <v>0</v>
      </c>
      <c r="Q13" s="149">
        <f t="shared" ref="Q13:Q14" si="13">SUM(L13:P13)</f>
        <v>33</v>
      </c>
      <c r="R13" s="150">
        <f t="shared" ref="R13:R14" si="14">(Q13+S13)*2.5%</f>
        <v>0.84125000000000005</v>
      </c>
      <c r="S13" s="151">
        <v>0.65</v>
      </c>
      <c r="T13" s="152">
        <f t="shared" ref="T13:T14" si="15">SUM(Q13:S13)</f>
        <v>34.491250000000001</v>
      </c>
      <c r="U13" s="146">
        <f t="shared" ref="U13" si="16">T13*F13</f>
        <v>253.165775</v>
      </c>
      <c r="V13" s="153">
        <f t="shared" si="0"/>
        <v>2.7848235249999997</v>
      </c>
      <c r="W13" s="156"/>
      <c r="X13" s="157"/>
    </row>
    <row r="14" spans="1:24" ht="15" customHeight="1" x14ac:dyDescent="0.2">
      <c r="A14" s="145" t="s">
        <v>111</v>
      </c>
      <c r="B14" s="145" t="s">
        <v>112</v>
      </c>
      <c r="C14" s="145" t="s">
        <v>115</v>
      </c>
      <c r="D14" s="146">
        <v>7.5</v>
      </c>
      <c r="E14" s="147">
        <f>34-36</f>
        <v>-2</v>
      </c>
      <c r="F14" s="147">
        <v>7.34</v>
      </c>
      <c r="G14" s="146">
        <f t="shared" si="1"/>
        <v>-0.11009999999999999</v>
      </c>
      <c r="H14" s="145" t="s">
        <v>114</v>
      </c>
      <c r="I14" s="146">
        <f t="shared" si="12"/>
        <v>1.4333924527233608</v>
      </c>
      <c r="J14" s="147">
        <v>24</v>
      </c>
      <c r="K14" s="148">
        <v>176.62</v>
      </c>
      <c r="L14" s="149">
        <v>11</v>
      </c>
      <c r="M14" s="149">
        <v>11</v>
      </c>
      <c r="N14" s="149">
        <v>11</v>
      </c>
      <c r="O14" s="149">
        <v>0</v>
      </c>
      <c r="P14" s="149">
        <v>0</v>
      </c>
      <c r="Q14" s="149">
        <f t="shared" si="13"/>
        <v>33</v>
      </c>
      <c r="R14" s="150">
        <f t="shared" si="14"/>
        <v>0.84125000000000005</v>
      </c>
      <c r="S14" s="151">
        <v>0.65</v>
      </c>
      <c r="T14" s="152">
        <f t="shared" si="15"/>
        <v>34.491250000000001</v>
      </c>
      <c r="U14" s="146">
        <f>T14*F14</f>
        <v>253.165775</v>
      </c>
      <c r="V14" s="153">
        <f t="shared" si="0"/>
        <v>6.0759786</v>
      </c>
      <c r="W14" s="156"/>
      <c r="X14" s="157"/>
    </row>
    <row r="15" spans="1:24" ht="15" customHeight="1" x14ac:dyDescent="0.2">
      <c r="A15" s="145" t="s">
        <v>111</v>
      </c>
      <c r="B15" s="145" t="s">
        <v>112</v>
      </c>
      <c r="C15" s="145" t="s">
        <v>115</v>
      </c>
      <c r="D15" s="146">
        <v>8.6</v>
      </c>
      <c r="E15" s="147">
        <f>18-37</f>
        <v>-19</v>
      </c>
      <c r="F15" s="147">
        <v>7.34</v>
      </c>
      <c r="G15" s="146">
        <f t="shared" si="1"/>
        <v>-1.1993560000000001</v>
      </c>
      <c r="H15" s="145" t="s">
        <v>114</v>
      </c>
      <c r="I15" s="146">
        <f>U15/K15</f>
        <v>1.6250794077680897</v>
      </c>
      <c r="J15" s="147">
        <v>8</v>
      </c>
      <c r="K15" s="148">
        <v>176.62</v>
      </c>
      <c r="L15" s="149">
        <v>7.5</v>
      </c>
      <c r="M15" s="149">
        <v>10</v>
      </c>
      <c r="N15" s="149">
        <v>10</v>
      </c>
      <c r="O15" s="149">
        <v>10</v>
      </c>
      <c r="P15" s="149">
        <v>0</v>
      </c>
      <c r="Q15" s="149">
        <f>SUM(L15:P15)</f>
        <v>37.5</v>
      </c>
      <c r="R15" s="150">
        <f>(Q15+S15)*2.5%</f>
        <v>0.95374999999999999</v>
      </c>
      <c r="S15" s="151">
        <v>0.65</v>
      </c>
      <c r="T15" s="152">
        <f>SUM(Q15:S15)</f>
        <v>39.103749999999998</v>
      </c>
      <c r="U15" s="146">
        <f>T15*F15</f>
        <v>287.021525</v>
      </c>
      <c r="V15" s="153">
        <f t="shared" si="0"/>
        <v>2.2961722</v>
      </c>
      <c r="W15" s="156"/>
      <c r="X15" s="157"/>
    </row>
    <row r="16" spans="1:24" ht="15" customHeight="1" x14ac:dyDescent="0.2">
      <c r="A16" s="145" t="s">
        <v>111</v>
      </c>
      <c r="B16" s="145" t="s">
        <v>112</v>
      </c>
      <c r="C16" s="145" t="s">
        <v>115</v>
      </c>
      <c r="D16" s="146">
        <v>9.25</v>
      </c>
      <c r="E16" s="147">
        <v>24</v>
      </c>
      <c r="F16" s="147">
        <v>7.34</v>
      </c>
      <c r="G16" s="146">
        <f t="shared" si="1"/>
        <v>1.62948</v>
      </c>
      <c r="H16" s="145" t="s">
        <v>114</v>
      </c>
      <c r="I16" s="146">
        <f t="shared" ref="I16:I18" si="17">U16/K16</f>
        <v>1.3056011493602082</v>
      </c>
      <c r="J16" s="147">
        <v>16</v>
      </c>
      <c r="K16" s="148">
        <v>176.62</v>
      </c>
      <c r="L16" s="149">
        <v>10</v>
      </c>
      <c r="M16" s="149">
        <v>10</v>
      </c>
      <c r="N16" s="149">
        <v>10</v>
      </c>
      <c r="O16" s="149">
        <v>0</v>
      </c>
      <c r="P16" s="149">
        <v>0</v>
      </c>
      <c r="Q16" s="149">
        <f t="shared" ref="Q16:Q18" si="18">SUM(L16:P16)</f>
        <v>30</v>
      </c>
      <c r="R16" s="150">
        <f t="shared" ref="R16:R18" si="19">(Q16+S16)*2.5%</f>
        <v>0.76624999999999999</v>
      </c>
      <c r="S16" s="151">
        <v>0.65</v>
      </c>
      <c r="T16" s="152">
        <f t="shared" ref="T16:T18" si="20">SUM(Q16:S16)</f>
        <v>31.416249999999998</v>
      </c>
      <c r="U16" s="146">
        <f t="shared" ref="U16" si="21">T16*F16</f>
        <v>230.59527499999999</v>
      </c>
      <c r="V16" s="153">
        <f t="shared" si="0"/>
        <v>3.6895243999999998</v>
      </c>
      <c r="W16" s="156"/>
      <c r="X16" s="157"/>
    </row>
    <row r="17" spans="1:24" ht="15" customHeight="1" x14ac:dyDescent="0.2">
      <c r="A17" s="145" t="s">
        <v>111</v>
      </c>
      <c r="B17" s="145" t="s">
        <v>112</v>
      </c>
      <c r="C17" s="145" t="s">
        <v>115</v>
      </c>
      <c r="D17" s="146">
        <v>10</v>
      </c>
      <c r="E17" s="147">
        <v>9</v>
      </c>
      <c r="F17" s="147">
        <v>7.34</v>
      </c>
      <c r="G17" s="146">
        <f t="shared" si="1"/>
        <v>0.66060000000000008</v>
      </c>
      <c r="H17" s="145" t="s">
        <v>114</v>
      </c>
      <c r="I17" s="146">
        <f t="shared" si="17"/>
        <v>1.454691003283886</v>
      </c>
      <c r="J17" s="147">
        <v>2</v>
      </c>
      <c r="K17" s="148">
        <v>176.62</v>
      </c>
      <c r="L17" s="149">
        <v>7.5</v>
      </c>
      <c r="M17" s="149">
        <v>7.5</v>
      </c>
      <c r="N17" s="149">
        <v>9.25</v>
      </c>
      <c r="O17" s="149">
        <v>9.25</v>
      </c>
      <c r="P17" s="149">
        <v>0</v>
      </c>
      <c r="Q17" s="149">
        <f t="shared" si="18"/>
        <v>33.5</v>
      </c>
      <c r="R17" s="150">
        <f t="shared" si="19"/>
        <v>0.85375000000000001</v>
      </c>
      <c r="S17" s="151">
        <v>0.65</v>
      </c>
      <c r="T17" s="152">
        <f t="shared" si="20"/>
        <v>35.003749999999997</v>
      </c>
      <c r="U17" s="146">
        <f>T17*F17</f>
        <v>256.92752499999995</v>
      </c>
      <c r="V17" s="153">
        <f t="shared" si="0"/>
        <v>0.51385504999999987</v>
      </c>
      <c r="W17" s="156"/>
      <c r="X17" s="157"/>
    </row>
    <row r="18" spans="1:24" ht="15" customHeight="1" x14ac:dyDescent="0.2">
      <c r="A18" s="145" t="s">
        <v>111</v>
      </c>
      <c r="B18" s="145" t="s">
        <v>112</v>
      </c>
      <c r="C18" s="145" t="s">
        <v>115</v>
      </c>
      <c r="D18" s="146">
        <v>10.5</v>
      </c>
      <c r="E18" s="147">
        <v>-13</v>
      </c>
      <c r="F18" s="147">
        <v>7.34</v>
      </c>
      <c r="G18" s="146">
        <f t="shared" si="1"/>
        <v>-1.0019100000000001</v>
      </c>
      <c r="H18" s="145" t="s">
        <v>114</v>
      </c>
      <c r="I18" s="146">
        <f t="shared" si="17"/>
        <v>1.3056011493602082</v>
      </c>
      <c r="J18" s="147">
        <v>4</v>
      </c>
      <c r="K18" s="148">
        <v>176.62</v>
      </c>
      <c r="L18" s="149">
        <v>10</v>
      </c>
      <c r="M18" s="149">
        <v>10</v>
      </c>
      <c r="N18" s="149">
        <v>10</v>
      </c>
      <c r="O18" s="149">
        <v>0</v>
      </c>
      <c r="P18" s="149">
        <v>0</v>
      </c>
      <c r="Q18" s="149">
        <f t="shared" si="18"/>
        <v>30</v>
      </c>
      <c r="R18" s="150">
        <f t="shared" si="19"/>
        <v>0.76624999999999999</v>
      </c>
      <c r="S18" s="151">
        <v>0.65</v>
      </c>
      <c r="T18" s="152">
        <f t="shared" si="20"/>
        <v>31.416249999999998</v>
      </c>
      <c r="U18" s="146">
        <f>T18*F18</f>
        <v>230.59527499999999</v>
      </c>
      <c r="V18" s="153">
        <f t="shared" si="0"/>
        <v>0.92238109999999995</v>
      </c>
      <c r="W18" s="156"/>
      <c r="X18" s="157"/>
    </row>
    <row r="19" spans="1:24" ht="15" customHeight="1" x14ac:dyDescent="0.2">
      <c r="A19" s="145" t="s">
        <v>111</v>
      </c>
      <c r="B19" s="145" t="s">
        <v>112</v>
      </c>
      <c r="C19" s="145" t="s">
        <v>115</v>
      </c>
      <c r="D19" s="146">
        <v>11</v>
      </c>
      <c r="E19" s="147">
        <f>105-121</f>
        <v>-16</v>
      </c>
      <c r="F19" s="147">
        <v>7.34</v>
      </c>
      <c r="G19" s="146">
        <f t="shared" si="1"/>
        <v>-1.2918399999999999</v>
      </c>
      <c r="H19" s="145"/>
      <c r="I19" s="146"/>
      <c r="J19" s="147"/>
      <c r="K19" s="148"/>
      <c r="L19" s="149"/>
      <c r="M19" s="149"/>
      <c r="N19" s="149"/>
      <c r="O19" s="149"/>
      <c r="P19" s="149"/>
      <c r="Q19" s="149"/>
      <c r="R19" s="150"/>
      <c r="S19" s="151"/>
      <c r="T19" s="152"/>
      <c r="U19" s="146"/>
      <c r="V19" s="153"/>
      <c r="W19" s="156"/>
      <c r="X19" s="157"/>
    </row>
    <row r="20" spans="1:24" ht="15" customHeight="1" x14ac:dyDescent="0.2">
      <c r="A20" s="145" t="s">
        <v>111</v>
      </c>
      <c r="B20" s="145" t="s">
        <v>112</v>
      </c>
      <c r="C20" s="145" t="s">
        <v>115</v>
      </c>
      <c r="D20" s="146">
        <v>11.5</v>
      </c>
      <c r="E20" s="147">
        <v>1</v>
      </c>
      <c r="F20" s="147">
        <v>7.34</v>
      </c>
      <c r="G20" s="146">
        <f t="shared" si="1"/>
        <v>8.4409999999999999E-2</v>
      </c>
      <c r="H20" s="145"/>
      <c r="I20" s="146"/>
      <c r="J20" s="147"/>
      <c r="K20" s="148"/>
      <c r="L20" s="149"/>
      <c r="M20" s="149"/>
      <c r="N20" s="149"/>
      <c r="O20" s="149"/>
      <c r="P20" s="149"/>
      <c r="Q20" s="149"/>
      <c r="R20" s="150"/>
      <c r="S20" s="151"/>
      <c r="T20" s="152"/>
      <c r="U20" s="146"/>
      <c r="V20" s="153"/>
      <c r="W20" s="156"/>
      <c r="X20" s="157"/>
    </row>
    <row r="21" spans="1:24" ht="15" customHeight="1" x14ac:dyDescent="0.2">
      <c r="A21" s="145" t="s">
        <v>111</v>
      </c>
      <c r="B21" s="145" t="s">
        <v>112</v>
      </c>
      <c r="C21" s="145" t="s">
        <v>115</v>
      </c>
      <c r="D21" s="146">
        <v>12</v>
      </c>
      <c r="E21" s="147">
        <v>45</v>
      </c>
      <c r="F21" s="147">
        <v>7.34</v>
      </c>
      <c r="G21" s="146">
        <f t="shared" si="1"/>
        <v>3.9636</v>
      </c>
      <c r="H21" s="145"/>
      <c r="I21" s="146"/>
      <c r="J21" s="147"/>
      <c r="K21" s="148"/>
      <c r="L21" s="149"/>
      <c r="M21" s="149"/>
      <c r="N21" s="149"/>
      <c r="O21" s="149"/>
      <c r="P21" s="149"/>
      <c r="Q21" s="149"/>
      <c r="R21" s="150"/>
      <c r="S21" s="151"/>
      <c r="T21" s="152"/>
      <c r="U21" s="146"/>
      <c r="V21" s="153"/>
      <c r="W21" s="156"/>
      <c r="X21" s="157"/>
    </row>
    <row r="22" spans="1:24" ht="15" customHeight="1" x14ac:dyDescent="0.2">
      <c r="A22" s="145" t="s">
        <v>111</v>
      </c>
      <c r="B22" s="145" t="s">
        <v>112</v>
      </c>
      <c r="C22" s="145" t="s">
        <v>115</v>
      </c>
      <c r="D22" s="146">
        <v>9.5</v>
      </c>
      <c r="E22" s="147">
        <v>-7</v>
      </c>
      <c r="F22" s="147">
        <v>7.34</v>
      </c>
      <c r="G22" s="146">
        <f t="shared" si="1"/>
        <v>-0.48810999999999999</v>
      </c>
      <c r="H22" s="145"/>
      <c r="I22" s="146"/>
      <c r="J22" s="147"/>
      <c r="K22" s="148"/>
      <c r="L22" s="149"/>
      <c r="M22" s="149"/>
      <c r="N22" s="149"/>
      <c r="O22" s="149"/>
      <c r="P22" s="149"/>
      <c r="Q22" s="149"/>
      <c r="R22" s="150"/>
      <c r="S22" s="151"/>
      <c r="T22" s="152"/>
      <c r="U22" s="146"/>
      <c r="V22" s="153"/>
      <c r="W22" s="156"/>
      <c r="X22" s="157"/>
    </row>
    <row r="23" spans="1:24" ht="15" customHeight="1" x14ac:dyDescent="0.2">
      <c r="A23" s="145" t="s">
        <v>111</v>
      </c>
      <c r="B23" s="145" t="s">
        <v>112</v>
      </c>
      <c r="C23" s="145" t="s">
        <v>115</v>
      </c>
      <c r="D23" s="146">
        <v>7</v>
      </c>
      <c r="E23" s="147">
        <v>5</v>
      </c>
      <c r="F23" s="147">
        <v>7.34</v>
      </c>
      <c r="G23" s="146">
        <f t="shared" si="1"/>
        <v>0.25689999999999996</v>
      </c>
      <c r="H23" s="145"/>
      <c r="I23" s="146"/>
      <c r="J23" s="147"/>
      <c r="K23" s="147"/>
      <c r="L23" s="149"/>
      <c r="M23" s="149"/>
      <c r="N23" s="149"/>
      <c r="O23" s="149"/>
      <c r="P23" s="149"/>
      <c r="Q23" s="149"/>
      <c r="R23" s="150"/>
      <c r="S23" s="158"/>
      <c r="T23" s="152"/>
      <c r="U23" s="146"/>
      <c r="V23" s="153"/>
      <c r="W23" s="156"/>
      <c r="X23" s="157"/>
    </row>
    <row r="24" spans="1:24" ht="15" customHeight="1" x14ac:dyDescent="0.2">
      <c r="A24" s="147"/>
      <c r="B24" s="147"/>
      <c r="C24" s="147"/>
      <c r="D24" s="146"/>
      <c r="E24" s="229" t="s">
        <v>116</v>
      </c>
      <c r="F24" s="230"/>
      <c r="G24" s="159">
        <f>SUM(G4:G23)</f>
        <v>81.56061200000002</v>
      </c>
      <c r="H24" s="147"/>
      <c r="I24" s="146"/>
      <c r="J24" s="147"/>
      <c r="K24" s="147"/>
      <c r="L24" s="149"/>
      <c r="M24" s="149"/>
      <c r="N24" s="149"/>
      <c r="O24" s="149"/>
      <c r="P24" s="149"/>
      <c r="Q24" s="149"/>
      <c r="R24" s="149"/>
      <c r="S24" s="158"/>
      <c r="T24" s="229" t="s">
        <v>116</v>
      </c>
      <c r="U24" s="230"/>
      <c r="V24" s="43">
        <f>SUM(V4:V23)</f>
        <v>85.193856949999983</v>
      </c>
      <c r="W24" s="160"/>
      <c r="X24" s="161"/>
    </row>
    <row r="25" spans="1:24" ht="15" customHeight="1" x14ac:dyDescent="0.2">
      <c r="A25" s="147"/>
      <c r="B25" s="147"/>
      <c r="C25" s="147"/>
      <c r="D25" s="146"/>
      <c r="E25" s="147"/>
      <c r="F25" s="147"/>
      <c r="G25" s="146"/>
      <c r="H25" s="147"/>
      <c r="I25" s="146"/>
      <c r="J25" s="147"/>
      <c r="K25" s="147"/>
      <c r="L25" s="149"/>
      <c r="M25" s="149"/>
      <c r="N25" s="149"/>
      <c r="O25" s="149"/>
      <c r="P25" s="149"/>
      <c r="Q25" s="149"/>
      <c r="R25" s="149"/>
      <c r="S25" s="162"/>
      <c r="T25" s="152"/>
      <c r="U25" s="146"/>
      <c r="V25" s="153"/>
      <c r="W25" s="153"/>
      <c r="X25" s="153"/>
    </row>
    <row r="26" spans="1:24" ht="15" customHeight="1" x14ac:dyDescent="0.2">
      <c r="A26" s="145" t="s">
        <v>111</v>
      </c>
      <c r="B26" s="145" t="s">
        <v>112</v>
      </c>
      <c r="C26" s="145" t="s">
        <v>117</v>
      </c>
      <c r="D26" s="146">
        <v>10</v>
      </c>
      <c r="E26" s="147">
        <v>13</v>
      </c>
      <c r="F26" s="147">
        <v>7.34</v>
      </c>
      <c r="G26" s="146">
        <f>D26*E26*F26/1000</f>
        <v>0.95419999999999994</v>
      </c>
      <c r="H26" s="145" t="s">
        <v>114</v>
      </c>
      <c r="I26" s="146">
        <f>U26/K26</f>
        <v>1.49941795946099</v>
      </c>
      <c r="J26" s="147">
        <v>22</v>
      </c>
      <c r="K26" s="148">
        <v>176.62</v>
      </c>
      <c r="L26" s="149">
        <v>11.5</v>
      </c>
      <c r="M26" s="149">
        <v>11.5</v>
      </c>
      <c r="N26" s="149">
        <v>11.5</v>
      </c>
      <c r="O26" s="149">
        <v>0</v>
      </c>
      <c r="P26" s="149">
        <v>0</v>
      </c>
      <c r="Q26" s="149">
        <f t="shared" ref="Q26:Q28" si="22">SUM(L26:P26)</f>
        <v>34.5</v>
      </c>
      <c r="R26" s="150">
        <f>(Q26+S26)*2.5%</f>
        <v>0.88000000000000012</v>
      </c>
      <c r="S26" s="151">
        <v>0.7</v>
      </c>
      <c r="T26" s="152">
        <f>SUM(Q26:S26)</f>
        <v>36.080000000000005</v>
      </c>
      <c r="U26" s="146">
        <f>T26*F26</f>
        <v>264.82720000000006</v>
      </c>
      <c r="V26" s="153">
        <f>U26*J26/1000</f>
        <v>5.8261984000000009</v>
      </c>
      <c r="W26" s="154">
        <f>100-(((V38-G38)/G38)*100)</f>
        <v>95.409491884262536</v>
      </c>
      <c r="X26" s="154">
        <f>100-W26</f>
        <v>4.5905081157374639</v>
      </c>
    </row>
    <row r="27" spans="1:24" ht="15" customHeight="1" x14ac:dyDescent="0.2">
      <c r="A27" s="145" t="s">
        <v>111</v>
      </c>
      <c r="B27" s="145" t="s">
        <v>112</v>
      </c>
      <c r="C27" s="145"/>
      <c r="D27" s="146">
        <v>10.5</v>
      </c>
      <c r="E27" s="147">
        <v>15</v>
      </c>
      <c r="F27" s="147">
        <v>7.34</v>
      </c>
      <c r="G27" s="146">
        <f t="shared" ref="G27:G37" si="23">D27*E27*F27/1000</f>
        <v>1.15605</v>
      </c>
      <c r="H27" s="145" t="s">
        <v>114</v>
      </c>
      <c r="I27" s="146">
        <f t="shared" ref="I27:I28" si="24">U27/K27</f>
        <v>1.414223757218888</v>
      </c>
      <c r="J27" s="147">
        <v>10</v>
      </c>
      <c r="K27" s="148">
        <v>176.62</v>
      </c>
      <c r="L27" s="149">
        <v>10</v>
      </c>
      <c r="M27" s="149">
        <v>10.5</v>
      </c>
      <c r="N27" s="149">
        <v>12</v>
      </c>
      <c r="O27" s="149">
        <v>0</v>
      </c>
      <c r="P27" s="149">
        <v>0</v>
      </c>
      <c r="Q27" s="149">
        <f t="shared" si="22"/>
        <v>32.5</v>
      </c>
      <c r="R27" s="150">
        <f t="shared" ref="R27:R28" si="25">(Q27+S27)*2.5%</f>
        <v>0.83000000000000007</v>
      </c>
      <c r="S27" s="151">
        <v>0.7</v>
      </c>
      <c r="T27" s="152">
        <f t="shared" ref="T27:T28" si="26">SUM(Q27:S27)</f>
        <v>34.03</v>
      </c>
      <c r="U27" s="146">
        <f t="shared" ref="U27" si="27">T27*F27</f>
        <v>249.78020000000001</v>
      </c>
      <c r="V27" s="153">
        <f>U27*J27/1000</f>
        <v>2.4978020000000001</v>
      </c>
      <c r="W27" s="157"/>
      <c r="X27" s="157"/>
    </row>
    <row r="28" spans="1:24" ht="15" customHeight="1" x14ac:dyDescent="0.2">
      <c r="A28" s="145" t="s">
        <v>111</v>
      </c>
      <c r="B28" s="145" t="s">
        <v>112</v>
      </c>
      <c r="C28" s="145"/>
      <c r="D28" s="146">
        <v>11</v>
      </c>
      <c r="E28" s="147">
        <v>15</v>
      </c>
      <c r="F28" s="147">
        <v>7.34</v>
      </c>
      <c r="G28" s="146">
        <f t="shared" si="23"/>
        <v>1.2110999999999998</v>
      </c>
      <c r="H28" s="145" t="s">
        <v>114</v>
      </c>
      <c r="I28" s="146">
        <f t="shared" si="24"/>
        <v>1.446171583059676</v>
      </c>
      <c r="J28" s="147">
        <v>10</v>
      </c>
      <c r="K28" s="148">
        <v>176.62</v>
      </c>
      <c r="L28" s="149">
        <v>11.3</v>
      </c>
      <c r="M28" s="149">
        <v>11.5</v>
      </c>
      <c r="N28" s="149">
        <v>10.5</v>
      </c>
      <c r="O28" s="149">
        <v>0</v>
      </c>
      <c r="P28" s="149">
        <v>0</v>
      </c>
      <c r="Q28" s="149">
        <f t="shared" si="22"/>
        <v>33.299999999999997</v>
      </c>
      <c r="R28" s="150">
        <f t="shared" si="25"/>
        <v>0.84874999999999989</v>
      </c>
      <c r="S28" s="151">
        <v>0.65</v>
      </c>
      <c r="T28" s="152">
        <f t="shared" si="26"/>
        <v>34.798749999999998</v>
      </c>
      <c r="U28" s="146">
        <f>T28*F28</f>
        <v>255.42282499999999</v>
      </c>
      <c r="V28" s="153">
        <f>U28*J28/1000</f>
        <v>2.55422825</v>
      </c>
      <c r="W28" s="157"/>
      <c r="X28" s="157"/>
    </row>
    <row r="29" spans="1:24" ht="15" customHeight="1" x14ac:dyDescent="0.2">
      <c r="A29" s="145" t="s">
        <v>111</v>
      </c>
      <c r="B29" s="145" t="s">
        <v>112</v>
      </c>
      <c r="C29" s="145"/>
      <c r="D29" s="146">
        <v>11.3</v>
      </c>
      <c r="E29" s="147">
        <v>15</v>
      </c>
      <c r="F29" s="147">
        <v>7.34</v>
      </c>
      <c r="G29" s="146">
        <f t="shared" si="23"/>
        <v>1.24413</v>
      </c>
      <c r="H29" s="145"/>
      <c r="I29" s="146"/>
      <c r="J29" s="147"/>
      <c r="K29" s="148"/>
      <c r="L29" s="149"/>
      <c r="M29" s="149"/>
      <c r="N29" s="149"/>
      <c r="O29" s="149"/>
      <c r="P29" s="149"/>
      <c r="Q29" s="149"/>
      <c r="R29" s="150"/>
      <c r="S29" s="163"/>
      <c r="T29" s="152"/>
      <c r="U29" s="146"/>
      <c r="V29" s="153"/>
      <c r="W29" s="157"/>
      <c r="X29" s="157"/>
    </row>
    <row r="30" spans="1:24" ht="15" customHeight="1" x14ac:dyDescent="0.2">
      <c r="A30" s="145" t="s">
        <v>111</v>
      </c>
      <c r="B30" s="145" t="s">
        <v>112</v>
      </c>
      <c r="C30" s="145"/>
      <c r="D30" s="146">
        <v>11.5</v>
      </c>
      <c r="E30" s="147">
        <v>45</v>
      </c>
      <c r="F30" s="147">
        <v>7.34</v>
      </c>
      <c r="G30" s="146">
        <f t="shared" si="23"/>
        <v>3.7984499999999999</v>
      </c>
      <c r="H30" s="145"/>
      <c r="I30" s="146"/>
      <c r="J30" s="147"/>
      <c r="K30" s="148"/>
      <c r="L30" s="149"/>
      <c r="M30" s="149"/>
      <c r="N30" s="149"/>
      <c r="O30" s="149"/>
      <c r="P30" s="149"/>
      <c r="Q30" s="149"/>
      <c r="R30" s="150"/>
      <c r="S30" s="151"/>
      <c r="T30" s="152"/>
      <c r="U30" s="146"/>
      <c r="V30" s="153"/>
      <c r="W30" s="157"/>
      <c r="X30" s="157"/>
    </row>
    <row r="31" spans="1:24" ht="15" customHeight="1" x14ac:dyDescent="0.2">
      <c r="A31" s="145" t="s">
        <v>111</v>
      </c>
      <c r="B31" s="145" t="s">
        <v>112</v>
      </c>
      <c r="C31" s="145"/>
      <c r="D31" s="146">
        <v>12</v>
      </c>
      <c r="E31" s="147">
        <v>7</v>
      </c>
      <c r="F31" s="147">
        <v>7.34</v>
      </c>
      <c r="G31" s="146">
        <f t="shared" si="23"/>
        <v>0.61656</v>
      </c>
      <c r="H31" s="145"/>
      <c r="I31" s="146"/>
      <c r="J31" s="147"/>
      <c r="K31" s="148"/>
      <c r="L31" s="149"/>
      <c r="M31" s="149"/>
      <c r="N31" s="149"/>
      <c r="O31" s="149"/>
      <c r="P31" s="149"/>
      <c r="Q31" s="149"/>
      <c r="R31" s="150"/>
      <c r="S31" s="151"/>
      <c r="T31" s="152"/>
      <c r="U31" s="146"/>
      <c r="V31" s="153"/>
      <c r="W31" s="157"/>
      <c r="X31" s="157"/>
    </row>
    <row r="32" spans="1:24" ht="15" customHeight="1" x14ac:dyDescent="0.2">
      <c r="A32" s="145" t="s">
        <v>111</v>
      </c>
      <c r="B32" s="145" t="s">
        <v>112</v>
      </c>
      <c r="C32" s="145" t="s">
        <v>115</v>
      </c>
      <c r="D32" s="146">
        <v>10</v>
      </c>
      <c r="E32" s="147">
        <f>10-13</f>
        <v>-3</v>
      </c>
      <c r="F32" s="147">
        <v>7.34</v>
      </c>
      <c r="G32" s="146">
        <f t="shared" si="23"/>
        <v>-0.22019999999999998</v>
      </c>
      <c r="H32" s="145"/>
      <c r="I32" s="146"/>
      <c r="J32" s="147"/>
      <c r="K32" s="148"/>
      <c r="L32" s="149"/>
      <c r="M32" s="149"/>
      <c r="N32" s="149"/>
      <c r="O32" s="149"/>
      <c r="P32" s="149"/>
      <c r="Q32" s="149"/>
      <c r="R32" s="150"/>
      <c r="S32" s="151"/>
      <c r="T32" s="152"/>
      <c r="U32" s="146"/>
      <c r="V32" s="153"/>
      <c r="W32" s="157"/>
      <c r="X32" s="157"/>
    </row>
    <row r="33" spans="1:24" ht="15" customHeight="1" x14ac:dyDescent="0.2">
      <c r="A33" s="145" t="s">
        <v>111</v>
      </c>
      <c r="B33" s="145" t="s">
        <v>112</v>
      </c>
      <c r="C33" s="145" t="s">
        <v>115</v>
      </c>
      <c r="D33" s="146">
        <v>10.5</v>
      </c>
      <c r="E33" s="147">
        <v>5</v>
      </c>
      <c r="F33" s="147">
        <v>7.34</v>
      </c>
      <c r="G33" s="146">
        <f t="shared" si="23"/>
        <v>0.38534999999999997</v>
      </c>
      <c r="H33" s="145"/>
      <c r="I33" s="146"/>
      <c r="J33" s="147"/>
      <c r="K33" s="148"/>
      <c r="L33" s="149"/>
      <c r="M33" s="149"/>
      <c r="N33" s="149"/>
      <c r="O33" s="149"/>
      <c r="P33" s="149"/>
      <c r="Q33" s="149"/>
      <c r="R33" s="150"/>
      <c r="S33" s="151"/>
      <c r="T33" s="152"/>
      <c r="U33" s="146"/>
      <c r="V33" s="153"/>
      <c r="W33" s="157"/>
      <c r="X33" s="157"/>
    </row>
    <row r="34" spans="1:24" ht="15" customHeight="1" x14ac:dyDescent="0.2">
      <c r="A34" s="145" t="s">
        <v>111</v>
      </c>
      <c r="B34" s="145" t="s">
        <v>112</v>
      </c>
      <c r="C34" s="145" t="s">
        <v>115</v>
      </c>
      <c r="D34" s="146">
        <v>11</v>
      </c>
      <c r="E34" s="147">
        <v>-15</v>
      </c>
      <c r="F34" s="147">
        <v>7.34</v>
      </c>
      <c r="G34" s="146">
        <f t="shared" si="23"/>
        <v>-1.2110999999999998</v>
      </c>
      <c r="H34" s="145"/>
      <c r="I34" s="146"/>
      <c r="J34" s="147"/>
      <c r="K34" s="147"/>
      <c r="L34" s="149"/>
      <c r="M34" s="149"/>
      <c r="N34" s="149"/>
      <c r="O34" s="149"/>
      <c r="P34" s="149"/>
      <c r="Q34" s="149"/>
      <c r="R34" s="150"/>
      <c r="S34" s="151"/>
      <c r="T34" s="152"/>
      <c r="U34" s="146"/>
      <c r="V34" s="153"/>
      <c r="W34" s="157"/>
      <c r="X34" s="157"/>
    </row>
    <row r="35" spans="1:24" ht="15" customHeight="1" x14ac:dyDescent="0.2">
      <c r="A35" s="145" t="s">
        <v>111</v>
      </c>
      <c r="B35" s="145" t="s">
        <v>112</v>
      </c>
      <c r="C35" s="145" t="s">
        <v>115</v>
      </c>
      <c r="D35" s="146">
        <v>11.3</v>
      </c>
      <c r="E35" s="147">
        <f>10-15</f>
        <v>-5</v>
      </c>
      <c r="F35" s="147">
        <v>7.34</v>
      </c>
      <c r="G35" s="146">
        <f t="shared" si="23"/>
        <v>-0.41470999999999997</v>
      </c>
      <c r="H35" s="145"/>
      <c r="I35" s="146"/>
      <c r="J35" s="147"/>
      <c r="K35" s="147"/>
      <c r="L35" s="149"/>
      <c r="M35" s="149"/>
      <c r="N35" s="149"/>
      <c r="O35" s="149"/>
      <c r="P35" s="149"/>
      <c r="Q35" s="149"/>
      <c r="R35" s="150"/>
      <c r="S35" s="151"/>
      <c r="T35" s="152"/>
      <c r="U35" s="146"/>
      <c r="V35" s="153"/>
      <c r="W35" s="157"/>
      <c r="X35" s="157"/>
    </row>
    <row r="36" spans="1:24" ht="15" customHeight="1" x14ac:dyDescent="0.2">
      <c r="A36" s="145" t="s">
        <v>111</v>
      </c>
      <c r="B36" s="145" t="s">
        <v>112</v>
      </c>
      <c r="C36" s="145" t="s">
        <v>115</v>
      </c>
      <c r="D36" s="146">
        <v>11.5</v>
      </c>
      <c r="E36" s="147">
        <v>31</v>
      </c>
      <c r="F36" s="147">
        <v>7.34</v>
      </c>
      <c r="G36" s="146">
        <f t="shared" si="23"/>
        <v>2.6167099999999999</v>
      </c>
      <c r="H36" s="145"/>
      <c r="I36" s="146"/>
      <c r="J36" s="147"/>
      <c r="K36" s="147"/>
      <c r="L36" s="149"/>
      <c r="M36" s="149"/>
      <c r="N36" s="149"/>
      <c r="O36" s="149"/>
      <c r="P36" s="149"/>
      <c r="Q36" s="149"/>
      <c r="R36" s="150"/>
      <c r="S36" s="158"/>
      <c r="T36" s="152"/>
      <c r="U36" s="146"/>
      <c r="V36" s="153"/>
      <c r="W36" s="157"/>
      <c r="X36" s="157"/>
    </row>
    <row r="37" spans="1:24" ht="15" customHeight="1" x14ac:dyDescent="0.2">
      <c r="A37" s="145" t="s">
        <v>111</v>
      </c>
      <c r="B37" s="145" t="s">
        <v>112</v>
      </c>
      <c r="C37" s="145" t="s">
        <v>115</v>
      </c>
      <c r="D37" s="146">
        <v>12</v>
      </c>
      <c r="E37" s="147">
        <v>3</v>
      </c>
      <c r="F37" s="147">
        <v>7.34</v>
      </c>
      <c r="G37" s="146">
        <f t="shared" si="23"/>
        <v>0.26424000000000003</v>
      </c>
      <c r="H37" s="145"/>
      <c r="I37" s="146"/>
      <c r="J37" s="147"/>
      <c r="K37" s="147"/>
      <c r="L37" s="149"/>
      <c r="M37" s="149"/>
      <c r="N37" s="149"/>
      <c r="O37" s="149"/>
      <c r="P37" s="149"/>
      <c r="Q37" s="149"/>
      <c r="R37" s="150"/>
      <c r="S37" s="158"/>
      <c r="T37" s="152"/>
      <c r="U37" s="146"/>
      <c r="V37" s="153"/>
      <c r="W37" s="157"/>
      <c r="X37" s="157"/>
    </row>
    <row r="38" spans="1:24" ht="15" customHeight="1" x14ac:dyDescent="0.2">
      <c r="A38" s="147"/>
      <c r="B38" s="147"/>
      <c r="C38" s="147"/>
      <c r="D38" s="146"/>
      <c r="E38" s="229" t="s">
        <v>116</v>
      </c>
      <c r="F38" s="230"/>
      <c r="G38" s="159">
        <f>SUM(G26:G37)</f>
        <v>10.400780000000001</v>
      </c>
      <c r="H38" s="147"/>
      <c r="I38" s="146"/>
      <c r="J38" s="147"/>
      <c r="K38" s="147"/>
      <c r="L38" s="149"/>
      <c r="M38" s="149"/>
      <c r="N38" s="149"/>
      <c r="O38" s="149"/>
      <c r="P38" s="149"/>
      <c r="Q38" s="149"/>
      <c r="R38" s="149"/>
      <c r="S38" s="158"/>
      <c r="T38" s="229" t="s">
        <v>116</v>
      </c>
      <c r="U38" s="230"/>
      <c r="V38" s="43">
        <f>SUM(V26:V37)</f>
        <v>10.87822865</v>
      </c>
      <c r="W38" s="161"/>
      <c r="X38" s="161"/>
    </row>
    <row r="39" spans="1:24" ht="15" customHeight="1" x14ac:dyDescent="0.2">
      <c r="A39" s="147"/>
      <c r="B39" s="147"/>
      <c r="C39" s="147"/>
      <c r="D39" s="146"/>
      <c r="E39" s="147"/>
      <c r="F39" s="147"/>
      <c r="G39" s="146"/>
      <c r="H39" s="147"/>
      <c r="I39" s="146"/>
      <c r="J39" s="147"/>
      <c r="K39" s="147"/>
      <c r="L39" s="149"/>
      <c r="M39" s="149"/>
      <c r="N39" s="149"/>
      <c r="O39" s="149"/>
      <c r="P39" s="149"/>
      <c r="Q39" s="149"/>
      <c r="R39" s="149"/>
      <c r="S39" s="162"/>
      <c r="T39" s="152"/>
      <c r="U39" s="146"/>
      <c r="V39" s="153"/>
      <c r="W39" s="153"/>
      <c r="X39" s="153"/>
    </row>
    <row r="40" spans="1:24" ht="15" customHeight="1" x14ac:dyDescent="0.2">
      <c r="A40" s="145" t="s">
        <v>111</v>
      </c>
      <c r="B40" s="145" t="s">
        <v>118</v>
      </c>
      <c r="C40" s="145" t="s">
        <v>119</v>
      </c>
      <c r="D40" s="146">
        <v>10.5</v>
      </c>
      <c r="E40" s="147">
        <v>65</v>
      </c>
      <c r="F40" s="147">
        <v>6.17</v>
      </c>
      <c r="G40" s="146">
        <f>D40*E40*F40/1000</f>
        <v>4.2110249999999994</v>
      </c>
      <c r="H40" s="145" t="s">
        <v>120</v>
      </c>
      <c r="I40" s="146">
        <f>U40/K40</f>
        <v>1.8098750509580104</v>
      </c>
      <c r="J40" s="147">
        <v>60</v>
      </c>
      <c r="K40" s="147">
        <v>122.65</v>
      </c>
      <c r="L40" s="149">
        <v>10.85</v>
      </c>
      <c r="M40" s="149">
        <v>11.5</v>
      </c>
      <c r="N40" s="149">
        <v>12</v>
      </c>
      <c r="O40" s="149">
        <v>0</v>
      </c>
      <c r="P40" s="149">
        <v>0</v>
      </c>
      <c r="Q40" s="149">
        <f t="shared" ref="Q40:Q43" si="28">SUM(L40:P40)</f>
        <v>34.35</v>
      </c>
      <c r="R40" s="150">
        <f>(Q40+S40)*2.5%</f>
        <v>0.87750000000000006</v>
      </c>
      <c r="S40" s="151">
        <v>0.75</v>
      </c>
      <c r="T40" s="152">
        <f>SUM(Q40:S40)</f>
        <v>35.977499999999999</v>
      </c>
      <c r="U40" s="146">
        <f>T40*F40</f>
        <v>221.98117499999998</v>
      </c>
      <c r="V40" s="153">
        <f>U40*J40/1000</f>
        <v>13.318870499999999</v>
      </c>
      <c r="W40" s="154">
        <f>100-(((V54-G54)/G54)*100)</f>
        <v>95.234896823579788</v>
      </c>
      <c r="X40" s="154">
        <f>100-W40</f>
        <v>4.7651031764202116</v>
      </c>
    </row>
    <row r="41" spans="1:24" ht="15" customHeight="1" x14ac:dyDescent="0.2">
      <c r="A41" s="145" t="s">
        <v>111</v>
      </c>
      <c r="B41" s="145" t="s">
        <v>118</v>
      </c>
      <c r="C41" s="145"/>
      <c r="D41" s="146">
        <v>10.85</v>
      </c>
      <c r="E41" s="147">
        <v>95</v>
      </c>
      <c r="F41" s="147">
        <v>6.17</v>
      </c>
      <c r="G41" s="146">
        <f t="shared" ref="G41:G53" si="29">D41*E41*F41/1000</f>
        <v>6.3597275</v>
      </c>
      <c r="H41" s="145" t="s">
        <v>120</v>
      </c>
      <c r="I41" s="146">
        <f t="shared" ref="I41:I45" si="30">U41/K41</f>
        <v>1.804718711781492</v>
      </c>
      <c r="J41" s="147">
        <v>8</v>
      </c>
      <c r="K41" s="147">
        <v>122.65</v>
      </c>
      <c r="L41" s="149">
        <v>10.85</v>
      </c>
      <c r="M41" s="149">
        <v>7.8</v>
      </c>
      <c r="N41" s="149">
        <v>7.8</v>
      </c>
      <c r="O41" s="149">
        <v>7.8</v>
      </c>
      <c r="P41" s="149">
        <v>0</v>
      </c>
      <c r="Q41" s="149">
        <f t="shared" si="28"/>
        <v>34.25</v>
      </c>
      <c r="R41" s="150">
        <f t="shared" ref="R41:R45" si="31">(Q41+S41)*2.5%</f>
        <v>0.875</v>
      </c>
      <c r="S41" s="151">
        <v>0.75</v>
      </c>
      <c r="T41" s="152">
        <f t="shared" ref="T41:T45" si="32">SUM(Q41:S41)</f>
        <v>35.875</v>
      </c>
      <c r="U41" s="146">
        <f t="shared" ref="U41" si="33">T41*F41</f>
        <v>221.34875</v>
      </c>
      <c r="V41" s="153">
        <f>U41*J41/1000</f>
        <v>1.7707899999999999</v>
      </c>
      <c r="W41" s="157"/>
      <c r="X41" s="157"/>
    </row>
    <row r="42" spans="1:24" ht="15" customHeight="1" x14ac:dyDescent="0.2">
      <c r="A42" s="145" t="s">
        <v>111</v>
      </c>
      <c r="B42" s="145" t="s">
        <v>118</v>
      </c>
      <c r="C42" s="145"/>
      <c r="D42" s="146">
        <v>11.5</v>
      </c>
      <c r="E42" s="147">
        <v>61</v>
      </c>
      <c r="F42" s="147">
        <v>6.17</v>
      </c>
      <c r="G42" s="146">
        <f t="shared" si="29"/>
        <v>4.3282550000000004</v>
      </c>
      <c r="H42" s="145" t="s">
        <v>120</v>
      </c>
      <c r="I42" s="146">
        <f t="shared" si="30"/>
        <v>1.7789370158988991</v>
      </c>
      <c r="J42" s="147">
        <v>15</v>
      </c>
      <c r="K42" s="147">
        <v>122.65</v>
      </c>
      <c r="L42" s="149">
        <v>7.25</v>
      </c>
      <c r="M42" s="149">
        <v>7.25</v>
      </c>
      <c r="N42" s="149">
        <v>7.25</v>
      </c>
      <c r="O42" s="149">
        <v>12</v>
      </c>
      <c r="P42" s="149">
        <v>0</v>
      </c>
      <c r="Q42" s="149">
        <f t="shared" si="28"/>
        <v>33.75</v>
      </c>
      <c r="R42" s="150">
        <f t="shared" si="31"/>
        <v>0.86250000000000004</v>
      </c>
      <c r="S42" s="151">
        <v>0.75</v>
      </c>
      <c r="T42" s="152">
        <f t="shared" si="32"/>
        <v>35.362499999999997</v>
      </c>
      <c r="U42" s="146">
        <f>T42*F42</f>
        <v>218.18662499999999</v>
      </c>
      <c r="V42" s="153">
        <f>U42*J42/1000</f>
        <v>3.272799375</v>
      </c>
      <c r="W42" s="157"/>
      <c r="X42" s="157"/>
    </row>
    <row r="43" spans="1:24" ht="15" customHeight="1" x14ac:dyDescent="0.2">
      <c r="A43" s="145" t="s">
        <v>111</v>
      </c>
      <c r="B43" s="145" t="s">
        <v>118</v>
      </c>
      <c r="C43" s="145"/>
      <c r="D43" s="146">
        <v>12</v>
      </c>
      <c r="E43" s="147">
        <v>140</v>
      </c>
      <c r="F43" s="147">
        <v>6.17</v>
      </c>
      <c r="G43" s="146">
        <f t="shared" si="29"/>
        <v>10.365600000000001</v>
      </c>
      <c r="H43" s="145" t="s">
        <v>120</v>
      </c>
      <c r="I43" s="146">
        <f t="shared" si="30"/>
        <v>1.8176095597227884</v>
      </c>
      <c r="J43" s="147">
        <v>17</v>
      </c>
      <c r="K43" s="147">
        <v>122.65</v>
      </c>
      <c r="L43" s="149">
        <v>10.5</v>
      </c>
      <c r="M43" s="149">
        <v>12</v>
      </c>
      <c r="N43" s="149">
        <v>12</v>
      </c>
      <c r="O43" s="149">
        <v>0</v>
      </c>
      <c r="P43" s="149">
        <v>0</v>
      </c>
      <c r="Q43" s="149">
        <f t="shared" si="28"/>
        <v>34.5</v>
      </c>
      <c r="R43" s="150">
        <f t="shared" si="31"/>
        <v>0.88125000000000009</v>
      </c>
      <c r="S43" s="151">
        <v>0.75</v>
      </c>
      <c r="T43" s="152">
        <f t="shared" si="32"/>
        <v>36.131250000000001</v>
      </c>
      <c r="U43" s="146">
        <f t="shared" ref="U43:U44" si="34">T43*F43</f>
        <v>222.9298125</v>
      </c>
      <c r="V43" s="153">
        <f t="shared" ref="V43" si="35">U43*J43/1000</f>
        <v>3.7898068125000002</v>
      </c>
      <c r="W43" s="157"/>
      <c r="X43" s="157"/>
    </row>
    <row r="44" spans="1:24" ht="15" customHeight="1" x14ac:dyDescent="0.2">
      <c r="A44" s="145" t="s">
        <v>111</v>
      </c>
      <c r="B44" s="145" t="s">
        <v>118</v>
      </c>
      <c r="C44" s="145"/>
      <c r="D44" s="146">
        <v>7.25</v>
      </c>
      <c r="E44" s="147">
        <v>38</v>
      </c>
      <c r="F44" s="147">
        <v>6.17</v>
      </c>
      <c r="G44" s="146">
        <f t="shared" si="29"/>
        <v>1.699835</v>
      </c>
      <c r="H44" s="145" t="s">
        <v>120</v>
      </c>
      <c r="I44" s="146">
        <f t="shared" si="30"/>
        <v>1.8949546473705665</v>
      </c>
      <c r="J44" s="147">
        <v>16</v>
      </c>
      <c r="K44" s="147">
        <v>122.65</v>
      </c>
      <c r="L44" s="149">
        <v>12</v>
      </c>
      <c r="M44" s="149">
        <v>12</v>
      </c>
      <c r="N44" s="149">
        <v>12</v>
      </c>
      <c r="O44" s="149">
        <v>0</v>
      </c>
      <c r="P44" s="149">
        <v>0</v>
      </c>
      <c r="Q44" s="149">
        <f t="shared" ref="Q44:Q45" si="36">SUM(L44:P44)</f>
        <v>36</v>
      </c>
      <c r="R44" s="150">
        <f t="shared" si="31"/>
        <v>0.91875000000000007</v>
      </c>
      <c r="S44" s="151">
        <v>0.75</v>
      </c>
      <c r="T44" s="152">
        <f t="shared" si="32"/>
        <v>37.668750000000003</v>
      </c>
      <c r="U44" s="146">
        <f t="shared" si="34"/>
        <v>232.41618750000001</v>
      </c>
      <c r="V44" s="153">
        <f>U44*J44/1000</f>
        <v>3.7186590000000002</v>
      </c>
      <c r="W44" s="157"/>
      <c r="X44" s="157"/>
    </row>
    <row r="45" spans="1:24" ht="15" customHeight="1" x14ac:dyDescent="0.2">
      <c r="A45" s="145" t="s">
        <v>111</v>
      </c>
      <c r="B45" s="145" t="s">
        <v>118</v>
      </c>
      <c r="C45" s="145"/>
      <c r="D45" s="146">
        <v>7.8</v>
      </c>
      <c r="E45" s="147">
        <v>22</v>
      </c>
      <c r="F45" s="147">
        <v>6.17</v>
      </c>
      <c r="G45" s="146">
        <f t="shared" si="29"/>
        <v>1.0587719999999998</v>
      </c>
      <c r="H45" s="145" t="s">
        <v>120</v>
      </c>
      <c r="I45" s="146">
        <f t="shared" si="30"/>
        <v>1.6809665715450468</v>
      </c>
      <c r="J45" s="147">
        <v>32</v>
      </c>
      <c r="K45" s="147">
        <v>122.65</v>
      </c>
      <c r="L45" s="149">
        <v>10.85</v>
      </c>
      <c r="M45" s="149">
        <v>10.5</v>
      </c>
      <c r="N45" s="149">
        <v>10.5</v>
      </c>
      <c r="O45" s="149">
        <v>0</v>
      </c>
      <c r="P45" s="149">
        <v>0</v>
      </c>
      <c r="Q45" s="149">
        <f t="shared" si="36"/>
        <v>31.85</v>
      </c>
      <c r="R45" s="150">
        <f t="shared" si="31"/>
        <v>0.81500000000000006</v>
      </c>
      <c r="S45" s="151">
        <v>0.75</v>
      </c>
      <c r="T45" s="152">
        <f t="shared" si="32"/>
        <v>33.414999999999999</v>
      </c>
      <c r="U45" s="146">
        <f>T45*F45</f>
        <v>206.17054999999999</v>
      </c>
      <c r="V45" s="153">
        <f>U45*J45/1000</f>
        <v>6.5974575999999994</v>
      </c>
      <c r="W45" s="157"/>
      <c r="X45" s="157"/>
    </row>
    <row r="46" spans="1:24" ht="15" customHeight="1" x14ac:dyDescent="0.2">
      <c r="A46" s="145" t="s">
        <v>111</v>
      </c>
      <c r="B46" s="145" t="s">
        <v>118</v>
      </c>
      <c r="C46" s="145"/>
      <c r="D46" s="146">
        <v>10</v>
      </c>
      <c r="E46" s="147">
        <v>15</v>
      </c>
      <c r="F46" s="147">
        <v>6.17</v>
      </c>
      <c r="G46" s="146">
        <f t="shared" si="29"/>
        <v>0.92549999999999999</v>
      </c>
      <c r="H46" s="145"/>
      <c r="I46" s="146"/>
      <c r="J46" s="147"/>
      <c r="K46" s="148"/>
      <c r="L46" s="149"/>
      <c r="M46" s="149"/>
      <c r="N46" s="149"/>
      <c r="O46" s="149"/>
      <c r="P46" s="149"/>
      <c r="Q46" s="149"/>
      <c r="R46" s="150"/>
      <c r="S46" s="151"/>
      <c r="T46" s="152"/>
      <c r="U46" s="146"/>
      <c r="V46" s="153"/>
      <c r="W46" s="157"/>
      <c r="X46" s="157"/>
    </row>
    <row r="47" spans="1:24" ht="15" customHeight="1" x14ac:dyDescent="0.2">
      <c r="A47" s="145" t="s">
        <v>111</v>
      </c>
      <c r="B47" s="145" t="s">
        <v>118</v>
      </c>
      <c r="C47" s="145" t="s">
        <v>115</v>
      </c>
      <c r="D47" s="146">
        <v>10.5</v>
      </c>
      <c r="E47" s="147">
        <v>16</v>
      </c>
      <c r="F47" s="147">
        <v>6.17</v>
      </c>
      <c r="G47" s="146">
        <f t="shared" si="29"/>
        <v>1.0365599999999999</v>
      </c>
      <c r="H47" s="145"/>
      <c r="I47" s="146"/>
      <c r="J47" s="147"/>
      <c r="K47" s="148"/>
      <c r="L47" s="149"/>
      <c r="M47" s="149"/>
      <c r="N47" s="149"/>
      <c r="O47" s="149"/>
      <c r="P47" s="149"/>
      <c r="Q47" s="149"/>
      <c r="R47" s="150"/>
      <c r="S47" s="151"/>
      <c r="T47" s="152"/>
      <c r="U47" s="146"/>
      <c r="V47" s="153"/>
      <c r="W47" s="157"/>
      <c r="X47" s="157"/>
    </row>
    <row r="48" spans="1:24" ht="15" customHeight="1" x14ac:dyDescent="0.2">
      <c r="A48" s="145" t="s">
        <v>111</v>
      </c>
      <c r="B48" s="145" t="s">
        <v>118</v>
      </c>
      <c r="C48" s="145" t="s">
        <v>115</v>
      </c>
      <c r="D48" s="146">
        <v>10.85</v>
      </c>
      <c r="E48" s="147">
        <v>5</v>
      </c>
      <c r="F48" s="147">
        <v>6.17</v>
      </c>
      <c r="G48" s="146">
        <f t="shared" si="29"/>
        <v>0.33472249999999998</v>
      </c>
      <c r="H48" s="145"/>
      <c r="I48" s="146"/>
      <c r="J48" s="147"/>
      <c r="K48" s="148"/>
      <c r="L48" s="149"/>
      <c r="M48" s="149"/>
      <c r="N48" s="149"/>
      <c r="O48" s="149"/>
      <c r="P48" s="149"/>
      <c r="Q48" s="149"/>
      <c r="R48" s="150"/>
      <c r="S48" s="151"/>
      <c r="T48" s="152"/>
      <c r="U48" s="146"/>
      <c r="V48" s="153"/>
      <c r="W48" s="157"/>
      <c r="X48" s="157"/>
    </row>
    <row r="49" spans="1:24" ht="15" customHeight="1" x14ac:dyDescent="0.2">
      <c r="A49" s="145" t="s">
        <v>111</v>
      </c>
      <c r="B49" s="145" t="s">
        <v>118</v>
      </c>
      <c r="C49" s="145" t="s">
        <v>115</v>
      </c>
      <c r="D49" s="146">
        <v>11.5</v>
      </c>
      <c r="E49" s="147">
        <f>60-61</f>
        <v>-1</v>
      </c>
      <c r="F49" s="147">
        <v>6.17</v>
      </c>
      <c r="G49" s="146">
        <f t="shared" si="29"/>
        <v>-7.0955000000000004E-2</v>
      </c>
      <c r="H49" s="145"/>
      <c r="I49" s="146"/>
      <c r="J49" s="147"/>
      <c r="K49" s="147"/>
      <c r="L49" s="149"/>
      <c r="M49" s="149"/>
      <c r="N49" s="149"/>
      <c r="O49" s="149"/>
      <c r="P49" s="149"/>
      <c r="Q49" s="149"/>
      <c r="R49" s="150"/>
      <c r="S49" s="151"/>
      <c r="T49" s="152"/>
      <c r="U49" s="146"/>
      <c r="V49" s="153"/>
      <c r="W49" s="157"/>
      <c r="X49" s="157"/>
    </row>
    <row r="50" spans="1:24" ht="15" customHeight="1" x14ac:dyDescent="0.2">
      <c r="A50" s="145" t="s">
        <v>111</v>
      </c>
      <c r="B50" s="145" t="s">
        <v>118</v>
      </c>
      <c r="C50" s="145" t="s">
        <v>115</v>
      </c>
      <c r="D50" s="146">
        <v>12</v>
      </c>
      <c r="E50" s="147">
        <v>17</v>
      </c>
      <c r="F50" s="147">
        <v>6.17</v>
      </c>
      <c r="G50" s="146">
        <f t="shared" si="29"/>
        <v>1.25868</v>
      </c>
      <c r="H50" s="145"/>
      <c r="I50" s="146"/>
      <c r="J50" s="147"/>
      <c r="K50" s="147"/>
      <c r="L50" s="149"/>
      <c r="M50" s="149"/>
      <c r="N50" s="149"/>
      <c r="O50" s="149"/>
      <c r="P50" s="149"/>
      <c r="Q50" s="149"/>
      <c r="R50" s="150"/>
      <c r="S50" s="158"/>
      <c r="T50" s="152"/>
      <c r="U50" s="146"/>
      <c r="V50" s="153"/>
      <c r="W50" s="157"/>
      <c r="X50" s="157"/>
    </row>
    <row r="51" spans="1:24" ht="15" customHeight="1" x14ac:dyDescent="0.2">
      <c r="A51" s="145" t="s">
        <v>111</v>
      </c>
      <c r="B51" s="145" t="s">
        <v>118</v>
      </c>
      <c r="C51" s="145" t="s">
        <v>115</v>
      </c>
      <c r="D51" s="146">
        <v>7.25</v>
      </c>
      <c r="E51" s="147">
        <v>7</v>
      </c>
      <c r="F51" s="147">
        <v>6.17</v>
      </c>
      <c r="G51" s="146">
        <f t="shared" si="29"/>
        <v>0.3131275</v>
      </c>
      <c r="H51" s="145"/>
      <c r="I51" s="146"/>
      <c r="J51" s="147"/>
      <c r="K51" s="147"/>
      <c r="L51" s="149"/>
      <c r="M51" s="149"/>
      <c r="N51" s="149"/>
      <c r="O51" s="149"/>
      <c r="P51" s="149"/>
      <c r="Q51" s="149"/>
      <c r="R51" s="150"/>
      <c r="S51" s="158"/>
      <c r="T51" s="152"/>
      <c r="U51" s="146"/>
      <c r="V51" s="153"/>
      <c r="W51" s="157"/>
      <c r="X51" s="157"/>
    </row>
    <row r="52" spans="1:24" ht="15" customHeight="1" x14ac:dyDescent="0.2">
      <c r="A52" s="145" t="s">
        <v>111</v>
      </c>
      <c r="B52" s="145" t="s">
        <v>118</v>
      </c>
      <c r="C52" s="145" t="s">
        <v>115</v>
      </c>
      <c r="D52" s="146">
        <v>7.8</v>
      </c>
      <c r="E52" s="147">
        <v>2</v>
      </c>
      <c r="F52" s="147">
        <v>6.17</v>
      </c>
      <c r="G52" s="146">
        <f t="shared" si="29"/>
        <v>9.625199999999999E-2</v>
      </c>
      <c r="H52" s="145"/>
      <c r="I52" s="146"/>
      <c r="J52" s="147"/>
      <c r="K52" s="147"/>
      <c r="L52" s="149"/>
      <c r="M52" s="149"/>
      <c r="N52" s="149"/>
      <c r="O52" s="149"/>
      <c r="P52" s="149"/>
      <c r="Q52" s="149"/>
      <c r="R52" s="150"/>
      <c r="S52" s="158"/>
      <c r="T52" s="152"/>
      <c r="U52" s="146"/>
      <c r="V52" s="153"/>
      <c r="W52" s="157"/>
      <c r="X52" s="157"/>
    </row>
    <row r="53" spans="1:24" ht="15" customHeight="1" x14ac:dyDescent="0.2">
      <c r="A53" s="145" t="s">
        <v>111</v>
      </c>
      <c r="B53" s="145" t="s">
        <v>118</v>
      </c>
      <c r="C53" s="145" t="s">
        <v>115</v>
      </c>
      <c r="D53" s="146">
        <v>10</v>
      </c>
      <c r="E53" s="147">
        <v>-15</v>
      </c>
      <c r="F53" s="147">
        <v>6.17</v>
      </c>
      <c r="G53" s="146">
        <f t="shared" si="29"/>
        <v>-0.92549999999999999</v>
      </c>
      <c r="H53" s="145"/>
      <c r="I53" s="146"/>
      <c r="J53" s="147"/>
      <c r="K53" s="147"/>
      <c r="L53" s="149"/>
      <c r="M53" s="149"/>
      <c r="N53" s="149"/>
      <c r="O53" s="149"/>
      <c r="P53" s="149"/>
      <c r="Q53" s="149"/>
      <c r="R53" s="150"/>
      <c r="S53" s="158"/>
      <c r="T53" s="152"/>
      <c r="U53" s="146"/>
      <c r="V53" s="153"/>
      <c r="W53" s="157"/>
      <c r="X53" s="157"/>
    </row>
    <row r="54" spans="1:24" ht="15" customHeight="1" x14ac:dyDescent="0.2">
      <c r="A54" s="147"/>
      <c r="B54" s="147"/>
      <c r="C54" s="147"/>
      <c r="D54" s="146"/>
      <c r="E54" s="229" t="s">
        <v>116</v>
      </c>
      <c r="F54" s="230"/>
      <c r="G54" s="159">
        <f>SUM(G40:G53)</f>
        <v>30.991601500000002</v>
      </c>
      <c r="H54" s="147"/>
      <c r="I54" s="146"/>
      <c r="J54" s="147"/>
      <c r="K54" s="147"/>
      <c r="L54" s="149"/>
      <c r="M54" s="149"/>
      <c r="N54" s="149"/>
      <c r="O54" s="149"/>
      <c r="P54" s="149"/>
      <c r="Q54" s="149"/>
      <c r="R54" s="149"/>
      <c r="S54" s="158"/>
      <c r="T54" s="229" t="s">
        <v>116</v>
      </c>
      <c r="U54" s="230"/>
      <c r="V54" s="43">
        <f>SUM(V40:V53)</f>
        <v>32.468383287499996</v>
      </c>
      <c r="W54" s="161"/>
      <c r="X54" s="161"/>
    </row>
    <row r="55" spans="1:24" ht="15" customHeight="1" x14ac:dyDescent="0.2">
      <c r="A55" s="147"/>
      <c r="B55" s="147"/>
      <c r="C55" s="147"/>
      <c r="D55" s="146"/>
      <c r="E55" s="147"/>
      <c r="F55" s="147"/>
      <c r="G55" s="146"/>
      <c r="H55" s="147"/>
      <c r="I55" s="146"/>
      <c r="J55" s="147"/>
      <c r="K55" s="147"/>
      <c r="L55" s="149"/>
      <c r="M55" s="149"/>
      <c r="N55" s="149"/>
      <c r="O55" s="149"/>
      <c r="P55" s="149"/>
      <c r="Q55" s="149"/>
      <c r="R55" s="149"/>
      <c r="S55" s="162"/>
      <c r="T55" s="152"/>
      <c r="U55" s="146"/>
      <c r="V55" s="153"/>
      <c r="W55" s="153"/>
      <c r="X55" s="153"/>
    </row>
    <row r="56" spans="1:24" ht="15" customHeight="1" x14ac:dyDescent="0.2">
      <c r="A56" s="145" t="s">
        <v>111</v>
      </c>
      <c r="B56" s="145" t="s">
        <v>121</v>
      </c>
      <c r="C56" s="145" t="s">
        <v>122</v>
      </c>
      <c r="D56" s="146">
        <v>7.2</v>
      </c>
      <c r="E56" s="147">
        <v>284</v>
      </c>
      <c r="F56" s="147">
        <v>7.36</v>
      </c>
      <c r="G56" s="146">
        <f>D56*E56*F56/1000</f>
        <v>15.049728000000002</v>
      </c>
      <c r="H56" s="145" t="s">
        <v>123</v>
      </c>
      <c r="I56" s="146">
        <f>U56/K56</f>
        <v>1.8175719527109662</v>
      </c>
      <c r="J56" s="147">
        <v>73</v>
      </c>
      <c r="K56" s="147">
        <v>122.65</v>
      </c>
      <c r="L56" s="149">
        <v>7.2</v>
      </c>
      <c r="M56" s="149">
        <v>7.2</v>
      </c>
      <c r="N56" s="149">
        <v>7.2</v>
      </c>
      <c r="O56" s="149">
        <v>7.2</v>
      </c>
      <c r="P56" s="149">
        <v>0</v>
      </c>
      <c r="Q56" s="149">
        <f t="shared" ref="Q56" si="37">SUM(L56:P56)</f>
        <v>28.8</v>
      </c>
      <c r="R56" s="150">
        <f>(Q56+S56)*2.5%</f>
        <v>0.73875000000000002</v>
      </c>
      <c r="S56" s="151">
        <v>0.75</v>
      </c>
      <c r="T56" s="152">
        <f>SUM(Q56:S56)</f>
        <v>30.28875</v>
      </c>
      <c r="U56" s="146">
        <f>T56*F56</f>
        <v>222.92520000000002</v>
      </c>
      <c r="V56" s="153">
        <f>U56*J56/1000</f>
        <v>16.273539600000003</v>
      </c>
      <c r="W56" s="154">
        <f>100-(((V64-G64)/G64)*100)</f>
        <v>94.931981011823666</v>
      </c>
      <c r="X56" s="154">
        <f>100-W56</f>
        <v>5.068018988176334</v>
      </c>
    </row>
    <row r="57" spans="1:24" ht="15" customHeight="1" x14ac:dyDescent="0.2">
      <c r="A57" s="145" t="s">
        <v>111</v>
      </c>
      <c r="B57" s="145" t="s">
        <v>121</v>
      </c>
      <c r="C57" s="145"/>
      <c r="D57" s="146">
        <v>7.25</v>
      </c>
      <c r="E57" s="147">
        <v>16</v>
      </c>
      <c r="F57" s="147">
        <v>7.36</v>
      </c>
      <c r="G57" s="146">
        <f t="shared" ref="G57:G63" si="38">D57*E57*F57/1000</f>
        <v>0.85375999999999996</v>
      </c>
      <c r="H57" s="145" t="s">
        <v>123</v>
      </c>
      <c r="I57" s="146">
        <f t="shared" ref="I57:I58" si="39">U57/K57</f>
        <v>1.6607256420709335</v>
      </c>
      <c r="J57" s="147">
        <v>17</v>
      </c>
      <c r="K57" s="147">
        <v>122.65</v>
      </c>
      <c r="L57" s="149">
        <v>7.25</v>
      </c>
      <c r="M57" s="149">
        <v>7.25</v>
      </c>
      <c r="N57" s="149">
        <v>11.75</v>
      </c>
      <c r="O57" s="149">
        <v>0</v>
      </c>
      <c r="P57" s="149">
        <v>0</v>
      </c>
      <c r="Q57" s="149">
        <f t="shared" ref="Q57:Q58" si="40">SUM(L57:P57)</f>
        <v>26.25</v>
      </c>
      <c r="R57" s="150">
        <f t="shared" ref="R57:R58" si="41">(Q57+S57)*2.5%</f>
        <v>0.67500000000000004</v>
      </c>
      <c r="S57" s="151">
        <v>0.75</v>
      </c>
      <c r="T57" s="152">
        <f t="shared" ref="T57:T58" si="42">SUM(Q57:S57)</f>
        <v>27.675000000000001</v>
      </c>
      <c r="U57" s="146">
        <f t="shared" ref="U57:U58" si="43">T57*F57</f>
        <v>203.68800000000002</v>
      </c>
      <c r="V57" s="153">
        <f t="shared" ref="V57:V58" si="44">U57*J57/1000</f>
        <v>3.4626960000000002</v>
      </c>
      <c r="W57" s="157"/>
      <c r="X57" s="157"/>
    </row>
    <row r="58" spans="1:24" ht="15" customHeight="1" x14ac:dyDescent="0.2">
      <c r="A58" s="145" t="s">
        <v>111</v>
      </c>
      <c r="B58" s="145" t="s">
        <v>121</v>
      </c>
      <c r="C58" s="145"/>
      <c r="D58" s="146">
        <v>11.75</v>
      </c>
      <c r="E58" s="147">
        <v>40</v>
      </c>
      <c r="F58" s="147">
        <v>7.36</v>
      </c>
      <c r="G58" s="146">
        <f t="shared" si="38"/>
        <v>3.4592000000000001</v>
      </c>
      <c r="H58" s="145" t="s">
        <v>123</v>
      </c>
      <c r="I58" s="146">
        <f t="shared" si="39"/>
        <v>2.2604321239298817</v>
      </c>
      <c r="J58" s="147">
        <v>24</v>
      </c>
      <c r="K58" s="147">
        <v>122.65</v>
      </c>
      <c r="L58" s="149">
        <v>12</v>
      </c>
      <c r="M58" s="149">
        <v>12</v>
      </c>
      <c r="N58" s="149">
        <v>12</v>
      </c>
      <c r="O58" s="149">
        <v>0</v>
      </c>
      <c r="P58" s="149">
        <v>0</v>
      </c>
      <c r="Q58" s="149">
        <f t="shared" si="40"/>
        <v>36</v>
      </c>
      <c r="R58" s="150">
        <f t="shared" si="41"/>
        <v>0.91875000000000007</v>
      </c>
      <c r="S58" s="151">
        <v>0.75</v>
      </c>
      <c r="T58" s="152">
        <f t="shared" si="42"/>
        <v>37.668750000000003</v>
      </c>
      <c r="U58" s="146">
        <f t="shared" si="43"/>
        <v>277.24200000000002</v>
      </c>
      <c r="V58" s="153">
        <f t="shared" si="44"/>
        <v>6.6538080000000006</v>
      </c>
      <c r="W58" s="157"/>
      <c r="X58" s="157"/>
    </row>
    <row r="59" spans="1:24" ht="15" customHeight="1" x14ac:dyDescent="0.2">
      <c r="A59" s="145" t="s">
        <v>111</v>
      </c>
      <c r="B59" s="145" t="s">
        <v>121</v>
      </c>
      <c r="C59" s="145"/>
      <c r="D59" s="146">
        <v>12</v>
      </c>
      <c r="E59" s="147">
        <v>46</v>
      </c>
      <c r="F59" s="147">
        <v>7.36</v>
      </c>
      <c r="G59" s="146">
        <f t="shared" si="38"/>
        <v>4.0627200000000006</v>
      </c>
      <c r="H59" s="145"/>
      <c r="I59" s="146"/>
      <c r="J59" s="147"/>
      <c r="K59" s="147"/>
      <c r="L59" s="149"/>
      <c r="M59" s="149"/>
      <c r="N59" s="149"/>
      <c r="O59" s="149"/>
      <c r="P59" s="149"/>
      <c r="Q59" s="149"/>
      <c r="R59" s="150"/>
      <c r="S59" s="158"/>
      <c r="T59" s="152"/>
      <c r="U59" s="146"/>
      <c r="V59" s="153"/>
      <c r="W59" s="157"/>
      <c r="X59" s="157"/>
    </row>
    <row r="60" spans="1:24" ht="15" customHeight="1" x14ac:dyDescent="0.2">
      <c r="A60" s="145" t="s">
        <v>111</v>
      </c>
      <c r="B60" s="145" t="s">
        <v>121</v>
      </c>
      <c r="C60" s="145" t="s">
        <v>115</v>
      </c>
      <c r="D60" s="146">
        <v>7.2</v>
      </c>
      <c r="E60" s="147">
        <v>8</v>
      </c>
      <c r="F60" s="147">
        <v>7.36</v>
      </c>
      <c r="G60" s="146">
        <f t="shared" si="38"/>
        <v>0.42393600000000004</v>
      </c>
      <c r="H60" s="145"/>
      <c r="I60" s="146"/>
      <c r="J60" s="147"/>
      <c r="K60" s="147"/>
      <c r="L60" s="149"/>
      <c r="M60" s="149"/>
      <c r="N60" s="149"/>
      <c r="O60" s="149"/>
      <c r="P60" s="149"/>
      <c r="Q60" s="149"/>
      <c r="R60" s="150"/>
      <c r="S60" s="158"/>
      <c r="T60" s="152"/>
      <c r="U60" s="146"/>
      <c r="V60" s="153"/>
      <c r="W60" s="157"/>
      <c r="X60" s="157"/>
    </row>
    <row r="61" spans="1:24" ht="15" customHeight="1" x14ac:dyDescent="0.2">
      <c r="A61" s="145" t="s">
        <v>111</v>
      </c>
      <c r="B61" s="145" t="s">
        <v>121</v>
      </c>
      <c r="C61" s="145" t="s">
        <v>115</v>
      </c>
      <c r="D61" s="146">
        <v>7.25</v>
      </c>
      <c r="E61" s="147">
        <v>18</v>
      </c>
      <c r="F61" s="147">
        <v>7.36</v>
      </c>
      <c r="G61" s="146">
        <f t="shared" si="38"/>
        <v>0.96048</v>
      </c>
      <c r="H61" s="145"/>
      <c r="I61" s="146"/>
      <c r="J61" s="147"/>
      <c r="K61" s="147"/>
      <c r="L61" s="149"/>
      <c r="M61" s="149"/>
      <c r="N61" s="149"/>
      <c r="O61" s="149"/>
      <c r="P61" s="149"/>
      <c r="Q61" s="149"/>
      <c r="R61" s="150"/>
      <c r="S61" s="158"/>
      <c r="T61" s="152"/>
      <c r="U61" s="146"/>
      <c r="V61" s="153"/>
      <c r="W61" s="157"/>
      <c r="X61" s="157"/>
    </row>
    <row r="62" spans="1:24" ht="15" customHeight="1" x14ac:dyDescent="0.2">
      <c r="A62" s="145" t="s">
        <v>111</v>
      </c>
      <c r="B62" s="145" t="s">
        <v>121</v>
      </c>
      <c r="C62" s="145" t="s">
        <v>115</v>
      </c>
      <c r="D62" s="146">
        <v>11.75</v>
      </c>
      <c r="E62" s="147">
        <f>17-40</f>
        <v>-23</v>
      </c>
      <c r="F62" s="147">
        <v>7.36</v>
      </c>
      <c r="G62" s="146">
        <f t="shared" si="38"/>
        <v>-1.9890400000000001</v>
      </c>
      <c r="H62" s="145"/>
      <c r="I62" s="146"/>
      <c r="J62" s="147"/>
      <c r="K62" s="147"/>
      <c r="L62" s="149"/>
      <c r="M62" s="149"/>
      <c r="N62" s="149"/>
      <c r="O62" s="149"/>
      <c r="P62" s="149"/>
      <c r="Q62" s="149"/>
      <c r="R62" s="150"/>
      <c r="S62" s="158"/>
      <c r="T62" s="152"/>
      <c r="U62" s="146"/>
      <c r="V62" s="153"/>
      <c r="W62" s="157"/>
      <c r="X62" s="157"/>
    </row>
    <row r="63" spans="1:24" ht="15" customHeight="1" x14ac:dyDescent="0.2">
      <c r="A63" s="145" t="s">
        <v>111</v>
      </c>
      <c r="B63" s="145" t="s">
        <v>121</v>
      </c>
      <c r="C63" s="145" t="s">
        <v>115</v>
      </c>
      <c r="D63" s="146">
        <v>12</v>
      </c>
      <c r="E63" s="147">
        <v>26</v>
      </c>
      <c r="F63" s="147">
        <v>7.36</v>
      </c>
      <c r="G63" s="146">
        <f t="shared" si="38"/>
        <v>2.2963200000000001</v>
      </c>
      <c r="H63" s="145"/>
      <c r="I63" s="146"/>
      <c r="J63" s="147"/>
      <c r="K63" s="147"/>
      <c r="L63" s="149"/>
      <c r="M63" s="149"/>
      <c r="N63" s="149"/>
      <c r="O63" s="149"/>
      <c r="P63" s="149"/>
      <c r="Q63" s="149"/>
      <c r="R63" s="150"/>
      <c r="S63" s="158"/>
      <c r="T63" s="152"/>
      <c r="U63" s="146"/>
      <c r="V63" s="153"/>
      <c r="W63" s="157"/>
      <c r="X63" s="157"/>
    </row>
    <row r="64" spans="1:24" ht="15" customHeight="1" x14ac:dyDescent="0.2">
      <c r="A64" s="147"/>
      <c r="B64" s="147"/>
      <c r="C64" s="147"/>
      <c r="D64" s="146"/>
      <c r="E64" s="229" t="s">
        <v>116</v>
      </c>
      <c r="F64" s="230"/>
      <c r="G64" s="159">
        <f>SUM(G56:G63)</f>
        <v>25.117104000000008</v>
      </c>
      <c r="H64" s="147"/>
      <c r="I64" s="146"/>
      <c r="J64" s="147"/>
      <c r="K64" s="147"/>
      <c r="L64" s="149"/>
      <c r="M64" s="149"/>
      <c r="N64" s="149"/>
      <c r="O64" s="149"/>
      <c r="P64" s="149"/>
      <c r="Q64" s="149"/>
      <c r="R64" s="149"/>
      <c r="S64" s="158"/>
      <c r="T64" s="229" t="s">
        <v>116</v>
      </c>
      <c r="U64" s="230"/>
      <c r="V64" s="43">
        <f>SUM(V56:V63)</f>
        <v>26.390043600000006</v>
      </c>
      <c r="W64" s="161"/>
      <c r="X64" s="161"/>
    </row>
    <row r="65" spans="1:24" ht="15" customHeight="1" x14ac:dyDescent="0.2">
      <c r="A65" s="147"/>
      <c r="B65" s="147"/>
      <c r="C65" s="147"/>
      <c r="D65" s="146"/>
      <c r="E65" s="147"/>
      <c r="F65" s="147"/>
      <c r="G65" s="146"/>
      <c r="H65" s="147"/>
      <c r="I65" s="146"/>
      <c r="J65" s="147"/>
      <c r="K65" s="147"/>
      <c r="L65" s="149"/>
      <c r="M65" s="149"/>
      <c r="N65" s="149"/>
      <c r="O65" s="149"/>
      <c r="P65" s="149"/>
      <c r="Q65" s="149"/>
      <c r="R65" s="149"/>
      <c r="S65" s="162"/>
      <c r="T65" s="152"/>
      <c r="U65" s="146"/>
      <c r="V65" s="153"/>
      <c r="W65" s="153"/>
      <c r="X65" s="153"/>
    </row>
    <row r="66" spans="1:24" s="35" customFormat="1" ht="15" customHeight="1" x14ac:dyDescent="0.2">
      <c r="A66" s="145" t="s">
        <v>111</v>
      </c>
      <c r="B66" s="164" t="s">
        <v>124</v>
      </c>
      <c r="C66" s="165" t="s">
        <v>125</v>
      </c>
      <c r="D66" s="166">
        <v>10</v>
      </c>
      <c r="E66" s="164">
        <v>47</v>
      </c>
      <c r="F66" s="164">
        <v>7.91</v>
      </c>
      <c r="G66" s="167">
        <f t="shared" ref="G66:G73" si="45">D66*E66*F66/1000</f>
        <v>3.7177000000000002</v>
      </c>
      <c r="H66" s="145" t="s">
        <v>123</v>
      </c>
      <c r="I66" s="167">
        <f>U66/K66</f>
        <v>2.1616259682022019</v>
      </c>
      <c r="J66" s="164">
        <v>7</v>
      </c>
      <c r="K66" s="147">
        <v>122.65</v>
      </c>
      <c r="L66" s="168">
        <v>10</v>
      </c>
      <c r="M66" s="168">
        <v>10</v>
      </c>
      <c r="N66" s="169">
        <v>12</v>
      </c>
      <c r="O66" s="169">
        <v>0</v>
      </c>
      <c r="P66" s="164">
        <v>0</v>
      </c>
      <c r="Q66" s="162">
        <f>SUM(L66:P66)</f>
        <v>32</v>
      </c>
      <c r="R66" s="170">
        <f>(Q66+S66)*2.5%</f>
        <v>0.81750000000000012</v>
      </c>
      <c r="S66" s="164">
        <v>0.7</v>
      </c>
      <c r="T66" s="171">
        <f>SUM(Q66:S66)</f>
        <v>33.517500000000005</v>
      </c>
      <c r="U66" s="167">
        <f>T66*F66</f>
        <v>265.12342500000005</v>
      </c>
      <c r="V66" s="172">
        <f>U66*J66/1000</f>
        <v>1.8558639750000003</v>
      </c>
      <c r="W66" s="173">
        <f>100-(((V74-G74)/G74)*100)</f>
        <v>95.210106382978708</v>
      </c>
      <c r="X66" s="173">
        <f>100-W66</f>
        <v>4.789893617021292</v>
      </c>
    </row>
    <row r="67" spans="1:24" ht="15" customHeight="1" x14ac:dyDescent="0.2">
      <c r="A67" s="145" t="s">
        <v>111</v>
      </c>
      <c r="B67" s="164" t="s">
        <v>124</v>
      </c>
      <c r="C67" s="165"/>
      <c r="D67" s="166">
        <v>10.5</v>
      </c>
      <c r="E67" s="164">
        <v>9</v>
      </c>
      <c r="F67" s="164">
        <v>7.91</v>
      </c>
      <c r="G67" s="167">
        <f t="shared" si="45"/>
        <v>0.74749500000000002</v>
      </c>
      <c r="H67" s="145" t="s">
        <v>123</v>
      </c>
      <c r="I67" s="167">
        <f t="shared" ref="I67" si="46">U67/K67</f>
        <v>2.2277307378719939</v>
      </c>
      <c r="J67" s="164">
        <v>8</v>
      </c>
      <c r="K67" s="147">
        <v>122.65</v>
      </c>
      <c r="L67" s="168">
        <v>11</v>
      </c>
      <c r="M67" s="168">
        <v>11</v>
      </c>
      <c r="N67" s="169">
        <v>11</v>
      </c>
      <c r="O67" s="169">
        <v>0</v>
      </c>
      <c r="P67" s="164">
        <v>0</v>
      </c>
      <c r="Q67" s="162">
        <f t="shared" ref="Q67" si="47">SUM(L67:P67)</f>
        <v>33</v>
      </c>
      <c r="R67" s="170">
        <f t="shared" ref="R67" si="48">(Q67+S67)*2.5%</f>
        <v>0.84250000000000014</v>
      </c>
      <c r="S67" s="164">
        <v>0.7</v>
      </c>
      <c r="T67" s="171">
        <f t="shared" ref="T67" si="49">SUM(Q67:S67)</f>
        <v>34.542500000000004</v>
      </c>
      <c r="U67" s="167">
        <f t="shared" ref="U67" si="50">T67*F67</f>
        <v>273.23117500000006</v>
      </c>
      <c r="V67" s="172">
        <f t="shared" ref="V67" si="51">U67*J67/1000</f>
        <v>2.1858494000000004</v>
      </c>
      <c r="W67" s="174"/>
      <c r="X67" s="174"/>
    </row>
    <row r="68" spans="1:24" s="35" customFormat="1" ht="15" customHeight="1" x14ac:dyDescent="0.2">
      <c r="A68" s="145" t="s">
        <v>111</v>
      </c>
      <c r="B68" s="164" t="s">
        <v>124</v>
      </c>
      <c r="C68" s="165"/>
      <c r="D68" s="166">
        <v>11</v>
      </c>
      <c r="E68" s="164">
        <v>20</v>
      </c>
      <c r="F68" s="164">
        <v>7.91</v>
      </c>
      <c r="G68" s="167">
        <f t="shared" si="45"/>
        <v>1.7402</v>
      </c>
      <c r="H68" s="145" t="s">
        <v>123</v>
      </c>
      <c r="I68" s="167">
        <f>U68/K68</f>
        <v>2.1285735833673058</v>
      </c>
      <c r="J68" s="164">
        <v>4</v>
      </c>
      <c r="K68" s="147">
        <v>122.65</v>
      </c>
      <c r="L68" s="168">
        <v>10.5</v>
      </c>
      <c r="M68" s="168">
        <v>10.5</v>
      </c>
      <c r="N68" s="169">
        <v>10.5</v>
      </c>
      <c r="O68" s="169">
        <v>0</v>
      </c>
      <c r="P68" s="164">
        <v>0</v>
      </c>
      <c r="Q68" s="162">
        <f>SUM(L68:P68)</f>
        <v>31.5</v>
      </c>
      <c r="R68" s="170">
        <f>(Q68+S68)*2.5%</f>
        <v>0.80500000000000016</v>
      </c>
      <c r="S68" s="164">
        <v>0.7</v>
      </c>
      <c r="T68" s="171">
        <f>SUM(Q68:S68)</f>
        <v>33.005000000000003</v>
      </c>
      <c r="U68" s="167">
        <f>T68*F68</f>
        <v>261.06955000000005</v>
      </c>
      <c r="V68" s="172">
        <f>U68*J68/1000</f>
        <v>1.0442782000000002</v>
      </c>
      <c r="W68" s="174"/>
      <c r="X68" s="174"/>
    </row>
    <row r="69" spans="1:24" s="35" customFormat="1" ht="15" customHeight="1" x14ac:dyDescent="0.2">
      <c r="A69" s="145" t="s">
        <v>111</v>
      </c>
      <c r="B69" s="164" t="s">
        <v>124</v>
      </c>
      <c r="C69" s="165"/>
      <c r="D69" s="166">
        <v>12</v>
      </c>
      <c r="E69" s="164">
        <v>5</v>
      </c>
      <c r="F69" s="164">
        <v>7.91</v>
      </c>
      <c r="G69" s="167">
        <f t="shared" si="45"/>
        <v>0.47460000000000002</v>
      </c>
      <c r="H69" s="145" t="s">
        <v>123</v>
      </c>
      <c r="I69" s="167">
        <f t="shared" ref="I69" si="52">U69/K69</f>
        <v>2.0294164288626169</v>
      </c>
      <c r="J69" s="164">
        <v>14</v>
      </c>
      <c r="K69" s="147">
        <v>122.65</v>
      </c>
      <c r="L69" s="168">
        <v>10</v>
      </c>
      <c r="M69" s="168">
        <v>10</v>
      </c>
      <c r="N69" s="169">
        <v>10</v>
      </c>
      <c r="O69" s="169">
        <v>0</v>
      </c>
      <c r="P69" s="164">
        <v>0</v>
      </c>
      <c r="Q69" s="162">
        <f t="shared" ref="Q69" si="53">SUM(L69:P69)</f>
        <v>30</v>
      </c>
      <c r="R69" s="170">
        <f t="shared" ref="R69" si="54">(Q69+S69)*2.5%</f>
        <v>0.76750000000000007</v>
      </c>
      <c r="S69" s="164">
        <v>0.7</v>
      </c>
      <c r="T69" s="171">
        <f t="shared" ref="T69" si="55">SUM(Q69:S69)</f>
        <v>31.467499999999998</v>
      </c>
      <c r="U69" s="167">
        <f t="shared" ref="U69" si="56">T69*F69</f>
        <v>248.90792499999998</v>
      </c>
      <c r="V69" s="172">
        <f t="shared" ref="V69" si="57">U69*J69/1000</f>
        <v>3.4847109499999998</v>
      </c>
      <c r="W69" s="174"/>
      <c r="X69" s="174"/>
    </row>
    <row r="70" spans="1:24" s="35" customFormat="1" ht="15" customHeight="1" x14ac:dyDescent="0.2">
      <c r="A70" s="145" t="s">
        <v>111</v>
      </c>
      <c r="B70" s="164" t="s">
        <v>124</v>
      </c>
      <c r="C70" s="165" t="s">
        <v>115</v>
      </c>
      <c r="D70" s="166">
        <v>10</v>
      </c>
      <c r="E70" s="164">
        <v>9</v>
      </c>
      <c r="F70" s="164">
        <v>7.91</v>
      </c>
      <c r="G70" s="167">
        <f t="shared" si="45"/>
        <v>0.71189999999999998</v>
      </c>
      <c r="H70" s="164"/>
      <c r="I70" s="167"/>
      <c r="J70" s="164"/>
      <c r="K70" s="148"/>
      <c r="L70" s="168"/>
      <c r="M70" s="168"/>
      <c r="N70" s="169"/>
      <c r="O70" s="169"/>
      <c r="P70" s="164"/>
      <c r="Q70" s="162"/>
      <c r="R70" s="170"/>
      <c r="S70" s="164"/>
      <c r="T70" s="171"/>
      <c r="U70" s="167"/>
      <c r="V70" s="172"/>
      <c r="W70" s="174"/>
      <c r="X70" s="174"/>
    </row>
    <row r="71" spans="1:24" s="35" customFormat="1" ht="15" customHeight="1" x14ac:dyDescent="0.2">
      <c r="A71" s="145" t="s">
        <v>111</v>
      </c>
      <c r="B71" s="164" t="s">
        <v>124</v>
      </c>
      <c r="C71" s="165"/>
      <c r="D71" s="166">
        <v>10.5</v>
      </c>
      <c r="E71" s="164">
        <v>3</v>
      </c>
      <c r="F71" s="164">
        <v>7.91</v>
      </c>
      <c r="G71" s="167">
        <f t="shared" si="45"/>
        <v>0.249165</v>
      </c>
      <c r="H71" s="164"/>
      <c r="I71" s="167"/>
      <c r="J71" s="164"/>
      <c r="K71" s="148"/>
      <c r="L71" s="168"/>
      <c r="M71" s="168"/>
      <c r="N71" s="169"/>
      <c r="O71" s="169"/>
      <c r="P71" s="164"/>
      <c r="Q71" s="162"/>
      <c r="R71" s="170"/>
      <c r="S71" s="164"/>
      <c r="T71" s="171"/>
      <c r="U71" s="167"/>
      <c r="V71" s="172"/>
      <c r="W71" s="174"/>
      <c r="X71" s="174"/>
    </row>
    <row r="72" spans="1:24" ht="15" customHeight="1" x14ac:dyDescent="0.2">
      <c r="A72" s="145" t="s">
        <v>111</v>
      </c>
      <c r="B72" s="164" t="s">
        <v>124</v>
      </c>
      <c r="C72" s="165"/>
      <c r="D72" s="166">
        <v>11</v>
      </c>
      <c r="E72" s="164">
        <v>4</v>
      </c>
      <c r="F72" s="164">
        <v>7.91</v>
      </c>
      <c r="G72" s="167">
        <f t="shared" si="45"/>
        <v>0.34804000000000002</v>
      </c>
      <c r="H72" s="164"/>
      <c r="I72" s="167"/>
      <c r="J72" s="164"/>
      <c r="K72" s="148"/>
      <c r="L72" s="168"/>
      <c r="M72" s="168"/>
      <c r="N72" s="169"/>
      <c r="O72" s="169"/>
      <c r="P72" s="164"/>
      <c r="Q72" s="162"/>
      <c r="R72" s="170"/>
      <c r="S72" s="164"/>
      <c r="T72" s="171"/>
      <c r="U72" s="167"/>
      <c r="V72" s="172"/>
      <c r="W72" s="174"/>
      <c r="X72" s="174"/>
    </row>
    <row r="73" spans="1:24" s="35" customFormat="1" ht="15" customHeight="1" x14ac:dyDescent="0.2">
      <c r="A73" s="145" t="s">
        <v>111</v>
      </c>
      <c r="B73" s="164" t="s">
        <v>124</v>
      </c>
      <c r="C73" s="165"/>
      <c r="D73" s="166">
        <v>12</v>
      </c>
      <c r="E73" s="164">
        <v>2</v>
      </c>
      <c r="F73" s="164">
        <v>7.91</v>
      </c>
      <c r="G73" s="167">
        <f t="shared" si="45"/>
        <v>0.18984000000000001</v>
      </c>
      <c r="H73" s="164"/>
      <c r="I73" s="167"/>
      <c r="J73" s="164"/>
      <c r="K73" s="148"/>
      <c r="L73" s="168"/>
      <c r="M73" s="168"/>
      <c r="N73" s="169"/>
      <c r="O73" s="169"/>
      <c r="P73" s="164"/>
      <c r="Q73" s="162"/>
      <c r="R73" s="170"/>
      <c r="S73" s="164"/>
      <c r="T73" s="171"/>
      <c r="U73" s="167"/>
      <c r="V73" s="172"/>
      <c r="W73" s="174"/>
      <c r="X73" s="174"/>
    </row>
    <row r="74" spans="1:24" ht="15" customHeight="1" x14ac:dyDescent="0.2">
      <c r="A74" s="148"/>
      <c r="B74" s="164"/>
      <c r="C74" s="148"/>
      <c r="D74" s="166"/>
      <c r="E74" s="164"/>
      <c r="F74" s="175" t="s">
        <v>126</v>
      </c>
      <c r="G74" s="176">
        <f>SUM(G66:G73)</f>
        <v>8.178939999999999</v>
      </c>
      <c r="H74" s="175"/>
      <c r="I74" s="177"/>
      <c r="J74" s="175"/>
      <c r="K74" s="178"/>
      <c r="L74" s="179"/>
      <c r="M74" s="179"/>
      <c r="N74" s="180"/>
      <c r="O74" s="180"/>
      <c r="P74" s="175"/>
      <c r="Q74" s="181"/>
      <c r="R74" s="180"/>
      <c r="S74" s="175"/>
      <c r="T74" s="182"/>
      <c r="U74" s="176" t="s">
        <v>127</v>
      </c>
      <c r="V74" s="177">
        <f>SUM(V66:V73)</f>
        <v>8.5707025249999997</v>
      </c>
      <c r="W74" s="183"/>
      <c r="X74" s="183"/>
    </row>
    <row r="75" spans="1:24" ht="15" customHeight="1" x14ac:dyDescent="0.2">
      <c r="A75" s="147"/>
      <c r="B75" s="147"/>
      <c r="C75" s="147"/>
      <c r="D75" s="146"/>
      <c r="E75" s="147"/>
      <c r="F75" s="147"/>
      <c r="G75" s="159"/>
      <c r="H75" s="147"/>
      <c r="I75" s="146"/>
      <c r="J75" s="147"/>
      <c r="K75" s="147"/>
      <c r="L75" s="149"/>
      <c r="M75" s="149"/>
      <c r="N75" s="149"/>
      <c r="O75" s="149"/>
      <c r="P75" s="149"/>
      <c r="Q75" s="149"/>
      <c r="R75" s="149"/>
      <c r="S75" s="158"/>
      <c r="T75" s="152"/>
      <c r="U75" s="146"/>
      <c r="V75" s="184"/>
      <c r="W75" s="155"/>
      <c r="X75" s="155"/>
    </row>
    <row r="76" spans="1:24" ht="15" customHeight="1" x14ac:dyDescent="0.2">
      <c r="A76" s="147"/>
      <c r="B76" s="147"/>
      <c r="C76" s="147"/>
      <c r="D76" s="146"/>
      <c r="E76" s="147"/>
      <c r="F76" s="147"/>
      <c r="G76" s="146"/>
      <c r="H76" s="147"/>
      <c r="I76" s="146"/>
      <c r="J76" s="147"/>
      <c r="K76" s="147"/>
      <c r="L76" s="149"/>
      <c r="M76" s="149"/>
      <c r="N76" s="149"/>
      <c r="O76" s="149"/>
      <c r="P76" s="149"/>
      <c r="Q76" s="149"/>
      <c r="R76" s="149"/>
      <c r="S76" s="162"/>
      <c r="T76" s="152"/>
      <c r="U76" s="146"/>
      <c r="V76" s="185"/>
      <c r="W76" s="153"/>
      <c r="X76" s="153"/>
    </row>
  </sheetData>
  <mergeCells count="24">
    <mergeCell ref="A2:A3"/>
    <mergeCell ref="B2:B3"/>
    <mergeCell ref="C2:C3"/>
    <mergeCell ref="D2:D3"/>
    <mergeCell ref="E2:E3"/>
    <mergeCell ref="X2:X3"/>
    <mergeCell ref="G2:G3"/>
    <mergeCell ref="H2:H3"/>
    <mergeCell ref="I2:I3"/>
    <mergeCell ref="J2:J3"/>
    <mergeCell ref="K2:K3"/>
    <mergeCell ref="L2:S2"/>
    <mergeCell ref="E24:F24"/>
    <mergeCell ref="T24:U24"/>
    <mergeCell ref="U2:U3"/>
    <mergeCell ref="V2:V3"/>
    <mergeCell ref="W2:W3"/>
    <mergeCell ref="F2:F3"/>
    <mergeCell ref="E38:F38"/>
    <mergeCell ref="T38:U38"/>
    <mergeCell ref="E54:F54"/>
    <mergeCell ref="T54:U54"/>
    <mergeCell ref="E64:F64"/>
    <mergeCell ref="T64:U64"/>
  </mergeCells>
  <pageMargins left="0.7" right="0.7" top="0.75" bottom="0.75" header="0.3" footer="0.3"/>
  <pageSetup paperSize="9" scale="10" fitToHeight="2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PLANNING</vt:lpstr>
      <vt:lpstr>Charging OF RM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DELLLL</dc:creator>
  <cp:lastModifiedBy>DELLLL</cp:lastModifiedBy>
  <dcterms:created xsi:type="dcterms:W3CDTF">2024-01-20T06:27:39Z</dcterms:created>
  <dcterms:modified xsi:type="dcterms:W3CDTF">2024-01-20T06:33:25Z</dcterms:modified>
</cp:coreProperties>
</file>